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C:\Users\kudrati\Downloads\"/>
    </mc:Choice>
  </mc:AlternateContent>
  <xr:revisionPtr revIDLastSave="0" documentId="13_ncr:1_{8C662E04-928A-49DB-8D84-A262A9419C44}" xr6:coauthVersionLast="47" xr6:coauthVersionMax="47" xr10:uidLastSave="{00000000-0000-0000-0000-000000000000}"/>
  <bookViews>
    <workbookView xWindow="-110" yWindow="-110" windowWidth="19420" windowHeight="10300" tabRatio="806" xr2:uid="{00000000-000D-0000-FFFF-FFFF00000000}"/>
  </bookViews>
  <sheets>
    <sheet name="Intro" sheetId="16" r:id="rId1"/>
    <sheet name="Inputs" sheetId="11" r:id="rId2"/>
    <sheet name="Analysis Summary" sheetId="13" r:id="rId3"/>
    <sheet name="RE Calculations" sheetId="3" state="hidden" r:id="rId4"/>
    <sheet name="Mortgage Calculators (By Month)" sheetId="5" r:id="rId5"/>
    <sheet name="Mortgage Calculators (By Year)" sheetId="14" r:id="rId6"/>
    <sheet name="Forecast (By Month)" sheetId="6" r:id="rId7"/>
    <sheet name="Forecast (By Year)" sheetId="12" r:id="rId8"/>
    <sheet name="Comparables" sheetId="15" r:id="rId9"/>
    <sheet name="Notes" sheetId="17" r:id="rId10"/>
  </sheets>
  <definedNames>
    <definedName name="BalanceForChart2">'RE Calculations'!$F$23:INDEX('RE Calculations'!$F$23:$F$73,COUNT('RE Calculations'!$D$23:$D$73))</definedName>
    <definedName name="CoCForChart6">'RE Calculations'!$J$136:INDEX('RE Calculations'!$J$136:$J$186,COUNT('RE Calculations'!$J$136:$J$186))</definedName>
    <definedName name="CostsForChart5">'RE Calculations'!$E$136:INDEX('RE Calculations'!$E$136:$E$186,COUNT('RE Calculations'!$C$136:$C$186))</definedName>
    <definedName name="CumInterestForChart2">'RE Calculations'!$E$23:INDEX('RE Calculations'!$E$23:$E$73,COUNT('RE Calculations'!$D$23:$D$73))</definedName>
    <definedName name="CumPrincipalForChart2">'RE Calculations'!$D$23:INDEX('RE Calculations'!$D$23:$D$73,COUNT('RE Calculations'!$D$23:$D$73))</definedName>
    <definedName name="EqValueForChart3">'RE Calculations'!$D$80:INDEX('RE Calculations'!$D$80:$D$130,COUNT('RE Calculations'!$C$80:$C$130))</definedName>
    <definedName name="GrossROIForChart4">'RE Calculations'!$J$79:INDEX('RE Calculations'!$J$79:$J$130,COUNT('RE Calculations'!$H$79:$H$130))</definedName>
    <definedName name="HoldPeriodForChart1">'RE Calculations'!$O$23:INDEX('RE Calculations'!$O$23:$O$73,COUNT('RE Calculations'!$L$23:$L$73))</definedName>
    <definedName name="HoldPeriodForChart2">'RE Calculations'!$I$23:INDEX('RE Calculations'!$I$23:$I$73,COUNT('RE Calculations'!$D$23:$D$73))</definedName>
    <definedName name="HoldPeriodForChart3">'RE Calculations'!$E$80:INDEX('RE Calculations'!$E$80:$E$130,COUNT('RE Calculations'!$C$80:$C$130))</definedName>
    <definedName name="HoldPeriodForChart4">'RE Calculations'!$L$79:INDEX('RE Calculations'!$L$79:$L$130,COUNT('RE Calculations'!$H$79:$H$130))</definedName>
    <definedName name="HoldPeriodForChart5">'RE Calculations'!$G$136:INDEX('RE Calculations'!$G$136:$G$186,COUNT('RE Calculations'!$C$136:$C$186))</definedName>
    <definedName name="HoldPeriodForChart6">'RE Calculations'!$M$136:INDEX('RE Calculations'!$M$136:$M$186,COUNT('RE Calculations'!$J$136:$J$186))</definedName>
    <definedName name="InterestForChart1">'RE Calculations'!$M$23:INDEX('RE Calculations'!$M$23:$M$73,COUNT('RE Calculations'!$L$23:$L$73))</definedName>
    <definedName name="LoanForChart5">'RE Calculations'!$F$136:INDEX('RE Calculations'!$F$136:$F$186,COUNT('RE Calculations'!$C$136:$C$186))</definedName>
    <definedName name="NetROIForChart4">'RE Calculations'!$K$79:INDEX('RE Calculations'!$K$79:$K$130,COUNT('RE Calculations'!$H$79:$H$130))</definedName>
    <definedName name="PrincipalForChart1">'RE Calculations'!$L$23:INDEX('RE Calculations'!$L$23:$L$73,COUNT('RE Calculations'!$L$23:$L$73))</definedName>
    <definedName name="_xlnm.Print_Area" localSheetId="2">'Analysis Summary'!$B$4:$X$47,'Analysis Summary'!$Z$4:$BI$47,'Analysis Summary'!$BK$4:$CW$47</definedName>
    <definedName name="_xlnm.Print_Area" localSheetId="8">Comparables!$B$5:$I$32,Comparables!$B$36:$I$60,Comparables!$B$64:$I$87</definedName>
    <definedName name="PropValueForChart3">'RE Calculations'!$C$80:INDEX('RE Calculations'!$C$80:$C$130,COUNT('RE Calculations'!$C$80:$C$130))</definedName>
    <definedName name="RentForChart5">'RE Calculations'!$C$136:INDEX('RE Calculations'!$C$136:$C$186,COUNT('RE Calculations'!$C$136:$C$186))</definedName>
    <definedName name="YearForChart1">'RE Calculations'!$K$23:INDEX('RE Calculations'!$K$23:$K$73,COUNT('RE Calculations'!$L$23:$L$73))</definedName>
    <definedName name="YearForChart3">'RE Calculations'!$B$80:INDEX('RE Calculations'!$B$80:$B$130,COUNT('RE Calculations'!$C$80:$C$130))</definedName>
    <definedName name="YearForChart4">'RE Calculations'!$G$79:INDEX('RE Calculations'!$G$79:$G$130,COUNT('RE Calculations'!$H$79:$H$130))</definedName>
    <definedName name="YearForChart5">'RE Calculations'!$B$136:INDEX('RE Calculations'!$B$136:$B$186,COUNT('RE Calculations'!$C$136:$C$186))</definedName>
    <definedName name="YearForChart6">'RE Calculations'!$I$136:INDEX('RE Calculations'!$I$136:$I$186,COUNT('RE Calculations'!$J$136:$J$186))</definedName>
    <definedName name="YieldCostForChart6">'RE Calculations'!$K$136:INDEX('RE Calculations'!$K$136:$K$186,COUNT('RE Calculations'!$J$136:$J$186))</definedName>
    <definedName name="YieldValueForChart6">'RE Calculations'!$L$136:INDEX('RE Calculations'!$L$136:$L$186,COUNT('RE Calculations'!$J$136:$J$186))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3" i="15" l="1"/>
  <c r="B18" i="15"/>
  <c r="B12" i="15"/>
  <c r="K38" i="11"/>
  <c r="K48" i="11"/>
  <c r="K15" i="11"/>
  <c r="C17" i="13" s="1"/>
  <c r="K14" i="11"/>
  <c r="K9" i="11"/>
  <c r="F91" i="11"/>
  <c r="F92" i="11"/>
  <c r="F75" i="11"/>
  <c r="F76" i="11"/>
  <c r="F51" i="11"/>
  <c r="F52" i="11"/>
  <c r="F72" i="11"/>
  <c r="H18" i="15" l="1"/>
  <c r="G18" i="15"/>
  <c r="F18" i="15"/>
  <c r="E18" i="15"/>
  <c r="D18" i="15"/>
  <c r="C18" i="15"/>
  <c r="D23" i="15"/>
  <c r="E23" i="15"/>
  <c r="F23" i="15"/>
  <c r="G23" i="15"/>
  <c r="H23" i="15"/>
  <c r="C23" i="15"/>
  <c r="D78" i="15"/>
  <c r="E78" i="15"/>
  <c r="I78" i="15" s="1"/>
  <c r="F78" i="15"/>
  <c r="G78" i="15"/>
  <c r="H78" i="15"/>
  <c r="C78" i="15"/>
  <c r="D51" i="15"/>
  <c r="E51" i="15"/>
  <c r="F51" i="15"/>
  <c r="G51" i="15"/>
  <c r="H51" i="15"/>
  <c r="C51" i="15"/>
  <c r="I51" i="15" s="1"/>
  <c r="I83" i="15"/>
  <c r="I82" i="15"/>
  <c r="I81" i="15"/>
  <c r="B78" i="15"/>
  <c r="I77" i="15"/>
  <c r="I74" i="15"/>
  <c r="I73" i="15"/>
  <c r="I72" i="15"/>
  <c r="B72" i="15"/>
  <c r="I71" i="15"/>
  <c r="B71" i="15"/>
  <c r="I70" i="15"/>
  <c r="I69" i="15"/>
  <c r="I68" i="15"/>
  <c r="I16" i="15"/>
  <c r="I56" i="15"/>
  <c r="I55" i="15"/>
  <c r="I54" i="15"/>
  <c r="I50" i="15"/>
  <c r="I49" i="15"/>
  <c r="I46" i="15"/>
  <c r="I45" i="15"/>
  <c r="I44" i="15"/>
  <c r="I43" i="15"/>
  <c r="I42" i="15"/>
  <c r="I41" i="15"/>
  <c r="I40" i="15"/>
  <c r="I12" i="15"/>
  <c r="I13" i="15"/>
  <c r="I14" i="15"/>
  <c r="I15" i="15"/>
  <c r="I17" i="15"/>
  <c r="I11" i="15"/>
  <c r="I10" i="15"/>
  <c r="I9" i="15"/>
  <c r="I28" i="15"/>
  <c r="I27" i="15"/>
  <c r="I26" i="15"/>
  <c r="I22" i="15"/>
  <c r="I21" i="15"/>
  <c r="B51" i="15"/>
  <c r="B44" i="15"/>
  <c r="B43" i="15"/>
  <c r="B13" i="15"/>
  <c r="BK32" i="13"/>
  <c r="I23" i="15" l="1"/>
  <c r="I18" i="15"/>
  <c r="CE10" i="13"/>
  <c r="BK10" i="13"/>
  <c r="BK4" i="13" l="1"/>
  <c r="AM6" i="13" l="1"/>
  <c r="E6" i="13"/>
  <c r="K20" i="3" l="1"/>
  <c r="I134" i="3"/>
  <c r="B134" i="3"/>
  <c r="B20" i="3"/>
  <c r="G77" i="3"/>
  <c r="B77" i="3"/>
  <c r="Z4" i="13"/>
  <c r="K13" i="5"/>
  <c r="Y13" i="5" s="1"/>
  <c r="D10" i="5"/>
  <c r="R10" i="5" s="1"/>
  <c r="B26" i="12"/>
  <c r="B26" i="6"/>
  <c r="C26" i="6"/>
  <c r="B4" i="13"/>
  <c r="Y13" i="14" l="1"/>
  <c r="X10" i="14"/>
  <c r="X7" i="14"/>
  <c r="R10" i="14"/>
  <c r="Q7" i="14"/>
  <c r="K13" i="14"/>
  <c r="D10" i="14"/>
  <c r="AO4" i="12"/>
  <c r="AA4" i="12"/>
  <c r="X4" i="12"/>
  <c r="AY4" i="12"/>
  <c r="AV4" i="12"/>
  <c r="C26" i="12"/>
  <c r="C17" i="12"/>
  <c r="AS4" i="6"/>
  <c r="AS4" i="12" s="1"/>
  <c r="U4" i="6"/>
  <c r="U4" i="12" s="1"/>
  <c r="C10" i="5"/>
  <c r="E21" i="5" s="1"/>
  <c r="C17" i="6"/>
  <c r="F47" i="11"/>
  <c r="K57" i="11"/>
  <c r="C47" i="13" s="1"/>
  <c r="K55" i="11"/>
  <c r="C45" i="13" s="1"/>
  <c r="K6" i="11"/>
  <c r="C8" i="13" s="1"/>
  <c r="K54" i="11"/>
  <c r="E104" i="11"/>
  <c r="J13" i="5"/>
  <c r="X13" i="5" s="1"/>
  <c r="Z21" i="5" s="1"/>
  <c r="C11" i="13" l="1"/>
  <c r="C44" i="13"/>
  <c r="CE18" i="13"/>
  <c r="BK18" i="13"/>
  <c r="J13" i="14"/>
  <c r="L21" i="14" s="1"/>
  <c r="C10" i="14"/>
  <c r="E21" i="14" s="1"/>
  <c r="C8" i="12"/>
  <c r="G4" i="12" s="1"/>
  <c r="C8" i="6"/>
  <c r="AE4" i="6" s="1"/>
  <c r="C191" i="3"/>
  <c r="X13" i="14"/>
  <c r="Z21" i="14" s="1"/>
  <c r="L21" i="5"/>
  <c r="Q10" i="5"/>
  <c r="C5" i="12"/>
  <c r="C35" i="6"/>
  <c r="C35" i="12"/>
  <c r="AQ4" i="12" s="1"/>
  <c r="C36" i="6"/>
  <c r="C36" i="12"/>
  <c r="C38" i="6"/>
  <c r="C38" i="12"/>
  <c r="G4" i="6" l="1"/>
  <c r="AE4" i="12"/>
  <c r="S21" i="5"/>
  <c r="Q10" i="14"/>
  <c r="S21" i="14" s="1"/>
  <c r="F65" i="11"/>
  <c r="K16" i="11"/>
  <c r="K45" i="11"/>
  <c r="C38" i="13"/>
  <c r="K47" i="11"/>
  <c r="J12" i="5" s="1"/>
  <c r="K44" i="11"/>
  <c r="K42" i="11"/>
  <c r="C28" i="13"/>
  <c r="K37" i="11"/>
  <c r="C27" i="13" s="1"/>
  <c r="K35" i="11"/>
  <c r="C7" i="5" s="1"/>
  <c r="K53" i="11"/>
  <c r="C43" i="13" s="1"/>
  <c r="K17" i="11"/>
  <c r="C19" i="13" s="1"/>
  <c r="F93" i="11"/>
  <c r="F86" i="11"/>
  <c r="F88" i="11"/>
  <c r="F89" i="11"/>
  <c r="F90" i="11"/>
  <c r="F73" i="11"/>
  <c r="F74" i="11"/>
  <c r="F77" i="11"/>
  <c r="F66" i="11"/>
  <c r="F67" i="11"/>
  <c r="F68" i="11"/>
  <c r="C5" i="3"/>
  <c r="C6" i="3"/>
  <c r="C7" i="3"/>
  <c r="C8" i="3"/>
  <c r="F69" i="11" s="1"/>
  <c r="C4" i="3"/>
  <c r="F33" i="11"/>
  <c r="F63" i="11"/>
  <c r="F61" i="11"/>
  <c r="F34" i="11"/>
  <c r="F35" i="11"/>
  <c r="F36" i="11"/>
  <c r="F37" i="11"/>
  <c r="F38" i="11"/>
  <c r="F39" i="11"/>
  <c r="F42" i="11"/>
  <c r="F43" i="11"/>
  <c r="F44" i="11"/>
  <c r="F45" i="11"/>
  <c r="F46" i="11"/>
  <c r="F48" i="11"/>
  <c r="F49" i="11"/>
  <c r="F50" i="11"/>
  <c r="F53" i="11"/>
  <c r="K11" i="11"/>
  <c r="C13" i="13" s="1"/>
  <c r="C16" i="13"/>
  <c r="K10" i="11"/>
  <c r="E8" i="11"/>
  <c r="K7" i="11"/>
  <c r="C9" i="13" s="1"/>
  <c r="K5" i="11"/>
  <c r="M169" i="3" l="1"/>
  <c r="M173" i="3"/>
  <c r="M177" i="3"/>
  <c r="M181" i="3"/>
  <c r="M185" i="3"/>
  <c r="G174" i="3"/>
  <c r="G182" i="3"/>
  <c r="M186" i="3"/>
  <c r="G172" i="3"/>
  <c r="G176" i="3"/>
  <c r="G170" i="3"/>
  <c r="G178" i="3"/>
  <c r="G186" i="3"/>
  <c r="G167" i="3"/>
  <c r="M175" i="3"/>
  <c r="G166" i="3"/>
  <c r="M170" i="3"/>
  <c r="M174" i="3"/>
  <c r="M178" i="3"/>
  <c r="M182" i="3"/>
  <c r="M171" i="3"/>
  <c r="M183" i="3"/>
  <c r="M166" i="3"/>
  <c r="G171" i="3"/>
  <c r="G175" i="3"/>
  <c r="G179" i="3"/>
  <c r="G183" i="3"/>
  <c r="M179" i="3"/>
  <c r="M167" i="3"/>
  <c r="G184" i="3"/>
  <c r="G168" i="3"/>
  <c r="M172" i="3"/>
  <c r="M176" i="3"/>
  <c r="M180" i="3"/>
  <c r="M184" i="3"/>
  <c r="M168" i="3"/>
  <c r="G173" i="3"/>
  <c r="G177" i="3"/>
  <c r="G181" i="3"/>
  <c r="G185" i="3"/>
  <c r="G180" i="3"/>
  <c r="L110" i="3"/>
  <c r="L114" i="3"/>
  <c r="L118" i="3"/>
  <c r="L122" i="3"/>
  <c r="L126" i="3"/>
  <c r="E111" i="3"/>
  <c r="E115" i="3"/>
  <c r="E119" i="3"/>
  <c r="E123" i="3"/>
  <c r="E127" i="3"/>
  <c r="L111" i="3"/>
  <c r="L115" i="3"/>
  <c r="L119" i="3"/>
  <c r="L123" i="3"/>
  <c r="L127" i="3"/>
  <c r="E129" i="3"/>
  <c r="E112" i="3"/>
  <c r="E116" i="3"/>
  <c r="E120" i="3"/>
  <c r="E124" i="3"/>
  <c r="E128" i="3"/>
  <c r="L129" i="3"/>
  <c r="L112" i="3"/>
  <c r="L116" i="3"/>
  <c r="L120" i="3"/>
  <c r="L124" i="3"/>
  <c r="L128" i="3"/>
  <c r="E130" i="3"/>
  <c r="E117" i="3"/>
  <c r="E121" i="3"/>
  <c r="E125" i="3"/>
  <c r="L130" i="3"/>
  <c r="L117" i="3"/>
  <c r="L121" i="3"/>
  <c r="L125" i="3"/>
  <c r="E110" i="3"/>
  <c r="E118" i="3"/>
  <c r="E122" i="3"/>
  <c r="E126" i="3"/>
  <c r="O53" i="3"/>
  <c r="O61" i="3"/>
  <c r="O65" i="3"/>
  <c r="O69" i="3"/>
  <c r="I73" i="3"/>
  <c r="O73" i="3"/>
  <c r="I65" i="3"/>
  <c r="I54" i="3"/>
  <c r="I58" i="3"/>
  <c r="I62" i="3"/>
  <c r="I66" i="3"/>
  <c r="I70" i="3"/>
  <c r="O70" i="3"/>
  <c r="I68" i="3"/>
  <c r="O68" i="3"/>
  <c r="I57" i="3"/>
  <c r="O54" i="3"/>
  <c r="O58" i="3"/>
  <c r="O62" i="3"/>
  <c r="O66" i="3"/>
  <c r="I64" i="3"/>
  <c r="O72" i="3"/>
  <c r="I69" i="3"/>
  <c r="I55" i="3"/>
  <c r="I59" i="3"/>
  <c r="I63" i="3"/>
  <c r="I67" i="3"/>
  <c r="I71" i="3"/>
  <c r="I60" i="3"/>
  <c r="I61" i="3"/>
  <c r="O55" i="3"/>
  <c r="O59" i="3"/>
  <c r="O63" i="3"/>
  <c r="O67" i="3"/>
  <c r="O71" i="3"/>
  <c r="O60" i="3"/>
  <c r="I53" i="3"/>
  <c r="I72" i="3"/>
  <c r="O64" i="3"/>
  <c r="M153" i="3"/>
  <c r="G151" i="3"/>
  <c r="G152" i="3"/>
  <c r="M137" i="3"/>
  <c r="M154" i="3"/>
  <c r="G139" i="3"/>
  <c r="G156" i="3"/>
  <c r="M156" i="3"/>
  <c r="G141" i="3"/>
  <c r="M140" i="3"/>
  <c r="M157" i="3"/>
  <c r="G142" i="3"/>
  <c r="M158" i="3"/>
  <c r="G143" i="3"/>
  <c r="M142" i="3"/>
  <c r="G144" i="3"/>
  <c r="M143" i="3"/>
  <c r="M161" i="3"/>
  <c r="G163" i="3"/>
  <c r="M145" i="3"/>
  <c r="G164" i="3"/>
  <c r="M163" i="3"/>
  <c r="G165" i="3"/>
  <c r="M147" i="3"/>
  <c r="G149" i="3"/>
  <c r="M148" i="3"/>
  <c r="M149" i="3"/>
  <c r="M138" i="3"/>
  <c r="M139" i="3"/>
  <c r="G158" i="3"/>
  <c r="G159" i="3"/>
  <c r="M141" i="3"/>
  <c r="G160" i="3"/>
  <c r="M159" i="3"/>
  <c r="G161" i="3"/>
  <c r="M160" i="3"/>
  <c r="G162" i="3"/>
  <c r="M144" i="3"/>
  <c r="G146" i="3"/>
  <c r="M162" i="3"/>
  <c r="G147" i="3"/>
  <c r="M146" i="3"/>
  <c r="G148" i="3"/>
  <c r="M164" i="3"/>
  <c r="M165" i="3"/>
  <c r="M151" i="3"/>
  <c r="M152" i="3"/>
  <c r="G137" i="3"/>
  <c r="G154" i="3"/>
  <c r="G136" i="3"/>
  <c r="M136" i="3"/>
  <c r="CE6" i="13"/>
  <c r="F217" i="3"/>
  <c r="F221" i="3"/>
  <c r="F189" i="3"/>
  <c r="L95" i="3"/>
  <c r="L90" i="3"/>
  <c r="L106" i="3"/>
  <c r="L85" i="3"/>
  <c r="L96" i="3"/>
  <c r="L102" i="3"/>
  <c r="L83" i="3"/>
  <c r="L100" i="3"/>
  <c r="L80" i="3"/>
  <c r="L91" i="3"/>
  <c r="L86" i="3"/>
  <c r="L81" i="3"/>
  <c r="L92" i="3"/>
  <c r="L108" i="3"/>
  <c r="L87" i="3"/>
  <c r="L103" i="3"/>
  <c r="L98" i="3"/>
  <c r="L79" i="3"/>
  <c r="L93" i="3"/>
  <c r="L109" i="3"/>
  <c r="L104" i="3"/>
  <c r="L88" i="3"/>
  <c r="L105" i="3"/>
  <c r="E79" i="3"/>
  <c r="E81" i="3"/>
  <c r="E98" i="3"/>
  <c r="E83" i="3"/>
  <c r="E100" i="3"/>
  <c r="E93" i="3"/>
  <c r="E85" i="3"/>
  <c r="E102" i="3"/>
  <c r="E92" i="3"/>
  <c r="E80" i="3"/>
  <c r="E86" i="3"/>
  <c r="E103" i="3"/>
  <c r="E108" i="3"/>
  <c r="E95" i="3"/>
  <c r="E87" i="3"/>
  <c r="E96" i="3"/>
  <c r="E88" i="3"/>
  <c r="E105" i="3"/>
  <c r="I22" i="3"/>
  <c r="E90" i="3"/>
  <c r="E109" i="3"/>
  <c r="O22" i="3"/>
  <c r="C23" i="6"/>
  <c r="C23" i="12"/>
  <c r="O24" i="3"/>
  <c r="O45" i="3"/>
  <c r="O31" i="3"/>
  <c r="O48" i="3"/>
  <c r="O51" i="3"/>
  <c r="O41" i="3"/>
  <c r="O46" i="3"/>
  <c r="O33" i="3"/>
  <c r="O38" i="3"/>
  <c r="O26" i="3"/>
  <c r="O43" i="3"/>
  <c r="O52" i="3"/>
  <c r="O39" i="3"/>
  <c r="O29" i="3"/>
  <c r="I24" i="3"/>
  <c r="I40" i="3"/>
  <c r="I31" i="3"/>
  <c r="I33" i="3"/>
  <c r="I52" i="3"/>
  <c r="I41" i="3"/>
  <c r="I45" i="3"/>
  <c r="I46" i="3"/>
  <c r="I48" i="3"/>
  <c r="I34" i="3"/>
  <c r="I39" i="3"/>
  <c r="I26" i="3"/>
  <c r="I43" i="3"/>
  <c r="I47" i="3"/>
  <c r="I49" i="3"/>
  <c r="I51" i="3"/>
  <c r="I38" i="3"/>
  <c r="I28" i="3"/>
  <c r="I29" i="3"/>
  <c r="C12" i="13"/>
  <c r="C4" i="12"/>
  <c r="C7" i="13"/>
  <c r="C32" i="13"/>
  <c r="C37" i="13"/>
  <c r="C35" i="13"/>
  <c r="C9" i="12"/>
  <c r="C18" i="13"/>
  <c r="C34" i="13"/>
  <c r="C25" i="13"/>
  <c r="C31" i="12"/>
  <c r="C32" i="12" s="1"/>
  <c r="K13" i="11"/>
  <c r="C15" i="13" s="1"/>
  <c r="C22" i="6"/>
  <c r="J9" i="5"/>
  <c r="C22" i="12"/>
  <c r="C25" i="12"/>
  <c r="C25" i="6"/>
  <c r="AD5" i="6" s="1"/>
  <c r="C20" i="12"/>
  <c r="C21" i="12" s="1"/>
  <c r="C20" i="6"/>
  <c r="C33" i="6"/>
  <c r="C33" i="12"/>
  <c r="C14" i="12"/>
  <c r="C15" i="12" s="1"/>
  <c r="C14" i="6"/>
  <c r="C15" i="6" s="1"/>
  <c r="C9" i="5"/>
  <c r="C16" i="12"/>
  <c r="F5" i="12" s="1"/>
  <c r="C16" i="6"/>
  <c r="C6" i="6"/>
  <c r="C6" i="12"/>
  <c r="C34" i="6"/>
  <c r="C34" i="12"/>
  <c r="K56" i="11"/>
  <c r="C46" i="13" s="1"/>
  <c r="C5" i="6"/>
  <c r="C4" i="5"/>
  <c r="K36" i="11"/>
  <c r="C26" i="13" s="1"/>
  <c r="C7" i="14"/>
  <c r="C4" i="6"/>
  <c r="C3" i="5"/>
  <c r="K12" i="11"/>
  <c r="C31" i="6"/>
  <c r="J7" i="5"/>
  <c r="J7" i="14" s="1"/>
  <c r="K46" i="11"/>
  <c r="J10" i="5"/>
  <c r="J10" i="14" s="1"/>
  <c r="K22" i="11"/>
  <c r="C9" i="6"/>
  <c r="J49" i="11"/>
  <c r="J30" i="11"/>
  <c r="J28" i="11"/>
  <c r="K8" i="11"/>
  <c r="K43" i="11"/>
  <c r="C33" i="13" s="1"/>
  <c r="F71" i="11"/>
  <c r="F70" i="11"/>
  <c r="F62" i="11"/>
  <c r="F41" i="11"/>
  <c r="AO4" i="6" s="1"/>
  <c r="AQ4" i="6" s="1"/>
  <c r="F64" i="11"/>
  <c r="K78" i="5" l="1"/>
  <c r="K72" i="5"/>
  <c r="K66" i="5"/>
  <c r="K60" i="5"/>
  <c r="K54" i="5"/>
  <c r="K48" i="5"/>
  <c r="K42" i="5"/>
  <c r="K36" i="5"/>
  <c r="K30" i="5"/>
  <c r="K24" i="5"/>
  <c r="K82" i="5"/>
  <c r="K77" i="5"/>
  <c r="K71" i="5"/>
  <c r="K65" i="5"/>
  <c r="K59" i="5"/>
  <c r="K53" i="5"/>
  <c r="K47" i="5"/>
  <c r="K41" i="5"/>
  <c r="K35" i="5"/>
  <c r="K29" i="5"/>
  <c r="K81" i="5"/>
  <c r="K75" i="5"/>
  <c r="K69" i="5"/>
  <c r="K63" i="5"/>
  <c r="K57" i="5"/>
  <c r="K51" i="5"/>
  <c r="K45" i="5"/>
  <c r="K39" i="5"/>
  <c r="K33" i="5"/>
  <c r="K27" i="5"/>
  <c r="K79" i="5"/>
  <c r="K67" i="5"/>
  <c r="K55" i="5"/>
  <c r="K43" i="5"/>
  <c r="K31" i="5"/>
  <c r="K76" i="5"/>
  <c r="K40" i="5"/>
  <c r="K28" i="5"/>
  <c r="K50" i="5"/>
  <c r="K61" i="5"/>
  <c r="K68" i="5"/>
  <c r="K52" i="5"/>
  <c r="K62" i="5"/>
  <c r="K25" i="5"/>
  <c r="K46" i="5"/>
  <c r="K64" i="5"/>
  <c r="K38" i="5"/>
  <c r="K73" i="5"/>
  <c r="K37" i="5"/>
  <c r="K34" i="5"/>
  <c r="K80" i="5"/>
  <c r="K44" i="5"/>
  <c r="K74" i="5"/>
  <c r="K26" i="5"/>
  <c r="K49" i="5"/>
  <c r="K58" i="5"/>
  <c r="K56" i="5"/>
  <c r="K70" i="5"/>
  <c r="K32" i="5"/>
  <c r="C773" i="3"/>
  <c r="C646" i="3"/>
  <c r="C756" i="3"/>
  <c r="C775" i="3"/>
  <c r="C648" i="3"/>
  <c r="C778" i="3"/>
  <c r="C670" i="3"/>
  <c r="C651" i="3"/>
  <c r="C780" i="3"/>
  <c r="C654" i="3"/>
  <c r="C637" i="3"/>
  <c r="C659" i="3"/>
  <c r="C703" i="3"/>
  <c r="C576" i="3"/>
  <c r="C786" i="3"/>
  <c r="C782" i="3"/>
  <c r="C656" i="3"/>
  <c r="C600" i="3"/>
  <c r="C655" i="3"/>
  <c r="C743" i="3"/>
  <c r="C790" i="3"/>
  <c r="C777" i="3"/>
  <c r="C662" i="3"/>
  <c r="C792" i="3"/>
  <c r="C553" i="3"/>
  <c r="C664" i="3"/>
  <c r="C554" i="3"/>
  <c r="C734" i="3"/>
  <c r="C667" i="3"/>
  <c r="C556" i="3"/>
  <c r="C686" i="3"/>
  <c r="C653" i="3"/>
  <c r="C771" i="3"/>
  <c r="C719" i="3"/>
  <c r="C592" i="3"/>
  <c r="C738" i="3"/>
  <c r="C612" i="3"/>
  <c r="C785" i="3"/>
  <c r="C704" i="3"/>
  <c r="C628" i="3"/>
  <c r="C598" i="3"/>
  <c r="C579" i="3"/>
  <c r="C741" i="3"/>
  <c r="C789" i="3"/>
  <c r="C601" i="3"/>
  <c r="C678" i="3"/>
  <c r="C551" i="3"/>
  <c r="C633" i="3"/>
  <c r="C680" i="3"/>
  <c r="C570" i="3"/>
  <c r="C641" i="3"/>
  <c r="C683" i="3"/>
  <c r="C572" i="3"/>
  <c r="C750" i="3"/>
  <c r="C669" i="3"/>
  <c r="C644" i="3"/>
  <c r="C735" i="3"/>
  <c r="C608" i="3"/>
  <c r="C723" i="3"/>
  <c r="C751" i="3"/>
  <c r="C640" i="3"/>
  <c r="C748" i="3"/>
  <c r="C565" i="3"/>
  <c r="C665" i="3"/>
  <c r="C694" i="3"/>
  <c r="C567" i="3"/>
  <c r="C681" i="3"/>
  <c r="C696" i="3"/>
  <c r="C586" i="3"/>
  <c r="C721" i="3"/>
  <c r="C699" i="3"/>
  <c r="C588" i="3"/>
  <c r="C625" i="3"/>
  <c r="C685" i="3"/>
  <c r="C624" i="3"/>
  <c r="C580" i="3"/>
  <c r="C581" i="3"/>
  <c r="C729" i="3"/>
  <c r="C710" i="3"/>
  <c r="C583" i="3"/>
  <c r="C745" i="3"/>
  <c r="C712" i="3"/>
  <c r="C602" i="3"/>
  <c r="C562" i="3"/>
  <c r="C715" i="3"/>
  <c r="C604" i="3"/>
  <c r="C737" i="3"/>
  <c r="C701" i="3"/>
  <c r="C558" i="3"/>
  <c r="C767" i="3"/>
  <c r="C605" i="3"/>
  <c r="C597" i="3"/>
  <c r="C626" i="3"/>
  <c r="C726" i="3"/>
  <c r="C599" i="3"/>
  <c r="C674" i="3"/>
  <c r="C728" i="3"/>
  <c r="C618" i="3"/>
  <c r="C770" i="3"/>
  <c r="C731" i="3"/>
  <c r="C620" i="3"/>
  <c r="C578" i="3"/>
  <c r="C717" i="3"/>
  <c r="C574" i="3"/>
  <c r="C561" i="3"/>
  <c r="C613" i="3"/>
  <c r="C787" i="3"/>
  <c r="C742" i="3"/>
  <c r="C615" i="3"/>
  <c r="C611" i="3"/>
  <c r="C744" i="3"/>
  <c r="C634" i="3"/>
  <c r="C675" i="3"/>
  <c r="C747" i="3"/>
  <c r="C636" i="3"/>
  <c r="C722" i="3"/>
  <c r="C733" i="3"/>
  <c r="C783" i="3"/>
  <c r="C593" i="3"/>
  <c r="C672" i="3"/>
  <c r="C689" i="3"/>
  <c r="C768" i="3"/>
  <c r="C754" i="3"/>
  <c r="C589" i="3"/>
  <c r="C616" i="3"/>
  <c r="C594" i="3"/>
  <c r="C629" i="3"/>
  <c r="C707" i="3"/>
  <c r="C758" i="3"/>
  <c r="C631" i="3"/>
  <c r="C755" i="3"/>
  <c r="C760" i="3"/>
  <c r="C650" i="3"/>
  <c r="C788" i="3"/>
  <c r="C622" i="3"/>
  <c r="C652" i="3"/>
  <c r="C627" i="3"/>
  <c r="C749" i="3"/>
  <c r="C559" i="3"/>
  <c r="C688" i="3"/>
  <c r="C639" i="3"/>
  <c r="C727" i="3"/>
  <c r="C705" i="3"/>
  <c r="C739" i="3"/>
  <c r="C577" i="3"/>
  <c r="C645" i="3"/>
  <c r="C660" i="3"/>
  <c r="C774" i="3"/>
  <c r="C647" i="3"/>
  <c r="C676" i="3"/>
  <c r="C569" i="3"/>
  <c r="C666" i="3"/>
  <c r="C740" i="3"/>
  <c r="C702" i="3"/>
  <c r="C668" i="3"/>
  <c r="C564" i="3"/>
  <c r="C765" i="3"/>
  <c r="C575" i="3"/>
  <c r="C753" i="3"/>
  <c r="C720" i="3"/>
  <c r="C725" i="3"/>
  <c r="C603" i="3"/>
  <c r="C643" i="3"/>
  <c r="C784" i="3"/>
  <c r="C661" i="3"/>
  <c r="C791" i="3"/>
  <c r="C585" i="3"/>
  <c r="C663" i="3"/>
  <c r="C776" i="3"/>
  <c r="C617" i="3"/>
  <c r="C682" i="3"/>
  <c r="C779" i="3"/>
  <c r="C766" i="3"/>
  <c r="C684" i="3"/>
  <c r="C724" i="3"/>
  <c r="C606" i="3"/>
  <c r="C591" i="3"/>
  <c r="C642" i="3"/>
  <c r="C595" i="3"/>
  <c r="C614" i="3"/>
  <c r="C671" i="3"/>
  <c r="C677" i="3"/>
  <c r="C550" i="3"/>
  <c r="C649" i="3"/>
  <c r="C679" i="3"/>
  <c r="C552" i="3"/>
  <c r="C697" i="3"/>
  <c r="C698" i="3"/>
  <c r="C555" i="3"/>
  <c r="C657" i="3"/>
  <c r="C700" i="3"/>
  <c r="C781" i="3"/>
  <c r="C638" i="3"/>
  <c r="C607" i="3"/>
  <c r="C563" i="3"/>
  <c r="C736" i="3"/>
  <c r="C746" i="3"/>
  <c r="C693" i="3"/>
  <c r="C566" i="3"/>
  <c r="C713" i="3"/>
  <c r="C695" i="3"/>
  <c r="C568" i="3"/>
  <c r="C761" i="3"/>
  <c r="C714" i="3"/>
  <c r="C571" i="3"/>
  <c r="C769" i="3"/>
  <c r="C716" i="3"/>
  <c r="C557" i="3"/>
  <c r="C718" i="3"/>
  <c r="C623" i="3"/>
  <c r="C691" i="3"/>
  <c r="C752" i="3"/>
  <c r="C772" i="3"/>
  <c r="C619" i="3"/>
  <c r="C709" i="3"/>
  <c r="C582" i="3"/>
  <c r="C610" i="3"/>
  <c r="C711" i="3"/>
  <c r="C584" i="3"/>
  <c r="C690" i="3"/>
  <c r="C730" i="3"/>
  <c r="C587" i="3"/>
  <c r="C658" i="3"/>
  <c r="C732" i="3"/>
  <c r="C573" i="3"/>
  <c r="C609" i="3"/>
  <c r="C762" i="3"/>
  <c r="C757" i="3"/>
  <c r="C630" i="3"/>
  <c r="C596" i="3"/>
  <c r="C759" i="3"/>
  <c r="C632" i="3"/>
  <c r="C692" i="3"/>
  <c r="C763" i="3"/>
  <c r="C635" i="3"/>
  <c r="C708" i="3"/>
  <c r="C590" i="3"/>
  <c r="C621" i="3"/>
  <c r="C706" i="3"/>
  <c r="C687" i="3"/>
  <c r="C560" i="3"/>
  <c r="C673" i="3"/>
  <c r="C764" i="3"/>
  <c r="Z6" i="13"/>
  <c r="E42" i="13"/>
  <c r="E106" i="3"/>
  <c r="E104" i="3"/>
  <c r="K23" i="5"/>
  <c r="C36" i="13"/>
  <c r="C24" i="6"/>
  <c r="C24" i="12"/>
  <c r="Q3" i="5"/>
  <c r="Q3" i="14" s="1"/>
  <c r="C3" i="14"/>
  <c r="Q4" i="5"/>
  <c r="Q4" i="14" s="1"/>
  <c r="C4" i="14"/>
  <c r="AD6" i="6"/>
  <c r="C14" i="13"/>
  <c r="C431" i="3"/>
  <c r="C306" i="3"/>
  <c r="C195" i="3"/>
  <c r="C451" i="3"/>
  <c r="C340" i="3"/>
  <c r="C229" i="3"/>
  <c r="C485" i="3"/>
  <c r="C374" i="3"/>
  <c r="C263" i="3"/>
  <c r="C519" i="3"/>
  <c r="C408" i="3"/>
  <c r="C297" i="3"/>
  <c r="C192" i="3"/>
  <c r="C442" i="3"/>
  <c r="C331" i="3"/>
  <c r="C236" i="3"/>
  <c r="C492" i="3"/>
  <c r="C397" i="3"/>
  <c r="C449" i="3"/>
  <c r="C222" i="3"/>
  <c r="C494" i="3"/>
  <c r="C337" i="3"/>
  <c r="C347" i="3"/>
  <c r="C508" i="3"/>
  <c r="C542" i="3"/>
  <c r="C304" i="3"/>
  <c r="C528" i="3"/>
  <c r="C430" i="3"/>
  <c r="C193" i="3"/>
  <c r="C240" i="3"/>
  <c r="C336" i="3"/>
  <c r="C342" i="3"/>
  <c r="C320" i="3"/>
  <c r="C247" i="3"/>
  <c r="C381" i="3"/>
  <c r="C447" i="3"/>
  <c r="C322" i="3"/>
  <c r="C211" i="3"/>
  <c r="C467" i="3"/>
  <c r="C356" i="3"/>
  <c r="C245" i="3"/>
  <c r="C501" i="3"/>
  <c r="C390" i="3"/>
  <c r="C279" i="3"/>
  <c r="C535" i="3"/>
  <c r="C424" i="3"/>
  <c r="C313" i="3"/>
  <c r="C202" i="3"/>
  <c r="C458" i="3"/>
  <c r="C252" i="3"/>
  <c r="C413" i="3"/>
  <c r="C207" i="3"/>
  <c r="C463" i="3"/>
  <c r="C338" i="3"/>
  <c r="C227" i="3"/>
  <c r="C483" i="3"/>
  <c r="C372" i="3"/>
  <c r="C261" i="3"/>
  <c r="C517" i="3"/>
  <c r="C406" i="3"/>
  <c r="C295" i="3"/>
  <c r="C440" i="3"/>
  <c r="C329" i="3"/>
  <c r="C218" i="3"/>
  <c r="C474" i="3"/>
  <c r="C363" i="3"/>
  <c r="C268" i="3"/>
  <c r="C524" i="3"/>
  <c r="C429" i="3"/>
  <c r="C385" i="3"/>
  <c r="C512" i="3"/>
  <c r="C209" i="3"/>
  <c r="C223" i="3"/>
  <c r="C479" i="3"/>
  <c r="C354" i="3"/>
  <c r="C243" i="3"/>
  <c r="C499" i="3"/>
  <c r="C388" i="3"/>
  <c r="C277" i="3"/>
  <c r="C533" i="3"/>
  <c r="C422" i="3"/>
  <c r="C311" i="3"/>
  <c r="C200" i="3"/>
  <c r="C456" i="3"/>
  <c r="C345" i="3"/>
  <c r="C234" i="3"/>
  <c r="C490" i="3"/>
  <c r="C379" i="3"/>
  <c r="C284" i="3"/>
  <c r="C540" i="3"/>
  <c r="C445" i="3"/>
  <c r="C288" i="3"/>
  <c r="C478" i="3"/>
  <c r="C321" i="3"/>
  <c r="C257" i="3"/>
  <c r="C399" i="3"/>
  <c r="C460" i="3"/>
  <c r="C213" i="3"/>
  <c r="C315" i="3"/>
  <c r="C239" i="3"/>
  <c r="C495" i="3"/>
  <c r="C370" i="3"/>
  <c r="C259" i="3"/>
  <c r="C515" i="3"/>
  <c r="C404" i="3"/>
  <c r="C293" i="3"/>
  <c r="C549" i="3"/>
  <c r="C438" i="3"/>
  <c r="C327" i="3"/>
  <c r="C216" i="3"/>
  <c r="C472" i="3"/>
  <c r="C361" i="3"/>
  <c r="C250" i="3"/>
  <c r="C506" i="3"/>
  <c r="C395" i="3"/>
  <c r="C300" i="3"/>
  <c r="C205" i="3"/>
  <c r="C461" i="3"/>
  <c r="C369" i="3"/>
  <c r="C224" i="3"/>
  <c r="C414" i="3"/>
  <c r="C350" i="3"/>
  <c r="C376" i="3"/>
  <c r="C286" i="3"/>
  <c r="C546" i="3"/>
  <c r="C465" i="3"/>
  <c r="C255" i="3"/>
  <c r="C511" i="3"/>
  <c r="C386" i="3"/>
  <c r="C275" i="3"/>
  <c r="C531" i="3"/>
  <c r="C420" i="3"/>
  <c r="C309" i="3"/>
  <c r="C198" i="3"/>
  <c r="C454" i="3"/>
  <c r="C343" i="3"/>
  <c r="C232" i="3"/>
  <c r="C488" i="3"/>
  <c r="C377" i="3"/>
  <c r="C266" i="3"/>
  <c r="C522" i="3"/>
  <c r="C411" i="3"/>
  <c r="C316" i="3"/>
  <c r="C221" i="3"/>
  <c r="C477" i="3"/>
  <c r="C462" i="3"/>
  <c r="C305" i="3"/>
  <c r="C496" i="3"/>
  <c r="C432" i="3"/>
  <c r="C353" i="3"/>
  <c r="C308" i="3"/>
  <c r="C392" i="3"/>
  <c r="C256" i="3"/>
  <c r="C271" i="3"/>
  <c r="C527" i="3"/>
  <c r="C402" i="3"/>
  <c r="C291" i="3"/>
  <c r="C547" i="3"/>
  <c r="C436" i="3"/>
  <c r="C325" i="3"/>
  <c r="C214" i="3"/>
  <c r="C470" i="3"/>
  <c r="C359" i="3"/>
  <c r="C248" i="3"/>
  <c r="C504" i="3"/>
  <c r="C393" i="3"/>
  <c r="C282" i="3"/>
  <c r="C538" i="3"/>
  <c r="C427" i="3"/>
  <c r="C332" i="3"/>
  <c r="C237" i="3"/>
  <c r="C493" i="3"/>
  <c r="C544" i="3"/>
  <c r="C398" i="3"/>
  <c r="C241" i="3"/>
  <c r="C513" i="3"/>
  <c r="C270" i="3"/>
  <c r="C417" i="3"/>
  <c r="C231" i="3"/>
  <c r="C204" i="3"/>
  <c r="C469" i="3"/>
  <c r="C368" i="3"/>
  <c r="C287" i="3"/>
  <c r="C543" i="3"/>
  <c r="C418" i="3"/>
  <c r="C307" i="3"/>
  <c r="C196" i="3"/>
  <c r="C452" i="3"/>
  <c r="C341" i="3"/>
  <c r="C230" i="3"/>
  <c r="C486" i="3"/>
  <c r="C375" i="3"/>
  <c r="C264" i="3"/>
  <c r="C520" i="3"/>
  <c r="C409" i="3"/>
  <c r="C298" i="3"/>
  <c r="C443" i="3"/>
  <c r="C348" i="3"/>
  <c r="C253" i="3"/>
  <c r="C509" i="3"/>
  <c r="C206" i="3"/>
  <c r="C480" i="3"/>
  <c r="C334" i="3"/>
  <c r="C272" i="3"/>
  <c r="C197" i="3"/>
  <c r="C303" i="3"/>
  <c r="C208" i="3"/>
  <c r="C434" i="3"/>
  <c r="C323" i="3"/>
  <c r="C212" i="3"/>
  <c r="C468" i="3"/>
  <c r="C357" i="3"/>
  <c r="C246" i="3"/>
  <c r="C502" i="3"/>
  <c r="C391" i="3"/>
  <c r="C280" i="3"/>
  <c r="C536" i="3"/>
  <c r="C425" i="3"/>
  <c r="C314" i="3"/>
  <c r="C203" i="3"/>
  <c r="C459" i="3"/>
  <c r="C364" i="3"/>
  <c r="C269" i="3"/>
  <c r="C525" i="3"/>
  <c r="C289" i="3"/>
  <c r="C225" i="3"/>
  <c r="C416" i="3"/>
  <c r="C352" i="3"/>
  <c r="C433" i="3"/>
  <c r="C254" i="3"/>
  <c r="C453" i="3"/>
  <c r="C510" i="3"/>
  <c r="C503" i="3"/>
  <c r="C476" i="3"/>
  <c r="C319" i="3"/>
  <c r="C194" i="3"/>
  <c r="C450" i="3"/>
  <c r="C339" i="3"/>
  <c r="C228" i="3"/>
  <c r="C484" i="3"/>
  <c r="C373" i="3"/>
  <c r="C262" i="3"/>
  <c r="C518" i="3"/>
  <c r="C407" i="3"/>
  <c r="C296" i="3"/>
  <c r="C441" i="3"/>
  <c r="C330" i="3"/>
  <c r="C219" i="3"/>
  <c r="C475" i="3"/>
  <c r="C380" i="3"/>
  <c r="C285" i="3"/>
  <c r="C541" i="3"/>
  <c r="C382" i="3"/>
  <c r="C318" i="3"/>
  <c r="C497" i="3"/>
  <c r="C530" i="3"/>
  <c r="C384" i="3"/>
  <c r="C358" i="3"/>
  <c r="C220" i="3"/>
  <c r="C335" i="3"/>
  <c r="C210" i="3"/>
  <c r="C466" i="3"/>
  <c r="C355" i="3"/>
  <c r="C244" i="3"/>
  <c r="C500" i="3"/>
  <c r="C389" i="3"/>
  <c r="C278" i="3"/>
  <c r="C534" i="3"/>
  <c r="C423" i="3"/>
  <c r="C312" i="3"/>
  <c r="C201" i="3"/>
  <c r="C457" i="3"/>
  <c r="C346" i="3"/>
  <c r="C235" i="3"/>
  <c r="C491" i="3"/>
  <c r="C396" i="3"/>
  <c r="C301" i="3"/>
  <c r="C273" i="3"/>
  <c r="C464" i="3"/>
  <c r="C400" i="3"/>
  <c r="C526" i="3"/>
  <c r="C419" i="3"/>
  <c r="C521" i="3"/>
  <c r="C435" i="3"/>
  <c r="C537" i="3"/>
  <c r="C351" i="3"/>
  <c r="C226" i="3"/>
  <c r="C482" i="3"/>
  <c r="C371" i="3"/>
  <c r="C260" i="3"/>
  <c r="C516" i="3"/>
  <c r="C405" i="3"/>
  <c r="C294" i="3"/>
  <c r="C439" i="3"/>
  <c r="C328" i="3"/>
  <c r="C217" i="3"/>
  <c r="C473" i="3"/>
  <c r="C362" i="3"/>
  <c r="C251" i="3"/>
  <c r="C507" i="3"/>
  <c r="C412" i="3"/>
  <c r="C317" i="3"/>
  <c r="C366" i="3"/>
  <c r="C545" i="3"/>
  <c r="C481" i="3"/>
  <c r="C274" i="3"/>
  <c r="C410" i="3"/>
  <c r="C324" i="3"/>
  <c r="C426" i="3"/>
  <c r="C367" i="3"/>
  <c r="C242" i="3"/>
  <c r="C498" i="3"/>
  <c r="C387" i="3"/>
  <c r="C276" i="3"/>
  <c r="C532" i="3"/>
  <c r="C421" i="3"/>
  <c r="C310" i="3"/>
  <c r="C199" i="3"/>
  <c r="C455" i="3"/>
  <c r="C344" i="3"/>
  <c r="C233" i="3"/>
  <c r="C489" i="3"/>
  <c r="C378" i="3"/>
  <c r="C267" i="3"/>
  <c r="C523" i="3"/>
  <c r="C428" i="3"/>
  <c r="C333" i="3"/>
  <c r="C448" i="3"/>
  <c r="C446" i="3"/>
  <c r="C265" i="3"/>
  <c r="C365" i="3"/>
  <c r="C290" i="3"/>
  <c r="C401" i="3"/>
  <c r="C383" i="3"/>
  <c r="C258" i="3"/>
  <c r="C514" i="3"/>
  <c r="C403" i="3"/>
  <c r="C292" i="3"/>
  <c r="C548" i="3"/>
  <c r="C437" i="3"/>
  <c r="C326" i="3"/>
  <c r="C215" i="3"/>
  <c r="C471" i="3"/>
  <c r="C360" i="3"/>
  <c r="C249" i="3"/>
  <c r="C505" i="3"/>
  <c r="C394" i="3"/>
  <c r="C283" i="3"/>
  <c r="C539" i="3"/>
  <c r="C444" i="3"/>
  <c r="C349" i="3"/>
  <c r="C529" i="3"/>
  <c r="C302" i="3"/>
  <c r="C238" i="3"/>
  <c r="C487" i="3"/>
  <c r="C299" i="3"/>
  <c r="C415" i="3"/>
  <c r="C281" i="3"/>
  <c r="C7" i="12"/>
  <c r="H4" i="12" s="1"/>
  <c r="C10" i="13"/>
  <c r="AI5" i="6"/>
  <c r="AG5" i="6"/>
  <c r="F5" i="6"/>
  <c r="F2" i="6"/>
  <c r="F6" i="12"/>
  <c r="G5" i="12"/>
  <c r="I5" i="12"/>
  <c r="BX8" i="13" s="1"/>
  <c r="X9" i="5"/>
  <c r="J9" i="14"/>
  <c r="I16" i="14" s="1"/>
  <c r="Q9" i="5"/>
  <c r="C9" i="14"/>
  <c r="X12" i="5"/>
  <c r="J12" i="14"/>
  <c r="F85" i="11"/>
  <c r="Q4" i="6"/>
  <c r="AD2" i="12"/>
  <c r="AD5" i="12"/>
  <c r="F2" i="12"/>
  <c r="C37" i="6"/>
  <c r="AN5" i="6" s="1"/>
  <c r="C37" i="12"/>
  <c r="AD2" i="6"/>
  <c r="K39" i="11"/>
  <c r="J11" i="5"/>
  <c r="X11" i="5"/>
  <c r="X11" i="14" s="1"/>
  <c r="K49" i="11"/>
  <c r="C39" i="13" s="1"/>
  <c r="C7" i="6"/>
  <c r="AF4" i="6" s="1"/>
  <c r="F87" i="11"/>
  <c r="K50" i="11"/>
  <c r="C40" i="13" s="1"/>
  <c r="F84" i="11"/>
  <c r="F40" i="11"/>
  <c r="F55" i="11" s="1"/>
  <c r="F56" i="11" s="1"/>
  <c r="K18" i="11" s="1"/>
  <c r="F79" i="11"/>
  <c r="K23" i="11" s="1"/>
  <c r="K23" i="14" l="1"/>
  <c r="Y77" i="5"/>
  <c r="Y71" i="5"/>
  <c r="Y65" i="5"/>
  <c r="Y59" i="5"/>
  <c r="Y53" i="5"/>
  <c r="Y47" i="5"/>
  <c r="Y41" i="5"/>
  <c r="Y35" i="5"/>
  <c r="Y29" i="5"/>
  <c r="Y70" i="5"/>
  <c r="Y58" i="5"/>
  <c r="Y46" i="5"/>
  <c r="Y34" i="5"/>
  <c r="Y28" i="5"/>
  <c r="Y82" i="5"/>
  <c r="Y76" i="5"/>
  <c r="Y64" i="5"/>
  <c r="Y52" i="5"/>
  <c r="Y40" i="5"/>
  <c r="Y80" i="5"/>
  <c r="Y74" i="5"/>
  <c r="Y68" i="5"/>
  <c r="Y62" i="5"/>
  <c r="Y56" i="5"/>
  <c r="Y50" i="5"/>
  <c r="Y44" i="5"/>
  <c r="Y38" i="5"/>
  <c r="Y32" i="5"/>
  <c r="Y26" i="5"/>
  <c r="Y30" i="5"/>
  <c r="Y51" i="5"/>
  <c r="Y73" i="5"/>
  <c r="Y49" i="5"/>
  <c r="Y25" i="5"/>
  <c r="Y60" i="5"/>
  <c r="Y57" i="5"/>
  <c r="Y78" i="5"/>
  <c r="Y66" i="5"/>
  <c r="Y54" i="5"/>
  <c r="Y42" i="5"/>
  <c r="Y39" i="5"/>
  <c r="Y37" i="5"/>
  <c r="Y36" i="5"/>
  <c r="Y79" i="5"/>
  <c r="Y43" i="5"/>
  <c r="Y63" i="5"/>
  <c r="Y27" i="5"/>
  <c r="Y72" i="5"/>
  <c r="Y45" i="5"/>
  <c r="Y33" i="5"/>
  <c r="Y55" i="5"/>
  <c r="Y31" i="5"/>
  <c r="Y75" i="5"/>
  <c r="Y61" i="5"/>
  <c r="Y48" i="5"/>
  <c r="Y81" i="5"/>
  <c r="Y24" i="5"/>
  <c r="Y69" i="5"/>
  <c r="Y67" i="5"/>
  <c r="K73" i="14"/>
  <c r="J73" i="14"/>
  <c r="L73" i="14"/>
  <c r="L71" i="14"/>
  <c r="J69" i="14"/>
  <c r="K64" i="14"/>
  <c r="L59" i="14"/>
  <c r="J57" i="14"/>
  <c r="K66" i="14"/>
  <c r="L68" i="14"/>
  <c r="L56" i="14"/>
  <c r="K68" i="14"/>
  <c r="L70" i="14"/>
  <c r="J56" i="14"/>
  <c r="J63" i="14"/>
  <c r="J58" i="14"/>
  <c r="K71" i="14"/>
  <c r="L66" i="14"/>
  <c r="J64" i="14"/>
  <c r="K59" i="14"/>
  <c r="L54" i="14"/>
  <c r="L61" i="14"/>
  <c r="K61" i="14"/>
  <c r="L63" i="14"/>
  <c r="K56" i="14"/>
  <c r="L58" i="14"/>
  <c r="K65" i="14"/>
  <c r="J53" i="14"/>
  <c r="K67" i="14"/>
  <c r="J62" i="14"/>
  <c r="K57" i="14"/>
  <c r="J71" i="14"/>
  <c r="J59" i="14"/>
  <c r="K54" i="14"/>
  <c r="J66" i="14"/>
  <c r="J54" i="14"/>
  <c r="J61" i="14"/>
  <c r="K63" i="14"/>
  <c r="L65" i="14"/>
  <c r="L72" i="14"/>
  <c r="J65" i="14"/>
  <c r="J67" i="14"/>
  <c r="K62" i="14"/>
  <c r="L57" i="14"/>
  <c r="K69" i="14"/>
  <c r="J68" i="14"/>
  <c r="K70" i="14"/>
  <c r="K58" i="14"/>
  <c r="K72" i="14"/>
  <c r="K60" i="14"/>
  <c r="L55" i="14"/>
  <c r="J72" i="14"/>
  <c r="L53" i="14"/>
  <c r="J70" i="14"/>
  <c r="L60" i="14"/>
  <c r="K53" i="14"/>
  <c r="L67" i="14"/>
  <c r="L62" i="14"/>
  <c r="J60" i="14"/>
  <c r="K55" i="14"/>
  <c r="L69" i="14"/>
  <c r="J55" i="14"/>
  <c r="L64" i="14"/>
  <c r="K27" i="14"/>
  <c r="K24" i="14"/>
  <c r="K26" i="14"/>
  <c r="K25" i="14"/>
  <c r="E73" i="14"/>
  <c r="E72" i="14"/>
  <c r="E71" i="14"/>
  <c r="E70" i="14"/>
  <c r="E69" i="14"/>
  <c r="E68" i="14"/>
  <c r="E67" i="14"/>
  <c r="E66" i="14"/>
  <c r="E65" i="14"/>
  <c r="E64" i="14"/>
  <c r="E63" i="14"/>
  <c r="E62" i="14"/>
  <c r="E61" i="14"/>
  <c r="E60" i="14"/>
  <c r="E59" i="14"/>
  <c r="E58" i="14"/>
  <c r="E57" i="14"/>
  <c r="E56" i="14"/>
  <c r="E55" i="14"/>
  <c r="E54" i="14"/>
  <c r="E53" i="14"/>
  <c r="D72" i="14"/>
  <c r="D71" i="14"/>
  <c r="D70" i="14"/>
  <c r="D69" i="14"/>
  <c r="D68" i="14"/>
  <c r="D67" i="14"/>
  <c r="D66" i="14"/>
  <c r="D65" i="14"/>
  <c r="D64" i="14"/>
  <c r="D63" i="14"/>
  <c r="D62" i="14"/>
  <c r="D61" i="14"/>
  <c r="D60" i="14"/>
  <c r="D59" i="14"/>
  <c r="D58" i="14"/>
  <c r="D57" i="14"/>
  <c r="D56" i="14"/>
  <c r="D55" i="14"/>
  <c r="D54" i="14"/>
  <c r="D53" i="14"/>
  <c r="D73" i="14"/>
  <c r="C73" i="14"/>
  <c r="C72" i="14"/>
  <c r="C71" i="14"/>
  <c r="C70" i="14"/>
  <c r="C69" i="14"/>
  <c r="C68" i="14"/>
  <c r="C67" i="14"/>
  <c r="C66" i="14"/>
  <c r="C65" i="14"/>
  <c r="C64" i="14"/>
  <c r="C63" i="14"/>
  <c r="C62" i="14"/>
  <c r="C61" i="14"/>
  <c r="C60" i="14"/>
  <c r="C59" i="14"/>
  <c r="C58" i="14"/>
  <c r="C57" i="14"/>
  <c r="C56" i="14"/>
  <c r="C55" i="14"/>
  <c r="C54" i="14"/>
  <c r="C53" i="14"/>
  <c r="I5" i="6"/>
  <c r="P5" i="6"/>
  <c r="C181" i="3"/>
  <c r="E182" i="3"/>
  <c r="D182" i="3" s="1"/>
  <c r="F185" i="3"/>
  <c r="F182" i="3"/>
  <c r="E181" i="3"/>
  <c r="D181" i="3" s="1"/>
  <c r="E184" i="3"/>
  <c r="D184" i="3" s="1"/>
  <c r="F186" i="3"/>
  <c r="F181" i="3"/>
  <c r="F184" i="3"/>
  <c r="C186" i="3"/>
  <c r="E183" i="3"/>
  <c r="D183" i="3" s="1"/>
  <c r="C183" i="3"/>
  <c r="E186" i="3"/>
  <c r="D186" i="3" s="1"/>
  <c r="C182" i="3"/>
  <c r="F183" i="3"/>
  <c r="C185" i="3"/>
  <c r="E185" i="3"/>
  <c r="D185" i="3" s="1"/>
  <c r="C184" i="3"/>
  <c r="X12" i="14"/>
  <c r="AI6" i="6"/>
  <c r="AN6" i="6"/>
  <c r="I6" i="12"/>
  <c r="C130" i="3"/>
  <c r="D130" i="3"/>
  <c r="H130" i="3"/>
  <c r="I130" i="3"/>
  <c r="J130" i="3"/>
  <c r="K130" i="3"/>
  <c r="L71" i="3"/>
  <c r="G54" i="3"/>
  <c r="H57" i="3"/>
  <c r="H61" i="3"/>
  <c r="H64" i="3"/>
  <c r="G68" i="3"/>
  <c r="M73" i="3"/>
  <c r="L64" i="3"/>
  <c r="L56" i="3"/>
  <c r="H54" i="3"/>
  <c r="G58" i="3"/>
  <c r="G62" i="3"/>
  <c r="G65" i="3"/>
  <c r="H68" i="3"/>
  <c r="L72" i="3"/>
  <c r="L65" i="3"/>
  <c r="L57" i="3"/>
  <c r="G55" i="3"/>
  <c r="H58" i="3"/>
  <c r="H62" i="3"/>
  <c r="H65" i="3"/>
  <c r="G69" i="3"/>
  <c r="L66" i="3"/>
  <c r="L58" i="3"/>
  <c r="H55" i="3"/>
  <c r="G59" i="3"/>
  <c r="H69" i="3"/>
  <c r="L67" i="3"/>
  <c r="L59" i="3"/>
  <c r="G73" i="3"/>
  <c r="H59" i="3"/>
  <c r="G63" i="3"/>
  <c r="G66" i="3"/>
  <c r="G70" i="3"/>
  <c r="L68" i="3"/>
  <c r="L60" i="3"/>
  <c r="H73" i="3"/>
  <c r="G56" i="3"/>
  <c r="H63" i="3"/>
  <c r="H66" i="3"/>
  <c r="H70" i="3"/>
  <c r="L69" i="3"/>
  <c r="L61" i="3"/>
  <c r="G53" i="3"/>
  <c r="H56" i="3"/>
  <c r="G71" i="3"/>
  <c r="L70" i="3"/>
  <c r="L62" i="3"/>
  <c r="L54" i="3"/>
  <c r="L73" i="3"/>
  <c r="H53" i="3"/>
  <c r="G57" i="3"/>
  <c r="G61" i="3"/>
  <c r="G64" i="3"/>
  <c r="H71" i="3"/>
  <c r="L63" i="3"/>
  <c r="L55" i="3"/>
  <c r="M70" i="3"/>
  <c r="M62" i="3"/>
  <c r="M54" i="3"/>
  <c r="M67" i="3"/>
  <c r="M59" i="3"/>
  <c r="M64" i="3"/>
  <c r="M56" i="3"/>
  <c r="M65" i="3"/>
  <c r="M69" i="3"/>
  <c r="M61" i="3"/>
  <c r="M66" i="3"/>
  <c r="M58" i="3"/>
  <c r="M71" i="3"/>
  <c r="M63" i="3"/>
  <c r="M55" i="3"/>
  <c r="M57" i="3"/>
  <c r="M72" i="3"/>
  <c r="M68" i="3"/>
  <c r="M60" i="3"/>
  <c r="K79" i="3"/>
  <c r="J79" i="3"/>
  <c r="C79" i="3"/>
  <c r="C20" i="13"/>
  <c r="H194" i="3"/>
  <c r="Z10" i="13" s="1"/>
  <c r="C22" i="3"/>
  <c r="L22" i="3"/>
  <c r="E22" i="3"/>
  <c r="D22" i="3"/>
  <c r="M22" i="3"/>
  <c r="Y23" i="5"/>
  <c r="AL6" i="6"/>
  <c r="AG6" i="6"/>
  <c r="AH6" i="6" s="1"/>
  <c r="J11" i="14"/>
  <c r="K5" i="6"/>
  <c r="AF4" i="12"/>
  <c r="D79" i="3" s="1"/>
  <c r="I15" i="14"/>
  <c r="G24" i="3"/>
  <c r="H39" i="3"/>
  <c r="H29" i="3"/>
  <c r="G43" i="3"/>
  <c r="G41" i="3"/>
  <c r="H31" i="3"/>
  <c r="G35" i="3"/>
  <c r="G33" i="3"/>
  <c r="G27" i="3"/>
  <c r="G25" i="3"/>
  <c r="G39" i="3"/>
  <c r="G37" i="3"/>
  <c r="H48" i="3"/>
  <c r="H37" i="3"/>
  <c r="G31" i="3"/>
  <c r="G29" i="3"/>
  <c r="H40" i="3"/>
  <c r="G23" i="3"/>
  <c r="H44" i="3"/>
  <c r="H34" i="3"/>
  <c r="H32" i="3"/>
  <c r="H46" i="3"/>
  <c r="H36" i="3"/>
  <c r="H26" i="3"/>
  <c r="H24" i="3"/>
  <c r="H38" i="3"/>
  <c r="H28" i="3"/>
  <c r="G48" i="3"/>
  <c r="H30" i="3"/>
  <c r="G44" i="3"/>
  <c r="G40" i="3"/>
  <c r="H23" i="3"/>
  <c r="G36" i="3"/>
  <c r="G34" i="3"/>
  <c r="G32" i="3"/>
  <c r="G46" i="3"/>
  <c r="G28" i="3"/>
  <c r="G26" i="3"/>
  <c r="G49" i="3"/>
  <c r="G38" i="3"/>
  <c r="H51" i="3"/>
  <c r="H49" i="3"/>
  <c r="G30" i="3"/>
  <c r="H43" i="3"/>
  <c r="H41" i="3"/>
  <c r="H35" i="3"/>
  <c r="H33" i="3"/>
  <c r="H27" i="3"/>
  <c r="H25" i="3"/>
  <c r="G51" i="3"/>
  <c r="X9" i="14"/>
  <c r="W16" i="14" s="1"/>
  <c r="AD7" i="6"/>
  <c r="AN7" i="6" s="1"/>
  <c r="AL5" i="6"/>
  <c r="AH5" i="6"/>
  <c r="Q9" i="14"/>
  <c r="G6" i="12"/>
  <c r="F7" i="12"/>
  <c r="F6" i="6"/>
  <c r="P6" i="6" s="1"/>
  <c r="J5" i="6"/>
  <c r="K24" i="11"/>
  <c r="K25" i="11" s="1"/>
  <c r="K26" i="11" s="1"/>
  <c r="C29" i="13"/>
  <c r="H4" i="6"/>
  <c r="F95" i="11"/>
  <c r="K19" i="11" s="1"/>
  <c r="AE5" i="12"/>
  <c r="AF5" i="12" s="1"/>
  <c r="AD6" i="12"/>
  <c r="AG5" i="12"/>
  <c r="C136" i="3" s="1"/>
  <c r="S4" i="6"/>
  <c r="Q4" i="12"/>
  <c r="S4" i="12" s="1"/>
  <c r="C28" i="12"/>
  <c r="C28" i="6"/>
  <c r="C27" i="12"/>
  <c r="C27" i="6"/>
  <c r="C10" i="6"/>
  <c r="C10" i="12"/>
  <c r="K27" i="11"/>
  <c r="K29" i="11" s="1"/>
  <c r="K31" i="11" s="1"/>
  <c r="K28" i="11"/>
  <c r="K30" i="11" s="1"/>
  <c r="D79" i="11"/>
  <c r="S73" i="14" l="1"/>
  <c r="S72" i="14"/>
  <c r="S71" i="14"/>
  <c r="S70" i="14"/>
  <c r="S69" i="14"/>
  <c r="S68" i="14"/>
  <c r="S67" i="14"/>
  <c r="S66" i="14"/>
  <c r="S65" i="14"/>
  <c r="S64" i="14"/>
  <c r="S63" i="14"/>
  <c r="S62" i="14"/>
  <c r="S61" i="14"/>
  <c r="S60" i="14"/>
  <c r="S59" i="14"/>
  <c r="S58" i="14"/>
  <c r="S57" i="14"/>
  <c r="S56" i="14"/>
  <c r="S55" i="14"/>
  <c r="S54" i="14"/>
  <c r="S53" i="14"/>
  <c r="R72" i="14"/>
  <c r="R71" i="14"/>
  <c r="R70" i="14"/>
  <c r="R69" i="14"/>
  <c r="R68" i="14"/>
  <c r="R67" i="14"/>
  <c r="R66" i="14"/>
  <c r="R65" i="14"/>
  <c r="R64" i="14"/>
  <c r="R63" i="14"/>
  <c r="R62" i="14"/>
  <c r="R61" i="14"/>
  <c r="R60" i="14"/>
  <c r="R59" i="14"/>
  <c r="R58" i="14"/>
  <c r="R57" i="14"/>
  <c r="R56" i="14"/>
  <c r="R55" i="14"/>
  <c r="R54" i="14"/>
  <c r="R53" i="14"/>
  <c r="R73" i="14"/>
  <c r="Q73" i="14"/>
  <c r="Q66" i="14"/>
  <c r="Q54" i="14"/>
  <c r="Q63" i="14"/>
  <c r="Q58" i="14"/>
  <c r="Q65" i="14"/>
  <c r="Q72" i="14"/>
  <c r="Q67" i="14"/>
  <c r="Q61" i="14"/>
  <c r="Q55" i="14"/>
  <c r="Q62" i="14"/>
  <c r="Q68" i="14"/>
  <c r="Q56" i="14"/>
  <c r="Q60" i="14"/>
  <c r="Q64" i="14"/>
  <c r="Q59" i="14"/>
  <c r="Q53" i="14"/>
  <c r="Q71" i="14"/>
  <c r="Q70" i="14"/>
  <c r="Q69" i="14"/>
  <c r="Q57" i="14"/>
  <c r="Y72" i="14"/>
  <c r="Y71" i="14"/>
  <c r="Y70" i="14"/>
  <c r="Y69" i="14"/>
  <c r="Y68" i="14"/>
  <c r="Y67" i="14"/>
  <c r="Y66" i="14"/>
  <c r="Y65" i="14"/>
  <c r="Y64" i="14"/>
  <c r="Y63" i="14"/>
  <c r="Y62" i="14"/>
  <c r="Y61" i="14"/>
  <c r="Y60" i="14"/>
  <c r="Y58" i="14"/>
  <c r="Y57" i="14"/>
  <c r="Y56" i="14"/>
  <c r="Y55" i="14"/>
  <c r="Y54" i="14"/>
  <c r="Y53" i="14"/>
  <c r="Y59" i="14"/>
  <c r="Z72" i="14"/>
  <c r="Z71" i="14"/>
  <c r="Z70" i="14"/>
  <c r="Z69" i="14"/>
  <c r="Z68" i="14"/>
  <c r="Z67" i="14"/>
  <c r="Z66" i="14"/>
  <c r="Z65" i="14"/>
  <c r="Z64" i="14"/>
  <c r="Z63" i="14"/>
  <c r="Z62" i="14"/>
  <c r="Z61" i="14"/>
  <c r="Z60" i="14"/>
  <c r="Z59" i="14"/>
  <c r="Z58" i="14"/>
  <c r="Z57" i="14"/>
  <c r="Z56" i="14"/>
  <c r="Z55" i="14"/>
  <c r="Z54" i="14"/>
  <c r="Z53" i="14"/>
  <c r="Z73" i="14"/>
  <c r="Y73" i="14"/>
  <c r="X73" i="14"/>
  <c r="X61" i="14"/>
  <c r="X58" i="14"/>
  <c r="X69" i="14"/>
  <c r="X59" i="14"/>
  <c r="X66" i="14"/>
  <c r="X68" i="14"/>
  <c r="X56" i="14"/>
  <c r="X70" i="14"/>
  <c r="X67" i="14"/>
  <c r="X63" i="14"/>
  <c r="X65" i="14"/>
  <c r="X53" i="14"/>
  <c r="X55" i="14"/>
  <c r="X62" i="14"/>
  <c r="X71" i="14"/>
  <c r="X72" i="14"/>
  <c r="X60" i="14"/>
  <c r="X54" i="14"/>
  <c r="X57" i="14"/>
  <c r="X64" i="14"/>
  <c r="Y24" i="14"/>
  <c r="Y26" i="14"/>
  <c r="Y25" i="14"/>
  <c r="Y27" i="14"/>
  <c r="Y23" i="14"/>
  <c r="AJ6" i="6"/>
  <c r="AJ5" i="6"/>
  <c r="N72" i="3"/>
  <c r="N73" i="3"/>
  <c r="N58" i="3"/>
  <c r="N66" i="3"/>
  <c r="N64" i="3"/>
  <c r="N60" i="3"/>
  <c r="N70" i="3"/>
  <c r="N59" i="3"/>
  <c r="N63" i="3"/>
  <c r="N57" i="3"/>
  <c r="N56" i="3"/>
  <c r="N65" i="3"/>
  <c r="N71" i="3"/>
  <c r="N54" i="3"/>
  <c r="N69" i="3"/>
  <c r="N55" i="3"/>
  <c r="N62" i="3"/>
  <c r="N61" i="3"/>
  <c r="N68" i="3"/>
  <c r="N67" i="3"/>
  <c r="C80" i="3"/>
  <c r="N22" i="3"/>
  <c r="L5" i="6"/>
  <c r="W15" i="14"/>
  <c r="AD8" i="6"/>
  <c r="AL7" i="6"/>
  <c r="AG7" i="6"/>
  <c r="AH7" i="6" s="1"/>
  <c r="AI7" i="6"/>
  <c r="AT4" i="6"/>
  <c r="V4" i="6"/>
  <c r="G7" i="12"/>
  <c r="F8" i="12"/>
  <c r="I7" i="12"/>
  <c r="F7" i="6"/>
  <c r="P7" i="6" s="1"/>
  <c r="I6" i="6"/>
  <c r="J6" i="6" s="1"/>
  <c r="K6" i="6"/>
  <c r="C11" i="6"/>
  <c r="C21" i="13"/>
  <c r="L4" i="6"/>
  <c r="C11" i="12"/>
  <c r="AE6" i="12"/>
  <c r="AF6" i="12" s="1"/>
  <c r="AD7" i="12"/>
  <c r="AG6" i="12"/>
  <c r="C137" i="3" s="1"/>
  <c r="AJ4" i="6"/>
  <c r="AP4" i="6" s="1"/>
  <c r="AR4" i="6" s="1"/>
  <c r="L4" i="12"/>
  <c r="AJ4" i="12"/>
  <c r="AP4" i="12" s="1"/>
  <c r="AR4" i="12" s="1"/>
  <c r="AN8" i="6" l="1"/>
  <c r="C81" i="3"/>
  <c r="R4" i="12"/>
  <c r="T4" i="12" s="1"/>
  <c r="AJ7" i="6"/>
  <c r="AD9" i="6"/>
  <c r="AN9" i="6" s="1"/>
  <c r="AL8" i="6"/>
  <c r="AG8" i="6"/>
  <c r="AH8" i="6" s="1"/>
  <c r="AI8" i="6"/>
  <c r="L6" i="6"/>
  <c r="F8" i="6"/>
  <c r="P8" i="6" s="1"/>
  <c r="K7" i="6"/>
  <c r="I7" i="6"/>
  <c r="J7" i="6" s="1"/>
  <c r="G8" i="12"/>
  <c r="F9" i="12"/>
  <c r="I8" i="12"/>
  <c r="AD8" i="12"/>
  <c r="AE7" i="12"/>
  <c r="AF7" i="12" s="1"/>
  <c r="AG7" i="12"/>
  <c r="C138" i="3" s="1"/>
  <c r="C82" i="3" l="1"/>
  <c r="AJ8" i="6"/>
  <c r="AD10" i="6"/>
  <c r="AL9" i="6"/>
  <c r="AI9" i="6"/>
  <c r="AG9" i="6"/>
  <c r="AH9" i="6" s="1"/>
  <c r="L7" i="6"/>
  <c r="G9" i="12"/>
  <c r="F10" i="12"/>
  <c r="I9" i="12"/>
  <c r="CR8" i="13" s="1"/>
  <c r="F9" i="6"/>
  <c r="P9" i="6" s="1"/>
  <c r="I8" i="6"/>
  <c r="J8" i="6" s="1"/>
  <c r="K8" i="6"/>
  <c r="AG8" i="12"/>
  <c r="C139" i="3" s="1"/>
  <c r="AD9" i="12"/>
  <c r="AE8" i="12"/>
  <c r="C83" i="3" s="1"/>
  <c r="AN10" i="6" l="1"/>
  <c r="AJ9" i="6"/>
  <c r="AD11" i="6"/>
  <c r="AL10" i="6"/>
  <c r="AI10" i="6"/>
  <c r="AG10" i="6"/>
  <c r="AH10" i="6" s="1"/>
  <c r="F11" i="12"/>
  <c r="I10" i="12"/>
  <c r="G10" i="12"/>
  <c r="L8" i="6"/>
  <c r="F10" i="6"/>
  <c r="P10" i="6" s="1"/>
  <c r="I9" i="6"/>
  <c r="J9" i="6" s="1"/>
  <c r="K9" i="6"/>
  <c r="AE9" i="12"/>
  <c r="C84" i="3" s="1"/>
  <c r="AG9" i="12"/>
  <c r="C140" i="3" s="1"/>
  <c r="AD10" i="12"/>
  <c r="AN11" i="6" l="1"/>
  <c r="AJ10" i="6"/>
  <c r="AD12" i="6"/>
  <c r="AN12" i="6" s="1"/>
  <c r="AL11" i="6"/>
  <c r="AI11" i="6"/>
  <c r="AG11" i="6"/>
  <c r="AH11" i="6" s="1"/>
  <c r="I10" i="6"/>
  <c r="J10" i="6" s="1"/>
  <c r="F11" i="6"/>
  <c r="P11" i="6" s="1"/>
  <c r="K10" i="6"/>
  <c r="L9" i="6"/>
  <c r="I11" i="12"/>
  <c r="F12" i="12"/>
  <c r="G11" i="12"/>
  <c r="AE10" i="12"/>
  <c r="C85" i="3" s="1"/>
  <c r="AD11" i="12"/>
  <c r="AG10" i="12"/>
  <c r="C141" i="3" s="1"/>
  <c r="AJ11" i="6" l="1"/>
  <c r="AD13" i="6"/>
  <c r="AL12" i="6"/>
  <c r="AI12" i="6"/>
  <c r="AG12" i="6"/>
  <c r="AH12" i="6" s="1"/>
  <c r="F13" i="12"/>
  <c r="I12" i="12"/>
  <c r="G12" i="12"/>
  <c r="F12" i="6"/>
  <c r="P12" i="6" s="1"/>
  <c r="K11" i="6"/>
  <c r="I11" i="6"/>
  <c r="J11" i="6" s="1"/>
  <c r="L10" i="6"/>
  <c r="AE11" i="12"/>
  <c r="C86" i="3" s="1"/>
  <c r="AG11" i="12"/>
  <c r="C142" i="3" s="1"/>
  <c r="AD12" i="12"/>
  <c r="AN13" i="6" l="1"/>
  <c r="AJ12" i="6"/>
  <c r="AD14" i="6"/>
  <c r="AL13" i="6"/>
  <c r="AI13" i="6"/>
  <c r="AG13" i="6"/>
  <c r="AH13" i="6" s="1"/>
  <c r="L11" i="6"/>
  <c r="K12" i="6"/>
  <c r="I12" i="6"/>
  <c r="J12" i="6" s="1"/>
  <c r="F13" i="6"/>
  <c r="P13" i="6" s="1"/>
  <c r="I13" i="12"/>
  <c r="F14" i="12"/>
  <c r="G13" i="12"/>
  <c r="AE12" i="12"/>
  <c r="C87" i="3" s="1"/>
  <c r="AD13" i="12"/>
  <c r="AG12" i="12"/>
  <c r="C143" i="3" s="1"/>
  <c r="AN14" i="6" l="1"/>
  <c r="AJ13" i="6"/>
  <c r="AD15" i="6"/>
  <c r="AL14" i="6"/>
  <c r="AI14" i="6"/>
  <c r="AG14" i="6"/>
  <c r="AH14" i="6" s="1"/>
  <c r="L12" i="6"/>
  <c r="K13" i="6"/>
  <c r="I13" i="6"/>
  <c r="J13" i="6" s="1"/>
  <c r="F14" i="6"/>
  <c r="P14" i="6" s="1"/>
  <c r="I14" i="12"/>
  <c r="F15" i="12"/>
  <c r="G14" i="12"/>
  <c r="AE13" i="12"/>
  <c r="C88" i="3" s="1"/>
  <c r="AD14" i="12"/>
  <c r="AG13" i="12"/>
  <c r="C144" i="3" s="1"/>
  <c r="AN15" i="6" l="1"/>
  <c r="AJ14" i="6"/>
  <c r="AD16" i="6"/>
  <c r="AL15" i="6"/>
  <c r="AI15" i="6"/>
  <c r="AG15" i="6"/>
  <c r="AH15" i="6" s="1"/>
  <c r="L13" i="6"/>
  <c r="F16" i="12"/>
  <c r="I15" i="12"/>
  <c r="G15" i="12"/>
  <c r="I14" i="6"/>
  <c r="J14" i="6" s="1"/>
  <c r="K14" i="6"/>
  <c r="F15" i="6"/>
  <c r="P15" i="6" s="1"/>
  <c r="AD15" i="12"/>
  <c r="AG14" i="12"/>
  <c r="C145" i="3" s="1"/>
  <c r="AE14" i="12"/>
  <c r="C89" i="3" s="1"/>
  <c r="AN16" i="6" l="1"/>
  <c r="AJ15" i="6"/>
  <c r="AD17" i="6"/>
  <c r="AL16" i="6"/>
  <c r="AI16" i="6"/>
  <c r="AG16" i="6"/>
  <c r="AH16" i="6" s="1"/>
  <c r="L14" i="6"/>
  <c r="F16" i="6"/>
  <c r="P16" i="6" s="1"/>
  <c r="K15" i="6"/>
  <c r="I15" i="6"/>
  <c r="J15" i="6" s="1"/>
  <c r="F17" i="12"/>
  <c r="I16" i="12"/>
  <c r="G16" i="12"/>
  <c r="AD16" i="12"/>
  <c r="AG15" i="12"/>
  <c r="C146" i="3" s="1"/>
  <c r="AE15" i="12"/>
  <c r="C90" i="3" s="1"/>
  <c r="AN17" i="6" l="1"/>
  <c r="AJ16" i="6"/>
  <c r="AD18" i="6"/>
  <c r="AL17" i="6"/>
  <c r="AI17" i="6"/>
  <c r="AG17" i="6"/>
  <c r="AH17" i="6" s="1"/>
  <c r="L15" i="6"/>
  <c r="G17" i="12"/>
  <c r="F18" i="12"/>
  <c r="I17" i="12"/>
  <c r="F17" i="6"/>
  <c r="P17" i="6" s="1"/>
  <c r="K16" i="6"/>
  <c r="I16" i="6"/>
  <c r="J16" i="6" s="1"/>
  <c r="AD17" i="12"/>
  <c r="AE16" i="12"/>
  <c r="C91" i="3" s="1"/>
  <c r="AG16" i="12"/>
  <c r="C147" i="3" s="1"/>
  <c r="AN18" i="6" l="1"/>
  <c r="AE17" i="12"/>
  <c r="C92" i="3" s="1"/>
  <c r="AJ17" i="6"/>
  <c r="AD19" i="6"/>
  <c r="AL18" i="6"/>
  <c r="AI18" i="6"/>
  <c r="AG18" i="6"/>
  <c r="AH18" i="6" s="1"/>
  <c r="F18" i="6"/>
  <c r="P18" i="6" s="1"/>
  <c r="K17" i="6"/>
  <c r="I17" i="6"/>
  <c r="J17" i="6" s="1"/>
  <c r="L16" i="6"/>
  <c r="I18" i="12"/>
  <c r="F19" i="12"/>
  <c r="G18" i="12"/>
  <c r="AD18" i="12"/>
  <c r="AG17" i="12"/>
  <c r="C148" i="3" s="1"/>
  <c r="AN19" i="6" l="1"/>
  <c r="AJ18" i="6"/>
  <c r="AD20" i="6"/>
  <c r="AL19" i="6"/>
  <c r="AI19" i="6"/>
  <c r="AG19" i="6"/>
  <c r="AH19" i="6" s="1"/>
  <c r="L17" i="6"/>
  <c r="I19" i="12"/>
  <c r="F20" i="12"/>
  <c r="G19" i="12"/>
  <c r="K18" i="6"/>
  <c r="F19" i="6"/>
  <c r="P19" i="6" s="1"/>
  <c r="I18" i="6"/>
  <c r="J18" i="6" s="1"/>
  <c r="AD19" i="12"/>
  <c r="AE18" i="12"/>
  <c r="C93" i="3" s="1"/>
  <c r="AG18" i="12"/>
  <c r="C149" i="3" s="1"/>
  <c r="AN20" i="6" l="1"/>
  <c r="AJ19" i="6"/>
  <c r="AD21" i="6"/>
  <c r="AN21" i="6" s="1"/>
  <c r="AL20" i="6"/>
  <c r="AG20" i="6"/>
  <c r="AH20" i="6" s="1"/>
  <c r="AI20" i="6"/>
  <c r="L18" i="6"/>
  <c r="K19" i="6"/>
  <c r="F20" i="6"/>
  <c r="P20" i="6" s="1"/>
  <c r="I19" i="6"/>
  <c r="J19" i="6" s="1"/>
  <c r="F21" i="12"/>
  <c r="G20" i="12"/>
  <c r="I20" i="12"/>
  <c r="AE19" i="12"/>
  <c r="C94" i="3" s="1"/>
  <c r="AD20" i="12"/>
  <c r="AG19" i="12"/>
  <c r="C150" i="3" s="1"/>
  <c r="AD22" i="6" l="1"/>
  <c r="AL21" i="6"/>
  <c r="AG21" i="6"/>
  <c r="AH21" i="6" s="1"/>
  <c r="AI21" i="6"/>
  <c r="AJ20" i="6"/>
  <c r="L19" i="6"/>
  <c r="F22" i="12"/>
  <c r="I21" i="12"/>
  <c r="G21" i="12"/>
  <c r="F21" i="6"/>
  <c r="P21" i="6" s="1"/>
  <c r="I20" i="6"/>
  <c r="J20" i="6" s="1"/>
  <c r="K20" i="6"/>
  <c r="AG20" i="12"/>
  <c r="C151" i="3" s="1"/>
  <c r="AE20" i="12"/>
  <c r="C95" i="3" s="1"/>
  <c r="AD21" i="12"/>
  <c r="AN22" i="6" l="1"/>
  <c r="E94" i="3"/>
  <c r="AJ21" i="6"/>
  <c r="AD23" i="6"/>
  <c r="AL22" i="6"/>
  <c r="AI22" i="6"/>
  <c r="AG22" i="6"/>
  <c r="AH22" i="6" s="1"/>
  <c r="L20" i="6"/>
  <c r="F22" i="6"/>
  <c r="P22" i="6" s="1"/>
  <c r="I21" i="6"/>
  <c r="J21" i="6" s="1"/>
  <c r="K21" i="6"/>
  <c r="G22" i="12"/>
  <c r="I22" i="12"/>
  <c r="F23" i="12"/>
  <c r="AG21" i="12"/>
  <c r="C152" i="3" s="1"/>
  <c r="AE21" i="12"/>
  <c r="C96" i="3" s="1"/>
  <c r="AD22" i="12"/>
  <c r="AN23" i="6" l="1"/>
  <c r="AJ22" i="6"/>
  <c r="AD24" i="6"/>
  <c r="AL23" i="6"/>
  <c r="AG23" i="6"/>
  <c r="AH23" i="6" s="1"/>
  <c r="AI23" i="6"/>
  <c r="L21" i="6"/>
  <c r="I22" i="6"/>
  <c r="J22" i="6" s="1"/>
  <c r="F23" i="6"/>
  <c r="P23" i="6" s="1"/>
  <c r="K22" i="6"/>
  <c r="F24" i="12"/>
  <c r="G23" i="12"/>
  <c r="I23" i="12"/>
  <c r="AD23" i="12"/>
  <c r="AG22" i="12"/>
  <c r="C153" i="3" s="1"/>
  <c r="AE22" i="12"/>
  <c r="C97" i="3" s="1"/>
  <c r="C32" i="6"/>
  <c r="C21" i="6"/>
  <c r="J4" i="5"/>
  <c r="J3" i="5"/>
  <c r="W16" i="5"/>
  <c r="I16" i="5"/>
  <c r="W15" i="5"/>
  <c r="I15" i="5"/>
  <c r="X8" i="5"/>
  <c r="X8" i="14" s="1"/>
  <c r="Q8" i="5"/>
  <c r="Q8" i="14" s="1"/>
  <c r="Q5" i="5"/>
  <c r="AN24" i="6" l="1"/>
  <c r="AE23" i="12"/>
  <c r="C98" i="3" s="1"/>
  <c r="L22" i="6"/>
  <c r="AJ23" i="6"/>
  <c r="Q6" i="5"/>
  <c r="S23" i="5" s="1"/>
  <c r="Q5" i="14"/>
  <c r="AE5" i="6"/>
  <c r="G5" i="6"/>
  <c r="G6" i="6" s="1"/>
  <c r="G7" i="6" s="1"/>
  <c r="G8" i="6" s="1"/>
  <c r="G9" i="6" s="1"/>
  <c r="G10" i="6" s="1"/>
  <c r="G11" i="6" s="1"/>
  <c r="G12" i="6" s="1"/>
  <c r="G13" i="6" s="1"/>
  <c r="G14" i="6" s="1"/>
  <c r="G15" i="6" s="1"/>
  <c r="G16" i="6" s="1"/>
  <c r="G17" i="6" s="1"/>
  <c r="G18" i="6" s="1"/>
  <c r="G19" i="6" s="1"/>
  <c r="G20" i="6" s="1"/>
  <c r="G21" i="6" s="1"/>
  <c r="G22" i="6" s="1"/>
  <c r="G23" i="6" s="1"/>
  <c r="X3" i="5"/>
  <c r="X3" i="14" s="1"/>
  <c r="J3" i="14"/>
  <c r="X4" i="5"/>
  <c r="J4" i="14"/>
  <c r="AD25" i="6"/>
  <c r="AL24" i="6"/>
  <c r="AG24" i="6"/>
  <c r="AH24" i="6" s="1"/>
  <c r="AI24" i="6"/>
  <c r="G24" i="12"/>
  <c r="I24" i="12"/>
  <c r="F25" i="12"/>
  <c r="F24" i="6"/>
  <c r="P24" i="6" s="1"/>
  <c r="K23" i="6"/>
  <c r="I23" i="6"/>
  <c r="J23" i="6" s="1"/>
  <c r="AD24" i="12"/>
  <c r="AG23" i="12"/>
  <c r="C154" i="3" s="1"/>
  <c r="C8" i="5"/>
  <c r="J8" i="5"/>
  <c r="J5" i="5"/>
  <c r="C5" i="5"/>
  <c r="Q13" i="5" l="1"/>
  <c r="Q13" i="14" s="1"/>
  <c r="S616" i="5"/>
  <c r="S608" i="5"/>
  <c r="S600" i="5"/>
  <c r="S592" i="5"/>
  <c r="S584" i="5"/>
  <c r="S576" i="5"/>
  <c r="S568" i="5"/>
  <c r="S560" i="5"/>
  <c r="S552" i="5"/>
  <c r="S544" i="5"/>
  <c r="S536" i="5"/>
  <c r="S621" i="5"/>
  <c r="S613" i="5"/>
  <c r="S605" i="5"/>
  <c r="S597" i="5"/>
  <c r="R621" i="5"/>
  <c r="R613" i="5"/>
  <c r="R605" i="5"/>
  <c r="R597" i="5"/>
  <c r="R589" i="5"/>
  <c r="R581" i="5"/>
  <c r="R573" i="5"/>
  <c r="R565" i="5"/>
  <c r="R557" i="5"/>
  <c r="R549" i="5"/>
  <c r="R541" i="5"/>
  <c r="R533" i="5"/>
  <c r="R525" i="5"/>
  <c r="R517" i="5"/>
  <c r="R509" i="5"/>
  <c r="R501" i="5"/>
  <c r="R493" i="5"/>
  <c r="R485" i="5"/>
  <c r="S618" i="5"/>
  <c r="S610" i="5"/>
  <c r="S602" i="5"/>
  <c r="S594" i="5"/>
  <c r="S586" i="5"/>
  <c r="S578" i="5"/>
  <c r="S570" i="5"/>
  <c r="S562" i="5"/>
  <c r="S554" i="5"/>
  <c r="S546" i="5"/>
  <c r="S538" i="5"/>
  <c r="R618" i="5"/>
  <c r="R610" i="5"/>
  <c r="R602" i="5"/>
  <c r="R594" i="5"/>
  <c r="R586" i="5"/>
  <c r="R578" i="5"/>
  <c r="R570" i="5"/>
  <c r="R562" i="5"/>
  <c r="R554" i="5"/>
  <c r="R546" i="5"/>
  <c r="R538" i="5"/>
  <c r="R530" i="5"/>
  <c r="R522" i="5"/>
  <c r="R514" i="5"/>
  <c r="R506" i="5"/>
  <c r="R498" i="5"/>
  <c r="R490" i="5"/>
  <c r="R482" i="5"/>
  <c r="R474" i="5"/>
  <c r="R466" i="5"/>
  <c r="R458" i="5"/>
  <c r="R620" i="5"/>
  <c r="R612" i="5"/>
  <c r="R604" i="5"/>
  <c r="R596" i="5"/>
  <c r="R588" i="5"/>
  <c r="R580" i="5"/>
  <c r="R572" i="5"/>
  <c r="R564" i="5"/>
  <c r="R556" i="5"/>
  <c r="R548" i="5"/>
  <c r="R540" i="5"/>
  <c r="R532" i="5"/>
  <c r="R524" i="5"/>
  <c r="R516" i="5"/>
  <c r="R508" i="5"/>
  <c r="R500" i="5"/>
  <c r="R492" i="5"/>
  <c r="R484" i="5"/>
  <c r="R476" i="5"/>
  <c r="R468" i="5"/>
  <c r="R460" i="5"/>
  <c r="S617" i="5"/>
  <c r="S609" i="5"/>
  <c r="S601" i="5"/>
  <c r="S593" i="5"/>
  <c r="S585" i="5"/>
  <c r="S577" i="5"/>
  <c r="S569" i="5"/>
  <c r="S561" i="5"/>
  <c r="S553" i="5"/>
  <c r="R617" i="5"/>
  <c r="R609" i="5"/>
  <c r="R601" i="5"/>
  <c r="R593" i="5"/>
  <c r="R585" i="5"/>
  <c r="R577" i="5"/>
  <c r="R569" i="5"/>
  <c r="R561" i="5"/>
  <c r="R553" i="5"/>
  <c r="R545" i="5"/>
  <c r="R537" i="5"/>
  <c r="R529" i="5"/>
  <c r="R521" i="5"/>
  <c r="R513" i="5"/>
  <c r="R505" i="5"/>
  <c r="R497" i="5"/>
  <c r="R489" i="5"/>
  <c r="R481" i="5"/>
  <c r="R473" i="5"/>
  <c r="R465" i="5"/>
  <c r="R607" i="5"/>
  <c r="S591" i="5"/>
  <c r="R563" i="5"/>
  <c r="R558" i="5"/>
  <c r="S540" i="5"/>
  <c r="R536" i="5"/>
  <c r="S528" i="5"/>
  <c r="S510" i="5"/>
  <c r="S503" i="5"/>
  <c r="S496" i="5"/>
  <c r="S478" i="5"/>
  <c r="R475" i="5"/>
  <c r="S465" i="5"/>
  <c r="R453" i="5"/>
  <c r="R445" i="5"/>
  <c r="R437" i="5"/>
  <c r="R429" i="5"/>
  <c r="R421" i="5"/>
  <c r="R413" i="5"/>
  <c r="R405" i="5"/>
  <c r="R397" i="5"/>
  <c r="R389" i="5"/>
  <c r="R381" i="5"/>
  <c r="R373" i="5"/>
  <c r="R365" i="5"/>
  <c r="R357" i="5"/>
  <c r="R349" i="5"/>
  <c r="S623" i="5"/>
  <c r="S612" i="5"/>
  <c r="S596" i="5"/>
  <c r="R591" i="5"/>
  <c r="S572" i="5"/>
  <c r="S567" i="5"/>
  <c r="R528" i="5"/>
  <c r="R510" i="5"/>
  <c r="R503" i="5"/>
  <c r="R496" i="5"/>
  <c r="R478" i="5"/>
  <c r="S450" i="5"/>
  <c r="S442" i="5"/>
  <c r="S434" i="5"/>
  <c r="S426" i="5"/>
  <c r="R623" i="5"/>
  <c r="S606" i="5"/>
  <c r="R567" i="5"/>
  <c r="S548" i="5"/>
  <c r="R544" i="5"/>
  <c r="S535" i="5"/>
  <c r="S531" i="5"/>
  <c r="S524" i="5"/>
  <c r="S517" i="5"/>
  <c r="S499" i="5"/>
  <c r="S492" i="5"/>
  <c r="S485" i="5"/>
  <c r="S468" i="5"/>
  <c r="R450" i="5"/>
  <c r="R442" i="5"/>
  <c r="R434" i="5"/>
  <c r="R426" i="5"/>
  <c r="R418" i="5"/>
  <c r="R410" i="5"/>
  <c r="R402" i="5"/>
  <c r="R394" i="5"/>
  <c r="R386" i="5"/>
  <c r="R378" i="5"/>
  <c r="R370" i="5"/>
  <c r="R362" i="5"/>
  <c r="R354" i="5"/>
  <c r="R606" i="5"/>
  <c r="S590" i="5"/>
  <c r="S581" i="5"/>
  <c r="R535" i="5"/>
  <c r="R531" i="5"/>
  <c r="S513" i="5"/>
  <c r="S506" i="5"/>
  <c r="R499" i="5"/>
  <c r="S481" i="5"/>
  <c r="S471" i="5"/>
  <c r="S458" i="5"/>
  <c r="S455" i="5"/>
  <c r="S447" i="5"/>
  <c r="S439" i="5"/>
  <c r="S431" i="5"/>
  <c r="S423" i="5"/>
  <c r="S415" i="5"/>
  <c r="S407" i="5"/>
  <c r="S399" i="5"/>
  <c r="S391" i="5"/>
  <c r="S383" i="5"/>
  <c r="S375" i="5"/>
  <c r="S367" i="5"/>
  <c r="S359" i="5"/>
  <c r="S351" i="5"/>
  <c r="S622" i="5"/>
  <c r="S611" i="5"/>
  <c r="S595" i="5"/>
  <c r="R590" i="5"/>
  <c r="R576" i="5"/>
  <c r="S571" i="5"/>
  <c r="S566" i="5"/>
  <c r="S557" i="5"/>
  <c r="S543" i="5"/>
  <c r="S539" i="5"/>
  <c r="S527" i="5"/>
  <c r="S520" i="5"/>
  <c r="S502" i="5"/>
  <c r="S495" i="5"/>
  <c r="S488" i="5"/>
  <c r="R471" i="5"/>
  <c r="S461" i="5"/>
  <c r="R455" i="5"/>
  <c r="R447" i="5"/>
  <c r="R439" i="5"/>
  <c r="R431" i="5"/>
  <c r="R423" i="5"/>
  <c r="R415" i="5"/>
  <c r="R407" i="5"/>
  <c r="R399" i="5"/>
  <c r="R391" i="5"/>
  <c r="R383" i="5"/>
  <c r="R375" i="5"/>
  <c r="R367" i="5"/>
  <c r="R359" i="5"/>
  <c r="R351" i="5"/>
  <c r="R622" i="5"/>
  <c r="R611" i="5"/>
  <c r="R595" i="5"/>
  <c r="R571" i="5"/>
  <c r="R566" i="5"/>
  <c r="R552" i="5"/>
  <c r="R543" i="5"/>
  <c r="R539" i="5"/>
  <c r="R527" i="5"/>
  <c r="R520" i="5"/>
  <c r="R502" i="5"/>
  <c r="R495" i="5"/>
  <c r="R488" i="5"/>
  <c r="S474" i="5"/>
  <c r="S464" i="5"/>
  <c r="R461" i="5"/>
  <c r="S452" i="5"/>
  <c r="S444" i="5"/>
  <c r="S436" i="5"/>
  <c r="S428" i="5"/>
  <c r="R616" i="5"/>
  <c r="R600" i="5"/>
  <c r="S580" i="5"/>
  <c r="S575" i="5"/>
  <c r="S547" i="5"/>
  <c r="S534" i="5"/>
  <c r="S523" i="5"/>
  <c r="S516" i="5"/>
  <c r="S509" i="5"/>
  <c r="S491" i="5"/>
  <c r="S484" i="5"/>
  <c r="S477" i="5"/>
  <c r="S467" i="5"/>
  <c r="R464" i="5"/>
  <c r="R452" i="5"/>
  <c r="R444" i="5"/>
  <c r="R436" i="5"/>
  <c r="R428" i="5"/>
  <c r="R420" i="5"/>
  <c r="R412" i="5"/>
  <c r="R404" i="5"/>
  <c r="R396" i="5"/>
  <c r="R388" i="5"/>
  <c r="R380" i="5"/>
  <c r="R372" i="5"/>
  <c r="R364" i="5"/>
  <c r="R356" i="5"/>
  <c r="S615" i="5"/>
  <c r="S599" i="5"/>
  <c r="R575" i="5"/>
  <c r="S556" i="5"/>
  <c r="S551" i="5"/>
  <c r="R547" i="5"/>
  <c r="R534" i="5"/>
  <c r="S530" i="5"/>
  <c r="R523" i="5"/>
  <c r="S505" i="5"/>
  <c r="S498" i="5"/>
  <c r="R491" i="5"/>
  <c r="R477" i="5"/>
  <c r="S470" i="5"/>
  <c r="R467" i="5"/>
  <c r="S457" i="5"/>
  <c r="S449" i="5"/>
  <c r="S441" i="5"/>
  <c r="S433" i="5"/>
  <c r="S425" i="5"/>
  <c r="S417" i="5"/>
  <c r="S409" i="5"/>
  <c r="S401" i="5"/>
  <c r="S393" i="5"/>
  <c r="S385" i="5"/>
  <c r="S377" i="5"/>
  <c r="S369" i="5"/>
  <c r="S361" i="5"/>
  <c r="S353" i="5"/>
  <c r="R615" i="5"/>
  <c r="R599" i="5"/>
  <c r="S589" i="5"/>
  <c r="R551" i="5"/>
  <c r="S542" i="5"/>
  <c r="S526" i="5"/>
  <c r="S519" i="5"/>
  <c r="S512" i="5"/>
  <c r="S494" i="5"/>
  <c r="S487" i="5"/>
  <c r="S480" i="5"/>
  <c r="R470" i="5"/>
  <c r="R457" i="5"/>
  <c r="R449" i="5"/>
  <c r="S620" i="5"/>
  <c r="S604" i="5"/>
  <c r="R584" i="5"/>
  <c r="S579" i="5"/>
  <c r="S574" i="5"/>
  <c r="S565" i="5"/>
  <c r="R542" i="5"/>
  <c r="R526" i="5"/>
  <c r="R519" i="5"/>
  <c r="R512" i="5"/>
  <c r="R494" i="5"/>
  <c r="R487" i="5"/>
  <c r="R480" i="5"/>
  <c r="S473" i="5"/>
  <c r="S460" i="5"/>
  <c r="S454" i="5"/>
  <c r="S446" i="5"/>
  <c r="S438" i="5"/>
  <c r="S614" i="5"/>
  <c r="S598" i="5"/>
  <c r="R579" i="5"/>
  <c r="R574" i="5"/>
  <c r="R560" i="5"/>
  <c r="S555" i="5"/>
  <c r="S550" i="5"/>
  <c r="S515" i="5"/>
  <c r="S508" i="5"/>
  <c r="S501" i="5"/>
  <c r="S483" i="5"/>
  <c r="S463" i="5"/>
  <c r="R454" i="5"/>
  <c r="R446" i="5"/>
  <c r="R438" i="5"/>
  <c r="R430" i="5"/>
  <c r="R422" i="5"/>
  <c r="R414" i="5"/>
  <c r="R406" i="5"/>
  <c r="R398" i="5"/>
  <c r="R390" i="5"/>
  <c r="R382" i="5"/>
  <c r="R374" i="5"/>
  <c r="R366" i="5"/>
  <c r="R614" i="5"/>
  <c r="R598" i="5"/>
  <c r="S588" i="5"/>
  <c r="S583" i="5"/>
  <c r="R555" i="5"/>
  <c r="R550" i="5"/>
  <c r="S537" i="5"/>
  <c r="S533" i="5"/>
  <c r="S529" i="5"/>
  <c r="S522" i="5"/>
  <c r="R515" i="5"/>
  <c r="S497" i="5"/>
  <c r="S490" i="5"/>
  <c r="R483" i="5"/>
  <c r="S476" i="5"/>
  <c r="R463" i="5"/>
  <c r="S451" i="5"/>
  <c r="S443" i="5"/>
  <c r="S435" i="5"/>
  <c r="S427" i="5"/>
  <c r="R619" i="5"/>
  <c r="R603" i="5"/>
  <c r="R559" i="5"/>
  <c r="S545" i="5"/>
  <c r="S541" i="5"/>
  <c r="R518" i="5"/>
  <c r="R511" i="5"/>
  <c r="R504" i="5"/>
  <c r="R486" i="5"/>
  <c r="R479" i="5"/>
  <c r="S469" i="5"/>
  <c r="S459" i="5"/>
  <c r="S456" i="5"/>
  <c r="S448" i="5"/>
  <c r="S607" i="5"/>
  <c r="S511" i="5"/>
  <c r="S493" i="5"/>
  <c r="S475" i="5"/>
  <c r="R435" i="5"/>
  <c r="S388" i="5"/>
  <c r="R369" i="5"/>
  <c r="S360" i="5"/>
  <c r="S345" i="5"/>
  <c r="S337" i="5"/>
  <c r="S329" i="5"/>
  <c r="S321" i="5"/>
  <c r="S313" i="5"/>
  <c r="S305" i="5"/>
  <c r="S297" i="5"/>
  <c r="S289" i="5"/>
  <c r="S281" i="5"/>
  <c r="S273" i="5"/>
  <c r="S265" i="5"/>
  <c r="S257" i="5"/>
  <c r="S249" i="5"/>
  <c r="S241" i="5"/>
  <c r="S233" i="5"/>
  <c r="S225" i="5"/>
  <c r="S217" i="5"/>
  <c r="S209" i="5"/>
  <c r="S201" i="5"/>
  <c r="S603" i="5"/>
  <c r="R456" i="5"/>
  <c r="R443" i="5"/>
  <c r="S364" i="5"/>
  <c r="R360" i="5"/>
  <c r="R345" i="5"/>
  <c r="R337" i="5"/>
  <c r="R329" i="5"/>
  <c r="R321" i="5"/>
  <c r="R313" i="5"/>
  <c r="S472" i="5"/>
  <c r="R427" i="5"/>
  <c r="S421" i="5"/>
  <c r="S416" i="5"/>
  <c r="S411" i="5"/>
  <c r="S402" i="5"/>
  <c r="S355" i="5"/>
  <c r="S342" i="5"/>
  <c r="S334" i="5"/>
  <c r="S326" i="5"/>
  <c r="S318" i="5"/>
  <c r="S310" i="5"/>
  <c r="S302" i="5"/>
  <c r="S294" i="5"/>
  <c r="S286" i="5"/>
  <c r="S278" i="5"/>
  <c r="S270" i="5"/>
  <c r="S262" i="5"/>
  <c r="S254" i="5"/>
  <c r="S246" i="5"/>
  <c r="S238" i="5"/>
  <c r="S230" i="5"/>
  <c r="S222" i="5"/>
  <c r="S214" i="5"/>
  <c r="S206" i="5"/>
  <c r="S198" i="5"/>
  <c r="R472" i="5"/>
  <c r="R416" i="5"/>
  <c r="R411" i="5"/>
  <c r="S406" i="5"/>
  <c r="S397" i="5"/>
  <c r="S392" i="5"/>
  <c r="S387" i="5"/>
  <c r="S378" i="5"/>
  <c r="R355" i="5"/>
  <c r="R342" i="5"/>
  <c r="R334" i="5"/>
  <c r="R326" i="5"/>
  <c r="R318" i="5"/>
  <c r="R310" i="5"/>
  <c r="R302" i="5"/>
  <c r="R294" i="5"/>
  <c r="R286" i="5"/>
  <c r="R278" i="5"/>
  <c r="R270" i="5"/>
  <c r="R262" i="5"/>
  <c r="R254" i="5"/>
  <c r="R246" i="5"/>
  <c r="R238" i="5"/>
  <c r="R230" i="5"/>
  <c r="R222" i="5"/>
  <c r="R214" i="5"/>
  <c r="R206" i="5"/>
  <c r="R198" i="5"/>
  <c r="S573" i="5"/>
  <c r="S549" i="5"/>
  <c r="S507" i="5"/>
  <c r="S489" i="5"/>
  <c r="R441" i="5"/>
  <c r="R433" i="5"/>
  <c r="S420" i="5"/>
  <c r="R401" i="5"/>
  <c r="R392" i="5"/>
  <c r="R387" i="5"/>
  <c r="S382" i="5"/>
  <c r="S373" i="5"/>
  <c r="S368" i="5"/>
  <c r="S363" i="5"/>
  <c r="S350" i="5"/>
  <c r="S347" i="5"/>
  <c r="S339" i="5"/>
  <c r="S331" i="5"/>
  <c r="S323" i="5"/>
  <c r="S315" i="5"/>
  <c r="S307" i="5"/>
  <c r="S299" i="5"/>
  <c r="S291" i="5"/>
  <c r="S283" i="5"/>
  <c r="S275" i="5"/>
  <c r="S267" i="5"/>
  <c r="S259" i="5"/>
  <c r="S251" i="5"/>
  <c r="S243" i="5"/>
  <c r="S235" i="5"/>
  <c r="S227" i="5"/>
  <c r="S219" i="5"/>
  <c r="S211" i="5"/>
  <c r="S203" i="5"/>
  <c r="S525" i="5"/>
  <c r="R507" i="5"/>
  <c r="S486" i="5"/>
  <c r="R469" i="5"/>
  <c r="S453" i="5"/>
  <c r="S396" i="5"/>
  <c r="R377" i="5"/>
  <c r="R368" i="5"/>
  <c r="R363" i="5"/>
  <c r="R350" i="5"/>
  <c r="R347" i="5"/>
  <c r="R339" i="5"/>
  <c r="R331" i="5"/>
  <c r="R323" i="5"/>
  <c r="R315" i="5"/>
  <c r="R307" i="5"/>
  <c r="R299" i="5"/>
  <c r="R291" i="5"/>
  <c r="R283" i="5"/>
  <c r="R275" i="5"/>
  <c r="S504" i="5"/>
  <c r="R451" i="5"/>
  <c r="S440" i="5"/>
  <c r="R425" i="5"/>
  <c r="S372" i="5"/>
  <c r="S358" i="5"/>
  <c r="S344" i="5"/>
  <c r="S336" i="5"/>
  <c r="S328" i="5"/>
  <c r="S320" i="5"/>
  <c r="S312" i="5"/>
  <c r="S304" i="5"/>
  <c r="S296" i="5"/>
  <c r="S288" i="5"/>
  <c r="S280" i="5"/>
  <c r="S272" i="5"/>
  <c r="S264" i="5"/>
  <c r="S256" i="5"/>
  <c r="S248" i="5"/>
  <c r="S240" i="5"/>
  <c r="S232" i="5"/>
  <c r="S224" i="5"/>
  <c r="S216" i="5"/>
  <c r="S208" i="5"/>
  <c r="S200" i="5"/>
  <c r="S466" i="5"/>
  <c r="R440" i="5"/>
  <c r="S432" i="5"/>
  <c r="S419" i="5"/>
  <c r="S410" i="5"/>
  <c r="R358" i="5"/>
  <c r="S354" i="5"/>
  <c r="R344" i="5"/>
  <c r="R336" i="5"/>
  <c r="R328" i="5"/>
  <c r="R320" i="5"/>
  <c r="R312" i="5"/>
  <c r="S619" i="5"/>
  <c r="R592" i="5"/>
  <c r="R568" i="5"/>
  <c r="R432" i="5"/>
  <c r="R419" i="5"/>
  <c r="S414" i="5"/>
  <c r="S405" i="5"/>
  <c r="S400" i="5"/>
  <c r="S395" i="5"/>
  <c r="S386" i="5"/>
  <c r="S341" i="5"/>
  <c r="S333" i="5"/>
  <c r="S325" i="5"/>
  <c r="S317" i="5"/>
  <c r="S564" i="5"/>
  <c r="S521" i="5"/>
  <c r="S424" i="5"/>
  <c r="R409" i="5"/>
  <c r="R400" i="5"/>
  <c r="R395" i="5"/>
  <c r="S390" i="5"/>
  <c r="S381" i="5"/>
  <c r="S376" i="5"/>
  <c r="S371" i="5"/>
  <c r="S362" i="5"/>
  <c r="R353" i="5"/>
  <c r="R341" i="5"/>
  <c r="R333" i="5"/>
  <c r="R325" i="5"/>
  <c r="R317" i="5"/>
  <c r="S518" i="5"/>
  <c r="S500" i="5"/>
  <c r="S482" i="5"/>
  <c r="R448" i="5"/>
  <c r="R424" i="5"/>
  <c r="S404" i="5"/>
  <c r="R385" i="5"/>
  <c r="R376" i="5"/>
  <c r="R371" i="5"/>
  <c r="S366" i="5"/>
  <c r="S349" i="5"/>
  <c r="S346" i="5"/>
  <c r="S338" i="5"/>
  <c r="S330" i="5"/>
  <c r="S322" i="5"/>
  <c r="S314" i="5"/>
  <c r="S306" i="5"/>
  <c r="S298" i="5"/>
  <c r="S290" i="5"/>
  <c r="S282" i="5"/>
  <c r="S274" i="5"/>
  <c r="S266" i="5"/>
  <c r="S258" i="5"/>
  <c r="S250" i="5"/>
  <c r="S242" i="5"/>
  <c r="S234" i="5"/>
  <c r="S226" i="5"/>
  <c r="S218" i="5"/>
  <c r="S210" i="5"/>
  <c r="S202" i="5"/>
  <c r="R583" i="5"/>
  <c r="S437" i="5"/>
  <c r="S422" i="5"/>
  <c r="S413" i="5"/>
  <c r="S408" i="5"/>
  <c r="S403" i="5"/>
  <c r="S394" i="5"/>
  <c r="S418" i="5"/>
  <c r="S380" i="5"/>
  <c r="R285" i="5"/>
  <c r="R280" i="5"/>
  <c r="R276" i="5"/>
  <c r="R271" i="5"/>
  <c r="R258" i="5"/>
  <c r="S245" i="5"/>
  <c r="R220" i="5"/>
  <c r="R211" i="5"/>
  <c r="R207" i="5"/>
  <c r="R192" i="5"/>
  <c r="R184" i="5"/>
  <c r="R176" i="5"/>
  <c r="R168" i="5"/>
  <c r="R160" i="5"/>
  <c r="R152" i="5"/>
  <c r="R144" i="5"/>
  <c r="R136" i="5"/>
  <c r="R128" i="5"/>
  <c r="R120" i="5"/>
  <c r="R112" i="5"/>
  <c r="R104" i="5"/>
  <c r="R96" i="5"/>
  <c r="R88" i="5"/>
  <c r="R80" i="5"/>
  <c r="R72" i="5"/>
  <c r="R64" i="5"/>
  <c r="R56" i="5"/>
  <c r="R48" i="5"/>
  <c r="R40" i="5"/>
  <c r="R417" i="5"/>
  <c r="S398" i="5"/>
  <c r="S352" i="5"/>
  <c r="R245" i="5"/>
  <c r="R241" i="5"/>
  <c r="R232" i="5"/>
  <c r="S228" i="5"/>
  <c r="S215" i="5"/>
  <c r="S189" i="5"/>
  <c r="S181" i="5"/>
  <c r="S173" i="5"/>
  <c r="S165" i="5"/>
  <c r="S157" i="5"/>
  <c r="S149" i="5"/>
  <c r="S141" i="5"/>
  <c r="R608" i="5"/>
  <c r="S514" i="5"/>
  <c r="S445" i="5"/>
  <c r="R352" i="5"/>
  <c r="S316" i="5"/>
  <c r="R266" i="5"/>
  <c r="S253" i="5"/>
  <c r="R228" i="5"/>
  <c r="R219" i="5"/>
  <c r="R215" i="5"/>
  <c r="R202" i="5"/>
  <c r="R189" i="5"/>
  <c r="R181" i="5"/>
  <c r="R173" i="5"/>
  <c r="R165" i="5"/>
  <c r="R157" i="5"/>
  <c r="R149" i="5"/>
  <c r="R141" i="5"/>
  <c r="R133" i="5"/>
  <c r="R125" i="5"/>
  <c r="R117" i="5"/>
  <c r="R109" i="5"/>
  <c r="R101" i="5"/>
  <c r="R93" i="5"/>
  <c r="R85" i="5"/>
  <c r="R77" i="5"/>
  <c r="R69" i="5"/>
  <c r="R61" i="5"/>
  <c r="R53" i="5"/>
  <c r="R45" i="5"/>
  <c r="R37" i="5"/>
  <c r="R29" i="5"/>
  <c r="S587" i="5"/>
  <c r="S379" i="5"/>
  <c r="S365" i="5"/>
  <c r="S324" i="5"/>
  <c r="R316" i="5"/>
  <c r="S308" i="5"/>
  <c r="S303" i="5"/>
  <c r="R253" i="5"/>
  <c r="R249" i="5"/>
  <c r="R240" i="5"/>
  <c r="S236" i="5"/>
  <c r="S223" i="5"/>
  <c r="S194" i="5"/>
  <c r="S186" i="5"/>
  <c r="S178" i="5"/>
  <c r="R587" i="5"/>
  <c r="R379" i="5"/>
  <c r="R361" i="5"/>
  <c r="S332" i="5"/>
  <c r="R324" i="5"/>
  <c r="R314" i="5"/>
  <c r="R308" i="5"/>
  <c r="R303" i="5"/>
  <c r="R298" i="5"/>
  <c r="S293" i="5"/>
  <c r="R289" i="5"/>
  <c r="S284" i="5"/>
  <c r="S279" i="5"/>
  <c r="S261" i="5"/>
  <c r="R236" i="5"/>
  <c r="R227" i="5"/>
  <c r="R223" i="5"/>
  <c r="R210" i="5"/>
  <c r="S197" i="5"/>
  <c r="R194" i="5"/>
  <c r="R186" i="5"/>
  <c r="R178" i="5"/>
  <c r="R170" i="5"/>
  <c r="R162" i="5"/>
  <c r="R154" i="5"/>
  <c r="R146" i="5"/>
  <c r="R138" i="5"/>
  <c r="R130" i="5"/>
  <c r="R122" i="5"/>
  <c r="R114" i="5"/>
  <c r="R106" i="5"/>
  <c r="R98" i="5"/>
  <c r="R90" i="5"/>
  <c r="R82" i="5"/>
  <c r="R74" i="5"/>
  <c r="R66" i="5"/>
  <c r="R58" i="5"/>
  <c r="R50" i="5"/>
  <c r="S582" i="5"/>
  <c r="S340" i="5"/>
  <c r="R332" i="5"/>
  <c r="R322" i="5"/>
  <c r="R293" i="5"/>
  <c r="R288" i="5"/>
  <c r="R284" i="5"/>
  <c r="R279" i="5"/>
  <c r="R274" i="5"/>
  <c r="R261" i="5"/>
  <c r="R257" i="5"/>
  <c r="R248" i="5"/>
  <c r="S244" i="5"/>
  <c r="S231" i="5"/>
  <c r="R197" i="5"/>
  <c r="S191" i="5"/>
  <c r="S183" i="5"/>
  <c r="S175" i="5"/>
  <c r="S167" i="5"/>
  <c r="S159" i="5"/>
  <c r="S151" i="5"/>
  <c r="S143" i="5"/>
  <c r="S135" i="5"/>
  <c r="S127" i="5"/>
  <c r="S119" i="5"/>
  <c r="S111" i="5"/>
  <c r="S103" i="5"/>
  <c r="S95" i="5"/>
  <c r="S87" i="5"/>
  <c r="S79" i="5"/>
  <c r="S71" i="5"/>
  <c r="S63" i="5"/>
  <c r="S55" i="5"/>
  <c r="S47" i="5"/>
  <c r="S39" i="5"/>
  <c r="S31" i="5"/>
  <c r="R582" i="5"/>
  <c r="S412" i="5"/>
  <c r="R393" i="5"/>
  <c r="S348" i="5"/>
  <c r="R340" i="5"/>
  <c r="R330" i="5"/>
  <c r="S269" i="5"/>
  <c r="R244" i="5"/>
  <c r="R235" i="5"/>
  <c r="R231" i="5"/>
  <c r="R218" i="5"/>
  <c r="S205" i="5"/>
  <c r="R191" i="5"/>
  <c r="R183" i="5"/>
  <c r="R175" i="5"/>
  <c r="R167" i="5"/>
  <c r="R159" i="5"/>
  <c r="R151" i="5"/>
  <c r="R143" i="5"/>
  <c r="S563" i="5"/>
  <c r="S479" i="5"/>
  <c r="S430" i="5"/>
  <c r="R348" i="5"/>
  <c r="R338" i="5"/>
  <c r="R269" i="5"/>
  <c r="R265" i="5"/>
  <c r="R256" i="5"/>
  <c r="S252" i="5"/>
  <c r="S239" i="5"/>
  <c r="R205" i="5"/>
  <c r="R201" i="5"/>
  <c r="S188" i="5"/>
  <c r="S180" i="5"/>
  <c r="S172" i="5"/>
  <c r="S164" i="5"/>
  <c r="S156" i="5"/>
  <c r="S148" i="5"/>
  <c r="S140" i="5"/>
  <c r="S132" i="5"/>
  <c r="S124" i="5"/>
  <c r="S116" i="5"/>
  <c r="S108" i="5"/>
  <c r="S100" i="5"/>
  <c r="S92" i="5"/>
  <c r="S84" i="5"/>
  <c r="S76" i="5"/>
  <c r="S559" i="5"/>
  <c r="R346" i="5"/>
  <c r="R252" i="5"/>
  <c r="R243" i="5"/>
  <c r="R239" i="5"/>
  <c r="R226" i="5"/>
  <c r="S213" i="5"/>
  <c r="R188" i="5"/>
  <c r="R180" i="5"/>
  <c r="R172" i="5"/>
  <c r="R164" i="5"/>
  <c r="R156" i="5"/>
  <c r="R148" i="5"/>
  <c r="R140" i="5"/>
  <c r="R132" i="5"/>
  <c r="R124" i="5"/>
  <c r="R116" i="5"/>
  <c r="R108" i="5"/>
  <c r="R100" i="5"/>
  <c r="R92" i="5"/>
  <c r="R84" i="5"/>
  <c r="R76" i="5"/>
  <c r="R68" i="5"/>
  <c r="R60" i="5"/>
  <c r="S558" i="5"/>
  <c r="R408" i="5"/>
  <c r="S389" i="5"/>
  <c r="S374" i="5"/>
  <c r="R306" i="5"/>
  <c r="S301" i="5"/>
  <c r="R297" i="5"/>
  <c r="S292" i="5"/>
  <c r="S287" i="5"/>
  <c r="R264" i="5"/>
  <c r="S260" i="5"/>
  <c r="S247" i="5"/>
  <c r="R213" i="5"/>
  <c r="R209" i="5"/>
  <c r="R200" i="5"/>
  <c r="S196" i="5"/>
  <c r="S193" i="5"/>
  <c r="S185" i="5"/>
  <c r="S177" i="5"/>
  <c r="S169" i="5"/>
  <c r="S161" i="5"/>
  <c r="S153" i="5"/>
  <c r="S429" i="5"/>
  <c r="S357" i="5"/>
  <c r="S311" i="5"/>
  <c r="R301" i="5"/>
  <c r="R296" i="5"/>
  <c r="R292" i="5"/>
  <c r="R287" i="5"/>
  <c r="R282" i="5"/>
  <c r="S277" i="5"/>
  <c r="R273" i="5"/>
  <c r="R260" i="5"/>
  <c r="R251" i="5"/>
  <c r="R247" i="5"/>
  <c r="R234" i="5"/>
  <c r="S221" i="5"/>
  <c r="R196" i="5"/>
  <c r="R193" i="5"/>
  <c r="R185" i="5"/>
  <c r="R177" i="5"/>
  <c r="R169" i="5"/>
  <c r="R161" i="5"/>
  <c r="R153" i="5"/>
  <c r="R145" i="5"/>
  <c r="R137" i="5"/>
  <c r="R129" i="5"/>
  <c r="R121" i="5"/>
  <c r="R113" i="5"/>
  <c r="R105" i="5"/>
  <c r="R97" i="5"/>
  <c r="R89" i="5"/>
  <c r="R81" i="5"/>
  <c r="R73" i="5"/>
  <c r="R65" i="5"/>
  <c r="R57" i="5"/>
  <c r="R49" i="5"/>
  <c r="R41" i="5"/>
  <c r="R33" i="5"/>
  <c r="R459" i="5"/>
  <c r="R403" i="5"/>
  <c r="S370" i="5"/>
  <c r="S335" i="5"/>
  <c r="R327" i="5"/>
  <c r="S263" i="5"/>
  <c r="R229" i="5"/>
  <c r="R225" i="5"/>
  <c r="R216" i="5"/>
  <c r="S212" i="5"/>
  <c r="S199" i="5"/>
  <c r="S195" i="5"/>
  <c r="S187" i="5"/>
  <c r="S179" i="5"/>
  <c r="R268" i="5"/>
  <c r="S147" i="5"/>
  <c r="R107" i="5"/>
  <c r="R102" i="5"/>
  <c r="S97" i="5"/>
  <c r="S88" i="5"/>
  <c r="S83" i="5"/>
  <c r="S66" i="5"/>
  <c r="R26" i="5"/>
  <c r="R87" i="5"/>
  <c r="R59" i="5"/>
  <c r="R67" i="5"/>
  <c r="R190" i="5"/>
  <c r="R127" i="5"/>
  <c r="S57" i="5"/>
  <c r="S343" i="5"/>
  <c r="S122" i="5"/>
  <c r="S73" i="5"/>
  <c r="R309" i="5"/>
  <c r="S117" i="5"/>
  <c r="S162" i="5"/>
  <c r="S107" i="5"/>
  <c r="R47" i="5"/>
  <c r="S29" i="5"/>
  <c r="S532" i="5"/>
  <c r="S384" i="5"/>
  <c r="R335" i="5"/>
  <c r="R305" i="5"/>
  <c r="R267" i="5"/>
  <c r="R250" i="5"/>
  <c r="R199" i="5"/>
  <c r="R187" i="5"/>
  <c r="S154" i="5"/>
  <c r="R147" i="5"/>
  <c r="R135" i="5"/>
  <c r="R83" i="5"/>
  <c r="S69" i="5"/>
  <c r="S56" i="5"/>
  <c r="S53" i="5"/>
  <c r="S50" i="5"/>
  <c r="R51" i="5"/>
  <c r="R163" i="5"/>
  <c r="S271" i="5"/>
  <c r="S24" i="5"/>
  <c r="R155" i="5"/>
  <c r="S112" i="5"/>
  <c r="S41" i="5"/>
  <c r="R384" i="5"/>
  <c r="R304" i="5"/>
  <c r="S285" i="5"/>
  <c r="R233" i="5"/>
  <c r="S176" i="5"/>
  <c r="S168" i="5"/>
  <c r="S130" i="5"/>
  <c r="R111" i="5"/>
  <c r="R79" i="5"/>
  <c r="S72" i="5"/>
  <c r="S59" i="5"/>
  <c r="S146" i="5"/>
  <c r="S106" i="5"/>
  <c r="S62" i="5"/>
  <c r="S462" i="5"/>
  <c r="S174" i="5"/>
  <c r="S134" i="5"/>
  <c r="S125" i="5"/>
  <c r="S28" i="5"/>
  <c r="R24" i="5"/>
  <c r="R462" i="5"/>
  <c r="S327" i="5"/>
  <c r="S229" i="5"/>
  <c r="R174" i="5"/>
  <c r="S166" i="5"/>
  <c r="S160" i="5"/>
  <c r="S145" i="5"/>
  <c r="R134" i="5"/>
  <c r="S129" i="5"/>
  <c r="S120" i="5"/>
  <c r="S115" i="5"/>
  <c r="S110" i="5"/>
  <c r="S101" i="5"/>
  <c r="S75" i="5"/>
  <c r="S65" i="5"/>
  <c r="R62" i="5"/>
  <c r="S46" i="5"/>
  <c r="S43" i="5"/>
  <c r="S40" i="5"/>
  <c r="S37" i="5"/>
  <c r="S34" i="5"/>
  <c r="R31" i="5"/>
  <c r="R28" i="5"/>
  <c r="S25" i="5"/>
  <c r="S36" i="5"/>
  <c r="S33" i="5"/>
  <c r="S255" i="5"/>
  <c r="S77" i="5"/>
  <c r="R54" i="5"/>
  <c r="S309" i="5"/>
  <c r="R203" i="5"/>
  <c r="R343" i="5"/>
  <c r="S220" i="5"/>
  <c r="S121" i="5"/>
  <c r="R44" i="5"/>
  <c r="S300" i="5"/>
  <c r="R263" i="5"/>
  <c r="R212" i="5"/>
  <c r="R195" i="5"/>
  <c r="R166" i="5"/>
  <c r="S139" i="5"/>
  <c r="R115" i="5"/>
  <c r="R110" i="5"/>
  <c r="S105" i="5"/>
  <c r="S96" i="5"/>
  <c r="S91" i="5"/>
  <c r="S86" i="5"/>
  <c r="S82" i="5"/>
  <c r="R75" i="5"/>
  <c r="S68" i="5"/>
  <c r="S52" i="5"/>
  <c r="S49" i="5"/>
  <c r="R46" i="5"/>
  <c r="R43" i="5"/>
  <c r="R34" i="5"/>
  <c r="R78" i="5"/>
  <c r="S142" i="5"/>
  <c r="S237" i="5"/>
  <c r="R179" i="5"/>
  <c r="S26" i="5"/>
  <c r="R300" i="5"/>
  <c r="R281" i="5"/>
  <c r="S184" i="5"/>
  <c r="S158" i="5"/>
  <c r="S152" i="5"/>
  <c r="R139" i="5"/>
  <c r="R91" i="5"/>
  <c r="R86" i="5"/>
  <c r="S78" i="5"/>
  <c r="R55" i="5"/>
  <c r="R52" i="5"/>
  <c r="R25" i="5"/>
  <c r="R71" i="5"/>
  <c r="S58" i="5"/>
  <c r="R39" i="5"/>
  <c r="S27" i="5"/>
  <c r="R272" i="5"/>
  <c r="S204" i="5"/>
  <c r="S190" i="5"/>
  <c r="R171" i="5"/>
  <c r="S70" i="5"/>
  <c r="R255" i="5"/>
  <c r="S163" i="5"/>
  <c r="R70" i="5"/>
  <c r="R237" i="5"/>
  <c r="S155" i="5"/>
  <c r="S131" i="5"/>
  <c r="R63" i="5"/>
  <c r="S32" i="5"/>
  <c r="R217" i="5"/>
  <c r="R35" i="5"/>
  <c r="S319" i="5"/>
  <c r="R277" i="5"/>
  <c r="R208" i="5"/>
  <c r="S182" i="5"/>
  <c r="R158" i="5"/>
  <c r="R119" i="5"/>
  <c r="S30" i="5"/>
  <c r="R27" i="5"/>
  <c r="R311" i="5"/>
  <c r="R94" i="5"/>
  <c r="S51" i="5"/>
  <c r="S356" i="5"/>
  <c r="R319" i="5"/>
  <c r="R259" i="5"/>
  <c r="R242" i="5"/>
  <c r="R182" i="5"/>
  <c r="S150" i="5"/>
  <c r="S138" i="5"/>
  <c r="S133" i="5"/>
  <c r="S114" i="5"/>
  <c r="R95" i="5"/>
  <c r="S81" i="5"/>
  <c r="R30" i="5"/>
  <c r="R99" i="5"/>
  <c r="R204" i="5"/>
  <c r="S170" i="5"/>
  <c r="S102" i="5"/>
  <c r="S295" i="5"/>
  <c r="R150" i="5"/>
  <c r="S144" i="5"/>
  <c r="S137" i="5"/>
  <c r="S128" i="5"/>
  <c r="S123" i="5"/>
  <c r="S118" i="5"/>
  <c r="S109" i="5"/>
  <c r="S90" i="5"/>
  <c r="S64" i="5"/>
  <c r="S61" i="5"/>
  <c r="R36" i="5"/>
  <c r="S89" i="5"/>
  <c r="S54" i="5"/>
  <c r="R103" i="5"/>
  <c r="S60" i="5"/>
  <c r="R126" i="5"/>
  <c r="R38" i="5"/>
  <c r="R295" i="5"/>
  <c r="S276" i="5"/>
  <c r="R224" i="5"/>
  <c r="S207" i="5"/>
  <c r="S192" i="5"/>
  <c r="S171" i="5"/>
  <c r="R123" i="5"/>
  <c r="R118" i="5"/>
  <c r="S113" i="5"/>
  <c r="S104" i="5"/>
  <c r="S99" i="5"/>
  <c r="S94" i="5"/>
  <c r="S85" i="5"/>
  <c r="S74" i="5"/>
  <c r="S67" i="5"/>
  <c r="S48" i="5"/>
  <c r="S45" i="5"/>
  <c r="S42" i="5"/>
  <c r="R221" i="5"/>
  <c r="R42" i="5"/>
  <c r="R142" i="5"/>
  <c r="S80" i="5"/>
  <c r="R290" i="5"/>
  <c r="S35" i="5"/>
  <c r="S38" i="5"/>
  <c r="S268" i="5"/>
  <c r="R131" i="5"/>
  <c r="S93" i="5"/>
  <c r="R32" i="5"/>
  <c r="S136" i="5"/>
  <c r="S126" i="5"/>
  <c r="S98" i="5"/>
  <c r="S44" i="5"/>
  <c r="Q12" i="5"/>
  <c r="Q12" i="14" s="1"/>
  <c r="R23" i="5"/>
  <c r="Q23" i="5"/>
  <c r="T22" i="5"/>
  <c r="AN25" i="6"/>
  <c r="AJ24" i="6"/>
  <c r="C6" i="5"/>
  <c r="C5" i="14"/>
  <c r="C8" i="14"/>
  <c r="AD26" i="6"/>
  <c r="AL25" i="6"/>
  <c r="AI25" i="6"/>
  <c r="AG25" i="6"/>
  <c r="AH25" i="6" s="1"/>
  <c r="X4" i="14"/>
  <c r="X5" i="5"/>
  <c r="J6" i="5"/>
  <c r="J5" i="14"/>
  <c r="J8" i="14"/>
  <c r="AF5" i="6"/>
  <c r="AE6" i="6"/>
  <c r="Q6" i="14"/>
  <c r="T22" i="14" s="1"/>
  <c r="L23" i="6"/>
  <c r="I24" i="6"/>
  <c r="J24" i="6" s="1"/>
  <c r="G24" i="6"/>
  <c r="F25" i="6"/>
  <c r="P25" i="6" s="1"/>
  <c r="K24" i="6"/>
  <c r="G25" i="12"/>
  <c r="F26" i="12"/>
  <c r="I25" i="12"/>
  <c r="AG24" i="12"/>
  <c r="C155" i="3" s="1"/>
  <c r="AD25" i="12"/>
  <c r="AE24" i="12"/>
  <c r="C99" i="3" s="1"/>
  <c r="T23" i="5" l="1"/>
  <c r="T24" i="5" s="1"/>
  <c r="S23" i="14"/>
  <c r="R26" i="14"/>
  <c r="R49" i="14"/>
  <c r="S26" i="14"/>
  <c r="S32" i="14"/>
  <c r="R42" i="14"/>
  <c r="S40" i="14"/>
  <c r="S34" i="14"/>
  <c r="R51" i="14"/>
  <c r="R32" i="14"/>
  <c r="S30" i="14"/>
  <c r="S49" i="14"/>
  <c r="S31" i="14"/>
  <c r="R47" i="14"/>
  <c r="S44" i="14"/>
  <c r="R28" i="14"/>
  <c r="R45" i="14"/>
  <c r="R41" i="14"/>
  <c r="R33" i="14"/>
  <c r="S29" i="14"/>
  <c r="S28" i="14"/>
  <c r="R29" i="14"/>
  <c r="R30" i="14"/>
  <c r="S33" i="14"/>
  <c r="L619" i="5"/>
  <c r="L611" i="5"/>
  <c r="L603" i="5"/>
  <c r="L595" i="5"/>
  <c r="L587" i="5"/>
  <c r="L579" i="5"/>
  <c r="L571" i="5"/>
  <c r="L563" i="5"/>
  <c r="L555" i="5"/>
  <c r="L547" i="5"/>
  <c r="L539" i="5"/>
  <c r="L616" i="5"/>
  <c r="L608" i="5"/>
  <c r="L600" i="5"/>
  <c r="K616" i="5"/>
  <c r="K608" i="5"/>
  <c r="K600" i="5"/>
  <c r="K592" i="5"/>
  <c r="K584" i="5"/>
  <c r="K576" i="5"/>
  <c r="K568" i="5"/>
  <c r="K560" i="5"/>
  <c r="K552" i="5"/>
  <c r="K544" i="5"/>
  <c r="K536" i="5"/>
  <c r="K528" i="5"/>
  <c r="K520" i="5"/>
  <c r="K512" i="5"/>
  <c r="K504" i="5"/>
  <c r="K496" i="5"/>
  <c r="K488" i="5"/>
  <c r="K480" i="5"/>
  <c r="L621" i="5"/>
  <c r="L613" i="5"/>
  <c r="L605" i="5"/>
  <c r="L597" i="5"/>
  <c r="L589" i="5"/>
  <c r="L581" i="5"/>
  <c r="L573" i="5"/>
  <c r="L565" i="5"/>
  <c r="L557" i="5"/>
  <c r="L549" i="5"/>
  <c r="L541" i="5"/>
  <c r="L533" i="5"/>
  <c r="K621" i="5"/>
  <c r="K613" i="5"/>
  <c r="K605" i="5"/>
  <c r="K597" i="5"/>
  <c r="K589" i="5"/>
  <c r="K581" i="5"/>
  <c r="K573" i="5"/>
  <c r="K565" i="5"/>
  <c r="K557" i="5"/>
  <c r="K549" i="5"/>
  <c r="K541" i="5"/>
  <c r="K533" i="5"/>
  <c r="K525" i="5"/>
  <c r="K517" i="5"/>
  <c r="K509" i="5"/>
  <c r="K501" i="5"/>
  <c r="K493" i="5"/>
  <c r="K485" i="5"/>
  <c r="K477" i="5"/>
  <c r="K469" i="5"/>
  <c r="K461" i="5"/>
  <c r="K623" i="5"/>
  <c r="K615" i="5"/>
  <c r="K607" i="5"/>
  <c r="K599" i="5"/>
  <c r="K591" i="5"/>
  <c r="K583" i="5"/>
  <c r="K575" i="5"/>
  <c r="K567" i="5"/>
  <c r="K559" i="5"/>
  <c r="K551" i="5"/>
  <c r="K543" i="5"/>
  <c r="K535" i="5"/>
  <c r="K527" i="5"/>
  <c r="K519" i="5"/>
  <c r="K511" i="5"/>
  <c r="K503" i="5"/>
  <c r="K495" i="5"/>
  <c r="K487" i="5"/>
  <c r="K479" i="5"/>
  <c r="K471" i="5"/>
  <c r="K463" i="5"/>
  <c r="L620" i="5"/>
  <c r="L612" i="5"/>
  <c r="L604" i="5"/>
  <c r="L596" i="5"/>
  <c r="L588" i="5"/>
  <c r="L580" i="5"/>
  <c r="L572" i="5"/>
  <c r="L564" i="5"/>
  <c r="L556" i="5"/>
  <c r="K620" i="5"/>
  <c r="K612" i="5"/>
  <c r="K604" i="5"/>
  <c r="K596" i="5"/>
  <c r="K588" i="5"/>
  <c r="K580" i="5"/>
  <c r="K572" i="5"/>
  <c r="K564" i="5"/>
  <c r="K556" i="5"/>
  <c r="K548" i="5"/>
  <c r="K540" i="5"/>
  <c r="K532" i="5"/>
  <c r="K524" i="5"/>
  <c r="K516" i="5"/>
  <c r="K508" i="5"/>
  <c r="K500" i="5"/>
  <c r="K492" i="5"/>
  <c r="K484" i="5"/>
  <c r="K476" i="5"/>
  <c r="K468" i="5"/>
  <c r="K460" i="5"/>
  <c r="L622" i="5"/>
  <c r="K618" i="5"/>
  <c r="K602" i="5"/>
  <c r="K587" i="5"/>
  <c r="L582" i="5"/>
  <c r="L577" i="5"/>
  <c r="L568" i="5"/>
  <c r="L521" i="5"/>
  <c r="L514" i="5"/>
  <c r="L507" i="5"/>
  <c r="L489" i="5"/>
  <c r="L482" i="5"/>
  <c r="L472" i="5"/>
  <c r="L462" i="5"/>
  <c r="K459" i="5"/>
  <c r="K456" i="5"/>
  <c r="K448" i="5"/>
  <c r="K440" i="5"/>
  <c r="K432" i="5"/>
  <c r="K424" i="5"/>
  <c r="K416" i="5"/>
  <c r="K408" i="5"/>
  <c r="K400" i="5"/>
  <c r="K392" i="5"/>
  <c r="K384" i="5"/>
  <c r="K376" i="5"/>
  <c r="K368" i="5"/>
  <c r="K360" i="5"/>
  <c r="K352" i="5"/>
  <c r="L607" i="5"/>
  <c r="K582" i="5"/>
  <c r="K577" i="5"/>
  <c r="K563" i="5"/>
  <c r="L558" i="5"/>
  <c r="L553" i="5"/>
  <c r="L540" i="5"/>
  <c r="L536" i="5"/>
  <c r="K521" i="5"/>
  <c r="K514" i="5"/>
  <c r="K507" i="5"/>
  <c r="K489" i="5"/>
  <c r="K482" i="5"/>
  <c r="L475" i="5"/>
  <c r="K472" i="5"/>
  <c r="L465" i="5"/>
  <c r="K462" i="5"/>
  <c r="L453" i="5"/>
  <c r="L445" i="5"/>
  <c r="L437" i="5"/>
  <c r="L429" i="5"/>
  <c r="L617" i="5"/>
  <c r="L601" i="5"/>
  <c r="L591" i="5"/>
  <c r="L586" i="5"/>
  <c r="K558" i="5"/>
  <c r="K553" i="5"/>
  <c r="L528" i="5"/>
  <c r="L510" i="5"/>
  <c r="L503" i="5"/>
  <c r="L496" i="5"/>
  <c r="L478" i="5"/>
  <c r="K475" i="5"/>
  <c r="K465" i="5"/>
  <c r="K453" i="5"/>
  <c r="K445" i="5"/>
  <c r="K437" i="5"/>
  <c r="K429" i="5"/>
  <c r="K421" i="5"/>
  <c r="K413" i="5"/>
  <c r="K405" i="5"/>
  <c r="K397" i="5"/>
  <c r="K389" i="5"/>
  <c r="K381" i="5"/>
  <c r="K373" i="5"/>
  <c r="K365" i="5"/>
  <c r="K357" i="5"/>
  <c r="L623" i="5"/>
  <c r="K617" i="5"/>
  <c r="K601" i="5"/>
  <c r="K586" i="5"/>
  <c r="L567" i="5"/>
  <c r="L562" i="5"/>
  <c r="L548" i="5"/>
  <c r="L544" i="5"/>
  <c r="L524" i="5"/>
  <c r="L517" i="5"/>
  <c r="K510" i="5"/>
  <c r="L492" i="5"/>
  <c r="L485" i="5"/>
  <c r="K478" i="5"/>
  <c r="L468" i="5"/>
  <c r="L450" i="5"/>
  <c r="L442" i="5"/>
  <c r="L434" i="5"/>
  <c r="L426" i="5"/>
  <c r="L418" i="5"/>
  <c r="L410" i="5"/>
  <c r="L402" i="5"/>
  <c r="L394" i="5"/>
  <c r="L386" i="5"/>
  <c r="L378" i="5"/>
  <c r="L370" i="5"/>
  <c r="L362" i="5"/>
  <c r="L354" i="5"/>
  <c r="L606" i="5"/>
  <c r="K562" i="5"/>
  <c r="L535" i="5"/>
  <c r="L531" i="5"/>
  <c r="L513" i="5"/>
  <c r="L506" i="5"/>
  <c r="L499" i="5"/>
  <c r="L481" i="5"/>
  <c r="L458" i="5"/>
  <c r="K450" i="5"/>
  <c r="K442" i="5"/>
  <c r="K434" i="5"/>
  <c r="K426" i="5"/>
  <c r="K418" i="5"/>
  <c r="K410" i="5"/>
  <c r="K402" i="5"/>
  <c r="K394" i="5"/>
  <c r="K386" i="5"/>
  <c r="K378" i="5"/>
  <c r="K370" i="5"/>
  <c r="K362" i="5"/>
  <c r="K354" i="5"/>
  <c r="K606" i="5"/>
  <c r="L590" i="5"/>
  <c r="L585" i="5"/>
  <c r="L576" i="5"/>
  <c r="K531" i="5"/>
  <c r="K513" i="5"/>
  <c r="K506" i="5"/>
  <c r="K499" i="5"/>
  <c r="K481" i="5"/>
  <c r="L471" i="5"/>
  <c r="K458" i="5"/>
  <c r="L455" i="5"/>
  <c r="L447" i="5"/>
  <c r="L439" i="5"/>
  <c r="L431" i="5"/>
  <c r="L423" i="5"/>
  <c r="K622" i="5"/>
  <c r="K611" i="5"/>
  <c r="K595" i="5"/>
  <c r="K590" i="5"/>
  <c r="K585" i="5"/>
  <c r="K571" i="5"/>
  <c r="L566" i="5"/>
  <c r="L561" i="5"/>
  <c r="L552" i="5"/>
  <c r="L543" i="5"/>
  <c r="K539" i="5"/>
  <c r="L527" i="5"/>
  <c r="L520" i="5"/>
  <c r="L502" i="5"/>
  <c r="L495" i="5"/>
  <c r="L488" i="5"/>
  <c r="L474" i="5"/>
  <c r="L461" i="5"/>
  <c r="K455" i="5"/>
  <c r="K447" i="5"/>
  <c r="K439" i="5"/>
  <c r="K431" i="5"/>
  <c r="K423" i="5"/>
  <c r="K415" i="5"/>
  <c r="K407" i="5"/>
  <c r="K399" i="5"/>
  <c r="K391" i="5"/>
  <c r="K383" i="5"/>
  <c r="K375" i="5"/>
  <c r="K367" i="5"/>
  <c r="K359" i="5"/>
  <c r="K351" i="5"/>
  <c r="L610" i="5"/>
  <c r="L594" i="5"/>
  <c r="K566" i="5"/>
  <c r="K561" i="5"/>
  <c r="L516" i="5"/>
  <c r="L509" i="5"/>
  <c r="K502" i="5"/>
  <c r="L484" i="5"/>
  <c r="K474" i="5"/>
  <c r="L464" i="5"/>
  <c r="L452" i="5"/>
  <c r="L444" i="5"/>
  <c r="L436" i="5"/>
  <c r="L428" i="5"/>
  <c r="L420" i="5"/>
  <c r="L412" i="5"/>
  <c r="L404" i="5"/>
  <c r="L396" i="5"/>
  <c r="L388" i="5"/>
  <c r="L380" i="5"/>
  <c r="L372" i="5"/>
  <c r="L364" i="5"/>
  <c r="L356" i="5"/>
  <c r="K610" i="5"/>
  <c r="K594" i="5"/>
  <c r="L575" i="5"/>
  <c r="L570" i="5"/>
  <c r="K547" i="5"/>
  <c r="L538" i="5"/>
  <c r="L534" i="5"/>
  <c r="L530" i="5"/>
  <c r="L523" i="5"/>
  <c r="L505" i="5"/>
  <c r="L498" i="5"/>
  <c r="L491" i="5"/>
  <c r="L477" i="5"/>
  <c r="L467" i="5"/>
  <c r="K464" i="5"/>
  <c r="K452" i="5"/>
  <c r="L615" i="5"/>
  <c r="L599" i="5"/>
  <c r="K570" i="5"/>
  <c r="L551" i="5"/>
  <c r="K538" i="5"/>
  <c r="K534" i="5"/>
  <c r="K530" i="5"/>
  <c r="K523" i="5"/>
  <c r="K505" i="5"/>
  <c r="K498" i="5"/>
  <c r="K491" i="5"/>
  <c r="L470" i="5"/>
  <c r="K467" i="5"/>
  <c r="L457" i="5"/>
  <c r="L449" i="5"/>
  <c r="L441" i="5"/>
  <c r="L609" i="5"/>
  <c r="L593" i="5"/>
  <c r="L584" i="5"/>
  <c r="L546" i="5"/>
  <c r="L542" i="5"/>
  <c r="L526" i="5"/>
  <c r="L519" i="5"/>
  <c r="L512" i="5"/>
  <c r="L494" i="5"/>
  <c r="L487" i="5"/>
  <c r="L480" i="5"/>
  <c r="L473" i="5"/>
  <c r="K470" i="5"/>
  <c r="L460" i="5"/>
  <c r="K457" i="5"/>
  <c r="K449" i="5"/>
  <c r="K441" i="5"/>
  <c r="K433" i="5"/>
  <c r="K425" i="5"/>
  <c r="K417" i="5"/>
  <c r="K409" i="5"/>
  <c r="K401" i="5"/>
  <c r="K393" i="5"/>
  <c r="K385" i="5"/>
  <c r="K377" i="5"/>
  <c r="K369" i="5"/>
  <c r="K609" i="5"/>
  <c r="K593" i="5"/>
  <c r="K579" i="5"/>
  <c r="L574" i="5"/>
  <c r="L569" i="5"/>
  <c r="L560" i="5"/>
  <c r="K546" i="5"/>
  <c r="K542" i="5"/>
  <c r="K526" i="5"/>
  <c r="L508" i="5"/>
  <c r="L501" i="5"/>
  <c r="K494" i="5"/>
  <c r="K473" i="5"/>
  <c r="L454" i="5"/>
  <c r="L446" i="5"/>
  <c r="L438" i="5"/>
  <c r="L430" i="5"/>
  <c r="K614" i="5"/>
  <c r="K598" i="5"/>
  <c r="L583" i="5"/>
  <c r="L578" i="5"/>
  <c r="K550" i="5"/>
  <c r="K537" i="5"/>
  <c r="K529" i="5"/>
  <c r="K522" i="5"/>
  <c r="K515" i="5"/>
  <c r="K497" i="5"/>
  <c r="K490" i="5"/>
  <c r="K483" i="5"/>
  <c r="L466" i="5"/>
  <c r="L451" i="5"/>
  <c r="L443" i="5"/>
  <c r="L554" i="5"/>
  <c r="L532" i="5"/>
  <c r="K444" i="5"/>
  <c r="K428" i="5"/>
  <c r="K412" i="5"/>
  <c r="K403" i="5"/>
  <c r="K398" i="5"/>
  <c r="L393" i="5"/>
  <c r="L384" i="5"/>
  <c r="L379" i="5"/>
  <c r="L374" i="5"/>
  <c r="L365" i="5"/>
  <c r="L352" i="5"/>
  <c r="L348" i="5"/>
  <c r="L340" i="5"/>
  <c r="L332" i="5"/>
  <c r="L324" i="5"/>
  <c r="L316" i="5"/>
  <c r="L308" i="5"/>
  <c r="L300" i="5"/>
  <c r="L292" i="5"/>
  <c r="L284" i="5"/>
  <c r="L276" i="5"/>
  <c r="L268" i="5"/>
  <c r="L260" i="5"/>
  <c r="L252" i="5"/>
  <c r="L244" i="5"/>
  <c r="L236" i="5"/>
  <c r="L228" i="5"/>
  <c r="L220" i="5"/>
  <c r="L212" i="5"/>
  <c r="L204" i="5"/>
  <c r="L196" i="5"/>
  <c r="K578" i="5"/>
  <c r="K554" i="5"/>
  <c r="L529" i="5"/>
  <c r="L511" i="5"/>
  <c r="L493" i="5"/>
  <c r="L435" i="5"/>
  <c r="L407" i="5"/>
  <c r="K388" i="5"/>
  <c r="K379" i="5"/>
  <c r="K374" i="5"/>
  <c r="L369" i="5"/>
  <c r="K348" i="5"/>
  <c r="K340" i="5"/>
  <c r="K332" i="5"/>
  <c r="K324" i="5"/>
  <c r="K316" i="5"/>
  <c r="K603" i="5"/>
  <c r="L550" i="5"/>
  <c r="L490" i="5"/>
  <c r="L456" i="5"/>
  <c r="K443" i="5"/>
  <c r="K435" i="5"/>
  <c r="L383" i="5"/>
  <c r="K364" i="5"/>
  <c r="L360" i="5"/>
  <c r="L351" i="5"/>
  <c r="L345" i="5"/>
  <c r="L337" i="5"/>
  <c r="L329" i="5"/>
  <c r="L321" i="5"/>
  <c r="L313" i="5"/>
  <c r="L305" i="5"/>
  <c r="L297" i="5"/>
  <c r="L289" i="5"/>
  <c r="L281" i="5"/>
  <c r="L273" i="5"/>
  <c r="L265" i="5"/>
  <c r="L257" i="5"/>
  <c r="L249" i="5"/>
  <c r="L241" i="5"/>
  <c r="L233" i="5"/>
  <c r="L225" i="5"/>
  <c r="L217" i="5"/>
  <c r="L209" i="5"/>
  <c r="L201" i="5"/>
  <c r="L602" i="5"/>
  <c r="K574" i="5"/>
  <c r="K454" i="5"/>
  <c r="L427" i="5"/>
  <c r="L421" i="5"/>
  <c r="K345" i="5"/>
  <c r="K337" i="5"/>
  <c r="K329" i="5"/>
  <c r="K321" i="5"/>
  <c r="K313" i="5"/>
  <c r="K305" i="5"/>
  <c r="K297" i="5"/>
  <c r="K289" i="5"/>
  <c r="K281" i="5"/>
  <c r="K273" i="5"/>
  <c r="K265" i="5"/>
  <c r="K257" i="5"/>
  <c r="K249" i="5"/>
  <c r="K241" i="5"/>
  <c r="K233" i="5"/>
  <c r="K225" i="5"/>
  <c r="K217" i="5"/>
  <c r="K209" i="5"/>
  <c r="K201" i="5"/>
  <c r="L598" i="5"/>
  <c r="K427" i="5"/>
  <c r="L416" i="5"/>
  <c r="L411" i="5"/>
  <c r="L406" i="5"/>
  <c r="L397" i="5"/>
  <c r="L359" i="5"/>
  <c r="L355" i="5"/>
  <c r="L342" i="5"/>
  <c r="L334" i="5"/>
  <c r="L326" i="5"/>
  <c r="L318" i="5"/>
  <c r="L310" i="5"/>
  <c r="L302" i="5"/>
  <c r="L294" i="5"/>
  <c r="L286" i="5"/>
  <c r="L278" i="5"/>
  <c r="L270" i="5"/>
  <c r="L262" i="5"/>
  <c r="L254" i="5"/>
  <c r="L246" i="5"/>
  <c r="L238" i="5"/>
  <c r="L230" i="5"/>
  <c r="L222" i="5"/>
  <c r="L214" i="5"/>
  <c r="L206" i="5"/>
  <c r="L198" i="5"/>
  <c r="L433" i="5"/>
  <c r="K420" i="5"/>
  <c r="K411" i="5"/>
  <c r="K406" i="5"/>
  <c r="L401" i="5"/>
  <c r="L392" i="5"/>
  <c r="L387" i="5"/>
  <c r="L382" i="5"/>
  <c r="L373" i="5"/>
  <c r="K355" i="5"/>
  <c r="K342" i="5"/>
  <c r="K334" i="5"/>
  <c r="K326" i="5"/>
  <c r="K318" i="5"/>
  <c r="K310" i="5"/>
  <c r="K302" i="5"/>
  <c r="K294" i="5"/>
  <c r="K286" i="5"/>
  <c r="K278" i="5"/>
  <c r="K569" i="5"/>
  <c r="L545" i="5"/>
  <c r="L525" i="5"/>
  <c r="L486" i="5"/>
  <c r="L469" i="5"/>
  <c r="L415" i="5"/>
  <c r="K396" i="5"/>
  <c r="K387" i="5"/>
  <c r="K382" i="5"/>
  <c r="L377" i="5"/>
  <c r="L368" i="5"/>
  <c r="L363" i="5"/>
  <c r="L350" i="5"/>
  <c r="L347" i="5"/>
  <c r="L339" i="5"/>
  <c r="L331" i="5"/>
  <c r="L323" i="5"/>
  <c r="L315" i="5"/>
  <c r="L307" i="5"/>
  <c r="L299" i="5"/>
  <c r="L291" i="5"/>
  <c r="L283" i="5"/>
  <c r="L275" i="5"/>
  <c r="L267" i="5"/>
  <c r="L259" i="5"/>
  <c r="L251" i="5"/>
  <c r="L243" i="5"/>
  <c r="L235" i="5"/>
  <c r="L227" i="5"/>
  <c r="L219" i="5"/>
  <c r="L211" i="5"/>
  <c r="L203" i="5"/>
  <c r="K545" i="5"/>
  <c r="L522" i="5"/>
  <c r="L504" i="5"/>
  <c r="K486" i="5"/>
  <c r="K451" i="5"/>
  <c r="L425" i="5"/>
  <c r="L391" i="5"/>
  <c r="K372" i="5"/>
  <c r="K363" i="5"/>
  <c r="K350" i="5"/>
  <c r="K347" i="5"/>
  <c r="K339" i="5"/>
  <c r="K331" i="5"/>
  <c r="K323" i="5"/>
  <c r="K315" i="5"/>
  <c r="L483" i="5"/>
  <c r="K466" i="5"/>
  <c r="L440" i="5"/>
  <c r="L367" i="5"/>
  <c r="L358" i="5"/>
  <c r="L344" i="5"/>
  <c r="L336" i="5"/>
  <c r="L328" i="5"/>
  <c r="L320" i="5"/>
  <c r="L312" i="5"/>
  <c r="K619" i="5"/>
  <c r="L592" i="5"/>
  <c r="L432" i="5"/>
  <c r="L419" i="5"/>
  <c r="L414" i="5"/>
  <c r="L405" i="5"/>
  <c r="K358" i="5"/>
  <c r="K344" i="5"/>
  <c r="K336" i="5"/>
  <c r="K328" i="5"/>
  <c r="K320" i="5"/>
  <c r="K312" i="5"/>
  <c r="L618" i="5"/>
  <c r="L463" i="5"/>
  <c r="K438" i="5"/>
  <c r="K419" i="5"/>
  <c r="K414" i="5"/>
  <c r="L409" i="5"/>
  <c r="L400" i="5"/>
  <c r="L395" i="5"/>
  <c r="L390" i="5"/>
  <c r="L381" i="5"/>
  <c r="L353" i="5"/>
  <c r="L341" i="5"/>
  <c r="L333" i="5"/>
  <c r="L325" i="5"/>
  <c r="L317" i="5"/>
  <c r="L309" i="5"/>
  <c r="L301" i="5"/>
  <c r="L293" i="5"/>
  <c r="L285" i="5"/>
  <c r="L277" i="5"/>
  <c r="L269" i="5"/>
  <c r="L261" i="5"/>
  <c r="L253" i="5"/>
  <c r="L245" i="5"/>
  <c r="L237" i="5"/>
  <c r="L229" i="5"/>
  <c r="L221" i="5"/>
  <c r="L213" i="5"/>
  <c r="L205" i="5"/>
  <c r="L197" i="5"/>
  <c r="L559" i="5"/>
  <c r="L515" i="5"/>
  <c r="K446" i="5"/>
  <c r="K518" i="5"/>
  <c r="L399" i="5"/>
  <c r="K366" i="5"/>
  <c r="L343" i="5"/>
  <c r="K335" i="5"/>
  <c r="K325" i="5"/>
  <c r="K309" i="5"/>
  <c r="L304" i="5"/>
  <c r="K300" i="5"/>
  <c r="L295" i="5"/>
  <c r="L290" i="5"/>
  <c r="K263" i="5"/>
  <c r="K254" i="5"/>
  <c r="K250" i="5"/>
  <c r="K237" i="5"/>
  <c r="L224" i="5"/>
  <c r="K199" i="5"/>
  <c r="K195" i="5"/>
  <c r="K187" i="5"/>
  <c r="K179" i="5"/>
  <c r="K171" i="5"/>
  <c r="K163" i="5"/>
  <c r="K155" i="5"/>
  <c r="K147" i="5"/>
  <c r="K139" i="5"/>
  <c r="K131" i="5"/>
  <c r="K123" i="5"/>
  <c r="K115" i="5"/>
  <c r="K107" i="5"/>
  <c r="K99" i="5"/>
  <c r="K91" i="5"/>
  <c r="K83" i="5"/>
  <c r="K380" i="5"/>
  <c r="K343" i="5"/>
  <c r="K333" i="5"/>
  <c r="K304" i="5"/>
  <c r="K299" i="5"/>
  <c r="K295" i="5"/>
  <c r="K290" i="5"/>
  <c r="K285" i="5"/>
  <c r="L280" i="5"/>
  <c r="K276" i="5"/>
  <c r="L271" i="5"/>
  <c r="L258" i="5"/>
  <c r="K224" i="5"/>
  <c r="K220" i="5"/>
  <c r="K211" i="5"/>
  <c r="L207" i="5"/>
  <c r="L192" i="5"/>
  <c r="L184" i="5"/>
  <c r="L176" i="5"/>
  <c r="L168" i="5"/>
  <c r="L160" i="5"/>
  <c r="L152" i="5"/>
  <c r="L144" i="5"/>
  <c r="L417" i="5"/>
  <c r="L398" i="5"/>
  <c r="K341" i="5"/>
  <c r="K280" i="5"/>
  <c r="K275" i="5"/>
  <c r="K271" i="5"/>
  <c r="K262" i="5"/>
  <c r="K258" i="5"/>
  <c r="K245" i="5"/>
  <c r="L232" i="5"/>
  <c r="K207" i="5"/>
  <c r="K198" i="5"/>
  <c r="K192" i="5"/>
  <c r="K184" i="5"/>
  <c r="K176" i="5"/>
  <c r="K168" i="5"/>
  <c r="K160" i="5"/>
  <c r="K152" i="5"/>
  <c r="K144" i="5"/>
  <c r="K136" i="5"/>
  <c r="K128" i="5"/>
  <c r="K120" i="5"/>
  <c r="K112" i="5"/>
  <c r="K104" i="5"/>
  <c r="K96" i="5"/>
  <c r="K88" i="5"/>
  <c r="L500" i="5"/>
  <c r="K395" i="5"/>
  <c r="L349" i="5"/>
  <c r="L266" i="5"/>
  <c r="K232" i="5"/>
  <c r="K228" i="5"/>
  <c r="K219" i="5"/>
  <c r="L215" i="5"/>
  <c r="L202" i="5"/>
  <c r="L189" i="5"/>
  <c r="L181" i="5"/>
  <c r="L173" i="5"/>
  <c r="L497" i="5"/>
  <c r="K349" i="5"/>
  <c r="K270" i="5"/>
  <c r="K266" i="5"/>
  <c r="K253" i="5"/>
  <c r="L240" i="5"/>
  <c r="K215" i="5"/>
  <c r="K206" i="5"/>
  <c r="K202" i="5"/>
  <c r="K189" i="5"/>
  <c r="K181" i="5"/>
  <c r="K173" i="5"/>
  <c r="K165" i="5"/>
  <c r="K157" i="5"/>
  <c r="K149" i="5"/>
  <c r="K141" i="5"/>
  <c r="K133" i="5"/>
  <c r="K125" i="5"/>
  <c r="K117" i="5"/>
  <c r="K109" i="5"/>
  <c r="K101" i="5"/>
  <c r="K93" i="5"/>
  <c r="K85" i="5"/>
  <c r="K436" i="5"/>
  <c r="L413" i="5"/>
  <c r="L376" i="5"/>
  <c r="L361" i="5"/>
  <c r="L314" i="5"/>
  <c r="K308" i="5"/>
  <c r="L303" i="5"/>
  <c r="L298" i="5"/>
  <c r="K240" i="5"/>
  <c r="K236" i="5"/>
  <c r="K227" i="5"/>
  <c r="L223" i="5"/>
  <c r="L210" i="5"/>
  <c r="L194" i="5"/>
  <c r="L186" i="5"/>
  <c r="L178" i="5"/>
  <c r="L170" i="5"/>
  <c r="L162" i="5"/>
  <c r="L154" i="5"/>
  <c r="L146" i="5"/>
  <c r="L138" i="5"/>
  <c r="L130" i="5"/>
  <c r="L122" i="5"/>
  <c r="L114" i="5"/>
  <c r="L106" i="5"/>
  <c r="L98" i="5"/>
  <c r="L90" i="5"/>
  <c r="K361" i="5"/>
  <c r="L322" i="5"/>
  <c r="K314" i="5"/>
  <c r="K307" i="5"/>
  <c r="K303" i="5"/>
  <c r="K298" i="5"/>
  <c r="K293" i="5"/>
  <c r="L288" i="5"/>
  <c r="K284" i="5"/>
  <c r="L279" i="5"/>
  <c r="L274" i="5"/>
  <c r="K261" i="5"/>
  <c r="L248" i="5"/>
  <c r="K223" i="5"/>
  <c r="K214" i="5"/>
  <c r="K210" i="5"/>
  <c r="K197" i="5"/>
  <c r="K194" i="5"/>
  <c r="K186" i="5"/>
  <c r="K178" i="5"/>
  <c r="K170" i="5"/>
  <c r="K162" i="5"/>
  <c r="K154" i="5"/>
  <c r="K146" i="5"/>
  <c r="K138" i="5"/>
  <c r="K390" i="5"/>
  <c r="L375" i="5"/>
  <c r="L330" i="5"/>
  <c r="K322" i="5"/>
  <c r="K288" i="5"/>
  <c r="K283" i="5"/>
  <c r="K279" i="5"/>
  <c r="K274" i="5"/>
  <c r="K248" i="5"/>
  <c r="K244" i="5"/>
  <c r="K235" i="5"/>
  <c r="L231" i="5"/>
  <c r="L218" i="5"/>
  <c r="L191" i="5"/>
  <c r="L183" i="5"/>
  <c r="L175" i="5"/>
  <c r="L167" i="5"/>
  <c r="L159" i="5"/>
  <c r="L151" i="5"/>
  <c r="L143" i="5"/>
  <c r="L135" i="5"/>
  <c r="L127" i="5"/>
  <c r="L119" i="5"/>
  <c r="L111" i="5"/>
  <c r="L103" i="5"/>
  <c r="L95" i="5"/>
  <c r="L87" i="5"/>
  <c r="L479" i="5"/>
  <c r="K430" i="5"/>
  <c r="L338" i="5"/>
  <c r="K330" i="5"/>
  <c r="K269" i="5"/>
  <c r="L256" i="5"/>
  <c r="K231" i="5"/>
  <c r="K222" i="5"/>
  <c r="K218" i="5"/>
  <c r="K205" i="5"/>
  <c r="K191" i="5"/>
  <c r="K183" i="5"/>
  <c r="K175" i="5"/>
  <c r="K167" i="5"/>
  <c r="K159" i="5"/>
  <c r="K151" i="5"/>
  <c r="K143" i="5"/>
  <c r="K135" i="5"/>
  <c r="K127" i="5"/>
  <c r="K119" i="5"/>
  <c r="K111" i="5"/>
  <c r="K103" i="5"/>
  <c r="K95" i="5"/>
  <c r="K87" i="5"/>
  <c r="L476" i="5"/>
  <c r="L346" i="5"/>
  <c r="K338" i="5"/>
  <c r="K256" i="5"/>
  <c r="K252" i="5"/>
  <c r="K243" i="5"/>
  <c r="L239" i="5"/>
  <c r="L226" i="5"/>
  <c r="L188" i="5"/>
  <c r="L180" i="5"/>
  <c r="L172" i="5"/>
  <c r="L164" i="5"/>
  <c r="L156" i="5"/>
  <c r="L148" i="5"/>
  <c r="K555" i="5"/>
  <c r="L408" i="5"/>
  <c r="L389" i="5"/>
  <c r="L371" i="5"/>
  <c r="K346" i="5"/>
  <c r="L306" i="5"/>
  <c r="L264" i="5"/>
  <c r="K239" i="5"/>
  <c r="K230" i="5"/>
  <c r="K226" i="5"/>
  <c r="K213" i="5"/>
  <c r="L200" i="5"/>
  <c r="K188" i="5"/>
  <c r="K180" i="5"/>
  <c r="K172" i="5"/>
  <c r="K164" i="5"/>
  <c r="K156" i="5"/>
  <c r="K148" i="5"/>
  <c r="K140" i="5"/>
  <c r="K132" i="5"/>
  <c r="K124" i="5"/>
  <c r="K116" i="5"/>
  <c r="K108" i="5"/>
  <c r="K100" i="5"/>
  <c r="K92" i="5"/>
  <c r="K84" i="5"/>
  <c r="L422" i="5"/>
  <c r="K356" i="5"/>
  <c r="L319" i="5"/>
  <c r="K311" i="5"/>
  <c r="K272" i="5"/>
  <c r="K268" i="5"/>
  <c r="K259" i="5"/>
  <c r="L255" i="5"/>
  <c r="L242" i="5"/>
  <c r="K208" i="5"/>
  <c r="K204" i="5"/>
  <c r="L190" i="5"/>
  <c r="L182" i="5"/>
  <c r="K287" i="5"/>
  <c r="K234" i="5"/>
  <c r="K177" i="5"/>
  <c r="L161" i="5"/>
  <c r="L155" i="5"/>
  <c r="L131" i="5"/>
  <c r="L126" i="5"/>
  <c r="L121" i="5"/>
  <c r="L112" i="5"/>
  <c r="L93" i="5"/>
  <c r="L88" i="5"/>
  <c r="L311" i="5"/>
  <c r="K238" i="5"/>
  <c r="K221" i="5"/>
  <c r="L171" i="5"/>
  <c r="K113" i="5"/>
  <c r="L89" i="5"/>
  <c r="K190" i="5"/>
  <c r="L179" i="5"/>
  <c r="L142" i="5"/>
  <c r="L177" i="5"/>
  <c r="K142" i="5"/>
  <c r="L216" i="5"/>
  <c r="K161" i="5"/>
  <c r="L141" i="5"/>
  <c r="K126" i="5"/>
  <c r="K121" i="5"/>
  <c r="L116" i="5"/>
  <c r="L107" i="5"/>
  <c r="L102" i="5"/>
  <c r="L97" i="5"/>
  <c r="K291" i="5"/>
  <c r="K251" i="5"/>
  <c r="L518" i="5"/>
  <c r="L335" i="5"/>
  <c r="K267" i="5"/>
  <c r="L250" i="5"/>
  <c r="K216" i="5"/>
  <c r="L199" i="5"/>
  <c r="L187" i="5"/>
  <c r="L153" i="5"/>
  <c r="L147" i="5"/>
  <c r="L140" i="5"/>
  <c r="K102" i="5"/>
  <c r="K97" i="5"/>
  <c r="L92" i="5"/>
  <c r="L83" i="5"/>
  <c r="L282" i="5"/>
  <c r="L185" i="5"/>
  <c r="K130" i="5"/>
  <c r="K371" i="5"/>
  <c r="K301" i="5"/>
  <c r="K264" i="5"/>
  <c r="L247" i="5"/>
  <c r="K196" i="5"/>
  <c r="K153" i="5"/>
  <c r="K282" i="5"/>
  <c r="K247" i="5"/>
  <c r="K185" i="5"/>
  <c r="L125" i="5"/>
  <c r="K106" i="5"/>
  <c r="L118" i="5"/>
  <c r="L85" i="5"/>
  <c r="L108" i="5"/>
  <c r="L84" i="5"/>
  <c r="L163" i="5"/>
  <c r="K122" i="5"/>
  <c r="L537" i="5"/>
  <c r="L459" i="5"/>
  <c r="L327" i="5"/>
  <c r="K246" i="5"/>
  <c r="K229" i="5"/>
  <c r="L174" i="5"/>
  <c r="L145" i="5"/>
  <c r="L134" i="5"/>
  <c r="L129" i="5"/>
  <c r="L120" i="5"/>
  <c r="L101" i="5"/>
  <c r="L132" i="5"/>
  <c r="L94" i="5"/>
  <c r="K203" i="5"/>
  <c r="L287" i="5"/>
  <c r="L136" i="5"/>
  <c r="L448" i="5"/>
  <c r="L366" i="5"/>
  <c r="K327" i="5"/>
  <c r="L263" i="5"/>
  <c r="K212" i="5"/>
  <c r="L195" i="5"/>
  <c r="K174" i="5"/>
  <c r="L166" i="5"/>
  <c r="K145" i="5"/>
  <c r="K134" i="5"/>
  <c r="K129" i="5"/>
  <c r="L124" i="5"/>
  <c r="L115" i="5"/>
  <c r="L110" i="5"/>
  <c r="L105" i="5"/>
  <c r="L96" i="5"/>
  <c r="L86" i="5"/>
  <c r="L157" i="5"/>
  <c r="L123" i="5"/>
  <c r="L104" i="5"/>
  <c r="L99" i="5"/>
  <c r="L403" i="5"/>
  <c r="L149" i="5"/>
  <c r="K89" i="5"/>
  <c r="L614" i="5"/>
  <c r="L385" i="5"/>
  <c r="K169" i="5"/>
  <c r="L117" i="5"/>
  <c r="L424" i="5"/>
  <c r="L357" i="5"/>
  <c r="L296" i="5"/>
  <c r="K260" i="5"/>
  <c r="L193" i="5"/>
  <c r="K166" i="5"/>
  <c r="L139" i="5"/>
  <c r="K110" i="5"/>
  <c r="K105" i="5"/>
  <c r="L100" i="5"/>
  <c r="L91" i="5"/>
  <c r="K150" i="5"/>
  <c r="K296" i="5"/>
  <c r="K277" i="5"/>
  <c r="L208" i="5"/>
  <c r="K193" i="5"/>
  <c r="L158" i="5"/>
  <c r="K86" i="5"/>
  <c r="K292" i="5"/>
  <c r="K137" i="5"/>
  <c r="K118" i="5"/>
  <c r="K255" i="5"/>
  <c r="L234" i="5"/>
  <c r="K422" i="5"/>
  <c r="K353" i="5"/>
  <c r="K319" i="5"/>
  <c r="K242" i="5"/>
  <c r="K182" i="5"/>
  <c r="L165" i="5"/>
  <c r="K158" i="5"/>
  <c r="L133" i="5"/>
  <c r="K114" i="5"/>
  <c r="L272" i="5"/>
  <c r="K200" i="5"/>
  <c r="K98" i="5"/>
  <c r="K317" i="5"/>
  <c r="L150" i="5"/>
  <c r="L137" i="5"/>
  <c r="L128" i="5"/>
  <c r="L109" i="5"/>
  <c r="K90" i="5"/>
  <c r="L113" i="5"/>
  <c r="L169" i="5"/>
  <c r="K306" i="5"/>
  <c r="K404" i="5"/>
  <c r="K94" i="5"/>
  <c r="R38" i="14"/>
  <c r="R39" i="14"/>
  <c r="R44" i="14"/>
  <c r="S46" i="14"/>
  <c r="R43" i="14"/>
  <c r="R40" i="14"/>
  <c r="R31" i="14"/>
  <c r="R35" i="14"/>
  <c r="S39" i="14"/>
  <c r="S42" i="14"/>
  <c r="S24" i="14"/>
  <c r="S36" i="14"/>
  <c r="S47" i="14"/>
  <c r="S45" i="14"/>
  <c r="S35" i="14"/>
  <c r="S25" i="14"/>
  <c r="S52" i="14"/>
  <c r="R46" i="14"/>
  <c r="S48" i="14"/>
  <c r="R50" i="14"/>
  <c r="S43" i="14"/>
  <c r="R25" i="14"/>
  <c r="R23" i="14"/>
  <c r="T23" i="14" s="1"/>
  <c r="R36" i="14"/>
  <c r="S41" i="14"/>
  <c r="R37" i="14"/>
  <c r="R52" i="14"/>
  <c r="S38" i="14"/>
  <c r="R34" i="14"/>
  <c r="S37" i="14"/>
  <c r="S51" i="14"/>
  <c r="R24" i="14"/>
  <c r="R27" i="14"/>
  <c r="S27" i="14"/>
  <c r="R48" i="14"/>
  <c r="S50" i="14"/>
  <c r="E31" i="5"/>
  <c r="O13" i="6" s="1"/>
  <c r="Q13" i="6" s="1"/>
  <c r="S13" i="6" s="1"/>
  <c r="E39" i="5"/>
  <c r="O21" i="6" s="1"/>
  <c r="Q21" i="6" s="1"/>
  <c r="S21" i="6" s="1"/>
  <c r="E47" i="5"/>
  <c r="E55" i="5"/>
  <c r="E63" i="5"/>
  <c r="E71" i="5"/>
  <c r="E79" i="5"/>
  <c r="E87" i="5"/>
  <c r="E95" i="5"/>
  <c r="E103" i="5"/>
  <c r="E111" i="5"/>
  <c r="E119" i="5"/>
  <c r="E127" i="5"/>
  <c r="E135" i="5"/>
  <c r="E143" i="5"/>
  <c r="E151" i="5"/>
  <c r="E159" i="5"/>
  <c r="E167" i="5"/>
  <c r="E175" i="5"/>
  <c r="E183" i="5"/>
  <c r="E191" i="5"/>
  <c r="E199" i="5"/>
  <c r="E207" i="5"/>
  <c r="E215" i="5"/>
  <c r="E223" i="5"/>
  <c r="E231" i="5"/>
  <c r="E239" i="5"/>
  <c r="E247" i="5"/>
  <c r="E255" i="5"/>
  <c r="E263" i="5"/>
  <c r="E271" i="5"/>
  <c r="E279" i="5"/>
  <c r="E287" i="5"/>
  <c r="E295" i="5"/>
  <c r="E303" i="5"/>
  <c r="E311" i="5"/>
  <c r="E319" i="5"/>
  <c r="E327" i="5"/>
  <c r="E335" i="5"/>
  <c r="E343" i="5"/>
  <c r="E351" i="5"/>
  <c r="E359" i="5"/>
  <c r="E367" i="5"/>
  <c r="E375" i="5"/>
  <c r="E383" i="5"/>
  <c r="E391" i="5"/>
  <c r="E399" i="5"/>
  <c r="E407" i="5"/>
  <c r="E415" i="5"/>
  <c r="E423" i="5"/>
  <c r="E431" i="5"/>
  <c r="E439" i="5"/>
  <c r="E447" i="5"/>
  <c r="E455" i="5"/>
  <c r="E463" i="5"/>
  <c r="E471" i="5"/>
  <c r="E479" i="5"/>
  <c r="E487" i="5"/>
  <c r="E495" i="5"/>
  <c r="E503" i="5"/>
  <c r="E511" i="5"/>
  <c r="E519" i="5"/>
  <c r="E527" i="5"/>
  <c r="E535" i="5"/>
  <c r="E543" i="5"/>
  <c r="E551" i="5"/>
  <c r="E559" i="5"/>
  <c r="E567" i="5"/>
  <c r="E575" i="5"/>
  <c r="E583" i="5"/>
  <c r="E591" i="5"/>
  <c r="E599" i="5"/>
  <c r="D24" i="5"/>
  <c r="N6" i="6" s="1"/>
  <c r="D32" i="5"/>
  <c r="N14" i="6" s="1"/>
  <c r="D40" i="5"/>
  <c r="N22" i="6" s="1"/>
  <c r="D48" i="5"/>
  <c r="D56" i="5"/>
  <c r="D64" i="5"/>
  <c r="D72" i="5"/>
  <c r="D80" i="5"/>
  <c r="D88" i="5"/>
  <c r="D96" i="5"/>
  <c r="D104" i="5"/>
  <c r="D112" i="5"/>
  <c r="D120" i="5"/>
  <c r="D128" i="5"/>
  <c r="D136" i="5"/>
  <c r="D144" i="5"/>
  <c r="D152" i="5"/>
  <c r="D160" i="5"/>
  <c r="D168" i="5"/>
  <c r="D176" i="5"/>
  <c r="D184" i="5"/>
  <c r="D192" i="5"/>
  <c r="D200" i="5"/>
  <c r="D208" i="5"/>
  <c r="D216" i="5"/>
  <c r="D224" i="5"/>
  <c r="D232" i="5"/>
  <c r="D240" i="5"/>
  <c r="D248" i="5"/>
  <c r="D256" i="5"/>
  <c r="D264" i="5"/>
  <c r="D272" i="5"/>
  <c r="D280" i="5"/>
  <c r="D288" i="5"/>
  <c r="D296" i="5"/>
  <c r="D304" i="5"/>
  <c r="D312" i="5"/>
  <c r="D320" i="5"/>
  <c r="D328" i="5"/>
  <c r="D336" i="5"/>
  <c r="D344" i="5"/>
  <c r="D352" i="5"/>
  <c r="D360" i="5"/>
  <c r="D368" i="5"/>
  <c r="D376" i="5"/>
  <c r="D384" i="5"/>
  <c r="D392" i="5"/>
  <c r="D400" i="5"/>
  <c r="D408" i="5"/>
  <c r="D416" i="5"/>
  <c r="D424" i="5"/>
  <c r="D432" i="5"/>
  <c r="D440" i="5"/>
  <c r="D448" i="5"/>
  <c r="D456" i="5"/>
  <c r="D464" i="5"/>
  <c r="D472" i="5"/>
  <c r="D480" i="5"/>
  <c r="D488" i="5"/>
  <c r="D496" i="5"/>
  <c r="D504" i="5"/>
  <c r="D512" i="5"/>
  <c r="D520" i="5"/>
  <c r="D528" i="5"/>
  <c r="D536" i="5"/>
  <c r="D544" i="5"/>
  <c r="D552" i="5"/>
  <c r="D560" i="5"/>
  <c r="D568" i="5"/>
  <c r="D576" i="5"/>
  <c r="D584" i="5"/>
  <c r="D592" i="5"/>
  <c r="D600" i="5"/>
  <c r="D608" i="5"/>
  <c r="D616" i="5"/>
  <c r="E552" i="5"/>
  <c r="E568" i="5"/>
  <c r="E576" i="5"/>
  <c r="E584" i="5"/>
  <c r="E600" i="5"/>
  <c r="E608" i="5"/>
  <c r="E616" i="5"/>
  <c r="D578" i="5"/>
  <c r="D610" i="5"/>
  <c r="E24" i="5"/>
  <c r="O6" i="6" s="1"/>
  <c r="Q6" i="6" s="1"/>
  <c r="S6" i="6" s="1"/>
  <c r="E32" i="5"/>
  <c r="O14" i="6" s="1"/>
  <c r="Q14" i="6" s="1"/>
  <c r="S14" i="6" s="1"/>
  <c r="E40" i="5"/>
  <c r="O22" i="6" s="1"/>
  <c r="Q22" i="6" s="1"/>
  <c r="S22" i="6" s="1"/>
  <c r="E48" i="5"/>
  <c r="E56" i="5"/>
  <c r="E64" i="5"/>
  <c r="E72" i="5"/>
  <c r="E80" i="5"/>
  <c r="E88" i="5"/>
  <c r="E96" i="5"/>
  <c r="E104" i="5"/>
  <c r="E112" i="5"/>
  <c r="E120" i="5"/>
  <c r="E128" i="5"/>
  <c r="E136" i="5"/>
  <c r="E144" i="5"/>
  <c r="E152" i="5"/>
  <c r="E160" i="5"/>
  <c r="E168" i="5"/>
  <c r="E176" i="5"/>
  <c r="E184" i="5"/>
  <c r="E192" i="5"/>
  <c r="E200" i="5"/>
  <c r="E208" i="5"/>
  <c r="E216" i="5"/>
  <c r="E224" i="5"/>
  <c r="E232" i="5"/>
  <c r="E240" i="5"/>
  <c r="E248" i="5"/>
  <c r="E256" i="5"/>
  <c r="E264" i="5"/>
  <c r="E272" i="5"/>
  <c r="E280" i="5"/>
  <c r="E288" i="5"/>
  <c r="E296" i="5"/>
  <c r="E304" i="5"/>
  <c r="E312" i="5"/>
  <c r="E320" i="5"/>
  <c r="E328" i="5"/>
  <c r="E336" i="5"/>
  <c r="E344" i="5"/>
  <c r="E352" i="5"/>
  <c r="E360" i="5"/>
  <c r="E368" i="5"/>
  <c r="E376" i="5"/>
  <c r="E384" i="5"/>
  <c r="E392" i="5"/>
  <c r="E400" i="5"/>
  <c r="E408" i="5"/>
  <c r="E416" i="5"/>
  <c r="E424" i="5"/>
  <c r="E432" i="5"/>
  <c r="E440" i="5"/>
  <c r="E448" i="5"/>
  <c r="E456" i="5"/>
  <c r="E464" i="5"/>
  <c r="E472" i="5"/>
  <c r="E480" i="5"/>
  <c r="E488" i="5"/>
  <c r="E496" i="5"/>
  <c r="E504" i="5"/>
  <c r="E512" i="5"/>
  <c r="E520" i="5"/>
  <c r="E528" i="5"/>
  <c r="E536" i="5"/>
  <c r="E544" i="5"/>
  <c r="E560" i="5"/>
  <c r="E592" i="5"/>
  <c r="E23" i="5"/>
  <c r="D619" i="5"/>
  <c r="D25" i="5"/>
  <c r="N7" i="6" s="1"/>
  <c r="D33" i="5"/>
  <c r="N15" i="6" s="1"/>
  <c r="D41" i="5"/>
  <c r="D49" i="5"/>
  <c r="D57" i="5"/>
  <c r="D65" i="5"/>
  <c r="D73" i="5"/>
  <c r="D81" i="5"/>
  <c r="D89" i="5"/>
  <c r="D97" i="5"/>
  <c r="D105" i="5"/>
  <c r="D113" i="5"/>
  <c r="D121" i="5"/>
  <c r="D129" i="5"/>
  <c r="D137" i="5"/>
  <c r="D145" i="5"/>
  <c r="D153" i="5"/>
  <c r="D161" i="5"/>
  <c r="D169" i="5"/>
  <c r="D177" i="5"/>
  <c r="D185" i="5"/>
  <c r="D193" i="5"/>
  <c r="D201" i="5"/>
  <c r="D209" i="5"/>
  <c r="D217" i="5"/>
  <c r="D225" i="5"/>
  <c r="D233" i="5"/>
  <c r="D241" i="5"/>
  <c r="D249" i="5"/>
  <c r="D257" i="5"/>
  <c r="D265" i="5"/>
  <c r="D273" i="5"/>
  <c r="D281" i="5"/>
  <c r="D289" i="5"/>
  <c r="D297" i="5"/>
  <c r="D305" i="5"/>
  <c r="D313" i="5"/>
  <c r="D321" i="5"/>
  <c r="D329" i="5"/>
  <c r="D337" i="5"/>
  <c r="D345" i="5"/>
  <c r="D353" i="5"/>
  <c r="D361" i="5"/>
  <c r="D369" i="5"/>
  <c r="D377" i="5"/>
  <c r="D385" i="5"/>
  <c r="D393" i="5"/>
  <c r="D401" i="5"/>
  <c r="D409" i="5"/>
  <c r="D417" i="5"/>
  <c r="D425" i="5"/>
  <c r="D433" i="5"/>
  <c r="D441" i="5"/>
  <c r="D449" i="5"/>
  <c r="D457" i="5"/>
  <c r="D465" i="5"/>
  <c r="D473" i="5"/>
  <c r="D481" i="5"/>
  <c r="D489" i="5"/>
  <c r="D497" i="5"/>
  <c r="D505" i="5"/>
  <c r="D513" i="5"/>
  <c r="D521" i="5"/>
  <c r="D529" i="5"/>
  <c r="D537" i="5"/>
  <c r="D545" i="5"/>
  <c r="D553" i="5"/>
  <c r="D561" i="5"/>
  <c r="D569" i="5"/>
  <c r="D577" i="5"/>
  <c r="D585" i="5"/>
  <c r="D593" i="5"/>
  <c r="D601" i="5"/>
  <c r="D609" i="5"/>
  <c r="D617" i="5"/>
  <c r="D23" i="5"/>
  <c r="E553" i="5"/>
  <c r="E569" i="5"/>
  <c r="E577" i="5"/>
  <c r="E593" i="5"/>
  <c r="E601" i="5"/>
  <c r="E609" i="5"/>
  <c r="D586" i="5"/>
  <c r="D602" i="5"/>
  <c r="E25" i="5"/>
  <c r="O7" i="6" s="1"/>
  <c r="Q7" i="6" s="1"/>
  <c r="S7" i="6" s="1"/>
  <c r="E33" i="5"/>
  <c r="O15" i="6" s="1"/>
  <c r="Q15" i="6" s="1"/>
  <c r="S15" i="6" s="1"/>
  <c r="E41" i="5"/>
  <c r="O23" i="6" s="1"/>
  <c r="Q23" i="6" s="1"/>
  <c r="S23" i="6" s="1"/>
  <c r="E49" i="5"/>
  <c r="E57" i="5"/>
  <c r="E65" i="5"/>
  <c r="E73" i="5"/>
  <c r="E81" i="5"/>
  <c r="E89" i="5"/>
  <c r="E97" i="5"/>
  <c r="E105" i="5"/>
  <c r="E113" i="5"/>
  <c r="E121" i="5"/>
  <c r="E129" i="5"/>
  <c r="E137" i="5"/>
  <c r="E145" i="5"/>
  <c r="E153" i="5"/>
  <c r="E161" i="5"/>
  <c r="E169" i="5"/>
  <c r="E177" i="5"/>
  <c r="E185" i="5"/>
  <c r="E193" i="5"/>
  <c r="E201" i="5"/>
  <c r="E209" i="5"/>
  <c r="E217" i="5"/>
  <c r="E225" i="5"/>
  <c r="E233" i="5"/>
  <c r="E241" i="5"/>
  <c r="E249" i="5"/>
  <c r="E257" i="5"/>
  <c r="E265" i="5"/>
  <c r="E273" i="5"/>
  <c r="E281" i="5"/>
  <c r="E289" i="5"/>
  <c r="E297" i="5"/>
  <c r="E305" i="5"/>
  <c r="E313" i="5"/>
  <c r="E321" i="5"/>
  <c r="E329" i="5"/>
  <c r="E337" i="5"/>
  <c r="E345" i="5"/>
  <c r="E353" i="5"/>
  <c r="E361" i="5"/>
  <c r="E369" i="5"/>
  <c r="E377" i="5"/>
  <c r="E385" i="5"/>
  <c r="E393" i="5"/>
  <c r="E401" i="5"/>
  <c r="E409" i="5"/>
  <c r="E417" i="5"/>
  <c r="E425" i="5"/>
  <c r="E433" i="5"/>
  <c r="E441" i="5"/>
  <c r="E449" i="5"/>
  <c r="E457" i="5"/>
  <c r="E465" i="5"/>
  <c r="E473" i="5"/>
  <c r="E481" i="5"/>
  <c r="E489" i="5"/>
  <c r="E497" i="5"/>
  <c r="E505" i="5"/>
  <c r="E513" i="5"/>
  <c r="E521" i="5"/>
  <c r="E529" i="5"/>
  <c r="E537" i="5"/>
  <c r="E545" i="5"/>
  <c r="E561" i="5"/>
  <c r="E585" i="5"/>
  <c r="E617" i="5"/>
  <c r="E618" i="5"/>
  <c r="D26" i="5"/>
  <c r="N8" i="6" s="1"/>
  <c r="D34" i="5"/>
  <c r="N16" i="6" s="1"/>
  <c r="D42" i="5"/>
  <c r="N24" i="6" s="1"/>
  <c r="D50" i="5"/>
  <c r="D58" i="5"/>
  <c r="D66" i="5"/>
  <c r="D74" i="5"/>
  <c r="D82" i="5"/>
  <c r="D90" i="5"/>
  <c r="D98" i="5"/>
  <c r="D106" i="5"/>
  <c r="D114" i="5"/>
  <c r="D122" i="5"/>
  <c r="D130" i="5"/>
  <c r="D138" i="5"/>
  <c r="D146" i="5"/>
  <c r="D154" i="5"/>
  <c r="D162" i="5"/>
  <c r="D170" i="5"/>
  <c r="D178" i="5"/>
  <c r="D186" i="5"/>
  <c r="D194" i="5"/>
  <c r="D202" i="5"/>
  <c r="D210" i="5"/>
  <c r="D218" i="5"/>
  <c r="D226" i="5"/>
  <c r="D234" i="5"/>
  <c r="D242" i="5"/>
  <c r="D250" i="5"/>
  <c r="D258" i="5"/>
  <c r="D266" i="5"/>
  <c r="D274" i="5"/>
  <c r="D282" i="5"/>
  <c r="D290" i="5"/>
  <c r="D298" i="5"/>
  <c r="D306" i="5"/>
  <c r="D314" i="5"/>
  <c r="D322" i="5"/>
  <c r="D330" i="5"/>
  <c r="D338" i="5"/>
  <c r="D346" i="5"/>
  <c r="D354" i="5"/>
  <c r="D362" i="5"/>
  <c r="D370" i="5"/>
  <c r="D378" i="5"/>
  <c r="D386" i="5"/>
  <c r="D394" i="5"/>
  <c r="D402" i="5"/>
  <c r="D410" i="5"/>
  <c r="D418" i="5"/>
  <c r="D426" i="5"/>
  <c r="D434" i="5"/>
  <c r="D442" i="5"/>
  <c r="D450" i="5"/>
  <c r="D458" i="5"/>
  <c r="D466" i="5"/>
  <c r="D474" i="5"/>
  <c r="D482" i="5"/>
  <c r="D490" i="5"/>
  <c r="D498" i="5"/>
  <c r="D506" i="5"/>
  <c r="D514" i="5"/>
  <c r="D522" i="5"/>
  <c r="D530" i="5"/>
  <c r="D538" i="5"/>
  <c r="D546" i="5"/>
  <c r="D554" i="5"/>
  <c r="D562" i="5"/>
  <c r="D570" i="5"/>
  <c r="D594" i="5"/>
  <c r="D618" i="5"/>
  <c r="E26" i="5"/>
  <c r="O8" i="6" s="1"/>
  <c r="Q8" i="6" s="1"/>
  <c r="S8" i="6" s="1"/>
  <c r="E34" i="5"/>
  <c r="O16" i="6" s="1"/>
  <c r="Q16" i="6" s="1"/>
  <c r="S16" i="6" s="1"/>
  <c r="E42" i="5"/>
  <c r="O24" i="6" s="1"/>
  <c r="E50" i="5"/>
  <c r="E58" i="5"/>
  <c r="E66" i="5"/>
  <c r="E74" i="5"/>
  <c r="E82" i="5"/>
  <c r="E90" i="5"/>
  <c r="E98" i="5"/>
  <c r="E106" i="5"/>
  <c r="E114" i="5"/>
  <c r="E122" i="5"/>
  <c r="E130" i="5"/>
  <c r="E138" i="5"/>
  <c r="E146" i="5"/>
  <c r="E154" i="5"/>
  <c r="E162" i="5"/>
  <c r="E170" i="5"/>
  <c r="E178" i="5"/>
  <c r="E186" i="5"/>
  <c r="E194" i="5"/>
  <c r="E202" i="5"/>
  <c r="E210" i="5"/>
  <c r="E218" i="5"/>
  <c r="E226" i="5"/>
  <c r="E234" i="5"/>
  <c r="E242" i="5"/>
  <c r="E250" i="5"/>
  <c r="E258" i="5"/>
  <c r="E266" i="5"/>
  <c r="E274" i="5"/>
  <c r="E282" i="5"/>
  <c r="E290" i="5"/>
  <c r="E298" i="5"/>
  <c r="E306" i="5"/>
  <c r="E314" i="5"/>
  <c r="E322" i="5"/>
  <c r="E330" i="5"/>
  <c r="E338" i="5"/>
  <c r="E346" i="5"/>
  <c r="E354" i="5"/>
  <c r="E362" i="5"/>
  <c r="E370" i="5"/>
  <c r="E378" i="5"/>
  <c r="E386" i="5"/>
  <c r="E394" i="5"/>
  <c r="E402" i="5"/>
  <c r="E410" i="5"/>
  <c r="E418" i="5"/>
  <c r="E426" i="5"/>
  <c r="E434" i="5"/>
  <c r="E442" i="5"/>
  <c r="E450" i="5"/>
  <c r="E458" i="5"/>
  <c r="E466" i="5"/>
  <c r="E474" i="5"/>
  <c r="E482" i="5"/>
  <c r="E490" i="5"/>
  <c r="E498" i="5"/>
  <c r="E506" i="5"/>
  <c r="E514" i="5"/>
  <c r="E522" i="5"/>
  <c r="E530" i="5"/>
  <c r="E538" i="5"/>
  <c r="E546" i="5"/>
  <c r="E554" i="5"/>
  <c r="E562" i="5"/>
  <c r="E570" i="5"/>
  <c r="E578" i="5"/>
  <c r="E586" i="5"/>
  <c r="E594" i="5"/>
  <c r="E602" i="5"/>
  <c r="E610" i="5"/>
  <c r="D27" i="5"/>
  <c r="N9" i="6" s="1"/>
  <c r="D35" i="5"/>
  <c r="D43" i="5"/>
  <c r="N25" i="6" s="1"/>
  <c r="D51" i="5"/>
  <c r="D59" i="5"/>
  <c r="D67" i="5"/>
  <c r="D75" i="5"/>
  <c r="D83" i="5"/>
  <c r="D91" i="5"/>
  <c r="D99" i="5"/>
  <c r="D107" i="5"/>
  <c r="D115" i="5"/>
  <c r="D123" i="5"/>
  <c r="D131" i="5"/>
  <c r="D139" i="5"/>
  <c r="D147" i="5"/>
  <c r="D155" i="5"/>
  <c r="D163" i="5"/>
  <c r="D171" i="5"/>
  <c r="D179" i="5"/>
  <c r="D187" i="5"/>
  <c r="D195" i="5"/>
  <c r="D203" i="5"/>
  <c r="D211" i="5"/>
  <c r="D219" i="5"/>
  <c r="D227" i="5"/>
  <c r="D235" i="5"/>
  <c r="D243" i="5"/>
  <c r="D251" i="5"/>
  <c r="D259" i="5"/>
  <c r="D267" i="5"/>
  <c r="D275" i="5"/>
  <c r="D283" i="5"/>
  <c r="D291" i="5"/>
  <c r="D299" i="5"/>
  <c r="D307" i="5"/>
  <c r="D315" i="5"/>
  <c r="D323" i="5"/>
  <c r="D331" i="5"/>
  <c r="D339" i="5"/>
  <c r="D347" i="5"/>
  <c r="D355" i="5"/>
  <c r="D363" i="5"/>
  <c r="D371" i="5"/>
  <c r="D379" i="5"/>
  <c r="D387" i="5"/>
  <c r="D395" i="5"/>
  <c r="D403" i="5"/>
  <c r="D411" i="5"/>
  <c r="D419" i="5"/>
  <c r="D427" i="5"/>
  <c r="D435" i="5"/>
  <c r="D443" i="5"/>
  <c r="D451" i="5"/>
  <c r="D459" i="5"/>
  <c r="D467" i="5"/>
  <c r="D475" i="5"/>
  <c r="D483" i="5"/>
  <c r="D491" i="5"/>
  <c r="D499" i="5"/>
  <c r="D507" i="5"/>
  <c r="D515" i="5"/>
  <c r="D523" i="5"/>
  <c r="D531" i="5"/>
  <c r="D539" i="5"/>
  <c r="D547" i="5"/>
  <c r="D555" i="5"/>
  <c r="D563" i="5"/>
  <c r="D571" i="5"/>
  <c r="D579" i="5"/>
  <c r="D587" i="5"/>
  <c r="D595" i="5"/>
  <c r="D603" i="5"/>
  <c r="D611" i="5"/>
  <c r="E27" i="5"/>
  <c r="O9" i="6" s="1"/>
  <c r="Q9" i="6" s="1"/>
  <c r="S9" i="6" s="1"/>
  <c r="E35" i="5"/>
  <c r="O17" i="6" s="1"/>
  <c r="Q17" i="6" s="1"/>
  <c r="S17" i="6" s="1"/>
  <c r="E43" i="5"/>
  <c r="O25" i="6" s="1"/>
  <c r="E51" i="5"/>
  <c r="E59" i="5"/>
  <c r="E67" i="5"/>
  <c r="E75" i="5"/>
  <c r="E83" i="5"/>
  <c r="E91" i="5"/>
  <c r="E99" i="5"/>
  <c r="E107" i="5"/>
  <c r="E115" i="5"/>
  <c r="E123" i="5"/>
  <c r="E131" i="5"/>
  <c r="E139" i="5"/>
  <c r="E147" i="5"/>
  <c r="E155" i="5"/>
  <c r="E163" i="5"/>
  <c r="E171" i="5"/>
  <c r="E179" i="5"/>
  <c r="E187" i="5"/>
  <c r="E195" i="5"/>
  <c r="E203" i="5"/>
  <c r="E211" i="5"/>
  <c r="E219" i="5"/>
  <c r="E227" i="5"/>
  <c r="E235" i="5"/>
  <c r="E243" i="5"/>
  <c r="E251" i="5"/>
  <c r="E259" i="5"/>
  <c r="E267" i="5"/>
  <c r="E275" i="5"/>
  <c r="E283" i="5"/>
  <c r="E291" i="5"/>
  <c r="E299" i="5"/>
  <c r="E307" i="5"/>
  <c r="E315" i="5"/>
  <c r="E323" i="5"/>
  <c r="E331" i="5"/>
  <c r="E339" i="5"/>
  <c r="E347" i="5"/>
  <c r="E355" i="5"/>
  <c r="E363" i="5"/>
  <c r="E371" i="5"/>
  <c r="E379" i="5"/>
  <c r="E387" i="5"/>
  <c r="E395" i="5"/>
  <c r="E403" i="5"/>
  <c r="E411" i="5"/>
  <c r="E419" i="5"/>
  <c r="E427" i="5"/>
  <c r="E435" i="5"/>
  <c r="E443" i="5"/>
  <c r="E451" i="5"/>
  <c r="E459" i="5"/>
  <c r="E467" i="5"/>
  <c r="E475" i="5"/>
  <c r="E483" i="5"/>
  <c r="E491" i="5"/>
  <c r="E499" i="5"/>
  <c r="E507" i="5"/>
  <c r="E515" i="5"/>
  <c r="E523" i="5"/>
  <c r="E531" i="5"/>
  <c r="E539" i="5"/>
  <c r="E547" i="5"/>
  <c r="E555" i="5"/>
  <c r="E563" i="5"/>
  <c r="E571" i="5"/>
  <c r="E579" i="5"/>
  <c r="D28" i="5"/>
  <c r="N10" i="6" s="1"/>
  <c r="D36" i="5"/>
  <c r="N18" i="6" s="1"/>
  <c r="D44" i="5"/>
  <c r="D52" i="5"/>
  <c r="D60" i="5"/>
  <c r="D68" i="5"/>
  <c r="D76" i="5"/>
  <c r="D84" i="5"/>
  <c r="D92" i="5"/>
  <c r="D100" i="5"/>
  <c r="D108" i="5"/>
  <c r="D116" i="5"/>
  <c r="D124" i="5"/>
  <c r="D132" i="5"/>
  <c r="D140" i="5"/>
  <c r="D148" i="5"/>
  <c r="D156" i="5"/>
  <c r="D164" i="5"/>
  <c r="D172" i="5"/>
  <c r="D180" i="5"/>
  <c r="D188" i="5"/>
  <c r="D196" i="5"/>
  <c r="D204" i="5"/>
  <c r="D212" i="5"/>
  <c r="D220" i="5"/>
  <c r="D228" i="5"/>
  <c r="D236" i="5"/>
  <c r="D244" i="5"/>
  <c r="D252" i="5"/>
  <c r="D260" i="5"/>
  <c r="D268" i="5"/>
  <c r="D276" i="5"/>
  <c r="D284" i="5"/>
  <c r="D292" i="5"/>
  <c r="D300" i="5"/>
  <c r="D308" i="5"/>
  <c r="D316" i="5"/>
  <c r="D324" i="5"/>
  <c r="D332" i="5"/>
  <c r="D340" i="5"/>
  <c r="D348" i="5"/>
  <c r="D356" i="5"/>
  <c r="D364" i="5"/>
  <c r="D372" i="5"/>
  <c r="D380" i="5"/>
  <c r="D388" i="5"/>
  <c r="D396" i="5"/>
  <c r="D404" i="5"/>
  <c r="D412" i="5"/>
  <c r="D420" i="5"/>
  <c r="D428" i="5"/>
  <c r="D436" i="5"/>
  <c r="D444" i="5"/>
  <c r="D452" i="5"/>
  <c r="D460" i="5"/>
  <c r="D468" i="5"/>
  <c r="D476" i="5"/>
  <c r="D484" i="5"/>
  <c r="D492" i="5"/>
  <c r="D500" i="5"/>
  <c r="D508" i="5"/>
  <c r="D516" i="5"/>
  <c r="D524" i="5"/>
  <c r="D532" i="5"/>
  <c r="D540" i="5"/>
  <c r="D548" i="5"/>
  <c r="D556" i="5"/>
  <c r="D564" i="5"/>
  <c r="D572" i="5"/>
  <c r="D580" i="5"/>
  <c r="E28" i="5"/>
  <c r="O10" i="6" s="1"/>
  <c r="Q10" i="6" s="1"/>
  <c r="S10" i="6" s="1"/>
  <c r="E36" i="5"/>
  <c r="O18" i="6" s="1"/>
  <c r="Q18" i="6" s="1"/>
  <c r="S18" i="6" s="1"/>
  <c r="E44" i="5"/>
  <c r="E52" i="5"/>
  <c r="E60" i="5"/>
  <c r="E68" i="5"/>
  <c r="E76" i="5"/>
  <c r="E84" i="5"/>
  <c r="E92" i="5"/>
  <c r="E100" i="5"/>
  <c r="E108" i="5"/>
  <c r="E116" i="5"/>
  <c r="E124" i="5"/>
  <c r="E132" i="5"/>
  <c r="E140" i="5"/>
  <c r="E148" i="5"/>
  <c r="E156" i="5"/>
  <c r="E164" i="5"/>
  <c r="E172" i="5"/>
  <c r="E180" i="5"/>
  <c r="E188" i="5"/>
  <c r="E196" i="5"/>
  <c r="E204" i="5"/>
  <c r="E212" i="5"/>
  <c r="E220" i="5"/>
  <c r="E228" i="5"/>
  <c r="E236" i="5"/>
  <c r="E244" i="5"/>
  <c r="E252" i="5"/>
  <c r="E260" i="5"/>
  <c r="E268" i="5"/>
  <c r="E276" i="5"/>
  <c r="E284" i="5"/>
  <c r="E292" i="5"/>
  <c r="E300" i="5"/>
  <c r="E308" i="5"/>
  <c r="E316" i="5"/>
  <c r="E324" i="5"/>
  <c r="E332" i="5"/>
  <c r="E340" i="5"/>
  <c r="E348" i="5"/>
  <c r="E356" i="5"/>
  <c r="E364" i="5"/>
  <c r="E372" i="5"/>
  <c r="E380" i="5"/>
  <c r="E388" i="5"/>
  <c r="E396" i="5"/>
  <c r="E404" i="5"/>
  <c r="E412" i="5"/>
  <c r="E420" i="5"/>
  <c r="E428" i="5"/>
  <c r="E436" i="5"/>
  <c r="E444" i="5"/>
  <c r="E452" i="5"/>
  <c r="E460" i="5"/>
  <c r="E468" i="5"/>
  <c r="E476" i="5"/>
  <c r="E484" i="5"/>
  <c r="E492" i="5"/>
  <c r="E500" i="5"/>
  <c r="E508" i="5"/>
  <c r="E516" i="5"/>
  <c r="E524" i="5"/>
  <c r="E532" i="5"/>
  <c r="E540" i="5"/>
  <c r="E548" i="5"/>
  <c r="E556" i="5"/>
  <c r="E564" i="5"/>
  <c r="E572" i="5"/>
  <c r="E580" i="5"/>
  <c r="D29" i="5"/>
  <c r="N11" i="6" s="1"/>
  <c r="D37" i="5"/>
  <c r="N19" i="6" s="1"/>
  <c r="D45" i="5"/>
  <c r="D53" i="5"/>
  <c r="D61" i="5"/>
  <c r="D69" i="5"/>
  <c r="D77" i="5"/>
  <c r="D85" i="5"/>
  <c r="D93" i="5"/>
  <c r="D101" i="5"/>
  <c r="D109" i="5"/>
  <c r="D117" i="5"/>
  <c r="D125" i="5"/>
  <c r="D133" i="5"/>
  <c r="D141" i="5"/>
  <c r="D149" i="5"/>
  <c r="D157" i="5"/>
  <c r="D165" i="5"/>
  <c r="D173" i="5"/>
  <c r="D181" i="5"/>
  <c r="D189" i="5"/>
  <c r="D197" i="5"/>
  <c r="D205" i="5"/>
  <c r="D213" i="5"/>
  <c r="D221" i="5"/>
  <c r="D229" i="5"/>
  <c r="D237" i="5"/>
  <c r="D245" i="5"/>
  <c r="D253" i="5"/>
  <c r="D261" i="5"/>
  <c r="D269" i="5"/>
  <c r="D277" i="5"/>
  <c r="D285" i="5"/>
  <c r="D293" i="5"/>
  <c r="D301" i="5"/>
  <c r="D309" i="5"/>
  <c r="D317" i="5"/>
  <c r="D325" i="5"/>
  <c r="D333" i="5"/>
  <c r="D341" i="5"/>
  <c r="D349" i="5"/>
  <c r="D357" i="5"/>
  <c r="D365" i="5"/>
  <c r="D373" i="5"/>
  <c r="D381" i="5"/>
  <c r="D389" i="5"/>
  <c r="D397" i="5"/>
  <c r="D405" i="5"/>
  <c r="D413" i="5"/>
  <c r="D421" i="5"/>
  <c r="D429" i="5"/>
  <c r="D437" i="5"/>
  <c r="D445" i="5"/>
  <c r="D453" i="5"/>
  <c r="D461" i="5"/>
  <c r="D469" i="5"/>
  <c r="D477" i="5"/>
  <c r="D485" i="5"/>
  <c r="D493" i="5"/>
  <c r="D501" i="5"/>
  <c r="D509" i="5"/>
  <c r="D517" i="5"/>
  <c r="D525" i="5"/>
  <c r="D533" i="5"/>
  <c r="D541" i="5"/>
  <c r="D549" i="5"/>
  <c r="D557" i="5"/>
  <c r="D565" i="5"/>
  <c r="D573" i="5"/>
  <c r="D581" i="5"/>
  <c r="D589" i="5"/>
  <c r="D597" i="5"/>
  <c r="D605" i="5"/>
  <c r="D613" i="5"/>
  <c r="D621" i="5"/>
  <c r="D30" i="5"/>
  <c r="N12" i="6" s="1"/>
  <c r="D38" i="5"/>
  <c r="N20" i="6" s="1"/>
  <c r="D46" i="5"/>
  <c r="D54" i="5"/>
  <c r="D62" i="5"/>
  <c r="D70" i="5"/>
  <c r="D78" i="5"/>
  <c r="D86" i="5"/>
  <c r="D94" i="5"/>
  <c r="D102" i="5"/>
  <c r="D110" i="5"/>
  <c r="D118" i="5"/>
  <c r="D126" i="5"/>
  <c r="D134" i="5"/>
  <c r="D142" i="5"/>
  <c r="D150" i="5"/>
  <c r="D158" i="5"/>
  <c r="D166" i="5"/>
  <c r="D174" i="5"/>
  <c r="D182" i="5"/>
  <c r="D190" i="5"/>
  <c r="D198" i="5"/>
  <c r="D206" i="5"/>
  <c r="D214" i="5"/>
  <c r="D222" i="5"/>
  <c r="D230" i="5"/>
  <c r="D238" i="5"/>
  <c r="D246" i="5"/>
  <c r="D254" i="5"/>
  <c r="D262" i="5"/>
  <c r="D270" i="5"/>
  <c r="D278" i="5"/>
  <c r="D286" i="5"/>
  <c r="D294" i="5"/>
  <c r="D302" i="5"/>
  <c r="D310" i="5"/>
  <c r="D318" i="5"/>
  <c r="D326" i="5"/>
  <c r="D334" i="5"/>
  <c r="D342" i="5"/>
  <c r="D350" i="5"/>
  <c r="D358" i="5"/>
  <c r="D366" i="5"/>
  <c r="D374" i="5"/>
  <c r="D382" i="5"/>
  <c r="D390" i="5"/>
  <c r="D398" i="5"/>
  <c r="D406" i="5"/>
  <c r="D414" i="5"/>
  <c r="D422" i="5"/>
  <c r="D430" i="5"/>
  <c r="D438" i="5"/>
  <c r="D446" i="5"/>
  <c r="D454" i="5"/>
  <c r="D462" i="5"/>
  <c r="D470" i="5"/>
  <c r="D478" i="5"/>
  <c r="D486" i="5"/>
  <c r="D494" i="5"/>
  <c r="D502" i="5"/>
  <c r="D510" i="5"/>
  <c r="D518" i="5"/>
  <c r="D526" i="5"/>
  <c r="D534" i="5"/>
  <c r="D542" i="5"/>
  <c r="D550" i="5"/>
  <c r="D558" i="5"/>
  <c r="D566" i="5"/>
  <c r="D574" i="5"/>
  <c r="D582" i="5"/>
  <c r="D590" i="5"/>
  <c r="D598" i="5"/>
  <c r="D606" i="5"/>
  <c r="E29" i="5"/>
  <c r="O11" i="6" s="1"/>
  <c r="Q11" i="6" s="1"/>
  <c r="S11" i="6" s="1"/>
  <c r="E70" i="5"/>
  <c r="D111" i="5"/>
  <c r="E157" i="5"/>
  <c r="E198" i="5"/>
  <c r="D239" i="5"/>
  <c r="E285" i="5"/>
  <c r="E326" i="5"/>
  <c r="D367" i="5"/>
  <c r="E413" i="5"/>
  <c r="E454" i="5"/>
  <c r="D495" i="5"/>
  <c r="E541" i="5"/>
  <c r="E582" i="5"/>
  <c r="E604" i="5"/>
  <c r="E621" i="5"/>
  <c r="E501" i="5"/>
  <c r="D583" i="5"/>
  <c r="D622" i="5"/>
  <c r="D543" i="5"/>
  <c r="E606" i="5"/>
  <c r="D588" i="5"/>
  <c r="D623" i="5"/>
  <c r="D167" i="5"/>
  <c r="D423" i="5"/>
  <c r="E589" i="5"/>
  <c r="E390" i="5"/>
  <c r="E595" i="5"/>
  <c r="E478" i="5"/>
  <c r="D614" i="5"/>
  <c r="E566" i="5"/>
  <c r="E101" i="5"/>
  <c r="E597" i="5"/>
  <c r="E317" i="5"/>
  <c r="E598" i="5"/>
  <c r="E109" i="5"/>
  <c r="D279" i="5"/>
  <c r="D604" i="5"/>
  <c r="E30" i="5"/>
  <c r="O12" i="6" s="1"/>
  <c r="Q12" i="6" s="1"/>
  <c r="S12" i="6" s="1"/>
  <c r="D71" i="5"/>
  <c r="E117" i="5"/>
  <c r="E158" i="5"/>
  <c r="D199" i="5"/>
  <c r="E245" i="5"/>
  <c r="E286" i="5"/>
  <c r="D327" i="5"/>
  <c r="E373" i="5"/>
  <c r="E414" i="5"/>
  <c r="D455" i="5"/>
  <c r="E542" i="5"/>
  <c r="E605" i="5"/>
  <c r="E622" i="5"/>
  <c r="D607" i="5"/>
  <c r="E623" i="5"/>
  <c r="D295" i="5"/>
  <c r="E469" i="5"/>
  <c r="E611" i="5"/>
  <c r="D303" i="5"/>
  <c r="E613" i="5"/>
  <c r="D519" i="5"/>
  <c r="D351" i="5"/>
  <c r="E270" i="5"/>
  <c r="D439" i="5"/>
  <c r="E102" i="5"/>
  <c r="E445" i="5"/>
  <c r="E365" i="5"/>
  <c r="E110" i="5"/>
  <c r="D535" i="5"/>
  <c r="D31" i="5"/>
  <c r="N13" i="6" s="1"/>
  <c r="E77" i="5"/>
  <c r="E118" i="5"/>
  <c r="D159" i="5"/>
  <c r="E205" i="5"/>
  <c r="E246" i="5"/>
  <c r="D287" i="5"/>
  <c r="E333" i="5"/>
  <c r="E374" i="5"/>
  <c r="D415" i="5"/>
  <c r="E461" i="5"/>
  <c r="E502" i="5"/>
  <c r="E587" i="5"/>
  <c r="E607" i="5"/>
  <c r="E341" i="5"/>
  <c r="E221" i="5"/>
  <c r="E565" i="5"/>
  <c r="E614" i="5"/>
  <c r="D311" i="5"/>
  <c r="E357" i="5"/>
  <c r="E526" i="5"/>
  <c r="E61" i="5"/>
  <c r="E573" i="5"/>
  <c r="D447" i="5"/>
  <c r="E534" i="5"/>
  <c r="E69" i="5"/>
  <c r="E37" i="5"/>
  <c r="O19" i="6" s="1"/>
  <c r="Q19" i="6" s="1"/>
  <c r="S19" i="6" s="1"/>
  <c r="E78" i="5"/>
  <c r="D119" i="5"/>
  <c r="E165" i="5"/>
  <c r="E206" i="5"/>
  <c r="D247" i="5"/>
  <c r="E293" i="5"/>
  <c r="E334" i="5"/>
  <c r="D375" i="5"/>
  <c r="E421" i="5"/>
  <c r="E462" i="5"/>
  <c r="D503" i="5"/>
  <c r="E549" i="5"/>
  <c r="E213" i="5"/>
  <c r="D551" i="5"/>
  <c r="D431" i="5"/>
  <c r="D559" i="5"/>
  <c r="E350" i="5"/>
  <c r="D479" i="5"/>
  <c r="E142" i="5"/>
  <c r="E485" i="5"/>
  <c r="D271" i="5"/>
  <c r="D399" i="5"/>
  <c r="E615" i="5"/>
  <c r="E150" i="5"/>
  <c r="D575" i="5"/>
  <c r="E325" i="5"/>
  <c r="E38" i="5"/>
  <c r="O20" i="6" s="1"/>
  <c r="Q20" i="6" s="1"/>
  <c r="S20" i="6" s="1"/>
  <c r="D79" i="5"/>
  <c r="E125" i="5"/>
  <c r="E166" i="5"/>
  <c r="D207" i="5"/>
  <c r="E253" i="5"/>
  <c r="E294" i="5"/>
  <c r="D335" i="5"/>
  <c r="E381" i="5"/>
  <c r="E422" i="5"/>
  <c r="D463" i="5"/>
  <c r="E509" i="5"/>
  <c r="E550" i="5"/>
  <c r="E588" i="5"/>
  <c r="E254" i="5"/>
  <c r="E510" i="5"/>
  <c r="E477" i="5"/>
  <c r="E309" i="5"/>
  <c r="E525" i="5"/>
  <c r="D183" i="5"/>
  <c r="E398" i="5"/>
  <c r="D615" i="5"/>
  <c r="E189" i="5"/>
  <c r="D527" i="5"/>
  <c r="E237" i="5"/>
  <c r="E197" i="5"/>
  <c r="E620" i="5"/>
  <c r="D39" i="5"/>
  <c r="N21" i="6" s="1"/>
  <c r="E85" i="5"/>
  <c r="E126" i="5"/>
  <c r="E382" i="5"/>
  <c r="E366" i="5"/>
  <c r="E45" i="5"/>
  <c r="E86" i="5"/>
  <c r="D127" i="5"/>
  <c r="E173" i="5"/>
  <c r="E214" i="5"/>
  <c r="D255" i="5"/>
  <c r="E301" i="5"/>
  <c r="E342" i="5"/>
  <c r="D383" i="5"/>
  <c r="E429" i="5"/>
  <c r="E470" i="5"/>
  <c r="D511" i="5"/>
  <c r="E557" i="5"/>
  <c r="E590" i="5"/>
  <c r="D612" i="5"/>
  <c r="E612" i="5"/>
  <c r="E262" i="5"/>
  <c r="E437" i="5"/>
  <c r="E397" i="5"/>
  <c r="E229" i="5"/>
  <c r="D567" i="5"/>
  <c r="E230" i="5"/>
  <c r="E486" i="5"/>
  <c r="E406" i="5"/>
  <c r="E603" i="5"/>
  <c r="D151" i="5"/>
  <c r="E581" i="5"/>
  <c r="E46" i="5"/>
  <c r="D87" i="5"/>
  <c r="E133" i="5"/>
  <c r="E174" i="5"/>
  <c r="D215" i="5"/>
  <c r="E261" i="5"/>
  <c r="E302" i="5"/>
  <c r="D343" i="5"/>
  <c r="E389" i="5"/>
  <c r="E430" i="5"/>
  <c r="D471" i="5"/>
  <c r="E517" i="5"/>
  <c r="E558" i="5"/>
  <c r="D591" i="5"/>
  <c r="E349" i="5"/>
  <c r="D391" i="5"/>
  <c r="D596" i="5"/>
  <c r="E596" i="5"/>
  <c r="D55" i="5"/>
  <c r="D143" i="5"/>
  <c r="E358" i="5"/>
  <c r="E278" i="5"/>
  <c r="D620" i="5"/>
  <c r="D47" i="5"/>
  <c r="E93" i="5"/>
  <c r="E134" i="5"/>
  <c r="D175" i="5"/>
  <c r="E518" i="5"/>
  <c r="E453" i="5"/>
  <c r="E53" i="5"/>
  <c r="E94" i="5"/>
  <c r="D135" i="5"/>
  <c r="E181" i="5"/>
  <c r="E222" i="5"/>
  <c r="D263" i="5"/>
  <c r="D407" i="5"/>
  <c r="E54" i="5"/>
  <c r="D95" i="5"/>
  <c r="E141" i="5"/>
  <c r="E182" i="5"/>
  <c r="D223" i="5"/>
  <c r="E269" i="5"/>
  <c r="E310" i="5"/>
  <c r="E438" i="5"/>
  <c r="E494" i="5"/>
  <c r="E62" i="5"/>
  <c r="D103" i="5"/>
  <c r="E149" i="5"/>
  <c r="E190" i="5"/>
  <c r="D231" i="5"/>
  <c r="E277" i="5"/>
  <c r="E318" i="5"/>
  <c r="D359" i="5"/>
  <c r="E405" i="5"/>
  <c r="E446" i="5"/>
  <c r="D487" i="5"/>
  <c r="E533" i="5"/>
  <c r="E574" i="5"/>
  <c r="D599" i="5"/>
  <c r="E619" i="5"/>
  <c r="D63" i="5"/>
  <c r="D191" i="5"/>
  <c r="D319" i="5"/>
  <c r="E493" i="5"/>
  <c r="E238" i="5"/>
  <c r="N23" i="6"/>
  <c r="C13" i="5"/>
  <c r="C13" i="14" s="1"/>
  <c r="C12" i="5"/>
  <c r="C12" i="14" s="1"/>
  <c r="AN26" i="6"/>
  <c r="M53" i="3"/>
  <c r="S20" i="5"/>
  <c r="R20" i="5"/>
  <c r="L53" i="3"/>
  <c r="M22" i="5"/>
  <c r="M23" i="5" s="1"/>
  <c r="C6" i="14"/>
  <c r="F22" i="14" s="1"/>
  <c r="F22" i="5"/>
  <c r="J6" i="14"/>
  <c r="M22" i="14" s="1"/>
  <c r="M23" i="14" s="1"/>
  <c r="M24" i="14" s="1"/>
  <c r="M25" i="14" s="1"/>
  <c r="M26" i="14" s="1"/>
  <c r="M27" i="14" s="1"/>
  <c r="J16" i="5"/>
  <c r="J16" i="14" s="1"/>
  <c r="J17" i="5"/>
  <c r="J17" i="14" s="1"/>
  <c r="J15" i="5"/>
  <c r="X6" i="5"/>
  <c r="X5" i="14"/>
  <c r="AF6" i="6"/>
  <c r="AE7" i="6"/>
  <c r="AJ25" i="6"/>
  <c r="AD27" i="6"/>
  <c r="AN27" i="6" s="1"/>
  <c r="AL26" i="6"/>
  <c r="AG26" i="6"/>
  <c r="AH26" i="6" s="1"/>
  <c r="AI26" i="6"/>
  <c r="L24" i="6"/>
  <c r="F27" i="12"/>
  <c r="G26" i="12"/>
  <c r="I26" i="12"/>
  <c r="G25" i="6"/>
  <c r="K25" i="6"/>
  <c r="I25" i="6"/>
  <c r="J25" i="6" s="1"/>
  <c r="F26" i="6"/>
  <c r="P26" i="6" s="1"/>
  <c r="AE25" i="12"/>
  <c r="C100" i="3" s="1"/>
  <c r="AD26" i="12"/>
  <c r="AG25" i="12"/>
  <c r="C156" i="3" s="1"/>
  <c r="AT4" i="12"/>
  <c r="R4" i="6"/>
  <c r="T4" i="6" s="1"/>
  <c r="Q24" i="5" l="1"/>
  <c r="K45" i="14"/>
  <c r="D52" i="14"/>
  <c r="D45" i="14"/>
  <c r="L45" i="3" s="1"/>
  <c r="D25" i="14"/>
  <c r="D29" i="14"/>
  <c r="L29" i="3" s="1"/>
  <c r="D39" i="14"/>
  <c r="L39" i="3" s="1"/>
  <c r="K41" i="14"/>
  <c r="K35" i="14"/>
  <c r="K42" i="14"/>
  <c r="K38" i="14"/>
  <c r="K40" i="14"/>
  <c r="L31" i="14"/>
  <c r="L44" i="14"/>
  <c r="E24" i="14"/>
  <c r="E29" i="14"/>
  <c r="M29" i="3" s="1"/>
  <c r="E27" i="14"/>
  <c r="D30" i="14"/>
  <c r="L30" i="3" s="1"/>
  <c r="K28" i="14"/>
  <c r="M28" i="14" s="1"/>
  <c r="D43" i="14"/>
  <c r="L43" i="3" s="1"/>
  <c r="D47" i="14"/>
  <c r="L47" i="3" s="1"/>
  <c r="E42" i="14"/>
  <c r="M42" i="3" s="1"/>
  <c r="D38" i="14"/>
  <c r="E47" i="14"/>
  <c r="M47" i="3" s="1"/>
  <c r="L47" i="14"/>
  <c r="L33" i="14"/>
  <c r="K44" i="14"/>
  <c r="K43" i="14"/>
  <c r="D51" i="14"/>
  <c r="L51" i="3" s="1"/>
  <c r="D35" i="14"/>
  <c r="L35" i="3" s="1"/>
  <c r="D41" i="14"/>
  <c r="L41" i="3" s="1"/>
  <c r="E52" i="14"/>
  <c r="M52" i="3" s="1"/>
  <c r="D48" i="14"/>
  <c r="L48" i="3" s="1"/>
  <c r="E25" i="14"/>
  <c r="L48" i="14"/>
  <c r="E34" i="14"/>
  <c r="M34" i="3" s="1"/>
  <c r="E49" i="14"/>
  <c r="M49" i="3" s="1"/>
  <c r="D27" i="14"/>
  <c r="E30" i="14"/>
  <c r="M30" i="3" s="1"/>
  <c r="D26" i="14"/>
  <c r="L26" i="3" s="1"/>
  <c r="E35" i="14"/>
  <c r="K29" i="14"/>
  <c r="K32" i="14"/>
  <c r="L38" i="14"/>
  <c r="E44" i="14"/>
  <c r="M44" i="3" s="1"/>
  <c r="D50" i="14"/>
  <c r="L50" i="3" s="1"/>
  <c r="E40" i="14"/>
  <c r="M40" i="3" s="1"/>
  <c r="D36" i="14"/>
  <c r="L36" i="3" s="1"/>
  <c r="E23" i="14"/>
  <c r="E45" i="14"/>
  <c r="M45" i="3" s="1"/>
  <c r="L35" i="14"/>
  <c r="L39" i="14"/>
  <c r="E39" i="14"/>
  <c r="M39" i="3" s="1"/>
  <c r="D40" i="14"/>
  <c r="L40" i="3" s="1"/>
  <c r="K37" i="14"/>
  <c r="Z621" i="5"/>
  <c r="Z613" i="5"/>
  <c r="Z605" i="5"/>
  <c r="Z597" i="5"/>
  <c r="Z589" i="5"/>
  <c r="Z581" i="5"/>
  <c r="Z573" i="5"/>
  <c r="Z565" i="5"/>
  <c r="Z557" i="5"/>
  <c r="Z549" i="5"/>
  <c r="Z541" i="5"/>
  <c r="Z533" i="5"/>
  <c r="Y621" i="5"/>
  <c r="Z618" i="5"/>
  <c r="Z610" i="5"/>
  <c r="Z602" i="5"/>
  <c r="Z594" i="5"/>
  <c r="Y618" i="5"/>
  <c r="Y610" i="5"/>
  <c r="Y602" i="5"/>
  <c r="Y594" i="5"/>
  <c r="Y586" i="5"/>
  <c r="Y578" i="5"/>
  <c r="Y570" i="5"/>
  <c r="Y562" i="5"/>
  <c r="Y554" i="5"/>
  <c r="Y546" i="5"/>
  <c r="Y538" i="5"/>
  <c r="Y530" i="5"/>
  <c r="Y522" i="5"/>
  <c r="Y514" i="5"/>
  <c r="Y506" i="5"/>
  <c r="Y498" i="5"/>
  <c r="Y490" i="5"/>
  <c r="Y482" i="5"/>
  <c r="Z623" i="5"/>
  <c r="Z615" i="5"/>
  <c r="Z607" i="5"/>
  <c r="Z599" i="5"/>
  <c r="Z591" i="5"/>
  <c r="Z583" i="5"/>
  <c r="Z575" i="5"/>
  <c r="Z567" i="5"/>
  <c r="Z559" i="5"/>
  <c r="Z551" i="5"/>
  <c r="Z543" i="5"/>
  <c r="Z535" i="5"/>
  <c r="Y623" i="5"/>
  <c r="Y615" i="5"/>
  <c r="Y607" i="5"/>
  <c r="Y599" i="5"/>
  <c r="Y591" i="5"/>
  <c r="Y583" i="5"/>
  <c r="Y575" i="5"/>
  <c r="Y567" i="5"/>
  <c r="Y559" i="5"/>
  <c r="Y551" i="5"/>
  <c r="Y543" i="5"/>
  <c r="Y535" i="5"/>
  <c r="Y527" i="5"/>
  <c r="Y519" i="5"/>
  <c r="Y511" i="5"/>
  <c r="Y503" i="5"/>
  <c r="Y495" i="5"/>
  <c r="Y487" i="5"/>
  <c r="Y479" i="5"/>
  <c r="Y471" i="5"/>
  <c r="Y463" i="5"/>
  <c r="Y617" i="5"/>
  <c r="Y609" i="5"/>
  <c r="Y601" i="5"/>
  <c r="Y593" i="5"/>
  <c r="Y585" i="5"/>
  <c r="Y577" i="5"/>
  <c r="Y569" i="5"/>
  <c r="Y561" i="5"/>
  <c r="Y553" i="5"/>
  <c r="Y545" i="5"/>
  <c r="Y537" i="5"/>
  <c r="Y529" i="5"/>
  <c r="Y521" i="5"/>
  <c r="Y513" i="5"/>
  <c r="Y505" i="5"/>
  <c r="Y497" i="5"/>
  <c r="Y489" i="5"/>
  <c r="Y481" i="5"/>
  <c r="Y473" i="5"/>
  <c r="Y465" i="5"/>
  <c r="Y457" i="5"/>
  <c r="Z622" i="5"/>
  <c r="Z614" i="5"/>
  <c r="Z606" i="5"/>
  <c r="Z598" i="5"/>
  <c r="Z590" i="5"/>
  <c r="Z582" i="5"/>
  <c r="Z574" i="5"/>
  <c r="Z566" i="5"/>
  <c r="Z558" i="5"/>
  <c r="Z550" i="5"/>
  <c r="Y622" i="5"/>
  <c r="Y614" i="5"/>
  <c r="Y606" i="5"/>
  <c r="Y598" i="5"/>
  <c r="Y590" i="5"/>
  <c r="Y582" i="5"/>
  <c r="Y574" i="5"/>
  <c r="Y566" i="5"/>
  <c r="Y558" i="5"/>
  <c r="Y550" i="5"/>
  <c r="Y542" i="5"/>
  <c r="Y534" i="5"/>
  <c r="Y526" i="5"/>
  <c r="Y518" i="5"/>
  <c r="Y510" i="5"/>
  <c r="Y502" i="5"/>
  <c r="Y494" i="5"/>
  <c r="Y486" i="5"/>
  <c r="Y478" i="5"/>
  <c r="Y470" i="5"/>
  <c r="Y462" i="5"/>
  <c r="Y612" i="5"/>
  <c r="Y596" i="5"/>
  <c r="Y572" i="5"/>
  <c r="Z553" i="5"/>
  <c r="Z548" i="5"/>
  <c r="Z544" i="5"/>
  <c r="Z531" i="5"/>
  <c r="Z524" i="5"/>
  <c r="Z517" i="5"/>
  <c r="Z499" i="5"/>
  <c r="Z492" i="5"/>
  <c r="Z485" i="5"/>
  <c r="Z468" i="5"/>
  <c r="Y450" i="5"/>
  <c r="Y442" i="5"/>
  <c r="Y434" i="5"/>
  <c r="Y426" i="5"/>
  <c r="Y418" i="5"/>
  <c r="Y410" i="5"/>
  <c r="Y402" i="5"/>
  <c r="Y394" i="5"/>
  <c r="Y386" i="5"/>
  <c r="Y378" i="5"/>
  <c r="Y370" i="5"/>
  <c r="Y362" i="5"/>
  <c r="Y354" i="5"/>
  <c r="Z617" i="5"/>
  <c r="Z601" i="5"/>
  <c r="Z586" i="5"/>
  <c r="Y548" i="5"/>
  <c r="Y544" i="5"/>
  <c r="Y531" i="5"/>
  <c r="Y524" i="5"/>
  <c r="Y517" i="5"/>
  <c r="Y499" i="5"/>
  <c r="Y492" i="5"/>
  <c r="Y485" i="5"/>
  <c r="Y468" i="5"/>
  <c r="Z458" i="5"/>
  <c r="Z455" i="5"/>
  <c r="Z447" i="5"/>
  <c r="Z439" i="5"/>
  <c r="Z431" i="5"/>
  <c r="Z423" i="5"/>
  <c r="Z611" i="5"/>
  <c r="Z595" i="5"/>
  <c r="Y581" i="5"/>
  <c r="Z576" i="5"/>
  <c r="Z571" i="5"/>
  <c r="Z562" i="5"/>
  <c r="Z539" i="5"/>
  <c r="Z520" i="5"/>
  <c r="Z513" i="5"/>
  <c r="Z506" i="5"/>
  <c r="Z488" i="5"/>
  <c r="Z481" i="5"/>
  <c r="Z471" i="5"/>
  <c r="Z461" i="5"/>
  <c r="Y458" i="5"/>
  <c r="Y455" i="5"/>
  <c r="Y447" i="5"/>
  <c r="Y439" i="5"/>
  <c r="Y431" i="5"/>
  <c r="Y423" i="5"/>
  <c r="Y415" i="5"/>
  <c r="Y407" i="5"/>
  <c r="Y399" i="5"/>
  <c r="Y391" i="5"/>
  <c r="Y383" i="5"/>
  <c r="Y375" i="5"/>
  <c r="Y367" i="5"/>
  <c r="Y359" i="5"/>
  <c r="Y351" i="5"/>
  <c r="Y611" i="5"/>
  <c r="Y595" i="5"/>
  <c r="Y576" i="5"/>
  <c r="Y571" i="5"/>
  <c r="Y557" i="5"/>
  <c r="Z552" i="5"/>
  <c r="Y539" i="5"/>
  <c r="Z527" i="5"/>
  <c r="Y520" i="5"/>
  <c r="Z502" i="5"/>
  <c r="Z495" i="5"/>
  <c r="Y488" i="5"/>
  <c r="Z474" i="5"/>
  <c r="Z464" i="5"/>
  <c r="Y461" i="5"/>
  <c r="Z452" i="5"/>
  <c r="Z444" i="5"/>
  <c r="Z436" i="5"/>
  <c r="Z428" i="5"/>
  <c r="Z420" i="5"/>
  <c r="Z412" i="5"/>
  <c r="Z404" i="5"/>
  <c r="Z396" i="5"/>
  <c r="Z388" i="5"/>
  <c r="Z380" i="5"/>
  <c r="Z372" i="5"/>
  <c r="Z364" i="5"/>
  <c r="Z356" i="5"/>
  <c r="Z348" i="5"/>
  <c r="Z616" i="5"/>
  <c r="Z600" i="5"/>
  <c r="Z585" i="5"/>
  <c r="Z580" i="5"/>
  <c r="Y552" i="5"/>
  <c r="Z547" i="5"/>
  <c r="Z523" i="5"/>
  <c r="Z516" i="5"/>
  <c r="Z509" i="5"/>
  <c r="Z491" i="5"/>
  <c r="Z484" i="5"/>
  <c r="Z477" i="5"/>
  <c r="Y474" i="5"/>
  <c r="Z467" i="5"/>
  <c r="Y464" i="5"/>
  <c r="Y452" i="5"/>
  <c r="Y444" i="5"/>
  <c r="Y436" i="5"/>
  <c r="Y428" i="5"/>
  <c r="Y420" i="5"/>
  <c r="Y412" i="5"/>
  <c r="Y404" i="5"/>
  <c r="Y396" i="5"/>
  <c r="Y388" i="5"/>
  <c r="Y380" i="5"/>
  <c r="Y372" i="5"/>
  <c r="Y364" i="5"/>
  <c r="Y356" i="5"/>
  <c r="Y616" i="5"/>
  <c r="Y600" i="5"/>
  <c r="Y580" i="5"/>
  <c r="Z561" i="5"/>
  <c r="Z556" i="5"/>
  <c r="Y547" i="5"/>
  <c r="Z534" i="5"/>
  <c r="Y523" i="5"/>
  <c r="Y516" i="5"/>
  <c r="Y509" i="5"/>
  <c r="Y491" i="5"/>
  <c r="Y484" i="5"/>
  <c r="Y477" i="5"/>
  <c r="Y467" i="5"/>
  <c r="Z449" i="5"/>
  <c r="Z441" i="5"/>
  <c r="Z433" i="5"/>
  <c r="Z425" i="5"/>
  <c r="Y605" i="5"/>
  <c r="Y556" i="5"/>
  <c r="Z530" i="5"/>
  <c r="Z512" i="5"/>
  <c r="Z505" i="5"/>
  <c r="Z498" i="5"/>
  <c r="Z480" i="5"/>
  <c r="Z470" i="5"/>
  <c r="Z457" i="5"/>
  <c r="Y449" i="5"/>
  <c r="Y441" i="5"/>
  <c r="Y433" i="5"/>
  <c r="Y425" i="5"/>
  <c r="Y417" i="5"/>
  <c r="Y409" i="5"/>
  <c r="Y401" i="5"/>
  <c r="Y393" i="5"/>
  <c r="Y385" i="5"/>
  <c r="Y377" i="5"/>
  <c r="Y369" i="5"/>
  <c r="Y361" i="5"/>
  <c r="Y353" i="5"/>
  <c r="Z620" i="5"/>
  <c r="Z604" i="5"/>
  <c r="Y589" i="5"/>
  <c r="Z584" i="5"/>
  <c r="Z579" i="5"/>
  <c r="Z570" i="5"/>
  <c r="Z542" i="5"/>
  <c r="Z538" i="5"/>
  <c r="Z526" i="5"/>
  <c r="Z519" i="5"/>
  <c r="Y512" i="5"/>
  <c r="Z494" i="5"/>
  <c r="Z487" i="5"/>
  <c r="Y480" i="5"/>
  <c r="Z460" i="5"/>
  <c r="Z454" i="5"/>
  <c r="Z446" i="5"/>
  <c r="Z438" i="5"/>
  <c r="Z430" i="5"/>
  <c r="Z422" i="5"/>
  <c r="Z414" i="5"/>
  <c r="Z406" i="5"/>
  <c r="Z398" i="5"/>
  <c r="Z390" i="5"/>
  <c r="Z382" i="5"/>
  <c r="Z374" i="5"/>
  <c r="Z366" i="5"/>
  <c r="Z358" i="5"/>
  <c r="Z350" i="5"/>
  <c r="Y620" i="5"/>
  <c r="Y604" i="5"/>
  <c r="Y584" i="5"/>
  <c r="Y579" i="5"/>
  <c r="Y565" i="5"/>
  <c r="Z560" i="5"/>
  <c r="Z555" i="5"/>
  <c r="Z515" i="5"/>
  <c r="Z508" i="5"/>
  <c r="Z501" i="5"/>
  <c r="Z483" i="5"/>
  <c r="Z473" i="5"/>
  <c r="Y460" i="5"/>
  <c r="Y454" i="5"/>
  <c r="Z609" i="5"/>
  <c r="Z593" i="5"/>
  <c r="Z588" i="5"/>
  <c r="Y560" i="5"/>
  <c r="Y555" i="5"/>
  <c r="Z546" i="5"/>
  <c r="Y515" i="5"/>
  <c r="Y508" i="5"/>
  <c r="Y501" i="5"/>
  <c r="Y483" i="5"/>
  <c r="Z476" i="5"/>
  <c r="Z463" i="5"/>
  <c r="Z451" i="5"/>
  <c r="Z443" i="5"/>
  <c r="Z619" i="5"/>
  <c r="Z603" i="5"/>
  <c r="Y588" i="5"/>
  <c r="Z569" i="5"/>
  <c r="Z564" i="5"/>
  <c r="Z537" i="5"/>
  <c r="Y533" i="5"/>
  <c r="Z529" i="5"/>
  <c r="Z522" i="5"/>
  <c r="Z504" i="5"/>
  <c r="Z497" i="5"/>
  <c r="Z490" i="5"/>
  <c r="Y476" i="5"/>
  <c r="Z466" i="5"/>
  <c r="Y451" i="5"/>
  <c r="Y443" i="5"/>
  <c r="Y435" i="5"/>
  <c r="Y427" i="5"/>
  <c r="Y419" i="5"/>
  <c r="Y411" i="5"/>
  <c r="Y403" i="5"/>
  <c r="Y395" i="5"/>
  <c r="Y387" i="5"/>
  <c r="Y379" i="5"/>
  <c r="Y371" i="5"/>
  <c r="Y363" i="5"/>
  <c r="Y619" i="5"/>
  <c r="Y603" i="5"/>
  <c r="Y564" i="5"/>
  <c r="Z518" i="5"/>
  <c r="Z511" i="5"/>
  <c r="Y504" i="5"/>
  <c r="Z486" i="5"/>
  <c r="Z479" i="5"/>
  <c r="Z469" i="5"/>
  <c r="Y466" i="5"/>
  <c r="Z459" i="5"/>
  <c r="Z456" i="5"/>
  <c r="Z448" i="5"/>
  <c r="Z440" i="5"/>
  <c r="Z432" i="5"/>
  <c r="Z424" i="5"/>
  <c r="Y608" i="5"/>
  <c r="Y592" i="5"/>
  <c r="Y587" i="5"/>
  <c r="Y573" i="5"/>
  <c r="Z568" i="5"/>
  <c r="Z563" i="5"/>
  <c r="Z554" i="5"/>
  <c r="Y532" i="5"/>
  <c r="Y525" i="5"/>
  <c r="Y507" i="5"/>
  <c r="Y500" i="5"/>
  <c r="Y493" i="5"/>
  <c r="Z475" i="5"/>
  <c r="Y472" i="5"/>
  <c r="Z462" i="5"/>
  <c r="Z453" i="5"/>
  <c r="Z445" i="5"/>
  <c r="Z578" i="5"/>
  <c r="Y456" i="5"/>
  <c r="Z421" i="5"/>
  <c r="Z416" i="5"/>
  <c r="Z407" i="5"/>
  <c r="Z355" i="5"/>
  <c r="Z342" i="5"/>
  <c r="Z334" i="5"/>
  <c r="Z326" i="5"/>
  <c r="Z318" i="5"/>
  <c r="Z310" i="5"/>
  <c r="Z302" i="5"/>
  <c r="Z294" i="5"/>
  <c r="Z286" i="5"/>
  <c r="Z278" i="5"/>
  <c r="Z270" i="5"/>
  <c r="Z262" i="5"/>
  <c r="Z254" i="5"/>
  <c r="Z246" i="5"/>
  <c r="Z238" i="5"/>
  <c r="Z230" i="5"/>
  <c r="Z222" i="5"/>
  <c r="Z214" i="5"/>
  <c r="Z206" i="5"/>
  <c r="Z198" i="5"/>
  <c r="Z472" i="5"/>
  <c r="Z427" i="5"/>
  <c r="Y421" i="5"/>
  <c r="Y416" i="5"/>
  <c r="Z411" i="5"/>
  <c r="Z402" i="5"/>
  <c r="Z397" i="5"/>
  <c r="Z392" i="5"/>
  <c r="Z383" i="5"/>
  <c r="Y355" i="5"/>
  <c r="Z351" i="5"/>
  <c r="Y342" i="5"/>
  <c r="Y334" i="5"/>
  <c r="Y326" i="5"/>
  <c r="Y318" i="5"/>
  <c r="Y310" i="5"/>
  <c r="Z577" i="5"/>
  <c r="Z528" i="5"/>
  <c r="Z510" i="5"/>
  <c r="Y406" i="5"/>
  <c r="Y397" i="5"/>
  <c r="Y392" i="5"/>
  <c r="Z387" i="5"/>
  <c r="Z378" i="5"/>
  <c r="Z373" i="5"/>
  <c r="Z368" i="5"/>
  <c r="Z347" i="5"/>
  <c r="Z339" i="5"/>
  <c r="Z331" i="5"/>
  <c r="Z323" i="5"/>
  <c r="Z315" i="5"/>
  <c r="Z307" i="5"/>
  <c r="Z299" i="5"/>
  <c r="Z291" i="5"/>
  <c r="Z283" i="5"/>
  <c r="Z275" i="5"/>
  <c r="Z267" i="5"/>
  <c r="Z259" i="5"/>
  <c r="Z251" i="5"/>
  <c r="Z243" i="5"/>
  <c r="Z235" i="5"/>
  <c r="Z227" i="5"/>
  <c r="Z219" i="5"/>
  <c r="Z211" i="5"/>
  <c r="Z203" i="5"/>
  <c r="Y549" i="5"/>
  <c r="Y528" i="5"/>
  <c r="Z507" i="5"/>
  <c r="Z489" i="5"/>
  <c r="Z442" i="5"/>
  <c r="Z434" i="5"/>
  <c r="Z401" i="5"/>
  <c r="Y382" i="5"/>
  <c r="Y373" i="5"/>
  <c r="Y368" i="5"/>
  <c r="Z363" i="5"/>
  <c r="Z359" i="5"/>
  <c r="Y350" i="5"/>
  <c r="Y347" i="5"/>
  <c r="Y339" i="5"/>
  <c r="Y331" i="5"/>
  <c r="Y323" i="5"/>
  <c r="Y315" i="5"/>
  <c r="Y307" i="5"/>
  <c r="Y299" i="5"/>
  <c r="Y291" i="5"/>
  <c r="Y283" i="5"/>
  <c r="Y275" i="5"/>
  <c r="Y267" i="5"/>
  <c r="Y259" i="5"/>
  <c r="Y251" i="5"/>
  <c r="Y243" i="5"/>
  <c r="Y235" i="5"/>
  <c r="Y227" i="5"/>
  <c r="Y219" i="5"/>
  <c r="Y211" i="5"/>
  <c r="Y203" i="5"/>
  <c r="Y195" i="5"/>
  <c r="Z525" i="5"/>
  <c r="Y469" i="5"/>
  <c r="Y453" i="5"/>
  <c r="Z377" i="5"/>
  <c r="Z344" i="5"/>
  <c r="Z336" i="5"/>
  <c r="Z328" i="5"/>
  <c r="Z320" i="5"/>
  <c r="Z312" i="5"/>
  <c r="Z304" i="5"/>
  <c r="Z296" i="5"/>
  <c r="Z288" i="5"/>
  <c r="Z280" i="5"/>
  <c r="Z272" i="5"/>
  <c r="Z264" i="5"/>
  <c r="Z256" i="5"/>
  <c r="Z248" i="5"/>
  <c r="Z240" i="5"/>
  <c r="Z232" i="5"/>
  <c r="Z224" i="5"/>
  <c r="Z216" i="5"/>
  <c r="Z208" i="5"/>
  <c r="Z200" i="5"/>
  <c r="Y597" i="5"/>
  <c r="Z572" i="5"/>
  <c r="Z545" i="5"/>
  <c r="Y440" i="5"/>
  <c r="Z426" i="5"/>
  <c r="Z415" i="5"/>
  <c r="Y358" i="5"/>
  <c r="Y344" i="5"/>
  <c r="Y336" i="5"/>
  <c r="Y328" i="5"/>
  <c r="Y320" i="5"/>
  <c r="Y312" i="5"/>
  <c r="Y304" i="5"/>
  <c r="Y296" i="5"/>
  <c r="Y288" i="5"/>
  <c r="Y280" i="5"/>
  <c r="Y272" i="5"/>
  <c r="Z596" i="5"/>
  <c r="Y432" i="5"/>
  <c r="Z419" i="5"/>
  <c r="Z410" i="5"/>
  <c r="Z405" i="5"/>
  <c r="Z400" i="5"/>
  <c r="Z391" i="5"/>
  <c r="Z354" i="5"/>
  <c r="Z341" i="5"/>
  <c r="Z333" i="5"/>
  <c r="Z325" i="5"/>
  <c r="Z317" i="5"/>
  <c r="Z309" i="5"/>
  <c r="Z301" i="5"/>
  <c r="Z293" i="5"/>
  <c r="Z285" i="5"/>
  <c r="Z277" i="5"/>
  <c r="Z269" i="5"/>
  <c r="Z261" i="5"/>
  <c r="Z253" i="5"/>
  <c r="Z245" i="5"/>
  <c r="Z237" i="5"/>
  <c r="Z229" i="5"/>
  <c r="Z221" i="5"/>
  <c r="Z213" i="5"/>
  <c r="Z205" i="5"/>
  <c r="Z197" i="5"/>
  <c r="Z592" i="5"/>
  <c r="Y568" i="5"/>
  <c r="Y414" i="5"/>
  <c r="Y405" i="5"/>
  <c r="Y400" i="5"/>
  <c r="Z395" i="5"/>
  <c r="Z386" i="5"/>
  <c r="Z381" i="5"/>
  <c r="Z376" i="5"/>
  <c r="Z367" i="5"/>
  <c r="Y341" i="5"/>
  <c r="Y333" i="5"/>
  <c r="Y325" i="5"/>
  <c r="Y317" i="5"/>
  <c r="Y309" i="5"/>
  <c r="Y541" i="5"/>
  <c r="Z521" i="5"/>
  <c r="Z503" i="5"/>
  <c r="Z450" i="5"/>
  <c r="Y424" i="5"/>
  <c r="Z409" i="5"/>
  <c r="Y390" i="5"/>
  <c r="Y381" i="5"/>
  <c r="Y376" i="5"/>
  <c r="Z371" i="5"/>
  <c r="Z362" i="5"/>
  <c r="Z353" i="5"/>
  <c r="Z349" i="5"/>
  <c r="Z346" i="5"/>
  <c r="Z338" i="5"/>
  <c r="Z330" i="5"/>
  <c r="Z322" i="5"/>
  <c r="Z314" i="5"/>
  <c r="Z540" i="5"/>
  <c r="Z500" i="5"/>
  <c r="Z482" i="5"/>
  <c r="Z465" i="5"/>
  <c r="Y448" i="5"/>
  <c r="Y438" i="5"/>
  <c r="Z385" i="5"/>
  <c r="Y366" i="5"/>
  <c r="Y349" i="5"/>
  <c r="Y346" i="5"/>
  <c r="Y338" i="5"/>
  <c r="Y330" i="5"/>
  <c r="Y322" i="5"/>
  <c r="Y314" i="5"/>
  <c r="Z587" i="5"/>
  <c r="Y563" i="5"/>
  <c r="Y540" i="5"/>
  <c r="Y430" i="5"/>
  <c r="Z361" i="5"/>
  <c r="Z357" i="5"/>
  <c r="Z343" i="5"/>
  <c r="Z335" i="5"/>
  <c r="Z327" i="5"/>
  <c r="Z319" i="5"/>
  <c r="Z311" i="5"/>
  <c r="Z303" i="5"/>
  <c r="Z295" i="5"/>
  <c r="Z287" i="5"/>
  <c r="Z279" i="5"/>
  <c r="Z271" i="5"/>
  <c r="Z263" i="5"/>
  <c r="Z255" i="5"/>
  <c r="Z247" i="5"/>
  <c r="Z239" i="5"/>
  <c r="Z231" i="5"/>
  <c r="Z223" i="5"/>
  <c r="Z215" i="5"/>
  <c r="Z207" i="5"/>
  <c r="Z199" i="5"/>
  <c r="Z612" i="5"/>
  <c r="Y536" i="5"/>
  <c r="Z496" i="5"/>
  <c r="Z478" i="5"/>
  <c r="Y459" i="5"/>
  <c r="Z429" i="5"/>
  <c r="Z417" i="5"/>
  <c r="Y398" i="5"/>
  <c r="Y389" i="5"/>
  <c r="Y613" i="5"/>
  <c r="Y446" i="5"/>
  <c r="Y352" i="5"/>
  <c r="Z316" i="5"/>
  <c r="Z266" i="5"/>
  <c r="Y241" i="5"/>
  <c r="Y232" i="5"/>
  <c r="Y228" i="5"/>
  <c r="Y215" i="5"/>
  <c r="Z202" i="5"/>
  <c r="Y189" i="5"/>
  <c r="Y181" i="5"/>
  <c r="Y173" i="5"/>
  <c r="Y165" i="5"/>
  <c r="Y157" i="5"/>
  <c r="Y149" i="5"/>
  <c r="Y141" i="5"/>
  <c r="Y133" i="5"/>
  <c r="Y125" i="5"/>
  <c r="Y117" i="5"/>
  <c r="Y109" i="5"/>
  <c r="Y101" i="5"/>
  <c r="Y93" i="5"/>
  <c r="Y85" i="5"/>
  <c r="Z608" i="5"/>
  <c r="Z514" i="5"/>
  <c r="Y445" i="5"/>
  <c r="Z365" i="5"/>
  <c r="Z324" i="5"/>
  <c r="Y316" i="5"/>
  <c r="Z308" i="5"/>
  <c r="Y266" i="5"/>
  <c r="Y262" i="5"/>
  <c r="Y253" i="5"/>
  <c r="Z249" i="5"/>
  <c r="Z236" i="5"/>
  <c r="Y202" i="5"/>
  <c r="Y198" i="5"/>
  <c r="Z194" i="5"/>
  <c r="Z186" i="5"/>
  <c r="Z178" i="5"/>
  <c r="Z170" i="5"/>
  <c r="Z162" i="5"/>
  <c r="Z154" i="5"/>
  <c r="Z146" i="5"/>
  <c r="Z138" i="5"/>
  <c r="Z379" i="5"/>
  <c r="Y365" i="5"/>
  <c r="Z332" i="5"/>
  <c r="Y324" i="5"/>
  <c r="Y308" i="5"/>
  <c r="Y303" i="5"/>
  <c r="Z298" i="5"/>
  <c r="Y294" i="5"/>
  <c r="Z289" i="5"/>
  <c r="Z284" i="5"/>
  <c r="Y249" i="5"/>
  <c r="Y240" i="5"/>
  <c r="Y236" i="5"/>
  <c r="Y223" i="5"/>
  <c r="Z210" i="5"/>
  <c r="Y194" i="5"/>
  <c r="Y186" i="5"/>
  <c r="Y178" i="5"/>
  <c r="Y170" i="5"/>
  <c r="Y162" i="5"/>
  <c r="Y154" i="5"/>
  <c r="Y146" i="5"/>
  <c r="Y138" i="5"/>
  <c r="Y130" i="5"/>
  <c r="Y122" i="5"/>
  <c r="Y114" i="5"/>
  <c r="Y106" i="5"/>
  <c r="Y98" i="5"/>
  <c r="Y90" i="5"/>
  <c r="Z437" i="5"/>
  <c r="Z413" i="5"/>
  <c r="Z340" i="5"/>
  <c r="Y332" i="5"/>
  <c r="Y298" i="5"/>
  <c r="Y293" i="5"/>
  <c r="Y289" i="5"/>
  <c r="Y284" i="5"/>
  <c r="Y279" i="5"/>
  <c r="Z274" i="5"/>
  <c r="Y270" i="5"/>
  <c r="Y261" i="5"/>
  <c r="Z257" i="5"/>
  <c r="Z244" i="5"/>
  <c r="Y210" i="5"/>
  <c r="Y206" i="5"/>
  <c r="Y197" i="5"/>
  <c r="Z191" i="5"/>
  <c r="Z183" i="5"/>
  <c r="Z175" i="5"/>
  <c r="Y437" i="5"/>
  <c r="Y413" i="5"/>
  <c r="Z394" i="5"/>
  <c r="Y340" i="5"/>
  <c r="Y274" i="5"/>
  <c r="Y257" i="5"/>
  <c r="Y248" i="5"/>
  <c r="Y244" i="5"/>
  <c r="Y231" i="5"/>
  <c r="Z218" i="5"/>
  <c r="Y191" i="5"/>
  <c r="Y183" i="5"/>
  <c r="Y175" i="5"/>
  <c r="Y167" i="5"/>
  <c r="Y159" i="5"/>
  <c r="Y151" i="5"/>
  <c r="Y143" i="5"/>
  <c r="Y135" i="5"/>
  <c r="Y127" i="5"/>
  <c r="Y119" i="5"/>
  <c r="Y111" i="5"/>
  <c r="Y103" i="5"/>
  <c r="Y95" i="5"/>
  <c r="Y87" i="5"/>
  <c r="Y496" i="5"/>
  <c r="Z393" i="5"/>
  <c r="Y348" i="5"/>
  <c r="Y269" i="5"/>
  <c r="Z265" i="5"/>
  <c r="Z252" i="5"/>
  <c r="Y218" i="5"/>
  <c r="Y214" i="5"/>
  <c r="Y205" i="5"/>
  <c r="Z201" i="5"/>
  <c r="Z188" i="5"/>
  <c r="Z180" i="5"/>
  <c r="Z172" i="5"/>
  <c r="Z164" i="5"/>
  <c r="Z156" i="5"/>
  <c r="Z148" i="5"/>
  <c r="Z140" i="5"/>
  <c r="Z132" i="5"/>
  <c r="Z124" i="5"/>
  <c r="Z116" i="5"/>
  <c r="Z108" i="5"/>
  <c r="Z100" i="5"/>
  <c r="Z92" i="5"/>
  <c r="Z84" i="5"/>
  <c r="Z493" i="5"/>
  <c r="Z435" i="5"/>
  <c r="Z375" i="5"/>
  <c r="Y265" i="5"/>
  <c r="Y256" i="5"/>
  <c r="Y252" i="5"/>
  <c r="Y239" i="5"/>
  <c r="Z226" i="5"/>
  <c r="Y201" i="5"/>
  <c r="Y188" i="5"/>
  <c r="Y180" i="5"/>
  <c r="Y172" i="5"/>
  <c r="Y164" i="5"/>
  <c r="Y156" i="5"/>
  <c r="Y148" i="5"/>
  <c r="Y140" i="5"/>
  <c r="Z408" i="5"/>
  <c r="Z360" i="5"/>
  <c r="Z313" i="5"/>
  <c r="Z306" i="5"/>
  <c r="Y302" i="5"/>
  <c r="Z297" i="5"/>
  <c r="Z292" i="5"/>
  <c r="Z260" i="5"/>
  <c r="Y226" i="5"/>
  <c r="Y222" i="5"/>
  <c r="Y213" i="5"/>
  <c r="Z209" i="5"/>
  <c r="Z196" i="5"/>
  <c r="Z193" i="5"/>
  <c r="Z185" i="5"/>
  <c r="Z177" i="5"/>
  <c r="Z169" i="5"/>
  <c r="Z161" i="5"/>
  <c r="Z153" i="5"/>
  <c r="Z145" i="5"/>
  <c r="Z137" i="5"/>
  <c r="Z129" i="5"/>
  <c r="Z121" i="5"/>
  <c r="Z113" i="5"/>
  <c r="Z105" i="5"/>
  <c r="Z97" i="5"/>
  <c r="Z89" i="5"/>
  <c r="Y408" i="5"/>
  <c r="Z389" i="5"/>
  <c r="Y374" i="5"/>
  <c r="Y360" i="5"/>
  <c r="Z321" i="5"/>
  <c r="Y313" i="5"/>
  <c r="Y306" i="5"/>
  <c r="Y301" i="5"/>
  <c r="Y297" i="5"/>
  <c r="Y292" i="5"/>
  <c r="Y287" i="5"/>
  <c r="Z282" i="5"/>
  <c r="Y278" i="5"/>
  <c r="Z273" i="5"/>
  <c r="Y264" i="5"/>
  <c r="Y260" i="5"/>
  <c r="Y247" i="5"/>
  <c r="Z234" i="5"/>
  <c r="Y209" i="5"/>
  <c r="Y200" i="5"/>
  <c r="Y196" i="5"/>
  <c r="Y193" i="5"/>
  <c r="Y185" i="5"/>
  <c r="Y177" i="5"/>
  <c r="Y169" i="5"/>
  <c r="Y161" i="5"/>
  <c r="Y153" i="5"/>
  <c r="Y145" i="5"/>
  <c r="Y137" i="5"/>
  <c r="Y129" i="5"/>
  <c r="Y121" i="5"/>
  <c r="Y113" i="5"/>
  <c r="Y105" i="5"/>
  <c r="Y97" i="5"/>
  <c r="Y89" i="5"/>
  <c r="Y429" i="5"/>
  <c r="Y357" i="5"/>
  <c r="Z329" i="5"/>
  <c r="Y321" i="5"/>
  <c r="Y311" i="5"/>
  <c r="Y282" i="5"/>
  <c r="Y277" i="5"/>
  <c r="Y273" i="5"/>
  <c r="Z268" i="5"/>
  <c r="Y234" i="5"/>
  <c r="Y230" i="5"/>
  <c r="Y221" i="5"/>
  <c r="Z217" i="5"/>
  <c r="Z204" i="5"/>
  <c r="Z190" i="5"/>
  <c r="Z182" i="5"/>
  <c r="Z174" i="5"/>
  <c r="Z166" i="5"/>
  <c r="Z158" i="5"/>
  <c r="Z150" i="5"/>
  <c r="Y475" i="5"/>
  <c r="Z337" i="5"/>
  <c r="Y329" i="5"/>
  <c r="Y319" i="5"/>
  <c r="Y268" i="5"/>
  <c r="Y255" i="5"/>
  <c r="Z242" i="5"/>
  <c r="Y217" i="5"/>
  <c r="Y208" i="5"/>
  <c r="Y204" i="5"/>
  <c r="Y190" i="5"/>
  <c r="Y182" i="5"/>
  <c r="Y174" i="5"/>
  <c r="Y166" i="5"/>
  <c r="Y158" i="5"/>
  <c r="Y150" i="5"/>
  <c r="Y142" i="5"/>
  <c r="Y134" i="5"/>
  <c r="Y126" i="5"/>
  <c r="Y118" i="5"/>
  <c r="Y110" i="5"/>
  <c r="Y102" i="5"/>
  <c r="Y94" i="5"/>
  <c r="Y86" i="5"/>
  <c r="Z532" i="5"/>
  <c r="Y384" i="5"/>
  <c r="Y343" i="5"/>
  <c r="Y305" i="5"/>
  <c r="Y300" i="5"/>
  <c r="Y295" i="5"/>
  <c r="Z290" i="5"/>
  <c r="Y286" i="5"/>
  <c r="Z281" i="5"/>
  <c r="Z276" i="5"/>
  <c r="Y250" i="5"/>
  <c r="Y246" i="5"/>
  <c r="Y237" i="5"/>
  <c r="Z233" i="5"/>
  <c r="Z220" i="5"/>
  <c r="Z192" i="5"/>
  <c r="Z184" i="5"/>
  <c r="Z176" i="5"/>
  <c r="Z536" i="5"/>
  <c r="Z384" i="5"/>
  <c r="Y335" i="5"/>
  <c r="Z305" i="5"/>
  <c r="Z250" i="5"/>
  <c r="Y216" i="5"/>
  <c r="Y199" i="5"/>
  <c r="Y187" i="5"/>
  <c r="Z168" i="5"/>
  <c r="Z141" i="5"/>
  <c r="Z135" i="5"/>
  <c r="Y116" i="5"/>
  <c r="Z149" i="5"/>
  <c r="Z98" i="5"/>
  <c r="Z88" i="5"/>
  <c r="Y337" i="5"/>
  <c r="Y285" i="5"/>
  <c r="Y233" i="5"/>
  <c r="Y176" i="5"/>
  <c r="Y168" i="5"/>
  <c r="Z130" i="5"/>
  <c r="Z111" i="5"/>
  <c r="Y92" i="5"/>
  <c r="Z122" i="5"/>
  <c r="Y271" i="5"/>
  <c r="Z117" i="5"/>
  <c r="Z147" i="5"/>
  <c r="Z83" i="5"/>
  <c r="Y83" i="5"/>
  <c r="Z160" i="5"/>
  <c r="Z134" i="5"/>
  <c r="Z125" i="5"/>
  <c r="Z120" i="5"/>
  <c r="Z115" i="5"/>
  <c r="Z106" i="5"/>
  <c r="Z87" i="5"/>
  <c r="Y160" i="5"/>
  <c r="Z139" i="5"/>
  <c r="Y115" i="5"/>
  <c r="Z101" i="5"/>
  <c r="Z91" i="5"/>
  <c r="Y327" i="5"/>
  <c r="Y229" i="5"/>
  <c r="Z212" i="5"/>
  <c r="Z167" i="5"/>
  <c r="Y120" i="5"/>
  <c r="Z110" i="5"/>
  <c r="Z96" i="5"/>
  <c r="Z370" i="5"/>
  <c r="Z300" i="5"/>
  <c r="Y263" i="5"/>
  <c r="Y212" i="5"/>
  <c r="Z195" i="5"/>
  <c r="Z152" i="5"/>
  <c r="Y139" i="5"/>
  <c r="Y96" i="5"/>
  <c r="Y91" i="5"/>
  <c r="Z86" i="5"/>
  <c r="Y163" i="5"/>
  <c r="Z403" i="5"/>
  <c r="Z155" i="5"/>
  <c r="Z126" i="5"/>
  <c r="Z369" i="5"/>
  <c r="Y281" i="5"/>
  <c r="Y184" i="5"/>
  <c r="Z159" i="5"/>
  <c r="Y152" i="5"/>
  <c r="Y124" i="5"/>
  <c r="Y238" i="5"/>
  <c r="Y108" i="5"/>
  <c r="Y345" i="5"/>
  <c r="Y136" i="5"/>
  <c r="Z107" i="5"/>
  <c r="Y107" i="5"/>
  <c r="Y245" i="5"/>
  <c r="Z228" i="5"/>
  <c r="Z119" i="5"/>
  <c r="Y100" i="5"/>
  <c r="Z131" i="5"/>
  <c r="Z93" i="5"/>
  <c r="Z187" i="5"/>
  <c r="Y147" i="5"/>
  <c r="Y88" i="5"/>
  <c r="Y242" i="5"/>
  <c r="Z225" i="5"/>
  <c r="Z173" i="5"/>
  <c r="Z151" i="5"/>
  <c r="Z144" i="5"/>
  <c r="Z133" i="5"/>
  <c r="Z128" i="5"/>
  <c r="Z123" i="5"/>
  <c r="Z114" i="5"/>
  <c r="Z95" i="5"/>
  <c r="Y422" i="5"/>
  <c r="Y225" i="5"/>
  <c r="Z171" i="5"/>
  <c r="Z165" i="5"/>
  <c r="Y144" i="5"/>
  <c r="Y128" i="5"/>
  <c r="Y123" i="5"/>
  <c r="Z118" i="5"/>
  <c r="Z109" i="5"/>
  <c r="Z104" i="5"/>
  <c r="Z99" i="5"/>
  <c r="Z90" i="5"/>
  <c r="Y84" i="5"/>
  <c r="Z112" i="5"/>
  <c r="Y276" i="5"/>
  <c r="Z258" i="5"/>
  <c r="Y224" i="5"/>
  <c r="Y207" i="5"/>
  <c r="Y192" i="5"/>
  <c r="Y171" i="5"/>
  <c r="Y104" i="5"/>
  <c r="Y99" i="5"/>
  <c r="Z94" i="5"/>
  <c r="Z85" i="5"/>
  <c r="Z345" i="5"/>
  <c r="Z142" i="5"/>
  <c r="Y179" i="5"/>
  <c r="Z136" i="5"/>
  <c r="Z103" i="5"/>
  <c r="Y290" i="5"/>
  <c r="Y155" i="5"/>
  <c r="Y254" i="5"/>
  <c r="Z102" i="5"/>
  <c r="Z418" i="5"/>
  <c r="Z352" i="5"/>
  <c r="Y258" i="5"/>
  <c r="Z241" i="5"/>
  <c r="Z181" i="5"/>
  <c r="Z163" i="5"/>
  <c r="Z157" i="5"/>
  <c r="Z143" i="5"/>
  <c r="Y132" i="5"/>
  <c r="Z179" i="5"/>
  <c r="Z127" i="5"/>
  <c r="Y112" i="5"/>
  <c r="Y220" i="5"/>
  <c r="Y131" i="5"/>
  <c r="Z399" i="5"/>
  <c r="Z189" i="5"/>
  <c r="L82" i="5"/>
  <c r="L74" i="5"/>
  <c r="L66" i="5"/>
  <c r="L58" i="5"/>
  <c r="L50" i="5"/>
  <c r="L42" i="5"/>
  <c r="L34" i="5"/>
  <c r="AM16" i="6" s="1"/>
  <c r="AO16" i="6" s="1"/>
  <c r="AQ16" i="6" s="1"/>
  <c r="L79" i="5"/>
  <c r="L71" i="5"/>
  <c r="L76" i="5"/>
  <c r="L47" i="5"/>
  <c r="L44" i="5"/>
  <c r="AM26" i="6" s="1"/>
  <c r="L41" i="5"/>
  <c r="AM23" i="6" s="1"/>
  <c r="AO23" i="6" s="1"/>
  <c r="AQ23" i="6" s="1"/>
  <c r="L38" i="5"/>
  <c r="AM20" i="6" s="1"/>
  <c r="AO20" i="6" s="1"/>
  <c r="AQ20" i="6" s="1"/>
  <c r="L35" i="5"/>
  <c r="L32" i="5"/>
  <c r="AM14" i="6" s="1"/>
  <c r="AO14" i="6" s="1"/>
  <c r="AQ14" i="6" s="1"/>
  <c r="L29" i="5"/>
  <c r="AM11" i="6" s="1"/>
  <c r="AO11" i="6" s="1"/>
  <c r="AQ11" i="6" s="1"/>
  <c r="L24" i="5"/>
  <c r="AM6" i="6" s="1"/>
  <c r="AO6" i="6" s="1"/>
  <c r="AQ6" i="6" s="1"/>
  <c r="L26" i="5"/>
  <c r="AM8" i="6" s="1"/>
  <c r="AO8" i="6" s="1"/>
  <c r="AQ8" i="6" s="1"/>
  <c r="L67" i="5"/>
  <c r="L57" i="5"/>
  <c r="L60" i="5"/>
  <c r="L70" i="5"/>
  <c r="L69" i="5"/>
  <c r="L56" i="5"/>
  <c r="L53" i="5"/>
  <c r="L72" i="5"/>
  <c r="L59" i="5"/>
  <c r="L31" i="5"/>
  <c r="AM13" i="6" s="1"/>
  <c r="AO13" i="6" s="1"/>
  <c r="AQ13" i="6" s="1"/>
  <c r="L36" i="5"/>
  <c r="AM18" i="6" s="1"/>
  <c r="AO18" i="6" s="1"/>
  <c r="AQ18" i="6" s="1"/>
  <c r="L45" i="5"/>
  <c r="AM27" i="6" s="1"/>
  <c r="L51" i="5"/>
  <c r="L80" i="5"/>
  <c r="L65" i="5"/>
  <c r="L62" i="5"/>
  <c r="L40" i="5"/>
  <c r="AM22" i="6" s="1"/>
  <c r="AO22" i="6" s="1"/>
  <c r="AQ22" i="6" s="1"/>
  <c r="L37" i="5"/>
  <c r="AM19" i="6" s="1"/>
  <c r="AO19" i="6" s="1"/>
  <c r="AQ19" i="6" s="1"/>
  <c r="L28" i="5"/>
  <c r="AM10" i="6" s="1"/>
  <c r="AO10" i="6" s="1"/>
  <c r="AQ10" i="6" s="1"/>
  <c r="L52" i="5"/>
  <c r="L30" i="5"/>
  <c r="AM12" i="6" s="1"/>
  <c r="AO12" i="6" s="1"/>
  <c r="AQ12" i="6" s="1"/>
  <c r="L77" i="5"/>
  <c r="L75" i="5"/>
  <c r="L68" i="5"/>
  <c r="L49" i="5"/>
  <c r="L46" i="5"/>
  <c r="L43" i="5"/>
  <c r="AM25" i="6" s="1"/>
  <c r="AO25" i="6" s="1"/>
  <c r="AQ25" i="6" s="1"/>
  <c r="L55" i="5"/>
  <c r="L25" i="5"/>
  <c r="AM7" i="6" s="1"/>
  <c r="AO7" i="6" s="1"/>
  <c r="AQ7" i="6" s="1"/>
  <c r="L39" i="5"/>
  <c r="AM21" i="6" s="1"/>
  <c r="AO21" i="6" s="1"/>
  <c r="AQ21" i="6" s="1"/>
  <c r="L48" i="5"/>
  <c r="L54" i="5"/>
  <c r="L78" i="5"/>
  <c r="L27" i="5"/>
  <c r="L81" i="5"/>
  <c r="L64" i="5"/>
  <c r="L61" i="5"/>
  <c r="L33" i="5"/>
  <c r="AM15" i="6" s="1"/>
  <c r="AO15" i="6" s="1"/>
  <c r="AQ15" i="6" s="1"/>
  <c r="L73" i="5"/>
  <c r="L63" i="5"/>
  <c r="E50" i="14"/>
  <c r="M50" i="3" s="1"/>
  <c r="D46" i="14"/>
  <c r="L46" i="3" s="1"/>
  <c r="K48" i="14"/>
  <c r="L50" i="14"/>
  <c r="L46" i="14"/>
  <c r="D28" i="14"/>
  <c r="L28" i="3" s="1"/>
  <c r="E28" i="14"/>
  <c r="M28" i="3" s="1"/>
  <c r="N17" i="6"/>
  <c r="D24" i="14"/>
  <c r="E33" i="14"/>
  <c r="M33" i="3" s="1"/>
  <c r="L43" i="14"/>
  <c r="K47" i="14"/>
  <c r="K31" i="14"/>
  <c r="K34" i="14"/>
  <c r="L40" i="14"/>
  <c r="E37" i="14"/>
  <c r="M37" i="3" s="1"/>
  <c r="K30" i="14"/>
  <c r="D49" i="14"/>
  <c r="L49" i="3" s="1"/>
  <c r="D31" i="14"/>
  <c r="E38" i="14"/>
  <c r="M38" i="3" s="1"/>
  <c r="D34" i="14"/>
  <c r="L34" i="3" s="1"/>
  <c r="D23" i="14"/>
  <c r="F23" i="14" s="1"/>
  <c r="E43" i="14"/>
  <c r="M43" i="3" s="1"/>
  <c r="L32" i="14"/>
  <c r="L37" i="14"/>
  <c r="L28" i="14"/>
  <c r="E48" i="14"/>
  <c r="M48" i="3" s="1"/>
  <c r="D44" i="14"/>
  <c r="T24" i="14"/>
  <c r="T25" i="14" s="1"/>
  <c r="T26" i="14" s="1"/>
  <c r="T27" i="14" s="1"/>
  <c r="T28" i="14" s="1"/>
  <c r="T29" i="14" s="1"/>
  <c r="T30" i="14" s="1"/>
  <c r="T31" i="14" s="1"/>
  <c r="T32" i="14" s="1"/>
  <c r="T33" i="14" s="1"/>
  <c r="T34" i="14" s="1"/>
  <c r="T35" i="14" s="1"/>
  <c r="T36" i="14" s="1"/>
  <c r="T37" i="14" s="1"/>
  <c r="T38" i="14" s="1"/>
  <c r="T39" i="14" s="1"/>
  <c r="T40" i="14" s="1"/>
  <c r="T41" i="14" s="1"/>
  <c r="T42" i="14" s="1"/>
  <c r="T43" i="14" s="1"/>
  <c r="T44" i="14" s="1"/>
  <c r="T45" i="14" s="1"/>
  <c r="T46" i="14" s="1"/>
  <c r="T47" i="14" s="1"/>
  <c r="T48" i="14" s="1"/>
  <c r="T49" i="14" s="1"/>
  <c r="T50" i="14" s="1"/>
  <c r="T51" i="14" s="1"/>
  <c r="T52" i="14" s="1"/>
  <c r="T53" i="14" s="1"/>
  <c r="T54" i="14" s="1"/>
  <c r="T55" i="14" s="1"/>
  <c r="T56" i="14" s="1"/>
  <c r="T57" i="14" s="1"/>
  <c r="T58" i="14" s="1"/>
  <c r="T59" i="14" s="1"/>
  <c r="T60" i="14" s="1"/>
  <c r="T61" i="14" s="1"/>
  <c r="T62" i="14" s="1"/>
  <c r="T63" i="14" s="1"/>
  <c r="T64" i="14" s="1"/>
  <c r="T65" i="14" s="1"/>
  <c r="T66" i="14" s="1"/>
  <c r="T67" i="14" s="1"/>
  <c r="T68" i="14" s="1"/>
  <c r="T69" i="14" s="1"/>
  <c r="T70" i="14" s="1"/>
  <c r="T71" i="14" s="1"/>
  <c r="T72" i="14" s="1"/>
  <c r="T73" i="14" s="1"/>
  <c r="L34" i="14"/>
  <c r="K46" i="14"/>
  <c r="K49" i="14"/>
  <c r="K50" i="14"/>
  <c r="D33" i="14"/>
  <c r="L30" i="14"/>
  <c r="D37" i="14"/>
  <c r="L37" i="3" s="1"/>
  <c r="E26" i="14"/>
  <c r="E31" i="14"/>
  <c r="M31" i="3" s="1"/>
  <c r="K33" i="14"/>
  <c r="K39" i="14"/>
  <c r="K36" i="14"/>
  <c r="L42" i="14"/>
  <c r="K51" i="14"/>
  <c r="E32" i="14"/>
  <c r="M32" i="3" s="1"/>
  <c r="E36" i="14"/>
  <c r="M36" i="3" s="1"/>
  <c r="D32" i="14"/>
  <c r="L32" i="3" s="1"/>
  <c r="E41" i="14"/>
  <c r="M41" i="3" s="1"/>
  <c r="K52" i="14"/>
  <c r="L49" i="14"/>
  <c r="L36" i="14"/>
  <c r="L51" i="14"/>
  <c r="T25" i="5"/>
  <c r="Q25" i="5"/>
  <c r="L52" i="14"/>
  <c r="Q24" i="6"/>
  <c r="S24" i="6" s="1"/>
  <c r="M24" i="5"/>
  <c r="AT6" i="6" s="1"/>
  <c r="AU6" i="6" s="1"/>
  <c r="AV6" i="6" s="1"/>
  <c r="J24" i="5"/>
  <c r="AK6" i="6" s="1"/>
  <c r="AP6" i="6" s="1"/>
  <c r="E46" i="14"/>
  <c r="M46" i="3" s="1"/>
  <c r="D42" i="14"/>
  <c r="L42" i="3" s="1"/>
  <c r="E51" i="14"/>
  <c r="M51" i="3" s="1"/>
  <c r="L45" i="14"/>
  <c r="L41" i="14"/>
  <c r="L29" i="14"/>
  <c r="F23" i="5"/>
  <c r="C24" i="5" s="1"/>
  <c r="C23" i="5"/>
  <c r="M5" i="6" s="1"/>
  <c r="M35" i="3"/>
  <c r="L27" i="3"/>
  <c r="L25" i="3"/>
  <c r="L24" i="3"/>
  <c r="H26" i="12"/>
  <c r="AF24" i="12"/>
  <c r="N53" i="3"/>
  <c r="AF25" i="12"/>
  <c r="K20" i="5"/>
  <c r="AF8" i="12"/>
  <c r="AF9" i="12"/>
  <c r="AF10" i="12"/>
  <c r="AF11" i="12"/>
  <c r="AF12" i="12"/>
  <c r="AF13" i="12"/>
  <c r="AF14" i="12"/>
  <c r="AF15" i="12"/>
  <c r="AF16" i="12"/>
  <c r="AF17" i="12"/>
  <c r="AF18" i="12"/>
  <c r="AF19" i="12"/>
  <c r="AF20" i="12"/>
  <c r="AF21" i="12"/>
  <c r="AF22" i="12"/>
  <c r="AF23" i="12"/>
  <c r="H5" i="12"/>
  <c r="D80" i="3" s="1"/>
  <c r="H6" i="12"/>
  <c r="D81" i="3" s="1"/>
  <c r="H7" i="12"/>
  <c r="D82" i="3" s="1"/>
  <c r="H8" i="12"/>
  <c r="D83" i="3" s="1"/>
  <c r="H9" i="12"/>
  <c r="D84" i="3" s="1"/>
  <c r="H10" i="12"/>
  <c r="H11" i="12"/>
  <c r="H12" i="12"/>
  <c r="H13" i="12"/>
  <c r="H14" i="12"/>
  <c r="H15" i="12"/>
  <c r="H16" i="12"/>
  <c r="H17" i="12"/>
  <c r="H18" i="12"/>
  <c r="H19" i="12"/>
  <c r="H20" i="12"/>
  <c r="H21" i="12"/>
  <c r="H22" i="12"/>
  <c r="H23" i="12"/>
  <c r="H24" i="12"/>
  <c r="H25" i="12"/>
  <c r="R20" i="14"/>
  <c r="D20" i="5"/>
  <c r="H7" i="6"/>
  <c r="D73" i="3"/>
  <c r="S20" i="14"/>
  <c r="E73" i="3"/>
  <c r="E20" i="5"/>
  <c r="H21" i="6"/>
  <c r="H20" i="6"/>
  <c r="H19" i="6"/>
  <c r="H16" i="6"/>
  <c r="H17" i="6"/>
  <c r="H13" i="6"/>
  <c r="H8" i="6"/>
  <c r="H6" i="6"/>
  <c r="E107" i="3"/>
  <c r="E91" i="3"/>
  <c r="E99" i="3"/>
  <c r="E97" i="3"/>
  <c r="H14" i="6"/>
  <c r="H5" i="6"/>
  <c r="H12" i="6"/>
  <c r="N5" i="6"/>
  <c r="H23" i="6"/>
  <c r="AA22" i="5"/>
  <c r="AA23" i="5" s="1"/>
  <c r="H24" i="6"/>
  <c r="H11" i="6"/>
  <c r="H22" i="6"/>
  <c r="H10" i="6"/>
  <c r="O5" i="6"/>
  <c r="H18" i="6"/>
  <c r="H9" i="6"/>
  <c r="H15" i="6"/>
  <c r="F22" i="3"/>
  <c r="J15" i="14"/>
  <c r="X17" i="5"/>
  <c r="X17" i="14" s="1"/>
  <c r="X16" i="5"/>
  <c r="X16" i="14" s="1"/>
  <c r="AM9" i="6"/>
  <c r="AO9" i="6" s="1"/>
  <c r="AQ9" i="6" s="1"/>
  <c r="AM24" i="6"/>
  <c r="AO24" i="6" s="1"/>
  <c r="AQ24" i="6" s="1"/>
  <c r="L23" i="5"/>
  <c r="J23" i="5"/>
  <c r="AT5" i="6"/>
  <c r="AU5" i="6" s="1"/>
  <c r="AV5" i="6" s="1"/>
  <c r="AJ26" i="6"/>
  <c r="L52" i="3"/>
  <c r="X15" i="5"/>
  <c r="X6" i="14"/>
  <c r="AA22" i="14" s="1"/>
  <c r="AA23" i="14" s="1"/>
  <c r="AA24" i="14" s="1"/>
  <c r="AA25" i="14" s="1"/>
  <c r="AA26" i="14" s="1"/>
  <c r="AA27" i="14" s="1"/>
  <c r="L38" i="3"/>
  <c r="AF7" i="6"/>
  <c r="AE8" i="6"/>
  <c r="AD28" i="6"/>
  <c r="AN28" i="6" s="1"/>
  <c r="AL27" i="6"/>
  <c r="AG27" i="6"/>
  <c r="AH27" i="6" s="1"/>
  <c r="AI27" i="6"/>
  <c r="L25" i="6"/>
  <c r="Q25" i="6" s="1"/>
  <c r="S25" i="6" s="1"/>
  <c r="H25" i="6"/>
  <c r="O26" i="6"/>
  <c r="N26" i="6"/>
  <c r="F27" i="6"/>
  <c r="P27" i="6" s="1"/>
  <c r="K26" i="6"/>
  <c r="I26" i="6"/>
  <c r="J26" i="6" s="1"/>
  <c r="G26" i="6"/>
  <c r="I27" i="12"/>
  <c r="F28" i="12"/>
  <c r="G27" i="12"/>
  <c r="H27" i="12" s="1"/>
  <c r="AD27" i="12"/>
  <c r="AG26" i="12"/>
  <c r="C157" i="3" s="1"/>
  <c r="AE26" i="12"/>
  <c r="AF26" i="12" s="1"/>
  <c r="W4" i="6"/>
  <c r="W4" i="12" s="1"/>
  <c r="V4" i="12"/>
  <c r="H79" i="3" s="1"/>
  <c r="Y4" i="6"/>
  <c r="Y4" i="12" s="1"/>
  <c r="AU4" i="6"/>
  <c r="AU4" i="12" s="1"/>
  <c r="AW4" i="6"/>
  <c r="M29" i="14" l="1"/>
  <c r="Y32" i="14"/>
  <c r="Y34" i="14"/>
  <c r="V5" i="6"/>
  <c r="W5" i="6" s="1"/>
  <c r="X5" i="6" s="1"/>
  <c r="Y50" i="14"/>
  <c r="L26" i="14"/>
  <c r="Z47" i="14"/>
  <c r="Z50" i="14"/>
  <c r="L24" i="14"/>
  <c r="Z31" i="14"/>
  <c r="Z28" i="14"/>
  <c r="Z49" i="14"/>
  <c r="Y40" i="14"/>
  <c r="Y41" i="14"/>
  <c r="Z36" i="14"/>
  <c r="Y36" i="14"/>
  <c r="Y31" i="14"/>
  <c r="Y52" i="14"/>
  <c r="Z29" i="14"/>
  <c r="Z51" i="14"/>
  <c r="L27" i="14"/>
  <c r="Y47" i="14"/>
  <c r="Z41" i="14"/>
  <c r="Y44" i="14"/>
  <c r="Z44" i="14"/>
  <c r="AA24" i="5"/>
  <c r="X24" i="5"/>
  <c r="T26" i="5"/>
  <c r="Q26" i="5"/>
  <c r="M30" i="14"/>
  <c r="M31" i="14" s="1"/>
  <c r="M32" i="14" s="1"/>
  <c r="M33" i="14" s="1"/>
  <c r="M34" i="14" s="1"/>
  <c r="M35" i="14" s="1"/>
  <c r="M36" i="14" s="1"/>
  <c r="M37" i="14" s="1"/>
  <c r="M38" i="14" s="1"/>
  <c r="M39" i="14" s="1"/>
  <c r="M40" i="14" s="1"/>
  <c r="M41" i="14" s="1"/>
  <c r="M42" i="14" s="1"/>
  <c r="M43" i="14" s="1"/>
  <c r="M44" i="14" s="1"/>
  <c r="M45" i="14" s="1"/>
  <c r="M46" i="14" s="1"/>
  <c r="M47" i="14" s="1"/>
  <c r="M48" i="14" s="1"/>
  <c r="M49" i="14" s="1"/>
  <c r="M50" i="14" s="1"/>
  <c r="M51" i="14" s="1"/>
  <c r="M52" i="14" s="1"/>
  <c r="M53" i="14" s="1"/>
  <c r="M54" i="14" s="1"/>
  <c r="M55" i="14" s="1"/>
  <c r="M56" i="14" s="1"/>
  <c r="M57" i="14" s="1"/>
  <c r="M58" i="14" s="1"/>
  <c r="M59" i="14" s="1"/>
  <c r="M60" i="14" s="1"/>
  <c r="M61" i="14" s="1"/>
  <c r="M62" i="14" s="1"/>
  <c r="M63" i="14" s="1"/>
  <c r="M64" i="14" s="1"/>
  <c r="M65" i="14" s="1"/>
  <c r="M66" i="14" s="1"/>
  <c r="M67" i="14" s="1"/>
  <c r="M68" i="14" s="1"/>
  <c r="M69" i="14" s="1"/>
  <c r="M70" i="14" s="1"/>
  <c r="M71" i="14" s="1"/>
  <c r="M72" i="14" s="1"/>
  <c r="M73" i="14" s="1"/>
  <c r="Z33" i="14"/>
  <c r="Z52" i="14"/>
  <c r="Y33" i="14"/>
  <c r="Z34" i="14"/>
  <c r="Z39" i="14"/>
  <c r="L25" i="14"/>
  <c r="Z43" i="14"/>
  <c r="Y46" i="14"/>
  <c r="Z46" i="14"/>
  <c r="Y51" i="14"/>
  <c r="Y43" i="14"/>
  <c r="Y49" i="14"/>
  <c r="Y39" i="14"/>
  <c r="Y28" i="14"/>
  <c r="AA28" i="14" s="1"/>
  <c r="Z40" i="14"/>
  <c r="Y29" i="14"/>
  <c r="Z42" i="14"/>
  <c r="Z30" i="14"/>
  <c r="F24" i="5"/>
  <c r="V6" i="6" s="1"/>
  <c r="J25" i="5"/>
  <c r="AK7" i="6" s="1"/>
  <c r="AP7" i="6" s="1"/>
  <c r="AR7" i="6" s="1"/>
  <c r="M25" i="5"/>
  <c r="Y35" i="14"/>
  <c r="Z37" i="14"/>
  <c r="Y45" i="14"/>
  <c r="Z76" i="5"/>
  <c r="Z68" i="5"/>
  <c r="Z60" i="5"/>
  <c r="Z52" i="5"/>
  <c r="Z44" i="5"/>
  <c r="Z36" i="5"/>
  <c r="Z28" i="5"/>
  <c r="Z81" i="5"/>
  <c r="Z73" i="5"/>
  <c r="Z79" i="5"/>
  <c r="Z72" i="5"/>
  <c r="Z59" i="5"/>
  <c r="Z62" i="5"/>
  <c r="Z25" i="5"/>
  <c r="Z24" i="5"/>
  <c r="Z29" i="5"/>
  <c r="Z32" i="5"/>
  <c r="Z75" i="5"/>
  <c r="Z65" i="5"/>
  <c r="Z46" i="5"/>
  <c r="Z43" i="5"/>
  <c r="Z40" i="5"/>
  <c r="Z37" i="5"/>
  <c r="Z34" i="5"/>
  <c r="Z31" i="5"/>
  <c r="Z82" i="5"/>
  <c r="Z49" i="5"/>
  <c r="Z80" i="5"/>
  <c r="Z69" i="5"/>
  <c r="Z78" i="5"/>
  <c r="Z55" i="5"/>
  <c r="Z61" i="5"/>
  <c r="Z39" i="5"/>
  <c r="Z27" i="5"/>
  <c r="Z67" i="5"/>
  <c r="Z45" i="5"/>
  <c r="Z51" i="5"/>
  <c r="Z26" i="5"/>
  <c r="Z71" i="5"/>
  <c r="Z33" i="5"/>
  <c r="Z47" i="5"/>
  <c r="Z50" i="5"/>
  <c r="Z58" i="5"/>
  <c r="Z64" i="5"/>
  <c r="Z48" i="5"/>
  <c r="Z42" i="5"/>
  <c r="Z35" i="5"/>
  <c r="Z56" i="5"/>
  <c r="Z30" i="5"/>
  <c r="Z74" i="5"/>
  <c r="Z53" i="5"/>
  <c r="Z70" i="5"/>
  <c r="Z54" i="5"/>
  <c r="Z63" i="5"/>
  <c r="Z38" i="5"/>
  <c r="Z77" i="5"/>
  <c r="Z57" i="5"/>
  <c r="Z41" i="5"/>
  <c r="Z66" i="5"/>
  <c r="L23" i="14"/>
  <c r="Z45" i="14"/>
  <c r="Y48" i="14"/>
  <c r="Z48" i="14"/>
  <c r="Y30" i="14"/>
  <c r="Y38" i="14"/>
  <c r="Z38" i="14"/>
  <c r="Z35" i="14"/>
  <c r="Y42" i="14"/>
  <c r="F24" i="14"/>
  <c r="F25" i="14" s="1"/>
  <c r="F26" i="14" s="1"/>
  <c r="F27" i="14" s="1"/>
  <c r="F28" i="14" s="1"/>
  <c r="F29" i="14" s="1"/>
  <c r="F30" i="14" s="1"/>
  <c r="F31" i="14" s="1"/>
  <c r="F32" i="14" s="1"/>
  <c r="F33" i="14" s="1"/>
  <c r="F34" i="14" s="1"/>
  <c r="F35" i="14" s="1"/>
  <c r="F36" i="14" s="1"/>
  <c r="F37" i="14" s="1"/>
  <c r="F38" i="14" s="1"/>
  <c r="F39" i="14" s="1"/>
  <c r="F40" i="14" s="1"/>
  <c r="F41" i="14" s="1"/>
  <c r="F42" i="14" s="1"/>
  <c r="F43" i="14" s="1"/>
  <c r="F44" i="14" s="1"/>
  <c r="F45" i="14" s="1"/>
  <c r="F46" i="14" s="1"/>
  <c r="F47" i="14" s="1"/>
  <c r="F48" i="14" s="1"/>
  <c r="F49" i="14" s="1"/>
  <c r="F50" i="14" s="1"/>
  <c r="F51" i="14" s="1"/>
  <c r="F52" i="14" s="1"/>
  <c r="F53" i="14" s="1"/>
  <c r="F54" i="14" s="1"/>
  <c r="F55" i="14" s="1"/>
  <c r="F56" i="14" s="1"/>
  <c r="F57" i="14" s="1"/>
  <c r="F58" i="14" s="1"/>
  <c r="F59" i="14" s="1"/>
  <c r="F60" i="14" s="1"/>
  <c r="F61" i="14" s="1"/>
  <c r="F62" i="14" s="1"/>
  <c r="F63" i="14" s="1"/>
  <c r="F64" i="14" s="1"/>
  <c r="F65" i="14" s="1"/>
  <c r="F66" i="14" s="1"/>
  <c r="F67" i="14" s="1"/>
  <c r="F68" i="14" s="1"/>
  <c r="F69" i="14" s="1"/>
  <c r="F70" i="14" s="1"/>
  <c r="F71" i="14" s="1"/>
  <c r="F72" i="14" s="1"/>
  <c r="F73" i="14" s="1"/>
  <c r="Z32" i="14"/>
  <c r="Y37" i="14"/>
  <c r="Y20" i="5"/>
  <c r="K20" i="14"/>
  <c r="Q5" i="6"/>
  <c r="D85" i="3"/>
  <c r="D88" i="3"/>
  <c r="D20" i="14"/>
  <c r="D59" i="3"/>
  <c r="D67" i="3"/>
  <c r="G67" i="3" s="1"/>
  <c r="D60" i="3"/>
  <c r="G60" i="3" s="1"/>
  <c r="D61" i="3"/>
  <c r="D54" i="3"/>
  <c r="D68" i="3"/>
  <c r="D55" i="3"/>
  <c r="D70" i="3"/>
  <c r="D53" i="3"/>
  <c r="D62" i="3"/>
  <c r="D72" i="3"/>
  <c r="G72" i="3" s="1"/>
  <c r="D63" i="3"/>
  <c r="D71" i="3"/>
  <c r="D64" i="3"/>
  <c r="D65" i="3"/>
  <c r="D56" i="3"/>
  <c r="D57" i="3"/>
  <c r="D66" i="3"/>
  <c r="D58" i="3"/>
  <c r="D69" i="3"/>
  <c r="E20" i="14"/>
  <c r="E66" i="3"/>
  <c r="E59" i="3"/>
  <c r="E61" i="3"/>
  <c r="E60" i="3"/>
  <c r="H60" i="3" s="1"/>
  <c r="E53" i="3"/>
  <c r="E54" i="3"/>
  <c r="E72" i="3"/>
  <c r="H72" i="3" s="1"/>
  <c r="E69" i="3"/>
  <c r="E65" i="3"/>
  <c r="E55" i="3"/>
  <c r="E70" i="3"/>
  <c r="E71" i="3"/>
  <c r="E58" i="3"/>
  <c r="E67" i="3"/>
  <c r="H67" i="3" s="1"/>
  <c r="E62" i="3"/>
  <c r="E63" i="3"/>
  <c r="E57" i="3"/>
  <c r="E64" i="3"/>
  <c r="E56" i="3"/>
  <c r="E68" i="3"/>
  <c r="D93" i="3"/>
  <c r="AM17" i="6"/>
  <c r="AM5" i="6"/>
  <c r="L20" i="5"/>
  <c r="D89" i="3"/>
  <c r="M6" i="6"/>
  <c r="R6" i="6" s="1"/>
  <c r="T6" i="6" s="1"/>
  <c r="D87" i="3"/>
  <c r="D26" i="3"/>
  <c r="D25" i="3"/>
  <c r="D86" i="3"/>
  <c r="D24" i="3"/>
  <c r="D23" i="3"/>
  <c r="L23" i="3"/>
  <c r="D27" i="3"/>
  <c r="D94" i="3"/>
  <c r="D96" i="3"/>
  <c r="D97" i="3"/>
  <c r="D40" i="3"/>
  <c r="D90" i="3"/>
  <c r="D98" i="3"/>
  <c r="D101" i="3"/>
  <c r="C101" i="3"/>
  <c r="D99" i="3"/>
  <c r="D100" i="3"/>
  <c r="D31" i="3"/>
  <c r="D92" i="3"/>
  <c r="D91" i="3"/>
  <c r="D28" i="3"/>
  <c r="D29" i="3"/>
  <c r="D32" i="3"/>
  <c r="D95" i="3"/>
  <c r="D30" i="3"/>
  <c r="D52" i="3"/>
  <c r="G52" i="3" s="1"/>
  <c r="D51" i="3"/>
  <c r="D47" i="3"/>
  <c r="G47" i="3" s="1"/>
  <c r="D35" i="3"/>
  <c r="D48" i="3"/>
  <c r="D45" i="3"/>
  <c r="D43" i="3"/>
  <c r="D39" i="3"/>
  <c r="D49" i="3"/>
  <c r="D37" i="3"/>
  <c r="D46" i="3"/>
  <c r="D33" i="3"/>
  <c r="D44" i="3"/>
  <c r="D38" i="3"/>
  <c r="D36" i="3"/>
  <c r="D41" i="3"/>
  <c r="D34" i="3"/>
  <c r="D50" i="3"/>
  <c r="G50" i="3" s="1"/>
  <c r="D42" i="3"/>
  <c r="AO26" i="6"/>
  <c r="AQ26" i="6" s="1"/>
  <c r="M27" i="3"/>
  <c r="N27" i="3" s="1"/>
  <c r="M26" i="3"/>
  <c r="N26" i="3" s="1"/>
  <c r="AK5" i="6"/>
  <c r="N48" i="3"/>
  <c r="N35" i="3"/>
  <c r="N43" i="3"/>
  <c r="N40" i="3"/>
  <c r="L44" i="3"/>
  <c r="N44" i="3" s="1"/>
  <c r="N45" i="3"/>
  <c r="N30" i="3"/>
  <c r="N39" i="3"/>
  <c r="L33" i="3"/>
  <c r="N33" i="3" s="1"/>
  <c r="N37" i="3"/>
  <c r="N34" i="3"/>
  <c r="N32" i="3"/>
  <c r="L31" i="3"/>
  <c r="N31" i="3" s="1"/>
  <c r="N29" i="3"/>
  <c r="N51" i="3"/>
  <c r="N42" i="3"/>
  <c r="N46" i="3"/>
  <c r="N38" i="3"/>
  <c r="N49" i="3"/>
  <c r="N41" i="3"/>
  <c r="N28" i="3"/>
  <c r="N47" i="3"/>
  <c r="N52" i="3"/>
  <c r="N50" i="3"/>
  <c r="M24" i="3"/>
  <c r="N24" i="3" s="1"/>
  <c r="X23" i="5"/>
  <c r="Z23" i="5"/>
  <c r="M25" i="3"/>
  <c r="N25" i="3" s="1"/>
  <c r="AR6" i="6"/>
  <c r="AM28" i="6"/>
  <c r="AT7" i="6"/>
  <c r="AU7" i="6" s="1"/>
  <c r="AV7" i="6" s="1"/>
  <c r="G42" i="3"/>
  <c r="G45" i="3"/>
  <c r="N36" i="3"/>
  <c r="X15" i="14"/>
  <c r="AF8" i="6"/>
  <c r="AE9" i="6"/>
  <c r="AJ27" i="6"/>
  <c r="AO27" i="6" s="1"/>
  <c r="AQ27" i="6" s="1"/>
  <c r="AD29" i="6"/>
  <c r="AN29" i="6" s="1"/>
  <c r="AL28" i="6"/>
  <c r="AI28" i="6"/>
  <c r="AG28" i="6"/>
  <c r="AH28" i="6" s="1"/>
  <c r="L26" i="6"/>
  <c r="Q26" i="6" s="1"/>
  <c r="S26" i="6" s="1"/>
  <c r="H26" i="6"/>
  <c r="F29" i="12"/>
  <c r="I28" i="12"/>
  <c r="G28" i="12"/>
  <c r="H28" i="12" s="1"/>
  <c r="K27" i="6"/>
  <c r="F28" i="6"/>
  <c r="P28" i="6" s="1"/>
  <c r="I27" i="6"/>
  <c r="J27" i="6" s="1"/>
  <c r="G27" i="6"/>
  <c r="N27" i="6"/>
  <c r="O27" i="6"/>
  <c r="Z4" i="6"/>
  <c r="Z4" i="12" s="1"/>
  <c r="AE27" i="12"/>
  <c r="AF27" i="12" s="1"/>
  <c r="AD28" i="12"/>
  <c r="AG27" i="12"/>
  <c r="C158" i="3" s="1"/>
  <c r="AX4" i="6"/>
  <c r="AX4" i="12" s="1"/>
  <c r="AW4" i="12"/>
  <c r="I79" i="3" s="1"/>
  <c r="F25" i="5" l="1"/>
  <c r="C26" i="5" s="1"/>
  <c r="C25" i="5"/>
  <c r="AA29" i="14"/>
  <c r="AA30" i="14" s="1"/>
  <c r="AA31" i="14" s="1"/>
  <c r="AA32" i="14" s="1"/>
  <c r="AA33" i="14" s="1"/>
  <c r="AA34" i="14" s="1"/>
  <c r="AA35" i="14" s="1"/>
  <c r="AA36" i="14" s="1"/>
  <c r="AA37" i="14" s="1"/>
  <c r="AA38" i="14" s="1"/>
  <c r="AA39" i="14" s="1"/>
  <c r="AA40" i="14" s="1"/>
  <c r="AA41" i="14" s="1"/>
  <c r="AA42" i="14" s="1"/>
  <c r="AA43" i="14" s="1"/>
  <c r="AA44" i="14" s="1"/>
  <c r="AA45" i="14" s="1"/>
  <c r="AA46" i="14" s="1"/>
  <c r="AA47" i="14" s="1"/>
  <c r="AA48" i="14" s="1"/>
  <c r="AA49" i="14" s="1"/>
  <c r="AA50" i="14" s="1"/>
  <c r="AA51" i="14" s="1"/>
  <c r="AA52" i="14" s="1"/>
  <c r="AA53" i="14" s="1"/>
  <c r="AA54" i="14" s="1"/>
  <c r="AA55" i="14" s="1"/>
  <c r="AA56" i="14" s="1"/>
  <c r="AA57" i="14" s="1"/>
  <c r="AA58" i="14" s="1"/>
  <c r="AA59" i="14" s="1"/>
  <c r="AA60" i="14" s="1"/>
  <c r="AA61" i="14" s="1"/>
  <c r="AA62" i="14" s="1"/>
  <c r="AA63" i="14" s="1"/>
  <c r="AA64" i="14" s="1"/>
  <c r="AA65" i="14" s="1"/>
  <c r="AA66" i="14" s="1"/>
  <c r="AA67" i="14" s="1"/>
  <c r="AA68" i="14" s="1"/>
  <c r="AA69" i="14" s="1"/>
  <c r="AA70" i="14" s="1"/>
  <c r="AA71" i="14" s="1"/>
  <c r="AA72" i="14" s="1"/>
  <c r="AA73" i="14" s="1"/>
  <c r="Z23" i="14"/>
  <c r="T27" i="5"/>
  <c r="Q27" i="5"/>
  <c r="AA25" i="5"/>
  <c r="X25" i="5"/>
  <c r="Z24" i="14"/>
  <c r="J26" i="5"/>
  <c r="AK8" i="6" s="1"/>
  <c r="AP8" i="6" s="1"/>
  <c r="AR8" i="6" s="1"/>
  <c r="M26" i="5"/>
  <c r="AT8" i="6" s="1"/>
  <c r="AU8" i="6" s="1"/>
  <c r="AV8" i="6" s="1"/>
  <c r="Z26" i="14"/>
  <c r="Z25" i="14"/>
  <c r="Z27" i="14"/>
  <c r="H190" i="3"/>
  <c r="H205" i="3" s="1"/>
  <c r="O20" i="3"/>
  <c r="O56" i="3" s="1"/>
  <c r="H192" i="3"/>
  <c r="M46" i="13" s="1"/>
  <c r="Y20" i="14"/>
  <c r="AO5" i="6"/>
  <c r="AP5" i="6"/>
  <c r="AO17" i="6"/>
  <c r="R5" i="6"/>
  <c r="M7" i="6"/>
  <c r="R7" i="6" s="1"/>
  <c r="T7" i="6" s="1"/>
  <c r="S5" i="6"/>
  <c r="Z20" i="5"/>
  <c r="L20" i="14"/>
  <c r="F23" i="3"/>
  <c r="E114" i="3"/>
  <c r="D102" i="3"/>
  <c r="C102" i="3"/>
  <c r="M23" i="3"/>
  <c r="N23" i="3" s="1"/>
  <c r="E36" i="3"/>
  <c r="E47" i="3"/>
  <c r="E52" i="3"/>
  <c r="H52" i="3" s="1"/>
  <c r="E51" i="3"/>
  <c r="E42" i="3"/>
  <c r="E43" i="3"/>
  <c r="E26" i="3"/>
  <c r="E37" i="3"/>
  <c r="E25" i="3"/>
  <c r="E34" i="3"/>
  <c r="E27" i="3"/>
  <c r="E50" i="3"/>
  <c r="H50" i="3" s="1"/>
  <c r="E33" i="3"/>
  <c r="E46" i="3"/>
  <c r="E44" i="3"/>
  <c r="E23" i="3"/>
  <c r="E24" i="3"/>
  <c r="E28" i="3"/>
  <c r="E41" i="3"/>
  <c r="E29" i="3"/>
  <c r="E49" i="3"/>
  <c r="E45" i="3"/>
  <c r="E30" i="3"/>
  <c r="E48" i="3"/>
  <c r="E35" i="3"/>
  <c r="E39" i="3"/>
  <c r="E32" i="3"/>
  <c r="H193" i="3" s="1"/>
  <c r="E40" i="3"/>
  <c r="E38" i="3"/>
  <c r="E31" i="3"/>
  <c r="O57" i="3"/>
  <c r="H47" i="3"/>
  <c r="H42" i="3"/>
  <c r="H45" i="3"/>
  <c r="O28" i="3"/>
  <c r="O27" i="3"/>
  <c r="AJ28" i="6"/>
  <c r="AO28" i="6" s="1"/>
  <c r="AQ28" i="6" s="1"/>
  <c r="AD30" i="6"/>
  <c r="AN30" i="6" s="1"/>
  <c r="AL29" i="6"/>
  <c r="AI29" i="6"/>
  <c r="AG29" i="6"/>
  <c r="AH29" i="6" s="1"/>
  <c r="AM29" i="6"/>
  <c r="AF9" i="6"/>
  <c r="AE10" i="6"/>
  <c r="F24" i="3"/>
  <c r="L27" i="6"/>
  <c r="Q27" i="6" s="1"/>
  <c r="S27" i="6" s="1"/>
  <c r="O28" i="6"/>
  <c r="N28" i="6"/>
  <c r="I28" i="6"/>
  <c r="J28" i="6" s="1"/>
  <c r="G28" i="6"/>
  <c r="H28" i="6" s="1"/>
  <c r="K28" i="6"/>
  <c r="F29" i="6"/>
  <c r="P29" i="6" s="1"/>
  <c r="F30" i="12"/>
  <c r="I29" i="12"/>
  <c r="G29" i="12"/>
  <c r="H29" i="12" s="1"/>
  <c r="H27" i="6"/>
  <c r="W6" i="6"/>
  <c r="X6" i="6" s="1"/>
  <c r="AD29" i="12"/>
  <c r="AG28" i="12"/>
  <c r="C159" i="3" s="1"/>
  <c r="AE28" i="12"/>
  <c r="AF28" i="12" s="1"/>
  <c r="F26" i="5" l="1"/>
  <c r="V8" i="6" s="1"/>
  <c r="V7" i="6"/>
  <c r="W7" i="6" s="1"/>
  <c r="X7" i="6" s="1"/>
  <c r="M27" i="5"/>
  <c r="AT9" i="6" s="1"/>
  <c r="AU9" i="6" s="1"/>
  <c r="AV9" i="6" s="1"/>
  <c r="J27" i="5"/>
  <c r="X26" i="5"/>
  <c r="AA26" i="5"/>
  <c r="Q28" i="5"/>
  <c r="T28" i="5"/>
  <c r="F27" i="5"/>
  <c r="I20" i="3"/>
  <c r="I25" i="3" s="1"/>
  <c r="AQ17" i="6"/>
  <c r="Z20" i="14"/>
  <c r="AQ5" i="6"/>
  <c r="AR5" i="6" s="1"/>
  <c r="T5" i="6"/>
  <c r="M8" i="6"/>
  <c r="R8" i="6" s="1"/>
  <c r="T8" i="6" s="1"/>
  <c r="S46" i="13"/>
  <c r="E101" i="3"/>
  <c r="O34" i="3"/>
  <c r="O44" i="3"/>
  <c r="D103" i="3"/>
  <c r="C103" i="3"/>
  <c r="E46" i="13"/>
  <c r="I50" i="3"/>
  <c r="I37" i="3"/>
  <c r="O50" i="3"/>
  <c r="O37" i="3"/>
  <c r="O49" i="3"/>
  <c r="O40" i="3"/>
  <c r="O42" i="3"/>
  <c r="O47" i="3"/>
  <c r="O23" i="3"/>
  <c r="O30" i="3"/>
  <c r="O32" i="3"/>
  <c r="O25" i="3"/>
  <c r="I36" i="3"/>
  <c r="I35" i="3"/>
  <c r="O36" i="3"/>
  <c r="O35" i="3"/>
  <c r="AF10" i="6"/>
  <c r="AE11" i="6"/>
  <c r="AJ29" i="6"/>
  <c r="AO29" i="6" s="1"/>
  <c r="AD31" i="6"/>
  <c r="AN31" i="6" s="1"/>
  <c r="AL30" i="6"/>
  <c r="AG30" i="6"/>
  <c r="AH30" i="6" s="1"/>
  <c r="AI30" i="6"/>
  <c r="AM30" i="6"/>
  <c r="L28" i="6"/>
  <c r="Q28" i="6" s="1"/>
  <c r="S28" i="6" s="1"/>
  <c r="F25" i="3"/>
  <c r="F31" i="12"/>
  <c r="G30" i="12"/>
  <c r="H30" i="12" s="1"/>
  <c r="I30" i="12"/>
  <c r="G29" i="6"/>
  <c r="F30" i="6"/>
  <c r="P30" i="6" s="1"/>
  <c r="N29" i="6"/>
  <c r="K29" i="6"/>
  <c r="O29" i="6"/>
  <c r="I29" i="6"/>
  <c r="J29" i="6" s="1"/>
  <c r="AD30" i="12"/>
  <c r="AG29" i="12"/>
  <c r="C160" i="3" s="1"/>
  <c r="AE29" i="12"/>
  <c r="AF29" i="12" s="1"/>
  <c r="C27" i="5" l="1"/>
  <c r="M9" i="6" s="1"/>
  <c r="R9" i="6" s="1"/>
  <c r="T9" i="6" s="1"/>
  <c r="U9" i="6" s="1"/>
  <c r="I56" i="3"/>
  <c r="I27" i="3"/>
  <c r="T29" i="5"/>
  <c r="Q29" i="5"/>
  <c r="AA27" i="5"/>
  <c r="X27" i="5"/>
  <c r="AK9" i="6"/>
  <c r="AP9" i="6" s="1"/>
  <c r="AR9" i="6" s="1"/>
  <c r="J28" i="5"/>
  <c r="AK10" i="6" s="1"/>
  <c r="AP10" i="6" s="1"/>
  <c r="AR10" i="6" s="1"/>
  <c r="M28" i="5"/>
  <c r="C28" i="5"/>
  <c r="F28" i="5"/>
  <c r="AQ29" i="6"/>
  <c r="AS7" i="6"/>
  <c r="AW7" i="6" s="1"/>
  <c r="AX7" i="6" s="1"/>
  <c r="AY7" i="6" s="1"/>
  <c r="AS5" i="6"/>
  <c r="AW5" i="6" s="1"/>
  <c r="AX5" i="6" s="1"/>
  <c r="AY5" i="6" s="1"/>
  <c r="AS8" i="6"/>
  <c r="AW8" i="6" s="1"/>
  <c r="AX8" i="6" s="1"/>
  <c r="AY8" i="6" s="1"/>
  <c r="AS6" i="6"/>
  <c r="AW6" i="6" s="1"/>
  <c r="AX6" i="6" s="1"/>
  <c r="AY6" i="6" s="1"/>
  <c r="U6" i="6"/>
  <c r="Y6" i="6" s="1"/>
  <c r="Z6" i="6" s="1"/>
  <c r="AA6" i="6" s="1"/>
  <c r="U7" i="6"/>
  <c r="Y7" i="6" s="1"/>
  <c r="Z7" i="6" s="1"/>
  <c r="AA7" i="6" s="1"/>
  <c r="U5" i="6"/>
  <c r="Y5" i="6" s="1"/>
  <c r="Z5" i="6" s="1"/>
  <c r="AA5" i="6" s="1"/>
  <c r="V9" i="6"/>
  <c r="I42" i="3"/>
  <c r="I44" i="3"/>
  <c r="D104" i="3"/>
  <c r="C104" i="3"/>
  <c r="I23" i="3"/>
  <c r="I30" i="3"/>
  <c r="I32" i="3"/>
  <c r="AJ30" i="6"/>
  <c r="AO30" i="6" s="1"/>
  <c r="AQ30" i="6" s="1"/>
  <c r="AD32" i="6"/>
  <c r="AL31" i="6"/>
  <c r="AG31" i="6"/>
  <c r="AH31" i="6" s="1"/>
  <c r="AI31" i="6"/>
  <c r="AM31" i="6"/>
  <c r="AF11" i="6"/>
  <c r="AE12" i="6"/>
  <c r="F26" i="3"/>
  <c r="L29" i="6"/>
  <c r="Q29" i="6" s="1"/>
  <c r="S29" i="6" s="1"/>
  <c r="H29" i="6"/>
  <c r="F31" i="6"/>
  <c r="P31" i="6" s="1"/>
  <c r="N30" i="6"/>
  <c r="I30" i="6"/>
  <c r="J30" i="6" s="1"/>
  <c r="G30" i="6"/>
  <c r="K30" i="6"/>
  <c r="O30" i="6"/>
  <c r="I31" i="12"/>
  <c r="G31" i="12"/>
  <c r="H31" i="12" s="1"/>
  <c r="F32" i="12"/>
  <c r="U8" i="6"/>
  <c r="Y8" i="6" s="1"/>
  <c r="Z8" i="6" s="1"/>
  <c r="AA8" i="6" s="1"/>
  <c r="W8" i="6"/>
  <c r="X8" i="6" s="1"/>
  <c r="AG30" i="12"/>
  <c r="C161" i="3" s="1"/>
  <c r="AE30" i="12"/>
  <c r="AF30" i="12" s="1"/>
  <c r="AD31" i="12"/>
  <c r="AS10" i="6" l="1"/>
  <c r="M29" i="5"/>
  <c r="AT11" i="6" s="1"/>
  <c r="AU11" i="6" s="1"/>
  <c r="AV11" i="6" s="1"/>
  <c r="J29" i="5"/>
  <c r="AT10" i="6"/>
  <c r="AU10" i="6" s="1"/>
  <c r="AV10" i="6" s="1"/>
  <c r="AS9" i="6"/>
  <c r="AW9" i="6" s="1"/>
  <c r="AX9" i="6" s="1"/>
  <c r="AY9" i="6" s="1"/>
  <c r="AA28" i="5"/>
  <c r="X28" i="5"/>
  <c r="T30" i="5"/>
  <c r="Q30" i="5"/>
  <c r="C29" i="5"/>
  <c r="F29" i="5"/>
  <c r="AN32" i="6"/>
  <c r="V10" i="6"/>
  <c r="M10" i="6"/>
  <c r="R10" i="6" s="1"/>
  <c r="T10" i="6" s="1"/>
  <c r="D105" i="3"/>
  <c r="C105" i="3"/>
  <c r="AF12" i="6"/>
  <c r="AE13" i="6"/>
  <c r="AJ31" i="6"/>
  <c r="AO31" i="6" s="1"/>
  <c r="AD33" i="6"/>
  <c r="AL32" i="6"/>
  <c r="AG32" i="6"/>
  <c r="AH32" i="6" s="1"/>
  <c r="AI32" i="6"/>
  <c r="AM32" i="6"/>
  <c r="F27" i="3"/>
  <c r="H30" i="6"/>
  <c r="L30" i="6"/>
  <c r="Q30" i="6" s="1"/>
  <c r="S30" i="6" s="1"/>
  <c r="N31" i="6"/>
  <c r="K31" i="6"/>
  <c r="F32" i="6"/>
  <c r="P32" i="6" s="1"/>
  <c r="I31" i="6"/>
  <c r="J31" i="6" s="1"/>
  <c r="O31" i="6"/>
  <c r="G31" i="6"/>
  <c r="I32" i="12"/>
  <c r="G32" i="12"/>
  <c r="H32" i="12" s="1"/>
  <c r="F33" i="12"/>
  <c r="W9" i="6"/>
  <c r="X9" i="6" s="1"/>
  <c r="Y9" i="6"/>
  <c r="Z9" i="6" s="1"/>
  <c r="AA9" i="6" s="1"/>
  <c r="AG31" i="12"/>
  <c r="C162" i="3" s="1"/>
  <c r="AD32" i="12"/>
  <c r="AE31" i="12"/>
  <c r="AF31" i="12" s="1"/>
  <c r="AW10" i="6" l="1"/>
  <c r="AX10" i="6" s="1"/>
  <c r="AY10" i="6" s="1"/>
  <c r="Q31" i="5"/>
  <c r="T31" i="5"/>
  <c r="X29" i="5"/>
  <c r="AA29" i="5"/>
  <c r="AK11" i="6"/>
  <c r="AP11" i="6" s="1"/>
  <c r="AR11" i="6" s="1"/>
  <c r="AS11" i="6" s="1"/>
  <c r="AW11" i="6" s="1"/>
  <c r="AX11" i="6" s="1"/>
  <c r="AY11" i="6" s="1"/>
  <c r="J30" i="5"/>
  <c r="AK12" i="6" s="1"/>
  <c r="M30" i="5"/>
  <c r="C30" i="5"/>
  <c r="F30" i="5"/>
  <c r="M11" i="6"/>
  <c r="R11" i="6" s="1"/>
  <c r="T11" i="6" s="1"/>
  <c r="U11" i="6" s="1"/>
  <c r="AN33" i="6"/>
  <c r="AQ31" i="6"/>
  <c r="V11" i="6"/>
  <c r="W11" i="6" s="1"/>
  <c r="X11" i="6" s="1"/>
  <c r="D106" i="3"/>
  <c r="C106" i="3"/>
  <c r="AJ32" i="6"/>
  <c r="AO32" i="6" s="1"/>
  <c r="AQ32" i="6" s="1"/>
  <c r="AD34" i="6"/>
  <c r="AL33" i="6"/>
  <c r="AG33" i="6"/>
  <c r="AH33" i="6" s="1"/>
  <c r="AI33" i="6"/>
  <c r="AM33" i="6"/>
  <c r="AF13" i="6"/>
  <c r="AE14" i="6"/>
  <c r="F28" i="3"/>
  <c r="L31" i="6"/>
  <c r="Q31" i="6" s="1"/>
  <c r="S31" i="6" s="1"/>
  <c r="F34" i="12"/>
  <c r="I33" i="12"/>
  <c r="G33" i="12"/>
  <c r="H33" i="12" s="1"/>
  <c r="H31" i="6"/>
  <c r="F33" i="6"/>
  <c r="P33" i="6" s="1"/>
  <c r="I32" i="6"/>
  <c r="J32" i="6" s="1"/>
  <c r="K32" i="6"/>
  <c r="G32" i="6"/>
  <c r="O32" i="6"/>
  <c r="N32" i="6"/>
  <c r="U10" i="6"/>
  <c r="Y10" i="6" s="1"/>
  <c r="Z10" i="6" s="1"/>
  <c r="AA10" i="6" s="1"/>
  <c r="W10" i="6"/>
  <c r="X10" i="6" s="1"/>
  <c r="AG32" i="12"/>
  <c r="C163" i="3" s="1"/>
  <c r="AD33" i="12"/>
  <c r="AE32" i="12"/>
  <c r="AF32" i="12" s="1"/>
  <c r="J31" i="5" l="1"/>
  <c r="AK13" i="6" s="1"/>
  <c r="AP13" i="6" s="1"/>
  <c r="AR13" i="6" s="1"/>
  <c r="M31" i="5"/>
  <c r="AT13" i="6" s="1"/>
  <c r="AU13" i="6" s="1"/>
  <c r="AV13" i="6" s="1"/>
  <c r="X30" i="5"/>
  <c r="AA30" i="5"/>
  <c r="AT12" i="6"/>
  <c r="AU12" i="6" s="1"/>
  <c r="AV12" i="6" s="1"/>
  <c r="Q32" i="5"/>
  <c r="T32" i="5"/>
  <c r="C31" i="5"/>
  <c r="F31" i="5"/>
  <c r="AN34" i="6"/>
  <c r="AP12" i="6"/>
  <c r="V12" i="6"/>
  <c r="M12" i="6"/>
  <c r="R12" i="6" s="1"/>
  <c r="T12" i="6" s="1"/>
  <c r="D107" i="3"/>
  <c r="C107" i="3"/>
  <c r="AJ33" i="6"/>
  <c r="AO33" i="6" s="1"/>
  <c r="AQ33" i="6" s="1"/>
  <c r="AF14" i="6"/>
  <c r="AE15" i="6"/>
  <c r="AD35" i="6"/>
  <c r="AL34" i="6"/>
  <c r="AI34" i="6"/>
  <c r="AG34" i="6"/>
  <c r="AH34" i="6" s="1"/>
  <c r="AM34" i="6"/>
  <c r="F29" i="3"/>
  <c r="L32" i="6"/>
  <c r="Q32" i="6" s="1"/>
  <c r="S32" i="6" s="1"/>
  <c r="G33" i="6"/>
  <c r="O33" i="6"/>
  <c r="N33" i="6"/>
  <c r="K33" i="6"/>
  <c r="F34" i="6"/>
  <c r="P34" i="6" s="1"/>
  <c r="I33" i="6"/>
  <c r="J33" i="6" s="1"/>
  <c r="I34" i="12"/>
  <c r="G34" i="12"/>
  <c r="H34" i="12" s="1"/>
  <c r="F35" i="12"/>
  <c r="H32" i="6"/>
  <c r="Y11" i="6"/>
  <c r="Z11" i="6" s="1"/>
  <c r="AA11" i="6" s="1"/>
  <c r="AM3" i="6"/>
  <c r="O3" i="6"/>
  <c r="AD34" i="12"/>
  <c r="AE33" i="12"/>
  <c r="AF33" i="12" s="1"/>
  <c r="AG33" i="12"/>
  <c r="C164" i="3" s="1"/>
  <c r="T33" i="5" l="1"/>
  <c r="Q33" i="5"/>
  <c r="AA31" i="5"/>
  <c r="X31" i="5"/>
  <c r="M32" i="5"/>
  <c r="AT14" i="6" s="1"/>
  <c r="J32" i="5"/>
  <c r="AK14" i="6" s="1"/>
  <c r="AP14" i="6" s="1"/>
  <c r="AR14" i="6" s="1"/>
  <c r="C32" i="5"/>
  <c r="F32" i="5"/>
  <c r="AN35" i="6"/>
  <c r="AR12" i="6"/>
  <c r="F36" i="12"/>
  <c r="F37" i="12" s="1"/>
  <c r="V13" i="6"/>
  <c r="W13" i="6" s="1"/>
  <c r="X13" i="6" s="1"/>
  <c r="M13" i="6"/>
  <c r="R13" i="6" s="1"/>
  <c r="T13" i="6" s="1"/>
  <c r="U13" i="6" s="1"/>
  <c r="D108" i="3"/>
  <c r="C108" i="3"/>
  <c r="AJ34" i="6"/>
  <c r="AO34" i="6" s="1"/>
  <c r="AQ34" i="6" s="1"/>
  <c r="AD36" i="6"/>
  <c r="AL35" i="6"/>
  <c r="AI35" i="6"/>
  <c r="AG35" i="6"/>
  <c r="AH35" i="6" s="1"/>
  <c r="AM35" i="6"/>
  <c r="AF15" i="6"/>
  <c r="AE16" i="6"/>
  <c r="F30" i="3"/>
  <c r="L33" i="6"/>
  <c r="Q33" i="6" s="1"/>
  <c r="S33" i="6" s="1"/>
  <c r="N34" i="6"/>
  <c r="O34" i="6"/>
  <c r="K34" i="6"/>
  <c r="F35" i="6"/>
  <c r="P35" i="6" s="1"/>
  <c r="I34" i="6"/>
  <c r="J34" i="6" s="1"/>
  <c r="G34" i="6"/>
  <c r="H33" i="6"/>
  <c r="I35" i="12"/>
  <c r="C166" i="3" s="1"/>
  <c r="G35" i="12"/>
  <c r="C110" i="3" s="1"/>
  <c r="U12" i="6"/>
  <c r="Y12" i="6" s="1"/>
  <c r="Z12" i="6" s="1"/>
  <c r="AA12" i="6" s="1"/>
  <c r="W12" i="6"/>
  <c r="X12" i="6" s="1"/>
  <c r="AD35" i="12"/>
  <c r="AG34" i="12"/>
  <c r="C165" i="3" s="1"/>
  <c r="AE34" i="12"/>
  <c r="AF34" i="12" s="1"/>
  <c r="M33" i="5" l="1"/>
  <c r="AT15" i="6" s="1"/>
  <c r="AU15" i="6" s="1"/>
  <c r="AV15" i="6" s="1"/>
  <c r="J33" i="5"/>
  <c r="AK15" i="6" s="1"/>
  <c r="AP15" i="6" s="1"/>
  <c r="AR15" i="6" s="1"/>
  <c r="AS15" i="6" s="1"/>
  <c r="AA32" i="5"/>
  <c r="X32" i="5"/>
  <c r="T34" i="5"/>
  <c r="Q34" i="5"/>
  <c r="C33" i="5"/>
  <c r="M15" i="6" s="1"/>
  <c r="R15" i="6" s="1"/>
  <c r="T15" i="6" s="1"/>
  <c r="F33" i="5"/>
  <c r="V15" i="6" s="1"/>
  <c r="V14" i="6"/>
  <c r="W14" i="6" s="1"/>
  <c r="X14" i="6" s="1"/>
  <c r="I36" i="12"/>
  <c r="C167" i="3" s="1"/>
  <c r="AL35" i="12"/>
  <c r="AD36" i="12"/>
  <c r="AF35" i="12"/>
  <c r="AN36" i="6"/>
  <c r="AS12" i="6"/>
  <c r="AW12" i="6" s="1"/>
  <c r="AX12" i="6" s="1"/>
  <c r="AY12" i="6" s="1"/>
  <c r="AS13" i="6"/>
  <c r="AW13" i="6" s="1"/>
  <c r="AX13" i="6" s="1"/>
  <c r="AY13" i="6" s="1"/>
  <c r="AS14" i="6"/>
  <c r="AW14" i="6" s="1"/>
  <c r="AX14" i="6" s="1"/>
  <c r="AY14" i="6" s="1"/>
  <c r="H35" i="12"/>
  <c r="D110" i="3" s="1"/>
  <c r="M14" i="6"/>
  <c r="R14" i="6" s="1"/>
  <c r="T14" i="6" s="1"/>
  <c r="U14" i="6" s="1"/>
  <c r="G36" i="12"/>
  <c r="H36" i="12" s="1"/>
  <c r="F38" i="12"/>
  <c r="I37" i="12"/>
  <c r="C168" i="3" s="1"/>
  <c r="AU14" i="6"/>
  <c r="AV14" i="6" s="1"/>
  <c r="D109" i="3"/>
  <c r="C109" i="3"/>
  <c r="AJ35" i="6"/>
  <c r="AO35" i="6" s="1"/>
  <c r="AQ35" i="6" s="1"/>
  <c r="AF16" i="6"/>
  <c r="AE17" i="6"/>
  <c r="AD37" i="6"/>
  <c r="AL36" i="6"/>
  <c r="AG36" i="6"/>
  <c r="AH36" i="6" s="1"/>
  <c r="AI36" i="6"/>
  <c r="AM36" i="6"/>
  <c r="F31" i="3"/>
  <c r="H34" i="6"/>
  <c r="L34" i="6"/>
  <c r="Q34" i="6" s="1"/>
  <c r="S34" i="6" s="1"/>
  <c r="N35" i="6"/>
  <c r="K35" i="6"/>
  <c r="F36" i="6"/>
  <c r="P36" i="6" s="1"/>
  <c r="I35" i="6"/>
  <c r="J35" i="6" s="1"/>
  <c r="G35" i="6"/>
  <c r="O35" i="6"/>
  <c r="Y13" i="6"/>
  <c r="Z13" i="6" s="1"/>
  <c r="AA13" i="6" s="1"/>
  <c r="AG35" i="12"/>
  <c r="AE35" i="12"/>
  <c r="Y14" i="6" l="1"/>
  <c r="Z14" i="6" s="1"/>
  <c r="AA14" i="6" s="1"/>
  <c r="T35" i="5"/>
  <c r="Q35" i="5"/>
  <c r="AA33" i="5"/>
  <c r="X33" i="5"/>
  <c r="J34" i="5"/>
  <c r="AK16" i="6" s="1"/>
  <c r="AP16" i="6" s="1"/>
  <c r="AR16" i="6" s="1"/>
  <c r="AS16" i="6" s="1"/>
  <c r="M34" i="5"/>
  <c r="AT16" i="6" s="1"/>
  <c r="C34" i="5"/>
  <c r="M16" i="6" s="1"/>
  <c r="R16" i="6" s="1"/>
  <c r="T16" i="6" s="1"/>
  <c r="U16" i="6" s="1"/>
  <c r="F34" i="5"/>
  <c r="V16" i="6" s="1"/>
  <c r="AN37" i="6"/>
  <c r="AL36" i="12"/>
  <c r="AE36" i="12"/>
  <c r="AD37" i="12"/>
  <c r="AG36" i="12"/>
  <c r="AF36" i="12"/>
  <c r="AO36" i="12"/>
  <c r="AQ36" i="12" s="1"/>
  <c r="D111" i="3"/>
  <c r="C111" i="3"/>
  <c r="G37" i="12"/>
  <c r="F39" i="12"/>
  <c r="I38" i="12"/>
  <c r="AW15" i="6"/>
  <c r="AX15" i="6" s="1"/>
  <c r="AY15" i="6" s="1"/>
  <c r="AJ36" i="6"/>
  <c r="AO36" i="6" s="1"/>
  <c r="AQ36" i="6" s="1"/>
  <c r="AD38" i="6"/>
  <c r="AL37" i="6"/>
  <c r="AG37" i="6"/>
  <c r="AH37" i="6" s="1"/>
  <c r="AI37" i="6"/>
  <c r="AM37" i="6"/>
  <c r="AF17" i="6"/>
  <c r="AE18" i="6"/>
  <c r="F32" i="3"/>
  <c r="L35" i="6"/>
  <c r="Q35" i="6" s="1"/>
  <c r="S35" i="6" s="1"/>
  <c r="H35" i="6"/>
  <c r="O36" i="6"/>
  <c r="K36" i="6"/>
  <c r="N36" i="6"/>
  <c r="F37" i="6"/>
  <c r="P37" i="6" s="1"/>
  <c r="I36" i="6"/>
  <c r="J36" i="6" s="1"/>
  <c r="G36" i="6"/>
  <c r="U15" i="6"/>
  <c r="W15" i="6"/>
  <c r="X15" i="6" s="1"/>
  <c r="M35" i="5" l="1"/>
  <c r="AT17" i="6" s="1"/>
  <c r="J35" i="5"/>
  <c r="AK17" i="6" s="1"/>
  <c r="AA34" i="5"/>
  <c r="X34" i="5"/>
  <c r="T36" i="5"/>
  <c r="Q36" i="5"/>
  <c r="C35" i="5"/>
  <c r="F35" i="5"/>
  <c r="V17" i="6" s="1"/>
  <c r="C169" i="3"/>
  <c r="G134" i="3" s="1"/>
  <c r="AL37" i="12"/>
  <c r="AD38" i="12"/>
  <c r="AE37" i="12"/>
  <c r="AG37" i="12"/>
  <c r="AF37" i="12"/>
  <c r="AN38" i="6"/>
  <c r="AU16" i="6"/>
  <c r="AT5" i="12"/>
  <c r="G38" i="12"/>
  <c r="H38" i="12" s="1"/>
  <c r="D113" i="3" s="1"/>
  <c r="H197" i="3" s="1"/>
  <c r="AF16" i="13" s="1"/>
  <c r="H37" i="12"/>
  <c r="D112" i="3" s="1"/>
  <c r="C112" i="3"/>
  <c r="F40" i="12"/>
  <c r="I39" i="12"/>
  <c r="C170" i="3" s="1"/>
  <c r="AW16" i="6"/>
  <c r="AJ37" i="6"/>
  <c r="AO37" i="6" s="1"/>
  <c r="AQ37" i="6" s="1"/>
  <c r="AF18" i="6"/>
  <c r="AE19" i="6"/>
  <c r="AD39" i="6"/>
  <c r="AL38" i="6"/>
  <c r="AI38" i="6"/>
  <c r="AG38" i="6"/>
  <c r="AH38" i="6" s="1"/>
  <c r="AM38" i="6"/>
  <c r="F33" i="3"/>
  <c r="L36" i="6"/>
  <c r="Q36" i="6" s="1"/>
  <c r="S36" i="6" s="1"/>
  <c r="H36" i="6"/>
  <c r="I37" i="6"/>
  <c r="J37" i="6" s="1"/>
  <c r="O37" i="6"/>
  <c r="N37" i="6"/>
  <c r="G37" i="6"/>
  <c r="K37" i="6"/>
  <c r="F38" i="6"/>
  <c r="P38" i="6" s="1"/>
  <c r="Y15" i="6"/>
  <c r="Z15" i="6" s="1"/>
  <c r="AA15" i="6" s="1"/>
  <c r="Y16" i="6"/>
  <c r="T37" i="5" l="1"/>
  <c r="Q37" i="5"/>
  <c r="AA35" i="5"/>
  <c r="X35" i="5"/>
  <c r="M36" i="5"/>
  <c r="J36" i="5"/>
  <c r="AK18" i="6" s="1"/>
  <c r="AP18" i="6" s="1"/>
  <c r="AR18" i="6" s="1"/>
  <c r="C36" i="5"/>
  <c r="F36" i="5"/>
  <c r="V18" i="6" s="1"/>
  <c r="G39" i="12"/>
  <c r="H39" i="12" s="1"/>
  <c r="D114" i="3" s="1"/>
  <c r="C113" i="3"/>
  <c r="E77" i="3"/>
  <c r="H195" i="3"/>
  <c r="AL38" i="12"/>
  <c r="AE38" i="12"/>
  <c r="AD39" i="12"/>
  <c r="AG38" i="12"/>
  <c r="AF38" i="12"/>
  <c r="AN39" i="6"/>
  <c r="AP17" i="6"/>
  <c r="AV16" i="6"/>
  <c r="AV5" i="12" s="1"/>
  <c r="AU5" i="12"/>
  <c r="AX16" i="6"/>
  <c r="AW5" i="12"/>
  <c r="F41" i="12"/>
  <c r="I40" i="12"/>
  <c r="C171" i="3" s="1"/>
  <c r="M17" i="6"/>
  <c r="R17" i="6" s="1"/>
  <c r="T17" i="6" s="1"/>
  <c r="U17" i="6" s="1"/>
  <c r="Y17" i="6" s="1"/>
  <c r="Z17" i="6" s="1"/>
  <c r="AA17" i="6" s="1"/>
  <c r="AU17" i="6"/>
  <c r="AV17" i="6" s="1"/>
  <c r="AD40" i="6"/>
  <c r="AL39" i="6"/>
  <c r="AG39" i="6"/>
  <c r="AH39" i="6" s="1"/>
  <c r="AI39" i="6"/>
  <c r="AM39" i="6"/>
  <c r="AF19" i="6"/>
  <c r="AE20" i="6"/>
  <c r="AJ38" i="6"/>
  <c r="AO38" i="6" s="1"/>
  <c r="AQ38" i="6" s="1"/>
  <c r="F34" i="3"/>
  <c r="L37" i="6"/>
  <c r="Q37" i="6" s="1"/>
  <c r="S37" i="6" s="1"/>
  <c r="F39" i="6"/>
  <c r="P39" i="6" s="1"/>
  <c r="G38" i="6"/>
  <c r="K38" i="6"/>
  <c r="I38" i="6"/>
  <c r="J38" i="6" s="1"/>
  <c r="N38" i="6"/>
  <c r="O38" i="6"/>
  <c r="H37" i="6"/>
  <c r="Z16" i="6"/>
  <c r="W17" i="6"/>
  <c r="X17" i="6" s="1"/>
  <c r="W16" i="6"/>
  <c r="E84" i="3" l="1"/>
  <c r="E82" i="3"/>
  <c r="M18" i="6"/>
  <c r="R18" i="6" s="1"/>
  <c r="T18" i="6" s="1"/>
  <c r="U18" i="6" s="1"/>
  <c r="Y18" i="6" s="1"/>
  <c r="Z18" i="6" s="1"/>
  <c r="AA18" i="6" s="1"/>
  <c r="M37" i="5"/>
  <c r="AT19" i="6" s="1"/>
  <c r="AU19" i="6" s="1"/>
  <c r="AV19" i="6" s="1"/>
  <c r="J37" i="5"/>
  <c r="AK19" i="6" s="1"/>
  <c r="AT18" i="6"/>
  <c r="AU18" i="6" s="1"/>
  <c r="AV18" i="6" s="1"/>
  <c r="AA36" i="5"/>
  <c r="X36" i="5"/>
  <c r="T38" i="5"/>
  <c r="Q38" i="5"/>
  <c r="C37" i="5"/>
  <c r="M19" i="6" s="1"/>
  <c r="R19" i="6" s="1"/>
  <c r="T19" i="6" s="1"/>
  <c r="F37" i="5"/>
  <c r="V19" i="6" s="1"/>
  <c r="E113" i="3"/>
  <c r="E89" i="3"/>
  <c r="AF10" i="13"/>
  <c r="G40" i="12"/>
  <c r="H40" i="12" s="1"/>
  <c r="D115" i="3" s="1"/>
  <c r="C114" i="3"/>
  <c r="AN40" i="6"/>
  <c r="AN39" i="12"/>
  <c r="AL39" i="12"/>
  <c r="AE39" i="12"/>
  <c r="AD40" i="12"/>
  <c r="AG39" i="12"/>
  <c r="AF39" i="12"/>
  <c r="AY16" i="6"/>
  <c r="AY5" i="12" s="1"/>
  <c r="AX5" i="12"/>
  <c r="AR17" i="6"/>
  <c r="C115" i="3"/>
  <c r="F42" i="12"/>
  <c r="G41" i="12"/>
  <c r="H41" i="12" s="1"/>
  <c r="I41" i="12"/>
  <c r="C172" i="3" s="1"/>
  <c r="AJ39" i="6"/>
  <c r="AO39" i="6" s="1"/>
  <c r="AQ39" i="6" s="1"/>
  <c r="AF20" i="6"/>
  <c r="AE21" i="6"/>
  <c r="AD41" i="6"/>
  <c r="AL40" i="6"/>
  <c r="AG40" i="6"/>
  <c r="AH40" i="6" s="1"/>
  <c r="AI40" i="6"/>
  <c r="AM40" i="6"/>
  <c r="F35" i="3"/>
  <c r="L38" i="6"/>
  <c r="Q38" i="6" s="1"/>
  <c r="S38" i="6" s="1"/>
  <c r="H38" i="6"/>
  <c r="I39" i="6"/>
  <c r="J39" i="6" s="1"/>
  <c r="O39" i="6"/>
  <c r="N39" i="6"/>
  <c r="G39" i="6"/>
  <c r="F40" i="6"/>
  <c r="P40" i="6" s="1"/>
  <c r="K39" i="6"/>
  <c r="W18" i="6"/>
  <c r="X18" i="6" s="1"/>
  <c r="X16" i="6"/>
  <c r="AA16" i="6"/>
  <c r="U19" i="6" l="1"/>
  <c r="Y19" i="6" s="1"/>
  <c r="Z19" i="6" s="1"/>
  <c r="AA19" i="6" s="1"/>
  <c r="Q39" i="5"/>
  <c r="T39" i="5"/>
  <c r="AA37" i="5"/>
  <c r="X37" i="5"/>
  <c r="J38" i="5"/>
  <c r="AK20" i="6" s="1"/>
  <c r="AP20" i="6" s="1"/>
  <c r="AR20" i="6" s="1"/>
  <c r="M38" i="5"/>
  <c r="AT20" i="6" s="1"/>
  <c r="AU20" i="6" s="1"/>
  <c r="AV20" i="6" s="1"/>
  <c r="C38" i="5"/>
  <c r="F38" i="5"/>
  <c r="V20" i="6" s="1"/>
  <c r="AL40" i="12"/>
  <c r="AE40" i="12"/>
  <c r="AD41" i="12"/>
  <c r="AG40" i="12"/>
  <c r="AF40" i="12"/>
  <c r="AN41" i="6"/>
  <c r="AS17" i="6"/>
  <c r="AW17" i="6" s="1"/>
  <c r="AX17" i="6" s="1"/>
  <c r="AY17" i="6" s="1"/>
  <c r="AS18" i="6"/>
  <c r="AW18" i="6" s="1"/>
  <c r="AX18" i="6" s="1"/>
  <c r="AY18" i="6" s="1"/>
  <c r="AP19" i="6"/>
  <c r="D116" i="3"/>
  <c r="C116" i="3"/>
  <c r="G42" i="12"/>
  <c r="H42" i="12" s="1"/>
  <c r="F43" i="12"/>
  <c r="I42" i="12"/>
  <c r="C173" i="3" s="1"/>
  <c r="AJ40" i="6"/>
  <c r="AO40" i="6" s="1"/>
  <c r="AQ40" i="6" s="1"/>
  <c r="AD42" i="6"/>
  <c r="AL41" i="6"/>
  <c r="AI41" i="6"/>
  <c r="AG41" i="6"/>
  <c r="AH41" i="6" s="1"/>
  <c r="AM41" i="6"/>
  <c r="AF21" i="6"/>
  <c r="AE22" i="6"/>
  <c r="F36" i="3"/>
  <c r="L39" i="6"/>
  <c r="Q39" i="6" s="1"/>
  <c r="S39" i="6" s="1"/>
  <c r="I40" i="6"/>
  <c r="J40" i="6" s="1"/>
  <c r="G40" i="6"/>
  <c r="O40" i="6"/>
  <c r="K40" i="6"/>
  <c r="N40" i="6"/>
  <c r="F41" i="6"/>
  <c r="P41" i="6" s="1"/>
  <c r="H39" i="6"/>
  <c r="W19" i="6"/>
  <c r="X19" i="6" s="1"/>
  <c r="M39" i="5" l="1"/>
  <c r="AT21" i="6" s="1"/>
  <c r="AU21" i="6" s="1"/>
  <c r="AV21" i="6" s="1"/>
  <c r="J39" i="5"/>
  <c r="AK21" i="6" s="1"/>
  <c r="X38" i="5"/>
  <c r="AA38" i="5"/>
  <c r="M20" i="6"/>
  <c r="R20" i="6" s="1"/>
  <c r="T20" i="6" s="1"/>
  <c r="U20" i="6" s="1"/>
  <c r="Y20" i="6" s="1"/>
  <c r="Z20" i="6" s="1"/>
  <c r="AA20" i="6" s="1"/>
  <c r="T40" i="5"/>
  <c r="Q40" i="5"/>
  <c r="C39" i="5"/>
  <c r="M21" i="6" s="1"/>
  <c r="R21" i="6" s="1"/>
  <c r="T21" i="6" s="1"/>
  <c r="F39" i="5"/>
  <c r="V21" i="6" s="1"/>
  <c r="AL41" i="12"/>
  <c r="AD42" i="12"/>
  <c r="AE41" i="12"/>
  <c r="AG41" i="12"/>
  <c r="AF41" i="12"/>
  <c r="AN42" i="6"/>
  <c r="AR19" i="6"/>
  <c r="D117" i="3"/>
  <c r="C117" i="3"/>
  <c r="F44" i="12"/>
  <c r="G43" i="12"/>
  <c r="H43" i="12" s="1"/>
  <c r="I43" i="12"/>
  <c r="C174" i="3" s="1"/>
  <c r="AJ41" i="6"/>
  <c r="AO41" i="6" s="1"/>
  <c r="AF22" i="6"/>
  <c r="AE23" i="6"/>
  <c r="AD43" i="6"/>
  <c r="AL42" i="6"/>
  <c r="AG42" i="6"/>
  <c r="AH42" i="6" s="1"/>
  <c r="AI42" i="6"/>
  <c r="AM42" i="6"/>
  <c r="F37" i="3"/>
  <c r="L40" i="6"/>
  <c r="Q40" i="6" s="1"/>
  <c r="S40" i="6" s="1"/>
  <c r="K41" i="6"/>
  <c r="F42" i="6"/>
  <c r="P42" i="6" s="1"/>
  <c r="I41" i="6"/>
  <c r="J41" i="6" s="1"/>
  <c r="G41" i="6"/>
  <c r="O41" i="6"/>
  <c r="N41" i="6"/>
  <c r="H40" i="6"/>
  <c r="W20" i="6"/>
  <c r="X20" i="6" s="1"/>
  <c r="T41" i="5" l="1"/>
  <c r="Q41" i="5"/>
  <c r="AA39" i="5"/>
  <c r="X39" i="5"/>
  <c r="M40" i="5"/>
  <c r="J40" i="5"/>
  <c r="AK22" i="6" s="1"/>
  <c r="AP22" i="6" s="1"/>
  <c r="AR22" i="6" s="1"/>
  <c r="C40" i="5"/>
  <c r="M22" i="6" s="1"/>
  <c r="R22" i="6" s="1"/>
  <c r="T22" i="6" s="1"/>
  <c r="U22" i="6" s="1"/>
  <c r="F40" i="5"/>
  <c r="V22" i="6" s="1"/>
  <c r="AL42" i="12"/>
  <c r="AE42" i="12"/>
  <c r="AD43" i="12"/>
  <c r="AG42" i="12"/>
  <c r="AF42" i="12"/>
  <c r="AN43" i="6"/>
  <c r="AQ41" i="6"/>
  <c r="AP21" i="6"/>
  <c r="AS19" i="6"/>
  <c r="AW19" i="6" s="1"/>
  <c r="AX19" i="6" s="1"/>
  <c r="AY19" i="6" s="1"/>
  <c r="AS20" i="6"/>
  <c r="AW20" i="6" s="1"/>
  <c r="AX20" i="6" s="1"/>
  <c r="AY20" i="6" s="1"/>
  <c r="D118" i="3"/>
  <c r="C118" i="3"/>
  <c r="F45" i="12"/>
  <c r="G44" i="12"/>
  <c r="H44" i="12" s="1"/>
  <c r="I44" i="12"/>
  <c r="C175" i="3" s="1"/>
  <c r="AT22" i="6"/>
  <c r="AD44" i="6"/>
  <c r="AL43" i="6"/>
  <c r="AI43" i="6"/>
  <c r="AG43" i="6"/>
  <c r="AH43" i="6" s="1"/>
  <c r="AM43" i="6"/>
  <c r="AJ42" i="6"/>
  <c r="AO42" i="6" s="1"/>
  <c r="AQ42" i="6" s="1"/>
  <c r="AF23" i="6"/>
  <c r="AE24" i="6"/>
  <c r="F38" i="3"/>
  <c r="L41" i="6"/>
  <c r="Q41" i="6" s="1"/>
  <c r="S41" i="6" s="1"/>
  <c r="H41" i="6"/>
  <c r="O42" i="6"/>
  <c r="I42" i="6"/>
  <c r="J42" i="6" s="1"/>
  <c r="F43" i="6"/>
  <c r="P43" i="6" s="1"/>
  <c r="G42" i="6"/>
  <c r="N42" i="6"/>
  <c r="K42" i="6"/>
  <c r="U21" i="6"/>
  <c r="W21" i="6"/>
  <c r="X21" i="6" s="1"/>
  <c r="M41" i="5" l="1"/>
  <c r="AT23" i="6" s="1"/>
  <c r="AU23" i="6" s="1"/>
  <c r="AV23" i="6" s="1"/>
  <c r="J41" i="5"/>
  <c r="AK23" i="6" s="1"/>
  <c r="AP23" i="6" s="1"/>
  <c r="AR23" i="6" s="1"/>
  <c r="AA40" i="5"/>
  <c r="X40" i="5"/>
  <c r="T42" i="5"/>
  <c r="Q42" i="5"/>
  <c r="C41" i="5"/>
  <c r="M23" i="6" s="1"/>
  <c r="R23" i="6" s="1"/>
  <c r="T23" i="6" s="1"/>
  <c r="F41" i="5"/>
  <c r="V23" i="6" s="1"/>
  <c r="AN44" i="6"/>
  <c r="AL43" i="12"/>
  <c r="AD44" i="12"/>
  <c r="AE43" i="12"/>
  <c r="AG43" i="12"/>
  <c r="AF43" i="12"/>
  <c r="AR21" i="6"/>
  <c r="D119" i="3"/>
  <c r="C119" i="3"/>
  <c r="G45" i="12"/>
  <c r="H45" i="12" s="1"/>
  <c r="F46" i="12"/>
  <c r="I45" i="12"/>
  <c r="C176" i="3" s="1"/>
  <c r="AU22" i="6"/>
  <c r="AV22" i="6" s="1"/>
  <c r="AJ43" i="6"/>
  <c r="AO43" i="6" s="1"/>
  <c r="AQ43" i="6" s="1"/>
  <c r="AF24" i="6"/>
  <c r="AE25" i="6"/>
  <c r="AD45" i="6"/>
  <c r="AN45" i="6" s="1"/>
  <c r="AL44" i="6"/>
  <c r="AI44" i="6"/>
  <c r="AG44" i="6"/>
  <c r="AH44" i="6" s="1"/>
  <c r="AM44" i="6"/>
  <c r="F39" i="3"/>
  <c r="H42" i="6"/>
  <c r="N43" i="6"/>
  <c r="K43" i="6"/>
  <c r="F44" i="6"/>
  <c r="P44" i="6" s="1"/>
  <c r="I43" i="6"/>
  <c r="J43" i="6" s="1"/>
  <c r="O43" i="6"/>
  <c r="G43" i="6"/>
  <c r="L42" i="6"/>
  <c r="Q42" i="6" s="1"/>
  <c r="S42" i="6" s="1"/>
  <c r="Y21" i="6"/>
  <c r="Z21" i="6" s="1"/>
  <c r="AA21" i="6" s="1"/>
  <c r="AS23" i="6" l="1"/>
  <c r="AW23" i="6" s="1"/>
  <c r="AX23" i="6" s="1"/>
  <c r="AY23" i="6" s="1"/>
  <c r="T43" i="5"/>
  <c r="Q43" i="5"/>
  <c r="X41" i="5"/>
  <c r="AA41" i="5"/>
  <c r="M42" i="5"/>
  <c r="J42" i="5"/>
  <c r="AK24" i="6" s="1"/>
  <c r="AP24" i="6" s="1"/>
  <c r="C42" i="5"/>
  <c r="M24" i="6" s="1"/>
  <c r="R24" i="6" s="1"/>
  <c r="T24" i="6" s="1"/>
  <c r="F42" i="5"/>
  <c r="V24" i="6" s="1"/>
  <c r="AL44" i="12"/>
  <c r="AD45" i="12"/>
  <c r="AE44" i="12"/>
  <c r="AG44" i="12"/>
  <c r="AF44" i="12"/>
  <c r="AS22" i="6"/>
  <c r="AW22" i="6" s="1"/>
  <c r="AX22" i="6" s="1"/>
  <c r="AY22" i="6" s="1"/>
  <c r="AS21" i="6"/>
  <c r="AW21" i="6" s="1"/>
  <c r="AX21" i="6" s="1"/>
  <c r="AY21" i="6" s="1"/>
  <c r="D120" i="3"/>
  <c r="C120" i="3"/>
  <c r="F47" i="12"/>
  <c r="G46" i="12"/>
  <c r="H46" i="12" s="1"/>
  <c r="I46" i="12"/>
  <c r="C177" i="3" s="1"/>
  <c r="U23" i="6"/>
  <c r="Y23" i="6" s="1"/>
  <c r="Z23" i="6" s="1"/>
  <c r="AA23" i="6" s="1"/>
  <c r="AT24" i="6"/>
  <c r="AJ44" i="6"/>
  <c r="AO44" i="6" s="1"/>
  <c r="AQ44" i="6" s="1"/>
  <c r="AD46" i="6"/>
  <c r="AL45" i="6"/>
  <c r="AG45" i="6"/>
  <c r="AH45" i="6" s="1"/>
  <c r="AI45" i="6"/>
  <c r="AM45" i="6"/>
  <c r="AF25" i="6"/>
  <c r="AE26" i="6"/>
  <c r="F40" i="3"/>
  <c r="L43" i="6"/>
  <c r="Q43" i="6" s="1"/>
  <c r="S43" i="6" s="1"/>
  <c r="K44" i="6"/>
  <c r="O44" i="6"/>
  <c r="N44" i="6"/>
  <c r="I44" i="6"/>
  <c r="J44" i="6" s="1"/>
  <c r="F45" i="6"/>
  <c r="P45" i="6" s="1"/>
  <c r="G44" i="6"/>
  <c r="H43" i="6"/>
  <c r="W23" i="6"/>
  <c r="X23" i="6" s="1"/>
  <c r="Y22" i="6"/>
  <c r="Z22" i="6" s="1"/>
  <c r="AA22" i="6" s="1"/>
  <c r="W22" i="6"/>
  <c r="X22" i="6" s="1"/>
  <c r="M43" i="5" l="1"/>
  <c r="AT25" i="6" s="1"/>
  <c r="AU25" i="6" s="1"/>
  <c r="AV25" i="6" s="1"/>
  <c r="J43" i="5"/>
  <c r="AK25" i="6" s="1"/>
  <c r="AP25" i="6" s="1"/>
  <c r="AR25" i="6" s="1"/>
  <c r="AA42" i="5"/>
  <c r="X42" i="5"/>
  <c r="T44" i="5"/>
  <c r="Q44" i="5"/>
  <c r="F43" i="5"/>
  <c r="V25" i="6" s="1"/>
  <c r="C43" i="5"/>
  <c r="M25" i="6" s="1"/>
  <c r="R25" i="6" s="1"/>
  <c r="T25" i="6" s="1"/>
  <c r="U25" i="6" s="1"/>
  <c r="AN46" i="6"/>
  <c r="AL45" i="12"/>
  <c r="AE45" i="12"/>
  <c r="AG45" i="12"/>
  <c r="AD46" i="12"/>
  <c r="AF45" i="12"/>
  <c r="AR24" i="6"/>
  <c r="AS24" i="6" s="1"/>
  <c r="AW24" i="6" s="1"/>
  <c r="AX24" i="6" s="1"/>
  <c r="AY24" i="6" s="1"/>
  <c r="D121" i="3"/>
  <c r="C121" i="3"/>
  <c r="G47" i="12"/>
  <c r="H47" i="12" s="1"/>
  <c r="F48" i="12"/>
  <c r="I47" i="12"/>
  <c r="C178" i="3" s="1"/>
  <c r="AU24" i="6"/>
  <c r="AV24" i="6" s="1"/>
  <c r="AJ45" i="6"/>
  <c r="AO45" i="6" s="1"/>
  <c r="AQ45" i="6" s="1"/>
  <c r="AF26" i="6"/>
  <c r="AE27" i="6"/>
  <c r="AD47" i="6"/>
  <c r="AN47" i="6" s="1"/>
  <c r="AL46" i="6"/>
  <c r="AI46" i="6"/>
  <c r="AG46" i="6"/>
  <c r="AH46" i="6" s="1"/>
  <c r="AM46" i="6"/>
  <c r="F41" i="3"/>
  <c r="L44" i="6"/>
  <c r="Q44" i="6" s="1"/>
  <c r="S44" i="6" s="1"/>
  <c r="I45" i="6"/>
  <c r="J45" i="6" s="1"/>
  <c r="N45" i="6"/>
  <c r="F46" i="6"/>
  <c r="P46" i="6" s="1"/>
  <c r="K45" i="6"/>
  <c r="O45" i="6"/>
  <c r="G45" i="6"/>
  <c r="H44" i="6"/>
  <c r="W24" i="6"/>
  <c r="X24" i="6" s="1"/>
  <c r="U24" i="6"/>
  <c r="Y24" i="6" s="1"/>
  <c r="Z24" i="6" s="1"/>
  <c r="AA24" i="6" s="1"/>
  <c r="T45" i="5" l="1"/>
  <c r="Q45" i="5"/>
  <c r="AA43" i="5"/>
  <c r="X43" i="5"/>
  <c r="J44" i="5"/>
  <c r="AK26" i="6" s="1"/>
  <c r="AP26" i="6" s="1"/>
  <c r="AR26" i="6" s="1"/>
  <c r="AS26" i="6" s="1"/>
  <c r="M44" i="5"/>
  <c r="C44" i="5"/>
  <c r="M26" i="6" s="1"/>
  <c r="R26" i="6" s="1"/>
  <c r="T26" i="6" s="1"/>
  <c r="F44" i="5"/>
  <c r="V26" i="6" s="1"/>
  <c r="AS25" i="6"/>
  <c r="AW25" i="6" s="1"/>
  <c r="AX25" i="6" s="1"/>
  <c r="AY25" i="6" s="1"/>
  <c r="AL46" i="12"/>
  <c r="AE46" i="12"/>
  <c r="AG46" i="12"/>
  <c r="AF46" i="12"/>
  <c r="AD47" i="12"/>
  <c r="D122" i="3"/>
  <c r="C122" i="3"/>
  <c r="G48" i="12"/>
  <c r="H48" i="12" s="1"/>
  <c r="F49" i="12"/>
  <c r="I48" i="12"/>
  <c r="C179" i="3" s="1"/>
  <c r="AT26" i="6"/>
  <c r="AU26" i="6" s="1"/>
  <c r="AV26" i="6" s="1"/>
  <c r="AJ46" i="6"/>
  <c r="AO46" i="6" s="1"/>
  <c r="AD48" i="6"/>
  <c r="AL47" i="6"/>
  <c r="AG47" i="6"/>
  <c r="AH47" i="6" s="1"/>
  <c r="AI47" i="6"/>
  <c r="AM47" i="6"/>
  <c r="AF27" i="6"/>
  <c r="AE28" i="6"/>
  <c r="F42" i="3"/>
  <c r="O46" i="6"/>
  <c r="N46" i="6"/>
  <c r="K46" i="6"/>
  <c r="G46" i="6"/>
  <c r="I46" i="6"/>
  <c r="J46" i="6" s="1"/>
  <c r="F47" i="6"/>
  <c r="P47" i="6" s="1"/>
  <c r="H45" i="6"/>
  <c r="L45" i="6"/>
  <c r="Q45" i="6" s="1"/>
  <c r="S45" i="6" s="1"/>
  <c r="M45" i="5" l="1"/>
  <c r="AT27" i="6" s="1"/>
  <c r="AU27" i="6" s="1"/>
  <c r="AV27" i="6" s="1"/>
  <c r="J45" i="5"/>
  <c r="AK27" i="6" s="1"/>
  <c r="AP27" i="6" s="1"/>
  <c r="AR27" i="6" s="1"/>
  <c r="AS27" i="6" s="1"/>
  <c r="X44" i="5"/>
  <c r="AA44" i="5"/>
  <c r="T46" i="5"/>
  <c r="Q46" i="5"/>
  <c r="C45" i="5"/>
  <c r="M27" i="6" s="1"/>
  <c r="R27" i="6" s="1"/>
  <c r="T27" i="6" s="1"/>
  <c r="F45" i="5"/>
  <c r="V27" i="6" s="1"/>
  <c r="AL47" i="12"/>
  <c r="AF47" i="12"/>
  <c r="AD48" i="12"/>
  <c r="AE47" i="12"/>
  <c r="AG47" i="12"/>
  <c r="AN48" i="6"/>
  <c r="AQ46" i="6"/>
  <c r="D123" i="3"/>
  <c r="C123" i="3"/>
  <c r="G49" i="12"/>
  <c r="H49" i="12" s="1"/>
  <c r="I49" i="12"/>
  <c r="C180" i="3" s="1"/>
  <c r="F50" i="12"/>
  <c r="AW26" i="6"/>
  <c r="AX26" i="6" s="1"/>
  <c r="AY26" i="6" s="1"/>
  <c r="AJ47" i="6"/>
  <c r="AO47" i="6" s="1"/>
  <c r="AQ47" i="6" s="1"/>
  <c r="AF28" i="6"/>
  <c r="AE29" i="6"/>
  <c r="AD49" i="6"/>
  <c r="AN49" i="6" s="1"/>
  <c r="AL48" i="6"/>
  <c r="AG48" i="6"/>
  <c r="AH48" i="6" s="1"/>
  <c r="AI48" i="6"/>
  <c r="AM48" i="6"/>
  <c r="F43" i="3"/>
  <c r="L46" i="6"/>
  <c r="Q46" i="6" s="1"/>
  <c r="S46" i="6" s="1"/>
  <c r="H46" i="6"/>
  <c r="G47" i="6"/>
  <c r="O47" i="6"/>
  <c r="F48" i="6"/>
  <c r="P48" i="6" s="1"/>
  <c r="I47" i="6"/>
  <c r="J47" i="6" s="1"/>
  <c r="N47" i="6"/>
  <c r="K47" i="6"/>
  <c r="U26" i="6"/>
  <c r="W26" i="6"/>
  <c r="X26" i="6" s="1"/>
  <c r="W25" i="6"/>
  <c r="X25" i="6" s="1"/>
  <c r="Y25" i="6"/>
  <c r="Z25" i="6" s="1"/>
  <c r="AA25" i="6" s="1"/>
  <c r="T47" i="5" l="1"/>
  <c r="Q47" i="5"/>
  <c r="AA45" i="5"/>
  <c r="X45" i="5"/>
  <c r="J46" i="5"/>
  <c r="AK28" i="6" s="1"/>
  <c r="AP28" i="6" s="1"/>
  <c r="AR28" i="6" s="1"/>
  <c r="AS28" i="6" s="1"/>
  <c r="M46" i="5"/>
  <c r="AT28" i="6" s="1"/>
  <c r="C46" i="5"/>
  <c r="M28" i="6" s="1"/>
  <c r="R28" i="6" s="1"/>
  <c r="T28" i="6" s="1"/>
  <c r="F46" i="5"/>
  <c r="V28" i="6" s="1"/>
  <c r="AL48" i="12"/>
  <c r="AF48" i="12"/>
  <c r="AD49" i="12"/>
  <c r="AE48" i="12"/>
  <c r="AG48" i="12"/>
  <c r="H50" i="12"/>
  <c r="Y50" i="12"/>
  <c r="W50" i="12"/>
  <c r="V50" i="12"/>
  <c r="AA50" i="12"/>
  <c r="Z50" i="12"/>
  <c r="N50" i="12"/>
  <c r="M50" i="12"/>
  <c r="O50" i="12"/>
  <c r="K50" i="12"/>
  <c r="J50" i="12"/>
  <c r="R50" i="12"/>
  <c r="X50" i="12"/>
  <c r="Q50" i="12"/>
  <c r="P50" i="12"/>
  <c r="D124" i="3"/>
  <c r="C124" i="3"/>
  <c r="I50" i="12"/>
  <c r="F51" i="12"/>
  <c r="G50" i="12"/>
  <c r="AW27" i="6"/>
  <c r="AX27" i="6" s="1"/>
  <c r="AY27" i="6" s="1"/>
  <c r="AJ48" i="6"/>
  <c r="AO48" i="6" s="1"/>
  <c r="AQ48" i="6" s="1"/>
  <c r="AD50" i="6"/>
  <c r="AL49" i="6"/>
  <c r="AI49" i="6"/>
  <c r="AG49" i="6"/>
  <c r="AH49" i="6" s="1"/>
  <c r="AM49" i="6"/>
  <c r="AF29" i="6"/>
  <c r="AE30" i="6"/>
  <c r="F44" i="3"/>
  <c r="H47" i="6"/>
  <c r="L47" i="6"/>
  <c r="Q47" i="6" s="1"/>
  <c r="S47" i="6" s="1"/>
  <c r="F49" i="6"/>
  <c r="P49" i="6" s="1"/>
  <c r="O48" i="6"/>
  <c r="G48" i="6"/>
  <c r="H48" i="6" s="1"/>
  <c r="N48" i="6"/>
  <c r="K48" i="6"/>
  <c r="I48" i="6"/>
  <c r="J48" i="6" s="1"/>
  <c r="W27" i="6"/>
  <c r="X27" i="6" s="1"/>
  <c r="U27" i="6"/>
  <c r="Y27" i="6" s="1"/>
  <c r="Z27" i="6" s="1"/>
  <c r="AA27" i="6" s="1"/>
  <c r="Y26" i="6"/>
  <c r="Z26" i="6" s="1"/>
  <c r="AA26" i="6" s="1"/>
  <c r="M47" i="5" l="1"/>
  <c r="J47" i="5"/>
  <c r="AA46" i="5"/>
  <c r="X46" i="5"/>
  <c r="T48" i="5"/>
  <c r="Q48" i="5"/>
  <c r="C47" i="5"/>
  <c r="F47" i="5"/>
  <c r="V29" i="6" s="1"/>
  <c r="AL49" i="12"/>
  <c r="AF49" i="12"/>
  <c r="AE49" i="12"/>
  <c r="AG49" i="12"/>
  <c r="AD50" i="12"/>
  <c r="AN50" i="6"/>
  <c r="AU28" i="6"/>
  <c r="AT6" i="12"/>
  <c r="AA51" i="12"/>
  <c r="Y51" i="12"/>
  <c r="X51" i="12"/>
  <c r="H51" i="12"/>
  <c r="P51" i="12"/>
  <c r="K51" i="12"/>
  <c r="O51" i="12"/>
  <c r="J51" i="12"/>
  <c r="Z51" i="12"/>
  <c r="N51" i="12"/>
  <c r="W51" i="12"/>
  <c r="M51" i="12"/>
  <c r="Q51" i="12"/>
  <c r="V51" i="12"/>
  <c r="R51" i="12"/>
  <c r="D125" i="3"/>
  <c r="C125" i="3"/>
  <c r="F52" i="12"/>
  <c r="G51" i="12"/>
  <c r="I51" i="12"/>
  <c r="AW28" i="6"/>
  <c r="AT29" i="6"/>
  <c r="AJ49" i="6"/>
  <c r="AO49" i="6" s="1"/>
  <c r="AQ49" i="6" s="1"/>
  <c r="AF30" i="6"/>
  <c r="AE31" i="6"/>
  <c r="AD51" i="6"/>
  <c r="AN51" i="6" s="1"/>
  <c r="AL50" i="6"/>
  <c r="AG50" i="6"/>
  <c r="AH50" i="6" s="1"/>
  <c r="AI50" i="6"/>
  <c r="AM50" i="6"/>
  <c r="L48" i="6"/>
  <c r="Q48" i="6" s="1"/>
  <c r="S48" i="6" s="1"/>
  <c r="F45" i="3"/>
  <c r="K49" i="6"/>
  <c r="I49" i="6"/>
  <c r="J49" i="6" s="1"/>
  <c r="G49" i="6"/>
  <c r="O49" i="6"/>
  <c r="F50" i="6"/>
  <c r="P50" i="6" s="1"/>
  <c r="N49" i="6"/>
  <c r="U28" i="6"/>
  <c r="Y28" i="6" s="1"/>
  <c r="T49" i="5" l="1"/>
  <c r="Q49" i="5"/>
  <c r="AA47" i="5"/>
  <c r="X47" i="5"/>
  <c r="AK29" i="6"/>
  <c r="AP29" i="6" s="1"/>
  <c r="AR29" i="6" s="1"/>
  <c r="AS29" i="6" s="1"/>
  <c r="AW29" i="6" s="1"/>
  <c r="AX29" i="6" s="1"/>
  <c r="AY29" i="6" s="1"/>
  <c r="M48" i="5"/>
  <c r="AT30" i="6" s="1"/>
  <c r="J48" i="5"/>
  <c r="AK30" i="6" s="1"/>
  <c r="C48" i="5"/>
  <c r="F48" i="5"/>
  <c r="V30" i="6" s="1"/>
  <c r="AL50" i="12"/>
  <c r="AF50" i="12"/>
  <c r="AE50" i="12"/>
  <c r="AG50" i="12"/>
  <c r="AD51" i="12"/>
  <c r="AX28" i="6"/>
  <c r="AW6" i="12"/>
  <c r="AV28" i="6"/>
  <c r="AV6" i="12" s="1"/>
  <c r="AU6" i="12"/>
  <c r="AA52" i="12"/>
  <c r="Z52" i="12"/>
  <c r="H52" i="12"/>
  <c r="W52" i="12"/>
  <c r="V52" i="12"/>
  <c r="O52" i="12"/>
  <c r="Y52" i="12"/>
  <c r="X52" i="12"/>
  <c r="R52" i="12"/>
  <c r="J52" i="12"/>
  <c r="Q52" i="12"/>
  <c r="P52" i="12"/>
  <c r="N52" i="12"/>
  <c r="M52" i="12"/>
  <c r="K52" i="12"/>
  <c r="D126" i="3"/>
  <c r="C126" i="3"/>
  <c r="I52" i="12"/>
  <c r="G52" i="12"/>
  <c r="F53" i="12"/>
  <c r="M29" i="6"/>
  <c r="R29" i="6" s="1"/>
  <c r="T29" i="6" s="1"/>
  <c r="U29" i="6" s="1"/>
  <c r="Y29" i="6" s="1"/>
  <c r="Z29" i="6" s="1"/>
  <c r="AA29" i="6" s="1"/>
  <c r="AU29" i="6"/>
  <c r="AV29" i="6" s="1"/>
  <c r="AJ50" i="6"/>
  <c r="AO50" i="6" s="1"/>
  <c r="AQ50" i="6" s="1"/>
  <c r="AD52" i="6"/>
  <c r="AL51" i="6"/>
  <c r="AG51" i="6"/>
  <c r="AH51" i="6" s="1"/>
  <c r="AI51" i="6"/>
  <c r="AM51" i="6"/>
  <c r="AF31" i="6"/>
  <c r="AE32" i="6"/>
  <c r="F46" i="3"/>
  <c r="L49" i="6"/>
  <c r="Q49" i="6" s="1"/>
  <c r="S49" i="6" s="1"/>
  <c r="K50" i="6"/>
  <c r="N50" i="6"/>
  <c r="G50" i="6"/>
  <c r="F51" i="6"/>
  <c r="P51" i="6" s="1"/>
  <c r="I50" i="6"/>
  <c r="J50" i="6" s="1"/>
  <c r="O50" i="6"/>
  <c r="H49" i="6"/>
  <c r="W29" i="6"/>
  <c r="X29" i="6" s="1"/>
  <c r="Z28" i="6"/>
  <c r="W28" i="6"/>
  <c r="M49" i="5" l="1"/>
  <c r="AT31" i="6" s="1"/>
  <c r="J49" i="5"/>
  <c r="M30" i="6"/>
  <c r="R30" i="6" s="1"/>
  <c r="T30" i="6" s="1"/>
  <c r="U30" i="6" s="1"/>
  <c r="Y30" i="6" s="1"/>
  <c r="Z30" i="6" s="1"/>
  <c r="AA30" i="6" s="1"/>
  <c r="AA48" i="5"/>
  <c r="X48" i="5"/>
  <c r="T50" i="5"/>
  <c r="Q50" i="5"/>
  <c r="C49" i="5"/>
  <c r="M31" i="6" s="1"/>
  <c r="R31" i="6" s="1"/>
  <c r="T31" i="6" s="1"/>
  <c r="F49" i="5"/>
  <c r="V31" i="6" s="1"/>
  <c r="AN52" i="6"/>
  <c r="AL51" i="12"/>
  <c r="AF51" i="12"/>
  <c r="AG51" i="12"/>
  <c r="AE51" i="12"/>
  <c r="AD52" i="12"/>
  <c r="AP30" i="6"/>
  <c r="AY28" i="6"/>
  <c r="AY6" i="12" s="1"/>
  <c r="AX6" i="12"/>
  <c r="W53" i="12"/>
  <c r="M53" i="12"/>
  <c r="H53" i="12"/>
  <c r="Y53" i="12"/>
  <c r="R53" i="12"/>
  <c r="X53" i="12"/>
  <c r="Q53" i="12"/>
  <c r="N53" i="12"/>
  <c r="V53" i="12"/>
  <c r="K53" i="12"/>
  <c r="O53" i="12"/>
  <c r="AA53" i="12"/>
  <c r="J53" i="12"/>
  <c r="Z53" i="12"/>
  <c r="P53" i="12"/>
  <c r="D127" i="3"/>
  <c r="C127" i="3"/>
  <c r="I53" i="12"/>
  <c r="G53" i="12"/>
  <c r="F54" i="12"/>
  <c r="AU30" i="6"/>
  <c r="AV30" i="6" s="1"/>
  <c r="AJ51" i="6"/>
  <c r="AO51" i="6" s="1"/>
  <c r="AQ51" i="6" s="1"/>
  <c r="AD53" i="6"/>
  <c r="AN53" i="6" s="1"/>
  <c r="AL52" i="6"/>
  <c r="AG52" i="6"/>
  <c r="AH52" i="6" s="1"/>
  <c r="AI52" i="6"/>
  <c r="AM52" i="6"/>
  <c r="AF32" i="6"/>
  <c r="AE33" i="6"/>
  <c r="F47" i="3"/>
  <c r="L50" i="6"/>
  <c r="Q50" i="6" s="1"/>
  <c r="S50" i="6" s="1"/>
  <c r="N51" i="6"/>
  <c r="G51" i="6"/>
  <c r="K51" i="6"/>
  <c r="I51" i="6"/>
  <c r="J51" i="6" s="1"/>
  <c r="O51" i="6"/>
  <c r="F52" i="6"/>
  <c r="P52" i="6" s="1"/>
  <c r="H50" i="6"/>
  <c r="X28" i="6"/>
  <c r="AA28" i="6"/>
  <c r="W30" i="6"/>
  <c r="X30" i="6" s="1"/>
  <c r="T51" i="5" l="1"/>
  <c r="Q51" i="5"/>
  <c r="AA49" i="5"/>
  <c r="X49" i="5"/>
  <c r="AK31" i="6"/>
  <c r="AP31" i="6" s="1"/>
  <c r="AR31" i="6" s="1"/>
  <c r="M50" i="5"/>
  <c r="AT32" i="6" s="1"/>
  <c r="AU32" i="6" s="1"/>
  <c r="AV32" i="6" s="1"/>
  <c r="J50" i="5"/>
  <c r="AK32" i="6" s="1"/>
  <c r="AP32" i="6" s="1"/>
  <c r="AR32" i="6" s="1"/>
  <c r="C50" i="5"/>
  <c r="M32" i="6" s="1"/>
  <c r="R32" i="6" s="1"/>
  <c r="T32" i="6" s="1"/>
  <c r="F50" i="5"/>
  <c r="V32" i="6" s="1"/>
  <c r="AL52" i="12"/>
  <c r="AF52" i="12"/>
  <c r="AD53" i="12"/>
  <c r="AE52" i="12"/>
  <c r="AG52" i="12"/>
  <c r="AR30" i="6"/>
  <c r="Y54" i="12"/>
  <c r="W54" i="12"/>
  <c r="V54" i="12"/>
  <c r="O54" i="12"/>
  <c r="H54" i="12"/>
  <c r="AA54" i="12"/>
  <c r="Z54" i="12"/>
  <c r="R54" i="12"/>
  <c r="Q54" i="12"/>
  <c r="K54" i="12"/>
  <c r="P54" i="12"/>
  <c r="J54" i="12"/>
  <c r="X54" i="12"/>
  <c r="N54" i="12"/>
  <c r="M54" i="12"/>
  <c r="D128" i="3"/>
  <c r="C128" i="3"/>
  <c r="G54" i="12"/>
  <c r="C129" i="3" s="1"/>
  <c r="F55" i="12"/>
  <c r="I54" i="12"/>
  <c r="AU31" i="6"/>
  <c r="AV31" i="6" s="1"/>
  <c r="AJ52" i="6"/>
  <c r="AO52" i="6" s="1"/>
  <c r="AQ52" i="6" s="1"/>
  <c r="AF33" i="6"/>
  <c r="AE34" i="6"/>
  <c r="AD54" i="6"/>
  <c r="AN54" i="6" s="1"/>
  <c r="AL53" i="6"/>
  <c r="AG53" i="6"/>
  <c r="AH53" i="6" s="1"/>
  <c r="AI53" i="6"/>
  <c r="AM53" i="6"/>
  <c r="F48" i="3"/>
  <c r="L51" i="6"/>
  <c r="Q51" i="6" s="1"/>
  <c r="S51" i="6" s="1"/>
  <c r="H51" i="6"/>
  <c r="I52" i="6"/>
  <c r="J52" i="6" s="1"/>
  <c r="G52" i="6"/>
  <c r="N52" i="6"/>
  <c r="O52" i="6"/>
  <c r="F53" i="6"/>
  <c r="P53" i="6" s="1"/>
  <c r="K52" i="6"/>
  <c r="W31" i="6"/>
  <c r="X31" i="6" s="1"/>
  <c r="U31" i="6"/>
  <c r="Y31" i="6" s="1"/>
  <c r="Z31" i="6" s="1"/>
  <c r="AA31" i="6" s="1"/>
  <c r="M51" i="5" l="1"/>
  <c r="AT33" i="6" s="1"/>
  <c r="AU33" i="6" s="1"/>
  <c r="AV33" i="6" s="1"/>
  <c r="J51" i="5"/>
  <c r="AA50" i="5"/>
  <c r="X50" i="5"/>
  <c r="Q52" i="5"/>
  <c r="T52" i="5"/>
  <c r="C51" i="5"/>
  <c r="F51" i="5"/>
  <c r="V33" i="6" s="1"/>
  <c r="K184" i="3"/>
  <c r="K182" i="3"/>
  <c r="J183" i="3"/>
  <c r="K183" i="3"/>
  <c r="K181" i="3"/>
  <c r="J181" i="3"/>
  <c r="L184" i="3"/>
  <c r="J182" i="3"/>
  <c r="L182" i="3"/>
  <c r="K185" i="3"/>
  <c r="J185" i="3"/>
  <c r="L183" i="3"/>
  <c r="J184" i="3"/>
  <c r="L186" i="3"/>
  <c r="L181" i="3"/>
  <c r="L185" i="3"/>
  <c r="J186" i="3"/>
  <c r="K186" i="3"/>
  <c r="AL53" i="12"/>
  <c r="AF53" i="12"/>
  <c r="AG53" i="12"/>
  <c r="AD54" i="12"/>
  <c r="AE53" i="12"/>
  <c r="AS30" i="6"/>
  <c r="AW30" i="6" s="1"/>
  <c r="AX30" i="6" s="1"/>
  <c r="AY30" i="6" s="1"/>
  <c r="AS31" i="6"/>
  <c r="AW31" i="6" s="1"/>
  <c r="AX31" i="6" s="1"/>
  <c r="AY31" i="6" s="1"/>
  <c r="AS32" i="6"/>
  <c r="AW32" i="6" s="1"/>
  <c r="AX32" i="6" s="1"/>
  <c r="AY32" i="6" s="1"/>
  <c r="AA55" i="12"/>
  <c r="Y55" i="12"/>
  <c r="H55" i="12"/>
  <c r="X55" i="12"/>
  <c r="Q55" i="12"/>
  <c r="N55" i="12"/>
  <c r="M55" i="12"/>
  <c r="O55" i="12"/>
  <c r="K55" i="12"/>
  <c r="Z55" i="12"/>
  <c r="J55" i="12"/>
  <c r="W55" i="12"/>
  <c r="V55" i="12"/>
  <c r="P55" i="12"/>
  <c r="R55" i="12"/>
  <c r="D129" i="3"/>
  <c r="I55" i="12"/>
  <c r="G55" i="12"/>
  <c r="AJ53" i="6"/>
  <c r="AO53" i="6" s="1"/>
  <c r="AF34" i="6"/>
  <c r="AE35" i="6"/>
  <c r="AD55" i="6"/>
  <c r="AN55" i="6" s="1"/>
  <c r="AL54" i="6"/>
  <c r="AI54" i="6"/>
  <c r="AG54" i="6"/>
  <c r="AH54" i="6" s="1"/>
  <c r="AM54" i="6"/>
  <c r="F49" i="3"/>
  <c r="H52" i="6"/>
  <c r="L52" i="6"/>
  <c r="Q52" i="6" s="1"/>
  <c r="S52" i="6" s="1"/>
  <c r="N53" i="6"/>
  <c r="G53" i="6"/>
  <c r="F54" i="6"/>
  <c r="P54" i="6" s="1"/>
  <c r="K53" i="6"/>
  <c r="I53" i="6"/>
  <c r="J53" i="6" s="1"/>
  <c r="O53" i="6"/>
  <c r="W32" i="6"/>
  <c r="X32" i="6" s="1"/>
  <c r="U32" i="6"/>
  <c r="Y32" i="6" s="1"/>
  <c r="Z32" i="6" s="1"/>
  <c r="AA32" i="6" s="1"/>
  <c r="T53" i="5" l="1"/>
  <c r="Q53" i="5"/>
  <c r="AA51" i="5"/>
  <c r="X51" i="5"/>
  <c r="AK33" i="6"/>
  <c r="AP33" i="6" s="1"/>
  <c r="AR33" i="6" s="1"/>
  <c r="AS33" i="6" s="1"/>
  <c r="AW33" i="6" s="1"/>
  <c r="AX33" i="6" s="1"/>
  <c r="AY33" i="6" s="1"/>
  <c r="M52" i="5"/>
  <c r="AT34" i="6" s="1"/>
  <c r="AU34" i="6" s="1"/>
  <c r="AV34" i="6" s="1"/>
  <c r="J52" i="5"/>
  <c r="AK34" i="6" s="1"/>
  <c r="AP34" i="6" s="1"/>
  <c r="AR34" i="6" s="1"/>
  <c r="C52" i="5"/>
  <c r="M34" i="6" s="1"/>
  <c r="R34" i="6" s="1"/>
  <c r="T34" i="6" s="1"/>
  <c r="F52" i="5"/>
  <c r="V34" i="6" s="1"/>
  <c r="AL54" i="12"/>
  <c r="AF54" i="12"/>
  <c r="AD55" i="12"/>
  <c r="AG54" i="12"/>
  <c r="AE54" i="12"/>
  <c r="AQ53" i="6"/>
  <c r="M33" i="6"/>
  <c r="R33" i="6" s="1"/>
  <c r="T33" i="6" s="1"/>
  <c r="U33" i="6" s="1"/>
  <c r="Y33" i="6" s="1"/>
  <c r="Z33" i="6" s="1"/>
  <c r="AA33" i="6" s="1"/>
  <c r="AJ54" i="6"/>
  <c r="AO54" i="6" s="1"/>
  <c r="AQ54" i="6" s="1"/>
  <c r="AD56" i="6"/>
  <c r="AN56" i="6" s="1"/>
  <c r="AL55" i="6"/>
  <c r="AI55" i="6"/>
  <c r="AG55" i="6"/>
  <c r="AH55" i="6" s="1"/>
  <c r="AM55" i="6"/>
  <c r="AF35" i="6"/>
  <c r="AE36" i="6"/>
  <c r="F50" i="3"/>
  <c r="L53" i="6"/>
  <c r="Q53" i="6" s="1"/>
  <c r="S53" i="6" s="1"/>
  <c r="H53" i="6"/>
  <c r="K54" i="6"/>
  <c r="N54" i="6"/>
  <c r="F55" i="6"/>
  <c r="P55" i="6" s="1"/>
  <c r="I54" i="6"/>
  <c r="J54" i="6" s="1"/>
  <c r="O54" i="6"/>
  <c r="G54" i="6"/>
  <c r="W33" i="6"/>
  <c r="X33" i="6" s="1"/>
  <c r="M53" i="5" l="1"/>
  <c r="AT35" i="6" s="1"/>
  <c r="AU35" i="6" s="1"/>
  <c r="AV35" i="6" s="1"/>
  <c r="J53" i="5"/>
  <c r="X52" i="5"/>
  <c r="AA52" i="5"/>
  <c r="T54" i="5"/>
  <c r="Q54" i="5"/>
  <c r="C53" i="5"/>
  <c r="F53" i="5"/>
  <c r="V35" i="6" s="1"/>
  <c r="U34" i="6"/>
  <c r="Y34" i="6" s="1"/>
  <c r="Z34" i="6" s="1"/>
  <c r="AA34" i="6" s="1"/>
  <c r="AO55" i="12"/>
  <c r="AW55" i="12"/>
  <c r="AN55" i="12"/>
  <c r="AV55" i="12"/>
  <c r="AM55" i="12"/>
  <c r="AU55" i="12"/>
  <c r="AL55" i="12"/>
  <c r="AT55" i="12"/>
  <c r="AF55" i="12"/>
  <c r="AK55" i="12"/>
  <c r="AI55" i="12"/>
  <c r="AH55" i="12"/>
  <c r="AY55" i="12"/>
  <c r="AP55" i="12"/>
  <c r="AX55" i="12"/>
  <c r="AE55" i="12"/>
  <c r="AJ55" i="12"/>
  <c r="AQ55" i="12"/>
  <c r="AR55" i="12"/>
  <c r="AG55" i="12"/>
  <c r="AS55" i="12"/>
  <c r="AS34" i="6"/>
  <c r="AW34" i="6" s="1"/>
  <c r="AX34" i="6" s="1"/>
  <c r="AY34" i="6" s="1"/>
  <c r="AF36" i="6"/>
  <c r="AE37" i="6"/>
  <c r="AD57" i="6"/>
  <c r="AN57" i="6" s="1"/>
  <c r="AL56" i="6"/>
  <c r="AG56" i="6"/>
  <c r="AH56" i="6" s="1"/>
  <c r="AI56" i="6"/>
  <c r="AM56" i="6"/>
  <c r="AJ55" i="6"/>
  <c r="AO55" i="6" s="1"/>
  <c r="AQ55" i="6" s="1"/>
  <c r="F51" i="3"/>
  <c r="L54" i="6"/>
  <c r="Q54" i="6" s="1"/>
  <c r="S54" i="6" s="1"/>
  <c r="F56" i="6"/>
  <c r="P56" i="6" s="1"/>
  <c r="K55" i="6"/>
  <c r="I55" i="6"/>
  <c r="J55" i="6" s="1"/>
  <c r="G55" i="6"/>
  <c r="N55" i="6"/>
  <c r="O55" i="6"/>
  <c r="H54" i="6"/>
  <c r="W34" i="6"/>
  <c r="X34" i="6" s="1"/>
  <c r="Q55" i="5" l="1"/>
  <c r="T55" i="5"/>
  <c r="AA53" i="5"/>
  <c r="X53" i="5"/>
  <c r="AK35" i="6"/>
  <c r="AP35" i="6" s="1"/>
  <c r="AR35" i="6" s="1"/>
  <c r="AS35" i="6" s="1"/>
  <c r="AW35" i="6" s="1"/>
  <c r="AX35" i="6" s="1"/>
  <c r="AY35" i="6" s="1"/>
  <c r="M54" i="5"/>
  <c r="J54" i="5"/>
  <c r="AK36" i="6" s="1"/>
  <c r="AP36" i="6" s="1"/>
  <c r="AR36" i="6" s="1"/>
  <c r="C54" i="5"/>
  <c r="M36" i="6" s="1"/>
  <c r="R36" i="6" s="1"/>
  <c r="T36" i="6" s="1"/>
  <c r="F54" i="5"/>
  <c r="V36" i="6" s="1"/>
  <c r="M35" i="6"/>
  <c r="R35" i="6" s="1"/>
  <c r="T35" i="6" s="1"/>
  <c r="U35" i="6" s="1"/>
  <c r="AJ56" i="6"/>
  <c r="AO56" i="6" s="1"/>
  <c r="AD58" i="6"/>
  <c r="AN58" i="6" s="1"/>
  <c r="AL57" i="6"/>
  <c r="AI57" i="6"/>
  <c r="AG57" i="6"/>
  <c r="AH57" i="6" s="1"/>
  <c r="AM57" i="6"/>
  <c r="AF37" i="6"/>
  <c r="AE38" i="6"/>
  <c r="F53" i="3"/>
  <c r="F52" i="3"/>
  <c r="L55" i="6"/>
  <c r="Q55" i="6" s="1"/>
  <c r="S55" i="6" s="1"/>
  <c r="H55" i="6"/>
  <c r="O56" i="6"/>
  <c r="K56" i="6"/>
  <c r="F57" i="6"/>
  <c r="P57" i="6" s="1"/>
  <c r="N56" i="6"/>
  <c r="G56" i="6"/>
  <c r="I56" i="6"/>
  <c r="J56" i="6" s="1"/>
  <c r="W35" i="6"/>
  <c r="X35" i="6" s="1"/>
  <c r="U36" i="6" l="1"/>
  <c r="M55" i="5"/>
  <c r="AT37" i="6" s="1"/>
  <c r="AU37" i="6" s="1"/>
  <c r="AV37" i="6" s="1"/>
  <c r="J55" i="5"/>
  <c r="AT36" i="6"/>
  <c r="AU36" i="6" s="1"/>
  <c r="AV36" i="6" s="1"/>
  <c r="AA54" i="5"/>
  <c r="X54" i="5"/>
  <c r="Q56" i="5"/>
  <c r="T56" i="5"/>
  <c r="F55" i="5"/>
  <c r="V37" i="6" s="1"/>
  <c r="C55" i="5"/>
  <c r="M37" i="6" s="1"/>
  <c r="R37" i="6" s="1"/>
  <c r="T37" i="6" s="1"/>
  <c r="U37" i="6" s="1"/>
  <c r="AQ56" i="6"/>
  <c r="AS36" i="6"/>
  <c r="AJ57" i="6"/>
  <c r="AO57" i="6" s="1"/>
  <c r="AQ57" i="6" s="1"/>
  <c r="AF38" i="6"/>
  <c r="AE39" i="6"/>
  <c r="AD59" i="6"/>
  <c r="AN59" i="6" s="1"/>
  <c r="AL58" i="6"/>
  <c r="AI58" i="6"/>
  <c r="AG58" i="6"/>
  <c r="AH58" i="6" s="1"/>
  <c r="AM58" i="6"/>
  <c r="L56" i="6"/>
  <c r="Q56" i="6" s="1"/>
  <c r="S56" i="6" s="1"/>
  <c r="G57" i="6"/>
  <c r="O57" i="6"/>
  <c r="F58" i="6"/>
  <c r="P58" i="6" s="1"/>
  <c r="I57" i="6"/>
  <c r="J57" i="6" s="1"/>
  <c r="N57" i="6"/>
  <c r="K57" i="6"/>
  <c r="H56" i="6"/>
  <c r="W36" i="6"/>
  <c r="X36" i="6" s="1"/>
  <c r="Y35" i="6"/>
  <c r="Z35" i="6" s="1"/>
  <c r="AA35" i="6" s="1"/>
  <c r="AW36" i="6" l="1"/>
  <c r="AX36" i="6" s="1"/>
  <c r="AY36" i="6" s="1"/>
  <c r="T57" i="5"/>
  <c r="Q57" i="5"/>
  <c r="AA55" i="5"/>
  <c r="X55" i="5"/>
  <c r="AK37" i="6"/>
  <c r="AP37" i="6" s="1"/>
  <c r="AR37" i="6" s="1"/>
  <c r="AS37" i="6" s="1"/>
  <c r="AW37" i="6" s="1"/>
  <c r="AX37" i="6" s="1"/>
  <c r="AY37" i="6" s="1"/>
  <c r="J56" i="5"/>
  <c r="AK38" i="6" s="1"/>
  <c r="AP38" i="6" s="1"/>
  <c r="AR38" i="6" s="1"/>
  <c r="AS38" i="6" s="1"/>
  <c r="M56" i="5"/>
  <c r="C56" i="5"/>
  <c r="M38" i="6" s="1"/>
  <c r="R38" i="6" s="1"/>
  <c r="T38" i="6" s="1"/>
  <c r="F56" i="5"/>
  <c r="V38" i="6" s="1"/>
  <c r="F54" i="3"/>
  <c r="AD60" i="6"/>
  <c r="AN60" i="6" s="1"/>
  <c r="AL59" i="6"/>
  <c r="AI59" i="6"/>
  <c r="AG59" i="6"/>
  <c r="AH59" i="6" s="1"/>
  <c r="AM59" i="6"/>
  <c r="AF39" i="6"/>
  <c r="AE40" i="6"/>
  <c r="AJ58" i="6"/>
  <c r="AO58" i="6" s="1"/>
  <c r="AQ58" i="6" s="1"/>
  <c r="H57" i="6"/>
  <c r="L57" i="6"/>
  <c r="Q57" i="6" s="1"/>
  <c r="S57" i="6" s="1"/>
  <c r="O58" i="6"/>
  <c r="I58" i="6"/>
  <c r="J58" i="6" s="1"/>
  <c r="F59" i="6"/>
  <c r="P59" i="6" s="1"/>
  <c r="K58" i="6"/>
  <c r="G58" i="6"/>
  <c r="N58" i="6"/>
  <c r="W37" i="6"/>
  <c r="X37" i="6" s="1"/>
  <c r="Y36" i="6"/>
  <c r="Z36" i="6" s="1"/>
  <c r="AA36" i="6" s="1"/>
  <c r="Y37" i="6"/>
  <c r="Z37" i="6" s="1"/>
  <c r="AA37" i="6" s="1"/>
  <c r="J57" i="5" l="1"/>
  <c r="AK39" i="6" s="1"/>
  <c r="AP39" i="6" s="1"/>
  <c r="AR39" i="6" s="1"/>
  <c r="AS39" i="6" s="1"/>
  <c r="M57" i="5"/>
  <c r="AT39" i="6" s="1"/>
  <c r="AU39" i="6" s="1"/>
  <c r="AV39" i="6" s="1"/>
  <c r="AT38" i="6"/>
  <c r="AW38" i="6" s="1"/>
  <c r="AX38" i="6" s="1"/>
  <c r="AY38" i="6" s="1"/>
  <c r="X56" i="5"/>
  <c r="AA56" i="5"/>
  <c r="T58" i="5"/>
  <c r="Q58" i="5"/>
  <c r="C57" i="5"/>
  <c r="M39" i="6" s="1"/>
  <c r="R39" i="6" s="1"/>
  <c r="T39" i="6" s="1"/>
  <c r="U39" i="6" s="1"/>
  <c r="F57" i="5"/>
  <c r="V39" i="6" s="1"/>
  <c r="F55" i="3"/>
  <c r="AF40" i="6"/>
  <c r="AE41" i="6"/>
  <c r="AJ59" i="6"/>
  <c r="AO59" i="6" s="1"/>
  <c r="AQ59" i="6" s="1"/>
  <c r="AD61" i="6"/>
  <c r="AN61" i="6" s="1"/>
  <c r="AL60" i="6"/>
  <c r="AI60" i="6"/>
  <c r="AG60" i="6"/>
  <c r="AH60" i="6" s="1"/>
  <c r="AM60" i="6"/>
  <c r="L58" i="6"/>
  <c r="Q58" i="6" s="1"/>
  <c r="S58" i="6" s="1"/>
  <c r="H58" i="6"/>
  <c r="N59" i="6"/>
  <c r="K59" i="6"/>
  <c r="G59" i="6"/>
  <c r="O59" i="6"/>
  <c r="F60" i="6"/>
  <c r="P60" i="6" s="1"/>
  <c r="I59" i="6"/>
  <c r="J59" i="6" s="1"/>
  <c r="W38" i="6"/>
  <c r="X38" i="6" s="1"/>
  <c r="U38" i="6"/>
  <c r="Y38" i="6" s="1"/>
  <c r="Z38" i="6" s="1"/>
  <c r="AA38" i="6" s="1"/>
  <c r="AU38" i="6" l="1"/>
  <c r="AV38" i="6" s="1"/>
  <c r="X57" i="5"/>
  <c r="AA57" i="5"/>
  <c r="Q59" i="5"/>
  <c r="T59" i="5"/>
  <c r="J58" i="5"/>
  <c r="AK40" i="6" s="1"/>
  <c r="AP40" i="6" s="1"/>
  <c r="AR40" i="6" s="1"/>
  <c r="AS40" i="6" s="1"/>
  <c r="M58" i="5"/>
  <c r="C58" i="5"/>
  <c r="M40" i="6" s="1"/>
  <c r="R40" i="6" s="1"/>
  <c r="T40" i="6" s="1"/>
  <c r="F58" i="5"/>
  <c r="V40" i="6" s="1"/>
  <c r="AW39" i="6"/>
  <c r="AX39" i="6" s="1"/>
  <c r="AY39" i="6" s="1"/>
  <c r="F56" i="3"/>
  <c r="H191" i="3" s="1"/>
  <c r="AJ60" i="6"/>
  <c r="AO60" i="6" s="1"/>
  <c r="AQ60" i="6" s="1"/>
  <c r="AD62" i="6"/>
  <c r="AN62" i="6" s="1"/>
  <c r="AL61" i="6"/>
  <c r="AG61" i="6"/>
  <c r="AH61" i="6" s="1"/>
  <c r="AI61" i="6"/>
  <c r="AM61" i="6"/>
  <c r="AF41" i="6"/>
  <c r="AE42" i="6"/>
  <c r="L59" i="6"/>
  <c r="Q59" i="6" s="1"/>
  <c r="S59" i="6" s="1"/>
  <c r="G60" i="6"/>
  <c r="O60" i="6"/>
  <c r="I60" i="6"/>
  <c r="J60" i="6" s="1"/>
  <c r="N60" i="6"/>
  <c r="F61" i="6"/>
  <c r="P61" i="6" s="1"/>
  <c r="K60" i="6"/>
  <c r="H59" i="6"/>
  <c r="W39" i="6"/>
  <c r="X39" i="6" s="1"/>
  <c r="J59" i="5" l="1"/>
  <c r="AK41" i="6" s="1"/>
  <c r="M59" i="5"/>
  <c r="AT41" i="6" s="1"/>
  <c r="AU41" i="6" s="1"/>
  <c r="AV41" i="6" s="1"/>
  <c r="T60" i="5"/>
  <c r="Q60" i="5"/>
  <c r="AT40" i="6"/>
  <c r="AT7" i="12" s="1"/>
  <c r="AA58" i="5"/>
  <c r="X58" i="5"/>
  <c r="C59" i="5"/>
  <c r="F59" i="5"/>
  <c r="V41" i="6" s="1"/>
  <c r="AU40" i="6"/>
  <c r="AU7" i="12" s="1"/>
  <c r="H207" i="3"/>
  <c r="AF46" i="13" s="1"/>
  <c r="H206" i="3"/>
  <c r="Z46" i="13" s="1"/>
  <c r="H46" i="13"/>
  <c r="F57" i="3"/>
  <c r="AJ61" i="6"/>
  <c r="AO61" i="6" s="1"/>
  <c r="AQ61" i="6" s="1"/>
  <c r="AF42" i="6"/>
  <c r="AE43" i="6"/>
  <c r="AD63" i="6"/>
  <c r="AN63" i="6" s="1"/>
  <c r="AL62" i="6"/>
  <c r="AG62" i="6"/>
  <c r="AH62" i="6" s="1"/>
  <c r="AI62" i="6"/>
  <c r="AM62" i="6"/>
  <c r="H60" i="6"/>
  <c r="F62" i="6"/>
  <c r="P62" i="6" s="1"/>
  <c r="N61" i="6"/>
  <c r="K61" i="6"/>
  <c r="I61" i="6"/>
  <c r="J61" i="6" s="1"/>
  <c r="O61" i="6"/>
  <c r="G61" i="6"/>
  <c r="L60" i="6"/>
  <c r="Q60" i="6" s="1"/>
  <c r="S60" i="6" s="1"/>
  <c r="U40" i="6"/>
  <c r="Y39" i="6"/>
  <c r="Z39" i="6" s="1"/>
  <c r="AA39" i="6" s="1"/>
  <c r="AW40" i="6" l="1"/>
  <c r="AX40" i="6" s="1"/>
  <c r="AY40" i="6" s="1"/>
  <c r="AY7" i="12" s="1"/>
  <c r="AV40" i="6"/>
  <c r="AV7" i="12" s="1"/>
  <c r="AA59" i="5"/>
  <c r="X59" i="5"/>
  <c r="Q61" i="5"/>
  <c r="T61" i="5"/>
  <c r="M60" i="5"/>
  <c r="AT42" i="6" s="1"/>
  <c r="AU42" i="6" s="1"/>
  <c r="AV42" i="6" s="1"/>
  <c r="J60" i="5"/>
  <c r="AK42" i="6" s="1"/>
  <c r="AP42" i="6" s="1"/>
  <c r="AR42" i="6" s="1"/>
  <c r="C60" i="5"/>
  <c r="F60" i="5"/>
  <c r="AP41" i="6"/>
  <c r="F58" i="3"/>
  <c r="M41" i="6"/>
  <c r="R41" i="6" s="1"/>
  <c r="T41" i="6" s="1"/>
  <c r="AJ62" i="6"/>
  <c r="AO62" i="6" s="1"/>
  <c r="AQ62" i="6" s="1"/>
  <c r="AD64" i="6"/>
  <c r="AN64" i="6" s="1"/>
  <c r="AL63" i="6"/>
  <c r="AG63" i="6"/>
  <c r="AH63" i="6" s="1"/>
  <c r="AI63" i="6"/>
  <c r="AM63" i="6"/>
  <c r="AF43" i="6"/>
  <c r="AE44" i="6"/>
  <c r="H61" i="6"/>
  <c r="L61" i="6"/>
  <c r="Q61" i="6" s="1"/>
  <c r="S61" i="6" s="1"/>
  <c r="I62" i="6"/>
  <c r="J62" i="6" s="1"/>
  <c r="G62" i="6"/>
  <c r="H62" i="6" s="1"/>
  <c r="O62" i="6"/>
  <c r="N62" i="6"/>
  <c r="F63" i="6"/>
  <c r="P63" i="6" s="1"/>
  <c r="K62" i="6"/>
  <c r="W41" i="6"/>
  <c r="X41" i="6" s="1"/>
  <c r="W40" i="6"/>
  <c r="Y40" i="6"/>
  <c r="AX7" i="12" l="1"/>
  <c r="AW7" i="12"/>
  <c r="M42" i="6"/>
  <c r="R42" i="6" s="1"/>
  <c r="T42" i="6" s="1"/>
  <c r="U42" i="6" s="1"/>
  <c r="M61" i="5"/>
  <c r="AT43" i="6" s="1"/>
  <c r="AU43" i="6" s="1"/>
  <c r="AV43" i="6" s="1"/>
  <c r="J61" i="5"/>
  <c r="Q62" i="5"/>
  <c r="T62" i="5"/>
  <c r="X60" i="5"/>
  <c r="AA60" i="5"/>
  <c r="F61" i="5"/>
  <c r="V43" i="6" s="1"/>
  <c r="C61" i="5"/>
  <c r="M43" i="6" s="1"/>
  <c r="R43" i="6" s="1"/>
  <c r="T43" i="6" s="1"/>
  <c r="V42" i="6"/>
  <c r="W42" i="6" s="1"/>
  <c r="X42" i="6" s="1"/>
  <c r="AR41" i="6"/>
  <c r="F59" i="3"/>
  <c r="U41" i="6"/>
  <c r="Y41" i="6" s="1"/>
  <c r="Z41" i="6" s="1"/>
  <c r="AA41" i="6" s="1"/>
  <c r="AJ63" i="6"/>
  <c r="AO63" i="6" s="1"/>
  <c r="AQ63" i="6" s="1"/>
  <c r="AF44" i="6"/>
  <c r="AE45" i="6"/>
  <c r="AD65" i="6"/>
  <c r="AN65" i="6" s="1"/>
  <c r="AL64" i="6"/>
  <c r="AG64" i="6"/>
  <c r="AH64" i="6" s="1"/>
  <c r="AI64" i="6"/>
  <c r="AM64" i="6"/>
  <c r="I63" i="6"/>
  <c r="J63" i="6" s="1"/>
  <c r="N63" i="6"/>
  <c r="G63" i="6"/>
  <c r="K63" i="6"/>
  <c r="O63" i="6"/>
  <c r="F64" i="6"/>
  <c r="P64" i="6" s="1"/>
  <c r="L62" i="6"/>
  <c r="Q62" i="6" s="1"/>
  <c r="S62" i="6" s="1"/>
  <c r="Z40" i="6"/>
  <c r="X40" i="6"/>
  <c r="Y42" i="6" l="1"/>
  <c r="Z42" i="6" s="1"/>
  <c r="AA42" i="6" s="1"/>
  <c r="Q63" i="5"/>
  <c r="T63" i="5"/>
  <c r="AK43" i="6"/>
  <c r="AP43" i="6" s="1"/>
  <c r="AR43" i="6" s="1"/>
  <c r="AS43" i="6" s="1"/>
  <c r="AW43" i="6" s="1"/>
  <c r="AX43" i="6" s="1"/>
  <c r="AY43" i="6" s="1"/>
  <c r="X61" i="5"/>
  <c r="AA61" i="5"/>
  <c r="J62" i="5"/>
  <c r="AK44" i="6" s="1"/>
  <c r="M62" i="5"/>
  <c r="F62" i="5"/>
  <c r="V44" i="6" s="1"/>
  <c r="C62" i="5"/>
  <c r="AS42" i="6"/>
  <c r="AW42" i="6" s="1"/>
  <c r="AX42" i="6" s="1"/>
  <c r="AY42" i="6" s="1"/>
  <c r="AS41" i="6"/>
  <c r="AW41" i="6" s="1"/>
  <c r="AX41" i="6" s="1"/>
  <c r="AY41" i="6" s="1"/>
  <c r="F60" i="3"/>
  <c r="AJ64" i="6"/>
  <c r="AO64" i="6" s="1"/>
  <c r="AQ64" i="6" s="1"/>
  <c r="AD66" i="6"/>
  <c r="AN66" i="6" s="1"/>
  <c r="AL65" i="6"/>
  <c r="AI65" i="6"/>
  <c r="AG65" i="6"/>
  <c r="AH65" i="6" s="1"/>
  <c r="AM65" i="6"/>
  <c r="AF45" i="6"/>
  <c r="AE46" i="6"/>
  <c r="H63" i="6"/>
  <c r="L63" i="6"/>
  <c r="Q63" i="6" s="1"/>
  <c r="S63" i="6" s="1"/>
  <c r="O64" i="6"/>
  <c r="I64" i="6"/>
  <c r="J64" i="6" s="1"/>
  <c r="G64" i="6"/>
  <c r="F65" i="6"/>
  <c r="P65" i="6" s="1"/>
  <c r="N64" i="6"/>
  <c r="K64" i="6"/>
  <c r="AA40" i="6"/>
  <c r="W43" i="6"/>
  <c r="X43" i="6" s="1"/>
  <c r="U43" i="6"/>
  <c r="Y43" i="6" s="1"/>
  <c r="Z43" i="6" s="1"/>
  <c r="AA43" i="6" s="1"/>
  <c r="M44" i="6" l="1"/>
  <c r="R44" i="6" s="1"/>
  <c r="T44" i="6" s="1"/>
  <c r="U44" i="6" s="1"/>
  <c r="Y44" i="6" s="1"/>
  <c r="Z44" i="6" s="1"/>
  <c r="AA44" i="6" s="1"/>
  <c r="M63" i="5"/>
  <c r="AT45" i="6" s="1"/>
  <c r="AU45" i="6" s="1"/>
  <c r="AV45" i="6" s="1"/>
  <c r="J63" i="5"/>
  <c r="AA62" i="5"/>
  <c r="X62" i="5"/>
  <c r="AT44" i="6"/>
  <c r="AU44" i="6" s="1"/>
  <c r="AV44" i="6" s="1"/>
  <c r="Q64" i="5"/>
  <c r="T64" i="5"/>
  <c r="C63" i="5"/>
  <c r="M45" i="6" s="1"/>
  <c r="R45" i="6" s="1"/>
  <c r="T45" i="6" s="1"/>
  <c r="F63" i="5"/>
  <c r="V45" i="6" s="1"/>
  <c r="AP44" i="6"/>
  <c r="F61" i="3"/>
  <c r="AJ65" i="6"/>
  <c r="AO65" i="6" s="1"/>
  <c r="AF46" i="6"/>
  <c r="AE47" i="6"/>
  <c r="AD67" i="6"/>
  <c r="AN67" i="6" s="1"/>
  <c r="AL66" i="6"/>
  <c r="AG66" i="6"/>
  <c r="AH66" i="6" s="1"/>
  <c r="AI66" i="6"/>
  <c r="AM66" i="6"/>
  <c r="L64" i="6"/>
  <c r="Q64" i="6" s="1"/>
  <c r="S64" i="6" s="1"/>
  <c r="H64" i="6"/>
  <c r="I65" i="6"/>
  <c r="J65" i="6" s="1"/>
  <c r="K65" i="6"/>
  <c r="G65" i="6"/>
  <c r="N65" i="6"/>
  <c r="O65" i="6"/>
  <c r="F66" i="6"/>
  <c r="P66" i="6" s="1"/>
  <c r="W44" i="6"/>
  <c r="X44" i="6" s="1"/>
  <c r="U45" i="6" l="1"/>
  <c r="X63" i="5"/>
  <c r="AA63" i="5"/>
  <c r="AK45" i="6"/>
  <c r="AP45" i="6" s="1"/>
  <c r="AR45" i="6" s="1"/>
  <c r="M64" i="5"/>
  <c r="AT46" i="6" s="1"/>
  <c r="AU46" i="6" s="1"/>
  <c r="AV46" i="6" s="1"/>
  <c r="J64" i="5"/>
  <c r="AK46" i="6" s="1"/>
  <c r="AP46" i="6" s="1"/>
  <c r="AR46" i="6" s="1"/>
  <c r="T65" i="5"/>
  <c r="Q65" i="5"/>
  <c r="C64" i="5"/>
  <c r="F64" i="5"/>
  <c r="V46" i="6" s="1"/>
  <c r="AQ65" i="6"/>
  <c r="AR44" i="6"/>
  <c r="F62" i="3"/>
  <c r="AF47" i="6"/>
  <c r="AE48" i="6"/>
  <c r="AJ66" i="6"/>
  <c r="AO66" i="6" s="1"/>
  <c r="AQ66" i="6" s="1"/>
  <c r="AD68" i="6"/>
  <c r="AN68" i="6" s="1"/>
  <c r="AL67" i="6"/>
  <c r="AG67" i="6"/>
  <c r="AH67" i="6" s="1"/>
  <c r="AI67" i="6"/>
  <c r="AM67" i="6"/>
  <c r="L65" i="6"/>
  <c r="Q65" i="6" s="1"/>
  <c r="S65" i="6" s="1"/>
  <c r="F67" i="6"/>
  <c r="P67" i="6" s="1"/>
  <c r="N66" i="6"/>
  <c r="I66" i="6"/>
  <c r="J66" i="6" s="1"/>
  <c r="K66" i="6"/>
  <c r="G66" i="6"/>
  <c r="O66" i="6"/>
  <c r="H65" i="6"/>
  <c r="W45" i="6"/>
  <c r="X45" i="6" s="1"/>
  <c r="Q66" i="5" l="1"/>
  <c r="T66" i="5"/>
  <c r="J65" i="5"/>
  <c r="M65" i="5"/>
  <c r="AT47" i="6" s="1"/>
  <c r="AU47" i="6" s="1"/>
  <c r="AV47" i="6" s="1"/>
  <c r="AS46" i="6"/>
  <c r="AW46" i="6" s="1"/>
  <c r="AX46" i="6" s="1"/>
  <c r="AY46" i="6" s="1"/>
  <c r="AA64" i="5"/>
  <c r="X64" i="5"/>
  <c r="C65" i="5"/>
  <c r="M47" i="6" s="1"/>
  <c r="R47" i="6" s="1"/>
  <c r="T47" i="6" s="1"/>
  <c r="F65" i="5"/>
  <c r="V47" i="6" s="1"/>
  <c r="AS44" i="6"/>
  <c r="AW44" i="6" s="1"/>
  <c r="AX44" i="6" s="1"/>
  <c r="AY44" i="6" s="1"/>
  <c r="AS45" i="6"/>
  <c r="AW45" i="6" s="1"/>
  <c r="AX45" i="6" s="1"/>
  <c r="AY45" i="6" s="1"/>
  <c r="F63" i="3"/>
  <c r="M46" i="6"/>
  <c r="R46" i="6" s="1"/>
  <c r="T46" i="6" s="1"/>
  <c r="U46" i="6" s="1"/>
  <c r="AJ67" i="6"/>
  <c r="AO67" i="6" s="1"/>
  <c r="AQ67" i="6" s="1"/>
  <c r="AD69" i="6"/>
  <c r="AN69" i="6" s="1"/>
  <c r="AL68" i="6"/>
  <c r="AG68" i="6"/>
  <c r="AH68" i="6" s="1"/>
  <c r="AI68" i="6"/>
  <c r="AM68" i="6"/>
  <c r="AF48" i="6"/>
  <c r="AE49" i="6"/>
  <c r="H66" i="6"/>
  <c r="L66" i="6"/>
  <c r="Q66" i="6" s="1"/>
  <c r="S66" i="6" s="1"/>
  <c r="K67" i="6"/>
  <c r="I67" i="6"/>
  <c r="J67" i="6" s="1"/>
  <c r="G67" i="6"/>
  <c r="F68" i="6"/>
  <c r="P68" i="6" s="1"/>
  <c r="N67" i="6"/>
  <c r="O67" i="6"/>
  <c r="W46" i="6"/>
  <c r="X46" i="6" s="1"/>
  <c r="Y45" i="6"/>
  <c r="Z45" i="6" s="1"/>
  <c r="AA45" i="6" s="1"/>
  <c r="AA65" i="5" l="1"/>
  <c r="X65" i="5"/>
  <c r="J66" i="5"/>
  <c r="AK48" i="6" s="1"/>
  <c r="AP48" i="6" s="1"/>
  <c r="AR48" i="6" s="1"/>
  <c r="M66" i="5"/>
  <c r="AK47" i="6"/>
  <c r="AP47" i="6" s="1"/>
  <c r="AR47" i="6" s="1"/>
  <c r="AS47" i="6" s="1"/>
  <c r="AW47" i="6" s="1"/>
  <c r="AX47" i="6" s="1"/>
  <c r="AY47" i="6" s="1"/>
  <c r="Q67" i="5"/>
  <c r="T67" i="5"/>
  <c r="C66" i="5"/>
  <c r="M48" i="6" s="1"/>
  <c r="R48" i="6" s="1"/>
  <c r="T48" i="6" s="1"/>
  <c r="F66" i="5"/>
  <c r="V48" i="6" s="1"/>
  <c r="U47" i="6"/>
  <c r="F64" i="3"/>
  <c r="AT48" i="6"/>
  <c r="AU48" i="6" s="1"/>
  <c r="AV48" i="6" s="1"/>
  <c r="AJ68" i="6"/>
  <c r="AO68" i="6" s="1"/>
  <c r="AF49" i="6"/>
  <c r="AE50" i="6"/>
  <c r="AD70" i="6"/>
  <c r="AN70" i="6" s="1"/>
  <c r="AL69" i="6"/>
  <c r="AG69" i="6"/>
  <c r="AH69" i="6" s="1"/>
  <c r="AI69" i="6"/>
  <c r="AM69" i="6"/>
  <c r="L67" i="6"/>
  <c r="Q67" i="6" s="1"/>
  <c r="S67" i="6" s="1"/>
  <c r="K68" i="6"/>
  <c r="I68" i="6"/>
  <c r="J68" i="6" s="1"/>
  <c r="G68" i="6"/>
  <c r="O68" i="6"/>
  <c r="N68" i="6"/>
  <c r="F69" i="6"/>
  <c r="P69" i="6" s="1"/>
  <c r="H67" i="6"/>
  <c r="W47" i="6"/>
  <c r="X47" i="6" s="1"/>
  <c r="Y46" i="6"/>
  <c r="Z46" i="6" s="1"/>
  <c r="AA46" i="6" s="1"/>
  <c r="AS48" i="6" l="1"/>
  <c r="AW48" i="6" s="1"/>
  <c r="AX48" i="6" s="1"/>
  <c r="AY48" i="6" s="1"/>
  <c r="Q68" i="5"/>
  <c r="T68" i="5"/>
  <c r="M67" i="5"/>
  <c r="J67" i="5"/>
  <c r="AK49" i="6" s="1"/>
  <c r="AP49" i="6" s="1"/>
  <c r="AR49" i="6" s="1"/>
  <c r="AS49" i="6" s="1"/>
  <c r="AA66" i="5"/>
  <c r="X66" i="5"/>
  <c r="C67" i="5"/>
  <c r="M49" i="6" s="1"/>
  <c r="R49" i="6" s="1"/>
  <c r="T49" i="6" s="1"/>
  <c r="F67" i="5"/>
  <c r="V49" i="6" s="1"/>
  <c r="AQ68" i="6"/>
  <c r="F65" i="3"/>
  <c r="AT49" i="6"/>
  <c r="AJ69" i="6"/>
  <c r="AO69" i="6" s="1"/>
  <c r="AQ69" i="6" s="1"/>
  <c r="AD71" i="6"/>
  <c r="AL70" i="6"/>
  <c r="AI70" i="6"/>
  <c r="AG70" i="6"/>
  <c r="AH70" i="6" s="1"/>
  <c r="AM70" i="6"/>
  <c r="AF50" i="6"/>
  <c r="AE51" i="6"/>
  <c r="L68" i="6"/>
  <c r="Q68" i="6" s="1"/>
  <c r="S68" i="6" s="1"/>
  <c r="K69" i="6"/>
  <c r="I69" i="6"/>
  <c r="J69" i="6" s="1"/>
  <c r="G69" i="6"/>
  <c r="O69" i="6"/>
  <c r="N69" i="6"/>
  <c r="F70" i="6"/>
  <c r="P70" i="6" s="1"/>
  <c r="H68" i="6"/>
  <c r="W48" i="6"/>
  <c r="X48" i="6" s="1"/>
  <c r="U48" i="6"/>
  <c r="Y48" i="6" s="1"/>
  <c r="Z48" i="6" s="1"/>
  <c r="AA48" i="6" s="1"/>
  <c r="Y47" i="6"/>
  <c r="Z47" i="6" s="1"/>
  <c r="AA47" i="6" s="1"/>
  <c r="AA67" i="5" l="1"/>
  <c r="X67" i="5"/>
  <c r="J68" i="5"/>
  <c r="AK50" i="6" s="1"/>
  <c r="AP50" i="6" s="1"/>
  <c r="AR50" i="6" s="1"/>
  <c r="AS50" i="6" s="1"/>
  <c r="M68" i="5"/>
  <c r="Q69" i="5"/>
  <c r="T69" i="5"/>
  <c r="C68" i="5"/>
  <c r="M50" i="6" s="1"/>
  <c r="R50" i="6" s="1"/>
  <c r="T50" i="6" s="1"/>
  <c r="U50" i="6" s="1"/>
  <c r="F68" i="5"/>
  <c r="V50" i="6" s="1"/>
  <c r="AN71" i="6"/>
  <c r="AW49" i="6"/>
  <c r="AX49" i="6" s="1"/>
  <c r="AY49" i="6" s="1"/>
  <c r="AU49" i="6"/>
  <c r="AV49" i="6" s="1"/>
  <c r="F66" i="3"/>
  <c r="AJ70" i="6"/>
  <c r="AO70" i="6" s="1"/>
  <c r="AF51" i="6"/>
  <c r="AE52" i="6"/>
  <c r="AD72" i="6"/>
  <c r="AN72" i="6" s="1"/>
  <c r="AL71" i="6"/>
  <c r="AG71" i="6"/>
  <c r="AH71" i="6" s="1"/>
  <c r="AI71" i="6"/>
  <c r="AM71" i="6"/>
  <c r="L69" i="6"/>
  <c r="Q69" i="6" s="1"/>
  <c r="S69" i="6" s="1"/>
  <c r="H69" i="6"/>
  <c r="N70" i="6"/>
  <c r="F71" i="6"/>
  <c r="P71" i="6" s="1"/>
  <c r="K70" i="6"/>
  <c r="I70" i="6"/>
  <c r="J70" i="6" s="1"/>
  <c r="G70" i="6"/>
  <c r="O70" i="6"/>
  <c r="U49" i="6"/>
  <c r="W49" i="6"/>
  <c r="X49" i="6" s="1"/>
  <c r="T70" i="5" l="1"/>
  <c r="Q70" i="5"/>
  <c r="M69" i="5"/>
  <c r="J69" i="5"/>
  <c r="AK51" i="6" s="1"/>
  <c r="AP51" i="6" s="1"/>
  <c r="AR51" i="6" s="1"/>
  <c r="AS51" i="6" s="1"/>
  <c r="AT50" i="6"/>
  <c r="AW50" i="6" s="1"/>
  <c r="AX50" i="6" s="1"/>
  <c r="AY50" i="6" s="1"/>
  <c r="X68" i="5"/>
  <c r="AA68" i="5"/>
  <c r="C69" i="5"/>
  <c r="M51" i="6" s="1"/>
  <c r="R51" i="6" s="1"/>
  <c r="T51" i="6" s="1"/>
  <c r="U51" i="6" s="1"/>
  <c r="F69" i="5"/>
  <c r="V51" i="6" s="1"/>
  <c r="AQ70" i="6"/>
  <c r="F67" i="3"/>
  <c r="AT51" i="6"/>
  <c r="AU51" i="6" s="1"/>
  <c r="AV51" i="6" s="1"/>
  <c r="AJ71" i="6"/>
  <c r="AO71" i="6" s="1"/>
  <c r="AQ71" i="6" s="1"/>
  <c r="AD73" i="6"/>
  <c r="AL72" i="6"/>
  <c r="AG72" i="6"/>
  <c r="AH72" i="6" s="1"/>
  <c r="AI72" i="6"/>
  <c r="AM72" i="6"/>
  <c r="AF52" i="6"/>
  <c r="AE53" i="6"/>
  <c r="L70" i="6"/>
  <c r="Q70" i="6" s="1"/>
  <c r="S70" i="6" s="1"/>
  <c r="H70" i="6"/>
  <c r="G71" i="6"/>
  <c r="N71" i="6"/>
  <c r="K71" i="6"/>
  <c r="F72" i="6"/>
  <c r="P72" i="6" s="1"/>
  <c r="O71" i="6"/>
  <c r="I71" i="6"/>
  <c r="J71" i="6" s="1"/>
  <c r="W50" i="6"/>
  <c r="X50" i="6" s="1"/>
  <c r="Y49" i="6"/>
  <c r="Z49" i="6" s="1"/>
  <c r="AA49" i="6" s="1"/>
  <c r="AA69" i="5" l="1"/>
  <c r="X69" i="5"/>
  <c r="J70" i="5"/>
  <c r="AK52" i="6" s="1"/>
  <c r="AP52" i="6" s="1"/>
  <c r="AR52" i="6" s="1"/>
  <c r="AS52" i="6" s="1"/>
  <c r="M70" i="5"/>
  <c r="AT52" i="6" s="1"/>
  <c r="AU50" i="6"/>
  <c r="AV50" i="6" s="1"/>
  <c r="Q71" i="5"/>
  <c r="T71" i="5"/>
  <c r="C70" i="5"/>
  <c r="M52" i="6" s="1"/>
  <c r="R52" i="6" s="1"/>
  <c r="T52" i="6" s="1"/>
  <c r="U52" i="6" s="1"/>
  <c r="F70" i="5"/>
  <c r="V52" i="6" s="1"/>
  <c r="AN73" i="6"/>
  <c r="AW51" i="6"/>
  <c r="AX51" i="6" s="1"/>
  <c r="AY51" i="6" s="1"/>
  <c r="F68" i="3"/>
  <c r="AJ72" i="6"/>
  <c r="AO72" i="6" s="1"/>
  <c r="AQ72" i="6" s="1"/>
  <c r="AF53" i="6"/>
  <c r="AE54" i="6"/>
  <c r="AD74" i="6"/>
  <c r="AN74" i="6" s="1"/>
  <c r="AL73" i="6"/>
  <c r="AM73" i="6"/>
  <c r="AG73" i="6"/>
  <c r="AH73" i="6" s="1"/>
  <c r="AI73" i="6"/>
  <c r="L71" i="6"/>
  <c r="Q71" i="6" s="1"/>
  <c r="S71" i="6" s="1"/>
  <c r="F73" i="6"/>
  <c r="P73" i="6" s="1"/>
  <c r="N72" i="6"/>
  <c r="G72" i="6"/>
  <c r="K72" i="6"/>
  <c r="O72" i="6"/>
  <c r="I72" i="6"/>
  <c r="J72" i="6" s="1"/>
  <c r="H71" i="6"/>
  <c r="W51" i="6"/>
  <c r="X51" i="6" s="1"/>
  <c r="Y50" i="6"/>
  <c r="Z50" i="6" s="1"/>
  <c r="AA50" i="6" s="1"/>
  <c r="Q72" i="5" l="1"/>
  <c r="T72" i="5"/>
  <c r="M71" i="5"/>
  <c r="AT53" i="6" s="1"/>
  <c r="AU53" i="6" s="1"/>
  <c r="AV53" i="6" s="1"/>
  <c r="J71" i="5"/>
  <c r="AK53" i="6" s="1"/>
  <c r="X70" i="5"/>
  <c r="AA70" i="5"/>
  <c r="C71" i="5"/>
  <c r="F71" i="5"/>
  <c r="V53" i="6" s="1"/>
  <c r="AU52" i="6"/>
  <c r="AT8" i="12"/>
  <c r="AW52" i="6"/>
  <c r="F69" i="3"/>
  <c r="AJ73" i="6"/>
  <c r="AO73" i="6" s="1"/>
  <c r="AQ73" i="6" s="1"/>
  <c r="AD75" i="6"/>
  <c r="AL74" i="6"/>
  <c r="AM74" i="6"/>
  <c r="AI74" i="6"/>
  <c r="AG74" i="6"/>
  <c r="AH74" i="6" s="1"/>
  <c r="AF54" i="6"/>
  <c r="AE55" i="6"/>
  <c r="L72" i="6"/>
  <c r="Q72" i="6" s="1"/>
  <c r="S72" i="6" s="1"/>
  <c r="H72" i="6"/>
  <c r="G73" i="6"/>
  <c r="I73" i="6"/>
  <c r="J73" i="6" s="1"/>
  <c r="K73" i="6"/>
  <c r="F74" i="6"/>
  <c r="P74" i="6" s="1"/>
  <c r="N73" i="6"/>
  <c r="O73" i="6"/>
  <c r="Y51" i="6"/>
  <c r="Z51" i="6" s="1"/>
  <c r="AA51" i="6" s="1"/>
  <c r="X71" i="5" l="1"/>
  <c r="AA71" i="5"/>
  <c r="M72" i="5"/>
  <c r="AT54" i="6" s="1"/>
  <c r="J72" i="5"/>
  <c r="AK54" i="6" s="1"/>
  <c r="AP54" i="6" s="1"/>
  <c r="AR54" i="6" s="1"/>
  <c r="T73" i="5"/>
  <c r="Q73" i="5"/>
  <c r="C72" i="5"/>
  <c r="F72" i="5"/>
  <c r="V54" i="6" s="1"/>
  <c r="AN75" i="6"/>
  <c r="AP53" i="6"/>
  <c r="AX52" i="6"/>
  <c r="AW8" i="12"/>
  <c r="AV52" i="6"/>
  <c r="AV8" i="12" s="1"/>
  <c r="AU8" i="12"/>
  <c r="F70" i="3"/>
  <c r="M53" i="6"/>
  <c r="R53" i="6" s="1"/>
  <c r="T53" i="6" s="1"/>
  <c r="L73" i="6"/>
  <c r="Q73" i="6" s="1"/>
  <c r="S73" i="6" s="1"/>
  <c r="AF55" i="6"/>
  <c r="AE56" i="6"/>
  <c r="AJ74" i="6"/>
  <c r="AO74" i="6" s="1"/>
  <c r="AQ74" i="6" s="1"/>
  <c r="AD76" i="6"/>
  <c r="AN76" i="6" s="1"/>
  <c r="AM75" i="6"/>
  <c r="AL75" i="6"/>
  <c r="AG75" i="6"/>
  <c r="AH75" i="6" s="1"/>
  <c r="AI75" i="6"/>
  <c r="O74" i="6"/>
  <c r="K74" i="6"/>
  <c r="I74" i="6"/>
  <c r="J74" i="6" s="1"/>
  <c r="N74" i="6"/>
  <c r="F75" i="6"/>
  <c r="P75" i="6" s="1"/>
  <c r="G74" i="6"/>
  <c r="H73" i="6"/>
  <c r="W53" i="6"/>
  <c r="X53" i="6" s="1"/>
  <c r="W52" i="6"/>
  <c r="Y52" i="6"/>
  <c r="T74" i="5" l="1"/>
  <c r="Q74" i="5"/>
  <c r="J73" i="5"/>
  <c r="AK55" i="6" s="1"/>
  <c r="M73" i="5"/>
  <c r="AT55" i="6" s="1"/>
  <c r="AU55" i="6" s="1"/>
  <c r="AV55" i="6" s="1"/>
  <c r="AA72" i="5"/>
  <c r="X72" i="5"/>
  <c r="M54" i="6"/>
  <c r="R54" i="6" s="1"/>
  <c r="T54" i="6" s="1"/>
  <c r="U54" i="6" s="1"/>
  <c r="Y54" i="6" s="1"/>
  <c r="Z54" i="6" s="1"/>
  <c r="AA54" i="6" s="1"/>
  <c r="C73" i="5"/>
  <c r="M55" i="6" s="1"/>
  <c r="R55" i="6" s="1"/>
  <c r="T55" i="6" s="1"/>
  <c r="F73" i="5"/>
  <c r="V55" i="6" s="1"/>
  <c r="AY52" i="6"/>
  <c r="AY8" i="12" s="1"/>
  <c r="AX8" i="12"/>
  <c r="AR53" i="6"/>
  <c r="F71" i="3"/>
  <c r="AU54" i="6"/>
  <c r="AV54" i="6" s="1"/>
  <c r="U53" i="6"/>
  <c r="Y53" i="6" s="1"/>
  <c r="Z53" i="6" s="1"/>
  <c r="AA53" i="6" s="1"/>
  <c r="AJ75" i="6"/>
  <c r="AO75" i="6" s="1"/>
  <c r="AQ75" i="6" s="1"/>
  <c r="AD77" i="6"/>
  <c r="AM76" i="6"/>
  <c r="AL76" i="6"/>
  <c r="AI76" i="6"/>
  <c r="AG76" i="6"/>
  <c r="AH76" i="6" s="1"/>
  <c r="AF56" i="6"/>
  <c r="AE57" i="6"/>
  <c r="L74" i="6"/>
  <c r="Q74" i="6" s="1"/>
  <c r="S74" i="6" s="1"/>
  <c r="H74" i="6"/>
  <c r="I75" i="6"/>
  <c r="J75" i="6" s="1"/>
  <c r="K75" i="6"/>
  <c r="O75" i="6"/>
  <c r="G75" i="6"/>
  <c r="F76" i="6"/>
  <c r="P76" i="6" s="1"/>
  <c r="N75" i="6"/>
  <c r="X52" i="6"/>
  <c r="W54" i="6"/>
  <c r="X54" i="6" s="1"/>
  <c r="Z52" i="6"/>
  <c r="AA73" i="5" l="1"/>
  <c r="X73" i="5"/>
  <c r="J74" i="5"/>
  <c r="AK56" i="6" s="1"/>
  <c r="AP56" i="6" s="1"/>
  <c r="AR56" i="6" s="1"/>
  <c r="M74" i="5"/>
  <c r="AT56" i="6" s="1"/>
  <c r="AU56" i="6" s="1"/>
  <c r="AV56" i="6" s="1"/>
  <c r="Q75" i="5"/>
  <c r="T75" i="5"/>
  <c r="C74" i="5"/>
  <c r="M56" i="6" s="1"/>
  <c r="R56" i="6" s="1"/>
  <c r="T56" i="6" s="1"/>
  <c r="U56" i="6" s="1"/>
  <c r="F74" i="5"/>
  <c r="V56" i="6" s="1"/>
  <c r="AN77" i="6"/>
  <c r="AS53" i="6"/>
  <c r="AW53" i="6" s="1"/>
  <c r="AX53" i="6" s="1"/>
  <c r="AY53" i="6" s="1"/>
  <c r="AS54" i="6"/>
  <c r="AW54" i="6" s="1"/>
  <c r="AX54" i="6" s="1"/>
  <c r="AY54" i="6" s="1"/>
  <c r="AP55" i="6"/>
  <c r="F73" i="3"/>
  <c r="F72" i="3"/>
  <c r="AJ76" i="6"/>
  <c r="AO76" i="6" s="1"/>
  <c r="AQ76" i="6" s="1"/>
  <c r="AF57" i="6"/>
  <c r="AE58" i="6"/>
  <c r="AD78" i="6"/>
  <c r="AN78" i="6" s="1"/>
  <c r="AL77" i="6"/>
  <c r="AM77" i="6"/>
  <c r="AG77" i="6"/>
  <c r="AH77" i="6" s="1"/>
  <c r="AI77" i="6"/>
  <c r="I76" i="6"/>
  <c r="J76" i="6" s="1"/>
  <c r="O76" i="6"/>
  <c r="F77" i="6"/>
  <c r="P77" i="6" s="1"/>
  <c r="N76" i="6"/>
  <c r="G76" i="6"/>
  <c r="K76" i="6"/>
  <c r="H75" i="6"/>
  <c r="L75" i="6"/>
  <c r="Q75" i="6" s="1"/>
  <c r="S75" i="6" s="1"/>
  <c r="U55" i="6"/>
  <c r="AA52" i="6"/>
  <c r="W55" i="6"/>
  <c r="X55" i="6" s="1"/>
  <c r="Q76" i="5" l="1"/>
  <c r="T76" i="5"/>
  <c r="J75" i="5"/>
  <c r="M75" i="5"/>
  <c r="X74" i="5"/>
  <c r="AA74" i="5"/>
  <c r="F75" i="5"/>
  <c r="V57" i="6" s="1"/>
  <c r="C75" i="5"/>
  <c r="M57" i="6" s="1"/>
  <c r="R57" i="6" s="1"/>
  <c r="T57" i="6" s="1"/>
  <c r="U57" i="6" s="1"/>
  <c r="AR55" i="6"/>
  <c r="AS55" i="6" s="1"/>
  <c r="AW55" i="6" s="1"/>
  <c r="AX55" i="6" s="1"/>
  <c r="AY55" i="6" s="1"/>
  <c r="AJ77" i="6"/>
  <c r="AO77" i="6" s="1"/>
  <c r="AD79" i="6"/>
  <c r="AN79" i="6" s="1"/>
  <c r="AL78" i="6"/>
  <c r="AM78" i="6"/>
  <c r="AG78" i="6"/>
  <c r="AH78" i="6" s="1"/>
  <c r="AI78" i="6"/>
  <c r="AF58" i="6"/>
  <c r="AE59" i="6"/>
  <c r="H76" i="6"/>
  <c r="L76" i="6"/>
  <c r="Q76" i="6" s="1"/>
  <c r="S76" i="6" s="1"/>
  <c r="G77" i="6"/>
  <c r="I77" i="6"/>
  <c r="J77" i="6" s="1"/>
  <c r="O77" i="6"/>
  <c r="F78" i="6"/>
  <c r="P78" i="6" s="1"/>
  <c r="K77" i="6"/>
  <c r="N77" i="6"/>
  <c r="Y55" i="6"/>
  <c r="Z55" i="6" s="1"/>
  <c r="AA55" i="6" s="1"/>
  <c r="AA75" i="5" l="1"/>
  <c r="X75" i="5"/>
  <c r="M76" i="5"/>
  <c r="AT58" i="6" s="1"/>
  <c r="AU58" i="6" s="1"/>
  <c r="AV58" i="6" s="1"/>
  <c r="J76" i="5"/>
  <c r="AK58" i="6" s="1"/>
  <c r="AP58" i="6" s="1"/>
  <c r="AK57" i="6"/>
  <c r="AP57" i="6" s="1"/>
  <c r="AR57" i="6" s="1"/>
  <c r="AT57" i="6"/>
  <c r="AU57" i="6" s="1"/>
  <c r="AV57" i="6" s="1"/>
  <c r="T77" i="5"/>
  <c r="Q77" i="5"/>
  <c r="AS57" i="6"/>
  <c r="C76" i="5"/>
  <c r="M58" i="6" s="1"/>
  <c r="R58" i="6" s="1"/>
  <c r="T58" i="6" s="1"/>
  <c r="U58" i="6" s="1"/>
  <c r="F76" i="5"/>
  <c r="V58" i="6" s="1"/>
  <c r="AS56" i="6"/>
  <c r="AW56" i="6" s="1"/>
  <c r="AX56" i="6" s="1"/>
  <c r="AY56" i="6" s="1"/>
  <c r="AQ77" i="6"/>
  <c r="AJ78" i="6"/>
  <c r="AO78" i="6" s="1"/>
  <c r="AQ78" i="6" s="1"/>
  <c r="AF59" i="6"/>
  <c r="AE60" i="6"/>
  <c r="AD80" i="6"/>
  <c r="AL79" i="6"/>
  <c r="AM79" i="6"/>
  <c r="AI79" i="6"/>
  <c r="AG79" i="6"/>
  <c r="AH79" i="6" s="1"/>
  <c r="F79" i="6"/>
  <c r="P79" i="6" s="1"/>
  <c r="O78" i="6"/>
  <c r="K78" i="6"/>
  <c r="N78" i="6"/>
  <c r="I78" i="6"/>
  <c r="J78" i="6" s="1"/>
  <c r="G78" i="6"/>
  <c r="H77" i="6"/>
  <c r="L77" i="6"/>
  <c r="Q77" i="6" s="1"/>
  <c r="S77" i="6" s="1"/>
  <c r="W57" i="6"/>
  <c r="X57" i="6" s="1"/>
  <c r="Y56" i="6"/>
  <c r="Z56" i="6" s="1"/>
  <c r="AA56" i="6" s="1"/>
  <c r="W56" i="6"/>
  <c r="X56" i="6" s="1"/>
  <c r="AW57" i="6" l="1"/>
  <c r="AX57" i="6" s="1"/>
  <c r="AY57" i="6" s="1"/>
  <c r="Q78" i="5"/>
  <c r="T78" i="5"/>
  <c r="M77" i="5"/>
  <c r="J77" i="5"/>
  <c r="AK59" i="6" s="1"/>
  <c r="AP59" i="6" s="1"/>
  <c r="AR59" i="6" s="1"/>
  <c r="X76" i="5"/>
  <c r="AA76" i="5"/>
  <c r="C77" i="5"/>
  <c r="M59" i="6" s="1"/>
  <c r="R59" i="6" s="1"/>
  <c r="T59" i="6" s="1"/>
  <c r="F77" i="5"/>
  <c r="V59" i="6" s="1"/>
  <c r="AN80" i="6"/>
  <c r="AR58" i="6"/>
  <c r="AS58" i="6" s="1"/>
  <c r="AW58" i="6" s="1"/>
  <c r="AX58" i="6" s="1"/>
  <c r="AY58" i="6" s="1"/>
  <c r="AT59" i="6"/>
  <c r="AU59" i="6" s="1"/>
  <c r="AV59" i="6" s="1"/>
  <c r="AJ79" i="6"/>
  <c r="AO79" i="6" s="1"/>
  <c r="AD81" i="6"/>
  <c r="AN81" i="6" s="1"/>
  <c r="AL80" i="6"/>
  <c r="AM80" i="6"/>
  <c r="AG80" i="6"/>
  <c r="AH80" i="6" s="1"/>
  <c r="AI80" i="6"/>
  <c r="AF60" i="6"/>
  <c r="AE61" i="6"/>
  <c r="L78" i="6"/>
  <c r="Q78" i="6" s="1"/>
  <c r="S78" i="6" s="1"/>
  <c r="H78" i="6"/>
  <c r="I79" i="6"/>
  <c r="J79" i="6" s="1"/>
  <c r="G79" i="6"/>
  <c r="H79" i="6" s="1"/>
  <c r="K79" i="6"/>
  <c r="F80" i="6"/>
  <c r="P80" i="6" s="1"/>
  <c r="N79" i="6"/>
  <c r="O79" i="6"/>
  <c r="W58" i="6"/>
  <c r="X58" i="6" s="1"/>
  <c r="Y58" i="6"/>
  <c r="Z58" i="6" s="1"/>
  <c r="AA58" i="6" s="1"/>
  <c r="Y57" i="6"/>
  <c r="Z57" i="6" s="1"/>
  <c r="AA57" i="6" s="1"/>
  <c r="X77" i="5" l="1"/>
  <c r="AA77" i="5"/>
  <c r="J78" i="5"/>
  <c r="AK60" i="6" s="1"/>
  <c r="AP60" i="6" s="1"/>
  <c r="M78" i="5"/>
  <c r="Q79" i="5"/>
  <c r="T79" i="5"/>
  <c r="C78" i="5"/>
  <c r="M60" i="6" s="1"/>
  <c r="R60" i="6" s="1"/>
  <c r="T60" i="6" s="1"/>
  <c r="U60" i="6" s="1"/>
  <c r="F78" i="5"/>
  <c r="V60" i="6" s="1"/>
  <c r="AQ79" i="6"/>
  <c r="AS59" i="6"/>
  <c r="AW59" i="6" s="1"/>
  <c r="AX59" i="6" s="1"/>
  <c r="AY59" i="6" s="1"/>
  <c r="L79" i="6"/>
  <c r="Q79" i="6" s="1"/>
  <c r="S79" i="6" s="1"/>
  <c r="AJ80" i="6"/>
  <c r="AO80" i="6" s="1"/>
  <c r="AQ80" i="6" s="1"/>
  <c r="AF61" i="6"/>
  <c r="AE62" i="6"/>
  <c r="AD82" i="6"/>
  <c r="AM81" i="6"/>
  <c r="AL81" i="6"/>
  <c r="AI81" i="6"/>
  <c r="AG81" i="6"/>
  <c r="AH81" i="6" s="1"/>
  <c r="N80" i="6"/>
  <c r="I80" i="6"/>
  <c r="J80" i="6" s="1"/>
  <c r="O80" i="6"/>
  <c r="F81" i="6"/>
  <c r="P81" i="6" s="1"/>
  <c r="K80" i="6"/>
  <c r="G80" i="6"/>
  <c r="U59" i="6"/>
  <c r="W59" i="6"/>
  <c r="X59" i="6" s="1"/>
  <c r="T80" i="5" l="1"/>
  <c r="Q80" i="5"/>
  <c r="M79" i="5"/>
  <c r="AT61" i="6" s="1"/>
  <c r="AU61" i="6" s="1"/>
  <c r="AV61" i="6" s="1"/>
  <c r="J79" i="5"/>
  <c r="AK61" i="6" s="1"/>
  <c r="AP61" i="6" s="1"/>
  <c r="AR61" i="6" s="1"/>
  <c r="AT60" i="6"/>
  <c r="AU60" i="6" s="1"/>
  <c r="AV60" i="6" s="1"/>
  <c r="AA78" i="5"/>
  <c r="X78" i="5"/>
  <c r="C79" i="5"/>
  <c r="M61" i="6" s="1"/>
  <c r="R61" i="6" s="1"/>
  <c r="T61" i="6" s="1"/>
  <c r="U61" i="6" s="1"/>
  <c r="F79" i="5"/>
  <c r="V61" i="6" s="1"/>
  <c r="AN82" i="6"/>
  <c r="AR60" i="6"/>
  <c r="AS60" i="6" s="1"/>
  <c r="AJ81" i="6"/>
  <c r="AO81" i="6" s="1"/>
  <c r="AQ81" i="6" s="1"/>
  <c r="AD83" i="6"/>
  <c r="AN83" i="6" s="1"/>
  <c r="AM82" i="6"/>
  <c r="AL82" i="6"/>
  <c r="AI82" i="6"/>
  <c r="AG82" i="6"/>
  <c r="AH82" i="6" s="1"/>
  <c r="AF62" i="6"/>
  <c r="AE63" i="6"/>
  <c r="L80" i="6"/>
  <c r="Q80" i="6" s="1"/>
  <c r="S80" i="6" s="1"/>
  <c r="F82" i="6"/>
  <c r="P82" i="6" s="1"/>
  <c r="G81" i="6"/>
  <c r="I81" i="6"/>
  <c r="J81" i="6" s="1"/>
  <c r="K81" i="6"/>
  <c r="O81" i="6"/>
  <c r="N81" i="6"/>
  <c r="H80" i="6"/>
  <c r="W60" i="6"/>
  <c r="X60" i="6" s="1"/>
  <c r="Y59" i="6"/>
  <c r="Z59" i="6" s="1"/>
  <c r="AA59" i="6" s="1"/>
  <c r="X79" i="5" l="1"/>
  <c r="AA79" i="5"/>
  <c r="J80" i="5"/>
  <c r="AK62" i="6" s="1"/>
  <c r="AP62" i="6" s="1"/>
  <c r="AR62" i="6" s="1"/>
  <c r="AS62" i="6" s="1"/>
  <c r="M80" i="5"/>
  <c r="AW60" i="6"/>
  <c r="AX60" i="6" s="1"/>
  <c r="AY60" i="6" s="1"/>
  <c r="T81" i="5"/>
  <c r="Q81" i="5"/>
  <c r="C80" i="5"/>
  <c r="M62" i="6" s="1"/>
  <c r="R62" i="6" s="1"/>
  <c r="T62" i="6" s="1"/>
  <c r="U62" i="6" s="1"/>
  <c r="F80" i="5"/>
  <c r="V62" i="6" s="1"/>
  <c r="AS61" i="6"/>
  <c r="AW61" i="6" s="1"/>
  <c r="AX61" i="6" s="1"/>
  <c r="AY61" i="6" s="1"/>
  <c r="AJ82" i="6"/>
  <c r="AO82" i="6" s="1"/>
  <c r="AQ82" i="6" s="1"/>
  <c r="AF63" i="6"/>
  <c r="AE64" i="6"/>
  <c r="AD84" i="6"/>
  <c r="AM83" i="6"/>
  <c r="AL83" i="6"/>
  <c r="AG83" i="6"/>
  <c r="AH83" i="6" s="1"/>
  <c r="AI83" i="6"/>
  <c r="O82" i="6"/>
  <c r="K82" i="6"/>
  <c r="I82" i="6"/>
  <c r="J82" i="6" s="1"/>
  <c r="F83" i="6"/>
  <c r="P83" i="6" s="1"/>
  <c r="G82" i="6"/>
  <c r="N82" i="6"/>
  <c r="L81" i="6"/>
  <c r="Q81" i="6" s="1"/>
  <c r="S81" i="6" s="1"/>
  <c r="H81" i="6"/>
  <c r="W61" i="6"/>
  <c r="X61" i="6" s="1"/>
  <c r="Y60" i="6"/>
  <c r="Z60" i="6" s="1"/>
  <c r="AA60" i="6" s="1"/>
  <c r="Q82" i="5" l="1"/>
  <c r="T82" i="5"/>
  <c r="M81" i="5"/>
  <c r="AT63" i="6" s="1"/>
  <c r="AU63" i="6" s="1"/>
  <c r="AV63" i="6" s="1"/>
  <c r="J81" i="5"/>
  <c r="AK63" i="6" s="1"/>
  <c r="AP63" i="6" s="1"/>
  <c r="AR63" i="6" s="1"/>
  <c r="AS63" i="6" s="1"/>
  <c r="X80" i="5"/>
  <c r="AA80" i="5"/>
  <c r="AT62" i="6"/>
  <c r="AU62" i="6" s="1"/>
  <c r="AV62" i="6" s="1"/>
  <c r="C81" i="5"/>
  <c r="M63" i="6" s="1"/>
  <c r="R63" i="6" s="1"/>
  <c r="T63" i="6" s="1"/>
  <c r="F81" i="5"/>
  <c r="V63" i="6" s="1"/>
  <c r="AN84" i="6"/>
  <c r="AD85" i="6"/>
  <c r="AN85" i="6" s="1"/>
  <c r="AL84" i="6"/>
  <c r="AM84" i="6"/>
  <c r="AG84" i="6"/>
  <c r="AH84" i="6" s="1"/>
  <c r="AI84" i="6"/>
  <c r="AF64" i="6"/>
  <c r="AE65" i="6"/>
  <c r="AJ83" i="6"/>
  <c r="AO83" i="6" s="1"/>
  <c r="AQ83" i="6" s="1"/>
  <c r="L82" i="6"/>
  <c r="Q82" i="6" s="1"/>
  <c r="S82" i="6" s="1"/>
  <c r="H82" i="6"/>
  <c r="O83" i="6"/>
  <c r="K83" i="6"/>
  <c r="N83" i="6"/>
  <c r="F84" i="6"/>
  <c r="P84" i="6" s="1"/>
  <c r="I83" i="6"/>
  <c r="J83" i="6" s="1"/>
  <c r="G83" i="6"/>
  <c r="W62" i="6"/>
  <c r="X62" i="6" s="1"/>
  <c r="Y62" i="6"/>
  <c r="Z62" i="6" s="1"/>
  <c r="AA62" i="6" s="1"/>
  <c r="Y61" i="6"/>
  <c r="Z61" i="6" s="1"/>
  <c r="AA61" i="6" s="1"/>
  <c r="J82" i="5" l="1"/>
  <c r="AK64" i="6" s="1"/>
  <c r="AP64" i="6" s="1"/>
  <c r="AR64" i="6" s="1"/>
  <c r="AS64" i="6" s="1"/>
  <c r="M82" i="5"/>
  <c r="AT64" i="6" s="1"/>
  <c r="AA81" i="5"/>
  <c r="X81" i="5"/>
  <c r="AW62" i="6"/>
  <c r="AX62" i="6" s="1"/>
  <c r="AY62" i="6" s="1"/>
  <c r="Q83" i="5"/>
  <c r="T83" i="5"/>
  <c r="C82" i="5"/>
  <c r="M64" i="6" s="1"/>
  <c r="R64" i="6" s="1"/>
  <c r="T64" i="6" s="1"/>
  <c r="F82" i="5"/>
  <c r="V64" i="6" s="1"/>
  <c r="AW63" i="6"/>
  <c r="AX63" i="6" s="1"/>
  <c r="AY63" i="6" s="1"/>
  <c r="AJ84" i="6"/>
  <c r="AO84" i="6" s="1"/>
  <c r="AQ84" i="6" s="1"/>
  <c r="AF65" i="6"/>
  <c r="AE66" i="6"/>
  <c r="AD86" i="6"/>
  <c r="AL85" i="6"/>
  <c r="AM85" i="6"/>
  <c r="AI85" i="6"/>
  <c r="AG85" i="6"/>
  <c r="AH85" i="6" s="1"/>
  <c r="L83" i="6"/>
  <c r="Q83" i="6" s="1"/>
  <c r="S83" i="6" s="1"/>
  <c r="N84" i="6"/>
  <c r="F85" i="6"/>
  <c r="P85" i="6" s="1"/>
  <c r="G84" i="6"/>
  <c r="K84" i="6"/>
  <c r="O84" i="6"/>
  <c r="I84" i="6"/>
  <c r="J84" i="6" s="1"/>
  <c r="H83" i="6"/>
  <c r="U63" i="6"/>
  <c r="W63" i="6"/>
  <c r="X63" i="6" s="1"/>
  <c r="T84" i="5" l="1"/>
  <c r="Q84" i="5"/>
  <c r="AA82" i="5"/>
  <c r="X82" i="5"/>
  <c r="J83" i="5"/>
  <c r="AK65" i="6" s="1"/>
  <c r="M83" i="5"/>
  <c r="C83" i="5"/>
  <c r="F83" i="5"/>
  <c r="V65" i="6" s="1"/>
  <c r="AN86" i="6"/>
  <c r="AU64" i="6"/>
  <c r="AT9" i="12"/>
  <c r="AW64" i="6"/>
  <c r="AJ85" i="6"/>
  <c r="AO85" i="6" s="1"/>
  <c r="AQ85" i="6" s="1"/>
  <c r="AD87" i="6"/>
  <c r="AN87" i="6" s="1"/>
  <c r="AL86" i="6"/>
  <c r="AM86" i="6"/>
  <c r="AG86" i="6"/>
  <c r="AH86" i="6" s="1"/>
  <c r="AI86" i="6"/>
  <c r="AF66" i="6"/>
  <c r="AE67" i="6"/>
  <c r="L84" i="6"/>
  <c r="Q84" i="6" s="1"/>
  <c r="S84" i="6" s="1"/>
  <c r="N85" i="6"/>
  <c r="I85" i="6"/>
  <c r="J85" i="6" s="1"/>
  <c r="O85" i="6"/>
  <c r="F86" i="6"/>
  <c r="P86" i="6" s="1"/>
  <c r="G85" i="6"/>
  <c r="K85" i="6"/>
  <c r="H84" i="6"/>
  <c r="U64" i="6"/>
  <c r="Y64" i="6" s="1"/>
  <c r="Y63" i="6"/>
  <c r="Z63" i="6" s="1"/>
  <c r="AA63" i="6" s="1"/>
  <c r="M84" i="5" l="1"/>
  <c r="J84" i="5"/>
  <c r="AK66" i="6" s="1"/>
  <c r="AP66" i="6" s="1"/>
  <c r="AR66" i="6" s="1"/>
  <c r="AT65" i="6"/>
  <c r="AU65" i="6" s="1"/>
  <c r="AV65" i="6" s="1"/>
  <c r="X83" i="5"/>
  <c r="AA83" i="5"/>
  <c r="T85" i="5"/>
  <c r="Q85" i="5"/>
  <c r="C84" i="5"/>
  <c r="F84" i="5"/>
  <c r="V66" i="6" s="1"/>
  <c r="AP65" i="6"/>
  <c r="AX64" i="6"/>
  <c r="AW9" i="12"/>
  <c r="AV64" i="6"/>
  <c r="AV9" i="12" s="1"/>
  <c r="AU9" i="12"/>
  <c r="M65" i="6"/>
  <c r="R65" i="6" s="1"/>
  <c r="T65" i="6" s="1"/>
  <c r="AT66" i="6"/>
  <c r="AJ86" i="6"/>
  <c r="AO86" i="6" s="1"/>
  <c r="AQ86" i="6" s="1"/>
  <c r="AF67" i="6"/>
  <c r="AE68" i="6"/>
  <c r="AD88" i="6"/>
  <c r="AN88" i="6" s="1"/>
  <c r="AL87" i="6"/>
  <c r="AM87" i="6"/>
  <c r="AI87" i="6"/>
  <c r="AG87" i="6"/>
  <c r="AH87" i="6" s="1"/>
  <c r="H85" i="6"/>
  <c r="L85" i="6"/>
  <c r="Q85" i="6" s="1"/>
  <c r="S85" i="6" s="1"/>
  <c r="K86" i="6"/>
  <c r="O86" i="6"/>
  <c r="F87" i="6"/>
  <c r="P87" i="6" s="1"/>
  <c r="N86" i="6"/>
  <c r="I86" i="6"/>
  <c r="J86" i="6" s="1"/>
  <c r="G86" i="6"/>
  <c r="Z64" i="6"/>
  <c r="W64" i="6"/>
  <c r="W65" i="6"/>
  <c r="X65" i="6" s="1"/>
  <c r="T86" i="5" l="1"/>
  <c r="Q86" i="5"/>
  <c r="X84" i="5"/>
  <c r="AA84" i="5"/>
  <c r="M66" i="6"/>
  <c r="R66" i="6" s="1"/>
  <c r="T66" i="6" s="1"/>
  <c r="U66" i="6" s="1"/>
  <c r="Y66" i="6" s="1"/>
  <c r="Z66" i="6" s="1"/>
  <c r="AA66" i="6" s="1"/>
  <c r="J85" i="5"/>
  <c r="AK67" i="6" s="1"/>
  <c r="M85" i="5"/>
  <c r="AT67" i="6" s="1"/>
  <c r="AU67" i="6" s="1"/>
  <c r="AV67" i="6" s="1"/>
  <c r="C85" i="5"/>
  <c r="F85" i="5"/>
  <c r="V67" i="6" s="1"/>
  <c r="AY64" i="6"/>
  <c r="AY9" i="12" s="1"/>
  <c r="AX9" i="12"/>
  <c r="AR65" i="6"/>
  <c r="U65" i="6"/>
  <c r="Y65" i="6" s="1"/>
  <c r="Z65" i="6" s="1"/>
  <c r="AA65" i="6" s="1"/>
  <c r="AU66" i="6"/>
  <c r="AV66" i="6" s="1"/>
  <c r="AJ87" i="6"/>
  <c r="AO87" i="6" s="1"/>
  <c r="AQ87" i="6" s="1"/>
  <c r="AD89" i="6"/>
  <c r="AN89" i="6" s="1"/>
  <c r="AL88" i="6"/>
  <c r="AM88" i="6"/>
  <c r="AI88" i="6"/>
  <c r="AG88" i="6"/>
  <c r="AH88" i="6" s="1"/>
  <c r="AF68" i="6"/>
  <c r="AE69" i="6"/>
  <c r="L86" i="6"/>
  <c r="Q86" i="6" s="1"/>
  <c r="S86" i="6" s="1"/>
  <c r="H86" i="6"/>
  <c r="K87" i="6"/>
  <c r="O87" i="6"/>
  <c r="N87" i="6"/>
  <c r="F88" i="6"/>
  <c r="P88" i="6" s="1"/>
  <c r="I87" i="6"/>
  <c r="J87" i="6" s="1"/>
  <c r="G87" i="6"/>
  <c r="W66" i="6"/>
  <c r="X66" i="6" s="1"/>
  <c r="X64" i="6"/>
  <c r="AA64" i="6"/>
  <c r="M86" i="5" l="1"/>
  <c r="AT68" i="6" s="1"/>
  <c r="AU68" i="6" s="1"/>
  <c r="AV68" i="6" s="1"/>
  <c r="J86" i="5"/>
  <c r="AK68" i="6" s="1"/>
  <c r="AP68" i="6" s="1"/>
  <c r="AR68" i="6" s="1"/>
  <c r="X85" i="5"/>
  <c r="AA85" i="5"/>
  <c r="T87" i="5"/>
  <c r="Q87" i="5"/>
  <c r="C86" i="5"/>
  <c r="M68" i="6" s="1"/>
  <c r="R68" i="6" s="1"/>
  <c r="T68" i="6" s="1"/>
  <c r="F86" i="5"/>
  <c r="V68" i="6" s="1"/>
  <c r="AP67" i="6"/>
  <c r="AS65" i="6"/>
  <c r="AW65" i="6" s="1"/>
  <c r="AX65" i="6" s="1"/>
  <c r="AY65" i="6" s="1"/>
  <c r="AS66" i="6"/>
  <c r="AW66" i="6" s="1"/>
  <c r="AX66" i="6" s="1"/>
  <c r="AY66" i="6" s="1"/>
  <c r="M67" i="6"/>
  <c r="R67" i="6" s="1"/>
  <c r="T67" i="6" s="1"/>
  <c r="U67" i="6" s="1"/>
  <c r="Y67" i="6" s="1"/>
  <c r="Z67" i="6" s="1"/>
  <c r="AA67" i="6" s="1"/>
  <c r="AJ88" i="6"/>
  <c r="AO88" i="6" s="1"/>
  <c r="AQ88" i="6" s="1"/>
  <c r="AF69" i="6"/>
  <c r="AE70" i="6"/>
  <c r="AD90" i="6"/>
  <c r="AN90" i="6" s="1"/>
  <c r="AL89" i="6"/>
  <c r="AM89" i="6"/>
  <c r="AG89" i="6"/>
  <c r="AH89" i="6" s="1"/>
  <c r="AI89" i="6"/>
  <c r="L87" i="6"/>
  <c r="Q87" i="6" s="1"/>
  <c r="S87" i="6" s="1"/>
  <c r="H87" i="6"/>
  <c r="O88" i="6"/>
  <c r="K88" i="6"/>
  <c r="G88" i="6"/>
  <c r="F89" i="6"/>
  <c r="P89" i="6" s="1"/>
  <c r="N88" i="6"/>
  <c r="I88" i="6"/>
  <c r="J88" i="6" s="1"/>
  <c r="W67" i="6"/>
  <c r="X67" i="6" s="1"/>
  <c r="U68" i="6" l="1"/>
  <c r="Q88" i="5"/>
  <c r="T88" i="5"/>
  <c r="AA86" i="5"/>
  <c r="X86" i="5"/>
  <c r="J87" i="5"/>
  <c r="M87" i="5"/>
  <c r="F87" i="5"/>
  <c r="V69" i="6" s="1"/>
  <c r="C87" i="5"/>
  <c r="M69" i="6" s="1"/>
  <c r="R69" i="6" s="1"/>
  <c r="T69" i="6" s="1"/>
  <c r="U69" i="6" s="1"/>
  <c r="AR67" i="6"/>
  <c r="AD91" i="6"/>
  <c r="AN91" i="6" s="1"/>
  <c r="AM90" i="6"/>
  <c r="AL90" i="6"/>
  <c r="AG90" i="6"/>
  <c r="AH90" i="6" s="1"/>
  <c r="AI90" i="6"/>
  <c r="AF70" i="6"/>
  <c r="AE71" i="6"/>
  <c r="AJ89" i="6"/>
  <c r="AO89" i="6" s="1"/>
  <c r="L88" i="6"/>
  <c r="Q88" i="6" s="1"/>
  <c r="S88" i="6" s="1"/>
  <c r="G89" i="6"/>
  <c r="O89" i="6"/>
  <c r="F90" i="6"/>
  <c r="P90" i="6" s="1"/>
  <c r="N89" i="6"/>
  <c r="I89" i="6"/>
  <c r="J89" i="6" s="1"/>
  <c r="K89" i="6"/>
  <c r="H88" i="6"/>
  <c r="W68" i="6"/>
  <c r="X68" i="6" s="1"/>
  <c r="J88" i="5" l="1"/>
  <c r="AK70" i="6" s="1"/>
  <c r="M88" i="5"/>
  <c r="AK69" i="6"/>
  <c r="AP69" i="6" s="1"/>
  <c r="AR69" i="6" s="1"/>
  <c r="AS69" i="6" s="1"/>
  <c r="X87" i="5"/>
  <c r="AA87" i="5"/>
  <c r="T89" i="5"/>
  <c r="Q89" i="5"/>
  <c r="AT69" i="6"/>
  <c r="AU69" i="6" s="1"/>
  <c r="AV69" i="6" s="1"/>
  <c r="C88" i="5"/>
  <c r="M70" i="6" s="1"/>
  <c r="R70" i="6" s="1"/>
  <c r="T70" i="6" s="1"/>
  <c r="F88" i="5"/>
  <c r="V70" i="6" s="1"/>
  <c r="AS68" i="6"/>
  <c r="AW68" i="6" s="1"/>
  <c r="AX68" i="6" s="1"/>
  <c r="AY68" i="6" s="1"/>
  <c r="AS67" i="6"/>
  <c r="AW67" i="6" s="1"/>
  <c r="AX67" i="6" s="1"/>
  <c r="AY67" i="6" s="1"/>
  <c r="AQ89" i="6"/>
  <c r="AT70" i="6"/>
  <c r="AU70" i="6" s="1"/>
  <c r="AV70" i="6" s="1"/>
  <c r="AJ90" i="6"/>
  <c r="AO90" i="6" s="1"/>
  <c r="AQ90" i="6" s="1"/>
  <c r="AF71" i="6"/>
  <c r="AE72" i="6"/>
  <c r="AD92" i="6"/>
  <c r="AN92" i="6" s="1"/>
  <c r="AM91" i="6"/>
  <c r="AL91" i="6"/>
  <c r="AG91" i="6"/>
  <c r="AH91" i="6" s="1"/>
  <c r="AI91" i="6"/>
  <c r="L89" i="6"/>
  <c r="Q89" i="6" s="1"/>
  <c r="S89" i="6" s="1"/>
  <c r="G90" i="6"/>
  <c r="F91" i="6"/>
  <c r="P91" i="6" s="1"/>
  <c r="N90" i="6"/>
  <c r="K90" i="6"/>
  <c r="O90" i="6"/>
  <c r="I90" i="6"/>
  <c r="J90" i="6" s="1"/>
  <c r="H89" i="6"/>
  <c r="W69" i="6"/>
  <c r="X69" i="6" s="1"/>
  <c r="Y68" i="6"/>
  <c r="Z68" i="6" s="1"/>
  <c r="AA68" i="6" s="1"/>
  <c r="Q90" i="5" l="1"/>
  <c r="T90" i="5"/>
  <c r="AA88" i="5"/>
  <c r="X88" i="5"/>
  <c r="AW69" i="6"/>
  <c r="AX69" i="6" s="1"/>
  <c r="AY69" i="6" s="1"/>
  <c r="M89" i="5"/>
  <c r="J89" i="5"/>
  <c r="AK71" i="6" s="1"/>
  <c r="AP71" i="6" s="1"/>
  <c r="AR71" i="6" s="1"/>
  <c r="C89" i="5"/>
  <c r="M71" i="6" s="1"/>
  <c r="R71" i="6" s="1"/>
  <c r="T71" i="6" s="1"/>
  <c r="F89" i="5"/>
  <c r="V71" i="6" s="1"/>
  <c r="AP70" i="6"/>
  <c r="U70" i="6"/>
  <c r="Y70" i="6" s="1"/>
  <c r="Z70" i="6" s="1"/>
  <c r="AA70" i="6" s="1"/>
  <c r="AJ91" i="6"/>
  <c r="AO91" i="6" s="1"/>
  <c r="AD93" i="6"/>
  <c r="AL92" i="6"/>
  <c r="AM92" i="6"/>
  <c r="AI92" i="6"/>
  <c r="AG92" i="6"/>
  <c r="AH92" i="6" s="1"/>
  <c r="AF72" i="6"/>
  <c r="AE73" i="6"/>
  <c r="L90" i="6"/>
  <c r="Q90" i="6" s="1"/>
  <c r="S90" i="6" s="1"/>
  <c r="H90" i="6"/>
  <c r="I91" i="6"/>
  <c r="J91" i="6" s="1"/>
  <c r="G91" i="6"/>
  <c r="N91" i="6"/>
  <c r="O91" i="6"/>
  <c r="F92" i="6"/>
  <c r="P92" i="6" s="1"/>
  <c r="K91" i="6"/>
  <c r="W70" i="6"/>
  <c r="X70" i="6" s="1"/>
  <c r="Y69" i="6"/>
  <c r="Z69" i="6" s="1"/>
  <c r="AA69" i="6" s="1"/>
  <c r="M90" i="5" l="1"/>
  <c r="AT72" i="6" s="1"/>
  <c r="AU72" i="6" s="1"/>
  <c r="AV72" i="6" s="1"/>
  <c r="J90" i="5"/>
  <c r="AK72" i="6" s="1"/>
  <c r="AT71" i="6"/>
  <c r="AU71" i="6" s="1"/>
  <c r="AV71" i="6" s="1"/>
  <c r="X89" i="5"/>
  <c r="AA89" i="5"/>
  <c r="Q91" i="5"/>
  <c r="T91" i="5"/>
  <c r="C90" i="5"/>
  <c r="M72" i="6" s="1"/>
  <c r="R72" i="6" s="1"/>
  <c r="T72" i="6" s="1"/>
  <c r="U72" i="6" s="1"/>
  <c r="F90" i="5"/>
  <c r="V72" i="6" s="1"/>
  <c r="AN93" i="6"/>
  <c r="AQ91" i="6"/>
  <c r="AR70" i="6"/>
  <c r="AJ92" i="6"/>
  <c r="AO92" i="6" s="1"/>
  <c r="AQ92" i="6" s="1"/>
  <c r="AF73" i="6"/>
  <c r="AE74" i="6"/>
  <c r="AD94" i="6"/>
  <c r="AN94" i="6" s="1"/>
  <c r="AM93" i="6"/>
  <c r="AL93" i="6"/>
  <c r="AI93" i="6"/>
  <c r="AG93" i="6"/>
  <c r="AH93" i="6" s="1"/>
  <c r="L91" i="6"/>
  <c r="Q91" i="6" s="1"/>
  <c r="S91" i="6" s="1"/>
  <c r="K92" i="6"/>
  <c r="G92" i="6"/>
  <c r="F93" i="6"/>
  <c r="P93" i="6" s="1"/>
  <c r="N92" i="6"/>
  <c r="O92" i="6"/>
  <c r="I92" i="6"/>
  <c r="J92" i="6" s="1"/>
  <c r="H91" i="6"/>
  <c r="U71" i="6"/>
  <c r="W71" i="6"/>
  <c r="X71" i="6" s="1"/>
  <c r="AA90" i="5" l="1"/>
  <c r="X90" i="5"/>
  <c r="T92" i="5"/>
  <c r="Q92" i="5"/>
  <c r="M91" i="5"/>
  <c r="J91" i="5"/>
  <c r="AK73" i="6" s="1"/>
  <c r="AP73" i="6" s="1"/>
  <c r="AR73" i="6" s="1"/>
  <c r="C91" i="5"/>
  <c r="M73" i="6" s="1"/>
  <c r="R73" i="6" s="1"/>
  <c r="T73" i="6" s="1"/>
  <c r="U73" i="6" s="1"/>
  <c r="F91" i="5"/>
  <c r="V73" i="6" s="1"/>
  <c r="AS70" i="6"/>
  <c r="AW70" i="6" s="1"/>
  <c r="AX70" i="6" s="1"/>
  <c r="AY70" i="6" s="1"/>
  <c r="AS71" i="6"/>
  <c r="AW71" i="6" s="1"/>
  <c r="AX71" i="6" s="1"/>
  <c r="AY71" i="6" s="1"/>
  <c r="AP72" i="6"/>
  <c r="AJ93" i="6"/>
  <c r="AO93" i="6" s="1"/>
  <c r="AQ93" i="6" s="1"/>
  <c r="AD95" i="6"/>
  <c r="AM94" i="6"/>
  <c r="AL94" i="6"/>
  <c r="AG94" i="6"/>
  <c r="AH94" i="6" s="1"/>
  <c r="AI94" i="6"/>
  <c r="AF74" i="6"/>
  <c r="AE75" i="6"/>
  <c r="L92" i="6"/>
  <c r="Q92" i="6" s="1"/>
  <c r="S92" i="6" s="1"/>
  <c r="H92" i="6"/>
  <c r="I93" i="6"/>
  <c r="J93" i="6" s="1"/>
  <c r="G93" i="6"/>
  <c r="N93" i="6"/>
  <c r="F94" i="6"/>
  <c r="P94" i="6" s="1"/>
  <c r="K93" i="6"/>
  <c r="O93" i="6"/>
  <c r="Y71" i="6"/>
  <c r="Z71" i="6" s="1"/>
  <c r="AA71" i="6" s="1"/>
  <c r="W72" i="6"/>
  <c r="X72" i="6" s="1"/>
  <c r="M92" i="5" l="1"/>
  <c r="AT74" i="6" s="1"/>
  <c r="AU74" i="6" s="1"/>
  <c r="AV74" i="6" s="1"/>
  <c r="J92" i="5"/>
  <c r="AK74" i="6" s="1"/>
  <c r="AP74" i="6" s="1"/>
  <c r="AR74" i="6" s="1"/>
  <c r="Q93" i="5"/>
  <c r="T93" i="5"/>
  <c r="AT73" i="6"/>
  <c r="AU73" i="6" s="1"/>
  <c r="AV73" i="6" s="1"/>
  <c r="AA91" i="5"/>
  <c r="X91" i="5"/>
  <c r="C92" i="5"/>
  <c r="M74" i="6" s="1"/>
  <c r="R74" i="6" s="1"/>
  <c r="T74" i="6" s="1"/>
  <c r="F92" i="5"/>
  <c r="V74" i="6" s="1"/>
  <c r="AN95" i="6"/>
  <c r="AR72" i="6"/>
  <c r="AF75" i="6"/>
  <c r="AE76" i="6"/>
  <c r="AJ94" i="6"/>
  <c r="AO94" i="6" s="1"/>
  <c r="AD96" i="6"/>
  <c r="AN96" i="6" s="1"/>
  <c r="AM95" i="6"/>
  <c r="AL95" i="6"/>
  <c r="AG95" i="6"/>
  <c r="AH95" i="6" s="1"/>
  <c r="AI95" i="6"/>
  <c r="H93" i="6"/>
  <c r="L93" i="6"/>
  <c r="Q93" i="6" s="1"/>
  <c r="S93" i="6" s="1"/>
  <c r="I94" i="6"/>
  <c r="J94" i="6" s="1"/>
  <c r="F95" i="6"/>
  <c r="P95" i="6" s="1"/>
  <c r="G94" i="6"/>
  <c r="N94" i="6"/>
  <c r="O94" i="6"/>
  <c r="K94" i="6"/>
  <c r="W73" i="6"/>
  <c r="X73" i="6" s="1"/>
  <c r="Y72" i="6"/>
  <c r="Z72" i="6" s="1"/>
  <c r="AA72" i="6" s="1"/>
  <c r="X92" i="5" l="1"/>
  <c r="AA92" i="5"/>
  <c r="Q94" i="5"/>
  <c r="T94" i="5"/>
  <c r="M93" i="5"/>
  <c r="AT75" i="6" s="1"/>
  <c r="J93" i="5"/>
  <c r="AK75" i="6" s="1"/>
  <c r="AP75" i="6" s="1"/>
  <c r="AR75" i="6" s="1"/>
  <c r="AS75" i="6" s="1"/>
  <c r="C93" i="5"/>
  <c r="M75" i="6" s="1"/>
  <c r="R75" i="6" s="1"/>
  <c r="T75" i="6" s="1"/>
  <c r="F93" i="5"/>
  <c r="V75" i="6" s="1"/>
  <c r="AQ94" i="6"/>
  <c r="AS73" i="6"/>
  <c r="AW73" i="6" s="1"/>
  <c r="AX73" i="6" s="1"/>
  <c r="AY73" i="6" s="1"/>
  <c r="AS72" i="6"/>
  <c r="AW72" i="6" s="1"/>
  <c r="AX72" i="6" s="1"/>
  <c r="AY72" i="6" s="1"/>
  <c r="AS74" i="6"/>
  <c r="AW74" i="6" s="1"/>
  <c r="AX74" i="6" s="1"/>
  <c r="AY74" i="6" s="1"/>
  <c r="AJ95" i="6"/>
  <c r="AO95" i="6" s="1"/>
  <c r="AQ95" i="6" s="1"/>
  <c r="AD97" i="6"/>
  <c r="AM96" i="6"/>
  <c r="AL96" i="6"/>
  <c r="AI96" i="6"/>
  <c r="AG96" i="6"/>
  <c r="AH96" i="6" s="1"/>
  <c r="AF76" i="6"/>
  <c r="AE77" i="6"/>
  <c r="L94" i="6"/>
  <c r="Q94" i="6" s="1"/>
  <c r="S94" i="6" s="1"/>
  <c r="H94" i="6"/>
  <c r="F96" i="6"/>
  <c r="P96" i="6" s="1"/>
  <c r="O95" i="6"/>
  <c r="I95" i="6"/>
  <c r="J95" i="6" s="1"/>
  <c r="N95" i="6"/>
  <c r="K95" i="6"/>
  <c r="G95" i="6"/>
  <c r="W74" i="6"/>
  <c r="X74" i="6" s="1"/>
  <c r="U74" i="6"/>
  <c r="Y74" i="6" s="1"/>
  <c r="Z74" i="6" s="1"/>
  <c r="AA74" i="6" s="1"/>
  <c r="Y73" i="6"/>
  <c r="Z73" i="6" s="1"/>
  <c r="AA73" i="6" s="1"/>
  <c r="M94" i="5" l="1"/>
  <c r="AT76" i="6" s="1"/>
  <c r="J94" i="5"/>
  <c r="AK76" i="6" s="1"/>
  <c r="AP76" i="6" s="1"/>
  <c r="AR76" i="6" s="1"/>
  <c r="AS76" i="6" s="1"/>
  <c r="T95" i="5"/>
  <c r="Q95" i="5"/>
  <c r="AW75" i="6"/>
  <c r="AX75" i="6" s="1"/>
  <c r="AY75" i="6" s="1"/>
  <c r="X93" i="5"/>
  <c r="AA93" i="5"/>
  <c r="C94" i="5"/>
  <c r="M76" i="6" s="1"/>
  <c r="R76" i="6" s="1"/>
  <c r="T76" i="6" s="1"/>
  <c r="F94" i="5"/>
  <c r="V76" i="6" s="1"/>
  <c r="AN97" i="6"/>
  <c r="AU75" i="6"/>
  <c r="AV75" i="6" s="1"/>
  <c r="AJ96" i="6"/>
  <c r="AO96" i="6" s="1"/>
  <c r="AF77" i="6"/>
  <c r="AE78" i="6"/>
  <c r="AD98" i="6"/>
  <c r="AN98" i="6" s="1"/>
  <c r="AL97" i="6"/>
  <c r="AM97" i="6"/>
  <c r="AG97" i="6"/>
  <c r="AH97" i="6" s="1"/>
  <c r="AI97" i="6"/>
  <c r="L95" i="6"/>
  <c r="Q95" i="6" s="1"/>
  <c r="S95" i="6" s="1"/>
  <c r="I96" i="6"/>
  <c r="J96" i="6" s="1"/>
  <c r="G96" i="6"/>
  <c r="H96" i="6" s="1"/>
  <c r="N96" i="6"/>
  <c r="O96" i="6"/>
  <c r="K96" i="6"/>
  <c r="F97" i="6"/>
  <c r="P97" i="6" s="1"/>
  <c r="H95" i="6"/>
  <c r="U75" i="6"/>
  <c r="W75" i="6"/>
  <c r="X75" i="6" s="1"/>
  <c r="X94" i="5" l="1"/>
  <c r="AA94" i="5"/>
  <c r="T96" i="5"/>
  <c r="Q96" i="5"/>
  <c r="M95" i="5"/>
  <c r="AT77" i="6" s="1"/>
  <c r="J95" i="5"/>
  <c r="C95" i="5"/>
  <c r="F95" i="5"/>
  <c r="V77" i="6" s="1"/>
  <c r="AW76" i="6"/>
  <c r="AX76" i="6" s="1"/>
  <c r="AQ96" i="6"/>
  <c r="AU76" i="6"/>
  <c r="AT10" i="12"/>
  <c r="AJ97" i="6"/>
  <c r="AO97" i="6" s="1"/>
  <c r="AQ97" i="6" s="1"/>
  <c r="AD99" i="6"/>
  <c r="AM98" i="6"/>
  <c r="AL98" i="6"/>
  <c r="AI98" i="6"/>
  <c r="AG98" i="6"/>
  <c r="AH98" i="6" s="1"/>
  <c r="AF78" i="6"/>
  <c r="AE79" i="6"/>
  <c r="L96" i="6"/>
  <c r="Q96" i="6" s="1"/>
  <c r="S96" i="6" s="1"/>
  <c r="G97" i="6"/>
  <c r="K97" i="6"/>
  <c r="I97" i="6"/>
  <c r="J97" i="6" s="1"/>
  <c r="O97" i="6"/>
  <c r="F98" i="6"/>
  <c r="P98" i="6" s="1"/>
  <c r="N97" i="6"/>
  <c r="U76" i="6"/>
  <c r="Y75" i="6"/>
  <c r="Z75" i="6" s="1"/>
  <c r="AA75" i="6" s="1"/>
  <c r="J96" i="5" l="1"/>
  <c r="AK78" i="6" s="1"/>
  <c r="AP78" i="6" s="1"/>
  <c r="AR78" i="6" s="1"/>
  <c r="M96" i="5"/>
  <c r="AT78" i="6" s="1"/>
  <c r="AU78" i="6" s="1"/>
  <c r="AV78" i="6" s="1"/>
  <c r="AW10" i="12"/>
  <c r="Q97" i="5"/>
  <c r="T97" i="5"/>
  <c r="AK77" i="6"/>
  <c r="AP77" i="6" s="1"/>
  <c r="AA95" i="5"/>
  <c r="X95" i="5"/>
  <c r="F96" i="5"/>
  <c r="V78" i="6" s="1"/>
  <c r="C96" i="5"/>
  <c r="M78" i="6" s="1"/>
  <c r="R78" i="6" s="1"/>
  <c r="T78" i="6" s="1"/>
  <c r="AN99" i="6"/>
  <c r="AY76" i="6"/>
  <c r="AY10" i="12" s="1"/>
  <c r="AX10" i="12"/>
  <c r="AV76" i="6"/>
  <c r="AV10" i="12" s="1"/>
  <c r="AU10" i="12"/>
  <c r="AU77" i="6"/>
  <c r="AV77" i="6" s="1"/>
  <c r="M77" i="6"/>
  <c r="R77" i="6" s="1"/>
  <c r="T77" i="6" s="1"/>
  <c r="AJ98" i="6"/>
  <c r="AO98" i="6" s="1"/>
  <c r="AQ98" i="6" s="1"/>
  <c r="AF79" i="6"/>
  <c r="AE80" i="6"/>
  <c r="AL99" i="6"/>
  <c r="AM99" i="6"/>
  <c r="AD100" i="6"/>
  <c r="AN100" i="6" s="1"/>
  <c r="AG99" i="6"/>
  <c r="AH99" i="6" s="1"/>
  <c r="AI99" i="6"/>
  <c r="L97" i="6"/>
  <c r="Q97" i="6" s="1"/>
  <c r="S97" i="6" s="1"/>
  <c r="K98" i="6"/>
  <c r="O98" i="6"/>
  <c r="N98" i="6"/>
  <c r="G98" i="6"/>
  <c r="I98" i="6"/>
  <c r="J98" i="6" s="1"/>
  <c r="F99" i="6"/>
  <c r="P99" i="6" s="1"/>
  <c r="H97" i="6"/>
  <c r="W77" i="6"/>
  <c r="X77" i="6" s="1"/>
  <c r="W76" i="6"/>
  <c r="Y76" i="6"/>
  <c r="AA96" i="5" l="1"/>
  <c r="X96" i="5"/>
  <c r="T98" i="5"/>
  <c r="Q98" i="5"/>
  <c r="M97" i="5"/>
  <c r="AT79" i="6" s="1"/>
  <c r="AU79" i="6" s="1"/>
  <c r="AV79" i="6" s="1"/>
  <c r="J97" i="5"/>
  <c r="U78" i="6"/>
  <c r="F97" i="5"/>
  <c r="V79" i="6" s="1"/>
  <c r="C97" i="5"/>
  <c r="M79" i="6" s="1"/>
  <c r="R79" i="6" s="1"/>
  <c r="T79" i="6" s="1"/>
  <c r="AR77" i="6"/>
  <c r="U77" i="6"/>
  <c r="Y77" i="6" s="1"/>
  <c r="Z77" i="6" s="1"/>
  <c r="AA77" i="6" s="1"/>
  <c r="AJ99" i="6"/>
  <c r="AO99" i="6" s="1"/>
  <c r="AQ99" i="6" s="1"/>
  <c r="AD101" i="6"/>
  <c r="AL100" i="6"/>
  <c r="AM100" i="6"/>
  <c r="AI100" i="6"/>
  <c r="AG100" i="6"/>
  <c r="AH100" i="6" s="1"/>
  <c r="AF80" i="6"/>
  <c r="AE81" i="6"/>
  <c r="L98" i="6"/>
  <c r="Q98" i="6" s="1"/>
  <c r="S98" i="6" s="1"/>
  <c r="H98" i="6"/>
  <c r="O99" i="6"/>
  <c r="N99" i="6"/>
  <c r="K99" i="6"/>
  <c r="I99" i="6"/>
  <c r="J99" i="6" s="1"/>
  <c r="F100" i="6"/>
  <c r="P100" i="6" s="1"/>
  <c r="G99" i="6"/>
  <c r="Z76" i="6"/>
  <c r="X76" i="6"/>
  <c r="W78" i="6"/>
  <c r="X78" i="6" s="1"/>
  <c r="AK79" i="6" l="1"/>
  <c r="AP79" i="6" s="1"/>
  <c r="Q99" i="5"/>
  <c r="T99" i="5"/>
  <c r="J98" i="5"/>
  <c r="AK80" i="6" s="1"/>
  <c r="AP80" i="6" s="1"/>
  <c r="AR80" i="6" s="1"/>
  <c r="M98" i="5"/>
  <c r="AT80" i="6" s="1"/>
  <c r="AU80" i="6" s="1"/>
  <c r="AV80" i="6" s="1"/>
  <c r="AA97" i="5"/>
  <c r="X97" i="5"/>
  <c r="C98" i="5"/>
  <c r="F98" i="5"/>
  <c r="V80" i="6" s="1"/>
  <c r="AN101" i="6"/>
  <c r="AS77" i="6"/>
  <c r="AW77" i="6" s="1"/>
  <c r="AX77" i="6" s="1"/>
  <c r="AY77" i="6" s="1"/>
  <c r="AS78" i="6"/>
  <c r="AW78" i="6" s="1"/>
  <c r="AX78" i="6" s="1"/>
  <c r="AY78" i="6" s="1"/>
  <c r="AJ100" i="6"/>
  <c r="AO100" i="6" s="1"/>
  <c r="AQ100" i="6" s="1"/>
  <c r="L99" i="6"/>
  <c r="Q99" i="6" s="1"/>
  <c r="S99" i="6" s="1"/>
  <c r="AF81" i="6"/>
  <c r="AE82" i="6"/>
  <c r="AD102" i="6"/>
  <c r="AN102" i="6" s="1"/>
  <c r="AL101" i="6"/>
  <c r="AM101" i="6"/>
  <c r="AI101" i="6"/>
  <c r="AG101" i="6"/>
  <c r="AH101" i="6" s="1"/>
  <c r="K100" i="6"/>
  <c r="I100" i="6"/>
  <c r="J100" i="6" s="1"/>
  <c r="G100" i="6"/>
  <c r="O100" i="6"/>
  <c r="N100" i="6"/>
  <c r="F101" i="6"/>
  <c r="P101" i="6" s="1"/>
  <c r="H99" i="6"/>
  <c r="U79" i="6"/>
  <c r="W79" i="6"/>
  <c r="X79" i="6" s="1"/>
  <c r="Y78" i="6"/>
  <c r="Z78" i="6" s="1"/>
  <c r="AA78" i="6" s="1"/>
  <c r="AA76" i="6"/>
  <c r="AA98" i="5" l="1"/>
  <c r="X98" i="5"/>
  <c r="M99" i="5"/>
  <c r="AT81" i="6" s="1"/>
  <c r="AU81" i="6" s="1"/>
  <c r="AV81" i="6" s="1"/>
  <c r="J99" i="5"/>
  <c r="T100" i="5"/>
  <c r="Q100" i="5"/>
  <c r="M80" i="6"/>
  <c r="R80" i="6" s="1"/>
  <c r="T80" i="6" s="1"/>
  <c r="U80" i="6" s="1"/>
  <c r="C99" i="5"/>
  <c r="M81" i="6" s="1"/>
  <c r="R81" i="6" s="1"/>
  <c r="T81" i="6" s="1"/>
  <c r="F99" i="5"/>
  <c r="V81" i="6" s="1"/>
  <c r="AR79" i="6"/>
  <c r="AJ101" i="6"/>
  <c r="AO101" i="6" s="1"/>
  <c r="AD103" i="6"/>
  <c r="AL102" i="6"/>
  <c r="AI102" i="6"/>
  <c r="AG102" i="6"/>
  <c r="AH102" i="6" s="1"/>
  <c r="AM102" i="6"/>
  <c r="AF82" i="6"/>
  <c r="AE83" i="6"/>
  <c r="L100" i="6"/>
  <c r="Q100" i="6" s="1"/>
  <c r="S100" i="6" s="1"/>
  <c r="H100" i="6"/>
  <c r="I101" i="6"/>
  <c r="J101" i="6" s="1"/>
  <c r="O101" i="6"/>
  <c r="F102" i="6"/>
  <c r="P102" i="6" s="1"/>
  <c r="G101" i="6"/>
  <c r="N101" i="6"/>
  <c r="K101" i="6"/>
  <c r="W80" i="6"/>
  <c r="X80" i="6" s="1"/>
  <c r="Y79" i="6"/>
  <c r="Z79" i="6" s="1"/>
  <c r="AA79" i="6" s="1"/>
  <c r="T101" i="5" l="1"/>
  <c r="Q101" i="5"/>
  <c r="AK81" i="6"/>
  <c r="AP81" i="6" s="1"/>
  <c r="AR81" i="6" s="1"/>
  <c r="AS81" i="6" s="1"/>
  <c r="AW81" i="6" s="1"/>
  <c r="AX81" i="6" s="1"/>
  <c r="AY81" i="6" s="1"/>
  <c r="M100" i="5"/>
  <c r="AT82" i="6" s="1"/>
  <c r="AU82" i="6" s="1"/>
  <c r="AV82" i="6" s="1"/>
  <c r="J100" i="5"/>
  <c r="AK82" i="6" s="1"/>
  <c r="AP82" i="6" s="1"/>
  <c r="X99" i="5"/>
  <c r="AA99" i="5"/>
  <c r="C100" i="5"/>
  <c r="M82" i="6" s="1"/>
  <c r="R82" i="6" s="1"/>
  <c r="T82" i="6" s="1"/>
  <c r="F100" i="5"/>
  <c r="V82" i="6" s="1"/>
  <c r="AN103" i="6"/>
  <c r="AS80" i="6"/>
  <c r="AW80" i="6" s="1"/>
  <c r="AX80" i="6" s="1"/>
  <c r="AY80" i="6" s="1"/>
  <c r="AS79" i="6"/>
  <c r="AW79" i="6" s="1"/>
  <c r="AX79" i="6" s="1"/>
  <c r="AY79" i="6" s="1"/>
  <c r="AQ101" i="6"/>
  <c r="AJ102" i="6"/>
  <c r="AO102" i="6" s="1"/>
  <c r="AQ102" i="6" s="1"/>
  <c r="AF83" i="6"/>
  <c r="AE84" i="6"/>
  <c r="AI103" i="6"/>
  <c r="AD104" i="6"/>
  <c r="AN104" i="6" s="1"/>
  <c r="AL103" i="6"/>
  <c r="AG103" i="6"/>
  <c r="AH103" i="6" s="1"/>
  <c r="AM103" i="6"/>
  <c r="G102" i="6"/>
  <c r="F103" i="6"/>
  <c r="P103" i="6" s="1"/>
  <c r="O102" i="6"/>
  <c r="K102" i="6"/>
  <c r="I102" i="6"/>
  <c r="J102" i="6" s="1"/>
  <c r="N102" i="6"/>
  <c r="L101" i="6"/>
  <c r="Q101" i="6" s="1"/>
  <c r="S101" i="6" s="1"/>
  <c r="H101" i="6"/>
  <c r="Y80" i="6"/>
  <c r="Z80" i="6" s="1"/>
  <c r="AA80" i="6" s="1"/>
  <c r="W81" i="6"/>
  <c r="X81" i="6" s="1"/>
  <c r="U81" i="6"/>
  <c r="Y81" i="6" s="1"/>
  <c r="Z81" i="6" s="1"/>
  <c r="AA81" i="6" s="1"/>
  <c r="AA100" i="5" l="1"/>
  <c r="X100" i="5"/>
  <c r="M101" i="5"/>
  <c r="AT83" i="6" s="1"/>
  <c r="AU83" i="6" s="1"/>
  <c r="AV83" i="6" s="1"/>
  <c r="J101" i="5"/>
  <c r="AK83" i="6" s="1"/>
  <c r="Q102" i="5"/>
  <c r="T102" i="5"/>
  <c r="C101" i="5"/>
  <c r="M83" i="6" s="1"/>
  <c r="R83" i="6" s="1"/>
  <c r="T83" i="6" s="1"/>
  <c r="F101" i="5"/>
  <c r="V83" i="6" s="1"/>
  <c r="AR82" i="6"/>
  <c r="AS82" i="6" s="1"/>
  <c r="AW82" i="6" s="1"/>
  <c r="AX82" i="6" s="1"/>
  <c r="AY82" i="6" s="1"/>
  <c r="U82" i="6"/>
  <c r="AJ103" i="6"/>
  <c r="AO103" i="6" s="1"/>
  <c r="AL104" i="6"/>
  <c r="AI104" i="6"/>
  <c r="AG104" i="6"/>
  <c r="AH104" i="6" s="1"/>
  <c r="AD105" i="6"/>
  <c r="AM104" i="6"/>
  <c r="AF84" i="6"/>
  <c r="AE85" i="6"/>
  <c r="L102" i="6"/>
  <c r="Q102" i="6" s="1"/>
  <c r="S102" i="6" s="1"/>
  <c r="N103" i="6"/>
  <c r="F104" i="6"/>
  <c r="P104" i="6" s="1"/>
  <c r="K103" i="6"/>
  <c r="I103" i="6"/>
  <c r="J103" i="6" s="1"/>
  <c r="G103" i="6"/>
  <c r="O103" i="6"/>
  <c r="H102" i="6"/>
  <c r="W82" i="6"/>
  <c r="X82" i="6" s="1"/>
  <c r="Q103" i="5" l="1"/>
  <c r="T103" i="5"/>
  <c r="M102" i="5"/>
  <c r="AT84" i="6" s="1"/>
  <c r="AU84" i="6" s="1"/>
  <c r="AV84" i="6" s="1"/>
  <c r="J102" i="5"/>
  <c r="AK84" i="6" s="1"/>
  <c r="AP84" i="6" s="1"/>
  <c r="AR84" i="6" s="1"/>
  <c r="X101" i="5"/>
  <c r="AA101" i="5"/>
  <c r="C102" i="5"/>
  <c r="M84" i="6" s="1"/>
  <c r="R84" i="6" s="1"/>
  <c r="T84" i="6" s="1"/>
  <c r="U84" i="6" s="1"/>
  <c r="F102" i="5"/>
  <c r="V84" i="6" s="1"/>
  <c r="AN105" i="6"/>
  <c r="AQ103" i="6"/>
  <c r="AP83" i="6"/>
  <c r="AJ104" i="6"/>
  <c r="AO104" i="6" s="1"/>
  <c r="AQ104" i="6" s="1"/>
  <c r="AF85" i="6"/>
  <c r="AE86" i="6"/>
  <c r="AD106" i="6"/>
  <c r="AN106" i="6" s="1"/>
  <c r="AG105" i="6"/>
  <c r="AH105" i="6" s="1"/>
  <c r="AL105" i="6"/>
  <c r="AM105" i="6"/>
  <c r="AI105" i="6"/>
  <c r="L103" i="6"/>
  <c r="Q103" i="6" s="1"/>
  <c r="S103" i="6" s="1"/>
  <c r="H103" i="6"/>
  <c r="I104" i="6"/>
  <c r="J104" i="6" s="1"/>
  <c r="O104" i="6"/>
  <c r="G104" i="6"/>
  <c r="N104" i="6"/>
  <c r="F105" i="6"/>
  <c r="P105" i="6" s="1"/>
  <c r="K104" i="6"/>
  <c r="U83" i="6"/>
  <c r="W83" i="6"/>
  <c r="X83" i="6" s="1"/>
  <c r="Y82" i="6"/>
  <c r="Z82" i="6" s="1"/>
  <c r="AA82" i="6" s="1"/>
  <c r="X102" i="5" l="1"/>
  <c r="AA102" i="5"/>
  <c r="M103" i="5"/>
  <c r="J103" i="5"/>
  <c r="AK85" i="6" s="1"/>
  <c r="AP85" i="6" s="1"/>
  <c r="AR85" i="6" s="1"/>
  <c r="Q104" i="5"/>
  <c r="T104" i="5"/>
  <c r="C103" i="5"/>
  <c r="M85" i="6" s="1"/>
  <c r="R85" i="6" s="1"/>
  <c r="T85" i="6" s="1"/>
  <c r="U85" i="6" s="1"/>
  <c r="F103" i="5"/>
  <c r="V85" i="6" s="1"/>
  <c r="AR83" i="6"/>
  <c r="AT85" i="6"/>
  <c r="AJ105" i="6"/>
  <c r="AO105" i="6" s="1"/>
  <c r="AL106" i="6"/>
  <c r="AD107" i="6"/>
  <c r="AM106" i="6"/>
  <c r="AG106" i="6"/>
  <c r="AH106" i="6" s="1"/>
  <c r="AI106" i="6"/>
  <c r="AF86" i="6"/>
  <c r="AE87" i="6"/>
  <c r="L104" i="6"/>
  <c r="Q104" i="6" s="1"/>
  <c r="S104" i="6" s="1"/>
  <c r="H104" i="6"/>
  <c r="K105" i="6"/>
  <c r="G105" i="6"/>
  <c r="H105" i="6" s="1"/>
  <c r="I105" i="6"/>
  <c r="J105" i="6" s="1"/>
  <c r="F106" i="6"/>
  <c r="P106" i="6" s="1"/>
  <c r="O105" i="6"/>
  <c r="N105" i="6"/>
  <c r="W84" i="6"/>
  <c r="X84" i="6" s="1"/>
  <c r="Y83" i="6"/>
  <c r="Z83" i="6" s="1"/>
  <c r="AA83" i="6" s="1"/>
  <c r="AS85" i="6" l="1"/>
  <c r="AW85" i="6" s="1"/>
  <c r="AX85" i="6" s="1"/>
  <c r="AY85" i="6" s="1"/>
  <c r="M104" i="5"/>
  <c r="AT86" i="6" s="1"/>
  <c r="AU86" i="6" s="1"/>
  <c r="AV86" i="6" s="1"/>
  <c r="J104" i="5"/>
  <c r="AK86" i="6" s="1"/>
  <c r="AP86" i="6" s="1"/>
  <c r="X103" i="5"/>
  <c r="AA103" i="5"/>
  <c r="T105" i="5"/>
  <c r="Q105" i="5"/>
  <c r="C104" i="5"/>
  <c r="M86" i="6" s="1"/>
  <c r="R86" i="6" s="1"/>
  <c r="T86" i="6" s="1"/>
  <c r="U86" i="6" s="1"/>
  <c r="F104" i="5"/>
  <c r="V86" i="6" s="1"/>
  <c r="AN107" i="6"/>
  <c r="AU85" i="6"/>
  <c r="AV85" i="6" s="1"/>
  <c r="AQ105" i="6"/>
  <c r="AS83" i="6"/>
  <c r="AW83" i="6" s="1"/>
  <c r="AX83" i="6" s="1"/>
  <c r="AY83" i="6" s="1"/>
  <c r="AS84" i="6"/>
  <c r="AW84" i="6" s="1"/>
  <c r="AX84" i="6" s="1"/>
  <c r="AY84" i="6" s="1"/>
  <c r="AJ106" i="6"/>
  <c r="AO106" i="6" s="1"/>
  <c r="AQ106" i="6" s="1"/>
  <c r="AF87" i="6"/>
  <c r="AE88" i="6"/>
  <c r="AI107" i="6"/>
  <c r="AG107" i="6"/>
  <c r="AH107" i="6" s="1"/>
  <c r="AM107" i="6"/>
  <c r="AL107" i="6"/>
  <c r="AD108" i="6"/>
  <c r="AN108" i="6" s="1"/>
  <c r="L105" i="6"/>
  <c r="Q105" i="6" s="1"/>
  <c r="S105" i="6" s="1"/>
  <c r="O106" i="6"/>
  <c r="N106" i="6"/>
  <c r="I106" i="6"/>
  <c r="J106" i="6" s="1"/>
  <c r="F107" i="6"/>
  <c r="P107" i="6" s="1"/>
  <c r="G106" i="6"/>
  <c r="K106" i="6"/>
  <c r="W85" i="6"/>
  <c r="X85" i="6" s="1"/>
  <c r="Y84" i="6"/>
  <c r="Z84" i="6" s="1"/>
  <c r="AA84" i="6" s="1"/>
  <c r="Q106" i="5" l="1"/>
  <c r="T106" i="5"/>
  <c r="X104" i="5"/>
  <c r="AA104" i="5"/>
  <c r="J105" i="5"/>
  <c r="AK87" i="6" s="1"/>
  <c r="AP87" i="6" s="1"/>
  <c r="AR87" i="6" s="1"/>
  <c r="M105" i="5"/>
  <c r="AT87" i="6" s="1"/>
  <c r="AU87" i="6" s="1"/>
  <c r="AV87" i="6" s="1"/>
  <c r="C105" i="5"/>
  <c r="M87" i="6" s="1"/>
  <c r="R87" i="6" s="1"/>
  <c r="T87" i="6" s="1"/>
  <c r="F105" i="5"/>
  <c r="V87" i="6" s="1"/>
  <c r="AR86" i="6"/>
  <c r="AS86" i="6" s="1"/>
  <c r="AW86" i="6" s="1"/>
  <c r="AX86" i="6" s="1"/>
  <c r="AY86" i="6" s="1"/>
  <c r="AJ107" i="6"/>
  <c r="AO107" i="6" s="1"/>
  <c r="AD109" i="6"/>
  <c r="AN109" i="6" s="1"/>
  <c r="AG108" i="6"/>
  <c r="AH108" i="6" s="1"/>
  <c r="AM108" i="6"/>
  <c r="AI108" i="6"/>
  <c r="AL108" i="6"/>
  <c r="AF88" i="6"/>
  <c r="AE89" i="6"/>
  <c r="H106" i="6"/>
  <c r="K107" i="6"/>
  <c r="I107" i="6"/>
  <c r="J107" i="6" s="1"/>
  <c r="G107" i="6"/>
  <c r="N107" i="6"/>
  <c r="F108" i="6"/>
  <c r="P108" i="6" s="1"/>
  <c r="O107" i="6"/>
  <c r="L106" i="6"/>
  <c r="Q106" i="6" s="1"/>
  <c r="S106" i="6" s="1"/>
  <c r="W86" i="6"/>
  <c r="X86" i="6" s="1"/>
  <c r="Y85" i="6"/>
  <c r="Z85" i="6" s="1"/>
  <c r="AA85" i="6" s="1"/>
  <c r="M106" i="5" l="1"/>
  <c r="AT88" i="6" s="1"/>
  <c r="J106" i="5"/>
  <c r="AK88" i="6" s="1"/>
  <c r="AP88" i="6" s="1"/>
  <c r="AR88" i="6" s="1"/>
  <c r="AS88" i="6" s="1"/>
  <c r="AA105" i="5"/>
  <c r="X105" i="5"/>
  <c r="T107" i="5"/>
  <c r="Q107" i="5"/>
  <c r="C106" i="5"/>
  <c r="M88" i="6" s="1"/>
  <c r="R88" i="6" s="1"/>
  <c r="T88" i="6" s="1"/>
  <c r="U88" i="6" s="1"/>
  <c r="F106" i="5"/>
  <c r="V88" i="6" s="1"/>
  <c r="AS87" i="6"/>
  <c r="AW87" i="6" s="1"/>
  <c r="AX87" i="6" s="1"/>
  <c r="AY87" i="6" s="1"/>
  <c r="AQ107" i="6"/>
  <c r="AJ108" i="6"/>
  <c r="AO108" i="6" s="1"/>
  <c r="AQ108" i="6" s="1"/>
  <c r="AF89" i="6"/>
  <c r="AE90" i="6"/>
  <c r="AM109" i="6"/>
  <c r="AI109" i="6"/>
  <c r="AG109" i="6"/>
  <c r="AH109" i="6" s="1"/>
  <c r="AD110" i="6"/>
  <c r="AN110" i="6" s="1"/>
  <c r="AL109" i="6"/>
  <c r="L107" i="6"/>
  <c r="Q107" i="6" s="1"/>
  <c r="S107" i="6" s="1"/>
  <c r="O108" i="6"/>
  <c r="N108" i="6"/>
  <c r="F109" i="6"/>
  <c r="P109" i="6" s="1"/>
  <c r="I108" i="6"/>
  <c r="J108" i="6" s="1"/>
  <c r="K108" i="6"/>
  <c r="G108" i="6"/>
  <c r="H107" i="6"/>
  <c r="U87" i="6"/>
  <c r="W87" i="6"/>
  <c r="X87" i="6" s="1"/>
  <c r="Y86" i="6"/>
  <c r="Z86" i="6" s="1"/>
  <c r="AA86" i="6" s="1"/>
  <c r="T108" i="5" l="1"/>
  <c r="Q108" i="5"/>
  <c r="AA106" i="5"/>
  <c r="X106" i="5"/>
  <c r="M107" i="5"/>
  <c r="J107" i="5"/>
  <c r="C107" i="5"/>
  <c r="F107" i="5"/>
  <c r="V89" i="6" s="1"/>
  <c r="AU88" i="6"/>
  <c r="AT11" i="12"/>
  <c r="AW88" i="6"/>
  <c r="AJ109" i="6"/>
  <c r="AO109" i="6" s="1"/>
  <c r="AL110" i="6"/>
  <c r="AM110" i="6"/>
  <c r="AI110" i="6"/>
  <c r="AG110" i="6"/>
  <c r="AH110" i="6" s="1"/>
  <c r="AD111" i="6"/>
  <c r="AN111" i="6" s="1"/>
  <c r="AF90" i="6"/>
  <c r="AE91" i="6"/>
  <c r="L108" i="6"/>
  <c r="Q108" i="6" s="1"/>
  <c r="S108" i="6" s="1"/>
  <c r="H108" i="6"/>
  <c r="G109" i="6"/>
  <c r="I109" i="6"/>
  <c r="J109" i="6" s="1"/>
  <c r="N109" i="6"/>
  <c r="O109" i="6"/>
  <c r="F110" i="6"/>
  <c r="P110" i="6" s="1"/>
  <c r="K109" i="6"/>
  <c r="Y88" i="6"/>
  <c r="Y87" i="6"/>
  <c r="Z87" i="6" s="1"/>
  <c r="AA87" i="6" s="1"/>
  <c r="AA107" i="5" l="1"/>
  <c r="X107" i="5"/>
  <c r="J108" i="5"/>
  <c r="AK90" i="6" s="1"/>
  <c r="AP90" i="6" s="1"/>
  <c r="AR90" i="6" s="1"/>
  <c r="M108" i="5"/>
  <c r="AT90" i="6" s="1"/>
  <c r="AU90" i="6" s="1"/>
  <c r="AV90" i="6" s="1"/>
  <c r="AT89" i="6"/>
  <c r="AU89" i="6" s="1"/>
  <c r="AV89" i="6" s="1"/>
  <c r="AK89" i="6"/>
  <c r="AP89" i="6" s="1"/>
  <c r="Q109" i="5"/>
  <c r="T109" i="5"/>
  <c r="C108" i="5"/>
  <c r="M90" i="6" s="1"/>
  <c r="R90" i="6" s="1"/>
  <c r="T90" i="6" s="1"/>
  <c r="F108" i="5"/>
  <c r="V90" i="6" s="1"/>
  <c r="AX88" i="6"/>
  <c r="AW11" i="12"/>
  <c r="AQ109" i="6"/>
  <c r="AV88" i="6"/>
  <c r="AV11" i="12" s="1"/>
  <c r="AU11" i="12"/>
  <c r="M89" i="6"/>
  <c r="R89" i="6" s="1"/>
  <c r="T89" i="6" s="1"/>
  <c r="AJ110" i="6"/>
  <c r="AO110" i="6" s="1"/>
  <c r="AQ110" i="6" s="1"/>
  <c r="AL111" i="6"/>
  <c r="AG111" i="6"/>
  <c r="AH111" i="6" s="1"/>
  <c r="AI111" i="6"/>
  <c r="AD112" i="6"/>
  <c r="AN112" i="6" s="1"/>
  <c r="AM111" i="6"/>
  <c r="AF91" i="6"/>
  <c r="AE92" i="6"/>
  <c r="H109" i="6"/>
  <c r="L109" i="6"/>
  <c r="Q109" i="6" s="1"/>
  <c r="S109" i="6" s="1"/>
  <c r="K110" i="6"/>
  <c r="O110" i="6"/>
  <c r="I110" i="6"/>
  <c r="J110" i="6" s="1"/>
  <c r="N110" i="6"/>
  <c r="G110" i="6"/>
  <c r="F111" i="6"/>
  <c r="P111" i="6" s="1"/>
  <c r="Z88" i="6"/>
  <c r="W89" i="6"/>
  <c r="X89" i="6" s="1"/>
  <c r="W88" i="6"/>
  <c r="T110" i="5" l="1"/>
  <c r="Q110" i="5"/>
  <c r="J109" i="5"/>
  <c r="AK91" i="6" s="1"/>
  <c r="M109" i="5"/>
  <c r="AT91" i="6" s="1"/>
  <c r="X108" i="5"/>
  <c r="AA108" i="5"/>
  <c r="C109" i="5"/>
  <c r="F109" i="5"/>
  <c r="V91" i="6" s="1"/>
  <c r="AR89" i="6"/>
  <c r="AY88" i="6"/>
  <c r="AY11" i="12" s="1"/>
  <c r="AX11" i="12"/>
  <c r="U89" i="6"/>
  <c r="Y89" i="6" s="1"/>
  <c r="Z89" i="6" s="1"/>
  <c r="AA89" i="6" s="1"/>
  <c r="AJ111" i="6"/>
  <c r="AO111" i="6" s="1"/>
  <c r="AQ111" i="6" s="1"/>
  <c r="AF92" i="6"/>
  <c r="AE93" i="6"/>
  <c r="AL112" i="6"/>
  <c r="AI112" i="6"/>
  <c r="AD113" i="6"/>
  <c r="AN113" i="6" s="1"/>
  <c r="AM112" i="6"/>
  <c r="AG112" i="6"/>
  <c r="AH112" i="6" s="1"/>
  <c r="L110" i="6"/>
  <c r="Q110" i="6" s="1"/>
  <c r="S110" i="6" s="1"/>
  <c r="H110" i="6"/>
  <c r="O111" i="6"/>
  <c r="I111" i="6"/>
  <c r="J111" i="6" s="1"/>
  <c r="N111" i="6"/>
  <c r="G111" i="6"/>
  <c r="F112" i="6"/>
  <c r="P112" i="6" s="1"/>
  <c r="K111" i="6"/>
  <c r="AA88" i="6"/>
  <c r="X88" i="6"/>
  <c r="W90" i="6"/>
  <c r="X90" i="6" s="1"/>
  <c r="U90" i="6"/>
  <c r="X109" i="5" l="1"/>
  <c r="AA109" i="5"/>
  <c r="J110" i="5"/>
  <c r="AK92" i="6" s="1"/>
  <c r="AP92" i="6" s="1"/>
  <c r="AR92" i="6" s="1"/>
  <c r="M110" i="5"/>
  <c r="AT92" i="6" s="1"/>
  <c r="AU92" i="6" s="1"/>
  <c r="AV92" i="6" s="1"/>
  <c r="T111" i="5"/>
  <c r="Q111" i="5"/>
  <c r="F110" i="5"/>
  <c r="V92" i="6" s="1"/>
  <c r="C110" i="5"/>
  <c r="M92" i="6" s="1"/>
  <c r="R92" i="6" s="1"/>
  <c r="T92" i="6" s="1"/>
  <c r="AP91" i="6"/>
  <c r="AS89" i="6"/>
  <c r="AW89" i="6" s="1"/>
  <c r="AX89" i="6" s="1"/>
  <c r="AY89" i="6" s="1"/>
  <c r="AS90" i="6"/>
  <c r="AW90" i="6" s="1"/>
  <c r="AX90" i="6" s="1"/>
  <c r="AY90" i="6" s="1"/>
  <c r="AU91" i="6"/>
  <c r="AV91" i="6" s="1"/>
  <c r="M91" i="6"/>
  <c r="R91" i="6" s="1"/>
  <c r="T91" i="6" s="1"/>
  <c r="AJ112" i="6"/>
  <c r="AO112" i="6" s="1"/>
  <c r="AQ112" i="6" s="1"/>
  <c r="AL113" i="6"/>
  <c r="AD114" i="6"/>
  <c r="AN114" i="6" s="1"/>
  <c r="AM113" i="6"/>
  <c r="AG113" i="6"/>
  <c r="AH113" i="6" s="1"/>
  <c r="AI113" i="6"/>
  <c r="AF93" i="6"/>
  <c r="AE94" i="6"/>
  <c r="O112" i="6"/>
  <c r="G112" i="6"/>
  <c r="F113" i="6"/>
  <c r="P113" i="6" s="1"/>
  <c r="N112" i="6"/>
  <c r="K112" i="6"/>
  <c r="I112" i="6"/>
  <c r="J112" i="6" s="1"/>
  <c r="L111" i="6"/>
  <c r="Q111" i="6" s="1"/>
  <c r="S111" i="6" s="1"/>
  <c r="H111" i="6"/>
  <c r="W91" i="6"/>
  <c r="X91" i="6" s="1"/>
  <c r="Y90" i="6"/>
  <c r="Z90" i="6" s="1"/>
  <c r="AA90" i="6" s="1"/>
  <c r="U92" i="6" l="1"/>
  <c r="Q112" i="5"/>
  <c r="T112" i="5"/>
  <c r="M111" i="5"/>
  <c r="J111" i="5"/>
  <c r="AA110" i="5"/>
  <c r="X110" i="5"/>
  <c r="C111" i="5"/>
  <c r="M93" i="6" s="1"/>
  <c r="R93" i="6" s="1"/>
  <c r="T93" i="6" s="1"/>
  <c r="F111" i="5"/>
  <c r="V93" i="6" s="1"/>
  <c r="AR91" i="6"/>
  <c r="U91" i="6"/>
  <c r="Y91" i="6" s="1"/>
  <c r="Z91" i="6" s="1"/>
  <c r="AA91" i="6" s="1"/>
  <c r="AT93" i="6"/>
  <c r="AU93" i="6" s="1"/>
  <c r="AV93" i="6" s="1"/>
  <c r="AJ113" i="6"/>
  <c r="AO113" i="6" s="1"/>
  <c r="AI114" i="6"/>
  <c r="AL114" i="6"/>
  <c r="AG114" i="6"/>
  <c r="AH114" i="6" s="1"/>
  <c r="AD115" i="6"/>
  <c r="AN115" i="6" s="1"/>
  <c r="AM114" i="6"/>
  <c r="AF94" i="6"/>
  <c r="AE95" i="6"/>
  <c r="H112" i="6"/>
  <c r="L112" i="6"/>
  <c r="Q112" i="6" s="1"/>
  <c r="S112" i="6" s="1"/>
  <c r="I113" i="6"/>
  <c r="J113" i="6" s="1"/>
  <c r="G113" i="6"/>
  <c r="N113" i="6"/>
  <c r="O113" i="6"/>
  <c r="K113" i="6"/>
  <c r="F114" i="6"/>
  <c r="P114" i="6" s="1"/>
  <c r="W92" i="6"/>
  <c r="X92" i="6" s="1"/>
  <c r="AA111" i="5" l="1"/>
  <c r="X111" i="5"/>
  <c r="AK93" i="6"/>
  <c r="AP93" i="6" s="1"/>
  <c r="AR93" i="6" s="1"/>
  <c r="AS93" i="6" s="1"/>
  <c r="AW93" i="6" s="1"/>
  <c r="AX93" i="6" s="1"/>
  <c r="AY93" i="6" s="1"/>
  <c r="M112" i="5"/>
  <c r="AT94" i="6" s="1"/>
  <c r="AU94" i="6" s="1"/>
  <c r="AV94" i="6" s="1"/>
  <c r="J112" i="5"/>
  <c r="AK94" i="6" s="1"/>
  <c r="AP94" i="6" s="1"/>
  <c r="Q113" i="5"/>
  <c r="T113" i="5"/>
  <c r="F112" i="5"/>
  <c r="V94" i="6" s="1"/>
  <c r="C112" i="5"/>
  <c r="M94" i="6" s="1"/>
  <c r="R94" i="6" s="1"/>
  <c r="T94" i="6" s="1"/>
  <c r="AS92" i="6"/>
  <c r="AW92" i="6" s="1"/>
  <c r="AX92" i="6" s="1"/>
  <c r="AY92" i="6" s="1"/>
  <c r="AS91" i="6"/>
  <c r="AW91" i="6" s="1"/>
  <c r="AX91" i="6" s="1"/>
  <c r="AY91" i="6" s="1"/>
  <c r="AQ113" i="6"/>
  <c r="AJ114" i="6"/>
  <c r="AO114" i="6" s="1"/>
  <c r="AQ114" i="6" s="1"/>
  <c r="AF95" i="6"/>
  <c r="AE96" i="6"/>
  <c r="AG115" i="6"/>
  <c r="AH115" i="6" s="1"/>
  <c r="AI115" i="6"/>
  <c r="AD116" i="6"/>
  <c r="AN116" i="6" s="1"/>
  <c r="AL115" i="6"/>
  <c r="AM115" i="6"/>
  <c r="L113" i="6"/>
  <c r="Q113" i="6" s="1"/>
  <c r="S113" i="6" s="1"/>
  <c r="H113" i="6"/>
  <c r="I114" i="6"/>
  <c r="J114" i="6" s="1"/>
  <c r="G114" i="6"/>
  <c r="K114" i="6"/>
  <c r="O114" i="6"/>
  <c r="N114" i="6"/>
  <c r="F115" i="6"/>
  <c r="P115" i="6" s="1"/>
  <c r="Y92" i="6"/>
  <c r="Z92" i="6" s="1"/>
  <c r="AA92" i="6" s="1"/>
  <c r="W93" i="6"/>
  <c r="X93" i="6" s="1"/>
  <c r="U93" i="6"/>
  <c r="Y93" i="6" s="1"/>
  <c r="Z93" i="6" s="1"/>
  <c r="AA93" i="6" s="1"/>
  <c r="Q114" i="5" l="1"/>
  <c r="T114" i="5"/>
  <c r="J113" i="5"/>
  <c r="AK95" i="6" s="1"/>
  <c r="AP95" i="6" s="1"/>
  <c r="AR95" i="6" s="1"/>
  <c r="M113" i="5"/>
  <c r="X112" i="5"/>
  <c r="AA112" i="5"/>
  <c r="C113" i="5"/>
  <c r="M95" i="6" s="1"/>
  <c r="R95" i="6" s="1"/>
  <c r="T95" i="6" s="1"/>
  <c r="F113" i="5"/>
  <c r="V95" i="6" s="1"/>
  <c r="AR94" i="6"/>
  <c r="AS94" i="6" s="1"/>
  <c r="AW94" i="6" s="1"/>
  <c r="AX94" i="6" s="1"/>
  <c r="AY94" i="6" s="1"/>
  <c r="AT95" i="6"/>
  <c r="AU95" i="6" s="1"/>
  <c r="AV95" i="6" s="1"/>
  <c r="AJ115" i="6"/>
  <c r="AO115" i="6" s="1"/>
  <c r="AI116" i="6"/>
  <c r="AM116" i="6"/>
  <c r="AG116" i="6"/>
  <c r="AH116" i="6" s="1"/>
  <c r="AL116" i="6"/>
  <c r="AD117" i="6"/>
  <c r="AN117" i="6" s="1"/>
  <c r="AF96" i="6"/>
  <c r="AE97" i="6"/>
  <c r="H114" i="6"/>
  <c r="L114" i="6"/>
  <c r="Q114" i="6" s="1"/>
  <c r="S114" i="6" s="1"/>
  <c r="N115" i="6"/>
  <c r="I115" i="6"/>
  <c r="J115" i="6" s="1"/>
  <c r="O115" i="6"/>
  <c r="F116" i="6"/>
  <c r="P116" i="6" s="1"/>
  <c r="G115" i="6"/>
  <c r="K115" i="6"/>
  <c r="U94" i="6"/>
  <c r="W94" i="6"/>
  <c r="X94" i="6" s="1"/>
  <c r="AA113" i="5" l="1"/>
  <c r="X113" i="5"/>
  <c r="M114" i="5"/>
  <c r="J114" i="5"/>
  <c r="AK96" i="6" s="1"/>
  <c r="AP96" i="6" s="1"/>
  <c r="T115" i="5"/>
  <c r="Q115" i="5"/>
  <c r="AS95" i="6"/>
  <c r="AW95" i="6" s="1"/>
  <c r="AX95" i="6" s="1"/>
  <c r="AY95" i="6" s="1"/>
  <c r="F114" i="5"/>
  <c r="V96" i="6" s="1"/>
  <c r="C114" i="5"/>
  <c r="M96" i="6" s="1"/>
  <c r="R96" i="6" s="1"/>
  <c r="T96" i="6" s="1"/>
  <c r="U96" i="6" s="1"/>
  <c r="AQ115" i="6"/>
  <c r="AT96" i="6"/>
  <c r="AU96" i="6" s="1"/>
  <c r="AV96" i="6" s="1"/>
  <c r="AJ116" i="6"/>
  <c r="AO116" i="6" s="1"/>
  <c r="AQ116" i="6" s="1"/>
  <c r="AF97" i="6"/>
  <c r="AE98" i="6"/>
  <c r="AI117" i="6"/>
  <c r="AG117" i="6"/>
  <c r="AH117" i="6" s="1"/>
  <c r="AD118" i="6"/>
  <c r="AN118" i="6" s="1"/>
  <c r="AL117" i="6"/>
  <c r="AM117" i="6"/>
  <c r="H115" i="6"/>
  <c r="L115" i="6"/>
  <c r="Q115" i="6" s="1"/>
  <c r="S115" i="6" s="1"/>
  <c r="F117" i="6"/>
  <c r="P117" i="6" s="1"/>
  <c r="K116" i="6"/>
  <c r="O116" i="6"/>
  <c r="G116" i="6"/>
  <c r="I116" i="6"/>
  <c r="J116" i="6" s="1"/>
  <c r="N116" i="6"/>
  <c r="W95" i="6"/>
  <c r="X95" i="6" s="1"/>
  <c r="Y94" i="6"/>
  <c r="Z94" i="6" s="1"/>
  <c r="AA94" i="6" s="1"/>
  <c r="U95" i="6"/>
  <c r="Y95" i="6" s="1"/>
  <c r="Z95" i="6" s="1"/>
  <c r="AA95" i="6" s="1"/>
  <c r="T116" i="5" l="1"/>
  <c r="Q116" i="5"/>
  <c r="M115" i="5"/>
  <c r="J115" i="5"/>
  <c r="AK97" i="6" s="1"/>
  <c r="AP97" i="6" s="1"/>
  <c r="AR97" i="6" s="1"/>
  <c r="X114" i="5"/>
  <c r="AA114" i="5"/>
  <c r="C115" i="5"/>
  <c r="M97" i="6" s="1"/>
  <c r="R97" i="6" s="1"/>
  <c r="T97" i="6" s="1"/>
  <c r="U97" i="6" s="1"/>
  <c r="F115" i="5"/>
  <c r="V97" i="6" s="1"/>
  <c r="AR96" i="6"/>
  <c r="AS96" i="6" s="1"/>
  <c r="AW96" i="6" s="1"/>
  <c r="AX96" i="6" s="1"/>
  <c r="AY96" i="6" s="1"/>
  <c r="AT97" i="6"/>
  <c r="AU97" i="6" s="1"/>
  <c r="AV97" i="6" s="1"/>
  <c r="AJ117" i="6"/>
  <c r="AO117" i="6" s="1"/>
  <c r="AQ117" i="6" s="1"/>
  <c r="AL118" i="6"/>
  <c r="AI118" i="6"/>
  <c r="AG118" i="6"/>
  <c r="AH118" i="6" s="1"/>
  <c r="AD119" i="6"/>
  <c r="AM118" i="6"/>
  <c r="AF98" i="6"/>
  <c r="AE99" i="6"/>
  <c r="L116" i="6"/>
  <c r="Q116" i="6" s="1"/>
  <c r="S116" i="6" s="1"/>
  <c r="H116" i="6"/>
  <c r="F118" i="6"/>
  <c r="P118" i="6" s="1"/>
  <c r="K117" i="6"/>
  <c r="O117" i="6"/>
  <c r="G117" i="6"/>
  <c r="I117" i="6"/>
  <c r="J117" i="6" s="1"/>
  <c r="N117" i="6"/>
  <c r="W96" i="6"/>
  <c r="X96" i="6" s="1"/>
  <c r="Y96" i="6"/>
  <c r="Z96" i="6" s="1"/>
  <c r="AA96" i="6" s="1"/>
  <c r="X115" i="5" l="1"/>
  <c r="AA115" i="5"/>
  <c r="J116" i="5"/>
  <c r="AK98" i="6" s="1"/>
  <c r="AP98" i="6" s="1"/>
  <c r="AR98" i="6" s="1"/>
  <c r="AS98" i="6" s="1"/>
  <c r="M116" i="5"/>
  <c r="T117" i="5"/>
  <c r="Q117" i="5"/>
  <c r="C116" i="5"/>
  <c r="M98" i="6" s="1"/>
  <c r="R98" i="6" s="1"/>
  <c r="T98" i="6" s="1"/>
  <c r="F116" i="5"/>
  <c r="V98" i="6" s="1"/>
  <c r="AN119" i="6"/>
  <c r="AS97" i="6"/>
  <c r="AW97" i="6" s="1"/>
  <c r="AX97" i="6" s="1"/>
  <c r="AY97" i="6" s="1"/>
  <c r="AJ118" i="6"/>
  <c r="AO118" i="6" s="1"/>
  <c r="AQ118" i="6" s="1"/>
  <c r="AF99" i="6"/>
  <c r="AE100" i="6"/>
  <c r="AL119" i="6"/>
  <c r="AM119" i="6"/>
  <c r="AD120" i="6"/>
  <c r="AN120" i="6" s="1"/>
  <c r="AI119" i="6"/>
  <c r="AG119" i="6"/>
  <c r="AH119" i="6" s="1"/>
  <c r="L117" i="6"/>
  <c r="Q117" i="6" s="1"/>
  <c r="S117" i="6" s="1"/>
  <c r="H117" i="6"/>
  <c r="I118" i="6"/>
  <c r="J118" i="6" s="1"/>
  <c r="N118" i="6"/>
  <c r="G118" i="6"/>
  <c r="F119" i="6"/>
  <c r="P119" i="6" s="1"/>
  <c r="O118" i="6"/>
  <c r="K118" i="6"/>
  <c r="Q118" i="5" l="1"/>
  <c r="T118" i="5"/>
  <c r="J117" i="5"/>
  <c r="AK99" i="6" s="1"/>
  <c r="AP99" i="6" s="1"/>
  <c r="AR99" i="6" s="1"/>
  <c r="AS99" i="6" s="1"/>
  <c r="M117" i="5"/>
  <c r="AA116" i="5"/>
  <c r="X116" i="5"/>
  <c r="AT98" i="6"/>
  <c r="AU98" i="6" s="1"/>
  <c r="AV98" i="6" s="1"/>
  <c r="C117" i="5"/>
  <c r="M99" i="6" s="1"/>
  <c r="R99" i="6" s="1"/>
  <c r="T99" i="6" s="1"/>
  <c r="U99" i="6" s="1"/>
  <c r="F117" i="5"/>
  <c r="V99" i="6" s="1"/>
  <c r="AJ119" i="6"/>
  <c r="AO119" i="6" s="1"/>
  <c r="AQ119" i="6" s="1"/>
  <c r="AI120" i="6"/>
  <c r="AM120" i="6"/>
  <c r="AL120" i="6"/>
  <c r="AG120" i="6"/>
  <c r="AH120" i="6" s="1"/>
  <c r="AD121" i="6"/>
  <c r="AF100" i="6"/>
  <c r="AE101" i="6"/>
  <c r="H118" i="6"/>
  <c r="K119" i="6"/>
  <c r="F120" i="6"/>
  <c r="P120" i="6" s="1"/>
  <c r="I119" i="6"/>
  <c r="J119" i="6" s="1"/>
  <c r="G119" i="6"/>
  <c r="N119" i="6"/>
  <c r="O119" i="6"/>
  <c r="L118" i="6"/>
  <c r="Q118" i="6" s="1"/>
  <c r="S118" i="6" s="1"/>
  <c r="W98" i="6"/>
  <c r="X98" i="6" s="1"/>
  <c r="U98" i="6"/>
  <c r="Y98" i="6" s="1"/>
  <c r="Z98" i="6" s="1"/>
  <c r="AA98" i="6" s="1"/>
  <c r="W97" i="6"/>
  <c r="X97" i="6" s="1"/>
  <c r="Y97" i="6"/>
  <c r="Z97" i="6" s="1"/>
  <c r="AA97" i="6" s="1"/>
  <c r="AW98" i="6" l="1"/>
  <c r="AX98" i="6" s="1"/>
  <c r="AY98" i="6" s="1"/>
  <c r="AA117" i="5"/>
  <c r="X117" i="5"/>
  <c r="M118" i="5"/>
  <c r="J118" i="5"/>
  <c r="AK100" i="6" s="1"/>
  <c r="AP100" i="6" s="1"/>
  <c r="AR100" i="6" s="1"/>
  <c r="AS100" i="6" s="1"/>
  <c r="T119" i="5"/>
  <c r="Q119" i="5"/>
  <c r="AT99" i="6"/>
  <c r="AW99" i="6" s="1"/>
  <c r="AX99" i="6" s="1"/>
  <c r="AY99" i="6" s="1"/>
  <c r="C118" i="5"/>
  <c r="M100" i="6" s="1"/>
  <c r="R100" i="6" s="1"/>
  <c r="T100" i="6" s="1"/>
  <c r="F118" i="5"/>
  <c r="V100" i="6" s="1"/>
  <c r="AN121" i="6"/>
  <c r="AJ120" i="6"/>
  <c r="AO120" i="6" s="1"/>
  <c r="AQ120" i="6" s="1"/>
  <c r="AF101" i="6"/>
  <c r="AE102" i="6"/>
  <c r="AD122" i="6"/>
  <c r="AN122" i="6" s="1"/>
  <c r="AM121" i="6"/>
  <c r="AI121" i="6"/>
  <c r="AL121" i="6"/>
  <c r="AG121" i="6"/>
  <c r="AH121" i="6" s="1"/>
  <c r="L119" i="6"/>
  <c r="Q119" i="6" s="1"/>
  <c r="S119" i="6" s="1"/>
  <c r="H119" i="6"/>
  <c r="O120" i="6"/>
  <c r="I120" i="6"/>
  <c r="J120" i="6" s="1"/>
  <c r="G120" i="6"/>
  <c r="F121" i="6"/>
  <c r="P121" i="6" s="1"/>
  <c r="N120" i="6"/>
  <c r="K120" i="6"/>
  <c r="W99" i="6"/>
  <c r="X99" i="6" s="1"/>
  <c r="Y99" i="6"/>
  <c r="Z99" i="6" s="1"/>
  <c r="AA99" i="6" s="1"/>
  <c r="AU99" i="6" l="1"/>
  <c r="AV99" i="6" s="1"/>
  <c r="T120" i="5"/>
  <c r="Q120" i="5"/>
  <c r="M119" i="5"/>
  <c r="J119" i="5"/>
  <c r="AK101" i="6" s="1"/>
  <c r="AT100" i="6"/>
  <c r="AW100" i="6" s="1"/>
  <c r="AX100" i="6" s="1"/>
  <c r="X118" i="5"/>
  <c r="AA118" i="5"/>
  <c r="C119" i="5"/>
  <c r="F119" i="5"/>
  <c r="V101" i="6" s="1"/>
  <c r="AT101" i="6"/>
  <c r="AU101" i="6" s="1"/>
  <c r="AV101" i="6" s="1"/>
  <c r="AJ121" i="6"/>
  <c r="AO121" i="6" s="1"/>
  <c r="AQ121" i="6" s="1"/>
  <c r="AG122" i="6"/>
  <c r="AH122" i="6" s="1"/>
  <c r="AM122" i="6"/>
  <c r="AL122" i="6"/>
  <c r="AI122" i="6"/>
  <c r="AD123" i="6"/>
  <c r="AF102" i="6"/>
  <c r="AE103" i="6"/>
  <c r="H120" i="6"/>
  <c r="I121" i="6"/>
  <c r="J121" i="6" s="1"/>
  <c r="G121" i="6"/>
  <c r="N121" i="6"/>
  <c r="F122" i="6"/>
  <c r="P122" i="6" s="1"/>
  <c r="O121" i="6"/>
  <c r="K121" i="6"/>
  <c r="L120" i="6"/>
  <c r="Q120" i="6" s="1"/>
  <c r="S120" i="6" s="1"/>
  <c r="U100" i="6"/>
  <c r="AA119" i="5" l="1"/>
  <c r="X119" i="5"/>
  <c r="AT12" i="12"/>
  <c r="J120" i="5"/>
  <c r="AK102" i="6" s="1"/>
  <c r="AP102" i="6" s="1"/>
  <c r="AR102" i="6" s="1"/>
  <c r="M120" i="5"/>
  <c r="AU100" i="6"/>
  <c r="AV100" i="6" s="1"/>
  <c r="AV12" i="12" s="1"/>
  <c r="AW12" i="12"/>
  <c r="T121" i="5"/>
  <c r="Q121" i="5"/>
  <c r="C120" i="5"/>
  <c r="M102" i="6" s="1"/>
  <c r="R102" i="6" s="1"/>
  <c r="T102" i="6" s="1"/>
  <c r="F120" i="5"/>
  <c r="V102" i="6" s="1"/>
  <c r="AN123" i="6"/>
  <c r="AP101" i="6"/>
  <c r="AY100" i="6"/>
  <c r="AY12" i="12" s="1"/>
  <c r="AX12" i="12"/>
  <c r="M101" i="6"/>
  <c r="R101" i="6" s="1"/>
  <c r="T101" i="6" s="1"/>
  <c r="U101" i="6" s="1"/>
  <c r="AT102" i="6"/>
  <c r="AU102" i="6" s="1"/>
  <c r="AV102" i="6" s="1"/>
  <c r="AJ122" i="6"/>
  <c r="AO122" i="6" s="1"/>
  <c r="AQ122" i="6" s="1"/>
  <c r="AF103" i="6"/>
  <c r="AE104" i="6"/>
  <c r="AL123" i="6"/>
  <c r="AM123" i="6"/>
  <c r="AD124" i="6"/>
  <c r="AN124" i="6" s="1"/>
  <c r="AI123" i="6"/>
  <c r="AG123" i="6"/>
  <c r="AH123" i="6" s="1"/>
  <c r="H121" i="6"/>
  <c r="I122" i="6"/>
  <c r="J122" i="6" s="1"/>
  <c r="G122" i="6"/>
  <c r="K122" i="6"/>
  <c r="F123" i="6"/>
  <c r="P123" i="6" s="1"/>
  <c r="N122" i="6"/>
  <c r="O122" i="6"/>
  <c r="L121" i="6"/>
  <c r="Q121" i="6" s="1"/>
  <c r="S121" i="6" s="1"/>
  <c r="W100" i="6"/>
  <c r="W101" i="6"/>
  <c r="X101" i="6" s="1"/>
  <c r="Y100" i="6"/>
  <c r="AU12" i="12" l="1"/>
  <c r="T122" i="5"/>
  <c r="Q122" i="5"/>
  <c r="J121" i="5"/>
  <c r="AK103" i="6" s="1"/>
  <c r="M121" i="5"/>
  <c r="X120" i="5"/>
  <c r="AA120" i="5"/>
  <c r="F121" i="5"/>
  <c r="V103" i="6" s="1"/>
  <c r="C121" i="5"/>
  <c r="AR101" i="6"/>
  <c r="AJ123" i="6"/>
  <c r="AO123" i="6" s="1"/>
  <c r="AQ123" i="6" s="1"/>
  <c r="AD125" i="6"/>
  <c r="AM124" i="6"/>
  <c r="AI124" i="6"/>
  <c r="AL124" i="6"/>
  <c r="AG124" i="6"/>
  <c r="AH124" i="6" s="1"/>
  <c r="AF104" i="6"/>
  <c r="AE105" i="6"/>
  <c r="L122" i="6"/>
  <c r="Q122" i="6" s="1"/>
  <c r="S122" i="6" s="1"/>
  <c r="G123" i="6"/>
  <c r="F124" i="6"/>
  <c r="P124" i="6" s="1"/>
  <c r="I123" i="6"/>
  <c r="J123" i="6" s="1"/>
  <c r="K123" i="6"/>
  <c r="N123" i="6"/>
  <c r="O123" i="6"/>
  <c r="H122" i="6"/>
  <c r="U102" i="6"/>
  <c r="Y102" i="6" s="1"/>
  <c r="Z102" i="6" s="1"/>
  <c r="AA102" i="6" s="1"/>
  <c r="X100" i="6"/>
  <c r="Z100" i="6"/>
  <c r="W102" i="6"/>
  <c r="X102" i="6" s="1"/>
  <c r="Y101" i="6"/>
  <c r="Z101" i="6" s="1"/>
  <c r="AA101" i="6" s="1"/>
  <c r="M103" i="6" l="1"/>
  <c r="R103" i="6" s="1"/>
  <c r="T103" i="6" s="1"/>
  <c r="U103" i="6" s="1"/>
  <c r="Y103" i="6" s="1"/>
  <c r="Z103" i="6" s="1"/>
  <c r="AA103" i="6" s="1"/>
  <c r="AA121" i="5"/>
  <c r="X121" i="5"/>
  <c r="M122" i="5"/>
  <c r="AT104" i="6" s="1"/>
  <c r="AU104" i="6" s="1"/>
  <c r="AV104" i="6" s="1"/>
  <c r="J122" i="5"/>
  <c r="AK104" i="6" s="1"/>
  <c r="AP104" i="6" s="1"/>
  <c r="AR104" i="6" s="1"/>
  <c r="AT103" i="6"/>
  <c r="AU103" i="6" s="1"/>
  <c r="AV103" i="6" s="1"/>
  <c r="T123" i="5"/>
  <c r="Q123" i="5"/>
  <c r="F122" i="5"/>
  <c r="V104" i="6" s="1"/>
  <c r="C122" i="5"/>
  <c r="M104" i="6" s="1"/>
  <c r="R104" i="6" s="1"/>
  <c r="T104" i="6" s="1"/>
  <c r="AN125" i="6"/>
  <c r="AP103" i="6"/>
  <c r="AS101" i="6"/>
  <c r="AW101" i="6" s="1"/>
  <c r="AX101" i="6" s="1"/>
  <c r="AY101" i="6" s="1"/>
  <c r="AS102" i="6"/>
  <c r="AW102" i="6" s="1"/>
  <c r="AX102" i="6" s="1"/>
  <c r="AY102" i="6" s="1"/>
  <c r="AJ124" i="6"/>
  <c r="AO124" i="6" s="1"/>
  <c r="AQ124" i="6" s="1"/>
  <c r="AF105" i="6"/>
  <c r="AE106" i="6"/>
  <c r="AD126" i="6"/>
  <c r="AN126" i="6" s="1"/>
  <c r="AM125" i="6"/>
  <c r="AG125" i="6"/>
  <c r="AH125" i="6" s="1"/>
  <c r="AL125" i="6"/>
  <c r="AI125" i="6"/>
  <c r="L123" i="6"/>
  <c r="Q123" i="6" s="1"/>
  <c r="S123" i="6" s="1"/>
  <c r="O124" i="6"/>
  <c r="K124" i="6"/>
  <c r="N124" i="6"/>
  <c r="G124" i="6"/>
  <c r="H124" i="6" s="1"/>
  <c r="F125" i="6"/>
  <c r="P125" i="6" s="1"/>
  <c r="I124" i="6"/>
  <c r="J124" i="6" s="1"/>
  <c r="H123" i="6"/>
  <c r="W103" i="6"/>
  <c r="X103" i="6" s="1"/>
  <c r="AA100" i="6"/>
  <c r="Q124" i="5" l="1"/>
  <c r="T124" i="5"/>
  <c r="J123" i="5"/>
  <c r="M123" i="5"/>
  <c r="AA122" i="5"/>
  <c r="X122" i="5"/>
  <c r="F123" i="5"/>
  <c r="V105" i="6" s="1"/>
  <c r="C123" i="5"/>
  <c r="M105" i="6" s="1"/>
  <c r="R105" i="6" s="1"/>
  <c r="T105" i="6" s="1"/>
  <c r="AR103" i="6"/>
  <c r="AJ125" i="6"/>
  <c r="AO125" i="6" s="1"/>
  <c r="AD127" i="6"/>
  <c r="AN127" i="6" s="1"/>
  <c r="AM126" i="6"/>
  <c r="AI126" i="6"/>
  <c r="AL126" i="6"/>
  <c r="AG126" i="6"/>
  <c r="AH126" i="6" s="1"/>
  <c r="AF106" i="6"/>
  <c r="AE107" i="6"/>
  <c r="L124" i="6"/>
  <c r="Q124" i="6" s="1"/>
  <c r="S124" i="6" s="1"/>
  <c r="G125" i="6"/>
  <c r="H125" i="6" s="1"/>
  <c r="I125" i="6"/>
  <c r="J125" i="6" s="1"/>
  <c r="O125" i="6"/>
  <c r="N125" i="6"/>
  <c r="F126" i="6"/>
  <c r="P126" i="6" s="1"/>
  <c r="K125" i="6"/>
  <c r="W104" i="6"/>
  <c r="X104" i="6" s="1"/>
  <c r="U104" i="6"/>
  <c r="Y104" i="6" s="1"/>
  <c r="Z104" i="6" s="1"/>
  <c r="AA104" i="6" s="1"/>
  <c r="X123" i="5" l="1"/>
  <c r="AA123" i="5"/>
  <c r="J124" i="5"/>
  <c r="AK106" i="6" s="1"/>
  <c r="AP106" i="6" s="1"/>
  <c r="M124" i="5"/>
  <c r="AT106" i="6" s="1"/>
  <c r="AU106" i="6" s="1"/>
  <c r="AV106" i="6" s="1"/>
  <c r="AK105" i="6"/>
  <c r="AP105" i="6" s="1"/>
  <c r="AR105" i="6" s="1"/>
  <c r="AS105" i="6" s="1"/>
  <c r="Q125" i="5"/>
  <c r="T125" i="5"/>
  <c r="AT105" i="6"/>
  <c r="AU105" i="6" s="1"/>
  <c r="AV105" i="6" s="1"/>
  <c r="C124" i="5"/>
  <c r="F124" i="5"/>
  <c r="V106" i="6" s="1"/>
  <c r="AS104" i="6"/>
  <c r="AW104" i="6" s="1"/>
  <c r="AX104" i="6" s="1"/>
  <c r="AY104" i="6" s="1"/>
  <c r="AS103" i="6"/>
  <c r="AW103" i="6" s="1"/>
  <c r="AX103" i="6" s="1"/>
  <c r="AY103" i="6" s="1"/>
  <c r="AQ125" i="6"/>
  <c r="AJ126" i="6"/>
  <c r="AO126" i="6" s="1"/>
  <c r="AQ126" i="6" s="1"/>
  <c r="AD128" i="6"/>
  <c r="AM127" i="6"/>
  <c r="AL127" i="6"/>
  <c r="AI127" i="6"/>
  <c r="AG127" i="6"/>
  <c r="AH127" i="6" s="1"/>
  <c r="AF107" i="6"/>
  <c r="AE108" i="6"/>
  <c r="L125" i="6"/>
  <c r="Q125" i="6" s="1"/>
  <c r="S125" i="6" s="1"/>
  <c r="G126" i="6"/>
  <c r="O126" i="6"/>
  <c r="I126" i="6"/>
  <c r="J126" i="6" s="1"/>
  <c r="F127" i="6"/>
  <c r="P127" i="6" s="1"/>
  <c r="K126" i="6"/>
  <c r="N126" i="6"/>
  <c r="U105" i="6"/>
  <c r="Y105" i="6" s="1"/>
  <c r="Z105" i="6" s="1"/>
  <c r="AA105" i="6" s="1"/>
  <c r="W105" i="6"/>
  <c r="X105" i="6" s="1"/>
  <c r="AW105" i="6" l="1"/>
  <c r="AX105" i="6" s="1"/>
  <c r="AY105" i="6" s="1"/>
  <c r="M125" i="5"/>
  <c r="AT107" i="6" s="1"/>
  <c r="AU107" i="6" s="1"/>
  <c r="AV107" i="6" s="1"/>
  <c r="J125" i="5"/>
  <c r="AK107" i="6" s="1"/>
  <c r="Q126" i="5"/>
  <c r="T126" i="5"/>
  <c r="X124" i="5"/>
  <c r="AA124" i="5"/>
  <c r="C125" i="5"/>
  <c r="M107" i="6" s="1"/>
  <c r="R107" i="6" s="1"/>
  <c r="T107" i="6" s="1"/>
  <c r="F125" i="5"/>
  <c r="V107" i="6" s="1"/>
  <c r="AN128" i="6"/>
  <c r="AR106" i="6"/>
  <c r="AS106" i="6" s="1"/>
  <c r="AW106" i="6" s="1"/>
  <c r="AX106" i="6" s="1"/>
  <c r="AY106" i="6" s="1"/>
  <c r="M106" i="6"/>
  <c r="R106" i="6" s="1"/>
  <c r="T106" i="6" s="1"/>
  <c r="U106" i="6" s="1"/>
  <c r="Y106" i="6" s="1"/>
  <c r="Z106" i="6" s="1"/>
  <c r="AA106" i="6" s="1"/>
  <c r="AJ127" i="6"/>
  <c r="AO127" i="6" s="1"/>
  <c r="AQ127" i="6" s="1"/>
  <c r="AF108" i="6"/>
  <c r="AE109" i="6"/>
  <c r="AD129" i="6"/>
  <c r="AN129" i="6" s="1"/>
  <c r="AM128" i="6"/>
  <c r="AL128" i="6"/>
  <c r="AI128" i="6"/>
  <c r="AG128" i="6"/>
  <c r="AH128" i="6" s="1"/>
  <c r="L126" i="6"/>
  <c r="Q126" i="6" s="1"/>
  <c r="S126" i="6" s="1"/>
  <c r="O127" i="6"/>
  <c r="N127" i="6"/>
  <c r="K127" i="6"/>
  <c r="I127" i="6"/>
  <c r="J127" i="6" s="1"/>
  <c r="F128" i="6"/>
  <c r="P128" i="6" s="1"/>
  <c r="G127" i="6"/>
  <c r="H126" i="6"/>
  <c r="W106" i="6"/>
  <c r="X106" i="6" s="1"/>
  <c r="X125" i="5" l="1"/>
  <c r="AA125" i="5"/>
  <c r="T127" i="5"/>
  <c r="Q127" i="5"/>
  <c r="M126" i="5"/>
  <c r="J126" i="5"/>
  <c r="AK108" i="6" s="1"/>
  <c r="AP108" i="6" s="1"/>
  <c r="AR108" i="6" s="1"/>
  <c r="C126" i="5"/>
  <c r="M108" i="6" s="1"/>
  <c r="R108" i="6" s="1"/>
  <c r="T108" i="6" s="1"/>
  <c r="F126" i="5"/>
  <c r="V108" i="6" s="1"/>
  <c r="AP107" i="6"/>
  <c r="AT108" i="6"/>
  <c r="AU108" i="6" s="1"/>
  <c r="AV108" i="6" s="1"/>
  <c r="AJ128" i="6"/>
  <c r="AO128" i="6" s="1"/>
  <c r="AL129" i="6"/>
  <c r="AG129" i="6"/>
  <c r="AH129" i="6" s="1"/>
  <c r="AD130" i="6"/>
  <c r="AI129" i="6"/>
  <c r="AM129" i="6"/>
  <c r="AF109" i="6"/>
  <c r="AE110" i="6"/>
  <c r="L127" i="6"/>
  <c r="Q127" i="6" s="1"/>
  <c r="S127" i="6" s="1"/>
  <c r="H127" i="6"/>
  <c r="F129" i="6"/>
  <c r="P129" i="6" s="1"/>
  <c r="I128" i="6"/>
  <c r="J128" i="6" s="1"/>
  <c r="G128" i="6"/>
  <c r="O128" i="6"/>
  <c r="N128" i="6"/>
  <c r="K128" i="6"/>
  <c r="W107" i="6"/>
  <c r="X107" i="6" s="1"/>
  <c r="U107" i="6"/>
  <c r="Y107" i="6" s="1"/>
  <c r="Z107" i="6" s="1"/>
  <c r="AA107" i="6" s="1"/>
  <c r="J127" i="5" l="1"/>
  <c r="AK109" i="6" s="1"/>
  <c r="AP109" i="6" s="1"/>
  <c r="AR109" i="6" s="1"/>
  <c r="M127" i="5"/>
  <c r="Q128" i="5"/>
  <c r="T128" i="5"/>
  <c r="X126" i="5"/>
  <c r="AA126" i="5"/>
  <c r="C127" i="5"/>
  <c r="M109" i="6" s="1"/>
  <c r="R109" i="6" s="1"/>
  <c r="T109" i="6" s="1"/>
  <c r="U109" i="6" s="1"/>
  <c r="F127" i="5"/>
  <c r="AN130" i="6"/>
  <c r="AR107" i="6"/>
  <c r="AQ128" i="6"/>
  <c r="AT109" i="6"/>
  <c r="AU109" i="6" s="1"/>
  <c r="AV109" i="6" s="1"/>
  <c r="AJ129" i="6"/>
  <c r="AO129" i="6" s="1"/>
  <c r="AQ129" i="6" s="1"/>
  <c r="AL130" i="6"/>
  <c r="AD131" i="6"/>
  <c r="AN131" i="6" s="1"/>
  <c r="AM130" i="6"/>
  <c r="AI130" i="6"/>
  <c r="AG130" i="6"/>
  <c r="AH130" i="6" s="1"/>
  <c r="AF110" i="6"/>
  <c r="AE111" i="6"/>
  <c r="H128" i="6"/>
  <c r="L128" i="6"/>
  <c r="Q128" i="6" s="1"/>
  <c r="S128" i="6" s="1"/>
  <c r="N129" i="6"/>
  <c r="K129" i="6"/>
  <c r="F130" i="6"/>
  <c r="P130" i="6" s="1"/>
  <c r="G129" i="6"/>
  <c r="I129" i="6"/>
  <c r="J129" i="6" s="1"/>
  <c r="O129" i="6"/>
  <c r="U108" i="6"/>
  <c r="W108" i="6"/>
  <c r="X108" i="6" s="1"/>
  <c r="AS109" i="6" l="1"/>
  <c r="AW109" i="6" s="1"/>
  <c r="AX109" i="6" s="1"/>
  <c r="AY109" i="6" s="1"/>
  <c r="X127" i="5"/>
  <c r="AA127" i="5"/>
  <c r="T129" i="5"/>
  <c r="Q129" i="5"/>
  <c r="J128" i="5"/>
  <c r="AK110" i="6" s="1"/>
  <c r="AP110" i="6" s="1"/>
  <c r="M128" i="5"/>
  <c r="AT110" i="6" s="1"/>
  <c r="C128" i="5"/>
  <c r="M110" i="6" s="1"/>
  <c r="R110" i="6" s="1"/>
  <c r="T110" i="6" s="1"/>
  <c r="U110" i="6" s="1"/>
  <c r="F128" i="5"/>
  <c r="V110" i="6" s="1"/>
  <c r="V109" i="6"/>
  <c r="W109" i="6" s="1"/>
  <c r="X109" i="6" s="1"/>
  <c r="AS107" i="6"/>
  <c r="AW107" i="6" s="1"/>
  <c r="AX107" i="6" s="1"/>
  <c r="AY107" i="6" s="1"/>
  <c r="AS108" i="6"/>
  <c r="AW108" i="6" s="1"/>
  <c r="AX108" i="6" s="1"/>
  <c r="AY108" i="6" s="1"/>
  <c r="AJ130" i="6"/>
  <c r="AO130" i="6" s="1"/>
  <c r="AF111" i="6"/>
  <c r="AE112" i="6"/>
  <c r="AD132" i="6"/>
  <c r="AG131" i="6"/>
  <c r="AH131" i="6" s="1"/>
  <c r="AL131" i="6"/>
  <c r="AI131" i="6"/>
  <c r="AM131" i="6"/>
  <c r="L129" i="6"/>
  <c r="Q129" i="6" s="1"/>
  <c r="S129" i="6" s="1"/>
  <c r="I130" i="6"/>
  <c r="J130" i="6" s="1"/>
  <c r="K130" i="6"/>
  <c r="N130" i="6"/>
  <c r="F131" i="6"/>
  <c r="P131" i="6" s="1"/>
  <c r="G130" i="6"/>
  <c r="O130" i="6"/>
  <c r="H129" i="6"/>
  <c r="Y108" i="6"/>
  <c r="Z108" i="6" s="1"/>
  <c r="AA108" i="6" s="1"/>
  <c r="M129" i="5" l="1"/>
  <c r="J129" i="5"/>
  <c r="AK111" i="6" s="1"/>
  <c r="AP111" i="6" s="1"/>
  <c r="AR111" i="6" s="1"/>
  <c r="T130" i="5"/>
  <c r="Q130" i="5"/>
  <c r="AA128" i="5"/>
  <c r="X128" i="5"/>
  <c r="C129" i="5"/>
  <c r="M111" i="6" s="1"/>
  <c r="R111" i="6" s="1"/>
  <c r="T111" i="6" s="1"/>
  <c r="U111" i="6" s="1"/>
  <c r="F129" i="5"/>
  <c r="V111" i="6" s="1"/>
  <c r="AN132" i="6"/>
  <c r="AQ130" i="6"/>
  <c r="AR110" i="6"/>
  <c r="AS110" i="6" s="1"/>
  <c r="AW110" i="6" s="1"/>
  <c r="AX110" i="6" s="1"/>
  <c r="AY110" i="6" s="1"/>
  <c r="AU110" i="6"/>
  <c r="AV110" i="6" s="1"/>
  <c r="AT111" i="6"/>
  <c r="AU111" i="6" s="1"/>
  <c r="AV111" i="6" s="1"/>
  <c r="AJ131" i="6"/>
  <c r="AO131" i="6" s="1"/>
  <c r="AQ131" i="6" s="1"/>
  <c r="AD133" i="6"/>
  <c r="AN133" i="6" s="1"/>
  <c r="AM132" i="6"/>
  <c r="AL132" i="6"/>
  <c r="AI132" i="6"/>
  <c r="AG132" i="6"/>
  <c r="AH132" i="6" s="1"/>
  <c r="AF112" i="6"/>
  <c r="AE113" i="6"/>
  <c r="K131" i="6"/>
  <c r="F132" i="6"/>
  <c r="P132" i="6" s="1"/>
  <c r="I131" i="6"/>
  <c r="J131" i="6" s="1"/>
  <c r="G131" i="6"/>
  <c r="H131" i="6" s="1"/>
  <c r="O131" i="6"/>
  <c r="N131" i="6"/>
  <c r="H130" i="6"/>
  <c r="L130" i="6"/>
  <c r="Q130" i="6" s="1"/>
  <c r="S130" i="6" s="1"/>
  <c r="W110" i="6"/>
  <c r="X110" i="6" s="1"/>
  <c r="Y110" i="6"/>
  <c r="Z110" i="6" s="1"/>
  <c r="AA110" i="6" s="1"/>
  <c r="Y109" i="6"/>
  <c r="Z109" i="6" s="1"/>
  <c r="AA109" i="6" s="1"/>
  <c r="AA129" i="5" l="1"/>
  <c r="X129" i="5"/>
  <c r="T131" i="5"/>
  <c r="Q131" i="5"/>
  <c r="M130" i="5"/>
  <c r="J130" i="5"/>
  <c r="AK112" i="6" s="1"/>
  <c r="AP112" i="6" s="1"/>
  <c r="AR112" i="6" s="1"/>
  <c r="AS112" i="6" s="1"/>
  <c r="C130" i="5"/>
  <c r="M112" i="6" s="1"/>
  <c r="R112" i="6" s="1"/>
  <c r="T112" i="6" s="1"/>
  <c r="F130" i="5"/>
  <c r="V112" i="6" s="1"/>
  <c r="AS111" i="6"/>
  <c r="AW111" i="6" s="1"/>
  <c r="AX111" i="6" s="1"/>
  <c r="AY111" i="6" s="1"/>
  <c r="AT112" i="6"/>
  <c r="AF113" i="6"/>
  <c r="AE114" i="6"/>
  <c r="AI133" i="6"/>
  <c r="AM133" i="6"/>
  <c r="AD134" i="6"/>
  <c r="AG133" i="6"/>
  <c r="AH133" i="6" s="1"/>
  <c r="AL133" i="6"/>
  <c r="AJ132" i="6"/>
  <c r="AO132" i="6" s="1"/>
  <c r="L131" i="6"/>
  <c r="Q131" i="6" s="1"/>
  <c r="S131" i="6" s="1"/>
  <c r="N132" i="6"/>
  <c r="K132" i="6"/>
  <c r="I132" i="6"/>
  <c r="J132" i="6" s="1"/>
  <c r="G132" i="6"/>
  <c r="O132" i="6"/>
  <c r="F133" i="6"/>
  <c r="P133" i="6" s="1"/>
  <c r="W111" i="6"/>
  <c r="X111" i="6" s="1"/>
  <c r="Y111" i="6"/>
  <c r="Z111" i="6" s="1"/>
  <c r="AA111" i="6" s="1"/>
  <c r="M131" i="5" l="1"/>
  <c r="J131" i="5"/>
  <c r="AK113" i="6" s="1"/>
  <c r="T132" i="5"/>
  <c r="Q132" i="5"/>
  <c r="AA130" i="5"/>
  <c r="X130" i="5"/>
  <c r="C131" i="5"/>
  <c r="F131" i="5"/>
  <c r="V113" i="6" s="1"/>
  <c r="AN134" i="6"/>
  <c r="AU112" i="6"/>
  <c r="AT13" i="12"/>
  <c r="AW112" i="6"/>
  <c r="AQ132" i="6"/>
  <c r="AT113" i="6"/>
  <c r="AU113" i="6" s="1"/>
  <c r="AV113" i="6" s="1"/>
  <c r="AJ133" i="6"/>
  <c r="AO133" i="6" s="1"/>
  <c r="AQ133" i="6" s="1"/>
  <c r="AG134" i="6"/>
  <c r="AH134" i="6" s="1"/>
  <c r="AL134" i="6"/>
  <c r="AD135" i="6"/>
  <c r="AM134" i="6"/>
  <c r="AI134" i="6"/>
  <c r="AF114" i="6"/>
  <c r="AE115" i="6"/>
  <c r="L132" i="6"/>
  <c r="Q132" i="6" s="1"/>
  <c r="S132" i="6" s="1"/>
  <c r="O133" i="6"/>
  <c r="I133" i="6"/>
  <c r="J133" i="6" s="1"/>
  <c r="F134" i="6"/>
  <c r="P134" i="6" s="1"/>
  <c r="N133" i="6"/>
  <c r="G133" i="6"/>
  <c r="K133" i="6"/>
  <c r="H132" i="6"/>
  <c r="U112" i="6"/>
  <c r="X131" i="5" l="1"/>
  <c r="AA131" i="5"/>
  <c r="Q133" i="5"/>
  <c r="T133" i="5"/>
  <c r="M132" i="5"/>
  <c r="AT114" i="6" s="1"/>
  <c r="AU114" i="6" s="1"/>
  <c r="AV114" i="6" s="1"/>
  <c r="J132" i="5"/>
  <c r="AK114" i="6" s="1"/>
  <c r="AP114" i="6" s="1"/>
  <c r="AR114" i="6" s="1"/>
  <c r="C132" i="5"/>
  <c r="F132" i="5"/>
  <c r="V114" i="6" s="1"/>
  <c r="AN135" i="6"/>
  <c r="AP113" i="6"/>
  <c r="AX112" i="6"/>
  <c r="AW13" i="12"/>
  <c r="AV112" i="6"/>
  <c r="AV13" i="12" s="1"/>
  <c r="AU13" i="12"/>
  <c r="M113" i="6"/>
  <c r="R113" i="6" s="1"/>
  <c r="T113" i="6" s="1"/>
  <c r="AJ134" i="6"/>
  <c r="AO134" i="6" s="1"/>
  <c r="AQ134" i="6" s="1"/>
  <c r="AF115" i="6"/>
  <c r="AE116" i="6"/>
  <c r="AL135" i="6"/>
  <c r="AI135" i="6"/>
  <c r="AM135" i="6"/>
  <c r="AD136" i="6"/>
  <c r="AN136" i="6" s="1"/>
  <c r="AG135" i="6"/>
  <c r="AH135" i="6" s="1"/>
  <c r="H133" i="6"/>
  <c r="F135" i="6"/>
  <c r="P135" i="6" s="1"/>
  <c r="G134" i="6"/>
  <c r="N134" i="6"/>
  <c r="O134" i="6"/>
  <c r="I134" i="6"/>
  <c r="J134" i="6" s="1"/>
  <c r="K134" i="6"/>
  <c r="L133" i="6"/>
  <c r="Q133" i="6" s="1"/>
  <c r="S133" i="6" s="1"/>
  <c r="W112" i="6"/>
  <c r="W113" i="6"/>
  <c r="X113" i="6" s="1"/>
  <c r="Y112" i="6"/>
  <c r="M114" i="6" l="1"/>
  <c r="R114" i="6" s="1"/>
  <c r="T114" i="6" s="1"/>
  <c r="M133" i="5"/>
  <c r="AT115" i="6" s="1"/>
  <c r="J133" i="5"/>
  <c r="T134" i="5"/>
  <c r="Q134" i="5"/>
  <c r="AA132" i="5"/>
  <c r="X132" i="5"/>
  <c r="C133" i="5"/>
  <c r="M115" i="6" s="1"/>
  <c r="R115" i="6" s="1"/>
  <c r="T115" i="6" s="1"/>
  <c r="F133" i="5"/>
  <c r="V115" i="6" s="1"/>
  <c r="AY112" i="6"/>
  <c r="AY13" i="12" s="1"/>
  <c r="AX13" i="12"/>
  <c r="AR113" i="6"/>
  <c r="U114" i="6"/>
  <c r="U113" i="6"/>
  <c r="Y113" i="6" s="1"/>
  <c r="Z113" i="6" s="1"/>
  <c r="AA113" i="6" s="1"/>
  <c r="AJ135" i="6"/>
  <c r="AO135" i="6" s="1"/>
  <c r="AQ135" i="6" s="1"/>
  <c r="AL136" i="6"/>
  <c r="AD137" i="6"/>
  <c r="AI136" i="6"/>
  <c r="AG136" i="6"/>
  <c r="AH136" i="6" s="1"/>
  <c r="AM136" i="6"/>
  <c r="AF116" i="6"/>
  <c r="AE117" i="6"/>
  <c r="L134" i="6"/>
  <c r="Q134" i="6" s="1"/>
  <c r="S134" i="6" s="1"/>
  <c r="H134" i="6"/>
  <c r="O135" i="6"/>
  <c r="G135" i="6"/>
  <c r="I135" i="6"/>
  <c r="J135" i="6" s="1"/>
  <c r="N135" i="6"/>
  <c r="K135" i="6"/>
  <c r="F136" i="6"/>
  <c r="P136" i="6" s="1"/>
  <c r="W114" i="6"/>
  <c r="X114" i="6" s="1"/>
  <c r="X112" i="6"/>
  <c r="Z112" i="6"/>
  <c r="AA133" i="5" l="1"/>
  <c r="X133" i="5"/>
  <c r="Q135" i="5"/>
  <c r="T135" i="5"/>
  <c r="AK115" i="6"/>
  <c r="AP115" i="6" s="1"/>
  <c r="AR115" i="6" s="1"/>
  <c r="AS115" i="6" s="1"/>
  <c r="AW115" i="6" s="1"/>
  <c r="AX115" i="6" s="1"/>
  <c r="AY115" i="6" s="1"/>
  <c r="J134" i="5"/>
  <c r="AK116" i="6" s="1"/>
  <c r="M134" i="5"/>
  <c r="AT116" i="6" s="1"/>
  <c r="F134" i="5"/>
  <c r="V116" i="6" s="1"/>
  <c r="C134" i="5"/>
  <c r="M116" i="6" s="1"/>
  <c r="R116" i="6" s="1"/>
  <c r="T116" i="6" s="1"/>
  <c r="U116" i="6" s="1"/>
  <c r="AN137" i="6"/>
  <c r="AS113" i="6"/>
  <c r="AW113" i="6" s="1"/>
  <c r="AX113" i="6" s="1"/>
  <c r="AY113" i="6" s="1"/>
  <c r="AS114" i="6"/>
  <c r="AW114" i="6" s="1"/>
  <c r="AX114" i="6" s="1"/>
  <c r="AY114" i="6" s="1"/>
  <c r="AU115" i="6"/>
  <c r="AV115" i="6" s="1"/>
  <c r="AJ136" i="6"/>
  <c r="AO136" i="6" s="1"/>
  <c r="AQ136" i="6" s="1"/>
  <c r="AF117" i="6"/>
  <c r="AE118" i="6"/>
  <c r="AD138" i="6"/>
  <c r="AN138" i="6" s="1"/>
  <c r="AG137" i="6"/>
  <c r="AH137" i="6" s="1"/>
  <c r="AM137" i="6"/>
  <c r="AL137" i="6"/>
  <c r="AI137" i="6"/>
  <c r="H135" i="6"/>
  <c r="L135" i="6"/>
  <c r="Q135" i="6" s="1"/>
  <c r="S135" i="6" s="1"/>
  <c r="G136" i="6"/>
  <c r="N136" i="6"/>
  <c r="O136" i="6"/>
  <c r="F137" i="6"/>
  <c r="P137" i="6" s="1"/>
  <c r="I136" i="6"/>
  <c r="J136" i="6" s="1"/>
  <c r="K136" i="6"/>
  <c r="W115" i="6"/>
  <c r="X115" i="6" s="1"/>
  <c r="U115" i="6"/>
  <c r="Y115" i="6" s="1"/>
  <c r="Z115" i="6" s="1"/>
  <c r="AA115" i="6" s="1"/>
  <c r="Y114" i="6"/>
  <c r="Z114" i="6" s="1"/>
  <c r="AA114" i="6" s="1"/>
  <c r="AA112" i="6"/>
  <c r="J135" i="5" l="1"/>
  <c r="M135" i="5"/>
  <c r="Q136" i="5"/>
  <c r="T136" i="5"/>
  <c r="AA134" i="5"/>
  <c r="X134" i="5"/>
  <c r="F135" i="5"/>
  <c r="V117" i="6" s="1"/>
  <c r="C135" i="5"/>
  <c r="AP116" i="6"/>
  <c r="AU116" i="6"/>
  <c r="AV116" i="6" s="1"/>
  <c r="AT117" i="6"/>
  <c r="AU117" i="6" s="1"/>
  <c r="AV117" i="6" s="1"/>
  <c r="AJ137" i="6"/>
  <c r="AO137" i="6" s="1"/>
  <c r="AD139" i="6"/>
  <c r="AM138" i="6"/>
  <c r="AL138" i="6"/>
  <c r="AI138" i="6"/>
  <c r="AG138" i="6"/>
  <c r="AH138" i="6" s="1"/>
  <c r="AF118" i="6"/>
  <c r="AE119" i="6"/>
  <c r="F138" i="6"/>
  <c r="P138" i="6" s="1"/>
  <c r="N137" i="6"/>
  <c r="I137" i="6"/>
  <c r="J137" i="6" s="1"/>
  <c r="K137" i="6"/>
  <c r="O137" i="6"/>
  <c r="G137" i="6"/>
  <c r="L136" i="6"/>
  <c r="Q136" i="6" s="1"/>
  <c r="S136" i="6" s="1"/>
  <c r="H136" i="6"/>
  <c r="AA135" i="5" l="1"/>
  <c r="X135" i="5"/>
  <c r="Q137" i="5"/>
  <c r="T137" i="5"/>
  <c r="J136" i="5"/>
  <c r="AK118" i="6" s="1"/>
  <c r="M136" i="5"/>
  <c r="AK117" i="6"/>
  <c r="AP117" i="6" s="1"/>
  <c r="AR117" i="6" s="1"/>
  <c r="F136" i="5"/>
  <c r="V118" i="6" s="1"/>
  <c r="C136" i="5"/>
  <c r="M118" i="6" s="1"/>
  <c r="R118" i="6" s="1"/>
  <c r="T118" i="6" s="1"/>
  <c r="AN139" i="6"/>
  <c r="AQ137" i="6"/>
  <c r="AR116" i="6"/>
  <c r="M117" i="6"/>
  <c r="R117" i="6" s="1"/>
  <c r="T117" i="6" s="1"/>
  <c r="U117" i="6" s="1"/>
  <c r="AJ138" i="6"/>
  <c r="AO138" i="6" s="1"/>
  <c r="AQ138" i="6" s="1"/>
  <c r="AF119" i="6"/>
  <c r="AE120" i="6"/>
  <c r="AD140" i="6"/>
  <c r="AN140" i="6" s="1"/>
  <c r="AM139" i="6"/>
  <c r="AI139" i="6"/>
  <c r="AG139" i="6"/>
  <c r="AH139" i="6" s="1"/>
  <c r="AL139" i="6"/>
  <c r="L137" i="6"/>
  <c r="Q137" i="6" s="1"/>
  <c r="S137" i="6" s="1"/>
  <c r="I138" i="6"/>
  <c r="J138" i="6" s="1"/>
  <c r="G138" i="6"/>
  <c r="N138" i="6"/>
  <c r="F139" i="6"/>
  <c r="P139" i="6" s="1"/>
  <c r="O138" i="6"/>
  <c r="K138" i="6"/>
  <c r="H137" i="6"/>
  <c r="W117" i="6"/>
  <c r="X117" i="6" s="1"/>
  <c r="W116" i="6"/>
  <c r="X116" i="6" s="1"/>
  <c r="Y116" i="6"/>
  <c r="Z116" i="6" s="1"/>
  <c r="AA116" i="6" s="1"/>
  <c r="J137" i="5" l="1"/>
  <c r="M137" i="5"/>
  <c r="AT119" i="6" s="1"/>
  <c r="AU119" i="6" s="1"/>
  <c r="AV119" i="6" s="1"/>
  <c r="T138" i="5"/>
  <c r="Q138" i="5"/>
  <c r="AT118" i="6"/>
  <c r="AU118" i="6" s="1"/>
  <c r="AV118" i="6" s="1"/>
  <c r="AA136" i="5"/>
  <c r="X136" i="5"/>
  <c r="F137" i="5"/>
  <c r="V119" i="6" s="1"/>
  <c r="C137" i="5"/>
  <c r="M119" i="6" s="1"/>
  <c r="R119" i="6" s="1"/>
  <c r="T119" i="6" s="1"/>
  <c r="AP118" i="6"/>
  <c r="AS117" i="6"/>
  <c r="AW117" i="6" s="1"/>
  <c r="AX117" i="6" s="1"/>
  <c r="AY117" i="6" s="1"/>
  <c r="AS116" i="6"/>
  <c r="AW116" i="6" s="1"/>
  <c r="AX116" i="6" s="1"/>
  <c r="AY116" i="6" s="1"/>
  <c r="AJ139" i="6"/>
  <c r="AO139" i="6" s="1"/>
  <c r="AI140" i="6"/>
  <c r="AD141" i="6"/>
  <c r="AM140" i="6"/>
  <c r="AL140" i="6"/>
  <c r="AG140" i="6"/>
  <c r="AH140" i="6" s="1"/>
  <c r="AF120" i="6"/>
  <c r="AE121" i="6"/>
  <c r="O139" i="6"/>
  <c r="N139" i="6"/>
  <c r="F140" i="6"/>
  <c r="P140" i="6" s="1"/>
  <c r="I139" i="6"/>
  <c r="J139" i="6" s="1"/>
  <c r="G139" i="6"/>
  <c r="K139" i="6"/>
  <c r="H138" i="6"/>
  <c r="L138" i="6"/>
  <c r="Q138" i="6" s="1"/>
  <c r="S138" i="6" s="1"/>
  <c r="W118" i="6"/>
  <c r="X118" i="6" s="1"/>
  <c r="U118" i="6"/>
  <c r="Y118" i="6" s="1"/>
  <c r="Z118" i="6" s="1"/>
  <c r="AA118" i="6" s="1"/>
  <c r="Y117" i="6"/>
  <c r="Z117" i="6" s="1"/>
  <c r="AA117" i="6" s="1"/>
  <c r="AA137" i="5" l="1"/>
  <c r="X137" i="5"/>
  <c r="Q139" i="5"/>
  <c r="T139" i="5"/>
  <c r="M138" i="5"/>
  <c r="J138" i="5"/>
  <c r="AK120" i="6" s="1"/>
  <c r="AP120" i="6" s="1"/>
  <c r="AR120" i="6" s="1"/>
  <c r="AK119" i="6"/>
  <c r="AP119" i="6" s="1"/>
  <c r="AR119" i="6" s="1"/>
  <c r="C138" i="5"/>
  <c r="M120" i="6" s="1"/>
  <c r="R120" i="6" s="1"/>
  <c r="T120" i="6" s="1"/>
  <c r="F138" i="5"/>
  <c r="AN141" i="6"/>
  <c r="AQ139" i="6"/>
  <c r="AR118" i="6"/>
  <c r="AJ140" i="6"/>
  <c r="AO140" i="6" s="1"/>
  <c r="AQ140" i="6" s="1"/>
  <c r="AG141" i="6"/>
  <c r="AH141" i="6" s="1"/>
  <c r="AM141" i="6"/>
  <c r="AL141" i="6"/>
  <c r="AD142" i="6"/>
  <c r="AN142" i="6" s="1"/>
  <c r="AI141" i="6"/>
  <c r="AF121" i="6"/>
  <c r="AE122" i="6"/>
  <c r="H139" i="6"/>
  <c r="K140" i="6"/>
  <c r="I140" i="6"/>
  <c r="J140" i="6" s="1"/>
  <c r="G140" i="6"/>
  <c r="O140" i="6"/>
  <c r="N140" i="6"/>
  <c r="F141" i="6"/>
  <c r="P141" i="6" s="1"/>
  <c r="L139" i="6"/>
  <c r="Q139" i="6" s="1"/>
  <c r="S139" i="6" s="1"/>
  <c r="U119" i="6"/>
  <c r="Y119" i="6" s="1"/>
  <c r="Z119" i="6" s="1"/>
  <c r="AA119" i="6" s="1"/>
  <c r="W119" i="6"/>
  <c r="X119" i="6" s="1"/>
  <c r="M139" i="5" l="1"/>
  <c r="J139" i="5"/>
  <c r="AK121" i="6" s="1"/>
  <c r="AP121" i="6" s="1"/>
  <c r="AR121" i="6" s="1"/>
  <c r="AS121" i="6" s="1"/>
  <c r="T140" i="5"/>
  <c r="Q140" i="5"/>
  <c r="AS120" i="6"/>
  <c r="AT120" i="6"/>
  <c r="AU120" i="6" s="1"/>
  <c r="AV120" i="6" s="1"/>
  <c r="AA138" i="5"/>
  <c r="X138" i="5"/>
  <c r="C139" i="5"/>
  <c r="M121" i="6" s="1"/>
  <c r="R121" i="6" s="1"/>
  <c r="T121" i="6" s="1"/>
  <c r="U121" i="6" s="1"/>
  <c r="F139" i="5"/>
  <c r="V121" i="6" s="1"/>
  <c r="V120" i="6"/>
  <c r="W120" i="6" s="1"/>
  <c r="X120" i="6" s="1"/>
  <c r="AS118" i="6"/>
  <c r="AW118" i="6" s="1"/>
  <c r="AX118" i="6" s="1"/>
  <c r="AY118" i="6" s="1"/>
  <c r="AS119" i="6"/>
  <c r="AW119" i="6" s="1"/>
  <c r="AX119" i="6" s="1"/>
  <c r="AY119" i="6" s="1"/>
  <c r="AT121" i="6"/>
  <c r="AU121" i="6" s="1"/>
  <c r="AV121" i="6" s="1"/>
  <c r="AJ141" i="6"/>
  <c r="AO141" i="6" s="1"/>
  <c r="AQ141" i="6" s="1"/>
  <c r="AF122" i="6"/>
  <c r="AE123" i="6"/>
  <c r="AG142" i="6"/>
  <c r="AH142" i="6" s="1"/>
  <c r="AD143" i="6"/>
  <c r="AL142" i="6"/>
  <c r="AI142" i="6"/>
  <c r="AM142" i="6"/>
  <c r="L140" i="6"/>
  <c r="Q140" i="6" s="1"/>
  <c r="S140" i="6" s="1"/>
  <c r="H140" i="6"/>
  <c r="F142" i="6"/>
  <c r="P142" i="6" s="1"/>
  <c r="N141" i="6"/>
  <c r="G141" i="6"/>
  <c r="H141" i="6" s="1"/>
  <c r="O141" i="6"/>
  <c r="K141" i="6"/>
  <c r="I141" i="6"/>
  <c r="J141" i="6" s="1"/>
  <c r="U120" i="6"/>
  <c r="Y120" i="6" l="1"/>
  <c r="Z120" i="6" s="1"/>
  <c r="AA120" i="6" s="1"/>
  <c r="X139" i="5"/>
  <c r="AA139" i="5"/>
  <c r="AW120" i="6"/>
  <c r="AX120" i="6" s="1"/>
  <c r="AY120" i="6" s="1"/>
  <c r="Q141" i="5"/>
  <c r="T141" i="5"/>
  <c r="J140" i="5"/>
  <c r="AK122" i="6" s="1"/>
  <c r="AP122" i="6" s="1"/>
  <c r="AR122" i="6" s="1"/>
  <c r="AS122" i="6" s="1"/>
  <c r="M140" i="5"/>
  <c r="F140" i="5"/>
  <c r="V122" i="6" s="1"/>
  <c r="C140" i="5"/>
  <c r="M122" i="6" s="1"/>
  <c r="R122" i="6" s="1"/>
  <c r="T122" i="6" s="1"/>
  <c r="AN143" i="6"/>
  <c r="AW121" i="6"/>
  <c r="AX121" i="6" s="1"/>
  <c r="AY121" i="6" s="1"/>
  <c r="AJ142" i="6"/>
  <c r="AO142" i="6" s="1"/>
  <c r="AD144" i="6"/>
  <c r="AN144" i="6" s="1"/>
  <c r="AL143" i="6"/>
  <c r="AG143" i="6"/>
  <c r="AH143" i="6" s="1"/>
  <c r="AM143" i="6"/>
  <c r="AI143" i="6"/>
  <c r="AF123" i="6"/>
  <c r="AE124" i="6"/>
  <c r="L141" i="6"/>
  <c r="Q141" i="6" s="1"/>
  <c r="S141" i="6" s="1"/>
  <c r="K142" i="6"/>
  <c r="F143" i="6"/>
  <c r="P143" i="6" s="1"/>
  <c r="G142" i="6"/>
  <c r="O142" i="6"/>
  <c r="I142" i="6"/>
  <c r="J142" i="6" s="1"/>
  <c r="N142" i="6"/>
  <c r="W121" i="6"/>
  <c r="X121" i="6" s="1"/>
  <c r="Y121" i="6"/>
  <c r="Z121" i="6" s="1"/>
  <c r="AA121" i="6" s="1"/>
  <c r="J141" i="5" l="1"/>
  <c r="AK123" i="6" s="1"/>
  <c r="AP123" i="6" s="1"/>
  <c r="AR123" i="6" s="1"/>
  <c r="AS123" i="6" s="1"/>
  <c r="M141" i="5"/>
  <c r="T142" i="5"/>
  <c r="Q142" i="5"/>
  <c r="AT122" i="6"/>
  <c r="AW122" i="6" s="1"/>
  <c r="AX122" i="6" s="1"/>
  <c r="AY122" i="6" s="1"/>
  <c r="AA140" i="5"/>
  <c r="X140" i="5"/>
  <c r="C141" i="5"/>
  <c r="M123" i="6" s="1"/>
  <c r="R123" i="6" s="1"/>
  <c r="T123" i="6" s="1"/>
  <c r="F141" i="5"/>
  <c r="V123" i="6" s="1"/>
  <c r="AQ142" i="6"/>
  <c r="AU122" i="6"/>
  <c r="AV122" i="6" s="1"/>
  <c r="AT123" i="6"/>
  <c r="AU123" i="6" s="1"/>
  <c r="AV123" i="6" s="1"/>
  <c r="AJ143" i="6"/>
  <c r="AO143" i="6" s="1"/>
  <c r="AQ143" i="6" s="1"/>
  <c r="AG144" i="6"/>
  <c r="AH144" i="6" s="1"/>
  <c r="AI144" i="6"/>
  <c r="AD145" i="6"/>
  <c r="AN145" i="6" s="1"/>
  <c r="AM144" i="6"/>
  <c r="AL144" i="6"/>
  <c r="AF124" i="6"/>
  <c r="AE125" i="6"/>
  <c r="L142" i="6"/>
  <c r="Q142" i="6" s="1"/>
  <c r="S142" i="6" s="1"/>
  <c r="H142" i="6"/>
  <c r="G143" i="6"/>
  <c r="F144" i="6"/>
  <c r="P144" i="6" s="1"/>
  <c r="I143" i="6"/>
  <c r="J143" i="6" s="1"/>
  <c r="N143" i="6"/>
  <c r="K143" i="6"/>
  <c r="O143" i="6"/>
  <c r="W122" i="6"/>
  <c r="X122" i="6" s="1"/>
  <c r="U122" i="6"/>
  <c r="Y122" i="6" s="1"/>
  <c r="Z122" i="6" s="1"/>
  <c r="AA122" i="6" s="1"/>
  <c r="X141" i="5" l="1"/>
  <c r="AA141" i="5"/>
  <c r="T143" i="5"/>
  <c r="Q143" i="5"/>
  <c r="M142" i="5"/>
  <c r="J142" i="5"/>
  <c r="AK124" i="6" s="1"/>
  <c r="AP124" i="6" s="1"/>
  <c r="AR124" i="6" s="1"/>
  <c r="AS124" i="6" s="1"/>
  <c r="C142" i="5"/>
  <c r="M124" i="6" s="1"/>
  <c r="R124" i="6" s="1"/>
  <c r="T124" i="6" s="1"/>
  <c r="F142" i="5"/>
  <c r="V124" i="6" s="1"/>
  <c r="AW123" i="6"/>
  <c r="AX123" i="6" s="1"/>
  <c r="AY123" i="6" s="1"/>
  <c r="AT124" i="6"/>
  <c r="AJ144" i="6"/>
  <c r="AO144" i="6" s="1"/>
  <c r="AQ144" i="6" s="1"/>
  <c r="AD146" i="6"/>
  <c r="AN146" i="6" s="1"/>
  <c r="AG145" i="6"/>
  <c r="AH145" i="6" s="1"/>
  <c r="AI145" i="6"/>
  <c r="AL145" i="6"/>
  <c r="AM145" i="6"/>
  <c r="AF125" i="6"/>
  <c r="AE126" i="6"/>
  <c r="L143" i="6"/>
  <c r="Q143" i="6" s="1"/>
  <c r="S143" i="6" s="1"/>
  <c r="I144" i="6"/>
  <c r="J144" i="6" s="1"/>
  <c r="G144" i="6"/>
  <c r="F145" i="6"/>
  <c r="P145" i="6" s="1"/>
  <c r="N144" i="6"/>
  <c r="K144" i="6"/>
  <c r="O144" i="6"/>
  <c r="H143" i="6"/>
  <c r="W123" i="6"/>
  <c r="X123" i="6" s="1"/>
  <c r="U123" i="6"/>
  <c r="Y123" i="6" s="1"/>
  <c r="Z123" i="6" s="1"/>
  <c r="AA123" i="6" s="1"/>
  <c r="AW124" i="6" l="1"/>
  <c r="AX124" i="6" s="1"/>
  <c r="J143" i="5"/>
  <c r="AK125" i="6" s="1"/>
  <c r="M143" i="5"/>
  <c r="AT125" i="6" s="1"/>
  <c r="AU125" i="6" s="1"/>
  <c r="AV125" i="6" s="1"/>
  <c r="Q144" i="5"/>
  <c r="T144" i="5"/>
  <c r="AA142" i="5"/>
  <c r="X142" i="5"/>
  <c r="C143" i="5"/>
  <c r="F143" i="5"/>
  <c r="V125" i="6" s="1"/>
  <c r="AU124" i="6"/>
  <c r="AU14" i="12" s="1"/>
  <c r="AT14" i="12"/>
  <c r="AF126" i="6"/>
  <c r="AE127" i="6"/>
  <c r="AJ145" i="6"/>
  <c r="AO145" i="6" s="1"/>
  <c r="AQ145" i="6" s="1"/>
  <c r="L144" i="6"/>
  <c r="Q144" i="6" s="1"/>
  <c r="S144" i="6" s="1"/>
  <c r="AI146" i="6"/>
  <c r="AL146" i="6"/>
  <c r="AD147" i="6"/>
  <c r="AN147" i="6" s="1"/>
  <c r="AM146" i="6"/>
  <c r="AG146" i="6"/>
  <c r="AH146" i="6" s="1"/>
  <c r="H144" i="6"/>
  <c r="K145" i="6"/>
  <c r="I145" i="6"/>
  <c r="J145" i="6" s="1"/>
  <c r="F146" i="6"/>
  <c r="P146" i="6" s="1"/>
  <c r="N145" i="6"/>
  <c r="G145" i="6"/>
  <c r="O145" i="6"/>
  <c r="U124" i="6"/>
  <c r="AW14" i="12" l="1"/>
  <c r="X143" i="5"/>
  <c r="AA143" i="5"/>
  <c r="Q145" i="5"/>
  <c r="T145" i="5"/>
  <c r="J144" i="5"/>
  <c r="AK126" i="6" s="1"/>
  <c r="AP126" i="6" s="1"/>
  <c r="AR126" i="6" s="1"/>
  <c r="M144" i="5"/>
  <c r="AT126" i="6" s="1"/>
  <c r="C144" i="5"/>
  <c r="M126" i="6" s="1"/>
  <c r="R126" i="6" s="1"/>
  <c r="T126" i="6" s="1"/>
  <c r="F144" i="5"/>
  <c r="V126" i="6" s="1"/>
  <c r="AV124" i="6"/>
  <c r="AV14" i="12" s="1"/>
  <c r="AP125" i="6"/>
  <c r="AY124" i="6"/>
  <c r="AY14" i="12" s="1"/>
  <c r="AX14" i="12"/>
  <c r="M125" i="6"/>
  <c r="R125" i="6" s="1"/>
  <c r="T125" i="6" s="1"/>
  <c r="AJ146" i="6"/>
  <c r="AO146" i="6" s="1"/>
  <c r="AQ146" i="6" s="1"/>
  <c r="AM147" i="6"/>
  <c r="AD148" i="6"/>
  <c r="AN148" i="6" s="1"/>
  <c r="AG147" i="6"/>
  <c r="AH147" i="6" s="1"/>
  <c r="AL147" i="6"/>
  <c r="AI147" i="6"/>
  <c r="AF127" i="6"/>
  <c r="AE128" i="6"/>
  <c r="L145" i="6"/>
  <c r="Q145" i="6" s="1"/>
  <c r="S145" i="6" s="1"/>
  <c r="H145" i="6"/>
  <c r="O146" i="6"/>
  <c r="G146" i="6"/>
  <c r="I146" i="6"/>
  <c r="J146" i="6" s="1"/>
  <c r="F147" i="6"/>
  <c r="P147" i="6" s="1"/>
  <c r="N146" i="6"/>
  <c r="K146" i="6"/>
  <c r="W124" i="6"/>
  <c r="Y124" i="6"/>
  <c r="W125" i="6"/>
  <c r="X125" i="6" s="1"/>
  <c r="J145" i="5" l="1"/>
  <c r="AK127" i="6" s="1"/>
  <c r="M145" i="5"/>
  <c r="AT127" i="6" s="1"/>
  <c r="AU127" i="6" s="1"/>
  <c r="AV127" i="6" s="1"/>
  <c r="T146" i="5"/>
  <c r="Q146" i="5"/>
  <c r="X144" i="5"/>
  <c r="AA144" i="5"/>
  <c r="C145" i="5"/>
  <c r="F145" i="5"/>
  <c r="V127" i="6" s="1"/>
  <c r="AR125" i="6"/>
  <c r="U126" i="6"/>
  <c r="Y126" i="6" s="1"/>
  <c r="Z126" i="6" s="1"/>
  <c r="AA126" i="6" s="1"/>
  <c r="AU126" i="6"/>
  <c r="AV126" i="6" s="1"/>
  <c r="U125" i="6"/>
  <c r="Y125" i="6" s="1"/>
  <c r="Z125" i="6" s="1"/>
  <c r="AA125" i="6" s="1"/>
  <c r="AJ147" i="6"/>
  <c r="AO147" i="6" s="1"/>
  <c r="AQ147" i="6" s="1"/>
  <c r="AF128" i="6"/>
  <c r="AE129" i="6"/>
  <c r="AM148" i="6"/>
  <c r="AI148" i="6"/>
  <c r="AL148" i="6"/>
  <c r="AD149" i="6"/>
  <c r="AN149" i="6" s="1"/>
  <c r="AG148" i="6"/>
  <c r="AH148" i="6" s="1"/>
  <c r="L146" i="6"/>
  <c r="Q146" i="6" s="1"/>
  <c r="S146" i="6" s="1"/>
  <c r="K147" i="6"/>
  <c r="I147" i="6"/>
  <c r="J147" i="6" s="1"/>
  <c r="G147" i="6"/>
  <c r="O147" i="6"/>
  <c r="F148" i="6"/>
  <c r="P148" i="6" s="1"/>
  <c r="N147" i="6"/>
  <c r="H146" i="6"/>
  <c r="Z124" i="6"/>
  <c r="W126" i="6"/>
  <c r="X126" i="6" s="1"/>
  <c r="X124" i="6"/>
  <c r="AA145" i="5" l="1"/>
  <c r="X145" i="5"/>
  <c r="Q147" i="5"/>
  <c r="T147" i="5"/>
  <c r="J146" i="5"/>
  <c r="AK128" i="6" s="1"/>
  <c r="AP128" i="6" s="1"/>
  <c r="AR128" i="6" s="1"/>
  <c r="M146" i="5"/>
  <c r="C146" i="5"/>
  <c r="M128" i="6" s="1"/>
  <c r="R128" i="6" s="1"/>
  <c r="T128" i="6" s="1"/>
  <c r="F146" i="5"/>
  <c r="V128" i="6" s="1"/>
  <c r="AP127" i="6"/>
  <c r="AS125" i="6"/>
  <c r="AW125" i="6" s="1"/>
  <c r="AX125" i="6" s="1"/>
  <c r="AY125" i="6" s="1"/>
  <c r="AS126" i="6"/>
  <c r="AW126" i="6" s="1"/>
  <c r="AX126" i="6" s="1"/>
  <c r="AY126" i="6" s="1"/>
  <c r="M127" i="6"/>
  <c r="R127" i="6" s="1"/>
  <c r="T127" i="6" s="1"/>
  <c r="U127" i="6" s="1"/>
  <c r="Y127" i="6" s="1"/>
  <c r="Z127" i="6" s="1"/>
  <c r="AA127" i="6" s="1"/>
  <c r="AJ148" i="6"/>
  <c r="AO148" i="6" s="1"/>
  <c r="AQ148" i="6" s="1"/>
  <c r="AL149" i="6"/>
  <c r="AD150" i="6"/>
  <c r="AN150" i="6" s="1"/>
  <c r="AI149" i="6"/>
  <c r="AG149" i="6"/>
  <c r="AH149" i="6" s="1"/>
  <c r="AM149" i="6"/>
  <c r="AF129" i="6"/>
  <c r="AE130" i="6"/>
  <c r="L147" i="6"/>
  <c r="Q147" i="6" s="1"/>
  <c r="S147" i="6" s="1"/>
  <c r="H147" i="6"/>
  <c r="I148" i="6"/>
  <c r="J148" i="6" s="1"/>
  <c r="K148" i="6"/>
  <c r="G148" i="6"/>
  <c r="N148" i="6"/>
  <c r="O148" i="6"/>
  <c r="F149" i="6"/>
  <c r="P149" i="6" s="1"/>
  <c r="W127" i="6"/>
  <c r="X127" i="6" s="1"/>
  <c r="AA124" i="6"/>
  <c r="M147" i="5" l="1"/>
  <c r="AT129" i="6" s="1"/>
  <c r="AU129" i="6" s="1"/>
  <c r="AV129" i="6" s="1"/>
  <c r="J147" i="5"/>
  <c r="AT128" i="6"/>
  <c r="AU128" i="6" s="1"/>
  <c r="AV128" i="6" s="1"/>
  <c r="T148" i="5"/>
  <c r="Q148" i="5"/>
  <c r="X146" i="5"/>
  <c r="AA146" i="5"/>
  <c r="F147" i="5"/>
  <c r="V129" i="6" s="1"/>
  <c r="C147" i="5"/>
  <c r="AR127" i="6"/>
  <c r="AK129" i="6"/>
  <c r="AJ149" i="6"/>
  <c r="AO149" i="6" s="1"/>
  <c r="AF130" i="6"/>
  <c r="AE131" i="6"/>
  <c r="AL150" i="6"/>
  <c r="AD151" i="6"/>
  <c r="AN151" i="6" s="1"/>
  <c r="AI150" i="6"/>
  <c r="AM150" i="6"/>
  <c r="AG150" i="6"/>
  <c r="AH150" i="6" s="1"/>
  <c r="L148" i="6"/>
  <c r="Q148" i="6" s="1"/>
  <c r="S148" i="6" s="1"/>
  <c r="H148" i="6"/>
  <c r="F150" i="6"/>
  <c r="P150" i="6" s="1"/>
  <c r="O149" i="6"/>
  <c r="K149" i="6"/>
  <c r="I149" i="6"/>
  <c r="J149" i="6" s="1"/>
  <c r="G149" i="6"/>
  <c r="N149" i="6"/>
  <c r="U128" i="6"/>
  <c r="W128" i="6"/>
  <c r="X128" i="6" s="1"/>
  <c r="X147" i="5" l="1"/>
  <c r="AA147" i="5"/>
  <c r="T149" i="5"/>
  <c r="Q149" i="5"/>
  <c r="M148" i="5"/>
  <c r="AT130" i="6" s="1"/>
  <c r="AU130" i="6" s="1"/>
  <c r="AV130" i="6" s="1"/>
  <c r="J148" i="5"/>
  <c r="AK130" i="6" s="1"/>
  <c r="AP130" i="6" s="1"/>
  <c r="AR130" i="6" s="1"/>
  <c r="C148" i="5"/>
  <c r="M130" i="6" s="1"/>
  <c r="R130" i="6" s="1"/>
  <c r="T130" i="6" s="1"/>
  <c r="F148" i="5"/>
  <c r="V130" i="6" s="1"/>
  <c r="AP129" i="6"/>
  <c r="AQ149" i="6"/>
  <c r="AS127" i="6"/>
  <c r="AW127" i="6" s="1"/>
  <c r="AX127" i="6" s="1"/>
  <c r="AY127" i="6" s="1"/>
  <c r="AS128" i="6"/>
  <c r="AW128" i="6" s="1"/>
  <c r="AX128" i="6" s="1"/>
  <c r="AY128" i="6" s="1"/>
  <c r="M129" i="6"/>
  <c r="R129" i="6" s="1"/>
  <c r="T129" i="6" s="1"/>
  <c r="U129" i="6" s="1"/>
  <c r="AJ150" i="6"/>
  <c r="AO150" i="6" s="1"/>
  <c r="AQ150" i="6" s="1"/>
  <c r="AI151" i="6"/>
  <c r="AD152" i="6"/>
  <c r="AN152" i="6" s="1"/>
  <c r="AM151" i="6"/>
  <c r="AL151" i="6"/>
  <c r="AG151" i="6"/>
  <c r="AH151" i="6" s="1"/>
  <c r="AF131" i="6"/>
  <c r="AE132" i="6"/>
  <c r="L149" i="6"/>
  <c r="Q149" i="6" s="1"/>
  <c r="S149" i="6" s="1"/>
  <c r="H149" i="6"/>
  <c r="F151" i="6"/>
  <c r="P151" i="6" s="1"/>
  <c r="O150" i="6"/>
  <c r="N150" i="6"/>
  <c r="G150" i="6"/>
  <c r="K150" i="6"/>
  <c r="I150" i="6"/>
  <c r="J150" i="6" s="1"/>
  <c r="W129" i="6"/>
  <c r="X129" i="6" s="1"/>
  <c r="Y128" i="6"/>
  <c r="Z128" i="6" s="1"/>
  <c r="AA128" i="6" s="1"/>
  <c r="U130" i="6" l="1"/>
  <c r="J149" i="5"/>
  <c r="AK131" i="6" s="1"/>
  <c r="AP131" i="6" s="1"/>
  <c r="AR131" i="6" s="1"/>
  <c r="M149" i="5"/>
  <c r="AT131" i="6" s="1"/>
  <c r="AU131" i="6" s="1"/>
  <c r="AV131" i="6" s="1"/>
  <c r="Q150" i="5"/>
  <c r="T150" i="5"/>
  <c r="X148" i="5"/>
  <c r="AA148" i="5"/>
  <c r="C149" i="5"/>
  <c r="M131" i="6" s="1"/>
  <c r="R131" i="6" s="1"/>
  <c r="T131" i="6" s="1"/>
  <c r="F149" i="5"/>
  <c r="V131" i="6" s="1"/>
  <c r="AR129" i="6"/>
  <c r="AJ151" i="6"/>
  <c r="AO151" i="6" s="1"/>
  <c r="AQ151" i="6" s="1"/>
  <c r="AF132" i="6"/>
  <c r="AE133" i="6"/>
  <c r="AG152" i="6"/>
  <c r="AH152" i="6" s="1"/>
  <c r="AI152" i="6"/>
  <c r="AD153" i="6"/>
  <c r="AN153" i="6" s="1"/>
  <c r="AM152" i="6"/>
  <c r="AL152" i="6"/>
  <c r="L150" i="6"/>
  <c r="Q150" i="6" s="1"/>
  <c r="S150" i="6" s="1"/>
  <c r="F152" i="6"/>
  <c r="P152" i="6" s="1"/>
  <c r="O151" i="6"/>
  <c r="K151" i="6"/>
  <c r="I151" i="6"/>
  <c r="J151" i="6" s="1"/>
  <c r="G151" i="6"/>
  <c r="H151" i="6" s="1"/>
  <c r="N151" i="6"/>
  <c r="H150" i="6"/>
  <c r="W130" i="6"/>
  <c r="X130" i="6" s="1"/>
  <c r="Y129" i="6"/>
  <c r="Z129" i="6" s="1"/>
  <c r="AA129" i="6" s="1"/>
  <c r="AA149" i="5" l="1"/>
  <c r="X149" i="5"/>
  <c r="T151" i="5"/>
  <c r="Q151" i="5"/>
  <c r="M150" i="5"/>
  <c r="J150" i="5"/>
  <c r="AK132" i="6" s="1"/>
  <c r="AP132" i="6" s="1"/>
  <c r="AR132" i="6" s="1"/>
  <c r="AS132" i="6" s="1"/>
  <c r="C150" i="5"/>
  <c r="M132" i="6" s="1"/>
  <c r="R132" i="6" s="1"/>
  <c r="T132" i="6" s="1"/>
  <c r="F150" i="5"/>
  <c r="V132" i="6" s="1"/>
  <c r="AS130" i="6"/>
  <c r="AW130" i="6" s="1"/>
  <c r="AX130" i="6" s="1"/>
  <c r="AY130" i="6" s="1"/>
  <c r="AS129" i="6"/>
  <c r="AW129" i="6" s="1"/>
  <c r="AX129" i="6" s="1"/>
  <c r="AY129" i="6" s="1"/>
  <c r="AS131" i="6"/>
  <c r="AW131" i="6" s="1"/>
  <c r="AX131" i="6" s="1"/>
  <c r="AY131" i="6" s="1"/>
  <c r="AT132" i="6"/>
  <c r="AJ152" i="6"/>
  <c r="AO152" i="6" s="1"/>
  <c r="AQ152" i="6" s="1"/>
  <c r="AD154" i="6"/>
  <c r="AN154" i="6" s="1"/>
  <c r="AG153" i="6"/>
  <c r="AH153" i="6" s="1"/>
  <c r="AL153" i="6"/>
  <c r="AI153" i="6"/>
  <c r="AM153" i="6"/>
  <c r="AF133" i="6"/>
  <c r="AE134" i="6"/>
  <c r="L151" i="6"/>
  <c r="Q151" i="6" s="1"/>
  <c r="S151" i="6" s="1"/>
  <c r="O152" i="6"/>
  <c r="N152" i="6"/>
  <c r="F153" i="6"/>
  <c r="P153" i="6" s="1"/>
  <c r="G152" i="6"/>
  <c r="K152" i="6"/>
  <c r="I152" i="6"/>
  <c r="J152" i="6" s="1"/>
  <c r="U131" i="6"/>
  <c r="W131" i="6"/>
  <c r="X131" i="6" s="1"/>
  <c r="Y130" i="6"/>
  <c r="Z130" i="6" s="1"/>
  <c r="AA130" i="6" s="1"/>
  <c r="M151" i="5" l="1"/>
  <c r="AT133" i="6" s="1"/>
  <c r="AU133" i="6" s="1"/>
  <c r="AV133" i="6" s="1"/>
  <c r="J151" i="5"/>
  <c r="AK133" i="6" s="1"/>
  <c r="AP133" i="6" s="1"/>
  <c r="AR133" i="6" s="1"/>
  <c r="AS133" i="6" s="1"/>
  <c r="T152" i="5"/>
  <c r="Q152" i="5"/>
  <c r="AW132" i="6"/>
  <c r="AX132" i="6" s="1"/>
  <c r="AY132" i="6" s="1"/>
  <c r="X150" i="5"/>
  <c r="AA150" i="5"/>
  <c r="C151" i="5"/>
  <c r="M133" i="6" s="1"/>
  <c r="R133" i="6" s="1"/>
  <c r="T133" i="6" s="1"/>
  <c r="F151" i="5"/>
  <c r="V133" i="6" s="1"/>
  <c r="AU132" i="6"/>
  <c r="AV132" i="6" s="1"/>
  <c r="AJ153" i="6"/>
  <c r="AO153" i="6" s="1"/>
  <c r="AF134" i="6"/>
  <c r="AE135" i="6"/>
  <c r="AM154" i="6"/>
  <c r="AI154" i="6"/>
  <c r="AL154" i="6"/>
  <c r="AG154" i="6"/>
  <c r="AH154" i="6" s="1"/>
  <c r="AD155" i="6"/>
  <c r="AN155" i="6" s="1"/>
  <c r="L152" i="6"/>
  <c r="Q152" i="6" s="1"/>
  <c r="S152" i="6" s="1"/>
  <c r="O153" i="6"/>
  <c r="N153" i="6"/>
  <c r="I153" i="6"/>
  <c r="J153" i="6" s="1"/>
  <c r="G153" i="6"/>
  <c r="F154" i="6"/>
  <c r="P154" i="6" s="1"/>
  <c r="K153" i="6"/>
  <c r="H152" i="6"/>
  <c r="U132" i="6"/>
  <c r="Y132" i="6" s="1"/>
  <c r="Z132" i="6" s="1"/>
  <c r="AA132" i="6" s="1"/>
  <c r="W132" i="6"/>
  <c r="X132" i="6" s="1"/>
  <c r="Y131" i="6"/>
  <c r="Z131" i="6" s="1"/>
  <c r="AA131" i="6" s="1"/>
  <c r="X151" i="5" l="1"/>
  <c r="AA151" i="5"/>
  <c r="T153" i="5"/>
  <c r="Q153" i="5"/>
  <c r="M152" i="5"/>
  <c r="J152" i="5"/>
  <c r="AK134" i="6" s="1"/>
  <c r="AP134" i="6" s="1"/>
  <c r="AR134" i="6" s="1"/>
  <c r="AS134" i="6" s="1"/>
  <c r="C152" i="5"/>
  <c r="M134" i="6" s="1"/>
  <c r="R134" i="6" s="1"/>
  <c r="T134" i="6" s="1"/>
  <c r="F152" i="5"/>
  <c r="V134" i="6" s="1"/>
  <c r="AQ153" i="6"/>
  <c r="AW133" i="6"/>
  <c r="AX133" i="6" s="1"/>
  <c r="AY133" i="6" s="1"/>
  <c r="AJ154" i="6"/>
  <c r="AO154" i="6" s="1"/>
  <c r="AQ154" i="6" s="1"/>
  <c r="AF135" i="6"/>
  <c r="AE136" i="6"/>
  <c r="AG155" i="6"/>
  <c r="AH155" i="6" s="1"/>
  <c r="AD156" i="6"/>
  <c r="AN156" i="6" s="1"/>
  <c r="AL155" i="6"/>
  <c r="AI155" i="6"/>
  <c r="AM155" i="6"/>
  <c r="O154" i="6"/>
  <c r="N154" i="6"/>
  <c r="K154" i="6"/>
  <c r="G154" i="6"/>
  <c r="F155" i="6"/>
  <c r="P155" i="6" s="1"/>
  <c r="I154" i="6"/>
  <c r="J154" i="6" s="1"/>
  <c r="H153" i="6"/>
  <c r="L153" i="6"/>
  <c r="Q153" i="6" s="1"/>
  <c r="S153" i="6" s="1"/>
  <c r="W133" i="6"/>
  <c r="X133" i="6" s="1"/>
  <c r="U133" i="6"/>
  <c r="Y133" i="6" s="1"/>
  <c r="Z133" i="6" s="1"/>
  <c r="AA133" i="6" s="1"/>
  <c r="J153" i="5" l="1"/>
  <c r="AK135" i="6" s="1"/>
  <c r="AP135" i="6" s="1"/>
  <c r="AR135" i="6" s="1"/>
  <c r="AS135" i="6" s="1"/>
  <c r="M153" i="5"/>
  <c r="AT135" i="6" s="1"/>
  <c r="AU135" i="6" s="1"/>
  <c r="AV135" i="6" s="1"/>
  <c r="Q154" i="5"/>
  <c r="T154" i="5"/>
  <c r="AT134" i="6"/>
  <c r="AU134" i="6" s="1"/>
  <c r="AV134" i="6" s="1"/>
  <c r="AA152" i="5"/>
  <c r="X152" i="5"/>
  <c r="C153" i="5"/>
  <c r="M135" i="6" s="1"/>
  <c r="R135" i="6" s="1"/>
  <c r="T135" i="6" s="1"/>
  <c r="F153" i="5"/>
  <c r="V135" i="6" s="1"/>
  <c r="AJ155" i="6"/>
  <c r="AO155" i="6" s="1"/>
  <c r="AG156" i="6"/>
  <c r="AH156" i="6" s="1"/>
  <c r="AD157" i="6"/>
  <c r="AN157" i="6" s="1"/>
  <c r="AL156" i="6"/>
  <c r="AI156" i="6"/>
  <c r="AM156" i="6"/>
  <c r="AF136" i="6"/>
  <c r="AE137" i="6"/>
  <c r="L154" i="6"/>
  <c r="Q154" i="6" s="1"/>
  <c r="S154" i="6" s="1"/>
  <c r="G155" i="6"/>
  <c r="N155" i="6"/>
  <c r="O155" i="6"/>
  <c r="K155" i="6"/>
  <c r="F156" i="6"/>
  <c r="P156" i="6" s="1"/>
  <c r="I155" i="6"/>
  <c r="J155" i="6" s="1"/>
  <c r="H154" i="6"/>
  <c r="U134" i="6"/>
  <c r="W134" i="6"/>
  <c r="X134" i="6" s="1"/>
  <c r="X153" i="5" l="1"/>
  <c r="AA153" i="5"/>
  <c r="Q155" i="5"/>
  <c r="T155" i="5"/>
  <c r="J154" i="5"/>
  <c r="AK136" i="6" s="1"/>
  <c r="AP136" i="6" s="1"/>
  <c r="AR136" i="6" s="1"/>
  <c r="AS136" i="6" s="1"/>
  <c r="M154" i="5"/>
  <c r="AW134" i="6"/>
  <c r="AX134" i="6" s="1"/>
  <c r="AY134" i="6" s="1"/>
  <c r="C154" i="5"/>
  <c r="M136" i="6" s="1"/>
  <c r="R136" i="6" s="1"/>
  <c r="T136" i="6" s="1"/>
  <c r="F154" i="5"/>
  <c r="V136" i="6" s="1"/>
  <c r="AQ155" i="6"/>
  <c r="AW135" i="6"/>
  <c r="AX135" i="6" s="1"/>
  <c r="AY135" i="6" s="1"/>
  <c r="AJ156" i="6"/>
  <c r="AO156" i="6" s="1"/>
  <c r="AQ156" i="6" s="1"/>
  <c r="AF137" i="6"/>
  <c r="AE138" i="6"/>
  <c r="AG157" i="6"/>
  <c r="AH157" i="6" s="1"/>
  <c r="AD158" i="6"/>
  <c r="AN158" i="6" s="1"/>
  <c r="AI157" i="6"/>
  <c r="AL157" i="6"/>
  <c r="AM157" i="6"/>
  <c r="L155" i="6"/>
  <c r="Q155" i="6" s="1"/>
  <c r="S155" i="6" s="1"/>
  <c r="O156" i="6"/>
  <c r="N156" i="6"/>
  <c r="K156" i="6"/>
  <c r="F157" i="6"/>
  <c r="P157" i="6" s="1"/>
  <c r="I156" i="6"/>
  <c r="J156" i="6" s="1"/>
  <c r="G156" i="6"/>
  <c r="H155" i="6"/>
  <c r="W135" i="6"/>
  <c r="X135" i="6" s="1"/>
  <c r="U135" i="6"/>
  <c r="Y135" i="6" s="1"/>
  <c r="Z135" i="6" s="1"/>
  <c r="AA135" i="6" s="1"/>
  <c r="Y134" i="6"/>
  <c r="Z134" i="6" s="1"/>
  <c r="AA134" i="6" s="1"/>
  <c r="J155" i="5" l="1"/>
  <c r="AK137" i="6" s="1"/>
  <c r="M155" i="5"/>
  <c r="AT137" i="6" s="1"/>
  <c r="AU137" i="6" s="1"/>
  <c r="AV137" i="6" s="1"/>
  <c r="T156" i="5"/>
  <c r="Q156" i="5"/>
  <c r="AT136" i="6"/>
  <c r="AU136" i="6" s="1"/>
  <c r="AV136" i="6" s="1"/>
  <c r="AV15" i="12" s="1"/>
  <c r="X154" i="5"/>
  <c r="AA154" i="5"/>
  <c r="C155" i="5"/>
  <c r="F155" i="5"/>
  <c r="V137" i="6" s="1"/>
  <c r="AW136" i="6"/>
  <c r="AT15" i="12"/>
  <c r="AU15" i="12"/>
  <c r="AJ157" i="6"/>
  <c r="AO157" i="6" s="1"/>
  <c r="AQ157" i="6" s="1"/>
  <c r="AG158" i="6"/>
  <c r="AH158" i="6" s="1"/>
  <c r="AD159" i="6"/>
  <c r="AN159" i="6" s="1"/>
  <c r="AM158" i="6"/>
  <c r="AL158" i="6"/>
  <c r="AI158" i="6"/>
  <c r="AF138" i="6"/>
  <c r="AE139" i="6"/>
  <c r="L156" i="6"/>
  <c r="Q156" i="6" s="1"/>
  <c r="S156" i="6" s="1"/>
  <c r="G157" i="6"/>
  <c r="I157" i="6"/>
  <c r="J157" i="6" s="1"/>
  <c r="K157" i="6"/>
  <c r="O157" i="6"/>
  <c r="N157" i="6"/>
  <c r="F158" i="6"/>
  <c r="P158" i="6" s="1"/>
  <c r="H156" i="6"/>
  <c r="U136" i="6"/>
  <c r="Y136" i="6" s="1"/>
  <c r="X155" i="5" l="1"/>
  <c r="AA155" i="5"/>
  <c r="Q157" i="5"/>
  <c r="T157" i="5"/>
  <c r="M156" i="5"/>
  <c r="AT138" i="6" s="1"/>
  <c r="AU138" i="6" s="1"/>
  <c r="AV138" i="6" s="1"/>
  <c r="J156" i="5"/>
  <c r="AK138" i="6" s="1"/>
  <c r="AP138" i="6" s="1"/>
  <c r="AR138" i="6" s="1"/>
  <c r="C156" i="5"/>
  <c r="F156" i="5"/>
  <c r="V138" i="6" s="1"/>
  <c r="AP137" i="6"/>
  <c r="AX136" i="6"/>
  <c r="AW15" i="12"/>
  <c r="M137" i="6"/>
  <c r="R137" i="6" s="1"/>
  <c r="T137" i="6" s="1"/>
  <c r="AJ158" i="6"/>
  <c r="AO158" i="6" s="1"/>
  <c r="AQ158" i="6" s="1"/>
  <c r="AF139" i="6"/>
  <c r="AE140" i="6"/>
  <c r="AG159" i="6"/>
  <c r="AH159" i="6" s="1"/>
  <c r="AM159" i="6"/>
  <c r="AD160" i="6"/>
  <c r="AN160" i="6" s="1"/>
  <c r="AI159" i="6"/>
  <c r="AL159" i="6"/>
  <c r="L157" i="6"/>
  <c r="Q157" i="6" s="1"/>
  <c r="S157" i="6" s="1"/>
  <c r="G158" i="6"/>
  <c r="I158" i="6"/>
  <c r="J158" i="6" s="1"/>
  <c r="O158" i="6"/>
  <c r="N158" i="6"/>
  <c r="K158" i="6"/>
  <c r="F159" i="6"/>
  <c r="P159" i="6" s="1"/>
  <c r="H157" i="6"/>
  <c r="Z136" i="6"/>
  <c r="W137" i="6"/>
  <c r="X137" i="6" s="1"/>
  <c r="W136" i="6"/>
  <c r="M138" i="6" l="1"/>
  <c r="R138" i="6" s="1"/>
  <c r="T138" i="6" s="1"/>
  <c r="U138" i="6" s="1"/>
  <c r="Y138" i="6" s="1"/>
  <c r="Z138" i="6" s="1"/>
  <c r="AA138" i="6" s="1"/>
  <c r="J157" i="5"/>
  <c r="M157" i="5"/>
  <c r="AT139" i="6" s="1"/>
  <c r="AU139" i="6" s="1"/>
  <c r="AV139" i="6" s="1"/>
  <c r="T158" i="5"/>
  <c r="Q158" i="5"/>
  <c r="AA156" i="5"/>
  <c r="X156" i="5"/>
  <c r="C157" i="5"/>
  <c r="M139" i="6" s="1"/>
  <c r="R139" i="6" s="1"/>
  <c r="T139" i="6" s="1"/>
  <c r="F157" i="5"/>
  <c r="V139" i="6" s="1"/>
  <c r="AY136" i="6"/>
  <c r="AY15" i="12" s="1"/>
  <c r="AX15" i="12"/>
  <c r="AR137" i="6"/>
  <c r="U137" i="6"/>
  <c r="Y137" i="6" s="1"/>
  <c r="Z137" i="6" s="1"/>
  <c r="AA137" i="6" s="1"/>
  <c r="AJ159" i="6"/>
  <c r="AO159" i="6" s="1"/>
  <c r="AQ159" i="6" s="1"/>
  <c r="AD161" i="6"/>
  <c r="AN161" i="6" s="1"/>
  <c r="AM160" i="6"/>
  <c r="AL160" i="6"/>
  <c r="AI160" i="6"/>
  <c r="AG160" i="6"/>
  <c r="AH160" i="6" s="1"/>
  <c r="AF140" i="6"/>
  <c r="AE141" i="6"/>
  <c r="L158" i="6"/>
  <c r="Q158" i="6" s="1"/>
  <c r="S158" i="6" s="1"/>
  <c r="H158" i="6"/>
  <c r="F160" i="6"/>
  <c r="P160" i="6" s="1"/>
  <c r="K159" i="6"/>
  <c r="I159" i="6"/>
  <c r="J159" i="6" s="1"/>
  <c r="G159" i="6"/>
  <c r="N159" i="6"/>
  <c r="O159" i="6"/>
  <c r="X136" i="6"/>
  <c r="W138" i="6"/>
  <c r="X138" i="6" s="1"/>
  <c r="AA136" i="6"/>
  <c r="X157" i="5" l="1"/>
  <c r="AA157" i="5"/>
  <c r="Q159" i="5"/>
  <c r="T159" i="5"/>
  <c r="M158" i="5"/>
  <c r="J158" i="5"/>
  <c r="AK140" i="6" s="1"/>
  <c r="AK139" i="6"/>
  <c r="AP139" i="6" s="1"/>
  <c r="AR139" i="6" s="1"/>
  <c r="AS139" i="6" s="1"/>
  <c r="AW139" i="6" s="1"/>
  <c r="AX139" i="6" s="1"/>
  <c r="AY139" i="6" s="1"/>
  <c r="C158" i="5"/>
  <c r="M140" i="6" s="1"/>
  <c r="R140" i="6" s="1"/>
  <c r="T140" i="6" s="1"/>
  <c r="F158" i="5"/>
  <c r="V140" i="6" s="1"/>
  <c r="AS137" i="6"/>
  <c r="AW137" i="6" s="1"/>
  <c r="AX137" i="6" s="1"/>
  <c r="AY137" i="6" s="1"/>
  <c r="AS138" i="6"/>
  <c r="AW138" i="6" s="1"/>
  <c r="AX138" i="6" s="1"/>
  <c r="AY138" i="6" s="1"/>
  <c r="AT140" i="6"/>
  <c r="AU140" i="6" s="1"/>
  <c r="AV140" i="6" s="1"/>
  <c r="AJ160" i="6"/>
  <c r="AO160" i="6" s="1"/>
  <c r="AQ160" i="6" s="1"/>
  <c r="AF141" i="6"/>
  <c r="AE142" i="6"/>
  <c r="AD162" i="6"/>
  <c r="AN162" i="6" s="1"/>
  <c r="AL161" i="6"/>
  <c r="AI161" i="6"/>
  <c r="AG161" i="6"/>
  <c r="AH161" i="6" s="1"/>
  <c r="AM161" i="6"/>
  <c r="L159" i="6"/>
  <c r="Q159" i="6" s="1"/>
  <c r="S159" i="6" s="1"/>
  <c r="H159" i="6"/>
  <c r="I160" i="6"/>
  <c r="J160" i="6" s="1"/>
  <c r="N160" i="6"/>
  <c r="G160" i="6"/>
  <c r="F161" i="6"/>
  <c r="P161" i="6" s="1"/>
  <c r="O160" i="6"/>
  <c r="K160" i="6"/>
  <c r="W139" i="6"/>
  <c r="X139" i="6" s="1"/>
  <c r="U139" i="6"/>
  <c r="Y139" i="6" s="1"/>
  <c r="Z139" i="6" s="1"/>
  <c r="AA139" i="6" s="1"/>
  <c r="M159" i="5" l="1"/>
  <c r="J159" i="5"/>
  <c r="T160" i="5"/>
  <c r="Q160" i="5"/>
  <c r="AA158" i="5"/>
  <c r="X158" i="5"/>
  <c r="C159" i="5"/>
  <c r="M141" i="6" s="1"/>
  <c r="R141" i="6" s="1"/>
  <c r="T141" i="6" s="1"/>
  <c r="F159" i="5"/>
  <c r="V141" i="6" s="1"/>
  <c r="AP140" i="6"/>
  <c r="AT141" i="6"/>
  <c r="AU141" i="6" s="1"/>
  <c r="AV141" i="6" s="1"/>
  <c r="AJ161" i="6"/>
  <c r="AO161" i="6" s="1"/>
  <c r="AD163" i="6"/>
  <c r="AN163" i="6" s="1"/>
  <c r="AG162" i="6"/>
  <c r="AH162" i="6" s="1"/>
  <c r="AM162" i="6"/>
  <c r="AL162" i="6"/>
  <c r="AI162" i="6"/>
  <c r="AF142" i="6"/>
  <c r="AE143" i="6"/>
  <c r="N161" i="6"/>
  <c r="K161" i="6"/>
  <c r="O161" i="6"/>
  <c r="F162" i="6"/>
  <c r="P162" i="6" s="1"/>
  <c r="G161" i="6"/>
  <c r="I161" i="6"/>
  <c r="J161" i="6" s="1"/>
  <c r="H160" i="6"/>
  <c r="L160" i="6"/>
  <c r="Q160" i="6" s="1"/>
  <c r="S160" i="6" s="1"/>
  <c r="W140" i="6"/>
  <c r="X140" i="6" s="1"/>
  <c r="U140" i="6"/>
  <c r="Y140" i="6" s="1"/>
  <c r="Z140" i="6" s="1"/>
  <c r="AA140" i="6" s="1"/>
  <c r="X159" i="5" l="1"/>
  <c r="AA159" i="5"/>
  <c r="T161" i="5"/>
  <c r="Q161" i="5"/>
  <c r="AK141" i="6"/>
  <c r="AP141" i="6" s="1"/>
  <c r="AR141" i="6" s="1"/>
  <c r="M160" i="5"/>
  <c r="J160" i="5"/>
  <c r="AK142" i="6" s="1"/>
  <c r="AP142" i="6" s="1"/>
  <c r="AR142" i="6" s="1"/>
  <c r="C160" i="5"/>
  <c r="F160" i="5"/>
  <c r="V142" i="6" s="1"/>
  <c r="AR140" i="6"/>
  <c r="AQ161" i="6"/>
  <c r="AJ162" i="6"/>
  <c r="AO162" i="6" s="1"/>
  <c r="AQ162" i="6" s="1"/>
  <c r="AM163" i="6"/>
  <c r="AL163" i="6"/>
  <c r="AG163" i="6"/>
  <c r="AH163" i="6" s="1"/>
  <c r="AD164" i="6"/>
  <c r="AN164" i="6" s="1"/>
  <c r="AI163" i="6"/>
  <c r="AF143" i="6"/>
  <c r="AE144" i="6"/>
  <c r="L161" i="6"/>
  <c r="Q161" i="6" s="1"/>
  <c r="S161" i="6" s="1"/>
  <c r="H161" i="6"/>
  <c r="K162" i="6"/>
  <c r="G162" i="6"/>
  <c r="H162" i="6" s="1"/>
  <c r="N162" i="6"/>
  <c r="O162" i="6"/>
  <c r="F163" i="6"/>
  <c r="P163" i="6" s="1"/>
  <c r="I162" i="6"/>
  <c r="J162" i="6" s="1"/>
  <c r="U141" i="6"/>
  <c r="W141" i="6"/>
  <c r="X141" i="6" s="1"/>
  <c r="AS142" i="6" l="1"/>
  <c r="J161" i="5"/>
  <c r="M161" i="5"/>
  <c r="AT143" i="6" s="1"/>
  <c r="AT142" i="6"/>
  <c r="AU142" i="6" s="1"/>
  <c r="AV142" i="6" s="1"/>
  <c r="T162" i="5"/>
  <c r="Q162" i="5"/>
  <c r="AA160" i="5"/>
  <c r="X160" i="5"/>
  <c r="C161" i="5"/>
  <c r="M143" i="6" s="1"/>
  <c r="R143" i="6" s="1"/>
  <c r="T143" i="6" s="1"/>
  <c r="F161" i="5"/>
  <c r="V143" i="6" s="1"/>
  <c r="AS140" i="6"/>
  <c r="AW140" i="6" s="1"/>
  <c r="AX140" i="6" s="1"/>
  <c r="AY140" i="6" s="1"/>
  <c r="AS141" i="6"/>
  <c r="AW141" i="6" s="1"/>
  <c r="AX141" i="6" s="1"/>
  <c r="AY141" i="6" s="1"/>
  <c r="M142" i="6"/>
  <c r="R142" i="6" s="1"/>
  <c r="T142" i="6" s="1"/>
  <c r="U142" i="6" s="1"/>
  <c r="Y142" i="6" s="1"/>
  <c r="Z142" i="6" s="1"/>
  <c r="AA142" i="6" s="1"/>
  <c r="AM164" i="6"/>
  <c r="AD165" i="6"/>
  <c r="AN165" i="6" s="1"/>
  <c r="AL164" i="6"/>
  <c r="AI164" i="6"/>
  <c r="AG164" i="6"/>
  <c r="AH164" i="6" s="1"/>
  <c r="AJ163" i="6"/>
  <c r="AO163" i="6" s="1"/>
  <c r="AQ163" i="6" s="1"/>
  <c r="AF144" i="6"/>
  <c r="AE145" i="6"/>
  <c r="L162" i="6"/>
  <c r="Q162" i="6" s="1"/>
  <c r="S162" i="6" s="1"/>
  <c r="O163" i="6"/>
  <c r="F164" i="6"/>
  <c r="P164" i="6" s="1"/>
  <c r="G163" i="6"/>
  <c r="N163" i="6"/>
  <c r="K163" i="6"/>
  <c r="I163" i="6"/>
  <c r="J163" i="6" s="1"/>
  <c r="W142" i="6"/>
  <c r="X142" i="6" s="1"/>
  <c r="Y141" i="6"/>
  <c r="Z141" i="6" s="1"/>
  <c r="AA141" i="6" s="1"/>
  <c r="AA161" i="5" l="1"/>
  <c r="X161" i="5"/>
  <c r="T163" i="5"/>
  <c r="Q163" i="5"/>
  <c r="M162" i="5"/>
  <c r="J162" i="5"/>
  <c r="AK144" i="6" s="1"/>
  <c r="AP144" i="6" s="1"/>
  <c r="AR144" i="6" s="1"/>
  <c r="AW142" i="6"/>
  <c r="AX142" i="6" s="1"/>
  <c r="AY142" i="6" s="1"/>
  <c r="AK143" i="6"/>
  <c r="AP143" i="6" s="1"/>
  <c r="AR143" i="6" s="1"/>
  <c r="AS143" i="6" s="1"/>
  <c r="AW143" i="6" s="1"/>
  <c r="AX143" i="6" s="1"/>
  <c r="AY143" i="6" s="1"/>
  <c r="C162" i="5"/>
  <c r="M144" i="6" s="1"/>
  <c r="R144" i="6" s="1"/>
  <c r="T144" i="6" s="1"/>
  <c r="F162" i="5"/>
  <c r="V144" i="6" s="1"/>
  <c r="U143" i="6"/>
  <c r="Y143" i="6" s="1"/>
  <c r="Z143" i="6" s="1"/>
  <c r="AA143" i="6" s="1"/>
  <c r="AU143" i="6"/>
  <c r="AV143" i="6" s="1"/>
  <c r="AF145" i="6"/>
  <c r="AE146" i="6"/>
  <c r="AD166" i="6"/>
  <c r="AN166" i="6" s="1"/>
  <c r="AL165" i="6"/>
  <c r="AG165" i="6"/>
  <c r="AH165" i="6" s="1"/>
  <c r="AM165" i="6"/>
  <c r="AI165" i="6"/>
  <c r="AJ164" i="6"/>
  <c r="AO164" i="6" s="1"/>
  <c r="L163" i="6"/>
  <c r="Q163" i="6" s="1"/>
  <c r="S163" i="6" s="1"/>
  <c r="H163" i="6"/>
  <c r="O164" i="6"/>
  <c r="N164" i="6"/>
  <c r="F165" i="6"/>
  <c r="P165" i="6" s="1"/>
  <c r="G164" i="6"/>
  <c r="I164" i="6"/>
  <c r="J164" i="6" s="1"/>
  <c r="K164" i="6"/>
  <c r="W143" i="6"/>
  <c r="X143" i="6" s="1"/>
  <c r="M163" i="5" l="1"/>
  <c r="J163" i="5"/>
  <c r="AK145" i="6" s="1"/>
  <c r="AP145" i="6" s="1"/>
  <c r="T164" i="5"/>
  <c r="Q164" i="5"/>
  <c r="AT144" i="6"/>
  <c r="AU144" i="6" s="1"/>
  <c r="AV144" i="6" s="1"/>
  <c r="X162" i="5"/>
  <c r="AA162" i="5"/>
  <c r="C163" i="5"/>
  <c r="M145" i="6" s="1"/>
  <c r="R145" i="6" s="1"/>
  <c r="T145" i="6" s="1"/>
  <c r="F163" i="5"/>
  <c r="V145" i="6" s="1"/>
  <c r="AS144" i="6"/>
  <c r="AW144" i="6" s="1"/>
  <c r="AX144" i="6" s="1"/>
  <c r="AY144" i="6" s="1"/>
  <c r="AQ164" i="6"/>
  <c r="AJ165" i="6"/>
  <c r="AO165" i="6" s="1"/>
  <c r="AQ165" i="6" s="1"/>
  <c r="AT145" i="6"/>
  <c r="AU145" i="6" s="1"/>
  <c r="AV145" i="6" s="1"/>
  <c r="AM166" i="6"/>
  <c r="AI166" i="6"/>
  <c r="AG166" i="6"/>
  <c r="AH166" i="6" s="1"/>
  <c r="AD167" i="6"/>
  <c r="AL166" i="6"/>
  <c r="AF146" i="6"/>
  <c r="AE147" i="6"/>
  <c r="N165" i="6"/>
  <c r="K165" i="6"/>
  <c r="F166" i="6"/>
  <c r="P166" i="6" s="1"/>
  <c r="O165" i="6"/>
  <c r="I165" i="6"/>
  <c r="J165" i="6" s="1"/>
  <c r="G165" i="6"/>
  <c r="L164" i="6"/>
  <c r="Q164" i="6" s="1"/>
  <c r="S164" i="6" s="1"/>
  <c r="H164" i="6"/>
  <c r="W144" i="6"/>
  <c r="X144" i="6" s="1"/>
  <c r="U144" i="6"/>
  <c r="Y144" i="6" s="1"/>
  <c r="Z144" i="6" s="1"/>
  <c r="AA144" i="6" s="1"/>
  <c r="X163" i="5" l="1"/>
  <c r="AA163" i="5"/>
  <c r="Q165" i="5"/>
  <c r="T165" i="5"/>
  <c r="J164" i="5"/>
  <c r="AK146" i="6" s="1"/>
  <c r="AP146" i="6" s="1"/>
  <c r="AR146" i="6" s="1"/>
  <c r="M164" i="5"/>
  <c r="C164" i="5"/>
  <c r="M146" i="6" s="1"/>
  <c r="R146" i="6" s="1"/>
  <c r="T146" i="6" s="1"/>
  <c r="F164" i="5"/>
  <c r="V146" i="6" s="1"/>
  <c r="AN167" i="6"/>
  <c r="AR145" i="6"/>
  <c r="AS145" i="6" s="1"/>
  <c r="AW145" i="6" s="1"/>
  <c r="AX145" i="6" s="1"/>
  <c r="AY145" i="6" s="1"/>
  <c r="AF147" i="6"/>
  <c r="AE148" i="6"/>
  <c r="L165" i="6"/>
  <c r="Q165" i="6" s="1"/>
  <c r="S165" i="6" s="1"/>
  <c r="AJ166" i="6"/>
  <c r="AO166" i="6" s="1"/>
  <c r="AQ166" i="6" s="1"/>
  <c r="AL167" i="6"/>
  <c r="AD168" i="6"/>
  <c r="AN168" i="6" s="1"/>
  <c r="AI167" i="6"/>
  <c r="AG167" i="6"/>
  <c r="AH167" i="6" s="1"/>
  <c r="AM167" i="6"/>
  <c r="H165" i="6"/>
  <c r="G166" i="6"/>
  <c r="K166" i="6"/>
  <c r="F167" i="6"/>
  <c r="P167" i="6" s="1"/>
  <c r="O166" i="6"/>
  <c r="I166" i="6"/>
  <c r="J166" i="6" s="1"/>
  <c r="N166" i="6"/>
  <c r="W145" i="6"/>
  <c r="X145" i="6" s="1"/>
  <c r="U145" i="6"/>
  <c r="Y145" i="6" s="1"/>
  <c r="Z145" i="6" s="1"/>
  <c r="AA145" i="6" s="1"/>
  <c r="J165" i="5" l="1"/>
  <c r="AK147" i="6" s="1"/>
  <c r="AP147" i="6" s="1"/>
  <c r="AR147" i="6" s="1"/>
  <c r="AS147" i="6" s="1"/>
  <c r="M165" i="5"/>
  <c r="AT147" i="6" s="1"/>
  <c r="AU147" i="6" s="1"/>
  <c r="AV147" i="6" s="1"/>
  <c r="Q166" i="5"/>
  <c r="T166" i="5"/>
  <c r="AS146" i="6"/>
  <c r="AA164" i="5"/>
  <c r="X164" i="5"/>
  <c r="AT146" i="6"/>
  <c r="AU146" i="6" s="1"/>
  <c r="AV146" i="6" s="1"/>
  <c r="C165" i="5"/>
  <c r="M147" i="6" s="1"/>
  <c r="R147" i="6" s="1"/>
  <c r="T147" i="6" s="1"/>
  <c r="F165" i="5"/>
  <c r="V147" i="6" s="1"/>
  <c r="AJ167" i="6"/>
  <c r="AO167" i="6" s="1"/>
  <c r="AQ167" i="6" s="1"/>
  <c r="AI168" i="6"/>
  <c r="AM168" i="6"/>
  <c r="AL168" i="6"/>
  <c r="AG168" i="6"/>
  <c r="AH168" i="6" s="1"/>
  <c r="AD169" i="6"/>
  <c r="AF148" i="6"/>
  <c r="AE149" i="6"/>
  <c r="L166" i="6"/>
  <c r="Q166" i="6" s="1"/>
  <c r="S166" i="6" s="1"/>
  <c r="H166" i="6"/>
  <c r="F168" i="6"/>
  <c r="P168" i="6" s="1"/>
  <c r="K167" i="6"/>
  <c r="N167" i="6"/>
  <c r="I167" i="6"/>
  <c r="J167" i="6" s="1"/>
  <c r="O167" i="6"/>
  <c r="G167" i="6"/>
  <c r="H167" i="6" s="1"/>
  <c r="W146" i="6"/>
  <c r="X146" i="6" s="1"/>
  <c r="U146" i="6"/>
  <c r="Y146" i="6" s="1"/>
  <c r="Z146" i="6" s="1"/>
  <c r="AA146" i="6" s="1"/>
  <c r="AA165" i="5" l="1"/>
  <c r="X165" i="5"/>
  <c r="Q167" i="5"/>
  <c r="T167" i="5"/>
  <c r="M166" i="5"/>
  <c r="J166" i="5"/>
  <c r="AK148" i="6" s="1"/>
  <c r="AP148" i="6" s="1"/>
  <c r="AR148" i="6" s="1"/>
  <c r="AS148" i="6" s="1"/>
  <c r="AW146" i="6"/>
  <c r="AX146" i="6" s="1"/>
  <c r="AY146" i="6" s="1"/>
  <c r="C166" i="5"/>
  <c r="M148" i="6" s="1"/>
  <c r="R148" i="6" s="1"/>
  <c r="T148" i="6" s="1"/>
  <c r="F166" i="5"/>
  <c r="V148" i="6" s="1"/>
  <c r="AN169" i="6"/>
  <c r="AW147" i="6"/>
  <c r="AX147" i="6" s="1"/>
  <c r="AY147" i="6" s="1"/>
  <c r="AJ168" i="6"/>
  <c r="AO168" i="6" s="1"/>
  <c r="AQ168" i="6" s="1"/>
  <c r="AD170" i="6"/>
  <c r="AN170" i="6" s="1"/>
  <c r="AM169" i="6"/>
  <c r="AG169" i="6"/>
  <c r="AH169" i="6" s="1"/>
  <c r="AL169" i="6"/>
  <c r="AI169" i="6"/>
  <c r="AF149" i="6"/>
  <c r="AE150" i="6"/>
  <c r="L167" i="6"/>
  <c r="Q167" i="6" s="1"/>
  <c r="S167" i="6" s="1"/>
  <c r="G168" i="6"/>
  <c r="F169" i="6"/>
  <c r="P169" i="6" s="1"/>
  <c r="O168" i="6"/>
  <c r="N168" i="6"/>
  <c r="I168" i="6"/>
  <c r="J168" i="6" s="1"/>
  <c r="K168" i="6"/>
  <c r="W147" i="6"/>
  <c r="X147" i="6" s="1"/>
  <c r="U147" i="6"/>
  <c r="Y147" i="6" s="1"/>
  <c r="Z147" i="6" s="1"/>
  <c r="AA147" i="6" s="1"/>
  <c r="J167" i="5" l="1"/>
  <c r="M167" i="5"/>
  <c r="AT149" i="6" s="1"/>
  <c r="Q168" i="5"/>
  <c r="T168" i="5"/>
  <c r="AT148" i="6"/>
  <c r="AU148" i="6" s="1"/>
  <c r="AA166" i="5"/>
  <c r="X166" i="5"/>
  <c r="C167" i="5"/>
  <c r="F167" i="5"/>
  <c r="V149" i="6" s="1"/>
  <c r="AT16" i="12"/>
  <c r="AK149" i="6"/>
  <c r="AJ169" i="6"/>
  <c r="AO169" i="6" s="1"/>
  <c r="AQ169" i="6" s="1"/>
  <c r="AF150" i="6"/>
  <c r="AE151" i="6"/>
  <c r="AI170" i="6"/>
  <c r="AD171" i="6"/>
  <c r="AL170" i="6"/>
  <c r="AM170" i="6"/>
  <c r="AG170" i="6"/>
  <c r="AH170" i="6" s="1"/>
  <c r="L168" i="6"/>
  <c r="Q168" i="6" s="1"/>
  <c r="S168" i="6" s="1"/>
  <c r="N169" i="6"/>
  <c r="G169" i="6"/>
  <c r="K169" i="6"/>
  <c r="O169" i="6"/>
  <c r="F170" i="6"/>
  <c r="P170" i="6" s="1"/>
  <c r="I169" i="6"/>
  <c r="J169" i="6" s="1"/>
  <c r="H168" i="6"/>
  <c r="U148" i="6"/>
  <c r="Y148" i="6" s="1"/>
  <c r="AW148" i="6" l="1"/>
  <c r="AA167" i="5"/>
  <c r="X167" i="5"/>
  <c r="Q169" i="5"/>
  <c r="T169" i="5"/>
  <c r="J168" i="5"/>
  <c r="AK150" i="6" s="1"/>
  <c r="AP150" i="6" s="1"/>
  <c r="AR150" i="6" s="1"/>
  <c r="M168" i="5"/>
  <c r="AT150" i="6" s="1"/>
  <c r="AU150" i="6" s="1"/>
  <c r="AV150" i="6" s="1"/>
  <c r="C168" i="5"/>
  <c r="F168" i="5"/>
  <c r="V150" i="6" s="1"/>
  <c r="AN171" i="6"/>
  <c r="AP149" i="6"/>
  <c r="AV148" i="6"/>
  <c r="AV16" i="12" s="1"/>
  <c r="AU16" i="12"/>
  <c r="M149" i="6"/>
  <c r="R149" i="6" s="1"/>
  <c r="T149" i="6" s="1"/>
  <c r="U149" i="6" s="1"/>
  <c r="Y149" i="6" s="1"/>
  <c r="Z149" i="6" s="1"/>
  <c r="AA149" i="6" s="1"/>
  <c r="AU149" i="6"/>
  <c r="AV149" i="6" s="1"/>
  <c r="AJ170" i="6"/>
  <c r="AO170" i="6" s="1"/>
  <c r="AQ170" i="6" s="1"/>
  <c r="AM171" i="6"/>
  <c r="AI171" i="6"/>
  <c r="AL171" i="6"/>
  <c r="AD172" i="6"/>
  <c r="AN172" i="6" s="1"/>
  <c r="AG171" i="6"/>
  <c r="AH171" i="6" s="1"/>
  <c r="AF151" i="6"/>
  <c r="AE152" i="6"/>
  <c r="L169" i="6"/>
  <c r="Q169" i="6" s="1"/>
  <c r="S169" i="6" s="1"/>
  <c r="K170" i="6"/>
  <c r="I170" i="6"/>
  <c r="J170" i="6" s="1"/>
  <c r="F171" i="6"/>
  <c r="P171" i="6" s="1"/>
  <c r="N170" i="6"/>
  <c r="G170" i="6"/>
  <c r="O170" i="6"/>
  <c r="H169" i="6"/>
  <c r="Z148" i="6"/>
  <c r="W149" i="6"/>
  <c r="X149" i="6" s="1"/>
  <c r="W148" i="6"/>
  <c r="AX148" i="6" l="1"/>
  <c r="AW16" i="12"/>
  <c r="M150" i="6"/>
  <c r="R150" i="6" s="1"/>
  <c r="T150" i="6" s="1"/>
  <c r="U150" i="6" s="1"/>
  <c r="Y150" i="6" s="1"/>
  <c r="Z150" i="6" s="1"/>
  <c r="AA150" i="6" s="1"/>
  <c r="M169" i="5"/>
  <c r="AT151" i="6" s="1"/>
  <c r="J169" i="5"/>
  <c r="Q170" i="5"/>
  <c r="T170" i="5"/>
  <c r="X168" i="5"/>
  <c r="AA168" i="5"/>
  <c r="C169" i="5"/>
  <c r="F169" i="5"/>
  <c r="V151" i="6" s="1"/>
  <c r="AR149" i="6"/>
  <c r="AJ171" i="6"/>
  <c r="AO171" i="6" s="1"/>
  <c r="AQ171" i="6" s="1"/>
  <c r="AI172" i="6"/>
  <c r="AD173" i="6"/>
  <c r="AM172" i="6"/>
  <c r="AL172" i="6"/>
  <c r="AG172" i="6"/>
  <c r="AH172" i="6" s="1"/>
  <c r="AF152" i="6"/>
  <c r="AE153" i="6"/>
  <c r="L170" i="6"/>
  <c r="Q170" i="6" s="1"/>
  <c r="S170" i="6" s="1"/>
  <c r="G171" i="6"/>
  <c r="N171" i="6"/>
  <c r="I171" i="6"/>
  <c r="J171" i="6" s="1"/>
  <c r="K171" i="6"/>
  <c r="O171" i="6"/>
  <c r="F172" i="6"/>
  <c r="P172" i="6" s="1"/>
  <c r="H170" i="6"/>
  <c r="X148" i="6"/>
  <c r="W150" i="6"/>
  <c r="X150" i="6" s="1"/>
  <c r="AA148" i="6"/>
  <c r="AY148" i="6" l="1"/>
  <c r="AY16" i="12" s="1"/>
  <c r="AX16" i="12"/>
  <c r="AA169" i="5"/>
  <c r="X169" i="5"/>
  <c r="Q171" i="5"/>
  <c r="T171" i="5"/>
  <c r="AK151" i="6"/>
  <c r="AP151" i="6" s="1"/>
  <c r="AR151" i="6" s="1"/>
  <c r="AS151" i="6" s="1"/>
  <c r="AW151" i="6" s="1"/>
  <c r="AX151" i="6" s="1"/>
  <c r="AY151" i="6" s="1"/>
  <c r="M151" i="6"/>
  <c r="R151" i="6" s="1"/>
  <c r="T151" i="6" s="1"/>
  <c r="U151" i="6" s="1"/>
  <c r="J170" i="5"/>
  <c r="AK152" i="6" s="1"/>
  <c r="AP152" i="6" s="1"/>
  <c r="AR152" i="6" s="1"/>
  <c r="AS152" i="6" s="1"/>
  <c r="M170" i="5"/>
  <c r="AT152" i="6" s="1"/>
  <c r="C170" i="5"/>
  <c r="M152" i="6" s="1"/>
  <c r="R152" i="6" s="1"/>
  <c r="T152" i="6" s="1"/>
  <c r="F170" i="5"/>
  <c r="V152" i="6" s="1"/>
  <c r="AN173" i="6"/>
  <c r="AS149" i="6"/>
  <c r="AW149" i="6" s="1"/>
  <c r="AX149" i="6" s="1"/>
  <c r="AY149" i="6" s="1"/>
  <c r="AS150" i="6"/>
  <c r="AW150" i="6" s="1"/>
  <c r="AX150" i="6" s="1"/>
  <c r="AY150" i="6" s="1"/>
  <c r="AU151" i="6"/>
  <c r="AV151" i="6" s="1"/>
  <c r="AJ172" i="6"/>
  <c r="AO172" i="6" s="1"/>
  <c r="AQ172" i="6" s="1"/>
  <c r="AF153" i="6"/>
  <c r="AE154" i="6"/>
  <c r="AL173" i="6"/>
  <c r="AI173" i="6"/>
  <c r="AG173" i="6"/>
  <c r="AH173" i="6" s="1"/>
  <c r="AM173" i="6"/>
  <c r="AD174" i="6"/>
  <c r="AN174" i="6" s="1"/>
  <c r="L171" i="6"/>
  <c r="Q171" i="6" s="1"/>
  <c r="S171" i="6" s="1"/>
  <c r="I172" i="6"/>
  <c r="J172" i="6" s="1"/>
  <c r="K172" i="6"/>
  <c r="N172" i="6"/>
  <c r="G172" i="6"/>
  <c r="F173" i="6"/>
  <c r="P173" i="6" s="1"/>
  <c r="O172" i="6"/>
  <c r="H171" i="6"/>
  <c r="J171" i="5" l="1"/>
  <c r="AK153" i="6" s="1"/>
  <c r="M171" i="5"/>
  <c r="AT153" i="6" s="1"/>
  <c r="AU153" i="6" s="1"/>
  <c r="AV153" i="6" s="1"/>
  <c r="AW152" i="6"/>
  <c r="AX152" i="6" s="1"/>
  <c r="AY152" i="6" s="1"/>
  <c r="Q172" i="5"/>
  <c r="T172" i="5"/>
  <c r="X170" i="5"/>
  <c r="AA170" i="5"/>
  <c r="F171" i="5"/>
  <c r="V153" i="6" s="1"/>
  <c r="C171" i="5"/>
  <c r="M153" i="6" s="1"/>
  <c r="R153" i="6" s="1"/>
  <c r="T153" i="6" s="1"/>
  <c r="U152" i="6"/>
  <c r="Y152" i="6" s="1"/>
  <c r="Z152" i="6" s="1"/>
  <c r="AA152" i="6" s="1"/>
  <c r="AU152" i="6"/>
  <c r="AV152" i="6" s="1"/>
  <c r="AJ173" i="6"/>
  <c r="AO173" i="6" s="1"/>
  <c r="AL174" i="6"/>
  <c r="AD175" i="6"/>
  <c r="AI174" i="6"/>
  <c r="AM174" i="6"/>
  <c r="AG174" i="6"/>
  <c r="AH174" i="6" s="1"/>
  <c r="AF154" i="6"/>
  <c r="AE155" i="6"/>
  <c r="L172" i="6"/>
  <c r="Q172" i="6" s="1"/>
  <c r="S172" i="6" s="1"/>
  <c r="N173" i="6"/>
  <c r="I173" i="6"/>
  <c r="J173" i="6" s="1"/>
  <c r="K173" i="6"/>
  <c r="O173" i="6"/>
  <c r="F174" i="6"/>
  <c r="P174" i="6" s="1"/>
  <c r="G173" i="6"/>
  <c r="H172" i="6"/>
  <c r="W152" i="6"/>
  <c r="X152" i="6" s="1"/>
  <c r="W151" i="6"/>
  <c r="X151" i="6" s="1"/>
  <c r="Y151" i="6"/>
  <c r="Z151" i="6" s="1"/>
  <c r="AA151" i="6" s="1"/>
  <c r="X171" i="5" l="1"/>
  <c r="AA171" i="5"/>
  <c r="Q173" i="5"/>
  <c r="T173" i="5"/>
  <c r="M172" i="5"/>
  <c r="J172" i="5"/>
  <c r="AK154" i="6" s="1"/>
  <c r="AP154" i="6" s="1"/>
  <c r="AR154" i="6" s="1"/>
  <c r="C172" i="5"/>
  <c r="M154" i="6" s="1"/>
  <c r="R154" i="6" s="1"/>
  <c r="T154" i="6" s="1"/>
  <c r="U154" i="6" s="1"/>
  <c r="F172" i="5"/>
  <c r="V154" i="6" s="1"/>
  <c r="AN175" i="6"/>
  <c r="AP153" i="6"/>
  <c r="AQ173" i="6"/>
  <c r="AF155" i="6"/>
  <c r="AE156" i="6"/>
  <c r="AJ174" i="6"/>
  <c r="AO174" i="6" s="1"/>
  <c r="AQ174" i="6" s="1"/>
  <c r="AL175" i="6"/>
  <c r="AG175" i="6"/>
  <c r="AH175" i="6" s="1"/>
  <c r="AM175" i="6"/>
  <c r="AI175" i="6"/>
  <c r="AD176" i="6"/>
  <c r="AN176" i="6" s="1"/>
  <c r="I174" i="6"/>
  <c r="J174" i="6" s="1"/>
  <c r="G174" i="6"/>
  <c r="F175" i="6"/>
  <c r="P175" i="6" s="1"/>
  <c r="O174" i="6"/>
  <c r="N174" i="6"/>
  <c r="K174" i="6"/>
  <c r="H173" i="6"/>
  <c r="L173" i="6"/>
  <c r="Q173" i="6" s="1"/>
  <c r="S173" i="6" s="1"/>
  <c r="W153" i="6"/>
  <c r="X153" i="6" s="1"/>
  <c r="U153" i="6"/>
  <c r="Y153" i="6" s="1"/>
  <c r="Z153" i="6" s="1"/>
  <c r="AA153" i="6" s="1"/>
  <c r="J173" i="5" l="1"/>
  <c r="AK155" i="6" s="1"/>
  <c r="AP155" i="6" s="1"/>
  <c r="AR155" i="6" s="1"/>
  <c r="M173" i="5"/>
  <c r="Q174" i="5"/>
  <c r="T174" i="5"/>
  <c r="AT154" i="6"/>
  <c r="AU154" i="6" s="1"/>
  <c r="AV154" i="6" s="1"/>
  <c r="AA172" i="5"/>
  <c r="X172" i="5"/>
  <c r="C173" i="5"/>
  <c r="M155" i="6" s="1"/>
  <c r="R155" i="6" s="1"/>
  <c r="T155" i="6" s="1"/>
  <c r="F173" i="5"/>
  <c r="V155" i="6" s="1"/>
  <c r="AR153" i="6"/>
  <c r="AS155" i="6" s="1"/>
  <c r="AT155" i="6"/>
  <c r="AU155" i="6" s="1"/>
  <c r="AV155" i="6" s="1"/>
  <c r="AM176" i="6"/>
  <c r="AD177" i="6"/>
  <c r="AI176" i="6"/>
  <c r="AL176" i="6"/>
  <c r="AG176" i="6"/>
  <c r="AH176" i="6" s="1"/>
  <c r="AF156" i="6"/>
  <c r="AE157" i="6"/>
  <c r="AJ175" i="6"/>
  <c r="AO175" i="6" s="1"/>
  <c r="AQ175" i="6" s="1"/>
  <c r="H174" i="6"/>
  <c r="L174" i="6"/>
  <c r="Q174" i="6" s="1"/>
  <c r="S174" i="6" s="1"/>
  <c r="I175" i="6"/>
  <c r="J175" i="6" s="1"/>
  <c r="F176" i="6"/>
  <c r="P176" i="6" s="1"/>
  <c r="G175" i="6"/>
  <c r="O175" i="6"/>
  <c r="N175" i="6"/>
  <c r="K175" i="6"/>
  <c r="W154" i="6"/>
  <c r="X154" i="6" s="1"/>
  <c r="X173" i="5" l="1"/>
  <c r="AA173" i="5"/>
  <c r="T175" i="5"/>
  <c r="Q175" i="5"/>
  <c r="M174" i="5"/>
  <c r="J174" i="5"/>
  <c r="AK156" i="6" s="1"/>
  <c r="AP156" i="6" s="1"/>
  <c r="AR156" i="6" s="1"/>
  <c r="AS156" i="6" s="1"/>
  <c r="C174" i="5"/>
  <c r="M156" i="6" s="1"/>
  <c r="R156" i="6" s="1"/>
  <c r="T156" i="6" s="1"/>
  <c r="U156" i="6" s="1"/>
  <c r="F174" i="5"/>
  <c r="V156" i="6" s="1"/>
  <c r="AN177" i="6"/>
  <c r="AS153" i="6"/>
  <c r="AW153" i="6" s="1"/>
  <c r="AX153" i="6" s="1"/>
  <c r="AY153" i="6" s="1"/>
  <c r="AS154" i="6"/>
  <c r="AW154" i="6" s="1"/>
  <c r="AX154" i="6" s="1"/>
  <c r="AY154" i="6" s="1"/>
  <c r="AW155" i="6"/>
  <c r="AX155" i="6" s="1"/>
  <c r="AY155" i="6" s="1"/>
  <c r="AJ176" i="6"/>
  <c r="AO176" i="6" s="1"/>
  <c r="AQ176" i="6" s="1"/>
  <c r="AL177" i="6"/>
  <c r="AG177" i="6"/>
  <c r="AH177" i="6" s="1"/>
  <c r="AD178" i="6"/>
  <c r="AN178" i="6" s="1"/>
  <c r="AM177" i="6"/>
  <c r="AI177" i="6"/>
  <c r="AF157" i="6"/>
  <c r="AE158" i="6"/>
  <c r="H175" i="6"/>
  <c r="F177" i="6"/>
  <c r="P177" i="6" s="1"/>
  <c r="K176" i="6"/>
  <c r="I176" i="6"/>
  <c r="J176" i="6" s="1"/>
  <c r="G176" i="6"/>
  <c r="N176" i="6"/>
  <c r="O176" i="6"/>
  <c r="L175" i="6"/>
  <c r="Q175" i="6" s="1"/>
  <c r="S175" i="6" s="1"/>
  <c r="U155" i="6"/>
  <c r="W155" i="6"/>
  <c r="X155" i="6" s="1"/>
  <c r="Y154" i="6"/>
  <c r="Z154" i="6" s="1"/>
  <c r="AA154" i="6" s="1"/>
  <c r="M175" i="5" l="1"/>
  <c r="J175" i="5"/>
  <c r="AK157" i="6" s="1"/>
  <c r="AP157" i="6" s="1"/>
  <c r="AR157" i="6" s="1"/>
  <c r="AS157" i="6" s="1"/>
  <c r="AT156" i="6"/>
  <c r="AU156" i="6" s="1"/>
  <c r="AV156" i="6" s="1"/>
  <c r="T176" i="5"/>
  <c r="Q176" i="5"/>
  <c r="AA174" i="5"/>
  <c r="X174" i="5"/>
  <c r="C175" i="5"/>
  <c r="M157" i="6" s="1"/>
  <c r="R157" i="6" s="1"/>
  <c r="T157" i="6" s="1"/>
  <c r="U157" i="6" s="1"/>
  <c r="F175" i="5"/>
  <c r="V157" i="6" s="1"/>
  <c r="AW156" i="6"/>
  <c r="AX156" i="6" s="1"/>
  <c r="AY156" i="6" s="1"/>
  <c r="AT157" i="6"/>
  <c r="AU157" i="6" s="1"/>
  <c r="AV157" i="6" s="1"/>
  <c r="AJ177" i="6"/>
  <c r="AO177" i="6" s="1"/>
  <c r="AI178" i="6"/>
  <c r="AG178" i="6"/>
  <c r="AH178" i="6" s="1"/>
  <c r="AM178" i="6"/>
  <c r="AD179" i="6"/>
  <c r="AL178" i="6"/>
  <c r="AF158" i="6"/>
  <c r="AE159" i="6"/>
  <c r="L176" i="6"/>
  <c r="Q176" i="6" s="1"/>
  <c r="S176" i="6" s="1"/>
  <c r="H176" i="6"/>
  <c r="G177" i="6"/>
  <c r="I177" i="6"/>
  <c r="J177" i="6" s="1"/>
  <c r="O177" i="6"/>
  <c r="F178" i="6"/>
  <c r="P178" i="6" s="1"/>
  <c r="N177" i="6"/>
  <c r="K177" i="6"/>
  <c r="W156" i="6"/>
  <c r="X156" i="6" s="1"/>
  <c r="Y156" i="6"/>
  <c r="Z156" i="6" s="1"/>
  <c r="AA156" i="6" s="1"/>
  <c r="Y155" i="6"/>
  <c r="Z155" i="6" s="1"/>
  <c r="AA155" i="6" s="1"/>
  <c r="X175" i="5" l="1"/>
  <c r="AA175" i="5"/>
  <c r="Q177" i="5"/>
  <c r="T177" i="5"/>
  <c r="J176" i="5"/>
  <c r="AK158" i="6" s="1"/>
  <c r="AP158" i="6" s="1"/>
  <c r="AR158" i="6" s="1"/>
  <c r="AS158" i="6" s="1"/>
  <c r="M176" i="5"/>
  <c r="C176" i="5"/>
  <c r="M158" i="6" s="1"/>
  <c r="R158" i="6" s="1"/>
  <c r="T158" i="6" s="1"/>
  <c r="F176" i="5"/>
  <c r="V158" i="6" s="1"/>
  <c r="AN179" i="6"/>
  <c r="AW157" i="6"/>
  <c r="AX157" i="6" s="1"/>
  <c r="AY157" i="6" s="1"/>
  <c r="AQ177" i="6"/>
  <c r="AJ178" i="6"/>
  <c r="AO178" i="6" s="1"/>
  <c r="AQ178" i="6" s="1"/>
  <c r="AI179" i="6"/>
  <c r="AG179" i="6"/>
  <c r="AH179" i="6" s="1"/>
  <c r="AM179" i="6"/>
  <c r="AD180" i="6"/>
  <c r="AN180" i="6" s="1"/>
  <c r="AL179" i="6"/>
  <c r="AF159" i="6"/>
  <c r="AE160" i="6"/>
  <c r="F179" i="6"/>
  <c r="P179" i="6" s="1"/>
  <c r="I178" i="6"/>
  <c r="J178" i="6" s="1"/>
  <c r="K178" i="6"/>
  <c r="O178" i="6"/>
  <c r="G178" i="6"/>
  <c r="N178" i="6"/>
  <c r="L177" i="6"/>
  <c r="Q177" i="6" s="1"/>
  <c r="S177" i="6" s="1"/>
  <c r="H177" i="6"/>
  <c r="M177" i="5" l="1"/>
  <c r="AT159" i="6" s="1"/>
  <c r="J177" i="5"/>
  <c r="AK159" i="6" s="1"/>
  <c r="AP159" i="6" s="1"/>
  <c r="AR159" i="6" s="1"/>
  <c r="AS159" i="6" s="1"/>
  <c r="Q178" i="5"/>
  <c r="T178" i="5"/>
  <c r="AT158" i="6"/>
  <c r="AW158" i="6" s="1"/>
  <c r="AX158" i="6" s="1"/>
  <c r="AY158" i="6" s="1"/>
  <c r="AA176" i="5"/>
  <c r="X176" i="5"/>
  <c r="C177" i="5"/>
  <c r="M159" i="6" s="1"/>
  <c r="R159" i="6" s="1"/>
  <c r="T159" i="6" s="1"/>
  <c r="F177" i="5"/>
  <c r="V159" i="6" s="1"/>
  <c r="AJ179" i="6"/>
  <c r="AO179" i="6" s="1"/>
  <c r="AQ179" i="6" s="1"/>
  <c r="AF160" i="6"/>
  <c r="AE161" i="6"/>
  <c r="AD181" i="6"/>
  <c r="AN181" i="6" s="1"/>
  <c r="AG180" i="6"/>
  <c r="AH180" i="6" s="1"/>
  <c r="AM180" i="6"/>
  <c r="AI180" i="6"/>
  <c r="AL180" i="6"/>
  <c r="L178" i="6"/>
  <c r="Q178" i="6" s="1"/>
  <c r="S178" i="6" s="1"/>
  <c r="G179" i="6"/>
  <c r="N179" i="6"/>
  <c r="O179" i="6"/>
  <c r="K179" i="6"/>
  <c r="F180" i="6"/>
  <c r="P180" i="6" s="1"/>
  <c r="I179" i="6"/>
  <c r="J179" i="6" s="1"/>
  <c r="H178" i="6"/>
  <c r="W158" i="6"/>
  <c r="X158" i="6" s="1"/>
  <c r="U158" i="6"/>
  <c r="Y158" i="6" s="1"/>
  <c r="Z158" i="6" s="1"/>
  <c r="AA158" i="6" s="1"/>
  <c r="W157" i="6"/>
  <c r="X157" i="6" s="1"/>
  <c r="Y157" i="6"/>
  <c r="Z157" i="6" s="1"/>
  <c r="AA157" i="6" s="1"/>
  <c r="AA177" i="5" l="1"/>
  <c r="X177" i="5"/>
  <c r="T179" i="5"/>
  <c r="Q179" i="5"/>
  <c r="AU158" i="6"/>
  <c r="AV158" i="6" s="1"/>
  <c r="M178" i="5"/>
  <c r="J178" i="5"/>
  <c r="AK160" i="6" s="1"/>
  <c r="AP160" i="6" s="1"/>
  <c r="AR160" i="6" s="1"/>
  <c r="AS160" i="6" s="1"/>
  <c r="C178" i="5"/>
  <c r="M160" i="6" s="1"/>
  <c r="R160" i="6" s="1"/>
  <c r="T160" i="6" s="1"/>
  <c r="F178" i="5"/>
  <c r="V160" i="6" s="1"/>
  <c r="AW159" i="6"/>
  <c r="AX159" i="6" s="1"/>
  <c r="AY159" i="6" s="1"/>
  <c r="AU159" i="6"/>
  <c r="AV159" i="6" s="1"/>
  <c r="AJ180" i="6"/>
  <c r="AO180" i="6" s="1"/>
  <c r="AQ180" i="6" s="1"/>
  <c r="AD182" i="6"/>
  <c r="AN182" i="6" s="1"/>
  <c r="AI181" i="6"/>
  <c r="AM181" i="6"/>
  <c r="AL181" i="6"/>
  <c r="AG181" i="6"/>
  <c r="AH181" i="6" s="1"/>
  <c r="AF161" i="6"/>
  <c r="AE162" i="6"/>
  <c r="L179" i="6"/>
  <c r="Q179" i="6" s="1"/>
  <c r="S179" i="6" s="1"/>
  <c r="I180" i="6"/>
  <c r="J180" i="6" s="1"/>
  <c r="O180" i="6"/>
  <c r="F181" i="6"/>
  <c r="P181" i="6" s="1"/>
  <c r="G180" i="6"/>
  <c r="K180" i="6"/>
  <c r="N180" i="6"/>
  <c r="H179" i="6"/>
  <c r="U159" i="6"/>
  <c r="W159" i="6"/>
  <c r="X159" i="6" s="1"/>
  <c r="M179" i="5" l="1"/>
  <c r="J179" i="5"/>
  <c r="T180" i="5"/>
  <c r="Q180" i="5"/>
  <c r="AT160" i="6"/>
  <c r="AT17" i="12" s="1"/>
  <c r="X178" i="5"/>
  <c r="AA178" i="5"/>
  <c r="AU160" i="6"/>
  <c r="AV160" i="6" s="1"/>
  <c r="AV17" i="12" s="1"/>
  <c r="C179" i="5"/>
  <c r="F179" i="5"/>
  <c r="V161" i="6" s="1"/>
  <c r="AU17" i="12"/>
  <c r="AK161" i="6"/>
  <c r="AT161" i="6"/>
  <c r="AU161" i="6" s="1"/>
  <c r="AV161" i="6" s="1"/>
  <c r="AF162" i="6"/>
  <c r="AE163" i="6"/>
  <c r="AJ181" i="6"/>
  <c r="AO181" i="6" s="1"/>
  <c r="AQ181" i="6" s="1"/>
  <c r="L180" i="6"/>
  <c r="Q180" i="6" s="1"/>
  <c r="S180" i="6" s="1"/>
  <c r="AM182" i="6"/>
  <c r="AI182" i="6"/>
  <c r="AG182" i="6"/>
  <c r="AH182" i="6" s="1"/>
  <c r="AD183" i="6"/>
  <c r="AL182" i="6"/>
  <c r="H180" i="6"/>
  <c r="I181" i="6"/>
  <c r="J181" i="6" s="1"/>
  <c r="G181" i="6"/>
  <c r="O181" i="6"/>
  <c r="K181" i="6"/>
  <c r="N181" i="6"/>
  <c r="F182" i="6"/>
  <c r="P182" i="6" s="1"/>
  <c r="U160" i="6"/>
  <c r="Y160" i="6" s="1"/>
  <c r="Y159" i="6"/>
  <c r="Z159" i="6" s="1"/>
  <c r="AA159" i="6" s="1"/>
  <c r="AW160" i="6" l="1"/>
  <c r="AX160" i="6" s="1"/>
  <c r="X179" i="5"/>
  <c r="AA179" i="5"/>
  <c r="T181" i="5"/>
  <c r="Q181" i="5"/>
  <c r="J180" i="5"/>
  <c r="AK162" i="6" s="1"/>
  <c r="AP162" i="6" s="1"/>
  <c r="AR162" i="6" s="1"/>
  <c r="M180" i="5"/>
  <c r="AT162" i="6" s="1"/>
  <c r="C180" i="5"/>
  <c r="F180" i="5"/>
  <c r="AN183" i="6"/>
  <c r="AW17" i="12"/>
  <c r="AP161" i="6"/>
  <c r="M161" i="6"/>
  <c r="R161" i="6" s="1"/>
  <c r="T161" i="6" s="1"/>
  <c r="AJ182" i="6"/>
  <c r="AO182" i="6" s="1"/>
  <c r="AQ182" i="6" s="1"/>
  <c r="AF163" i="6"/>
  <c r="AE164" i="6"/>
  <c r="AI183" i="6"/>
  <c r="AD184" i="6"/>
  <c r="AN184" i="6" s="1"/>
  <c r="AG183" i="6"/>
  <c r="AH183" i="6" s="1"/>
  <c r="AL183" i="6"/>
  <c r="AM183" i="6"/>
  <c r="I182" i="6"/>
  <c r="J182" i="6" s="1"/>
  <c r="O182" i="6"/>
  <c r="K182" i="6"/>
  <c r="N182" i="6"/>
  <c r="G182" i="6"/>
  <c r="H182" i="6" s="1"/>
  <c r="F183" i="6"/>
  <c r="P183" i="6" s="1"/>
  <c r="H181" i="6"/>
  <c r="L181" i="6"/>
  <c r="Q181" i="6" s="1"/>
  <c r="S181" i="6" s="1"/>
  <c r="Z160" i="6"/>
  <c r="W161" i="6"/>
  <c r="X161" i="6" s="1"/>
  <c r="W160" i="6"/>
  <c r="M162" i="6" l="1"/>
  <c r="R162" i="6" s="1"/>
  <c r="T162" i="6" s="1"/>
  <c r="U162" i="6" s="1"/>
  <c r="J181" i="5"/>
  <c r="M181" i="5"/>
  <c r="T182" i="5"/>
  <c r="Q182" i="5"/>
  <c r="X180" i="5"/>
  <c r="AA180" i="5"/>
  <c r="C181" i="5"/>
  <c r="F181" i="5"/>
  <c r="V163" i="6" s="1"/>
  <c r="V162" i="6"/>
  <c r="W162" i="6" s="1"/>
  <c r="X162" i="6" s="1"/>
  <c r="AU162" i="6"/>
  <c r="AV162" i="6" s="1"/>
  <c r="AR161" i="6"/>
  <c r="AY160" i="6"/>
  <c r="AY17" i="12" s="1"/>
  <c r="AX17" i="12"/>
  <c r="U161" i="6"/>
  <c r="Y161" i="6" s="1"/>
  <c r="Z161" i="6" s="1"/>
  <c r="AA161" i="6" s="1"/>
  <c r="AT163" i="6"/>
  <c r="AU163" i="6" s="1"/>
  <c r="AV163" i="6" s="1"/>
  <c r="AJ183" i="6"/>
  <c r="AO183" i="6" s="1"/>
  <c r="AQ183" i="6" s="1"/>
  <c r="AD185" i="6"/>
  <c r="AL184" i="6"/>
  <c r="AG184" i="6"/>
  <c r="AH184" i="6" s="1"/>
  <c r="AM184" i="6"/>
  <c r="AI184" i="6"/>
  <c r="AF164" i="6"/>
  <c r="AE165" i="6"/>
  <c r="L182" i="6"/>
  <c r="Q182" i="6" s="1"/>
  <c r="S182" i="6" s="1"/>
  <c r="K183" i="6"/>
  <c r="F184" i="6"/>
  <c r="P184" i="6" s="1"/>
  <c r="I183" i="6"/>
  <c r="J183" i="6" s="1"/>
  <c r="O183" i="6"/>
  <c r="G183" i="6"/>
  <c r="N183" i="6"/>
  <c r="X160" i="6"/>
  <c r="AA160" i="6"/>
  <c r="AA181" i="5" l="1"/>
  <c r="X181" i="5"/>
  <c r="Q183" i="5"/>
  <c r="T183" i="5"/>
  <c r="J182" i="5"/>
  <c r="AK164" i="6" s="1"/>
  <c r="AP164" i="6" s="1"/>
  <c r="M182" i="5"/>
  <c r="AT164" i="6" s="1"/>
  <c r="AU164" i="6" s="1"/>
  <c r="AV164" i="6" s="1"/>
  <c r="AK163" i="6"/>
  <c r="AP163" i="6" s="1"/>
  <c r="AR163" i="6" s="1"/>
  <c r="AS163" i="6"/>
  <c r="AW163" i="6" s="1"/>
  <c r="AX163" i="6" s="1"/>
  <c r="AY163" i="6" s="1"/>
  <c r="C182" i="5"/>
  <c r="M164" i="6" s="1"/>
  <c r="R164" i="6" s="1"/>
  <c r="T164" i="6" s="1"/>
  <c r="F182" i="5"/>
  <c r="V164" i="6" s="1"/>
  <c r="AN185" i="6"/>
  <c r="AS162" i="6"/>
  <c r="AW162" i="6" s="1"/>
  <c r="AX162" i="6" s="1"/>
  <c r="AY162" i="6" s="1"/>
  <c r="AS161" i="6"/>
  <c r="AW161" i="6" s="1"/>
  <c r="AX161" i="6" s="1"/>
  <c r="AY161" i="6" s="1"/>
  <c r="M163" i="6"/>
  <c r="R163" i="6" s="1"/>
  <c r="T163" i="6" s="1"/>
  <c r="AJ184" i="6"/>
  <c r="AO184" i="6" s="1"/>
  <c r="AQ184" i="6" s="1"/>
  <c r="AM185" i="6"/>
  <c r="AD186" i="6"/>
  <c r="AN186" i="6" s="1"/>
  <c r="AI185" i="6"/>
  <c r="AG185" i="6"/>
  <c r="AH185" i="6" s="1"/>
  <c r="AL185" i="6"/>
  <c r="AF165" i="6"/>
  <c r="AE166" i="6"/>
  <c r="L183" i="6"/>
  <c r="Q183" i="6" s="1"/>
  <c r="S183" i="6" s="1"/>
  <c r="H183" i="6"/>
  <c r="K184" i="6"/>
  <c r="I184" i="6"/>
  <c r="J184" i="6" s="1"/>
  <c r="G184" i="6"/>
  <c r="F185" i="6"/>
  <c r="P185" i="6" s="1"/>
  <c r="O184" i="6"/>
  <c r="N184" i="6"/>
  <c r="W163" i="6"/>
  <c r="X163" i="6" s="1"/>
  <c r="Y162" i="6"/>
  <c r="Z162" i="6" s="1"/>
  <c r="AA162" i="6" s="1"/>
  <c r="M183" i="5" l="1"/>
  <c r="J183" i="5"/>
  <c r="T184" i="5"/>
  <c r="Q184" i="5"/>
  <c r="AA182" i="5"/>
  <c r="X182" i="5"/>
  <c r="F183" i="5"/>
  <c r="V165" i="6" s="1"/>
  <c r="C183" i="5"/>
  <c r="M165" i="6" s="1"/>
  <c r="R165" i="6" s="1"/>
  <c r="T165" i="6" s="1"/>
  <c r="U165" i="6" s="1"/>
  <c r="AR164" i="6"/>
  <c r="AS164" i="6" s="1"/>
  <c r="AW164" i="6" s="1"/>
  <c r="AX164" i="6" s="1"/>
  <c r="AY164" i="6" s="1"/>
  <c r="U163" i="6"/>
  <c r="Y163" i="6" s="1"/>
  <c r="Z163" i="6" s="1"/>
  <c r="AA163" i="6" s="1"/>
  <c r="AT165" i="6"/>
  <c r="AU165" i="6" s="1"/>
  <c r="AV165" i="6" s="1"/>
  <c r="AJ185" i="6"/>
  <c r="AO185" i="6" s="1"/>
  <c r="AF166" i="6"/>
  <c r="AE167" i="6"/>
  <c r="AM186" i="6"/>
  <c r="AL186" i="6"/>
  <c r="AI186" i="6"/>
  <c r="AD187" i="6"/>
  <c r="AG186" i="6"/>
  <c r="AH186" i="6" s="1"/>
  <c r="H184" i="6"/>
  <c r="K185" i="6"/>
  <c r="N185" i="6"/>
  <c r="O185" i="6"/>
  <c r="I185" i="6"/>
  <c r="J185" i="6" s="1"/>
  <c r="F186" i="6"/>
  <c r="P186" i="6" s="1"/>
  <c r="G185" i="6"/>
  <c r="L184" i="6"/>
  <c r="Q184" i="6" s="1"/>
  <c r="S184" i="6" s="1"/>
  <c r="U164" i="6"/>
  <c r="W164" i="6"/>
  <c r="X164" i="6" s="1"/>
  <c r="AA183" i="5" l="1"/>
  <c r="X183" i="5"/>
  <c r="Q185" i="5"/>
  <c r="T185" i="5"/>
  <c r="AK165" i="6"/>
  <c r="AP165" i="6" s="1"/>
  <c r="AR165" i="6" s="1"/>
  <c r="AS165" i="6" s="1"/>
  <c r="AW165" i="6" s="1"/>
  <c r="AX165" i="6" s="1"/>
  <c r="AY165" i="6" s="1"/>
  <c r="J184" i="5"/>
  <c r="AK166" i="6" s="1"/>
  <c r="AP166" i="6" s="1"/>
  <c r="M184" i="5"/>
  <c r="C184" i="5"/>
  <c r="F184" i="5"/>
  <c r="V166" i="6" s="1"/>
  <c r="AN187" i="6"/>
  <c r="AQ185" i="6"/>
  <c r="AJ186" i="6"/>
  <c r="AO186" i="6" s="1"/>
  <c r="AQ186" i="6" s="1"/>
  <c r="AD188" i="6"/>
  <c r="AN188" i="6" s="1"/>
  <c r="AG187" i="6"/>
  <c r="AH187" i="6" s="1"/>
  <c r="AL187" i="6"/>
  <c r="AI187" i="6"/>
  <c r="AM187" i="6"/>
  <c r="AF167" i="6"/>
  <c r="AE168" i="6"/>
  <c r="L185" i="6"/>
  <c r="Q185" i="6" s="1"/>
  <c r="S185" i="6" s="1"/>
  <c r="K186" i="6"/>
  <c r="O186" i="6"/>
  <c r="G186" i="6"/>
  <c r="N186" i="6"/>
  <c r="I186" i="6"/>
  <c r="J186" i="6" s="1"/>
  <c r="F187" i="6"/>
  <c r="P187" i="6" s="1"/>
  <c r="H185" i="6"/>
  <c r="Y164" i="6"/>
  <c r="Z164" i="6" s="1"/>
  <c r="AA164" i="6" s="1"/>
  <c r="M185" i="5" l="1"/>
  <c r="J185" i="5"/>
  <c r="T186" i="5"/>
  <c r="Q186" i="5"/>
  <c r="AT166" i="6"/>
  <c r="AU166" i="6" s="1"/>
  <c r="AV166" i="6" s="1"/>
  <c r="X184" i="5"/>
  <c r="AA184" i="5"/>
  <c r="C185" i="5"/>
  <c r="M167" i="6" s="1"/>
  <c r="R167" i="6" s="1"/>
  <c r="T167" i="6" s="1"/>
  <c r="F185" i="5"/>
  <c r="AR166" i="6"/>
  <c r="AS166" i="6" s="1"/>
  <c r="M166" i="6"/>
  <c r="R166" i="6" s="1"/>
  <c r="T166" i="6" s="1"/>
  <c r="U166" i="6" s="1"/>
  <c r="Y166" i="6" s="1"/>
  <c r="Z166" i="6" s="1"/>
  <c r="AA166" i="6" s="1"/>
  <c r="AT167" i="6"/>
  <c r="AU167" i="6" s="1"/>
  <c r="AV167" i="6" s="1"/>
  <c r="AJ187" i="6"/>
  <c r="AO187" i="6" s="1"/>
  <c r="AF168" i="6"/>
  <c r="AE169" i="6"/>
  <c r="AD189" i="6"/>
  <c r="AM188" i="6"/>
  <c r="AL188" i="6"/>
  <c r="AI188" i="6"/>
  <c r="AG188" i="6"/>
  <c r="AH188" i="6" s="1"/>
  <c r="L186" i="6"/>
  <c r="Q186" i="6" s="1"/>
  <c r="S186" i="6" s="1"/>
  <c r="H186" i="6"/>
  <c r="N187" i="6"/>
  <c r="G187" i="6"/>
  <c r="O187" i="6"/>
  <c r="K187" i="6"/>
  <c r="I187" i="6"/>
  <c r="J187" i="6" s="1"/>
  <c r="F188" i="6"/>
  <c r="P188" i="6" s="1"/>
  <c r="W165" i="6"/>
  <c r="X165" i="6" s="1"/>
  <c r="Y165" i="6"/>
  <c r="Z165" i="6" s="1"/>
  <c r="AA165" i="6" s="1"/>
  <c r="W166" i="6"/>
  <c r="X166" i="6" s="1"/>
  <c r="AA185" i="5" l="1"/>
  <c r="X185" i="5"/>
  <c r="T187" i="5"/>
  <c r="Q187" i="5"/>
  <c r="AK167" i="6"/>
  <c r="AP167" i="6" s="1"/>
  <c r="AR167" i="6" s="1"/>
  <c r="AS167" i="6" s="1"/>
  <c r="AW167" i="6" s="1"/>
  <c r="AX167" i="6" s="1"/>
  <c r="AY167" i="6" s="1"/>
  <c r="AW166" i="6"/>
  <c r="AX166" i="6" s="1"/>
  <c r="AY166" i="6" s="1"/>
  <c r="M186" i="5"/>
  <c r="J186" i="5"/>
  <c r="AK168" i="6" s="1"/>
  <c r="AP168" i="6" s="1"/>
  <c r="AR168" i="6" s="1"/>
  <c r="AS168" i="6" s="1"/>
  <c r="C186" i="5"/>
  <c r="M168" i="6" s="1"/>
  <c r="R168" i="6" s="1"/>
  <c r="T168" i="6" s="1"/>
  <c r="U168" i="6" s="1"/>
  <c r="F186" i="5"/>
  <c r="V168" i="6" s="1"/>
  <c r="V167" i="6"/>
  <c r="W167" i="6" s="1"/>
  <c r="X167" i="6" s="1"/>
  <c r="AN189" i="6"/>
  <c r="AQ187" i="6"/>
  <c r="AG189" i="6"/>
  <c r="AH189" i="6" s="1"/>
  <c r="AM189" i="6"/>
  <c r="AL189" i="6"/>
  <c r="AD190" i="6"/>
  <c r="AN190" i="6" s="1"/>
  <c r="AI189" i="6"/>
  <c r="AF169" i="6"/>
  <c r="AE170" i="6"/>
  <c r="AJ188" i="6"/>
  <c r="AO188" i="6" s="1"/>
  <c r="AQ188" i="6" s="1"/>
  <c r="L187" i="6"/>
  <c r="Q187" i="6" s="1"/>
  <c r="S187" i="6" s="1"/>
  <c r="O188" i="6"/>
  <c r="K188" i="6"/>
  <c r="G188" i="6"/>
  <c r="I188" i="6"/>
  <c r="J188" i="6" s="1"/>
  <c r="N188" i="6"/>
  <c r="F189" i="6"/>
  <c r="P189" i="6" s="1"/>
  <c r="H187" i="6"/>
  <c r="U167" i="6"/>
  <c r="J187" i="5" l="1"/>
  <c r="AK169" i="6" s="1"/>
  <c r="AP169" i="6" s="1"/>
  <c r="AR169" i="6" s="1"/>
  <c r="AS169" i="6" s="1"/>
  <c r="M187" i="5"/>
  <c r="AT169" i="6" s="1"/>
  <c r="Q188" i="5"/>
  <c r="T188" i="5"/>
  <c r="AT168" i="6"/>
  <c r="AU168" i="6" s="1"/>
  <c r="AV168" i="6" s="1"/>
  <c r="AA186" i="5"/>
  <c r="X186" i="5"/>
  <c r="C187" i="5"/>
  <c r="M169" i="6" s="1"/>
  <c r="R169" i="6" s="1"/>
  <c r="T169" i="6" s="1"/>
  <c r="F187" i="5"/>
  <c r="V169" i="6" s="1"/>
  <c r="AJ189" i="6"/>
  <c r="AO189" i="6" s="1"/>
  <c r="AQ189" i="6" s="1"/>
  <c r="AF170" i="6"/>
  <c r="AE171" i="6"/>
  <c r="AD191" i="6"/>
  <c r="AL190" i="6"/>
  <c r="AM190" i="6"/>
  <c r="AI190" i="6"/>
  <c r="AG190" i="6"/>
  <c r="AH190" i="6" s="1"/>
  <c r="L188" i="6"/>
  <c r="Q188" i="6" s="1"/>
  <c r="S188" i="6" s="1"/>
  <c r="H188" i="6"/>
  <c r="O189" i="6"/>
  <c r="I189" i="6"/>
  <c r="J189" i="6" s="1"/>
  <c r="N189" i="6"/>
  <c r="K189" i="6"/>
  <c r="G189" i="6"/>
  <c r="F190" i="6"/>
  <c r="P190" i="6" s="1"/>
  <c r="W168" i="6"/>
  <c r="X168" i="6" s="1"/>
  <c r="Y167" i="6"/>
  <c r="Z167" i="6" s="1"/>
  <c r="AA167" i="6" s="1"/>
  <c r="AW168" i="6" l="1"/>
  <c r="AX168" i="6" s="1"/>
  <c r="AY168" i="6" s="1"/>
  <c r="AA187" i="5"/>
  <c r="X187" i="5"/>
  <c r="Q189" i="5"/>
  <c r="T189" i="5"/>
  <c r="M188" i="5"/>
  <c r="J188" i="5"/>
  <c r="AK170" i="6" s="1"/>
  <c r="AP170" i="6" s="1"/>
  <c r="AR170" i="6" s="1"/>
  <c r="AS170" i="6" s="1"/>
  <c r="C188" i="5"/>
  <c r="M170" i="6" s="1"/>
  <c r="R170" i="6" s="1"/>
  <c r="T170" i="6" s="1"/>
  <c r="F188" i="5"/>
  <c r="V170" i="6" s="1"/>
  <c r="AN191" i="6"/>
  <c r="AW169" i="6"/>
  <c r="AX169" i="6" s="1"/>
  <c r="AY169" i="6" s="1"/>
  <c r="AU169" i="6"/>
  <c r="AV169" i="6" s="1"/>
  <c r="U169" i="6"/>
  <c r="AJ190" i="6"/>
  <c r="AO190" i="6" s="1"/>
  <c r="AG191" i="6"/>
  <c r="AH191" i="6" s="1"/>
  <c r="AD192" i="6"/>
  <c r="AN192" i="6" s="1"/>
  <c r="AM191" i="6"/>
  <c r="AI191" i="6"/>
  <c r="AL191" i="6"/>
  <c r="AF171" i="6"/>
  <c r="AE172" i="6"/>
  <c r="H189" i="6"/>
  <c r="L189" i="6"/>
  <c r="Q189" i="6" s="1"/>
  <c r="S189" i="6" s="1"/>
  <c r="O190" i="6"/>
  <c r="N190" i="6"/>
  <c r="K190" i="6"/>
  <c r="G190" i="6"/>
  <c r="I190" i="6"/>
  <c r="J190" i="6" s="1"/>
  <c r="F191" i="6"/>
  <c r="P191" i="6" s="1"/>
  <c r="Y168" i="6"/>
  <c r="Z168" i="6" s="1"/>
  <c r="AA168" i="6" s="1"/>
  <c r="W169" i="6"/>
  <c r="X169" i="6" s="1"/>
  <c r="M189" i="5" l="1"/>
  <c r="J189" i="5"/>
  <c r="AK171" i="6" s="1"/>
  <c r="AP171" i="6" s="1"/>
  <c r="AR171" i="6" s="1"/>
  <c r="AS171" i="6" s="1"/>
  <c r="Q190" i="5"/>
  <c r="T190" i="5"/>
  <c r="AT170" i="6"/>
  <c r="AU170" i="6" s="1"/>
  <c r="AV170" i="6" s="1"/>
  <c r="AA188" i="5"/>
  <c r="X188" i="5"/>
  <c r="AW170" i="6"/>
  <c r="AX170" i="6" s="1"/>
  <c r="AY170" i="6" s="1"/>
  <c r="C189" i="5"/>
  <c r="M171" i="6" s="1"/>
  <c r="R171" i="6" s="1"/>
  <c r="T171" i="6" s="1"/>
  <c r="F189" i="5"/>
  <c r="V171" i="6" s="1"/>
  <c r="AQ190" i="6"/>
  <c r="AT171" i="6"/>
  <c r="AU171" i="6" s="1"/>
  <c r="AV171" i="6" s="1"/>
  <c r="AJ191" i="6"/>
  <c r="AO191" i="6" s="1"/>
  <c r="AQ191" i="6" s="1"/>
  <c r="AI192" i="6"/>
  <c r="AM192" i="6"/>
  <c r="AL192" i="6"/>
  <c r="AD193" i="6"/>
  <c r="AN193" i="6" s="1"/>
  <c r="AG192" i="6"/>
  <c r="AH192" i="6" s="1"/>
  <c r="AF172" i="6"/>
  <c r="AE173" i="6"/>
  <c r="L190" i="6"/>
  <c r="Q190" i="6" s="1"/>
  <c r="S190" i="6" s="1"/>
  <c r="G191" i="6"/>
  <c r="K191" i="6"/>
  <c r="N191" i="6"/>
  <c r="O191" i="6"/>
  <c r="I191" i="6"/>
  <c r="J191" i="6" s="1"/>
  <c r="F192" i="6"/>
  <c r="P192" i="6" s="1"/>
  <c r="H190" i="6"/>
  <c r="U170" i="6"/>
  <c r="Y170" i="6" s="1"/>
  <c r="Z170" i="6" s="1"/>
  <c r="AA170" i="6" s="1"/>
  <c r="W170" i="6"/>
  <c r="X170" i="6" s="1"/>
  <c r="Y169" i="6"/>
  <c r="Z169" i="6" s="1"/>
  <c r="AA169" i="6" s="1"/>
  <c r="AA189" i="5" l="1"/>
  <c r="X189" i="5"/>
  <c r="Q191" i="5"/>
  <c r="T191" i="5"/>
  <c r="J190" i="5"/>
  <c r="AK172" i="6" s="1"/>
  <c r="AP172" i="6" s="1"/>
  <c r="AR172" i="6" s="1"/>
  <c r="AS172" i="6" s="1"/>
  <c r="M190" i="5"/>
  <c r="C190" i="5"/>
  <c r="M172" i="6" s="1"/>
  <c r="R172" i="6" s="1"/>
  <c r="T172" i="6" s="1"/>
  <c r="F190" i="5"/>
  <c r="V172" i="6" s="1"/>
  <c r="AW171" i="6"/>
  <c r="AX171" i="6" s="1"/>
  <c r="AY171" i="6" s="1"/>
  <c r="AT172" i="6"/>
  <c r="AJ192" i="6"/>
  <c r="AO192" i="6" s="1"/>
  <c r="AF173" i="6"/>
  <c r="AE174" i="6"/>
  <c r="AL193" i="6"/>
  <c r="AD194" i="6"/>
  <c r="AI193" i="6"/>
  <c r="AG193" i="6"/>
  <c r="AH193" i="6" s="1"/>
  <c r="AM193" i="6"/>
  <c r="L191" i="6"/>
  <c r="Q191" i="6" s="1"/>
  <c r="S191" i="6" s="1"/>
  <c r="H191" i="6"/>
  <c r="F193" i="6"/>
  <c r="P193" i="6" s="1"/>
  <c r="G192" i="6"/>
  <c r="O192" i="6"/>
  <c r="N192" i="6"/>
  <c r="I192" i="6"/>
  <c r="J192" i="6" s="1"/>
  <c r="K192" i="6"/>
  <c r="W171" i="6"/>
  <c r="X171" i="6" s="1"/>
  <c r="U171" i="6"/>
  <c r="Y171" i="6" s="1"/>
  <c r="Z171" i="6" s="1"/>
  <c r="AA171" i="6" s="1"/>
  <c r="AW172" i="6" l="1"/>
  <c r="AX172" i="6" s="1"/>
  <c r="J191" i="5"/>
  <c r="AK173" i="6" s="1"/>
  <c r="M191" i="5"/>
  <c r="AT173" i="6" s="1"/>
  <c r="AU173" i="6" s="1"/>
  <c r="AV173" i="6" s="1"/>
  <c r="Q192" i="5"/>
  <c r="T192" i="5"/>
  <c r="X190" i="5"/>
  <c r="AA190" i="5"/>
  <c r="C191" i="5"/>
  <c r="F191" i="5"/>
  <c r="V173" i="6" s="1"/>
  <c r="AN194" i="6"/>
  <c r="AU172" i="6"/>
  <c r="AT18" i="12"/>
  <c r="AQ192" i="6"/>
  <c r="AW18" i="12"/>
  <c r="AJ193" i="6"/>
  <c r="AO193" i="6" s="1"/>
  <c r="AQ193" i="6" s="1"/>
  <c r="AM194" i="6"/>
  <c r="AL194" i="6"/>
  <c r="AD195" i="6"/>
  <c r="AN195" i="6" s="1"/>
  <c r="AG194" i="6"/>
  <c r="AH194" i="6" s="1"/>
  <c r="AI194" i="6"/>
  <c r="AF174" i="6"/>
  <c r="AE175" i="6"/>
  <c r="L192" i="6"/>
  <c r="Q192" i="6" s="1"/>
  <c r="S192" i="6" s="1"/>
  <c r="H192" i="6"/>
  <c r="G193" i="6"/>
  <c r="K193" i="6"/>
  <c r="N193" i="6"/>
  <c r="O193" i="6"/>
  <c r="F194" i="6"/>
  <c r="P194" i="6" s="1"/>
  <c r="I193" i="6"/>
  <c r="J193" i="6" s="1"/>
  <c r="U172" i="6"/>
  <c r="Y172" i="6" s="1"/>
  <c r="X191" i="5" l="1"/>
  <c r="AA191" i="5"/>
  <c r="T193" i="5"/>
  <c r="Q193" i="5"/>
  <c r="J192" i="5"/>
  <c r="AK174" i="6" s="1"/>
  <c r="AP174" i="6" s="1"/>
  <c r="AR174" i="6" s="1"/>
  <c r="M192" i="5"/>
  <c r="AT174" i="6" s="1"/>
  <c r="C192" i="5"/>
  <c r="F192" i="5"/>
  <c r="V174" i="6" s="1"/>
  <c r="AP173" i="6"/>
  <c r="AY172" i="6"/>
  <c r="AY18" i="12" s="1"/>
  <c r="AX18" i="12"/>
  <c r="AV172" i="6"/>
  <c r="AV18" i="12" s="1"/>
  <c r="AU18" i="12"/>
  <c r="M173" i="6"/>
  <c r="R173" i="6" s="1"/>
  <c r="T173" i="6" s="1"/>
  <c r="AF175" i="6"/>
  <c r="AE176" i="6"/>
  <c r="AJ194" i="6"/>
  <c r="AO194" i="6" s="1"/>
  <c r="AQ194" i="6" s="1"/>
  <c r="AL195" i="6"/>
  <c r="AD196" i="6"/>
  <c r="AG195" i="6"/>
  <c r="AH195" i="6" s="1"/>
  <c r="AM195" i="6"/>
  <c r="AI195" i="6"/>
  <c r="L193" i="6"/>
  <c r="Q193" i="6" s="1"/>
  <c r="S193" i="6" s="1"/>
  <c r="O194" i="6"/>
  <c r="G194" i="6"/>
  <c r="I194" i="6"/>
  <c r="J194" i="6" s="1"/>
  <c r="N194" i="6"/>
  <c r="F195" i="6"/>
  <c r="P195" i="6" s="1"/>
  <c r="K194" i="6"/>
  <c r="H193" i="6"/>
  <c r="W172" i="6"/>
  <c r="Z172" i="6"/>
  <c r="M174" i="6" l="1"/>
  <c r="R174" i="6" s="1"/>
  <c r="T174" i="6" s="1"/>
  <c r="U174" i="6" s="1"/>
  <c r="M193" i="5"/>
  <c r="AT175" i="6" s="1"/>
  <c r="AU175" i="6" s="1"/>
  <c r="AV175" i="6" s="1"/>
  <c r="J193" i="5"/>
  <c r="Q194" i="5"/>
  <c r="T194" i="5"/>
  <c r="AA192" i="5"/>
  <c r="X192" i="5"/>
  <c r="C193" i="5"/>
  <c r="F193" i="5"/>
  <c r="V175" i="6" s="1"/>
  <c r="AN196" i="6"/>
  <c r="AU174" i="6"/>
  <c r="AV174" i="6" s="1"/>
  <c r="AR173" i="6"/>
  <c r="U173" i="6"/>
  <c r="Y173" i="6" s="1"/>
  <c r="Z173" i="6" s="1"/>
  <c r="AA173" i="6" s="1"/>
  <c r="AJ195" i="6"/>
  <c r="AO195" i="6" s="1"/>
  <c r="AQ195" i="6" s="1"/>
  <c r="AG196" i="6"/>
  <c r="AH196" i="6" s="1"/>
  <c r="AD197" i="6"/>
  <c r="AN197" i="6" s="1"/>
  <c r="AL196" i="6"/>
  <c r="AI196" i="6"/>
  <c r="AM196" i="6"/>
  <c r="AF176" i="6"/>
  <c r="AE177" i="6"/>
  <c r="L194" i="6"/>
  <c r="Q194" i="6" s="1"/>
  <c r="S194" i="6" s="1"/>
  <c r="K195" i="6"/>
  <c r="F196" i="6"/>
  <c r="P196" i="6" s="1"/>
  <c r="G195" i="6"/>
  <c r="N195" i="6"/>
  <c r="I195" i="6"/>
  <c r="J195" i="6" s="1"/>
  <c r="O195" i="6"/>
  <c r="H194" i="6"/>
  <c r="AA172" i="6"/>
  <c r="X172" i="6"/>
  <c r="W174" i="6"/>
  <c r="X174" i="6" s="1"/>
  <c r="W173" i="6"/>
  <c r="X173" i="6" s="1"/>
  <c r="X193" i="5" l="1"/>
  <c r="AA193" i="5"/>
  <c r="T195" i="5"/>
  <c r="Q195" i="5"/>
  <c r="AK175" i="6"/>
  <c r="AP175" i="6" s="1"/>
  <c r="AR175" i="6" s="1"/>
  <c r="AS175" i="6" s="1"/>
  <c r="AW175" i="6" s="1"/>
  <c r="AX175" i="6" s="1"/>
  <c r="AY175" i="6" s="1"/>
  <c r="M194" i="5"/>
  <c r="AT176" i="6" s="1"/>
  <c r="AU176" i="6" s="1"/>
  <c r="AV176" i="6" s="1"/>
  <c r="J194" i="5"/>
  <c r="AK176" i="6" s="1"/>
  <c r="AP176" i="6" s="1"/>
  <c r="C194" i="5"/>
  <c r="M176" i="6" s="1"/>
  <c r="R176" i="6" s="1"/>
  <c r="T176" i="6" s="1"/>
  <c r="F194" i="5"/>
  <c r="V176" i="6" s="1"/>
  <c r="AS173" i="6"/>
  <c r="AW173" i="6" s="1"/>
  <c r="AX173" i="6" s="1"/>
  <c r="AY173" i="6" s="1"/>
  <c r="AS174" i="6"/>
  <c r="AW174" i="6" s="1"/>
  <c r="AX174" i="6" s="1"/>
  <c r="AY174" i="6" s="1"/>
  <c r="M175" i="6"/>
  <c r="R175" i="6" s="1"/>
  <c r="T175" i="6" s="1"/>
  <c r="U175" i="6" s="1"/>
  <c r="Y175" i="6" s="1"/>
  <c r="Z175" i="6" s="1"/>
  <c r="AA175" i="6" s="1"/>
  <c r="AJ196" i="6"/>
  <c r="AO196" i="6" s="1"/>
  <c r="AQ196" i="6" s="1"/>
  <c r="AF177" i="6"/>
  <c r="AE178" i="6"/>
  <c r="AD198" i="6"/>
  <c r="AL197" i="6"/>
  <c r="AI197" i="6"/>
  <c r="AG197" i="6"/>
  <c r="AH197" i="6" s="1"/>
  <c r="AM197" i="6"/>
  <c r="L195" i="6"/>
  <c r="Q195" i="6" s="1"/>
  <c r="S195" i="6" s="1"/>
  <c r="H195" i="6"/>
  <c r="I196" i="6"/>
  <c r="J196" i="6" s="1"/>
  <c r="G196" i="6"/>
  <c r="O196" i="6"/>
  <c r="K196" i="6"/>
  <c r="N196" i="6"/>
  <c r="F197" i="6"/>
  <c r="P197" i="6" s="1"/>
  <c r="W175" i="6"/>
  <c r="X175" i="6" s="1"/>
  <c r="Y174" i="6"/>
  <c r="Z174" i="6" s="1"/>
  <c r="AA174" i="6" s="1"/>
  <c r="U176" i="6" l="1"/>
  <c r="Y176" i="6" s="1"/>
  <c r="Z176" i="6" s="1"/>
  <c r="AA176" i="6" s="1"/>
  <c r="M195" i="5"/>
  <c r="AT177" i="6" s="1"/>
  <c r="J195" i="5"/>
  <c r="Q196" i="5"/>
  <c r="T196" i="5"/>
  <c r="X194" i="5"/>
  <c r="AA194" i="5"/>
  <c r="C195" i="5"/>
  <c r="M177" i="6" s="1"/>
  <c r="R177" i="6" s="1"/>
  <c r="T177" i="6" s="1"/>
  <c r="F195" i="5"/>
  <c r="V177" i="6" s="1"/>
  <c r="AN198" i="6"/>
  <c r="AR176" i="6"/>
  <c r="AS176" i="6" s="1"/>
  <c r="AW176" i="6" s="1"/>
  <c r="AX176" i="6" s="1"/>
  <c r="AY176" i="6" s="1"/>
  <c r="AJ197" i="6"/>
  <c r="AO197" i="6" s="1"/>
  <c r="AD199" i="6"/>
  <c r="AN199" i="6" s="1"/>
  <c r="AM198" i="6"/>
  <c r="AI198" i="6"/>
  <c r="AG198" i="6"/>
  <c r="AH198" i="6" s="1"/>
  <c r="AL198" i="6"/>
  <c r="AF178" i="6"/>
  <c r="AE179" i="6"/>
  <c r="H196" i="6"/>
  <c r="L196" i="6"/>
  <c r="Q196" i="6" s="1"/>
  <c r="S196" i="6" s="1"/>
  <c r="N197" i="6"/>
  <c r="F198" i="6"/>
  <c r="P198" i="6" s="1"/>
  <c r="I197" i="6"/>
  <c r="J197" i="6" s="1"/>
  <c r="G197" i="6"/>
  <c r="K197" i="6"/>
  <c r="O197" i="6"/>
  <c r="W176" i="6"/>
  <c r="X176" i="6" s="1"/>
  <c r="X195" i="5" l="1"/>
  <c r="AA195" i="5"/>
  <c r="T197" i="5"/>
  <c r="Q197" i="5"/>
  <c r="AK177" i="6"/>
  <c r="AP177" i="6" s="1"/>
  <c r="AR177" i="6" s="1"/>
  <c r="J196" i="5"/>
  <c r="AK178" i="6" s="1"/>
  <c r="AP178" i="6" s="1"/>
  <c r="M196" i="5"/>
  <c r="C196" i="5"/>
  <c r="M178" i="6" s="1"/>
  <c r="R178" i="6" s="1"/>
  <c r="T178" i="6" s="1"/>
  <c r="F196" i="5"/>
  <c r="V178" i="6" s="1"/>
  <c r="AS177" i="6"/>
  <c r="AW177" i="6" s="1"/>
  <c r="AX177" i="6" s="1"/>
  <c r="AY177" i="6" s="1"/>
  <c r="AQ197" i="6"/>
  <c r="AU177" i="6"/>
  <c r="AV177" i="6" s="1"/>
  <c r="AJ198" i="6"/>
  <c r="AO198" i="6" s="1"/>
  <c r="AQ198" i="6" s="1"/>
  <c r="AF179" i="6"/>
  <c r="AE180" i="6"/>
  <c r="AL199" i="6"/>
  <c r="AI199" i="6"/>
  <c r="AM199" i="6"/>
  <c r="AD200" i="6"/>
  <c r="AG199" i="6"/>
  <c r="AH199" i="6" s="1"/>
  <c r="L197" i="6"/>
  <c r="Q197" i="6" s="1"/>
  <c r="S197" i="6" s="1"/>
  <c r="H197" i="6"/>
  <c r="I198" i="6"/>
  <c r="J198" i="6" s="1"/>
  <c r="O198" i="6"/>
  <c r="N198" i="6"/>
  <c r="K198" i="6"/>
  <c r="F199" i="6"/>
  <c r="P199" i="6" s="1"/>
  <c r="G198" i="6"/>
  <c r="W177" i="6"/>
  <c r="X177" i="6" s="1"/>
  <c r="U177" i="6"/>
  <c r="Y177" i="6" s="1"/>
  <c r="Z177" i="6" s="1"/>
  <c r="AA177" i="6" s="1"/>
  <c r="M197" i="5" l="1"/>
  <c r="J197" i="5"/>
  <c r="AT178" i="6"/>
  <c r="AU178" i="6" s="1"/>
  <c r="AV178" i="6" s="1"/>
  <c r="Q198" i="5"/>
  <c r="T198" i="5"/>
  <c r="X196" i="5"/>
  <c r="AA196" i="5"/>
  <c r="F197" i="5"/>
  <c r="V179" i="6" s="1"/>
  <c r="C197" i="5"/>
  <c r="M179" i="6" s="1"/>
  <c r="R179" i="6" s="1"/>
  <c r="T179" i="6" s="1"/>
  <c r="AN200" i="6"/>
  <c r="AR178" i="6"/>
  <c r="AS178" i="6" s="1"/>
  <c r="U178" i="6"/>
  <c r="AT179" i="6"/>
  <c r="AJ199" i="6"/>
  <c r="AO199" i="6" s="1"/>
  <c r="AD201" i="6"/>
  <c r="AN201" i="6" s="1"/>
  <c r="AM200" i="6"/>
  <c r="AL200" i="6"/>
  <c r="AG200" i="6"/>
  <c r="AH200" i="6" s="1"/>
  <c r="AI200" i="6"/>
  <c r="AF180" i="6"/>
  <c r="AE181" i="6"/>
  <c r="L198" i="6"/>
  <c r="Q198" i="6" s="1"/>
  <c r="S198" i="6" s="1"/>
  <c r="I199" i="6"/>
  <c r="J199" i="6" s="1"/>
  <c r="O199" i="6"/>
  <c r="G199" i="6"/>
  <c r="K199" i="6"/>
  <c r="F200" i="6"/>
  <c r="P200" i="6" s="1"/>
  <c r="N199" i="6"/>
  <c r="H198" i="6"/>
  <c r="W178" i="6"/>
  <c r="X178" i="6" s="1"/>
  <c r="AW178" i="6" l="1"/>
  <c r="AX178" i="6" s="1"/>
  <c r="AY178" i="6" s="1"/>
  <c r="Q199" i="5"/>
  <c r="T199" i="5"/>
  <c r="AA197" i="5"/>
  <c r="X197" i="5"/>
  <c r="AK179" i="6"/>
  <c r="AP179" i="6" s="1"/>
  <c r="AR179" i="6" s="1"/>
  <c r="AS179" i="6" s="1"/>
  <c r="AW179" i="6" s="1"/>
  <c r="AX179" i="6" s="1"/>
  <c r="AY179" i="6" s="1"/>
  <c r="J198" i="5"/>
  <c r="AK180" i="6" s="1"/>
  <c r="AP180" i="6" s="1"/>
  <c r="AR180" i="6" s="1"/>
  <c r="AS180" i="6" s="1"/>
  <c r="M198" i="5"/>
  <c r="C198" i="5"/>
  <c r="M180" i="6" s="1"/>
  <c r="R180" i="6" s="1"/>
  <c r="T180" i="6" s="1"/>
  <c r="F198" i="5"/>
  <c r="V180" i="6" s="1"/>
  <c r="AU179" i="6"/>
  <c r="AV179" i="6" s="1"/>
  <c r="AQ199" i="6"/>
  <c r="AJ200" i="6"/>
  <c r="AO200" i="6" s="1"/>
  <c r="AQ200" i="6" s="1"/>
  <c r="AI201" i="6"/>
  <c r="AD202" i="6"/>
  <c r="AL201" i="6"/>
  <c r="AG201" i="6"/>
  <c r="AH201" i="6" s="1"/>
  <c r="AM201" i="6"/>
  <c r="AF181" i="6"/>
  <c r="AE182" i="6"/>
  <c r="L199" i="6"/>
  <c r="Q199" i="6" s="1"/>
  <c r="S199" i="6" s="1"/>
  <c r="K200" i="6"/>
  <c r="I200" i="6"/>
  <c r="J200" i="6" s="1"/>
  <c r="G200" i="6"/>
  <c r="F201" i="6"/>
  <c r="P201" i="6" s="1"/>
  <c r="N200" i="6"/>
  <c r="O200" i="6"/>
  <c r="H199" i="6"/>
  <c r="W179" i="6"/>
  <c r="X179" i="6" s="1"/>
  <c r="U179" i="6"/>
  <c r="Y179" i="6" s="1"/>
  <c r="Z179" i="6" s="1"/>
  <c r="AA179" i="6" s="1"/>
  <c r="Y178" i="6"/>
  <c r="Z178" i="6" s="1"/>
  <c r="AA178" i="6" s="1"/>
  <c r="M199" i="5" l="1"/>
  <c r="AT181" i="6" s="1"/>
  <c r="AU181" i="6" s="1"/>
  <c r="AV181" i="6" s="1"/>
  <c r="J199" i="5"/>
  <c r="AK181" i="6" s="1"/>
  <c r="AP181" i="6" s="1"/>
  <c r="AR181" i="6" s="1"/>
  <c r="AS181" i="6" s="1"/>
  <c r="AT180" i="6"/>
  <c r="AW180" i="6" s="1"/>
  <c r="AX180" i="6" s="1"/>
  <c r="AY180" i="6" s="1"/>
  <c r="AA198" i="5"/>
  <c r="X198" i="5"/>
  <c r="T200" i="5"/>
  <c r="Q200" i="5"/>
  <c r="C199" i="5"/>
  <c r="M181" i="6" s="1"/>
  <c r="R181" i="6" s="1"/>
  <c r="T181" i="6" s="1"/>
  <c r="U181" i="6" s="1"/>
  <c r="F199" i="5"/>
  <c r="V181" i="6" s="1"/>
  <c r="AN202" i="6"/>
  <c r="AJ201" i="6"/>
  <c r="AO201" i="6" s="1"/>
  <c r="AQ201" i="6" s="1"/>
  <c r="AD203" i="6"/>
  <c r="AN203" i="6" s="1"/>
  <c r="AM202" i="6"/>
  <c r="AL202" i="6"/>
  <c r="AI202" i="6"/>
  <c r="AG202" i="6"/>
  <c r="AH202" i="6" s="1"/>
  <c r="AF182" i="6"/>
  <c r="AE183" i="6"/>
  <c r="L200" i="6"/>
  <c r="Q200" i="6" s="1"/>
  <c r="S200" i="6" s="1"/>
  <c r="G201" i="6"/>
  <c r="H201" i="6" s="1"/>
  <c r="K201" i="6"/>
  <c r="I201" i="6"/>
  <c r="J201" i="6" s="1"/>
  <c r="O201" i="6"/>
  <c r="N201" i="6"/>
  <c r="F202" i="6"/>
  <c r="P202" i="6" s="1"/>
  <c r="H200" i="6"/>
  <c r="W180" i="6"/>
  <c r="X180" i="6" s="1"/>
  <c r="U180" i="6"/>
  <c r="Y180" i="6" s="1"/>
  <c r="Z180" i="6" s="1"/>
  <c r="AA180" i="6" s="1"/>
  <c r="Q201" i="5" l="1"/>
  <c r="T201" i="5"/>
  <c r="X199" i="5"/>
  <c r="AA199" i="5"/>
  <c r="AU180" i="6"/>
  <c r="AV180" i="6" s="1"/>
  <c r="J200" i="5"/>
  <c r="AK182" i="6" s="1"/>
  <c r="AP182" i="6" s="1"/>
  <c r="AR182" i="6" s="1"/>
  <c r="AS182" i="6" s="1"/>
  <c r="M200" i="5"/>
  <c r="AT182" i="6" s="1"/>
  <c r="AU182" i="6" s="1"/>
  <c r="AV182" i="6" s="1"/>
  <c r="C200" i="5"/>
  <c r="M182" i="6" s="1"/>
  <c r="R182" i="6" s="1"/>
  <c r="T182" i="6" s="1"/>
  <c r="U182" i="6" s="1"/>
  <c r="F200" i="5"/>
  <c r="V182" i="6" s="1"/>
  <c r="AW181" i="6"/>
  <c r="AX181" i="6" s="1"/>
  <c r="AY181" i="6" s="1"/>
  <c r="AJ202" i="6"/>
  <c r="AO202" i="6" s="1"/>
  <c r="AQ202" i="6" s="1"/>
  <c r="AF183" i="6"/>
  <c r="AE184" i="6"/>
  <c r="AM203" i="6"/>
  <c r="AD204" i="6"/>
  <c r="AN204" i="6" s="1"/>
  <c r="AL203" i="6"/>
  <c r="AI203" i="6"/>
  <c r="AG203" i="6"/>
  <c r="AH203" i="6" s="1"/>
  <c r="L201" i="6"/>
  <c r="Q201" i="6" s="1"/>
  <c r="S201" i="6" s="1"/>
  <c r="K202" i="6"/>
  <c r="I202" i="6"/>
  <c r="J202" i="6" s="1"/>
  <c r="F203" i="6"/>
  <c r="P203" i="6" s="1"/>
  <c r="G202" i="6"/>
  <c r="N202" i="6"/>
  <c r="O202" i="6"/>
  <c r="W181" i="6"/>
  <c r="X181" i="6" s="1"/>
  <c r="X200" i="5" l="1"/>
  <c r="AA200" i="5"/>
  <c r="T202" i="5"/>
  <c r="Q202" i="5"/>
  <c r="M201" i="5"/>
  <c r="J201" i="5"/>
  <c r="AK183" i="6" s="1"/>
  <c r="AP183" i="6" s="1"/>
  <c r="AR183" i="6" s="1"/>
  <c r="AS183" i="6" s="1"/>
  <c r="C201" i="5"/>
  <c r="M183" i="6" s="1"/>
  <c r="R183" i="6" s="1"/>
  <c r="T183" i="6" s="1"/>
  <c r="F201" i="5"/>
  <c r="V183" i="6" s="1"/>
  <c r="AW182" i="6"/>
  <c r="AX182" i="6" s="1"/>
  <c r="AY182" i="6" s="1"/>
  <c r="AT183" i="6"/>
  <c r="AJ203" i="6"/>
  <c r="AO203" i="6" s="1"/>
  <c r="AL204" i="6"/>
  <c r="AG204" i="6"/>
  <c r="AH204" i="6" s="1"/>
  <c r="AD205" i="6"/>
  <c r="AN205" i="6" s="1"/>
  <c r="AI204" i="6"/>
  <c r="AM204" i="6"/>
  <c r="AF184" i="6"/>
  <c r="AE185" i="6"/>
  <c r="L202" i="6"/>
  <c r="Q202" i="6" s="1"/>
  <c r="S202" i="6" s="1"/>
  <c r="H202" i="6"/>
  <c r="N203" i="6"/>
  <c r="I203" i="6"/>
  <c r="J203" i="6" s="1"/>
  <c r="G203" i="6"/>
  <c r="F204" i="6"/>
  <c r="P204" i="6" s="1"/>
  <c r="O203" i="6"/>
  <c r="K203" i="6"/>
  <c r="W182" i="6"/>
  <c r="X182" i="6" s="1"/>
  <c r="Y182" i="6"/>
  <c r="Z182" i="6" s="1"/>
  <c r="AA182" i="6" s="1"/>
  <c r="Y181" i="6"/>
  <c r="Z181" i="6" s="1"/>
  <c r="AA181" i="6" s="1"/>
  <c r="AW183" i="6" l="1"/>
  <c r="AX183" i="6" s="1"/>
  <c r="AY183" i="6" s="1"/>
  <c r="M202" i="5"/>
  <c r="AT184" i="6" s="1"/>
  <c r="J202" i="5"/>
  <c r="AK184" i="6" s="1"/>
  <c r="AP184" i="6" s="1"/>
  <c r="AR184" i="6" s="1"/>
  <c r="AS184" i="6" s="1"/>
  <c r="Q203" i="5"/>
  <c r="T203" i="5"/>
  <c r="AA201" i="5"/>
  <c r="X201" i="5"/>
  <c r="C202" i="5"/>
  <c r="M184" i="6" s="1"/>
  <c r="R184" i="6" s="1"/>
  <c r="T184" i="6" s="1"/>
  <c r="U184" i="6" s="1"/>
  <c r="F202" i="5"/>
  <c r="V184" i="6" s="1"/>
  <c r="AU183" i="6"/>
  <c r="AV183" i="6" s="1"/>
  <c r="AQ203" i="6"/>
  <c r="AJ204" i="6"/>
  <c r="AO204" i="6" s="1"/>
  <c r="AQ204" i="6" s="1"/>
  <c r="AF185" i="6"/>
  <c r="AE186" i="6"/>
  <c r="AL205" i="6"/>
  <c r="AI205" i="6"/>
  <c r="AG205" i="6"/>
  <c r="AH205" i="6" s="1"/>
  <c r="AD206" i="6"/>
  <c r="AN206" i="6" s="1"/>
  <c r="AM205" i="6"/>
  <c r="H203" i="6"/>
  <c r="L203" i="6"/>
  <c r="Q203" i="6" s="1"/>
  <c r="S203" i="6" s="1"/>
  <c r="K204" i="6"/>
  <c r="O204" i="6"/>
  <c r="G204" i="6"/>
  <c r="H204" i="6" s="1"/>
  <c r="F205" i="6"/>
  <c r="P205" i="6" s="1"/>
  <c r="N204" i="6"/>
  <c r="I204" i="6"/>
  <c r="W183" i="6"/>
  <c r="X183" i="6" s="1"/>
  <c r="U183" i="6"/>
  <c r="Y183" i="6" s="1"/>
  <c r="Z183" i="6" s="1"/>
  <c r="AA183" i="6" s="1"/>
  <c r="X202" i="5" l="1"/>
  <c r="AA202" i="5"/>
  <c r="Q204" i="5"/>
  <c r="T204" i="5"/>
  <c r="J203" i="5"/>
  <c r="M203" i="5"/>
  <c r="F203" i="5"/>
  <c r="V185" i="6" s="1"/>
  <c r="C203" i="5"/>
  <c r="AU184" i="6"/>
  <c r="AT19" i="12"/>
  <c r="AW184" i="6"/>
  <c r="AJ205" i="6"/>
  <c r="AO205" i="6" s="1"/>
  <c r="AQ205" i="6" s="1"/>
  <c r="AD207" i="6"/>
  <c r="AN207" i="6" s="1"/>
  <c r="AI206" i="6"/>
  <c r="AM206" i="6"/>
  <c r="AL206" i="6"/>
  <c r="AG206" i="6"/>
  <c r="AH206" i="6" s="1"/>
  <c r="AF186" i="6"/>
  <c r="AE187" i="6"/>
  <c r="N205" i="6"/>
  <c r="K205" i="6"/>
  <c r="I205" i="6"/>
  <c r="J205" i="6" s="1"/>
  <c r="G205" i="6"/>
  <c r="O205" i="6"/>
  <c r="F206" i="6"/>
  <c r="P206" i="6" s="1"/>
  <c r="J204" i="6"/>
  <c r="L204" i="6" s="1"/>
  <c r="Q204" i="6" s="1"/>
  <c r="S204" i="6" s="1"/>
  <c r="M204" i="5" l="1"/>
  <c r="J204" i="5"/>
  <c r="AK186" i="6" s="1"/>
  <c r="AP186" i="6" s="1"/>
  <c r="AR186" i="6" s="1"/>
  <c r="AT185" i="6"/>
  <c r="AU185" i="6" s="1"/>
  <c r="AV185" i="6" s="1"/>
  <c r="Q205" i="5"/>
  <c r="T205" i="5"/>
  <c r="AK185" i="6"/>
  <c r="AP185" i="6" s="1"/>
  <c r="AA203" i="5"/>
  <c r="X203" i="5"/>
  <c r="C204" i="5"/>
  <c r="M186" i="6" s="1"/>
  <c r="R186" i="6" s="1"/>
  <c r="T186" i="6" s="1"/>
  <c r="F204" i="5"/>
  <c r="V186" i="6" s="1"/>
  <c r="AX184" i="6"/>
  <c r="AW19" i="12"/>
  <c r="AV184" i="6"/>
  <c r="AV19" i="12" s="1"/>
  <c r="AU19" i="12"/>
  <c r="M185" i="6"/>
  <c r="R185" i="6" s="1"/>
  <c r="T185" i="6" s="1"/>
  <c r="U185" i="6" s="1"/>
  <c r="Y185" i="6" s="1"/>
  <c r="Z185" i="6" s="1"/>
  <c r="AA185" i="6" s="1"/>
  <c r="AT186" i="6"/>
  <c r="AU186" i="6" s="1"/>
  <c r="AV186" i="6" s="1"/>
  <c r="AJ206" i="6"/>
  <c r="AO206" i="6" s="1"/>
  <c r="AQ206" i="6" s="1"/>
  <c r="AF187" i="6"/>
  <c r="AE188" i="6"/>
  <c r="AD208" i="6"/>
  <c r="AN208" i="6" s="1"/>
  <c r="AM207" i="6"/>
  <c r="AL207" i="6"/>
  <c r="AI207" i="6"/>
  <c r="AG207" i="6"/>
  <c r="AH207" i="6" s="1"/>
  <c r="L205" i="6"/>
  <c r="Q205" i="6" s="1"/>
  <c r="S205" i="6" s="1"/>
  <c r="H205" i="6"/>
  <c r="I206" i="6"/>
  <c r="J206" i="6" s="1"/>
  <c r="G206" i="6"/>
  <c r="O206" i="6"/>
  <c r="N206" i="6"/>
  <c r="K206" i="6"/>
  <c r="F207" i="6"/>
  <c r="P207" i="6" s="1"/>
  <c r="W185" i="6"/>
  <c r="X185" i="6" s="1"/>
  <c r="W184" i="6"/>
  <c r="Y184" i="6"/>
  <c r="AA204" i="5" l="1"/>
  <c r="X204" i="5"/>
  <c r="Q206" i="5"/>
  <c r="T206" i="5"/>
  <c r="J205" i="5"/>
  <c r="M205" i="5"/>
  <c r="C205" i="5"/>
  <c r="F205" i="5"/>
  <c r="V187" i="6" s="1"/>
  <c r="AY184" i="6"/>
  <c r="AY19" i="12" s="1"/>
  <c r="AX19" i="12"/>
  <c r="AR185" i="6"/>
  <c r="AK187" i="6"/>
  <c r="AJ207" i="6"/>
  <c r="AO207" i="6" s="1"/>
  <c r="AQ207" i="6" s="1"/>
  <c r="AF188" i="6"/>
  <c r="AE189" i="6"/>
  <c r="AD209" i="6"/>
  <c r="AN209" i="6" s="1"/>
  <c r="AM208" i="6"/>
  <c r="AI208" i="6"/>
  <c r="AL208" i="6"/>
  <c r="AG208" i="6"/>
  <c r="AH208" i="6" s="1"/>
  <c r="H206" i="6"/>
  <c r="N207" i="6"/>
  <c r="O207" i="6"/>
  <c r="G207" i="6"/>
  <c r="H207" i="6" s="1"/>
  <c r="F208" i="6"/>
  <c r="P208" i="6" s="1"/>
  <c r="K207" i="6"/>
  <c r="I207" i="6"/>
  <c r="J207" i="6" s="1"/>
  <c r="L206" i="6"/>
  <c r="Q206" i="6" s="1"/>
  <c r="S206" i="6" s="1"/>
  <c r="U186" i="6"/>
  <c r="Y186" i="6" s="1"/>
  <c r="Z186" i="6" s="1"/>
  <c r="AA186" i="6" s="1"/>
  <c r="W186" i="6"/>
  <c r="X186" i="6" s="1"/>
  <c r="Z184" i="6"/>
  <c r="X184" i="6"/>
  <c r="J206" i="5" l="1"/>
  <c r="AK188" i="6" s="1"/>
  <c r="AP188" i="6" s="1"/>
  <c r="AR188" i="6" s="1"/>
  <c r="M206" i="5"/>
  <c r="AT187" i="6"/>
  <c r="AU187" i="6" s="1"/>
  <c r="AV187" i="6" s="1"/>
  <c r="Q207" i="5"/>
  <c r="T207" i="5"/>
  <c r="X205" i="5"/>
  <c r="AA205" i="5"/>
  <c r="C206" i="5"/>
  <c r="M188" i="6" s="1"/>
  <c r="R188" i="6" s="1"/>
  <c r="T188" i="6" s="1"/>
  <c r="F206" i="5"/>
  <c r="V188" i="6" s="1"/>
  <c r="AP187" i="6"/>
  <c r="AS186" i="6"/>
  <c r="AW186" i="6" s="1"/>
  <c r="AX186" i="6" s="1"/>
  <c r="AY186" i="6" s="1"/>
  <c r="AS185" i="6"/>
  <c r="AW185" i="6" s="1"/>
  <c r="AX185" i="6" s="1"/>
  <c r="AY185" i="6" s="1"/>
  <c r="M187" i="6"/>
  <c r="R187" i="6" s="1"/>
  <c r="T187" i="6" s="1"/>
  <c r="U187" i="6" s="1"/>
  <c r="Y187" i="6" s="1"/>
  <c r="Z187" i="6" s="1"/>
  <c r="AA187" i="6" s="1"/>
  <c r="AT188" i="6"/>
  <c r="AU188" i="6" s="1"/>
  <c r="AV188" i="6" s="1"/>
  <c r="AJ208" i="6"/>
  <c r="AO208" i="6" s="1"/>
  <c r="AQ208" i="6" s="1"/>
  <c r="AD210" i="6"/>
  <c r="AN210" i="6" s="1"/>
  <c r="AL209" i="6"/>
  <c r="AI209" i="6"/>
  <c r="AM209" i="6"/>
  <c r="AG209" i="6"/>
  <c r="AH209" i="6" s="1"/>
  <c r="AF189" i="6"/>
  <c r="AE190" i="6"/>
  <c r="L207" i="6"/>
  <c r="Q207" i="6" s="1"/>
  <c r="S207" i="6" s="1"/>
  <c r="I208" i="6"/>
  <c r="J208" i="6" s="1"/>
  <c r="G208" i="6"/>
  <c r="K208" i="6"/>
  <c r="N208" i="6"/>
  <c r="O208" i="6"/>
  <c r="F209" i="6"/>
  <c r="P209" i="6" s="1"/>
  <c r="AA184" i="6"/>
  <c r="W187" i="6"/>
  <c r="X187" i="6" s="1"/>
  <c r="AA206" i="5" l="1"/>
  <c r="X206" i="5"/>
  <c r="Q208" i="5"/>
  <c r="T208" i="5"/>
  <c r="J207" i="5"/>
  <c r="M207" i="5"/>
  <c r="C207" i="5"/>
  <c r="M189" i="6" s="1"/>
  <c r="R189" i="6" s="1"/>
  <c r="T189" i="6" s="1"/>
  <c r="U189" i="6" s="1"/>
  <c r="F207" i="5"/>
  <c r="V189" i="6" s="1"/>
  <c r="AR187" i="6"/>
  <c r="AJ209" i="6"/>
  <c r="AO209" i="6" s="1"/>
  <c r="AF190" i="6"/>
  <c r="AE191" i="6"/>
  <c r="AD211" i="6"/>
  <c r="AN211" i="6" s="1"/>
  <c r="AM210" i="6"/>
  <c r="AL210" i="6"/>
  <c r="AG210" i="6"/>
  <c r="AH210" i="6" s="1"/>
  <c r="AI210" i="6"/>
  <c r="K209" i="6"/>
  <c r="F210" i="6"/>
  <c r="P210" i="6" s="1"/>
  <c r="G209" i="6"/>
  <c r="N209" i="6"/>
  <c r="I209" i="6"/>
  <c r="J209" i="6" s="1"/>
  <c r="O209" i="6"/>
  <c r="H208" i="6"/>
  <c r="L208" i="6"/>
  <c r="Q208" i="6" s="1"/>
  <c r="S208" i="6" s="1"/>
  <c r="W188" i="6"/>
  <c r="X188" i="6" s="1"/>
  <c r="U188" i="6"/>
  <c r="Y188" i="6" s="1"/>
  <c r="Z188" i="6" s="1"/>
  <c r="AA188" i="6" s="1"/>
  <c r="J208" i="5" l="1"/>
  <c r="AK190" i="6" s="1"/>
  <c r="AP190" i="6" s="1"/>
  <c r="M208" i="5"/>
  <c r="AK189" i="6"/>
  <c r="AP189" i="6" s="1"/>
  <c r="AR189" i="6" s="1"/>
  <c r="AS189" i="6" s="1"/>
  <c r="Q209" i="5"/>
  <c r="T209" i="5"/>
  <c r="AT189" i="6"/>
  <c r="AU189" i="6" s="1"/>
  <c r="AV189" i="6" s="1"/>
  <c r="AA207" i="5"/>
  <c r="X207" i="5"/>
  <c r="C208" i="5"/>
  <c r="F208" i="5"/>
  <c r="AS188" i="6"/>
  <c r="AW188" i="6" s="1"/>
  <c r="AX188" i="6" s="1"/>
  <c r="AY188" i="6" s="1"/>
  <c r="AS187" i="6"/>
  <c r="AW187" i="6" s="1"/>
  <c r="AX187" i="6" s="1"/>
  <c r="AY187" i="6" s="1"/>
  <c r="AQ209" i="6"/>
  <c r="AT190" i="6"/>
  <c r="AU190" i="6" s="1"/>
  <c r="AV190" i="6" s="1"/>
  <c r="AJ210" i="6"/>
  <c r="AO210" i="6" s="1"/>
  <c r="AQ210" i="6" s="1"/>
  <c r="AD212" i="6"/>
  <c r="AN212" i="6" s="1"/>
  <c r="AM211" i="6"/>
  <c r="AL211" i="6"/>
  <c r="AI211" i="6"/>
  <c r="AG211" i="6"/>
  <c r="AH211" i="6" s="1"/>
  <c r="AF191" i="6"/>
  <c r="AE192" i="6"/>
  <c r="L209" i="6"/>
  <c r="Q209" i="6" s="1"/>
  <c r="S209" i="6" s="1"/>
  <c r="H209" i="6"/>
  <c r="I210" i="6"/>
  <c r="J210" i="6" s="1"/>
  <c r="N210" i="6"/>
  <c r="F211" i="6"/>
  <c r="P211" i="6" s="1"/>
  <c r="O210" i="6"/>
  <c r="K210" i="6"/>
  <c r="G210" i="6"/>
  <c r="W189" i="6"/>
  <c r="X189" i="6" s="1"/>
  <c r="AW189" i="6" l="1"/>
  <c r="AX189" i="6" s="1"/>
  <c r="AY189" i="6" s="1"/>
  <c r="AA208" i="5"/>
  <c r="X208" i="5"/>
  <c r="Q210" i="5"/>
  <c r="T210" i="5"/>
  <c r="J209" i="5"/>
  <c r="AK191" i="6" s="1"/>
  <c r="AP191" i="6" s="1"/>
  <c r="AR191" i="6" s="1"/>
  <c r="M209" i="5"/>
  <c r="C209" i="5"/>
  <c r="M191" i="6" s="1"/>
  <c r="R191" i="6" s="1"/>
  <c r="T191" i="6" s="1"/>
  <c r="F209" i="5"/>
  <c r="V191" i="6" s="1"/>
  <c r="V190" i="6"/>
  <c r="W190" i="6" s="1"/>
  <c r="X190" i="6" s="1"/>
  <c r="AR190" i="6"/>
  <c r="AS190" i="6" s="1"/>
  <c r="AW190" i="6" s="1"/>
  <c r="AX190" i="6" s="1"/>
  <c r="AY190" i="6" s="1"/>
  <c r="M190" i="6"/>
  <c r="R190" i="6" s="1"/>
  <c r="T190" i="6" s="1"/>
  <c r="U190" i="6" s="1"/>
  <c r="AJ211" i="6"/>
  <c r="AO211" i="6" s="1"/>
  <c r="L210" i="6"/>
  <c r="Q210" i="6" s="1"/>
  <c r="S210" i="6" s="1"/>
  <c r="AF192" i="6"/>
  <c r="AE193" i="6"/>
  <c r="AD213" i="6"/>
  <c r="AN213" i="6" s="1"/>
  <c r="AL212" i="6"/>
  <c r="AG212" i="6"/>
  <c r="AH212" i="6" s="1"/>
  <c r="AM212" i="6"/>
  <c r="AI212" i="6"/>
  <c r="H210" i="6"/>
  <c r="F212" i="6"/>
  <c r="P212" i="6" s="1"/>
  <c r="K211" i="6"/>
  <c r="O211" i="6"/>
  <c r="I211" i="6"/>
  <c r="J211" i="6" s="1"/>
  <c r="G211" i="6"/>
  <c r="N211" i="6"/>
  <c r="Y189" i="6"/>
  <c r="Z189" i="6" s="1"/>
  <c r="AA189" i="6" s="1"/>
  <c r="U191" i="6" l="1"/>
  <c r="J210" i="5"/>
  <c r="AK192" i="6" s="1"/>
  <c r="AP192" i="6" s="1"/>
  <c r="AR192" i="6" s="1"/>
  <c r="AS192" i="6" s="1"/>
  <c r="M210" i="5"/>
  <c r="AT192" i="6" s="1"/>
  <c r="T211" i="5"/>
  <c r="Q211" i="5"/>
  <c r="AT191" i="6"/>
  <c r="AU191" i="6" s="1"/>
  <c r="AV191" i="6" s="1"/>
  <c r="Y190" i="6"/>
  <c r="Z190" i="6" s="1"/>
  <c r="AA190" i="6" s="1"/>
  <c r="AA209" i="5"/>
  <c r="X209" i="5"/>
  <c r="AS191" i="6"/>
  <c r="C210" i="5"/>
  <c r="M192" i="6" s="1"/>
  <c r="R192" i="6" s="1"/>
  <c r="T192" i="6" s="1"/>
  <c r="F210" i="5"/>
  <c r="V192" i="6" s="1"/>
  <c r="AQ211" i="6"/>
  <c r="AD214" i="6"/>
  <c r="AN214" i="6" s="1"/>
  <c r="AM213" i="6"/>
  <c r="AI213" i="6"/>
  <c r="AG213" i="6"/>
  <c r="AH213" i="6" s="1"/>
  <c r="AL213" i="6"/>
  <c r="AJ212" i="6"/>
  <c r="AO212" i="6" s="1"/>
  <c r="AQ212" i="6" s="1"/>
  <c r="AF193" i="6"/>
  <c r="AE194" i="6"/>
  <c r="L211" i="6"/>
  <c r="Q211" i="6" s="1"/>
  <c r="S211" i="6" s="1"/>
  <c r="O212" i="6"/>
  <c r="N212" i="6"/>
  <c r="F213" i="6"/>
  <c r="P213" i="6" s="1"/>
  <c r="K212" i="6"/>
  <c r="G212" i="6"/>
  <c r="I212" i="6"/>
  <c r="J212" i="6" s="1"/>
  <c r="H211" i="6"/>
  <c r="AW192" i="6" l="1"/>
  <c r="AX192" i="6" s="1"/>
  <c r="AY192" i="6" s="1"/>
  <c r="X210" i="5"/>
  <c r="AA210" i="5"/>
  <c r="T212" i="5"/>
  <c r="Q212" i="5"/>
  <c r="AW191" i="6"/>
  <c r="AX191" i="6" s="1"/>
  <c r="AY191" i="6" s="1"/>
  <c r="M211" i="5"/>
  <c r="J211" i="5"/>
  <c r="AK193" i="6" s="1"/>
  <c r="AP193" i="6" s="1"/>
  <c r="AR193" i="6" s="1"/>
  <c r="AS193" i="6" s="1"/>
  <c r="F211" i="5"/>
  <c r="V193" i="6" s="1"/>
  <c r="C211" i="5"/>
  <c r="M193" i="6" s="1"/>
  <c r="R193" i="6" s="1"/>
  <c r="T193" i="6" s="1"/>
  <c r="AU192" i="6"/>
  <c r="AV192" i="6" s="1"/>
  <c r="AJ213" i="6"/>
  <c r="AO213" i="6" s="1"/>
  <c r="AQ213" i="6" s="1"/>
  <c r="AF194" i="6"/>
  <c r="AE195" i="6"/>
  <c r="AD215" i="6"/>
  <c r="AI214" i="6"/>
  <c r="AG214" i="6"/>
  <c r="AH214" i="6" s="1"/>
  <c r="AM214" i="6"/>
  <c r="AL214" i="6"/>
  <c r="L212" i="6"/>
  <c r="Q212" i="6" s="1"/>
  <c r="S212" i="6" s="1"/>
  <c r="H212" i="6"/>
  <c r="I213" i="6"/>
  <c r="J213" i="6" s="1"/>
  <c r="N213" i="6"/>
  <c r="O213" i="6"/>
  <c r="K213" i="6"/>
  <c r="G213" i="6"/>
  <c r="F214" i="6"/>
  <c r="P214" i="6" s="1"/>
  <c r="W192" i="6"/>
  <c r="X192" i="6" s="1"/>
  <c r="U192" i="6"/>
  <c r="Y192" i="6" s="1"/>
  <c r="Z192" i="6" s="1"/>
  <c r="AA192" i="6" s="1"/>
  <c r="W191" i="6"/>
  <c r="X191" i="6" s="1"/>
  <c r="Y191" i="6"/>
  <c r="Z191" i="6" s="1"/>
  <c r="AA191" i="6" s="1"/>
  <c r="J212" i="5" l="1"/>
  <c r="AK194" i="6" s="1"/>
  <c r="AP194" i="6" s="1"/>
  <c r="AR194" i="6" s="1"/>
  <c r="AS194" i="6" s="1"/>
  <c r="M212" i="5"/>
  <c r="AT194" i="6" s="1"/>
  <c r="Q213" i="5"/>
  <c r="T213" i="5"/>
  <c r="AA211" i="5"/>
  <c r="X211" i="5"/>
  <c r="AT193" i="6"/>
  <c r="AU193" i="6" s="1"/>
  <c r="AV193" i="6" s="1"/>
  <c r="C212" i="5"/>
  <c r="M194" i="6" s="1"/>
  <c r="R194" i="6" s="1"/>
  <c r="T194" i="6" s="1"/>
  <c r="U194" i="6" s="1"/>
  <c r="F212" i="5"/>
  <c r="V194" i="6" s="1"/>
  <c r="AN215" i="6"/>
  <c r="AJ214" i="6"/>
  <c r="AO214" i="6" s="1"/>
  <c r="AD216" i="6"/>
  <c r="AN216" i="6" s="1"/>
  <c r="AL215" i="6"/>
  <c r="AM215" i="6"/>
  <c r="AI215" i="6"/>
  <c r="AG215" i="6"/>
  <c r="AH215" i="6" s="1"/>
  <c r="AF195" i="6"/>
  <c r="AE196" i="6"/>
  <c r="L213" i="6"/>
  <c r="Q213" i="6" s="1"/>
  <c r="S213" i="6" s="1"/>
  <c r="I214" i="6"/>
  <c r="J214" i="6" s="1"/>
  <c r="K214" i="6"/>
  <c r="G214" i="6"/>
  <c r="O214" i="6"/>
  <c r="F215" i="6"/>
  <c r="P215" i="6" s="1"/>
  <c r="N214" i="6"/>
  <c r="H213" i="6"/>
  <c r="U193" i="6"/>
  <c r="W193" i="6"/>
  <c r="X193" i="6" s="1"/>
  <c r="AW194" i="6" l="1"/>
  <c r="AX194" i="6" s="1"/>
  <c r="AY194" i="6" s="1"/>
  <c r="AA212" i="5"/>
  <c r="X212" i="5"/>
  <c r="Q214" i="5"/>
  <c r="T214" i="5"/>
  <c r="M213" i="5"/>
  <c r="AT195" i="6" s="1"/>
  <c r="J213" i="5"/>
  <c r="AK195" i="6" s="1"/>
  <c r="AP195" i="6" s="1"/>
  <c r="AR195" i="6" s="1"/>
  <c r="AS195" i="6" s="1"/>
  <c r="AW193" i="6"/>
  <c r="AX193" i="6" s="1"/>
  <c r="AY193" i="6" s="1"/>
  <c r="C213" i="5"/>
  <c r="M195" i="6" s="1"/>
  <c r="R195" i="6" s="1"/>
  <c r="T195" i="6" s="1"/>
  <c r="U195" i="6" s="1"/>
  <c r="F213" i="5"/>
  <c r="V195" i="6" s="1"/>
  <c r="AU194" i="6"/>
  <c r="AV194" i="6" s="1"/>
  <c r="AQ214" i="6"/>
  <c r="AJ215" i="6"/>
  <c r="AO215" i="6" s="1"/>
  <c r="AQ215" i="6" s="1"/>
  <c r="AF196" i="6"/>
  <c r="AE197" i="6"/>
  <c r="AD217" i="6"/>
  <c r="AI216" i="6"/>
  <c r="AG216" i="6"/>
  <c r="AH216" i="6" s="1"/>
  <c r="AM216" i="6"/>
  <c r="AL216" i="6"/>
  <c r="O215" i="6"/>
  <c r="G215" i="6"/>
  <c r="F216" i="6"/>
  <c r="P216" i="6" s="1"/>
  <c r="N215" i="6"/>
  <c r="K215" i="6"/>
  <c r="I215" i="6"/>
  <c r="J215" i="6" s="1"/>
  <c r="H214" i="6"/>
  <c r="L214" i="6"/>
  <c r="Q214" i="6" s="1"/>
  <c r="S214" i="6" s="1"/>
  <c r="W194" i="6"/>
  <c r="X194" i="6" s="1"/>
  <c r="Y193" i="6"/>
  <c r="Z193" i="6" s="1"/>
  <c r="AA193" i="6" s="1"/>
  <c r="M214" i="5" l="1"/>
  <c r="AT196" i="6" s="1"/>
  <c r="AT20" i="12" s="1"/>
  <c r="J214" i="5"/>
  <c r="AK196" i="6" s="1"/>
  <c r="AP196" i="6" s="1"/>
  <c r="AR196" i="6" s="1"/>
  <c r="AS196" i="6" s="1"/>
  <c r="Q215" i="5"/>
  <c r="T215" i="5"/>
  <c r="AW195" i="6"/>
  <c r="AX195" i="6" s="1"/>
  <c r="AY195" i="6" s="1"/>
  <c r="AA213" i="5"/>
  <c r="X213" i="5"/>
  <c r="C214" i="5"/>
  <c r="M196" i="6" s="1"/>
  <c r="R196" i="6" s="1"/>
  <c r="T196" i="6" s="1"/>
  <c r="F214" i="5"/>
  <c r="V196" i="6" s="1"/>
  <c r="AN217" i="6"/>
  <c r="AU195" i="6"/>
  <c r="AV195" i="6" s="1"/>
  <c r="AJ216" i="6"/>
  <c r="AO216" i="6" s="1"/>
  <c r="AD218" i="6"/>
  <c r="AN218" i="6" s="1"/>
  <c r="AM217" i="6"/>
  <c r="AL217" i="6"/>
  <c r="AI217" i="6"/>
  <c r="AG217" i="6"/>
  <c r="AH217" i="6" s="1"/>
  <c r="AF197" i="6"/>
  <c r="AE198" i="6"/>
  <c r="L215" i="6"/>
  <c r="Q215" i="6" s="1"/>
  <c r="S215" i="6" s="1"/>
  <c r="H215" i="6"/>
  <c r="I216" i="6"/>
  <c r="J216" i="6" s="1"/>
  <c r="G216" i="6"/>
  <c r="O216" i="6"/>
  <c r="F217" i="6"/>
  <c r="P217" i="6" s="1"/>
  <c r="N216" i="6"/>
  <c r="K216" i="6"/>
  <c r="Y194" i="6"/>
  <c r="Z194" i="6" s="1"/>
  <c r="AA194" i="6" s="1"/>
  <c r="W195" i="6"/>
  <c r="X195" i="6" s="1"/>
  <c r="X214" i="5" l="1"/>
  <c r="AA214" i="5"/>
  <c r="T216" i="5"/>
  <c r="Q216" i="5"/>
  <c r="J215" i="5"/>
  <c r="AK197" i="6" s="1"/>
  <c r="M215" i="5"/>
  <c r="AT197" i="6" s="1"/>
  <c r="AU197" i="6" s="1"/>
  <c r="AV197" i="6" s="1"/>
  <c r="AW196" i="6"/>
  <c r="AX196" i="6" s="1"/>
  <c r="F215" i="5"/>
  <c r="V197" i="6" s="1"/>
  <c r="C215" i="5"/>
  <c r="AU196" i="6"/>
  <c r="AV196" i="6" s="1"/>
  <c r="AV20" i="12" s="1"/>
  <c r="AQ216" i="6"/>
  <c r="AU20" i="12"/>
  <c r="AJ217" i="6"/>
  <c r="AO217" i="6" s="1"/>
  <c r="AQ217" i="6" s="1"/>
  <c r="AF198" i="6"/>
  <c r="AE199" i="6"/>
  <c r="AD219" i="6"/>
  <c r="AI218" i="6"/>
  <c r="AG218" i="6"/>
  <c r="AH218" i="6" s="1"/>
  <c r="AL218" i="6"/>
  <c r="AM218" i="6"/>
  <c r="N217" i="6"/>
  <c r="F218" i="6"/>
  <c r="P218" i="6" s="1"/>
  <c r="I217" i="6"/>
  <c r="J217" i="6" s="1"/>
  <c r="K217" i="6"/>
  <c r="G217" i="6"/>
  <c r="O217" i="6"/>
  <c r="H216" i="6"/>
  <c r="L216" i="6"/>
  <c r="Q216" i="6" s="1"/>
  <c r="S216" i="6" s="1"/>
  <c r="U196" i="6"/>
  <c r="Y195" i="6"/>
  <c r="Z195" i="6" s="1"/>
  <c r="AA195" i="6" s="1"/>
  <c r="AW20" i="12" l="1"/>
  <c r="M216" i="5"/>
  <c r="AT198" i="6" s="1"/>
  <c r="AU198" i="6" s="1"/>
  <c r="AV198" i="6" s="1"/>
  <c r="J216" i="5"/>
  <c r="AK198" i="6" s="1"/>
  <c r="AP198" i="6" s="1"/>
  <c r="AR198" i="6" s="1"/>
  <c r="T217" i="5"/>
  <c r="Q217" i="5"/>
  <c r="AA215" i="5"/>
  <c r="X215" i="5"/>
  <c r="C216" i="5"/>
  <c r="F216" i="5"/>
  <c r="V198" i="6" s="1"/>
  <c r="AN219" i="6"/>
  <c r="AY196" i="6"/>
  <c r="AY20" i="12" s="1"/>
  <c r="AX20" i="12"/>
  <c r="AP197" i="6"/>
  <c r="M197" i="6"/>
  <c r="R197" i="6" s="1"/>
  <c r="T197" i="6" s="1"/>
  <c r="AJ218" i="6"/>
  <c r="AO218" i="6" s="1"/>
  <c r="AQ218" i="6" s="1"/>
  <c r="AD220" i="6"/>
  <c r="AN220" i="6" s="1"/>
  <c r="AL219" i="6"/>
  <c r="AI219" i="6"/>
  <c r="AG219" i="6"/>
  <c r="AH219" i="6" s="1"/>
  <c r="AM219" i="6"/>
  <c r="AF199" i="6"/>
  <c r="AE200" i="6"/>
  <c r="L217" i="6"/>
  <c r="Q217" i="6" s="1"/>
  <c r="S217" i="6" s="1"/>
  <c r="H217" i="6"/>
  <c r="N218" i="6"/>
  <c r="G218" i="6"/>
  <c r="O218" i="6"/>
  <c r="F219" i="6"/>
  <c r="P219" i="6" s="1"/>
  <c r="K218" i="6"/>
  <c r="I218" i="6"/>
  <c r="J218" i="6" s="1"/>
  <c r="W197" i="6"/>
  <c r="X197" i="6" s="1"/>
  <c r="W196" i="6"/>
  <c r="Y196" i="6"/>
  <c r="M198" i="6" l="1"/>
  <c r="R198" i="6" s="1"/>
  <c r="T198" i="6" s="1"/>
  <c r="U198" i="6" s="1"/>
  <c r="Y198" i="6" s="1"/>
  <c r="Z198" i="6" s="1"/>
  <c r="AA198" i="6" s="1"/>
  <c r="X216" i="5"/>
  <c r="AA216" i="5"/>
  <c r="T218" i="5"/>
  <c r="Q218" i="5"/>
  <c r="J217" i="5"/>
  <c r="M217" i="5"/>
  <c r="AT199" i="6" s="1"/>
  <c r="AU199" i="6" s="1"/>
  <c r="AV199" i="6" s="1"/>
  <c r="C217" i="5"/>
  <c r="M199" i="6" s="1"/>
  <c r="R199" i="6" s="1"/>
  <c r="T199" i="6" s="1"/>
  <c r="F217" i="5"/>
  <c r="V199" i="6" s="1"/>
  <c r="AR197" i="6"/>
  <c r="U197" i="6"/>
  <c r="Y197" i="6" s="1"/>
  <c r="Z197" i="6" s="1"/>
  <c r="AA197" i="6" s="1"/>
  <c r="AJ219" i="6"/>
  <c r="AO219" i="6" s="1"/>
  <c r="AQ219" i="6" s="1"/>
  <c r="AF200" i="6"/>
  <c r="AE201" i="6"/>
  <c r="AD221" i="6"/>
  <c r="AI220" i="6"/>
  <c r="AG220" i="6"/>
  <c r="AH220" i="6" s="1"/>
  <c r="AM220" i="6"/>
  <c r="AL220" i="6"/>
  <c r="L218" i="6"/>
  <c r="Q218" i="6" s="1"/>
  <c r="S218" i="6" s="1"/>
  <c r="K219" i="6"/>
  <c r="F220" i="6"/>
  <c r="P220" i="6" s="1"/>
  <c r="G219" i="6"/>
  <c r="N219" i="6"/>
  <c r="I219" i="6"/>
  <c r="J219" i="6" s="1"/>
  <c r="O219" i="6"/>
  <c r="H218" i="6"/>
  <c r="X196" i="6"/>
  <c r="Z196" i="6"/>
  <c r="W198" i="6"/>
  <c r="X198" i="6" s="1"/>
  <c r="M218" i="5" l="1"/>
  <c r="J218" i="5"/>
  <c r="AK200" i="6" s="1"/>
  <c r="AP200" i="6" s="1"/>
  <c r="AR200" i="6" s="1"/>
  <c r="T219" i="5"/>
  <c r="Q219" i="5"/>
  <c r="X217" i="5"/>
  <c r="AA217" i="5"/>
  <c r="AK199" i="6"/>
  <c r="AP199" i="6" s="1"/>
  <c r="C218" i="5"/>
  <c r="M200" i="6" s="1"/>
  <c r="R200" i="6" s="1"/>
  <c r="T200" i="6" s="1"/>
  <c r="U200" i="6" s="1"/>
  <c r="F218" i="5"/>
  <c r="V200" i="6" s="1"/>
  <c r="AN221" i="6"/>
  <c r="AS197" i="6"/>
  <c r="AW197" i="6" s="1"/>
  <c r="AX197" i="6" s="1"/>
  <c r="AY197" i="6" s="1"/>
  <c r="AS198" i="6"/>
  <c r="AW198" i="6" s="1"/>
  <c r="AX198" i="6" s="1"/>
  <c r="AY198" i="6" s="1"/>
  <c r="AT200" i="6"/>
  <c r="AJ220" i="6"/>
  <c r="AO220" i="6" s="1"/>
  <c r="AQ220" i="6" s="1"/>
  <c r="AM221" i="6"/>
  <c r="AD222" i="6"/>
  <c r="AN222" i="6" s="1"/>
  <c r="AL221" i="6"/>
  <c r="AI221" i="6"/>
  <c r="AG221" i="6"/>
  <c r="AH221" i="6" s="1"/>
  <c r="AF201" i="6"/>
  <c r="AE202" i="6"/>
  <c r="L219" i="6"/>
  <c r="Q219" i="6" s="1"/>
  <c r="S219" i="6" s="1"/>
  <c r="H219" i="6"/>
  <c r="K220" i="6"/>
  <c r="I220" i="6"/>
  <c r="J220" i="6" s="1"/>
  <c r="G220" i="6"/>
  <c r="F221" i="6"/>
  <c r="P221" i="6" s="1"/>
  <c r="N220" i="6"/>
  <c r="O220" i="6"/>
  <c r="W199" i="6"/>
  <c r="X199" i="6" s="1"/>
  <c r="AA196" i="6"/>
  <c r="U199" i="6"/>
  <c r="Y199" i="6" s="1"/>
  <c r="Z199" i="6" s="1"/>
  <c r="AA199" i="6" s="1"/>
  <c r="AA218" i="5" l="1"/>
  <c r="X218" i="5"/>
  <c r="T220" i="5"/>
  <c r="Q220" i="5"/>
  <c r="J219" i="5"/>
  <c r="M219" i="5"/>
  <c r="C219" i="5"/>
  <c r="M201" i="6" s="1"/>
  <c r="R201" i="6" s="1"/>
  <c r="T201" i="6" s="1"/>
  <c r="F219" i="5"/>
  <c r="V201" i="6" s="1"/>
  <c r="AR199" i="6"/>
  <c r="AU200" i="6"/>
  <c r="AV200" i="6" s="1"/>
  <c r="AJ221" i="6"/>
  <c r="AO221" i="6" s="1"/>
  <c r="AF202" i="6"/>
  <c r="AE203" i="6"/>
  <c r="AD223" i="6"/>
  <c r="AN223" i="6" s="1"/>
  <c r="AG222" i="6"/>
  <c r="AH222" i="6" s="1"/>
  <c r="AL222" i="6"/>
  <c r="AI222" i="6"/>
  <c r="AM222" i="6"/>
  <c r="L220" i="6"/>
  <c r="Q220" i="6" s="1"/>
  <c r="S220" i="6" s="1"/>
  <c r="O221" i="6"/>
  <c r="G221" i="6"/>
  <c r="K221" i="6"/>
  <c r="I221" i="6"/>
  <c r="J221" i="6" s="1"/>
  <c r="F222" i="6"/>
  <c r="P222" i="6" s="1"/>
  <c r="N221" i="6"/>
  <c r="H220" i="6"/>
  <c r="W200" i="6"/>
  <c r="X200" i="6" s="1"/>
  <c r="J220" i="5" l="1"/>
  <c r="AK202" i="6" s="1"/>
  <c r="AP202" i="6" s="1"/>
  <c r="AR202" i="6" s="1"/>
  <c r="M220" i="5"/>
  <c r="AT202" i="6" s="1"/>
  <c r="AU202" i="6" s="1"/>
  <c r="AV202" i="6" s="1"/>
  <c r="Q221" i="5"/>
  <c r="T221" i="5"/>
  <c r="AT201" i="6"/>
  <c r="AU201" i="6" s="1"/>
  <c r="AV201" i="6" s="1"/>
  <c r="AK201" i="6"/>
  <c r="AP201" i="6" s="1"/>
  <c r="X219" i="5"/>
  <c r="AA219" i="5"/>
  <c r="C220" i="5"/>
  <c r="M202" i="6" s="1"/>
  <c r="R202" i="6" s="1"/>
  <c r="T202" i="6" s="1"/>
  <c r="U202" i="6" s="1"/>
  <c r="F220" i="5"/>
  <c r="V202" i="6" s="1"/>
  <c r="AQ221" i="6"/>
  <c r="AS200" i="6"/>
  <c r="AW200" i="6" s="1"/>
  <c r="AX200" i="6" s="1"/>
  <c r="AY200" i="6" s="1"/>
  <c r="AS199" i="6"/>
  <c r="AW199" i="6" s="1"/>
  <c r="AX199" i="6" s="1"/>
  <c r="AY199" i="6" s="1"/>
  <c r="AJ222" i="6"/>
  <c r="AO222" i="6" s="1"/>
  <c r="AQ222" i="6" s="1"/>
  <c r="AD224" i="6"/>
  <c r="AM223" i="6"/>
  <c r="AL223" i="6"/>
  <c r="AI223" i="6"/>
  <c r="AG223" i="6"/>
  <c r="AH223" i="6" s="1"/>
  <c r="AF203" i="6"/>
  <c r="AE204" i="6"/>
  <c r="L221" i="6"/>
  <c r="Q221" i="6" s="1"/>
  <c r="S221" i="6" s="1"/>
  <c r="H221" i="6"/>
  <c r="O222" i="6"/>
  <c r="K222" i="6"/>
  <c r="F223" i="6"/>
  <c r="P223" i="6" s="1"/>
  <c r="G222" i="6"/>
  <c r="H222" i="6" s="1"/>
  <c r="I222" i="6"/>
  <c r="J222" i="6" s="1"/>
  <c r="N222" i="6"/>
  <c r="W201" i="6"/>
  <c r="X201" i="6" s="1"/>
  <c r="Y200" i="6"/>
  <c r="Z200" i="6" s="1"/>
  <c r="AA200" i="6" s="1"/>
  <c r="U201" i="6"/>
  <c r="Y201" i="6" s="1"/>
  <c r="Z201" i="6" s="1"/>
  <c r="AA201" i="6" s="1"/>
  <c r="AA220" i="5" l="1"/>
  <c r="X220" i="5"/>
  <c r="Q222" i="5"/>
  <c r="T222" i="5"/>
  <c r="J221" i="5"/>
  <c r="AK203" i="6" s="1"/>
  <c r="AP203" i="6" s="1"/>
  <c r="AR203" i="6" s="1"/>
  <c r="M221" i="5"/>
  <c r="C221" i="5"/>
  <c r="M203" i="6" s="1"/>
  <c r="R203" i="6" s="1"/>
  <c r="T203" i="6" s="1"/>
  <c r="F221" i="5"/>
  <c r="V203" i="6" s="1"/>
  <c r="AN224" i="6"/>
  <c r="AR201" i="6"/>
  <c r="AJ223" i="6"/>
  <c r="AO223" i="6" s="1"/>
  <c r="AF204" i="6"/>
  <c r="AE205" i="6"/>
  <c r="AD225" i="6"/>
  <c r="AN225" i="6" s="1"/>
  <c r="AI224" i="6"/>
  <c r="AL224" i="6"/>
  <c r="AG224" i="6"/>
  <c r="AH224" i="6" s="1"/>
  <c r="AM224" i="6"/>
  <c r="L222" i="6"/>
  <c r="Q222" i="6" s="1"/>
  <c r="S222" i="6" s="1"/>
  <c r="I223" i="6"/>
  <c r="J223" i="6" s="1"/>
  <c r="G223" i="6"/>
  <c r="F224" i="6"/>
  <c r="P224" i="6" s="1"/>
  <c r="N223" i="6"/>
  <c r="O223" i="6"/>
  <c r="K223" i="6"/>
  <c r="W202" i="6"/>
  <c r="X202" i="6" s="1"/>
  <c r="Y202" i="6"/>
  <c r="Z202" i="6" s="1"/>
  <c r="AA202" i="6" s="1"/>
  <c r="M222" i="5" l="1"/>
  <c r="J222" i="5"/>
  <c r="AK204" i="6" s="1"/>
  <c r="AP204" i="6" s="1"/>
  <c r="AR204" i="6" s="1"/>
  <c r="AS204" i="6" s="1"/>
  <c r="T223" i="5"/>
  <c r="Q223" i="5"/>
  <c r="AT203" i="6"/>
  <c r="AU203" i="6" s="1"/>
  <c r="AV203" i="6" s="1"/>
  <c r="AA221" i="5"/>
  <c r="X221" i="5"/>
  <c r="C222" i="5"/>
  <c r="M204" i="6" s="1"/>
  <c r="R204" i="6" s="1"/>
  <c r="T204" i="6" s="1"/>
  <c r="U204" i="6" s="1"/>
  <c r="F222" i="5"/>
  <c r="V204" i="6" s="1"/>
  <c r="AS202" i="6"/>
  <c r="AW202" i="6" s="1"/>
  <c r="AX202" i="6" s="1"/>
  <c r="AY202" i="6" s="1"/>
  <c r="AS201" i="6"/>
  <c r="AW201" i="6" s="1"/>
  <c r="AX201" i="6" s="1"/>
  <c r="AY201" i="6" s="1"/>
  <c r="AQ223" i="6"/>
  <c r="AS203" i="6"/>
  <c r="AT204" i="6"/>
  <c r="AU204" i="6" s="1"/>
  <c r="AV204" i="6" s="1"/>
  <c r="AJ224" i="6"/>
  <c r="AO224" i="6" s="1"/>
  <c r="AQ224" i="6" s="1"/>
  <c r="AM225" i="6"/>
  <c r="AD226" i="6"/>
  <c r="AG225" i="6"/>
  <c r="AH225" i="6" s="1"/>
  <c r="AL225" i="6"/>
  <c r="AI225" i="6"/>
  <c r="AF205" i="6"/>
  <c r="AE206" i="6"/>
  <c r="O224" i="6"/>
  <c r="N224" i="6"/>
  <c r="K224" i="6"/>
  <c r="G224" i="6"/>
  <c r="F225" i="6"/>
  <c r="P225" i="6" s="1"/>
  <c r="I224" i="6"/>
  <c r="J224" i="6" s="1"/>
  <c r="H223" i="6"/>
  <c r="L223" i="6"/>
  <c r="Q223" i="6" s="1"/>
  <c r="S223" i="6" s="1"/>
  <c r="W203" i="6"/>
  <c r="X203" i="6" s="1"/>
  <c r="U203" i="6"/>
  <c r="Y203" i="6" s="1"/>
  <c r="Z203" i="6" s="1"/>
  <c r="AA203" i="6" s="1"/>
  <c r="AW203" i="6" l="1"/>
  <c r="AX203" i="6" s="1"/>
  <c r="AY203" i="6" s="1"/>
  <c r="X222" i="5"/>
  <c r="AA222" i="5"/>
  <c r="T224" i="5"/>
  <c r="Q224" i="5"/>
  <c r="J223" i="5"/>
  <c r="AK205" i="6" s="1"/>
  <c r="AP205" i="6" s="1"/>
  <c r="AR205" i="6" s="1"/>
  <c r="AS205" i="6" s="1"/>
  <c r="M223" i="5"/>
  <c r="C223" i="5"/>
  <c r="M205" i="6" s="1"/>
  <c r="R205" i="6" s="1"/>
  <c r="T205" i="6" s="1"/>
  <c r="F223" i="5"/>
  <c r="V205" i="6" s="1"/>
  <c r="AN226" i="6"/>
  <c r="AW204" i="6"/>
  <c r="AX204" i="6" s="1"/>
  <c r="AY204" i="6" s="1"/>
  <c r="AT205" i="6"/>
  <c r="AU205" i="6" s="1"/>
  <c r="AV205" i="6" s="1"/>
  <c r="AF206" i="6"/>
  <c r="AE207" i="6"/>
  <c r="AJ225" i="6"/>
  <c r="AO225" i="6" s="1"/>
  <c r="AI226" i="6"/>
  <c r="AG226" i="6"/>
  <c r="AH226" i="6" s="1"/>
  <c r="AL226" i="6"/>
  <c r="AM226" i="6"/>
  <c r="AD227" i="6"/>
  <c r="AN227" i="6" s="1"/>
  <c r="L224" i="6"/>
  <c r="Q224" i="6" s="1"/>
  <c r="S224" i="6" s="1"/>
  <c r="I225" i="6"/>
  <c r="J225" i="6" s="1"/>
  <c r="G225" i="6"/>
  <c r="N225" i="6"/>
  <c r="F226" i="6"/>
  <c r="P226" i="6" s="1"/>
  <c r="O225" i="6"/>
  <c r="K225" i="6"/>
  <c r="H224" i="6"/>
  <c r="W204" i="6"/>
  <c r="X204" i="6" s="1"/>
  <c r="Y204" i="6"/>
  <c r="Z204" i="6" s="1"/>
  <c r="AA204" i="6" s="1"/>
  <c r="J224" i="5" l="1"/>
  <c r="AK206" i="6" s="1"/>
  <c r="AP206" i="6" s="1"/>
  <c r="AR206" i="6" s="1"/>
  <c r="AS206" i="6" s="1"/>
  <c r="M224" i="5"/>
  <c r="Q225" i="5"/>
  <c r="T225" i="5"/>
  <c r="AA223" i="5"/>
  <c r="X223" i="5"/>
  <c r="C224" i="5"/>
  <c r="M206" i="6" s="1"/>
  <c r="R206" i="6" s="1"/>
  <c r="T206" i="6" s="1"/>
  <c r="F224" i="5"/>
  <c r="V206" i="6" s="1"/>
  <c r="AW205" i="6"/>
  <c r="AX205" i="6" s="1"/>
  <c r="AY205" i="6" s="1"/>
  <c r="AQ225" i="6"/>
  <c r="AT206" i="6"/>
  <c r="AJ226" i="6"/>
  <c r="AO226" i="6" s="1"/>
  <c r="AQ226" i="6" s="1"/>
  <c r="AD228" i="6"/>
  <c r="AI227" i="6"/>
  <c r="AL227" i="6"/>
  <c r="AM227" i="6"/>
  <c r="AG227" i="6"/>
  <c r="AH227" i="6" s="1"/>
  <c r="AF207" i="6"/>
  <c r="AE208" i="6"/>
  <c r="F227" i="6"/>
  <c r="P227" i="6" s="1"/>
  <c r="G226" i="6"/>
  <c r="K226" i="6"/>
  <c r="I226" i="6"/>
  <c r="J226" i="6" s="1"/>
  <c r="O226" i="6"/>
  <c r="N226" i="6"/>
  <c r="H225" i="6"/>
  <c r="L225" i="6"/>
  <c r="Q225" i="6" s="1"/>
  <c r="S225" i="6" s="1"/>
  <c r="U205" i="6"/>
  <c r="W205" i="6"/>
  <c r="X205" i="6" s="1"/>
  <c r="AW206" i="6" l="1"/>
  <c r="AX206" i="6" s="1"/>
  <c r="AY206" i="6" s="1"/>
  <c r="AA224" i="5"/>
  <c r="X224" i="5"/>
  <c r="Q226" i="5"/>
  <c r="T226" i="5"/>
  <c r="M225" i="5"/>
  <c r="J225" i="5"/>
  <c r="AK207" i="6" s="1"/>
  <c r="AP207" i="6" s="1"/>
  <c r="AR207" i="6" s="1"/>
  <c r="AS207" i="6" s="1"/>
  <c r="C225" i="5"/>
  <c r="M207" i="6" s="1"/>
  <c r="R207" i="6" s="1"/>
  <c r="T207" i="6" s="1"/>
  <c r="U207" i="6" s="1"/>
  <c r="F225" i="5"/>
  <c r="V207" i="6" s="1"/>
  <c r="AU206" i="6"/>
  <c r="AV206" i="6" s="1"/>
  <c r="AN228" i="6"/>
  <c r="AJ227" i="6"/>
  <c r="AO227" i="6" s="1"/>
  <c r="AQ227" i="6" s="1"/>
  <c r="AF208" i="6"/>
  <c r="AE209" i="6"/>
  <c r="AD229" i="6"/>
  <c r="AN229" i="6" s="1"/>
  <c r="AM228" i="6"/>
  <c r="AG228" i="6"/>
  <c r="AH228" i="6" s="1"/>
  <c r="AL228" i="6"/>
  <c r="AI228" i="6"/>
  <c r="L226" i="6"/>
  <c r="Q226" i="6" s="1"/>
  <c r="S226" i="6" s="1"/>
  <c r="H226" i="6"/>
  <c r="N227" i="6"/>
  <c r="K227" i="6"/>
  <c r="I227" i="6"/>
  <c r="J227" i="6" s="1"/>
  <c r="O227" i="6"/>
  <c r="F228" i="6"/>
  <c r="P228" i="6" s="1"/>
  <c r="G227" i="6"/>
  <c r="W206" i="6"/>
  <c r="X206" i="6" s="1"/>
  <c r="Y205" i="6"/>
  <c r="Z205" i="6" s="1"/>
  <c r="AA205" i="6" s="1"/>
  <c r="U206" i="6"/>
  <c r="Y206" i="6" s="1"/>
  <c r="Z206" i="6" s="1"/>
  <c r="AA206" i="6" s="1"/>
  <c r="M226" i="5" l="1"/>
  <c r="AT208" i="6" s="1"/>
  <c r="J226" i="5"/>
  <c r="AK208" i="6" s="1"/>
  <c r="AP208" i="6" s="1"/>
  <c r="AR208" i="6" s="1"/>
  <c r="AS208" i="6" s="1"/>
  <c r="T227" i="5"/>
  <c r="Q227" i="5"/>
  <c r="AT207" i="6"/>
  <c r="AW207" i="6" s="1"/>
  <c r="AX207" i="6" s="1"/>
  <c r="AY207" i="6" s="1"/>
  <c r="AA225" i="5"/>
  <c r="X225" i="5"/>
  <c r="C226" i="5"/>
  <c r="M208" i="6" s="1"/>
  <c r="R208" i="6" s="1"/>
  <c r="T208" i="6" s="1"/>
  <c r="F226" i="5"/>
  <c r="V208" i="6" s="1"/>
  <c r="AJ228" i="6"/>
  <c r="AO228" i="6" s="1"/>
  <c r="AQ228" i="6" s="1"/>
  <c r="AM229" i="6"/>
  <c r="AI229" i="6"/>
  <c r="AD230" i="6"/>
  <c r="AL229" i="6"/>
  <c r="AG229" i="6"/>
  <c r="AH229" i="6" s="1"/>
  <c r="AF209" i="6"/>
  <c r="AE210" i="6"/>
  <c r="L227" i="6"/>
  <c r="Q227" i="6" s="1"/>
  <c r="S227" i="6" s="1"/>
  <c r="H227" i="6"/>
  <c r="N228" i="6"/>
  <c r="G228" i="6"/>
  <c r="O228" i="6"/>
  <c r="I228" i="6"/>
  <c r="J228" i="6" s="1"/>
  <c r="K228" i="6"/>
  <c r="F229" i="6"/>
  <c r="P229" i="6" s="1"/>
  <c r="W207" i="6"/>
  <c r="X207" i="6" s="1"/>
  <c r="AU207" i="6" l="1"/>
  <c r="AV207" i="6" s="1"/>
  <c r="AA226" i="5"/>
  <c r="X226" i="5"/>
  <c r="T228" i="5"/>
  <c r="Q228" i="5"/>
  <c r="J227" i="5"/>
  <c r="M227" i="5"/>
  <c r="AT209" i="6" s="1"/>
  <c r="AU209" i="6" s="1"/>
  <c r="AV209" i="6" s="1"/>
  <c r="C227" i="5"/>
  <c r="F227" i="5"/>
  <c r="V209" i="6" s="1"/>
  <c r="AN230" i="6"/>
  <c r="AW208" i="6"/>
  <c r="AT21" i="12"/>
  <c r="AU208" i="6"/>
  <c r="AJ229" i="6"/>
  <c r="AO229" i="6" s="1"/>
  <c r="AQ229" i="6" s="1"/>
  <c r="AF210" i="6"/>
  <c r="AE211" i="6"/>
  <c r="AD231" i="6"/>
  <c r="AN231" i="6" s="1"/>
  <c r="AI230" i="6"/>
  <c r="AG230" i="6"/>
  <c r="AH230" i="6" s="1"/>
  <c r="AM230" i="6"/>
  <c r="AL230" i="6"/>
  <c r="L228" i="6"/>
  <c r="Q228" i="6" s="1"/>
  <c r="S228" i="6" s="1"/>
  <c r="H228" i="6"/>
  <c r="N229" i="6"/>
  <c r="I229" i="6"/>
  <c r="J229" i="6" s="1"/>
  <c r="F230" i="6"/>
  <c r="P230" i="6" s="1"/>
  <c r="O229" i="6"/>
  <c r="K229" i="6"/>
  <c r="G229" i="6"/>
  <c r="Y207" i="6"/>
  <c r="Z207" i="6" s="1"/>
  <c r="AA207" i="6" s="1"/>
  <c r="U208" i="6"/>
  <c r="Y208" i="6" s="1"/>
  <c r="M228" i="5" l="1"/>
  <c r="AT210" i="6" s="1"/>
  <c r="AU210" i="6" s="1"/>
  <c r="AV210" i="6" s="1"/>
  <c r="J228" i="5"/>
  <c r="AK210" i="6" s="1"/>
  <c r="AP210" i="6" s="1"/>
  <c r="AR210" i="6" s="1"/>
  <c r="Q229" i="5"/>
  <c r="T229" i="5"/>
  <c r="AK209" i="6"/>
  <c r="AA227" i="5"/>
  <c r="X227" i="5"/>
  <c r="C228" i="5"/>
  <c r="F228" i="5"/>
  <c r="V210" i="6" s="1"/>
  <c r="AV208" i="6"/>
  <c r="AV21" i="12" s="1"/>
  <c r="AU21" i="12"/>
  <c r="AP209" i="6"/>
  <c r="AX208" i="6"/>
  <c r="AW21" i="12"/>
  <c r="M209" i="6"/>
  <c r="R209" i="6" s="1"/>
  <c r="T209" i="6" s="1"/>
  <c r="AJ230" i="6"/>
  <c r="AO230" i="6" s="1"/>
  <c r="AQ230" i="6" s="1"/>
  <c r="AG231" i="6"/>
  <c r="AH231" i="6" s="1"/>
  <c r="AD232" i="6"/>
  <c r="AN232" i="6" s="1"/>
  <c r="AI231" i="6"/>
  <c r="AM231" i="6"/>
  <c r="AL231" i="6"/>
  <c r="AF211" i="6"/>
  <c r="AE212" i="6"/>
  <c r="G230" i="6"/>
  <c r="N230" i="6"/>
  <c r="I230" i="6"/>
  <c r="J230" i="6" s="1"/>
  <c r="O230" i="6"/>
  <c r="K230" i="6"/>
  <c r="F231" i="6"/>
  <c r="P231" i="6" s="1"/>
  <c r="L229" i="6"/>
  <c r="Q229" i="6" s="1"/>
  <c r="S229" i="6" s="1"/>
  <c r="H229" i="6"/>
  <c r="Z208" i="6"/>
  <c r="W209" i="6"/>
  <c r="X209" i="6" s="1"/>
  <c r="W208" i="6"/>
  <c r="X228" i="5" l="1"/>
  <c r="AA228" i="5"/>
  <c r="M210" i="6"/>
  <c r="R210" i="6" s="1"/>
  <c r="T210" i="6" s="1"/>
  <c r="U210" i="6" s="1"/>
  <c r="Q230" i="5"/>
  <c r="T230" i="5"/>
  <c r="M229" i="5"/>
  <c r="AT211" i="6" s="1"/>
  <c r="AU211" i="6" s="1"/>
  <c r="AV211" i="6" s="1"/>
  <c r="J229" i="5"/>
  <c r="C229" i="5"/>
  <c r="F229" i="5"/>
  <c r="V211" i="6" s="1"/>
  <c r="AY208" i="6"/>
  <c r="AY21" i="12" s="1"/>
  <c r="AX21" i="12"/>
  <c r="AR209" i="6"/>
  <c r="U209" i="6"/>
  <c r="Y209" i="6" s="1"/>
  <c r="Z209" i="6" s="1"/>
  <c r="AA209" i="6" s="1"/>
  <c r="AJ231" i="6"/>
  <c r="AO231" i="6" s="1"/>
  <c r="AQ231" i="6" s="1"/>
  <c r="AF212" i="6"/>
  <c r="AE213" i="6"/>
  <c r="AG232" i="6"/>
  <c r="AH232" i="6" s="1"/>
  <c r="AD233" i="6"/>
  <c r="AN233" i="6" s="1"/>
  <c r="AI232" i="6"/>
  <c r="AM232" i="6"/>
  <c r="AL232" i="6"/>
  <c r="K231" i="6"/>
  <c r="I231" i="6"/>
  <c r="J231" i="6" s="1"/>
  <c r="F232" i="6"/>
  <c r="P232" i="6" s="1"/>
  <c r="G231" i="6"/>
  <c r="N231" i="6"/>
  <c r="O231" i="6"/>
  <c r="H230" i="6"/>
  <c r="L230" i="6"/>
  <c r="Q230" i="6" s="1"/>
  <c r="S230" i="6" s="1"/>
  <c r="X208" i="6"/>
  <c r="W210" i="6"/>
  <c r="X210" i="6" s="1"/>
  <c r="AA208" i="6"/>
  <c r="M230" i="5" l="1"/>
  <c r="J230" i="5"/>
  <c r="AK212" i="6" s="1"/>
  <c r="AP212" i="6" s="1"/>
  <c r="AR212" i="6" s="1"/>
  <c r="T231" i="5"/>
  <c r="Q231" i="5"/>
  <c r="AK211" i="6"/>
  <c r="AA229" i="5"/>
  <c r="X229" i="5"/>
  <c r="C230" i="5"/>
  <c r="M212" i="6" s="1"/>
  <c r="R212" i="6" s="1"/>
  <c r="T212" i="6" s="1"/>
  <c r="F230" i="5"/>
  <c r="V212" i="6" s="1"/>
  <c r="AP211" i="6"/>
  <c r="AS210" i="6"/>
  <c r="AW210" i="6" s="1"/>
  <c r="AX210" i="6" s="1"/>
  <c r="AY210" i="6" s="1"/>
  <c r="AS209" i="6"/>
  <c r="AW209" i="6" s="1"/>
  <c r="AX209" i="6" s="1"/>
  <c r="AY209" i="6" s="1"/>
  <c r="M211" i="6"/>
  <c r="R211" i="6" s="1"/>
  <c r="T211" i="6" s="1"/>
  <c r="U211" i="6" s="1"/>
  <c r="Y211" i="6" s="1"/>
  <c r="Z211" i="6" s="1"/>
  <c r="AA211" i="6" s="1"/>
  <c r="AT212" i="6"/>
  <c r="AU212" i="6" s="1"/>
  <c r="AV212" i="6" s="1"/>
  <c r="AJ232" i="6"/>
  <c r="AO232" i="6" s="1"/>
  <c r="AQ232" i="6" s="1"/>
  <c r="AD234" i="6"/>
  <c r="AN234" i="6" s="1"/>
  <c r="AG233" i="6"/>
  <c r="AH233" i="6" s="1"/>
  <c r="AM233" i="6"/>
  <c r="AI233" i="6"/>
  <c r="AL233" i="6"/>
  <c r="AF213" i="6"/>
  <c r="AE214" i="6"/>
  <c r="L231" i="6"/>
  <c r="Q231" i="6" s="1"/>
  <c r="S231" i="6" s="1"/>
  <c r="H231" i="6"/>
  <c r="I232" i="6"/>
  <c r="J232" i="6" s="1"/>
  <c r="N232" i="6"/>
  <c r="F233" i="6"/>
  <c r="P233" i="6" s="1"/>
  <c r="O232" i="6"/>
  <c r="K232" i="6"/>
  <c r="G232" i="6"/>
  <c r="H232" i="6" s="1"/>
  <c r="W211" i="6"/>
  <c r="X211" i="6" s="1"/>
  <c r="Y210" i="6"/>
  <c r="Z210" i="6" s="1"/>
  <c r="AA210" i="6" s="1"/>
  <c r="AA230" i="5" l="1"/>
  <c r="X230" i="5"/>
  <c r="Q232" i="5"/>
  <c r="T232" i="5"/>
  <c r="M231" i="5"/>
  <c r="J231" i="5"/>
  <c r="C231" i="5"/>
  <c r="M213" i="6" s="1"/>
  <c r="R213" i="6" s="1"/>
  <c r="T213" i="6" s="1"/>
  <c r="F231" i="5"/>
  <c r="V213" i="6" s="1"/>
  <c r="AR211" i="6"/>
  <c r="AS211" i="6" s="1"/>
  <c r="AW211" i="6" s="1"/>
  <c r="AX211" i="6" s="1"/>
  <c r="AY211" i="6" s="1"/>
  <c r="AT213" i="6"/>
  <c r="AU213" i="6" s="1"/>
  <c r="AV213" i="6" s="1"/>
  <c r="AJ233" i="6"/>
  <c r="AO233" i="6" s="1"/>
  <c r="AF214" i="6"/>
  <c r="AE215" i="6"/>
  <c r="AD235" i="6"/>
  <c r="AN235" i="6" s="1"/>
  <c r="AM234" i="6"/>
  <c r="AG234" i="6"/>
  <c r="AH234" i="6" s="1"/>
  <c r="AL234" i="6"/>
  <c r="AI234" i="6"/>
  <c r="L232" i="6"/>
  <c r="Q232" i="6" s="1"/>
  <c r="S232" i="6" s="1"/>
  <c r="F234" i="6"/>
  <c r="P234" i="6" s="1"/>
  <c r="I233" i="6"/>
  <c r="J233" i="6" s="1"/>
  <c r="N233" i="6"/>
  <c r="K233" i="6"/>
  <c r="O233" i="6"/>
  <c r="G233" i="6"/>
  <c r="H233" i="6" s="1"/>
  <c r="U212" i="6"/>
  <c r="W212" i="6"/>
  <c r="X212" i="6" s="1"/>
  <c r="AK213" i="6" l="1"/>
  <c r="AP213" i="6" s="1"/>
  <c r="AR213" i="6" s="1"/>
  <c r="AS213" i="6" s="1"/>
  <c r="AW213" i="6" s="1"/>
  <c r="AX213" i="6" s="1"/>
  <c r="AY213" i="6" s="1"/>
  <c r="J232" i="5"/>
  <c r="AK214" i="6" s="1"/>
  <c r="AP214" i="6" s="1"/>
  <c r="M232" i="5"/>
  <c r="T233" i="5"/>
  <c r="Q233" i="5"/>
  <c r="AS212" i="6"/>
  <c r="AW212" i="6" s="1"/>
  <c r="AX212" i="6" s="1"/>
  <c r="AY212" i="6" s="1"/>
  <c r="X231" i="5"/>
  <c r="AA231" i="5"/>
  <c r="C232" i="5"/>
  <c r="M214" i="6" s="1"/>
  <c r="R214" i="6" s="1"/>
  <c r="T214" i="6" s="1"/>
  <c r="U214" i="6" s="1"/>
  <c r="F232" i="5"/>
  <c r="V214" i="6" s="1"/>
  <c r="AH36" i="12"/>
  <c r="AH37" i="12"/>
  <c r="AH38" i="12"/>
  <c r="AH39" i="12"/>
  <c r="AH40" i="12"/>
  <c r="AH41" i="12"/>
  <c r="AH42" i="12"/>
  <c r="AH43" i="12"/>
  <c r="AH44" i="12"/>
  <c r="AH45" i="12"/>
  <c r="AH46" i="12"/>
  <c r="AH47" i="12"/>
  <c r="AH48" i="12"/>
  <c r="AH49" i="12"/>
  <c r="AH50" i="12"/>
  <c r="AH51" i="12"/>
  <c r="AH52" i="12"/>
  <c r="AH53" i="12"/>
  <c r="AH54" i="12"/>
  <c r="AI36" i="12"/>
  <c r="AI37" i="12"/>
  <c r="AI38" i="12"/>
  <c r="AI39" i="12"/>
  <c r="AI40" i="12"/>
  <c r="AI41" i="12"/>
  <c r="AI42" i="12"/>
  <c r="AI43" i="12"/>
  <c r="AI44" i="12"/>
  <c r="AI45" i="12"/>
  <c r="AI46" i="12"/>
  <c r="AI47" i="12"/>
  <c r="AI48" i="12"/>
  <c r="AI49" i="12"/>
  <c r="AI50" i="12"/>
  <c r="AI51" i="12"/>
  <c r="AI52" i="12"/>
  <c r="AI53" i="12"/>
  <c r="AI54" i="12"/>
  <c r="AQ233" i="6"/>
  <c r="AM36" i="12"/>
  <c r="AM37" i="12"/>
  <c r="AM38" i="12"/>
  <c r="AM39" i="12"/>
  <c r="AM40" i="12"/>
  <c r="AM41" i="12"/>
  <c r="AM42" i="12"/>
  <c r="AM43" i="12"/>
  <c r="AM44" i="12"/>
  <c r="AM45" i="12"/>
  <c r="AM46" i="12"/>
  <c r="AM47" i="12"/>
  <c r="AM48" i="12"/>
  <c r="AM49" i="12"/>
  <c r="AM50" i="12"/>
  <c r="AM51" i="12"/>
  <c r="AM52" i="12"/>
  <c r="AM53" i="12"/>
  <c r="AM54" i="12"/>
  <c r="AT214" i="6"/>
  <c r="AU214" i="6" s="1"/>
  <c r="AV214" i="6" s="1"/>
  <c r="AJ234" i="6"/>
  <c r="AO234" i="6" s="1"/>
  <c r="AQ234" i="6" s="1"/>
  <c r="AL235" i="6"/>
  <c r="AD236" i="6"/>
  <c r="AN236" i="6" s="1"/>
  <c r="AG235" i="6"/>
  <c r="AH235" i="6" s="1"/>
  <c r="AM235" i="6"/>
  <c r="AI235" i="6"/>
  <c r="AF215" i="6"/>
  <c r="AE216" i="6"/>
  <c r="L233" i="6"/>
  <c r="Q233" i="6" s="1"/>
  <c r="S233" i="6" s="1"/>
  <c r="O234" i="6"/>
  <c r="G234" i="6"/>
  <c r="N234" i="6"/>
  <c r="K234" i="6"/>
  <c r="F235" i="6"/>
  <c r="P235" i="6" s="1"/>
  <c r="I234" i="6"/>
  <c r="J234" i="6" s="1"/>
  <c r="Y212" i="6"/>
  <c r="Z212" i="6" s="1"/>
  <c r="AA212" i="6" s="1"/>
  <c r="U213" i="6"/>
  <c r="W213" i="6"/>
  <c r="X213" i="6" s="1"/>
  <c r="AA232" i="5" l="1"/>
  <c r="X232" i="5"/>
  <c r="T234" i="5"/>
  <c r="Q234" i="5"/>
  <c r="M233" i="5"/>
  <c r="J233" i="5"/>
  <c r="AK215" i="6" s="1"/>
  <c r="AP215" i="6" s="1"/>
  <c r="AR215" i="6" s="1"/>
  <c r="C233" i="5"/>
  <c r="M215" i="6" s="1"/>
  <c r="R215" i="6" s="1"/>
  <c r="T215" i="6" s="1"/>
  <c r="F233" i="5"/>
  <c r="V215" i="6" s="1"/>
  <c r="AJ53" i="12"/>
  <c r="AJ49" i="12"/>
  <c r="AJ45" i="12"/>
  <c r="AJ41" i="12"/>
  <c r="AJ37" i="12"/>
  <c r="AO37" i="12"/>
  <c r="AQ37" i="12" s="1"/>
  <c r="AO38" i="12"/>
  <c r="AQ38" i="12" s="1"/>
  <c r="AO39" i="12"/>
  <c r="AQ39" i="12" s="1"/>
  <c r="AO40" i="12"/>
  <c r="AQ40" i="12" s="1"/>
  <c r="AO41" i="12"/>
  <c r="AQ41" i="12" s="1"/>
  <c r="AO42" i="12"/>
  <c r="AQ42" i="12" s="1"/>
  <c r="AO43" i="12"/>
  <c r="AQ43" i="12" s="1"/>
  <c r="AO44" i="12"/>
  <c r="AQ44" i="12" s="1"/>
  <c r="AO45" i="12"/>
  <c r="AQ45" i="12" s="1"/>
  <c r="AO46" i="12"/>
  <c r="AQ46" i="12" s="1"/>
  <c r="AO47" i="12"/>
  <c r="AQ47" i="12" s="1"/>
  <c r="AO48" i="12"/>
  <c r="AQ48" i="12" s="1"/>
  <c r="AO49" i="12"/>
  <c r="AQ49" i="12" s="1"/>
  <c r="AO50" i="12"/>
  <c r="AQ50" i="12" s="1"/>
  <c r="AO51" i="12"/>
  <c r="AQ51" i="12" s="1"/>
  <c r="AO52" i="12"/>
  <c r="AQ52" i="12" s="1"/>
  <c r="AO53" i="12"/>
  <c r="AQ53" i="12" s="1"/>
  <c r="AO54" i="12"/>
  <c r="AQ54" i="12" s="1"/>
  <c r="AJ52" i="12"/>
  <c r="AJ48" i="12"/>
  <c r="AJ44" i="12"/>
  <c r="AJ40" i="12"/>
  <c r="AJ36" i="12"/>
  <c r="AJ51" i="12"/>
  <c r="AJ47" i="12"/>
  <c r="AJ43" i="12"/>
  <c r="AJ39" i="12"/>
  <c r="AR214" i="6"/>
  <c r="AS214" i="6" s="1"/>
  <c r="AW214" i="6" s="1"/>
  <c r="AX214" i="6" s="1"/>
  <c r="AY214" i="6" s="1"/>
  <c r="AJ54" i="12"/>
  <c r="AJ50" i="12"/>
  <c r="AJ46" i="12"/>
  <c r="AJ42" i="12"/>
  <c r="AJ38" i="12"/>
  <c r="AT215" i="6"/>
  <c r="AU215" i="6" s="1"/>
  <c r="AV215" i="6" s="1"/>
  <c r="AF216" i="6"/>
  <c r="AE217" i="6"/>
  <c r="AJ235" i="6"/>
  <c r="AO235" i="6" s="1"/>
  <c r="AQ235" i="6" s="1"/>
  <c r="AD237" i="6"/>
  <c r="AM236" i="6"/>
  <c r="AL236" i="6"/>
  <c r="AG236" i="6"/>
  <c r="AH236" i="6" s="1"/>
  <c r="AI236" i="6"/>
  <c r="L234" i="6"/>
  <c r="Q234" i="6" s="1"/>
  <c r="S234" i="6" s="1"/>
  <c r="H234" i="6"/>
  <c r="F236" i="6"/>
  <c r="P236" i="6" s="1"/>
  <c r="I235" i="6"/>
  <c r="J235" i="6" s="1"/>
  <c r="K235" i="6"/>
  <c r="O235" i="6"/>
  <c r="N235" i="6"/>
  <c r="G235" i="6"/>
  <c r="Y213" i="6"/>
  <c r="Z213" i="6" s="1"/>
  <c r="AA213" i="6" s="1"/>
  <c r="W214" i="6"/>
  <c r="X214" i="6" s="1"/>
  <c r="M234" i="5" l="1"/>
  <c r="J234" i="5"/>
  <c r="AK216" i="6" s="1"/>
  <c r="AP216" i="6" s="1"/>
  <c r="AR216" i="6" s="1"/>
  <c r="AS216" i="6" s="1"/>
  <c r="AS215" i="6"/>
  <c r="AW215" i="6" s="1"/>
  <c r="AX215" i="6" s="1"/>
  <c r="AY215" i="6" s="1"/>
  <c r="Q235" i="5"/>
  <c r="T235" i="5"/>
  <c r="X233" i="5"/>
  <c r="AA233" i="5"/>
  <c r="C234" i="5"/>
  <c r="M216" i="6" s="1"/>
  <c r="R216" i="6" s="1"/>
  <c r="T216" i="6" s="1"/>
  <c r="F234" i="5"/>
  <c r="V216" i="6" s="1"/>
  <c r="AN237" i="6"/>
  <c r="AT216" i="6"/>
  <c r="L235" i="6"/>
  <c r="Q235" i="6" s="1"/>
  <c r="S235" i="6" s="1"/>
  <c r="AJ236" i="6"/>
  <c r="AO236" i="6" s="1"/>
  <c r="AG237" i="6"/>
  <c r="AH237" i="6" s="1"/>
  <c r="AM237" i="6"/>
  <c r="AI237" i="6"/>
  <c r="AL237" i="6"/>
  <c r="AD238" i="6"/>
  <c r="AF217" i="6"/>
  <c r="AE218" i="6"/>
  <c r="H235" i="6"/>
  <c r="F237" i="6"/>
  <c r="P237" i="6" s="1"/>
  <c r="O236" i="6"/>
  <c r="N236" i="6"/>
  <c r="G236" i="6"/>
  <c r="K236" i="6"/>
  <c r="I236" i="6"/>
  <c r="J236" i="6" s="1"/>
  <c r="W215" i="6"/>
  <c r="X215" i="6" s="1"/>
  <c r="U215" i="6"/>
  <c r="Y215" i="6" s="1"/>
  <c r="Z215" i="6" s="1"/>
  <c r="AA215" i="6" s="1"/>
  <c r="Y214" i="6"/>
  <c r="Z214" i="6" s="1"/>
  <c r="AA214" i="6" s="1"/>
  <c r="X234" i="5" l="1"/>
  <c r="AA234" i="5"/>
  <c r="T236" i="5"/>
  <c r="Q236" i="5"/>
  <c r="J235" i="5"/>
  <c r="AK217" i="6" s="1"/>
  <c r="AP217" i="6" s="1"/>
  <c r="AR217" i="6" s="1"/>
  <c r="AS217" i="6" s="1"/>
  <c r="M235" i="5"/>
  <c r="AT217" i="6" s="1"/>
  <c r="AU217" i="6" s="1"/>
  <c r="AV217" i="6" s="1"/>
  <c r="F235" i="5"/>
  <c r="V217" i="6" s="1"/>
  <c r="C235" i="5"/>
  <c r="M217" i="6" s="1"/>
  <c r="R217" i="6" s="1"/>
  <c r="T217" i="6" s="1"/>
  <c r="AN238" i="6"/>
  <c r="AW216" i="6"/>
  <c r="AX216" i="6" s="1"/>
  <c r="AY216" i="6" s="1"/>
  <c r="AQ236" i="6"/>
  <c r="AU216" i="6"/>
  <c r="AV216" i="6" s="1"/>
  <c r="AF218" i="6"/>
  <c r="AE219" i="6"/>
  <c r="AD239" i="6"/>
  <c r="AG238" i="6"/>
  <c r="AH238" i="6" s="1"/>
  <c r="AI238" i="6"/>
  <c r="AM238" i="6"/>
  <c r="AL238" i="6"/>
  <c r="AJ237" i="6"/>
  <c r="AO237" i="6" s="1"/>
  <c r="AQ237" i="6" s="1"/>
  <c r="L236" i="6"/>
  <c r="Q236" i="6" s="1"/>
  <c r="S236" i="6" s="1"/>
  <c r="F238" i="6"/>
  <c r="P238" i="6" s="1"/>
  <c r="G237" i="6"/>
  <c r="N237" i="6"/>
  <c r="K237" i="6"/>
  <c r="O237" i="6"/>
  <c r="I237" i="6"/>
  <c r="J237" i="6" s="1"/>
  <c r="H236" i="6"/>
  <c r="U216" i="6"/>
  <c r="W216" i="6"/>
  <c r="X216" i="6" s="1"/>
  <c r="M236" i="5" l="1"/>
  <c r="AT218" i="6" s="1"/>
  <c r="J236" i="5"/>
  <c r="AK218" i="6" s="1"/>
  <c r="AP218" i="6" s="1"/>
  <c r="AR218" i="6" s="1"/>
  <c r="AS218" i="6" s="1"/>
  <c r="Q237" i="5"/>
  <c r="T237" i="5"/>
  <c r="AA235" i="5"/>
  <c r="X235" i="5"/>
  <c r="C236" i="5"/>
  <c r="M218" i="6" s="1"/>
  <c r="R218" i="6" s="1"/>
  <c r="T218" i="6" s="1"/>
  <c r="U218" i="6" s="1"/>
  <c r="F236" i="5"/>
  <c r="V218" i="6" s="1"/>
  <c r="AN239" i="6"/>
  <c r="AW217" i="6"/>
  <c r="AX217" i="6" s="1"/>
  <c r="AY217" i="6" s="1"/>
  <c r="AJ238" i="6"/>
  <c r="AO238" i="6" s="1"/>
  <c r="AD240" i="6"/>
  <c r="AL239" i="6"/>
  <c r="AM239" i="6"/>
  <c r="AI239" i="6"/>
  <c r="AG239" i="6"/>
  <c r="AH239" i="6" s="1"/>
  <c r="AF219" i="6"/>
  <c r="AE220" i="6"/>
  <c r="L237" i="6"/>
  <c r="Q237" i="6" s="1"/>
  <c r="S237" i="6" s="1"/>
  <c r="H237" i="6"/>
  <c r="G238" i="6"/>
  <c r="N238" i="6"/>
  <c r="O238" i="6"/>
  <c r="K238" i="6"/>
  <c r="F239" i="6"/>
  <c r="P239" i="6" s="1"/>
  <c r="I238" i="6"/>
  <c r="J238" i="6" s="1"/>
  <c r="W217" i="6"/>
  <c r="X217" i="6" s="1"/>
  <c r="U217" i="6"/>
  <c r="Y217" i="6" s="1"/>
  <c r="Z217" i="6" s="1"/>
  <c r="AA217" i="6" s="1"/>
  <c r="Y216" i="6"/>
  <c r="Z216" i="6" s="1"/>
  <c r="AA216" i="6" s="1"/>
  <c r="AA236" i="5" l="1"/>
  <c r="X236" i="5"/>
  <c r="T238" i="5"/>
  <c r="Q238" i="5"/>
  <c r="AW218" i="6"/>
  <c r="AX218" i="6" s="1"/>
  <c r="AY218" i="6" s="1"/>
  <c r="J237" i="5"/>
  <c r="AK219" i="6" s="1"/>
  <c r="AP219" i="6" s="1"/>
  <c r="AR219" i="6" s="1"/>
  <c r="AS219" i="6" s="1"/>
  <c r="M237" i="5"/>
  <c r="C237" i="5"/>
  <c r="M219" i="6" s="1"/>
  <c r="R219" i="6" s="1"/>
  <c r="T219" i="6" s="1"/>
  <c r="F237" i="5"/>
  <c r="V219" i="6" s="1"/>
  <c r="AN240" i="6"/>
  <c r="AU218" i="6"/>
  <c r="AV218" i="6" s="1"/>
  <c r="AQ238" i="6"/>
  <c r="AJ239" i="6"/>
  <c r="AO239" i="6" s="1"/>
  <c r="AQ239" i="6" s="1"/>
  <c r="AF220" i="6"/>
  <c r="AE221" i="6"/>
  <c r="AD241" i="6"/>
  <c r="AL240" i="6"/>
  <c r="AI240" i="6"/>
  <c r="AM240" i="6"/>
  <c r="AG240" i="6"/>
  <c r="AH240" i="6" s="1"/>
  <c r="L238" i="6"/>
  <c r="Q238" i="6" s="1"/>
  <c r="S238" i="6" s="1"/>
  <c r="F240" i="6"/>
  <c r="P240" i="6" s="1"/>
  <c r="G239" i="6"/>
  <c r="N239" i="6"/>
  <c r="O239" i="6"/>
  <c r="I239" i="6"/>
  <c r="J239" i="6" s="1"/>
  <c r="K239" i="6"/>
  <c r="H238" i="6"/>
  <c r="W218" i="6"/>
  <c r="X218" i="6" s="1"/>
  <c r="Y218" i="6"/>
  <c r="Z218" i="6" s="1"/>
  <c r="AA218" i="6" s="1"/>
  <c r="M238" i="5" l="1"/>
  <c r="AT220" i="6" s="1"/>
  <c r="AT22" i="12" s="1"/>
  <c r="J238" i="5"/>
  <c r="AK220" i="6" s="1"/>
  <c r="AP220" i="6" s="1"/>
  <c r="AR220" i="6" s="1"/>
  <c r="AS220" i="6" s="1"/>
  <c r="Q239" i="5"/>
  <c r="T239" i="5"/>
  <c r="AT219" i="6"/>
  <c r="AW219" i="6" s="1"/>
  <c r="AX219" i="6" s="1"/>
  <c r="AY219" i="6" s="1"/>
  <c r="X237" i="5"/>
  <c r="AA237" i="5"/>
  <c r="C238" i="5"/>
  <c r="M220" i="6" s="1"/>
  <c r="R220" i="6" s="1"/>
  <c r="T220" i="6" s="1"/>
  <c r="F238" i="5"/>
  <c r="V220" i="6" s="1"/>
  <c r="AN241" i="6"/>
  <c r="AJ240" i="6"/>
  <c r="AO240" i="6" s="1"/>
  <c r="AD242" i="6"/>
  <c r="AL241" i="6"/>
  <c r="AI241" i="6"/>
  <c r="AM241" i="6"/>
  <c r="AG241" i="6"/>
  <c r="AH241" i="6" s="1"/>
  <c r="AF221" i="6"/>
  <c r="AE222" i="6"/>
  <c r="H239" i="6"/>
  <c r="O240" i="6"/>
  <c r="N240" i="6"/>
  <c r="I240" i="6"/>
  <c r="J240" i="6" s="1"/>
  <c r="F241" i="6"/>
  <c r="P241" i="6" s="1"/>
  <c r="G240" i="6"/>
  <c r="K240" i="6"/>
  <c r="L239" i="6"/>
  <c r="Q239" i="6" s="1"/>
  <c r="S239" i="6" s="1"/>
  <c r="W219" i="6"/>
  <c r="X219" i="6" s="1"/>
  <c r="U219" i="6"/>
  <c r="Y219" i="6" s="1"/>
  <c r="Z219" i="6" s="1"/>
  <c r="AA219" i="6" s="1"/>
  <c r="X238" i="5" l="1"/>
  <c r="AA238" i="5"/>
  <c r="Q240" i="5"/>
  <c r="T240" i="5"/>
  <c r="AU219" i="6"/>
  <c r="AV219" i="6" s="1"/>
  <c r="J239" i="5"/>
  <c r="AK221" i="6" s="1"/>
  <c r="M239" i="5"/>
  <c r="AT221" i="6" s="1"/>
  <c r="AU221" i="6" s="1"/>
  <c r="AV221" i="6" s="1"/>
  <c r="AW220" i="6"/>
  <c r="AW22" i="12" s="1"/>
  <c r="C239" i="5"/>
  <c r="F239" i="5"/>
  <c r="V221" i="6" s="1"/>
  <c r="AU220" i="6"/>
  <c r="AV220" i="6" s="1"/>
  <c r="AV22" i="12" s="1"/>
  <c r="AN242" i="6"/>
  <c r="AQ240" i="6"/>
  <c r="AF222" i="6"/>
  <c r="AE223" i="6"/>
  <c r="AJ241" i="6"/>
  <c r="AO241" i="6" s="1"/>
  <c r="AQ241" i="6" s="1"/>
  <c r="AI242" i="6"/>
  <c r="AD243" i="6"/>
  <c r="AG242" i="6"/>
  <c r="AH242" i="6" s="1"/>
  <c r="AM242" i="6"/>
  <c r="AL242" i="6"/>
  <c r="O241" i="6"/>
  <c r="I241" i="6"/>
  <c r="J241" i="6" s="1"/>
  <c r="N241" i="6"/>
  <c r="K241" i="6"/>
  <c r="G241" i="6"/>
  <c r="H241" i="6" s="1"/>
  <c r="F242" i="6"/>
  <c r="P242" i="6" s="1"/>
  <c r="H240" i="6"/>
  <c r="L240" i="6"/>
  <c r="Q240" i="6" s="1"/>
  <c r="S240" i="6" s="1"/>
  <c r="U220" i="6"/>
  <c r="Y220" i="6" s="1"/>
  <c r="AU22" i="12" l="1"/>
  <c r="J240" i="5"/>
  <c r="AK222" i="6" s="1"/>
  <c r="AP222" i="6" s="1"/>
  <c r="AR222" i="6" s="1"/>
  <c r="M240" i="5"/>
  <c r="AT222" i="6" s="1"/>
  <c r="AX220" i="6"/>
  <c r="AX22" i="12" s="1"/>
  <c r="X239" i="5"/>
  <c r="AA239" i="5"/>
  <c r="Q241" i="5"/>
  <c r="T241" i="5"/>
  <c r="C240" i="5"/>
  <c r="F240" i="5"/>
  <c r="V222" i="6" s="1"/>
  <c r="AN243" i="6"/>
  <c r="AP221" i="6"/>
  <c r="M221" i="6"/>
  <c r="R221" i="6" s="1"/>
  <c r="T221" i="6" s="1"/>
  <c r="U221" i="6" s="1"/>
  <c r="Y221" i="6" s="1"/>
  <c r="Z221" i="6" s="1"/>
  <c r="AA221" i="6" s="1"/>
  <c r="AJ242" i="6"/>
  <c r="AO242" i="6" s="1"/>
  <c r="AQ242" i="6" s="1"/>
  <c r="AD244" i="6"/>
  <c r="AN244" i="6" s="1"/>
  <c r="AM243" i="6"/>
  <c r="AL243" i="6"/>
  <c r="AI243" i="6"/>
  <c r="AG243" i="6"/>
  <c r="AH243" i="6" s="1"/>
  <c r="AF223" i="6"/>
  <c r="AE224" i="6"/>
  <c r="L241" i="6"/>
  <c r="Q241" i="6" s="1"/>
  <c r="S241" i="6" s="1"/>
  <c r="G242" i="6"/>
  <c r="O242" i="6"/>
  <c r="I242" i="6"/>
  <c r="J242" i="6" s="1"/>
  <c r="N242" i="6"/>
  <c r="K242" i="6"/>
  <c r="F243" i="6"/>
  <c r="P243" i="6" s="1"/>
  <c r="W221" i="6"/>
  <c r="X221" i="6" s="1"/>
  <c r="Z220" i="6"/>
  <c r="W220" i="6"/>
  <c r="AY220" i="6" l="1"/>
  <c r="AY22" i="12" s="1"/>
  <c r="Q242" i="5"/>
  <c r="T242" i="5"/>
  <c r="X240" i="5"/>
  <c r="AA240" i="5"/>
  <c r="J241" i="5"/>
  <c r="M241" i="5"/>
  <c r="M222" i="6"/>
  <c r="R222" i="6" s="1"/>
  <c r="T222" i="6" s="1"/>
  <c r="U222" i="6" s="1"/>
  <c r="C241" i="5"/>
  <c r="M223" i="6" s="1"/>
  <c r="R223" i="6" s="1"/>
  <c r="T223" i="6" s="1"/>
  <c r="F241" i="5"/>
  <c r="V223" i="6" s="1"/>
  <c r="AR221" i="6"/>
  <c r="AU222" i="6"/>
  <c r="AV222" i="6" s="1"/>
  <c r="AJ243" i="6"/>
  <c r="AO243" i="6" s="1"/>
  <c r="AQ243" i="6" s="1"/>
  <c r="AF224" i="6"/>
  <c r="AE225" i="6"/>
  <c r="AG244" i="6"/>
  <c r="AI244" i="6"/>
  <c r="AL244" i="6"/>
  <c r="AD245" i="6"/>
  <c r="AM244" i="6"/>
  <c r="AH244" i="6"/>
  <c r="H242" i="6"/>
  <c r="L242" i="6"/>
  <c r="Q242" i="6" s="1"/>
  <c r="S242" i="6" s="1"/>
  <c r="G243" i="6"/>
  <c r="F244" i="6"/>
  <c r="P244" i="6" s="1"/>
  <c r="I243" i="6"/>
  <c r="J243" i="6" s="1"/>
  <c r="N243" i="6"/>
  <c r="K243" i="6"/>
  <c r="O243" i="6"/>
  <c r="AA220" i="6"/>
  <c r="W222" i="6"/>
  <c r="X222" i="6" s="1"/>
  <c r="X220" i="6"/>
  <c r="J242" i="5" l="1"/>
  <c r="AK224" i="6" s="1"/>
  <c r="AP224" i="6" s="1"/>
  <c r="AR224" i="6" s="1"/>
  <c r="M242" i="5"/>
  <c r="AT224" i="6" s="1"/>
  <c r="AU224" i="6" s="1"/>
  <c r="AV224" i="6" s="1"/>
  <c r="AT223" i="6"/>
  <c r="AU223" i="6" s="1"/>
  <c r="AV223" i="6" s="1"/>
  <c r="AA241" i="5"/>
  <c r="X241" i="5"/>
  <c r="T243" i="5"/>
  <c r="Q243" i="5"/>
  <c r="AK223" i="6"/>
  <c r="AP223" i="6" s="1"/>
  <c r="F242" i="5"/>
  <c r="V224" i="6" s="1"/>
  <c r="C242" i="5"/>
  <c r="M224" i="6" s="1"/>
  <c r="R224" i="6" s="1"/>
  <c r="T224" i="6" s="1"/>
  <c r="U224" i="6" s="1"/>
  <c r="AN245" i="6"/>
  <c r="AS221" i="6"/>
  <c r="AW221" i="6" s="1"/>
  <c r="AX221" i="6" s="1"/>
  <c r="AY221" i="6" s="1"/>
  <c r="AS222" i="6"/>
  <c r="AW222" i="6" s="1"/>
  <c r="AX222" i="6" s="1"/>
  <c r="AY222" i="6" s="1"/>
  <c r="AJ244" i="6"/>
  <c r="AO244" i="6" s="1"/>
  <c r="AQ244" i="6" s="1"/>
  <c r="AD246" i="6"/>
  <c r="AN246" i="6" s="1"/>
  <c r="AI245" i="6"/>
  <c r="AG245" i="6"/>
  <c r="AH245" i="6" s="1"/>
  <c r="AM245" i="6"/>
  <c r="AL245" i="6"/>
  <c r="AF225" i="6"/>
  <c r="AE226" i="6"/>
  <c r="L243" i="6"/>
  <c r="Q243" i="6" s="1"/>
  <c r="S243" i="6" s="1"/>
  <c r="H243" i="6"/>
  <c r="O244" i="6"/>
  <c r="N244" i="6"/>
  <c r="G244" i="6"/>
  <c r="K244" i="6"/>
  <c r="F245" i="6"/>
  <c r="P245" i="6" s="1"/>
  <c r="I244" i="6"/>
  <c r="J244" i="6" s="1"/>
  <c r="W223" i="6"/>
  <c r="X223" i="6" s="1"/>
  <c r="U223" i="6"/>
  <c r="Y223" i="6" s="1"/>
  <c r="Z223" i="6" s="1"/>
  <c r="AA223" i="6" s="1"/>
  <c r="Y222" i="6"/>
  <c r="Z222" i="6" s="1"/>
  <c r="AA222" i="6" s="1"/>
  <c r="T244" i="5" l="1"/>
  <c r="Q244" i="5"/>
  <c r="X242" i="5"/>
  <c r="AA242" i="5"/>
  <c r="M243" i="5"/>
  <c r="J243" i="5"/>
  <c r="C243" i="5"/>
  <c r="M225" i="6" s="1"/>
  <c r="R225" i="6" s="1"/>
  <c r="T225" i="6" s="1"/>
  <c r="F243" i="5"/>
  <c r="V225" i="6" s="1"/>
  <c r="AR223" i="6"/>
  <c r="AJ245" i="6"/>
  <c r="AO245" i="6" s="1"/>
  <c r="AF226" i="6"/>
  <c r="AE227" i="6"/>
  <c r="AM246" i="6"/>
  <c r="AL246" i="6"/>
  <c r="AG246" i="6"/>
  <c r="AH246" i="6" s="1"/>
  <c r="AD247" i="6"/>
  <c r="AI246" i="6"/>
  <c r="L244" i="6"/>
  <c r="Q244" i="6" s="1"/>
  <c r="S244" i="6" s="1"/>
  <c r="K245" i="6"/>
  <c r="O245" i="6"/>
  <c r="N245" i="6"/>
  <c r="I245" i="6"/>
  <c r="J245" i="6" s="1"/>
  <c r="F246" i="6"/>
  <c r="P246" i="6" s="1"/>
  <c r="G245" i="6"/>
  <c r="H244" i="6"/>
  <c r="W224" i="6"/>
  <c r="X224" i="6" s="1"/>
  <c r="AK225" i="6" l="1"/>
  <c r="AP225" i="6" s="1"/>
  <c r="AR225" i="6" s="1"/>
  <c r="AS225" i="6" s="1"/>
  <c r="M244" i="5"/>
  <c r="AT226" i="6" s="1"/>
  <c r="J244" i="5"/>
  <c r="AK226" i="6" s="1"/>
  <c r="AP226" i="6" s="1"/>
  <c r="AR226" i="6" s="1"/>
  <c r="AA243" i="5"/>
  <c r="X243" i="5"/>
  <c r="AT225" i="6"/>
  <c r="AU225" i="6" s="1"/>
  <c r="AV225" i="6" s="1"/>
  <c r="Q245" i="5"/>
  <c r="T245" i="5"/>
  <c r="F244" i="5"/>
  <c r="V226" i="6" s="1"/>
  <c r="C244" i="5"/>
  <c r="M226" i="6" s="1"/>
  <c r="R226" i="6" s="1"/>
  <c r="T226" i="6" s="1"/>
  <c r="AN247" i="6"/>
  <c r="AQ245" i="6"/>
  <c r="AS223" i="6"/>
  <c r="AW223" i="6" s="1"/>
  <c r="AX223" i="6" s="1"/>
  <c r="AY223" i="6" s="1"/>
  <c r="AS224" i="6"/>
  <c r="AW224" i="6" s="1"/>
  <c r="AX224" i="6" s="1"/>
  <c r="AY224" i="6" s="1"/>
  <c r="AJ246" i="6"/>
  <c r="AO246" i="6" s="1"/>
  <c r="AQ246" i="6" s="1"/>
  <c r="AD248" i="6"/>
  <c r="AN248" i="6" s="1"/>
  <c r="AM247" i="6"/>
  <c r="AL247" i="6"/>
  <c r="AI247" i="6"/>
  <c r="AG247" i="6"/>
  <c r="AH247" i="6" s="1"/>
  <c r="AF227" i="6"/>
  <c r="AE228" i="6"/>
  <c r="L245" i="6"/>
  <c r="Q245" i="6" s="1"/>
  <c r="S245" i="6" s="1"/>
  <c r="H245" i="6"/>
  <c r="F247" i="6"/>
  <c r="P247" i="6" s="1"/>
  <c r="G246" i="6"/>
  <c r="N246" i="6"/>
  <c r="I246" i="6"/>
  <c r="J246" i="6" s="1"/>
  <c r="O246" i="6"/>
  <c r="K246" i="6"/>
  <c r="U225" i="6"/>
  <c r="W225" i="6"/>
  <c r="X225" i="6" s="1"/>
  <c r="Y224" i="6"/>
  <c r="Z224" i="6" s="1"/>
  <c r="AA224" i="6" s="1"/>
  <c r="AS226" i="6" l="1"/>
  <c r="AW226" i="6" s="1"/>
  <c r="AX226" i="6" s="1"/>
  <c r="AY226" i="6" s="1"/>
  <c r="AW225" i="6"/>
  <c r="AX225" i="6" s="1"/>
  <c r="AY225" i="6" s="1"/>
  <c r="Q246" i="5"/>
  <c r="T246" i="5"/>
  <c r="AA244" i="5"/>
  <c r="X244" i="5"/>
  <c r="M245" i="5"/>
  <c r="J245" i="5"/>
  <c r="AK227" i="6" s="1"/>
  <c r="F245" i="5"/>
  <c r="V227" i="6" s="1"/>
  <c r="C245" i="5"/>
  <c r="M227" i="6" s="1"/>
  <c r="R227" i="6" s="1"/>
  <c r="T227" i="6" s="1"/>
  <c r="AU226" i="6"/>
  <c r="AV226" i="6" s="1"/>
  <c r="AJ247" i="6"/>
  <c r="AO247" i="6" s="1"/>
  <c r="AQ247" i="6" s="1"/>
  <c r="AF228" i="6"/>
  <c r="AE229" i="6"/>
  <c r="AD249" i="6"/>
  <c r="AM248" i="6"/>
  <c r="AG248" i="6"/>
  <c r="AH248" i="6" s="1"/>
  <c r="AL248" i="6"/>
  <c r="AI248" i="6"/>
  <c r="L246" i="6"/>
  <c r="Q246" i="6" s="1"/>
  <c r="S246" i="6" s="1"/>
  <c r="H246" i="6"/>
  <c r="K247" i="6"/>
  <c r="O247" i="6"/>
  <c r="I247" i="6"/>
  <c r="J247" i="6" s="1"/>
  <c r="N247" i="6"/>
  <c r="G247" i="6"/>
  <c r="F248" i="6"/>
  <c r="P248" i="6" s="1"/>
  <c r="U226" i="6"/>
  <c r="Y226" i="6" s="1"/>
  <c r="Z226" i="6" s="1"/>
  <c r="AA226" i="6" s="1"/>
  <c r="W226" i="6"/>
  <c r="X226" i="6" s="1"/>
  <c r="Y225" i="6"/>
  <c r="Z225" i="6" s="1"/>
  <c r="AA225" i="6" s="1"/>
  <c r="M246" i="5" l="1"/>
  <c r="J246" i="5"/>
  <c r="AK228" i="6" s="1"/>
  <c r="AP228" i="6" s="1"/>
  <c r="AR228" i="6" s="1"/>
  <c r="AA245" i="5"/>
  <c r="X245" i="5"/>
  <c r="T247" i="5"/>
  <c r="Q247" i="5"/>
  <c r="AT227" i="6"/>
  <c r="AU227" i="6" s="1"/>
  <c r="AV227" i="6" s="1"/>
  <c r="C246" i="5"/>
  <c r="M228" i="6" s="1"/>
  <c r="R228" i="6" s="1"/>
  <c r="T228" i="6" s="1"/>
  <c r="U228" i="6" s="1"/>
  <c r="F246" i="5"/>
  <c r="V228" i="6" s="1"/>
  <c r="AN249" i="6"/>
  <c r="AP227" i="6"/>
  <c r="AT228" i="6"/>
  <c r="AU228" i="6" s="1"/>
  <c r="AV228" i="6" s="1"/>
  <c r="AJ248" i="6"/>
  <c r="AO248" i="6" s="1"/>
  <c r="AI249" i="6"/>
  <c r="AD250" i="6"/>
  <c r="AN250" i="6" s="1"/>
  <c r="AL249" i="6"/>
  <c r="AM249" i="6"/>
  <c r="AG249" i="6"/>
  <c r="AH249" i="6" s="1"/>
  <c r="AF229" i="6"/>
  <c r="AE230" i="6"/>
  <c r="L247" i="6"/>
  <c r="Q247" i="6" s="1"/>
  <c r="S247" i="6" s="1"/>
  <c r="H247" i="6"/>
  <c r="N248" i="6"/>
  <c r="K248" i="6"/>
  <c r="I248" i="6"/>
  <c r="J248" i="6" s="1"/>
  <c r="F249" i="6"/>
  <c r="P249" i="6" s="1"/>
  <c r="G248" i="6"/>
  <c r="O248" i="6"/>
  <c r="W227" i="6"/>
  <c r="X227" i="6" s="1"/>
  <c r="U227" i="6"/>
  <c r="Y227" i="6" s="1"/>
  <c r="Z227" i="6" s="1"/>
  <c r="AA227" i="6" s="1"/>
  <c r="Q248" i="5" l="1"/>
  <c r="T248" i="5"/>
  <c r="AA246" i="5"/>
  <c r="X246" i="5"/>
  <c r="M247" i="5"/>
  <c r="J247" i="5"/>
  <c r="AK229" i="6" s="1"/>
  <c r="AP229" i="6" s="1"/>
  <c r="AR229" i="6" s="1"/>
  <c r="F247" i="5"/>
  <c r="V229" i="6" s="1"/>
  <c r="C247" i="5"/>
  <c r="M229" i="6" s="1"/>
  <c r="R229" i="6" s="1"/>
  <c r="T229" i="6" s="1"/>
  <c r="AQ248" i="6"/>
  <c r="AR227" i="6"/>
  <c r="AJ249" i="6"/>
  <c r="AO249" i="6" s="1"/>
  <c r="AQ249" i="6" s="1"/>
  <c r="AF230" i="6"/>
  <c r="AE231" i="6"/>
  <c r="AD251" i="6"/>
  <c r="AN251" i="6" s="1"/>
  <c r="AM250" i="6"/>
  <c r="AL250" i="6"/>
  <c r="AG250" i="6"/>
  <c r="AH250" i="6" s="1"/>
  <c r="AI250" i="6"/>
  <c r="L248" i="6"/>
  <c r="Q248" i="6" s="1"/>
  <c r="S248" i="6" s="1"/>
  <c r="H248" i="6"/>
  <c r="I249" i="6"/>
  <c r="J249" i="6" s="1"/>
  <c r="G249" i="6"/>
  <c r="F250" i="6"/>
  <c r="P250" i="6" s="1"/>
  <c r="N249" i="6"/>
  <c r="O249" i="6"/>
  <c r="K249" i="6"/>
  <c r="W228" i="6"/>
  <c r="X228" i="6" s="1"/>
  <c r="AS229" i="6" l="1"/>
  <c r="J248" i="5"/>
  <c r="AK230" i="6" s="1"/>
  <c r="AP230" i="6" s="1"/>
  <c r="M248" i="5"/>
  <c r="AT230" i="6" s="1"/>
  <c r="AU230" i="6" s="1"/>
  <c r="AV230" i="6" s="1"/>
  <c r="AA247" i="5"/>
  <c r="X247" i="5"/>
  <c r="Q249" i="5"/>
  <c r="T249" i="5"/>
  <c r="AT229" i="6"/>
  <c r="AU229" i="6" s="1"/>
  <c r="AV229" i="6" s="1"/>
  <c r="C248" i="5"/>
  <c r="M230" i="6" s="1"/>
  <c r="R230" i="6" s="1"/>
  <c r="T230" i="6" s="1"/>
  <c r="U230" i="6" s="1"/>
  <c r="F248" i="5"/>
  <c r="V230" i="6" s="1"/>
  <c r="AS227" i="6"/>
  <c r="AW227" i="6" s="1"/>
  <c r="AX227" i="6" s="1"/>
  <c r="AY227" i="6" s="1"/>
  <c r="AS228" i="6"/>
  <c r="AW228" i="6" s="1"/>
  <c r="AX228" i="6" s="1"/>
  <c r="AY228" i="6" s="1"/>
  <c r="AJ250" i="6"/>
  <c r="AO250" i="6" s="1"/>
  <c r="AD252" i="6"/>
  <c r="AN252" i="6" s="1"/>
  <c r="AL251" i="6"/>
  <c r="AG251" i="6"/>
  <c r="AH251" i="6" s="1"/>
  <c r="AI251" i="6"/>
  <c r="AM251" i="6"/>
  <c r="AF231" i="6"/>
  <c r="AE232" i="6"/>
  <c r="N250" i="6"/>
  <c r="I250" i="6"/>
  <c r="J250" i="6" s="1"/>
  <c r="G250" i="6"/>
  <c r="O250" i="6"/>
  <c r="F251" i="6"/>
  <c r="P251" i="6" s="1"/>
  <c r="K250" i="6"/>
  <c r="H249" i="6"/>
  <c r="L249" i="6"/>
  <c r="Q249" i="6" s="1"/>
  <c r="S249" i="6" s="1"/>
  <c r="W229" i="6"/>
  <c r="X229" i="6" s="1"/>
  <c r="U229" i="6"/>
  <c r="Y229" i="6" s="1"/>
  <c r="Z229" i="6" s="1"/>
  <c r="AA229" i="6" s="1"/>
  <c r="Y228" i="6"/>
  <c r="Z228" i="6" s="1"/>
  <c r="AA228" i="6" s="1"/>
  <c r="T250" i="5" l="1"/>
  <c r="Q250" i="5"/>
  <c r="AA248" i="5"/>
  <c r="X248" i="5"/>
  <c r="J249" i="5"/>
  <c r="AK231" i="6" s="1"/>
  <c r="AP231" i="6" s="1"/>
  <c r="AR231" i="6" s="1"/>
  <c r="M249" i="5"/>
  <c r="AW229" i="6"/>
  <c r="AX229" i="6" s="1"/>
  <c r="AY229" i="6" s="1"/>
  <c r="C249" i="5"/>
  <c r="M231" i="6" s="1"/>
  <c r="R231" i="6" s="1"/>
  <c r="T231" i="6" s="1"/>
  <c r="U231" i="6" s="1"/>
  <c r="F249" i="5"/>
  <c r="V231" i="6" s="1"/>
  <c r="AQ250" i="6"/>
  <c r="AR230" i="6"/>
  <c r="AS230" i="6" s="1"/>
  <c r="AW230" i="6" s="1"/>
  <c r="AX230" i="6" s="1"/>
  <c r="AY230" i="6" s="1"/>
  <c r="AT231" i="6"/>
  <c r="AU231" i="6" s="1"/>
  <c r="AV231" i="6" s="1"/>
  <c r="AJ251" i="6"/>
  <c r="AO251" i="6" s="1"/>
  <c r="AQ251" i="6" s="1"/>
  <c r="AF232" i="6"/>
  <c r="AE233" i="6"/>
  <c r="AI252" i="6"/>
  <c r="AD253" i="6"/>
  <c r="AN253" i="6" s="1"/>
  <c r="AM252" i="6"/>
  <c r="AL252" i="6"/>
  <c r="AG252" i="6"/>
  <c r="AH252" i="6" s="1"/>
  <c r="H250" i="6"/>
  <c r="L250" i="6"/>
  <c r="Q250" i="6" s="1"/>
  <c r="S250" i="6" s="1"/>
  <c r="I251" i="6"/>
  <c r="J251" i="6" s="1"/>
  <c r="F252" i="6"/>
  <c r="P252" i="6" s="1"/>
  <c r="N251" i="6"/>
  <c r="G251" i="6"/>
  <c r="O251" i="6"/>
  <c r="K251" i="6"/>
  <c r="W230" i="6"/>
  <c r="X230" i="6" s="1"/>
  <c r="J250" i="5" l="1"/>
  <c r="AK232" i="6" s="1"/>
  <c r="AP232" i="6" s="1"/>
  <c r="AR232" i="6" s="1"/>
  <c r="AS232" i="6" s="1"/>
  <c r="M250" i="5"/>
  <c r="AA249" i="5"/>
  <c r="X249" i="5"/>
  <c r="AS231" i="6"/>
  <c r="AW231" i="6" s="1"/>
  <c r="AX231" i="6" s="1"/>
  <c r="AY231" i="6" s="1"/>
  <c r="T251" i="5"/>
  <c r="Q251" i="5"/>
  <c r="F250" i="5"/>
  <c r="V232" i="6" s="1"/>
  <c r="C250" i="5"/>
  <c r="M232" i="6" s="1"/>
  <c r="R232" i="6" s="1"/>
  <c r="T232" i="6" s="1"/>
  <c r="AT232" i="6"/>
  <c r="AT23" i="12" s="1"/>
  <c r="AJ252" i="6"/>
  <c r="AO252" i="6" s="1"/>
  <c r="AM253" i="6"/>
  <c r="AI253" i="6"/>
  <c r="AG253" i="6"/>
  <c r="AH253" i="6" s="1"/>
  <c r="AL253" i="6"/>
  <c r="AD254" i="6"/>
  <c r="AF233" i="6"/>
  <c r="AE234" i="6"/>
  <c r="H251" i="6"/>
  <c r="K252" i="6"/>
  <c r="O252" i="6"/>
  <c r="I252" i="6"/>
  <c r="J252" i="6" s="1"/>
  <c r="G252" i="6"/>
  <c r="F253" i="6"/>
  <c r="P253" i="6" s="1"/>
  <c r="N252" i="6"/>
  <c r="L251" i="6"/>
  <c r="Q251" i="6" s="1"/>
  <c r="S251" i="6" s="1"/>
  <c r="W231" i="6"/>
  <c r="X231" i="6" s="1"/>
  <c r="Y231" i="6"/>
  <c r="Z231" i="6" s="1"/>
  <c r="AA231" i="6" s="1"/>
  <c r="Y230" i="6"/>
  <c r="Z230" i="6" s="1"/>
  <c r="AA230" i="6" s="1"/>
  <c r="T252" i="5" l="1"/>
  <c r="Q252" i="5"/>
  <c r="AA250" i="5"/>
  <c r="X250" i="5"/>
  <c r="M251" i="5"/>
  <c r="AT233" i="6" s="1"/>
  <c r="AU233" i="6" s="1"/>
  <c r="AV233" i="6" s="1"/>
  <c r="J251" i="5"/>
  <c r="AK233" i="6" s="1"/>
  <c r="C251" i="5"/>
  <c r="F251" i="5"/>
  <c r="V233" i="6" s="1"/>
  <c r="AN254" i="6"/>
  <c r="AW232" i="6"/>
  <c r="AX232" i="6" s="1"/>
  <c r="AU232" i="6"/>
  <c r="AV232" i="6" s="1"/>
  <c r="AV23" i="12" s="1"/>
  <c r="AW23" i="12"/>
  <c r="AQ252" i="6"/>
  <c r="AJ253" i="6"/>
  <c r="AO253" i="6" s="1"/>
  <c r="AQ253" i="6" s="1"/>
  <c r="AL254" i="6"/>
  <c r="AM254" i="6"/>
  <c r="AD255" i="6"/>
  <c r="AN255" i="6" s="1"/>
  <c r="AI254" i="6"/>
  <c r="AG254" i="6"/>
  <c r="AH254" i="6" s="1"/>
  <c r="AF234" i="6"/>
  <c r="AE235" i="6"/>
  <c r="L252" i="6"/>
  <c r="Q252" i="6" s="1"/>
  <c r="S252" i="6" s="1"/>
  <c r="K253" i="6"/>
  <c r="O253" i="6"/>
  <c r="N253" i="6"/>
  <c r="G253" i="6"/>
  <c r="F254" i="6"/>
  <c r="P254" i="6" s="1"/>
  <c r="I253" i="6"/>
  <c r="J253" i="6" s="1"/>
  <c r="H252" i="6"/>
  <c r="U232" i="6"/>
  <c r="AU23" i="12" l="1"/>
  <c r="M252" i="5"/>
  <c r="J252" i="5"/>
  <c r="AK234" i="6" s="1"/>
  <c r="AP234" i="6" s="1"/>
  <c r="AR234" i="6" s="1"/>
  <c r="AA251" i="5"/>
  <c r="X251" i="5"/>
  <c r="Q253" i="5"/>
  <c r="T253" i="5"/>
  <c r="C252" i="5"/>
  <c r="F252" i="5"/>
  <c r="V234" i="6" s="1"/>
  <c r="AP233" i="6"/>
  <c r="AY232" i="6"/>
  <c r="AY23" i="12" s="1"/>
  <c r="AX23" i="12"/>
  <c r="M233" i="6"/>
  <c r="R233" i="6" s="1"/>
  <c r="T233" i="6" s="1"/>
  <c r="U233" i="6" s="1"/>
  <c r="AT234" i="6"/>
  <c r="AU234" i="6" s="1"/>
  <c r="AV234" i="6" s="1"/>
  <c r="AJ254" i="6"/>
  <c r="AO254" i="6" s="1"/>
  <c r="AQ254" i="6" s="1"/>
  <c r="AF235" i="6"/>
  <c r="AE236" i="6"/>
  <c r="AM255" i="6"/>
  <c r="AI255" i="6"/>
  <c r="AD256" i="6"/>
  <c r="AL255" i="6"/>
  <c r="AG255" i="6"/>
  <c r="AH255" i="6" s="1"/>
  <c r="L253" i="6"/>
  <c r="Q253" i="6" s="1"/>
  <c r="S253" i="6" s="1"/>
  <c r="N254" i="6"/>
  <c r="I254" i="6"/>
  <c r="J254" i="6" s="1"/>
  <c r="O254" i="6"/>
  <c r="G254" i="6"/>
  <c r="F255" i="6"/>
  <c r="P255" i="6" s="1"/>
  <c r="K254" i="6"/>
  <c r="H253" i="6"/>
  <c r="Y232" i="6"/>
  <c r="W233" i="6"/>
  <c r="X233" i="6" s="1"/>
  <c r="W232" i="6"/>
  <c r="M234" i="6" l="1"/>
  <c r="R234" i="6" s="1"/>
  <c r="T234" i="6" s="1"/>
  <c r="U234" i="6" s="1"/>
  <c r="Q254" i="5"/>
  <c r="T254" i="5"/>
  <c r="X252" i="5"/>
  <c r="AA252" i="5"/>
  <c r="M253" i="5"/>
  <c r="J253" i="5"/>
  <c r="C253" i="5"/>
  <c r="F253" i="5"/>
  <c r="V235" i="6" s="1"/>
  <c r="AN256" i="6"/>
  <c r="AR233" i="6"/>
  <c r="AJ255" i="6"/>
  <c r="AO255" i="6" s="1"/>
  <c r="AQ255" i="6" s="1"/>
  <c r="AL256" i="6"/>
  <c r="AG256" i="6"/>
  <c r="AH256" i="6" s="1"/>
  <c r="AD257" i="6"/>
  <c r="AN257" i="6" s="1"/>
  <c r="AI256" i="6"/>
  <c r="AM256" i="6"/>
  <c r="AF236" i="6"/>
  <c r="AE237" i="6"/>
  <c r="H254" i="6"/>
  <c r="L254" i="6"/>
  <c r="Q254" i="6" s="1"/>
  <c r="S254" i="6" s="1"/>
  <c r="I255" i="6"/>
  <c r="J255" i="6" s="1"/>
  <c r="G255" i="6"/>
  <c r="F256" i="6"/>
  <c r="P256" i="6" s="1"/>
  <c r="O255" i="6"/>
  <c r="N255" i="6"/>
  <c r="K255" i="6"/>
  <c r="W234" i="6"/>
  <c r="X234" i="6" s="1"/>
  <c r="X232" i="6"/>
  <c r="Z232" i="6"/>
  <c r="Y233" i="6"/>
  <c r="Z233" i="6" s="1"/>
  <c r="AA233" i="6" s="1"/>
  <c r="J254" i="5" l="1"/>
  <c r="AK236" i="6" s="1"/>
  <c r="AP236" i="6" s="1"/>
  <c r="AR236" i="6" s="1"/>
  <c r="M254" i="5"/>
  <c r="AA253" i="5"/>
  <c r="X253" i="5"/>
  <c r="Q255" i="5"/>
  <c r="T255" i="5"/>
  <c r="M235" i="6"/>
  <c r="R235" i="6" s="1"/>
  <c r="T235" i="6" s="1"/>
  <c r="U235" i="6" s="1"/>
  <c r="Y235" i="6" s="1"/>
  <c r="Z235" i="6" s="1"/>
  <c r="AA235" i="6" s="1"/>
  <c r="AT235" i="6"/>
  <c r="AU235" i="6" s="1"/>
  <c r="AV235" i="6" s="1"/>
  <c r="AK235" i="6"/>
  <c r="AP235" i="6" s="1"/>
  <c r="C254" i="5"/>
  <c r="M236" i="6" s="1"/>
  <c r="R236" i="6" s="1"/>
  <c r="T236" i="6" s="1"/>
  <c r="F254" i="5"/>
  <c r="V236" i="6" s="1"/>
  <c r="AS233" i="6"/>
  <c r="AW233" i="6" s="1"/>
  <c r="AX233" i="6" s="1"/>
  <c r="AY233" i="6" s="1"/>
  <c r="AS234" i="6"/>
  <c r="AW234" i="6" s="1"/>
  <c r="AX234" i="6" s="1"/>
  <c r="AY234" i="6" s="1"/>
  <c r="AT236" i="6"/>
  <c r="AU236" i="6" s="1"/>
  <c r="AV236" i="6" s="1"/>
  <c r="AF237" i="6"/>
  <c r="AE238" i="6"/>
  <c r="AJ256" i="6"/>
  <c r="AO256" i="6" s="1"/>
  <c r="AQ256" i="6" s="1"/>
  <c r="AL257" i="6"/>
  <c r="AD258" i="6"/>
  <c r="AM257" i="6"/>
  <c r="AI257" i="6"/>
  <c r="AG257" i="6"/>
  <c r="AH257" i="6" s="1"/>
  <c r="L255" i="6"/>
  <c r="Q255" i="6" s="1"/>
  <c r="S255" i="6" s="1"/>
  <c r="F257" i="6"/>
  <c r="P257" i="6" s="1"/>
  <c r="N256" i="6"/>
  <c r="I256" i="6"/>
  <c r="J256" i="6" s="1"/>
  <c r="G256" i="6"/>
  <c r="O256" i="6"/>
  <c r="K256" i="6"/>
  <c r="H255" i="6"/>
  <c r="AA232" i="6"/>
  <c r="W235" i="6"/>
  <c r="X235" i="6" s="1"/>
  <c r="Y234" i="6"/>
  <c r="Z234" i="6" s="1"/>
  <c r="AA234" i="6" s="1"/>
  <c r="Q256" i="5" l="1"/>
  <c r="T256" i="5"/>
  <c r="X254" i="5"/>
  <c r="AA254" i="5"/>
  <c r="M255" i="5"/>
  <c r="J255" i="5"/>
  <c r="C255" i="5"/>
  <c r="M237" i="6" s="1"/>
  <c r="R237" i="6" s="1"/>
  <c r="T237" i="6" s="1"/>
  <c r="F255" i="5"/>
  <c r="V237" i="6" s="1"/>
  <c r="AN258" i="6"/>
  <c r="AR235" i="6"/>
  <c r="AJ257" i="6"/>
  <c r="AO257" i="6" s="1"/>
  <c r="AD259" i="6"/>
  <c r="AN259" i="6" s="1"/>
  <c r="AL258" i="6"/>
  <c r="AM258" i="6"/>
  <c r="AI258" i="6"/>
  <c r="AG258" i="6"/>
  <c r="AH258" i="6" s="1"/>
  <c r="AF238" i="6"/>
  <c r="AE239" i="6"/>
  <c r="H256" i="6"/>
  <c r="G257" i="6"/>
  <c r="H257" i="6" s="1"/>
  <c r="K257" i="6"/>
  <c r="O257" i="6"/>
  <c r="N257" i="6"/>
  <c r="F258" i="6"/>
  <c r="P258" i="6" s="1"/>
  <c r="I257" i="6"/>
  <c r="J257" i="6" s="1"/>
  <c r="L256" i="6"/>
  <c r="Q256" i="6" s="1"/>
  <c r="S256" i="6" s="1"/>
  <c r="W236" i="6"/>
  <c r="X236" i="6" s="1"/>
  <c r="U236" i="6"/>
  <c r="Y236" i="6" s="1"/>
  <c r="Z236" i="6" s="1"/>
  <c r="AA236" i="6" s="1"/>
  <c r="J256" i="5" l="1"/>
  <c r="AK238" i="6" s="1"/>
  <c r="AP238" i="6" s="1"/>
  <c r="AR238" i="6" s="1"/>
  <c r="M256" i="5"/>
  <c r="AT238" i="6" s="1"/>
  <c r="AU238" i="6" s="1"/>
  <c r="AV238" i="6" s="1"/>
  <c r="AA255" i="5"/>
  <c r="X255" i="5"/>
  <c r="Q257" i="5"/>
  <c r="T257" i="5"/>
  <c r="AT237" i="6"/>
  <c r="AU237" i="6" s="1"/>
  <c r="AV237" i="6" s="1"/>
  <c r="AK237" i="6"/>
  <c r="AP237" i="6" s="1"/>
  <c r="F256" i="5"/>
  <c r="V238" i="6" s="1"/>
  <c r="C256" i="5"/>
  <c r="AS235" i="6"/>
  <c r="AW235" i="6" s="1"/>
  <c r="AX235" i="6" s="1"/>
  <c r="AY235" i="6" s="1"/>
  <c r="AS236" i="6"/>
  <c r="AW236" i="6" s="1"/>
  <c r="AX236" i="6" s="1"/>
  <c r="AY236" i="6" s="1"/>
  <c r="AQ257" i="6"/>
  <c r="AJ258" i="6"/>
  <c r="AO258" i="6" s="1"/>
  <c r="AQ258" i="6" s="1"/>
  <c r="AF239" i="6"/>
  <c r="AE240" i="6"/>
  <c r="AM259" i="6"/>
  <c r="AL259" i="6"/>
  <c r="AG259" i="6"/>
  <c r="AH259" i="6" s="1"/>
  <c r="AI259" i="6"/>
  <c r="AD260" i="6"/>
  <c r="L257" i="6"/>
  <c r="Q257" i="6" s="1"/>
  <c r="S257" i="6" s="1"/>
  <c r="F259" i="6"/>
  <c r="P259" i="6" s="1"/>
  <c r="K258" i="6"/>
  <c r="O258" i="6"/>
  <c r="N258" i="6"/>
  <c r="I258" i="6"/>
  <c r="J258" i="6" s="1"/>
  <c r="G258" i="6"/>
  <c r="W237" i="6"/>
  <c r="X237" i="6" s="1"/>
  <c r="U237" i="6"/>
  <c r="Y237" i="6" s="1"/>
  <c r="Z237" i="6" s="1"/>
  <c r="AA237" i="6" s="1"/>
  <c r="T258" i="5" l="1"/>
  <c r="Q258" i="5"/>
  <c r="AA256" i="5"/>
  <c r="X256" i="5"/>
  <c r="M257" i="5"/>
  <c r="J257" i="5"/>
  <c r="AK239" i="6" s="1"/>
  <c r="AP239" i="6" s="1"/>
  <c r="AR239" i="6" s="1"/>
  <c r="C257" i="5"/>
  <c r="M239" i="6" s="1"/>
  <c r="R239" i="6" s="1"/>
  <c r="T239" i="6" s="1"/>
  <c r="F257" i="5"/>
  <c r="V239" i="6" s="1"/>
  <c r="AN260" i="6"/>
  <c r="AR237" i="6"/>
  <c r="M238" i="6"/>
  <c r="R238" i="6" s="1"/>
  <c r="T238" i="6" s="1"/>
  <c r="U238" i="6" s="1"/>
  <c r="Y238" i="6" s="1"/>
  <c r="Z238" i="6" s="1"/>
  <c r="AA238" i="6" s="1"/>
  <c r="AJ259" i="6"/>
  <c r="AO259" i="6" s="1"/>
  <c r="AL260" i="6"/>
  <c r="AG260" i="6"/>
  <c r="AH260" i="6" s="1"/>
  <c r="AD261" i="6"/>
  <c r="AN261" i="6" s="1"/>
  <c r="AI260" i="6"/>
  <c r="AM260" i="6"/>
  <c r="AF240" i="6"/>
  <c r="AE241" i="6"/>
  <c r="L258" i="6"/>
  <c r="Q258" i="6" s="1"/>
  <c r="S258" i="6" s="1"/>
  <c r="H258" i="6"/>
  <c r="G259" i="6"/>
  <c r="O259" i="6"/>
  <c r="I259" i="6"/>
  <c r="J259" i="6" s="1"/>
  <c r="F260" i="6"/>
  <c r="P260" i="6" s="1"/>
  <c r="K259" i="6"/>
  <c r="N259" i="6"/>
  <c r="W238" i="6"/>
  <c r="X238" i="6" s="1"/>
  <c r="J258" i="5" l="1"/>
  <c r="AK240" i="6" s="1"/>
  <c r="M258" i="5"/>
  <c r="AT240" i="6" s="1"/>
  <c r="AU240" i="6" s="1"/>
  <c r="AV240" i="6" s="1"/>
  <c r="AA257" i="5"/>
  <c r="X257" i="5"/>
  <c r="AT239" i="6"/>
  <c r="AU239" i="6" s="1"/>
  <c r="AV239" i="6" s="1"/>
  <c r="AS239" i="6"/>
  <c r="Q259" i="5"/>
  <c r="T259" i="5"/>
  <c r="C258" i="5"/>
  <c r="M240" i="6" s="1"/>
  <c r="R240" i="6" s="1"/>
  <c r="T240" i="6" s="1"/>
  <c r="U240" i="6" s="1"/>
  <c r="F258" i="5"/>
  <c r="V240" i="6" s="1"/>
  <c r="AS237" i="6"/>
  <c r="AW237" i="6" s="1"/>
  <c r="AX237" i="6" s="1"/>
  <c r="AY237" i="6" s="1"/>
  <c r="AS238" i="6"/>
  <c r="AW238" i="6" s="1"/>
  <c r="AX238" i="6" s="1"/>
  <c r="AY238" i="6" s="1"/>
  <c r="AQ259" i="6"/>
  <c r="AJ260" i="6"/>
  <c r="AO260" i="6" s="1"/>
  <c r="AQ260" i="6" s="1"/>
  <c r="AI261" i="6"/>
  <c r="AG261" i="6"/>
  <c r="AH261" i="6" s="1"/>
  <c r="AL261" i="6"/>
  <c r="AD262" i="6"/>
  <c r="AM261" i="6"/>
  <c r="AF241" i="6"/>
  <c r="AE242" i="6"/>
  <c r="L259" i="6"/>
  <c r="Q259" i="6" s="1"/>
  <c r="S259" i="6" s="1"/>
  <c r="H259" i="6"/>
  <c r="I260" i="6"/>
  <c r="J260" i="6" s="1"/>
  <c r="G260" i="6"/>
  <c r="K260" i="6"/>
  <c r="O260" i="6"/>
  <c r="N260" i="6"/>
  <c r="F261" i="6"/>
  <c r="P261" i="6" s="1"/>
  <c r="U239" i="6"/>
  <c r="Y239" i="6" s="1"/>
  <c r="Z239" i="6" s="1"/>
  <c r="AA239" i="6" s="1"/>
  <c r="W239" i="6"/>
  <c r="X239" i="6" s="1"/>
  <c r="Q260" i="5" l="1"/>
  <c r="T260" i="5"/>
  <c r="AA258" i="5"/>
  <c r="X258" i="5"/>
  <c r="M259" i="5"/>
  <c r="J259" i="5"/>
  <c r="AK241" i="6" s="1"/>
  <c r="AP241" i="6" s="1"/>
  <c r="AR241" i="6" s="1"/>
  <c r="AW239" i="6"/>
  <c r="AX239" i="6" s="1"/>
  <c r="AY239" i="6" s="1"/>
  <c r="C259" i="5"/>
  <c r="M241" i="6" s="1"/>
  <c r="R241" i="6" s="1"/>
  <c r="T241" i="6" s="1"/>
  <c r="U241" i="6" s="1"/>
  <c r="F259" i="5"/>
  <c r="V241" i="6" s="1"/>
  <c r="AN262" i="6"/>
  <c r="AP240" i="6"/>
  <c r="AJ261" i="6"/>
  <c r="AO261" i="6" s="1"/>
  <c r="AF242" i="6"/>
  <c r="AE243" i="6"/>
  <c r="AM262" i="6"/>
  <c r="AD263" i="6"/>
  <c r="AN263" i="6" s="1"/>
  <c r="AL262" i="6"/>
  <c r="AI262" i="6"/>
  <c r="AG262" i="6"/>
  <c r="AH262" i="6" s="1"/>
  <c r="L260" i="6"/>
  <c r="Q260" i="6" s="1"/>
  <c r="S260" i="6" s="1"/>
  <c r="K261" i="6"/>
  <c r="F262" i="6"/>
  <c r="P262" i="6" s="1"/>
  <c r="I261" i="6"/>
  <c r="J261" i="6" s="1"/>
  <c r="G261" i="6"/>
  <c r="O261" i="6"/>
  <c r="N261" i="6"/>
  <c r="H260" i="6"/>
  <c r="J260" i="5" l="1"/>
  <c r="AK242" i="6" s="1"/>
  <c r="AP242" i="6" s="1"/>
  <c r="AR242" i="6" s="1"/>
  <c r="M260" i="5"/>
  <c r="AT241" i="6"/>
  <c r="AU241" i="6" s="1"/>
  <c r="AV241" i="6" s="1"/>
  <c r="X259" i="5"/>
  <c r="AA259" i="5"/>
  <c r="Q261" i="5"/>
  <c r="T261" i="5"/>
  <c r="C260" i="5"/>
  <c r="M242" i="6" s="1"/>
  <c r="R242" i="6" s="1"/>
  <c r="T242" i="6" s="1"/>
  <c r="F260" i="5"/>
  <c r="V242" i="6" s="1"/>
  <c r="AQ261" i="6"/>
  <c r="AR240" i="6"/>
  <c r="AT242" i="6"/>
  <c r="AU242" i="6" s="1"/>
  <c r="AV242" i="6" s="1"/>
  <c r="AJ262" i="6"/>
  <c r="AO262" i="6" s="1"/>
  <c r="AQ262" i="6" s="1"/>
  <c r="AM263" i="6"/>
  <c r="AD264" i="6"/>
  <c r="AN264" i="6" s="1"/>
  <c r="AL263" i="6"/>
  <c r="AI263" i="6"/>
  <c r="AG263" i="6"/>
  <c r="AH263" i="6" s="1"/>
  <c r="AF243" i="6"/>
  <c r="AE244" i="6"/>
  <c r="L261" i="6"/>
  <c r="Q261" i="6" s="1"/>
  <c r="S261" i="6" s="1"/>
  <c r="H261" i="6"/>
  <c r="G262" i="6"/>
  <c r="O262" i="6"/>
  <c r="N262" i="6"/>
  <c r="F263" i="6"/>
  <c r="P263" i="6" s="1"/>
  <c r="K262" i="6"/>
  <c r="I262" i="6"/>
  <c r="J262" i="6" s="1"/>
  <c r="W241" i="6"/>
  <c r="X241" i="6" s="1"/>
  <c r="Y241" i="6"/>
  <c r="Z241" i="6" s="1"/>
  <c r="AA241" i="6" s="1"/>
  <c r="W240" i="6"/>
  <c r="X240" i="6" s="1"/>
  <c r="Y240" i="6"/>
  <c r="Z240" i="6" s="1"/>
  <c r="AA240" i="6" s="1"/>
  <c r="AS242" i="6" l="1"/>
  <c r="AW242" i="6" s="1"/>
  <c r="AX242" i="6" s="1"/>
  <c r="AY242" i="6" s="1"/>
  <c r="T262" i="5"/>
  <c r="Q262" i="5"/>
  <c r="AA260" i="5"/>
  <c r="X260" i="5"/>
  <c r="J261" i="5"/>
  <c r="AK243" i="6" s="1"/>
  <c r="AP243" i="6" s="1"/>
  <c r="M261" i="5"/>
  <c r="C261" i="5"/>
  <c r="M243" i="6" s="1"/>
  <c r="R243" i="6" s="1"/>
  <c r="T243" i="6" s="1"/>
  <c r="U243" i="6" s="1"/>
  <c r="F261" i="5"/>
  <c r="V243" i="6" s="1"/>
  <c r="AS240" i="6"/>
  <c r="AW240" i="6" s="1"/>
  <c r="AX240" i="6" s="1"/>
  <c r="AY240" i="6" s="1"/>
  <c r="AS241" i="6"/>
  <c r="AW241" i="6" s="1"/>
  <c r="AX241" i="6" s="1"/>
  <c r="AY241" i="6" s="1"/>
  <c r="AJ263" i="6"/>
  <c r="AO263" i="6" s="1"/>
  <c r="AF244" i="6"/>
  <c r="AE245" i="6"/>
  <c r="AG264" i="6"/>
  <c r="AH264" i="6" s="1"/>
  <c r="AL264" i="6"/>
  <c r="AD265" i="6"/>
  <c r="AM264" i="6"/>
  <c r="AI264" i="6"/>
  <c r="AJ264" i="6" s="1"/>
  <c r="L262" i="6"/>
  <c r="Q262" i="6" s="1"/>
  <c r="S262" i="6" s="1"/>
  <c r="N263" i="6"/>
  <c r="F264" i="6"/>
  <c r="P264" i="6" s="1"/>
  <c r="G263" i="6"/>
  <c r="K263" i="6"/>
  <c r="O263" i="6"/>
  <c r="I263" i="6"/>
  <c r="J263" i="6" s="1"/>
  <c r="H262" i="6"/>
  <c r="U242" i="6"/>
  <c r="W242" i="6"/>
  <c r="X242" i="6" s="1"/>
  <c r="J262" i="5" l="1"/>
  <c r="AK244" i="6" s="1"/>
  <c r="AP244" i="6" s="1"/>
  <c r="AR244" i="6" s="1"/>
  <c r="M262" i="5"/>
  <c r="AT244" i="6" s="1"/>
  <c r="AT24" i="12" s="1"/>
  <c r="AT243" i="6"/>
  <c r="AU243" i="6" s="1"/>
  <c r="AV243" i="6" s="1"/>
  <c r="AA261" i="5"/>
  <c r="X261" i="5"/>
  <c r="Q263" i="5"/>
  <c r="T263" i="5"/>
  <c r="C262" i="5"/>
  <c r="M244" i="6" s="1"/>
  <c r="R244" i="6" s="1"/>
  <c r="T244" i="6" s="1"/>
  <c r="U244" i="6" s="1"/>
  <c r="F262" i="5"/>
  <c r="V244" i="6" s="1"/>
  <c r="AN265" i="6"/>
  <c r="AQ263" i="6"/>
  <c r="AR243" i="6"/>
  <c r="AS243" i="6" s="1"/>
  <c r="AW243" i="6" s="1"/>
  <c r="AX243" i="6" s="1"/>
  <c r="AY243" i="6" s="1"/>
  <c r="AO264" i="6"/>
  <c r="AQ264" i="6" s="1"/>
  <c r="AM265" i="6"/>
  <c r="AD266" i="6"/>
  <c r="AN266" i="6" s="1"/>
  <c r="AL265" i="6"/>
  <c r="AI265" i="6"/>
  <c r="AG265" i="6"/>
  <c r="AH265" i="6" s="1"/>
  <c r="AF245" i="6"/>
  <c r="AE246" i="6"/>
  <c r="L263" i="6"/>
  <c r="Q263" i="6" s="1"/>
  <c r="S263" i="6" s="1"/>
  <c r="H263" i="6"/>
  <c r="G264" i="6"/>
  <c r="I264" i="6"/>
  <c r="J264" i="6" s="1"/>
  <c r="K264" i="6"/>
  <c r="O264" i="6"/>
  <c r="F265" i="6"/>
  <c r="P265" i="6" s="1"/>
  <c r="N264" i="6"/>
  <c r="W243" i="6"/>
  <c r="X243" i="6" s="1"/>
  <c r="Y243" i="6"/>
  <c r="Z243" i="6" s="1"/>
  <c r="AA243" i="6" s="1"/>
  <c r="Y242" i="6"/>
  <c r="Z242" i="6" s="1"/>
  <c r="AA242" i="6" s="1"/>
  <c r="Q264" i="5" l="1"/>
  <c r="T264" i="5"/>
  <c r="AA262" i="5"/>
  <c r="X262" i="5"/>
  <c r="M263" i="5"/>
  <c r="J263" i="5"/>
  <c r="C263" i="5"/>
  <c r="F263" i="5"/>
  <c r="V245" i="6" s="1"/>
  <c r="AU244" i="6"/>
  <c r="AS244" i="6"/>
  <c r="AW244" i="6" s="1"/>
  <c r="AT245" i="6"/>
  <c r="AU245" i="6" s="1"/>
  <c r="AV245" i="6" s="1"/>
  <c r="AJ265" i="6"/>
  <c r="AO265" i="6" s="1"/>
  <c r="AF246" i="6"/>
  <c r="AE247" i="6"/>
  <c r="AI266" i="6"/>
  <c r="AD267" i="6"/>
  <c r="AL266" i="6"/>
  <c r="AM266" i="6"/>
  <c r="AG266" i="6"/>
  <c r="AH266" i="6" s="1"/>
  <c r="L264" i="6"/>
  <c r="Q264" i="6" s="1"/>
  <c r="S264" i="6" s="1"/>
  <c r="H264" i="6"/>
  <c r="K265" i="6"/>
  <c r="I265" i="6"/>
  <c r="J265" i="6" s="1"/>
  <c r="F266" i="6"/>
  <c r="P266" i="6" s="1"/>
  <c r="O265" i="6"/>
  <c r="N265" i="6"/>
  <c r="G265" i="6"/>
  <c r="Y244" i="6"/>
  <c r="M264" i="5" l="1"/>
  <c r="AT246" i="6" s="1"/>
  <c r="AU246" i="6" s="1"/>
  <c r="AV246" i="6" s="1"/>
  <c r="J264" i="5"/>
  <c r="AK246" i="6" s="1"/>
  <c r="AP246" i="6" s="1"/>
  <c r="AR246" i="6" s="1"/>
  <c r="AA263" i="5"/>
  <c r="X263" i="5"/>
  <c r="AK245" i="6"/>
  <c r="AP245" i="6" s="1"/>
  <c r="T265" i="5"/>
  <c r="Q265" i="5"/>
  <c r="F264" i="5"/>
  <c r="V246" i="6" s="1"/>
  <c r="C264" i="5"/>
  <c r="M246" i="6" s="1"/>
  <c r="R246" i="6" s="1"/>
  <c r="T246" i="6" s="1"/>
  <c r="AN267" i="6"/>
  <c r="AX244" i="6"/>
  <c r="AW24" i="12"/>
  <c r="AQ265" i="6"/>
  <c r="AV244" i="6"/>
  <c r="AV24" i="12" s="1"/>
  <c r="AU24" i="12"/>
  <c r="M245" i="6"/>
  <c r="R245" i="6" s="1"/>
  <c r="T245" i="6" s="1"/>
  <c r="U245" i="6" s="1"/>
  <c r="Y245" i="6" s="1"/>
  <c r="Z245" i="6" s="1"/>
  <c r="AA245" i="6" s="1"/>
  <c r="AJ266" i="6"/>
  <c r="AO266" i="6" s="1"/>
  <c r="AQ266" i="6" s="1"/>
  <c r="AD268" i="6"/>
  <c r="AN268" i="6" s="1"/>
  <c r="AI267" i="6"/>
  <c r="AM267" i="6"/>
  <c r="AL267" i="6"/>
  <c r="AG267" i="6"/>
  <c r="AH267" i="6" s="1"/>
  <c r="AF247" i="6"/>
  <c r="AE248" i="6"/>
  <c r="L265" i="6"/>
  <c r="Q265" i="6" s="1"/>
  <c r="S265" i="6" s="1"/>
  <c r="H265" i="6"/>
  <c r="F267" i="6"/>
  <c r="P267" i="6" s="1"/>
  <c r="O266" i="6"/>
  <c r="I266" i="6"/>
  <c r="J266" i="6" s="1"/>
  <c r="K266" i="6"/>
  <c r="N266" i="6"/>
  <c r="G266" i="6"/>
  <c r="Z244" i="6"/>
  <c r="W245" i="6"/>
  <c r="X245" i="6" s="1"/>
  <c r="W244" i="6"/>
  <c r="Q266" i="5" l="1"/>
  <c r="T266" i="5"/>
  <c r="X264" i="5"/>
  <c r="AA264" i="5"/>
  <c r="M265" i="5"/>
  <c r="AT247" i="6" s="1"/>
  <c r="AU247" i="6" s="1"/>
  <c r="AV247" i="6" s="1"/>
  <c r="J265" i="5"/>
  <c r="AK247" i="6" s="1"/>
  <c r="C265" i="5"/>
  <c r="M247" i="6" s="1"/>
  <c r="R247" i="6" s="1"/>
  <c r="T247" i="6" s="1"/>
  <c r="F265" i="5"/>
  <c r="V247" i="6" s="1"/>
  <c r="AR245" i="6"/>
  <c r="AY244" i="6"/>
  <c r="AY24" i="12" s="1"/>
  <c r="AX24" i="12"/>
  <c r="AJ267" i="6"/>
  <c r="AO267" i="6" s="1"/>
  <c r="AQ267" i="6" s="1"/>
  <c r="AF248" i="6"/>
  <c r="AE249" i="6"/>
  <c r="AL268" i="6"/>
  <c r="AD269" i="6"/>
  <c r="AM268" i="6"/>
  <c r="AI268" i="6"/>
  <c r="AG268" i="6"/>
  <c r="AH268" i="6" s="1"/>
  <c r="H266" i="6"/>
  <c r="L266" i="6"/>
  <c r="Q266" i="6" s="1"/>
  <c r="S266" i="6" s="1"/>
  <c r="O267" i="6"/>
  <c r="K267" i="6"/>
  <c r="I267" i="6"/>
  <c r="J267" i="6" s="1"/>
  <c r="G267" i="6"/>
  <c r="F268" i="6"/>
  <c r="P268" i="6" s="1"/>
  <c r="N267" i="6"/>
  <c r="X244" i="6"/>
  <c r="U246" i="6"/>
  <c r="W246" i="6"/>
  <c r="X246" i="6" s="1"/>
  <c r="AA244" i="6"/>
  <c r="J266" i="5" l="1"/>
  <c r="AK248" i="6" s="1"/>
  <c r="AP248" i="6" s="1"/>
  <c r="AR248" i="6" s="1"/>
  <c r="M266" i="5"/>
  <c r="AT248" i="6" s="1"/>
  <c r="AU248" i="6" s="1"/>
  <c r="AV248" i="6" s="1"/>
  <c r="AA265" i="5"/>
  <c r="X265" i="5"/>
  <c r="Q267" i="5"/>
  <c r="T267" i="5"/>
  <c r="C266" i="5"/>
  <c r="M248" i="6" s="1"/>
  <c r="R248" i="6" s="1"/>
  <c r="T248" i="6" s="1"/>
  <c r="F266" i="5"/>
  <c r="V248" i="6" s="1"/>
  <c r="AN269" i="6"/>
  <c r="AP247" i="6"/>
  <c r="AS245" i="6"/>
  <c r="AW245" i="6" s="1"/>
  <c r="AX245" i="6" s="1"/>
  <c r="AY245" i="6" s="1"/>
  <c r="AS246" i="6"/>
  <c r="AW246" i="6" s="1"/>
  <c r="AX246" i="6" s="1"/>
  <c r="AY246" i="6" s="1"/>
  <c r="AJ268" i="6"/>
  <c r="AO268" i="6" s="1"/>
  <c r="AQ268" i="6" s="1"/>
  <c r="AM269" i="6"/>
  <c r="AL269" i="6"/>
  <c r="AI269" i="6"/>
  <c r="AG269" i="6"/>
  <c r="AH269" i="6" s="1"/>
  <c r="AD270" i="6"/>
  <c r="AN270" i="6" s="1"/>
  <c r="AF249" i="6"/>
  <c r="AE250" i="6"/>
  <c r="L267" i="6"/>
  <c r="Q267" i="6" s="1"/>
  <c r="S267" i="6" s="1"/>
  <c r="I268" i="6"/>
  <c r="J268" i="6" s="1"/>
  <c r="G268" i="6"/>
  <c r="H268" i="6" s="1"/>
  <c r="K268" i="6"/>
  <c r="F269" i="6"/>
  <c r="P269" i="6" s="1"/>
  <c r="O268" i="6"/>
  <c r="N268" i="6"/>
  <c r="H267" i="6"/>
  <c r="W247" i="6"/>
  <c r="X247" i="6" s="1"/>
  <c r="U247" i="6"/>
  <c r="Y247" i="6" s="1"/>
  <c r="Z247" i="6" s="1"/>
  <c r="AA247" i="6" s="1"/>
  <c r="Y246" i="6"/>
  <c r="Z246" i="6" s="1"/>
  <c r="AA246" i="6" s="1"/>
  <c r="Q268" i="5" l="1"/>
  <c r="T268" i="5"/>
  <c r="X266" i="5"/>
  <c r="AA266" i="5"/>
  <c r="J267" i="5"/>
  <c r="M267" i="5"/>
  <c r="C267" i="5"/>
  <c r="M249" i="6" s="1"/>
  <c r="R249" i="6" s="1"/>
  <c r="T249" i="6" s="1"/>
  <c r="F267" i="5"/>
  <c r="V249" i="6" s="1"/>
  <c r="AR247" i="6"/>
  <c r="AJ269" i="6"/>
  <c r="AO269" i="6" s="1"/>
  <c r="AF250" i="6"/>
  <c r="AE251" i="6"/>
  <c r="AM270" i="6"/>
  <c r="AL270" i="6"/>
  <c r="AI270" i="6"/>
  <c r="AD271" i="6"/>
  <c r="AG270" i="6"/>
  <c r="AH270" i="6" s="1"/>
  <c r="L268" i="6"/>
  <c r="Q268" i="6" s="1"/>
  <c r="S268" i="6" s="1"/>
  <c r="N269" i="6"/>
  <c r="G269" i="6"/>
  <c r="O269" i="6"/>
  <c r="K269" i="6"/>
  <c r="I269" i="6"/>
  <c r="J269" i="6" s="1"/>
  <c r="F270" i="6"/>
  <c r="P270" i="6" s="1"/>
  <c r="W248" i="6"/>
  <c r="X248" i="6" s="1"/>
  <c r="U248" i="6"/>
  <c r="Y248" i="6" s="1"/>
  <c r="Z248" i="6" s="1"/>
  <c r="AA248" i="6" s="1"/>
  <c r="J268" i="5" l="1"/>
  <c r="AK250" i="6" s="1"/>
  <c r="AP250" i="6" s="1"/>
  <c r="AR250" i="6" s="1"/>
  <c r="M268" i="5"/>
  <c r="AT250" i="6" s="1"/>
  <c r="AA267" i="5"/>
  <c r="X267" i="5"/>
  <c r="Q269" i="5"/>
  <c r="T269" i="5"/>
  <c r="AT249" i="6"/>
  <c r="AU249" i="6" s="1"/>
  <c r="AV249" i="6" s="1"/>
  <c r="AK249" i="6"/>
  <c r="AP249" i="6" s="1"/>
  <c r="F268" i="5"/>
  <c r="V250" i="6" s="1"/>
  <c r="C268" i="5"/>
  <c r="AN271" i="6"/>
  <c r="AS247" i="6"/>
  <c r="AW247" i="6" s="1"/>
  <c r="AX247" i="6" s="1"/>
  <c r="AY247" i="6" s="1"/>
  <c r="AS248" i="6"/>
  <c r="AW248" i="6" s="1"/>
  <c r="AX248" i="6" s="1"/>
  <c r="AY248" i="6" s="1"/>
  <c r="AQ269" i="6"/>
  <c r="AJ270" i="6"/>
  <c r="AO270" i="6" s="1"/>
  <c r="AQ270" i="6" s="1"/>
  <c r="AM271" i="6"/>
  <c r="AL271" i="6"/>
  <c r="AD272" i="6"/>
  <c r="AN272" i="6" s="1"/>
  <c r="AI271" i="6"/>
  <c r="AG271" i="6"/>
  <c r="AH271" i="6" s="1"/>
  <c r="AF251" i="6"/>
  <c r="AE252" i="6"/>
  <c r="H269" i="6"/>
  <c r="O270" i="6"/>
  <c r="G270" i="6"/>
  <c r="H270" i="6" s="1"/>
  <c r="N270" i="6"/>
  <c r="F271" i="6"/>
  <c r="P271" i="6" s="1"/>
  <c r="K270" i="6"/>
  <c r="I270" i="6"/>
  <c r="J270" i="6" s="1"/>
  <c r="L269" i="6"/>
  <c r="Q269" i="6" s="1"/>
  <c r="S269" i="6" s="1"/>
  <c r="U249" i="6"/>
  <c r="W249" i="6"/>
  <c r="X249" i="6" s="1"/>
  <c r="Q270" i="5" l="1"/>
  <c r="T270" i="5"/>
  <c r="AA268" i="5"/>
  <c r="X268" i="5"/>
  <c r="J269" i="5"/>
  <c r="AK251" i="6" s="1"/>
  <c r="M269" i="5"/>
  <c r="C269" i="5"/>
  <c r="M251" i="6" s="1"/>
  <c r="R251" i="6" s="1"/>
  <c r="T251" i="6" s="1"/>
  <c r="F269" i="5"/>
  <c r="V251" i="6" s="1"/>
  <c r="AR249" i="6"/>
  <c r="M250" i="6"/>
  <c r="R250" i="6" s="1"/>
  <c r="T250" i="6" s="1"/>
  <c r="U250" i="6" s="1"/>
  <c r="Y250" i="6" s="1"/>
  <c r="Z250" i="6" s="1"/>
  <c r="AA250" i="6" s="1"/>
  <c r="AU250" i="6"/>
  <c r="AV250" i="6" s="1"/>
  <c r="AJ271" i="6"/>
  <c r="AO271" i="6" s="1"/>
  <c r="AF252" i="6"/>
  <c r="AE253" i="6"/>
  <c r="AM272" i="6"/>
  <c r="AL272" i="6"/>
  <c r="AG272" i="6"/>
  <c r="AH272" i="6" s="1"/>
  <c r="AD273" i="6"/>
  <c r="AI272" i="6"/>
  <c r="L270" i="6"/>
  <c r="Q270" i="6" s="1"/>
  <c r="S270" i="6" s="1"/>
  <c r="G271" i="6"/>
  <c r="K271" i="6"/>
  <c r="O271" i="6"/>
  <c r="F272" i="6"/>
  <c r="P272" i="6" s="1"/>
  <c r="N271" i="6"/>
  <c r="I271" i="6"/>
  <c r="J271" i="6" s="1"/>
  <c r="Y249" i="6"/>
  <c r="Z249" i="6" s="1"/>
  <c r="AA249" i="6" s="1"/>
  <c r="W250" i="6"/>
  <c r="X250" i="6" s="1"/>
  <c r="U251" i="6" l="1"/>
  <c r="Y251" i="6" s="1"/>
  <c r="Z251" i="6" s="1"/>
  <c r="AA251" i="6" s="1"/>
  <c r="J270" i="5"/>
  <c r="AK252" i="6" s="1"/>
  <c r="AP252" i="6" s="1"/>
  <c r="AR252" i="6" s="1"/>
  <c r="M270" i="5"/>
  <c r="AT252" i="6" s="1"/>
  <c r="AT251" i="6"/>
  <c r="AU251" i="6" s="1"/>
  <c r="AV251" i="6" s="1"/>
  <c r="X269" i="5"/>
  <c r="AA269" i="5"/>
  <c r="T271" i="5"/>
  <c r="Q271" i="5"/>
  <c r="C270" i="5"/>
  <c r="M252" i="6" s="1"/>
  <c r="R252" i="6" s="1"/>
  <c r="T252" i="6" s="1"/>
  <c r="F270" i="5"/>
  <c r="V252" i="6" s="1"/>
  <c r="AN273" i="6"/>
  <c r="AP251" i="6"/>
  <c r="AS249" i="6"/>
  <c r="AW249" i="6" s="1"/>
  <c r="AX249" i="6" s="1"/>
  <c r="AY249" i="6" s="1"/>
  <c r="AS250" i="6"/>
  <c r="AW250" i="6" s="1"/>
  <c r="AX250" i="6" s="1"/>
  <c r="AY250" i="6" s="1"/>
  <c r="AQ271" i="6"/>
  <c r="AJ272" i="6"/>
  <c r="AO272" i="6" s="1"/>
  <c r="AQ272" i="6" s="1"/>
  <c r="AM273" i="6"/>
  <c r="AD274" i="6"/>
  <c r="AN274" i="6" s="1"/>
  <c r="AL273" i="6"/>
  <c r="AI273" i="6"/>
  <c r="AG273" i="6"/>
  <c r="AH273" i="6" s="1"/>
  <c r="AF253" i="6"/>
  <c r="AE254" i="6"/>
  <c r="L271" i="6"/>
  <c r="Q271" i="6" s="1"/>
  <c r="S271" i="6" s="1"/>
  <c r="O272" i="6"/>
  <c r="K272" i="6"/>
  <c r="G272" i="6"/>
  <c r="F273" i="6"/>
  <c r="P273" i="6" s="1"/>
  <c r="I272" i="6"/>
  <c r="J272" i="6" s="1"/>
  <c r="N272" i="6"/>
  <c r="H271" i="6"/>
  <c r="W251" i="6"/>
  <c r="X251" i="6" s="1"/>
  <c r="T272" i="5" l="1"/>
  <c r="Q272" i="5"/>
  <c r="X270" i="5"/>
  <c r="AA270" i="5"/>
  <c r="M271" i="5"/>
  <c r="J271" i="5"/>
  <c r="AK253" i="6" s="1"/>
  <c r="C271" i="5"/>
  <c r="M253" i="6" s="1"/>
  <c r="R253" i="6" s="1"/>
  <c r="T253" i="6" s="1"/>
  <c r="U253" i="6" s="1"/>
  <c r="F271" i="5"/>
  <c r="V253" i="6" s="1"/>
  <c r="AR251" i="6"/>
  <c r="AU252" i="6"/>
  <c r="AV252" i="6" s="1"/>
  <c r="AF254" i="6"/>
  <c r="AE255" i="6"/>
  <c r="AJ273" i="6"/>
  <c r="AO273" i="6" s="1"/>
  <c r="AD275" i="6"/>
  <c r="AL274" i="6"/>
  <c r="AI274" i="6"/>
  <c r="AM274" i="6"/>
  <c r="AG274" i="6"/>
  <c r="AH274" i="6" s="1"/>
  <c r="L272" i="6"/>
  <c r="Q272" i="6" s="1"/>
  <c r="S272" i="6" s="1"/>
  <c r="I273" i="6"/>
  <c r="J273" i="6" s="1"/>
  <c r="G273" i="6"/>
  <c r="H273" i="6" s="1"/>
  <c r="K273" i="6"/>
  <c r="F274" i="6"/>
  <c r="P274" i="6" s="1"/>
  <c r="O273" i="6"/>
  <c r="N273" i="6"/>
  <c r="H272" i="6"/>
  <c r="W252" i="6"/>
  <c r="X252" i="6" s="1"/>
  <c r="U252" i="6"/>
  <c r="Y252" i="6" s="1"/>
  <c r="Z252" i="6" s="1"/>
  <c r="AA252" i="6" s="1"/>
  <c r="J272" i="5" l="1"/>
  <c r="AK254" i="6" s="1"/>
  <c r="AP254" i="6" s="1"/>
  <c r="AR254" i="6" s="1"/>
  <c r="M272" i="5"/>
  <c r="AT254" i="6" s="1"/>
  <c r="AU254" i="6" s="1"/>
  <c r="AV254" i="6" s="1"/>
  <c r="X271" i="5"/>
  <c r="AA271" i="5"/>
  <c r="AT253" i="6"/>
  <c r="AU253" i="6" s="1"/>
  <c r="AV253" i="6" s="1"/>
  <c r="T273" i="5"/>
  <c r="Q273" i="5"/>
  <c r="F272" i="5"/>
  <c r="V254" i="6" s="1"/>
  <c r="C272" i="5"/>
  <c r="M254" i="6" s="1"/>
  <c r="R254" i="6" s="1"/>
  <c r="T254" i="6" s="1"/>
  <c r="AN275" i="6"/>
  <c r="AP253" i="6"/>
  <c r="AQ273" i="6"/>
  <c r="AS251" i="6"/>
  <c r="AW251" i="6" s="1"/>
  <c r="AX251" i="6" s="1"/>
  <c r="AY251" i="6" s="1"/>
  <c r="AS252" i="6"/>
  <c r="AW252" i="6" s="1"/>
  <c r="AX252" i="6" s="1"/>
  <c r="AY252" i="6" s="1"/>
  <c r="AJ274" i="6"/>
  <c r="AO274" i="6" s="1"/>
  <c r="AQ274" i="6" s="1"/>
  <c r="AM275" i="6"/>
  <c r="AL275" i="6"/>
  <c r="AI275" i="6"/>
  <c r="AG275" i="6"/>
  <c r="AH275" i="6" s="1"/>
  <c r="AD276" i="6"/>
  <c r="AN276" i="6" s="1"/>
  <c r="AF255" i="6"/>
  <c r="AE256" i="6"/>
  <c r="L273" i="6"/>
  <c r="Q273" i="6" s="1"/>
  <c r="S273" i="6" s="1"/>
  <c r="N274" i="6"/>
  <c r="K274" i="6"/>
  <c r="I274" i="6"/>
  <c r="J274" i="6" s="1"/>
  <c r="F275" i="6"/>
  <c r="P275" i="6" s="1"/>
  <c r="G274" i="6"/>
  <c r="O274" i="6"/>
  <c r="W253" i="6"/>
  <c r="X253" i="6" s="1"/>
  <c r="Y253" i="6"/>
  <c r="Z253" i="6" s="1"/>
  <c r="AA253" i="6" s="1"/>
  <c r="T274" i="5" l="1"/>
  <c r="Q274" i="5"/>
  <c r="X272" i="5"/>
  <c r="AA272" i="5"/>
  <c r="M273" i="5"/>
  <c r="J273" i="5"/>
  <c r="AK255" i="6" s="1"/>
  <c r="AP255" i="6" s="1"/>
  <c r="AR255" i="6" s="1"/>
  <c r="C273" i="5"/>
  <c r="M255" i="6" s="1"/>
  <c r="R255" i="6" s="1"/>
  <c r="T255" i="6" s="1"/>
  <c r="U255" i="6" s="1"/>
  <c r="F273" i="5"/>
  <c r="AR253" i="6"/>
  <c r="AS255" i="6"/>
  <c r="AJ275" i="6"/>
  <c r="AO275" i="6" s="1"/>
  <c r="AF256" i="6"/>
  <c r="AE257" i="6"/>
  <c r="AD277" i="6"/>
  <c r="AN277" i="6" s="1"/>
  <c r="AM276" i="6"/>
  <c r="AL276" i="6"/>
  <c r="AI276" i="6"/>
  <c r="AG276" i="6"/>
  <c r="AH276" i="6" s="1"/>
  <c r="L274" i="6"/>
  <c r="Q274" i="6" s="1"/>
  <c r="S274" i="6" s="1"/>
  <c r="H274" i="6"/>
  <c r="G275" i="6"/>
  <c r="O275" i="6"/>
  <c r="K275" i="6"/>
  <c r="N275" i="6"/>
  <c r="F276" i="6"/>
  <c r="P276" i="6" s="1"/>
  <c r="I275" i="6"/>
  <c r="J275" i="6" s="1"/>
  <c r="U254" i="6"/>
  <c r="W254" i="6"/>
  <c r="X254" i="6" s="1"/>
  <c r="J274" i="5" l="1"/>
  <c r="AK256" i="6" s="1"/>
  <c r="AP256" i="6" s="1"/>
  <c r="AR256" i="6" s="1"/>
  <c r="AS256" i="6" s="1"/>
  <c r="M274" i="5"/>
  <c r="AT256" i="6" s="1"/>
  <c r="AT25" i="12" s="1"/>
  <c r="X273" i="5"/>
  <c r="AA273" i="5"/>
  <c r="AT255" i="6"/>
  <c r="AU255" i="6" s="1"/>
  <c r="AV255" i="6" s="1"/>
  <c r="T275" i="5"/>
  <c r="Q275" i="5"/>
  <c r="C274" i="5"/>
  <c r="M256" i="6" s="1"/>
  <c r="R256" i="6" s="1"/>
  <c r="T256" i="6" s="1"/>
  <c r="F274" i="5"/>
  <c r="V256" i="6" s="1"/>
  <c r="V255" i="6"/>
  <c r="Y255" i="6" s="1"/>
  <c r="Z255" i="6" s="1"/>
  <c r="AA255" i="6" s="1"/>
  <c r="AW255" i="6"/>
  <c r="AX255" i="6" s="1"/>
  <c r="AY255" i="6" s="1"/>
  <c r="AQ275" i="6"/>
  <c r="AS253" i="6"/>
  <c r="AW253" i="6" s="1"/>
  <c r="AX253" i="6" s="1"/>
  <c r="AY253" i="6" s="1"/>
  <c r="AS254" i="6"/>
  <c r="AW254" i="6" s="1"/>
  <c r="AX254" i="6" s="1"/>
  <c r="AY254" i="6" s="1"/>
  <c r="AM277" i="6"/>
  <c r="AL277" i="6"/>
  <c r="AI277" i="6"/>
  <c r="AG277" i="6"/>
  <c r="AH277" i="6" s="1"/>
  <c r="AD278" i="6"/>
  <c r="AJ276" i="6"/>
  <c r="AO276" i="6" s="1"/>
  <c r="AQ276" i="6" s="1"/>
  <c r="AF257" i="6"/>
  <c r="AE258" i="6"/>
  <c r="L275" i="6"/>
  <c r="Q275" i="6" s="1"/>
  <c r="S275" i="6" s="1"/>
  <c r="G276" i="6"/>
  <c r="N276" i="6"/>
  <c r="O276" i="6"/>
  <c r="K276" i="6"/>
  <c r="I276" i="6"/>
  <c r="J276" i="6" s="1"/>
  <c r="F277" i="6"/>
  <c r="P277" i="6" s="1"/>
  <c r="H275" i="6"/>
  <c r="Y254" i="6"/>
  <c r="Z254" i="6" s="1"/>
  <c r="AA254" i="6" s="1"/>
  <c r="T276" i="5" l="1"/>
  <c r="Q276" i="5"/>
  <c r="AA274" i="5"/>
  <c r="X274" i="5"/>
  <c r="M275" i="5"/>
  <c r="AT257" i="6" s="1"/>
  <c r="AU257" i="6" s="1"/>
  <c r="AV257" i="6" s="1"/>
  <c r="J275" i="5"/>
  <c r="W255" i="6"/>
  <c r="X255" i="6" s="1"/>
  <c r="C275" i="5"/>
  <c r="F275" i="5"/>
  <c r="V257" i="6" s="1"/>
  <c r="AN278" i="6"/>
  <c r="AW256" i="6"/>
  <c r="AX256" i="6" s="1"/>
  <c r="AU256" i="6"/>
  <c r="AV256" i="6" s="1"/>
  <c r="AV25" i="12" s="1"/>
  <c r="AJ277" i="6"/>
  <c r="AO277" i="6" s="1"/>
  <c r="AF258" i="6"/>
  <c r="AE259" i="6"/>
  <c r="AL278" i="6"/>
  <c r="AD279" i="6"/>
  <c r="AN279" i="6" s="1"/>
  <c r="AM278" i="6"/>
  <c r="AG278" i="6"/>
  <c r="AH278" i="6" s="1"/>
  <c r="AI278" i="6"/>
  <c r="L276" i="6"/>
  <c r="Q276" i="6" s="1"/>
  <c r="S276" i="6" s="1"/>
  <c r="K277" i="6"/>
  <c r="G277" i="6"/>
  <c r="I277" i="6"/>
  <c r="J277" i="6" s="1"/>
  <c r="O277" i="6"/>
  <c r="F278" i="6"/>
  <c r="P278" i="6" s="1"/>
  <c r="N277" i="6"/>
  <c r="H276" i="6"/>
  <c r="U256" i="6"/>
  <c r="Y256" i="6" s="1"/>
  <c r="AW25" i="12" l="1"/>
  <c r="AU25" i="12"/>
  <c r="AK257" i="6"/>
  <c r="AP257" i="6" s="1"/>
  <c r="J276" i="5"/>
  <c r="AK258" i="6" s="1"/>
  <c r="AP258" i="6" s="1"/>
  <c r="AR258" i="6" s="1"/>
  <c r="M276" i="5"/>
  <c r="AA275" i="5"/>
  <c r="X275" i="5"/>
  <c r="T277" i="5"/>
  <c r="Q277" i="5"/>
  <c r="F276" i="5"/>
  <c r="V258" i="6" s="1"/>
  <c r="C276" i="5"/>
  <c r="M258" i="6" s="1"/>
  <c r="R258" i="6" s="1"/>
  <c r="T258" i="6" s="1"/>
  <c r="AQ277" i="6"/>
  <c r="AY256" i="6"/>
  <c r="AY25" i="12" s="1"/>
  <c r="AX25" i="12"/>
  <c r="M257" i="6"/>
  <c r="R257" i="6" s="1"/>
  <c r="T257" i="6" s="1"/>
  <c r="U257" i="6" s="1"/>
  <c r="Y257" i="6" s="1"/>
  <c r="Z257" i="6" s="1"/>
  <c r="AA257" i="6" s="1"/>
  <c r="AT258" i="6"/>
  <c r="AU258" i="6" s="1"/>
  <c r="AV258" i="6" s="1"/>
  <c r="AL279" i="6"/>
  <c r="AG279" i="6"/>
  <c r="AH279" i="6" s="1"/>
  <c r="AM279" i="6"/>
  <c r="AD280" i="6"/>
  <c r="AI279" i="6"/>
  <c r="AJ278" i="6"/>
  <c r="AO278" i="6" s="1"/>
  <c r="AQ278" i="6" s="1"/>
  <c r="AF259" i="6"/>
  <c r="AE260" i="6"/>
  <c r="L277" i="6"/>
  <c r="Q277" i="6" s="1"/>
  <c r="S277" i="6" s="1"/>
  <c r="N278" i="6"/>
  <c r="O278" i="6"/>
  <c r="K278" i="6"/>
  <c r="I278" i="6"/>
  <c r="J278" i="6" s="1"/>
  <c r="F279" i="6"/>
  <c r="P279" i="6" s="1"/>
  <c r="G278" i="6"/>
  <c r="H277" i="6"/>
  <c r="W256" i="6"/>
  <c r="Z256" i="6"/>
  <c r="W257" i="6"/>
  <c r="X257" i="6" s="1"/>
  <c r="T278" i="5" l="1"/>
  <c r="Q278" i="5"/>
  <c r="X276" i="5"/>
  <c r="AA276" i="5"/>
  <c r="M277" i="5"/>
  <c r="J277" i="5"/>
  <c r="C277" i="5"/>
  <c r="F277" i="5"/>
  <c r="V259" i="6" s="1"/>
  <c r="AN280" i="6"/>
  <c r="AR257" i="6"/>
  <c r="AJ279" i="6"/>
  <c r="AO279" i="6" s="1"/>
  <c r="AQ279" i="6" s="1"/>
  <c r="AD281" i="6"/>
  <c r="AN281" i="6" s="1"/>
  <c r="AL280" i="6"/>
  <c r="AM280" i="6"/>
  <c r="AI280" i="6"/>
  <c r="AG280" i="6"/>
  <c r="AH280" i="6" s="1"/>
  <c r="AF260" i="6"/>
  <c r="AE261" i="6"/>
  <c r="L278" i="6"/>
  <c r="Q278" i="6" s="1"/>
  <c r="S278" i="6" s="1"/>
  <c r="F280" i="6"/>
  <c r="P280" i="6" s="1"/>
  <c r="K279" i="6"/>
  <c r="O279" i="6"/>
  <c r="I279" i="6"/>
  <c r="J279" i="6" s="1"/>
  <c r="N279" i="6"/>
  <c r="G279" i="6"/>
  <c r="H278" i="6"/>
  <c r="AA256" i="6"/>
  <c r="W258" i="6"/>
  <c r="X258" i="6" s="1"/>
  <c r="U258" i="6"/>
  <c r="Y258" i="6" s="1"/>
  <c r="Z258" i="6" s="1"/>
  <c r="AA258" i="6" s="1"/>
  <c r="X256" i="6"/>
  <c r="M278" i="5" l="1"/>
  <c r="AT260" i="6" s="1"/>
  <c r="AU260" i="6" s="1"/>
  <c r="AV260" i="6" s="1"/>
  <c r="J278" i="5"/>
  <c r="AK260" i="6" s="1"/>
  <c r="AP260" i="6" s="1"/>
  <c r="AR260" i="6" s="1"/>
  <c r="X277" i="5"/>
  <c r="AA277" i="5"/>
  <c r="AT259" i="6"/>
  <c r="AU259" i="6" s="1"/>
  <c r="AV259" i="6" s="1"/>
  <c r="AK259" i="6"/>
  <c r="AP259" i="6" s="1"/>
  <c r="M259" i="6"/>
  <c r="R259" i="6" s="1"/>
  <c r="T259" i="6" s="1"/>
  <c r="U259" i="6" s="1"/>
  <c r="Y259" i="6" s="1"/>
  <c r="Z259" i="6" s="1"/>
  <c r="AA259" i="6" s="1"/>
  <c r="T279" i="5"/>
  <c r="Q279" i="5"/>
  <c r="C278" i="5"/>
  <c r="F278" i="5"/>
  <c r="V260" i="6" s="1"/>
  <c r="AS257" i="6"/>
  <c r="AW257" i="6" s="1"/>
  <c r="AX257" i="6" s="1"/>
  <c r="AY257" i="6" s="1"/>
  <c r="AS258" i="6"/>
  <c r="AW258" i="6" s="1"/>
  <c r="AX258" i="6" s="1"/>
  <c r="AY258" i="6" s="1"/>
  <c r="AJ280" i="6"/>
  <c r="AO280" i="6" s="1"/>
  <c r="AQ280" i="6" s="1"/>
  <c r="AF261" i="6"/>
  <c r="AE262" i="6"/>
  <c r="AG281" i="6"/>
  <c r="AH281" i="6" s="1"/>
  <c r="AI281" i="6"/>
  <c r="AM281" i="6"/>
  <c r="AL281" i="6"/>
  <c r="AD282" i="6"/>
  <c r="L279" i="6"/>
  <c r="Q279" i="6" s="1"/>
  <c r="S279" i="6" s="1"/>
  <c r="H279" i="6"/>
  <c r="I280" i="6"/>
  <c r="J280" i="6" s="1"/>
  <c r="O280" i="6"/>
  <c r="N280" i="6"/>
  <c r="F281" i="6"/>
  <c r="P281" i="6" s="1"/>
  <c r="K280" i="6"/>
  <c r="G280" i="6"/>
  <c r="W259" i="6"/>
  <c r="X259" i="6" s="1"/>
  <c r="T280" i="5" l="1"/>
  <c r="Q280" i="5"/>
  <c r="AA278" i="5"/>
  <c r="X278" i="5"/>
  <c r="J279" i="5"/>
  <c r="M279" i="5"/>
  <c r="C279" i="5"/>
  <c r="M261" i="6" s="1"/>
  <c r="R261" i="6" s="1"/>
  <c r="T261" i="6" s="1"/>
  <c r="F279" i="5"/>
  <c r="V261" i="6" s="1"/>
  <c r="AN282" i="6"/>
  <c r="AR259" i="6"/>
  <c r="M260" i="6"/>
  <c r="R260" i="6" s="1"/>
  <c r="T260" i="6" s="1"/>
  <c r="U260" i="6" s="1"/>
  <c r="AT261" i="6"/>
  <c r="AU261" i="6" s="1"/>
  <c r="AV261" i="6" s="1"/>
  <c r="AJ281" i="6"/>
  <c r="AO281" i="6" s="1"/>
  <c r="AL282" i="6"/>
  <c r="AI282" i="6"/>
  <c r="AG282" i="6"/>
  <c r="AH282" i="6" s="1"/>
  <c r="AD283" i="6"/>
  <c r="AN283" i="6" s="1"/>
  <c r="AM282" i="6"/>
  <c r="AF262" i="6"/>
  <c r="AE263" i="6"/>
  <c r="F282" i="6"/>
  <c r="P282" i="6" s="1"/>
  <c r="I281" i="6"/>
  <c r="J281" i="6" s="1"/>
  <c r="N281" i="6"/>
  <c r="G281" i="6"/>
  <c r="O281" i="6"/>
  <c r="K281" i="6"/>
  <c r="H280" i="6"/>
  <c r="L280" i="6"/>
  <c r="Q280" i="6" s="1"/>
  <c r="S280" i="6" s="1"/>
  <c r="M280" i="5" l="1"/>
  <c r="J280" i="5"/>
  <c r="AK262" i="6" s="1"/>
  <c r="AP262" i="6" s="1"/>
  <c r="AR262" i="6" s="1"/>
  <c r="AK261" i="6"/>
  <c r="AP261" i="6" s="1"/>
  <c r="X279" i="5"/>
  <c r="AA279" i="5"/>
  <c r="T281" i="5"/>
  <c r="Q281" i="5"/>
  <c r="F280" i="5"/>
  <c r="V262" i="6" s="1"/>
  <c r="C280" i="5"/>
  <c r="M262" i="6" s="1"/>
  <c r="R262" i="6" s="1"/>
  <c r="T262" i="6" s="1"/>
  <c r="AQ281" i="6"/>
  <c r="AS259" i="6"/>
  <c r="AW259" i="6" s="1"/>
  <c r="AX259" i="6" s="1"/>
  <c r="AY259" i="6" s="1"/>
  <c r="AS260" i="6"/>
  <c r="AW260" i="6" s="1"/>
  <c r="AX260" i="6" s="1"/>
  <c r="AY260" i="6" s="1"/>
  <c r="AJ282" i="6"/>
  <c r="AO282" i="6" s="1"/>
  <c r="AT262" i="6"/>
  <c r="AU262" i="6" s="1"/>
  <c r="AV262" i="6" s="1"/>
  <c r="AF263" i="6"/>
  <c r="AE264" i="6"/>
  <c r="AM283" i="6"/>
  <c r="AD284" i="6"/>
  <c r="AL283" i="6"/>
  <c r="AI283" i="6"/>
  <c r="AG283" i="6"/>
  <c r="AH283" i="6" s="1"/>
  <c r="L281" i="6"/>
  <c r="Q281" i="6" s="1"/>
  <c r="S281" i="6" s="1"/>
  <c r="H281" i="6"/>
  <c r="G282" i="6"/>
  <c r="K282" i="6"/>
  <c r="O282" i="6"/>
  <c r="N282" i="6"/>
  <c r="F283" i="6"/>
  <c r="P283" i="6" s="1"/>
  <c r="I282" i="6"/>
  <c r="J282" i="6" s="1"/>
  <c r="U261" i="6"/>
  <c r="Y260" i="6"/>
  <c r="Z260" i="6" s="1"/>
  <c r="AA260" i="6" s="1"/>
  <c r="W260" i="6"/>
  <c r="X260" i="6" s="1"/>
  <c r="T282" i="5" l="1"/>
  <c r="Q282" i="5"/>
  <c r="X280" i="5"/>
  <c r="AA280" i="5"/>
  <c r="M281" i="5"/>
  <c r="AT263" i="6" s="1"/>
  <c r="AU263" i="6" s="1"/>
  <c r="AV263" i="6" s="1"/>
  <c r="J281" i="5"/>
  <c r="C281" i="5"/>
  <c r="F281" i="5"/>
  <c r="V263" i="6" s="1"/>
  <c r="AN284" i="6"/>
  <c r="AQ282" i="6"/>
  <c r="AR261" i="6"/>
  <c r="AK263" i="6"/>
  <c r="AJ283" i="6"/>
  <c r="AO283" i="6" s="1"/>
  <c r="AQ283" i="6" s="1"/>
  <c r="AM284" i="6"/>
  <c r="AD285" i="6"/>
  <c r="AN285" i="6" s="1"/>
  <c r="AI284" i="6"/>
  <c r="AL284" i="6"/>
  <c r="AG284" i="6"/>
  <c r="AH284" i="6" s="1"/>
  <c r="AF264" i="6"/>
  <c r="AE265" i="6"/>
  <c r="L282" i="6"/>
  <c r="Q282" i="6" s="1"/>
  <c r="S282" i="6" s="1"/>
  <c r="H282" i="6"/>
  <c r="K283" i="6"/>
  <c r="N283" i="6"/>
  <c r="F284" i="6"/>
  <c r="P284" i="6" s="1"/>
  <c r="I283" i="6"/>
  <c r="J283" i="6" s="1"/>
  <c r="O283" i="6"/>
  <c r="G283" i="6"/>
  <c r="W262" i="6"/>
  <c r="X262" i="6" s="1"/>
  <c r="U262" i="6"/>
  <c r="Y262" i="6" s="1"/>
  <c r="Z262" i="6" s="1"/>
  <c r="AA262" i="6" s="1"/>
  <c r="Y261" i="6"/>
  <c r="Z261" i="6" s="1"/>
  <c r="AA261" i="6" s="1"/>
  <c r="W261" i="6"/>
  <c r="X261" i="6" s="1"/>
  <c r="M282" i="5" l="1"/>
  <c r="J282" i="5"/>
  <c r="AK264" i="6" s="1"/>
  <c r="AP264" i="6" s="1"/>
  <c r="AR264" i="6" s="1"/>
  <c r="X281" i="5"/>
  <c r="AA281" i="5"/>
  <c r="T283" i="5"/>
  <c r="Q283" i="5"/>
  <c r="C282" i="5"/>
  <c r="M264" i="6" s="1"/>
  <c r="R264" i="6" s="1"/>
  <c r="T264" i="6" s="1"/>
  <c r="F282" i="5"/>
  <c r="V264" i="6" s="1"/>
  <c r="AP263" i="6"/>
  <c r="AS261" i="6"/>
  <c r="AW261" i="6" s="1"/>
  <c r="AX261" i="6" s="1"/>
  <c r="AY261" i="6" s="1"/>
  <c r="AS262" i="6"/>
  <c r="AW262" i="6" s="1"/>
  <c r="AX262" i="6" s="1"/>
  <c r="AY262" i="6" s="1"/>
  <c r="M263" i="6"/>
  <c r="R263" i="6" s="1"/>
  <c r="T263" i="6" s="1"/>
  <c r="U263" i="6" s="1"/>
  <c r="Y263" i="6" s="1"/>
  <c r="Z263" i="6" s="1"/>
  <c r="AA263" i="6" s="1"/>
  <c r="AT264" i="6"/>
  <c r="AU264" i="6" s="1"/>
  <c r="AV264" i="6" s="1"/>
  <c r="AJ284" i="6"/>
  <c r="AO284" i="6" s="1"/>
  <c r="AQ284" i="6" s="1"/>
  <c r="L283" i="6"/>
  <c r="Q283" i="6" s="1"/>
  <c r="S283" i="6" s="1"/>
  <c r="AD286" i="6"/>
  <c r="AM285" i="6"/>
  <c r="AG285" i="6"/>
  <c r="AH285" i="6" s="1"/>
  <c r="AL285" i="6"/>
  <c r="AI285" i="6"/>
  <c r="AF265" i="6"/>
  <c r="AE266" i="6"/>
  <c r="N284" i="6"/>
  <c r="O284" i="6"/>
  <c r="F285" i="6"/>
  <c r="P285" i="6" s="1"/>
  <c r="I284" i="6"/>
  <c r="J284" i="6" s="1"/>
  <c r="K284" i="6"/>
  <c r="G284" i="6"/>
  <c r="H283" i="6"/>
  <c r="W263" i="6"/>
  <c r="X263" i="6" s="1"/>
  <c r="Q284" i="5" l="1"/>
  <c r="T284" i="5"/>
  <c r="X282" i="5"/>
  <c r="AA282" i="5"/>
  <c r="J283" i="5"/>
  <c r="AK265" i="6" s="1"/>
  <c r="M283" i="5"/>
  <c r="F283" i="5"/>
  <c r="V265" i="6" s="1"/>
  <c r="C283" i="5"/>
  <c r="M265" i="6" s="1"/>
  <c r="R265" i="6" s="1"/>
  <c r="T265" i="6" s="1"/>
  <c r="AN286" i="6"/>
  <c r="AR263" i="6"/>
  <c r="L284" i="6"/>
  <c r="Q284" i="6" s="1"/>
  <c r="S284" i="6" s="1"/>
  <c r="AF266" i="6"/>
  <c r="AE267" i="6"/>
  <c r="AJ285" i="6"/>
  <c r="AO285" i="6" s="1"/>
  <c r="AQ285" i="6" s="1"/>
  <c r="AD287" i="6"/>
  <c r="AN287" i="6" s="1"/>
  <c r="AL286" i="6"/>
  <c r="AM286" i="6"/>
  <c r="AI286" i="6"/>
  <c r="AG286" i="6"/>
  <c r="AH286" i="6" s="1"/>
  <c r="N285" i="6"/>
  <c r="F286" i="6"/>
  <c r="P286" i="6" s="1"/>
  <c r="I285" i="6"/>
  <c r="J285" i="6" s="1"/>
  <c r="G285" i="6"/>
  <c r="K285" i="6"/>
  <c r="O285" i="6"/>
  <c r="H284" i="6"/>
  <c r="U264" i="6"/>
  <c r="W264" i="6"/>
  <c r="X264" i="6" s="1"/>
  <c r="M284" i="5" l="1"/>
  <c r="J284" i="5"/>
  <c r="AK266" i="6" s="1"/>
  <c r="AP266" i="6" s="1"/>
  <c r="AR266" i="6" s="1"/>
  <c r="AA283" i="5"/>
  <c r="X283" i="5"/>
  <c r="AT265" i="6"/>
  <c r="AU265" i="6" s="1"/>
  <c r="AV265" i="6" s="1"/>
  <c r="T285" i="5"/>
  <c r="Q285" i="5"/>
  <c r="F284" i="5"/>
  <c r="V266" i="6" s="1"/>
  <c r="C284" i="5"/>
  <c r="M266" i="6" s="1"/>
  <c r="R266" i="6" s="1"/>
  <c r="T266" i="6" s="1"/>
  <c r="U266" i="6" s="1"/>
  <c r="AP265" i="6"/>
  <c r="AS263" i="6"/>
  <c r="AW263" i="6" s="1"/>
  <c r="AX263" i="6" s="1"/>
  <c r="AY263" i="6" s="1"/>
  <c r="AS264" i="6"/>
  <c r="AW264" i="6" s="1"/>
  <c r="AX264" i="6" s="1"/>
  <c r="AY264" i="6" s="1"/>
  <c r="AT266" i="6"/>
  <c r="AU266" i="6" s="1"/>
  <c r="AV266" i="6" s="1"/>
  <c r="AJ286" i="6"/>
  <c r="AO286" i="6" s="1"/>
  <c r="AM287" i="6"/>
  <c r="AD288" i="6"/>
  <c r="AN288" i="6" s="1"/>
  <c r="AL287" i="6"/>
  <c r="AI287" i="6"/>
  <c r="AG287" i="6"/>
  <c r="AH287" i="6" s="1"/>
  <c r="AF267" i="6"/>
  <c r="AE268" i="6"/>
  <c r="L285" i="6"/>
  <c r="Q285" i="6" s="1"/>
  <c r="S285" i="6" s="1"/>
  <c r="H285" i="6"/>
  <c r="O286" i="6"/>
  <c r="N286" i="6"/>
  <c r="F287" i="6"/>
  <c r="P287" i="6" s="1"/>
  <c r="G286" i="6"/>
  <c r="K286" i="6"/>
  <c r="I286" i="6"/>
  <c r="J286" i="6" s="1"/>
  <c r="U265" i="6"/>
  <c r="Y265" i="6" s="1"/>
  <c r="Z265" i="6" s="1"/>
  <c r="AA265" i="6" s="1"/>
  <c r="W265" i="6"/>
  <c r="X265" i="6" s="1"/>
  <c r="Y264" i="6"/>
  <c r="Z264" i="6" s="1"/>
  <c r="AA264" i="6" s="1"/>
  <c r="Q286" i="5" l="1"/>
  <c r="T286" i="5"/>
  <c r="AA284" i="5"/>
  <c r="X284" i="5"/>
  <c r="M285" i="5"/>
  <c r="J285" i="5"/>
  <c r="AK267" i="6" s="1"/>
  <c r="AP267" i="6" s="1"/>
  <c r="AR267" i="6" s="1"/>
  <c r="C285" i="5"/>
  <c r="M267" i="6" s="1"/>
  <c r="R267" i="6" s="1"/>
  <c r="T267" i="6" s="1"/>
  <c r="F285" i="5"/>
  <c r="V267" i="6" s="1"/>
  <c r="AQ286" i="6"/>
  <c r="AR265" i="6"/>
  <c r="AJ287" i="6"/>
  <c r="AO287" i="6" s="1"/>
  <c r="AQ287" i="6" s="1"/>
  <c r="AF268" i="6"/>
  <c r="AE269" i="6"/>
  <c r="AG288" i="6"/>
  <c r="AH288" i="6" s="1"/>
  <c r="AM288" i="6"/>
  <c r="AL288" i="6"/>
  <c r="AD289" i="6"/>
  <c r="AN289" i="6" s="1"/>
  <c r="AI288" i="6"/>
  <c r="H286" i="6"/>
  <c r="G287" i="6"/>
  <c r="O287" i="6"/>
  <c r="I287" i="6"/>
  <c r="J287" i="6" s="1"/>
  <c r="F288" i="6"/>
  <c r="P288" i="6" s="1"/>
  <c r="K287" i="6"/>
  <c r="N287" i="6"/>
  <c r="L286" i="6"/>
  <c r="Q286" i="6" s="1"/>
  <c r="S286" i="6" s="1"/>
  <c r="W266" i="6"/>
  <c r="X266" i="6" s="1"/>
  <c r="AS267" i="6" l="1"/>
  <c r="J286" i="5"/>
  <c r="AK268" i="6" s="1"/>
  <c r="AP268" i="6" s="1"/>
  <c r="AR268" i="6" s="1"/>
  <c r="AS268" i="6" s="1"/>
  <c r="M286" i="5"/>
  <c r="AT268" i="6" s="1"/>
  <c r="AT26" i="12" s="1"/>
  <c r="X285" i="5"/>
  <c r="AA285" i="5"/>
  <c r="Q287" i="5"/>
  <c r="T287" i="5"/>
  <c r="AT267" i="6"/>
  <c r="AU267" i="6" s="1"/>
  <c r="AV267" i="6" s="1"/>
  <c r="C286" i="5"/>
  <c r="M268" i="6" s="1"/>
  <c r="R268" i="6" s="1"/>
  <c r="T268" i="6" s="1"/>
  <c r="F286" i="5"/>
  <c r="V268" i="6" s="1"/>
  <c r="AS265" i="6"/>
  <c r="AW265" i="6" s="1"/>
  <c r="AX265" i="6" s="1"/>
  <c r="AY265" i="6" s="1"/>
  <c r="AS266" i="6"/>
  <c r="AW266" i="6" s="1"/>
  <c r="AX266" i="6" s="1"/>
  <c r="AY266" i="6" s="1"/>
  <c r="AJ288" i="6"/>
  <c r="AO288" i="6" s="1"/>
  <c r="AQ288" i="6" s="1"/>
  <c r="AF269" i="6"/>
  <c r="AE270" i="6"/>
  <c r="AI289" i="6"/>
  <c r="AM289" i="6"/>
  <c r="AL289" i="6"/>
  <c r="AG289" i="6"/>
  <c r="AH289" i="6" s="1"/>
  <c r="AD290" i="6"/>
  <c r="H287" i="6"/>
  <c r="K288" i="6"/>
  <c r="G288" i="6"/>
  <c r="F289" i="6"/>
  <c r="P289" i="6" s="1"/>
  <c r="I288" i="6"/>
  <c r="J288" i="6" s="1"/>
  <c r="O288" i="6"/>
  <c r="N288" i="6"/>
  <c r="L287" i="6"/>
  <c r="Q287" i="6" s="1"/>
  <c r="S287" i="6" s="1"/>
  <c r="W267" i="6"/>
  <c r="X267" i="6" s="1"/>
  <c r="U267" i="6"/>
  <c r="Y267" i="6" s="1"/>
  <c r="Z267" i="6" s="1"/>
  <c r="AA267" i="6" s="1"/>
  <c r="Y266" i="6"/>
  <c r="Z266" i="6" s="1"/>
  <c r="AA266" i="6" s="1"/>
  <c r="AW267" i="6" l="1"/>
  <c r="AX267" i="6" s="1"/>
  <c r="AY267" i="6" s="1"/>
  <c r="T288" i="5"/>
  <c r="Q288" i="5"/>
  <c r="AA286" i="5"/>
  <c r="X286" i="5"/>
  <c r="M287" i="5"/>
  <c r="AT269" i="6" s="1"/>
  <c r="AU269" i="6" s="1"/>
  <c r="AV269" i="6" s="1"/>
  <c r="J287" i="5"/>
  <c r="AW268" i="6"/>
  <c r="AW26" i="12" s="1"/>
  <c r="AU268" i="6"/>
  <c r="AV268" i="6" s="1"/>
  <c r="AV26" i="12" s="1"/>
  <c r="C287" i="5"/>
  <c r="F287" i="5"/>
  <c r="V269" i="6" s="1"/>
  <c r="AN290" i="6"/>
  <c r="AJ289" i="6"/>
  <c r="AO289" i="6" s="1"/>
  <c r="AQ289" i="6" s="1"/>
  <c r="AM290" i="6"/>
  <c r="AL290" i="6"/>
  <c r="AD291" i="6"/>
  <c r="AN291" i="6" s="1"/>
  <c r="AI290" i="6"/>
  <c r="AG290" i="6"/>
  <c r="AH290" i="6" s="1"/>
  <c r="AF270" i="6"/>
  <c r="AE271" i="6"/>
  <c r="L288" i="6"/>
  <c r="Q288" i="6" s="1"/>
  <c r="S288" i="6" s="1"/>
  <c r="F290" i="6"/>
  <c r="P290" i="6" s="1"/>
  <c r="O289" i="6"/>
  <c r="G289" i="6"/>
  <c r="K289" i="6"/>
  <c r="N289" i="6"/>
  <c r="I289" i="6"/>
  <c r="J289" i="6" s="1"/>
  <c r="H288" i="6"/>
  <c r="U268" i="6"/>
  <c r="Y268" i="6" s="1"/>
  <c r="AU26" i="12" l="1"/>
  <c r="AK269" i="6"/>
  <c r="AP269" i="6" s="1"/>
  <c r="M288" i="5"/>
  <c r="AT270" i="6" s="1"/>
  <c r="AU270" i="6" s="1"/>
  <c r="AV270" i="6" s="1"/>
  <c r="J288" i="5"/>
  <c r="AK270" i="6" s="1"/>
  <c r="AP270" i="6" s="1"/>
  <c r="AR270" i="6" s="1"/>
  <c r="AX268" i="6"/>
  <c r="AA287" i="5"/>
  <c r="X287" i="5"/>
  <c r="T289" i="5"/>
  <c r="Q289" i="5"/>
  <c r="F288" i="5"/>
  <c r="V270" i="6" s="1"/>
  <c r="C288" i="5"/>
  <c r="M270" i="6" s="1"/>
  <c r="R270" i="6" s="1"/>
  <c r="T270" i="6" s="1"/>
  <c r="AY268" i="6"/>
  <c r="AY26" i="12" s="1"/>
  <c r="AX26" i="12"/>
  <c r="AR269" i="6"/>
  <c r="AS269" i="6" s="1"/>
  <c r="AW269" i="6" s="1"/>
  <c r="AX269" i="6" s="1"/>
  <c r="AY269" i="6" s="1"/>
  <c r="M269" i="6"/>
  <c r="R269" i="6" s="1"/>
  <c r="T269" i="6" s="1"/>
  <c r="U269" i="6" s="1"/>
  <c r="Y269" i="6" s="1"/>
  <c r="Z269" i="6" s="1"/>
  <c r="AA269" i="6" s="1"/>
  <c r="AF271" i="6"/>
  <c r="AE272" i="6"/>
  <c r="AJ290" i="6"/>
  <c r="AO290" i="6" s="1"/>
  <c r="AQ290" i="6" s="1"/>
  <c r="AL291" i="6"/>
  <c r="AG291" i="6"/>
  <c r="AH291" i="6" s="1"/>
  <c r="AD292" i="6"/>
  <c r="AI291" i="6"/>
  <c r="AM291" i="6"/>
  <c r="L289" i="6"/>
  <c r="Q289" i="6" s="1"/>
  <c r="S289" i="6" s="1"/>
  <c r="H289" i="6"/>
  <c r="N290" i="6"/>
  <c r="F291" i="6"/>
  <c r="P291" i="6" s="1"/>
  <c r="O290" i="6"/>
  <c r="K290" i="6"/>
  <c r="I290" i="6"/>
  <c r="J290" i="6" s="1"/>
  <c r="G290" i="6"/>
  <c r="H290" i="6" s="1"/>
  <c r="Z268" i="6"/>
  <c r="W269" i="6"/>
  <c r="X269" i="6" s="1"/>
  <c r="W268" i="6"/>
  <c r="Q290" i="5" l="1"/>
  <c r="T290" i="5"/>
  <c r="X288" i="5"/>
  <c r="AA288" i="5"/>
  <c r="M289" i="5"/>
  <c r="J289" i="5"/>
  <c r="C289" i="5"/>
  <c r="F289" i="5"/>
  <c r="V271" i="6" s="1"/>
  <c r="AN292" i="6"/>
  <c r="AS270" i="6"/>
  <c r="AW270" i="6" s="1"/>
  <c r="AX270" i="6" s="1"/>
  <c r="AY270" i="6" s="1"/>
  <c r="AL292" i="6"/>
  <c r="AG292" i="6"/>
  <c r="AH292" i="6" s="1"/>
  <c r="AM292" i="6"/>
  <c r="AD293" i="6"/>
  <c r="AN293" i="6" s="1"/>
  <c r="AI292" i="6"/>
  <c r="AJ291" i="6"/>
  <c r="AO291" i="6" s="1"/>
  <c r="AQ291" i="6" s="1"/>
  <c r="AF272" i="6"/>
  <c r="AE273" i="6"/>
  <c r="L290" i="6"/>
  <c r="Q290" i="6" s="1"/>
  <c r="S290" i="6" s="1"/>
  <c r="I291" i="6"/>
  <c r="J291" i="6" s="1"/>
  <c r="N291" i="6"/>
  <c r="O291" i="6"/>
  <c r="G291" i="6"/>
  <c r="F292" i="6"/>
  <c r="P292" i="6" s="1"/>
  <c r="K291" i="6"/>
  <c r="U270" i="6"/>
  <c r="X268" i="6"/>
  <c r="W270" i="6"/>
  <c r="X270" i="6" s="1"/>
  <c r="AA268" i="6"/>
  <c r="J290" i="5" l="1"/>
  <c r="AK272" i="6" s="1"/>
  <c r="AP272" i="6" s="1"/>
  <c r="AR272" i="6" s="1"/>
  <c r="M290" i="5"/>
  <c r="X289" i="5"/>
  <c r="AA289" i="5"/>
  <c r="AT271" i="6"/>
  <c r="AU271" i="6" s="1"/>
  <c r="AV271" i="6" s="1"/>
  <c r="AK271" i="6"/>
  <c r="AP271" i="6" s="1"/>
  <c r="T291" i="5"/>
  <c r="Q291" i="5"/>
  <c r="M271" i="6"/>
  <c r="R271" i="6" s="1"/>
  <c r="T271" i="6" s="1"/>
  <c r="U271" i="6" s="1"/>
  <c r="C290" i="5"/>
  <c r="F290" i="5"/>
  <c r="V272" i="6" s="1"/>
  <c r="AT272" i="6"/>
  <c r="AF273" i="6"/>
  <c r="AE274" i="6"/>
  <c r="AJ292" i="6"/>
  <c r="AO292" i="6" s="1"/>
  <c r="AQ292" i="6" s="1"/>
  <c r="AL293" i="6"/>
  <c r="AI293" i="6"/>
  <c r="AG293" i="6"/>
  <c r="AH293" i="6" s="1"/>
  <c r="AD294" i="6"/>
  <c r="AM293" i="6"/>
  <c r="L291" i="6"/>
  <c r="Q291" i="6" s="1"/>
  <c r="S291" i="6" s="1"/>
  <c r="O292" i="6"/>
  <c r="F293" i="6"/>
  <c r="P293" i="6" s="1"/>
  <c r="G292" i="6"/>
  <c r="K292" i="6"/>
  <c r="N292" i="6"/>
  <c r="I292" i="6"/>
  <c r="J292" i="6" s="1"/>
  <c r="H291" i="6"/>
  <c r="W271" i="6"/>
  <c r="X271" i="6" s="1"/>
  <c r="Y270" i="6"/>
  <c r="Z270" i="6" s="1"/>
  <c r="AA270" i="6" s="1"/>
  <c r="Q292" i="5" l="1"/>
  <c r="T292" i="5"/>
  <c r="M272" i="6"/>
  <c r="R272" i="6" s="1"/>
  <c r="T272" i="6" s="1"/>
  <c r="U272" i="6" s="1"/>
  <c r="Y272" i="6" s="1"/>
  <c r="Z272" i="6" s="1"/>
  <c r="AA272" i="6" s="1"/>
  <c r="X290" i="5"/>
  <c r="AA290" i="5"/>
  <c r="J291" i="5"/>
  <c r="M291" i="5"/>
  <c r="AT273" i="6" s="1"/>
  <c r="AU273" i="6" s="1"/>
  <c r="AV273" i="6" s="1"/>
  <c r="C291" i="5"/>
  <c r="M273" i="6" s="1"/>
  <c r="R273" i="6" s="1"/>
  <c r="T273" i="6" s="1"/>
  <c r="F291" i="5"/>
  <c r="V273" i="6" s="1"/>
  <c r="AN294" i="6"/>
  <c r="AR271" i="6"/>
  <c r="AU272" i="6"/>
  <c r="AV272" i="6" s="1"/>
  <c r="AJ293" i="6"/>
  <c r="AO293" i="6" s="1"/>
  <c r="AD295" i="6"/>
  <c r="AN295" i="6" s="1"/>
  <c r="AM294" i="6"/>
  <c r="AL294" i="6"/>
  <c r="AI294" i="6"/>
  <c r="AG294" i="6"/>
  <c r="AH294" i="6" s="1"/>
  <c r="AF274" i="6"/>
  <c r="AE275" i="6"/>
  <c r="L292" i="6"/>
  <c r="Q292" i="6" s="1"/>
  <c r="S292" i="6" s="1"/>
  <c r="H292" i="6"/>
  <c r="K293" i="6"/>
  <c r="G293" i="6"/>
  <c r="I293" i="6"/>
  <c r="J293" i="6" s="1"/>
  <c r="F294" i="6"/>
  <c r="P294" i="6" s="1"/>
  <c r="O293" i="6"/>
  <c r="N293" i="6"/>
  <c r="W272" i="6"/>
  <c r="X272" i="6" s="1"/>
  <c r="Y271" i="6"/>
  <c r="Z271" i="6" s="1"/>
  <c r="AA271" i="6" s="1"/>
  <c r="AK273" i="6" l="1"/>
  <c r="AP273" i="6" s="1"/>
  <c r="AR273" i="6" s="1"/>
  <c r="AA291" i="5"/>
  <c r="X291" i="5"/>
  <c r="Q293" i="5"/>
  <c r="T293" i="5"/>
  <c r="M292" i="5"/>
  <c r="AT274" i="6" s="1"/>
  <c r="AU274" i="6" s="1"/>
  <c r="AV274" i="6" s="1"/>
  <c r="J292" i="5"/>
  <c r="AK274" i="6" s="1"/>
  <c r="AP274" i="6" s="1"/>
  <c r="F292" i="5"/>
  <c r="V274" i="6" s="1"/>
  <c r="C292" i="5"/>
  <c r="AS271" i="6"/>
  <c r="AW271" i="6" s="1"/>
  <c r="AX271" i="6" s="1"/>
  <c r="AY271" i="6" s="1"/>
  <c r="AS272" i="6"/>
  <c r="AW272" i="6" s="1"/>
  <c r="AX272" i="6" s="1"/>
  <c r="AY272" i="6" s="1"/>
  <c r="AQ293" i="6"/>
  <c r="AS273" i="6"/>
  <c r="AW273" i="6" s="1"/>
  <c r="AX273" i="6" s="1"/>
  <c r="AY273" i="6" s="1"/>
  <c r="AJ294" i="6"/>
  <c r="AO294" i="6" s="1"/>
  <c r="AQ294" i="6" s="1"/>
  <c r="AF275" i="6"/>
  <c r="AE276" i="6"/>
  <c r="AD296" i="6"/>
  <c r="AL295" i="6"/>
  <c r="AI295" i="6"/>
  <c r="AG295" i="6"/>
  <c r="AH295" i="6" s="1"/>
  <c r="AM295" i="6"/>
  <c r="L293" i="6"/>
  <c r="Q293" i="6" s="1"/>
  <c r="S293" i="6" s="1"/>
  <c r="F295" i="6"/>
  <c r="P295" i="6" s="1"/>
  <c r="I294" i="6"/>
  <c r="J294" i="6" s="1"/>
  <c r="O294" i="6"/>
  <c r="K294" i="6"/>
  <c r="G294" i="6"/>
  <c r="N294" i="6"/>
  <c r="H293" i="6"/>
  <c r="W273" i="6"/>
  <c r="X273" i="6" s="1"/>
  <c r="U273" i="6"/>
  <c r="Y273" i="6" s="1"/>
  <c r="Z273" i="6" s="1"/>
  <c r="AA273" i="6" s="1"/>
  <c r="M293" i="5" l="1"/>
  <c r="J293" i="5"/>
  <c r="T294" i="5"/>
  <c r="Q294" i="5"/>
  <c r="AA292" i="5"/>
  <c r="X292" i="5"/>
  <c r="C293" i="5"/>
  <c r="M275" i="6" s="1"/>
  <c r="R275" i="6" s="1"/>
  <c r="T275" i="6" s="1"/>
  <c r="F293" i="5"/>
  <c r="V275" i="6" s="1"/>
  <c r="AN296" i="6"/>
  <c r="AR274" i="6"/>
  <c r="AS274" i="6" s="1"/>
  <c r="AW274" i="6" s="1"/>
  <c r="AX274" i="6" s="1"/>
  <c r="AY274" i="6" s="1"/>
  <c r="M274" i="6"/>
  <c r="R274" i="6" s="1"/>
  <c r="T274" i="6" s="1"/>
  <c r="U274" i="6" s="1"/>
  <c r="AT275" i="6"/>
  <c r="AU275" i="6" s="1"/>
  <c r="AV275" i="6" s="1"/>
  <c r="AJ295" i="6"/>
  <c r="AO295" i="6" s="1"/>
  <c r="AD297" i="6"/>
  <c r="AN297" i="6" s="1"/>
  <c r="AG296" i="6"/>
  <c r="AH296" i="6" s="1"/>
  <c r="AM296" i="6"/>
  <c r="AL296" i="6"/>
  <c r="AI296" i="6"/>
  <c r="AF276" i="6"/>
  <c r="AE277" i="6"/>
  <c r="L294" i="6"/>
  <c r="Q294" i="6" s="1"/>
  <c r="S294" i="6" s="1"/>
  <c r="N295" i="6"/>
  <c r="K295" i="6"/>
  <c r="G295" i="6"/>
  <c r="F296" i="6"/>
  <c r="P296" i="6" s="1"/>
  <c r="O295" i="6"/>
  <c r="I295" i="6"/>
  <c r="J295" i="6" s="1"/>
  <c r="H294" i="6"/>
  <c r="W274" i="6"/>
  <c r="X274" i="6" s="1"/>
  <c r="AA293" i="5" l="1"/>
  <c r="X293" i="5"/>
  <c r="T295" i="5"/>
  <c r="Q295" i="5"/>
  <c r="AK275" i="6"/>
  <c r="AP275" i="6" s="1"/>
  <c r="AR275" i="6" s="1"/>
  <c r="AS275" i="6" s="1"/>
  <c r="AW275" i="6" s="1"/>
  <c r="AX275" i="6" s="1"/>
  <c r="AY275" i="6" s="1"/>
  <c r="J294" i="5"/>
  <c r="AK276" i="6" s="1"/>
  <c r="AP276" i="6" s="1"/>
  <c r="M294" i="5"/>
  <c r="C294" i="5"/>
  <c r="M276" i="6" s="1"/>
  <c r="R276" i="6" s="1"/>
  <c r="T276" i="6" s="1"/>
  <c r="U276" i="6" s="1"/>
  <c r="F294" i="5"/>
  <c r="V276" i="6" s="1"/>
  <c r="AQ295" i="6"/>
  <c r="AD298" i="6"/>
  <c r="AL297" i="6"/>
  <c r="AI297" i="6"/>
  <c r="AG297" i="6"/>
  <c r="AH297" i="6" s="1"/>
  <c r="AM297" i="6"/>
  <c r="AF277" i="6"/>
  <c r="AE278" i="6"/>
  <c r="AJ296" i="6"/>
  <c r="AO296" i="6" s="1"/>
  <c r="AQ296" i="6" s="1"/>
  <c r="L295" i="6"/>
  <c r="Q295" i="6" s="1"/>
  <c r="S295" i="6" s="1"/>
  <c r="F297" i="6"/>
  <c r="P297" i="6" s="1"/>
  <c r="K296" i="6"/>
  <c r="G296" i="6"/>
  <c r="I296" i="6"/>
  <c r="J296" i="6" s="1"/>
  <c r="N296" i="6"/>
  <c r="O296" i="6"/>
  <c r="H295" i="6"/>
  <c r="W275" i="6"/>
  <c r="X275" i="6" s="1"/>
  <c r="U275" i="6"/>
  <c r="Y275" i="6" s="1"/>
  <c r="Z275" i="6" s="1"/>
  <c r="AA275" i="6" s="1"/>
  <c r="Y274" i="6"/>
  <c r="Z274" i="6" s="1"/>
  <c r="AA274" i="6" s="1"/>
  <c r="J295" i="5" l="1"/>
  <c r="AK277" i="6" s="1"/>
  <c r="AP277" i="6" s="1"/>
  <c r="AR277" i="6" s="1"/>
  <c r="M295" i="5"/>
  <c r="Q296" i="5"/>
  <c r="T296" i="5"/>
  <c r="AT276" i="6"/>
  <c r="AU276" i="6" s="1"/>
  <c r="AV276" i="6" s="1"/>
  <c r="AA294" i="5"/>
  <c r="X294" i="5"/>
  <c r="F295" i="5"/>
  <c r="V277" i="6" s="1"/>
  <c r="C295" i="5"/>
  <c r="M277" i="6" s="1"/>
  <c r="R277" i="6" s="1"/>
  <c r="T277" i="6" s="1"/>
  <c r="AN298" i="6"/>
  <c r="AR276" i="6"/>
  <c r="AS276" i="6" s="1"/>
  <c r="AW276" i="6" s="1"/>
  <c r="AX276" i="6" s="1"/>
  <c r="AY276" i="6" s="1"/>
  <c r="AT277" i="6"/>
  <c r="AU277" i="6" s="1"/>
  <c r="AV277" i="6" s="1"/>
  <c r="AJ297" i="6"/>
  <c r="AO297" i="6" s="1"/>
  <c r="L296" i="6"/>
  <c r="Q296" i="6" s="1"/>
  <c r="S296" i="6" s="1"/>
  <c r="AF278" i="6"/>
  <c r="AE279" i="6"/>
  <c r="AI298" i="6"/>
  <c r="AD299" i="6"/>
  <c r="AN299" i="6" s="1"/>
  <c r="AG298" i="6"/>
  <c r="AH298" i="6" s="1"/>
  <c r="AM298" i="6"/>
  <c r="AL298" i="6"/>
  <c r="H296" i="6"/>
  <c r="F298" i="6"/>
  <c r="P298" i="6" s="1"/>
  <c r="G297" i="6"/>
  <c r="O297" i="6"/>
  <c r="N297" i="6"/>
  <c r="I297" i="6"/>
  <c r="J297" i="6" s="1"/>
  <c r="K297" i="6"/>
  <c r="W276" i="6"/>
  <c r="X276" i="6" s="1"/>
  <c r="X295" i="5" l="1"/>
  <c r="AA295" i="5"/>
  <c r="T297" i="5"/>
  <c r="Q297" i="5"/>
  <c r="M296" i="5"/>
  <c r="J296" i="5"/>
  <c r="AK278" i="6" s="1"/>
  <c r="AP278" i="6" s="1"/>
  <c r="F296" i="5"/>
  <c r="V278" i="6" s="1"/>
  <c r="C296" i="5"/>
  <c r="M278" i="6" s="1"/>
  <c r="R278" i="6" s="1"/>
  <c r="T278" i="6" s="1"/>
  <c r="AS277" i="6"/>
  <c r="AW277" i="6" s="1"/>
  <c r="AX277" i="6" s="1"/>
  <c r="AY277" i="6" s="1"/>
  <c r="AQ297" i="6"/>
  <c r="AT278" i="6"/>
  <c r="AU278" i="6" s="1"/>
  <c r="AV278" i="6" s="1"/>
  <c r="AJ298" i="6"/>
  <c r="AO298" i="6" s="1"/>
  <c r="AQ298" i="6" s="1"/>
  <c r="AM299" i="6"/>
  <c r="AL299" i="6"/>
  <c r="AD300" i="6"/>
  <c r="AN300" i="6" s="1"/>
  <c r="AI299" i="6"/>
  <c r="AG299" i="6"/>
  <c r="AH299" i="6" s="1"/>
  <c r="AF279" i="6"/>
  <c r="AE280" i="6"/>
  <c r="H297" i="6"/>
  <c r="L297" i="6"/>
  <c r="Q297" i="6" s="1"/>
  <c r="S297" i="6" s="1"/>
  <c r="G298" i="6"/>
  <c r="K298" i="6"/>
  <c r="N298" i="6"/>
  <c r="I298" i="6"/>
  <c r="J298" i="6" s="1"/>
  <c r="O298" i="6"/>
  <c r="F299" i="6"/>
  <c r="P299" i="6" s="1"/>
  <c r="U277" i="6"/>
  <c r="W277" i="6"/>
  <c r="X277" i="6" s="1"/>
  <c r="Y276" i="6"/>
  <c r="Z276" i="6" s="1"/>
  <c r="AA276" i="6" s="1"/>
  <c r="M297" i="5" l="1"/>
  <c r="AT279" i="6" s="1"/>
  <c r="AU279" i="6" s="1"/>
  <c r="AV279" i="6" s="1"/>
  <c r="J297" i="5"/>
  <c r="AK279" i="6" s="1"/>
  <c r="AP279" i="6" s="1"/>
  <c r="AR279" i="6" s="1"/>
  <c r="Q298" i="5"/>
  <c r="T298" i="5"/>
  <c r="AA296" i="5"/>
  <c r="X296" i="5"/>
  <c r="C297" i="5"/>
  <c r="M279" i="6" s="1"/>
  <c r="R279" i="6" s="1"/>
  <c r="T279" i="6" s="1"/>
  <c r="F297" i="5"/>
  <c r="V279" i="6" s="1"/>
  <c r="AR278" i="6"/>
  <c r="AS278" i="6" s="1"/>
  <c r="AW278" i="6" s="1"/>
  <c r="AX278" i="6" s="1"/>
  <c r="AY278" i="6" s="1"/>
  <c r="AJ299" i="6"/>
  <c r="AO299" i="6" s="1"/>
  <c r="AF280" i="6"/>
  <c r="AE281" i="6"/>
  <c r="AM300" i="6"/>
  <c r="AL300" i="6"/>
  <c r="AI300" i="6"/>
  <c r="AD301" i="6"/>
  <c r="AN301" i="6" s="1"/>
  <c r="AG300" i="6"/>
  <c r="AH300" i="6" s="1"/>
  <c r="L298" i="6"/>
  <c r="Q298" i="6" s="1"/>
  <c r="S298" i="6" s="1"/>
  <c r="G299" i="6"/>
  <c r="K299" i="6"/>
  <c r="O299" i="6"/>
  <c r="F300" i="6"/>
  <c r="P300" i="6" s="1"/>
  <c r="I299" i="6"/>
  <c r="J299" i="6" s="1"/>
  <c r="N299" i="6"/>
  <c r="H298" i="6"/>
  <c r="W278" i="6"/>
  <c r="X278" i="6" s="1"/>
  <c r="U278" i="6"/>
  <c r="Y278" i="6" s="1"/>
  <c r="Z278" i="6" s="1"/>
  <c r="AA278" i="6" s="1"/>
  <c r="Y277" i="6"/>
  <c r="Z277" i="6" s="1"/>
  <c r="AA277" i="6" s="1"/>
  <c r="X297" i="5" l="1"/>
  <c r="AA297" i="5"/>
  <c r="Q299" i="5"/>
  <c r="T299" i="5"/>
  <c r="M298" i="5"/>
  <c r="J298" i="5"/>
  <c r="AK280" i="6" s="1"/>
  <c r="AP280" i="6" s="1"/>
  <c r="AR280" i="6" s="1"/>
  <c r="AS280" i="6" s="1"/>
  <c r="C298" i="5"/>
  <c r="M280" i="6" s="1"/>
  <c r="R280" i="6" s="1"/>
  <c r="T280" i="6" s="1"/>
  <c r="U280" i="6" s="1"/>
  <c r="F298" i="5"/>
  <c r="V280" i="6" s="1"/>
  <c r="AS279" i="6"/>
  <c r="AW279" i="6" s="1"/>
  <c r="AX279" i="6" s="1"/>
  <c r="AY279" i="6" s="1"/>
  <c r="AQ299" i="6"/>
  <c r="AJ300" i="6"/>
  <c r="AO300" i="6" s="1"/>
  <c r="AQ300" i="6" s="1"/>
  <c r="L299" i="6"/>
  <c r="Q299" i="6" s="1"/>
  <c r="S299" i="6" s="1"/>
  <c r="AL301" i="6"/>
  <c r="AI301" i="6"/>
  <c r="AM301" i="6"/>
  <c r="AG301" i="6"/>
  <c r="AH301" i="6" s="1"/>
  <c r="AD302" i="6"/>
  <c r="AF281" i="6"/>
  <c r="AE282" i="6"/>
  <c r="H299" i="6"/>
  <c r="F301" i="6"/>
  <c r="P301" i="6" s="1"/>
  <c r="I300" i="6"/>
  <c r="J300" i="6" s="1"/>
  <c r="K300" i="6"/>
  <c r="G300" i="6"/>
  <c r="N300" i="6"/>
  <c r="O300" i="6"/>
  <c r="W279" i="6"/>
  <c r="X279" i="6" s="1"/>
  <c r="U279" i="6"/>
  <c r="Y279" i="6" s="1"/>
  <c r="Z279" i="6" s="1"/>
  <c r="AA279" i="6" s="1"/>
  <c r="J299" i="5" l="1"/>
  <c r="AK281" i="6" s="1"/>
  <c r="M299" i="5"/>
  <c r="AT281" i="6" s="1"/>
  <c r="AU281" i="6" s="1"/>
  <c r="AV281" i="6" s="1"/>
  <c r="Q300" i="5"/>
  <c r="T300" i="5"/>
  <c r="AA298" i="5"/>
  <c r="X298" i="5"/>
  <c r="AT280" i="6"/>
  <c r="AT27" i="12" s="1"/>
  <c r="C299" i="5"/>
  <c r="F299" i="5"/>
  <c r="V281" i="6" s="1"/>
  <c r="AN302" i="6"/>
  <c r="AJ301" i="6"/>
  <c r="AO301" i="6" s="1"/>
  <c r="AF282" i="6"/>
  <c r="AE283" i="6"/>
  <c r="AM302" i="6"/>
  <c r="AL302" i="6"/>
  <c r="AI302" i="6"/>
  <c r="AG302" i="6"/>
  <c r="AH302" i="6" s="1"/>
  <c r="AD303" i="6"/>
  <c r="AN303" i="6" s="1"/>
  <c r="L300" i="6"/>
  <c r="Q300" i="6" s="1"/>
  <c r="S300" i="6" s="1"/>
  <c r="H300" i="6"/>
  <c r="G301" i="6"/>
  <c r="O301" i="6"/>
  <c r="F302" i="6"/>
  <c r="P302" i="6" s="1"/>
  <c r="K301" i="6"/>
  <c r="N301" i="6"/>
  <c r="I301" i="6"/>
  <c r="J301" i="6" s="1"/>
  <c r="AW280" i="6" l="1"/>
  <c r="AA299" i="5"/>
  <c r="X299" i="5"/>
  <c r="Q301" i="5"/>
  <c r="T301" i="5"/>
  <c r="AU280" i="6"/>
  <c r="AV280" i="6" s="1"/>
  <c r="AV27" i="12" s="1"/>
  <c r="M300" i="5"/>
  <c r="AT282" i="6" s="1"/>
  <c r="AU282" i="6" s="1"/>
  <c r="AV282" i="6" s="1"/>
  <c r="J300" i="5"/>
  <c r="AK282" i="6" s="1"/>
  <c r="AP282" i="6" s="1"/>
  <c r="AR282" i="6" s="1"/>
  <c r="F300" i="5"/>
  <c r="V282" i="6" s="1"/>
  <c r="C300" i="5"/>
  <c r="AQ301" i="6"/>
  <c r="AP281" i="6"/>
  <c r="M281" i="6"/>
  <c r="R281" i="6" s="1"/>
  <c r="T281" i="6" s="1"/>
  <c r="U281" i="6" s="1"/>
  <c r="Y281" i="6" s="1"/>
  <c r="Z281" i="6" s="1"/>
  <c r="AA281" i="6" s="1"/>
  <c r="AJ302" i="6"/>
  <c r="AO302" i="6" s="1"/>
  <c r="AQ302" i="6" s="1"/>
  <c r="AM303" i="6"/>
  <c r="AD304" i="6"/>
  <c r="AL303" i="6"/>
  <c r="AI303" i="6"/>
  <c r="AG303" i="6"/>
  <c r="AH303" i="6" s="1"/>
  <c r="AF283" i="6"/>
  <c r="AE284" i="6"/>
  <c r="L301" i="6"/>
  <c r="Q301" i="6" s="1"/>
  <c r="S301" i="6" s="1"/>
  <c r="N302" i="6"/>
  <c r="K302" i="6"/>
  <c r="I302" i="6"/>
  <c r="J302" i="6" s="1"/>
  <c r="O302" i="6"/>
  <c r="F303" i="6"/>
  <c r="P303" i="6" s="1"/>
  <c r="G302" i="6"/>
  <c r="H301" i="6"/>
  <c r="W281" i="6"/>
  <c r="X281" i="6" s="1"/>
  <c r="W280" i="6"/>
  <c r="Y280" i="6"/>
  <c r="AU27" i="12" l="1"/>
  <c r="AX280" i="6"/>
  <c r="AW27" i="12"/>
  <c r="M282" i="6"/>
  <c r="R282" i="6" s="1"/>
  <c r="T282" i="6" s="1"/>
  <c r="U282" i="6" s="1"/>
  <c r="M301" i="5"/>
  <c r="AT283" i="6" s="1"/>
  <c r="J301" i="5"/>
  <c r="AK283" i="6" s="1"/>
  <c r="T302" i="5"/>
  <c r="Q302" i="5"/>
  <c r="AA300" i="5"/>
  <c r="X300" i="5"/>
  <c r="C301" i="5"/>
  <c r="F301" i="5"/>
  <c r="V283" i="6" s="1"/>
  <c r="AN304" i="6"/>
  <c r="AR281" i="6"/>
  <c r="AJ303" i="6"/>
  <c r="AO303" i="6" s="1"/>
  <c r="AQ303" i="6" s="1"/>
  <c r="AF284" i="6"/>
  <c r="AE285" i="6"/>
  <c r="AI304" i="6"/>
  <c r="AM304" i="6"/>
  <c r="AL304" i="6"/>
  <c r="AD305" i="6"/>
  <c r="AN305" i="6" s="1"/>
  <c r="AG304" i="6"/>
  <c r="L302" i="6"/>
  <c r="Q302" i="6" s="1"/>
  <c r="S302" i="6" s="1"/>
  <c r="H302" i="6"/>
  <c r="I303" i="6"/>
  <c r="J303" i="6" s="1"/>
  <c r="N303" i="6"/>
  <c r="O303" i="6"/>
  <c r="G303" i="6"/>
  <c r="K303" i="6"/>
  <c r="F304" i="6"/>
  <c r="P304" i="6" s="1"/>
  <c r="Z280" i="6"/>
  <c r="X280" i="6"/>
  <c r="AY280" i="6" l="1"/>
  <c r="AY27" i="12" s="1"/>
  <c r="AX27" i="12"/>
  <c r="AA301" i="5"/>
  <c r="X301" i="5"/>
  <c r="M283" i="6"/>
  <c r="R283" i="6" s="1"/>
  <c r="T283" i="6" s="1"/>
  <c r="U283" i="6" s="1"/>
  <c r="Y283" i="6" s="1"/>
  <c r="Z283" i="6" s="1"/>
  <c r="AA283" i="6" s="1"/>
  <c r="Q303" i="5"/>
  <c r="T303" i="5"/>
  <c r="J302" i="5"/>
  <c r="AK284" i="6" s="1"/>
  <c r="AP284" i="6" s="1"/>
  <c r="AR284" i="6" s="1"/>
  <c r="M302" i="5"/>
  <c r="C302" i="5"/>
  <c r="M284" i="6" s="1"/>
  <c r="R284" i="6" s="1"/>
  <c r="T284" i="6" s="1"/>
  <c r="U284" i="6" s="1"/>
  <c r="F302" i="5"/>
  <c r="V284" i="6" s="1"/>
  <c r="AP283" i="6"/>
  <c r="AU283" i="6"/>
  <c r="AV283" i="6" s="1"/>
  <c r="AS281" i="6"/>
  <c r="AW281" i="6" s="1"/>
  <c r="AX281" i="6" s="1"/>
  <c r="AY281" i="6" s="1"/>
  <c r="AS282" i="6"/>
  <c r="AW282" i="6" s="1"/>
  <c r="AX282" i="6" s="1"/>
  <c r="AY282" i="6" s="1"/>
  <c r="AH304" i="6"/>
  <c r="AJ304" i="6" s="1"/>
  <c r="AO304" i="6" s="1"/>
  <c r="AQ304" i="6" s="1"/>
  <c r="AL305" i="6"/>
  <c r="AI305" i="6"/>
  <c r="AG305" i="6"/>
  <c r="AH305" i="6" s="1"/>
  <c r="AD306" i="6"/>
  <c r="AM305" i="6"/>
  <c r="AF285" i="6"/>
  <c r="AE286" i="6"/>
  <c r="F305" i="6"/>
  <c r="P305" i="6" s="1"/>
  <c r="G304" i="6"/>
  <c r="I304" i="6"/>
  <c r="J304" i="6" s="1"/>
  <c r="N304" i="6"/>
  <c r="O304" i="6"/>
  <c r="K304" i="6"/>
  <c r="H303" i="6"/>
  <c r="L303" i="6"/>
  <c r="Q303" i="6" s="1"/>
  <c r="S303" i="6" s="1"/>
  <c r="AA280" i="6"/>
  <c r="W283" i="6"/>
  <c r="X283" i="6" s="1"/>
  <c r="Y282" i="6"/>
  <c r="Z282" i="6" s="1"/>
  <c r="AA282" i="6" s="1"/>
  <c r="W282" i="6"/>
  <c r="X282" i="6" s="1"/>
  <c r="J303" i="5" l="1"/>
  <c r="AK285" i="6" s="1"/>
  <c r="M303" i="5"/>
  <c r="AT285" i="6" s="1"/>
  <c r="AU285" i="6" s="1"/>
  <c r="AV285" i="6" s="1"/>
  <c r="AT284" i="6"/>
  <c r="AU284" i="6" s="1"/>
  <c r="AV284" i="6" s="1"/>
  <c r="Q304" i="5"/>
  <c r="T304" i="5"/>
  <c r="AA302" i="5"/>
  <c r="X302" i="5"/>
  <c r="C303" i="5"/>
  <c r="M285" i="6" s="1"/>
  <c r="R285" i="6" s="1"/>
  <c r="T285" i="6" s="1"/>
  <c r="U285" i="6" s="1"/>
  <c r="F303" i="5"/>
  <c r="V285" i="6" s="1"/>
  <c r="AN306" i="6"/>
  <c r="AR283" i="6"/>
  <c r="AJ305" i="6"/>
  <c r="AO305" i="6" s="1"/>
  <c r="AM306" i="6"/>
  <c r="AL306" i="6"/>
  <c r="AI306" i="6"/>
  <c r="AD307" i="6"/>
  <c r="AN307" i="6" s="1"/>
  <c r="AG306" i="6"/>
  <c r="AH306" i="6" s="1"/>
  <c r="AF286" i="6"/>
  <c r="AE287" i="6"/>
  <c r="L304" i="6"/>
  <c r="Q304" i="6" s="1"/>
  <c r="S304" i="6" s="1"/>
  <c r="H304" i="6"/>
  <c r="G305" i="6"/>
  <c r="H305" i="6" s="1"/>
  <c r="I305" i="6"/>
  <c r="F306" i="6"/>
  <c r="P306" i="6" s="1"/>
  <c r="N305" i="6"/>
  <c r="K305" i="6"/>
  <c r="O305" i="6"/>
  <c r="W284" i="6"/>
  <c r="X284" i="6" s="1"/>
  <c r="Y284" i="6"/>
  <c r="Z284" i="6" s="1"/>
  <c r="AA284" i="6" s="1"/>
  <c r="X303" i="5" l="1"/>
  <c r="AA303" i="5"/>
  <c r="T305" i="5"/>
  <c r="Q305" i="5"/>
  <c r="J304" i="5"/>
  <c r="AK286" i="6" s="1"/>
  <c r="AP286" i="6" s="1"/>
  <c r="AR286" i="6" s="1"/>
  <c r="M304" i="5"/>
  <c r="C304" i="5"/>
  <c r="F304" i="5"/>
  <c r="V286" i="6" s="1"/>
  <c r="AQ305" i="6"/>
  <c r="AP285" i="6"/>
  <c r="AS283" i="6"/>
  <c r="AW283" i="6" s="1"/>
  <c r="AX283" i="6" s="1"/>
  <c r="AY283" i="6" s="1"/>
  <c r="AS284" i="6"/>
  <c r="AW284" i="6" s="1"/>
  <c r="AX284" i="6" s="1"/>
  <c r="AY284" i="6" s="1"/>
  <c r="AJ306" i="6"/>
  <c r="AO306" i="6" s="1"/>
  <c r="AQ306" i="6" s="1"/>
  <c r="AL307" i="6"/>
  <c r="AI307" i="6"/>
  <c r="AG307" i="6"/>
  <c r="AH307" i="6" s="1"/>
  <c r="AD308" i="6"/>
  <c r="AM307" i="6"/>
  <c r="AF287" i="6"/>
  <c r="AE288" i="6"/>
  <c r="J305" i="6"/>
  <c r="L305" i="6" s="1"/>
  <c r="F307" i="6"/>
  <c r="P307" i="6" s="1"/>
  <c r="K306" i="6"/>
  <c r="O306" i="6"/>
  <c r="N306" i="6"/>
  <c r="I306" i="6"/>
  <c r="J306" i="6" s="1"/>
  <c r="G306" i="6"/>
  <c r="W285" i="6"/>
  <c r="X285" i="6" s="1"/>
  <c r="Y285" i="6"/>
  <c r="Z285" i="6" s="1"/>
  <c r="AA285" i="6" s="1"/>
  <c r="M305" i="5" l="1"/>
  <c r="J305" i="5"/>
  <c r="AK287" i="6" s="1"/>
  <c r="AT286" i="6"/>
  <c r="AU286" i="6" s="1"/>
  <c r="AV286" i="6" s="1"/>
  <c r="T306" i="5"/>
  <c r="Q306" i="5"/>
  <c r="X304" i="5"/>
  <c r="AA304" i="5"/>
  <c r="C305" i="5"/>
  <c r="M287" i="6" s="1"/>
  <c r="R287" i="6" s="1"/>
  <c r="T287" i="6" s="1"/>
  <c r="F305" i="5"/>
  <c r="V287" i="6" s="1"/>
  <c r="AN308" i="6"/>
  <c r="AR285" i="6"/>
  <c r="M286" i="6"/>
  <c r="R286" i="6" s="1"/>
  <c r="T286" i="6" s="1"/>
  <c r="U286" i="6" s="1"/>
  <c r="AT287" i="6"/>
  <c r="AJ307" i="6"/>
  <c r="AO307" i="6" s="1"/>
  <c r="AF288" i="6"/>
  <c r="AE289" i="6"/>
  <c r="AD309" i="6"/>
  <c r="AN309" i="6" s="1"/>
  <c r="AM308" i="6"/>
  <c r="AI308" i="6"/>
  <c r="AG308" i="6"/>
  <c r="AH308" i="6" s="1"/>
  <c r="AL308" i="6"/>
  <c r="L306" i="6"/>
  <c r="Q306" i="6" s="1"/>
  <c r="S306" i="6" s="1"/>
  <c r="H306" i="6"/>
  <c r="F308" i="6"/>
  <c r="P308" i="6" s="1"/>
  <c r="K307" i="6"/>
  <c r="N307" i="6"/>
  <c r="G307" i="6"/>
  <c r="O307" i="6"/>
  <c r="I307" i="6"/>
  <c r="J307" i="6" s="1"/>
  <c r="Q305" i="6"/>
  <c r="S305" i="6" s="1"/>
  <c r="W286" i="6"/>
  <c r="X286" i="6" s="1"/>
  <c r="Q307" i="5" l="1"/>
  <c r="T307" i="5"/>
  <c r="AA305" i="5"/>
  <c r="X305" i="5"/>
  <c r="J306" i="5"/>
  <c r="AK288" i="6" s="1"/>
  <c r="AP288" i="6" s="1"/>
  <c r="AR288" i="6" s="1"/>
  <c r="M306" i="5"/>
  <c r="C306" i="5"/>
  <c r="M288" i="6" s="1"/>
  <c r="R288" i="6" s="1"/>
  <c r="T288" i="6" s="1"/>
  <c r="F306" i="5"/>
  <c r="V288" i="6" s="1"/>
  <c r="AU287" i="6"/>
  <c r="AV287" i="6" s="1"/>
  <c r="AP287" i="6"/>
  <c r="AQ307" i="6"/>
  <c r="AS285" i="6"/>
  <c r="AW285" i="6" s="1"/>
  <c r="AX285" i="6" s="1"/>
  <c r="AY285" i="6" s="1"/>
  <c r="AS286" i="6"/>
  <c r="AW286" i="6" s="1"/>
  <c r="AX286" i="6" s="1"/>
  <c r="AY286" i="6" s="1"/>
  <c r="AL309" i="6"/>
  <c r="AI309" i="6"/>
  <c r="AD310" i="6"/>
  <c r="AM309" i="6"/>
  <c r="AG309" i="6"/>
  <c r="AH309" i="6" s="1"/>
  <c r="AJ308" i="6"/>
  <c r="AO308" i="6" s="1"/>
  <c r="AQ308" i="6" s="1"/>
  <c r="AF289" i="6"/>
  <c r="AE290" i="6"/>
  <c r="L307" i="6"/>
  <c r="Q307" i="6" s="1"/>
  <c r="S307" i="6" s="1"/>
  <c r="O308" i="6"/>
  <c r="F309" i="6"/>
  <c r="P309" i="6" s="1"/>
  <c r="K308" i="6"/>
  <c r="I308" i="6"/>
  <c r="J308" i="6" s="1"/>
  <c r="N308" i="6"/>
  <c r="G308" i="6"/>
  <c r="U287" i="6"/>
  <c r="Y287" i="6" s="1"/>
  <c r="Z287" i="6" s="1"/>
  <c r="AA287" i="6" s="1"/>
  <c r="H307" i="6"/>
  <c r="W287" i="6"/>
  <c r="X287" i="6" s="1"/>
  <c r="Y286" i="6"/>
  <c r="Z286" i="6" s="1"/>
  <c r="AA286" i="6" s="1"/>
  <c r="J307" i="5" l="1"/>
  <c r="AK289" i="6" s="1"/>
  <c r="M307" i="5"/>
  <c r="AT289" i="6" s="1"/>
  <c r="AU289" i="6" s="1"/>
  <c r="AV289" i="6" s="1"/>
  <c r="AT288" i="6"/>
  <c r="AU288" i="6" s="1"/>
  <c r="AV288" i="6" s="1"/>
  <c r="AA306" i="5"/>
  <c r="X306" i="5"/>
  <c r="Q308" i="5"/>
  <c r="T308" i="5"/>
  <c r="C307" i="5"/>
  <c r="M289" i="6" s="1"/>
  <c r="R289" i="6" s="1"/>
  <c r="T289" i="6" s="1"/>
  <c r="F307" i="5"/>
  <c r="V289" i="6" s="1"/>
  <c r="AN310" i="6"/>
  <c r="AR287" i="6"/>
  <c r="AJ309" i="6"/>
  <c r="AO309" i="6" s="1"/>
  <c r="AF290" i="6"/>
  <c r="AE291" i="6"/>
  <c r="AD311" i="6"/>
  <c r="AN311" i="6" s="1"/>
  <c r="AI310" i="6"/>
  <c r="AM310" i="6"/>
  <c r="AL310" i="6"/>
  <c r="AG310" i="6"/>
  <c r="AH310" i="6" s="1"/>
  <c r="L308" i="6"/>
  <c r="Q308" i="6" s="1"/>
  <c r="S308" i="6" s="1"/>
  <c r="O309" i="6"/>
  <c r="N309" i="6"/>
  <c r="G309" i="6"/>
  <c r="F310" i="6"/>
  <c r="P310" i="6" s="1"/>
  <c r="I309" i="6"/>
  <c r="J309" i="6" s="1"/>
  <c r="K309" i="6"/>
  <c r="H308" i="6"/>
  <c r="U288" i="6"/>
  <c r="Y288" i="6" s="1"/>
  <c r="Z288" i="6" s="1"/>
  <c r="AA288" i="6" s="1"/>
  <c r="W288" i="6"/>
  <c r="X288" i="6" s="1"/>
  <c r="Q309" i="5" l="1"/>
  <c r="T309" i="5"/>
  <c r="AA307" i="5"/>
  <c r="X307" i="5"/>
  <c r="J308" i="5"/>
  <c r="AK290" i="6" s="1"/>
  <c r="AP290" i="6" s="1"/>
  <c r="AR290" i="6" s="1"/>
  <c r="M308" i="5"/>
  <c r="C308" i="5"/>
  <c r="M290" i="6" s="1"/>
  <c r="R290" i="6" s="1"/>
  <c r="T290" i="6" s="1"/>
  <c r="F308" i="5"/>
  <c r="V290" i="6" s="1"/>
  <c r="AQ309" i="6"/>
  <c r="AP289" i="6"/>
  <c r="AS287" i="6"/>
  <c r="AW287" i="6" s="1"/>
  <c r="AX287" i="6" s="1"/>
  <c r="AY287" i="6" s="1"/>
  <c r="AS288" i="6"/>
  <c r="AW288" i="6" s="1"/>
  <c r="AX288" i="6" s="1"/>
  <c r="AY288" i="6" s="1"/>
  <c r="AJ310" i="6"/>
  <c r="AO310" i="6" s="1"/>
  <c r="AQ310" i="6" s="1"/>
  <c r="AD312" i="6"/>
  <c r="AN312" i="6" s="1"/>
  <c r="AI311" i="6"/>
  <c r="AM311" i="6"/>
  <c r="AG311" i="6"/>
  <c r="AH311" i="6" s="1"/>
  <c r="AL311" i="6"/>
  <c r="AF291" i="6"/>
  <c r="AE292" i="6"/>
  <c r="L309" i="6"/>
  <c r="Q309" i="6" s="1"/>
  <c r="S309" i="6" s="1"/>
  <c r="H309" i="6"/>
  <c r="U289" i="6"/>
  <c r="Y289" i="6" s="1"/>
  <c r="Z289" i="6" s="1"/>
  <c r="AA289" i="6" s="1"/>
  <c r="O310" i="6"/>
  <c r="N310" i="6"/>
  <c r="K310" i="6"/>
  <c r="I310" i="6"/>
  <c r="J310" i="6" s="1"/>
  <c r="G310" i="6"/>
  <c r="H310" i="6" s="1"/>
  <c r="F311" i="6"/>
  <c r="P311" i="6" s="1"/>
  <c r="W289" i="6"/>
  <c r="X289" i="6" s="1"/>
  <c r="J309" i="5" l="1"/>
  <c r="AK291" i="6" s="1"/>
  <c r="AP291" i="6" s="1"/>
  <c r="AR291" i="6" s="1"/>
  <c r="M309" i="5"/>
  <c r="AT290" i="6"/>
  <c r="AU290" i="6" s="1"/>
  <c r="AV290" i="6" s="1"/>
  <c r="X308" i="5"/>
  <c r="AA308" i="5"/>
  <c r="Q310" i="5"/>
  <c r="T310" i="5"/>
  <c r="C309" i="5"/>
  <c r="M291" i="6" s="1"/>
  <c r="R291" i="6" s="1"/>
  <c r="T291" i="6" s="1"/>
  <c r="F309" i="5"/>
  <c r="V291" i="6" s="1"/>
  <c r="AR289" i="6"/>
  <c r="AS291" i="6" s="1"/>
  <c r="AT291" i="6"/>
  <c r="AU291" i="6" s="1"/>
  <c r="AV291" i="6" s="1"/>
  <c r="AJ311" i="6"/>
  <c r="AO311" i="6" s="1"/>
  <c r="AQ311" i="6" s="1"/>
  <c r="AF292" i="6"/>
  <c r="AE293" i="6"/>
  <c r="AL312" i="6"/>
  <c r="AD313" i="6"/>
  <c r="AI312" i="6"/>
  <c r="AM312" i="6"/>
  <c r="AG312" i="6"/>
  <c r="AH312" i="6" s="1"/>
  <c r="L310" i="6"/>
  <c r="Q310" i="6" s="1"/>
  <c r="S310" i="6" s="1"/>
  <c r="U290" i="6"/>
  <c r="G311" i="6"/>
  <c r="K311" i="6"/>
  <c r="N311" i="6"/>
  <c r="O311" i="6"/>
  <c r="F312" i="6"/>
  <c r="P312" i="6" s="1"/>
  <c r="I311" i="6"/>
  <c r="W290" i="6"/>
  <c r="X290" i="6" s="1"/>
  <c r="T311" i="5" l="1"/>
  <c r="Q311" i="5"/>
  <c r="X309" i="5"/>
  <c r="AA309" i="5"/>
  <c r="M310" i="5"/>
  <c r="AT292" i="6" s="1"/>
  <c r="AT28" i="12" s="1"/>
  <c r="J310" i="5"/>
  <c r="AK292" i="6" s="1"/>
  <c r="AP292" i="6" s="1"/>
  <c r="AR292" i="6" s="1"/>
  <c r="AS292" i="6" s="1"/>
  <c r="C310" i="5"/>
  <c r="M292" i="6" s="1"/>
  <c r="R292" i="6" s="1"/>
  <c r="T292" i="6" s="1"/>
  <c r="F310" i="5"/>
  <c r="V292" i="6" s="1"/>
  <c r="AN313" i="6"/>
  <c r="AW291" i="6"/>
  <c r="AX291" i="6" s="1"/>
  <c r="AY291" i="6" s="1"/>
  <c r="AS289" i="6"/>
  <c r="AW289" i="6" s="1"/>
  <c r="AX289" i="6" s="1"/>
  <c r="AY289" i="6" s="1"/>
  <c r="AS290" i="6"/>
  <c r="AW290" i="6" s="1"/>
  <c r="AX290" i="6" s="1"/>
  <c r="AY290" i="6" s="1"/>
  <c r="AJ312" i="6"/>
  <c r="AO312" i="6" s="1"/>
  <c r="AM313" i="6"/>
  <c r="AI313" i="6"/>
  <c r="AD314" i="6"/>
  <c r="AG313" i="6"/>
  <c r="AH313" i="6" s="1"/>
  <c r="AL313" i="6"/>
  <c r="AF293" i="6"/>
  <c r="AE294" i="6"/>
  <c r="J311" i="6"/>
  <c r="L311" i="6" s="1"/>
  <c r="Q311" i="6" s="1"/>
  <c r="S311" i="6" s="1"/>
  <c r="K312" i="6"/>
  <c r="G312" i="6"/>
  <c r="H312" i="6" s="1"/>
  <c r="F313" i="6"/>
  <c r="P313" i="6" s="1"/>
  <c r="I312" i="6"/>
  <c r="O312" i="6"/>
  <c r="N312" i="6"/>
  <c r="H311" i="6"/>
  <c r="W291" i="6"/>
  <c r="X291" i="6" s="1"/>
  <c r="U291" i="6"/>
  <c r="Y291" i="6" s="1"/>
  <c r="Z291" i="6" s="1"/>
  <c r="AA291" i="6" s="1"/>
  <c r="Y290" i="6"/>
  <c r="Z290" i="6" s="1"/>
  <c r="AA290" i="6" s="1"/>
  <c r="J311" i="5" l="1"/>
  <c r="AK293" i="6" s="1"/>
  <c r="M311" i="5"/>
  <c r="X310" i="5"/>
  <c r="AA310" i="5"/>
  <c r="Q312" i="5"/>
  <c r="T312" i="5"/>
  <c r="AW292" i="6"/>
  <c r="AX292" i="6" s="1"/>
  <c r="C311" i="5"/>
  <c r="F311" i="5"/>
  <c r="V293" i="6" s="1"/>
  <c r="AN314" i="6"/>
  <c r="AU292" i="6"/>
  <c r="AV292" i="6" s="1"/>
  <c r="AV28" i="12" s="1"/>
  <c r="AW28" i="12"/>
  <c r="AQ312" i="6"/>
  <c r="AT293" i="6"/>
  <c r="AU293" i="6" s="1"/>
  <c r="AV293" i="6" s="1"/>
  <c r="AJ313" i="6"/>
  <c r="AO313" i="6" s="1"/>
  <c r="AQ313" i="6" s="1"/>
  <c r="AI314" i="6"/>
  <c r="AM314" i="6"/>
  <c r="AD315" i="6"/>
  <c r="AN315" i="6" s="1"/>
  <c r="AL314" i="6"/>
  <c r="AG314" i="6"/>
  <c r="AH314" i="6" s="1"/>
  <c r="AF294" i="6"/>
  <c r="AE295" i="6"/>
  <c r="J312" i="6"/>
  <c r="L312" i="6" s="1"/>
  <c r="U292" i="6"/>
  <c r="F314" i="6"/>
  <c r="P314" i="6" s="1"/>
  <c r="K313" i="6"/>
  <c r="O313" i="6"/>
  <c r="I313" i="6"/>
  <c r="J313" i="6" s="1"/>
  <c r="G313" i="6"/>
  <c r="N313" i="6"/>
  <c r="AU28" i="12" l="1"/>
  <c r="T313" i="5"/>
  <c r="Q313" i="5"/>
  <c r="AA311" i="5"/>
  <c r="X311" i="5"/>
  <c r="M312" i="5"/>
  <c r="AT294" i="6" s="1"/>
  <c r="AU294" i="6" s="1"/>
  <c r="AV294" i="6" s="1"/>
  <c r="J312" i="5"/>
  <c r="AK294" i="6" s="1"/>
  <c r="AP294" i="6" s="1"/>
  <c r="AR294" i="6" s="1"/>
  <c r="C312" i="5"/>
  <c r="F312" i="5"/>
  <c r="V294" i="6" s="1"/>
  <c r="AP293" i="6"/>
  <c r="AY292" i="6"/>
  <c r="AY28" i="12" s="1"/>
  <c r="AX28" i="12"/>
  <c r="M293" i="6"/>
  <c r="R293" i="6" s="1"/>
  <c r="T293" i="6" s="1"/>
  <c r="U293" i="6" s="1"/>
  <c r="Y293" i="6" s="1"/>
  <c r="Z293" i="6" s="1"/>
  <c r="AA293" i="6" s="1"/>
  <c r="AJ314" i="6"/>
  <c r="AO314" i="6" s="1"/>
  <c r="AQ314" i="6" s="1"/>
  <c r="AL315" i="6"/>
  <c r="AD316" i="6"/>
  <c r="AI315" i="6"/>
  <c r="AG315" i="6"/>
  <c r="AH315" i="6" s="1"/>
  <c r="AM315" i="6"/>
  <c r="AF295" i="6"/>
  <c r="AE296" i="6"/>
  <c r="L313" i="6"/>
  <c r="Q313" i="6" s="1"/>
  <c r="S313" i="6" s="1"/>
  <c r="I314" i="6"/>
  <c r="J314" i="6" s="1"/>
  <c r="K314" i="6"/>
  <c r="N314" i="6"/>
  <c r="O314" i="6"/>
  <c r="G314" i="6"/>
  <c r="H314" i="6" s="1"/>
  <c r="F315" i="6"/>
  <c r="P315" i="6" s="1"/>
  <c r="Q312" i="6"/>
  <c r="S312" i="6" s="1"/>
  <c r="H313" i="6"/>
  <c r="W293" i="6"/>
  <c r="X293" i="6" s="1"/>
  <c r="W292" i="6"/>
  <c r="Y292" i="6"/>
  <c r="M294" i="6" l="1"/>
  <c r="R294" i="6" s="1"/>
  <c r="T294" i="6" s="1"/>
  <c r="M313" i="5"/>
  <c r="AT295" i="6" s="1"/>
  <c r="AU295" i="6" s="1"/>
  <c r="AV295" i="6" s="1"/>
  <c r="J313" i="5"/>
  <c r="AA312" i="5"/>
  <c r="X312" i="5"/>
  <c r="T314" i="5"/>
  <c r="Q314" i="5"/>
  <c r="C313" i="5"/>
  <c r="M295" i="6" s="1"/>
  <c r="R295" i="6" s="1"/>
  <c r="T295" i="6" s="1"/>
  <c r="U295" i="6" s="1"/>
  <c r="F313" i="5"/>
  <c r="V295" i="6" s="1"/>
  <c r="AN316" i="6"/>
  <c r="AR293" i="6"/>
  <c r="AK295" i="6"/>
  <c r="AJ315" i="6"/>
  <c r="AO315" i="6" s="1"/>
  <c r="AQ315" i="6" s="1"/>
  <c r="AF296" i="6"/>
  <c r="AE297" i="6"/>
  <c r="AM316" i="6"/>
  <c r="AD317" i="6"/>
  <c r="AN317" i="6" s="1"/>
  <c r="AL316" i="6"/>
  <c r="AG316" i="6"/>
  <c r="AH316" i="6" s="1"/>
  <c r="AI316" i="6"/>
  <c r="L314" i="6"/>
  <c r="Q314" i="6" s="1"/>
  <c r="S314" i="6" s="1"/>
  <c r="N315" i="6"/>
  <c r="I315" i="6"/>
  <c r="J315" i="6" s="1"/>
  <c r="O315" i="6"/>
  <c r="F316" i="6"/>
  <c r="P316" i="6" s="1"/>
  <c r="G315" i="6"/>
  <c r="H315" i="6" s="1"/>
  <c r="K315" i="6"/>
  <c r="Z292" i="6"/>
  <c r="X292" i="6"/>
  <c r="W294" i="6"/>
  <c r="X294" i="6" s="1"/>
  <c r="U294" i="6"/>
  <c r="Y294" i="6" s="1"/>
  <c r="Z294" i="6" s="1"/>
  <c r="AA294" i="6" s="1"/>
  <c r="T315" i="5" l="1"/>
  <c r="Q315" i="5"/>
  <c r="X313" i="5"/>
  <c r="AA313" i="5"/>
  <c r="M314" i="5"/>
  <c r="J314" i="5"/>
  <c r="AK296" i="6" s="1"/>
  <c r="AP296" i="6" s="1"/>
  <c r="AR296" i="6" s="1"/>
  <c r="F314" i="5"/>
  <c r="V296" i="6" s="1"/>
  <c r="C314" i="5"/>
  <c r="M296" i="6" s="1"/>
  <c r="R296" i="6" s="1"/>
  <c r="T296" i="6" s="1"/>
  <c r="U296" i="6" s="1"/>
  <c r="AP295" i="6"/>
  <c r="AS293" i="6"/>
  <c r="AW293" i="6" s="1"/>
  <c r="AX293" i="6" s="1"/>
  <c r="AY293" i="6" s="1"/>
  <c r="AS294" i="6"/>
  <c r="AW294" i="6" s="1"/>
  <c r="AX294" i="6" s="1"/>
  <c r="AY294" i="6" s="1"/>
  <c r="AT296" i="6"/>
  <c r="AU296" i="6" s="1"/>
  <c r="AV296" i="6" s="1"/>
  <c r="AJ316" i="6"/>
  <c r="AO316" i="6" s="1"/>
  <c r="AQ316" i="6" s="1"/>
  <c r="AI317" i="6"/>
  <c r="AG317" i="6"/>
  <c r="AH317" i="6" s="1"/>
  <c r="AM317" i="6"/>
  <c r="AL317" i="6"/>
  <c r="AD318" i="6"/>
  <c r="AF297" i="6"/>
  <c r="AE298" i="6"/>
  <c r="L315" i="6"/>
  <c r="Q315" i="6" s="1"/>
  <c r="S315" i="6" s="1"/>
  <c r="K316" i="6"/>
  <c r="I316" i="6"/>
  <c r="J316" i="6" s="1"/>
  <c r="F317" i="6"/>
  <c r="P317" i="6" s="1"/>
  <c r="O316" i="6"/>
  <c r="N316" i="6"/>
  <c r="G316" i="6"/>
  <c r="W295" i="6"/>
  <c r="X295" i="6" s="1"/>
  <c r="Y295" i="6"/>
  <c r="Z295" i="6" s="1"/>
  <c r="AA295" i="6" s="1"/>
  <c r="AA292" i="6"/>
  <c r="J315" i="5" l="1"/>
  <c r="M315" i="5"/>
  <c r="AT297" i="6" s="1"/>
  <c r="AU297" i="6" s="1"/>
  <c r="AV297" i="6" s="1"/>
  <c r="AA314" i="5"/>
  <c r="X314" i="5"/>
  <c r="Q316" i="5"/>
  <c r="T316" i="5"/>
  <c r="C315" i="5"/>
  <c r="F315" i="5"/>
  <c r="V297" i="6" s="1"/>
  <c r="AN318" i="6"/>
  <c r="AR295" i="6"/>
  <c r="AK297" i="6"/>
  <c r="AJ317" i="6"/>
  <c r="AO317" i="6" s="1"/>
  <c r="AL318" i="6"/>
  <c r="AG318" i="6"/>
  <c r="AH318" i="6" s="1"/>
  <c r="AM318" i="6"/>
  <c r="AD319" i="6"/>
  <c r="AN319" i="6" s="1"/>
  <c r="AI318" i="6"/>
  <c r="AF298" i="6"/>
  <c r="AE299" i="6"/>
  <c r="L316" i="6"/>
  <c r="Q316" i="6" s="1"/>
  <c r="S316" i="6" s="1"/>
  <c r="H316" i="6"/>
  <c r="K317" i="6"/>
  <c r="O317" i="6"/>
  <c r="F318" i="6"/>
  <c r="P318" i="6" s="1"/>
  <c r="N317" i="6"/>
  <c r="I317" i="6"/>
  <c r="J317" i="6" s="1"/>
  <c r="G317" i="6"/>
  <c r="W296" i="6"/>
  <c r="X296" i="6" s="1"/>
  <c r="X315" i="5" l="1"/>
  <c r="AA315" i="5"/>
  <c r="T317" i="5"/>
  <c r="Q317" i="5"/>
  <c r="M316" i="5"/>
  <c r="AT298" i="6" s="1"/>
  <c r="AU298" i="6" s="1"/>
  <c r="AV298" i="6" s="1"/>
  <c r="J316" i="5"/>
  <c r="AK298" i="6" s="1"/>
  <c r="AP298" i="6" s="1"/>
  <c r="AR298" i="6" s="1"/>
  <c r="C316" i="5"/>
  <c r="M298" i="6" s="1"/>
  <c r="R298" i="6" s="1"/>
  <c r="T298" i="6" s="1"/>
  <c r="F316" i="5"/>
  <c r="V298" i="6" s="1"/>
  <c r="AP297" i="6"/>
  <c r="AS295" i="6"/>
  <c r="AW295" i="6" s="1"/>
  <c r="AX295" i="6" s="1"/>
  <c r="AY295" i="6" s="1"/>
  <c r="AS296" i="6"/>
  <c r="AW296" i="6" s="1"/>
  <c r="AX296" i="6" s="1"/>
  <c r="AY296" i="6" s="1"/>
  <c r="AQ317" i="6"/>
  <c r="M297" i="6"/>
  <c r="R297" i="6" s="1"/>
  <c r="T297" i="6" s="1"/>
  <c r="AJ318" i="6"/>
  <c r="AO318" i="6" s="1"/>
  <c r="AQ318" i="6" s="1"/>
  <c r="L317" i="6"/>
  <c r="Q317" i="6" s="1"/>
  <c r="S317" i="6" s="1"/>
  <c r="AG319" i="6"/>
  <c r="AH319" i="6" s="1"/>
  <c r="AI319" i="6"/>
  <c r="AM319" i="6"/>
  <c r="AD320" i="6"/>
  <c r="AL319" i="6"/>
  <c r="AF299" i="6"/>
  <c r="AE300" i="6"/>
  <c r="F319" i="6"/>
  <c r="P319" i="6" s="1"/>
  <c r="K318" i="6"/>
  <c r="I318" i="6"/>
  <c r="G318" i="6"/>
  <c r="N318" i="6"/>
  <c r="O318" i="6"/>
  <c r="U297" i="6"/>
  <c r="Y297" i="6" s="1"/>
  <c r="Z297" i="6" s="1"/>
  <c r="AA297" i="6" s="1"/>
  <c r="H317" i="6"/>
  <c r="W297" i="6"/>
  <c r="X297" i="6" s="1"/>
  <c r="Y296" i="6"/>
  <c r="Z296" i="6" s="1"/>
  <c r="AA296" i="6" s="1"/>
  <c r="M317" i="5" l="1"/>
  <c r="AT299" i="6" s="1"/>
  <c r="J317" i="5"/>
  <c r="AK299" i="6" s="1"/>
  <c r="T318" i="5"/>
  <c r="Q318" i="5"/>
  <c r="X316" i="5"/>
  <c r="AA316" i="5"/>
  <c r="F317" i="5"/>
  <c r="V299" i="6" s="1"/>
  <c r="C317" i="5"/>
  <c r="AN320" i="6"/>
  <c r="AR297" i="6"/>
  <c r="AJ319" i="6"/>
  <c r="AO319" i="6" s="1"/>
  <c r="AM320" i="6"/>
  <c r="AD321" i="6"/>
  <c r="AN321" i="6" s="1"/>
  <c r="AL320" i="6"/>
  <c r="AI320" i="6"/>
  <c r="AG320" i="6"/>
  <c r="AH320" i="6" s="1"/>
  <c r="AF300" i="6"/>
  <c r="AE301" i="6"/>
  <c r="J318" i="6"/>
  <c r="L318" i="6" s="1"/>
  <c r="Q318" i="6" s="1"/>
  <c r="S318" i="6" s="1"/>
  <c r="N319" i="6"/>
  <c r="G319" i="6"/>
  <c r="F320" i="6"/>
  <c r="P320" i="6" s="1"/>
  <c r="K319" i="6"/>
  <c r="I319" i="6"/>
  <c r="J319" i="6" s="1"/>
  <c r="O319" i="6"/>
  <c r="U298" i="6"/>
  <c r="H318" i="6"/>
  <c r="W298" i="6"/>
  <c r="X298" i="6" s="1"/>
  <c r="AA317" i="5" l="1"/>
  <c r="X317" i="5"/>
  <c r="T319" i="5"/>
  <c r="Q319" i="5"/>
  <c r="M318" i="5"/>
  <c r="AT300" i="6" s="1"/>
  <c r="J318" i="5"/>
  <c r="AK300" i="6" s="1"/>
  <c r="AP300" i="6" s="1"/>
  <c r="AR300" i="6" s="1"/>
  <c r="C318" i="5"/>
  <c r="M300" i="6" s="1"/>
  <c r="R300" i="6" s="1"/>
  <c r="T300" i="6" s="1"/>
  <c r="F318" i="5"/>
  <c r="V300" i="6" s="1"/>
  <c r="AQ319" i="6"/>
  <c r="AP299" i="6"/>
  <c r="AS297" i="6"/>
  <c r="AW297" i="6" s="1"/>
  <c r="AX297" i="6" s="1"/>
  <c r="AY297" i="6" s="1"/>
  <c r="AS298" i="6"/>
  <c r="AW298" i="6" s="1"/>
  <c r="AX298" i="6" s="1"/>
  <c r="AY298" i="6" s="1"/>
  <c r="M299" i="6"/>
  <c r="R299" i="6" s="1"/>
  <c r="T299" i="6" s="1"/>
  <c r="U299" i="6" s="1"/>
  <c r="AU299" i="6"/>
  <c r="AV299" i="6" s="1"/>
  <c r="AJ320" i="6"/>
  <c r="AO320" i="6" s="1"/>
  <c r="AQ320" i="6" s="1"/>
  <c r="AF301" i="6"/>
  <c r="AE302" i="6"/>
  <c r="AG321" i="6"/>
  <c r="AH321" i="6" s="1"/>
  <c r="AD322" i="6"/>
  <c r="AI321" i="6"/>
  <c r="AM321" i="6"/>
  <c r="AL321" i="6"/>
  <c r="L319" i="6"/>
  <c r="Q319" i="6" s="1"/>
  <c r="S319" i="6" s="1"/>
  <c r="H319" i="6"/>
  <c r="G320" i="6"/>
  <c r="K320" i="6"/>
  <c r="O320" i="6"/>
  <c r="F321" i="6"/>
  <c r="P321" i="6" s="1"/>
  <c r="N320" i="6"/>
  <c r="I320" i="6"/>
  <c r="J320" i="6" s="1"/>
  <c r="Y298" i="6"/>
  <c r="Z298" i="6" s="1"/>
  <c r="AA298" i="6" s="1"/>
  <c r="W299" i="6"/>
  <c r="X299" i="6" s="1"/>
  <c r="J319" i="5" l="1"/>
  <c r="M319" i="5"/>
  <c r="AT301" i="6" s="1"/>
  <c r="AU301" i="6" s="1"/>
  <c r="AV301" i="6" s="1"/>
  <c r="Q320" i="5"/>
  <c r="T320" i="5"/>
  <c r="AA318" i="5"/>
  <c r="X318" i="5"/>
  <c r="F319" i="5"/>
  <c r="V301" i="6" s="1"/>
  <c r="C319" i="5"/>
  <c r="M301" i="6" s="1"/>
  <c r="R301" i="6" s="1"/>
  <c r="T301" i="6" s="1"/>
  <c r="AN322" i="6"/>
  <c r="AR299" i="6"/>
  <c r="AU300" i="6"/>
  <c r="AV300" i="6" s="1"/>
  <c r="AK301" i="6"/>
  <c r="L320" i="6"/>
  <c r="Q320" i="6" s="1"/>
  <c r="S320" i="6" s="1"/>
  <c r="AJ321" i="6"/>
  <c r="AO321" i="6" s="1"/>
  <c r="AQ321" i="6" s="1"/>
  <c r="AM322" i="6"/>
  <c r="AL322" i="6"/>
  <c r="AG322" i="6"/>
  <c r="AH322" i="6" s="1"/>
  <c r="AI322" i="6"/>
  <c r="AD323" i="6"/>
  <c r="AN323" i="6" s="1"/>
  <c r="AF302" i="6"/>
  <c r="AE303" i="6"/>
  <c r="O321" i="6"/>
  <c r="G321" i="6"/>
  <c r="H321" i="6" s="1"/>
  <c r="N321" i="6"/>
  <c r="F322" i="6"/>
  <c r="P322" i="6" s="1"/>
  <c r="K321" i="6"/>
  <c r="I321" i="6"/>
  <c r="U300" i="6"/>
  <c r="H320" i="6"/>
  <c r="W300" i="6"/>
  <c r="X300" i="6" s="1"/>
  <c r="Y299" i="6"/>
  <c r="Z299" i="6" s="1"/>
  <c r="AA299" i="6" s="1"/>
  <c r="AA319" i="5" l="1"/>
  <c r="X319" i="5"/>
  <c r="T321" i="5"/>
  <c r="Q321" i="5"/>
  <c r="M320" i="5"/>
  <c r="J320" i="5"/>
  <c r="AK302" i="6" s="1"/>
  <c r="AP302" i="6" s="1"/>
  <c r="AR302" i="6" s="1"/>
  <c r="F320" i="5"/>
  <c r="V302" i="6" s="1"/>
  <c r="C320" i="5"/>
  <c r="M302" i="6" s="1"/>
  <c r="R302" i="6" s="1"/>
  <c r="T302" i="6" s="1"/>
  <c r="AP301" i="6"/>
  <c r="AS299" i="6"/>
  <c r="AW299" i="6" s="1"/>
  <c r="AX299" i="6" s="1"/>
  <c r="AY299" i="6" s="1"/>
  <c r="AS300" i="6"/>
  <c r="AW300" i="6" s="1"/>
  <c r="AX300" i="6" s="1"/>
  <c r="AY300" i="6" s="1"/>
  <c r="AF303" i="6"/>
  <c r="AE304" i="6"/>
  <c r="AD324" i="6"/>
  <c r="AN324" i="6" s="1"/>
  <c r="AM323" i="6"/>
  <c r="AI323" i="6"/>
  <c r="AL323" i="6"/>
  <c r="AG323" i="6"/>
  <c r="AH323" i="6" s="1"/>
  <c r="AJ322" i="6"/>
  <c r="AO322" i="6" s="1"/>
  <c r="I322" i="6"/>
  <c r="J322" i="6" s="1"/>
  <c r="F323" i="6"/>
  <c r="P323" i="6" s="1"/>
  <c r="K322" i="6"/>
  <c r="G322" i="6"/>
  <c r="H322" i="6" s="1"/>
  <c r="N322" i="6"/>
  <c r="O322" i="6"/>
  <c r="U301" i="6"/>
  <c r="Y301" i="6" s="1"/>
  <c r="Z301" i="6" s="1"/>
  <c r="AA301" i="6" s="1"/>
  <c r="J321" i="6"/>
  <c r="L321" i="6" s="1"/>
  <c r="Q321" i="6" s="1"/>
  <c r="S321" i="6" s="1"/>
  <c r="W301" i="6"/>
  <c r="X301" i="6" s="1"/>
  <c r="Y300" i="6"/>
  <c r="Z300" i="6" s="1"/>
  <c r="AA300" i="6" s="1"/>
  <c r="M321" i="5" l="1"/>
  <c r="J321" i="5"/>
  <c r="AK303" i="6" s="1"/>
  <c r="AP303" i="6" s="1"/>
  <c r="AR303" i="6" s="1"/>
  <c r="Q322" i="5"/>
  <c r="T322" i="5"/>
  <c r="AT302" i="6"/>
  <c r="AU302" i="6" s="1"/>
  <c r="AV302" i="6" s="1"/>
  <c r="AA320" i="5"/>
  <c r="X320" i="5"/>
  <c r="F321" i="5"/>
  <c r="V303" i="6" s="1"/>
  <c r="C321" i="5"/>
  <c r="M303" i="6" s="1"/>
  <c r="R303" i="6" s="1"/>
  <c r="T303" i="6" s="1"/>
  <c r="AS303" i="6"/>
  <c r="AR301" i="6"/>
  <c r="AQ322" i="6"/>
  <c r="AT303" i="6"/>
  <c r="AU303" i="6" s="1"/>
  <c r="AV303" i="6" s="1"/>
  <c r="AJ323" i="6"/>
  <c r="AO323" i="6" s="1"/>
  <c r="AQ323" i="6" s="1"/>
  <c r="AL324" i="6"/>
  <c r="AM324" i="6"/>
  <c r="AD325" i="6"/>
  <c r="AN325" i="6" s="1"/>
  <c r="AI324" i="6"/>
  <c r="AG324" i="6"/>
  <c r="AH324" i="6" s="1"/>
  <c r="AF304" i="6"/>
  <c r="AE305" i="6"/>
  <c r="L322" i="6"/>
  <c r="Q322" i="6" s="1"/>
  <c r="S322" i="6" s="1"/>
  <c r="O323" i="6"/>
  <c r="N323" i="6"/>
  <c r="I323" i="6"/>
  <c r="J323" i="6" s="1"/>
  <c r="K323" i="6"/>
  <c r="F324" i="6"/>
  <c r="P324" i="6" s="1"/>
  <c r="G323" i="6"/>
  <c r="H323" i="6" s="1"/>
  <c r="U302" i="6"/>
  <c r="W302" i="6"/>
  <c r="X302" i="6" s="1"/>
  <c r="X321" i="5" l="1"/>
  <c r="AA321" i="5"/>
  <c r="T323" i="5"/>
  <c r="Q323" i="5"/>
  <c r="J322" i="5"/>
  <c r="AK304" i="6" s="1"/>
  <c r="AP304" i="6" s="1"/>
  <c r="AR304" i="6" s="1"/>
  <c r="AS304" i="6" s="1"/>
  <c r="M322" i="5"/>
  <c r="C322" i="5"/>
  <c r="M304" i="6" s="1"/>
  <c r="R304" i="6" s="1"/>
  <c r="T304" i="6" s="1"/>
  <c r="F322" i="5"/>
  <c r="V304" i="6" s="1"/>
  <c r="AW303" i="6"/>
  <c r="AX303" i="6" s="1"/>
  <c r="AY303" i="6" s="1"/>
  <c r="AS301" i="6"/>
  <c r="AW301" i="6" s="1"/>
  <c r="AX301" i="6" s="1"/>
  <c r="AY301" i="6" s="1"/>
  <c r="AS302" i="6"/>
  <c r="AW302" i="6" s="1"/>
  <c r="AX302" i="6" s="1"/>
  <c r="AY302" i="6" s="1"/>
  <c r="AT304" i="6"/>
  <c r="AT29" i="12" s="1"/>
  <c r="AF305" i="6"/>
  <c r="AE306" i="6"/>
  <c r="AJ324" i="6"/>
  <c r="AO324" i="6" s="1"/>
  <c r="AI325" i="6"/>
  <c r="AL325" i="6"/>
  <c r="AM325" i="6"/>
  <c r="AG325" i="6"/>
  <c r="AH325" i="6" s="1"/>
  <c r="AD326" i="6"/>
  <c r="AN326" i="6" s="1"/>
  <c r="L323" i="6"/>
  <c r="Q323" i="6" s="1"/>
  <c r="S323" i="6" s="1"/>
  <c r="K324" i="6"/>
  <c r="I324" i="6"/>
  <c r="J324" i="6" s="1"/>
  <c r="G324" i="6"/>
  <c r="O324" i="6"/>
  <c r="N324" i="6"/>
  <c r="F325" i="6"/>
  <c r="P325" i="6" s="1"/>
  <c r="U303" i="6"/>
  <c r="Y303" i="6" s="1"/>
  <c r="Z303" i="6" s="1"/>
  <c r="AA303" i="6" s="1"/>
  <c r="W303" i="6"/>
  <c r="X303" i="6" s="1"/>
  <c r="Y302" i="6"/>
  <c r="Z302" i="6" s="1"/>
  <c r="AA302" i="6" s="1"/>
  <c r="M323" i="5" l="1"/>
  <c r="J323" i="5"/>
  <c r="T324" i="5"/>
  <c r="Q324" i="5"/>
  <c r="X322" i="5"/>
  <c r="AA322" i="5"/>
  <c r="AU304" i="6"/>
  <c r="AV304" i="6" s="1"/>
  <c r="AV29" i="12" s="1"/>
  <c r="C323" i="5"/>
  <c r="F323" i="5"/>
  <c r="AW304" i="6"/>
  <c r="AX304" i="6" s="1"/>
  <c r="AQ324" i="6"/>
  <c r="AW29" i="12"/>
  <c r="AT305" i="6"/>
  <c r="AU305" i="6" s="1"/>
  <c r="AV305" i="6" s="1"/>
  <c r="AJ325" i="6"/>
  <c r="AO325" i="6" s="1"/>
  <c r="AQ325" i="6" s="1"/>
  <c r="AD327" i="6"/>
  <c r="AN327" i="6" s="1"/>
  <c r="AL326" i="6"/>
  <c r="AI326" i="6"/>
  <c r="AG326" i="6"/>
  <c r="AH326" i="6" s="1"/>
  <c r="AM326" i="6"/>
  <c r="AF306" i="6"/>
  <c r="AE307" i="6"/>
  <c r="L324" i="6"/>
  <c r="Q324" i="6" s="1"/>
  <c r="S324" i="6" s="1"/>
  <c r="I325" i="6"/>
  <c r="G325" i="6"/>
  <c r="F326" i="6"/>
  <c r="P326" i="6" s="1"/>
  <c r="K325" i="6"/>
  <c r="O325" i="6"/>
  <c r="N325" i="6"/>
  <c r="H324" i="6"/>
  <c r="U304" i="6"/>
  <c r="Y304" i="6" s="1"/>
  <c r="AU29" i="12" l="1"/>
  <c r="Q325" i="5"/>
  <c r="T325" i="5"/>
  <c r="AK305" i="6"/>
  <c r="AP305" i="6" s="1"/>
  <c r="AR305" i="6" s="1"/>
  <c r="AS305" i="6" s="1"/>
  <c r="AW305" i="6" s="1"/>
  <c r="AX305" i="6" s="1"/>
  <c r="AY305" i="6" s="1"/>
  <c r="X323" i="5"/>
  <c r="AA323" i="5"/>
  <c r="J324" i="5"/>
  <c r="AK306" i="6" s="1"/>
  <c r="AP306" i="6" s="1"/>
  <c r="AR306" i="6" s="1"/>
  <c r="M324" i="5"/>
  <c r="AT306" i="6" s="1"/>
  <c r="AU306" i="6" s="1"/>
  <c r="AV306" i="6" s="1"/>
  <c r="C324" i="5"/>
  <c r="M306" i="6" s="1"/>
  <c r="R306" i="6" s="1"/>
  <c r="T306" i="6" s="1"/>
  <c r="F324" i="5"/>
  <c r="V306" i="6" s="1"/>
  <c r="V305" i="6"/>
  <c r="W305" i="6" s="1"/>
  <c r="X305" i="6" s="1"/>
  <c r="AY304" i="6"/>
  <c r="AY29" i="12" s="1"/>
  <c r="AX29" i="12"/>
  <c r="AJ326" i="6"/>
  <c r="AO326" i="6" s="1"/>
  <c r="AQ326" i="6" s="1"/>
  <c r="AF307" i="6"/>
  <c r="AE308" i="6"/>
  <c r="AG327" i="6"/>
  <c r="AH327" i="6" s="1"/>
  <c r="AM327" i="6"/>
  <c r="AL327" i="6"/>
  <c r="AI327" i="6"/>
  <c r="AD328" i="6"/>
  <c r="AN328" i="6" s="1"/>
  <c r="H325" i="6"/>
  <c r="J325" i="6"/>
  <c r="L325" i="6" s="1"/>
  <c r="M305" i="6"/>
  <c r="R305" i="6" s="1"/>
  <c r="T305" i="6" s="1"/>
  <c r="O326" i="6"/>
  <c r="F327" i="6"/>
  <c r="P327" i="6" s="1"/>
  <c r="N326" i="6"/>
  <c r="K326" i="6"/>
  <c r="G326" i="6"/>
  <c r="H326" i="6" s="1"/>
  <c r="I326" i="6"/>
  <c r="Z304" i="6"/>
  <c r="W304" i="6"/>
  <c r="AS306" i="6" l="1"/>
  <c r="AW306" i="6" s="1"/>
  <c r="AX306" i="6" s="1"/>
  <c r="AY306" i="6" s="1"/>
  <c r="J325" i="5"/>
  <c r="M325" i="5"/>
  <c r="AA324" i="5"/>
  <c r="X324" i="5"/>
  <c r="Q326" i="5"/>
  <c r="T326" i="5"/>
  <c r="U306" i="6"/>
  <c r="Y306" i="6" s="1"/>
  <c r="Z306" i="6" s="1"/>
  <c r="AA306" i="6" s="1"/>
  <c r="C325" i="5"/>
  <c r="F325" i="5"/>
  <c r="V307" i="6" s="1"/>
  <c r="AK307" i="6"/>
  <c r="AT307" i="6"/>
  <c r="AU307" i="6" s="1"/>
  <c r="AV307" i="6" s="1"/>
  <c r="AJ327" i="6"/>
  <c r="AO327" i="6" s="1"/>
  <c r="AQ327" i="6" s="1"/>
  <c r="AD329" i="6"/>
  <c r="AN329" i="6" s="1"/>
  <c r="AM328" i="6"/>
  <c r="AI328" i="6"/>
  <c r="AL328" i="6"/>
  <c r="AG328" i="6"/>
  <c r="AH328" i="6" s="1"/>
  <c r="AF308" i="6"/>
  <c r="AE309" i="6"/>
  <c r="K327" i="6"/>
  <c r="O327" i="6"/>
  <c r="N327" i="6"/>
  <c r="F328" i="6"/>
  <c r="P328" i="6" s="1"/>
  <c r="I327" i="6"/>
  <c r="J327" i="6" s="1"/>
  <c r="G327" i="6"/>
  <c r="U305" i="6"/>
  <c r="Y305" i="6" s="1"/>
  <c r="Z305" i="6" s="1"/>
  <c r="AA305" i="6" s="1"/>
  <c r="J326" i="6"/>
  <c r="L326" i="6" s="1"/>
  <c r="Q325" i="6"/>
  <c r="S325" i="6" s="1"/>
  <c r="W306" i="6"/>
  <c r="X306" i="6" s="1"/>
  <c r="X304" i="6"/>
  <c r="AA304" i="6"/>
  <c r="T327" i="5" l="1"/>
  <c r="Q327" i="5"/>
  <c r="X325" i="5"/>
  <c r="AA325" i="5"/>
  <c r="M326" i="5"/>
  <c r="AT308" i="6" s="1"/>
  <c r="J326" i="5"/>
  <c r="AK308" i="6" s="1"/>
  <c r="AP308" i="6" s="1"/>
  <c r="AR308" i="6" s="1"/>
  <c r="C326" i="5"/>
  <c r="M308" i="6" s="1"/>
  <c r="R308" i="6" s="1"/>
  <c r="T308" i="6" s="1"/>
  <c r="F326" i="5"/>
  <c r="V308" i="6" s="1"/>
  <c r="AP307" i="6"/>
  <c r="AJ328" i="6"/>
  <c r="AO328" i="6" s="1"/>
  <c r="AQ328" i="6" s="1"/>
  <c r="L327" i="6"/>
  <c r="Q327" i="6" s="1"/>
  <c r="S327" i="6" s="1"/>
  <c r="AD330" i="6"/>
  <c r="AN330" i="6" s="1"/>
  <c r="AM329" i="6"/>
  <c r="AL329" i="6"/>
  <c r="AI329" i="6"/>
  <c r="AG329" i="6"/>
  <c r="AH329" i="6" s="1"/>
  <c r="AF309" i="6"/>
  <c r="AE310" i="6"/>
  <c r="M307" i="6"/>
  <c r="R307" i="6" s="1"/>
  <c r="T307" i="6" s="1"/>
  <c r="H327" i="6"/>
  <c r="W307" i="6"/>
  <c r="X307" i="6" s="1"/>
  <c r="Q326" i="6"/>
  <c r="S326" i="6" s="1"/>
  <c r="G328" i="6"/>
  <c r="H328" i="6" s="1"/>
  <c r="K328" i="6"/>
  <c r="F329" i="6"/>
  <c r="P329" i="6" s="1"/>
  <c r="I328" i="6"/>
  <c r="J328" i="6" s="1"/>
  <c r="O328" i="6"/>
  <c r="N328" i="6"/>
  <c r="J327" i="5" l="1"/>
  <c r="M327" i="5"/>
  <c r="AT309" i="6" s="1"/>
  <c r="AU309" i="6" s="1"/>
  <c r="AV309" i="6" s="1"/>
  <c r="X326" i="5"/>
  <c r="AA326" i="5"/>
  <c r="Q328" i="5"/>
  <c r="T328" i="5"/>
  <c r="U308" i="6"/>
  <c r="Y308" i="6" s="1"/>
  <c r="Z308" i="6" s="1"/>
  <c r="AA308" i="6" s="1"/>
  <c r="C327" i="5"/>
  <c r="F327" i="5"/>
  <c r="V309" i="6" s="1"/>
  <c r="AR307" i="6"/>
  <c r="AU308" i="6"/>
  <c r="AV308" i="6" s="1"/>
  <c r="AK309" i="6"/>
  <c r="AJ329" i="6"/>
  <c r="AO329" i="6" s="1"/>
  <c r="AF310" i="6"/>
  <c r="AE311" i="6"/>
  <c r="AI330" i="6"/>
  <c r="AM330" i="6"/>
  <c r="AL330" i="6"/>
  <c r="AD331" i="6"/>
  <c r="AN331" i="6" s="1"/>
  <c r="AG330" i="6"/>
  <c r="AH330" i="6" s="1"/>
  <c r="L328" i="6"/>
  <c r="Q328" i="6" s="1"/>
  <c r="S328" i="6" s="1"/>
  <c r="F330" i="6"/>
  <c r="P330" i="6" s="1"/>
  <c r="K329" i="6"/>
  <c r="N329" i="6"/>
  <c r="G329" i="6"/>
  <c r="H329" i="6" s="1"/>
  <c r="I329" i="6"/>
  <c r="J329" i="6" s="1"/>
  <c r="O329" i="6"/>
  <c r="W308" i="6"/>
  <c r="X308" i="6" s="1"/>
  <c r="U307" i="6"/>
  <c r="Y307" i="6" s="1"/>
  <c r="Z307" i="6" s="1"/>
  <c r="AA307" i="6" s="1"/>
  <c r="Q329" i="5" l="1"/>
  <c r="T329" i="5"/>
  <c r="X327" i="5"/>
  <c r="AA327" i="5"/>
  <c r="J328" i="5"/>
  <c r="AK310" i="6" s="1"/>
  <c r="AP310" i="6" s="1"/>
  <c r="AR310" i="6" s="1"/>
  <c r="M328" i="5"/>
  <c r="AT310" i="6" s="1"/>
  <c r="AU310" i="6" s="1"/>
  <c r="AV310" i="6" s="1"/>
  <c r="C328" i="5"/>
  <c r="M310" i="6" s="1"/>
  <c r="R310" i="6" s="1"/>
  <c r="T310" i="6" s="1"/>
  <c r="F328" i="5"/>
  <c r="V310" i="6" s="1"/>
  <c r="AP309" i="6"/>
  <c r="AS307" i="6"/>
  <c r="AW307" i="6" s="1"/>
  <c r="AX307" i="6" s="1"/>
  <c r="AY307" i="6" s="1"/>
  <c r="AS308" i="6"/>
  <c r="AW308" i="6" s="1"/>
  <c r="AX308" i="6" s="1"/>
  <c r="AY308" i="6" s="1"/>
  <c r="AQ329" i="6"/>
  <c r="AJ330" i="6"/>
  <c r="AO330" i="6" s="1"/>
  <c r="AQ330" i="6" s="1"/>
  <c r="AD332" i="6"/>
  <c r="AN332" i="6" s="1"/>
  <c r="AM331" i="6"/>
  <c r="AL331" i="6"/>
  <c r="AI331" i="6"/>
  <c r="AG331" i="6"/>
  <c r="AH331" i="6" s="1"/>
  <c r="AF311" i="6"/>
  <c r="AE312" i="6"/>
  <c r="L329" i="6"/>
  <c r="Q329" i="6" s="1"/>
  <c r="S329" i="6" s="1"/>
  <c r="W309" i="6"/>
  <c r="X309" i="6" s="1"/>
  <c r="M309" i="6"/>
  <c r="R309" i="6" s="1"/>
  <c r="T309" i="6" s="1"/>
  <c r="I330" i="6"/>
  <c r="J330" i="6" s="1"/>
  <c r="K330" i="6"/>
  <c r="G330" i="6"/>
  <c r="F331" i="6"/>
  <c r="P331" i="6" s="1"/>
  <c r="N330" i="6"/>
  <c r="O330" i="6"/>
  <c r="M329" i="5" l="1"/>
  <c r="J329" i="5"/>
  <c r="AA328" i="5"/>
  <c r="X328" i="5"/>
  <c r="T330" i="5"/>
  <c r="Q330" i="5"/>
  <c r="C329" i="5"/>
  <c r="F329" i="5"/>
  <c r="V311" i="6" s="1"/>
  <c r="AR309" i="6"/>
  <c r="AK311" i="6"/>
  <c r="AT311" i="6"/>
  <c r="AU311" i="6" s="1"/>
  <c r="AV311" i="6" s="1"/>
  <c r="U310" i="6"/>
  <c r="Y310" i="6" s="1"/>
  <c r="Z310" i="6" s="1"/>
  <c r="AA310" i="6" s="1"/>
  <c r="AJ331" i="6"/>
  <c r="AO331" i="6" s="1"/>
  <c r="AF312" i="6"/>
  <c r="AE313" i="6"/>
  <c r="AD333" i="6"/>
  <c r="AM332" i="6"/>
  <c r="AI332" i="6"/>
  <c r="AL332" i="6"/>
  <c r="AG332" i="6"/>
  <c r="AH332" i="6" s="1"/>
  <c r="L330" i="6"/>
  <c r="Q330" i="6" s="1"/>
  <c r="S330" i="6" s="1"/>
  <c r="F332" i="6"/>
  <c r="P332" i="6" s="1"/>
  <c r="O331" i="6"/>
  <c r="K331" i="6"/>
  <c r="N331" i="6"/>
  <c r="G331" i="6"/>
  <c r="H331" i="6" s="1"/>
  <c r="I331" i="6"/>
  <c r="J331" i="6" s="1"/>
  <c r="U309" i="6"/>
  <c r="Y309" i="6" s="1"/>
  <c r="Z309" i="6" s="1"/>
  <c r="AA309" i="6" s="1"/>
  <c r="W310" i="6"/>
  <c r="X310" i="6" s="1"/>
  <c r="H330" i="6"/>
  <c r="T331" i="5" l="1"/>
  <c r="Q331" i="5"/>
  <c r="X329" i="5"/>
  <c r="AA329" i="5"/>
  <c r="J330" i="5"/>
  <c r="AK312" i="6" s="1"/>
  <c r="AP312" i="6" s="1"/>
  <c r="AR312" i="6" s="1"/>
  <c r="M330" i="5"/>
  <c r="AT312" i="6" s="1"/>
  <c r="AU312" i="6" s="1"/>
  <c r="AV312" i="6" s="1"/>
  <c r="C330" i="5"/>
  <c r="M312" i="6" s="1"/>
  <c r="R312" i="6" s="1"/>
  <c r="T312" i="6" s="1"/>
  <c r="F330" i="5"/>
  <c r="V312" i="6" s="1"/>
  <c r="AN333" i="6"/>
  <c r="AP311" i="6"/>
  <c r="AS309" i="6"/>
  <c r="AW309" i="6" s="1"/>
  <c r="AX309" i="6" s="1"/>
  <c r="AY309" i="6" s="1"/>
  <c r="AS310" i="6"/>
  <c r="AW310" i="6" s="1"/>
  <c r="AX310" i="6" s="1"/>
  <c r="AY310" i="6" s="1"/>
  <c r="AQ331" i="6"/>
  <c r="AJ332" i="6"/>
  <c r="AO332" i="6" s="1"/>
  <c r="AQ332" i="6" s="1"/>
  <c r="AD334" i="6"/>
  <c r="AN334" i="6" s="1"/>
  <c r="AI333" i="6"/>
  <c r="AL333" i="6"/>
  <c r="AM333" i="6"/>
  <c r="AG333" i="6"/>
  <c r="AH333" i="6" s="1"/>
  <c r="AF313" i="6"/>
  <c r="AE314" i="6"/>
  <c r="L331" i="6"/>
  <c r="Q331" i="6" s="1"/>
  <c r="S331" i="6" s="1"/>
  <c r="I332" i="6"/>
  <c r="J332" i="6" s="1"/>
  <c r="G332" i="6"/>
  <c r="O332" i="6"/>
  <c r="N332" i="6"/>
  <c r="F333" i="6"/>
  <c r="P333" i="6" s="1"/>
  <c r="K332" i="6"/>
  <c r="M311" i="6"/>
  <c r="R311" i="6" s="1"/>
  <c r="T311" i="6" s="1"/>
  <c r="W311" i="6"/>
  <c r="X311" i="6" s="1"/>
  <c r="J331" i="5" l="1"/>
  <c r="AK313" i="6" s="1"/>
  <c r="AP313" i="6" s="1"/>
  <c r="AR313" i="6" s="1"/>
  <c r="M331" i="5"/>
  <c r="AT313" i="6" s="1"/>
  <c r="AU313" i="6" s="1"/>
  <c r="AV313" i="6" s="1"/>
  <c r="AA330" i="5"/>
  <c r="X330" i="5"/>
  <c r="Q332" i="5"/>
  <c r="T332" i="5"/>
  <c r="C331" i="5"/>
  <c r="M313" i="6" s="1"/>
  <c r="R313" i="6" s="1"/>
  <c r="T313" i="6" s="1"/>
  <c r="F331" i="5"/>
  <c r="V313" i="6" s="1"/>
  <c r="AR311" i="6"/>
  <c r="AJ333" i="6"/>
  <c r="AO333" i="6" s="1"/>
  <c r="AF314" i="6"/>
  <c r="AE315" i="6"/>
  <c r="AM334" i="6"/>
  <c r="AG334" i="6"/>
  <c r="AH334" i="6" s="1"/>
  <c r="AD335" i="6"/>
  <c r="AL334" i="6"/>
  <c r="AI334" i="6"/>
  <c r="U312" i="6"/>
  <c r="Y312" i="6" s="1"/>
  <c r="Z312" i="6" s="1"/>
  <c r="AA312" i="6" s="1"/>
  <c r="L332" i="6"/>
  <c r="Q332" i="6" s="1"/>
  <c r="S332" i="6" s="1"/>
  <c r="U311" i="6"/>
  <c r="Y311" i="6" s="1"/>
  <c r="Z311" i="6" s="1"/>
  <c r="AA311" i="6" s="1"/>
  <c r="H332" i="6"/>
  <c r="W312" i="6"/>
  <c r="X312" i="6" s="1"/>
  <c r="G333" i="6"/>
  <c r="I333" i="6"/>
  <c r="J333" i="6" s="1"/>
  <c r="N333" i="6"/>
  <c r="O333" i="6"/>
  <c r="K333" i="6"/>
  <c r="F334" i="6"/>
  <c r="P334" i="6" s="1"/>
  <c r="AS313" i="6" l="1"/>
  <c r="AW313" i="6" s="1"/>
  <c r="AX313" i="6" s="1"/>
  <c r="AY313" i="6" s="1"/>
  <c r="Q333" i="5"/>
  <c r="T333" i="5"/>
  <c r="X331" i="5"/>
  <c r="AA331" i="5"/>
  <c r="M332" i="5"/>
  <c r="AT314" i="6" s="1"/>
  <c r="AU314" i="6" s="1"/>
  <c r="AV314" i="6" s="1"/>
  <c r="J332" i="5"/>
  <c r="AK314" i="6" s="1"/>
  <c r="AP314" i="6" s="1"/>
  <c r="F332" i="5"/>
  <c r="V314" i="6" s="1"/>
  <c r="C332" i="5"/>
  <c r="M314" i="6" s="1"/>
  <c r="R314" i="6" s="1"/>
  <c r="T314" i="6" s="1"/>
  <c r="U314" i="6" s="1"/>
  <c r="AN335" i="6"/>
  <c r="AQ333" i="6"/>
  <c r="AS311" i="6"/>
  <c r="AW311" i="6" s="1"/>
  <c r="AX311" i="6" s="1"/>
  <c r="AY311" i="6" s="1"/>
  <c r="AS312" i="6"/>
  <c r="AW312" i="6" s="1"/>
  <c r="AX312" i="6" s="1"/>
  <c r="AY312" i="6" s="1"/>
  <c r="AJ334" i="6"/>
  <c r="AO334" i="6" s="1"/>
  <c r="AQ334" i="6" s="1"/>
  <c r="AI335" i="6"/>
  <c r="AG335" i="6"/>
  <c r="AH335" i="6" s="1"/>
  <c r="AD336" i="6"/>
  <c r="AN336" i="6" s="1"/>
  <c r="AL335" i="6"/>
  <c r="AM335" i="6"/>
  <c r="AF315" i="6"/>
  <c r="AE316" i="6"/>
  <c r="L333" i="6"/>
  <c r="Q333" i="6" s="1"/>
  <c r="S333" i="6" s="1"/>
  <c r="U313" i="6"/>
  <c r="Y313" i="6" s="1"/>
  <c r="Z313" i="6" s="1"/>
  <c r="AA313" i="6" s="1"/>
  <c r="W313" i="6"/>
  <c r="X313" i="6" s="1"/>
  <c r="G334" i="6"/>
  <c r="O334" i="6"/>
  <c r="N334" i="6"/>
  <c r="K334" i="6"/>
  <c r="F335" i="6"/>
  <c r="P335" i="6" s="1"/>
  <c r="I334" i="6"/>
  <c r="J334" i="6" s="1"/>
  <c r="H333" i="6"/>
  <c r="M333" i="5" l="1"/>
  <c r="AT315" i="6" s="1"/>
  <c r="AU315" i="6" s="1"/>
  <c r="AV315" i="6" s="1"/>
  <c r="J333" i="5"/>
  <c r="AK315" i="6" s="1"/>
  <c r="AP315" i="6" s="1"/>
  <c r="AR315" i="6" s="1"/>
  <c r="AA332" i="5"/>
  <c r="X332" i="5"/>
  <c r="T334" i="5"/>
  <c r="Q334" i="5"/>
  <c r="C333" i="5"/>
  <c r="M315" i="6" s="1"/>
  <c r="R315" i="6" s="1"/>
  <c r="T315" i="6" s="1"/>
  <c r="U315" i="6" s="1"/>
  <c r="F333" i="5"/>
  <c r="V315" i="6" s="1"/>
  <c r="AR314" i="6"/>
  <c r="AS314" i="6" s="1"/>
  <c r="AW314" i="6" s="1"/>
  <c r="AX314" i="6" s="1"/>
  <c r="AY314" i="6" s="1"/>
  <c r="AJ335" i="6"/>
  <c r="AO335" i="6" s="1"/>
  <c r="AF316" i="6"/>
  <c r="AE317" i="6"/>
  <c r="AM336" i="6"/>
  <c r="AI336" i="6"/>
  <c r="AD337" i="6"/>
  <c r="AL336" i="6"/>
  <c r="AG336" i="6"/>
  <c r="AH336" i="6" s="1"/>
  <c r="L334" i="6"/>
  <c r="Q334" i="6" s="1"/>
  <c r="S334" i="6" s="1"/>
  <c r="I335" i="6"/>
  <c r="J335" i="6" s="1"/>
  <c r="G335" i="6"/>
  <c r="H335" i="6" s="1"/>
  <c r="F336" i="6"/>
  <c r="P336" i="6" s="1"/>
  <c r="O335" i="6"/>
  <c r="N335" i="6"/>
  <c r="K335" i="6"/>
  <c r="Y314" i="6"/>
  <c r="Z314" i="6" s="1"/>
  <c r="AA314" i="6" s="1"/>
  <c r="W314" i="6"/>
  <c r="X314" i="6" s="1"/>
  <c r="H334" i="6"/>
  <c r="T335" i="5" l="1"/>
  <c r="Q335" i="5"/>
  <c r="X333" i="5"/>
  <c r="AA333" i="5"/>
  <c r="J334" i="5"/>
  <c r="AK316" i="6" s="1"/>
  <c r="AP316" i="6" s="1"/>
  <c r="AR316" i="6" s="1"/>
  <c r="AS316" i="6" s="1"/>
  <c r="M334" i="5"/>
  <c r="C334" i="5"/>
  <c r="M316" i="6" s="1"/>
  <c r="R316" i="6" s="1"/>
  <c r="T316" i="6" s="1"/>
  <c r="F334" i="5"/>
  <c r="V316" i="6" s="1"/>
  <c r="AS315" i="6"/>
  <c r="AW315" i="6" s="1"/>
  <c r="AX315" i="6" s="1"/>
  <c r="AY315" i="6" s="1"/>
  <c r="AN337" i="6"/>
  <c r="AQ335" i="6"/>
  <c r="AT316" i="6"/>
  <c r="AT30" i="12" s="1"/>
  <c r="AJ336" i="6"/>
  <c r="AO336" i="6" s="1"/>
  <c r="AQ336" i="6" s="1"/>
  <c r="AI337" i="6"/>
  <c r="AD338" i="6"/>
  <c r="AM337" i="6"/>
  <c r="AG337" i="6"/>
  <c r="AH337" i="6" s="1"/>
  <c r="AL337" i="6"/>
  <c r="AF317" i="6"/>
  <c r="AE318" i="6"/>
  <c r="L335" i="6"/>
  <c r="Q335" i="6" s="1"/>
  <c r="S335" i="6" s="1"/>
  <c r="K336" i="6"/>
  <c r="I336" i="6"/>
  <c r="G336" i="6"/>
  <c r="H336" i="6" s="1"/>
  <c r="N336" i="6"/>
  <c r="O336" i="6"/>
  <c r="F337" i="6"/>
  <c r="P337" i="6" s="1"/>
  <c r="W315" i="6"/>
  <c r="X315" i="6" s="1"/>
  <c r="Y315" i="6"/>
  <c r="Z315" i="6" s="1"/>
  <c r="AA315" i="6" s="1"/>
  <c r="J335" i="5" l="1"/>
  <c r="M335" i="5"/>
  <c r="AT317" i="6" s="1"/>
  <c r="AU317" i="6" s="1"/>
  <c r="AV317" i="6" s="1"/>
  <c r="AA334" i="5"/>
  <c r="X334" i="5"/>
  <c r="T336" i="5"/>
  <c r="Q336" i="5"/>
  <c r="AU316" i="6"/>
  <c r="AV316" i="6" s="1"/>
  <c r="AV30" i="12" s="1"/>
  <c r="C335" i="5"/>
  <c r="F335" i="5"/>
  <c r="V317" i="6" s="1"/>
  <c r="AN338" i="6"/>
  <c r="AW316" i="6"/>
  <c r="AX316" i="6" s="1"/>
  <c r="AU30" i="12"/>
  <c r="AJ337" i="6"/>
  <c r="AO337" i="6" s="1"/>
  <c r="AM338" i="6"/>
  <c r="AI338" i="6"/>
  <c r="AD339" i="6"/>
  <c r="AN339" i="6" s="1"/>
  <c r="AL338" i="6"/>
  <c r="AG338" i="6"/>
  <c r="AH338" i="6" s="1"/>
  <c r="AF318" i="6"/>
  <c r="AE319" i="6"/>
  <c r="J336" i="6"/>
  <c r="L336" i="6" s="1"/>
  <c r="Q336" i="6" s="1"/>
  <c r="S336" i="6" s="1"/>
  <c r="K337" i="6"/>
  <c r="O337" i="6"/>
  <c r="N337" i="6"/>
  <c r="F338" i="6"/>
  <c r="P338" i="6" s="1"/>
  <c r="I337" i="6"/>
  <c r="J337" i="6" s="1"/>
  <c r="G337" i="6"/>
  <c r="U316" i="6"/>
  <c r="Y316" i="6" s="1"/>
  <c r="Z316" i="6" s="1"/>
  <c r="AA316" i="6" s="1"/>
  <c r="W316" i="6"/>
  <c r="X316" i="6" s="1"/>
  <c r="AW30" i="12" l="1"/>
  <c r="Q337" i="5"/>
  <c r="T337" i="5"/>
  <c r="X335" i="5"/>
  <c r="AA335" i="5"/>
  <c r="M336" i="5"/>
  <c r="AT318" i="6" s="1"/>
  <c r="AU318" i="6" s="1"/>
  <c r="AV318" i="6" s="1"/>
  <c r="J336" i="5"/>
  <c r="AK318" i="6" s="1"/>
  <c r="AP318" i="6" s="1"/>
  <c r="AR318" i="6" s="1"/>
  <c r="AK317" i="6"/>
  <c r="AP317" i="6" s="1"/>
  <c r="AR317" i="6" s="1"/>
  <c r="AS317" i="6" s="1"/>
  <c r="AW317" i="6" s="1"/>
  <c r="AX317" i="6" s="1"/>
  <c r="AY317" i="6" s="1"/>
  <c r="C336" i="5"/>
  <c r="F336" i="5"/>
  <c r="V318" i="6" s="1"/>
  <c r="AY316" i="6"/>
  <c r="AY30" i="12" s="1"/>
  <c r="AX30" i="12"/>
  <c r="AQ337" i="6"/>
  <c r="AJ338" i="6"/>
  <c r="AO338" i="6" s="1"/>
  <c r="AQ338" i="6" s="1"/>
  <c r="L337" i="6"/>
  <c r="Q337" i="6" s="1"/>
  <c r="S337" i="6" s="1"/>
  <c r="AF319" i="6"/>
  <c r="AE320" i="6"/>
  <c r="AI339" i="6"/>
  <c r="AG339" i="6"/>
  <c r="AH339" i="6" s="1"/>
  <c r="AD340" i="6"/>
  <c r="AM339" i="6"/>
  <c r="AL339" i="6"/>
  <c r="F339" i="6"/>
  <c r="P339" i="6" s="1"/>
  <c r="O338" i="6"/>
  <c r="N338" i="6"/>
  <c r="I338" i="6"/>
  <c r="K338" i="6"/>
  <c r="G338" i="6"/>
  <c r="M317" i="6"/>
  <c r="R317" i="6" s="1"/>
  <c r="T317" i="6" s="1"/>
  <c r="W317" i="6"/>
  <c r="X317" i="6" s="1"/>
  <c r="H337" i="6"/>
  <c r="M318" i="6" l="1"/>
  <c r="R318" i="6" s="1"/>
  <c r="T318" i="6" s="1"/>
  <c r="U318" i="6" s="1"/>
  <c r="Y318" i="6" s="1"/>
  <c r="Z318" i="6" s="1"/>
  <c r="AA318" i="6" s="1"/>
  <c r="M337" i="5"/>
  <c r="AT319" i="6" s="1"/>
  <c r="AU319" i="6" s="1"/>
  <c r="AV319" i="6" s="1"/>
  <c r="J337" i="5"/>
  <c r="AK319" i="6" s="1"/>
  <c r="AA336" i="5"/>
  <c r="X336" i="5"/>
  <c r="Q338" i="5"/>
  <c r="T338" i="5"/>
  <c r="C337" i="5"/>
  <c r="F337" i="5"/>
  <c r="V319" i="6" s="1"/>
  <c r="AN340" i="6"/>
  <c r="AS318" i="6"/>
  <c r="AW318" i="6" s="1"/>
  <c r="AX318" i="6" s="1"/>
  <c r="AY318" i="6" s="1"/>
  <c r="AJ339" i="6"/>
  <c r="AO339" i="6" s="1"/>
  <c r="AQ339" i="6" s="1"/>
  <c r="AM340" i="6"/>
  <c r="AD341" i="6"/>
  <c r="AN341" i="6" s="1"/>
  <c r="AG340" i="6"/>
  <c r="AH340" i="6" s="1"/>
  <c r="AL340" i="6"/>
  <c r="AI340" i="6"/>
  <c r="AF320" i="6"/>
  <c r="AE321" i="6"/>
  <c r="U317" i="6"/>
  <c r="Y317" i="6" s="1"/>
  <c r="Z317" i="6" s="1"/>
  <c r="AA317" i="6" s="1"/>
  <c r="J338" i="6"/>
  <c r="L338" i="6" s="1"/>
  <c r="Q338" i="6" s="1"/>
  <c r="S338" i="6" s="1"/>
  <c r="W318" i="6"/>
  <c r="X318" i="6" s="1"/>
  <c r="I339" i="6"/>
  <c r="J339" i="6" s="1"/>
  <c r="O339" i="6"/>
  <c r="N339" i="6"/>
  <c r="K339" i="6"/>
  <c r="G339" i="6"/>
  <c r="F340" i="6"/>
  <c r="P340" i="6" s="1"/>
  <c r="H338" i="6"/>
  <c r="X337" i="5" l="1"/>
  <c r="AA337" i="5"/>
  <c r="J338" i="5"/>
  <c r="AK320" i="6" s="1"/>
  <c r="AP320" i="6" s="1"/>
  <c r="AR320" i="6" s="1"/>
  <c r="M338" i="5"/>
  <c r="Q339" i="5"/>
  <c r="T339" i="5"/>
  <c r="C338" i="5"/>
  <c r="M320" i="6" s="1"/>
  <c r="R320" i="6" s="1"/>
  <c r="T320" i="6" s="1"/>
  <c r="F338" i="5"/>
  <c r="V320" i="6" s="1"/>
  <c r="AP319" i="6"/>
  <c r="AT320" i="6"/>
  <c r="AU320" i="6" s="1"/>
  <c r="AV320" i="6" s="1"/>
  <c r="AF321" i="6"/>
  <c r="AE322" i="6"/>
  <c r="AJ340" i="6"/>
  <c r="AO340" i="6" s="1"/>
  <c r="AQ340" i="6" s="1"/>
  <c r="AI341" i="6"/>
  <c r="AG341" i="6"/>
  <c r="AH341" i="6" s="1"/>
  <c r="AD342" i="6"/>
  <c r="AL341" i="6"/>
  <c r="AM341" i="6"/>
  <c r="L339" i="6"/>
  <c r="Q339" i="6" s="1"/>
  <c r="S339" i="6" s="1"/>
  <c r="M319" i="6"/>
  <c r="R319" i="6" s="1"/>
  <c r="T319" i="6" s="1"/>
  <c r="W319" i="6"/>
  <c r="X319" i="6" s="1"/>
  <c r="H339" i="6"/>
  <c r="N340" i="6"/>
  <c r="F341" i="6"/>
  <c r="P341" i="6" s="1"/>
  <c r="I340" i="6"/>
  <c r="J340" i="6" s="1"/>
  <c r="G340" i="6"/>
  <c r="H340" i="6" s="1"/>
  <c r="O340" i="6"/>
  <c r="K340" i="6"/>
  <c r="U320" i="6" l="1"/>
  <c r="Y320" i="6" s="1"/>
  <c r="Z320" i="6" s="1"/>
  <c r="AA320" i="6" s="1"/>
  <c r="T340" i="5"/>
  <c r="Q340" i="5"/>
  <c r="M339" i="5"/>
  <c r="AT321" i="6" s="1"/>
  <c r="AU321" i="6" s="1"/>
  <c r="AV321" i="6" s="1"/>
  <c r="J339" i="5"/>
  <c r="AK321" i="6" s="1"/>
  <c r="AA338" i="5"/>
  <c r="X338" i="5"/>
  <c r="C339" i="5"/>
  <c r="F339" i="5"/>
  <c r="V321" i="6" s="1"/>
  <c r="AN342" i="6"/>
  <c r="AR319" i="6"/>
  <c r="AJ341" i="6"/>
  <c r="AO341" i="6" s="1"/>
  <c r="AM342" i="6"/>
  <c r="AD343" i="6"/>
  <c r="AN343" i="6" s="1"/>
  <c r="AI342" i="6"/>
  <c r="AL342" i="6"/>
  <c r="AG342" i="6"/>
  <c r="AH342" i="6" s="1"/>
  <c r="AF322" i="6"/>
  <c r="AE323" i="6"/>
  <c r="L340" i="6"/>
  <c r="Q340" i="6" s="1"/>
  <c r="S340" i="6" s="1"/>
  <c r="W320" i="6"/>
  <c r="X320" i="6" s="1"/>
  <c r="U319" i="6"/>
  <c r="Y319" i="6" s="1"/>
  <c r="Z319" i="6" s="1"/>
  <c r="AA319" i="6" s="1"/>
  <c r="G341" i="6"/>
  <c r="N341" i="6"/>
  <c r="F342" i="6"/>
  <c r="P342" i="6" s="1"/>
  <c r="I341" i="6"/>
  <c r="J341" i="6" s="1"/>
  <c r="O341" i="6"/>
  <c r="K341" i="6"/>
  <c r="X339" i="5" l="1"/>
  <c r="AA339" i="5"/>
  <c r="M340" i="5"/>
  <c r="AT322" i="6" s="1"/>
  <c r="AU322" i="6" s="1"/>
  <c r="AV322" i="6" s="1"/>
  <c r="J340" i="5"/>
  <c r="AK322" i="6" s="1"/>
  <c r="AP322" i="6" s="1"/>
  <c r="AR322" i="6" s="1"/>
  <c r="T341" i="5"/>
  <c r="Q341" i="5"/>
  <c r="C340" i="5"/>
  <c r="M322" i="6" s="1"/>
  <c r="R322" i="6" s="1"/>
  <c r="T322" i="6" s="1"/>
  <c r="F340" i="5"/>
  <c r="AP321" i="6"/>
  <c r="AS319" i="6"/>
  <c r="AW319" i="6" s="1"/>
  <c r="AX319" i="6" s="1"/>
  <c r="AY319" i="6" s="1"/>
  <c r="AS320" i="6"/>
  <c r="AW320" i="6" s="1"/>
  <c r="AX320" i="6" s="1"/>
  <c r="AY320" i="6" s="1"/>
  <c r="AQ341" i="6"/>
  <c r="AJ342" i="6"/>
  <c r="AO342" i="6" s="1"/>
  <c r="AQ342" i="6" s="1"/>
  <c r="AF323" i="6"/>
  <c r="AE324" i="6"/>
  <c r="AG343" i="6"/>
  <c r="AH343" i="6" s="1"/>
  <c r="AL343" i="6"/>
  <c r="AD344" i="6"/>
  <c r="AM343" i="6"/>
  <c r="AI343" i="6"/>
  <c r="L341" i="6"/>
  <c r="Q341" i="6" s="1"/>
  <c r="S341" i="6" s="1"/>
  <c r="G342" i="6"/>
  <c r="H342" i="6" s="1"/>
  <c r="O342" i="6"/>
  <c r="N342" i="6"/>
  <c r="K342" i="6"/>
  <c r="F343" i="6"/>
  <c r="P343" i="6" s="1"/>
  <c r="I342" i="6"/>
  <c r="M321" i="6"/>
  <c r="R321" i="6" s="1"/>
  <c r="T321" i="6" s="1"/>
  <c r="W321" i="6"/>
  <c r="X321" i="6" s="1"/>
  <c r="H341" i="6"/>
  <c r="T342" i="5" l="1"/>
  <c r="Q342" i="5"/>
  <c r="J341" i="5"/>
  <c r="M341" i="5"/>
  <c r="AT323" i="6" s="1"/>
  <c r="AU323" i="6" s="1"/>
  <c r="AV323" i="6" s="1"/>
  <c r="X340" i="5"/>
  <c r="AA340" i="5"/>
  <c r="C341" i="5"/>
  <c r="F341" i="5"/>
  <c r="V323" i="6" s="1"/>
  <c r="V322" i="6"/>
  <c r="W322" i="6" s="1"/>
  <c r="X322" i="6" s="1"/>
  <c r="AN344" i="6"/>
  <c r="AR321" i="6"/>
  <c r="AK323" i="6"/>
  <c r="AJ343" i="6"/>
  <c r="AO343" i="6" s="1"/>
  <c r="AI344" i="6"/>
  <c r="AM344" i="6"/>
  <c r="AL344" i="6"/>
  <c r="AD345" i="6"/>
  <c r="AN345" i="6" s="1"/>
  <c r="AG344" i="6"/>
  <c r="AH344" i="6" s="1"/>
  <c r="U322" i="6"/>
  <c r="AF324" i="6"/>
  <c r="AE325" i="6"/>
  <c r="K343" i="6"/>
  <c r="O343" i="6"/>
  <c r="F344" i="6"/>
  <c r="P344" i="6" s="1"/>
  <c r="I343" i="6"/>
  <c r="G343" i="6"/>
  <c r="H343" i="6" s="1"/>
  <c r="N343" i="6"/>
  <c r="U321" i="6"/>
  <c r="Y321" i="6" s="1"/>
  <c r="Z321" i="6" s="1"/>
  <c r="AA321" i="6" s="1"/>
  <c r="J342" i="6"/>
  <c r="L342" i="6" s="1"/>
  <c r="Q342" i="6" s="1"/>
  <c r="S342" i="6" s="1"/>
  <c r="AA341" i="5" l="1"/>
  <c r="X341" i="5"/>
  <c r="Y322" i="6"/>
  <c r="Z322" i="6" s="1"/>
  <c r="AA322" i="6" s="1"/>
  <c r="J342" i="5"/>
  <c r="AK324" i="6" s="1"/>
  <c r="AP324" i="6" s="1"/>
  <c r="AR324" i="6" s="1"/>
  <c r="M342" i="5"/>
  <c r="AT324" i="6" s="1"/>
  <c r="Q343" i="5"/>
  <c r="T343" i="5"/>
  <c r="C342" i="5"/>
  <c r="M324" i="6" s="1"/>
  <c r="R324" i="6" s="1"/>
  <c r="T324" i="6" s="1"/>
  <c r="F342" i="5"/>
  <c r="AQ343" i="6"/>
  <c r="AP323" i="6"/>
  <c r="AS321" i="6"/>
  <c r="AW321" i="6" s="1"/>
  <c r="AX321" i="6" s="1"/>
  <c r="AY321" i="6" s="1"/>
  <c r="AS322" i="6"/>
  <c r="AW322" i="6" s="1"/>
  <c r="AX322" i="6" s="1"/>
  <c r="AY322" i="6" s="1"/>
  <c r="AJ344" i="6"/>
  <c r="AO344" i="6" s="1"/>
  <c r="AQ344" i="6" s="1"/>
  <c r="AF325" i="6"/>
  <c r="AE326" i="6"/>
  <c r="AG345" i="6"/>
  <c r="AH345" i="6" s="1"/>
  <c r="AD346" i="6"/>
  <c r="AI345" i="6"/>
  <c r="AM345" i="6"/>
  <c r="AL345" i="6"/>
  <c r="J343" i="6"/>
  <c r="L343" i="6" s="1"/>
  <c r="Q343" i="6" s="1"/>
  <c r="S343" i="6" s="1"/>
  <c r="W323" i="6"/>
  <c r="X323" i="6" s="1"/>
  <c r="M323" i="6"/>
  <c r="R323" i="6" s="1"/>
  <c r="T323" i="6" s="1"/>
  <c r="I344" i="6"/>
  <c r="K344" i="6"/>
  <c r="G344" i="6"/>
  <c r="O344" i="6"/>
  <c r="N344" i="6"/>
  <c r="F345" i="6"/>
  <c r="P345" i="6" s="1"/>
  <c r="Q344" i="5" l="1"/>
  <c r="T344" i="5"/>
  <c r="J343" i="5"/>
  <c r="AK325" i="6" s="1"/>
  <c r="AP325" i="6" s="1"/>
  <c r="AR325" i="6" s="1"/>
  <c r="M343" i="5"/>
  <c r="AT325" i="6" s="1"/>
  <c r="AA342" i="5"/>
  <c r="X342" i="5"/>
  <c r="C343" i="5"/>
  <c r="M325" i="6" s="1"/>
  <c r="R325" i="6" s="1"/>
  <c r="T325" i="6" s="1"/>
  <c r="U325" i="6" s="1"/>
  <c r="F343" i="5"/>
  <c r="V325" i="6" s="1"/>
  <c r="V324" i="6"/>
  <c r="W324" i="6" s="1"/>
  <c r="X324" i="6" s="1"/>
  <c r="AN346" i="6"/>
  <c r="AR323" i="6"/>
  <c r="U324" i="6"/>
  <c r="AU324" i="6"/>
  <c r="AV324" i="6" s="1"/>
  <c r="AJ345" i="6"/>
  <c r="AO345" i="6" s="1"/>
  <c r="AD347" i="6"/>
  <c r="AN347" i="6" s="1"/>
  <c r="AI346" i="6"/>
  <c r="AM346" i="6"/>
  <c r="AL346" i="6"/>
  <c r="AG346" i="6"/>
  <c r="AH346" i="6" s="1"/>
  <c r="AF326" i="6"/>
  <c r="AE327" i="6"/>
  <c r="F346" i="6"/>
  <c r="P346" i="6" s="1"/>
  <c r="K345" i="6"/>
  <c r="I345" i="6"/>
  <c r="O345" i="6"/>
  <c r="N345" i="6"/>
  <c r="G345" i="6"/>
  <c r="U323" i="6"/>
  <c r="Y323" i="6" s="1"/>
  <c r="Z323" i="6" s="1"/>
  <c r="AA323" i="6" s="1"/>
  <c r="H344" i="6"/>
  <c r="J344" i="6"/>
  <c r="L344" i="6" s="1"/>
  <c r="Q344" i="6" s="1"/>
  <c r="S344" i="6" s="1"/>
  <c r="AS325" i="6" l="1"/>
  <c r="AW325" i="6" s="1"/>
  <c r="AX325" i="6" s="1"/>
  <c r="AY325" i="6" s="1"/>
  <c r="AA343" i="5"/>
  <c r="X343" i="5"/>
  <c r="M344" i="5"/>
  <c r="AT326" i="6" s="1"/>
  <c r="J344" i="5"/>
  <c r="AK326" i="6" s="1"/>
  <c r="AP326" i="6" s="1"/>
  <c r="Y324" i="6"/>
  <c r="Z324" i="6" s="1"/>
  <c r="AA324" i="6" s="1"/>
  <c r="Q345" i="5"/>
  <c r="T345" i="5"/>
  <c r="C344" i="5"/>
  <c r="M326" i="6" s="1"/>
  <c r="R326" i="6" s="1"/>
  <c r="T326" i="6" s="1"/>
  <c r="U326" i="6" s="1"/>
  <c r="F344" i="5"/>
  <c r="V326" i="6" s="1"/>
  <c r="AU325" i="6"/>
  <c r="AV325" i="6" s="1"/>
  <c r="AQ345" i="6"/>
  <c r="AS323" i="6"/>
  <c r="AW323" i="6" s="1"/>
  <c r="AX323" i="6" s="1"/>
  <c r="AY323" i="6" s="1"/>
  <c r="AS324" i="6"/>
  <c r="AW324" i="6" s="1"/>
  <c r="AX324" i="6" s="1"/>
  <c r="AY324" i="6" s="1"/>
  <c r="AJ346" i="6"/>
  <c r="AO346" i="6" s="1"/>
  <c r="AQ346" i="6" s="1"/>
  <c r="AF327" i="6"/>
  <c r="AE328" i="6"/>
  <c r="AD348" i="6"/>
  <c r="AN348" i="6" s="1"/>
  <c r="AM347" i="6"/>
  <c r="AL347" i="6"/>
  <c r="AI347" i="6"/>
  <c r="AG347" i="6"/>
  <c r="AH347" i="6" s="1"/>
  <c r="J345" i="6"/>
  <c r="L345" i="6" s="1"/>
  <c r="Q345" i="6" s="1"/>
  <c r="S345" i="6" s="1"/>
  <c r="K346" i="6"/>
  <c r="I346" i="6"/>
  <c r="J346" i="6" s="1"/>
  <c r="G346" i="6"/>
  <c r="N346" i="6"/>
  <c r="F347" i="6"/>
  <c r="P347" i="6" s="1"/>
  <c r="O346" i="6"/>
  <c r="Y325" i="6"/>
  <c r="Z325" i="6" s="1"/>
  <c r="AA325" i="6" s="1"/>
  <c r="W325" i="6"/>
  <c r="X325" i="6" s="1"/>
  <c r="H345" i="6"/>
  <c r="T346" i="5" l="1"/>
  <c r="Q346" i="5"/>
  <c r="J345" i="5"/>
  <c r="AK327" i="6" s="1"/>
  <c r="AP327" i="6" s="1"/>
  <c r="AR327" i="6" s="1"/>
  <c r="M345" i="5"/>
  <c r="X344" i="5"/>
  <c r="AA344" i="5"/>
  <c r="C345" i="5"/>
  <c r="M327" i="6" s="1"/>
  <c r="R327" i="6" s="1"/>
  <c r="T327" i="6" s="1"/>
  <c r="U327" i="6" s="1"/>
  <c r="F345" i="5"/>
  <c r="V327" i="6" s="1"/>
  <c r="AU326" i="6"/>
  <c r="AV326" i="6" s="1"/>
  <c r="AR326" i="6"/>
  <c r="AS326" i="6" s="1"/>
  <c r="AW326" i="6" s="1"/>
  <c r="AX326" i="6" s="1"/>
  <c r="AY326" i="6" s="1"/>
  <c r="AJ347" i="6"/>
  <c r="AO347" i="6" s="1"/>
  <c r="AD349" i="6"/>
  <c r="AN349" i="6" s="1"/>
  <c r="AM348" i="6"/>
  <c r="AL348" i="6"/>
  <c r="AI348" i="6"/>
  <c r="AG348" i="6"/>
  <c r="AH348" i="6" s="1"/>
  <c r="AF328" i="6"/>
  <c r="AE329" i="6"/>
  <c r="L346" i="6"/>
  <c r="Q346" i="6" s="1"/>
  <c r="S346" i="6" s="1"/>
  <c r="W326" i="6"/>
  <c r="X326" i="6" s="1"/>
  <c r="Y326" i="6"/>
  <c r="Z326" i="6" s="1"/>
  <c r="AA326" i="6" s="1"/>
  <c r="H346" i="6"/>
  <c r="O347" i="6"/>
  <c r="I347" i="6"/>
  <c r="J347" i="6" s="1"/>
  <c r="N347" i="6"/>
  <c r="F348" i="6"/>
  <c r="P348" i="6" s="1"/>
  <c r="K347" i="6"/>
  <c r="G347" i="6"/>
  <c r="H347" i="6" s="1"/>
  <c r="X345" i="5" l="1"/>
  <c r="AA345" i="5"/>
  <c r="J346" i="5"/>
  <c r="AK328" i="6" s="1"/>
  <c r="AP328" i="6" s="1"/>
  <c r="AR328" i="6" s="1"/>
  <c r="AS328" i="6" s="1"/>
  <c r="M346" i="5"/>
  <c r="AT327" i="6"/>
  <c r="AS327" i="6"/>
  <c r="Q347" i="5"/>
  <c r="T347" i="5"/>
  <c r="F346" i="5"/>
  <c r="V328" i="6" s="1"/>
  <c r="C346" i="5"/>
  <c r="M328" i="6" s="1"/>
  <c r="R328" i="6" s="1"/>
  <c r="T328" i="6" s="1"/>
  <c r="AQ347" i="6"/>
  <c r="AT328" i="6"/>
  <c r="AT31" i="12" s="1"/>
  <c r="AJ348" i="6"/>
  <c r="AO348" i="6" s="1"/>
  <c r="AQ348" i="6" s="1"/>
  <c r="AF329" i="6"/>
  <c r="AE330" i="6"/>
  <c r="AG349" i="6"/>
  <c r="AH349" i="6" s="1"/>
  <c r="AM349" i="6"/>
  <c r="AD350" i="6"/>
  <c r="AI349" i="6"/>
  <c r="AL349" i="6"/>
  <c r="L347" i="6"/>
  <c r="Q347" i="6" s="1"/>
  <c r="S347" i="6" s="1"/>
  <c r="W327" i="6"/>
  <c r="X327" i="6" s="1"/>
  <c r="Y327" i="6"/>
  <c r="Z327" i="6" s="1"/>
  <c r="AA327" i="6" s="1"/>
  <c r="O348" i="6"/>
  <c r="N348" i="6"/>
  <c r="F349" i="6"/>
  <c r="P349" i="6" s="1"/>
  <c r="I348" i="6"/>
  <c r="J348" i="6" s="1"/>
  <c r="K348" i="6"/>
  <c r="G348" i="6"/>
  <c r="AW327" i="6" l="1"/>
  <c r="AX327" i="6" s="1"/>
  <c r="AY327" i="6" s="1"/>
  <c r="T348" i="5"/>
  <c r="Q348" i="5"/>
  <c r="J347" i="5"/>
  <c r="AK329" i="6" s="1"/>
  <c r="M347" i="5"/>
  <c r="AT329" i="6" s="1"/>
  <c r="AU329" i="6" s="1"/>
  <c r="AV329" i="6" s="1"/>
  <c r="X346" i="5"/>
  <c r="AA346" i="5"/>
  <c r="AU327" i="6"/>
  <c r="AV327" i="6" s="1"/>
  <c r="AU328" i="6"/>
  <c r="AV328" i="6" s="1"/>
  <c r="AV31" i="12" s="1"/>
  <c r="C347" i="5"/>
  <c r="F347" i="5"/>
  <c r="AN350" i="6"/>
  <c r="AW328" i="6"/>
  <c r="AX328" i="6" s="1"/>
  <c r="AW31" i="12"/>
  <c r="AJ349" i="6"/>
  <c r="AO349" i="6" s="1"/>
  <c r="AM350" i="6"/>
  <c r="AL350" i="6"/>
  <c r="AI350" i="6"/>
  <c r="AG350" i="6"/>
  <c r="AH350" i="6" s="1"/>
  <c r="AD351" i="6"/>
  <c r="AN351" i="6" s="1"/>
  <c r="AF330" i="6"/>
  <c r="AE331" i="6"/>
  <c r="L348" i="6"/>
  <c r="Q348" i="6" s="1"/>
  <c r="S348" i="6" s="1"/>
  <c r="H348" i="6"/>
  <c r="U328" i="6"/>
  <c r="Y328" i="6" s="1"/>
  <c r="Z328" i="6" s="1"/>
  <c r="AA328" i="6" s="1"/>
  <c r="W328" i="6"/>
  <c r="X328" i="6" s="1"/>
  <c r="N349" i="6"/>
  <c r="G349" i="6"/>
  <c r="H349" i="6" s="1"/>
  <c r="K349" i="6"/>
  <c r="F350" i="6"/>
  <c r="P350" i="6" s="1"/>
  <c r="O349" i="6"/>
  <c r="I349" i="6"/>
  <c r="J349" i="6" s="1"/>
  <c r="AU31" i="12" l="1"/>
  <c r="X347" i="5"/>
  <c r="AA347" i="5"/>
  <c r="M348" i="5"/>
  <c r="AT330" i="6" s="1"/>
  <c r="J348" i="5"/>
  <c r="AK330" i="6" s="1"/>
  <c r="AP330" i="6" s="1"/>
  <c r="AR330" i="6" s="1"/>
  <c r="T349" i="5"/>
  <c r="Q349" i="5"/>
  <c r="C348" i="5"/>
  <c r="M330" i="6" s="1"/>
  <c r="R330" i="6" s="1"/>
  <c r="T330" i="6" s="1"/>
  <c r="F348" i="5"/>
  <c r="V330" i="6" s="1"/>
  <c r="V329" i="6"/>
  <c r="W329" i="6" s="1"/>
  <c r="X329" i="6" s="1"/>
  <c r="AP329" i="6"/>
  <c r="AQ349" i="6"/>
  <c r="AY328" i="6"/>
  <c r="AY31" i="12" s="1"/>
  <c r="AX31" i="12"/>
  <c r="AJ350" i="6"/>
  <c r="AO350" i="6" s="1"/>
  <c r="AQ350" i="6" s="1"/>
  <c r="AG351" i="6"/>
  <c r="AH351" i="6" s="1"/>
  <c r="AM351" i="6"/>
  <c r="AI351" i="6"/>
  <c r="AD352" i="6"/>
  <c r="AL351" i="6"/>
  <c r="AF331" i="6"/>
  <c r="AE332" i="6"/>
  <c r="L349" i="6"/>
  <c r="Q349" i="6" s="1"/>
  <c r="S349" i="6" s="1"/>
  <c r="I350" i="6"/>
  <c r="J350" i="6" s="1"/>
  <c r="G350" i="6"/>
  <c r="H350" i="6" s="1"/>
  <c r="N350" i="6"/>
  <c r="K350" i="6"/>
  <c r="O350" i="6"/>
  <c r="F351" i="6"/>
  <c r="P351" i="6" s="1"/>
  <c r="M329" i="6"/>
  <c r="R329" i="6" s="1"/>
  <c r="T329" i="6" s="1"/>
  <c r="T350" i="5" l="1"/>
  <c r="Q350" i="5"/>
  <c r="M349" i="5"/>
  <c r="J349" i="5"/>
  <c r="X348" i="5"/>
  <c r="AA348" i="5"/>
  <c r="C349" i="5"/>
  <c r="F349" i="5"/>
  <c r="V331" i="6" s="1"/>
  <c r="AN352" i="6"/>
  <c r="AU330" i="6"/>
  <c r="AV330" i="6" s="1"/>
  <c r="AR329" i="6"/>
  <c r="AT331" i="6"/>
  <c r="AU331" i="6" s="1"/>
  <c r="AV331" i="6" s="1"/>
  <c r="AJ351" i="6"/>
  <c r="AO351" i="6" s="1"/>
  <c r="AQ351" i="6" s="1"/>
  <c r="AF332" i="6"/>
  <c r="AE333" i="6"/>
  <c r="AM352" i="6"/>
  <c r="AL352" i="6"/>
  <c r="AI352" i="6"/>
  <c r="AG352" i="6"/>
  <c r="AH352" i="6" s="1"/>
  <c r="AD353" i="6"/>
  <c r="AN353" i="6" s="1"/>
  <c r="L350" i="6"/>
  <c r="Q350" i="6" s="1"/>
  <c r="S350" i="6" s="1"/>
  <c r="U329" i="6"/>
  <c r="Y329" i="6" s="1"/>
  <c r="Z329" i="6" s="1"/>
  <c r="AA329" i="6" s="1"/>
  <c r="W330" i="6"/>
  <c r="X330" i="6" s="1"/>
  <c r="N351" i="6"/>
  <c r="F352" i="6"/>
  <c r="P352" i="6" s="1"/>
  <c r="K351" i="6"/>
  <c r="O351" i="6"/>
  <c r="I351" i="6"/>
  <c r="J351" i="6" s="1"/>
  <c r="G351" i="6"/>
  <c r="H351" i="6" s="1"/>
  <c r="U330" i="6"/>
  <c r="Y330" i="6" s="1"/>
  <c r="Z330" i="6" s="1"/>
  <c r="AA330" i="6" s="1"/>
  <c r="AA349" i="5" l="1"/>
  <c r="X349" i="5"/>
  <c r="AK331" i="6"/>
  <c r="AP331" i="6" s="1"/>
  <c r="J350" i="5"/>
  <c r="AK332" i="6" s="1"/>
  <c r="AP332" i="6" s="1"/>
  <c r="AR332" i="6" s="1"/>
  <c r="M350" i="5"/>
  <c r="T351" i="5"/>
  <c r="Q351" i="5"/>
  <c r="C350" i="5"/>
  <c r="M332" i="6" s="1"/>
  <c r="R332" i="6" s="1"/>
  <c r="T332" i="6" s="1"/>
  <c r="F350" i="5"/>
  <c r="V332" i="6" s="1"/>
  <c r="AS329" i="6"/>
  <c r="AW329" i="6" s="1"/>
  <c r="AX329" i="6" s="1"/>
  <c r="AY329" i="6" s="1"/>
  <c r="AS330" i="6"/>
  <c r="AW330" i="6" s="1"/>
  <c r="AX330" i="6" s="1"/>
  <c r="AY330" i="6" s="1"/>
  <c r="AG353" i="6"/>
  <c r="AH353" i="6" s="1"/>
  <c r="AD354" i="6"/>
  <c r="AL353" i="6"/>
  <c r="AM353" i="6"/>
  <c r="AI353" i="6"/>
  <c r="AF333" i="6"/>
  <c r="AE334" i="6"/>
  <c r="AJ352" i="6"/>
  <c r="AO352" i="6" s="1"/>
  <c r="AQ352" i="6" s="1"/>
  <c r="L351" i="6"/>
  <c r="Q351" i="6" s="1"/>
  <c r="S351" i="6" s="1"/>
  <c r="W331" i="6"/>
  <c r="X331" i="6" s="1"/>
  <c r="M331" i="6"/>
  <c r="R331" i="6" s="1"/>
  <c r="T331" i="6" s="1"/>
  <c r="I352" i="6"/>
  <c r="J352" i="6" s="1"/>
  <c r="O352" i="6"/>
  <c r="N352" i="6"/>
  <c r="K352" i="6"/>
  <c r="F353" i="6"/>
  <c r="P353" i="6" s="1"/>
  <c r="G352" i="6"/>
  <c r="Q352" i="5" l="1"/>
  <c r="T352" i="5"/>
  <c r="J351" i="5"/>
  <c r="M351" i="5"/>
  <c r="AT333" i="6" s="1"/>
  <c r="AU333" i="6" s="1"/>
  <c r="AV333" i="6" s="1"/>
  <c r="AT332" i="6"/>
  <c r="AU332" i="6" s="1"/>
  <c r="AV332" i="6" s="1"/>
  <c r="X350" i="5"/>
  <c r="AA350" i="5"/>
  <c r="C351" i="5"/>
  <c r="F351" i="5"/>
  <c r="V333" i="6" s="1"/>
  <c r="AN354" i="6"/>
  <c r="AR331" i="6"/>
  <c r="AK333" i="6"/>
  <c r="AM354" i="6"/>
  <c r="AL354" i="6"/>
  <c r="AI354" i="6"/>
  <c r="AG354" i="6"/>
  <c r="AH354" i="6" s="1"/>
  <c r="AD355" i="6"/>
  <c r="AN355" i="6" s="1"/>
  <c r="AJ353" i="6"/>
  <c r="AO353" i="6" s="1"/>
  <c r="AF334" i="6"/>
  <c r="AE335" i="6"/>
  <c r="U332" i="6"/>
  <c r="Y332" i="6" s="1"/>
  <c r="Z332" i="6" s="1"/>
  <c r="AA332" i="6" s="1"/>
  <c r="L352" i="6"/>
  <c r="Q352" i="6" s="1"/>
  <c r="S352" i="6" s="1"/>
  <c r="W332" i="6"/>
  <c r="X332" i="6" s="1"/>
  <c r="U331" i="6"/>
  <c r="Y331" i="6" s="1"/>
  <c r="Z331" i="6" s="1"/>
  <c r="AA331" i="6" s="1"/>
  <c r="K353" i="6"/>
  <c r="I353" i="6"/>
  <c r="J353" i="6" s="1"/>
  <c r="G353" i="6"/>
  <c r="F354" i="6"/>
  <c r="P354" i="6" s="1"/>
  <c r="N353" i="6"/>
  <c r="O353" i="6"/>
  <c r="H352" i="6"/>
  <c r="X351" i="5" l="1"/>
  <c r="AA351" i="5"/>
  <c r="M352" i="5"/>
  <c r="AT334" i="6" s="1"/>
  <c r="AU334" i="6" s="1"/>
  <c r="AV334" i="6" s="1"/>
  <c r="J352" i="5"/>
  <c r="AK334" i="6" s="1"/>
  <c r="AP334" i="6" s="1"/>
  <c r="AR334" i="6" s="1"/>
  <c r="Q353" i="5"/>
  <c r="T353" i="5"/>
  <c r="C352" i="5"/>
  <c r="M334" i="6" s="1"/>
  <c r="R334" i="6" s="1"/>
  <c r="T334" i="6" s="1"/>
  <c r="F352" i="5"/>
  <c r="V334" i="6" s="1"/>
  <c r="AQ353" i="6"/>
  <c r="AP333" i="6"/>
  <c r="AS331" i="6"/>
  <c r="AW331" i="6" s="1"/>
  <c r="AX331" i="6" s="1"/>
  <c r="AY331" i="6" s="1"/>
  <c r="AS332" i="6"/>
  <c r="AW332" i="6" s="1"/>
  <c r="AX332" i="6" s="1"/>
  <c r="AY332" i="6" s="1"/>
  <c r="AJ354" i="6"/>
  <c r="AO354" i="6" s="1"/>
  <c r="AQ354" i="6" s="1"/>
  <c r="AM355" i="6"/>
  <c r="AL355" i="6"/>
  <c r="AI355" i="6"/>
  <c r="AG355" i="6"/>
  <c r="AH355" i="6" s="1"/>
  <c r="AD356" i="6"/>
  <c r="AF335" i="6"/>
  <c r="AE336" i="6"/>
  <c r="L353" i="6"/>
  <c r="Q353" i="6" s="1"/>
  <c r="S353" i="6" s="1"/>
  <c r="H353" i="6"/>
  <c r="K354" i="6"/>
  <c r="N354" i="6"/>
  <c r="I354" i="6"/>
  <c r="F355" i="6"/>
  <c r="P355" i="6" s="1"/>
  <c r="G354" i="6"/>
  <c r="H354" i="6" s="1"/>
  <c r="O354" i="6"/>
  <c r="W333" i="6"/>
  <c r="X333" i="6" s="1"/>
  <c r="M333" i="6"/>
  <c r="R333" i="6" s="1"/>
  <c r="T333" i="6" s="1"/>
  <c r="U334" i="6" l="1"/>
  <c r="Y334" i="6" s="1"/>
  <c r="Z334" i="6" s="1"/>
  <c r="AA334" i="6" s="1"/>
  <c r="T354" i="5"/>
  <c r="Q354" i="5"/>
  <c r="M353" i="5"/>
  <c r="AT335" i="6" s="1"/>
  <c r="AU335" i="6" s="1"/>
  <c r="AV335" i="6" s="1"/>
  <c r="J353" i="5"/>
  <c r="AK335" i="6" s="1"/>
  <c r="AA352" i="5"/>
  <c r="X352" i="5"/>
  <c r="C353" i="5"/>
  <c r="F353" i="5"/>
  <c r="V335" i="6" s="1"/>
  <c r="AN356" i="6"/>
  <c r="AR333" i="6"/>
  <c r="AF336" i="6"/>
  <c r="AE337" i="6"/>
  <c r="AJ355" i="6"/>
  <c r="AO355" i="6" s="1"/>
  <c r="AM356" i="6"/>
  <c r="AL356" i="6"/>
  <c r="AI356" i="6"/>
  <c r="AG356" i="6"/>
  <c r="AH356" i="6" s="1"/>
  <c r="AD357" i="6"/>
  <c r="AN357" i="6" s="1"/>
  <c r="I355" i="6"/>
  <c r="J355" i="6" s="1"/>
  <c r="N355" i="6"/>
  <c r="F356" i="6"/>
  <c r="P356" i="6" s="1"/>
  <c r="K355" i="6"/>
  <c r="G355" i="6"/>
  <c r="O355" i="6"/>
  <c r="J354" i="6"/>
  <c r="L354" i="6" s="1"/>
  <c r="Q354" i="6" s="1"/>
  <c r="S354" i="6" s="1"/>
  <c r="U333" i="6"/>
  <c r="Y333" i="6" s="1"/>
  <c r="Z333" i="6" s="1"/>
  <c r="AA333" i="6" s="1"/>
  <c r="W334" i="6"/>
  <c r="X334" i="6" s="1"/>
  <c r="AA353" i="5" l="1"/>
  <c r="X353" i="5"/>
  <c r="J354" i="5"/>
  <c r="AK336" i="6" s="1"/>
  <c r="AP336" i="6" s="1"/>
  <c r="AR336" i="6" s="1"/>
  <c r="M354" i="5"/>
  <c r="AT336" i="6" s="1"/>
  <c r="AU336" i="6" s="1"/>
  <c r="AV336" i="6" s="1"/>
  <c r="T355" i="5"/>
  <c r="Q355" i="5"/>
  <c r="F354" i="5"/>
  <c r="V336" i="6" s="1"/>
  <c r="C354" i="5"/>
  <c r="M336" i="6" s="1"/>
  <c r="R336" i="6" s="1"/>
  <c r="T336" i="6" s="1"/>
  <c r="U336" i="6" s="1"/>
  <c r="AP335" i="6"/>
  <c r="AS333" i="6"/>
  <c r="AW333" i="6" s="1"/>
  <c r="AX333" i="6" s="1"/>
  <c r="AY333" i="6" s="1"/>
  <c r="AS334" i="6"/>
  <c r="AW334" i="6" s="1"/>
  <c r="AX334" i="6" s="1"/>
  <c r="AY334" i="6" s="1"/>
  <c r="AQ355" i="6"/>
  <c r="AJ356" i="6"/>
  <c r="AO356" i="6" s="1"/>
  <c r="AQ356" i="6" s="1"/>
  <c r="AL357" i="6"/>
  <c r="AI357" i="6"/>
  <c r="AD358" i="6"/>
  <c r="AM357" i="6"/>
  <c r="AG357" i="6"/>
  <c r="AH357" i="6" s="1"/>
  <c r="AF337" i="6"/>
  <c r="AE338" i="6"/>
  <c r="L355" i="6"/>
  <c r="Q355" i="6" s="1"/>
  <c r="S355" i="6" s="1"/>
  <c r="O356" i="6"/>
  <c r="N356" i="6"/>
  <c r="F357" i="6"/>
  <c r="P357" i="6" s="1"/>
  <c r="K356" i="6"/>
  <c r="I356" i="6"/>
  <c r="J356" i="6" s="1"/>
  <c r="G356" i="6"/>
  <c r="W335" i="6"/>
  <c r="X335" i="6" s="1"/>
  <c r="M335" i="6"/>
  <c r="R335" i="6" s="1"/>
  <c r="T335" i="6" s="1"/>
  <c r="H355" i="6"/>
  <c r="Q356" i="5" l="1"/>
  <c r="T356" i="5"/>
  <c r="J355" i="5"/>
  <c r="AK337" i="6" s="1"/>
  <c r="M355" i="5"/>
  <c r="AA354" i="5"/>
  <c r="X354" i="5"/>
  <c r="F355" i="5"/>
  <c r="V337" i="6" s="1"/>
  <c r="C355" i="5"/>
  <c r="M337" i="6" s="1"/>
  <c r="R337" i="6" s="1"/>
  <c r="T337" i="6" s="1"/>
  <c r="U337" i="6" s="1"/>
  <c r="AN358" i="6"/>
  <c r="AR335" i="6"/>
  <c r="AJ357" i="6"/>
  <c r="AO357" i="6" s="1"/>
  <c r="AF338" i="6"/>
  <c r="AE339" i="6"/>
  <c r="AM358" i="6"/>
  <c r="AL358" i="6"/>
  <c r="AD359" i="6"/>
  <c r="AN359" i="6" s="1"/>
  <c r="AI358" i="6"/>
  <c r="AG358" i="6"/>
  <c r="AH358" i="6" s="1"/>
  <c r="L356" i="6"/>
  <c r="Q356" i="6" s="1"/>
  <c r="S356" i="6" s="1"/>
  <c r="H356" i="6"/>
  <c r="U335" i="6"/>
  <c r="Y335" i="6" s="1"/>
  <c r="Z335" i="6" s="1"/>
  <c r="AA335" i="6" s="1"/>
  <c r="Y336" i="6"/>
  <c r="Z336" i="6" s="1"/>
  <c r="AA336" i="6" s="1"/>
  <c r="W336" i="6"/>
  <c r="X336" i="6" s="1"/>
  <c r="G357" i="6"/>
  <c r="H357" i="6" s="1"/>
  <c r="O357" i="6"/>
  <c r="K357" i="6"/>
  <c r="N357" i="6"/>
  <c r="I357" i="6"/>
  <c r="J357" i="6" s="1"/>
  <c r="F358" i="6"/>
  <c r="P358" i="6" s="1"/>
  <c r="X355" i="5" l="1"/>
  <c r="AA355" i="5"/>
  <c r="M356" i="5"/>
  <c r="AT338" i="6" s="1"/>
  <c r="AU338" i="6" s="1"/>
  <c r="AV338" i="6" s="1"/>
  <c r="J356" i="5"/>
  <c r="AK338" i="6" s="1"/>
  <c r="AP338" i="6" s="1"/>
  <c r="AR338" i="6" s="1"/>
  <c r="AT337" i="6"/>
  <c r="AU337" i="6" s="1"/>
  <c r="AV337" i="6" s="1"/>
  <c r="Q357" i="5"/>
  <c r="T357" i="5"/>
  <c r="C356" i="5"/>
  <c r="M338" i="6" s="1"/>
  <c r="R338" i="6" s="1"/>
  <c r="T338" i="6" s="1"/>
  <c r="U338" i="6" s="1"/>
  <c r="F356" i="5"/>
  <c r="V338" i="6" s="1"/>
  <c r="AP337" i="6"/>
  <c r="AS335" i="6"/>
  <c r="AW335" i="6" s="1"/>
  <c r="AX335" i="6" s="1"/>
  <c r="AY335" i="6" s="1"/>
  <c r="AS336" i="6"/>
  <c r="AW336" i="6" s="1"/>
  <c r="AX336" i="6" s="1"/>
  <c r="AY336" i="6" s="1"/>
  <c r="AQ357" i="6"/>
  <c r="AJ358" i="6"/>
  <c r="AO358" i="6" s="1"/>
  <c r="AQ358" i="6" s="1"/>
  <c r="AD360" i="6"/>
  <c r="AN360" i="6" s="1"/>
  <c r="AG359" i="6"/>
  <c r="AM359" i="6"/>
  <c r="AL359" i="6"/>
  <c r="AI359" i="6"/>
  <c r="AH359" i="6"/>
  <c r="AF339" i="6"/>
  <c r="AE340" i="6"/>
  <c r="L357" i="6"/>
  <c r="Q357" i="6" s="1"/>
  <c r="S357" i="6" s="1"/>
  <c r="W337" i="6"/>
  <c r="X337" i="6" s="1"/>
  <c r="Y337" i="6"/>
  <c r="Z337" i="6" s="1"/>
  <c r="AA337" i="6" s="1"/>
  <c r="G358" i="6"/>
  <c r="H358" i="6" s="1"/>
  <c r="O358" i="6"/>
  <c r="K358" i="6"/>
  <c r="N358" i="6"/>
  <c r="F359" i="6"/>
  <c r="P359" i="6" s="1"/>
  <c r="I358" i="6"/>
  <c r="T358" i="5" l="1"/>
  <c r="Q358" i="5"/>
  <c r="M357" i="5"/>
  <c r="J357" i="5"/>
  <c r="AK339" i="6" s="1"/>
  <c r="AP339" i="6" s="1"/>
  <c r="AR339" i="6" s="1"/>
  <c r="AA356" i="5"/>
  <c r="X356" i="5"/>
  <c r="C357" i="5"/>
  <c r="M339" i="6" s="1"/>
  <c r="R339" i="6" s="1"/>
  <c r="T339" i="6" s="1"/>
  <c r="U339" i="6" s="1"/>
  <c r="F357" i="5"/>
  <c r="V339" i="6" s="1"/>
  <c r="AR337" i="6"/>
  <c r="AT339" i="6"/>
  <c r="AU339" i="6" s="1"/>
  <c r="AV339" i="6" s="1"/>
  <c r="AJ359" i="6"/>
  <c r="AO359" i="6" s="1"/>
  <c r="AF340" i="6"/>
  <c r="AE341" i="6"/>
  <c r="AM360" i="6"/>
  <c r="AL360" i="6"/>
  <c r="AD361" i="6"/>
  <c r="AG360" i="6"/>
  <c r="AH360" i="6" s="1"/>
  <c r="AI360" i="6"/>
  <c r="J358" i="6"/>
  <c r="L358" i="6" s="1"/>
  <c r="Q358" i="6" s="1"/>
  <c r="S358" i="6" s="1"/>
  <c r="G359" i="6"/>
  <c r="K359" i="6"/>
  <c r="I359" i="6"/>
  <c r="J359" i="6" s="1"/>
  <c r="O359" i="6"/>
  <c r="N359" i="6"/>
  <c r="F360" i="6"/>
  <c r="P360" i="6" s="1"/>
  <c r="W338" i="6"/>
  <c r="X338" i="6" s="1"/>
  <c r="Y338" i="6"/>
  <c r="Z338" i="6" s="1"/>
  <c r="AA338" i="6" s="1"/>
  <c r="AS339" i="6" l="1"/>
  <c r="AW339" i="6" s="1"/>
  <c r="AX339" i="6" s="1"/>
  <c r="AY339" i="6" s="1"/>
  <c r="AA357" i="5"/>
  <c r="X357" i="5"/>
  <c r="J358" i="5"/>
  <c r="AK340" i="6" s="1"/>
  <c r="AP340" i="6" s="1"/>
  <c r="AR340" i="6" s="1"/>
  <c r="AS340" i="6" s="1"/>
  <c r="M358" i="5"/>
  <c r="AT340" i="6" s="1"/>
  <c r="T359" i="5"/>
  <c r="Q359" i="5"/>
  <c r="C358" i="5"/>
  <c r="M340" i="6" s="1"/>
  <c r="R340" i="6" s="1"/>
  <c r="T340" i="6" s="1"/>
  <c r="F358" i="5"/>
  <c r="V340" i="6" s="1"/>
  <c r="AN361" i="6"/>
  <c r="AQ359" i="6"/>
  <c r="AS337" i="6"/>
  <c r="AW337" i="6" s="1"/>
  <c r="AX337" i="6" s="1"/>
  <c r="AY337" i="6" s="1"/>
  <c r="AS338" i="6"/>
  <c r="AW338" i="6" s="1"/>
  <c r="AX338" i="6" s="1"/>
  <c r="AY338" i="6" s="1"/>
  <c r="AJ360" i="6"/>
  <c r="AO360" i="6" s="1"/>
  <c r="AQ360" i="6" s="1"/>
  <c r="AD362" i="6"/>
  <c r="AM361" i="6"/>
  <c r="AI361" i="6"/>
  <c r="AG361" i="6"/>
  <c r="AH361" i="6" s="1"/>
  <c r="AL361" i="6"/>
  <c r="AF341" i="6"/>
  <c r="AE342" i="6"/>
  <c r="L359" i="6"/>
  <c r="Q359" i="6" s="1"/>
  <c r="S359" i="6" s="1"/>
  <c r="K360" i="6"/>
  <c r="O360" i="6"/>
  <c r="N360" i="6"/>
  <c r="F361" i="6"/>
  <c r="P361" i="6" s="1"/>
  <c r="I360" i="6"/>
  <c r="G360" i="6"/>
  <c r="H359" i="6"/>
  <c r="Y339" i="6"/>
  <c r="Z339" i="6" s="1"/>
  <c r="AA339" i="6" s="1"/>
  <c r="W339" i="6"/>
  <c r="X339" i="6" s="1"/>
  <c r="Q360" i="5" l="1"/>
  <c r="T360" i="5"/>
  <c r="M359" i="5"/>
  <c r="AT341" i="6" s="1"/>
  <c r="J359" i="5"/>
  <c r="AK341" i="6" s="1"/>
  <c r="AA358" i="5"/>
  <c r="X358" i="5"/>
  <c r="C359" i="5"/>
  <c r="F359" i="5"/>
  <c r="V341" i="6" s="1"/>
  <c r="AN362" i="6"/>
  <c r="AW340" i="6"/>
  <c r="AT32" i="12"/>
  <c r="AU340" i="6"/>
  <c r="AF342" i="6"/>
  <c r="AE343" i="6"/>
  <c r="AJ361" i="6"/>
  <c r="AO361" i="6" s="1"/>
  <c r="AL362" i="6"/>
  <c r="AD363" i="6"/>
  <c r="AN363" i="6" s="1"/>
  <c r="AI362" i="6"/>
  <c r="AM362" i="6"/>
  <c r="AG362" i="6"/>
  <c r="AH362" i="6" s="1"/>
  <c r="U340" i="6"/>
  <c r="Y340" i="6" s="1"/>
  <c r="Z340" i="6" s="1"/>
  <c r="AA340" i="6" s="1"/>
  <c r="W340" i="6"/>
  <c r="X340" i="6" s="1"/>
  <c r="F362" i="6"/>
  <c r="P362" i="6" s="1"/>
  <c r="K361" i="6"/>
  <c r="I361" i="6"/>
  <c r="J361" i="6" s="1"/>
  <c r="N361" i="6"/>
  <c r="O361" i="6"/>
  <c r="G361" i="6"/>
  <c r="J360" i="6"/>
  <c r="L360" i="6" s="1"/>
  <c r="Q360" i="6" s="1"/>
  <c r="S360" i="6" s="1"/>
  <c r="H360" i="6"/>
  <c r="X359" i="5" l="1"/>
  <c r="AA359" i="5"/>
  <c r="J360" i="5"/>
  <c r="AK342" i="6" s="1"/>
  <c r="AP342" i="6" s="1"/>
  <c r="AR342" i="6" s="1"/>
  <c r="M360" i="5"/>
  <c r="Q361" i="5"/>
  <c r="T361" i="5"/>
  <c r="C360" i="5"/>
  <c r="F360" i="5"/>
  <c r="V342" i="6" s="1"/>
  <c r="AV340" i="6"/>
  <c r="AV32" i="12" s="1"/>
  <c r="AU32" i="12"/>
  <c r="AP341" i="6"/>
  <c r="AQ361" i="6"/>
  <c r="AX340" i="6"/>
  <c r="AW32" i="12"/>
  <c r="AU341" i="6"/>
  <c r="AV341" i="6" s="1"/>
  <c r="AT342" i="6"/>
  <c r="AU342" i="6" s="1"/>
  <c r="AV342" i="6" s="1"/>
  <c r="AJ362" i="6"/>
  <c r="AO362" i="6" s="1"/>
  <c r="AQ362" i="6" s="1"/>
  <c r="AD364" i="6"/>
  <c r="AM363" i="6"/>
  <c r="AL363" i="6"/>
  <c r="AI363" i="6"/>
  <c r="AG363" i="6"/>
  <c r="AH363" i="6" s="1"/>
  <c r="AF343" i="6"/>
  <c r="AE344" i="6"/>
  <c r="L361" i="6"/>
  <c r="Q361" i="6" s="1"/>
  <c r="S361" i="6" s="1"/>
  <c r="H361" i="6"/>
  <c r="F363" i="6"/>
  <c r="P363" i="6" s="1"/>
  <c r="K362" i="6"/>
  <c r="N362" i="6"/>
  <c r="I362" i="6"/>
  <c r="J362" i="6" s="1"/>
  <c r="G362" i="6"/>
  <c r="O362" i="6"/>
  <c r="M341" i="6"/>
  <c r="R341" i="6" s="1"/>
  <c r="T341" i="6" s="1"/>
  <c r="W341" i="6"/>
  <c r="X341" i="6" s="1"/>
  <c r="Q362" i="5" l="1"/>
  <c r="T362" i="5"/>
  <c r="J361" i="5"/>
  <c r="AK343" i="6" s="1"/>
  <c r="M361" i="5"/>
  <c r="AT343" i="6" s="1"/>
  <c r="AU343" i="6" s="1"/>
  <c r="AV343" i="6" s="1"/>
  <c r="M342" i="6"/>
  <c r="R342" i="6" s="1"/>
  <c r="T342" i="6" s="1"/>
  <c r="AA360" i="5"/>
  <c r="X360" i="5"/>
  <c r="U342" i="6"/>
  <c r="Y342" i="6" s="1"/>
  <c r="Z342" i="6" s="1"/>
  <c r="AA342" i="6" s="1"/>
  <c r="C361" i="5"/>
  <c r="F361" i="5"/>
  <c r="V343" i="6" s="1"/>
  <c r="AN364" i="6"/>
  <c r="AY340" i="6"/>
  <c r="AY32" i="12" s="1"/>
  <c r="AX32" i="12"/>
  <c r="AR341" i="6"/>
  <c r="AJ363" i="6"/>
  <c r="AO363" i="6" s="1"/>
  <c r="AQ363" i="6" s="1"/>
  <c r="AD365" i="6"/>
  <c r="AM364" i="6"/>
  <c r="AL364" i="6"/>
  <c r="AG364" i="6"/>
  <c r="AH364" i="6" s="1"/>
  <c r="AI364" i="6"/>
  <c r="AF344" i="6"/>
  <c r="AE345" i="6"/>
  <c r="L362" i="6"/>
  <c r="Q362" i="6" s="1"/>
  <c r="S362" i="6" s="1"/>
  <c r="H362" i="6"/>
  <c r="W342" i="6"/>
  <c r="X342" i="6" s="1"/>
  <c r="O363" i="6"/>
  <c r="K363" i="6"/>
  <c r="N363" i="6"/>
  <c r="I363" i="6"/>
  <c r="F364" i="6"/>
  <c r="P364" i="6" s="1"/>
  <c r="G363" i="6"/>
  <c r="U341" i="6"/>
  <c r="Y341" i="6" s="1"/>
  <c r="Z341" i="6" s="1"/>
  <c r="AA341" i="6" s="1"/>
  <c r="X361" i="5" l="1"/>
  <c r="AA361" i="5"/>
  <c r="J362" i="5"/>
  <c r="AK344" i="6" s="1"/>
  <c r="AP344" i="6" s="1"/>
  <c r="AR344" i="6" s="1"/>
  <c r="M362" i="5"/>
  <c r="AT344" i="6" s="1"/>
  <c r="T363" i="5"/>
  <c r="Q363" i="5"/>
  <c r="C362" i="5"/>
  <c r="M344" i="6" s="1"/>
  <c r="R344" i="6" s="1"/>
  <c r="T344" i="6" s="1"/>
  <c r="F362" i="5"/>
  <c r="V344" i="6" s="1"/>
  <c r="AN365" i="6"/>
  <c r="AN35" i="12" s="1"/>
  <c r="AD366" i="6"/>
  <c r="AP343" i="6"/>
  <c r="AS341" i="6"/>
  <c r="AW341" i="6" s="1"/>
  <c r="AX341" i="6" s="1"/>
  <c r="AY341" i="6" s="1"/>
  <c r="AS342" i="6"/>
  <c r="AW342" i="6" s="1"/>
  <c r="AX342" i="6" s="1"/>
  <c r="AY342" i="6" s="1"/>
  <c r="AF345" i="6"/>
  <c r="AE346" i="6"/>
  <c r="AJ364" i="6"/>
  <c r="AO364" i="6" s="1"/>
  <c r="AQ364" i="6" s="1"/>
  <c r="AI365" i="6"/>
  <c r="AG365" i="6"/>
  <c r="AH365" i="6" s="1"/>
  <c r="AM365" i="6"/>
  <c r="AL365" i="6"/>
  <c r="H363" i="6"/>
  <c r="J363" i="6"/>
  <c r="L363" i="6" s="1"/>
  <c r="Q363" i="6" s="1"/>
  <c r="S363" i="6" s="1"/>
  <c r="M343" i="6"/>
  <c r="R343" i="6" s="1"/>
  <c r="T343" i="6" s="1"/>
  <c r="W343" i="6"/>
  <c r="X343" i="6" s="1"/>
  <c r="F365" i="6"/>
  <c r="P365" i="6" s="1"/>
  <c r="K364" i="6"/>
  <c r="I364" i="6"/>
  <c r="J364" i="6" s="1"/>
  <c r="G364" i="6"/>
  <c r="O364" i="6"/>
  <c r="N364" i="6"/>
  <c r="Q364" i="5" l="1"/>
  <c r="T364" i="5"/>
  <c r="M363" i="5"/>
  <c r="J363" i="5"/>
  <c r="AA362" i="5"/>
  <c r="X362" i="5"/>
  <c r="F363" i="5"/>
  <c r="V345" i="6" s="1"/>
  <c r="C363" i="5"/>
  <c r="M345" i="6" s="1"/>
  <c r="R345" i="6" s="1"/>
  <c r="T345" i="6" s="1"/>
  <c r="U345" i="6" s="1"/>
  <c r="AE366" i="6"/>
  <c r="AN366" i="6"/>
  <c r="AL366" i="6"/>
  <c r="AD367" i="6"/>
  <c r="AM366" i="6"/>
  <c r="AI366" i="6"/>
  <c r="AG366" i="6"/>
  <c r="AH366" i="6"/>
  <c r="AJ366" i="6" s="1"/>
  <c r="AO366" i="6" s="1"/>
  <c r="AQ366" i="6" s="1"/>
  <c r="AF366" i="6"/>
  <c r="AM35" i="12"/>
  <c r="AH35" i="12"/>
  <c r="AI35" i="12"/>
  <c r="AR343" i="6"/>
  <c r="S55" i="12"/>
  <c r="L55" i="12"/>
  <c r="F366" i="6"/>
  <c r="P366" i="6" s="1"/>
  <c r="S50" i="12"/>
  <c r="S51" i="12"/>
  <c r="S52" i="12"/>
  <c r="T52" i="12" s="1"/>
  <c r="L51" i="12"/>
  <c r="S53" i="12"/>
  <c r="S54" i="12"/>
  <c r="AU344" i="6"/>
  <c r="AV344" i="6" s="1"/>
  <c r="AJ365" i="6"/>
  <c r="AJ35" i="12"/>
  <c r="AT345" i="6"/>
  <c r="AU345" i="6" s="1"/>
  <c r="AV345" i="6" s="1"/>
  <c r="U344" i="6"/>
  <c r="Y344" i="6" s="1"/>
  <c r="Z344" i="6" s="1"/>
  <c r="AA344" i="6" s="1"/>
  <c r="AF346" i="6"/>
  <c r="AE347" i="6"/>
  <c r="L364" i="6"/>
  <c r="Q364" i="6" s="1"/>
  <c r="S364" i="6" s="1"/>
  <c r="I365" i="6"/>
  <c r="J365" i="6" s="1"/>
  <c r="G365" i="6"/>
  <c r="H365" i="6" s="1"/>
  <c r="O365" i="6"/>
  <c r="K365" i="6"/>
  <c r="N365" i="6"/>
  <c r="H364" i="6"/>
  <c r="U343" i="6"/>
  <c r="Y343" i="6" s="1"/>
  <c r="Z343" i="6" s="1"/>
  <c r="AA343" i="6" s="1"/>
  <c r="W344" i="6"/>
  <c r="X344" i="6" s="1"/>
  <c r="O366" i="6" l="1"/>
  <c r="F367" i="6"/>
  <c r="P367" i="6" s="1"/>
  <c r="K366" i="6"/>
  <c r="I366" i="6"/>
  <c r="J366" i="6" s="1"/>
  <c r="N366" i="6"/>
  <c r="X363" i="5"/>
  <c r="AA363" i="5"/>
  <c r="AK345" i="6"/>
  <c r="AP345" i="6" s="1"/>
  <c r="AR345" i="6" s="1"/>
  <c r="AS345" i="6" s="1"/>
  <c r="AW345" i="6" s="1"/>
  <c r="AX345" i="6" s="1"/>
  <c r="AY345" i="6" s="1"/>
  <c r="M364" i="5"/>
  <c r="AT346" i="6" s="1"/>
  <c r="AU346" i="6" s="1"/>
  <c r="AV346" i="6" s="1"/>
  <c r="J364" i="5"/>
  <c r="AK346" i="6" s="1"/>
  <c r="AP346" i="6" s="1"/>
  <c r="AR346" i="6" s="1"/>
  <c r="T365" i="5"/>
  <c r="Q365" i="5"/>
  <c r="F364" i="5"/>
  <c r="V346" i="6" s="1"/>
  <c r="C364" i="5"/>
  <c r="AN367" i="6"/>
  <c r="AL367" i="6"/>
  <c r="AM367" i="6"/>
  <c r="AE367" i="6"/>
  <c r="AD368" i="6"/>
  <c r="AG367" i="6"/>
  <c r="AI367" i="6"/>
  <c r="AH367" i="6"/>
  <c r="AJ367" i="6" s="1"/>
  <c r="AO367" i="6" s="1"/>
  <c r="AQ367" i="6" s="1"/>
  <c r="AF367" i="6"/>
  <c r="AS343" i="6"/>
  <c r="AW343" i="6" s="1"/>
  <c r="AX343" i="6" s="1"/>
  <c r="AY343" i="6" s="1"/>
  <c r="AS344" i="6"/>
  <c r="AW344" i="6" s="1"/>
  <c r="AX344" i="6" s="1"/>
  <c r="AY344" i="6" s="1"/>
  <c r="T50" i="12"/>
  <c r="L50" i="12"/>
  <c r="T55" i="12"/>
  <c r="T51" i="12"/>
  <c r="G366" i="6"/>
  <c r="H366" i="6" s="1"/>
  <c r="T54" i="12"/>
  <c r="T53" i="12"/>
  <c r="L366" i="6"/>
  <c r="Q366" i="6" s="1"/>
  <c r="S366" i="6" s="1"/>
  <c r="L54" i="12"/>
  <c r="L53" i="12"/>
  <c r="L52" i="12"/>
  <c r="F368" i="6"/>
  <c r="P368" i="6" s="1"/>
  <c r="N367" i="6"/>
  <c r="K367" i="6"/>
  <c r="I367" i="6"/>
  <c r="J367" i="6" s="1"/>
  <c r="O367" i="6"/>
  <c r="AO365" i="6"/>
  <c r="L365" i="6"/>
  <c r="AF347" i="6"/>
  <c r="AE348" i="6"/>
  <c r="W345" i="6"/>
  <c r="X345" i="6" s="1"/>
  <c r="Y345" i="6"/>
  <c r="Z345" i="6" s="1"/>
  <c r="AA345" i="6" s="1"/>
  <c r="AS346" i="6" l="1"/>
  <c r="Q366" i="5"/>
  <c r="T366" i="5"/>
  <c r="M365" i="5"/>
  <c r="J365" i="5"/>
  <c r="AK347" i="6" s="1"/>
  <c r="AP347" i="6" s="1"/>
  <c r="AR347" i="6" s="1"/>
  <c r="AS347" i="6" s="1"/>
  <c r="AA364" i="5"/>
  <c r="X364" i="5"/>
  <c r="C365" i="5"/>
  <c r="M347" i="6" s="1"/>
  <c r="R347" i="6" s="1"/>
  <c r="T347" i="6" s="1"/>
  <c r="F365" i="5"/>
  <c r="AN368" i="6"/>
  <c r="AM368" i="6"/>
  <c r="AD369" i="6"/>
  <c r="AE368" i="6"/>
  <c r="AL368" i="6"/>
  <c r="AI368" i="6"/>
  <c r="AG368" i="6"/>
  <c r="AH368" i="6"/>
  <c r="AJ368" i="6" s="1"/>
  <c r="AO368" i="6" s="1"/>
  <c r="AQ368" i="6" s="1"/>
  <c r="AF368" i="6"/>
  <c r="AO35" i="12"/>
  <c r="L367" i="6"/>
  <c r="Q367" i="6" s="1"/>
  <c r="S367" i="6" s="1"/>
  <c r="G367" i="6"/>
  <c r="H367" i="6" s="1"/>
  <c r="N368" i="6"/>
  <c r="F369" i="6"/>
  <c r="P369" i="6" s="1"/>
  <c r="I368" i="6"/>
  <c r="J368" i="6" s="1"/>
  <c r="K368" i="6"/>
  <c r="O368" i="6"/>
  <c r="AQ35" i="12"/>
  <c r="AQ365" i="6"/>
  <c r="Q365" i="6"/>
  <c r="AW346" i="6"/>
  <c r="AX346" i="6" s="1"/>
  <c r="AY346" i="6" s="1"/>
  <c r="AT347" i="6"/>
  <c r="AF348" i="6"/>
  <c r="AE349" i="6"/>
  <c r="W346" i="6"/>
  <c r="X346" i="6" s="1"/>
  <c r="M346" i="6"/>
  <c r="AW347" i="6" l="1"/>
  <c r="AX347" i="6" s="1"/>
  <c r="AY347" i="6" s="1"/>
  <c r="X365" i="5"/>
  <c r="AA365" i="5"/>
  <c r="M366" i="5"/>
  <c r="AT348" i="6" s="1"/>
  <c r="J366" i="5"/>
  <c r="AK348" i="6" s="1"/>
  <c r="AP348" i="6" s="1"/>
  <c r="AR348" i="6" s="1"/>
  <c r="AS348" i="6" s="1"/>
  <c r="T367" i="5"/>
  <c r="Q367" i="5"/>
  <c r="C366" i="5"/>
  <c r="M348" i="6" s="1"/>
  <c r="R348" i="6" s="1"/>
  <c r="T348" i="6" s="1"/>
  <c r="F366" i="5"/>
  <c r="V348" i="6" s="1"/>
  <c r="V347" i="6"/>
  <c r="W347" i="6" s="1"/>
  <c r="X347" i="6" s="1"/>
  <c r="AN369" i="6"/>
  <c r="AL369" i="6"/>
  <c r="AE369" i="6"/>
  <c r="AM369" i="6"/>
  <c r="AD370" i="6"/>
  <c r="AG369" i="6"/>
  <c r="AI369" i="6"/>
  <c r="AH369" i="6"/>
  <c r="AJ369" i="6" s="1"/>
  <c r="AO369" i="6" s="1"/>
  <c r="AQ369" i="6" s="1"/>
  <c r="AF369" i="6"/>
  <c r="L368" i="6"/>
  <c r="Q368" i="6" s="1"/>
  <c r="S368" i="6" s="1"/>
  <c r="G368" i="6"/>
  <c r="H368" i="6" s="1"/>
  <c r="N369" i="6"/>
  <c r="F370" i="6"/>
  <c r="P370" i="6" s="1"/>
  <c r="K369" i="6"/>
  <c r="I369" i="6"/>
  <c r="J369" i="6" s="1"/>
  <c r="O369" i="6"/>
  <c r="S365" i="6"/>
  <c r="AU347" i="6"/>
  <c r="AV347" i="6" s="1"/>
  <c r="AF349" i="6"/>
  <c r="AE350" i="6"/>
  <c r="R346" i="6"/>
  <c r="T368" i="5" l="1"/>
  <c r="Q368" i="5"/>
  <c r="M367" i="5"/>
  <c r="AT349" i="6" s="1"/>
  <c r="AU349" i="6" s="1"/>
  <c r="AV349" i="6" s="1"/>
  <c r="J367" i="5"/>
  <c r="AK349" i="6" s="1"/>
  <c r="AP349" i="6" s="1"/>
  <c r="AR349" i="6" s="1"/>
  <c r="AS349" i="6" s="1"/>
  <c r="AW348" i="6"/>
  <c r="AX348" i="6" s="1"/>
  <c r="AY348" i="6" s="1"/>
  <c r="X366" i="5"/>
  <c r="AA366" i="5"/>
  <c r="F367" i="5"/>
  <c r="V349" i="6" s="1"/>
  <c r="C367" i="5"/>
  <c r="M349" i="6" s="1"/>
  <c r="AN370" i="6"/>
  <c r="AL370" i="6"/>
  <c r="AM370" i="6"/>
  <c r="AD371" i="6"/>
  <c r="AE370" i="6"/>
  <c r="AI370" i="6"/>
  <c r="AG370" i="6"/>
  <c r="AH370" i="6"/>
  <c r="AJ370" i="6" s="1"/>
  <c r="AO370" i="6" s="1"/>
  <c r="AQ370" i="6" s="1"/>
  <c r="AF370" i="6"/>
  <c r="L369" i="6"/>
  <c r="Q369" i="6" s="1"/>
  <c r="S369" i="6" s="1"/>
  <c r="G369" i="6"/>
  <c r="H369" i="6" s="1"/>
  <c r="F371" i="6"/>
  <c r="P371" i="6" s="1"/>
  <c r="N370" i="6"/>
  <c r="I370" i="6"/>
  <c r="J370" i="6" s="1"/>
  <c r="K370" i="6"/>
  <c r="O370" i="6"/>
  <c r="AU348" i="6"/>
  <c r="AV348" i="6" s="1"/>
  <c r="AF350" i="6"/>
  <c r="AE351" i="6"/>
  <c r="W348" i="6"/>
  <c r="X348" i="6" s="1"/>
  <c r="T346" i="6"/>
  <c r="U348" i="6" s="1"/>
  <c r="Y348" i="6" s="1"/>
  <c r="Z348" i="6" s="1"/>
  <c r="AA348" i="6" s="1"/>
  <c r="AA367" i="5" l="1"/>
  <c r="X367" i="5"/>
  <c r="J368" i="5"/>
  <c r="AK350" i="6" s="1"/>
  <c r="AP350" i="6" s="1"/>
  <c r="AR350" i="6" s="1"/>
  <c r="AS350" i="6" s="1"/>
  <c r="M368" i="5"/>
  <c r="AT350" i="6" s="1"/>
  <c r="T369" i="5"/>
  <c r="Q369" i="5"/>
  <c r="F368" i="5"/>
  <c r="V350" i="6" s="1"/>
  <c r="C368" i="5"/>
  <c r="M350" i="6" s="1"/>
  <c r="R350" i="6" s="1"/>
  <c r="T350" i="6" s="1"/>
  <c r="AW349" i="6"/>
  <c r="AX349" i="6" s="1"/>
  <c r="AY349" i="6" s="1"/>
  <c r="AN371" i="6"/>
  <c r="AM371" i="6"/>
  <c r="AD372" i="6"/>
  <c r="AE371" i="6"/>
  <c r="AL371" i="6"/>
  <c r="AI371" i="6"/>
  <c r="AG371" i="6"/>
  <c r="AH371" i="6"/>
  <c r="AJ371" i="6" s="1"/>
  <c r="AO371" i="6" s="1"/>
  <c r="AQ371" i="6" s="1"/>
  <c r="AF371" i="6"/>
  <c r="G370" i="6"/>
  <c r="H370" i="6" s="1"/>
  <c r="L370" i="6"/>
  <c r="Q370" i="6" s="1"/>
  <c r="S370" i="6" s="1"/>
  <c r="N371" i="6"/>
  <c r="F372" i="6"/>
  <c r="P372" i="6" s="1"/>
  <c r="K371" i="6"/>
  <c r="I371" i="6"/>
  <c r="J371" i="6" s="1"/>
  <c r="O371" i="6"/>
  <c r="AF351" i="6"/>
  <c r="AE352" i="6"/>
  <c r="R349" i="6"/>
  <c r="U346" i="6"/>
  <c r="Y346" i="6" s="1"/>
  <c r="Z346" i="6" s="1"/>
  <c r="AA346" i="6" s="1"/>
  <c r="U347" i="6"/>
  <c r="Y347" i="6" s="1"/>
  <c r="Z347" i="6" s="1"/>
  <c r="AA347" i="6" s="1"/>
  <c r="W349" i="6"/>
  <c r="X349" i="6" s="1"/>
  <c r="AW350" i="6" l="1"/>
  <c r="AX350" i="6" s="1"/>
  <c r="AY350" i="6" s="1"/>
  <c r="Q370" i="5"/>
  <c r="T370" i="5"/>
  <c r="J369" i="5"/>
  <c r="AK351" i="6" s="1"/>
  <c r="AP351" i="6" s="1"/>
  <c r="AR351" i="6" s="1"/>
  <c r="AS351" i="6" s="1"/>
  <c r="M369" i="5"/>
  <c r="AT351" i="6" s="1"/>
  <c r="AU351" i="6" s="1"/>
  <c r="AV351" i="6" s="1"/>
  <c r="AA368" i="5"/>
  <c r="X368" i="5"/>
  <c r="C369" i="5"/>
  <c r="M351" i="6" s="1"/>
  <c r="F369" i="5"/>
  <c r="V351" i="6" s="1"/>
  <c r="AN372" i="6"/>
  <c r="AL372" i="6"/>
  <c r="AE372" i="6"/>
  <c r="AM372" i="6"/>
  <c r="AD373" i="6"/>
  <c r="AI372" i="6"/>
  <c r="AG372" i="6"/>
  <c r="AH372" i="6"/>
  <c r="AJ372" i="6" s="1"/>
  <c r="AO372" i="6" s="1"/>
  <c r="AQ372" i="6" s="1"/>
  <c r="AF372" i="6"/>
  <c r="AU350" i="6"/>
  <c r="AV350" i="6" s="1"/>
  <c r="G371" i="6"/>
  <c r="H371" i="6" s="1"/>
  <c r="L371" i="6"/>
  <c r="Q371" i="6" s="1"/>
  <c r="S371" i="6" s="1"/>
  <c r="F373" i="6"/>
  <c r="P373" i="6" s="1"/>
  <c r="N372" i="6"/>
  <c r="I372" i="6"/>
  <c r="J372" i="6" s="1"/>
  <c r="K372" i="6"/>
  <c r="O372" i="6"/>
  <c r="AF352" i="6"/>
  <c r="AE353" i="6"/>
  <c r="W350" i="6"/>
  <c r="X350" i="6" s="1"/>
  <c r="T349" i="6"/>
  <c r="U350" i="6" s="1"/>
  <c r="Y350" i="6" s="1"/>
  <c r="Z350" i="6" s="1"/>
  <c r="AA350" i="6" s="1"/>
  <c r="X369" i="5" l="1"/>
  <c r="AA369" i="5"/>
  <c r="J370" i="5"/>
  <c r="AK352" i="6" s="1"/>
  <c r="AP352" i="6" s="1"/>
  <c r="AR352" i="6" s="1"/>
  <c r="AS352" i="6" s="1"/>
  <c r="M370" i="5"/>
  <c r="AT352" i="6" s="1"/>
  <c r="T371" i="5"/>
  <c r="Q371" i="5"/>
  <c r="C370" i="5"/>
  <c r="M352" i="6" s="1"/>
  <c r="R352" i="6" s="1"/>
  <c r="T352" i="6" s="1"/>
  <c r="F370" i="5"/>
  <c r="V352" i="6" s="1"/>
  <c r="AN373" i="6"/>
  <c r="AL373" i="6"/>
  <c r="AD374" i="6"/>
  <c r="AE373" i="6"/>
  <c r="AM373" i="6"/>
  <c r="AI373" i="6"/>
  <c r="AG373" i="6"/>
  <c r="AF373" i="6"/>
  <c r="AH373" i="6"/>
  <c r="AJ373" i="6" s="1"/>
  <c r="AO373" i="6" s="1"/>
  <c r="AQ373" i="6" s="1"/>
  <c r="G372" i="6"/>
  <c r="H372" i="6" s="1"/>
  <c r="L372" i="6"/>
  <c r="Q372" i="6" s="1"/>
  <c r="S372" i="6" s="1"/>
  <c r="N373" i="6"/>
  <c r="F374" i="6"/>
  <c r="P374" i="6" s="1"/>
  <c r="I373" i="6"/>
  <c r="J373" i="6" s="1"/>
  <c r="K373" i="6"/>
  <c r="O373" i="6"/>
  <c r="AW351" i="6"/>
  <c r="AX351" i="6" s="1"/>
  <c r="AY351" i="6" s="1"/>
  <c r="AF353" i="6"/>
  <c r="AE354" i="6"/>
  <c r="W351" i="6"/>
  <c r="X351" i="6" s="1"/>
  <c r="U349" i="6"/>
  <c r="Y349" i="6" s="1"/>
  <c r="Z349" i="6" s="1"/>
  <c r="AA349" i="6" s="1"/>
  <c r="R351" i="6"/>
  <c r="Q372" i="5" l="1"/>
  <c r="T372" i="5"/>
  <c r="J371" i="5"/>
  <c r="AK353" i="6" s="1"/>
  <c r="M371" i="5"/>
  <c r="X370" i="5"/>
  <c r="AA370" i="5"/>
  <c r="C371" i="5"/>
  <c r="F371" i="5"/>
  <c r="V353" i="6" s="1"/>
  <c r="AN374" i="6"/>
  <c r="AL374" i="6"/>
  <c r="AE374" i="6"/>
  <c r="AM374" i="6"/>
  <c r="AD375" i="6"/>
  <c r="AG374" i="6"/>
  <c r="AH374" i="6" s="1"/>
  <c r="AI374" i="6"/>
  <c r="AJ374" i="6" s="1"/>
  <c r="AF374" i="6"/>
  <c r="AO374" i="6"/>
  <c r="AQ374" i="6" s="1"/>
  <c r="AW352" i="6"/>
  <c r="AT33" i="12"/>
  <c r="G373" i="6"/>
  <c r="H373" i="6" s="1"/>
  <c r="L373" i="6"/>
  <c r="Q373" i="6" s="1"/>
  <c r="S373" i="6" s="1"/>
  <c r="F375" i="6"/>
  <c r="P375" i="6" s="1"/>
  <c r="N374" i="6"/>
  <c r="K374" i="6"/>
  <c r="I374" i="6"/>
  <c r="J374" i="6" s="1"/>
  <c r="O374" i="6"/>
  <c r="AU352" i="6"/>
  <c r="AT353" i="6"/>
  <c r="AU353" i="6" s="1"/>
  <c r="AV353" i="6" s="1"/>
  <c r="AF354" i="6"/>
  <c r="AE355" i="6"/>
  <c r="T351" i="6"/>
  <c r="U352" i="6" s="1"/>
  <c r="Y352" i="6" s="1"/>
  <c r="W352" i="6"/>
  <c r="X371" i="5" l="1"/>
  <c r="AA371" i="5"/>
  <c r="M372" i="5"/>
  <c r="J372" i="5"/>
  <c r="AK354" i="6" s="1"/>
  <c r="AP354" i="6" s="1"/>
  <c r="AR354" i="6" s="1"/>
  <c r="Q373" i="5"/>
  <c r="T373" i="5"/>
  <c r="F372" i="5"/>
  <c r="V354" i="6" s="1"/>
  <c r="C372" i="5"/>
  <c r="AN375" i="6"/>
  <c r="AE375" i="6"/>
  <c r="AM375" i="6"/>
  <c r="AG375" i="6"/>
  <c r="AH375" i="6" s="1"/>
  <c r="AI375" i="6"/>
  <c r="AD376" i="6"/>
  <c r="AL375" i="6"/>
  <c r="AJ375" i="6"/>
  <c r="AO375" i="6"/>
  <c r="AQ375" i="6" s="1"/>
  <c r="AF375" i="6"/>
  <c r="AV352" i="6"/>
  <c r="AV33" i="12" s="1"/>
  <c r="AU33" i="12"/>
  <c r="AP353" i="6"/>
  <c r="AX352" i="6"/>
  <c r="AW33" i="12"/>
  <c r="G374" i="6"/>
  <c r="H374" i="6" s="1"/>
  <c r="L374" i="6"/>
  <c r="Q374" i="6" s="1"/>
  <c r="S374" i="6" s="1"/>
  <c r="N375" i="6"/>
  <c r="F376" i="6"/>
  <c r="P376" i="6" s="1"/>
  <c r="I375" i="6"/>
  <c r="J375" i="6" s="1"/>
  <c r="K375" i="6"/>
  <c r="O375" i="6"/>
  <c r="AT354" i="6"/>
  <c r="AU354" i="6" s="1"/>
  <c r="AV354" i="6" s="1"/>
  <c r="AF355" i="6"/>
  <c r="AE356" i="6"/>
  <c r="Z352" i="6"/>
  <c r="M353" i="6"/>
  <c r="W353" i="6"/>
  <c r="X353" i="6" s="1"/>
  <c r="X352" i="6"/>
  <c r="U351" i="6"/>
  <c r="Y351" i="6" s="1"/>
  <c r="Z351" i="6" s="1"/>
  <c r="AA351" i="6" s="1"/>
  <c r="M354" i="6" l="1"/>
  <c r="R354" i="6" s="1"/>
  <c r="T354" i="6" s="1"/>
  <c r="T374" i="5"/>
  <c r="Q374" i="5"/>
  <c r="M373" i="5"/>
  <c r="J373" i="5"/>
  <c r="AK355" i="6" s="1"/>
  <c r="AA372" i="5"/>
  <c r="X372" i="5"/>
  <c r="C373" i="5"/>
  <c r="F373" i="5"/>
  <c r="V355" i="6" s="1"/>
  <c r="AN376" i="6"/>
  <c r="AI376" i="6"/>
  <c r="AG376" i="6"/>
  <c r="AD377" i="6"/>
  <c r="AE376" i="6"/>
  <c r="AM376" i="6"/>
  <c r="AL376" i="6"/>
  <c r="AH376" i="6"/>
  <c r="AJ376" i="6" s="1"/>
  <c r="AF376" i="6"/>
  <c r="AO376" i="6"/>
  <c r="AQ376" i="6" s="1"/>
  <c r="AY352" i="6"/>
  <c r="AY33" i="12" s="1"/>
  <c r="AX33" i="12"/>
  <c r="AR353" i="6"/>
  <c r="G375" i="6"/>
  <c r="H375" i="6" s="1"/>
  <c r="L375" i="6"/>
  <c r="Q375" i="6" s="1"/>
  <c r="S375" i="6" s="1"/>
  <c r="N376" i="6"/>
  <c r="F377" i="6"/>
  <c r="P377" i="6" s="1"/>
  <c r="K376" i="6"/>
  <c r="I376" i="6"/>
  <c r="J376" i="6" s="1"/>
  <c r="O376" i="6"/>
  <c r="AF356" i="6"/>
  <c r="AE357" i="6"/>
  <c r="W354" i="6"/>
  <c r="X354" i="6" s="1"/>
  <c r="R353" i="6"/>
  <c r="AA352" i="6"/>
  <c r="X373" i="5" l="1"/>
  <c r="AA373" i="5"/>
  <c r="J374" i="5"/>
  <c r="AK356" i="6" s="1"/>
  <c r="AP356" i="6" s="1"/>
  <c r="AR356" i="6" s="1"/>
  <c r="M374" i="5"/>
  <c r="T375" i="5"/>
  <c r="Q375" i="5"/>
  <c r="AT355" i="6"/>
  <c r="AU355" i="6" s="1"/>
  <c r="AV355" i="6" s="1"/>
  <c r="C374" i="5"/>
  <c r="F374" i="5"/>
  <c r="V356" i="6" s="1"/>
  <c r="AN377" i="6"/>
  <c r="AM377" i="6"/>
  <c r="AG377" i="6"/>
  <c r="AF377" i="6"/>
  <c r="AI377" i="6"/>
  <c r="AL377" i="6"/>
  <c r="AD378" i="6"/>
  <c r="AE377" i="6"/>
  <c r="AH377" i="6"/>
  <c r="AJ377" i="6"/>
  <c r="AO377" i="6" s="1"/>
  <c r="AQ377" i="6"/>
  <c r="AP355" i="6"/>
  <c r="AS353" i="6"/>
  <c r="AW353" i="6" s="1"/>
  <c r="AX353" i="6" s="1"/>
  <c r="AY353" i="6" s="1"/>
  <c r="AS354" i="6"/>
  <c r="AW354" i="6" s="1"/>
  <c r="AX354" i="6" s="1"/>
  <c r="AY354" i="6" s="1"/>
  <c r="G376" i="6"/>
  <c r="H376" i="6" s="1"/>
  <c r="L376" i="6"/>
  <c r="Q376" i="6" s="1"/>
  <c r="S376" i="6" s="1"/>
  <c r="N377" i="6"/>
  <c r="F378" i="6"/>
  <c r="P378" i="6" s="1"/>
  <c r="O377" i="6"/>
  <c r="K377" i="6"/>
  <c r="I377" i="6"/>
  <c r="J377" i="6" s="1"/>
  <c r="AT356" i="6"/>
  <c r="AF357" i="6"/>
  <c r="AE358" i="6"/>
  <c r="W355" i="6"/>
  <c r="X355" i="6" s="1"/>
  <c r="T353" i="6"/>
  <c r="M355" i="6"/>
  <c r="Q376" i="5" l="1"/>
  <c r="T376" i="5"/>
  <c r="J375" i="5"/>
  <c r="AK357" i="6" s="1"/>
  <c r="M375" i="5"/>
  <c r="AT357" i="6" s="1"/>
  <c r="AU357" i="6" s="1"/>
  <c r="AV357" i="6" s="1"/>
  <c r="X374" i="5"/>
  <c r="AA374" i="5"/>
  <c r="F375" i="5"/>
  <c r="V357" i="6" s="1"/>
  <c r="C375" i="5"/>
  <c r="AN378" i="6"/>
  <c r="AE378" i="6"/>
  <c r="AF378" i="6" s="1"/>
  <c r="AM378" i="6"/>
  <c r="AD379" i="6"/>
  <c r="AG378" i="6"/>
  <c r="AH378" i="6" s="1"/>
  <c r="AI378" i="6"/>
  <c r="AL378" i="6"/>
  <c r="AJ378" i="6"/>
  <c r="AO378" i="6" s="1"/>
  <c r="AQ378" i="6" s="1"/>
  <c r="AR355" i="6"/>
  <c r="G377" i="6"/>
  <c r="H377" i="6" s="1"/>
  <c r="L377" i="6"/>
  <c r="Q377" i="6" s="1"/>
  <c r="S377" i="6" s="1"/>
  <c r="F379" i="6"/>
  <c r="P379" i="6" s="1"/>
  <c r="N378" i="6"/>
  <c r="K378" i="6"/>
  <c r="I378" i="6"/>
  <c r="J378" i="6" s="1"/>
  <c r="O378" i="6"/>
  <c r="M356" i="6"/>
  <c r="R356" i="6" s="1"/>
  <c r="T356" i="6" s="1"/>
  <c r="AU356" i="6"/>
  <c r="AV356" i="6" s="1"/>
  <c r="AF358" i="6"/>
  <c r="AE359" i="6"/>
  <c r="W356" i="6"/>
  <c r="X356" i="6" s="1"/>
  <c r="R355" i="6"/>
  <c r="U353" i="6"/>
  <c r="Y353" i="6" s="1"/>
  <c r="Z353" i="6" s="1"/>
  <c r="AA353" i="6" s="1"/>
  <c r="U354" i="6"/>
  <c r="Y354" i="6" s="1"/>
  <c r="Z354" i="6" s="1"/>
  <c r="AA354" i="6" s="1"/>
  <c r="X375" i="5" l="1"/>
  <c r="AA375" i="5"/>
  <c r="J376" i="5"/>
  <c r="AK358" i="6" s="1"/>
  <c r="AP358" i="6" s="1"/>
  <c r="AR358" i="6" s="1"/>
  <c r="M376" i="5"/>
  <c r="AT358" i="6" s="1"/>
  <c r="AU358" i="6" s="1"/>
  <c r="AV358" i="6" s="1"/>
  <c r="Q377" i="5"/>
  <c r="T377" i="5"/>
  <c r="F376" i="5"/>
  <c r="V358" i="6" s="1"/>
  <c r="C376" i="5"/>
  <c r="AN379" i="6"/>
  <c r="AN36" i="12" s="1"/>
  <c r="AL379" i="6"/>
  <c r="AM379" i="6"/>
  <c r="AI379" i="6"/>
  <c r="AE379" i="6"/>
  <c r="AG379" i="6"/>
  <c r="AH379" i="6" s="1"/>
  <c r="AD380" i="6"/>
  <c r="AJ379" i="6"/>
  <c r="AO379" i="6" s="1"/>
  <c r="AQ379" i="6" s="1"/>
  <c r="AF379" i="6"/>
  <c r="AP357" i="6"/>
  <c r="AS355" i="6"/>
  <c r="AW355" i="6" s="1"/>
  <c r="AX355" i="6" s="1"/>
  <c r="AY355" i="6" s="1"/>
  <c r="AS356" i="6"/>
  <c r="AW356" i="6" s="1"/>
  <c r="AX356" i="6" s="1"/>
  <c r="AY356" i="6" s="1"/>
  <c r="G378" i="6"/>
  <c r="H378" i="6" s="1"/>
  <c r="L378" i="6"/>
  <c r="Q378" i="6" s="1"/>
  <c r="S378" i="6" s="1"/>
  <c r="F380" i="6"/>
  <c r="P380" i="6" s="1"/>
  <c r="K379" i="6"/>
  <c r="O379" i="6"/>
  <c r="N379" i="6"/>
  <c r="I379" i="6"/>
  <c r="J379" i="6" s="1"/>
  <c r="AF359" i="6"/>
  <c r="AE360" i="6"/>
  <c r="W357" i="6"/>
  <c r="X357" i="6" s="1"/>
  <c r="M357" i="6"/>
  <c r="T355" i="6"/>
  <c r="T378" i="5" l="1"/>
  <c r="Q378" i="5"/>
  <c r="J377" i="5"/>
  <c r="AK359" i="6" s="1"/>
  <c r="M377" i="5"/>
  <c r="X376" i="5"/>
  <c r="AA376" i="5"/>
  <c r="C377" i="5"/>
  <c r="F377" i="5"/>
  <c r="V359" i="6" s="1"/>
  <c r="AN380" i="6"/>
  <c r="AD381" i="6"/>
  <c r="AE380" i="6"/>
  <c r="AL380" i="6"/>
  <c r="AF380" i="6"/>
  <c r="AG380" i="6"/>
  <c r="AH380" i="6" s="1"/>
  <c r="AI380" i="6"/>
  <c r="AM380" i="6"/>
  <c r="AO380" i="6"/>
  <c r="AJ380" i="6"/>
  <c r="AQ380" i="6"/>
  <c r="L379" i="6"/>
  <c r="Q379" i="6" s="1"/>
  <c r="S379" i="6" s="1"/>
  <c r="AR357" i="6"/>
  <c r="G379" i="6"/>
  <c r="H379" i="6" s="1"/>
  <c r="N380" i="6"/>
  <c r="O380" i="6"/>
  <c r="K380" i="6"/>
  <c r="I380" i="6"/>
  <c r="J380" i="6" s="1"/>
  <c r="F381" i="6"/>
  <c r="P381" i="6" s="1"/>
  <c r="M358" i="6"/>
  <c r="R358" i="6" s="1"/>
  <c r="T358" i="6" s="1"/>
  <c r="AT359" i="6"/>
  <c r="AU359" i="6" s="1"/>
  <c r="AV359" i="6" s="1"/>
  <c r="AF360" i="6"/>
  <c r="AE361" i="6"/>
  <c r="W358" i="6"/>
  <c r="X358" i="6" s="1"/>
  <c r="U355" i="6"/>
  <c r="Y355" i="6" s="1"/>
  <c r="Z355" i="6" s="1"/>
  <c r="AA355" i="6" s="1"/>
  <c r="U356" i="6"/>
  <c r="Y356" i="6" s="1"/>
  <c r="Z356" i="6" s="1"/>
  <c r="AA356" i="6" s="1"/>
  <c r="R357" i="6"/>
  <c r="AA377" i="5" l="1"/>
  <c r="X377" i="5"/>
  <c r="M378" i="5"/>
  <c r="J378" i="5"/>
  <c r="AK360" i="6" s="1"/>
  <c r="AP360" i="6" s="1"/>
  <c r="AR360" i="6" s="1"/>
  <c r="T379" i="5"/>
  <c r="Q379" i="5"/>
  <c r="C378" i="5"/>
  <c r="M360" i="6" s="1"/>
  <c r="R360" i="6" s="1"/>
  <c r="T360" i="6" s="1"/>
  <c r="F378" i="5"/>
  <c r="V360" i="6" s="1"/>
  <c r="AN381" i="6"/>
  <c r="AD382" i="6"/>
  <c r="AL381" i="6"/>
  <c r="AE381" i="6"/>
  <c r="AM381" i="6"/>
  <c r="AF381" i="6"/>
  <c r="AI381" i="6"/>
  <c r="AG381" i="6"/>
  <c r="AH381" i="6" s="1"/>
  <c r="AJ381" i="6"/>
  <c r="AO381" i="6" s="1"/>
  <c r="AQ381" i="6" s="1"/>
  <c r="AP359" i="6"/>
  <c r="AS357" i="6"/>
  <c r="AW357" i="6" s="1"/>
  <c r="AX357" i="6" s="1"/>
  <c r="AY357" i="6" s="1"/>
  <c r="AS358" i="6"/>
  <c r="AW358" i="6" s="1"/>
  <c r="AX358" i="6" s="1"/>
  <c r="AY358" i="6" s="1"/>
  <c r="G380" i="6"/>
  <c r="H380" i="6" s="1"/>
  <c r="L380" i="6"/>
  <c r="Q380" i="6" s="1"/>
  <c r="S380" i="6" s="1"/>
  <c r="N381" i="6"/>
  <c r="K381" i="6"/>
  <c r="O381" i="6"/>
  <c r="F382" i="6"/>
  <c r="P382" i="6" s="1"/>
  <c r="I381" i="6"/>
  <c r="J381" i="6" s="1"/>
  <c r="AT360" i="6"/>
  <c r="AF361" i="6"/>
  <c r="AE362" i="6"/>
  <c r="W359" i="6"/>
  <c r="X359" i="6" s="1"/>
  <c r="T357" i="6"/>
  <c r="M359" i="6"/>
  <c r="T380" i="5" l="1"/>
  <c r="Q380" i="5"/>
  <c r="M379" i="5"/>
  <c r="J379" i="5"/>
  <c r="AK361" i="6" s="1"/>
  <c r="X378" i="5"/>
  <c r="AA378" i="5"/>
  <c r="F379" i="5"/>
  <c r="V361" i="6" s="1"/>
  <c r="C379" i="5"/>
  <c r="M361" i="6" s="1"/>
  <c r="R361" i="6" s="1"/>
  <c r="T361" i="6" s="1"/>
  <c r="AN382" i="6"/>
  <c r="AD383" i="6"/>
  <c r="AG382" i="6"/>
  <c r="AH382" i="6" s="1"/>
  <c r="AI382" i="6"/>
  <c r="AL382" i="6"/>
  <c r="AE382" i="6"/>
  <c r="AF382" i="6" s="1"/>
  <c r="AM382" i="6"/>
  <c r="AJ382" i="6"/>
  <c r="AO382" i="6" s="1"/>
  <c r="AQ382" i="6"/>
  <c r="L381" i="6"/>
  <c r="Q381" i="6" s="1"/>
  <c r="S381" i="6" s="1"/>
  <c r="AR359" i="6"/>
  <c r="G381" i="6"/>
  <c r="H381" i="6" s="1"/>
  <c r="F383" i="6"/>
  <c r="P383" i="6" s="1"/>
  <c r="I382" i="6"/>
  <c r="J382" i="6" s="1"/>
  <c r="O382" i="6"/>
  <c r="K382" i="6"/>
  <c r="N382" i="6"/>
  <c r="AU360" i="6"/>
  <c r="AV360" i="6" s="1"/>
  <c r="AF362" i="6"/>
  <c r="AE363" i="6"/>
  <c r="W360" i="6"/>
  <c r="X360" i="6" s="1"/>
  <c r="R359" i="6"/>
  <c r="U357" i="6"/>
  <c r="Y357" i="6" s="1"/>
  <c r="Z357" i="6" s="1"/>
  <c r="AA357" i="6" s="1"/>
  <c r="U358" i="6"/>
  <c r="Y358" i="6" s="1"/>
  <c r="Z358" i="6" s="1"/>
  <c r="AA358" i="6" s="1"/>
  <c r="X379" i="5" l="1"/>
  <c r="AA379" i="5"/>
  <c r="J380" i="5"/>
  <c r="AK362" i="6" s="1"/>
  <c r="AP362" i="6" s="1"/>
  <c r="AR362" i="6" s="1"/>
  <c r="M380" i="5"/>
  <c r="AT362" i="6" s="1"/>
  <c r="AU362" i="6" s="1"/>
  <c r="AV362" i="6" s="1"/>
  <c r="AT361" i="6"/>
  <c r="AU361" i="6" s="1"/>
  <c r="AV361" i="6" s="1"/>
  <c r="T381" i="5"/>
  <c r="Q381" i="5"/>
  <c r="F380" i="5"/>
  <c r="V362" i="6" s="1"/>
  <c r="C380" i="5"/>
  <c r="M362" i="6" s="1"/>
  <c r="R362" i="6" s="1"/>
  <c r="T362" i="6" s="1"/>
  <c r="AN383" i="6"/>
  <c r="AI383" i="6"/>
  <c r="AM383" i="6"/>
  <c r="AD384" i="6"/>
  <c r="AG383" i="6"/>
  <c r="AH383" i="6" s="1"/>
  <c r="AL383" i="6"/>
  <c r="AE383" i="6"/>
  <c r="AJ383" i="6"/>
  <c r="AO383" i="6" s="1"/>
  <c r="AQ383" i="6" s="1"/>
  <c r="AF383" i="6"/>
  <c r="AP361" i="6"/>
  <c r="AS359" i="6"/>
  <c r="AW359" i="6" s="1"/>
  <c r="AX359" i="6" s="1"/>
  <c r="AY359" i="6" s="1"/>
  <c r="AS360" i="6"/>
  <c r="AW360" i="6" s="1"/>
  <c r="AX360" i="6" s="1"/>
  <c r="AY360" i="6" s="1"/>
  <c r="G382" i="6"/>
  <c r="H382" i="6" s="1"/>
  <c r="L382" i="6"/>
  <c r="Q382" i="6" s="1"/>
  <c r="S382" i="6" s="1"/>
  <c r="F384" i="6"/>
  <c r="P384" i="6" s="1"/>
  <c r="K383" i="6"/>
  <c r="O383" i="6"/>
  <c r="N383" i="6"/>
  <c r="I383" i="6"/>
  <c r="J383" i="6" s="1"/>
  <c r="AF363" i="6"/>
  <c r="AE364" i="6"/>
  <c r="W361" i="6"/>
  <c r="X361" i="6" s="1"/>
  <c r="T359" i="6"/>
  <c r="U361" i="6" s="1"/>
  <c r="Y361" i="6" s="1"/>
  <c r="Z361" i="6" s="1"/>
  <c r="AA361" i="6" s="1"/>
  <c r="Q382" i="5" l="1"/>
  <c r="T382" i="5"/>
  <c r="M381" i="5"/>
  <c r="J381" i="5"/>
  <c r="AK363" i="6" s="1"/>
  <c r="AP363" i="6" s="1"/>
  <c r="AR363" i="6" s="1"/>
  <c r="AA380" i="5"/>
  <c r="X380" i="5"/>
  <c r="U362" i="6"/>
  <c r="Y362" i="6" s="1"/>
  <c r="Z362" i="6" s="1"/>
  <c r="AA362" i="6" s="1"/>
  <c r="C381" i="5"/>
  <c r="M363" i="6" s="1"/>
  <c r="R363" i="6" s="1"/>
  <c r="T363" i="6" s="1"/>
  <c r="U363" i="6" s="1"/>
  <c r="F381" i="5"/>
  <c r="V363" i="6" s="1"/>
  <c r="AN384" i="6"/>
  <c r="AL384" i="6"/>
  <c r="AE384" i="6"/>
  <c r="AM384" i="6"/>
  <c r="AF384" i="6"/>
  <c r="AG384" i="6"/>
  <c r="AD385" i="6"/>
  <c r="AI384" i="6"/>
  <c r="AH384" i="6"/>
  <c r="AJ384" i="6"/>
  <c r="AO384" i="6" s="1"/>
  <c r="AQ384" i="6"/>
  <c r="AR361" i="6"/>
  <c r="AS363" i="6" s="1"/>
  <c r="G383" i="6"/>
  <c r="H383" i="6" s="1"/>
  <c r="L383" i="6"/>
  <c r="Q383" i="6" s="1"/>
  <c r="S383" i="6" s="1"/>
  <c r="F385" i="6"/>
  <c r="P385" i="6" s="1"/>
  <c r="K384" i="6"/>
  <c r="N384" i="6"/>
  <c r="I384" i="6"/>
  <c r="J384" i="6" s="1"/>
  <c r="O384" i="6"/>
  <c r="AF364" i="6"/>
  <c r="AE365" i="6"/>
  <c r="AT363" i="6"/>
  <c r="AU363" i="6" s="1"/>
  <c r="AV363" i="6" s="1"/>
  <c r="W362" i="6"/>
  <c r="X362" i="6" s="1"/>
  <c r="U359" i="6"/>
  <c r="Y359" i="6" s="1"/>
  <c r="Z359" i="6" s="1"/>
  <c r="AA359" i="6" s="1"/>
  <c r="U360" i="6"/>
  <c r="Y360" i="6" s="1"/>
  <c r="Z360" i="6" s="1"/>
  <c r="AA360" i="6" s="1"/>
  <c r="X381" i="5" l="1"/>
  <c r="AA381" i="5"/>
  <c r="M382" i="5"/>
  <c r="AT364" i="6" s="1"/>
  <c r="J382" i="5"/>
  <c r="AK364" i="6" s="1"/>
  <c r="AP364" i="6" s="1"/>
  <c r="AR364" i="6" s="1"/>
  <c r="AS364" i="6" s="1"/>
  <c r="Q383" i="5"/>
  <c r="T383" i="5"/>
  <c r="C382" i="5"/>
  <c r="F382" i="5"/>
  <c r="V364" i="6" s="1"/>
  <c r="AN385" i="6"/>
  <c r="AD386" i="6"/>
  <c r="AL385" i="6"/>
  <c r="AE385" i="6"/>
  <c r="AG385" i="6"/>
  <c r="AH385" i="6" s="1"/>
  <c r="AM385" i="6"/>
  <c r="AF385" i="6"/>
  <c r="AI385" i="6"/>
  <c r="AJ385" i="6"/>
  <c r="AO385" i="6" s="1"/>
  <c r="AQ385" i="6" s="1"/>
  <c r="AS361" i="6"/>
  <c r="AW361" i="6" s="1"/>
  <c r="AX361" i="6" s="1"/>
  <c r="AY361" i="6" s="1"/>
  <c r="AS362" i="6"/>
  <c r="AW362" i="6" s="1"/>
  <c r="AX362" i="6" s="1"/>
  <c r="AY362" i="6" s="1"/>
  <c r="G384" i="6"/>
  <c r="H384" i="6" s="1"/>
  <c r="L384" i="6"/>
  <c r="Q384" i="6" s="1"/>
  <c r="S384" i="6" s="1"/>
  <c r="O385" i="6"/>
  <c r="K385" i="6"/>
  <c r="I385" i="6"/>
  <c r="J385" i="6" s="1"/>
  <c r="N385" i="6"/>
  <c r="F386" i="6"/>
  <c r="P386" i="6" s="1"/>
  <c r="AF365" i="6"/>
  <c r="AW363" i="6"/>
  <c r="AX363" i="6" s="1"/>
  <c r="AY363" i="6" s="1"/>
  <c r="W363" i="6"/>
  <c r="X363" i="6" s="1"/>
  <c r="Y363" i="6"/>
  <c r="Z363" i="6" s="1"/>
  <c r="AA363" i="6" s="1"/>
  <c r="T384" i="5" l="1"/>
  <c r="Q384" i="5"/>
  <c r="M383" i="5"/>
  <c r="J383" i="5"/>
  <c r="AA382" i="5"/>
  <c r="X382" i="5"/>
  <c r="F383" i="5"/>
  <c r="C383" i="5"/>
  <c r="G385" i="6"/>
  <c r="H385" i="6" s="1"/>
  <c r="AN386" i="6"/>
  <c r="AE386" i="6"/>
  <c r="AF386" i="6" s="1"/>
  <c r="AM386" i="6"/>
  <c r="AG386" i="6"/>
  <c r="AH386" i="6" s="1"/>
  <c r="AI386" i="6"/>
  <c r="AD387" i="6"/>
  <c r="AL386" i="6"/>
  <c r="AJ386" i="6"/>
  <c r="AO386" i="6" s="1"/>
  <c r="AQ386" i="6" s="1"/>
  <c r="L385" i="6"/>
  <c r="Q385" i="6" s="1"/>
  <c r="AU364" i="6"/>
  <c r="AU34" i="12" s="1"/>
  <c r="AT34" i="12"/>
  <c r="S385" i="6"/>
  <c r="I386" i="6"/>
  <c r="J386" i="6" s="1"/>
  <c r="K386" i="6"/>
  <c r="O386" i="6"/>
  <c r="G386" i="6"/>
  <c r="H386" i="6" s="1"/>
  <c r="N386" i="6"/>
  <c r="F387" i="6"/>
  <c r="P387" i="6" s="1"/>
  <c r="AT365" i="6"/>
  <c r="AU365" i="6" s="1"/>
  <c r="AV365" i="6" s="1"/>
  <c r="AK366" i="6"/>
  <c r="AP366" i="6" s="1"/>
  <c r="AR366" i="6" s="1"/>
  <c r="AK365" i="6"/>
  <c r="AW364" i="6"/>
  <c r="W364" i="6"/>
  <c r="M364" i="6"/>
  <c r="V365" i="6"/>
  <c r="AA383" i="5" l="1"/>
  <c r="X383" i="5"/>
  <c r="J384" i="5"/>
  <c r="M384" i="5"/>
  <c r="T385" i="5"/>
  <c r="Q385" i="5"/>
  <c r="F384" i="5"/>
  <c r="C384" i="5"/>
  <c r="AV364" i="6"/>
  <c r="AV34" i="12" s="1"/>
  <c r="AN387" i="6"/>
  <c r="AF387" i="6"/>
  <c r="AG387" i="6"/>
  <c r="AH387" i="6" s="1"/>
  <c r="AI387" i="6"/>
  <c r="AD388" i="6"/>
  <c r="AM387" i="6"/>
  <c r="AE387" i="6"/>
  <c r="AL387" i="6"/>
  <c r="AJ387" i="6"/>
  <c r="AO387" i="6" s="1"/>
  <c r="AQ387" i="6"/>
  <c r="AX364" i="6"/>
  <c r="AW34" i="12"/>
  <c r="L386" i="6"/>
  <c r="Q386" i="6" s="1"/>
  <c r="S386" i="6" s="1"/>
  <c r="F388" i="6"/>
  <c r="P388" i="6" s="1"/>
  <c r="K387" i="6"/>
  <c r="O387" i="6"/>
  <c r="G387" i="6"/>
  <c r="H387" i="6" s="1"/>
  <c r="I387" i="6"/>
  <c r="J387" i="6" s="1"/>
  <c r="N387" i="6"/>
  <c r="AT366" i="6"/>
  <c r="AU366" i="6" s="1"/>
  <c r="AV366" i="6" s="1"/>
  <c r="AP365" i="6"/>
  <c r="M366" i="6"/>
  <c r="R366" i="6" s="1"/>
  <c r="T366" i="6" s="1"/>
  <c r="V366" i="6"/>
  <c r="W366" i="6" s="1"/>
  <c r="X366" i="6" s="1"/>
  <c r="M365" i="6"/>
  <c r="R364" i="6"/>
  <c r="X364" i="6"/>
  <c r="Q386" i="5" l="1"/>
  <c r="T386" i="5"/>
  <c r="J385" i="5"/>
  <c r="M385" i="5"/>
  <c r="AA384" i="5"/>
  <c r="X384" i="5"/>
  <c r="C385" i="5"/>
  <c r="F385" i="5"/>
  <c r="AN388" i="6"/>
  <c r="AM388" i="6"/>
  <c r="AE388" i="6"/>
  <c r="AF388" i="6" s="1"/>
  <c r="AG388" i="6"/>
  <c r="AH388" i="6" s="1"/>
  <c r="AI388" i="6"/>
  <c r="AD389" i="6"/>
  <c r="AL388" i="6"/>
  <c r="AJ388" i="6"/>
  <c r="AO388" i="6" s="1"/>
  <c r="AQ388" i="6" s="1"/>
  <c r="AY364" i="6"/>
  <c r="AY34" i="12" s="1"/>
  <c r="AX34" i="12"/>
  <c r="L387" i="6"/>
  <c r="Q387" i="6" s="1"/>
  <c r="S387" i="6" s="1"/>
  <c r="N388" i="6"/>
  <c r="I388" i="6"/>
  <c r="G388" i="6"/>
  <c r="H388" i="6" s="1"/>
  <c r="F389" i="6"/>
  <c r="P389" i="6" s="1"/>
  <c r="O388" i="6"/>
  <c r="K388" i="6"/>
  <c r="AK368" i="6"/>
  <c r="AP368" i="6" s="1"/>
  <c r="AR368" i="6" s="1"/>
  <c r="AT367" i="6"/>
  <c r="AU367" i="6" s="1"/>
  <c r="AV367" i="6" s="1"/>
  <c r="AK367" i="6"/>
  <c r="AR365" i="6"/>
  <c r="R365" i="6"/>
  <c r="W365" i="6"/>
  <c r="X365" i="6" s="1"/>
  <c r="V367" i="6"/>
  <c r="W367" i="6" s="1"/>
  <c r="X367" i="6" s="1"/>
  <c r="AF40" i="13"/>
  <c r="T364" i="6"/>
  <c r="U364" i="6" s="1"/>
  <c r="Y364" i="6" s="1"/>
  <c r="X385" i="5" l="1"/>
  <c r="AA385" i="5"/>
  <c r="J386" i="5"/>
  <c r="M386" i="5"/>
  <c r="Q387" i="5"/>
  <c r="T387" i="5"/>
  <c r="C386" i="5"/>
  <c r="F386" i="5"/>
  <c r="AN389" i="6"/>
  <c r="AN37" i="12" s="1"/>
  <c r="AI389" i="6"/>
  <c r="AD390" i="6"/>
  <c r="AL389" i="6"/>
  <c r="AE389" i="6"/>
  <c r="AM389" i="6"/>
  <c r="AF389" i="6"/>
  <c r="AG389" i="6"/>
  <c r="AH389" i="6"/>
  <c r="AJ389" i="6"/>
  <c r="AO389" i="6" s="1"/>
  <c r="AQ389" i="6"/>
  <c r="AP367" i="6"/>
  <c r="J388" i="6"/>
  <c r="L388" i="6" s="1"/>
  <c r="Q388" i="6" s="1"/>
  <c r="S388" i="6" s="1"/>
  <c r="K389" i="6"/>
  <c r="I389" i="6"/>
  <c r="J389" i="6" s="1"/>
  <c r="O389" i="6"/>
  <c r="N389" i="6"/>
  <c r="G389" i="6"/>
  <c r="H389" i="6" s="1"/>
  <c r="F390" i="6"/>
  <c r="P390" i="6" s="1"/>
  <c r="AS365" i="6"/>
  <c r="AW365" i="6" s="1"/>
  <c r="AX365" i="6" s="1"/>
  <c r="AY365" i="6" s="1"/>
  <c r="AS366" i="6"/>
  <c r="AW366" i="6" s="1"/>
  <c r="AX366" i="6" s="1"/>
  <c r="AY366" i="6" s="1"/>
  <c r="M367" i="6"/>
  <c r="R367" i="6" s="1"/>
  <c r="T367" i="6" s="1"/>
  <c r="AT368" i="6"/>
  <c r="AU368" i="6" s="1"/>
  <c r="AV368" i="6" s="1"/>
  <c r="M368" i="6"/>
  <c r="R368" i="6" s="1"/>
  <c r="T368" i="6" s="1"/>
  <c r="U368" i="6" s="1"/>
  <c r="V368" i="6"/>
  <c r="W368" i="6" s="1"/>
  <c r="X368" i="6" s="1"/>
  <c r="T365" i="6"/>
  <c r="U365" i="6" s="1"/>
  <c r="Y365" i="6" s="1"/>
  <c r="Z365" i="6" s="1"/>
  <c r="AA365" i="6" s="1"/>
  <c r="M150" i="3"/>
  <c r="M155" i="3"/>
  <c r="Z364" i="6"/>
  <c r="Q388" i="5" l="1"/>
  <c r="T388" i="5"/>
  <c r="J387" i="5"/>
  <c r="M387" i="5"/>
  <c r="X386" i="5"/>
  <c r="AA386" i="5"/>
  <c r="F387" i="5"/>
  <c r="C387" i="5"/>
  <c r="AN390" i="6"/>
  <c r="AG390" i="6"/>
  <c r="AH390" i="6" s="1"/>
  <c r="AD391" i="6"/>
  <c r="AI390" i="6"/>
  <c r="AL390" i="6"/>
  <c r="AE390" i="6"/>
  <c r="AF390" i="6" s="1"/>
  <c r="AM390" i="6"/>
  <c r="AJ390" i="6"/>
  <c r="AO390" i="6" s="1"/>
  <c r="AQ390" i="6" s="1"/>
  <c r="Y368" i="6"/>
  <c r="Z368" i="6" s="1"/>
  <c r="AA368" i="6" s="1"/>
  <c r="AR367" i="6"/>
  <c r="L389" i="6"/>
  <c r="Q389" i="6" s="1"/>
  <c r="S389" i="6" s="1"/>
  <c r="K390" i="6"/>
  <c r="O390" i="6"/>
  <c r="N390" i="6"/>
  <c r="G390" i="6"/>
  <c r="H390" i="6" s="1"/>
  <c r="F391" i="6"/>
  <c r="P391" i="6" s="1"/>
  <c r="I390" i="6"/>
  <c r="J390" i="6" s="1"/>
  <c r="U366" i="6"/>
  <c r="Y366" i="6" s="1"/>
  <c r="Z366" i="6" s="1"/>
  <c r="AA366" i="6" s="1"/>
  <c r="U367" i="6"/>
  <c r="Y367" i="6" s="1"/>
  <c r="Z367" i="6" s="1"/>
  <c r="AA367" i="6" s="1"/>
  <c r="AK370" i="6"/>
  <c r="AP370" i="6" s="1"/>
  <c r="AR370" i="6" s="1"/>
  <c r="AT369" i="6"/>
  <c r="AU369" i="6" s="1"/>
  <c r="AV369" i="6" s="1"/>
  <c r="AK369" i="6"/>
  <c r="M369" i="6"/>
  <c r="R369" i="6" s="1"/>
  <c r="T369" i="6" s="1"/>
  <c r="U369" i="6" s="1"/>
  <c r="V369" i="6"/>
  <c r="W369" i="6" s="1"/>
  <c r="X369" i="6" s="1"/>
  <c r="L107" i="3"/>
  <c r="AA364" i="6"/>
  <c r="AA387" i="5" l="1"/>
  <c r="X387" i="5"/>
  <c r="J388" i="5"/>
  <c r="M388" i="5"/>
  <c r="T389" i="5"/>
  <c r="Q389" i="5"/>
  <c r="F388" i="5"/>
  <c r="C388" i="5"/>
  <c r="AN391" i="6"/>
  <c r="AF391" i="6"/>
  <c r="AE391" i="6"/>
  <c r="AG391" i="6"/>
  <c r="AH391" i="6" s="1"/>
  <c r="AI391" i="6"/>
  <c r="AM391" i="6"/>
  <c r="AD392" i="6"/>
  <c r="AL391" i="6"/>
  <c r="AJ391" i="6"/>
  <c r="AO391" i="6" s="1"/>
  <c r="AQ391" i="6"/>
  <c r="Y369" i="6"/>
  <c r="Z369" i="6" s="1"/>
  <c r="AA369" i="6" s="1"/>
  <c r="AP369" i="6"/>
  <c r="AS367" i="6"/>
  <c r="AW367" i="6" s="1"/>
  <c r="AX367" i="6" s="1"/>
  <c r="AY367" i="6" s="1"/>
  <c r="AS368" i="6"/>
  <c r="AW368" i="6" s="1"/>
  <c r="AX368" i="6" s="1"/>
  <c r="AY368" i="6" s="1"/>
  <c r="U50" i="12"/>
  <c r="L390" i="6"/>
  <c r="Q390" i="6" s="1"/>
  <c r="S390" i="6" s="1"/>
  <c r="U55" i="12"/>
  <c r="U52" i="12"/>
  <c r="U53" i="12"/>
  <c r="O391" i="6"/>
  <c r="G391" i="6"/>
  <c r="H391" i="6" s="1"/>
  <c r="I391" i="6"/>
  <c r="N391" i="6"/>
  <c r="F392" i="6"/>
  <c r="P392" i="6" s="1"/>
  <c r="K391" i="6"/>
  <c r="AT370" i="6"/>
  <c r="AU370" i="6" s="1"/>
  <c r="AV370" i="6" s="1"/>
  <c r="U54" i="12"/>
  <c r="U51" i="12"/>
  <c r="V370" i="6"/>
  <c r="W370" i="6" s="1"/>
  <c r="X370" i="6" s="1"/>
  <c r="L101" i="3"/>
  <c r="L99" i="3"/>
  <c r="L97" i="3"/>
  <c r="L94" i="3"/>
  <c r="T390" i="5" l="1"/>
  <c r="Q390" i="5"/>
  <c r="M389" i="5"/>
  <c r="J389" i="5"/>
  <c r="AA388" i="5"/>
  <c r="X388" i="5"/>
  <c r="F389" i="5"/>
  <c r="C389" i="5"/>
  <c r="AN392" i="6"/>
  <c r="AG392" i="6"/>
  <c r="AH392" i="6"/>
  <c r="AI392" i="6"/>
  <c r="AD393" i="6"/>
  <c r="AL392" i="6"/>
  <c r="AE392" i="6"/>
  <c r="AM392" i="6"/>
  <c r="AF392" i="6"/>
  <c r="AJ392" i="6"/>
  <c r="AO392" i="6" s="1"/>
  <c r="AQ392" i="6" s="1"/>
  <c r="AR369" i="6"/>
  <c r="J391" i="6"/>
  <c r="L391" i="6" s="1"/>
  <c r="Q391" i="6" s="1"/>
  <c r="S391" i="6" s="1"/>
  <c r="I392" i="6"/>
  <c r="J392" i="6" s="1"/>
  <c r="O392" i="6"/>
  <c r="K392" i="6"/>
  <c r="N392" i="6"/>
  <c r="G392" i="6"/>
  <c r="H392" i="6" s="1"/>
  <c r="F393" i="6"/>
  <c r="P393" i="6" s="1"/>
  <c r="M370" i="6"/>
  <c r="R370" i="6" s="1"/>
  <c r="T370" i="6" s="1"/>
  <c r="U370" i="6" s="1"/>
  <c r="Y370" i="6" s="1"/>
  <c r="Z370" i="6" s="1"/>
  <c r="AA370" i="6" s="1"/>
  <c r="AK371" i="6"/>
  <c r="AK372" i="6"/>
  <c r="AP372" i="6" s="1"/>
  <c r="AR372" i="6" s="1"/>
  <c r="AT371" i="6"/>
  <c r="AU371" i="6" s="1"/>
  <c r="AV371" i="6" s="1"/>
  <c r="M371" i="6"/>
  <c r="R371" i="6" s="1"/>
  <c r="T371" i="6" s="1"/>
  <c r="U371" i="6" s="1"/>
  <c r="V371" i="6"/>
  <c r="W371" i="6" s="1"/>
  <c r="X371" i="6" s="1"/>
  <c r="X389" i="5" l="1"/>
  <c r="AA389" i="5"/>
  <c r="M390" i="5"/>
  <c r="J390" i="5"/>
  <c r="T391" i="5"/>
  <c r="Q391" i="5"/>
  <c r="C390" i="5"/>
  <c r="F390" i="5"/>
  <c r="AN393" i="6"/>
  <c r="AM393" i="6"/>
  <c r="AI393" i="6"/>
  <c r="AD394" i="6"/>
  <c r="AL393" i="6"/>
  <c r="AE393" i="6"/>
  <c r="AF393" i="6" s="1"/>
  <c r="AG393" i="6"/>
  <c r="AH393" i="6" s="1"/>
  <c r="AJ393" i="6"/>
  <c r="AO393" i="6" s="1"/>
  <c r="AQ393" i="6"/>
  <c r="Y371" i="6"/>
  <c r="Z371" i="6" s="1"/>
  <c r="AA371" i="6" s="1"/>
  <c r="AP371" i="6"/>
  <c r="AS369" i="6"/>
  <c r="AW369" i="6" s="1"/>
  <c r="AX369" i="6" s="1"/>
  <c r="AY369" i="6" s="1"/>
  <c r="AS370" i="6"/>
  <c r="AW370" i="6" s="1"/>
  <c r="AX370" i="6" s="1"/>
  <c r="AY370" i="6" s="1"/>
  <c r="L392" i="6"/>
  <c r="Q392" i="6" s="1"/>
  <c r="S392" i="6" s="1"/>
  <c r="I393" i="6"/>
  <c r="J393" i="6" s="1"/>
  <c r="F394" i="6"/>
  <c r="P394" i="6" s="1"/>
  <c r="G393" i="6"/>
  <c r="H393" i="6" s="1"/>
  <c r="O393" i="6"/>
  <c r="K393" i="6"/>
  <c r="N393" i="6"/>
  <c r="AK373" i="6"/>
  <c r="AP373" i="6" s="1"/>
  <c r="AR373" i="6" s="1"/>
  <c r="AT372" i="6"/>
  <c r="AU372" i="6" s="1"/>
  <c r="AV372" i="6" s="1"/>
  <c r="M372" i="6"/>
  <c r="R372" i="6" s="1"/>
  <c r="T372" i="6" s="1"/>
  <c r="U372" i="6" s="1"/>
  <c r="V372" i="6"/>
  <c r="W372" i="6" s="1"/>
  <c r="X372" i="6" s="1"/>
  <c r="T392" i="5" l="1"/>
  <c r="Q392" i="5"/>
  <c r="J391" i="5"/>
  <c r="M391" i="5"/>
  <c r="AA390" i="5"/>
  <c r="X390" i="5"/>
  <c r="F391" i="5"/>
  <c r="C391" i="5"/>
  <c r="AN394" i="6"/>
  <c r="AD395" i="6"/>
  <c r="AL394" i="6"/>
  <c r="AE394" i="6"/>
  <c r="AF394" i="6" s="1"/>
  <c r="AM394" i="6"/>
  <c r="AG394" i="6"/>
  <c r="AI394" i="6"/>
  <c r="AH394" i="6"/>
  <c r="AJ394" i="6" s="1"/>
  <c r="AO394" i="6" s="1"/>
  <c r="AQ394" i="6" s="1"/>
  <c r="Y372" i="6"/>
  <c r="Z372" i="6" s="1"/>
  <c r="AA372" i="6" s="1"/>
  <c r="AS373" i="6"/>
  <c r="AR371" i="6"/>
  <c r="L393" i="6"/>
  <c r="Q393" i="6" s="1"/>
  <c r="S393" i="6" s="1"/>
  <c r="N394" i="6"/>
  <c r="K394" i="6"/>
  <c r="O394" i="6"/>
  <c r="G394" i="6"/>
  <c r="H394" i="6" s="1"/>
  <c r="F395" i="6"/>
  <c r="P395" i="6" s="1"/>
  <c r="I394" i="6"/>
  <c r="J394" i="6" s="1"/>
  <c r="AT373" i="6"/>
  <c r="AU373" i="6" s="1"/>
  <c r="AV373" i="6" s="1"/>
  <c r="AK374" i="6"/>
  <c r="AP374" i="6" s="1"/>
  <c r="AR374" i="6" s="1"/>
  <c r="AS374" i="6" s="1"/>
  <c r="M373" i="6"/>
  <c r="R373" i="6" s="1"/>
  <c r="T373" i="6" s="1"/>
  <c r="V373" i="6"/>
  <c r="W373" i="6" s="1"/>
  <c r="X373" i="6" s="1"/>
  <c r="X391" i="5" l="1"/>
  <c r="AA391" i="5"/>
  <c r="M392" i="5"/>
  <c r="J392" i="5"/>
  <c r="T393" i="5"/>
  <c r="Q393" i="5"/>
  <c r="F392" i="5"/>
  <c r="C392" i="5"/>
  <c r="AN395" i="6"/>
  <c r="AL395" i="6"/>
  <c r="AE395" i="6"/>
  <c r="AM395" i="6"/>
  <c r="AF395" i="6"/>
  <c r="AD396" i="6"/>
  <c r="AG395" i="6"/>
  <c r="AH395" i="6" s="1"/>
  <c r="AI395" i="6"/>
  <c r="AO395" i="6"/>
  <c r="AQ395" i="6"/>
  <c r="AJ395" i="6"/>
  <c r="AS371" i="6"/>
  <c r="AW371" i="6" s="1"/>
  <c r="AX371" i="6" s="1"/>
  <c r="AY371" i="6" s="1"/>
  <c r="AS372" i="6"/>
  <c r="AW372" i="6" s="1"/>
  <c r="AX372" i="6" s="1"/>
  <c r="AY372" i="6" s="1"/>
  <c r="L394" i="6"/>
  <c r="Q394" i="6" s="1"/>
  <c r="S394" i="6" s="1"/>
  <c r="AW373" i="6"/>
  <c r="AX373" i="6" s="1"/>
  <c r="AY373" i="6" s="1"/>
  <c r="K395" i="6"/>
  <c r="O395" i="6"/>
  <c r="N395" i="6"/>
  <c r="G395" i="6"/>
  <c r="H395" i="6" s="1"/>
  <c r="I395" i="6"/>
  <c r="J395" i="6" s="1"/>
  <c r="F396" i="6"/>
  <c r="P396" i="6" s="1"/>
  <c r="U373" i="6"/>
  <c r="Y373" i="6" s="1"/>
  <c r="Z373" i="6" s="1"/>
  <c r="AA373" i="6" s="1"/>
  <c r="AK375" i="6"/>
  <c r="AP375" i="6" s="1"/>
  <c r="AR375" i="6" s="1"/>
  <c r="AS375" i="6" s="1"/>
  <c r="AT374" i="6"/>
  <c r="AU374" i="6" s="1"/>
  <c r="AV374" i="6" s="1"/>
  <c r="M374" i="6"/>
  <c r="R374" i="6" s="1"/>
  <c r="T374" i="6" s="1"/>
  <c r="U374" i="6" s="1"/>
  <c r="V374" i="6"/>
  <c r="W374" i="6" s="1"/>
  <c r="X374" i="6" s="1"/>
  <c r="Q394" i="5" l="1"/>
  <c r="T394" i="5"/>
  <c r="M393" i="5"/>
  <c r="J393" i="5"/>
  <c r="AA392" i="5"/>
  <c r="X392" i="5"/>
  <c r="C393" i="5"/>
  <c r="F393" i="5"/>
  <c r="AN396" i="6"/>
  <c r="AD397" i="6"/>
  <c r="AI396" i="6"/>
  <c r="AG396" i="6"/>
  <c r="AH396" i="6" s="1"/>
  <c r="AL396" i="6"/>
  <c r="AM396" i="6"/>
  <c r="AE396" i="6"/>
  <c r="AF396" i="6" s="1"/>
  <c r="AQ396" i="6"/>
  <c r="AJ396" i="6"/>
  <c r="AO396" i="6" s="1"/>
  <c r="Y374" i="6"/>
  <c r="Z374" i="6" s="1"/>
  <c r="AA374" i="6" s="1"/>
  <c r="L395" i="6"/>
  <c r="Q395" i="6" s="1"/>
  <c r="S395" i="6" s="1"/>
  <c r="AW374" i="6"/>
  <c r="AX374" i="6" s="1"/>
  <c r="AY374" i="6" s="1"/>
  <c r="K396" i="6"/>
  <c r="N396" i="6"/>
  <c r="I396" i="6"/>
  <c r="J396" i="6" s="1"/>
  <c r="O396" i="6"/>
  <c r="G396" i="6"/>
  <c r="H396" i="6" s="1"/>
  <c r="F397" i="6"/>
  <c r="P397" i="6" s="1"/>
  <c r="AK376" i="6"/>
  <c r="AP376" i="6" s="1"/>
  <c r="AR376" i="6" s="1"/>
  <c r="AS376" i="6" s="1"/>
  <c r="AT375" i="6"/>
  <c r="AU375" i="6" s="1"/>
  <c r="AV375" i="6" s="1"/>
  <c r="M375" i="6"/>
  <c r="R375" i="6" s="1"/>
  <c r="T375" i="6" s="1"/>
  <c r="U375" i="6" s="1"/>
  <c r="V375" i="6"/>
  <c r="W375" i="6" s="1"/>
  <c r="X375" i="6" s="1"/>
  <c r="AA393" i="5" l="1"/>
  <c r="X393" i="5"/>
  <c r="M394" i="5"/>
  <c r="J394" i="5"/>
  <c r="Q395" i="5"/>
  <c r="T395" i="5"/>
  <c r="C394" i="5"/>
  <c r="F394" i="5"/>
  <c r="L396" i="6"/>
  <c r="Q396" i="6" s="1"/>
  <c r="S396" i="6" s="1"/>
  <c r="AN397" i="6"/>
  <c r="AM397" i="6"/>
  <c r="AG397" i="6"/>
  <c r="AH397" i="6" s="1"/>
  <c r="AJ397" i="6" s="1"/>
  <c r="AE397" i="6"/>
  <c r="AI397" i="6"/>
  <c r="AD398" i="6"/>
  <c r="AL397" i="6"/>
  <c r="AO397" i="6"/>
  <c r="AQ397" i="6" s="1"/>
  <c r="AF397" i="6"/>
  <c r="Y375" i="6"/>
  <c r="Z375" i="6" s="1"/>
  <c r="AA375" i="6" s="1"/>
  <c r="F398" i="6"/>
  <c r="P398" i="6" s="1"/>
  <c r="K397" i="6"/>
  <c r="G397" i="6"/>
  <c r="H397" i="6" s="1"/>
  <c r="N397" i="6"/>
  <c r="O397" i="6"/>
  <c r="I397" i="6"/>
  <c r="J397" i="6" s="1"/>
  <c r="AT376" i="6"/>
  <c r="AT35" i="12" s="1"/>
  <c r="AW375" i="6"/>
  <c r="AX375" i="6" s="1"/>
  <c r="AY375" i="6" s="1"/>
  <c r="M376" i="6"/>
  <c r="R376" i="6" s="1"/>
  <c r="T376" i="6" s="1"/>
  <c r="U376" i="6" s="1"/>
  <c r="Y376" i="6" s="1"/>
  <c r="V376" i="6"/>
  <c r="Q396" i="5" l="1"/>
  <c r="T396" i="5"/>
  <c r="M395" i="5"/>
  <c r="J395" i="5"/>
  <c r="X394" i="5"/>
  <c r="AA394" i="5"/>
  <c r="F395" i="5"/>
  <c r="C395" i="5"/>
  <c r="L397" i="6"/>
  <c r="AN398" i="6"/>
  <c r="AG398" i="6"/>
  <c r="AH398" i="6" s="1"/>
  <c r="AI398" i="6"/>
  <c r="AE398" i="6"/>
  <c r="AD399" i="6"/>
  <c r="AL398" i="6"/>
  <c r="AF398" i="6"/>
  <c r="AM398" i="6"/>
  <c r="AJ398" i="6"/>
  <c r="AO398" i="6" s="1"/>
  <c r="AQ398" i="6" s="1"/>
  <c r="Q397" i="6"/>
  <c r="S397" i="6" s="1"/>
  <c r="K398" i="6"/>
  <c r="F399" i="6"/>
  <c r="P399" i="6" s="1"/>
  <c r="O398" i="6"/>
  <c r="G398" i="6"/>
  <c r="H398" i="6" s="1"/>
  <c r="N398" i="6"/>
  <c r="I398" i="6"/>
  <c r="J398" i="6" s="1"/>
  <c r="AU376" i="6"/>
  <c r="AU35" i="12" s="1"/>
  <c r="AK377" i="6"/>
  <c r="AK378" i="6"/>
  <c r="AP378" i="6" s="1"/>
  <c r="AR378" i="6" s="1"/>
  <c r="AT377" i="6"/>
  <c r="AU377" i="6" s="1"/>
  <c r="AV377" i="6" s="1"/>
  <c r="Z376" i="6"/>
  <c r="W376" i="6"/>
  <c r="AW376" i="6"/>
  <c r="AW35" i="12" s="1"/>
  <c r="V377" i="6"/>
  <c r="W377" i="6" s="1"/>
  <c r="X377" i="6" s="1"/>
  <c r="AA395" i="5" l="1"/>
  <c r="X395" i="5"/>
  <c r="M396" i="5"/>
  <c r="J396" i="5"/>
  <c r="Q397" i="5"/>
  <c r="T397" i="5"/>
  <c r="F396" i="5"/>
  <c r="C396" i="5"/>
  <c r="L398" i="6"/>
  <c r="AN399" i="6"/>
  <c r="AI399" i="6"/>
  <c r="AD400" i="6"/>
  <c r="AL399" i="6"/>
  <c r="AE399" i="6"/>
  <c r="AM399" i="6"/>
  <c r="AF399" i="6"/>
  <c r="AG399" i="6"/>
  <c r="AH399" i="6"/>
  <c r="AJ399" i="6" s="1"/>
  <c r="AO399" i="6" s="1"/>
  <c r="AQ399" i="6" s="1"/>
  <c r="AP377" i="6"/>
  <c r="Q398" i="6"/>
  <c r="S398" i="6" s="1"/>
  <c r="N399" i="6"/>
  <c r="F400" i="6"/>
  <c r="P400" i="6" s="1"/>
  <c r="K399" i="6"/>
  <c r="O399" i="6"/>
  <c r="G399" i="6"/>
  <c r="H399" i="6" s="1"/>
  <c r="I399" i="6"/>
  <c r="J399" i="6" s="1"/>
  <c r="AT378" i="6"/>
  <c r="AU378" i="6" s="1"/>
  <c r="AV378" i="6" s="1"/>
  <c r="X376" i="6"/>
  <c r="AA376" i="6"/>
  <c r="AV376" i="6"/>
  <c r="AV35" i="12" s="1"/>
  <c r="M377" i="6"/>
  <c r="R377" i="6" s="1"/>
  <c r="T377" i="6" s="1"/>
  <c r="U377" i="6" s="1"/>
  <c r="Y377" i="6" s="1"/>
  <c r="Z377" i="6" s="1"/>
  <c r="AA377" i="6" s="1"/>
  <c r="AX376" i="6"/>
  <c r="AX35" i="12" s="1"/>
  <c r="M378" i="6"/>
  <c r="R378" i="6" s="1"/>
  <c r="T378" i="6" s="1"/>
  <c r="V378" i="6"/>
  <c r="W378" i="6" s="1"/>
  <c r="X378" i="6" s="1"/>
  <c r="T398" i="5" l="1"/>
  <c r="Q398" i="5"/>
  <c r="J397" i="5"/>
  <c r="M397" i="5"/>
  <c r="X396" i="5"/>
  <c r="AA396" i="5"/>
  <c r="C397" i="5"/>
  <c r="F397" i="5"/>
  <c r="AN400" i="6"/>
  <c r="AM400" i="6"/>
  <c r="AE400" i="6"/>
  <c r="AI400" i="6"/>
  <c r="AF400" i="6"/>
  <c r="AG400" i="6"/>
  <c r="AH400" i="6" s="1"/>
  <c r="AD401" i="6"/>
  <c r="AL400" i="6"/>
  <c r="AO400" i="6"/>
  <c r="AQ400" i="6" s="1"/>
  <c r="AJ400" i="6"/>
  <c r="AR377" i="6"/>
  <c r="L399" i="6"/>
  <c r="Q399" i="6" s="1"/>
  <c r="S399" i="6" s="1"/>
  <c r="U378" i="6"/>
  <c r="Y378" i="6" s="1"/>
  <c r="Z378" i="6" s="1"/>
  <c r="AA378" i="6" s="1"/>
  <c r="I400" i="6"/>
  <c r="J400" i="6" s="1"/>
  <c r="N400" i="6"/>
  <c r="O400" i="6"/>
  <c r="G400" i="6"/>
  <c r="H400" i="6" s="1"/>
  <c r="F401" i="6"/>
  <c r="P401" i="6" s="1"/>
  <c r="K400" i="6"/>
  <c r="AY376" i="6"/>
  <c r="AY35" i="12" s="1"/>
  <c r="AK380" i="6"/>
  <c r="AP380" i="6" s="1"/>
  <c r="AR380" i="6" s="1"/>
  <c r="AT379" i="6"/>
  <c r="AU379" i="6" s="1"/>
  <c r="AV379" i="6" s="1"/>
  <c r="AK379" i="6"/>
  <c r="V379" i="6"/>
  <c r="W379" i="6" s="1"/>
  <c r="X379" i="6" s="1"/>
  <c r="J398" i="5" l="1"/>
  <c r="M398" i="5"/>
  <c r="X397" i="5"/>
  <c r="AA397" i="5"/>
  <c r="Q399" i="5"/>
  <c r="T399" i="5"/>
  <c r="F398" i="5"/>
  <c r="C398" i="5"/>
  <c r="AN401" i="6"/>
  <c r="AI401" i="6"/>
  <c r="AD402" i="6"/>
  <c r="AL401" i="6"/>
  <c r="AM401" i="6"/>
  <c r="AE401" i="6"/>
  <c r="AF401" i="6" s="1"/>
  <c r="AG401" i="6"/>
  <c r="AH401" i="6" s="1"/>
  <c r="AJ401" i="6"/>
  <c r="AO401" i="6"/>
  <c r="AQ401" i="6"/>
  <c r="AP379" i="6"/>
  <c r="AS377" i="6"/>
  <c r="AW377" i="6" s="1"/>
  <c r="AX377" i="6" s="1"/>
  <c r="AY377" i="6" s="1"/>
  <c r="AS378" i="6"/>
  <c r="AW378" i="6" s="1"/>
  <c r="AX378" i="6" s="1"/>
  <c r="AY378" i="6" s="1"/>
  <c r="L400" i="6"/>
  <c r="Q400" i="6" s="1"/>
  <c r="S400" i="6" s="1"/>
  <c r="G401" i="6"/>
  <c r="H401" i="6" s="1"/>
  <c r="O401" i="6"/>
  <c r="K401" i="6"/>
  <c r="I401" i="6"/>
  <c r="J401" i="6" s="1"/>
  <c r="N401" i="6"/>
  <c r="F402" i="6"/>
  <c r="P402" i="6" s="1"/>
  <c r="AT380" i="6"/>
  <c r="AU380" i="6" s="1"/>
  <c r="AV380" i="6" s="1"/>
  <c r="M379" i="6"/>
  <c r="R379" i="6" s="1"/>
  <c r="T379" i="6" s="1"/>
  <c r="U379" i="6" s="1"/>
  <c r="Y379" i="6" s="1"/>
  <c r="Z379" i="6" s="1"/>
  <c r="AA379" i="6" s="1"/>
  <c r="M380" i="6"/>
  <c r="R380" i="6" s="1"/>
  <c r="T380" i="6" s="1"/>
  <c r="V380" i="6"/>
  <c r="W380" i="6" s="1"/>
  <c r="X380" i="6" s="1"/>
  <c r="T400" i="5" l="1"/>
  <c r="Q400" i="5"/>
  <c r="AA398" i="5"/>
  <c r="X398" i="5"/>
  <c r="M399" i="5"/>
  <c r="J399" i="5"/>
  <c r="F399" i="5"/>
  <c r="C399" i="5"/>
  <c r="AN402" i="6"/>
  <c r="AM402" i="6"/>
  <c r="AG402" i="6"/>
  <c r="AH402" i="6" s="1"/>
  <c r="AD403" i="6"/>
  <c r="AE402" i="6"/>
  <c r="AL402" i="6"/>
  <c r="AI402" i="6"/>
  <c r="AO402" i="6"/>
  <c r="AQ402" i="6" s="1"/>
  <c r="AF402" i="6"/>
  <c r="AJ402" i="6"/>
  <c r="AR379" i="6"/>
  <c r="L401" i="6"/>
  <c r="Q401" i="6" s="1"/>
  <c r="S401" i="6" s="1"/>
  <c r="I402" i="6"/>
  <c r="J402" i="6" s="1"/>
  <c r="K402" i="6"/>
  <c r="O402" i="6"/>
  <c r="G402" i="6"/>
  <c r="H402" i="6" s="1"/>
  <c r="N402" i="6"/>
  <c r="F403" i="6"/>
  <c r="P403" i="6" s="1"/>
  <c r="U380" i="6"/>
  <c r="Y380" i="6" s="1"/>
  <c r="Z380" i="6" s="1"/>
  <c r="AA380" i="6" s="1"/>
  <c r="AK382" i="6"/>
  <c r="AP382" i="6" s="1"/>
  <c r="AR382" i="6" s="1"/>
  <c r="AT381" i="6"/>
  <c r="AU381" i="6" s="1"/>
  <c r="AV381" i="6" s="1"/>
  <c r="AK381" i="6"/>
  <c r="V381" i="6"/>
  <c r="W381" i="6" s="1"/>
  <c r="X381" i="6" s="1"/>
  <c r="J400" i="5" l="1"/>
  <c r="M400" i="5"/>
  <c r="X399" i="5"/>
  <c r="AA399" i="5"/>
  <c r="Q401" i="5"/>
  <c r="T401" i="5"/>
  <c r="F400" i="5"/>
  <c r="C400" i="5"/>
  <c r="AN403" i="6"/>
  <c r="AD404" i="6"/>
  <c r="AI403" i="6"/>
  <c r="AG403" i="6"/>
  <c r="AH403" i="6" s="1"/>
  <c r="AL403" i="6"/>
  <c r="AM403" i="6"/>
  <c r="AE403" i="6"/>
  <c r="AF403" i="6"/>
  <c r="AJ403" i="6"/>
  <c r="AO403" i="6" s="1"/>
  <c r="AQ403" i="6"/>
  <c r="AP381" i="6"/>
  <c r="AS379" i="6"/>
  <c r="AW379" i="6" s="1"/>
  <c r="AX379" i="6" s="1"/>
  <c r="AY379" i="6" s="1"/>
  <c r="AS380" i="6"/>
  <c r="AW380" i="6" s="1"/>
  <c r="AX380" i="6" s="1"/>
  <c r="AY380" i="6" s="1"/>
  <c r="L402" i="6"/>
  <c r="Q402" i="6" s="1"/>
  <c r="S402" i="6" s="1"/>
  <c r="O403" i="6"/>
  <c r="G403" i="6"/>
  <c r="H403" i="6" s="1"/>
  <c r="I403" i="6"/>
  <c r="J403" i="6" s="1"/>
  <c r="N403" i="6"/>
  <c r="K403" i="6"/>
  <c r="F404" i="6"/>
  <c r="P404" i="6" s="1"/>
  <c r="AT382" i="6"/>
  <c r="AU382" i="6" s="1"/>
  <c r="AV382" i="6" s="1"/>
  <c r="M381" i="6"/>
  <c r="R381" i="6" s="1"/>
  <c r="T381" i="6" s="1"/>
  <c r="U381" i="6" s="1"/>
  <c r="Y381" i="6" s="1"/>
  <c r="Z381" i="6" s="1"/>
  <c r="AA381" i="6" s="1"/>
  <c r="V382" i="6"/>
  <c r="W382" i="6" s="1"/>
  <c r="X382" i="6" s="1"/>
  <c r="M382" i="6"/>
  <c r="R382" i="6" s="1"/>
  <c r="T382" i="6" s="1"/>
  <c r="U382" i="6" s="1"/>
  <c r="Q402" i="5" l="1"/>
  <c r="T402" i="5"/>
  <c r="AA400" i="5"/>
  <c r="X400" i="5"/>
  <c r="J401" i="5"/>
  <c r="M401" i="5"/>
  <c r="C401" i="5"/>
  <c r="F401" i="5"/>
  <c r="AN404" i="6"/>
  <c r="AF404" i="6"/>
  <c r="AD405" i="6"/>
  <c r="AL404" i="6"/>
  <c r="AE404" i="6"/>
  <c r="AG404" i="6"/>
  <c r="AH404" i="6" s="1"/>
  <c r="AM404" i="6"/>
  <c r="AI404" i="6"/>
  <c r="AJ404" i="6"/>
  <c r="AO404" i="6" s="1"/>
  <c r="AQ404" i="6" s="1"/>
  <c r="Y382" i="6"/>
  <c r="Z382" i="6" s="1"/>
  <c r="AA382" i="6" s="1"/>
  <c r="AR381" i="6"/>
  <c r="L403" i="6"/>
  <c r="Q403" i="6" s="1"/>
  <c r="S403" i="6" s="1"/>
  <c r="K404" i="6"/>
  <c r="N404" i="6"/>
  <c r="I404" i="6"/>
  <c r="O404" i="6"/>
  <c r="G404" i="6"/>
  <c r="H404" i="6" s="1"/>
  <c r="F405" i="6"/>
  <c r="P405" i="6" s="1"/>
  <c r="AK384" i="6"/>
  <c r="AP384" i="6" s="1"/>
  <c r="AR384" i="6" s="1"/>
  <c r="AT383" i="6"/>
  <c r="AU383" i="6" s="1"/>
  <c r="AV383" i="6" s="1"/>
  <c r="AK383" i="6"/>
  <c r="V383" i="6"/>
  <c r="W383" i="6" s="1"/>
  <c r="X383" i="6" s="1"/>
  <c r="J402" i="5" l="1"/>
  <c r="M402" i="5"/>
  <c r="X401" i="5"/>
  <c r="AA401" i="5"/>
  <c r="T403" i="5"/>
  <c r="Q403" i="5"/>
  <c r="F402" i="5"/>
  <c r="C402" i="5"/>
  <c r="AN405" i="6"/>
  <c r="AN38" i="12" s="1"/>
  <c r="AI405" i="6"/>
  <c r="AF405" i="6"/>
  <c r="AD406" i="6"/>
  <c r="AL405" i="6"/>
  <c r="AG405" i="6"/>
  <c r="AM405" i="6"/>
  <c r="AE405" i="6"/>
  <c r="AH405" i="6"/>
  <c r="AJ405" i="6" s="1"/>
  <c r="AO405" i="6"/>
  <c r="AQ405" i="6"/>
  <c r="AP383" i="6"/>
  <c r="AS381" i="6"/>
  <c r="AW381" i="6" s="1"/>
  <c r="AX381" i="6" s="1"/>
  <c r="AY381" i="6" s="1"/>
  <c r="AS382" i="6"/>
  <c r="AW382" i="6" s="1"/>
  <c r="AX382" i="6" s="1"/>
  <c r="AY382" i="6" s="1"/>
  <c r="J404" i="6"/>
  <c r="L404" i="6" s="1"/>
  <c r="Q404" i="6" s="1"/>
  <c r="S404" i="6" s="1"/>
  <c r="O405" i="6"/>
  <c r="F406" i="6"/>
  <c r="P406" i="6" s="1"/>
  <c r="G405" i="6"/>
  <c r="H405" i="6" s="1"/>
  <c r="I405" i="6"/>
  <c r="J405" i="6" s="1"/>
  <c r="K405" i="6"/>
  <c r="N405" i="6"/>
  <c r="AT384" i="6"/>
  <c r="AU384" i="6" s="1"/>
  <c r="AV384" i="6" s="1"/>
  <c r="M383" i="6"/>
  <c r="R383" i="6" s="1"/>
  <c r="T383" i="6" s="1"/>
  <c r="U383" i="6" s="1"/>
  <c r="Y383" i="6" s="1"/>
  <c r="Z383" i="6" s="1"/>
  <c r="AA383" i="6" s="1"/>
  <c r="M384" i="6"/>
  <c r="R384" i="6" s="1"/>
  <c r="T384" i="6" s="1"/>
  <c r="U384" i="6" s="1"/>
  <c r="V384" i="6"/>
  <c r="Q404" i="5" l="1"/>
  <c r="T404" i="5"/>
  <c r="AA402" i="5"/>
  <c r="X402" i="5"/>
  <c r="M403" i="5"/>
  <c r="J403" i="5"/>
  <c r="F403" i="5"/>
  <c r="C403" i="5"/>
  <c r="AN406" i="6"/>
  <c r="AD407" i="6"/>
  <c r="AL406" i="6"/>
  <c r="AI406" i="6"/>
  <c r="AM406" i="6"/>
  <c r="AG406" i="6"/>
  <c r="AH406" i="6" s="1"/>
  <c r="AE406" i="6"/>
  <c r="AO406" i="6"/>
  <c r="AQ406" i="6" s="1"/>
  <c r="AJ406" i="6"/>
  <c r="AF406" i="6"/>
  <c r="AR383" i="6"/>
  <c r="L405" i="6"/>
  <c r="Q405" i="6" s="1"/>
  <c r="S405" i="6" s="1"/>
  <c r="O406" i="6"/>
  <c r="G406" i="6"/>
  <c r="H406" i="6" s="1"/>
  <c r="N406" i="6"/>
  <c r="F407" i="6"/>
  <c r="P407" i="6" s="1"/>
  <c r="I406" i="6"/>
  <c r="J406" i="6" s="1"/>
  <c r="K406" i="6"/>
  <c r="Y384" i="6"/>
  <c r="Z384" i="6" s="1"/>
  <c r="AA384" i="6" s="1"/>
  <c r="W384" i="6"/>
  <c r="X384" i="6" s="1"/>
  <c r="AK385" i="6"/>
  <c r="AK386" i="6"/>
  <c r="AP386" i="6" s="1"/>
  <c r="AR386" i="6" s="1"/>
  <c r="AT385" i="6"/>
  <c r="AU385" i="6" s="1"/>
  <c r="AV385" i="6" s="1"/>
  <c r="V385" i="6"/>
  <c r="W385" i="6" s="1"/>
  <c r="X385" i="6" s="1"/>
  <c r="J404" i="5" l="1"/>
  <c r="M404" i="5"/>
  <c r="X403" i="5"/>
  <c r="AA403" i="5"/>
  <c r="Q405" i="5"/>
  <c r="T405" i="5"/>
  <c r="F404" i="5"/>
  <c r="C404" i="5"/>
  <c r="AN407" i="6"/>
  <c r="AG407" i="6"/>
  <c r="AH407" i="6" s="1"/>
  <c r="AI407" i="6"/>
  <c r="AL407" i="6"/>
  <c r="AE407" i="6"/>
  <c r="AF407" i="6" s="1"/>
  <c r="AM407" i="6"/>
  <c r="AD408" i="6"/>
  <c r="AJ407" i="6"/>
  <c r="AO407" i="6" s="1"/>
  <c r="AQ407" i="6" s="1"/>
  <c r="AP385" i="6"/>
  <c r="AS383" i="6"/>
  <c r="AW383" i="6" s="1"/>
  <c r="AX383" i="6" s="1"/>
  <c r="AY383" i="6" s="1"/>
  <c r="AS384" i="6"/>
  <c r="AW384" i="6" s="1"/>
  <c r="AX384" i="6" s="1"/>
  <c r="AY384" i="6" s="1"/>
  <c r="L406" i="6"/>
  <c r="Q406" i="6" s="1"/>
  <c r="S406" i="6" s="1"/>
  <c r="G407" i="6"/>
  <c r="H407" i="6" s="1"/>
  <c r="I407" i="6"/>
  <c r="J407" i="6" s="1"/>
  <c r="F408" i="6"/>
  <c r="P408" i="6" s="1"/>
  <c r="O407" i="6"/>
  <c r="N407" i="6"/>
  <c r="K407" i="6"/>
  <c r="M385" i="6"/>
  <c r="R385" i="6" s="1"/>
  <c r="T385" i="6" s="1"/>
  <c r="U385" i="6" s="1"/>
  <c r="Y385" i="6" s="1"/>
  <c r="Z385" i="6" s="1"/>
  <c r="AA385" i="6" s="1"/>
  <c r="AT386" i="6"/>
  <c r="AU386" i="6" s="1"/>
  <c r="AV386" i="6" s="1"/>
  <c r="AK387" i="6"/>
  <c r="AP387" i="6" s="1"/>
  <c r="AR387" i="6" s="1"/>
  <c r="M386" i="6"/>
  <c r="R386" i="6" s="1"/>
  <c r="T386" i="6" s="1"/>
  <c r="U386" i="6" s="1"/>
  <c r="V386" i="6"/>
  <c r="T406" i="5" l="1"/>
  <c r="Q406" i="5"/>
  <c r="AA404" i="5"/>
  <c r="X404" i="5"/>
  <c r="J405" i="5"/>
  <c r="M405" i="5"/>
  <c r="C405" i="5"/>
  <c r="F405" i="5"/>
  <c r="AN408" i="6"/>
  <c r="AE408" i="6"/>
  <c r="AI408" i="6"/>
  <c r="AM408" i="6"/>
  <c r="AD409" i="6"/>
  <c r="AL408" i="6"/>
  <c r="AF408" i="6"/>
  <c r="AG408" i="6"/>
  <c r="AH408" i="6"/>
  <c r="AJ408" i="6" s="1"/>
  <c r="AO408" i="6" s="1"/>
  <c r="AQ408" i="6"/>
  <c r="AR385" i="6"/>
  <c r="AP36" i="12"/>
  <c r="AR36" i="12" s="1"/>
  <c r="AS387" i="6"/>
  <c r="L407" i="6"/>
  <c r="Q407" i="6" s="1"/>
  <c r="S407" i="6" s="1"/>
  <c r="O408" i="6"/>
  <c r="G408" i="6"/>
  <c r="H408" i="6" s="1"/>
  <c r="N408" i="6"/>
  <c r="F409" i="6"/>
  <c r="P409" i="6" s="1"/>
  <c r="I408" i="6"/>
  <c r="J408" i="6" s="1"/>
  <c r="K408" i="6"/>
  <c r="AK388" i="6"/>
  <c r="AP388" i="6" s="1"/>
  <c r="AR388" i="6" s="1"/>
  <c r="AS388" i="6" s="1"/>
  <c r="AT387" i="6"/>
  <c r="AU387" i="6" s="1"/>
  <c r="AV387" i="6" s="1"/>
  <c r="Y386" i="6"/>
  <c r="Z386" i="6" s="1"/>
  <c r="AA386" i="6" s="1"/>
  <c r="W386" i="6"/>
  <c r="X386" i="6" s="1"/>
  <c r="M387" i="6"/>
  <c r="R387" i="6" s="1"/>
  <c r="T387" i="6" s="1"/>
  <c r="U387" i="6" s="1"/>
  <c r="V387" i="6"/>
  <c r="W387" i="6" s="1"/>
  <c r="X387" i="6" s="1"/>
  <c r="M406" i="5" l="1"/>
  <c r="J406" i="5"/>
  <c r="AA405" i="5"/>
  <c r="X405" i="5"/>
  <c r="T407" i="5"/>
  <c r="Q407" i="5"/>
  <c r="C406" i="5"/>
  <c r="F406" i="5"/>
  <c r="AN409" i="6"/>
  <c r="AI409" i="6"/>
  <c r="AD410" i="6"/>
  <c r="AL409" i="6"/>
  <c r="AE409" i="6"/>
  <c r="AG409" i="6"/>
  <c r="AH409" i="6" s="1"/>
  <c r="AM409" i="6"/>
  <c r="AJ409" i="6"/>
  <c r="AO409" i="6" s="1"/>
  <c r="AQ409" i="6" s="1"/>
  <c r="AF409" i="6"/>
  <c r="Y387" i="6"/>
  <c r="Z387" i="6" s="1"/>
  <c r="AA387" i="6" s="1"/>
  <c r="AS385" i="6"/>
  <c r="AW385" i="6" s="1"/>
  <c r="AX385" i="6" s="1"/>
  <c r="AY385" i="6" s="1"/>
  <c r="AS386" i="6"/>
  <c r="AW386" i="6" s="1"/>
  <c r="AX386" i="6" s="1"/>
  <c r="AY386" i="6" s="1"/>
  <c r="AW387" i="6"/>
  <c r="AX387" i="6" s="1"/>
  <c r="AY387" i="6" s="1"/>
  <c r="L408" i="6"/>
  <c r="Q408" i="6" s="1"/>
  <c r="S408" i="6" s="1"/>
  <c r="I409" i="6"/>
  <c r="J409" i="6" s="1"/>
  <c r="N409" i="6"/>
  <c r="G409" i="6"/>
  <c r="H409" i="6" s="1"/>
  <c r="K409" i="6"/>
  <c r="O409" i="6"/>
  <c r="F410" i="6"/>
  <c r="P410" i="6" s="1"/>
  <c r="AT388" i="6"/>
  <c r="AT36" i="12" s="1"/>
  <c r="M388" i="6"/>
  <c r="R388" i="6" s="1"/>
  <c r="T388" i="6" s="1"/>
  <c r="U388" i="6" s="1"/>
  <c r="V388" i="6"/>
  <c r="Q408" i="5" l="1"/>
  <c r="T408" i="5"/>
  <c r="AA406" i="5"/>
  <c r="X406" i="5"/>
  <c r="J407" i="5"/>
  <c r="M407" i="5"/>
  <c r="F407" i="5"/>
  <c r="C407" i="5"/>
  <c r="AN410" i="6"/>
  <c r="AD411" i="6"/>
  <c r="AL410" i="6"/>
  <c r="AE410" i="6"/>
  <c r="AG410" i="6"/>
  <c r="AM410" i="6"/>
  <c r="AI410" i="6"/>
  <c r="AF410" i="6"/>
  <c r="AH410" i="6"/>
  <c r="AJ410" i="6" s="1"/>
  <c r="AO410" i="6" s="1"/>
  <c r="AQ410" i="6" s="1"/>
  <c r="L409" i="6"/>
  <c r="Q409" i="6" s="1"/>
  <c r="S409" i="6" s="1"/>
  <c r="N410" i="6"/>
  <c r="K410" i="6"/>
  <c r="O410" i="6"/>
  <c r="G410" i="6"/>
  <c r="H410" i="6" s="1"/>
  <c r="I410" i="6"/>
  <c r="J410" i="6" s="1"/>
  <c r="F411" i="6"/>
  <c r="P411" i="6" s="1"/>
  <c r="AK390" i="6"/>
  <c r="AP390" i="6" s="1"/>
  <c r="AR390" i="6" s="1"/>
  <c r="AT389" i="6"/>
  <c r="AU389" i="6" s="1"/>
  <c r="AV389" i="6" s="1"/>
  <c r="AK389" i="6"/>
  <c r="AU388" i="6"/>
  <c r="AU36" i="12" s="1"/>
  <c r="AW388" i="6"/>
  <c r="AW36" i="12" s="1"/>
  <c r="Y388" i="6"/>
  <c r="W388" i="6"/>
  <c r="V389" i="6"/>
  <c r="W389" i="6" s="1"/>
  <c r="X389" i="6" s="1"/>
  <c r="AA407" i="5" l="1"/>
  <c r="X407" i="5"/>
  <c r="T409" i="5"/>
  <c r="Q409" i="5"/>
  <c r="M408" i="5"/>
  <c r="J408" i="5"/>
  <c r="F408" i="5"/>
  <c r="C408" i="5"/>
  <c r="AN411" i="6"/>
  <c r="AL411" i="6"/>
  <c r="AE411" i="6"/>
  <c r="AM411" i="6"/>
  <c r="AF411" i="6"/>
  <c r="AI411" i="6"/>
  <c r="AD412" i="6"/>
  <c r="AG411" i="6"/>
  <c r="AH411" i="6"/>
  <c r="AJ411" i="6" s="1"/>
  <c r="AO411" i="6"/>
  <c r="AQ411" i="6" s="1"/>
  <c r="AP389" i="6"/>
  <c r="L410" i="6"/>
  <c r="Q410" i="6" s="1"/>
  <c r="S410" i="6" s="1"/>
  <c r="K411" i="6"/>
  <c r="O411" i="6"/>
  <c r="G411" i="6"/>
  <c r="H411" i="6" s="1"/>
  <c r="N411" i="6"/>
  <c r="F412" i="6"/>
  <c r="P412" i="6" s="1"/>
  <c r="I411" i="6"/>
  <c r="J411" i="6" s="1"/>
  <c r="AV388" i="6"/>
  <c r="AV36" i="12" s="1"/>
  <c r="X388" i="6"/>
  <c r="Z388" i="6"/>
  <c r="AX388" i="6"/>
  <c r="AX36" i="12" s="1"/>
  <c r="AT390" i="6"/>
  <c r="AU390" i="6" s="1"/>
  <c r="AV390" i="6" s="1"/>
  <c r="M389" i="6"/>
  <c r="R389" i="6" s="1"/>
  <c r="T389" i="6" s="1"/>
  <c r="U389" i="6" s="1"/>
  <c r="Y389" i="6" s="1"/>
  <c r="Z389" i="6" s="1"/>
  <c r="AA389" i="6" s="1"/>
  <c r="M390" i="6"/>
  <c r="R390" i="6" s="1"/>
  <c r="T390" i="6" s="1"/>
  <c r="U390" i="6" s="1"/>
  <c r="V390" i="6"/>
  <c r="W390" i="6" s="1"/>
  <c r="X390" i="6" s="1"/>
  <c r="J409" i="5" l="1"/>
  <c r="M409" i="5"/>
  <c r="Q410" i="5"/>
  <c r="T410" i="5"/>
  <c r="AA408" i="5"/>
  <c r="X408" i="5"/>
  <c r="F409" i="5"/>
  <c r="C409" i="5"/>
  <c r="AN412" i="6"/>
  <c r="AI412" i="6"/>
  <c r="AM412" i="6"/>
  <c r="AL412" i="6"/>
  <c r="AG412" i="6"/>
  <c r="AH412" i="6" s="1"/>
  <c r="AD413" i="6"/>
  <c r="AE412" i="6"/>
  <c r="AF412" i="6"/>
  <c r="AJ412" i="6"/>
  <c r="AO412" i="6" s="1"/>
  <c r="AQ412" i="6" s="1"/>
  <c r="Y390" i="6"/>
  <c r="Z390" i="6" s="1"/>
  <c r="AA390" i="6" s="1"/>
  <c r="L411" i="6"/>
  <c r="AR389" i="6"/>
  <c r="Q411" i="6"/>
  <c r="S411" i="6" s="1"/>
  <c r="G412" i="6"/>
  <c r="H412" i="6" s="1"/>
  <c r="I412" i="6"/>
  <c r="J412" i="6" s="1"/>
  <c r="O412" i="6"/>
  <c r="N412" i="6"/>
  <c r="F413" i="6"/>
  <c r="P413" i="6" s="1"/>
  <c r="K412" i="6"/>
  <c r="AK391" i="6"/>
  <c r="AK392" i="6"/>
  <c r="AP392" i="6" s="1"/>
  <c r="AR392" i="6" s="1"/>
  <c r="AT391" i="6"/>
  <c r="AU391" i="6" s="1"/>
  <c r="AV391" i="6" s="1"/>
  <c r="AY388" i="6"/>
  <c r="AY36" i="12" s="1"/>
  <c r="AA388" i="6"/>
  <c r="V391" i="6"/>
  <c r="W391" i="6" s="1"/>
  <c r="X391" i="6" s="1"/>
  <c r="AA409" i="5" l="1"/>
  <c r="X409" i="5"/>
  <c r="T411" i="5"/>
  <c r="Q411" i="5"/>
  <c r="M410" i="5"/>
  <c r="J410" i="5"/>
  <c r="C410" i="5"/>
  <c r="F410" i="5"/>
  <c r="AN413" i="6"/>
  <c r="AM413" i="6"/>
  <c r="AI413" i="6"/>
  <c r="AD414" i="6"/>
  <c r="AL413" i="6"/>
  <c r="AG413" i="6"/>
  <c r="AH413" i="6" s="1"/>
  <c r="AE413" i="6"/>
  <c r="AF413" i="6"/>
  <c r="AJ413" i="6"/>
  <c r="AO413" i="6" s="1"/>
  <c r="AQ413" i="6"/>
  <c r="AP391" i="6"/>
  <c r="AS389" i="6"/>
  <c r="AW389" i="6" s="1"/>
  <c r="AX389" i="6" s="1"/>
  <c r="AY389" i="6" s="1"/>
  <c r="AS390" i="6"/>
  <c r="AW390" i="6" s="1"/>
  <c r="AX390" i="6" s="1"/>
  <c r="AY390" i="6" s="1"/>
  <c r="L412" i="6"/>
  <c r="Q412" i="6" s="1"/>
  <c r="S412" i="6" s="1"/>
  <c r="I413" i="6"/>
  <c r="J413" i="6" s="1"/>
  <c r="N413" i="6"/>
  <c r="O413" i="6"/>
  <c r="K413" i="6"/>
  <c r="G413" i="6"/>
  <c r="H413" i="6" s="1"/>
  <c r="F414" i="6"/>
  <c r="P414" i="6" s="1"/>
  <c r="M391" i="6"/>
  <c r="R391" i="6" s="1"/>
  <c r="T391" i="6" s="1"/>
  <c r="U391" i="6" s="1"/>
  <c r="Y391" i="6" s="1"/>
  <c r="Z391" i="6" s="1"/>
  <c r="AA391" i="6" s="1"/>
  <c r="AT392" i="6"/>
  <c r="AU392" i="6" s="1"/>
  <c r="AV392" i="6" s="1"/>
  <c r="M392" i="6"/>
  <c r="R392" i="6" s="1"/>
  <c r="T392" i="6" s="1"/>
  <c r="U392" i="6" s="1"/>
  <c r="V392" i="6"/>
  <c r="W392" i="6" s="1"/>
  <c r="X392" i="6" s="1"/>
  <c r="Q412" i="5" l="1"/>
  <c r="T412" i="5"/>
  <c r="M411" i="5"/>
  <c r="J411" i="5"/>
  <c r="X410" i="5"/>
  <c r="AA410" i="5"/>
  <c r="F411" i="5"/>
  <c r="C411" i="5"/>
  <c r="AN414" i="6"/>
  <c r="AI414" i="6"/>
  <c r="AM414" i="6"/>
  <c r="AL414" i="6"/>
  <c r="AG414" i="6"/>
  <c r="AH414" i="6" s="1"/>
  <c r="AD415" i="6"/>
  <c r="AE414" i="6"/>
  <c r="AJ414" i="6"/>
  <c r="AF414" i="6"/>
  <c r="AO414" i="6"/>
  <c r="AQ414" i="6" s="1"/>
  <c r="AR391" i="6"/>
  <c r="L413" i="6"/>
  <c r="Q413" i="6" s="1"/>
  <c r="S413" i="6" s="1"/>
  <c r="K414" i="6"/>
  <c r="N414" i="6"/>
  <c r="O414" i="6"/>
  <c r="G414" i="6"/>
  <c r="H414" i="6" s="1"/>
  <c r="I414" i="6"/>
  <c r="J414" i="6" s="1"/>
  <c r="F415" i="6"/>
  <c r="P415" i="6" s="1"/>
  <c r="AK394" i="6"/>
  <c r="AP394" i="6" s="1"/>
  <c r="AR394" i="6" s="1"/>
  <c r="AT393" i="6"/>
  <c r="AU393" i="6" s="1"/>
  <c r="AV393" i="6" s="1"/>
  <c r="Y392" i="6"/>
  <c r="Z392" i="6" s="1"/>
  <c r="AA392" i="6" s="1"/>
  <c r="AK393" i="6"/>
  <c r="V393" i="6"/>
  <c r="W393" i="6" s="1"/>
  <c r="X393" i="6" s="1"/>
  <c r="X411" i="5" l="1"/>
  <c r="AA411" i="5"/>
  <c r="M412" i="5"/>
  <c r="J412" i="5"/>
  <c r="Q413" i="5"/>
  <c r="T413" i="5"/>
  <c r="F412" i="5"/>
  <c r="C412" i="5"/>
  <c r="L414" i="6"/>
  <c r="Q414" i="6" s="1"/>
  <c r="S414" i="6" s="1"/>
  <c r="AN415" i="6"/>
  <c r="AE415" i="6"/>
  <c r="AF415" i="6" s="1"/>
  <c r="AM415" i="6"/>
  <c r="AD416" i="6"/>
  <c r="AG415" i="6"/>
  <c r="AH415" i="6" s="1"/>
  <c r="AI415" i="6"/>
  <c r="AL415" i="6"/>
  <c r="AJ415" i="6"/>
  <c r="AO415" i="6"/>
  <c r="AQ415" i="6"/>
  <c r="AP393" i="6"/>
  <c r="AS391" i="6"/>
  <c r="AW391" i="6" s="1"/>
  <c r="AX391" i="6" s="1"/>
  <c r="AY391" i="6" s="1"/>
  <c r="AS392" i="6"/>
  <c r="AW392" i="6" s="1"/>
  <c r="AX392" i="6" s="1"/>
  <c r="AY392" i="6" s="1"/>
  <c r="G415" i="6"/>
  <c r="H415" i="6" s="1"/>
  <c r="F416" i="6"/>
  <c r="P416" i="6" s="1"/>
  <c r="K415" i="6"/>
  <c r="O415" i="6"/>
  <c r="I415" i="6"/>
  <c r="J415" i="6" s="1"/>
  <c r="N415" i="6"/>
  <c r="M393" i="6"/>
  <c r="R393" i="6" s="1"/>
  <c r="T393" i="6" s="1"/>
  <c r="U393" i="6" s="1"/>
  <c r="Y393" i="6" s="1"/>
  <c r="Z393" i="6" s="1"/>
  <c r="AA393" i="6" s="1"/>
  <c r="AT394" i="6"/>
  <c r="AU394" i="6" s="1"/>
  <c r="AV394" i="6" s="1"/>
  <c r="M394" i="6"/>
  <c r="R394" i="6" s="1"/>
  <c r="T394" i="6" s="1"/>
  <c r="U394" i="6" s="1"/>
  <c r="Y394" i="6" s="1"/>
  <c r="Z394" i="6" s="1"/>
  <c r="AA394" i="6" s="1"/>
  <c r="V394" i="6"/>
  <c r="W394" i="6" s="1"/>
  <c r="X394" i="6" s="1"/>
  <c r="T414" i="5" l="1"/>
  <c r="Q414" i="5"/>
  <c r="M413" i="5"/>
  <c r="J413" i="5"/>
  <c r="AA412" i="5"/>
  <c r="X412" i="5"/>
  <c r="C413" i="5"/>
  <c r="F413" i="5"/>
  <c r="AN416" i="6"/>
  <c r="AE416" i="6"/>
  <c r="AI416" i="6"/>
  <c r="AM416" i="6"/>
  <c r="AD417" i="6"/>
  <c r="AG416" i="6"/>
  <c r="AH416" i="6" s="1"/>
  <c r="AL416" i="6"/>
  <c r="AF416" i="6"/>
  <c r="AJ416" i="6"/>
  <c r="AO416" i="6" s="1"/>
  <c r="AQ416" i="6" s="1"/>
  <c r="AR393" i="6"/>
  <c r="L415" i="6"/>
  <c r="Q415" i="6" s="1"/>
  <c r="S415" i="6" s="1"/>
  <c r="I416" i="6"/>
  <c r="J416" i="6" s="1"/>
  <c r="O416" i="6"/>
  <c r="G416" i="6"/>
  <c r="H416" i="6" s="1"/>
  <c r="N416" i="6"/>
  <c r="F417" i="6"/>
  <c r="P417" i="6" s="1"/>
  <c r="K416" i="6"/>
  <c r="AK396" i="6"/>
  <c r="AP396" i="6" s="1"/>
  <c r="AR396" i="6" s="1"/>
  <c r="AT395" i="6"/>
  <c r="AU395" i="6" s="1"/>
  <c r="AV395" i="6" s="1"/>
  <c r="AK395" i="6"/>
  <c r="M395" i="6"/>
  <c r="R395" i="6" s="1"/>
  <c r="T395" i="6" s="1"/>
  <c r="U395" i="6" s="1"/>
  <c r="V395" i="6"/>
  <c r="W395" i="6" s="1"/>
  <c r="X395" i="6" s="1"/>
  <c r="AA413" i="5" l="1"/>
  <c r="X413" i="5"/>
  <c r="M414" i="5"/>
  <c r="J414" i="5"/>
  <c r="T415" i="5"/>
  <c r="Q415" i="5"/>
  <c r="C414" i="5"/>
  <c r="F414" i="5"/>
  <c r="AN417" i="6"/>
  <c r="AG417" i="6"/>
  <c r="AH417" i="6" s="1"/>
  <c r="AM417" i="6"/>
  <c r="AI417" i="6"/>
  <c r="AD418" i="6"/>
  <c r="AF417" i="6"/>
  <c r="AL417" i="6"/>
  <c r="AE417" i="6"/>
  <c r="AJ417" i="6"/>
  <c r="AO417" i="6" s="1"/>
  <c r="AQ417" i="6"/>
  <c r="Y395" i="6"/>
  <c r="Z395" i="6" s="1"/>
  <c r="AA395" i="6" s="1"/>
  <c r="AP395" i="6"/>
  <c r="AS393" i="6"/>
  <c r="AW393" i="6" s="1"/>
  <c r="AX393" i="6" s="1"/>
  <c r="AY393" i="6" s="1"/>
  <c r="AS394" i="6"/>
  <c r="AW394" i="6" s="1"/>
  <c r="AX394" i="6" s="1"/>
  <c r="AY394" i="6" s="1"/>
  <c r="L416" i="6"/>
  <c r="Q416" i="6" s="1"/>
  <c r="S416" i="6" s="1"/>
  <c r="N417" i="6"/>
  <c r="O417" i="6"/>
  <c r="G417" i="6"/>
  <c r="H417" i="6" s="1"/>
  <c r="F418" i="6"/>
  <c r="P418" i="6" s="1"/>
  <c r="K417" i="6"/>
  <c r="I417" i="6"/>
  <c r="J417" i="6" s="1"/>
  <c r="AT396" i="6"/>
  <c r="AU396" i="6" s="1"/>
  <c r="AV396" i="6" s="1"/>
  <c r="V396" i="6"/>
  <c r="W396" i="6" s="1"/>
  <c r="X396" i="6" s="1"/>
  <c r="Q416" i="5" l="1"/>
  <c r="T416" i="5"/>
  <c r="M415" i="5"/>
  <c r="J415" i="5"/>
  <c r="X414" i="5"/>
  <c r="AA414" i="5"/>
  <c r="F415" i="5"/>
  <c r="C415" i="5"/>
  <c r="AN418" i="6"/>
  <c r="AG418" i="6"/>
  <c r="AH418" i="6" s="1"/>
  <c r="AL418" i="6"/>
  <c r="AD419" i="6"/>
  <c r="AI418" i="6"/>
  <c r="AM418" i="6"/>
  <c r="AE418" i="6"/>
  <c r="AF418" i="6" s="1"/>
  <c r="AJ418" i="6"/>
  <c r="AO418" i="6" s="1"/>
  <c r="AQ418" i="6"/>
  <c r="AR395" i="6"/>
  <c r="L417" i="6"/>
  <c r="Q417" i="6" s="1"/>
  <c r="S417" i="6" s="1"/>
  <c r="K418" i="6"/>
  <c r="F419" i="6"/>
  <c r="P419" i="6" s="1"/>
  <c r="O418" i="6"/>
  <c r="G418" i="6"/>
  <c r="H418" i="6" s="1"/>
  <c r="I418" i="6"/>
  <c r="J418" i="6" s="1"/>
  <c r="N418" i="6"/>
  <c r="AK397" i="6"/>
  <c r="AK398" i="6"/>
  <c r="AP398" i="6" s="1"/>
  <c r="AR398" i="6" s="1"/>
  <c r="AT397" i="6"/>
  <c r="AU397" i="6" s="1"/>
  <c r="AV397" i="6" s="1"/>
  <c r="M396" i="6"/>
  <c r="R396" i="6" s="1"/>
  <c r="T396" i="6" s="1"/>
  <c r="U396" i="6" s="1"/>
  <c r="Y396" i="6" s="1"/>
  <c r="Z396" i="6" s="1"/>
  <c r="AA396" i="6" s="1"/>
  <c r="M397" i="6"/>
  <c r="R397" i="6" s="1"/>
  <c r="T397" i="6" s="1"/>
  <c r="U397" i="6" s="1"/>
  <c r="V397" i="6"/>
  <c r="W397" i="6" s="1"/>
  <c r="X397" i="6" s="1"/>
  <c r="AA415" i="5" l="1"/>
  <c r="X415" i="5"/>
  <c r="M416" i="5"/>
  <c r="J416" i="5"/>
  <c r="Q417" i="5"/>
  <c r="T417" i="5"/>
  <c r="F416" i="5"/>
  <c r="C416" i="5"/>
  <c r="L418" i="6"/>
  <c r="Q418" i="6" s="1"/>
  <c r="AN419" i="6"/>
  <c r="AI419" i="6"/>
  <c r="AL419" i="6"/>
  <c r="AG419" i="6"/>
  <c r="AH419" i="6" s="1"/>
  <c r="AE419" i="6"/>
  <c r="AM419" i="6"/>
  <c r="AD420" i="6"/>
  <c r="AF419" i="6"/>
  <c r="AJ419" i="6"/>
  <c r="AO419" i="6" s="1"/>
  <c r="AQ419" i="6"/>
  <c r="Y397" i="6"/>
  <c r="Z397" i="6" s="1"/>
  <c r="AA397" i="6" s="1"/>
  <c r="AP397" i="6"/>
  <c r="AS395" i="6"/>
  <c r="AW395" i="6" s="1"/>
  <c r="AX395" i="6" s="1"/>
  <c r="AY395" i="6" s="1"/>
  <c r="AS396" i="6"/>
  <c r="AW396" i="6" s="1"/>
  <c r="AX396" i="6" s="1"/>
  <c r="AY396" i="6" s="1"/>
  <c r="S418" i="6"/>
  <c r="G419" i="6"/>
  <c r="H419" i="6" s="1"/>
  <c r="F420" i="6"/>
  <c r="P420" i="6" s="1"/>
  <c r="I419" i="6"/>
  <c r="J419" i="6" s="1"/>
  <c r="O419" i="6"/>
  <c r="K419" i="6"/>
  <c r="N419" i="6"/>
  <c r="AK399" i="6"/>
  <c r="AP399" i="6" s="1"/>
  <c r="AR399" i="6" s="1"/>
  <c r="AT398" i="6"/>
  <c r="AU398" i="6" s="1"/>
  <c r="AV398" i="6" s="1"/>
  <c r="M398" i="6"/>
  <c r="R398" i="6" s="1"/>
  <c r="T398" i="6" s="1"/>
  <c r="U398" i="6" s="1"/>
  <c r="V398" i="6"/>
  <c r="W398" i="6" s="1"/>
  <c r="X398" i="6" s="1"/>
  <c r="J417" i="5" l="1"/>
  <c r="M417" i="5"/>
  <c r="T418" i="5"/>
  <c r="Q418" i="5"/>
  <c r="AA416" i="5"/>
  <c r="X416" i="5"/>
  <c r="C417" i="5"/>
  <c r="F417" i="5"/>
  <c r="AN420" i="6"/>
  <c r="AM420" i="6"/>
  <c r="AE420" i="6"/>
  <c r="AF420" i="6" s="1"/>
  <c r="AG420" i="6"/>
  <c r="AH420" i="6" s="1"/>
  <c r="AL420" i="6"/>
  <c r="AD421" i="6"/>
  <c r="AI420" i="6"/>
  <c r="AO420" i="6"/>
  <c r="AQ420" i="6" s="1"/>
  <c r="AJ420" i="6"/>
  <c r="Y398" i="6"/>
  <c r="Z398" i="6" s="1"/>
  <c r="AA398" i="6" s="1"/>
  <c r="AS399" i="6"/>
  <c r="AR397" i="6"/>
  <c r="AP37" i="12"/>
  <c r="AR37" i="12" s="1"/>
  <c r="L419" i="6"/>
  <c r="Q419" i="6" s="1"/>
  <c r="S419" i="6" s="1"/>
  <c r="I420" i="6"/>
  <c r="J420" i="6" s="1"/>
  <c r="O420" i="6"/>
  <c r="G420" i="6"/>
  <c r="H420" i="6" s="1"/>
  <c r="N420" i="6"/>
  <c r="F421" i="6"/>
  <c r="P421" i="6" s="1"/>
  <c r="K420" i="6"/>
  <c r="AK400" i="6"/>
  <c r="AP400" i="6" s="1"/>
  <c r="AR400" i="6" s="1"/>
  <c r="AS400" i="6" s="1"/>
  <c r="AT399" i="6"/>
  <c r="AU399" i="6" s="1"/>
  <c r="AV399" i="6" s="1"/>
  <c r="M399" i="6"/>
  <c r="R399" i="6" s="1"/>
  <c r="T399" i="6" s="1"/>
  <c r="V399" i="6"/>
  <c r="W399" i="6" s="1"/>
  <c r="X399" i="6" s="1"/>
  <c r="X417" i="5" l="1"/>
  <c r="AA417" i="5"/>
  <c r="T419" i="5"/>
  <c r="Q419" i="5"/>
  <c r="M418" i="5"/>
  <c r="J418" i="5"/>
  <c r="C418" i="5"/>
  <c r="F418" i="5"/>
  <c r="AN421" i="6"/>
  <c r="AE421" i="6"/>
  <c r="AG421" i="6"/>
  <c r="AM421" i="6"/>
  <c r="AI421" i="6"/>
  <c r="AF421" i="6"/>
  <c r="AD422" i="6"/>
  <c r="AL421" i="6"/>
  <c r="AH421" i="6"/>
  <c r="AJ421" i="6" s="1"/>
  <c r="AO421" i="6" s="1"/>
  <c r="AQ421" i="6" s="1"/>
  <c r="AW399" i="6"/>
  <c r="AX399" i="6" s="1"/>
  <c r="AY399" i="6" s="1"/>
  <c r="AS397" i="6"/>
  <c r="AW397" i="6" s="1"/>
  <c r="AX397" i="6" s="1"/>
  <c r="AY397" i="6" s="1"/>
  <c r="AS398" i="6"/>
  <c r="AW398" i="6" s="1"/>
  <c r="AX398" i="6" s="1"/>
  <c r="AY398" i="6" s="1"/>
  <c r="L420" i="6"/>
  <c r="Q420" i="6" s="1"/>
  <c r="S420" i="6" s="1"/>
  <c r="K421" i="6"/>
  <c r="I421" i="6"/>
  <c r="J421" i="6" s="1"/>
  <c r="F422" i="6"/>
  <c r="P422" i="6" s="1"/>
  <c r="N421" i="6"/>
  <c r="G421" i="6"/>
  <c r="H421" i="6" s="1"/>
  <c r="O421" i="6"/>
  <c r="U399" i="6"/>
  <c r="Y399" i="6" s="1"/>
  <c r="Z399" i="6" s="1"/>
  <c r="AA399" i="6" s="1"/>
  <c r="AT400" i="6"/>
  <c r="M400" i="6"/>
  <c r="R400" i="6" s="1"/>
  <c r="T400" i="6" s="1"/>
  <c r="U400" i="6" s="1"/>
  <c r="Y400" i="6" s="1"/>
  <c r="V400" i="6"/>
  <c r="J419" i="5" l="1"/>
  <c r="M419" i="5"/>
  <c r="T420" i="5"/>
  <c r="Q420" i="5"/>
  <c r="X418" i="5"/>
  <c r="AA418" i="5"/>
  <c r="F419" i="5"/>
  <c r="C419" i="5"/>
  <c r="AN422" i="6"/>
  <c r="AI422" i="6"/>
  <c r="AM422" i="6"/>
  <c r="AE422" i="6"/>
  <c r="AF422" i="6"/>
  <c r="AD423" i="6"/>
  <c r="AL422" i="6"/>
  <c r="AG422" i="6"/>
  <c r="AH422" i="6"/>
  <c r="AJ422" i="6" s="1"/>
  <c r="AO422" i="6" s="1"/>
  <c r="AQ422" i="6" s="1"/>
  <c r="AW400" i="6"/>
  <c r="AW37" i="12" s="1"/>
  <c r="AT37" i="12"/>
  <c r="L421" i="6"/>
  <c r="Q421" i="6" s="1"/>
  <c r="S421" i="6" s="1"/>
  <c r="I422" i="6"/>
  <c r="J422" i="6" s="1"/>
  <c r="N422" i="6"/>
  <c r="F423" i="6"/>
  <c r="P423" i="6" s="1"/>
  <c r="K422" i="6"/>
  <c r="G422" i="6"/>
  <c r="H422" i="6" s="1"/>
  <c r="O422" i="6"/>
  <c r="Z400" i="6"/>
  <c r="AK402" i="6"/>
  <c r="AP402" i="6" s="1"/>
  <c r="AR402" i="6" s="1"/>
  <c r="AT401" i="6"/>
  <c r="AU401" i="6" s="1"/>
  <c r="AV401" i="6" s="1"/>
  <c r="AX400" i="6"/>
  <c r="AX37" i="12" s="1"/>
  <c r="W400" i="6"/>
  <c r="AU400" i="6"/>
  <c r="AU37" i="12" s="1"/>
  <c r="AK401" i="6"/>
  <c r="V401" i="6"/>
  <c r="W401" i="6" s="1"/>
  <c r="X401" i="6" s="1"/>
  <c r="X419" i="5" l="1"/>
  <c r="AA419" i="5"/>
  <c r="Q421" i="5"/>
  <c r="T421" i="5"/>
  <c r="J420" i="5"/>
  <c r="M420" i="5"/>
  <c r="F420" i="5"/>
  <c r="C420" i="5"/>
  <c r="AN423" i="6"/>
  <c r="AI423" i="6"/>
  <c r="AD424" i="6"/>
  <c r="AM423" i="6"/>
  <c r="AE423" i="6"/>
  <c r="AF423" i="6" s="1"/>
  <c r="AL423" i="6"/>
  <c r="AG423" i="6"/>
  <c r="AH423" i="6" s="1"/>
  <c r="AJ423" i="6"/>
  <c r="AO423" i="6" s="1"/>
  <c r="AQ423" i="6" s="1"/>
  <c r="AP401" i="6"/>
  <c r="L422" i="6"/>
  <c r="Q422" i="6" s="1"/>
  <c r="S422" i="6" s="1"/>
  <c r="O423" i="6"/>
  <c r="G423" i="6"/>
  <c r="H423" i="6" s="1"/>
  <c r="N423" i="6"/>
  <c r="I423" i="6"/>
  <c r="J423" i="6" s="1"/>
  <c r="F424" i="6"/>
  <c r="P424" i="6" s="1"/>
  <c r="K423" i="6"/>
  <c r="AY400" i="6"/>
  <c r="AY37" i="12" s="1"/>
  <c r="AV400" i="6"/>
  <c r="AV37" i="12" s="1"/>
  <c r="M401" i="6"/>
  <c r="R401" i="6" s="1"/>
  <c r="T401" i="6" s="1"/>
  <c r="U401" i="6" s="1"/>
  <c r="Y401" i="6" s="1"/>
  <c r="Z401" i="6" s="1"/>
  <c r="AA401" i="6" s="1"/>
  <c r="X400" i="6"/>
  <c r="AT402" i="6"/>
  <c r="AU402" i="6" s="1"/>
  <c r="AV402" i="6" s="1"/>
  <c r="AA400" i="6"/>
  <c r="M402" i="6"/>
  <c r="R402" i="6" s="1"/>
  <c r="T402" i="6" s="1"/>
  <c r="U402" i="6" s="1"/>
  <c r="V402" i="6"/>
  <c r="W402" i="6" s="1"/>
  <c r="X402" i="6" s="1"/>
  <c r="M421" i="5" l="1"/>
  <c r="J421" i="5"/>
  <c r="Q422" i="5"/>
  <c r="T422" i="5"/>
  <c r="X420" i="5"/>
  <c r="AA420" i="5"/>
  <c r="C421" i="5"/>
  <c r="F421" i="5"/>
  <c r="AN424" i="6"/>
  <c r="AG424" i="6"/>
  <c r="AF424" i="6"/>
  <c r="AI424" i="6"/>
  <c r="AD425" i="6"/>
  <c r="AL424" i="6"/>
  <c r="AE424" i="6"/>
  <c r="AM424" i="6"/>
  <c r="AH424" i="6"/>
  <c r="AJ424" i="6" s="1"/>
  <c r="AO424" i="6" s="1"/>
  <c r="AQ424" i="6" s="1"/>
  <c r="Y402" i="6"/>
  <c r="Z402" i="6" s="1"/>
  <c r="AA402" i="6" s="1"/>
  <c r="AR401" i="6"/>
  <c r="L423" i="6"/>
  <c r="Q423" i="6" s="1"/>
  <c r="S423" i="6" s="1"/>
  <c r="I424" i="6"/>
  <c r="J424" i="6" s="1"/>
  <c r="O424" i="6"/>
  <c r="G424" i="6"/>
  <c r="H424" i="6" s="1"/>
  <c r="N424" i="6"/>
  <c r="F425" i="6"/>
  <c r="P425" i="6" s="1"/>
  <c r="K424" i="6"/>
  <c r="AT403" i="6"/>
  <c r="AU403" i="6" s="1"/>
  <c r="AV403" i="6" s="1"/>
  <c r="AK404" i="6"/>
  <c r="AP404" i="6" s="1"/>
  <c r="AR404" i="6" s="1"/>
  <c r="AK403" i="6"/>
  <c r="V403" i="6"/>
  <c r="W403" i="6" s="1"/>
  <c r="X403" i="6" s="1"/>
  <c r="AA421" i="5" l="1"/>
  <c r="X421" i="5"/>
  <c r="T423" i="5"/>
  <c r="Q423" i="5"/>
  <c r="J422" i="5"/>
  <c r="M422" i="5"/>
  <c r="C422" i="5"/>
  <c r="F422" i="5"/>
  <c r="AN425" i="6"/>
  <c r="AD426" i="6"/>
  <c r="AL425" i="6"/>
  <c r="AE425" i="6"/>
  <c r="AF425" i="6" s="1"/>
  <c r="AM425" i="6"/>
  <c r="AG425" i="6"/>
  <c r="AI425" i="6"/>
  <c r="AH425" i="6"/>
  <c r="AJ425" i="6"/>
  <c r="AO425" i="6" s="1"/>
  <c r="AQ425" i="6"/>
  <c r="AP403" i="6"/>
  <c r="AS401" i="6"/>
  <c r="AW401" i="6" s="1"/>
  <c r="AX401" i="6" s="1"/>
  <c r="AY401" i="6" s="1"/>
  <c r="AS402" i="6"/>
  <c r="AW402" i="6" s="1"/>
  <c r="AX402" i="6" s="1"/>
  <c r="AY402" i="6" s="1"/>
  <c r="L424" i="6"/>
  <c r="Q424" i="6" s="1"/>
  <c r="S424" i="6" s="1"/>
  <c r="G425" i="6"/>
  <c r="H425" i="6" s="1"/>
  <c r="F426" i="6"/>
  <c r="P426" i="6" s="1"/>
  <c r="N425" i="6"/>
  <c r="K425" i="6"/>
  <c r="I425" i="6"/>
  <c r="J425" i="6" s="1"/>
  <c r="O425" i="6"/>
  <c r="AT404" i="6"/>
  <c r="AU404" i="6" s="1"/>
  <c r="AV404" i="6" s="1"/>
  <c r="M403" i="6"/>
  <c r="R403" i="6" s="1"/>
  <c r="T403" i="6" s="1"/>
  <c r="U403" i="6" s="1"/>
  <c r="Y403" i="6" s="1"/>
  <c r="Z403" i="6" s="1"/>
  <c r="AA403" i="6" s="1"/>
  <c r="M404" i="6"/>
  <c r="R404" i="6" s="1"/>
  <c r="T404" i="6" s="1"/>
  <c r="V404" i="6"/>
  <c r="W404" i="6" s="1"/>
  <c r="X404" i="6" s="1"/>
  <c r="J423" i="5" l="1"/>
  <c r="M423" i="5"/>
  <c r="Q424" i="5"/>
  <c r="T424" i="5"/>
  <c r="AA422" i="5"/>
  <c r="X422" i="5"/>
  <c r="F423" i="5"/>
  <c r="C423" i="5"/>
  <c r="AN426" i="6"/>
  <c r="AM426" i="6"/>
  <c r="AF426" i="6"/>
  <c r="AG426" i="6"/>
  <c r="AH426" i="6" s="1"/>
  <c r="AI426" i="6"/>
  <c r="AL426" i="6"/>
  <c r="AD427" i="6"/>
  <c r="AE426" i="6"/>
  <c r="AJ426" i="6"/>
  <c r="AO426" i="6" s="1"/>
  <c r="AQ426" i="6" s="1"/>
  <c r="AR403" i="6"/>
  <c r="L425" i="6"/>
  <c r="Q425" i="6" s="1"/>
  <c r="S425" i="6" s="1"/>
  <c r="O426" i="6"/>
  <c r="G426" i="6"/>
  <c r="H426" i="6" s="1"/>
  <c r="N426" i="6"/>
  <c r="I426" i="6"/>
  <c r="J426" i="6" s="1"/>
  <c r="F427" i="6"/>
  <c r="P427" i="6" s="1"/>
  <c r="K426" i="6"/>
  <c r="U404" i="6"/>
  <c r="Y404" i="6" s="1"/>
  <c r="Z404" i="6" s="1"/>
  <c r="AA404" i="6" s="1"/>
  <c r="AT405" i="6"/>
  <c r="AU405" i="6" s="1"/>
  <c r="AV405" i="6" s="1"/>
  <c r="AK406" i="6"/>
  <c r="AP406" i="6" s="1"/>
  <c r="AR406" i="6" s="1"/>
  <c r="AK405" i="6"/>
  <c r="V405" i="6"/>
  <c r="X423" i="5" l="1"/>
  <c r="AA423" i="5"/>
  <c r="Q425" i="5"/>
  <c r="T425" i="5"/>
  <c r="J424" i="5"/>
  <c r="M424" i="5"/>
  <c r="F424" i="5"/>
  <c r="C424" i="5"/>
  <c r="AN427" i="6"/>
  <c r="AN40" i="12" s="1"/>
  <c r="AL427" i="6"/>
  <c r="AG427" i="6"/>
  <c r="AH427" i="6" s="1"/>
  <c r="AI427" i="6"/>
  <c r="AM427" i="6"/>
  <c r="AD428" i="6"/>
  <c r="AE427" i="6"/>
  <c r="AF427" i="6" s="1"/>
  <c r="AJ427" i="6"/>
  <c r="AO427" i="6" s="1"/>
  <c r="AQ427" i="6" s="1"/>
  <c r="AP405" i="6"/>
  <c r="AS403" i="6"/>
  <c r="AW403" i="6" s="1"/>
  <c r="AX403" i="6" s="1"/>
  <c r="AY403" i="6" s="1"/>
  <c r="AS404" i="6"/>
  <c r="AW404" i="6" s="1"/>
  <c r="AX404" i="6" s="1"/>
  <c r="AY404" i="6" s="1"/>
  <c r="L426" i="6"/>
  <c r="Q426" i="6" s="1"/>
  <c r="S426" i="6" s="1"/>
  <c r="I427" i="6"/>
  <c r="J427" i="6" s="1"/>
  <c r="O427" i="6"/>
  <c r="G427" i="6"/>
  <c r="H427" i="6" s="1"/>
  <c r="N427" i="6"/>
  <c r="F428" i="6"/>
  <c r="P428" i="6" s="1"/>
  <c r="K427" i="6"/>
  <c r="W405" i="6"/>
  <c r="X405" i="6" s="1"/>
  <c r="M405" i="6"/>
  <c r="R405" i="6" s="1"/>
  <c r="T405" i="6" s="1"/>
  <c r="U405" i="6" s="1"/>
  <c r="Y405" i="6" s="1"/>
  <c r="Z405" i="6" s="1"/>
  <c r="AA405" i="6" s="1"/>
  <c r="AT406" i="6"/>
  <c r="AU406" i="6" s="1"/>
  <c r="AV406" i="6" s="1"/>
  <c r="M406" i="6"/>
  <c r="R406" i="6" s="1"/>
  <c r="T406" i="6" s="1"/>
  <c r="U406" i="6" s="1"/>
  <c r="V406" i="6"/>
  <c r="W406" i="6" s="1"/>
  <c r="X406" i="6" s="1"/>
  <c r="J425" i="5" l="1"/>
  <c r="M425" i="5"/>
  <c r="Q426" i="5"/>
  <c r="T426" i="5"/>
  <c r="AA424" i="5"/>
  <c r="X424" i="5"/>
  <c r="F425" i="5"/>
  <c r="C425" i="5"/>
  <c r="AN428" i="6"/>
  <c r="AI428" i="6"/>
  <c r="AD429" i="6"/>
  <c r="AL428" i="6"/>
  <c r="AE428" i="6"/>
  <c r="AM428" i="6"/>
  <c r="AG428" i="6"/>
  <c r="AH428" i="6"/>
  <c r="AF428" i="6"/>
  <c r="AJ428" i="6"/>
  <c r="AO428" i="6" s="1"/>
  <c r="AQ428" i="6"/>
  <c r="Y406" i="6"/>
  <c r="Z406" i="6" s="1"/>
  <c r="AA406" i="6" s="1"/>
  <c r="AR405" i="6"/>
  <c r="L427" i="6"/>
  <c r="Q427" i="6" s="1"/>
  <c r="S427" i="6" s="1"/>
  <c r="N428" i="6"/>
  <c r="G428" i="6"/>
  <c r="H428" i="6" s="1"/>
  <c r="F429" i="6"/>
  <c r="P429" i="6" s="1"/>
  <c r="K428" i="6"/>
  <c r="I428" i="6"/>
  <c r="O428" i="6"/>
  <c r="AK407" i="6"/>
  <c r="AT407" i="6"/>
  <c r="AU407" i="6" s="1"/>
  <c r="AV407" i="6" s="1"/>
  <c r="AK408" i="6"/>
  <c r="AP408" i="6" s="1"/>
  <c r="AR408" i="6" s="1"/>
  <c r="V407" i="6"/>
  <c r="W407" i="6" s="1"/>
  <c r="X407" i="6" s="1"/>
  <c r="X425" i="5" l="1"/>
  <c r="AA425" i="5"/>
  <c r="Q427" i="5"/>
  <c r="T427" i="5"/>
  <c r="M426" i="5"/>
  <c r="J426" i="5"/>
  <c r="C426" i="5"/>
  <c r="F426" i="5"/>
  <c r="AN429" i="6"/>
  <c r="AG429" i="6"/>
  <c r="AH429" i="6" s="1"/>
  <c r="AI429" i="6"/>
  <c r="AD430" i="6"/>
  <c r="AL429" i="6"/>
  <c r="AE429" i="6"/>
  <c r="AF429" i="6" s="1"/>
  <c r="AM429" i="6"/>
  <c r="AJ429" i="6"/>
  <c r="AO429" i="6" s="1"/>
  <c r="AQ429" i="6" s="1"/>
  <c r="AP407" i="6"/>
  <c r="AS405" i="6"/>
  <c r="AW405" i="6" s="1"/>
  <c r="AX405" i="6" s="1"/>
  <c r="AY405" i="6" s="1"/>
  <c r="AS406" i="6"/>
  <c r="AW406" i="6" s="1"/>
  <c r="AX406" i="6" s="1"/>
  <c r="AY406" i="6" s="1"/>
  <c r="J428" i="6"/>
  <c r="L428" i="6" s="1"/>
  <c r="Q428" i="6" s="1"/>
  <c r="S428" i="6" s="1"/>
  <c r="O429" i="6"/>
  <c r="N429" i="6"/>
  <c r="F430" i="6"/>
  <c r="P430" i="6" s="1"/>
  <c r="K429" i="6"/>
  <c r="I429" i="6"/>
  <c r="J429" i="6" s="1"/>
  <c r="G429" i="6"/>
  <c r="H429" i="6" s="1"/>
  <c r="M407" i="6"/>
  <c r="R407" i="6" s="1"/>
  <c r="T407" i="6" s="1"/>
  <c r="U407" i="6" s="1"/>
  <c r="Y407" i="6" s="1"/>
  <c r="Z407" i="6" s="1"/>
  <c r="AA407" i="6" s="1"/>
  <c r="AT408" i="6"/>
  <c r="AU408" i="6" s="1"/>
  <c r="AV408" i="6" s="1"/>
  <c r="V408" i="6"/>
  <c r="W408" i="6" s="1"/>
  <c r="X408" i="6" s="1"/>
  <c r="M408" i="6"/>
  <c r="R408" i="6" s="1"/>
  <c r="T408" i="6" s="1"/>
  <c r="U408" i="6" s="1"/>
  <c r="Y408" i="6" s="1"/>
  <c r="Z408" i="6" s="1"/>
  <c r="AA408" i="6" s="1"/>
  <c r="M427" i="5" l="1"/>
  <c r="J427" i="5"/>
  <c r="Q428" i="5"/>
  <c r="T428" i="5"/>
  <c r="AA426" i="5"/>
  <c r="X426" i="5"/>
  <c r="F427" i="5"/>
  <c r="C427" i="5"/>
  <c r="AN430" i="6"/>
  <c r="AI430" i="6"/>
  <c r="AF430" i="6"/>
  <c r="AL430" i="6"/>
  <c r="AD431" i="6"/>
  <c r="AE430" i="6"/>
  <c r="AG430" i="6"/>
  <c r="AH430" i="6" s="1"/>
  <c r="AM430" i="6"/>
  <c r="AJ430" i="6"/>
  <c r="AO430" i="6" s="1"/>
  <c r="AQ430" i="6" s="1"/>
  <c r="AR407" i="6"/>
  <c r="L429" i="6"/>
  <c r="Q429" i="6" s="1"/>
  <c r="S429" i="6" s="1"/>
  <c r="F431" i="6"/>
  <c r="P431" i="6" s="1"/>
  <c r="G430" i="6"/>
  <c r="H430" i="6" s="1"/>
  <c r="O430" i="6"/>
  <c r="N430" i="6"/>
  <c r="I430" i="6"/>
  <c r="J430" i="6" s="1"/>
  <c r="K430" i="6"/>
  <c r="AK409" i="6"/>
  <c r="AK410" i="6"/>
  <c r="AP410" i="6" s="1"/>
  <c r="AR410" i="6" s="1"/>
  <c r="AT409" i="6"/>
  <c r="AU409" i="6" s="1"/>
  <c r="AV409" i="6" s="1"/>
  <c r="V409" i="6"/>
  <c r="W409" i="6" s="1"/>
  <c r="X409" i="6" s="1"/>
  <c r="AA427" i="5" l="1"/>
  <c r="X427" i="5"/>
  <c r="T429" i="5"/>
  <c r="Q429" i="5"/>
  <c r="J428" i="5"/>
  <c r="M428" i="5"/>
  <c r="C428" i="5"/>
  <c r="F428" i="5"/>
  <c r="AN431" i="6"/>
  <c r="AL431" i="6"/>
  <c r="AG431" i="6"/>
  <c r="AH431" i="6" s="1"/>
  <c r="AI431" i="6"/>
  <c r="AM431" i="6"/>
  <c r="AD432" i="6"/>
  <c r="AE431" i="6"/>
  <c r="AF431" i="6"/>
  <c r="AJ431" i="6"/>
  <c r="AO431" i="6" s="1"/>
  <c r="AQ431" i="6"/>
  <c r="AP409" i="6"/>
  <c r="AS407" i="6"/>
  <c r="AW407" i="6" s="1"/>
  <c r="AX407" i="6" s="1"/>
  <c r="AY407" i="6" s="1"/>
  <c r="AS408" i="6"/>
  <c r="AW408" i="6" s="1"/>
  <c r="AX408" i="6" s="1"/>
  <c r="AY408" i="6" s="1"/>
  <c r="L430" i="6"/>
  <c r="Q430" i="6" s="1"/>
  <c r="S430" i="6" s="1"/>
  <c r="O431" i="6"/>
  <c r="N431" i="6"/>
  <c r="K431" i="6"/>
  <c r="I431" i="6"/>
  <c r="J431" i="6" s="1"/>
  <c r="G431" i="6"/>
  <c r="H431" i="6" s="1"/>
  <c r="F432" i="6"/>
  <c r="P432" i="6" s="1"/>
  <c r="AK411" i="6"/>
  <c r="AP411" i="6" s="1"/>
  <c r="AR411" i="6" s="1"/>
  <c r="AT410" i="6"/>
  <c r="AU410" i="6" s="1"/>
  <c r="AV410" i="6" s="1"/>
  <c r="M409" i="6"/>
  <c r="R409" i="6" s="1"/>
  <c r="T409" i="6" s="1"/>
  <c r="U409" i="6" s="1"/>
  <c r="Y409" i="6" s="1"/>
  <c r="Z409" i="6" s="1"/>
  <c r="AA409" i="6" s="1"/>
  <c r="M410" i="6"/>
  <c r="R410" i="6" s="1"/>
  <c r="T410" i="6" s="1"/>
  <c r="U410" i="6" s="1"/>
  <c r="V410" i="6"/>
  <c r="W410" i="6" s="1"/>
  <c r="X410" i="6" s="1"/>
  <c r="M429" i="5" l="1"/>
  <c r="J429" i="5"/>
  <c r="T430" i="5"/>
  <c r="Q430" i="5"/>
  <c r="AA428" i="5"/>
  <c r="X428" i="5"/>
  <c r="C429" i="5"/>
  <c r="F429" i="5"/>
  <c r="AN432" i="6"/>
  <c r="AE432" i="6"/>
  <c r="AM432" i="6"/>
  <c r="AG432" i="6"/>
  <c r="AH432" i="6" s="1"/>
  <c r="AD433" i="6"/>
  <c r="AF432" i="6"/>
  <c r="AI432" i="6"/>
  <c r="AL432" i="6"/>
  <c r="AJ432" i="6"/>
  <c r="AO432" i="6" s="1"/>
  <c r="AQ432" i="6" s="1"/>
  <c r="Y410" i="6"/>
  <c r="Z410" i="6" s="1"/>
  <c r="AA410" i="6" s="1"/>
  <c r="AR409" i="6"/>
  <c r="AP38" i="12"/>
  <c r="AR38" i="12" s="1"/>
  <c r="L431" i="6"/>
  <c r="Q431" i="6" s="1"/>
  <c r="S431" i="6" s="1"/>
  <c r="O432" i="6"/>
  <c r="N432" i="6"/>
  <c r="K432" i="6"/>
  <c r="F433" i="6"/>
  <c r="P433" i="6" s="1"/>
  <c r="G432" i="6"/>
  <c r="H432" i="6" s="1"/>
  <c r="I432" i="6"/>
  <c r="J432" i="6" s="1"/>
  <c r="AS411" i="6"/>
  <c r="AK412" i="6"/>
  <c r="AP412" i="6" s="1"/>
  <c r="AR412" i="6" s="1"/>
  <c r="AS412" i="6" s="1"/>
  <c r="AT411" i="6"/>
  <c r="AU411" i="6" s="1"/>
  <c r="AV411" i="6" s="1"/>
  <c r="M411" i="6"/>
  <c r="R411" i="6" s="1"/>
  <c r="T411" i="6" s="1"/>
  <c r="U411" i="6" s="1"/>
  <c r="V411" i="6"/>
  <c r="W411" i="6" s="1"/>
  <c r="X411" i="6" s="1"/>
  <c r="AA429" i="5" l="1"/>
  <c r="X429" i="5"/>
  <c r="Q431" i="5"/>
  <c r="T431" i="5"/>
  <c r="M430" i="5"/>
  <c r="J430" i="5"/>
  <c r="C430" i="5"/>
  <c r="F430" i="5"/>
  <c r="AN433" i="6"/>
  <c r="AI433" i="6"/>
  <c r="AE433" i="6"/>
  <c r="AF433" i="6" s="1"/>
  <c r="AM433" i="6"/>
  <c r="AD434" i="6"/>
  <c r="AG433" i="6"/>
  <c r="AH433" i="6" s="1"/>
  <c r="AL433" i="6"/>
  <c r="AJ433" i="6"/>
  <c r="AO433" i="6" s="1"/>
  <c r="AQ433" i="6"/>
  <c r="Y411" i="6"/>
  <c r="Z411" i="6" s="1"/>
  <c r="AA411" i="6" s="1"/>
  <c r="AW411" i="6"/>
  <c r="AX411" i="6" s="1"/>
  <c r="AY411" i="6" s="1"/>
  <c r="AS409" i="6"/>
  <c r="AW409" i="6" s="1"/>
  <c r="AX409" i="6" s="1"/>
  <c r="AY409" i="6" s="1"/>
  <c r="AS410" i="6"/>
  <c r="AW410" i="6" s="1"/>
  <c r="AX410" i="6" s="1"/>
  <c r="AY410" i="6" s="1"/>
  <c r="L432" i="6"/>
  <c r="Q432" i="6" s="1"/>
  <c r="S432" i="6" s="1"/>
  <c r="I433" i="6"/>
  <c r="J433" i="6" s="1"/>
  <c r="F434" i="6"/>
  <c r="P434" i="6" s="1"/>
  <c r="O433" i="6"/>
  <c r="K433" i="6"/>
  <c r="G433" i="6"/>
  <c r="H433" i="6" s="1"/>
  <c r="N433" i="6"/>
  <c r="AT412" i="6"/>
  <c r="AT38" i="12" s="1"/>
  <c r="M412" i="6"/>
  <c r="R412" i="6" s="1"/>
  <c r="T412" i="6" s="1"/>
  <c r="U412" i="6" s="1"/>
  <c r="V412" i="6"/>
  <c r="J431" i="5" l="1"/>
  <c r="M431" i="5"/>
  <c r="T432" i="5"/>
  <c r="Q432" i="5"/>
  <c r="X430" i="5"/>
  <c r="AA430" i="5"/>
  <c r="F431" i="5"/>
  <c r="C431" i="5"/>
  <c r="AN434" i="6"/>
  <c r="AE434" i="6"/>
  <c r="AM434" i="6"/>
  <c r="AF434" i="6"/>
  <c r="AI434" i="6"/>
  <c r="AL434" i="6"/>
  <c r="AG434" i="6"/>
  <c r="AH434" i="6" s="1"/>
  <c r="AD435" i="6"/>
  <c r="AJ434" i="6"/>
  <c r="AO434" i="6" s="1"/>
  <c r="AQ434" i="6" s="1"/>
  <c r="Y412" i="6"/>
  <c r="L433" i="6"/>
  <c r="Q433" i="6" s="1"/>
  <c r="S433" i="6" s="1"/>
  <c r="K434" i="6"/>
  <c r="N434" i="6"/>
  <c r="I434" i="6"/>
  <c r="J434" i="6" s="1"/>
  <c r="G434" i="6"/>
  <c r="H434" i="6" s="1"/>
  <c r="F435" i="6"/>
  <c r="P435" i="6" s="1"/>
  <c r="O434" i="6"/>
  <c r="AU412" i="6"/>
  <c r="AU38" i="12" s="1"/>
  <c r="AK413" i="6"/>
  <c r="AK414" i="6"/>
  <c r="AP414" i="6" s="1"/>
  <c r="AR414" i="6" s="1"/>
  <c r="AT413" i="6"/>
  <c r="AU413" i="6" s="1"/>
  <c r="AV413" i="6" s="1"/>
  <c r="W412" i="6"/>
  <c r="Z412" i="6"/>
  <c r="AW412" i="6"/>
  <c r="AW38" i="12" s="1"/>
  <c r="V413" i="6"/>
  <c r="W413" i="6" s="1"/>
  <c r="X413" i="6" s="1"/>
  <c r="Q433" i="5" l="1"/>
  <c r="T433" i="5"/>
  <c r="J432" i="5"/>
  <c r="M432" i="5"/>
  <c r="X431" i="5"/>
  <c r="AA431" i="5"/>
  <c r="F432" i="5"/>
  <c r="C432" i="5"/>
  <c r="L434" i="6"/>
  <c r="AN435" i="6"/>
  <c r="AF435" i="6"/>
  <c r="AL435" i="6"/>
  <c r="AG435" i="6"/>
  <c r="AH435" i="6"/>
  <c r="AD436" i="6"/>
  <c r="AE435" i="6"/>
  <c r="AI435" i="6"/>
  <c r="AM435" i="6"/>
  <c r="AQ435" i="6"/>
  <c r="AJ435" i="6"/>
  <c r="AO435" i="6" s="1"/>
  <c r="AP413" i="6"/>
  <c r="Q434" i="6"/>
  <c r="S434" i="6" s="1"/>
  <c r="O435" i="6"/>
  <c r="F436" i="6"/>
  <c r="P436" i="6" s="1"/>
  <c r="N435" i="6"/>
  <c r="I435" i="6"/>
  <c r="J435" i="6" s="1"/>
  <c r="K435" i="6"/>
  <c r="G435" i="6"/>
  <c r="H435" i="6" s="1"/>
  <c r="AT414" i="6"/>
  <c r="AU414" i="6" s="1"/>
  <c r="AV414" i="6" s="1"/>
  <c r="AA412" i="6"/>
  <c r="X412" i="6"/>
  <c r="AV412" i="6"/>
  <c r="AV38" i="12" s="1"/>
  <c r="M413" i="6"/>
  <c r="R413" i="6" s="1"/>
  <c r="T413" i="6" s="1"/>
  <c r="U413" i="6" s="1"/>
  <c r="Y413" i="6" s="1"/>
  <c r="Z413" i="6" s="1"/>
  <c r="AA413" i="6" s="1"/>
  <c r="AX412" i="6"/>
  <c r="AX38" i="12" s="1"/>
  <c r="M414" i="6"/>
  <c r="R414" i="6" s="1"/>
  <c r="T414" i="6" s="1"/>
  <c r="V414" i="6"/>
  <c r="W414" i="6" s="1"/>
  <c r="X414" i="6" s="1"/>
  <c r="AA432" i="5" l="1"/>
  <c r="X432" i="5"/>
  <c r="M433" i="5"/>
  <c r="J433" i="5"/>
  <c r="T434" i="5"/>
  <c r="Q434" i="5"/>
  <c r="C433" i="5"/>
  <c r="F433" i="5"/>
  <c r="AN436" i="6"/>
  <c r="AG436" i="6"/>
  <c r="AH436" i="6" s="1"/>
  <c r="AF436" i="6"/>
  <c r="AI436" i="6"/>
  <c r="AD437" i="6"/>
  <c r="AL436" i="6"/>
  <c r="AE436" i="6"/>
  <c r="AM436" i="6"/>
  <c r="AJ436" i="6"/>
  <c r="AO436" i="6" s="1"/>
  <c r="AQ436" i="6" s="1"/>
  <c r="AR413" i="6"/>
  <c r="L435" i="6"/>
  <c r="Q435" i="6" s="1"/>
  <c r="S435" i="6" s="1"/>
  <c r="U414" i="6"/>
  <c r="Y414" i="6" s="1"/>
  <c r="Z414" i="6" s="1"/>
  <c r="AA414" i="6" s="1"/>
  <c r="O436" i="6"/>
  <c r="N436" i="6"/>
  <c r="K436" i="6"/>
  <c r="I436" i="6"/>
  <c r="J436" i="6" s="1"/>
  <c r="F437" i="6"/>
  <c r="P437" i="6" s="1"/>
  <c r="G436" i="6"/>
  <c r="H436" i="6" s="1"/>
  <c r="AY412" i="6"/>
  <c r="AY38" i="12" s="1"/>
  <c r="AT415" i="6"/>
  <c r="AU415" i="6" s="1"/>
  <c r="AV415" i="6" s="1"/>
  <c r="AK416" i="6"/>
  <c r="AP416" i="6" s="1"/>
  <c r="AR416" i="6" s="1"/>
  <c r="AK415" i="6"/>
  <c r="V415" i="6"/>
  <c r="W415" i="6" s="1"/>
  <c r="X415" i="6" s="1"/>
  <c r="Q435" i="5" l="1"/>
  <c r="T435" i="5"/>
  <c r="M434" i="5"/>
  <c r="J434" i="5"/>
  <c r="X433" i="5"/>
  <c r="AA433" i="5"/>
  <c r="C434" i="5"/>
  <c r="F434" i="5"/>
  <c r="AN437" i="6"/>
  <c r="AN41" i="12" s="1"/>
  <c r="AF437" i="6"/>
  <c r="AG437" i="6"/>
  <c r="AH437" i="6" s="1"/>
  <c r="AM437" i="6"/>
  <c r="AI437" i="6"/>
  <c r="AD438" i="6"/>
  <c r="AL437" i="6"/>
  <c r="AE437" i="6"/>
  <c r="AJ437" i="6"/>
  <c r="AO437" i="6"/>
  <c r="AQ437" i="6"/>
  <c r="AP415" i="6"/>
  <c r="AS413" i="6"/>
  <c r="AW413" i="6" s="1"/>
  <c r="AX413" i="6" s="1"/>
  <c r="AY413" i="6" s="1"/>
  <c r="AS414" i="6"/>
  <c r="AW414" i="6" s="1"/>
  <c r="AX414" i="6" s="1"/>
  <c r="AY414" i="6" s="1"/>
  <c r="L436" i="6"/>
  <c r="Q436" i="6" s="1"/>
  <c r="S436" i="6" s="1"/>
  <c r="K437" i="6"/>
  <c r="I437" i="6"/>
  <c r="J437" i="6" s="1"/>
  <c r="O437" i="6"/>
  <c r="G437" i="6"/>
  <c r="H437" i="6" s="1"/>
  <c r="N437" i="6"/>
  <c r="F438" i="6"/>
  <c r="P438" i="6" s="1"/>
  <c r="AT416" i="6"/>
  <c r="AU416" i="6" s="1"/>
  <c r="AV416" i="6" s="1"/>
  <c r="M415" i="6"/>
  <c r="R415" i="6" s="1"/>
  <c r="T415" i="6" s="1"/>
  <c r="U415" i="6" s="1"/>
  <c r="Y415" i="6" s="1"/>
  <c r="Z415" i="6" s="1"/>
  <c r="AA415" i="6" s="1"/>
  <c r="M416" i="6"/>
  <c r="R416" i="6" s="1"/>
  <c r="T416" i="6" s="1"/>
  <c r="U416" i="6" s="1"/>
  <c r="V416" i="6"/>
  <c r="W416" i="6" s="1"/>
  <c r="X416" i="6" s="1"/>
  <c r="J435" i="5" l="1"/>
  <c r="M435" i="5"/>
  <c r="Q436" i="5"/>
  <c r="T436" i="5"/>
  <c r="X434" i="5"/>
  <c r="AA434" i="5"/>
  <c r="F435" i="5"/>
  <c r="C435" i="5"/>
  <c r="AN438" i="6"/>
  <c r="AM438" i="6"/>
  <c r="AE438" i="6"/>
  <c r="AF438" i="6" s="1"/>
  <c r="AG438" i="6"/>
  <c r="AH438" i="6" s="1"/>
  <c r="AI438" i="6"/>
  <c r="AL438" i="6"/>
  <c r="AD439" i="6"/>
  <c r="AJ438" i="6"/>
  <c r="AO438" i="6" s="1"/>
  <c r="AQ438" i="6" s="1"/>
  <c r="Y416" i="6"/>
  <c r="Z416" i="6" s="1"/>
  <c r="AA416" i="6" s="1"/>
  <c r="AR415" i="6"/>
  <c r="L437" i="6"/>
  <c r="Q437" i="6" s="1"/>
  <c r="S437" i="6" s="1"/>
  <c r="G438" i="6"/>
  <c r="H438" i="6" s="1"/>
  <c r="I438" i="6"/>
  <c r="J438" i="6" s="1"/>
  <c r="F439" i="6"/>
  <c r="P439" i="6" s="1"/>
  <c r="N438" i="6"/>
  <c r="K438" i="6"/>
  <c r="O438" i="6"/>
  <c r="AK418" i="6"/>
  <c r="AP418" i="6" s="1"/>
  <c r="AR418" i="6" s="1"/>
  <c r="AT417" i="6"/>
  <c r="AK417" i="6"/>
  <c r="V417" i="6"/>
  <c r="W417" i="6" s="1"/>
  <c r="X417" i="6" s="1"/>
  <c r="X435" i="5" l="1"/>
  <c r="AA435" i="5"/>
  <c r="T437" i="5"/>
  <c r="Q437" i="5"/>
  <c r="M436" i="5"/>
  <c r="J436" i="5"/>
  <c r="F436" i="5"/>
  <c r="C436" i="5"/>
  <c r="AN439" i="6"/>
  <c r="AG439" i="6"/>
  <c r="AH439" i="6" s="1"/>
  <c r="AI439" i="6"/>
  <c r="AE439" i="6"/>
  <c r="AF439" i="6" s="1"/>
  <c r="AD440" i="6"/>
  <c r="AL439" i="6"/>
  <c r="AM439" i="6"/>
  <c r="AO439" i="6"/>
  <c r="AQ439" i="6" s="1"/>
  <c r="AJ439" i="6"/>
  <c r="AP417" i="6"/>
  <c r="AS415" i="6"/>
  <c r="AW415" i="6" s="1"/>
  <c r="AX415" i="6" s="1"/>
  <c r="AY415" i="6" s="1"/>
  <c r="AS416" i="6"/>
  <c r="AW416" i="6" s="1"/>
  <c r="AX416" i="6" s="1"/>
  <c r="AY416" i="6" s="1"/>
  <c r="L438" i="6"/>
  <c r="Q438" i="6" s="1"/>
  <c r="S438" i="6" s="1"/>
  <c r="O439" i="6"/>
  <c r="N439" i="6"/>
  <c r="I439" i="6"/>
  <c r="J439" i="6" s="1"/>
  <c r="G439" i="6"/>
  <c r="H439" i="6" s="1"/>
  <c r="K439" i="6"/>
  <c r="F440" i="6"/>
  <c r="P440" i="6" s="1"/>
  <c r="AT418" i="6"/>
  <c r="AU418" i="6" s="1"/>
  <c r="AV418" i="6" s="1"/>
  <c r="M417" i="6"/>
  <c r="R417" i="6" s="1"/>
  <c r="T417" i="6" s="1"/>
  <c r="U417" i="6" s="1"/>
  <c r="Y417" i="6" s="1"/>
  <c r="Z417" i="6" s="1"/>
  <c r="AA417" i="6" s="1"/>
  <c r="AU417" i="6"/>
  <c r="AV417" i="6" s="1"/>
  <c r="M418" i="6"/>
  <c r="R418" i="6" s="1"/>
  <c r="T418" i="6" s="1"/>
  <c r="U418" i="6" s="1"/>
  <c r="V418" i="6"/>
  <c r="W418" i="6" s="1"/>
  <c r="X418" i="6" s="1"/>
  <c r="J437" i="5" l="1"/>
  <c r="M437" i="5"/>
  <c r="Q438" i="5"/>
  <c r="T438" i="5"/>
  <c r="AA436" i="5"/>
  <c r="X436" i="5"/>
  <c r="F437" i="5"/>
  <c r="C437" i="5"/>
  <c r="AN440" i="6"/>
  <c r="AG440" i="6"/>
  <c r="AH440" i="6" s="1"/>
  <c r="AJ440" i="6" s="1"/>
  <c r="AI440" i="6"/>
  <c r="AD441" i="6"/>
  <c r="AL440" i="6"/>
  <c r="AE440" i="6"/>
  <c r="AF440" i="6" s="1"/>
  <c r="AM440" i="6"/>
  <c r="AO440" i="6"/>
  <c r="AQ440" i="6" s="1"/>
  <c r="Y418" i="6"/>
  <c r="Z418" i="6" s="1"/>
  <c r="AA418" i="6" s="1"/>
  <c r="AR417" i="6"/>
  <c r="L439" i="6"/>
  <c r="Q439" i="6" s="1"/>
  <c r="S439" i="6" s="1"/>
  <c r="G440" i="6"/>
  <c r="H440" i="6" s="1"/>
  <c r="K440" i="6"/>
  <c r="F441" i="6"/>
  <c r="P441" i="6" s="1"/>
  <c r="O440" i="6"/>
  <c r="N440" i="6"/>
  <c r="I440" i="6"/>
  <c r="J440" i="6" s="1"/>
  <c r="AK419" i="6"/>
  <c r="AK420" i="6"/>
  <c r="AP420" i="6" s="1"/>
  <c r="AR420" i="6" s="1"/>
  <c r="AT419" i="6"/>
  <c r="AU419" i="6" s="1"/>
  <c r="AV419" i="6" s="1"/>
  <c r="V419" i="6"/>
  <c r="W419" i="6" s="1"/>
  <c r="X419" i="6" s="1"/>
  <c r="X437" i="5" l="1"/>
  <c r="AA437" i="5"/>
  <c r="T439" i="5"/>
  <c r="Q439" i="5"/>
  <c r="J438" i="5"/>
  <c r="M438" i="5"/>
  <c r="C438" i="5"/>
  <c r="F438" i="5"/>
  <c r="AN441" i="6"/>
  <c r="AM441" i="6"/>
  <c r="AG441" i="6"/>
  <c r="AH441" i="6" s="1"/>
  <c r="AI441" i="6"/>
  <c r="AD442" i="6"/>
  <c r="AL441" i="6"/>
  <c r="AE441" i="6"/>
  <c r="AF441" i="6" s="1"/>
  <c r="AJ441" i="6"/>
  <c r="AO441" i="6" s="1"/>
  <c r="AQ441" i="6"/>
  <c r="AP419" i="6"/>
  <c r="L440" i="6"/>
  <c r="Q440" i="6" s="1"/>
  <c r="S440" i="6" s="1"/>
  <c r="AS417" i="6"/>
  <c r="AW417" i="6" s="1"/>
  <c r="AX417" i="6" s="1"/>
  <c r="AY417" i="6" s="1"/>
  <c r="AS418" i="6"/>
  <c r="AW418" i="6" s="1"/>
  <c r="AX418" i="6" s="1"/>
  <c r="AY418" i="6" s="1"/>
  <c r="K441" i="6"/>
  <c r="I441" i="6"/>
  <c r="J441" i="6" s="1"/>
  <c r="F442" i="6"/>
  <c r="P442" i="6" s="1"/>
  <c r="O441" i="6"/>
  <c r="G441" i="6"/>
  <c r="H441" i="6" s="1"/>
  <c r="N441" i="6"/>
  <c r="M419" i="6"/>
  <c r="R419" i="6" s="1"/>
  <c r="T419" i="6" s="1"/>
  <c r="U419" i="6" s="1"/>
  <c r="Y419" i="6" s="1"/>
  <c r="Z419" i="6" s="1"/>
  <c r="AA419" i="6" s="1"/>
  <c r="AT420" i="6"/>
  <c r="AU420" i="6" s="1"/>
  <c r="AV420" i="6" s="1"/>
  <c r="M420" i="6"/>
  <c r="R420" i="6" s="1"/>
  <c r="T420" i="6" s="1"/>
  <c r="V420" i="6"/>
  <c r="W420" i="6" s="1"/>
  <c r="X420" i="6" s="1"/>
  <c r="J439" i="5" l="1"/>
  <c r="M439" i="5"/>
  <c r="Q440" i="5"/>
  <c r="T440" i="5"/>
  <c r="X438" i="5"/>
  <c r="AA438" i="5"/>
  <c r="F439" i="5"/>
  <c r="C439" i="5"/>
  <c r="L441" i="6"/>
  <c r="AN442" i="6"/>
  <c r="AE442" i="6"/>
  <c r="AD443" i="6"/>
  <c r="AL442" i="6"/>
  <c r="AH442" i="6"/>
  <c r="AF442" i="6"/>
  <c r="AI442" i="6"/>
  <c r="AM442" i="6"/>
  <c r="AG442" i="6"/>
  <c r="AJ442" i="6"/>
  <c r="AO442" i="6" s="1"/>
  <c r="AQ442" i="6" s="1"/>
  <c r="AR419" i="6"/>
  <c r="Q441" i="6"/>
  <c r="S441" i="6" s="1"/>
  <c r="F443" i="6"/>
  <c r="P443" i="6" s="1"/>
  <c r="O442" i="6"/>
  <c r="I442" i="6"/>
  <c r="J442" i="6" s="1"/>
  <c r="G442" i="6"/>
  <c r="H442" i="6" s="1"/>
  <c r="N442" i="6"/>
  <c r="K442" i="6"/>
  <c r="U420" i="6"/>
  <c r="Y420" i="6" s="1"/>
  <c r="Z420" i="6" s="1"/>
  <c r="AA420" i="6" s="1"/>
  <c r="AK422" i="6"/>
  <c r="AP422" i="6" s="1"/>
  <c r="AR422" i="6" s="1"/>
  <c r="AT421" i="6"/>
  <c r="AU421" i="6" s="1"/>
  <c r="AV421" i="6" s="1"/>
  <c r="AK421" i="6"/>
  <c r="V421" i="6"/>
  <c r="W421" i="6" s="1"/>
  <c r="X421" i="6" s="1"/>
  <c r="AA439" i="5" l="1"/>
  <c r="X439" i="5"/>
  <c r="M440" i="5"/>
  <c r="J440" i="5"/>
  <c r="T441" i="5"/>
  <c r="Q441" i="5"/>
  <c r="F440" i="5"/>
  <c r="C440" i="5"/>
  <c r="AN443" i="6"/>
  <c r="AI443" i="6"/>
  <c r="AM443" i="6"/>
  <c r="AG443" i="6"/>
  <c r="AD444" i="6"/>
  <c r="AL443" i="6"/>
  <c r="AF443" i="6"/>
  <c r="AE443" i="6"/>
  <c r="AH443" i="6"/>
  <c r="AJ443" i="6" s="1"/>
  <c r="AO443" i="6" s="1"/>
  <c r="AQ443" i="6"/>
  <c r="AP421" i="6"/>
  <c r="AS419" i="6"/>
  <c r="AW419" i="6" s="1"/>
  <c r="AX419" i="6" s="1"/>
  <c r="AY419" i="6" s="1"/>
  <c r="AS420" i="6"/>
  <c r="AW420" i="6" s="1"/>
  <c r="AX420" i="6" s="1"/>
  <c r="AY420" i="6" s="1"/>
  <c r="L442" i="6"/>
  <c r="Q442" i="6" s="1"/>
  <c r="S442" i="6" s="1"/>
  <c r="O443" i="6"/>
  <c r="F444" i="6"/>
  <c r="P444" i="6" s="1"/>
  <c r="K443" i="6"/>
  <c r="I443" i="6"/>
  <c r="J443" i="6" s="1"/>
  <c r="N443" i="6"/>
  <c r="G443" i="6"/>
  <c r="H443" i="6" s="1"/>
  <c r="M421" i="6"/>
  <c r="R421" i="6" s="1"/>
  <c r="T421" i="6" s="1"/>
  <c r="U421" i="6" s="1"/>
  <c r="Y421" i="6" s="1"/>
  <c r="Z421" i="6" s="1"/>
  <c r="AA421" i="6" s="1"/>
  <c r="AT422" i="6"/>
  <c r="AU422" i="6" s="1"/>
  <c r="AV422" i="6" s="1"/>
  <c r="AK423" i="6"/>
  <c r="AP423" i="6" s="1"/>
  <c r="AR423" i="6" s="1"/>
  <c r="M422" i="6"/>
  <c r="R422" i="6" s="1"/>
  <c r="T422" i="6" s="1"/>
  <c r="U422" i="6" s="1"/>
  <c r="V422" i="6"/>
  <c r="W422" i="6" s="1"/>
  <c r="X422" i="6" s="1"/>
  <c r="T442" i="5" l="1"/>
  <c r="Q442" i="5"/>
  <c r="J441" i="5"/>
  <c r="M441" i="5"/>
  <c r="X440" i="5"/>
  <c r="AA440" i="5"/>
  <c r="F441" i="5"/>
  <c r="C441" i="5"/>
  <c r="AN444" i="6"/>
  <c r="AL444" i="6"/>
  <c r="AM444" i="6"/>
  <c r="AD445" i="6"/>
  <c r="AE444" i="6"/>
  <c r="AI444" i="6"/>
  <c r="AG444" i="6"/>
  <c r="AH444" i="6" s="1"/>
  <c r="AF444" i="6"/>
  <c r="AJ444" i="6"/>
  <c r="AO444" i="6"/>
  <c r="AQ444" i="6" s="1"/>
  <c r="Y422" i="6"/>
  <c r="Z422" i="6" s="1"/>
  <c r="AA422" i="6" s="1"/>
  <c r="AS423" i="6"/>
  <c r="AR421" i="6"/>
  <c r="AP39" i="12"/>
  <c r="AR39" i="12" s="1"/>
  <c r="L443" i="6"/>
  <c r="Q443" i="6" s="1"/>
  <c r="S443" i="6" s="1"/>
  <c r="N444" i="6"/>
  <c r="F445" i="6"/>
  <c r="P445" i="6" s="1"/>
  <c r="K444" i="6"/>
  <c r="O444" i="6"/>
  <c r="I444" i="6"/>
  <c r="J444" i="6" s="1"/>
  <c r="G444" i="6"/>
  <c r="H444" i="6" s="1"/>
  <c r="AK424" i="6"/>
  <c r="AP424" i="6" s="1"/>
  <c r="AR424" i="6" s="1"/>
  <c r="AS424" i="6" s="1"/>
  <c r="AT423" i="6"/>
  <c r="AU423" i="6" s="1"/>
  <c r="AV423" i="6" s="1"/>
  <c r="M423" i="6"/>
  <c r="R423" i="6" s="1"/>
  <c r="T423" i="6" s="1"/>
  <c r="U423" i="6" s="1"/>
  <c r="V423" i="6"/>
  <c r="W423" i="6" s="1"/>
  <c r="X423" i="6" s="1"/>
  <c r="X441" i="5" l="1"/>
  <c r="AA441" i="5"/>
  <c r="M442" i="5"/>
  <c r="J442" i="5"/>
  <c r="Q443" i="5"/>
  <c r="T443" i="5"/>
  <c r="C442" i="5"/>
  <c r="F442" i="5"/>
  <c r="AN445" i="6"/>
  <c r="AL445" i="6"/>
  <c r="AE445" i="6"/>
  <c r="AF445" i="6" s="1"/>
  <c r="AM445" i="6"/>
  <c r="AG445" i="6"/>
  <c r="AH445" i="6" s="1"/>
  <c r="AI445" i="6"/>
  <c r="AD446" i="6"/>
  <c r="AJ445" i="6"/>
  <c r="AO445" i="6" s="1"/>
  <c r="AQ445" i="6" s="1"/>
  <c r="AW423" i="6"/>
  <c r="AX423" i="6" s="1"/>
  <c r="AY423" i="6" s="1"/>
  <c r="Y423" i="6"/>
  <c r="Z423" i="6" s="1"/>
  <c r="AA423" i="6" s="1"/>
  <c r="AS421" i="6"/>
  <c r="AW421" i="6" s="1"/>
  <c r="AX421" i="6" s="1"/>
  <c r="AY421" i="6" s="1"/>
  <c r="AS422" i="6"/>
  <c r="AW422" i="6" s="1"/>
  <c r="AX422" i="6" s="1"/>
  <c r="AY422" i="6" s="1"/>
  <c r="L444" i="6"/>
  <c r="Q444" i="6" s="1"/>
  <c r="S444" i="6" s="1"/>
  <c r="I445" i="6"/>
  <c r="J445" i="6" s="1"/>
  <c r="F446" i="6"/>
  <c r="P446" i="6" s="1"/>
  <c r="O445" i="6"/>
  <c r="G445" i="6"/>
  <c r="H445" i="6" s="1"/>
  <c r="N445" i="6"/>
  <c r="K445" i="6"/>
  <c r="AT424" i="6"/>
  <c r="M424" i="6"/>
  <c r="R424" i="6" s="1"/>
  <c r="T424" i="6" s="1"/>
  <c r="U424" i="6" s="1"/>
  <c r="V424" i="6"/>
  <c r="J443" i="5" l="1"/>
  <c r="M443" i="5"/>
  <c r="X442" i="5"/>
  <c r="AA442" i="5"/>
  <c r="T444" i="5"/>
  <c r="Q444" i="5"/>
  <c r="F443" i="5"/>
  <c r="C443" i="5"/>
  <c r="L445" i="6"/>
  <c r="Q445" i="6" s="1"/>
  <c r="S445" i="6" s="1"/>
  <c r="AN446" i="6"/>
  <c r="AI446" i="6"/>
  <c r="AE446" i="6"/>
  <c r="AF446" i="6" s="1"/>
  <c r="AD447" i="6"/>
  <c r="AL446" i="6"/>
  <c r="AM446" i="6"/>
  <c r="AG446" i="6"/>
  <c r="AH446" i="6"/>
  <c r="AJ446" i="6" s="1"/>
  <c r="AO446" i="6"/>
  <c r="AQ446" i="6" s="1"/>
  <c r="Y424" i="6"/>
  <c r="AW424" i="6"/>
  <c r="AW39" i="12" s="1"/>
  <c r="AT39" i="12"/>
  <c r="K446" i="6"/>
  <c r="I446" i="6"/>
  <c r="J446" i="6" s="1"/>
  <c r="L446" i="6" s="1"/>
  <c r="Q446" i="6" s="1"/>
  <c r="S446" i="6" s="1"/>
  <c r="O446" i="6"/>
  <c r="G446" i="6"/>
  <c r="H446" i="6" s="1"/>
  <c r="N446" i="6"/>
  <c r="F447" i="6"/>
  <c r="P447" i="6" s="1"/>
  <c r="AX424" i="6"/>
  <c r="AX39" i="12" s="1"/>
  <c r="AK425" i="6"/>
  <c r="AK426" i="6"/>
  <c r="AP426" i="6" s="1"/>
  <c r="AR426" i="6" s="1"/>
  <c r="AT425" i="6"/>
  <c r="AU425" i="6" s="1"/>
  <c r="AV425" i="6" s="1"/>
  <c r="W424" i="6"/>
  <c r="AU424" i="6"/>
  <c r="AU39" i="12" s="1"/>
  <c r="Z424" i="6"/>
  <c r="V425" i="6"/>
  <c r="W425" i="6" s="1"/>
  <c r="X425" i="6" s="1"/>
  <c r="T445" i="5" l="1"/>
  <c r="Q445" i="5"/>
  <c r="AA443" i="5"/>
  <c r="X443" i="5"/>
  <c r="M444" i="5"/>
  <c r="J444" i="5"/>
  <c r="F444" i="5"/>
  <c r="C444" i="5"/>
  <c r="AN447" i="6"/>
  <c r="AI447" i="6"/>
  <c r="AL447" i="6"/>
  <c r="AE447" i="6"/>
  <c r="AF447" i="6" s="1"/>
  <c r="AM447" i="6"/>
  <c r="AG447" i="6"/>
  <c r="AD448" i="6"/>
  <c r="AH447" i="6"/>
  <c r="AJ447" i="6" s="1"/>
  <c r="AO447" i="6" s="1"/>
  <c r="AQ447" i="6" s="1"/>
  <c r="AP425" i="6"/>
  <c r="N447" i="6"/>
  <c r="F448" i="6"/>
  <c r="P448" i="6" s="1"/>
  <c r="K447" i="6"/>
  <c r="I447" i="6"/>
  <c r="J447" i="6" s="1"/>
  <c r="G447" i="6"/>
  <c r="H447" i="6" s="1"/>
  <c r="O447" i="6"/>
  <c r="X424" i="6"/>
  <c r="M425" i="6"/>
  <c r="R425" i="6" s="1"/>
  <c r="T425" i="6" s="1"/>
  <c r="U425" i="6" s="1"/>
  <c r="Y425" i="6" s="1"/>
  <c r="Z425" i="6" s="1"/>
  <c r="AA425" i="6" s="1"/>
  <c r="AV424" i="6"/>
  <c r="AV39" i="12" s="1"/>
  <c r="AA424" i="6"/>
  <c r="AT426" i="6"/>
  <c r="AU426" i="6" s="1"/>
  <c r="AV426" i="6" s="1"/>
  <c r="AY424" i="6"/>
  <c r="AY39" i="12" s="1"/>
  <c r="M426" i="6"/>
  <c r="R426" i="6" s="1"/>
  <c r="T426" i="6" s="1"/>
  <c r="U426" i="6" s="1"/>
  <c r="Y426" i="6" s="1"/>
  <c r="Z426" i="6" s="1"/>
  <c r="AA426" i="6" s="1"/>
  <c r="V426" i="6"/>
  <c r="W426" i="6" s="1"/>
  <c r="X426" i="6" s="1"/>
  <c r="M445" i="5" l="1"/>
  <c r="J445" i="5"/>
  <c r="AA444" i="5"/>
  <c r="X444" i="5"/>
  <c r="Q446" i="5"/>
  <c r="T446" i="5"/>
  <c r="F445" i="5"/>
  <c r="C445" i="5"/>
  <c r="L447" i="6"/>
  <c r="AN448" i="6"/>
  <c r="AI448" i="6"/>
  <c r="AD449" i="6"/>
  <c r="AE448" i="6"/>
  <c r="AF448" i="6" s="1"/>
  <c r="AM448" i="6"/>
  <c r="AL448" i="6"/>
  <c r="AG448" i="6"/>
  <c r="AH448" i="6"/>
  <c r="AJ448" i="6" s="1"/>
  <c r="AO448" i="6" s="1"/>
  <c r="AQ448" i="6" s="1"/>
  <c r="AR425" i="6"/>
  <c r="Q447" i="6"/>
  <c r="S447" i="6" s="1"/>
  <c r="N448" i="6"/>
  <c r="F449" i="6"/>
  <c r="P449" i="6" s="1"/>
  <c r="K448" i="6"/>
  <c r="I448" i="6"/>
  <c r="J448" i="6" s="1"/>
  <c r="O448" i="6"/>
  <c r="G448" i="6"/>
  <c r="H448" i="6" s="1"/>
  <c r="AT427" i="6"/>
  <c r="AU427" i="6" s="1"/>
  <c r="AV427" i="6" s="1"/>
  <c r="AK428" i="6"/>
  <c r="AP428" i="6" s="1"/>
  <c r="AR428" i="6" s="1"/>
  <c r="AK427" i="6"/>
  <c r="M427" i="6"/>
  <c r="R427" i="6" s="1"/>
  <c r="T427" i="6" s="1"/>
  <c r="V427" i="6"/>
  <c r="W427" i="6" s="1"/>
  <c r="X427" i="6" s="1"/>
  <c r="Q447" i="5" l="1"/>
  <c r="T447" i="5"/>
  <c r="X445" i="5"/>
  <c r="AA445" i="5"/>
  <c r="M446" i="5"/>
  <c r="J446" i="5"/>
  <c r="C446" i="5"/>
  <c r="F446" i="5"/>
  <c r="AN449" i="6"/>
  <c r="AF449" i="6"/>
  <c r="AM449" i="6"/>
  <c r="AH449" i="6"/>
  <c r="AD450" i="6"/>
  <c r="AL449" i="6"/>
  <c r="AE449" i="6"/>
  <c r="AG449" i="6"/>
  <c r="AI449" i="6"/>
  <c r="AO449" i="6"/>
  <c r="AJ449" i="6"/>
  <c r="AQ449" i="6"/>
  <c r="AP427" i="6"/>
  <c r="AS425" i="6"/>
  <c r="AW425" i="6" s="1"/>
  <c r="AX425" i="6" s="1"/>
  <c r="AY425" i="6" s="1"/>
  <c r="AS426" i="6"/>
  <c r="AW426" i="6" s="1"/>
  <c r="AX426" i="6" s="1"/>
  <c r="AY426" i="6" s="1"/>
  <c r="L448" i="6"/>
  <c r="Q448" i="6" s="1"/>
  <c r="S448" i="6" s="1"/>
  <c r="O449" i="6"/>
  <c r="I449" i="6"/>
  <c r="J449" i="6" s="1"/>
  <c r="G449" i="6"/>
  <c r="H449" i="6" s="1"/>
  <c r="N449" i="6"/>
  <c r="F450" i="6"/>
  <c r="P450" i="6" s="1"/>
  <c r="K449" i="6"/>
  <c r="U427" i="6"/>
  <c r="Y427" i="6" s="1"/>
  <c r="Z427" i="6" s="1"/>
  <c r="AA427" i="6" s="1"/>
  <c r="AT428" i="6"/>
  <c r="AU428" i="6" s="1"/>
  <c r="AV428" i="6" s="1"/>
  <c r="V428" i="6"/>
  <c r="W428" i="6" s="1"/>
  <c r="X428" i="6" s="1"/>
  <c r="M447" i="5" l="1"/>
  <c r="J447" i="5"/>
  <c r="AA446" i="5"/>
  <c r="X446" i="5"/>
  <c r="Q448" i="5"/>
  <c r="T448" i="5"/>
  <c r="F447" i="5"/>
  <c r="C447" i="5"/>
  <c r="AN450" i="6"/>
  <c r="AF450" i="6"/>
  <c r="AG450" i="6"/>
  <c r="AD451" i="6"/>
  <c r="AI450" i="6"/>
  <c r="AM450" i="6"/>
  <c r="AL450" i="6"/>
  <c r="AE450" i="6"/>
  <c r="AH450" i="6"/>
  <c r="AJ450" i="6"/>
  <c r="AO450" i="6" s="1"/>
  <c r="AQ450" i="6"/>
  <c r="AR427" i="6"/>
  <c r="L449" i="6"/>
  <c r="Q449" i="6" s="1"/>
  <c r="S449" i="6" s="1"/>
  <c r="I450" i="6"/>
  <c r="J450" i="6" s="1"/>
  <c r="O450" i="6"/>
  <c r="G450" i="6"/>
  <c r="H450" i="6" s="1"/>
  <c r="K450" i="6"/>
  <c r="N450" i="6"/>
  <c r="F451" i="6"/>
  <c r="P451" i="6" s="1"/>
  <c r="AK430" i="6"/>
  <c r="AP430" i="6" s="1"/>
  <c r="AR430" i="6" s="1"/>
  <c r="AT429" i="6"/>
  <c r="AU429" i="6" s="1"/>
  <c r="AV429" i="6" s="1"/>
  <c r="M428" i="6"/>
  <c r="R428" i="6" s="1"/>
  <c r="T428" i="6" s="1"/>
  <c r="U428" i="6" s="1"/>
  <c r="Y428" i="6" s="1"/>
  <c r="Z428" i="6" s="1"/>
  <c r="AA428" i="6" s="1"/>
  <c r="AK429" i="6"/>
  <c r="M429" i="6"/>
  <c r="R429" i="6" s="1"/>
  <c r="T429" i="6" s="1"/>
  <c r="U429" i="6" s="1"/>
  <c r="V429" i="6"/>
  <c r="W429" i="6" s="1"/>
  <c r="X429" i="6" s="1"/>
  <c r="T449" i="5" l="1"/>
  <c r="Q449" i="5"/>
  <c r="AA447" i="5"/>
  <c r="X447" i="5"/>
  <c r="J448" i="5"/>
  <c r="M448" i="5"/>
  <c r="F448" i="5"/>
  <c r="C448" i="5"/>
  <c r="AN451" i="6"/>
  <c r="AN42" i="12" s="1"/>
  <c r="AL451" i="6"/>
  <c r="AD452" i="6"/>
  <c r="AF451" i="6"/>
  <c r="AI451" i="6"/>
  <c r="AE451" i="6"/>
  <c r="AM451" i="6"/>
  <c r="AG451" i="6"/>
  <c r="AH451" i="6" s="1"/>
  <c r="AJ451" i="6"/>
  <c r="AO451" i="6" s="1"/>
  <c r="AQ451" i="6" s="1"/>
  <c r="Y429" i="6"/>
  <c r="Z429" i="6" s="1"/>
  <c r="AA429" i="6" s="1"/>
  <c r="AP429" i="6"/>
  <c r="AS427" i="6"/>
  <c r="AW427" i="6" s="1"/>
  <c r="AX427" i="6" s="1"/>
  <c r="AY427" i="6" s="1"/>
  <c r="AS428" i="6"/>
  <c r="AW428" i="6" s="1"/>
  <c r="AX428" i="6" s="1"/>
  <c r="AY428" i="6" s="1"/>
  <c r="L450" i="6"/>
  <c r="Q450" i="6" s="1"/>
  <c r="S450" i="6" s="1"/>
  <c r="F452" i="6"/>
  <c r="P452" i="6" s="1"/>
  <c r="K451" i="6"/>
  <c r="I451" i="6"/>
  <c r="J451" i="6" s="1"/>
  <c r="N451" i="6"/>
  <c r="O451" i="6"/>
  <c r="G451" i="6"/>
  <c r="H451" i="6" s="1"/>
  <c r="AT430" i="6"/>
  <c r="AU430" i="6" s="1"/>
  <c r="AV430" i="6" s="1"/>
  <c r="V430" i="6"/>
  <c r="W430" i="6" s="1"/>
  <c r="X430" i="6" s="1"/>
  <c r="J449" i="5" l="1"/>
  <c r="M449" i="5"/>
  <c r="X448" i="5"/>
  <c r="AA448" i="5"/>
  <c r="Q450" i="5"/>
  <c r="T450" i="5"/>
  <c r="F449" i="5"/>
  <c r="C449" i="5"/>
  <c r="AN452" i="6"/>
  <c r="AI452" i="6"/>
  <c r="AD453" i="6"/>
  <c r="AE452" i="6"/>
  <c r="AM452" i="6"/>
  <c r="AL452" i="6"/>
  <c r="AG452" i="6"/>
  <c r="AH452" i="6"/>
  <c r="AJ452" i="6"/>
  <c r="AO452" i="6" s="1"/>
  <c r="AQ452" i="6" s="1"/>
  <c r="AF452" i="6"/>
  <c r="AR429" i="6"/>
  <c r="L451" i="6"/>
  <c r="Q451" i="6" s="1"/>
  <c r="S451" i="6" s="1"/>
  <c r="F453" i="6"/>
  <c r="P453" i="6" s="1"/>
  <c r="K452" i="6"/>
  <c r="N452" i="6"/>
  <c r="I452" i="6"/>
  <c r="J452" i="6" s="1"/>
  <c r="O452" i="6"/>
  <c r="G452" i="6"/>
  <c r="H452" i="6" s="1"/>
  <c r="M430" i="6"/>
  <c r="R430" i="6" s="1"/>
  <c r="T430" i="6" s="1"/>
  <c r="U430" i="6" s="1"/>
  <c r="Y430" i="6" s="1"/>
  <c r="Z430" i="6" s="1"/>
  <c r="AA430" i="6" s="1"/>
  <c r="AK432" i="6"/>
  <c r="AP432" i="6" s="1"/>
  <c r="AR432" i="6" s="1"/>
  <c r="AT431" i="6"/>
  <c r="AU431" i="6" s="1"/>
  <c r="AV431" i="6" s="1"/>
  <c r="AK431" i="6"/>
  <c r="M431" i="6"/>
  <c r="R431" i="6" s="1"/>
  <c r="T431" i="6" s="1"/>
  <c r="U431" i="6" s="1"/>
  <c r="V431" i="6"/>
  <c r="W431" i="6" s="1"/>
  <c r="X431" i="6" s="1"/>
  <c r="Q451" i="5" l="1"/>
  <c r="T451" i="5"/>
  <c r="X449" i="5"/>
  <c r="AA449" i="5"/>
  <c r="M450" i="5"/>
  <c r="J450" i="5"/>
  <c r="C450" i="5"/>
  <c r="F450" i="5"/>
  <c r="AN453" i="6"/>
  <c r="AE453" i="6"/>
  <c r="AD454" i="6"/>
  <c r="AM453" i="6"/>
  <c r="AG453" i="6"/>
  <c r="AH453" i="6" s="1"/>
  <c r="AI453" i="6"/>
  <c r="AL453" i="6"/>
  <c r="AJ453" i="6"/>
  <c r="AO453" i="6" s="1"/>
  <c r="AF453" i="6"/>
  <c r="AQ453" i="6"/>
  <c r="Y431" i="6"/>
  <c r="Z431" i="6" s="1"/>
  <c r="AA431" i="6" s="1"/>
  <c r="AP431" i="6"/>
  <c r="AS429" i="6"/>
  <c r="AW429" i="6" s="1"/>
  <c r="AX429" i="6" s="1"/>
  <c r="AY429" i="6" s="1"/>
  <c r="AS430" i="6"/>
  <c r="AW430" i="6" s="1"/>
  <c r="AX430" i="6" s="1"/>
  <c r="AY430" i="6" s="1"/>
  <c r="L452" i="6"/>
  <c r="Q452" i="6" s="1"/>
  <c r="S452" i="6" s="1"/>
  <c r="G453" i="6"/>
  <c r="H453" i="6" s="1"/>
  <c r="N453" i="6"/>
  <c r="F454" i="6"/>
  <c r="P454" i="6" s="1"/>
  <c r="K453" i="6"/>
  <c r="I453" i="6"/>
  <c r="J453" i="6" s="1"/>
  <c r="O453" i="6"/>
  <c r="AT432" i="6"/>
  <c r="AU432" i="6" s="1"/>
  <c r="AV432" i="6" s="1"/>
  <c r="V432" i="6"/>
  <c r="W432" i="6" s="1"/>
  <c r="X432" i="6" s="1"/>
  <c r="M451" i="5" l="1"/>
  <c r="J451" i="5"/>
  <c r="AA450" i="5"/>
  <c r="X450" i="5"/>
  <c r="T452" i="5"/>
  <c r="Q452" i="5"/>
  <c r="F451" i="5"/>
  <c r="C451" i="5"/>
  <c r="AN454" i="6"/>
  <c r="AG454" i="6"/>
  <c r="AH454" i="6" s="1"/>
  <c r="AI454" i="6"/>
  <c r="AE454" i="6"/>
  <c r="AD455" i="6"/>
  <c r="AL454" i="6"/>
  <c r="AM454" i="6"/>
  <c r="AF454" i="6"/>
  <c r="AJ454" i="6"/>
  <c r="AO454" i="6" s="1"/>
  <c r="AQ454" i="6" s="1"/>
  <c r="AR431" i="6"/>
  <c r="L453" i="6"/>
  <c r="Q453" i="6" s="1"/>
  <c r="S453" i="6" s="1"/>
  <c r="I454" i="6"/>
  <c r="J454" i="6" s="1"/>
  <c r="K454" i="6"/>
  <c r="N454" i="6"/>
  <c r="F455" i="6"/>
  <c r="P455" i="6" s="1"/>
  <c r="O454" i="6"/>
  <c r="G454" i="6"/>
  <c r="H454" i="6" s="1"/>
  <c r="AK434" i="6"/>
  <c r="AP434" i="6" s="1"/>
  <c r="AR434" i="6" s="1"/>
  <c r="AT433" i="6"/>
  <c r="AU433" i="6" s="1"/>
  <c r="AV433" i="6" s="1"/>
  <c r="AK433" i="6"/>
  <c r="M432" i="6"/>
  <c r="R432" i="6" s="1"/>
  <c r="T432" i="6" s="1"/>
  <c r="U432" i="6" s="1"/>
  <c r="Y432" i="6" s="1"/>
  <c r="Z432" i="6" s="1"/>
  <c r="AA432" i="6" s="1"/>
  <c r="M433" i="6"/>
  <c r="R433" i="6" s="1"/>
  <c r="T433" i="6" s="1"/>
  <c r="U433" i="6" s="1"/>
  <c r="V433" i="6"/>
  <c r="W433" i="6" s="1"/>
  <c r="X433" i="6" s="1"/>
  <c r="T453" i="5" l="1"/>
  <c r="Q453" i="5"/>
  <c r="AA451" i="5"/>
  <c r="X451" i="5"/>
  <c r="J452" i="5"/>
  <c r="M452" i="5"/>
  <c r="F452" i="5"/>
  <c r="C452" i="5"/>
  <c r="AN455" i="6"/>
  <c r="AI455" i="6"/>
  <c r="AE455" i="6"/>
  <c r="AF455" i="6" s="1"/>
  <c r="AM455" i="6"/>
  <c r="AG455" i="6"/>
  <c r="AH455" i="6" s="1"/>
  <c r="AL455" i="6"/>
  <c r="AD456" i="6"/>
  <c r="AJ455" i="6"/>
  <c r="AO455" i="6" s="1"/>
  <c r="AQ455" i="6"/>
  <c r="Y433" i="6"/>
  <c r="Z433" i="6" s="1"/>
  <c r="AA433" i="6" s="1"/>
  <c r="AP433" i="6"/>
  <c r="AS431" i="6"/>
  <c r="AW431" i="6" s="1"/>
  <c r="AX431" i="6" s="1"/>
  <c r="AY431" i="6" s="1"/>
  <c r="AS432" i="6"/>
  <c r="AW432" i="6" s="1"/>
  <c r="AX432" i="6" s="1"/>
  <c r="AY432" i="6" s="1"/>
  <c r="L454" i="6"/>
  <c r="Q454" i="6" s="1"/>
  <c r="S454" i="6" s="1"/>
  <c r="G455" i="6"/>
  <c r="H455" i="6" s="1"/>
  <c r="N455" i="6"/>
  <c r="F456" i="6"/>
  <c r="P456" i="6" s="1"/>
  <c r="K455" i="6"/>
  <c r="I455" i="6"/>
  <c r="J455" i="6" s="1"/>
  <c r="O455" i="6"/>
  <c r="AT434" i="6"/>
  <c r="AU434" i="6" s="1"/>
  <c r="AV434" i="6" s="1"/>
  <c r="AK435" i="6"/>
  <c r="AP435" i="6" s="1"/>
  <c r="AR435" i="6" s="1"/>
  <c r="M434" i="6"/>
  <c r="R434" i="6" s="1"/>
  <c r="T434" i="6" s="1"/>
  <c r="U434" i="6" s="1"/>
  <c r="V434" i="6"/>
  <c r="W434" i="6" s="1"/>
  <c r="X434" i="6" s="1"/>
  <c r="M453" i="5" l="1"/>
  <c r="J453" i="5"/>
  <c r="X452" i="5"/>
  <c r="AA452" i="5"/>
  <c r="T454" i="5"/>
  <c r="Q454" i="5"/>
  <c r="F453" i="5"/>
  <c r="C453" i="5"/>
  <c r="AN456" i="6"/>
  <c r="AD457" i="6"/>
  <c r="AM456" i="6"/>
  <c r="AG456" i="6"/>
  <c r="AF456" i="6"/>
  <c r="AI456" i="6"/>
  <c r="AL456" i="6"/>
  <c r="AE456" i="6"/>
  <c r="AH456" i="6"/>
  <c r="AJ456" i="6" s="1"/>
  <c r="AO456" i="6" s="1"/>
  <c r="AQ456" i="6" s="1"/>
  <c r="Y434" i="6"/>
  <c r="Z434" i="6" s="1"/>
  <c r="AA434" i="6" s="1"/>
  <c r="AS435" i="6"/>
  <c r="AR433" i="6"/>
  <c r="AP40" i="12"/>
  <c r="AR40" i="12" s="1"/>
  <c r="L455" i="6"/>
  <c r="Q455" i="6" s="1"/>
  <c r="S455" i="6" s="1"/>
  <c r="N456" i="6"/>
  <c r="O456" i="6"/>
  <c r="K456" i="6"/>
  <c r="F457" i="6"/>
  <c r="P457" i="6" s="1"/>
  <c r="I456" i="6"/>
  <c r="J456" i="6" s="1"/>
  <c r="G456" i="6"/>
  <c r="H456" i="6" s="1"/>
  <c r="AK436" i="6"/>
  <c r="AP436" i="6" s="1"/>
  <c r="AR436" i="6" s="1"/>
  <c r="AS436" i="6" s="1"/>
  <c r="AT435" i="6"/>
  <c r="AU435" i="6" s="1"/>
  <c r="AV435" i="6" s="1"/>
  <c r="M435" i="6"/>
  <c r="R435" i="6" s="1"/>
  <c r="T435" i="6" s="1"/>
  <c r="V435" i="6"/>
  <c r="W435" i="6" s="1"/>
  <c r="X435" i="6" s="1"/>
  <c r="T455" i="5" l="1"/>
  <c r="Q455" i="5"/>
  <c r="AA453" i="5"/>
  <c r="X453" i="5"/>
  <c r="M454" i="5"/>
  <c r="J454" i="5"/>
  <c r="C454" i="5"/>
  <c r="F454" i="5"/>
  <c r="AN457" i="6"/>
  <c r="AI457" i="6"/>
  <c r="AF457" i="6"/>
  <c r="AD458" i="6"/>
  <c r="AL457" i="6"/>
  <c r="AE457" i="6"/>
  <c r="AM457" i="6"/>
  <c r="AG457" i="6"/>
  <c r="AH457" i="6" s="1"/>
  <c r="AJ457" i="6"/>
  <c r="AO457" i="6" s="1"/>
  <c r="AQ457" i="6"/>
  <c r="AS433" i="6"/>
  <c r="AW433" i="6" s="1"/>
  <c r="AX433" i="6" s="1"/>
  <c r="AY433" i="6" s="1"/>
  <c r="AS434" i="6"/>
  <c r="AW434" i="6" s="1"/>
  <c r="AX434" i="6" s="1"/>
  <c r="AY434" i="6" s="1"/>
  <c r="L456" i="6"/>
  <c r="Q456" i="6" s="1"/>
  <c r="S456" i="6" s="1"/>
  <c r="G457" i="6"/>
  <c r="H457" i="6" s="1"/>
  <c r="N457" i="6"/>
  <c r="F458" i="6"/>
  <c r="P458" i="6" s="1"/>
  <c r="O457" i="6"/>
  <c r="K457" i="6"/>
  <c r="I457" i="6"/>
  <c r="J457" i="6" s="1"/>
  <c r="AT436" i="6"/>
  <c r="AT40" i="12" s="1"/>
  <c r="AW436" i="6"/>
  <c r="AW40" i="12" s="1"/>
  <c r="U435" i="6"/>
  <c r="Y435" i="6" s="1"/>
  <c r="Z435" i="6" s="1"/>
  <c r="AA435" i="6" s="1"/>
  <c r="AW435" i="6"/>
  <c r="AX435" i="6" s="1"/>
  <c r="AY435" i="6" s="1"/>
  <c r="M436" i="6"/>
  <c r="R436" i="6" s="1"/>
  <c r="T436" i="6" s="1"/>
  <c r="U436" i="6" s="1"/>
  <c r="V436" i="6"/>
  <c r="M455" i="5" l="1"/>
  <c r="J455" i="5"/>
  <c r="X454" i="5"/>
  <c r="AA454" i="5"/>
  <c r="T456" i="5"/>
  <c r="Q456" i="5"/>
  <c r="F455" i="5"/>
  <c r="C455" i="5"/>
  <c r="AN458" i="6"/>
  <c r="AI458" i="6"/>
  <c r="AM458" i="6"/>
  <c r="AD459" i="6"/>
  <c r="AE458" i="6"/>
  <c r="AL458" i="6"/>
  <c r="AG458" i="6"/>
  <c r="AF458" i="6"/>
  <c r="AH458" i="6"/>
  <c r="AJ458" i="6" s="1"/>
  <c r="AO458" i="6" s="1"/>
  <c r="AQ458" i="6" s="1"/>
  <c r="Y436" i="6"/>
  <c r="L457" i="6"/>
  <c r="Q457" i="6" s="1"/>
  <c r="S457" i="6" s="1"/>
  <c r="K458" i="6"/>
  <c r="F459" i="6"/>
  <c r="P459" i="6" s="1"/>
  <c r="I458" i="6"/>
  <c r="J458" i="6" s="1"/>
  <c r="O458" i="6"/>
  <c r="G458" i="6"/>
  <c r="H458" i="6" s="1"/>
  <c r="N458" i="6"/>
  <c r="AX436" i="6"/>
  <c r="AX40" i="12" s="1"/>
  <c r="Z436" i="6"/>
  <c r="W436" i="6"/>
  <c r="AK438" i="6"/>
  <c r="AP438" i="6" s="1"/>
  <c r="AR438" i="6" s="1"/>
  <c r="AT437" i="6"/>
  <c r="AU437" i="6" s="1"/>
  <c r="AV437" i="6" s="1"/>
  <c r="AK437" i="6"/>
  <c r="AU436" i="6"/>
  <c r="AU40" i="12" s="1"/>
  <c r="V437" i="6"/>
  <c r="W437" i="6" s="1"/>
  <c r="X437" i="6" s="1"/>
  <c r="Q457" i="5" l="1"/>
  <c r="T457" i="5"/>
  <c r="X455" i="5"/>
  <c r="AA455" i="5"/>
  <c r="M456" i="5"/>
  <c r="J456" i="5"/>
  <c r="F456" i="5"/>
  <c r="C456" i="5"/>
  <c r="AN459" i="6"/>
  <c r="AL459" i="6"/>
  <c r="AI459" i="6"/>
  <c r="AE459" i="6"/>
  <c r="AF459" i="6" s="1"/>
  <c r="AD460" i="6"/>
  <c r="AM459" i="6"/>
  <c r="AG459" i="6"/>
  <c r="AH459" i="6" s="1"/>
  <c r="AJ459" i="6"/>
  <c r="AO459" i="6"/>
  <c r="AQ459" i="6" s="1"/>
  <c r="AP437" i="6"/>
  <c r="L458" i="6"/>
  <c r="Q458" i="6" s="1"/>
  <c r="S458" i="6" s="1"/>
  <c r="N459" i="6"/>
  <c r="F460" i="6"/>
  <c r="P460" i="6" s="1"/>
  <c r="K459" i="6"/>
  <c r="G459" i="6"/>
  <c r="H459" i="6" s="1"/>
  <c r="I459" i="6"/>
  <c r="J459" i="6" s="1"/>
  <c r="O459" i="6"/>
  <c r="X436" i="6"/>
  <c r="AA436" i="6"/>
  <c r="AV436" i="6"/>
  <c r="AV40" i="12" s="1"/>
  <c r="M437" i="6"/>
  <c r="R437" i="6" s="1"/>
  <c r="T437" i="6" s="1"/>
  <c r="U437" i="6" s="1"/>
  <c r="Y437" i="6" s="1"/>
  <c r="Z437" i="6" s="1"/>
  <c r="AA437" i="6" s="1"/>
  <c r="AY436" i="6"/>
  <c r="AY40" i="12" s="1"/>
  <c r="AT438" i="6"/>
  <c r="AU438" i="6" s="1"/>
  <c r="AV438" i="6" s="1"/>
  <c r="M438" i="6"/>
  <c r="R438" i="6" s="1"/>
  <c r="T438" i="6" s="1"/>
  <c r="U438" i="6" s="1"/>
  <c r="V438" i="6"/>
  <c r="M457" i="5" l="1"/>
  <c r="J457" i="5"/>
  <c r="AA456" i="5"/>
  <c r="X456" i="5"/>
  <c r="Q458" i="5"/>
  <c r="T458" i="5"/>
  <c r="F457" i="5"/>
  <c r="C457" i="5"/>
  <c r="AN460" i="6"/>
  <c r="AL460" i="6"/>
  <c r="AD461" i="6"/>
  <c r="AE460" i="6"/>
  <c r="AG460" i="6"/>
  <c r="AH460" i="6" s="1"/>
  <c r="AI460" i="6"/>
  <c r="AM460" i="6"/>
  <c r="AF460" i="6"/>
  <c r="AJ460" i="6"/>
  <c r="AO460" i="6" s="1"/>
  <c r="AQ460" i="6" s="1"/>
  <c r="AR437" i="6"/>
  <c r="L459" i="6"/>
  <c r="Q459" i="6" s="1"/>
  <c r="S459" i="6" s="1"/>
  <c r="O460" i="6"/>
  <c r="G460" i="6"/>
  <c r="H460" i="6" s="1"/>
  <c r="N460" i="6"/>
  <c r="F461" i="6"/>
  <c r="P461" i="6" s="1"/>
  <c r="K460" i="6"/>
  <c r="I460" i="6"/>
  <c r="J460" i="6" s="1"/>
  <c r="AT439" i="6"/>
  <c r="AU439" i="6" s="1"/>
  <c r="AV439" i="6" s="1"/>
  <c r="AK440" i="6"/>
  <c r="AP440" i="6" s="1"/>
  <c r="AR440" i="6" s="1"/>
  <c r="AK439" i="6"/>
  <c r="Y438" i="6"/>
  <c r="Z438" i="6" s="1"/>
  <c r="AA438" i="6" s="1"/>
  <c r="W438" i="6"/>
  <c r="X438" i="6" s="1"/>
  <c r="M439" i="6"/>
  <c r="R439" i="6" s="1"/>
  <c r="T439" i="6" s="1"/>
  <c r="U439" i="6" s="1"/>
  <c r="V439" i="6"/>
  <c r="W439" i="6" s="1"/>
  <c r="X439" i="6" s="1"/>
  <c r="Q459" i="5" l="1"/>
  <c r="T459" i="5"/>
  <c r="AA457" i="5"/>
  <c r="X457" i="5"/>
  <c r="J458" i="5"/>
  <c r="M458" i="5"/>
  <c r="C458" i="5"/>
  <c r="F458" i="5"/>
  <c r="AN461" i="6"/>
  <c r="AN43" i="12" s="1"/>
  <c r="AG461" i="6"/>
  <c r="AI461" i="6"/>
  <c r="AD462" i="6"/>
  <c r="AE461" i="6"/>
  <c r="AF461" i="6" s="1"/>
  <c r="AM461" i="6"/>
  <c r="AL461" i="6"/>
  <c r="AH461" i="6"/>
  <c r="AJ461" i="6"/>
  <c r="AO461" i="6" s="1"/>
  <c r="AQ461" i="6"/>
  <c r="Y439" i="6"/>
  <c r="Z439" i="6" s="1"/>
  <c r="AA439" i="6" s="1"/>
  <c r="AP439" i="6"/>
  <c r="AS437" i="6"/>
  <c r="AW437" i="6" s="1"/>
  <c r="AX437" i="6" s="1"/>
  <c r="AY437" i="6" s="1"/>
  <c r="AS438" i="6"/>
  <c r="AW438" i="6" s="1"/>
  <c r="AX438" i="6" s="1"/>
  <c r="AY438" i="6" s="1"/>
  <c r="L460" i="6"/>
  <c r="Q460" i="6" s="1"/>
  <c r="S460" i="6" s="1"/>
  <c r="G461" i="6"/>
  <c r="H461" i="6" s="1"/>
  <c r="N461" i="6"/>
  <c r="F462" i="6"/>
  <c r="P462" i="6" s="1"/>
  <c r="K461" i="6"/>
  <c r="I461" i="6"/>
  <c r="J461" i="6" s="1"/>
  <c r="O461" i="6"/>
  <c r="AT440" i="6"/>
  <c r="AU440" i="6" s="1"/>
  <c r="AV440" i="6" s="1"/>
  <c r="V440" i="6"/>
  <c r="W440" i="6" s="1"/>
  <c r="X440" i="6" s="1"/>
  <c r="M459" i="5" l="1"/>
  <c r="J459" i="5"/>
  <c r="X458" i="5"/>
  <c r="AA458" i="5"/>
  <c r="T460" i="5"/>
  <c r="Q460" i="5"/>
  <c r="F459" i="5"/>
  <c r="C459" i="5"/>
  <c r="AN462" i="6"/>
  <c r="AG462" i="6"/>
  <c r="AH462" i="6" s="1"/>
  <c r="AD463" i="6"/>
  <c r="AM462" i="6"/>
  <c r="AE462" i="6"/>
  <c r="AI462" i="6"/>
  <c r="AL462" i="6"/>
  <c r="AJ462" i="6"/>
  <c r="AO462" i="6" s="1"/>
  <c r="AQ462" i="6" s="1"/>
  <c r="AF462" i="6"/>
  <c r="AR439" i="6"/>
  <c r="L461" i="6"/>
  <c r="Q461" i="6" s="1"/>
  <c r="S461" i="6" s="1"/>
  <c r="I462" i="6"/>
  <c r="J462" i="6" s="1"/>
  <c r="N462" i="6"/>
  <c r="O462" i="6"/>
  <c r="G462" i="6"/>
  <c r="H462" i="6" s="1"/>
  <c r="F463" i="6"/>
  <c r="P463" i="6" s="1"/>
  <c r="K462" i="6"/>
  <c r="AK442" i="6"/>
  <c r="AP442" i="6" s="1"/>
  <c r="AR442" i="6" s="1"/>
  <c r="AT441" i="6"/>
  <c r="AK441" i="6"/>
  <c r="M440" i="6"/>
  <c r="R440" i="6" s="1"/>
  <c r="T440" i="6" s="1"/>
  <c r="M441" i="6"/>
  <c r="R441" i="6" s="1"/>
  <c r="T441" i="6" s="1"/>
  <c r="V441" i="6"/>
  <c r="W441" i="6" s="1"/>
  <c r="X441" i="6" s="1"/>
  <c r="T461" i="5" l="1"/>
  <c r="Q461" i="5"/>
  <c r="X459" i="5"/>
  <c r="AA459" i="5"/>
  <c r="J460" i="5"/>
  <c r="M460" i="5"/>
  <c r="F460" i="5"/>
  <c r="C460" i="5"/>
  <c r="AN463" i="6"/>
  <c r="AF463" i="6"/>
  <c r="AG463" i="6"/>
  <c r="AL463" i="6"/>
  <c r="AM463" i="6"/>
  <c r="AD464" i="6"/>
  <c r="AI463" i="6"/>
  <c r="AE463" i="6"/>
  <c r="AH463" i="6"/>
  <c r="AO463" i="6"/>
  <c r="AJ463" i="6"/>
  <c r="AQ463" i="6"/>
  <c r="AP441" i="6"/>
  <c r="AS439" i="6"/>
  <c r="AW439" i="6" s="1"/>
  <c r="AX439" i="6" s="1"/>
  <c r="AY439" i="6" s="1"/>
  <c r="AS440" i="6"/>
  <c r="AW440" i="6" s="1"/>
  <c r="AX440" i="6" s="1"/>
  <c r="AY440" i="6" s="1"/>
  <c r="L462" i="6"/>
  <c r="Q462" i="6" s="1"/>
  <c r="S462" i="6" s="1"/>
  <c r="N463" i="6"/>
  <c r="G463" i="6"/>
  <c r="H463" i="6" s="1"/>
  <c r="F464" i="6"/>
  <c r="P464" i="6" s="1"/>
  <c r="K463" i="6"/>
  <c r="I463" i="6"/>
  <c r="J463" i="6" s="1"/>
  <c r="O463" i="6"/>
  <c r="AT442" i="6"/>
  <c r="U441" i="6"/>
  <c r="Y441" i="6" s="1"/>
  <c r="Z441" i="6" s="1"/>
  <c r="AA441" i="6" s="1"/>
  <c r="U440" i="6"/>
  <c r="Y440" i="6" s="1"/>
  <c r="Z440" i="6" s="1"/>
  <c r="AA440" i="6" s="1"/>
  <c r="AU441" i="6"/>
  <c r="AV441" i="6" s="1"/>
  <c r="V442" i="6"/>
  <c r="W442" i="6" s="1"/>
  <c r="X442" i="6" s="1"/>
  <c r="M461" i="5" l="1"/>
  <c r="J461" i="5"/>
  <c r="X460" i="5"/>
  <c r="AA460" i="5"/>
  <c r="Q462" i="5"/>
  <c r="T462" i="5"/>
  <c r="F461" i="5"/>
  <c r="C461" i="5"/>
  <c r="AN464" i="6"/>
  <c r="AD465" i="6"/>
  <c r="AE464" i="6"/>
  <c r="AF464" i="6" s="1"/>
  <c r="AM464" i="6"/>
  <c r="AG464" i="6"/>
  <c r="AL464" i="6"/>
  <c r="AI464" i="6"/>
  <c r="AH464" i="6"/>
  <c r="AJ464" i="6" s="1"/>
  <c r="AO464" i="6" s="1"/>
  <c r="AQ464" i="6" s="1"/>
  <c r="AR441" i="6"/>
  <c r="L463" i="6"/>
  <c r="Q463" i="6" s="1"/>
  <c r="S463" i="6" s="1"/>
  <c r="N464" i="6"/>
  <c r="F465" i="6"/>
  <c r="P465" i="6" s="1"/>
  <c r="G464" i="6"/>
  <c r="H464" i="6" s="1"/>
  <c r="K464" i="6"/>
  <c r="I464" i="6"/>
  <c r="J464" i="6" s="1"/>
  <c r="O464" i="6"/>
  <c r="M442" i="6"/>
  <c r="R442" i="6" s="1"/>
  <c r="T442" i="6" s="1"/>
  <c r="U442" i="6" s="1"/>
  <c r="Y442" i="6" s="1"/>
  <c r="Z442" i="6" s="1"/>
  <c r="AA442" i="6" s="1"/>
  <c r="AK444" i="6"/>
  <c r="AP444" i="6" s="1"/>
  <c r="AR444" i="6" s="1"/>
  <c r="AT443" i="6"/>
  <c r="AU443" i="6" s="1"/>
  <c r="AV443" i="6" s="1"/>
  <c r="AK443" i="6"/>
  <c r="AU442" i="6"/>
  <c r="AV442" i="6" s="1"/>
  <c r="M443" i="6"/>
  <c r="R443" i="6" s="1"/>
  <c r="T443" i="6" s="1"/>
  <c r="U443" i="6" s="1"/>
  <c r="V443" i="6"/>
  <c r="W443" i="6" s="1"/>
  <c r="X443" i="6" s="1"/>
  <c r="Q463" i="5" l="1"/>
  <c r="T463" i="5"/>
  <c r="X461" i="5"/>
  <c r="AA461" i="5"/>
  <c r="J462" i="5"/>
  <c r="M462" i="5"/>
  <c r="C462" i="5"/>
  <c r="F462" i="5"/>
  <c r="AN465" i="6"/>
  <c r="AM465" i="6"/>
  <c r="AG465" i="6"/>
  <c r="AH465" i="6" s="1"/>
  <c r="AJ465" i="6" s="1"/>
  <c r="AO465" i="6" s="1"/>
  <c r="AE465" i="6"/>
  <c r="AI465" i="6"/>
  <c r="AD466" i="6"/>
  <c r="AL465" i="6"/>
  <c r="AF465" i="6"/>
  <c r="AQ465" i="6"/>
  <c r="Y443" i="6"/>
  <c r="Z443" i="6" s="1"/>
  <c r="AA443" i="6" s="1"/>
  <c r="AP443" i="6"/>
  <c r="AS441" i="6"/>
  <c r="AW441" i="6" s="1"/>
  <c r="AX441" i="6" s="1"/>
  <c r="AY441" i="6" s="1"/>
  <c r="AS442" i="6"/>
  <c r="AW442" i="6" s="1"/>
  <c r="AX442" i="6" s="1"/>
  <c r="AY442" i="6" s="1"/>
  <c r="L464" i="6"/>
  <c r="Q464" i="6" s="1"/>
  <c r="S464" i="6" s="1"/>
  <c r="G465" i="6"/>
  <c r="H465" i="6" s="1"/>
  <c r="O465" i="6"/>
  <c r="N465" i="6"/>
  <c r="F466" i="6"/>
  <c r="P466" i="6" s="1"/>
  <c r="K465" i="6"/>
  <c r="I465" i="6"/>
  <c r="J465" i="6" s="1"/>
  <c r="AT444" i="6"/>
  <c r="AU444" i="6" s="1"/>
  <c r="AV444" i="6" s="1"/>
  <c r="V444" i="6"/>
  <c r="W444" i="6" s="1"/>
  <c r="X444" i="6" s="1"/>
  <c r="X462" i="5" l="1"/>
  <c r="AA462" i="5"/>
  <c r="Q464" i="5"/>
  <c r="T464" i="5"/>
  <c r="J463" i="5"/>
  <c r="M463" i="5"/>
  <c r="F463" i="5"/>
  <c r="C463" i="5"/>
  <c r="AN466" i="6"/>
  <c r="AE466" i="6"/>
  <c r="AG466" i="6"/>
  <c r="AH466" i="6" s="1"/>
  <c r="AJ466" i="6" s="1"/>
  <c r="AL466" i="6"/>
  <c r="AM466" i="6"/>
  <c r="AD467" i="6"/>
  <c r="AI466" i="6"/>
  <c r="AO466" i="6"/>
  <c r="AQ466" i="6" s="1"/>
  <c r="AF466" i="6"/>
  <c r="AR443" i="6"/>
  <c r="L465" i="6"/>
  <c r="Q465" i="6" s="1"/>
  <c r="S465" i="6" s="1"/>
  <c r="I466" i="6"/>
  <c r="J466" i="6" s="1"/>
  <c r="F467" i="6"/>
  <c r="P467" i="6" s="1"/>
  <c r="O466" i="6"/>
  <c r="G466" i="6"/>
  <c r="H466" i="6" s="1"/>
  <c r="N466" i="6"/>
  <c r="K466" i="6"/>
  <c r="AK445" i="6"/>
  <c r="AK446" i="6"/>
  <c r="AP446" i="6" s="1"/>
  <c r="AR446" i="6" s="1"/>
  <c r="AT445" i="6"/>
  <c r="AU445" i="6" s="1"/>
  <c r="AV445" i="6" s="1"/>
  <c r="M444" i="6"/>
  <c r="R444" i="6" s="1"/>
  <c r="T444" i="6" s="1"/>
  <c r="U444" i="6" s="1"/>
  <c r="Y444" i="6" s="1"/>
  <c r="Z444" i="6" s="1"/>
  <c r="AA444" i="6" s="1"/>
  <c r="M445" i="6"/>
  <c r="R445" i="6" s="1"/>
  <c r="T445" i="6" s="1"/>
  <c r="U445" i="6" s="1"/>
  <c r="V445" i="6"/>
  <c r="W445" i="6" s="1"/>
  <c r="X445" i="6" s="1"/>
  <c r="J464" i="5" l="1"/>
  <c r="M464" i="5"/>
  <c r="Q465" i="5"/>
  <c r="T465" i="5"/>
  <c r="X463" i="5"/>
  <c r="AA463" i="5"/>
  <c r="F464" i="5"/>
  <c r="C464" i="5"/>
  <c r="AN467" i="6"/>
  <c r="AF467" i="6"/>
  <c r="AG467" i="6"/>
  <c r="AH467" i="6" s="1"/>
  <c r="AD468" i="6"/>
  <c r="AI467" i="6"/>
  <c r="AL467" i="6"/>
  <c r="AM467" i="6"/>
  <c r="AE467" i="6"/>
  <c r="AJ467" i="6"/>
  <c r="AO467" i="6" s="1"/>
  <c r="AQ467" i="6"/>
  <c r="Y445" i="6"/>
  <c r="Z445" i="6" s="1"/>
  <c r="AA445" i="6" s="1"/>
  <c r="AP445" i="6"/>
  <c r="AS443" i="6"/>
  <c r="AW443" i="6" s="1"/>
  <c r="AX443" i="6" s="1"/>
  <c r="AY443" i="6" s="1"/>
  <c r="AS444" i="6"/>
  <c r="AW444" i="6" s="1"/>
  <c r="AX444" i="6" s="1"/>
  <c r="AY444" i="6" s="1"/>
  <c r="L466" i="6"/>
  <c r="Q466" i="6" s="1"/>
  <c r="S466" i="6" s="1"/>
  <c r="K467" i="6"/>
  <c r="I467" i="6"/>
  <c r="J467" i="6" s="1"/>
  <c r="O467" i="6"/>
  <c r="F468" i="6"/>
  <c r="P468" i="6" s="1"/>
  <c r="G467" i="6"/>
  <c r="H467" i="6" s="1"/>
  <c r="N467" i="6"/>
  <c r="AK447" i="6"/>
  <c r="AP447" i="6" s="1"/>
  <c r="AR447" i="6" s="1"/>
  <c r="AT446" i="6"/>
  <c r="AU446" i="6" s="1"/>
  <c r="AV446" i="6" s="1"/>
  <c r="M446" i="6"/>
  <c r="R446" i="6" s="1"/>
  <c r="T446" i="6" s="1"/>
  <c r="U446" i="6" s="1"/>
  <c r="V446" i="6"/>
  <c r="W446" i="6" s="1"/>
  <c r="X446" i="6" s="1"/>
  <c r="AA464" i="5" l="1"/>
  <c r="X464" i="5"/>
  <c r="Q466" i="5"/>
  <c r="T466" i="5"/>
  <c r="J465" i="5"/>
  <c r="M465" i="5"/>
  <c r="F465" i="5"/>
  <c r="C465" i="5"/>
  <c r="AN468" i="6"/>
  <c r="AD469" i="6"/>
  <c r="AI468" i="6"/>
  <c r="AL468" i="6"/>
  <c r="AG468" i="6"/>
  <c r="AH468" i="6" s="1"/>
  <c r="AM468" i="6"/>
  <c r="AE468" i="6"/>
  <c r="AJ468" i="6"/>
  <c r="AO468" i="6" s="1"/>
  <c r="AQ468" i="6" s="1"/>
  <c r="AF468" i="6"/>
  <c r="Y446" i="6"/>
  <c r="Z446" i="6" s="1"/>
  <c r="AA446" i="6" s="1"/>
  <c r="AR445" i="6"/>
  <c r="AP41" i="12"/>
  <c r="AR41" i="12" s="1"/>
  <c r="L467" i="6"/>
  <c r="Q467" i="6" s="1"/>
  <c r="S467" i="6" s="1"/>
  <c r="G468" i="6"/>
  <c r="H468" i="6" s="1"/>
  <c r="N468" i="6"/>
  <c r="F469" i="6"/>
  <c r="P469" i="6" s="1"/>
  <c r="K468" i="6"/>
  <c r="I468" i="6"/>
  <c r="J468" i="6" s="1"/>
  <c r="O468" i="6"/>
  <c r="AK448" i="6"/>
  <c r="AP448" i="6" s="1"/>
  <c r="AR448" i="6" s="1"/>
  <c r="AS448" i="6" s="1"/>
  <c r="AT447" i="6"/>
  <c r="AU447" i="6" s="1"/>
  <c r="AV447" i="6" s="1"/>
  <c r="AS447" i="6"/>
  <c r="M447" i="6"/>
  <c r="R447" i="6" s="1"/>
  <c r="T447" i="6" s="1"/>
  <c r="U447" i="6" s="1"/>
  <c r="V447" i="6"/>
  <c r="W447" i="6" s="1"/>
  <c r="X447" i="6" s="1"/>
  <c r="J466" i="5" l="1"/>
  <c r="M466" i="5"/>
  <c r="Q467" i="5"/>
  <c r="T467" i="5"/>
  <c r="AA465" i="5"/>
  <c r="X465" i="5"/>
  <c r="C466" i="5"/>
  <c r="F466" i="5"/>
  <c r="AN469" i="6"/>
  <c r="AI469" i="6"/>
  <c r="AD470" i="6"/>
  <c r="AL469" i="6"/>
  <c r="AE469" i="6"/>
  <c r="AF469" i="6" s="1"/>
  <c r="AG469" i="6"/>
  <c r="AH469" i="6" s="1"/>
  <c r="AM469" i="6"/>
  <c r="AJ469" i="6"/>
  <c r="AO469" i="6" s="1"/>
  <c r="AQ469" i="6" s="1"/>
  <c r="Y447" i="6"/>
  <c r="Z447" i="6" s="1"/>
  <c r="AA447" i="6" s="1"/>
  <c r="AW447" i="6"/>
  <c r="AX447" i="6" s="1"/>
  <c r="AY447" i="6" s="1"/>
  <c r="L468" i="6"/>
  <c r="Q468" i="6" s="1"/>
  <c r="S468" i="6" s="1"/>
  <c r="AS445" i="6"/>
  <c r="AW445" i="6" s="1"/>
  <c r="AX445" i="6" s="1"/>
  <c r="AY445" i="6" s="1"/>
  <c r="AS446" i="6"/>
  <c r="AW446" i="6" s="1"/>
  <c r="AX446" i="6" s="1"/>
  <c r="AY446" i="6" s="1"/>
  <c r="G469" i="6"/>
  <c r="H469" i="6" s="1"/>
  <c r="N469" i="6"/>
  <c r="K469" i="6"/>
  <c r="F470" i="6"/>
  <c r="P470" i="6" s="1"/>
  <c r="I469" i="6"/>
  <c r="J469" i="6" s="1"/>
  <c r="O469" i="6"/>
  <c r="AT448" i="6"/>
  <c r="AT41" i="12" s="1"/>
  <c r="M448" i="6"/>
  <c r="R448" i="6" s="1"/>
  <c r="T448" i="6" s="1"/>
  <c r="V448" i="6"/>
  <c r="AA466" i="5" l="1"/>
  <c r="X466" i="5"/>
  <c r="Q468" i="5"/>
  <c r="T468" i="5"/>
  <c r="J467" i="5"/>
  <c r="M467" i="5"/>
  <c r="F467" i="5"/>
  <c r="C467" i="5"/>
  <c r="AN470" i="6"/>
  <c r="AI470" i="6"/>
  <c r="AD471" i="6"/>
  <c r="AL470" i="6"/>
  <c r="AG470" i="6"/>
  <c r="AH470" i="6" s="1"/>
  <c r="AM470" i="6"/>
  <c r="AE470" i="6"/>
  <c r="AJ470" i="6"/>
  <c r="AO470" i="6" s="1"/>
  <c r="AF470" i="6"/>
  <c r="AQ470" i="6"/>
  <c r="L469" i="6"/>
  <c r="Q469" i="6" s="1"/>
  <c r="S469" i="6" s="1"/>
  <c r="O470" i="6"/>
  <c r="N470" i="6"/>
  <c r="G470" i="6"/>
  <c r="H470" i="6" s="1"/>
  <c r="K470" i="6"/>
  <c r="F471" i="6"/>
  <c r="P471" i="6" s="1"/>
  <c r="I470" i="6"/>
  <c r="J470" i="6" s="1"/>
  <c r="AK449" i="6"/>
  <c r="AU448" i="6"/>
  <c r="AU41" i="12" s="1"/>
  <c r="AW448" i="6"/>
  <c r="AW41" i="12" s="1"/>
  <c r="AT449" i="6"/>
  <c r="AK450" i="6"/>
  <c r="AP450" i="6" s="1"/>
  <c r="AR450" i="6" s="1"/>
  <c r="U448" i="6"/>
  <c r="Y448" i="6" s="1"/>
  <c r="W448" i="6"/>
  <c r="V449" i="6"/>
  <c r="W449" i="6" s="1"/>
  <c r="X449" i="6" s="1"/>
  <c r="M468" i="5" l="1"/>
  <c r="J468" i="5"/>
  <c r="Q469" i="5"/>
  <c r="T469" i="5"/>
  <c r="X467" i="5"/>
  <c r="AA467" i="5"/>
  <c r="F468" i="5"/>
  <c r="C468" i="5"/>
  <c r="AN471" i="6"/>
  <c r="AE471" i="6"/>
  <c r="AM471" i="6"/>
  <c r="AG471" i="6"/>
  <c r="AH471" i="6" s="1"/>
  <c r="AI471" i="6"/>
  <c r="AD472" i="6"/>
  <c r="AL471" i="6"/>
  <c r="AF471" i="6"/>
  <c r="AJ471" i="6"/>
  <c r="AO471" i="6" s="1"/>
  <c r="AQ471" i="6" s="1"/>
  <c r="AP449" i="6"/>
  <c r="L470" i="6"/>
  <c r="Q470" i="6" s="1"/>
  <c r="S470" i="6" s="1"/>
  <c r="N471" i="6"/>
  <c r="I471" i="6"/>
  <c r="J471" i="6" s="1"/>
  <c r="F472" i="6"/>
  <c r="P472" i="6" s="1"/>
  <c r="H471" i="6"/>
  <c r="K471" i="6"/>
  <c r="O471" i="6"/>
  <c r="G471" i="6"/>
  <c r="X448" i="6"/>
  <c r="AX448" i="6"/>
  <c r="AX41" i="12" s="1"/>
  <c r="AV448" i="6"/>
  <c r="AV41" i="12" s="1"/>
  <c r="Z448" i="6"/>
  <c r="M449" i="6"/>
  <c r="R449" i="6" s="1"/>
  <c r="T449" i="6" s="1"/>
  <c r="U449" i="6" s="1"/>
  <c r="Y449" i="6" s="1"/>
  <c r="Z449" i="6" s="1"/>
  <c r="AA449" i="6" s="1"/>
  <c r="AU449" i="6"/>
  <c r="AV449" i="6" s="1"/>
  <c r="AT450" i="6"/>
  <c r="AU450" i="6" s="1"/>
  <c r="AV450" i="6" s="1"/>
  <c r="M450" i="6"/>
  <c r="R450" i="6" s="1"/>
  <c r="T450" i="6" s="1"/>
  <c r="U450" i="6" s="1"/>
  <c r="V450" i="6"/>
  <c r="W450" i="6" s="1"/>
  <c r="X450" i="6" s="1"/>
  <c r="AA468" i="5" l="1"/>
  <c r="X468" i="5"/>
  <c r="Q470" i="5"/>
  <c r="T470" i="5"/>
  <c r="J469" i="5"/>
  <c r="M469" i="5"/>
  <c r="F469" i="5"/>
  <c r="C469" i="5"/>
  <c r="AN472" i="6"/>
  <c r="AE472" i="6"/>
  <c r="AM472" i="6"/>
  <c r="AL472" i="6"/>
  <c r="AF472" i="6"/>
  <c r="AG472" i="6"/>
  <c r="AH472" i="6" s="1"/>
  <c r="AD473" i="6"/>
  <c r="AI472" i="6"/>
  <c r="AJ472" i="6"/>
  <c r="AO472" i="6" s="1"/>
  <c r="AQ472" i="6" s="1"/>
  <c r="AR449" i="6"/>
  <c r="Y450" i="6"/>
  <c r="Z450" i="6" s="1"/>
  <c r="AA450" i="6" s="1"/>
  <c r="L471" i="6"/>
  <c r="Q471" i="6" s="1"/>
  <c r="S471" i="6" s="1"/>
  <c r="O472" i="6"/>
  <c r="N472" i="6"/>
  <c r="K472" i="6"/>
  <c r="I472" i="6"/>
  <c r="J472" i="6" s="1"/>
  <c r="F473" i="6"/>
  <c r="P473" i="6" s="1"/>
  <c r="G472" i="6"/>
  <c r="H472" i="6" s="1"/>
  <c r="AK451" i="6"/>
  <c r="AA448" i="6"/>
  <c r="AY448" i="6"/>
  <c r="AY41" i="12" s="1"/>
  <c r="AK452" i="6"/>
  <c r="AP452" i="6" s="1"/>
  <c r="AR452" i="6" s="1"/>
  <c r="AT451" i="6"/>
  <c r="AU451" i="6" s="1"/>
  <c r="AV451" i="6" s="1"/>
  <c r="V451" i="6"/>
  <c r="M470" i="5" l="1"/>
  <c r="J470" i="5"/>
  <c r="Q471" i="5"/>
  <c r="T471" i="5"/>
  <c r="X469" i="5"/>
  <c r="AA469" i="5"/>
  <c r="C470" i="5"/>
  <c r="F470" i="5"/>
  <c r="AN473" i="6"/>
  <c r="AD474" i="6"/>
  <c r="AL473" i="6"/>
  <c r="AM473" i="6"/>
  <c r="AE473" i="6"/>
  <c r="AF473" i="6" s="1"/>
  <c r="AG473" i="6"/>
  <c r="AI473" i="6"/>
  <c r="AH473" i="6"/>
  <c r="AJ473" i="6"/>
  <c r="AO473" i="6" s="1"/>
  <c r="AQ473" i="6"/>
  <c r="AP451" i="6"/>
  <c r="AS449" i="6"/>
  <c r="AW449" i="6" s="1"/>
  <c r="AX449" i="6" s="1"/>
  <c r="AY449" i="6" s="1"/>
  <c r="AS450" i="6"/>
  <c r="AW450" i="6" s="1"/>
  <c r="AX450" i="6" s="1"/>
  <c r="AY450" i="6" s="1"/>
  <c r="L472" i="6"/>
  <c r="Q472" i="6" s="1"/>
  <c r="S472" i="6" s="1"/>
  <c r="N473" i="6"/>
  <c r="I473" i="6"/>
  <c r="J473" i="6" s="1"/>
  <c r="O473" i="6"/>
  <c r="K473" i="6"/>
  <c r="G473" i="6"/>
  <c r="H473" i="6" s="1"/>
  <c r="F474" i="6"/>
  <c r="P474" i="6" s="1"/>
  <c r="W451" i="6"/>
  <c r="X451" i="6" s="1"/>
  <c r="AK453" i="6"/>
  <c r="AP453" i="6" s="1"/>
  <c r="AR453" i="6" s="1"/>
  <c r="AT452" i="6"/>
  <c r="AU452" i="6" s="1"/>
  <c r="AV452" i="6" s="1"/>
  <c r="M451" i="6"/>
  <c r="R451" i="6" s="1"/>
  <c r="T451" i="6" s="1"/>
  <c r="U451" i="6" s="1"/>
  <c r="Y451" i="6" s="1"/>
  <c r="Z451" i="6" s="1"/>
  <c r="AA451" i="6" s="1"/>
  <c r="M452" i="6"/>
  <c r="R452" i="6" s="1"/>
  <c r="T452" i="6" s="1"/>
  <c r="U452" i="6" s="1"/>
  <c r="V452" i="6"/>
  <c r="W452" i="6" s="1"/>
  <c r="X452" i="6" s="1"/>
  <c r="Q472" i="5" l="1"/>
  <c r="T472" i="5"/>
  <c r="X470" i="5"/>
  <c r="AA470" i="5"/>
  <c r="J471" i="5"/>
  <c r="M471" i="5"/>
  <c r="F471" i="5"/>
  <c r="C471" i="5"/>
  <c r="AN474" i="6"/>
  <c r="AM474" i="6"/>
  <c r="AI474" i="6"/>
  <c r="AD475" i="6"/>
  <c r="AL474" i="6"/>
  <c r="AE474" i="6"/>
  <c r="AF474" i="6" s="1"/>
  <c r="AG474" i="6"/>
  <c r="AH474" i="6" s="1"/>
  <c r="AJ474" i="6"/>
  <c r="AO474" i="6" s="1"/>
  <c r="AQ474" i="6" s="1"/>
  <c r="Y452" i="6"/>
  <c r="Z452" i="6" s="1"/>
  <c r="AA452" i="6" s="1"/>
  <c r="AS453" i="6"/>
  <c r="AR451" i="6"/>
  <c r="L473" i="6"/>
  <c r="Q473" i="6" s="1"/>
  <c r="S473" i="6" s="1"/>
  <c r="F475" i="6"/>
  <c r="P475" i="6" s="1"/>
  <c r="G474" i="6"/>
  <c r="H474" i="6" s="1"/>
  <c r="I474" i="6"/>
  <c r="J474" i="6" s="1"/>
  <c r="O474" i="6"/>
  <c r="N474" i="6"/>
  <c r="K474" i="6"/>
  <c r="AT453" i="6"/>
  <c r="AU453" i="6" s="1"/>
  <c r="AV453" i="6" s="1"/>
  <c r="V453" i="6"/>
  <c r="W453" i="6" s="1"/>
  <c r="X453" i="6" s="1"/>
  <c r="J472" i="5" l="1"/>
  <c r="M472" i="5"/>
  <c r="AA471" i="5"/>
  <c r="X471" i="5"/>
  <c r="T473" i="5"/>
  <c r="Q473" i="5"/>
  <c r="F472" i="5"/>
  <c r="C472" i="5"/>
  <c r="AN475" i="6"/>
  <c r="AN44" i="12" s="1"/>
  <c r="AG475" i="6"/>
  <c r="AH475" i="6" s="1"/>
  <c r="AI475" i="6"/>
  <c r="AD476" i="6"/>
  <c r="AL475" i="6"/>
  <c r="AE475" i="6"/>
  <c r="AM475" i="6"/>
  <c r="AF475" i="6"/>
  <c r="AJ475" i="6"/>
  <c r="AO475" i="6" s="1"/>
  <c r="AQ475" i="6" s="1"/>
  <c r="AS451" i="6"/>
  <c r="AW451" i="6" s="1"/>
  <c r="AX451" i="6" s="1"/>
  <c r="AY451" i="6" s="1"/>
  <c r="AS452" i="6"/>
  <c r="AW452" i="6" s="1"/>
  <c r="AX452" i="6" s="1"/>
  <c r="AY452" i="6" s="1"/>
  <c r="L474" i="6"/>
  <c r="Q474" i="6" s="1"/>
  <c r="S474" i="6" s="1"/>
  <c r="K475" i="6"/>
  <c r="I475" i="6"/>
  <c r="J475" i="6" s="1"/>
  <c r="O475" i="6"/>
  <c r="G475" i="6"/>
  <c r="H475" i="6" s="1"/>
  <c r="N475" i="6"/>
  <c r="F476" i="6"/>
  <c r="P476" i="6" s="1"/>
  <c r="AT454" i="6"/>
  <c r="AU454" i="6" s="1"/>
  <c r="AV454" i="6" s="1"/>
  <c r="AK455" i="6"/>
  <c r="AP455" i="6" s="1"/>
  <c r="AR455" i="6" s="1"/>
  <c r="AK454" i="6"/>
  <c r="M453" i="6"/>
  <c r="R453" i="6" s="1"/>
  <c r="T453" i="6" s="1"/>
  <c r="U453" i="6" s="1"/>
  <c r="Y453" i="6" s="1"/>
  <c r="Z453" i="6" s="1"/>
  <c r="AA453" i="6" s="1"/>
  <c r="AW453" i="6"/>
  <c r="AX453" i="6" s="1"/>
  <c r="AY453" i="6" s="1"/>
  <c r="M454" i="6"/>
  <c r="R454" i="6" s="1"/>
  <c r="T454" i="6" s="1"/>
  <c r="V454" i="6"/>
  <c r="W454" i="6" s="1"/>
  <c r="X454" i="6" s="1"/>
  <c r="Q474" i="5" l="1"/>
  <c r="T474" i="5"/>
  <c r="X472" i="5"/>
  <c r="AA472" i="5"/>
  <c r="M473" i="5"/>
  <c r="J473" i="5"/>
  <c r="F473" i="5"/>
  <c r="C473" i="5"/>
  <c r="AN476" i="6"/>
  <c r="AI476" i="6"/>
  <c r="AE476" i="6"/>
  <c r="AF476" i="6" s="1"/>
  <c r="AL476" i="6"/>
  <c r="AM476" i="6"/>
  <c r="AG476" i="6"/>
  <c r="AH476" i="6" s="1"/>
  <c r="AD477" i="6"/>
  <c r="AJ476" i="6"/>
  <c r="AO476" i="6" s="1"/>
  <c r="AQ476" i="6"/>
  <c r="AP454" i="6"/>
  <c r="L475" i="6"/>
  <c r="Q475" i="6" s="1"/>
  <c r="S475" i="6" s="1"/>
  <c r="N476" i="6"/>
  <c r="K476" i="6"/>
  <c r="G476" i="6"/>
  <c r="H476" i="6" s="1"/>
  <c r="F477" i="6"/>
  <c r="P477" i="6" s="1"/>
  <c r="I476" i="6"/>
  <c r="J476" i="6" s="1"/>
  <c r="O476" i="6"/>
  <c r="U454" i="6"/>
  <c r="Y454" i="6" s="1"/>
  <c r="Z454" i="6" s="1"/>
  <c r="AA454" i="6" s="1"/>
  <c r="AT455" i="6"/>
  <c r="AU455" i="6" s="1"/>
  <c r="AV455" i="6" s="1"/>
  <c r="V455" i="6"/>
  <c r="W455" i="6" s="1"/>
  <c r="X455" i="6" s="1"/>
  <c r="J474" i="5" l="1"/>
  <c r="M474" i="5"/>
  <c r="AA473" i="5"/>
  <c r="X473" i="5"/>
  <c r="Q475" i="5"/>
  <c r="T475" i="5"/>
  <c r="C474" i="5"/>
  <c r="F474" i="5"/>
  <c r="AN477" i="6"/>
  <c r="AI477" i="6"/>
  <c r="AD478" i="6"/>
  <c r="AL477" i="6"/>
  <c r="AM477" i="6"/>
  <c r="AE477" i="6"/>
  <c r="AF477" i="6" s="1"/>
  <c r="AG477" i="6"/>
  <c r="AH477" i="6"/>
  <c r="AJ477" i="6"/>
  <c r="AO477" i="6" s="1"/>
  <c r="AQ477" i="6" s="1"/>
  <c r="AR454" i="6"/>
  <c r="L476" i="6"/>
  <c r="Q476" i="6" s="1"/>
  <c r="S476" i="6" s="1"/>
  <c r="I477" i="6"/>
  <c r="J477" i="6" s="1"/>
  <c r="O477" i="6"/>
  <c r="N477" i="6"/>
  <c r="K477" i="6"/>
  <c r="G477" i="6"/>
  <c r="H477" i="6" s="1"/>
  <c r="F478" i="6"/>
  <c r="P478" i="6" s="1"/>
  <c r="M455" i="6"/>
  <c r="R455" i="6" s="1"/>
  <c r="T455" i="6" s="1"/>
  <c r="U455" i="6" s="1"/>
  <c r="Y455" i="6" s="1"/>
  <c r="Z455" i="6" s="1"/>
  <c r="AA455" i="6" s="1"/>
  <c r="AK457" i="6"/>
  <c r="AP457" i="6" s="1"/>
  <c r="AR457" i="6" s="1"/>
  <c r="AT456" i="6"/>
  <c r="AU456" i="6" s="1"/>
  <c r="AV456" i="6" s="1"/>
  <c r="AK456" i="6"/>
  <c r="M456" i="6"/>
  <c r="R456" i="6" s="1"/>
  <c r="T456" i="6" s="1"/>
  <c r="U456" i="6" s="1"/>
  <c r="V456" i="6"/>
  <c r="W456" i="6" s="1"/>
  <c r="X456" i="6" s="1"/>
  <c r="T476" i="5" l="1"/>
  <c r="Q476" i="5"/>
  <c r="AA474" i="5"/>
  <c r="X474" i="5"/>
  <c r="J475" i="5"/>
  <c r="M475" i="5"/>
  <c r="F475" i="5"/>
  <c r="C475" i="5"/>
  <c r="AN478" i="6"/>
  <c r="AG478" i="6"/>
  <c r="AH478" i="6" s="1"/>
  <c r="AD479" i="6"/>
  <c r="AI478" i="6"/>
  <c r="AL478" i="6"/>
  <c r="AM478" i="6"/>
  <c r="AE478" i="6"/>
  <c r="AF478" i="6"/>
  <c r="AJ478" i="6"/>
  <c r="AO478" i="6" s="1"/>
  <c r="AQ478" i="6"/>
  <c r="Y456" i="6"/>
  <c r="Z456" i="6" s="1"/>
  <c r="AA456" i="6" s="1"/>
  <c r="AP456" i="6"/>
  <c r="AS454" i="6"/>
  <c r="AW454" i="6" s="1"/>
  <c r="AX454" i="6" s="1"/>
  <c r="AY454" i="6" s="1"/>
  <c r="AS455" i="6"/>
  <c r="AW455" i="6" s="1"/>
  <c r="AX455" i="6" s="1"/>
  <c r="AY455" i="6" s="1"/>
  <c r="L477" i="6"/>
  <c r="Q477" i="6" s="1"/>
  <c r="S477" i="6" s="1"/>
  <c r="I478" i="6"/>
  <c r="J478" i="6" s="1"/>
  <c r="K478" i="6"/>
  <c r="O478" i="6"/>
  <c r="G478" i="6"/>
  <c r="H478" i="6" s="1"/>
  <c r="N478" i="6"/>
  <c r="F479" i="6"/>
  <c r="P479" i="6" s="1"/>
  <c r="AT457" i="6"/>
  <c r="AU457" i="6" s="1"/>
  <c r="AV457" i="6" s="1"/>
  <c r="AK458" i="6"/>
  <c r="AP458" i="6" s="1"/>
  <c r="AR458" i="6" s="1"/>
  <c r="V457" i="6"/>
  <c r="W457" i="6" s="1"/>
  <c r="X457" i="6" s="1"/>
  <c r="J476" i="5" l="1"/>
  <c r="M476" i="5"/>
  <c r="X475" i="5"/>
  <c r="AA475" i="5"/>
  <c r="T477" i="5"/>
  <c r="Q477" i="5"/>
  <c r="F476" i="5"/>
  <c r="C476" i="5"/>
  <c r="AN479" i="6"/>
  <c r="AD480" i="6"/>
  <c r="AL479" i="6"/>
  <c r="AG479" i="6"/>
  <c r="AE479" i="6"/>
  <c r="AM479" i="6"/>
  <c r="AI479" i="6"/>
  <c r="AH479" i="6"/>
  <c r="AJ479" i="6" s="1"/>
  <c r="AO479" i="6" s="1"/>
  <c r="AQ479" i="6" s="1"/>
  <c r="AF479" i="6"/>
  <c r="AS458" i="6"/>
  <c r="AR456" i="6"/>
  <c r="L478" i="6"/>
  <c r="Q478" i="6" s="1"/>
  <c r="S478" i="6" s="1"/>
  <c r="K479" i="6"/>
  <c r="F480" i="6"/>
  <c r="P480" i="6" s="1"/>
  <c r="I479" i="6"/>
  <c r="J479" i="6" s="1"/>
  <c r="O479" i="6"/>
  <c r="G479" i="6"/>
  <c r="H479" i="6" s="1"/>
  <c r="N479" i="6"/>
  <c r="AK459" i="6"/>
  <c r="AP459" i="6" s="1"/>
  <c r="AR459" i="6" s="1"/>
  <c r="AS459" i="6" s="1"/>
  <c r="AT458" i="6"/>
  <c r="AU458" i="6" s="1"/>
  <c r="AV458" i="6" s="1"/>
  <c r="M457" i="6"/>
  <c r="R457" i="6" s="1"/>
  <c r="T457" i="6" s="1"/>
  <c r="U457" i="6" s="1"/>
  <c r="Y457" i="6" s="1"/>
  <c r="Z457" i="6" s="1"/>
  <c r="AA457" i="6" s="1"/>
  <c r="M458" i="6"/>
  <c r="R458" i="6" s="1"/>
  <c r="T458" i="6" s="1"/>
  <c r="U458" i="6" s="1"/>
  <c r="V458" i="6"/>
  <c r="W458" i="6" s="1"/>
  <c r="X458" i="6" s="1"/>
  <c r="T478" i="5" l="1"/>
  <c r="Q478" i="5"/>
  <c r="X476" i="5"/>
  <c r="AA476" i="5"/>
  <c r="J477" i="5"/>
  <c r="M477" i="5"/>
  <c r="F477" i="5"/>
  <c r="C477" i="5"/>
  <c r="AN480" i="6"/>
  <c r="AG480" i="6"/>
  <c r="AH480" i="6" s="1"/>
  <c r="AL480" i="6"/>
  <c r="AD481" i="6"/>
  <c r="AI480" i="6"/>
  <c r="AE480" i="6"/>
  <c r="AM480" i="6"/>
  <c r="AJ480" i="6"/>
  <c r="AO480" i="6" s="1"/>
  <c r="AQ480" i="6" s="1"/>
  <c r="AF480" i="6"/>
  <c r="Y458" i="6"/>
  <c r="Z458" i="6" s="1"/>
  <c r="AA458" i="6" s="1"/>
  <c r="AS456" i="6"/>
  <c r="AW456" i="6" s="1"/>
  <c r="AX456" i="6" s="1"/>
  <c r="AY456" i="6" s="1"/>
  <c r="AS457" i="6"/>
  <c r="AW457" i="6" s="1"/>
  <c r="AX457" i="6" s="1"/>
  <c r="AY457" i="6" s="1"/>
  <c r="L479" i="6"/>
  <c r="Q479" i="6" s="1"/>
  <c r="S479" i="6" s="1"/>
  <c r="O480" i="6"/>
  <c r="G480" i="6"/>
  <c r="H480" i="6" s="1"/>
  <c r="N480" i="6"/>
  <c r="F481" i="6"/>
  <c r="P481" i="6" s="1"/>
  <c r="K480" i="6"/>
  <c r="I480" i="6"/>
  <c r="J480" i="6" s="1"/>
  <c r="AT459" i="6"/>
  <c r="AU459" i="6" s="1"/>
  <c r="AV459" i="6" s="1"/>
  <c r="AK460" i="6"/>
  <c r="AP460" i="6" s="1"/>
  <c r="AW458" i="6"/>
  <c r="AX458" i="6" s="1"/>
  <c r="AY458" i="6" s="1"/>
  <c r="M459" i="6"/>
  <c r="R459" i="6" s="1"/>
  <c r="T459" i="6" s="1"/>
  <c r="V459" i="6"/>
  <c r="W459" i="6" s="1"/>
  <c r="X459" i="6" s="1"/>
  <c r="M478" i="5" l="1"/>
  <c r="J478" i="5"/>
  <c r="AA477" i="5"/>
  <c r="X477" i="5"/>
  <c r="Q479" i="5"/>
  <c r="T479" i="5"/>
  <c r="C478" i="5"/>
  <c r="F478" i="5"/>
  <c r="AN481" i="6"/>
  <c r="AG481" i="6"/>
  <c r="AH481" i="6" s="1"/>
  <c r="AI481" i="6"/>
  <c r="AL481" i="6"/>
  <c r="AM481" i="6"/>
  <c r="AD482" i="6"/>
  <c r="AE481" i="6"/>
  <c r="AF481" i="6" s="1"/>
  <c r="AJ481" i="6"/>
  <c r="AO481" i="6" s="1"/>
  <c r="AQ481" i="6" s="1"/>
  <c r="AR460" i="6"/>
  <c r="AS460" i="6" s="1"/>
  <c r="AP42" i="12"/>
  <c r="AR42" i="12" s="1"/>
  <c r="L480" i="6"/>
  <c r="Q480" i="6" s="1"/>
  <c r="S480" i="6" s="1"/>
  <c r="K481" i="6"/>
  <c r="O481" i="6"/>
  <c r="G481" i="6"/>
  <c r="H481" i="6" s="1"/>
  <c r="F482" i="6"/>
  <c r="P482" i="6" s="1"/>
  <c r="I481" i="6"/>
  <c r="J481" i="6" s="1"/>
  <c r="L481" i="6" s="1"/>
  <c r="Q481" i="6" s="1"/>
  <c r="S481" i="6" s="1"/>
  <c r="N481" i="6"/>
  <c r="AT460" i="6"/>
  <c r="AT42" i="12" s="1"/>
  <c r="U459" i="6"/>
  <c r="Y459" i="6" s="1"/>
  <c r="Z459" i="6" s="1"/>
  <c r="AA459" i="6" s="1"/>
  <c r="AW459" i="6"/>
  <c r="AX459" i="6" s="1"/>
  <c r="AY459" i="6" s="1"/>
  <c r="M460" i="6"/>
  <c r="R460" i="6" s="1"/>
  <c r="T460" i="6" s="1"/>
  <c r="U460" i="6" s="1"/>
  <c r="V460" i="6"/>
  <c r="T480" i="5" l="1"/>
  <c r="Q480" i="5"/>
  <c r="AA478" i="5"/>
  <c r="X478" i="5"/>
  <c r="J479" i="5"/>
  <c r="M479" i="5"/>
  <c r="F479" i="5"/>
  <c r="C479" i="5"/>
  <c r="AN482" i="6"/>
  <c r="AD483" i="6"/>
  <c r="AM482" i="6"/>
  <c r="AG482" i="6"/>
  <c r="AH482" i="6" s="1"/>
  <c r="AE482" i="6"/>
  <c r="AF482" i="6" s="1"/>
  <c r="AI482" i="6"/>
  <c r="AL482" i="6"/>
  <c r="AJ482" i="6"/>
  <c r="AO482" i="6" s="1"/>
  <c r="AQ482" i="6" s="1"/>
  <c r="Y460" i="6"/>
  <c r="AW460" i="6"/>
  <c r="AW42" i="12" s="1"/>
  <c r="G482" i="6"/>
  <c r="H482" i="6" s="1"/>
  <c r="F483" i="6"/>
  <c r="P483" i="6" s="1"/>
  <c r="N482" i="6"/>
  <c r="I482" i="6"/>
  <c r="J482" i="6" s="1"/>
  <c r="K482" i="6"/>
  <c r="O482" i="6"/>
  <c r="AX460" i="6"/>
  <c r="AX42" i="12" s="1"/>
  <c r="Z460" i="6"/>
  <c r="AU460" i="6"/>
  <c r="AU42" i="12" s="1"/>
  <c r="AK461" i="6"/>
  <c r="AK462" i="6"/>
  <c r="AP462" i="6" s="1"/>
  <c r="AR462" i="6" s="1"/>
  <c r="AT461" i="6"/>
  <c r="AU461" i="6" s="1"/>
  <c r="AV461" i="6" s="1"/>
  <c r="W460" i="6"/>
  <c r="V461" i="6"/>
  <c r="W461" i="6" s="1"/>
  <c r="X461" i="6" s="1"/>
  <c r="J480" i="5" l="1"/>
  <c r="M480" i="5"/>
  <c r="AA479" i="5"/>
  <c r="X479" i="5"/>
  <c r="T481" i="5"/>
  <c r="Q481" i="5"/>
  <c r="F480" i="5"/>
  <c r="C480" i="5"/>
  <c r="AN483" i="6"/>
  <c r="AF483" i="6"/>
  <c r="AG483" i="6"/>
  <c r="AH483" i="6" s="1"/>
  <c r="AD484" i="6"/>
  <c r="AL483" i="6"/>
  <c r="AI483" i="6"/>
  <c r="AE483" i="6"/>
  <c r="AM483" i="6"/>
  <c r="AJ483" i="6"/>
  <c r="AO483" i="6" s="1"/>
  <c r="AQ483" i="6" s="1"/>
  <c r="AP461" i="6"/>
  <c r="L482" i="6"/>
  <c r="Q482" i="6" s="1"/>
  <c r="S482" i="6" s="1"/>
  <c r="G483" i="6"/>
  <c r="N483" i="6"/>
  <c r="K483" i="6"/>
  <c r="F484" i="6"/>
  <c r="P484" i="6" s="1"/>
  <c r="H483" i="6"/>
  <c r="O483" i="6"/>
  <c r="I483" i="6"/>
  <c r="J483" i="6" s="1"/>
  <c r="AV460" i="6"/>
  <c r="AV42" i="12" s="1"/>
  <c r="X460" i="6"/>
  <c r="M461" i="6"/>
  <c r="R461" i="6" s="1"/>
  <c r="T461" i="6" s="1"/>
  <c r="U461" i="6" s="1"/>
  <c r="Y461" i="6" s="1"/>
  <c r="Z461" i="6" s="1"/>
  <c r="AA461" i="6" s="1"/>
  <c r="AA460" i="6"/>
  <c r="AT462" i="6"/>
  <c r="AU462" i="6" s="1"/>
  <c r="AV462" i="6" s="1"/>
  <c r="AY460" i="6"/>
  <c r="AY42" i="12" s="1"/>
  <c r="M462" i="6"/>
  <c r="R462" i="6" s="1"/>
  <c r="T462" i="6" s="1"/>
  <c r="U462" i="6" s="1"/>
  <c r="V462" i="6"/>
  <c r="W462" i="6" s="1"/>
  <c r="X462" i="6" s="1"/>
  <c r="Q482" i="5" l="1"/>
  <c r="T482" i="5"/>
  <c r="AA480" i="5"/>
  <c r="X480" i="5"/>
  <c r="J481" i="5"/>
  <c r="M481" i="5"/>
  <c r="F481" i="5"/>
  <c r="C481" i="5"/>
  <c r="AN484" i="6"/>
  <c r="AM484" i="6"/>
  <c r="AG484" i="6"/>
  <c r="AH484" i="6" s="1"/>
  <c r="AD485" i="6"/>
  <c r="AI484" i="6"/>
  <c r="AL484" i="6"/>
  <c r="AE484" i="6"/>
  <c r="AF484" i="6" s="1"/>
  <c r="AO484" i="6"/>
  <c r="AQ484" i="6"/>
  <c r="AJ484" i="6"/>
  <c r="Y462" i="6"/>
  <c r="Z462" i="6" s="1"/>
  <c r="AA462" i="6" s="1"/>
  <c r="AR461" i="6"/>
  <c r="L483" i="6"/>
  <c r="Q483" i="6" s="1"/>
  <c r="S483" i="6" s="1"/>
  <c r="F485" i="6"/>
  <c r="P485" i="6" s="1"/>
  <c r="O484" i="6"/>
  <c r="G484" i="6"/>
  <c r="H484" i="6" s="1"/>
  <c r="N484" i="6"/>
  <c r="K484" i="6"/>
  <c r="I484" i="6"/>
  <c r="J484" i="6" s="1"/>
  <c r="AK464" i="6"/>
  <c r="AP464" i="6" s="1"/>
  <c r="AR464" i="6" s="1"/>
  <c r="AT463" i="6"/>
  <c r="AU463" i="6" s="1"/>
  <c r="AV463" i="6" s="1"/>
  <c r="AK463" i="6"/>
  <c r="V463" i="6"/>
  <c r="W463" i="6" s="1"/>
  <c r="X463" i="6" s="1"/>
  <c r="J482" i="5" l="1"/>
  <c r="M482" i="5"/>
  <c r="AA481" i="5"/>
  <c r="X481" i="5"/>
  <c r="Q483" i="5"/>
  <c r="T483" i="5"/>
  <c r="C482" i="5"/>
  <c r="F482" i="5"/>
  <c r="AN485" i="6"/>
  <c r="AN45" i="12" s="1"/>
  <c r="AD486" i="6"/>
  <c r="AI485" i="6"/>
  <c r="AL485" i="6"/>
  <c r="AH485" i="6"/>
  <c r="AE485" i="6"/>
  <c r="AF485" i="6" s="1"/>
  <c r="AG485" i="6"/>
  <c r="AM485" i="6"/>
  <c r="AJ485" i="6"/>
  <c r="AO485" i="6" s="1"/>
  <c r="AQ485" i="6"/>
  <c r="AP463" i="6"/>
  <c r="AS462" i="6"/>
  <c r="AW462" i="6" s="1"/>
  <c r="AX462" i="6" s="1"/>
  <c r="AY462" i="6" s="1"/>
  <c r="AS461" i="6"/>
  <c r="AW461" i="6" s="1"/>
  <c r="AX461" i="6" s="1"/>
  <c r="AY461" i="6" s="1"/>
  <c r="L484" i="6"/>
  <c r="Q484" i="6" s="1"/>
  <c r="S484" i="6" s="1"/>
  <c r="N485" i="6"/>
  <c r="F486" i="6"/>
  <c r="P486" i="6" s="1"/>
  <c r="G485" i="6"/>
  <c r="H485" i="6" s="1"/>
  <c r="O485" i="6"/>
  <c r="K485" i="6"/>
  <c r="I485" i="6"/>
  <c r="J485" i="6" s="1"/>
  <c r="M463" i="6"/>
  <c r="R463" i="6" s="1"/>
  <c r="T463" i="6" s="1"/>
  <c r="U463" i="6" s="1"/>
  <c r="Y463" i="6" s="1"/>
  <c r="Z463" i="6" s="1"/>
  <c r="AA463" i="6" s="1"/>
  <c r="AT464" i="6"/>
  <c r="AU464" i="6" s="1"/>
  <c r="AV464" i="6" s="1"/>
  <c r="M464" i="6"/>
  <c r="R464" i="6" s="1"/>
  <c r="T464" i="6" s="1"/>
  <c r="U464" i="6" s="1"/>
  <c r="V464" i="6"/>
  <c r="W464" i="6" s="1"/>
  <c r="X464" i="6" s="1"/>
  <c r="T484" i="5" l="1"/>
  <c r="Q484" i="5"/>
  <c r="AA482" i="5"/>
  <c r="X482" i="5"/>
  <c r="M483" i="5"/>
  <c r="J483" i="5"/>
  <c r="F483" i="5"/>
  <c r="C483" i="5"/>
  <c r="AN486" i="6"/>
  <c r="AI486" i="6"/>
  <c r="AL486" i="6"/>
  <c r="AG486" i="6"/>
  <c r="AH486" i="6" s="1"/>
  <c r="AF486" i="6"/>
  <c r="AM486" i="6"/>
  <c r="AE486" i="6"/>
  <c r="AD487" i="6"/>
  <c r="AJ486" i="6"/>
  <c r="AO486" i="6" s="1"/>
  <c r="AQ486" i="6"/>
  <c r="Y464" i="6"/>
  <c r="Z464" i="6" s="1"/>
  <c r="AA464" i="6" s="1"/>
  <c r="AR463" i="6"/>
  <c r="L485" i="6"/>
  <c r="Q485" i="6" s="1"/>
  <c r="S485" i="6" s="1"/>
  <c r="F487" i="6"/>
  <c r="P487" i="6" s="1"/>
  <c r="O486" i="6"/>
  <c r="K486" i="6"/>
  <c r="G486" i="6"/>
  <c r="H486" i="6" s="1"/>
  <c r="N486" i="6"/>
  <c r="I486" i="6"/>
  <c r="J486" i="6" s="1"/>
  <c r="AK466" i="6"/>
  <c r="AP466" i="6" s="1"/>
  <c r="AR466" i="6" s="1"/>
  <c r="AT465" i="6"/>
  <c r="AU465" i="6" s="1"/>
  <c r="AV465" i="6" s="1"/>
  <c r="AK465" i="6"/>
  <c r="V465" i="6"/>
  <c r="W465" i="6" s="1"/>
  <c r="X465" i="6" s="1"/>
  <c r="M484" i="5" l="1"/>
  <c r="J484" i="5"/>
  <c r="X483" i="5"/>
  <c r="AA483" i="5"/>
  <c r="Q485" i="5"/>
  <c r="T485" i="5"/>
  <c r="F484" i="5"/>
  <c r="C484" i="5"/>
  <c r="AN487" i="6"/>
  <c r="AE487" i="6"/>
  <c r="AF487" i="6" s="1"/>
  <c r="AG487" i="6"/>
  <c r="AH487" i="6" s="1"/>
  <c r="AM487" i="6"/>
  <c r="AL487" i="6"/>
  <c r="AI487" i="6"/>
  <c r="AD488" i="6"/>
  <c r="AJ487" i="6"/>
  <c r="AO487" i="6" s="1"/>
  <c r="AQ487" i="6" s="1"/>
  <c r="AP465" i="6"/>
  <c r="AS463" i="6"/>
  <c r="AW463" i="6" s="1"/>
  <c r="AX463" i="6" s="1"/>
  <c r="AY463" i="6" s="1"/>
  <c r="AS464" i="6"/>
  <c r="AW464" i="6" s="1"/>
  <c r="AX464" i="6" s="1"/>
  <c r="AY464" i="6" s="1"/>
  <c r="L486" i="6"/>
  <c r="Q486" i="6" s="1"/>
  <c r="S486" i="6" s="1"/>
  <c r="F488" i="6"/>
  <c r="P488" i="6" s="1"/>
  <c r="O487" i="6"/>
  <c r="G487" i="6"/>
  <c r="H487" i="6" s="1"/>
  <c r="I487" i="6"/>
  <c r="J487" i="6" s="1"/>
  <c r="N487" i="6"/>
  <c r="K487" i="6"/>
  <c r="M465" i="6"/>
  <c r="R465" i="6" s="1"/>
  <c r="T465" i="6" s="1"/>
  <c r="U465" i="6" s="1"/>
  <c r="Y465" i="6" s="1"/>
  <c r="Z465" i="6" s="1"/>
  <c r="AA465" i="6" s="1"/>
  <c r="AT466" i="6"/>
  <c r="AU466" i="6" s="1"/>
  <c r="AV466" i="6" s="1"/>
  <c r="M466" i="6"/>
  <c r="R466" i="6" s="1"/>
  <c r="T466" i="6" s="1"/>
  <c r="U466" i="6" s="1"/>
  <c r="Y466" i="6" s="1"/>
  <c r="Z466" i="6" s="1"/>
  <c r="AA466" i="6" s="1"/>
  <c r="V466" i="6"/>
  <c r="W466" i="6" s="1"/>
  <c r="X466" i="6" s="1"/>
  <c r="X484" i="5" l="1"/>
  <c r="AA484" i="5"/>
  <c r="T486" i="5"/>
  <c r="Q486" i="5"/>
  <c r="J485" i="5"/>
  <c r="M485" i="5"/>
  <c r="F485" i="5"/>
  <c r="C485" i="5"/>
  <c r="AN488" i="6"/>
  <c r="AL488" i="6"/>
  <c r="AE488" i="6"/>
  <c r="AF488" i="6" s="1"/>
  <c r="AM488" i="6"/>
  <c r="AG488" i="6"/>
  <c r="AD489" i="6"/>
  <c r="AH488" i="6"/>
  <c r="AI488" i="6"/>
  <c r="AJ488" i="6"/>
  <c r="AO488" i="6"/>
  <c r="AQ488" i="6"/>
  <c r="AR465" i="6"/>
  <c r="L487" i="6"/>
  <c r="Q487" i="6" s="1"/>
  <c r="S487" i="6" s="1"/>
  <c r="F489" i="6"/>
  <c r="P489" i="6" s="1"/>
  <c r="N488" i="6"/>
  <c r="K488" i="6"/>
  <c r="I488" i="6"/>
  <c r="J488" i="6" s="1"/>
  <c r="O488" i="6"/>
  <c r="G488" i="6"/>
  <c r="H488" i="6" s="1"/>
  <c r="AK467" i="6"/>
  <c r="AK468" i="6"/>
  <c r="AP468" i="6" s="1"/>
  <c r="AR468" i="6" s="1"/>
  <c r="AT467" i="6"/>
  <c r="AU467" i="6" s="1"/>
  <c r="AV467" i="6" s="1"/>
  <c r="V467" i="6"/>
  <c r="W467" i="6" s="1"/>
  <c r="X467" i="6" s="1"/>
  <c r="M486" i="5" l="1"/>
  <c r="J486" i="5"/>
  <c r="Q487" i="5"/>
  <c r="T487" i="5"/>
  <c r="AA485" i="5"/>
  <c r="X485" i="5"/>
  <c r="C486" i="5"/>
  <c r="F486" i="5"/>
  <c r="AN489" i="6"/>
  <c r="AG489" i="6"/>
  <c r="AH489" i="6" s="1"/>
  <c r="AI489" i="6"/>
  <c r="AD490" i="6"/>
  <c r="AL489" i="6"/>
  <c r="AE489" i="6"/>
  <c r="AM489" i="6"/>
  <c r="AF489" i="6"/>
  <c r="AJ489" i="6"/>
  <c r="AO489" i="6" s="1"/>
  <c r="AQ489" i="6"/>
  <c r="AP467" i="6"/>
  <c r="AS465" i="6"/>
  <c r="AW465" i="6" s="1"/>
  <c r="AX465" i="6" s="1"/>
  <c r="AY465" i="6" s="1"/>
  <c r="AS466" i="6"/>
  <c r="AW466" i="6" s="1"/>
  <c r="AX466" i="6" s="1"/>
  <c r="AY466" i="6" s="1"/>
  <c r="L488" i="6"/>
  <c r="Q488" i="6" s="1"/>
  <c r="S488" i="6" s="1"/>
  <c r="O489" i="6"/>
  <c r="N489" i="6"/>
  <c r="F490" i="6"/>
  <c r="P490" i="6" s="1"/>
  <c r="K489" i="6"/>
  <c r="I489" i="6"/>
  <c r="J489" i="6" s="1"/>
  <c r="G489" i="6"/>
  <c r="H489" i="6" s="1"/>
  <c r="AT468" i="6"/>
  <c r="AU468" i="6" s="1"/>
  <c r="AV468" i="6" s="1"/>
  <c r="M467" i="6"/>
  <c r="R467" i="6" s="1"/>
  <c r="T467" i="6" s="1"/>
  <c r="U467" i="6" s="1"/>
  <c r="Y467" i="6" s="1"/>
  <c r="Z467" i="6" s="1"/>
  <c r="AA467" i="6" s="1"/>
  <c r="M468" i="6"/>
  <c r="R468" i="6" s="1"/>
  <c r="T468" i="6" s="1"/>
  <c r="V468" i="6"/>
  <c r="W468" i="6" s="1"/>
  <c r="X468" i="6" s="1"/>
  <c r="AA486" i="5" l="1"/>
  <c r="X486" i="5"/>
  <c r="Q488" i="5"/>
  <c r="T488" i="5"/>
  <c r="M487" i="5"/>
  <c r="J487" i="5"/>
  <c r="F487" i="5"/>
  <c r="C487" i="5"/>
  <c r="AN490" i="6"/>
  <c r="AM490" i="6"/>
  <c r="AI490" i="6"/>
  <c r="AL490" i="6"/>
  <c r="AE490" i="6"/>
  <c r="AF490" i="6" s="1"/>
  <c r="AG490" i="6"/>
  <c r="AD491" i="6"/>
  <c r="AH490" i="6"/>
  <c r="AJ490" i="6" s="1"/>
  <c r="AO490" i="6" s="1"/>
  <c r="AQ490" i="6" s="1"/>
  <c r="AR467" i="6"/>
  <c r="L489" i="6"/>
  <c r="Q489" i="6" s="1"/>
  <c r="S489" i="6" s="1"/>
  <c r="O490" i="6"/>
  <c r="N490" i="6"/>
  <c r="F491" i="6"/>
  <c r="P491" i="6" s="1"/>
  <c r="K490" i="6"/>
  <c r="I490" i="6"/>
  <c r="J490" i="6" s="1"/>
  <c r="G490" i="6"/>
  <c r="H490" i="6" s="1"/>
  <c r="AK470" i="6"/>
  <c r="AP470" i="6" s="1"/>
  <c r="AR470" i="6" s="1"/>
  <c r="AT469" i="6"/>
  <c r="AK469" i="6"/>
  <c r="U468" i="6"/>
  <c r="Y468" i="6" s="1"/>
  <c r="Z468" i="6" s="1"/>
  <c r="AA468" i="6" s="1"/>
  <c r="V469" i="6"/>
  <c r="W469" i="6" s="1"/>
  <c r="X469" i="6" s="1"/>
  <c r="J488" i="5" l="1"/>
  <c r="M488" i="5"/>
  <c r="T489" i="5"/>
  <c r="Q489" i="5"/>
  <c r="X487" i="5"/>
  <c r="AA487" i="5"/>
  <c r="F488" i="5"/>
  <c r="C488" i="5"/>
  <c r="AN491" i="6"/>
  <c r="AM491" i="6"/>
  <c r="AD492" i="6"/>
  <c r="AL491" i="6"/>
  <c r="AI491" i="6"/>
  <c r="AE491" i="6"/>
  <c r="AF491" i="6" s="1"/>
  <c r="AG491" i="6"/>
  <c r="AH491" i="6"/>
  <c r="AJ491" i="6" s="1"/>
  <c r="AO491" i="6" s="1"/>
  <c r="AQ491" i="6" s="1"/>
  <c r="AP469" i="6"/>
  <c r="AS467" i="6"/>
  <c r="AW467" i="6" s="1"/>
  <c r="AX467" i="6" s="1"/>
  <c r="AY467" i="6" s="1"/>
  <c r="AS468" i="6"/>
  <c r="AW468" i="6" s="1"/>
  <c r="AX468" i="6" s="1"/>
  <c r="AY468" i="6" s="1"/>
  <c r="L490" i="6"/>
  <c r="Q490" i="6" s="1"/>
  <c r="S490" i="6" s="1"/>
  <c r="N491" i="6"/>
  <c r="O491" i="6"/>
  <c r="K491" i="6"/>
  <c r="F492" i="6"/>
  <c r="P492" i="6" s="1"/>
  <c r="I491" i="6"/>
  <c r="J491" i="6" s="1"/>
  <c r="G491" i="6"/>
  <c r="H491" i="6" s="1"/>
  <c r="M469" i="6"/>
  <c r="R469" i="6" s="1"/>
  <c r="T469" i="6" s="1"/>
  <c r="U469" i="6" s="1"/>
  <c r="Y469" i="6" s="1"/>
  <c r="Z469" i="6" s="1"/>
  <c r="AA469" i="6" s="1"/>
  <c r="AU469" i="6"/>
  <c r="AV469" i="6" s="1"/>
  <c r="AK471" i="6"/>
  <c r="AP471" i="6" s="1"/>
  <c r="AR471" i="6" s="1"/>
  <c r="AT470" i="6"/>
  <c r="AU470" i="6" s="1"/>
  <c r="AV470" i="6" s="1"/>
  <c r="M470" i="6"/>
  <c r="R470" i="6" s="1"/>
  <c r="T470" i="6" s="1"/>
  <c r="U470" i="6" s="1"/>
  <c r="V470" i="6"/>
  <c r="W470" i="6" s="1"/>
  <c r="X470" i="6" s="1"/>
  <c r="AA488" i="5" l="1"/>
  <c r="X488" i="5"/>
  <c r="Q490" i="5"/>
  <c r="T490" i="5"/>
  <c r="J489" i="5"/>
  <c r="M489" i="5"/>
  <c r="F489" i="5"/>
  <c r="C489" i="5"/>
  <c r="AN492" i="6"/>
  <c r="AD493" i="6"/>
  <c r="AI492" i="6"/>
  <c r="AL492" i="6"/>
  <c r="AF492" i="6"/>
  <c r="AE492" i="6"/>
  <c r="AM492" i="6"/>
  <c r="AG492" i="6"/>
  <c r="AH492" i="6" s="1"/>
  <c r="AJ492" i="6"/>
  <c r="AO492" i="6" s="1"/>
  <c r="AQ492" i="6" s="1"/>
  <c r="Y470" i="6"/>
  <c r="Z470" i="6" s="1"/>
  <c r="AA470" i="6" s="1"/>
  <c r="AS471" i="6"/>
  <c r="AR469" i="6"/>
  <c r="AP43" i="12"/>
  <c r="AR43" i="12" s="1"/>
  <c r="L491" i="6"/>
  <c r="Q491" i="6" s="1"/>
  <c r="S491" i="6" s="1"/>
  <c r="I492" i="6"/>
  <c r="J492" i="6" s="1"/>
  <c r="O492" i="6"/>
  <c r="G492" i="6"/>
  <c r="F493" i="6"/>
  <c r="P493" i="6" s="1"/>
  <c r="H492" i="6"/>
  <c r="N492" i="6"/>
  <c r="K492" i="6"/>
  <c r="AK472" i="6"/>
  <c r="AP472" i="6" s="1"/>
  <c r="AR472" i="6" s="1"/>
  <c r="AS472" i="6" s="1"/>
  <c r="AT471" i="6"/>
  <c r="AU471" i="6" s="1"/>
  <c r="AV471" i="6" s="1"/>
  <c r="M471" i="6"/>
  <c r="R471" i="6" s="1"/>
  <c r="T471" i="6" s="1"/>
  <c r="U471" i="6" s="1"/>
  <c r="V471" i="6"/>
  <c r="W471" i="6" s="1"/>
  <c r="X471" i="6" s="1"/>
  <c r="M490" i="5" l="1"/>
  <c r="J490" i="5"/>
  <c r="T491" i="5"/>
  <c r="Q491" i="5"/>
  <c r="AA489" i="5"/>
  <c r="X489" i="5"/>
  <c r="F490" i="5"/>
  <c r="C490" i="5"/>
  <c r="AN493" i="6"/>
  <c r="AD494" i="6"/>
  <c r="AF493" i="6"/>
  <c r="AL493" i="6"/>
  <c r="AM493" i="6"/>
  <c r="AI493" i="6"/>
  <c r="AE493" i="6"/>
  <c r="AG493" i="6"/>
  <c r="AH493" i="6" s="1"/>
  <c r="AJ493" i="6"/>
  <c r="AO493" i="6"/>
  <c r="AQ493" i="6" s="1"/>
  <c r="Y471" i="6"/>
  <c r="Z471" i="6" s="1"/>
  <c r="AA471" i="6" s="1"/>
  <c r="AW471" i="6"/>
  <c r="AX471" i="6" s="1"/>
  <c r="AY471" i="6" s="1"/>
  <c r="AS469" i="6"/>
  <c r="AW469" i="6" s="1"/>
  <c r="AX469" i="6" s="1"/>
  <c r="AY469" i="6" s="1"/>
  <c r="AS470" i="6"/>
  <c r="AW470" i="6" s="1"/>
  <c r="AX470" i="6" s="1"/>
  <c r="AY470" i="6" s="1"/>
  <c r="L492" i="6"/>
  <c r="Q492" i="6" s="1"/>
  <c r="S492" i="6" s="1"/>
  <c r="O493" i="6"/>
  <c r="K493" i="6"/>
  <c r="I493" i="6"/>
  <c r="J493" i="6" s="1"/>
  <c r="N493" i="6"/>
  <c r="F494" i="6"/>
  <c r="P494" i="6" s="1"/>
  <c r="G493" i="6"/>
  <c r="H493" i="6" s="1"/>
  <c r="AT472" i="6"/>
  <c r="AT43" i="12" s="1"/>
  <c r="M472" i="6"/>
  <c r="R472" i="6" s="1"/>
  <c r="T472" i="6" s="1"/>
  <c r="V472" i="6"/>
  <c r="AA490" i="5" l="1"/>
  <c r="X490" i="5"/>
  <c r="Q492" i="5"/>
  <c r="T492" i="5"/>
  <c r="J491" i="5"/>
  <c r="M491" i="5"/>
  <c r="F491" i="5"/>
  <c r="C491" i="5"/>
  <c r="AN494" i="6"/>
  <c r="AD495" i="6"/>
  <c r="AI494" i="6"/>
  <c r="AE494" i="6"/>
  <c r="AF494" i="6" s="1"/>
  <c r="AG494" i="6"/>
  <c r="AH494" i="6" s="1"/>
  <c r="AL494" i="6"/>
  <c r="AM494" i="6"/>
  <c r="AJ494" i="6"/>
  <c r="AO494" i="6" s="1"/>
  <c r="AQ494" i="6" s="1"/>
  <c r="L493" i="6"/>
  <c r="Q493" i="6" s="1"/>
  <c r="S493" i="6" s="1"/>
  <c r="G494" i="6"/>
  <c r="H494" i="6" s="1"/>
  <c r="F495" i="6"/>
  <c r="P495" i="6" s="1"/>
  <c r="N494" i="6"/>
  <c r="K494" i="6"/>
  <c r="O494" i="6"/>
  <c r="I494" i="6"/>
  <c r="J494" i="6" s="1"/>
  <c r="AK473" i="6"/>
  <c r="AU472" i="6"/>
  <c r="AU43" i="12" s="1"/>
  <c r="AK474" i="6"/>
  <c r="AP474" i="6" s="1"/>
  <c r="AR474" i="6" s="1"/>
  <c r="AT473" i="6"/>
  <c r="AU473" i="6" s="1"/>
  <c r="AV473" i="6" s="1"/>
  <c r="U472" i="6"/>
  <c r="Y472" i="6" s="1"/>
  <c r="AW472" i="6"/>
  <c r="AW43" i="12" s="1"/>
  <c r="W472" i="6"/>
  <c r="V473" i="6"/>
  <c r="W473" i="6" s="1"/>
  <c r="X473" i="6" s="1"/>
  <c r="M492" i="5" l="1"/>
  <c r="J492" i="5"/>
  <c r="T493" i="5"/>
  <c r="Q493" i="5"/>
  <c r="AA491" i="5"/>
  <c r="X491" i="5"/>
  <c r="F492" i="5"/>
  <c r="C492" i="5"/>
  <c r="L494" i="6"/>
  <c r="Q494" i="6" s="1"/>
  <c r="AN495" i="6"/>
  <c r="AI495" i="6"/>
  <c r="AL495" i="6"/>
  <c r="AE495" i="6"/>
  <c r="AM495" i="6"/>
  <c r="AG495" i="6"/>
  <c r="AH495" i="6" s="1"/>
  <c r="AF495" i="6"/>
  <c r="AD496" i="6"/>
  <c r="AJ495" i="6"/>
  <c r="AO495" i="6" s="1"/>
  <c r="AQ495" i="6" s="1"/>
  <c r="AP473" i="6"/>
  <c r="S494" i="6"/>
  <c r="F496" i="6"/>
  <c r="P496" i="6" s="1"/>
  <c r="N495" i="6"/>
  <c r="G495" i="6"/>
  <c r="H495" i="6" s="1"/>
  <c r="K495" i="6"/>
  <c r="I495" i="6"/>
  <c r="J495" i="6" s="1"/>
  <c r="O495" i="6"/>
  <c r="X472" i="6"/>
  <c r="AT474" i="6"/>
  <c r="AU474" i="6" s="1"/>
  <c r="AV474" i="6" s="1"/>
  <c r="AX472" i="6"/>
  <c r="AX43" i="12" s="1"/>
  <c r="AV472" i="6"/>
  <c r="AV43" i="12" s="1"/>
  <c r="Z472" i="6"/>
  <c r="M473" i="6"/>
  <c r="R473" i="6" s="1"/>
  <c r="T473" i="6" s="1"/>
  <c r="U473" i="6" s="1"/>
  <c r="Y473" i="6" s="1"/>
  <c r="Z473" i="6" s="1"/>
  <c r="AA473" i="6" s="1"/>
  <c r="M474" i="6"/>
  <c r="R474" i="6" s="1"/>
  <c r="T474" i="6" s="1"/>
  <c r="U474" i="6" s="1"/>
  <c r="V474" i="6"/>
  <c r="W474" i="6" s="1"/>
  <c r="X474" i="6" s="1"/>
  <c r="X492" i="5" l="1"/>
  <c r="AA492" i="5"/>
  <c r="Q494" i="5"/>
  <c r="T494" i="5"/>
  <c r="J493" i="5"/>
  <c r="M493" i="5"/>
  <c r="F493" i="5"/>
  <c r="C493" i="5"/>
  <c r="AN496" i="6"/>
  <c r="AE496" i="6"/>
  <c r="AF496" i="6" s="1"/>
  <c r="AM496" i="6"/>
  <c r="AG496" i="6"/>
  <c r="AH496" i="6" s="1"/>
  <c r="AI496" i="6"/>
  <c r="AL496" i="6"/>
  <c r="AD497" i="6"/>
  <c r="AJ496" i="6"/>
  <c r="AO496" i="6" s="1"/>
  <c r="AQ496" i="6"/>
  <c r="Y474" i="6"/>
  <c r="Z474" i="6" s="1"/>
  <c r="AA474" i="6" s="1"/>
  <c r="AR473" i="6"/>
  <c r="L495" i="6"/>
  <c r="Q495" i="6" s="1"/>
  <c r="S495" i="6" s="1"/>
  <c r="F497" i="6"/>
  <c r="P497" i="6" s="1"/>
  <c r="N496" i="6"/>
  <c r="K496" i="6"/>
  <c r="I496" i="6"/>
  <c r="J496" i="6" s="1"/>
  <c r="O496" i="6"/>
  <c r="G496" i="6"/>
  <c r="H496" i="6" s="1"/>
  <c r="AY472" i="6"/>
  <c r="AY43" i="12" s="1"/>
  <c r="AA472" i="6"/>
  <c r="AT475" i="6"/>
  <c r="AU475" i="6" s="1"/>
  <c r="AV475" i="6" s="1"/>
  <c r="AK476" i="6"/>
  <c r="AP476" i="6" s="1"/>
  <c r="AR476" i="6" s="1"/>
  <c r="AK475" i="6"/>
  <c r="V475" i="6"/>
  <c r="W475" i="6" s="1"/>
  <c r="X475" i="6" s="1"/>
  <c r="M494" i="5" l="1"/>
  <c r="J494" i="5"/>
  <c r="T495" i="5"/>
  <c r="Q495" i="5"/>
  <c r="AA493" i="5"/>
  <c r="X493" i="5"/>
  <c r="F494" i="5"/>
  <c r="C494" i="5"/>
  <c r="AN497" i="6"/>
  <c r="AE497" i="6"/>
  <c r="AF497" i="6"/>
  <c r="AG497" i="6"/>
  <c r="AH497" i="6" s="1"/>
  <c r="AL497" i="6"/>
  <c r="AD498" i="6"/>
  <c r="AI497" i="6"/>
  <c r="AM497" i="6"/>
  <c r="AJ497" i="6"/>
  <c r="AO497" i="6" s="1"/>
  <c r="AQ497" i="6"/>
  <c r="AP475" i="6"/>
  <c r="AS473" i="6"/>
  <c r="AW473" i="6" s="1"/>
  <c r="AX473" i="6" s="1"/>
  <c r="AY473" i="6" s="1"/>
  <c r="AS474" i="6"/>
  <c r="AW474" i="6" s="1"/>
  <c r="AX474" i="6" s="1"/>
  <c r="AY474" i="6" s="1"/>
  <c r="L496" i="6"/>
  <c r="Q496" i="6" s="1"/>
  <c r="S496" i="6" s="1"/>
  <c r="F498" i="6"/>
  <c r="P498" i="6" s="1"/>
  <c r="N497" i="6"/>
  <c r="K497" i="6"/>
  <c r="I497" i="6"/>
  <c r="J497" i="6" s="1"/>
  <c r="G497" i="6"/>
  <c r="H497" i="6" s="1"/>
  <c r="O497" i="6"/>
  <c r="AT476" i="6"/>
  <c r="M475" i="6"/>
  <c r="R475" i="6" s="1"/>
  <c r="T475" i="6" s="1"/>
  <c r="U475" i="6" s="1"/>
  <c r="Y475" i="6" s="1"/>
  <c r="Z475" i="6" s="1"/>
  <c r="AA475" i="6" s="1"/>
  <c r="M476" i="6"/>
  <c r="R476" i="6" s="1"/>
  <c r="T476" i="6" s="1"/>
  <c r="U476" i="6" s="1"/>
  <c r="V476" i="6"/>
  <c r="W476" i="6" s="1"/>
  <c r="X476" i="6" s="1"/>
  <c r="AA494" i="5" l="1"/>
  <c r="X494" i="5"/>
  <c r="Q496" i="5"/>
  <c r="T496" i="5"/>
  <c r="J495" i="5"/>
  <c r="M495" i="5"/>
  <c r="F495" i="5"/>
  <c r="C495" i="5"/>
  <c r="AN498" i="6"/>
  <c r="AI498" i="6"/>
  <c r="AG498" i="6"/>
  <c r="AH498" i="6" s="1"/>
  <c r="AJ498" i="6" s="1"/>
  <c r="AD499" i="6"/>
  <c r="AM498" i="6"/>
  <c r="AE498" i="6"/>
  <c r="AL498" i="6"/>
  <c r="AO498" i="6"/>
  <c r="AQ498" i="6" s="1"/>
  <c r="AF498" i="6"/>
  <c r="Y476" i="6"/>
  <c r="Z476" i="6" s="1"/>
  <c r="AA476" i="6" s="1"/>
  <c r="AR475" i="6"/>
  <c r="L497" i="6"/>
  <c r="Q497" i="6" s="1"/>
  <c r="S497" i="6" s="1"/>
  <c r="G498" i="6"/>
  <c r="N498" i="6"/>
  <c r="K498" i="6"/>
  <c r="H498" i="6"/>
  <c r="F499" i="6"/>
  <c r="P499" i="6" s="1"/>
  <c r="O498" i="6"/>
  <c r="I498" i="6"/>
  <c r="J498" i="6" s="1"/>
  <c r="AU476" i="6"/>
  <c r="AV476" i="6" s="1"/>
  <c r="AK478" i="6"/>
  <c r="AP478" i="6" s="1"/>
  <c r="AR478" i="6" s="1"/>
  <c r="AT477" i="6"/>
  <c r="AU477" i="6" s="1"/>
  <c r="AV477" i="6" s="1"/>
  <c r="AK477" i="6"/>
  <c r="V477" i="6"/>
  <c r="W477" i="6" s="1"/>
  <c r="X477" i="6" s="1"/>
  <c r="T497" i="5" l="1"/>
  <c r="Q497" i="5"/>
  <c r="M496" i="5"/>
  <c r="J496" i="5"/>
  <c r="AA495" i="5"/>
  <c r="X495" i="5"/>
  <c r="F496" i="5"/>
  <c r="C496" i="5"/>
  <c r="AN499" i="6"/>
  <c r="AN46" i="12" s="1"/>
  <c r="AI499" i="6"/>
  <c r="AD500" i="6"/>
  <c r="AG499" i="6"/>
  <c r="AH499" i="6" s="1"/>
  <c r="AL499" i="6"/>
  <c r="AM499" i="6"/>
  <c r="AE499" i="6"/>
  <c r="AF499" i="6"/>
  <c r="AJ499" i="6"/>
  <c r="AO499" i="6" s="1"/>
  <c r="AQ499" i="6" s="1"/>
  <c r="AP477" i="6"/>
  <c r="AS475" i="6"/>
  <c r="AW475" i="6" s="1"/>
  <c r="AX475" i="6" s="1"/>
  <c r="AY475" i="6" s="1"/>
  <c r="AS476" i="6"/>
  <c r="AW476" i="6" s="1"/>
  <c r="AX476" i="6" s="1"/>
  <c r="AY476" i="6" s="1"/>
  <c r="L498" i="6"/>
  <c r="Q498" i="6" s="1"/>
  <c r="S498" i="6" s="1"/>
  <c r="F500" i="6"/>
  <c r="P500" i="6" s="1"/>
  <c r="N499" i="6"/>
  <c r="K499" i="6"/>
  <c r="I499" i="6"/>
  <c r="J499" i="6" s="1"/>
  <c r="G499" i="6"/>
  <c r="H499" i="6" s="1"/>
  <c r="O499" i="6"/>
  <c r="AT478" i="6"/>
  <c r="AU478" i="6" s="1"/>
  <c r="AV478" i="6" s="1"/>
  <c r="M477" i="6"/>
  <c r="R477" i="6" s="1"/>
  <c r="T477" i="6" s="1"/>
  <c r="U477" i="6" s="1"/>
  <c r="Y477" i="6" s="1"/>
  <c r="Z477" i="6" s="1"/>
  <c r="AA477" i="6" s="1"/>
  <c r="M478" i="6"/>
  <c r="R478" i="6" s="1"/>
  <c r="T478" i="6" s="1"/>
  <c r="U478" i="6" s="1"/>
  <c r="V478" i="6"/>
  <c r="W478" i="6" s="1"/>
  <c r="X478" i="6" s="1"/>
  <c r="AA496" i="5" l="1"/>
  <c r="X496" i="5"/>
  <c r="M497" i="5"/>
  <c r="J497" i="5"/>
  <c r="T498" i="5"/>
  <c r="Q498" i="5"/>
  <c r="F497" i="5"/>
  <c r="C497" i="5"/>
  <c r="AN500" i="6"/>
  <c r="AE500" i="6"/>
  <c r="AM500" i="6"/>
  <c r="AD501" i="6"/>
  <c r="AI500" i="6"/>
  <c r="AL500" i="6"/>
  <c r="AF500" i="6"/>
  <c r="AG500" i="6"/>
  <c r="AH500" i="6" s="1"/>
  <c r="AJ500" i="6"/>
  <c r="AO500" i="6"/>
  <c r="AQ500" i="6"/>
  <c r="Y478" i="6"/>
  <c r="Z478" i="6" s="1"/>
  <c r="AA478" i="6" s="1"/>
  <c r="AR477" i="6"/>
  <c r="L499" i="6"/>
  <c r="Q499" i="6" s="1"/>
  <c r="S499" i="6" s="1"/>
  <c r="F501" i="6"/>
  <c r="P501" i="6" s="1"/>
  <c r="N500" i="6"/>
  <c r="G500" i="6"/>
  <c r="H500" i="6" s="1"/>
  <c r="I500" i="6"/>
  <c r="J500" i="6" s="1"/>
  <c r="O500" i="6"/>
  <c r="K500" i="6"/>
  <c r="AK480" i="6"/>
  <c r="AP480" i="6" s="1"/>
  <c r="AR480" i="6" s="1"/>
  <c r="AT479" i="6"/>
  <c r="AU479" i="6" s="1"/>
  <c r="AV479" i="6" s="1"/>
  <c r="AK479" i="6"/>
  <c r="V479" i="6"/>
  <c r="W479" i="6" s="1"/>
  <c r="X479" i="6" s="1"/>
  <c r="T499" i="5" l="1"/>
  <c r="Q499" i="5"/>
  <c r="J498" i="5"/>
  <c r="M498" i="5"/>
  <c r="AA497" i="5"/>
  <c r="X497" i="5"/>
  <c r="F498" i="5"/>
  <c r="C498" i="5"/>
  <c r="AN501" i="6"/>
  <c r="AM501" i="6"/>
  <c r="AE501" i="6"/>
  <c r="AF501" i="6"/>
  <c r="AD502" i="6"/>
  <c r="AI501" i="6"/>
  <c r="AL501" i="6"/>
  <c r="AG501" i="6"/>
  <c r="AH501" i="6" s="1"/>
  <c r="AJ501" i="6" s="1"/>
  <c r="AO501" i="6"/>
  <c r="AQ501" i="6"/>
  <c r="AS477" i="6"/>
  <c r="AW477" i="6" s="1"/>
  <c r="AX477" i="6" s="1"/>
  <c r="AY477" i="6" s="1"/>
  <c r="AS478" i="6"/>
  <c r="AW478" i="6" s="1"/>
  <c r="AX478" i="6" s="1"/>
  <c r="AY478" i="6" s="1"/>
  <c r="AP479" i="6"/>
  <c r="L500" i="6"/>
  <c r="Q500" i="6" s="1"/>
  <c r="S500" i="6" s="1"/>
  <c r="F502" i="6"/>
  <c r="P502" i="6" s="1"/>
  <c r="K501" i="6"/>
  <c r="O501" i="6"/>
  <c r="I501" i="6"/>
  <c r="J501" i="6" s="1"/>
  <c r="N501" i="6"/>
  <c r="G501" i="6"/>
  <c r="H501" i="6" s="1"/>
  <c r="M479" i="6"/>
  <c r="R479" i="6" s="1"/>
  <c r="T479" i="6" s="1"/>
  <c r="AT480" i="6"/>
  <c r="AU480" i="6" s="1"/>
  <c r="AV480" i="6" s="1"/>
  <c r="M480" i="6"/>
  <c r="R480" i="6" s="1"/>
  <c r="T480" i="6" s="1"/>
  <c r="V480" i="6"/>
  <c r="AA498" i="5" l="1"/>
  <c r="X498" i="5"/>
  <c r="J499" i="5"/>
  <c r="M499" i="5"/>
  <c r="Q500" i="5"/>
  <c r="T500" i="5"/>
  <c r="F499" i="5"/>
  <c r="C499" i="5"/>
  <c r="AN502" i="6"/>
  <c r="AM502" i="6"/>
  <c r="AE502" i="6"/>
  <c r="AG502" i="6"/>
  <c r="AH502" i="6" s="1"/>
  <c r="AD503" i="6"/>
  <c r="AF502" i="6"/>
  <c r="AI502" i="6"/>
  <c r="AL502" i="6"/>
  <c r="AO502" i="6"/>
  <c r="AQ502" i="6" s="1"/>
  <c r="AJ502" i="6"/>
  <c r="AR479" i="6"/>
  <c r="L501" i="6"/>
  <c r="Q501" i="6" s="1"/>
  <c r="S501" i="6" s="1"/>
  <c r="F503" i="6"/>
  <c r="P503" i="6" s="1"/>
  <c r="O502" i="6"/>
  <c r="I502" i="6"/>
  <c r="J502" i="6" s="1"/>
  <c r="G502" i="6"/>
  <c r="H502" i="6" s="1"/>
  <c r="N502" i="6"/>
  <c r="K502" i="6"/>
  <c r="W480" i="6"/>
  <c r="X480" i="6" s="1"/>
  <c r="AK481" i="6"/>
  <c r="AK482" i="6"/>
  <c r="AP482" i="6" s="1"/>
  <c r="AR482" i="6" s="1"/>
  <c r="AT481" i="6"/>
  <c r="U480" i="6"/>
  <c r="Y480" i="6" s="1"/>
  <c r="Z480" i="6" s="1"/>
  <c r="AA480" i="6" s="1"/>
  <c r="U479" i="6"/>
  <c r="Y479" i="6" s="1"/>
  <c r="Z479" i="6" s="1"/>
  <c r="AA479" i="6" s="1"/>
  <c r="V481" i="6"/>
  <c r="W481" i="6" s="1"/>
  <c r="X481" i="6" s="1"/>
  <c r="Q501" i="5" l="1"/>
  <c r="T501" i="5"/>
  <c r="M500" i="5"/>
  <c r="J500" i="5"/>
  <c r="AA499" i="5"/>
  <c r="X499" i="5"/>
  <c r="F500" i="5"/>
  <c r="C500" i="5"/>
  <c r="AN503" i="6"/>
  <c r="AG503" i="6"/>
  <c r="AH503" i="6" s="1"/>
  <c r="AD504" i="6"/>
  <c r="AI503" i="6"/>
  <c r="AM503" i="6"/>
  <c r="AE503" i="6"/>
  <c r="AL503" i="6"/>
  <c r="AF503" i="6"/>
  <c r="AJ503" i="6"/>
  <c r="AO503" i="6"/>
  <c r="AQ503" i="6"/>
  <c r="AP481" i="6"/>
  <c r="AS479" i="6"/>
  <c r="AW479" i="6" s="1"/>
  <c r="AX479" i="6" s="1"/>
  <c r="AY479" i="6" s="1"/>
  <c r="AS480" i="6"/>
  <c r="AW480" i="6" s="1"/>
  <c r="AX480" i="6" s="1"/>
  <c r="AY480" i="6" s="1"/>
  <c r="L502" i="6"/>
  <c r="Q502" i="6" s="1"/>
  <c r="S502" i="6" s="1"/>
  <c r="N503" i="6"/>
  <c r="K503" i="6"/>
  <c r="F504" i="6"/>
  <c r="P504" i="6" s="1"/>
  <c r="O503" i="6"/>
  <c r="G503" i="6"/>
  <c r="H503" i="6" s="1"/>
  <c r="I503" i="6"/>
  <c r="J503" i="6" s="1"/>
  <c r="L503" i="6" s="1"/>
  <c r="Q503" i="6" s="1"/>
  <c r="S503" i="6" s="1"/>
  <c r="AK483" i="6"/>
  <c r="AP483" i="6" s="1"/>
  <c r="AR483" i="6" s="1"/>
  <c r="AT482" i="6"/>
  <c r="AU482" i="6" s="1"/>
  <c r="AV482" i="6" s="1"/>
  <c r="M481" i="6"/>
  <c r="R481" i="6" s="1"/>
  <c r="T481" i="6" s="1"/>
  <c r="U481" i="6" s="1"/>
  <c r="Y481" i="6" s="1"/>
  <c r="Z481" i="6" s="1"/>
  <c r="AA481" i="6" s="1"/>
  <c r="AU481" i="6"/>
  <c r="AV481" i="6" s="1"/>
  <c r="M482" i="6"/>
  <c r="R482" i="6" s="1"/>
  <c r="T482" i="6" s="1"/>
  <c r="U482" i="6" s="1"/>
  <c r="Y482" i="6" s="1"/>
  <c r="Z482" i="6" s="1"/>
  <c r="AA482" i="6" s="1"/>
  <c r="V482" i="6"/>
  <c r="W482" i="6" s="1"/>
  <c r="X482" i="6" s="1"/>
  <c r="X500" i="5" l="1"/>
  <c r="AA500" i="5"/>
  <c r="J501" i="5"/>
  <c r="M501" i="5"/>
  <c r="Q502" i="5"/>
  <c r="T502" i="5"/>
  <c r="F501" i="5"/>
  <c r="C501" i="5"/>
  <c r="AN504" i="6"/>
  <c r="AF504" i="6"/>
  <c r="AI504" i="6"/>
  <c r="AD505" i="6"/>
  <c r="AE504" i="6"/>
  <c r="AM504" i="6"/>
  <c r="AG504" i="6"/>
  <c r="AH504" i="6" s="1"/>
  <c r="AJ504" i="6" s="1"/>
  <c r="AL504" i="6"/>
  <c r="AO504" i="6"/>
  <c r="AQ504" i="6"/>
  <c r="AS483" i="6"/>
  <c r="AR481" i="6"/>
  <c r="F505" i="6"/>
  <c r="P505" i="6" s="1"/>
  <c r="N504" i="6"/>
  <c r="O504" i="6"/>
  <c r="I504" i="6"/>
  <c r="J504" i="6" s="1"/>
  <c r="G504" i="6"/>
  <c r="H504" i="6" s="1"/>
  <c r="K504" i="6"/>
  <c r="AT483" i="6"/>
  <c r="AU483" i="6" s="1"/>
  <c r="AV483" i="6" s="1"/>
  <c r="AK484" i="6"/>
  <c r="AP484" i="6" s="1"/>
  <c r="AR484" i="6" s="1"/>
  <c r="AS484" i="6" s="1"/>
  <c r="M483" i="6"/>
  <c r="R483" i="6" s="1"/>
  <c r="T483" i="6" s="1"/>
  <c r="U483" i="6" s="1"/>
  <c r="Y483" i="6" s="1"/>
  <c r="Z483" i="6" s="1"/>
  <c r="AA483" i="6" s="1"/>
  <c r="V483" i="6"/>
  <c r="W483" i="6" s="1"/>
  <c r="X483" i="6" s="1"/>
  <c r="Q503" i="5" l="1"/>
  <c r="T503" i="5"/>
  <c r="M502" i="5"/>
  <c r="J502" i="5"/>
  <c r="AA501" i="5"/>
  <c r="X501" i="5"/>
  <c r="F502" i="5"/>
  <c r="C502" i="5"/>
  <c r="AN505" i="6"/>
  <c r="AG505" i="6"/>
  <c r="AH505" i="6" s="1"/>
  <c r="AD506" i="6"/>
  <c r="AI505" i="6"/>
  <c r="AL505" i="6"/>
  <c r="AE505" i="6"/>
  <c r="AF505" i="6" s="1"/>
  <c r="AM505" i="6"/>
  <c r="AJ505" i="6"/>
  <c r="AO505" i="6"/>
  <c r="AQ505" i="6" s="1"/>
  <c r="AW483" i="6"/>
  <c r="AX483" i="6" s="1"/>
  <c r="AY483" i="6" s="1"/>
  <c r="AS481" i="6"/>
  <c r="AW481" i="6" s="1"/>
  <c r="AX481" i="6" s="1"/>
  <c r="AY481" i="6" s="1"/>
  <c r="AS482" i="6"/>
  <c r="AW482" i="6" s="1"/>
  <c r="AX482" i="6" s="1"/>
  <c r="AY482" i="6" s="1"/>
  <c r="L504" i="6"/>
  <c r="Q504" i="6" s="1"/>
  <c r="S504" i="6" s="1"/>
  <c r="O505" i="6"/>
  <c r="N505" i="6"/>
  <c r="K505" i="6"/>
  <c r="G505" i="6"/>
  <c r="H505" i="6" s="1"/>
  <c r="I505" i="6"/>
  <c r="J505" i="6" s="1"/>
  <c r="F506" i="6"/>
  <c r="P506" i="6" s="1"/>
  <c r="AT484" i="6"/>
  <c r="AT44" i="12" s="1"/>
  <c r="M484" i="6"/>
  <c r="R484" i="6" s="1"/>
  <c r="T484" i="6" s="1"/>
  <c r="U484" i="6" s="1"/>
  <c r="V484" i="6"/>
  <c r="AA502" i="5" l="1"/>
  <c r="X502" i="5"/>
  <c r="J503" i="5"/>
  <c r="M503" i="5"/>
  <c r="Q504" i="5"/>
  <c r="T504" i="5"/>
  <c r="F503" i="5"/>
  <c r="C503" i="5"/>
  <c r="AN506" i="6"/>
  <c r="AG506" i="6"/>
  <c r="AD507" i="6"/>
  <c r="AL506" i="6"/>
  <c r="AI506" i="6"/>
  <c r="AE506" i="6"/>
  <c r="AF506" i="6" s="1"/>
  <c r="AM506" i="6"/>
  <c r="AH506" i="6"/>
  <c r="AJ506" i="6" s="1"/>
  <c r="AO506" i="6" s="1"/>
  <c r="AQ506" i="6" s="1"/>
  <c r="Y484" i="6"/>
  <c r="L505" i="6"/>
  <c r="Q505" i="6" s="1"/>
  <c r="S505" i="6" s="1"/>
  <c r="G506" i="6"/>
  <c r="H506" i="6" s="1"/>
  <c r="O506" i="6"/>
  <c r="I506" i="6"/>
  <c r="J506" i="6" s="1"/>
  <c r="K506" i="6"/>
  <c r="N506" i="6"/>
  <c r="F507" i="6"/>
  <c r="P507" i="6" s="1"/>
  <c r="Z484" i="6"/>
  <c r="AW484" i="6"/>
  <c r="AW44" i="12" s="1"/>
  <c r="AU484" i="6"/>
  <c r="AU44" i="12" s="1"/>
  <c r="AK485" i="6"/>
  <c r="W484" i="6"/>
  <c r="AK486" i="6"/>
  <c r="AP486" i="6" s="1"/>
  <c r="AR486" i="6" s="1"/>
  <c r="AT485" i="6"/>
  <c r="AU485" i="6" s="1"/>
  <c r="AV485" i="6" s="1"/>
  <c r="V485" i="6"/>
  <c r="W485" i="6" s="1"/>
  <c r="X485" i="6" s="1"/>
  <c r="M504" i="5" l="1"/>
  <c r="J504" i="5"/>
  <c r="Q505" i="5"/>
  <c r="T505" i="5"/>
  <c r="X503" i="5"/>
  <c r="AA503" i="5"/>
  <c r="F504" i="5"/>
  <c r="C504" i="5"/>
  <c r="AN507" i="6"/>
  <c r="AI507" i="6"/>
  <c r="AL507" i="6"/>
  <c r="AE507" i="6"/>
  <c r="AM507" i="6"/>
  <c r="AG507" i="6"/>
  <c r="AD508" i="6"/>
  <c r="AH507" i="6"/>
  <c r="AJ507" i="6" s="1"/>
  <c r="AO507" i="6" s="1"/>
  <c r="AQ507" i="6" s="1"/>
  <c r="AF507" i="6"/>
  <c r="AP485" i="6"/>
  <c r="L506" i="6"/>
  <c r="Q506" i="6" s="1"/>
  <c r="S506" i="6" s="1"/>
  <c r="G507" i="6"/>
  <c r="H507" i="6" s="1"/>
  <c r="N507" i="6"/>
  <c r="F508" i="6"/>
  <c r="P508" i="6" s="1"/>
  <c r="I507" i="6"/>
  <c r="J507" i="6" s="1"/>
  <c r="K507" i="6"/>
  <c r="O507" i="6"/>
  <c r="AX484" i="6"/>
  <c r="AX44" i="12" s="1"/>
  <c r="AT486" i="6"/>
  <c r="AU486" i="6" s="1"/>
  <c r="AV486" i="6" s="1"/>
  <c r="X484" i="6"/>
  <c r="M485" i="6"/>
  <c r="R485" i="6" s="1"/>
  <c r="T485" i="6" s="1"/>
  <c r="U485" i="6" s="1"/>
  <c r="Y485" i="6" s="1"/>
  <c r="Z485" i="6" s="1"/>
  <c r="AA485" i="6" s="1"/>
  <c r="AV484" i="6"/>
  <c r="AV44" i="12" s="1"/>
  <c r="AA484" i="6"/>
  <c r="M486" i="6"/>
  <c r="R486" i="6" s="1"/>
  <c r="T486" i="6" s="1"/>
  <c r="U486" i="6" s="1"/>
  <c r="V486" i="6"/>
  <c r="W486" i="6" s="1"/>
  <c r="X486" i="6" s="1"/>
  <c r="X504" i="5" l="1"/>
  <c r="AA504" i="5"/>
  <c r="Q506" i="5"/>
  <c r="T506" i="5"/>
  <c r="M505" i="5"/>
  <c r="J505" i="5"/>
  <c r="F505" i="5"/>
  <c r="C505" i="5"/>
  <c r="AN508" i="6"/>
  <c r="AE508" i="6"/>
  <c r="AM508" i="6"/>
  <c r="AD509" i="6"/>
  <c r="AF508" i="6"/>
  <c r="AL508" i="6"/>
  <c r="AG508" i="6"/>
  <c r="AH508" i="6" s="1"/>
  <c r="AI508" i="6"/>
  <c r="AJ508" i="6"/>
  <c r="AO508" i="6" s="1"/>
  <c r="AQ508" i="6" s="1"/>
  <c r="AR485" i="6"/>
  <c r="L507" i="6"/>
  <c r="Q507" i="6" s="1"/>
  <c r="S507" i="6" s="1"/>
  <c r="Y486" i="6"/>
  <c r="Z486" i="6" s="1"/>
  <c r="AA486" i="6" s="1"/>
  <c r="N508" i="6"/>
  <c r="F509" i="6"/>
  <c r="P509" i="6" s="1"/>
  <c r="K508" i="6"/>
  <c r="I508" i="6"/>
  <c r="J508" i="6" s="1"/>
  <c r="O508" i="6"/>
  <c r="G508" i="6"/>
  <c r="H508" i="6" s="1"/>
  <c r="AT487" i="6"/>
  <c r="AU487" i="6" s="1"/>
  <c r="AV487" i="6" s="1"/>
  <c r="AK488" i="6"/>
  <c r="AP488" i="6" s="1"/>
  <c r="AR488" i="6" s="1"/>
  <c r="AK487" i="6"/>
  <c r="AY484" i="6"/>
  <c r="AY44" i="12" s="1"/>
  <c r="V487" i="6"/>
  <c r="W487" i="6" s="1"/>
  <c r="X487" i="6" s="1"/>
  <c r="J506" i="5" l="1"/>
  <c r="M506" i="5"/>
  <c r="Q507" i="5"/>
  <c r="T507" i="5"/>
  <c r="AA505" i="5"/>
  <c r="X505" i="5"/>
  <c r="F506" i="5"/>
  <c r="C506" i="5"/>
  <c r="AN509" i="6"/>
  <c r="AN47" i="12" s="1"/>
  <c r="AF509" i="6"/>
  <c r="AG509" i="6"/>
  <c r="AH509" i="6" s="1"/>
  <c r="AE509" i="6"/>
  <c r="AM509" i="6"/>
  <c r="AD510" i="6"/>
  <c r="AI509" i="6"/>
  <c r="AL509" i="6"/>
  <c r="AJ509" i="6"/>
  <c r="AO509" i="6" s="1"/>
  <c r="AQ509" i="6"/>
  <c r="AP487" i="6"/>
  <c r="AS485" i="6"/>
  <c r="AW485" i="6" s="1"/>
  <c r="AX485" i="6" s="1"/>
  <c r="AY485" i="6" s="1"/>
  <c r="AS486" i="6"/>
  <c r="AW486" i="6" s="1"/>
  <c r="AX486" i="6" s="1"/>
  <c r="AY486" i="6" s="1"/>
  <c r="L508" i="6"/>
  <c r="Q508" i="6" s="1"/>
  <c r="S508" i="6" s="1"/>
  <c r="I509" i="6"/>
  <c r="J509" i="6" s="1"/>
  <c r="F510" i="6"/>
  <c r="P510" i="6" s="1"/>
  <c r="N509" i="6"/>
  <c r="O509" i="6"/>
  <c r="G509" i="6"/>
  <c r="H509" i="6" s="1"/>
  <c r="K509" i="6"/>
  <c r="M487" i="6"/>
  <c r="R487" i="6" s="1"/>
  <c r="T487" i="6" s="1"/>
  <c r="AT488" i="6"/>
  <c r="AU488" i="6" s="1"/>
  <c r="AV488" i="6" s="1"/>
  <c r="M488" i="6"/>
  <c r="R488" i="6" s="1"/>
  <c r="T488" i="6" s="1"/>
  <c r="V488" i="6"/>
  <c r="W488" i="6" s="1"/>
  <c r="X488" i="6" s="1"/>
  <c r="X506" i="5" l="1"/>
  <c r="AA506" i="5"/>
  <c r="T508" i="5"/>
  <c r="Q508" i="5"/>
  <c r="J507" i="5"/>
  <c r="M507" i="5"/>
  <c r="F507" i="5"/>
  <c r="C507" i="5"/>
  <c r="AN510" i="6"/>
  <c r="AG510" i="6"/>
  <c r="AH510" i="6" s="1"/>
  <c r="AI510" i="6"/>
  <c r="AD511" i="6"/>
  <c r="AL510" i="6"/>
  <c r="AM510" i="6"/>
  <c r="AE510" i="6"/>
  <c r="AF510" i="6" s="1"/>
  <c r="AJ510" i="6"/>
  <c r="AO510" i="6" s="1"/>
  <c r="AQ510" i="6" s="1"/>
  <c r="AR487" i="6"/>
  <c r="L509" i="6"/>
  <c r="Q509" i="6" s="1"/>
  <c r="S509" i="6" s="1"/>
  <c r="G510" i="6"/>
  <c r="H510" i="6" s="1"/>
  <c r="O510" i="6"/>
  <c r="I510" i="6"/>
  <c r="J510" i="6" s="1"/>
  <c r="N510" i="6"/>
  <c r="F511" i="6"/>
  <c r="P511" i="6" s="1"/>
  <c r="K510" i="6"/>
  <c r="AT489" i="6"/>
  <c r="AU489" i="6" s="1"/>
  <c r="AV489" i="6" s="1"/>
  <c r="AK490" i="6"/>
  <c r="AP490" i="6" s="1"/>
  <c r="AR490" i="6" s="1"/>
  <c r="AK489" i="6"/>
  <c r="U488" i="6"/>
  <c r="Y488" i="6" s="1"/>
  <c r="Z488" i="6" s="1"/>
  <c r="AA488" i="6" s="1"/>
  <c r="U487" i="6"/>
  <c r="Y487" i="6" s="1"/>
  <c r="Z487" i="6" s="1"/>
  <c r="AA487" i="6" s="1"/>
  <c r="V489" i="6"/>
  <c r="W489" i="6" s="1"/>
  <c r="X489" i="6" s="1"/>
  <c r="J508" i="5" l="1"/>
  <c r="M508" i="5"/>
  <c r="T509" i="5"/>
  <c r="Q509" i="5"/>
  <c r="X507" i="5"/>
  <c r="AA507" i="5"/>
  <c r="F508" i="5"/>
  <c r="C508" i="5"/>
  <c r="AN511" i="6"/>
  <c r="AG511" i="6"/>
  <c r="AL511" i="6"/>
  <c r="AM511" i="6"/>
  <c r="AE511" i="6"/>
  <c r="AI511" i="6"/>
  <c r="AD512" i="6"/>
  <c r="AF511" i="6"/>
  <c r="AH511" i="6"/>
  <c r="AJ511" i="6"/>
  <c r="AO511" i="6" s="1"/>
  <c r="AQ511" i="6"/>
  <c r="AP489" i="6"/>
  <c r="AS487" i="6"/>
  <c r="AW487" i="6" s="1"/>
  <c r="AX487" i="6" s="1"/>
  <c r="AY487" i="6" s="1"/>
  <c r="AS488" i="6"/>
  <c r="AW488" i="6" s="1"/>
  <c r="AX488" i="6" s="1"/>
  <c r="AY488" i="6" s="1"/>
  <c r="L510" i="6"/>
  <c r="Q510" i="6" s="1"/>
  <c r="S510" i="6" s="1"/>
  <c r="N511" i="6"/>
  <c r="F512" i="6"/>
  <c r="P512" i="6" s="1"/>
  <c r="O511" i="6"/>
  <c r="I511" i="6"/>
  <c r="J511" i="6" s="1"/>
  <c r="K511" i="6"/>
  <c r="G511" i="6"/>
  <c r="H511" i="6" s="1"/>
  <c r="AT490" i="6"/>
  <c r="AU490" i="6" s="1"/>
  <c r="AV490" i="6" s="1"/>
  <c r="M489" i="6"/>
  <c r="R489" i="6" s="1"/>
  <c r="T489" i="6" s="1"/>
  <c r="U489" i="6" s="1"/>
  <c r="Y489" i="6" s="1"/>
  <c r="Z489" i="6" s="1"/>
  <c r="AA489" i="6" s="1"/>
  <c r="M490" i="6"/>
  <c r="R490" i="6" s="1"/>
  <c r="T490" i="6" s="1"/>
  <c r="U490" i="6" s="1"/>
  <c r="V490" i="6"/>
  <c r="W490" i="6" s="1"/>
  <c r="X490" i="6" s="1"/>
  <c r="AA508" i="5" l="1"/>
  <c r="X508" i="5"/>
  <c r="T510" i="5"/>
  <c r="Q510" i="5"/>
  <c r="M509" i="5"/>
  <c r="J509" i="5"/>
  <c r="F509" i="5"/>
  <c r="C509" i="5"/>
  <c r="AN512" i="6"/>
  <c r="AM512" i="6"/>
  <c r="AG512" i="6"/>
  <c r="AI512" i="6"/>
  <c r="AE512" i="6"/>
  <c r="AF512" i="6" s="1"/>
  <c r="AD513" i="6"/>
  <c r="AL512" i="6"/>
  <c r="AH512" i="6"/>
  <c r="AJ512" i="6" s="1"/>
  <c r="AO512" i="6"/>
  <c r="AQ512" i="6" s="1"/>
  <c r="Y490" i="6"/>
  <c r="Z490" i="6" s="1"/>
  <c r="AA490" i="6" s="1"/>
  <c r="AR489" i="6"/>
  <c r="L511" i="6"/>
  <c r="Q511" i="6" s="1"/>
  <c r="S511" i="6" s="1"/>
  <c r="K512" i="6"/>
  <c r="F513" i="6"/>
  <c r="P513" i="6" s="1"/>
  <c r="I512" i="6"/>
  <c r="J512" i="6" s="1"/>
  <c r="O512" i="6"/>
  <c r="G512" i="6"/>
  <c r="H512" i="6" s="1"/>
  <c r="N512" i="6"/>
  <c r="AK491" i="6"/>
  <c r="AK492" i="6"/>
  <c r="AP492" i="6" s="1"/>
  <c r="AR492" i="6" s="1"/>
  <c r="AT491" i="6"/>
  <c r="AU491" i="6" s="1"/>
  <c r="AV491" i="6" s="1"/>
  <c r="V491" i="6"/>
  <c r="W491" i="6" s="1"/>
  <c r="X491" i="6" s="1"/>
  <c r="M510" i="5" l="1"/>
  <c r="J510" i="5"/>
  <c r="T511" i="5"/>
  <c r="Q511" i="5"/>
  <c r="AA509" i="5"/>
  <c r="X509" i="5"/>
  <c r="F510" i="5"/>
  <c r="C510" i="5"/>
  <c r="AN513" i="6"/>
  <c r="AL513" i="6"/>
  <c r="AE513" i="6"/>
  <c r="AF513" i="6" s="1"/>
  <c r="AI513" i="6"/>
  <c r="AM513" i="6"/>
  <c r="AG513" i="6"/>
  <c r="AH513" i="6" s="1"/>
  <c r="AJ513" i="6" s="1"/>
  <c r="AO513" i="6" s="1"/>
  <c r="AD514" i="6"/>
  <c r="AQ513" i="6"/>
  <c r="AP491" i="6"/>
  <c r="AS489" i="6"/>
  <c r="AW489" i="6" s="1"/>
  <c r="AX489" i="6" s="1"/>
  <c r="AY489" i="6" s="1"/>
  <c r="AS490" i="6"/>
  <c r="AW490" i="6" s="1"/>
  <c r="AX490" i="6" s="1"/>
  <c r="AY490" i="6" s="1"/>
  <c r="L512" i="6"/>
  <c r="Q512" i="6" s="1"/>
  <c r="S512" i="6" s="1"/>
  <c r="I513" i="6"/>
  <c r="J513" i="6" s="1"/>
  <c r="K513" i="6"/>
  <c r="O513" i="6"/>
  <c r="N513" i="6"/>
  <c r="G513" i="6"/>
  <c r="H513" i="6" s="1"/>
  <c r="F514" i="6"/>
  <c r="P514" i="6" s="1"/>
  <c r="M491" i="6"/>
  <c r="R491" i="6" s="1"/>
  <c r="T491" i="6" s="1"/>
  <c r="U491" i="6" s="1"/>
  <c r="Y491" i="6" s="1"/>
  <c r="Z491" i="6" s="1"/>
  <c r="AA491" i="6" s="1"/>
  <c r="AT492" i="6"/>
  <c r="AU492" i="6" s="1"/>
  <c r="AV492" i="6" s="1"/>
  <c r="M492" i="6"/>
  <c r="R492" i="6" s="1"/>
  <c r="T492" i="6" s="1"/>
  <c r="U492" i="6" s="1"/>
  <c r="V492" i="6"/>
  <c r="W492" i="6" s="1"/>
  <c r="X492" i="6" s="1"/>
  <c r="AA510" i="5" l="1"/>
  <c r="X510" i="5"/>
  <c r="T512" i="5"/>
  <c r="Q512" i="5"/>
  <c r="J511" i="5"/>
  <c r="M511" i="5"/>
  <c r="F511" i="5"/>
  <c r="C511" i="5"/>
  <c r="AN514" i="6"/>
  <c r="AG514" i="6"/>
  <c r="AH514" i="6" s="1"/>
  <c r="AL514" i="6"/>
  <c r="AE514" i="6"/>
  <c r="AF514" i="6" s="1"/>
  <c r="AI514" i="6"/>
  <c r="AM514" i="6"/>
  <c r="AD515" i="6"/>
  <c r="AJ514" i="6"/>
  <c r="AO514" i="6" s="1"/>
  <c r="AQ514" i="6" s="1"/>
  <c r="Y492" i="6"/>
  <c r="Z492" i="6" s="1"/>
  <c r="AA492" i="6" s="1"/>
  <c r="AR491" i="6"/>
  <c r="L513" i="6"/>
  <c r="Q513" i="6" s="1"/>
  <c r="S513" i="6" s="1"/>
  <c r="O514" i="6"/>
  <c r="G514" i="6"/>
  <c r="H514" i="6" s="1"/>
  <c r="I514" i="6"/>
  <c r="J514" i="6" s="1"/>
  <c r="F515" i="6"/>
  <c r="P515" i="6" s="1"/>
  <c r="K514" i="6"/>
  <c r="N514" i="6"/>
  <c r="AK493" i="6"/>
  <c r="AT493" i="6"/>
  <c r="AU493" i="6" s="1"/>
  <c r="AV493" i="6" s="1"/>
  <c r="AK494" i="6"/>
  <c r="AP494" i="6" s="1"/>
  <c r="AR494" i="6" s="1"/>
  <c r="V493" i="6"/>
  <c r="W493" i="6" s="1"/>
  <c r="X493" i="6" s="1"/>
  <c r="M512" i="5" l="1"/>
  <c r="J512" i="5"/>
  <c r="T513" i="5"/>
  <c r="Q513" i="5"/>
  <c r="AA511" i="5"/>
  <c r="X511" i="5"/>
  <c r="F512" i="5"/>
  <c r="C512" i="5"/>
  <c r="AN515" i="6"/>
  <c r="AG515" i="6"/>
  <c r="AH515" i="6" s="1"/>
  <c r="AM515" i="6"/>
  <c r="AE515" i="6"/>
  <c r="AF515" i="6" s="1"/>
  <c r="AI515" i="6"/>
  <c r="AD516" i="6"/>
  <c r="AL515" i="6"/>
  <c r="AJ515" i="6"/>
  <c r="AO515" i="6" s="1"/>
  <c r="AQ515" i="6"/>
  <c r="AP493" i="6"/>
  <c r="AS492" i="6"/>
  <c r="AW492" i="6" s="1"/>
  <c r="AX492" i="6" s="1"/>
  <c r="AY492" i="6" s="1"/>
  <c r="AS491" i="6"/>
  <c r="AW491" i="6" s="1"/>
  <c r="AX491" i="6" s="1"/>
  <c r="AY491" i="6" s="1"/>
  <c r="L514" i="6"/>
  <c r="Q514" i="6" s="1"/>
  <c r="S514" i="6" s="1"/>
  <c r="I515" i="6"/>
  <c r="J515" i="6" s="1"/>
  <c r="K515" i="6"/>
  <c r="O515" i="6"/>
  <c r="N515" i="6"/>
  <c r="G515" i="6"/>
  <c r="H515" i="6" s="1"/>
  <c r="F516" i="6"/>
  <c r="P516" i="6" s="1"/>
  <c r="AK495" i="6"/>
  <c r="AP495" i="6" s="1"/>
  <c r="AR495" i="6" s="1"/>
  <c r="AT494" i="6"/>
  <c r="AU494" i="6" s="1"/>
  <c r="AV494" i="6" s="1"/>
  <c r="M493" i="6"/>
  <c r="R493" i="6" s="1"/>
  <c r="T493" i="6" s="1"/>
  <c r="U493" i="6" s="1"/>
  <c r="Y493" i="6" s="1"/>
  <c r="Z493" i="6" s="1"/>
  <c r="AA493" i="6" s="1"/>
  <c r="M494" i="6"/>
  <c r="R494" i="6" s="1"/>
  <c r="T494" i="6" s="1"/>
  <c r="V494" i="6"/>
  <c r="W494" i="6" s="1"/>
  <c r="X494" i="6" s="1"/>
  <c r="AA512" i="5" l="1"/>
  <c r="X512" i="5"/>
  <c r="T514" i="5"/>
  <c r="Q514" i="5"/>
  <c r="J513" i="5"/>
  <c r="M513" i="5"/>
  <c r="F513" i="5"/>
  <c r="C513" i="5"/>
  <c r="AN516" i="6"/>
  <c r="AM516" i="6"/>
  <c r="AF516" i="6"/>
  <c r="AI516" i="6"/>
  <c r="AG516" i="6"/>
  <c r="AH516" i="6" s="1"/>
  <c r="AE516" i="6"/>
  <c r="AD517" i="6"/>
  <c r="AL516" i="6"/>
  <c r="AJ516" i="6"/>
  <c r="AO516" i="6" s="1"/>
  <c r="AQ516" i="6"/>
  <c r="AS495" i="6"/>
  <c r="AW495" i="6" s="1"/>
  <c r="AX495" i="6" s="1"/>
  <c r="AY495" i="6" s="1"/>
  <c r="AR493" i="6"/>
  <c r="AP45" i="12"/>
  <c r="AR45" i="12" s="1"/>
  <c r="L515" i="6"/>
  <c r="Q515" i="6" s="1"/>
  <c r="S515" i="6" s="1"/>
  <c r="F517" i="6"/>
  <c r="P517" i="6" s="1"/>
  <c r="I516" i="6"/>
  <c r="J516" i="6" s="1"/>
  <c r="O516" i="6"/>
  <c r="G516" i="6"/>
  <c r="H516" i="6" s="1"/>
  <c r="N516" i="6"/>
  <c r="K516" i="6"/>
  <c r="U494" i="6"/>
  <c r="Y494" i="6" s="1"/>
  <c r="Z494" i="6" s="1"/>
  <c r="AA494" i="6" s="1"/>
  <c r="AK496" i="6"/>
  <c r="AP496" i="6" s="1"/>
  <c r="AR496" i="6" s="1"/>
  <c r="AS496" i="6" s="1"/>
  <c r="AT495" i="6"/>
  <c r="AU495" i="6" s="1"/>
  <c r="AV495" i="6" s="1"/>
  <c r="M495" i="6"/>
  <c r="R495" i="6" s="1"/>
  <c r="T495" i="6" s="1"/>
  <c r="U495" i="6" s="1"/>
  <c r="V495" i="6"/>
  <c r="W495" i="6" s="1"/>
  <c r="X495" i="6" s="1"/>
  <c r="M514" i="5" l="1"/>
  <c r="J514" i="5"/>
  <c r="Q515" i="5"/>
  <c r="T515" i="5"/>
  <c r="AA513" i="5"/>
  <c r="X513" i="5"/>
  <c r="F514" i="5"/>
  <c r="C514" i="5"/>
  <c r="AN517" i="6"/>
  <c r="AL517" i="6"/>
  <c r="AE517" i="6"/>
  <c r="AM517" i="6"/>
  <c r="AF517" i="6"/>
  <c r="AI517" i="6"/>
  <c r="AG517" i="6"/>
  <c r="AH517" i="6" s="1"/>
  <c r="AD518" i="6"/>
  <c r="AJ517" i="6"/>
  <c r="AO517" i="6" s="1"/>
  <c r="AQ517" i="6"/>
  <c r="Y495" i="6"/>
  <c r="Z495" i="6" s="1"/>
  <c r="AA495" i="6" s="1"/>
  <c r="AS493" i="6"/>
  <c r="AW493" i="6" s="1"/>
  <c r="AX493" i="6" s="1"/>
  <c r="AY493" i="6" s="1"/>
  <c r="AS494" i="6"/>
  <c r="AW494" i="6" s="1"/>
  <c r="AX494" i="6" s="1"/>
  <c r="AY494" i="6" s="1"/>
  <c r="L516" i="6"/>
  <c r="Q516" i="6" s="1"/>
  <c r="S516" i="6" s="1"/>
  <c r="F518" i="6"/>
  <c r="P518" i="6" s="1"/>
  <c r="K517" i="6"/>
  <c r="G517" i="6"/>
  <c r="H517" i="6" s="1"/>
  <c r="O517" i="6"/>
  <c r="N517" i="6"/>
  <c r="I517" i="6"/>
  <c r="J517" i="6" s="1"/>
  <c r="AT496" i="6"/>
  <c r="AT45" i="12" s="1"/>
  <c r="M496" i="6"/>
  <c r="R496" i="6" s="1"/>
  <c r="T496" i="6" s="1"/>
  <c r="U496" i="6" s="1"/>
  <c r="V496" i="6"/>
  <c r="X514" i="5" l="1"/>
  <c r="AA514" i="5"/>
  <c r="T516" i="5"/>
  <c r="Q516" i="5"/>
  <c r="J515" i="5"/>
  <c r="M515" i="5"/>
  <c r="F515" i="5"/>
  <c r="C515" i="5"/>
  <c r="AN518" i="6"/>
  <c r="AL518" i="6"/>
  <c r="AE518" i="6"/>
  <c r="AF518" i="6" s="1"/>
  <c r="AM518" i="6"/>
  <c r="AG518" i="6"/>
  <c r="AH518" i="6" s="1"/>
  <c r="AI518" i="6"/>
  <c r="AD519" i="6"/>
  <c r="AJ518" i="6"/>
  <c r="AO518" i="6" s="1"/>
  <c r="AQ518" i="6" s="1"/>
  <c r="Y496" i="6"/>
  <c r="L517" i="6"/>
  <c r="Q517" i="6" s="1"/>
  <c r="S517" i="6" s="1"/>
  <c r="G518" i="6"/>
  <c r="H518" i="6" s="1"/>
  <c r="N518" i="6"/>
  <c r="F519" i="6"/>
  <c r="P519" i="6" s="1"/>
  <c r="K518" i="6"/>
  <c r="I518" i="6"/>
  <c r="J518" i="6" s="1"/>
  <c r="O518" i="6"/>
  <c r="W496" i="6"/>
  <c r="AU496" i="6"/>
  <c r="AU45" i="12" s="1"/>
  <c r="AW496" i="6"/>
  <c r="AW45" i="12" s="1"/>
  <c r="AK498" i="6"/>
  <c r="AP498" i="6" s="1"/>
  <c r="AR498" i="6" s="1"/>
  <c r="AT497" i="6"/>
  <c r="AU497" i="6" s="1"/>
  <c r="AV497" i="6" s="1"/>
  <c r="AK497" i="6"/>
  <c r="Z496" i="6"/>
  <c r="V497" i="6"/>
  <c r="W497" i="6" s="1"/>
  <c r="X497" i="6" s="1"/>
  <c r="J516" i="5" l="1"/>
  <c r="M516" i="5"/>
  <c r="T517" i="5"/>
  <c r="Q517" i="5"/>
  <c r="AA515" i="5"/>
  <c r="X515" i="5"/>
  <c r="F516" i="5"/>
  <c r="C516" i="5"/>
  <c r="AN519" i="6"/>
  <c r="AI519" i="6"/>
  <c r="AD520" i="6"/>
  <c r="AE519" i="6"/>
  <c r="AL519" i="6"/>
  <c r="AG519" i="6"/>
  <c r="AM519" i="6"/>
  <c r="AF519" i="6"/>
  <c r="AH519" i="6"/>
  <c r="AJ519" i="6" s="1"/>
  <c r="AO519" i="6" s="1"/>
  <c r="AQ519" i="6" s="1"/>
  <c r="L518" i="6"/>
  <c r="AP497" i="6"/>
  <c r="Q518" i="6"/>
  <c r="S518" i="6" s="1"/>
  <c r="O519" i="6"/>
  <c r="G519" i="6"/>
  <c r="H519" i="6" s="1"/>
  <c r="N519" i="6"/>
  <c r="F520" i="6"/>
  <c r="P520" i="6" s="1"/>
  <c r="K519" i="6"/>
  <c r="I519" i="6"/>
  <c r="J519" i="6" s="1"/>
  <c r="AA496" i="6"/>
  <c r="AT498" i="6"/>
  <c r="AU498" i="6" s="1"/>
  <c r="AV498" i="6" s="1"/>
  <c r="AX496" i="6"/>
  <c r="AX45" i="12" s="1"/>
  <c r="M497" i="6"/>
  <c r="R497" i="6" s="1"/>
  <c r="T497" i="6" s="1"/>
  <c r="U497" i="6" s="1"/>
  <c r="Y497" i="6" s="1"/>
  <c r="Z497" i="6" s="1"/>
  <c r="AA497" i="6" s="1"/>
  <c r="AV496" i="6"/>
  <c r="AV45" i="12" s="1"/>
  <c r="X496" i="6"/>
  <c r="M498" i="6"/>
  <c r="R498" i="6" s="1"/>
  <c r="T498" i="6" s="1"/>
  <c r="U498" i="6" s="1"/>
  <c r="V498" i="6"/>
  <c r="W498" i="6" s="1"/>
  <c r="X498" i="6" s="1"/>
  <c r="X516" i="5" l="1"/>
  <c r="AA516" i="5"/>
  <c r="Q518" i="5"/>
  <c r="T518" i="5"/>
  <c r="M517" i="5"/>
  <c r="J517" i="5"/>
  <c r="F517" i="5"/>
  <c r="C517" i="5"/>
  <c r="AN520" i="6"/>
  <c r="AL520" i="6"/>
  <c r="AE520" i="6"/>
  <c r="AM520" i="6"/>
  <c r="AF520" i="6"/>
  <c r="AI520" i="6"/>
  <c r="AG520" i="6"/>
  <c r="AH520" i="6" s="1"/>
  <c r="AD521" i="6"/>
  <c r="AJ520" i="6"/>
  <c r="AO520" i="6" s="1"/>
  <c r="AQ520" i="6" s="1"/>
  <c r="Y498" i="6"/>
  <c r="Z498" i="6" s="1"/>
  <c r="AA498" i="6" s="1"/>
  <c r="AR497" i="6"/>
  <c r="L519" i="6"/>
  <c r="Q519" i="6" s="1"/>
  <c r="S519" i="6" s="1"/>
  <c r="O520" i="6"/>
  <c r="G520" i="6"/>
  <c r="H520" i="6" s="1"/>
  <c r="N520" i="6"/>
  <c r="F521" i="6"/>
  <c r="P521" i="6" s="1"/>
  <c r="K520" i="6"/>
  <c r="I520" i="6"/>
  <c r="J520" i="6" s="1"/>
  <c r="AY496" i="6"/>
  <c r="AY45" i="12" s="1"/>
  <c r="AK499" i="6"/>
  <c r="AT499" i="6"/>
  <c r="AU499" i="6" s="1"/>
  <c r="AV499" i="6" s="1"/>
  <c r="AK500" i="6"/>
  <c r="AP500" i="6" s="1"/>
  <c r="AR500" i="6" s="1"/>
  <c r="M499" i="6"/>
  <c r="R499" i="6" s="1"/>
  <c r="T499" i="6" s="1"/>
  <c r="U499" i="6" s="1"/>
  <c r="V499" i="6"/>
  <c r="W499" i="6" s="1"/>
  <c r="X499" i="6" s="1"/>
  <c r="M518" i="5" l="1"/>
  <c r="J518" i="5"/>
  <c r="T519" i="5"/>
  <c r="Q519" i="5"/>
  <c r="AA517" i="5"/>
  <c r="X517" i="5"/>
  <c r="F518" i="5"/>
  <c r="C518" i="5"/>
  <c r="AN521" i="6"/>
  <c r="AL521" i="6"/>
  <c r="AE521" i="6"/>
  <c r="AF521" i="6" s="1"/>
  <c r="AM521" i="6"/>
  <c r="AD522" i="6"/>
  <c r="AG521" i="6"/>
  <c r="AH521" i="6" s="1"/>
  <c r="AI521" i="6"/>
  <c r="AJ521" i="6"/>
  <c r="AO521" i="6"/>
  <c r="AQ521" i="6"/>
  <c r="Y499" i="6"/>
  <c r="Z499" i="6" s="1"/>
  <c r="AA499" i="6" s="1"/>
  <c r="AP499" i="6"/>
  <c r="AS497" i="6"/>
  <c r="AW497" i="6" s="1"/>
  <c r="AX497" i="6" s="1"/>
  <c r="AY497" i="6" s="1"/>
  <c r="AS498" i="6"/>
  <c r="AW498" i="6" s="1"/>
  <c r="AX498" i="6" s="1"/>
  <c r="AY498" i="6" s="1"/>
  <c r="L520" i="6"/>
  <c r="Q520" i="6" s="1"/>
  <c r="S520" i="6" s="1"/>
  <c r="K521" i="6"/>
  <c r="I521" i="6"/>
  <c r="J521" i="6" s="1"/>
  <c r="O521" i="6"/>
  <c r="G521" i="6"/>
  <c r="H521" i="6" s="1"/>
  <c r="N521" i="6"/>
  <c r="F522" i="6"/>
  <c r="P522" i="6" s="1"/>
  <c r="AT500" i="6"/>
  <c r="AU500" i="6" s="1"/>
  <c r="AV500" i="6" s="1"/>
  <c r="V500" i="6"/>
  <c r="W500" i="6" s="1"/>
  <c r="X500" i="6" s="1"/>
  <c r="X518" i="5" l="1"/>
  <c r="AA518" i="5"/>
  <c r="T520" i="5"/>
  <c r="Q520" i="5"/>
  <c r="J519" i="5"/>
  <c r="M519" i="5"/>
  <c r="F519" i="5"/>
  <c r="C519" i="5"/>
  <c r="AN522" i="6"/>
  <c r="AM522" i="6"/>
  <c r="AD523" i="6"/>
  <c r="AE522" i="6"/>
  <c r="AF522" i="6" s="1"/>
  <c r="AG522" i="6"/>
  <c r="AH522" i="6" s="1"/>
  <c r="AI522" i="6"/>
  <c r="AL522" i="6"/>
  <c r="AJ522" i="6"/>
  <c r="AO522" i="6" s="1"/>
  <c r="AQ522" i="6" s="1"/>
  <c r="AR499" i="6"/>
  <c r="L521" i="6"/>
  <c r="Q521" i="6" s="1"/>
  <c r="S521" i="6" s="1"/>
  <c r="F523" i="6"/>
  <c r="P523" i="6" s="1"/>
  <c r="K522" i="6"/>
  <c r="I522" i="6"/>
  <c r="J522" i="6" s="1"/>
  <c r="O522" i="6"/>
  <c r="G522" i="6"/>
  <c r="H522" i="6" s="1"/>
  <c r="N522" i="6"/>
  <c r="M500" i="6"/>
  <c r="R500" i="6" s="1"/>
  <c r="T500" i="6" s="1"/>
  <c r="U500" i="6" s="1"/>
  <c r="Y500" i="6" s="1"/>
  <c r="Z500" i="6" s="1"/>
  <c r="AA500" i="6" s="1"/>
  <c r="AK502" i="6"/>
  <c r="AP502" i="6" s="1"/>
  <c r="AR502" i="6" s="1"/>
  <c r="AT501" i="6"/>
  <c r="AU501" i="6" s="1"/>
  <c r="AV501" i="6" s="1"/>
  <c r="AK501" i="6"/>
  <c r="M501" i="6"/>
  <c r="R501" i="6" s="1"/>
  <c r="T501" i="6" s="1"/>
  <c r="U501" i="6" s="1"/>
  <c r="V501" i="6"/>
  <c r="W501" i="6" s="1"/>
  <c r="X501" i="6" s="1"/>
  <c r="J520" i="5" l="1"/>
  <c r="M520" i="5"/>
  <c r="Q521" i="5"/>
  <c r="T521" i="5"/>
  <c r="AA519" i="5"/>
  <c r="X519" i="5"/>
  <c r="F520" i="5"/>
  <c r="C520" i="5"/>
  <c r="AN523" i="6"/>
  <c r="AN48" i="12" s="1"/>
  <c r="AI523" i="6"/>
  <c r="AD524" i="6"/>
  <c r="AL523" i="6"/>
  <c r="AE523" i="6"/>
  <c r="AG523" i="6"/>
  <c r="AM523" i="6"/>
  <c r="AH523" i="6"/>
  <c r="AF523" i="6"/>
  <c r="AJ523" i="6"/>
  <c r="AO523" i="6" s="1"/>
  <c r="AQ523" i="6"/>
  <c r="Y501" i="6"/>
  <c r="Z501" i="6" s="1"/>
  <c r="AA501" i="6" s="1"/>
  <c r="AP501" i="6"/>
  <c r="AS499" i="6"/>
  <c r="AW499" i="6" s="1"/>
  <c r="AX499" i="6" s="1"/>
  <c r="AY499" i="6" s="1"/>
  <c r="AS500" i="6"/>
  <c r="AW500" i="6" s="1"/>
  <c r="AX500" i="6" s="1"/>
  <c r="AY500" i="6" s="1"/>
  <c r="L522" i="6"/>
  <c r="Q522" i="6" s="1"/>
  <c r="S522" i="6" s="1"/>
  <c r="N523" i="6"/>
  <c r="F524" i="6"/>
  <c r="P524" i="6" s="1"/>
  <c r="K523" i="6"/>
  <c r="I523" i="6"/>
  <c r="J523" i="6" s="1"/>
  <c r="O523" i="6"/>
  <c r="G523" i="6"/>
  <c r="H523" i="6" s="1"/>
  <c r="AT502" i="6"/>
  <c r="AU502" i="6" s="1"/>
  <c r="AV502" i="6" s="1"/>
  <c r="V502" i="6"/>
  <c r="W502" i="6" s="1"/>
  <c r="X502" i="6" s="1"/>
  <c r="AA520" i="5" l="1"/>
  <c r="X520" i="5"/>
  <c r="T522" i="5"/>
  <c r="Q522" i="5"/>
  <c r="M521" i="5"/>
  <c r="J521" i="5"/>
  <c r="F521" i="5"/>
  <c r="C521" i="5"/>
  <c r="AN524" i="6"/>
  <c r="AE524" i="6"/>
  <c r="AM524" i="6"/>
  <c r="AF524" i="6"/>
  <c r="AG524" i="6"/>
  <c r="AH524" i="6" s="1"/>
  <c r="AI524" i="6"/>
  <c r="AD525" i="6"/>
  <c r="AL524" i="6"/>
  <c r="AJ524" i="6"/>
  <c r="AO524" i="6" s="1"/>
  <c r="AQ524" i="6" s="1"/>
  <c r="AR501" i="6"/>
  <c r="L523" i="6"/>
  <c r="Q523" i="6" s="1"/>
  <c r="S523" i="6" s="1"/>
  <c r="N524" i="6"/>
  <c r="I524" i="6"/>
  <c r="J524" i="6" s="1"/>
  <c r="F525" i="6"/>
  <c r="P525" i="6" s="1"/>
  <c r="K524" i="6"/>
  <c r="O524" i="6"/>
  <c r="G524" i="6"/>
  <c r="H524" i="6" s="1"/>
  <c r="M502" i="6"/>
  <c r="R502" i="6" s="1"/>
  <c r="T502" i="6" s="1"/>
  <c r="U502" i="6" s="1"/>
  <c r="Y502" i="6" s="1"/>
  <c r="Z502" i="6" s="1"/>
  <c r="AA502" i="6" s="1"/>
  <c r="AK504" i="6"/>
  <c r="AP504" i="6" s="1"/>
  <c r="AR504" i="6" s="1"/>
  <c r="AT503" i="6"/>
  <c r="AU503" i="6" s="1"/>
  <c r="AV503" i="6" s="1"/>
  <c r="AK503" i="6"/>
  <c r="M503" i="6"/>
  <c r="R503" i="6" s="1"/>
  <c r="T503" i="6" s="1"/>
  <c r="U503" i="6" s="1"/>
  <c r="V503" i="6"/>
  <c r="W503" i="6" s="1"/>
  <c r="X503" i="6" s="1"/>
  <c r="M522" i="5" l="1"/>
  <c r="J522" i="5"/>
  <c r="T523" i="5"/>
  <c r="Q523" i="5"/>
  <c r="X521" i="5"/>
  <c r="AA521" i="5"/>
  <c r="F522" i="5"/>
  <c r="C522" i="5"/>
  <c r="AN525" i="6"/>
  <c r="AE525" i="6"/>
  <c r="AM525" i="6"/>
  <c r="AF525" i="6"/>
  <c r="AG525" i="6"/>
  <c r="AH525" i="6" s="1"/>
  <c r="AD526" i="6"/>
  <c r="AI525" i="6"/>
  <c r="AL525" i="6"/>
  <c r="AJ525" i="6"/>
  <c r="AO525" i="6"/>
  <c r="AQ525" i="6" s="1"/>
  <c r="Y503" i="6"/>
  <c r="Z503" i="6" s="1"/>
  <c r="AA503" i="6" s="1"/>
  <c r="AP503" i="6"/>
  <c r="AS501" i="6"/>
  <c r="AW501" i="6" s="1"/>
  <c r="AX501" i="6" s="1"/>
  <c r="AY501" i="6" s="1"/>
  <c r="AS502" i="6"/>
  <c r="AW502" i="6" s="1"/>
  <c r="AX502" i="6" s="1"/>
  <c r="AY502" i="6" s="1"/>
  <c r="L524" i="6"/>
  <c r="Q524" i="6" s="1"/>
  <c r="S524" i="6" s="1"/>
  <c r="I525" i="6"/>
  <c r="J525" i="6" s="1"/>
  <c r="F526" i="6"/>
  <c r="P526" i="6" s="1"/>
  <c r="O525" i="6"/>
  <c r="G525" i="6"/>
  <c r="H525" i="6" s="1"/>
  <c r="N525" i="6"/>
  <c r="K525" i="6"/>
  <c r="AT504" i="6"/>
  <c r="AU504" i="6" s="1"/>
  <c r="AV504" i="6" s="1"/>
  <c r="V504" i="6"/>
  <c r="W504" i="6" s="1"/>
  <c r="X504" i="6" s="1"/>
  <c r="X522" i="5" l="1"/>
  <c r="AA522" i="5"/>
  <c r="T524" i="5"/>
  <c r="Q524" i="5"/>
  <c r="M523" i="5"/>
  <c r="J523" i="5"/>
  <c r="F523" i="5"/>
  <c r="C523" i="5"/>
  <c r="AN526" i="6"/>
  <c r="AG526" i="6"/>
  <c r="AH526" i="6" s="1"/>
  <c r="AI526" i="6"/>
  <c r="AD527" i="6"/>
  <c r="AM526" i="6"/>
  <c r="AL526" i="6"/>
  <c r="AE526" i="6"/>
  <c r="AF526" i="6" s="1"/>
  <c r="AJ526" i="6"/>
  <c r="AO526" i="6" s="1"/>
  <c r="AQ526" i="6"/>
  <c r="AR503" i="6"/>
  <c r="L525" i="6"/>
  <c r="Q525" i="6" s="1"/>
  <c r="S525" i="6" s="1"/>
  <c r="O526" i="6"/>
  <c r="G526" i="6"/>
  <c r="H526" i="6" s="1"/>
  <c r="N526" i="6"/>
  <c r="K526" i="6"/>
  <c r="I526" i="6"/>
  <c r="J526" i="6" s="1"/>
  <c r="F527" i="6"/>
  <c r="P527" i="6" s="1"/>
  <c r="AK505" i="6"/>
  <c r="M504" i="6"/>
  <c r="R504" i="6" s="1"/>
  <c r="T504" i="6" s="1"/>
  <c r="U504" i="6" s="1"/>
  <c r="Y504" i="6" s="1"/>
  <c r="Z504" i="6" s="1"/>
  <c r="AA504" i="6" s="1"/>
  <c r="AK506" i="6"/>
  <c r="AP506" i="6" s="1"/>
  <c r="AR506" i="6" s="1"/>
  <c r="AT505" i="6"/>
  <c r="AU505" i="6" s="1"/>
  <c r="AV505" i="6" s="1"/>
  <c r="M505" i="6"/>
  <c r="R505" i="6" s="1"/>
  <c r="T505" i="6" s="1"/>
  <c r="U505" i="6" s="1"/>
  <c r="V505" i="6"/>
  <c r="W505" i="6" s="1"/>
  <c r="X505" i="6" s="1"/>
  <c r="M524" i="5" l="1"/>
  <c r="J524" i="5"/>
  <c r="T525" i="5"/>
  <c r="Q525" i="5"/>
  <c r="AA523" i="5"/>
  <c r="X523" i="5"/>
  <c r="C524" i="5"/>
  <c r="F524" i="5"/>
  <c r="AN527" i="6"/>
  <c r="AI527" i="6"/>
  <c r="AD528" i="6"/>
  <c r="AM527" i="6"/>
  <c r="AL527" i="6"/>
  <c r="AE527" i="6"/>
  <c r="AG527" i="6"/>
  <c r="AF527" i="6"/>
  <c r="AH527" i="6"/>
  <c r="AJ527" i="6"/>
  <c r="AO527" i="6" s="1"/>
  <c r="AQ527" i="6"/>
  <c r="Y505" i="6"/>
  <c r="Z505" i="6" s="1"/>
  <c r="AA505" i="6" s="1"/>
  <c r="AP505" i="6"/>
  <c r="AS503" i="6"/>
  <c r="AW503" i="6" s="1"/>
  <c r="AX503" i="6" s="1"/>
  <c r="AY503" i="6" s="1"/>
  <c r="AS504" i="6"/>
  <c r="AW504" i="6" s="1"/>
  <c r="AX504" i="6" s="1"/>
  <c r="AY504" i="6" s="1"/>
  <c r="L526" i="6"/>
  <c r="Q526" i="6" s="1"/>
  <c r="S526" i="6" s="1"/>
  <c r="O527" i="6"/>
  <c r="N527" i="6"/>
  <c r="K527" i="6"/>
  <c r="I527" i="6"/>
  <c r="J527" i="6" s="1"/>
  <c r="G527" i="6"/>
  <c r="H527" i="6" s="1"/>
  <c r="F528" i="6"/>
  <c r="P528" i="6" s="1"/>
  <c r="AK507" i="6"/>
  <c r="AP507" i="6" s="1"/>
  <c r="AR507" i="6" s="1"/>
  <c r="AT506" i="6"/>
  <c r="AU506" i="6" s="1"/>
  <c r="AV506" i="6" s="1"/>
  <c r="M506" i="6"/>
  <c r="R506" i="6" s="1"/>
  <c r="T506" i="6" s="1"/>
  <c r="U506" i="6" s="1"/>
  <c r="V506" i="6"/>
  <c r="W506" i="6" s="1"/>
  <c r="X506" i="6" s="1"/>
  <c r="X524" i="5" l="1"/>
  <c r="AA524" i="5"/>
  <c r="T526" i="5"/>
  <c r="Q526" i="5"/>
  <c r="M525" i="5"/>
  <c r="J525" i="5"/>
  <c r="F525" i="5"/>
  <c r="C525" i="5"/>
  <c r="AN528" i="6"/>
  <c r="AG528" i="6"/>
  <c r="AI528" i="6"/>
  <c r="AD529" i="6"/>
  <c r="AL528" i="6"/>
  <c r="AE528" i="6"/>
  <c r="AF528" i="6" s="1"/>
  <c r="AM528" i="6"/>
  <c r="AH528" i="6"/>
  <c r="AJ528" i="6" s="1"/>
  <c r="AO528" i="6" s="1"/>
  <c r="AQ528" i="6" s="1"/>
  <c r="Y506" i="6"/>
  <c r="Z506" i="6" s="1"/>
  <c r="AA506" i="6" s="1"/>
  <c r="AS507" i="6"/>
  <c r="AR505" i="6"/>
  <c r="AP46" i="12"/>
  <c r="AR46" i="12" s="1"/>
  <c r="L527" i="6"/>
  <c r="Q527" i="6" s="1"/>
  <c r="S527" i="6" s="1"/>
  <c r="O528" i="6"/>
  <c r="G528" i="6"/>
  <c r="H528" i="6" s="1"/>
  <c r="F529" i="6"/>
  <c r="P529" i="6" s="1"/>
  <c r="N528" i="6"/>
  <c r="K528" i="6"/>
  <c r="I528" i="6"/>
  <c r="J528" i="6" s="1"/>
  <c r="AK508" i="6"/>
  <c r="AP508" i="6" s="1"/>
  <c r="AR508" i="6" s="1"/>
  <c r="AS508" i="6" s="1"/>
  <c r="AT507" i="6"/>
  <c r="AU507" i="6" s="1"/>
  <c r="AV507" i="6" s="1"/>
  <c r="M507" i="6"/>
  <c r="R507" i="6" s="1"/>
  <c r="T507" i="6" s="1"/>
  <c r="U507" i="6" s="1"/>
  <c r="V507" i="6"/>
  <c r="W507" i="6" s="1"/>
  <c r="X507" i="6" s="1"/>
  <c r="M526" i="5" l="1"/>
  <c r="J526" i="5"/>
  <c r="T527" i="5"/>
  <c r="Q527" i="5"/>
  <c r="AA525" i="5"/>
  <c r="X525" i="5"/>
  <c r="F526" i="5"/>
  <c r="C526" i="5"/>
  <c r="AN529" i="6"/>
  <c r="AM529" i="6"/>
  <c r="AI529" i="6"/>
  <c r="AG529" i="6"/>
  <c r="AH529" i="6" s="1"/>
  <c r="AD530" i="6"/>
  <c r="AL529" i="6"/>
  <c r="AE529" i="6"/>
  <c r="AF529" i="6" s="1"/>
  <c r="AJ529" i="6"/>
  <c r="AO529" i="6" s="1"/>
  <c r="AQ529" i="6" s="1"/>
  <c r="Y507" i="6"/>
  <c r="Z507" i="6" s="1"/>
  <c r="AA507" i="6" s="1"/>
  <c r="AS505" i="6"/>
  <c r="AW505" i="6" s="1"/>
  <c r="AX505" i="6" s="1"/>
  <c r="AY505" i="6" s="1"/>
  <c r="AS506" i="6"/>
  <c r="AW506" i="6" s="1"/>
  <c r="AX506" i="6" s="1"/>
  <c r="AY506" i="6" s="1"/>
  <c r="AW507" i="6"/>
  <c r="AX507" i="6" s="1"/>
  <c r="AY507" i="6" s="1"/>
  <c r="L528" i="6"/>
  <c r="Q528" i="6" s="1"/>
  <c r="S528" i="6" s="1"/>
  <c r="G529" i="6"/>
  <c r="H529" i="6" s="1"/>
  <c r="F530" i="6"/>
  <c r="P530" i="6" s="1"/>
  <c r="O529" i="6"/>
  <c r="I529" i="6"/>
  <c r="J529" i="6" s="1"/>
  <c r="N529" i="6"/>
  <c r="K529" i="6"/>
  <c r="AT508" i="6"/>
  <c r="AT46" i="12" s="1"/>
  <c r="M508" i="6"/>
  <c r="R508" i="6" s="1"/>
  <c r="T508" i="6" s="1"/>
  <c r="U508" i="6" s="1"/>
  <c r="V508" i="6"/>
  <c r="AA526" i="5" l="1"/>
  <c r="X526" i="5"/>
  <c r="T528" i="5"/>
  <c r="Q528" i="5"/>
  <c r="J527" i="5"/>
  <c r="M527" i="5"/>
  <c r="F527" i="5"/>
  <c r="C527" i="5"/>
  <c r="AN530" i="6"/>
  <c r="AM530" i="6"/>
  <c r="AE530" i="6"/>
  <c r="AF530" i="6" s="1"/>
  <c r="AI530" i="6"/>
  <c r="AG530" i="6"/>
  <c r="AH530" i="6" s="1"/>
  <c r="AD531" i="6"/>
  <c r="AL530" i="6"/>
  <c r="AJ530" i="6"/>
  <c r="AO530" i="6" s="1"/>
  <c r="AQ530" i="6"/>
  <c r="Y508" i="6"/>
  <c r="L529" i="6"/>
  <c r="Q529" i="6" s="1"/>
  <c r="S529" i="6" s="1"/>
  <c r="G530" i="6"/>
  <c r="H530" i="6" s="1"/>
  <c r="O530" i="6"/>
  <c r="F531" i="6"/>
  <c r="P531" i="6" s="1"/>
  <c r="K530" i="6"/>
  <c r="N530" i="6"/>
  <c r="I530" i="6"/>
  <c r="J530" i="6" s="1"/>
  <c r="W508" i="6"/>
  <c r="AU508" i="6"/>
  <c r="AU46" i="12" s="1"/>
  <c r="AK509" i="6"/>
  <c r="AK510" i="6"/>
  <c r="AP510" i="6" s="1"/>
  <c r="AR510" i="6" s="1"/>
  <c r="AT509" i="6"/>
  <c r="AU509" i="6" s="1"/>
  <c r="AV509" i="6" s="1"/>
  <c r="Z508" i="6"/>
  <c r="AW508" i="6"/>
  <c r="AW46" i="12" s="1"/>
  <c r="V509" i="6"/>
  <c r="W509" i="6" s="1"/>
  <c r="X509" i="6" s="1"/>
  <c r="M528" i="5" l="1"/>
  <c r="J528" i="5"/>
  <c r="Q529" i="5"/>
  <c r="T529" i="5"/>
  <c r="AA527" i="5"/>
  <c r="X527" i="5"/>
  <c r="F528" i="5"/>
  <c r="C528" i="5"/>
  <c r="L530" i="6"/>
  <c r="Q530" i="6" s="1"/>
  <c r="S530" i="6" s="1"/>
  <c r="AN531" i="6"/>
  <c r="AL531" i="6"/>
  <c r="AG531" i="6"/>
  <c r="AI531" i="6"/>
  <c r="AE531" i="6"/>
  <c r="AM531" i="6"/>
  <c r="AD532" i="6"/>
  <c r="AH531" i="6"/>
  <c r="AJ531" i="6" s="1"/>
  <c r="AF531" i="6"/>
  <c r="AO531" i="6"/>
  <c r="AQ531" i="6" s="1"/>
  <c r="AP509" i="6"/>
  <c r="G531" i="6"/>
  <c r="H531" i="6" s="1"/>
  <c r="N531" i="6"/>
  <c r="F532" i="6"/>
  <c r="P532" i="6" s="1"/>
  <c r="O531" i="6"/>
  <c r="K531" i="6"/>
  <c r="I531" i="6"/>
  <c r="J531" i="6" s="1"/>
  <c r="AA508" i="6"/>
  <c r="AV508" i="6"/>
  <c r="AV46" i="12" s="1"/>
  <c r="M509" i="6"/>
  <c r="R509" i="6" s="1"/>
  <c r="T509" i="6" s="1"/>
  <c r="U509" i="6" s="1"/>
  <c r="Y509" i="6" s="1"/>
  <c r="Z509" i="6" s="1"/>
  <c r="AA509" i="6" s="1"/>
  <c r="AX508" i="6"/>
  <c r="AX46" i="12" s="1"/>
  <c r="AT510" i="6"/>
  <c r="AU510" i="6" s="1"/>
  <c r="AV510" i="6" s="1"/>
  <c r="X508" i="6"/>
  <c r="M510" i="6"/>
  <c r="R510" i="6" s="1"/>
  <c r="T510" i="6" s="1"/>
  <c r="U510" i="6" s="1"/>
  <c r="V510" i="6"/>
  <c r="W510" i="6" s="1"/>
  <c r="X510" i="6" s="1"/>
  <c r="X528" i="5" l="1"/>
  <c r="AA528" i="5"/>
  <c r="T530" i="5"/>
  <c r="Q530" i="5"/>
  <c r="M529" i="5"/>
  <c r="J529" i="5"/>
  <c r="F529" i="5"/>
  <c r="C529" i="5"/>
  <c r="AN532" i="6"/>
  <c r="AD533" i="6"/>
  <c r="AL532" i="6"/>
  <c r="AE532" i="6"/>
  <c r="AM532" i="6"/>
  <c r="AI532" i="6"/>
  <c r="AG532" i="6"/>
  <c r="AH532" i="6" s="1"/>
  <c r="AJ532" i="6"/>
  <c r="AO532" i="6" s="1"/>
  <c r="AQ532" i="6"/>
  <c r="AF532" i="6"/>
  <c r="Y510" i="6"/>
  <c r="Z510" i="6" s="1"/>
  <c r="AA510" i="6" s="1"/>
  <c r="AR509" i="6"/>
  <c r="L531" i="6"/>
  <c r="Q531" i="6" s="1"/>
  <c r="S531" i="6" s="1"/>
  <c r="K532" i="6"/>
  <c r="O532" i="6"/>
  <c r="G532" i="6"/>
  <c r="H532" i="6" s="1"/>
  <c r="F533" i="6"/>
  <c r="P533" i="6" s="1"/>
  <c r="I532" i="6"/>
  <c r="J532" i="6" s="1"/>
  <c r="N532" i="6"/>
  <c r="AK511" i="6"/>
  <c r="AK512" i="6"/>
  <c r="AP512" i="6" s="1"/>
  <c r="AR512" i="6" s="1"/>
  <c r="AT511" i="6"/>
  <c r="AU511" i="6" s="1"/>
  <c r="AV511" i="6" s="1"/>
  <c r="AY508" i="6"/>
  <c r="AY46" i="12" s="1"/>
  <c r="V511" i="6"/>
  <c r="W511" i="6" s="1"/>
  <c r="X511" i="6" s="1"/>
  <c r="M530" i="5" l="1"/>
  <c r="J530" i="5"/>
  <c r="Q531" i="5"/>
  <c r="T531" i="5"/>
  <c r="AA529" i="5"/>
  <c r="X529" i="5"/>
  <c r="F530" i="5"/>
  <c r="C530" i="5"/>
  <c r="AN533" i="6"/>
  <c r="AN49" i="12" s="1"/>
  <c r="AL533" i="6"/>
  <c r="AE533" i="6"/>
  <c r="AF533" i="6" s="1"/>
  <c r="AM533" i="6"/>
  <c r="AG533" i="6"/>
  <c r="AH533" i="6" s="1"/>
  <c r="AD534" i="6"/>
  <c r="AI533" i="6"/>
  <c r="AJ533" i="6"/>
  <c r="AO533" i="6" s="1"/>
  <c r="AQ533" i="6"/>
  <c r="AP511" i="6"/>
  <c r="AS509" i="6"/>
  <c r="AW509" i="6" s="1"/>
  <c r="AX509" i="6" s="1"/>
  <c r="AY509" i="6" s="1"/>
  <c r="AS510" i="6"/>
  <c r="AW510" i="6" s="1"/>
  <c r="AX510" i="6" s="1"/>
  <c r="AY510" i="6" s="1"/>
  <c r="L532" i="6"/>
  <c r="Q532" i="6"/>
  <c r="S532" i="6" s="1"/>
  <c r="N533" i="6"/>
  <c r="K533" i="6"/>
  <c r="F534" i="6"/>
  <c r="P534" i="6" s="1"/>
  <c r="I533" i="6"/>
  <c r="J533" i="6" s="1"/>
  <c r="O533" i="6"/>
  <c r="G533" i="6"/>
  <c r="H533" i="6" s="1"/>
  <c r="AK513" i="6"/>
  <c r="AP513" i="6" s="1"/>
  <c r="AR513" i="6" s="1"/>
  <c r="AT512" i="6"/>
  <c r="AU512" i="6" s="1"/>
  <c r="AV512" i="6" s="1"/>
  <c r="M511" i="6"/>
  <c r="R511" i="6" s="1"/>
  <c r="T511" i="6" s="1"/>
  <c r="U511" i="6" s="1"/>
  <c r="Y511" i="6" s="1"/>
  <c r="Z511" i="6" s="1"/>
  <c r="AA511" i="6" s="1"/>
  <c r="M512" i="6"/>
  <c r="R512" i="6" s="1"/>
  <c r="T512" i="6" s="1"/>
  <c r="V512" i="6"/>
  <c r="W512" i="6" s="1"/>
  <c r="X512" i="6" s="1"/>
  <c r="X530" i="5" l="1"/>
  <c r="AA530" i="5"/>
  <c r="Q532" i="5"/>
  <c r="T532" i="5"/>
  <c r="M531" i="5"/>
  <c r="J531" i="5"/>
  <c r="F531" i="5"/>
  <c r="C531" i="5"/>
  <c r="AN534" i="6"/>
  <c r="AD535" i="6"/>
  <c r="AL534" i="6"/>
  <c r="AM534" i="6"/>
  <c r="AE534" i="6"/>
  <c r="AF534" i="6" s="1"/>
  <c r="AG534" i="6"/>
  <c r="AH534" i="6" s="1"/>
  <c r="AI534" i="6"/>
  <c r="AJ534" i="6"/>
  <c r="AO534" i="6" s="1"/>
  <c r="AQ534" i="6" s="1"/>
  <c r="AS513" i="6"/>
  <c r="AR511" i="6"/>
  <c r="L533" i="6"/>
  <c r="Q533" i="6" s="1"/>
  <c r="S533" i="6" s="1"/>
  <c r="I534" i="6"/>
  <c r="J534" i="6" s="1"/>
  <c r="O534" i="6"/>
  <c r="G534" i="6"/>
  <c r="H534" i="6" s="1"/>
  <c r="N534" i="6"/>
  <c r="F535" i="6"/>
  <c r="P535" i="6" s="1"/>
  <c r="K534" i="6"/>
  <c r="U512" i="6"/>
  <c r="Y512" i="6" s="1"/>
  <c r="Z512" i="6" s="1"/>
  <c r="AA512" i="6" s="1"/>
  <c r="AT513" i="6"/>
  <c r="AU513" i="6" s="1"/>
  <c r="AV513" i="6" s="1"/>
  <c r="V513" i="6"/>
  <c r="W513" i="6" s="1"/>
  <c r="X513" i="6" s="1"/>
  <c r="J532" i="5" l="1"/>
  <c r="M532" i="5"/>
  <c r="Q533" i="5"/>
  <c r="T533" i="5"/>
  <c r="X531" i="5"/>
  <c r="AA531" i="5"/>
  <c r="F532" i="5"/>
  <c r="C532" i="5"/>
  <c r="AN535" i="6"/>
  <c r="AD536" i="6"/>
  <c r="AL535" i="6"/>
  <c r="AI535" i="6"/>
  <c r="AM535" i="6"/>
  <c r="AG535" i="6"/>
  <c r="AH535" i="6" s="1"/>
  <c r="AE535" i="6"/>
  <c r="AF535" i="6"/>
  <c r="AJ535" i="6"/>
  <c r="AO535" i="6" s="1"/>
  <c r="AQ535" i="6"/>
  <c r="AS511" i="6"/>
  <c r="AW511" i="6" s="1"/>
  <c r="AX511" i="6" s="1"/>
  <c r="AY511" i="6" s="1"/>
  <c r="AS512" i="6"/>
  <c r="AW512" i="6" s="1"/>
  <c r="AX512" i="6" s="1"/>
  <c r="AY512" i="6" s="1"/>
  <c r="L534" i="6"/>
  <c r="Q534" i="6" s="1"/>
  <c r="S534" i="6" s="1"/>
  <c r="G535" i="6"/>
  <c r="H535" i="6" s="1"/>
  <c r="I535" i="6"/>
  <c r="J535" i="6" s="1"/>
  <c r="N535" i="6"/>
  <c r="K535" i="6"/>
  <c r="O535" i="6"/>
  <c r="F536" i="6"/>
  <c r="P536" i="6" s="1"/>
  <c r="M513" i="6"/>
  <c r="R513" i="6" s="1"/>
  <c r="T513" i="6" s="1"/>
  <c r="U513" i="6" s="1"/>
  <c r="Y513" i="6" s="1"/>
  <c r="Z513" i="6" s="1"/>
  <c r="AA513" i="6" s="1"/>
  <c r="AW513" i="6"/>
  <c r="AX513" i="6" s="1"/>
  <c r="AY513" i="6" s="1"/>
  <c r="AK515" i="6"/>
  <c r="AP515" i="6" s="1"/>
  <c r="AR515" i="6" s="1"/>
  <c r="AT514" i="6"/>
  <c r="AU514" i="6" s="1"/>
  <c r="AV514" i="6" s="1"/>
  <c r="AK514" i="6"/>
  <c r="M514" i="6"/>
  <c r="R514" i="6" s="1"/>
  <c r="T514" i="6" s="1"/>
  <c r="U514" i="6" s="1"/>
  <c r="V514" i="6"/>
  <c r="W514" i="6" s="1"/>
  <c r="X514" i="6" s="1"/>
  <c r="AA532" i="5" l="1"/>
  <c r="X532" i="5"/>
  <c r="Q534" i="5"/>
  <c r="T534" i="5"/>
  <c r="J533" i="5"/>
  <c r="M533" i="5"/>
  <c r="F533" i="5"/>
  <c r="C533" i="5"/>
  <c r="AN536" i="6"/>
  <c r="AD537" i="6"/>
  <c r="AL536" i="6"/>
  <c r="AM536" i="6"/>
  <c r="AG536" i="6"/>
  <c r="AE536" i="6"/>
  <c r="AI536" i="6"/>
  <c r="AF536" i="6"/>
  <c r="AH536" i="6"/>
  <c r="AJ536" i="6" s="1"/>
  <c r="AO536" i="6"/>
  <c r="AQ536" i="6"/>
  <c r="Y514" i="6"/>
  <c r="Z514" i="6" s="1"/>
  <c r="AA514" i="6" s="1"/>
  <c r="AP514" i="6"/>
  <c r="L535" i="6"/>
  <c r="Q535" i="6" s="1"/>
  <c r="S535" i="6" s="1"/>
  <c r="N536" i="6"/>
  <c r="G536" i="6"/>
  <c r="H536" i="6" s="1"/>
  <c r="K536" i="6"/>
  <c r="I536" i="6"/>
  <c r="J536" i="6" s="1"/>
  <c r="F537" i="6"/>
  <c r="P537" i="6" s="1"/>
  <c r="O536" i="6"/>
  <c r="AT515" i="6"/>
  <c r="AU515" i="6" s="1"/>
  <c r="AV515" i="6" s="1"/>
  <c r="V515" i="6"/>
  <c r="W515" i="6" s="1"/>
  <c r="X515" i="6" s="1"/>
  <c r="M534" i="5" l="1"/>
  <c r="J534" i="5"/>
  <c r="Q535" i="5"/>
  <c r="T535" i="5"/>
  <c r="AA533" i="5"/>
  <c r="X533" i="5"/>
  <c r="F534" i="5"/>
  <c r="C534" i="5"/>
  <c r="AN537" i="6"/>
  <c r="AD538" i="6"/>
  <c r="AG537" i="6"/>
  <c r="AH537" i="6" s="1"/>
  <c r="AI537" i="6"/>
  <c r="AL537" i="6"/>
  <c r="AE537" i="6"/>
  <c r="AF537" i="6" s="1"/>
  <c r="AM537" i="6"/>
  <c r="AJ537" i="6"/>
  <c r="AO537" i="6" s="1"/>
  <c r="AQ537" i="6" s="1"/>
  <c r="AR514" i="6"/>
  <c r="L536" i="6"/>
  <c r="Q536" i="6" s="1"/>
  <c r="S536" i="6" s="1"/>
  <c r="O537" i="6"/>
  <c r="K537" i="6"/>
  <c r="F538" i="6"/>
  <c r="P538" i="6" s="1"/>
  <c r="I537" i="6"/>
  <c r="J537" i="6" s="1"/>
  <c r="G537" i="6"/>
  <c r="H537" i="6" s="1"/>
  <c r="N537" i="6"/>
  <c r="AK517" i="6"/>
  <c r="AP517" i="6" s="1"/>
  <c r="AR517" i="6" s="1"/>
  <c r="AT516" i="6"/>
  <c r="AU516" i="6" s="1"/>
  <c r="AV516" i="6" s="1"/>
  <c r="AK516" i="6"/>
  <c r="M515" i="6"/>
  <c r="R515" i="6" s="1"/>
  <c r="T515" i="6" s="1"/>
  <c r="U515" i="6" s="1"/>
  <c r="Y515" i="6" s="1"/>
  <c r="Z515" i="6" s="1"/>
  <c r="AA515" i="6" s="1"/>
  <c r="M516" i="6"/>
  <c r="R516" i="6" s="1"/>
  <c r="T516" i="6" s="1"/>
  <c r="V516" i="6"/>
  <c r="W516" i="6" s="1"/>
  <c r="X516" i="6" s="1"/>
  <c r="X534" i="5" l="1"/>
  <c r="AA534" i="5"/>
  <c r="Q536" i="5"/>
  <c r="T536" i="5"/>
  <c r="M535" i="5"/>
  <c r="J535" i="5"/>
  <c r="C535" i="5"/>
  <c r="F535" i="5"/>
  <c r="AN538" i="6"/>
  <c r="AM538" i="6"/>
  <c r="AG538" i="6"/>
  <c r="AH538" i="6" s="1"/>
  <c r="AD539" i="6"/>
  <c r="AE538" i="6"/>
  <c r="AF538" i="6"/>
  <c r="AI538" i="6"/>
  <c r="AL538" i="6"/>
  <c r="AJ538" i="6"/>
  <c r="AO538" i="6" s="1"/>
  <c r="AQ538" i="6" s="1"/>
  <c r="AP516" i="6"/>
  <c r="AS514" i="6"/>
  <c r="AW514" i="6" s="1"/>
  <c r="AX514" i="6" s="1"/>
  <c r="AY514" i="6" s="1"/>
  <c r="AS515" i="6"/>
  <c r="AW515" i="6" s="1"/>
  <c r="AX515" i="6" s="1"/>
  <c r="AY515" i="6" s="1"/>
  <c r="L537" i="6"/>
  <c r="Q537" i="6" s="1"/>
  <c r="S537" i="6" s="1"/>
  <c r="G538" i="6"/>
  <c r="H538" i="6" s="1"/>
  <c r="N538" i="6"/>
  <c r="F539" i="6"/>
  <c r="P539" i="6" s="1"/>
  <c r="K538" i="6"/>
  <c r="I538" i="6"/>
  <c r="J538" i="6" s="1"/>
  <c r="O538" i="6"/>
  <c r="U516" i="6"/>
  <c r="Y516" i="6" s="1"/>
  <c r="Z516" i="6" s="1"/>
  <c r="AA516" i="6" s="1"/>
  <c r="AK518" i="6"/>
  <c r="AP518" i="6" s="1"/>
  <c r="AR518" i="6" s="1"/>
  <c r="AT517" i="6"/>
  <c r="AU517" i="6" s="1"/>
  <c r="AV517" i="6" s="1"/>
  <c r="V517" i="6"/>
  <c r="W517" i="6" s="1"/>
  <c r="X517" i="6" s="1"/>
  <c r="J536" i="5" l="1"/>
  <c r="M536" i="5"/>
  <c r="T537" i="5"/>
  <c r="Q537" i="5"/>
  <c r="X535" i="5"/>
  <c r="AA535" i="5"/>
  <c r="F536" i="5"/>
  <c r="C536" i="5"/>
  <c r="AN539" i="6"/>
  <c r="AM539" i="6"/>
  <c r="AI539" i="6"/>
  <c r="AD540" i="6"/>
  <c r="AG539" i="6"/>
  <c r="AH539" i="6" s="1"/>
  <c r="AE539" i="6"/>
  <c r="AL539" i="6"/>
  <c r="AJ539" i="6"/>
  <c r="AO539" i="6" s="1"/>
  <c r="AQ539" i="6"/>
  <c r="AF539" i="6"/>
  <c r="AR516" i="6"/>
  <c r="L538" i="6"/>
  <c r="Q538" i="6" s="1"/>
  <c r="S538" i="6" s="1"/>
  <c r="I539" i="6"/>
  <c r="J539" i="6" s="1"/>
  <c r="G539" i="6"/>
  <c r="H539" i="6" s="1"/>
  <c r="F540" i="6"/>
  <c r="P540" i="6" s="1"/>
  <c r="N539" i="6"/>
  <c r="K539" i="6"/>
  <c r="O539" i="6"/>
  <c r="M517" i="6"/>
  <c r="R517" i="6" s="1"/>
  <c r="T517" i="6" s="1"/>
  <c r="U517" i="6" s="1"/>
  <c r="Y517" i="6" s="1"/>
  <c r="Z517" i="6" s="1"/>
  <c r="AA517" i="6" s="1"/>
  <c r="AK519" i="6"/>
  <c r="AP519" i="6" s="1"/>
  <c r="AR519" i="6" s="1"/>
  <c r="AS519" i="6" s="1"/>
  <c r="AT518" i="6"/>
  <c r="AU518" i="6" s="1"/>
  <c r="AV518" i="6" s="1"/>
  <c r="AS518" i="6"/>
  <c r="M518" i="6"/>
  <c r="R518" i="6" s="1"/>
  <c r="T518" i="6" s="1"/>
  <c r="U518" i="6" s="1"/>
  <c r="V518" i="6"/>
  <c r="W518" i="6" s="1"/>
  <c r="X518" i="6" s="1"/>
  <c r="X536" i="5" l="1"/>
  <c r="AA536" i="5"/>
  <c r="T538" i="5"/>
  <c r="Q538" i="5"/>
  <c r="J537" i="5"/>
  <c r="M537" i="5"/>
  <c r="F537" i="5"/>
  <c r="C537" i="5"/>
  <c r="AN540" i="6"/>
  <c r="AD541" i="6"/>
  <c r="AG540" i="6"/>
  <c r="AH540" i="6" s="1"/>
  <c r="AI540" i="6"/>
  <c r="AM540" i="6"/>
  <c r="AL540" i="6"/>
  <c r="AF540" i="6"/>
  <c r="AE540" i="6"/>
  <c r="AJ540" i="6"/>
  <c r="AO540" i="6"/>
  <c r="AQ540" i="6" s="1"/>
  <c r="AW518" i="6"/>
  <c r="AX518" i="6" s="1"/>
  <c r="AY518" i="6" s="1"/>
  <c r="Y518" i="6"/>
  <c r="Z518" i="6" s="1"/>
  <c r="AA518" i="6" s="1"/>
  <c r="AS516" i="6"/>
  <c r="AW516" i="6" s="1"/>
  <c r="AX516" i="6" s="1"/>
  <c r="AY516" i="6" s="1"/>
  <c r="AS517" i="6"/>
  <c r="AW517" i="6" s="1"/>
  <c r="AX517" i="6" s="1"/>
  <c r="AY517" i="6" s="1"/>
  <c r="L539" i="6"/>
  <c r="Q539" i="6" s="1"/>
  <c r="S539" i="6" s="1"/>
  <c r="K540" i="6"/>
  <c r="I540" i="6"/>
  <c r="J540" i="6" s="1"/>
  <c r="F541" i="6"/>
  <c r="P541" i="6" s="1"/>
  <c r="O540" i="6"/>
  <c r="G540" i="6"/>
  <c r="H540" i="6" s="1"/>
  <c r="N540" i="6"/>
  <c r="AK520" i="6"/>
  <c r="AP520" i="6" s="1"/>
  <c r="AR520" i="6" s="1"/>
  <c r="AS520" i="6" s="1"/>
  <c r="AT519" i="6"/>
  <c r="AU519" i="6" s="1"/>
  <c r="AV519" i="6" s="1"/>
  <c r="M519" i="6"/>
  <c r="R519" i="6" s="1"/>
  <c r="T519" i="6" s="1"/>
  <c r="U519" i="6" s="1"/>
  <c r="V519" i="6"/>
  <c r="W519" i="6" s="1"/>
  <c r="X519" i="6" s="1"/>
  <c r="M538" i="5" l="1"/>
  <c r="J538" i="5"/>
  <c r="Q539" i="5"/>
  <c r="T539" i="5"/>
  <c r="AA537" i="5"/>
  <c r="X537" i="5"/>
  <c r="F538" i="5"/>
  <c r="C538" i="5"/>
  <c r="AN541" i="6"/>
  <c r="AG541" i="6"/>
  <c r="AH541" i="6" s="1"/>
  <c r="AD542" i="6"/>
  <c r="AI541" i="6"/>
  <c r="AM541" i="6"/>
  <c r="AE541" i="6"/>
  <c r="AF541" i="6"/>
  <c r="AL541" i="6"/>
  <c r="AJ541" i="6"/>
  <c r="AO541" i="6" s="1"/>
  <c r="AQ541" i="6" s="1"/>
  <c r="Y519" i="6"/>
  <c r="Z519" i="6" s="1"/>
  <c r="AA519" i="6" s="1"/>
  <c r="L540" i="6"/>
  <c r="Q540" i="6" s="1"/>
  <c r="S540" i="6" s="1"/>
  <c r="G541" i="6"/>
  <c r="H541" i="6" s="1"/>
  <c r="N541" i="6"/>
  <c r="K541" i="6"/>
  <c r="F542" i="6"/>
  <c r="P542" i="6" s="1"/>
  <c r="I541" i="6"/>
  <c r="J541" i="6" s="1"/>
  <c r="O541" i="6"/>
  <c r="AT520" i="6"/>
  <c r="AT47" i="12" s="1"/>
  <c r="AW519" i="6"/>
  <c r="AX519" i="6" s="1"/>
  <c r="AY519" i="6" s="1"/>
  <c r="M520" i="6"/>
  <c r="R520" i="6" s="1"/>
  <c r="T520" i="6" s="1"/>
  <c r="U520" i="6" s="1"/>
  <c r="V520" i="6"/>
  <c r="X538" i="5" l="1"/>
  <c r="AA538" i="5"/>
  <c r="T540" i="5"/>
  <c r="Q540" i="5"/>
  <c r="J539" i="5"/>
  <c r="M539" i="5"/>
  <c r="F539" i="5"/>
  <c r="C539" i="5"/>
  <c r="AN542" i="6"/>
  <c r="AM542" i="6"/>
  <c r="AE542" i="6"/>
  <c r="AF542" i="6"/>
  <c r="AG542" i="6"/>
  <c r="AH542" i="6" s="1"/>
  <c r="AD543" i="6"/>
  <c r="AI542" i="6"/>
  <c r="AL542" i="6"/>
  <c r="AJ542" i="6"/>
  <c r="AO542" i="6"/>
  <c r="AQ542" i="6" s="1"/>
  <c r="Y520" i="6"/>
  <c r="L541" i="6"/>
  <c r="Q541" i="6" s="1"/>
  <c r="S541" i="6" s="1"/>
  <c r="I542" i="6"/>
  <c r="O542" i="6"/>
  <c r="J542" i="6"/>
  <c r="G542" i="6"/>
  <c r="H542" i="6" s="1"/>
  <c r="N542" i="6"/>
  <c r="F543" i="6"/>
  <c r="P543" i="6" s="1"/>
  <c r="K542" i="6"/>
  <c r="AU520" i="6"/>
  <c r="AU47" i="12" s="1"/>
  <c r="AK521" i="6"/>
  <c r="W520" i="6"/>
  <c r="AK522" i="6"/>
  <c r="AP522" i="6" s="1"/>
  <c r="AR522" i="6" s="1"/>
  <c r="AT521" i="6"/>
  <c r="AU521" i="6" s="1"/>
  <c r="AV521" i="6" s="1"/>
  <c r="Z520" i="6"/>
  <c r="AW520" i="6"/>
  <c r="AW47" i="12" s="1"/>
  <c r="V521" i="6"/>
  <c r="W521" i="6" s="1"/>
  <c r="X521" i="6" s="1"/>
  <c r="J540" i="5" l="1"/>
  <c r="M540" i="5"/>
  <c r="T541" i="5"/>
  <c r="Q541" i="5"/>
  <c r="X539" i="5"/>
  <c r="AA539" i="5"/>
  <c r="F540" i="5"/>
  <c r="C540" i="5"/>
  <c r="AN543" i="6"/>
  <c r="AL543" i="6"/>
  <c r="AM543" i="6"/>
  <c r="AD544" i="6"/>
  <c r="AI543" i="6"/>
  <c r="AE543" i="6"/>
  <c r="AF543" i="6"/>
  <c r="AG543" i="6"/>
  <c r="AH543" i="6"/>
  <c r="AJ543" i="6" s="1"/>
  <c r="AO543" i="6" s="1"/>
  <c r="AQ543" i="6" s="1"/>
  <c r="AP521" i="6"/>
  <c r="L542" i="6"/>
  <c r="Q542" i="6" s="1"/>
  <c r="S542" i="6" s="1"/>
  <c r="I543" i="6"/>
  <c r="J543" i="6" s="1"/>
  <c r="F544" i="6"/>
  <c r="P544" i="6" s="1"/>
  <c r="G543" i="6"/>
  <c r="H543" i="6" s="1"/>
  <c r="N543" i="6"/>
  <c r="K543" i="6"/>
  <c r="O543" i="6"/>
  <c r="AX520" i="6"/>
  <c r="AX47" i="12" s="1"/>
  <c r="AV520" i="6"/>
  <c r="AV47" i="12" s="1"/>
  <c r="AA520" i="6"/>
  <c r="AT522" i="6"/>
  <c r="AU522" i="6" s="1"/>
  <c r="AV522" i="6" s="1"/>
  <c r="M521" i="6"/>
  <c r="R521" i="6" s="1"/>
  <c r="T521" i="6" s="1"/>
  <c r="U521" i="6" s="1"/>
  <c r="Y521" i="6" s="1"/>
  <c r="Z521" i="6" s="1"/>
  <c r="AA521" i="6" s="1"/>
  <c r="X520" i="6"/>
  <c r="M522" i="6"/>
  <c r="R522" i="6" s="1"/>
  <c r="T522" i="6" s="1"/>
  <c r="V522" i="6"/>
  <c r="W522" i="6" s="1"/>
  <c r="X522" i="6" s="1"/>
  <c r="X540" i="5" l="1"/>
  <c r="AA540" i="5"/>
  <c r="Q542" i="5"/>
  <c r="T542" i="5"/>
  <c r="M541" i="5"/>
  <c r="J541" i="5"/>
  <c r="C541" i="5"/>
  <c r="F541" i="5"/>
  <c r="AN544" i="6"/>
  <c r="AM544" i="6"/>
  <c r="AE544" i="6"/>
  <c r="AF544" i="6"/>
  <c r="AL544" i="6"/>
  <c r="AG544" i="6"/>
  <c r="AH544" i="6" s="1"/>
  <c r="AI544" i="6"/>
  <c r="AD545" i="6"/>
  <c r="AJ544" i="6"/>
  <c r="AO544" i="6" s="1"/>
  <c r="AQ544" i="6" s="1"/>
  <c r="AR521" i="6"/>
  <c r="L543" i="6"/>
  <c r="Q543" i="6" s="1"/>
  <c r="S543" i="6" s="1"/>
  <c r="U522" i="6"/>
  <c r="Y522" i="6" s="1"/>
  <c r="Z522" i="6" s="1"/>
  <c r="AA522" i="6" s="1"/>
  <c r="K544" i="6"/>
  <c r="I544" i="6"/>
  <c r="J544" i="6" s="1"/>
  <c r="O544" i="6"/>
  <c r="F545" i="6"/>
  <c r="P545" i="6" s="1"/>
  <c r="G544" i="6"/>
  <c r="H544" i="6" s="1"/>
  <c r="N544" i="6"/>
  <c r="AK524" i="6"/>
  <c r="AP524" i="6" s="1"/>
  <c r="AR524" i="6" s="1"/>
  <c r="AT523" i="6"/>
  <c r="AU523" i="6" s="1"/>
  <c r="AV523" i="6" s="1"/>
  <c r="AK523" i="6"/>
  <c r="AY520" i="6"/>
  <c r="AY47" i="12" s="1"/>
  <c r="V523" i="6"/>
  <c r="W523" i="6" s="1"/>
  <c r="X523" i="6" s="1"/>
  <c r="M542" i="5" l="1"/>
  <c r="J542" i="5"/>
  <c r="Q543" i="5"/>
  <c r="T543" i="5"/>
  <c r="X541" i="5"/>
  <c r="AA541" i="5"/>
  <c r="F542" i="5"/>
  <c r="C542" i="5"/>
  <c r="AN545" i="6"/>
  <c r="AD546" i="6"/>
  <c r="AL545" i="6"/>
  <c r="AI545" i="6"/>
  <c r="AG545" i="6"/>
  <c r="AH545" i="6" s="1"/>
  <c r="AE545" i="6"/>
  <c r="AM545" i="6"/>
  <c r="AF545" i="6"/>
  <c r="AJ545" i="6"/>
  <c r="AO545" i="6" s="1"/>
  <c r="AQ545" i="6"/>
  <c r="AP523" i="6"/>
  <c r="AS521" i="6"/>
  <c r="AW521" i="6" s="1"/>
  <c r="AX521" i="6" s="1"/>
  <c r="AY521" i="6" s="1"/>
  <c r="AS522" i="6"/>
  <c r="AW522" i="6" s="1"/>
  <c r="AX522" i="6" s="1"/>
  <c r="AY522" i="6" s="1"/>
  <c r="L544" i="6"/>
  <c r="Q544" i="6" s="1"/>
  <c r="S544" i="6" s="1"/>
  <c r="K545" i="6"/>
  <c r="I545" i="6"/>
  <c r="J545" i="6" s="1"/>
  <c r="O545" i="6"/>
  <c r="G545" i="6"/>
  <c r="H545" i="6" s="1"/>
  <c r="N545" i="6"/>
  <c r="F546" i="6"/>
  <c r="P546" i="6" s="1"/>
  <c r="M523" i="6"/>
  <c r="R523" i="6" s="1"/>
  <c r="T523" i="6" s="1"/>
  <c r="AT524" i="6"/>
  <c r="AU524" i="6" s="1"/>
  <c r="AV524" i="6" s="1"/>
  <c r="M524" i="6"/>
  <c r="R524" i="6" s="1"/>
  <c r="T524" i="6" s="1"/>
  <c r="V524" i="6"/>
  <c r="W524" i="6" s="1"/>
  <c r="X524" i="6" s="1"/>
  <c r="AA542" i="5" l="1"/>
  <c r="X542" i="5"/>
  <c r="Q544" i="5"/>
  <c r="T544" i="5"/>
  <c r="M543" i="5"/>
  <c r="J543" i="5"/>
  <c r="C543" i="5"/>
  <c r="F543" i="5"/>
  <c r="AN546" i="6"/>
  <c r="AL546" i="6"/>
  <c r="AG546" i="6"/>
  <c r="AH546" i="6" s="1"/>
  <c r="AI546" i="6"/>
  <c r="AD547" i="6"/>
  <c r="AE546" i="6"/>
  <c r="AF546" i="6" s="1"/>
  <c r="AM546" i="6"/>
  <c r="AJ546" i="6"/>
  <c r="AO546" i="6" s="1"/>
  <c r="AQ546" i="6"/>
  <c r="AR523" i="6"/>
  <c r="L545" i="6"/>
  <c r="Q545" i="6" s="1"/>
  <c r="S545" i="6" s="1"/>
  <c r="I546" i="6"/>
  <c r="J546" i="6" s="1"/>
  <c r="O546" i="6"/>
  <c r="G546" i="6"/>
  <c r="H546" i="6" s="1"/>
  <c r="N546" i="6"/>
  <c r="F547" i="6"/>
  <c r="P547" i="6" s="1"/>
  <c r="K546" i="6"/>
  <c r="AK525" i="6"/>
  <c r="AK526" i="6"/>
  <c r="AP526" i="6" s="1"/>
  <c r="AR526" i="6" s="1"/>
  <c r="AT525" i="6"/>
  <c r="AU525" i="6" s="1"/>
  <c r="AV525" i="6" s="1"/>
  <c r="U524" i="6"/>
  <c r="Y524" i="6" s="1"/>
  <c r="Z524" i="6" s="1"/>
  <c r="AA524" i="6" s="1"/>
  <c r="U523" i="6"/>
  <c r="Y523" i="6" s="1"/>
  <c r="Z523" i="6" s="1"/>
  <c r="AA523" i="6" s="1"/>
  <c r="V525" i="6"/>
  <c r="W525" i="6" s="1"/>
  <c r="X525" i="6" s="1"/>
  <c r="J544" i="5" l="1"/>
  <c r="M544" i="5"/>
  <c r="Q545" i="5"/>
  <c r="T545" i="5"/>
  <c r="AA543" i="5"/>
  <c r="X543" i="5"/>
  <c r="F544" i="5"/>
  <c r="C544" i="5"/>
  <c r="AN547" i="6"/>
  <c r="AN50" i="12" s="1"/>
  <c r="AL547" i="6"/>
  <c r="AE547" i="6"/>
  <c r="AF547" i="6" s="1"/>
  <c r="AI547" i="6"/>
  <c r="AM547" i="6"/>
  <c r="AD548" i="6"/>
  <c r="AG547" i="6"/>
  <c r="AH547" i="6" s="1"/>
  <c r="AJ547" i="6"/>
  <c r="AO547" i="6"/>
  <c r="AQ547" i="6" s="1"/>
  <c r="AP525" i="6"/>
  <c r="AS523" i="6"/>
  <c r="AW523" i="6" s="1"/>
  <c r="AX523" i="6" s="1"/>
  <c r="AY523" i="6" s="1"/>
  <c r="AS524" i="6"/>
  <c r="AW524" i="6" s="1"/>
  <c r="AX524" i="6" s="1"/>
  <c r="AY524" i="6" s="1"/>
  <c r="L546" i="6"/>
  <c r="Q546" i="6" s="1"/>
  <c r="S546" i="6" s="1"/>
  <c r="K547" i="6"/>
  <c r="I547" i="6"/>
  <c r="J547" i="6" s="1"/>
  <c r="O547" i="6"/>
  <c r="N547" i="6"/>
  <c r="G547" i="6"/>
  <c r="H547" i="6" s="1"/>
  <c r="F548" i="6"/>
  <c r="P548" i="6" s="1"/>
  <c r="M525" i="6"/>
  <c r="R525" i="6" s="1"/>
  <c r="T525" i="6" s="1"/>
  <c r="U525" i="6" s="1"/>
  <c r="Y525" i="6" s="1"/>
  <c r="Z525" i="6" s="1"/>
  <c r="AA525" i="6" s="1"/>
  <c r="AT526" i="6"/>
  <c r="M526" i="6"/>
  <c r="R526" i="6" s="1"/>
  <c r="T526" i="6" s="1"/>
  <c r="U526" i="6" s="1"/>
  <c r="V526" i="6"/>
  <c r="W526" i="6" s="1"/>
  <c r="X526" i="6" s="1"/>
  <c r="AA544" i="5" l="1"/>
  <c r="X544" i="5"/>
  <c r="Q546" i="5"/>
  <c r="T546" i="5"/>
  <c r="J545" i="5"/>
  <c r="M545" i="5"/>
  <c r="F545" i="5"/>
  <c r="C545" i="5"/>
  <c r="AN548" i="6"/>
  <c r="AG548" i="6"/>
  <c r="AH548" i="6" s="1"/>
  <c r="AI548" i="6"/>
  <c r="AD549" i="6"/>
  <c r="AE548" i="6"/>
  <c r="AF548" i="6"/>
  <c r="AL548" i="6"/>
  <c r="AM548" i="6"/>
  <c r="AJ548" i="6"/>
  <c r="AO548" i="6" s="1"/>
  <c r="AQ548" i="6" s="1"/>
  <c r="Y526" i="6"/>
  <c r="Z526" i="6" s="1"/>
  <c r="AA526" i="6" s="1"/>
  <c r="AR525" i="6"/>
  <c r="L547" i="6"/>
  <c r="Q547" i="6" s="1"/>
  <c r="S547" i="6" s="1"/>
  <c r="N548" i="6"/>
  <c r="O548" i="6"/>
  <c r="F549" i="6"/>
  <c r="P549" i="6" s="1"/>
  <c r="K548" i="6"/>
  <c r="I548" i="6"/>
  <c r="J548" i="6" s="1"/>
  <c r="G548" i="6"/>
  <c r="H548" i="6" s="1"/>
  <c r="AU526" i="6"/>
  <c r="AV526" i="6" s="1"/>
  <c r="AK528" i="6"/>
  <c r="AP528" i="6" s="1"/>
  <c r="AR528" i="6" s="1"/>
  <c r="AT527" i="6"/>
  <c r="AU527" i="6" s="1"/>
  <c r="AV527" i="6" s="1"/>
  <c r="AK527" i="6"/>
  <c r="V527" i="6"/>
  <c r="W527" i="6" s="1"/>
  <c r="X527" i="6" s="1"/>
  <c r="J546" i="5" l="1"/>
  <c r="M546" i="5"/>
  <c r="Q547" i="5"/>
  <c r="T547" i="5"/>
  <c r="AA545" i="5"/>
  <c r="X545" i="5"/>
  <c r="F546" i="5"/>
  <c r="C546" i="5"/>
  <c r="AN549" i="6"/>
  <c r="AF549" i="6"/>
  <c r="AG549" i="6"/>
  <c r="AH549" i="6" s="1"/>
  <c r="AI549" i="6"/>
  <c r="AD550" i="6"/>
  <c r="AE549" i="6"/>
  <c r="AL549" i="6"/>
  <c r="AM549" i="6"/>
  <c r="AJ549" i="6"/>
  <c r="AO549" i="6" s="1"/>
  <c r="AQ549" i="6"/>
  <c r="AP527" i="6"/>
  <c r="AS525" i="6"/>
  <c r="AW525" i="6" s="1"/>
  <c r="AX525" i="6" s="1"/>
  <c r="AY525" i="6" s="1"/>
  <c r="AS526" i="6"/>
  <c r="AW526" i="6" s="1"/>
  <c r="AX526" i="6" s="1"/>
  <c r="AY526" i="6" s="1"/>
  <c r="L548" i="6"/>
  <c r="Q548" i="6" s="1"/>
  <c r="S548" i="6" s="1"/>
  <c r="G549" i="6"/>
  <c r="H549" i="6" s="1"/>
  <c r="N549" i="6"/>
  <c r="K549" i="6"/>
  <c r="F550" i="6"/>
  <c r="P550" i="6" s="1"/>
  <c r="I549" i="6"/>
  <c r="J549" i="6" s="1"/>
  <c r="O549" i="6"/>
  <c r="AT528" i="6"/>
  <c r="AU528" i="6" s="1"/>
  <c r="AV528" i="6" s="1"/>
  <c r="M527" i="6"/>
  <c r="R527" i="6" s="1"/>
  <c r="T527" i="6" s="1"/>
  <c r="U527" i="6" s="1"/>
  <c r="Y527" i="6" s="1"/>
  <c r="Z527" i="6" s="1"/>
  <c r="AA527" i="6" s="1"/>
  <c r="M528" i="6"/>
  <c r="R528" i="6" s="1"/>
  <c r="T528" i="6" s="1"/>
  <c r="U528" i="6" s="1"/>
  <c r="V528" i="6"/>
  <c r="W528" i="6" s="1"/>
  <c r="X528" i="6" s="1"/>
  <c r="X546" i="5" l="1"/>
  <c r="AA546" i="5"/>
  <c r="T548" i="5"/>
  <c r="Q548" i="5"/>
  <c r="M547" i="5"/>
  <c r="J547" i="5"/>
  <c r="C547" i="5"/>
  <c r="F547" i="5"/>
  <c r="AN550" i="6"/>
  <c r="AG550" i="6"/>
  <c r="AH550" i="6" s="1"/>
  <c r="AI550" i="6"/>
  <c r="AD551" i="6"/>
  <c r="AE550" i="6"/>
  <c r="AM550" i="6"/>
  <c r="AF550" i="6"/>
  <c r="AL550" i="6"/>
  <c r="AJ550" i="6"/>
  <c r="AO550" i="6" s="1"/>
  <c r="AQ550" i="6" s="1"/>
  <c r="Y528" i="6"/>
  <c r="Z528" i="6" s="1"/>
  <c r="AA528" i="6" s="1"/>
  <c r="AR527" i="6"/>
  <c r="L549" i="6"/>
  <c r="Q549" i="6"/>
  <c r="S549" i="6" s="1"/>
  <c r="O550" i="6"/>
  <c r="N550" i="6"/>
  <c r="K550" i="6"/>
  <c r="I550" i="6"/>
  <c r="J550" i="6" s="1"/>
  <c r="G550" i="6"/>
  <c r="H550" i="6" s="1"/>
  <c r="F551" i="6"/>
  <c r="P551" i="6" s="1"/>
  <c r="AK529" i="6"/>
  <c r="AK530" i="6"/>
  <c r="AP530" i="6" s="1"/>
  <c r="AR530" i="6" s="1"/>
  <c r="AT529" i="6"/>
  <c r="AU529" i="6" s="1"/>
  <c r="AV529" i="6" s="1"/>
  <c r="V529" i="6"/>
  <c r="W529" i="6" s="1"/>
  <c r="X529" i="6" s="1"/>
  <c r="M548" i="5" l="1"/>
  <c r="J548" i="5"/>
  <c r="Q549" i="5"/>
  <c r="T549" i="5"/>
  <c r="AA547" i="5"/>
  <c r="X547" i="5"/>
  <c r="F548" i="5"/>
  <c r="C548" i="5"/>
  <c r="AN551" i="6"/>
  <c r="AM551" i="6"/>
  <c r="AG551" i="6"/>
  <c r="AH551" i="6" s="1"/>
  <c r="AF551" i="6"/>
  <c r="AI551" i="6"/>
  <c r="AD552" i="6"/>
  <c r="AL551" i="6"/>
  <c r="AE551" i="6"/>
  <c r="AJ551" i="6"/>
  <c r="AO551" i="6" s="1"/>
  <c r="AQ551" i="6" s="1"/>
  <c r="AP529" i="6"/>
  <c r="AS527" i="6"/>
  <c r="AW527" i="6" s="1"/>
  <c r="AX527" i="6" s="1"/>
  <c r="AY527" i="6" s="1"/>
  <c r="AS528" i="6"/>
  <c r="AW528" i="6" s="1"/>
  <c r="AX528" i="6" s="1"/>
  <c r="AY528" i="6" s="1"/>
  <c r="L550" i="6"/>
  <c r="Q550" i="6" s="1"/>
  <c r="S550" i="6" s="1"/>
  <c r="K551" i="6"/>
  <c r="I551" i="6"/>
  <c r="J551" i="6" s="1"/>
  <c r="F552" i="6"/>
  <c r="P552" i="6" s="1"/>
  <c r="N551" i="6"/>
  <c r="O551" i="6"/>
  <c r="G551" i="6"/>
  <c r="H551" i="6" s="1"/>
  <c r="AK531" i="6"/>
  <c r="AP531" i="6" s="1"/>
  <c r="AR531" i="6" s="1"/>
  <c r="AT530" i="6"/>
  <c r="M529" i="6"/>
  <c r="R529" i="6" s="1"/>
  <c r="T529" i="6" s="1"/>
  <c r="U529" i="6" s="1"/>
  <c r="Y529" i="6" s="1"/>
  <c r="Z529" i="6" s="1"/>
  <c r="AA529" i="6" s="1"/>
  <c r="M530" i="6"/>
  <c r="R530" i="6" s="1"/>
  <c r="T530" i="6" s="1"/>
  <c r="U530" i="6" s="1"/>
  <c r="V530" i="6"/>
  <c r="W530" i="6" s="1"/>
  <c r="X530" i="6" s="1"/>
  <c r="X548" i="5" l="1"/>
  <c r="AA548" i="5"/>
  <c r="T550" i="5"/>
  <c r="Q550" i="5"/>
  <c r="M549" i="5"/>
  <c r="J549" i="5"/>
  <c r="F549" i="5"/>
  <c r="C549" i="5"/>
  <c r="AN552" i="6"/>
  <c r="AE552" i="6"/>
  <c r="AF552" i="6" s="1"/>
  <c r="AG552" i="6"/>
  <c r="AI552" i="6"/>
  <c r="AM552" i="6"/>
  <c r="AD553" i="6"/>
  <c r="AL552" i="6"/>
  <c r="AH552" i="6"/>
  <c r="AJ552" i="6" s="1"/>
  <c r="AO552" i="6" s="1"/>
  <c r="AQ552" i="6" s="1"/>
  <c r="Y530" i="6"/>
  <c r="Z530" i="6" s="1"/>
  <c r="AA530" i="6" s="1"/>
  <c r="AS531" i="6"/>
  <c r="AR529" i="6"/>
  <c r="L551" i="6"/>
  <c r="Q551" i="6" s="1"/>
  <c r="S551" i="6" s="1"/>
  <c r="I552" i="6"/>
  <c r="J552" i="6" s="1"/>
  <c r="O552" i="6"/>
  <c r="G552" i="6"/>
  <c r="H552" i="6" s="1"/>
  <c r="N552" i="6"/>
  <c r="F553" i="6"/>
  <c r="P553" i="6" s="1"/>
  <c r="K552" i="6"/>
  <c r="AU530" i="6"/>
  <c r="AV530" i="6" s="1"/>
  <c r="AK532" i="6"/>
  <c r="AP532" i="6" s="1"/>
  <c r="AR532" i="6" s="1"/>
  <c r="AS532" i="6" s="1"/>
  <c r="AT531" i="6"/>
  <c r="AU531" i="6" s="1"/>
  <c r="AV531" i="6" s="1"/>
  <c r="M531" i="6"/>
  <c r="R531" i="6" s="1"/>
  <c r="T531" i="6" s="1"/>
  <c r="V531" i="6"/>
  <c r="W531" i="6" s="1"/>
  <c r="X531" i="6" s="1"/>
  <c r="J550" i="5" l="1"/>
  <c r="M550" i="5"/>
  <c r="T551" i="5"/>
  <c r="Q551" i="5"/>
  <c r="AA549" i="5"/>
  <c r="X549" i="5"/>
  <c r="F550" i="5"/>
  <c r="C550" i="5"/>
  <c r="AN553" i="6"/>
  <c r="AM553" i="6"/>
  <c r="AE553" i="6"/>
  <c r="AG553" i="6"/>
  <c r="AH553" i="6" s="1"/>
  <c r="AI553" i="6"/>
  <c r="AL553" i="6"/>
  <c r="AD554" i="6"/>
  <c r="AJ553" i="6"/>
  <c r="AO553" i="6" s="1"/>
  <c r="AQ553" i="6" s="1"/>
  <c r="AF553" i="6"/>
  <c r="AW531" i="6"/>
  <c r="AX531" i="6" s="1"/>
  <c r="AY531" i="6" s="1"/>
  <c r="AS529" i="6"/>
  <c r="AW529" i="6" s="1"/>
  <c r="AX529" i="6" s="1"/>
  <c r="AY529" i="6" s="1"/>
  <c r="AS530" i="6"/>
  <c r="AW530" i="6" s="1"/>
  <c r="AX530" i="6" s="1"/>
  <c r="AY530" i="6" s="1"/>
  <c r="L552" i="6"/>
  <c r="Q552" i="6" s="1"/>
  <c r="S552" i="6" s="1"/>
  <c r="O553" i="6"/>
  <c r="N553" i="6"/>
  <c r="F554" i="6"/>
  <c r="P554" i="6" s="1"/>
  <c r="K553" i="6"/>
  <c r="I553" i="6"/>
  <c r="J553" i="6" s="1"/>
  <c r="G553" i="6"/>
  <c r="H553" i="6" s="1"/>
  <c r="AT532" i="6"/>
  <c r="AT48" i="12" s="1"/>
  <c r="U531" i="6"/>
  <c r="Y531" i="6" s="1"/>
  <c r="Z531" i="6" s="1"/>
  <c r="AA531" i="6" s="1"/>
  <c r="M532" i="6"/>
  <c r="R532" i="6" s="1"/>
  <c r="T532" i="6" s="1"/>
  <c r="U532" i="6" s="1"/>
  <c r="V532" i="6"/>
  <c r="AA550" i="5" l="1"/>
  <c r="X550" i="5"/>
  <c r="Q552" i="5"/>
  <c r="T552" i="5"/>
  <c r="M551" i="5"/>
  <c r="J551" i="5"/>
  <c r="C551" i="5"/>
  <c r="F551" i="5"/>
  <c r="AN554" i="6"/>
  <c r="AD555" i="6"/>
  <c r="AE554" i="6"/>
  <c r="AM554" i="6"/>
  <c r="AL554" i="6"/>
  <c r="AI554" i="6"/>
  <c r="AJ554" i="6" s="1"/>
  <c r="AG554" i="6"/>
  <c r="AH554" i="6"/>
  <c r="AO554" i="6"/>
  <c r="AQ554" i="6" s="1"/>
  <c r="AF554" i="6"/>
  <c r="Y532" i="6"/>
  <c r="AW532" i="6"/>
  <c r="AW48" i="12" s="1"/>
  <c r="L553" i="6"/>
  <c r="Q553" i="6" s="1"/>
  <c r="S553" i="6" s="1"/>
  <c r="G554" i="6"/>
  <c r="H554" i="6" s="1"/>
  <c r="F555" i="6"/>
  <c r="P555" i="6" s="1"/>
  <c r="O554" i="6"/>
  <c r="N554" i="6"/>
  <c r="K554" i="6"/>
  <c r="I554" i="6"/>
  <c r="J554" i="6" s="1"/>
  <c r="Z532" i="6"/>
  <c r="AX532" i="6"/>
  <c r="AX48" i="12" s="1"/>
  <c r="AU532" i="6"/>
  <c r="AU48" i="12" s="1"/>
  <c r="W532" i="6"/>
  <c r="AK533" i="6"/>
  <c r="AT533" i="6"/>
  <c r="AU533" i="6" s="1"/>
  <c r="AV533" i="6" s="1"/>
  <c r="AK534" i="6"/>
  <c r="AP534" i="6" s="1"/>
  <c r="AR534" i="6" s="1"/>
  <c r="V533" i="6"/>
  <c r="W533" i="6" s="1"/>
  <c r="X533" i="6" s="1"/>
  <c r="J552" i="5" l="1"/>
  <c r="M552" i="5"/>
  <c r="T553" i="5"/>
  <c r="Q553" i="5"/>
  <c r="X551" i="5"/>
  <c r="AA551" i="5"/>
  <c r="F552" i="5"/>
  <c r="C552" i="5"/>
  <c r="AN555" i="6"/>
  <c r="AI555" i="6"/>
  <c r="AL555" i="6"/>
  <c r="AE555" i="6"/>
  <c r="AD556" i="6"/>
  <c r="AM555" i="6"/>
  <c r="AG555" i="6"/>
  <c r="AH555" i="6" s="1"/>
  <c r="AF555" i="6"/>
  <c r="AO555" i="6"/>
  <c r="AQ555" i="6" s="1"/>
  <c r="AJ555" i="6"/>
  <c r="AP533" i="6"/>
  <c r="L554" i="6"/>
  <c r="Q554" i="6" s="1"/>
  <c r="S554" i="6" s="1"/>
  <c r="G555" i="6"/>
  <c r="H555" i="6" s="1"/>
  <c r="F556" i="6"/>
  <c r="P556" i="6" s="1"/>
  <c r="N555" i="6"/>
  <c r="K555" i="6"/>
  <c r="I555" i="6"/>
  <c r="J555" i="6" s="1"/>
  <c r="O555" i="6"/>
  <c r="AV532" i="6"/>
  <c r="AV48" i="12" s="1"/>
  <c r="AY532" i="6"/>
  <c r="AY48" i="12" s="1"/>
  <c r="M533" i="6"/>
  <c r="R533" i="6" s="1"/>
  <c r="T533" i="6" s="1"/>
  <c r="U533" i="6" s="1"/>
  <c r="Y533" i="6" s="1"/>
  <c r="Z533" i="6" s="1"/>
  <c r="AA533" i="6" s="1"/>
  <c r="X532" i="6"/>
  <c r="AT534" i="6"/>
  <c r="AA532" i="6"/>
  <c r="M534" i="6"/>
  <c r="R534" i="6" s="1"/>
  <c r="T534" i="6" s="1"/>
  <c r="U534" i="6" s="1"/>
  <c r="V534" i="6"/>
  <c r="W534" i="6" s="1"/>
  <c r="X534" i="6" s="1"/>
  <c r="X552" i="5" l="1"/>
  <c r="AA552" i="5"/>
  <c r="Q554" i="5"/>
  <c r="T554" i="5"/>
  <c r="M553" i="5"/>
  <c r="J553" i="5"/>
  <c r="F553" i="5"/>
  <c r="C553" i="5"/>
  <c r="AN556" i="6"/>
  <c r="AL556" i="6"/>
  <c r="AE556" i="6"/>
  <c r="AF556" i="6" s="1"/>
  <c r="AM556" i="6"/>
  <c r="AI556" i="6"/>
  <c r="AG556" i="6"/>
  <c r="AD557" i="6"/>
  <c r="AH556" i="6"/>
  <c r="AJ556" i="6" s="1"/>
  <c r="AO556" i="6" s="1"/>
  <c r="AQ556" i="6" s="1"/>
  <c r="Y534" i="6"/>
  <c r="Z534" i="6" s="1"/>
  <c r="AA534" i="6" s="1"/>
  <c r="AR533" i="6"/>
  <c r="L555" i="6"/>
  <c r="Q555" i="6" s="1"/>
  <c r="S555" i="6" s="1"/>
  <c r="G556" i="6"/>
  <c r="H556" i="6" s="1"/>
  <c r="F557" i="6"/>
  <c r="P557" i="6" s="1"/>
  <c r="N556" i="6"/>
  <c r="K556" i="6"/>
  <c r="O556" i="6"/>
  <c r="I556" i="6"/>
  <c r="J556" i="6" s="1"/>
  <c r="AU534" i="6"/>
  <c r="AV534" i="6" s="1"/>
  <c r="AK536" i="6"/>
  <c r="AP536" i="6" s="1"/>
  <c r="AR536" i="6" s="1"/>
  <c r="AT535" i="6"/>
  <c r="AU535" i="6" s="1"/>
  <c r="AV535" i="6" s="1"/>
  <c r="AK535" i="6"/>
  <c r="V535" i="6"/>
  <c r="W535" i="6" s="1"/>
  <c r="X535" i="6" s="1"/>
  <c r="J554" i="5" l="1"/>
  <c r="M554" i="5"/>
  <c r="Q555" i="5"/>
  <c r="T555" i="5"/>
  <c r="X553" i="5"/>
  <c r="AA553" i="5"/>
  <c r="F554" i="5"/>
  <c r="C554" i="5"/>
  <c r="AN557" i="6"/>
  <c r="AN51" i="12" s="1"/>
  <c r="AM557" i="6"/>
  <c r="AI557" i="6"/>
  <c r="AL557" i="6"/>
  <c r="AE557" i="6"/>
  <c r="AF557" i="6"/>
  <c r="AG557" i="6"/>
  <c r="AH557" i="6" s="1"/>
  <c r="AD558" i="6"/>
  <c r="AJ557" i="6"/>
  <c r="AO557" i="6" s="1"/>
  <c r="AQ557" i="6"/>
  <c r="AP535" i="6"/>
  <c r="AS533" i="6"/>
  <c r="AW533" i="6" s="1"/>
  <c r="AX533" i="6" s="1"/>
  <c r="AY533" i="6" s="1"/>
  <c r="AS534" i="6"/>
  <c r="AW534" i="6" s="1"/>
  <c r="AX534" i="6" s="1"/>
  <c r="AY534" i="6" s="1"/>
  <c r="L556" i="6"/>
  <c r="Q556" i="6" s="1"/>
  <c r="S556" i="6" s="1"/>
  <c r="O557" i="6"/>
  <c r="I557" i="6"/>
  <c r="J557" i="6" s="1"/>
  <c r="N557" i="6"/>
  <c r="F558" i="6"/>
  <c r="P558" i="6" s="1"/>
  <c r="K557" i="6"/>
  <c r="H557" i="6"/>
  <c r="G557" i="6"/>
  <c r="M535" i="6"/>
  <c r="R535" i="6" s="1"/>
  <c r="T535" i="6" s="1"/>
  <c r="U535" i="6" s="1"/>
  <c r="Y535" i="6" s="1"/>
  <c r="Z535" i="6" s="1"/>
  <c r="AA535" i="6" s="1"/>
  <c r="AT536" i="6"/>
  <c r="AU536" i="6" s="1"/>
  <c r="AV536" i="6" s="1"/>
  <c r="M536" i="6"/>
  <c r="R536" i="6" s="1"/>
  <c r="T536" i="6" s="1"/>
  <c r="U536" i="6" s="1"/>
  <c r="V536" i="6"/>
  <c r="X554" i="5" l="1"/>
  <c r="AA554" i="5"/>
  <c r="T556" i="5"/>
  <c r="Q556" i="5"/>
  <c r="M555" i="5"/>
  <c r="J555" i="5"/>
  <c r="F555" i="5"/>
  <c r="C555" i="5"/>
  <c r="AN558" i="6"/>
  <c r="AL558" i="6"/>
  <c r="AG558" i="6"/>
  <c r="AM558" i="6"/>
  <c r="AI558" i="6"/>
  <c r="AD559" i="6"/>
  <c r="AE558" i="6"/>
  <c r="AH558" i="6"/>
  <c r="AF558" i="6"/>
  <c r="AJ558" i="6"/>
  <c r="AO558" i="6" s="1"/>
  <c r="AQ558" i="6"/>
  <c r="AR535" i="6"/>
  <c r="L557" i="6"/>
  <c r="Q557" i="6" s="1"/>
  <c r="S557" i="6" s="1"/>
  <c r="F559" i="6"/>
  <c r="P559" i="6" s="1"/>
  <c r="O558" i="6"/>
  <c r="N558" i="6"/>
  <c r="K558" i="6"/>
  <c r="I558" i="6"/>
  <c r="J558" i="6" s="1"/>
  <c r="H558" i="6"/>
  <c r="G558" i="6"/>
  <c r="AK537" i="6"/>
  <c r="W536" i="6"/>
  <c r="X536" i="6" s="1"/>
  <c r="Y536" i="6"/>
  <c r="Z536" i="6" s="1"/>
  <c r="AA536" i="6" s="1"/>
  <c r="AK538" i="6"/>
  <c r="AP538" i="6" s="1"/>
  <c r="AR538" i="6" s="1"/>
  <c r="AT537" i="6"/>
  <c r="AU537" i="6" s="1"/>
  <c r="AV537" i="6" s="1"/>
  <c r="V537" i="6"/>
  <c r="W537" i="6" s="1"/>
  <c r="X537" i="6" s="1"/>
  <c r="Q557" i="5" l="1"/>
  <c r="T557" i="5"/>
  <c r="AA555" i="5"/>
  <c r="X555" i="5"/>
  <c r="M556" i="5"/>
  <c r="J556" i="5"/>
  <c r="F556" i="5"/>
  <c r="C556" i="5"/>
  <c r="AN559" i="6"/>
  <c r="AL559" i="6"/>
  <c r="AE559" i="6"/>
  <c r="AF559" i="6" s="1"/>
  <c r="AM559" i="6"/>
  <c r="AG559" i="6"/>
  <c r="AH559" i="6" s="1"/>
  <c r="AJ559" i="6" s="1"/>
  <c r="AO559" i="6" s="1"/>
  <c r="AQ559" i="6" s="1"/>
  <c r="AI559" i="6"/>
  <c r="AD560" i="6"/>
  <c r="AP537" i="6"/>
  <c r="AS535" i="6"/>
  <c r="AW535" i="6" s="1"/>
  <c r="AX535" i="6" s="1"/>
  <c r="AY535" i="6" s="1"/>
  <c r="AS536" i="6"/>
  <c r="AW536" i="6" s="1"/>
  <c r="AX536" i="6" s="1"/>
  <c r="AY536" i="6" s="1"/>
  <c r="L558" i="6"/>
  <c r="Q558" i="6" s="1"/>
  <c r="S558" i="6" s="1"/>
  <c r="K559" i="6"/>
  <c r="N559" i="6"/>
  <c r="I559" i="6"/>
  <c r="J559" i="6" s="1"/>
  <c r="L559" i="6" s="1"/>
  <c r="Q559" i="6" s="1"/>
  <c r="S559" i="6" s="1"/>
  <c r="O559" i="6"/>
  <c r="G559" i="6"/>
  <c r="H559" i="6" s="1"/>
  <c r="F560" i="6"/>
  <c r="P560" i="6" s="1"/>
  <c r="M537" i="6"/>
  <c r="R537" i="6" s="1"/>
  <c r="T537" i="6" s="1"/>
  <c r="U537" i="6" s="1"/>
  <c r="Y537" i="6" s="1"/>
  <c r="Z537" i="6" s="1"/>
  <c r="AA537" i="6" s="1"/>
  <c r="AT538" i="6"/>
  <c r="AU538" i="6" s="1"/>
  <c r="AV538" i="6" s="1"/>
  <c r="M538" i="6"/>
  <c r="R538" i="6" s="1"/>
  <c r="T538" i="6" s="1"/>
  <c r="V538" i="6"/>
  <c r="W538" i="6" s="1"/>
  <c r="X538" i="6" s="1"/>
  <c r="M557" i="5" l="1"/>
  <c r="J557" i="5"/>
  <c r="AA556" i="5"/>
  <c r="X556" i="5"/>
  <c r="T558" i="5"/>
  <c r="Q558" i="5"/>
  <c r="F557" i="5"/>
  <c r="C557" i="5"/>
  <c r="AN560" i="6"/>
  <c r="AI560" i="6"/>
  <c r="AD561" i="6"/>
  <c r="AL560" i="6"/>
  <c r="AE560" i="6"/>
  <c r="AF560" i="6" s="1"/>
  <c r="AM560" i="6"/>
  <c r="AG560" i="6"/>
  <c r="AH560" i="6"/>
  <c r="AJ560" i="6"/>
  <c r="AO560" i="6" s="1"/>
  <c r="AQ560" i="6"/>
  <c r="AR537" i="6"/>
  <c r="N560" i="6"/>
  <c r="G560" i="6"/>
  <c r="H560" i="6" s="1"/>
  <c r="F561" i="6"/>
  <c r="P561" i="6" s="1"/>
  <c r="K560" i="6"/>
  <c r="I560" i="6"/>
  <c r="J560" i="6" s="1"/>
  <c r="O560" i="6"/>
  <c r="AK540" i="6"/>
  <c r="AP540" i="6" s="1"/>
  <c r="AR540" i="6" s="1"/>
  <c r="AT539" i="6"/>
  <c r="AU539" i="6" s="1"/>
  <c r="AV539" i="6" s="1"/>
  <c r="AK539" i="6"/>
  <c r="U538" i="6"/>
  <c r="Y538" i="6" s="1"/>
  <c r="Z538" i="6" s="1"/>
  <c r="AA538" i="6" s="1"/>
  <c r="V539" i="6"/>
  <c r="Q559" i="5" l="1"/>
  <c r="T559" i="5"/>
  <c r="AA557" i="5"/>
  <c r="X557" i="5"/>
  <c r="J558" i="5"/>
  <c r="M558" i="5"/>
  <c r="F558" i="5"/>
  <c r="C558" i="5"/>
  <c r="AN561" i="6"/>
  <c r="AL561" i="6"/>
  <c r="AE561" i="6"/>
  <c r="AF561" i="6" s="1"/>
  <c r="AD562" i="6"/>
  <c r="AM561" i="6"/>
  <c r="AG561" i="6"/>
  <c r="AI561" i="6"/>
  <c r="AH561" i="6"/>
  <c r="AJ561" i="6" s="1"/>
  <c r="AO561" i="6"/>
  <c r="AQ561" i="6" s="1"/>
  <c r="AP539" i="6"/>
  <c r="AS537" i="6"/>
  <c r="AW537" i="6" s="1"/>
  <c r="AX537" i="6" s="1"/>
  <c r="AY537" i="6" s="1"/>
  <c r="AS538" i="6"/>
  <c r="AW538" i="6" s="1"/>
  <c r="AX538" i="6" s="1"/>
  <c r="AY538" i="6" s="1"/>
  <c r="L560" i="6"/>
  <c r="Q560" i="6" s="1"/>
  <c r="S560" i="6" s="1"/>
  <c r="O561" i="6"/>
  <c r="G561" i="6"/>
  <c r="H561" i="6" s="1"/>
  <c r="N561" i="6"/>
  <c r="F562" i="6"/>
  <c r="P562" i="6" s="1"/>
  <c r="K561" i="6"/>
  <c r="I561" i="6"/>
  <c r="J561" i="6" s="1"/>
  <c r="M539" i="6"/>
  <c r="R539" i="6" s="1"/>
  <c r="T539" i="6" s="1"/>
  <c r="U539" i="6" s="1"/>
  <c r="Y539" i="6" s="1"/>
  <c r="Z539" i="6" s="1"/>
  <c r="AA539" i="6" s="1"/>
  <c r="W539" i="6"/>
  <c r="X539" i="6" s="1"/>
  <c r="AT540" i="6"/>
  <c r="AU540" i="6" s="1"/>
  <c r="AV540" i="6" s="1"/>
  <c r="M540" i="6"/>
  <c r="R540" i="6" s="1"/>
  <c r="T540" i="6" s="1"/>
  <c r="U540" i="6" s="1"/>
  <c r="V540" i="6"/>
  <c r="W540" i="6" s="1"/>
  <c r="X540" i="6" s="1"/>
  <c r="M559" i="5" l="1"/>
  <c r="J559" i="5"/>
  <c r="AA558" i="5"/>
  <c r="X558" i="5"/>
  <c r="T560" i="5"/>
  <c r="Q560" i="5"/>
  <c r="C559" i="5"/>
  <c r="F559" i="5"/>
  <c r="AN562" i="6"/>
  <c r="AG562" i="6"/>
  <c r="AH562" i="6" s="1"/>
  <c r="AI562" i="6"/>
  <c r="AD563" i="6"/>
  <c r="AE562" i="6"/>
  <c r="AM562" i="6"/>
  <c r="AL562" i="6"/>
  <c r="AF562" i="6"/>
  <c r="AJ562" i="6"/>
  <c r="AO562" i="6" s="1"/>
  <c r="AQ562" i="6"/>
  <c r="Y540" i="6"/>
  <c r="Z540" i="6" s="1"/>
  <c r="AA540" i="6" s="1"/>
  <c r="AR539" i="6"/>
  <c r="L561" i="6"/>
  <c r="Q561" i="6" s="1"/>
  <c r="S561" i="6" s="1"/>
  <c r="F563" i="6"/>
  <c r="P563" i="6" s="1"/>
  <c r="K562" i="6"/>
  <c r="I562" i="6"/>
  <c r="J562" i="6" s="1"/>
  <c r="L562" i="6" s="1"/>
  <c r="Q562" i="6" s="1"/>
  <c r="S562" i="6" s="1"/>
  <c r="O562" i="6"/>
  <c r="G562" i="6"/>
  <c r="H562" i="6" s="1"/>
  <c r="N562" i="6"/>
  <c r="AK541" i="6"/>
  <c r="AK542" i="6"/>
  <c r="AP542" i="6" s="1"/>
  <c r="AR542" i="6" s="1"/>
  <c r="AT541" i="6"/>
  <c r="AU541" i="6" s="1"/>
  <c r="AV541" i="6" s="1"/>
  <c r="V541" i="6"/>
  <c r="W541" i="6" s="1"/>
  <c r="X541" i="6" s="1"/>
  <c r="Q561" i="5" l="1"/>
  <c r="T561" i="5"/>
  <c r="AA559" i="5"/>
  <c r="X559" i="5"/>
  <c r="M560" i="5"/>
  <c r="J560" i="5"/>
  <c r="F560" i="5"/>
  <c r="C560" i="5"/>
  <c r="AN563" i="6"/>
  <c r="AI563" i="6"/>
  <c r="AD564" i="6"/>
  <c r="AG563" i="6"/>
  <c r="AL563" i="6"/>
  <c r="AE563" i="6"/>
  <c r="AF563" i="6" s="1"/>
  <c r="AM563" i="6"/>
  <c r="AH563" i="6"/>
  <c r="AO563" i="6"/>
  <c r="AJ563" i="6"/>
  <c r="AQ563" i="6"/>
  <c r="AP541" i="6"/>
  <c r="AS539" i="6"/>
  <c r="AW539" i="6" s="1"/>
  <c r="AX539" i="6" s="1"/>
  <c r="AY539" i="6" s="1"/>
  <c r="AS540" i="6"/>
  <c r="AW540" i="6" s="1"/>
  <c r="AX540" i="6" s="1"/>
  <c r="AY540" i="6" s="1"/>
  <c r="O563" i="6"/>
  <c r="G563" i="6"/>
  <c r="H563" i="6" s="1"/>
  <c r="N563" i="6"/>
  <c r="F564" i="6"/>
  <c r="P564" i="6" s="1"/>
  <c r="I563" i="6"/>
  <c r="K563" i="6"/>
  <c r="J563" i="6"/>
  <c r="AK543" i="6"/>
  <c r="AP543" i="6" s="1"/>
  <c r="AR543" i="6" s="1"/>
  <c r="AT542" i="6"/>
  <c r="AU542" i="6" s="1"/>
  <c r="AV542" i="6" s="1"/>
  <c r="M541" i="6"/>
  <c r="R541" i="6" s="1"/>
  <c r="T541" i="6" s="1"/>
  <c r="U541" i="6" s="1"/>
  <c r="Y541" i="6" s="1"/>
  <c r="Z541" i="6" s="1"/>
  <c r="AA541" i="6" s="1"/>
  <c r="M542" i="6"/>
  <c r="R542" i="6" s="1"/>
  <c r="T542" i="6" s="1"/>
  <c r="U542" i="6" s="1"/>
  <c r="V542" i="6"/>
  <c r="W542" i="6" s="1"/>
  <c r="X542" i="6" s="1"/>
  <c r="M561" i="5" l="1"/>
  <c r="J561" i="5"/>
  <c r="AA560" i="5"/>
  <c r="X560" i="5"/>
  <c r="T562" i="5"/>
  <c r="Q562" i="5"/>
  <c r="F561" i="5"/>
  <c r="C561" i="5"/>
  <c r="AN564" i="6"/>
  <c r="AL564" i="6"/>
  <c r="AM564" i="6"/>
  <c r="AG564" i="6"/>
  <c r="AH564" i="6" s="1"/>
  <c r="AE564" i="6"/>
  <c r="AI564" i="6"/>
  <c r="AD565" i="6"/>
  <c r="AJ564" i="6"/>
  <c r="AO564" i="6" s="1"/>
  <c r="AQ564" i="6" s="1"/>
  <c r="AF564" i="6"/>
  <c r="Y542" i="6"/>
  <c r="Z542" i="6" s="1"/>
  <c r="AA542" i="6" s="1"/>
  <c r="AS543" i="6"/>
  <c r="AR541" i="6"/>
  <c r="AP49" i="12"/>
  <c r="AR49" i="12" s="1"/>
  <c r="L563" i="6"/>
  <c r="Q563" i="6" s="1"/>
  <c r="S563" i="6" s="1"/>
  <c r="G564" i="6"/>
  <c r="N564" i="6"/>
  <c r="F565" i="6"/>
  <c r="P565" i="6" s="1"/>
  <c r="K564" i="6"/>
  <c r="H564" i="6"/>
  <c r="I564" i="6"/>
  <c r="J564" i="6" s="1"/>
  <c r="O564" i="6"/>
  <c r="AT543" i="6"/>
  <c r="AU543" i="6" s="1"/>
  <c r="AV543" i="6" s="1"/>
  <c r="AK544" i="6"/>
  <c r="AP544" i="6" s="1"/>
  <c r="AR544" i="6" s="1"/>
  <c r="AS544" i="6" s="1"/>
  <c r="V543" i="6"/>
  <c r="W543" i="6" s="1"/>
  <c r="X543" i="6" s="1"/>
  <c r="M543" i="6"/>
  <c r="R543" i="6" s="1"/>
  <c r="T543" i="6" s="1"/>
  <c r="U543" i="6" s="1"/>
  <c r="X561" i="5" l="1"/>
  <c r="AA561" i="5"/>
  <c r="Q563" i="5"/>
  <c r="T563" i="5"/>
  <c r="J562" i="5"/>
  <c r="M562" i="5"/>
  <c r="F562" i="5"/>
  <c r="C562" i="5"/>
  <c r="AN565" i="6"/>
  <c r="AL565" i="6"/>
  <c r="AE565" i="6"/>
  <c r="AF565" i="6" s="1"/>
  <c r="AM565" i="6"/>
  <c r="AG565" i="6"/>
  <c r="AH565" i="6" s="1"/>
  <c r="AI565" i="6"/>
  <c r="AD566" i="6"/>
  <c r="AJ565" i="6"/>
  <c r="AO565" i="6" s="1"/>
  <c r="AQ565" i="6"/>
  <c r="Y543" i="6"/>
  <c r="Z543" i="6" s="1"/>
  <c r="AA543" i="6" s="1"/>
  <c r="AS542" i="6"/>
  <c r="AW542" i="6" s="1"/>
  <c r="AX542" i="6" s="1"/>
  <c r="AY542" i="6" s="1"/>
  <c r="AS541" i="6"/>
  <c r="AW541" i="6" s="1"/>
  <c r="AX541" i="6" s="1"/>
  <c r="AY541" i="6" s="1"/>
  <c r="L564" i="6"/>
  <c r="Q564" i="6" s="1"/>
  <c r="S564" i="6" s="1"/>
  <c r="AW543" i="6"/>
  <c r="AX543" i="6" s="1"/>
  <c r="AY543" i="6" s="1"/>
  <c r="O565" i="6"/>
  <c r="G565" i="6"/>
  <c r="H565" i="6" s="1"/>
  <c r="N565" i="6"/>
  <c r="F566" i="6"/>
  <c r="P566" i="6" s="1"/>
  <c r="K565" i="6"/>
  <c r="I565" i="6"/>
  <c r="J565" i="6" s="1"/>
  <c r="AT544" i="6"/>
  <c r="AT49" i="12" s="1"/>
  <c r="M544" i="6"/>
  <c r="R544" i="6" s="1"/>
  <c r="T544" i="6" s="1"/>
  <c r="V544" i="6"/>
  <c r="M563" i="5" l="1"/>
  <c r="J563" i="5"/>
  <c r="T564" i="5"/>
  <c r="Q564" i="5"/>
  <c r="X562" i="5"/>
  <c r="AA562" i="5"/>
  <c r="C563" i="5"/>
  <c r="F563" i="5"/>
  <c r="AN566" i="6"/>
  <c r="AG566" i="6"/>
  <c r="AI566" i="6"/>
  <c r="AD567" i="6"/>
  <c r="AE566" i="6"/>
  <c r="AL566" i="6"/>
  <c r="AF566" i="6"/>
  <c r="AM566" i="6"/>
  <c r="AH566" i="6"/>
  <c r="AJ566" i="6" s="1"/>
  <c r="AO566" i="6" s="1"/>
  <c r="AQ566" i="6" s="1"/>
  <c r="L565" i="6"/>
  <c r="Q565" i="6" s="1"/>
  <c r="S565" i="6" s="1"/>
  <c r="O566" i="6"/>
  <c r="G566" i="6"/>
  <c r="H566" i="6" s="1"/>
  <c r="N566" i="6"/>
  <c r="F567" i="6"/>
  <c r="P567" i="6" s="1"/>
  <c r="K566" i="6"/>
  <c r="I566" i="6"/>
  <c r="J566" i="6" s="1"/>
  <c r="L566" i="6" s="1"/>
  <c r="W544" i="6"/>
  <c r="AU544" i="6"/>
  <c r="AU49" i="12" s="1"/>
  <c r="AK546" i="6"/>
  <c r="AP546" i="6" s="1"/>
  <c r="AR546" i="6" s="1"/>
  <c r="AT545" i="6"/>
  <c r="AU545" i="6" s="1"/>
  <c r="AV545" i="6" s="1"/>
  <c r="AK545" i="6"/>
  <c r="U544" i="6"/>
  <c r="Y544" i="6" s="1"/>
  <c r="AW544" i="6"/>
  <c r="AW49" i="12" s="1"/>
  <c r="V545" i="6"/>
  <c r="W545" i="6" s="1"/>
  <c r="X545" i="6" s="1"/>
  <c r="X563" i="5" l="1"/>
  <c r="AA563" i="5"/>
  <c r="T565" i="5"/>
  <c r="Q565" i="5"/>
  <c r="J564" i="5"/>
  <c r="M564" i="5"/>
  <c r="F564" i="5"/>
  <c r="C564" i="5"/>
  <c r="AN567" i="6"/>
  <c r="AI567" i="6"/>
  <c r="AD568" i="6"/>
  <c r="AG567" i="6"/>
  <c r="AH567" i="6" s="1"/>
  <c r="AL567" i="6"/>
  <c r="AE567" i="6"/>
  <c r="AF567" i="6" s="1"/>
  <c r="AM567" i="6"/>
  <c r="AJ567" i="6"/>
  <c r="AO567" i="6" s="1"/>
  <c r="AQ567" i="6" s="1"/>
  <c r="AP545" i="6"/>
  <c r="Q566" i="6"/>
  <c r="S566" i="6" s="1"/>
  <c r="N567" i="6"/>
  <c r="G567" i="6"/>
  <c r="H567" i="6" s="1"/>
  <c r="F568" i="6"/>
  <c r="P568" i="6" s="1"/>
  <c r="K567" i="6"/>
  <c r="I567" i="6"/>
  <c r="J567" i="6" s="1"/>
  <c r="L567" i="6" s="1"/>
  <c r="O567" i="6"/>
  <c r="Z544" i="6"/>
  <c r="AV544" i="6"/>
  <c r="AV49" i="12" s="1"/>
  <c r="M545" i="6"/>
  <c r="R545" i="6" s="1"/>
  <c r="T545" i="6" s="1"/>
  <c r="U545" i="6" s="1"/>
  <c r="Y545" i="6" s="1"/>
  <c r="Z545" i="6" s="1"/>
  <c r="AA545" i="6" s="1"/>
  <c r="AT546" i="6"/>
  <c r="AU546" i="6" s="1"/>
  <c r="AV546" i="6" s="1"/>
  <c r="X544" i="6"/>
  <c r="AX544" i="6"/>
  <c r="AX49" i="12" s="1"/>
  <c r="M546" i="6"/>
  <c r="R546" i="6" s="1"/>
  <c r="T546" i="6" s="1"/>
  <c r="V546" i="6"/>
  <c r="W546" i="6" s="1"/>
  <c r="X546" i="6" s="1"/>
  <c r="J565" i="5" l="1"/>
  <c r="M565" i="5"/>
  <c r="T566" i="5"/>
  <c r="Q566" i="5"/>
  <c r="X564" i="5"/>
  <c r="AA564" i="5"/>
  <c r="F565" i="5"/>
  <c r="C565" i="5"/>
  <c r="AN568" i="6"/>
  <c r="AG568" i="6"/>
  <c r="AH568" i="6" s="1"/>
  <c r="AI568" i="6"/>
  <c r="AE568" i="6"/>
  <c r="AD569" i="6"/>
  <c r="AM568" i="6"/>
  <c r="AL568" i="6"/>
  <c r="AF568" i="6"/>
  <c r="AJ568" i="6"/>
  <c r="AO568" i="6" s="1"/>
  <c r="AQ568" i="6" s="1"/>
  <c r="AR545" i="6"/>
  <c r="U546" i="6"/>
  <c r="Y546" i="6" s="1"/>
  <c r="Z546" i="6" s="1"/>
  <c r="AA546" i="6" s="1"/>
  <c r="Q567" i="6"/>
  <c r="S567" i="6" s="1"/>
  <c r="G568" i="6"/>
  <c r="H568" i="6" s="1"/>
  <c r="N568" i="6"/>
  <c r="F569" i="6"/>
  <c r="P569" i="6" s="1"/>
  <c r="K568" i="6"/>
  <c r="I568" i="6"/>
  <c r="J568" i="6" s="1"/>
  <c r="L568" i="6" s="1"/>
  <c r="O568" i="6"/>
  <c r="AK548" i="6"/>
  <c r="AP548" i="6" s="1"/>
  <c r="AR548" i="6" s="1"/>
  <c r="AT547" i="6"/>
  <c r="AU547" i="6" s="1"/>
  <c r="AV547" i="6" s="1"/>
  <c r="AY544" i="6"/>
  <c r="AY49" i="12" s="1"/>
  <c r="AK547" i="6"/>
  <c r="AA544" i="6"/>
  <c r="V547" i="6"/>
  <c r="W547" i="6" s="1"/>
  <c r="X547" i="6" s="1"/>
  <c r="AA565" i="5" l="1"/>
  <c r="X565" i="5"/>
  <c r="Q567" i="5"/>
  <c r="T567" i="5"/>
  <c r="J566" i="5"/>
  <c r="M566" i="5"/>
  <c r="C566" i="5"/>
  <c r="F566" i="5"/>
  <c r="AN569" i="6"/>
  <c r="AI569" i="6"/>
  <c r="AD570" i="6"/>
  <c r="AL569" i="6"/>
  <c r="AM569" i="6"/>
  <c r="AE569" i="6"/>
  <c r="AF569" i="6" s="1"/>
  <c r="AG569" i="6"/>
  <c r="AH569" i="6" s="1"/>
  <c r="AJ569" i="6"/>
  <c r="AO569" i="6" s="1"/>
  <c r="AQ569" i="6"/>
  <c r="AP547" i="6"/>
  <c r="AS545" i="6"/>
  <c r="AW545" i="6" s="1"/>
  <c r="AX545" i="6" s="1"/>
  <c r="AY545" i="6" s="1"/>
  <c r="AS546" i="6"/>
  <c r="AW546" i="6" s="1"/>
  <c r="AX546" i="6" s="1"/>
  <c r="AY546" i="6" s="1"/>
  <c r="Q568" i="6"/>
  <c r="S568" i="6" s="1"/>
  <c r="O569" i="6"/>
  <c r="G569" i="6"/>
  <c r="H569" i="6" s="1"/>
  <c r="F570" i="6"/>
  <c r="P570" i="6" s="1"/>
  <c r="N569" i="6"/>
  <c r="K569" i="6"/>
  <c r="I569" i="6"/>
  <c r="J569" i="6" s="1"/>
  <c r="M547" i="6"/>
  <c r="R547" i="6" s="1"/>
  <c r="T547" i="6" s="1"/>
  <c r="AT548" i="6"/>
  <c r="AU548" i="6" s="1"/>
  <c r="AV548" i="6" s="1"/>
  <c r="M548" i="6"/>
  <c r="R548" i="6" s="1"/>
  <c r="T548" i="6" s="1"/>
  <c r="V548" i="6"/>
  <c r="W548" i="6" s="1"/>
  <c r="X548" i="6" s="1"/>
  <c r="M567" i="5" l="1"/>
  <c r="J567" i="5"/>
  <c r="Q568" i="5"/>
  <c r="T568" i="5"/>
  <c r="X566" i="5"/>
  <c r="AA566" i="5"/>
  <c r="C567" i="5"/>
  <c r="F567" i="5"/>
  <c r="AN570" i="6"/>
  <c r="AE570" i="6"/>
  <c r="AI570" i="6"/>
  <c r="AD571" i="6"/>
  <c r="AM570" i="6"/>
  <c r="AF570" i="6"/>
  <c r="AG570" i="6"/>
  <c r="AH570" i="6" s="1"/>
  <c r="AL570" i="6"/>
  <c r="AJ570" i="6"/>
  <c r="AO570" i="6" s="1"/>
  <c r="AQ570" i="6" s="1"/>
  <c r="AR547" i="6"/>
  <c r="L569" i="6"/>
  <c r="Q569" i="6" s="1"/>
  <c r="S569" i="6" s="1"/>
  <c r="G570" i="6"/>
  <c r="H570" i="6" s="1"/>
  <c r="N570" i="6"/>
  <c r="F571" i="6"/>
  <c r="P571" i="6" s="1"/>
  <c r="K570" i="6"/>
  <c r="I570" i="6"/>
  <c r="J570" i="6" s="1"/>
  <c r="O570" i="6"/>
  <c r="AK549" i="6"/>
  <c r="AK550" i="6"/>
  <c r="AP550" i="6" s="1"/>
  <c r="AR550" i="6" s="1"/>
  <c r="AT549" i="6"/>
  <c r="AU549" i="6" s="1"/>
  <c r="AV549" i="6" s="1"/>
  <c r="U548" i="6"/>
  <c r="Y548" i="6" s="1"/>
  <c r="Z548" i="6" s="1"/>
  <c r="AA548" i="6" s="1"/>
  <c r="U547" i="6"/>
  <c r="Y547" i="6" s="1"/>
  <c r="Z547" i="6" s="1"/>
  <c r="AA547" i="6" s="1"/>
  <c r="V549" i="6"/>
  <c r="W549" i="6" s="1"/>
  <c r="X549" i="6" s="1"/>
  <c r="AA567" i="5" l="1"/>
  <c r="X567" i="5"/>
  <c r="T569" i="5"/>
  <c r="Q569" i="5"/>
  <c r="M568" i="5"/>
  <c r="J568" i="5"/>
  <c r="F568" i="5"/>
  <c r="C568" i="5"/>
  <c r="AN571" i="6"/>
  <c r="AN52" i="12" s="1"/>
  <c r="AE571" i="6"/>
  <c r="AD572" i="6"/>
  <c r="AM571" i="6"/>
  <c r="AG571" i="6"/>
  <c r="AH571" i="6" s="1"/>
  <c r="AF571" i="6"/>
  <c r="AI571" i="6"/>
  <c r="AL571" i="6"/>
  <c r="AJ571" i="6"/>
  <c r="AO571" i="6" s="1"/>
  <c r="AQ571" i="6"/>
  <c r="AP549" i="6"/>
  <c r="AS547" i="6"/>
  <c r="AW547" i="6" s="1"/>
  <c r="AX547" i="6" s="1"/>
  <c r="AY547" i="6" s="1"/>
  <c r="AS548" i="6"/>
  <c r="AW548" i="6" s="1"/>
  <c r="AX548" i="6" s="1"/>
  <c r="AY548" i="6" s="1"/>
  <c r="L570" i="6"/>
  <c r="Q570" i="6" s="1"/>
  <c r="S570" i="6" s="1"/>
  <c r="O571" i="6"/>
  <c r="G571" i="6"/>
  <c r="N571" i="6"/>
  <c r="F572" i="6"/>
  <c r="P572" i="6" s="1"/>
  <c r="H571" i="6"/>
  <c r="K571" i="6"/>
  <c r="I571" i="6"/>
  <c r="J571" i="6" s="1"/>
  <c r="M549" i="6"/>
  <c r="R549" i="6" s="1"/>
  <c r="T549" i="6" s="1"/>
  <c r="U549" i="6" s="1"/>
  <c r="Y549" i="6" s="1"/>
  <c r="Z549" i="6" s="1"/>
  <c r="AA549" i="6" s="1"/>
  <c r="AT550" i="6"/>
  <c r="AU550" i="6" s="1"/>
  <c r="AV550" i="6" s="1"/>
  <c r="M550" i="6"/>
  <c r="R550" i="6" s="1"/>
  <c r="T550" i="6" s="1"/>
  <c r="U550" i="6" s="1"/>
  <c r="Y550" i="6" s="1"/>
  <c r="Z550" i="6" s="1"/>
  <c r="AA550" i="6" s="1"/>
  <c r="V550" i="6"/>
  <c r="W550" i="6" s="1"/>
  <c r="X550" i="6" s="1"/>
  <c r="J569" i="5" l="1"/>
  <c r="M569" i="5"/>
  <c r="Q570" i="5"/>
  <c r="T570" i="5"/>
  <c r="X568" i="5"/>
  <c r="AA568" i="5"/>
  <c r="F569" i="5"/>
  <c r="C569" i="5"/>
  <c r="AN572" i="6"/>
  <c r="AL572" i="6"/>
  <c r="AF572" i="6"/>
  <c r="AG572" i="6"/>
  <c r="AH572" i="6" s="1"/>
  <c r="AI572" i="6"/>
  <c r="AD573" i="6"/>
  <c r="AM572" i="6"/>
  <c r="AE572" i="6"/>
  <c r="AJ572" i="6"/>
  <c r="AO572" i="6"/>
  <c r="AQ572" i="6" s="1"/>
  <c r="AR549" i="6"/>
  <c r="L571" i="6"/>
  <c r="Q571" i="6" s="1"/>
  <c r="S571" i="6" s="1"/>
  <c r="O572" i="6"/>
  <c r="G572" i="6"/>
  <c r="H572" i="6" s="1"/>
  <c r="N572" i="6"/>
  <c r="F573" i="6"/>
  <c r="P573" i="6" s="1"/>
  <c r="I572" i="6"/>
  <c r="J572" i="6" s="1"/>
  <c r="K572" i="6"/>
  <c r="AK552" i="6"/>
  <c r="AP552" i="6" s="1"/>
  <c r="AR552" i="6" s="1"/>
  <c r="AT551" i="6"/>
  <c r="AU551" i="6" s="1"/>
  <c r="AV551" i="6" s="1"/>
  <c r="AK551" i="6"/>
  <c r="V551" i="6"/>
  <c r="W551" i="6" s="1"/>
  <c r="X551" i="6" s="1"/>
  <c r="Q571" i="5" l="1"/>
  <c r="T571" i="5"/>
  <c r="AA569" i="5"/>
  <c r="X569" i="5"/>
  <c r="J570" i="5"/>
  <c r="M570" i="5"/>
  <c r="F570" i="5"/>
  <c r="C570" i="5"/>
  <c r="AN573" i="6"/>
  <c r="AI573" i="6"/>
  <c r="AE573" i="6"/>
  <c r="AF573" i="6" s="1"/>
  <c r="AG573" i="6"/>
  <c r="AH573" i="6" s="1"/>
  <c r="AD574" i="6"/>
  <c r="AL573" i="6"/>
  <c r="AM573" i="6"/>
  <c r="AJ573" i="6"/>
  <c r="AO573" i="6" s="1"/>
  <c r="AQ573" i="6"/>
  <c r="AP551" i="6"/>
  <c r="AS549" i="6"/>
  <c r="AW549" i="6" s="1"/>
  <c r="AX549" i="6" s="1"/>
  <c r="AY549" i="6" s="1"/>
  <c r="AS550" i="6"/>
  <c r="AW550" i="6" s="1"/>
  <c r="AX550" i="6" s="1"/>
  <c r="AY550" i="6" s="1"/>
  <c r="L572" i="6"/>
  <c r="Q572" i="6" s="1"/>
  <c r="S572" i="6" s="1"/>
  <c r="F574" i="6"/>
  <c r="P574" i="6" s="1"/>
  <c r="K573" i="6"/>
  <c r="I573" i="6"/>
  <c r="J573" i="6" s="1"/>
  <c r="O573" i="6"/>
  <c r="H573" i="6"/>
  <c r="N573" i="6"/>
  <c r="G573" i="6"/>
  <c r="M551" i="6"/>
  <c r="R551" i="6" s="1"/>
  <c r="T551" i="6" s="1"/>
  <c r="U551" i="6" s="1"/>
  <c r="Y551" i="6" s="1"/>
  <c r="Z551" i="6" s="1"/>
  <c r="AA551" i="6" s="1"/>
  <c r="AT552" i="6"/>
  <c r="AU552" i="6" s="1"/>
  <c r="AV552" i="6" s="1"/>
  <c r="M552" i="6"/>
  <c r="R552" i="6" s="1"/>
  <c r="T552" i="6" s="1"/>
  <c r="V552" i="6"/>
  <c r="W552" i="6" s="1"/>
  <c r="X552" i="6" s="1"/>
  <c r="M571" i="5" l="1"/>
  <c r="J571" i="5"/>
  <c r="X570" i="5"/>
  <c r="AA570" i="5"/>
  <c r="Q572" i="5"/>
  <c r="T572" i="5"/>
  <c r="F571" i="5"/>
  <c r="C571" i="5"/>
  <c r="AN574" i="6"/>
  <c r="AE574" i="6"/>
  <c r="AM574" i="6"/>
  <c r="AL574" i="6"/>
  <c r="AF574" i="6"/>
  <c r="AI574" i="6"/>
  <c r="AG574" i="6"/>
  <c r="AD575" i="6"/>
  <c r="AH574" i="6"/>
  <c r="AJ574" i="6" s="1"/>
  <c r="AO574" i="6" s="1"/>
  <c r="AQ574" i="6" s="1"/>
  <c r="AR551" i="6"/>
  <c r="L573" i="6"/>
  <c r="Q573" i="6" s="1"/>
  <c r="S573" i="6" s="1"/>
  <c r="G574" i="6"/>
  <c r="H574" i="6" s="1"/>
  <c r="N574" i="6"/>
  <c r="F575" i="6"/>
  <c r="P575" i="6" s="1"/>
  <c r="I574" i="6"/>
  <c r="J574" i="6" s="1"/>
  <c r="K574" i="6"/>
  <c r="O574" i="6"/>
  <c r="U552" i="6"/>
  <c r="Y552" i="6" s="1"/>
  <c r="Z552" i="6" s="1"/>
  <c r="AA552" i="6" s="1"/>
  <c r="AK553" i="6"/>
  <c r="AK554" i="6"/>
  <c r="AP554" i="6" s="1"/>
  <c r="AR554" i="6" s="1"/>
  <c r="AT553" i="6"/>
  <c r="AU553" i="6" s="1"/>
  <c r="AV553" i="6" s="1"/>
  <c r="V553" i="6"/>
  <c r="W553" i="6" s="1"/>
  <c r="X553" i="6" s="1"/>
  <c r="T573" i="5" l="1"/>
  <c r="Q573" i="5"/>
  <c r="AA571" i="5"/>
  <c r="X571" i="5"/>
  <c r="M572" i="5"/>
  <c r="J572" i="5"/>
  <c r="F572" i="5"/>
  <c r="C572" i="5"/>
  <c r="AN575" i="6"/>
  <c r="AI575" i="6"/>
  <c r="AD576" i="6"/>
  <c r="AL575" i="6"/>
  <c r="AE575" i="6"/>
  <c r="AG575" i="6"/>
  <c r="AH575" i="6" s="1"/>
  <c r="AM575" i="6"/>
  <c r="AF575" i="6"/>
  <c r="AJ575" i="6"/>
  <c r="AO575" i="6"/>
  <c r="AQ575" i="6"/>
  <c r="AP553" i="6"/>
  <c r="AS551" i="6"/>
  <c r="AW551" i="6" s="1"/>
  <c r="AX551" i="6" s="1"/>
  <c r="AY551" i="6" s="1"/>
  <c r="AS552" i="6"/>
  <c r="AW552" i="6" s="1"/>
  <c r="AX552" i="6" s="1"/>
  <c r="AY552" i="6" s="1"/>
  <c r="L574" i="6"/>
  <c r="Q574" i="6" s="1"/>
  <c r="S574" i="6" s="1"/>
  <c r="O575" i="6"/>
  <c r="N575" i="6"/>
  <c r="I575" i="6"/>
  <c r="J575" i="6" s="1"/>
  <c r="K575" i="6"/>
  <c r="H575" i="6"/>
  <c r="F576" i="6"/>
  <c r="P576" i="6" s="1"/>
  <c r="G575" i="6"/>
  <c r="M553" i="6"/>
  <c r="R553" i="6" s="1"/>
  <c r="T553" i="6" s="1"/>
  <c r="U553" i="6" s="1"/>
  <c r="Y553" i="6" s="1"/>
  <c r="Z553" i="6" s="1"/>
  <c r="AA553" i="6" s="1"/>
  <c r="AK555" i="6"/>
  <c r="AP555" i="6" s="1"/>
  <c r="AR555" i="6" s="1"/>
  <c r="AT554" i="6"/>
  <c r="AU554" i="6" s="1"/>
  <c r="AV554" i="6" s="1"/>
  <c r="M554" i="6"/>
  <c r="R554" i="6" s="1"/>
  <c r="T554" i="6" s="1"/>
  <c r="U554" i="6" s="1"/>
  <c r="Y554" i="6" s="1"/>
  <c r="Z554" i="6" s="1"/>
  <c r="AA554" i="6" s="1"/>
  <c r="V554" i="6"/>
  <c r="W554" i="6" s="1"/>
  <c r="X554" i="6" s="1"/>
  <c r="J573" i="5" l="1"/>
  <c r="M573" i="5"/>
  <c r="X572" i="5"/>
  <c r="AA572" i="5"/>
  <c r="T574" i="5"/>
  <c r="Q574" i="5"/>
  <c r="F573" i="5"/>
  <c r="C573" i="5"/>
  <c r="AN576" i="6"/>
  <c r="AD577" i="6"/>
  <c r="AM576" i="6"/>
  <c r="AG576" i="6"/>
  <c r="AH576" i="6" s="1"/>
  <c r="AL576" i="6"/>
  <c r="AI576" i="6"/>
  <c r="AE576" i="6"/>
  <c r="AF576" i="6" s="1"/>
  <c r="AJ576" i="6"/>
  <c r="AO576" i="6" s="1"/>
  <c r="AQ576" i="6" s="1"/>
  <c r="AS555" i="6"/>
  <c r="AR553" i="6"/>
  <c r="AP50" i="12"/>
  <c r="AR50" i="12" s="1"/>
  <c r="L575" i="6"/>
  <c r="Q575" i="6" s="1"/>
  <c r="S575" i="6" s="1"/>
  <c r="I576" i="6"/>
  <c r="J576" i="6" s="1"/>
  <c r="K576" i="6"/>
  <c r="F577" i="6"/>
  <c r="P577" i="6" s="1"/>
  <c r="N576" i="6"/>
  <c r="O576" i="6"/>
  <c r="G576" i="6"/>
  <c r="H576" i="6" s="1"/>
  <c r="AK556" i="6"/>
  <c r="AP556" i="6" s="1"/>
  <c r="AR556" i="6" s="1"/>
  <c r="AS556" i="6" s="1"/>
  <c r="AT555" i="6"/>
  <c r="AU555" i="6" s="1"/>
  <c r="AV555" i="6" s="1"/>
  <c r="V555" i="6"/>
  <c r="W555" i="6" s="1"/>
  <c r="X555" i="6" s="1"/>
  <c r="M555" i="6"/>
  <c r="R555" i="6" s="1"/>
  <c r="T555" i="6" s="1"/>
  <c r="U555" i="6" s="1"/>
  <c r="Y555" i="6" s="1"/>
  <c r="Z555" i="6" s="1"/>
  <c r="AA555" i="6" s="1"/>
  <c r="T575" i="5" l="1"/>
  <c r="Q575" i="5"/>
  <c r="X573" i="5"/>
  <c r="AA573" i="5"/>
  <c r="J574" i="5"/>
  <c r="M574" i="5"/>
  <c r="C574" i="5"/>
  <c r="F574" i="5"/>
  <c r="AN577" i="6"/>
  <c r="AG577" i="6"/>
  <c r="AH577" i="6" s="1"/>
  <c r="AI577" i="6"/>
  <c r="AE577" i="6"/>
  <c r="AF577" i="6" s="1"/>
  <c r="AD578" i="6"/>
  <c r="AL577" i="6"/>
  <c r="AM577" i="6"/>
  <c r="AJ577" i="6"/>
  <c r="AO577" i="6" s="1"/>
  <c r="AQ577" i="6" s="1"/>
  <c r="AS553" i="6"/>
  <c r="AW553" i="6" s="1"/>
  <c r="AX553" i="6" s="1"/>
  <c r="AY553" i="6" s="1"/>
  <c r="AS554" i="6"/>
  <c r="AW554" i="6" s="1"/>
  <c r="AX554" i="6" s="1"/>
  <c r="AY554" i="6" s="1"/>
  <c r="L576" i="6"/>
  <c r="Q576" i="6" s="1"/>
  <c r="S576" i="6" s="1"/>
  <c r="G577" i="6"/>
  <c r="H577" i="6"/>
  <c r="O577" i="6"/>
  <c r="F578" i="6"/>
  <c r="P578" i="6" s="1"/>
  <c r="I577" i="6"/>
  <c r="J577" i="6" s="1"/>
  <c r="K577" i="6"/>
  <c r="N577" i="6"/>
  <c r="AT556" i="6"/>
  <c r="AT50" i="12" s="1"/>
  <c r="AW555" i="6"/>
  <c r="AX555" i="6" s="1"/>
  <c r="AY555" i="6" s="1"/>
  <c r="M556" i="6"/>
  <c r="R556" i="6" s="1"/>
  <c r="T556" i="6" s="1"/>
  <c r="U556" i="6" s="1"/>
  <c r="Y556" i="6" s="1"/>
  <c r="V556" i="6"/>
  <c r="M575" i="5" l="1"/>
  <c r="J575" i="5"/>
  <c r="X574" i="5"/>
  <c r="AA574" i="5"/>
  <c r="Q576" i="5"/>
  <c r="T576" i="5"/>
  <c r="F575" i="5"/>
  <c r="C575" i="5"/>
  <c r="AN578" i="6"/>
  <c r="AL578" i="6"/>
  <c r="AD579" i="6"/>
  <c r="AE578" i="6"/>
  <c r="AM578" i="6"/>
  <c r="AI578" i="6"/>
  <c r="AG578" i="6"/>
  <c r="AH578" i="6" s="1"/>
  <c r="AF578" i="6"/>
  <c r="AJ578" i="6"/>
  <c r="AO578" i="6" s="1"/>
  <c r="AQ578" i="6" s="1"/>
  <c r="AW556" i="6"/>
  <c r="AW50" i="12" s="1"/>
  <c r="L577" i="6"/>
  <c r="Q577" i="6" s="1"/>
  <c r="S577" i="6" s="1"/>
  <c r="G578" i="6"/>
  <c r="H578" i="6" s="1"/>
  <c r="N578" i="6"/>
  <c r="I578" i="6"/>
  <c r="J578" i="6" s="1"/>
  <c r="F579" i="6"/>
  <c r="P579" i="6" s="1"/>
  <c r="K578" i="6"/>
  <c r="O578" i="6"/>
  <c r="AT557" i="6"/>
  <c r="AU557" i="6" s="1"/>
  <c r="AV557" i="6" s="1"/>
  <c r="AK558" i="6"/>
  <c r="AP558" i="6" s="1"/>
  <c r="AR558" i="6" s="1"/>
  <c r="AK557" i="6"/>
  <c r="W556" i="6"/>
  <c r="H125" i="3"/>
  <c r="AU556" i="6"/>
  <c r="AU50" i="12" s="1"/>
  <c r="Z556" i="6"/>
  <c r="I125" i="3"/>
  <c r="V557" i="6"/>
  <c r="W557" i="6" s="1"/>
  <c r="X557" i="6" s="1"/>
  <c r="X575" i="5" l="1"/>
  <c r="AA575" i="5"/>
  <c r="Q577" i="5"/>
  <c r="T577" i="5"/>
  <c r="J576" i="5"/>
  <c r="M576" i="5"/>
  <c r="F576" i="5"/>
  <c r="C576" i="5"/>
  <c r="AN579" i="6"/>
  <c r="AI579" i="6"/>
  <c r="AD580" i="6"/>
  <c r="AL579" i="6"/>
  <c r="AE579" i="6"/>
  <c r="AM579" i="6"/>
  <c r="AG579" i="6"/>
  <c r="AF579" i="6"/>
  <c r="AH579" i="6"/>
  <c r="AJ579" i="6" s="1"/>
  <c r="AO579" i="6"/>
  <c r="AQ579" i="6" s="1"/>
  <c r="AX556" i="6"/>
  <c r="AX50" i="12" s="1"/>
  <c r="AP557" i="6"/>
  <c r="L578" i="6"/>
  <c r="Q578" i="6" s="1"/>
  <c r="S578" i="6" s="1"/>
  <c r="K579" i="6"/>
  <c r="F580" i="6"/>
  <c r="P580" i="6" s="1"/>
  <c r="I579" i="6"/>
  <c r="J579" i="6" s="1"/>
  <c r="L579" i="6" s="1"/>
  <c r="O579" i="6"/>
  <c r="G579" i="6"/>
  <c r="H579" i="6" s="1"/>
  <c r="N579" i="6"/>
  <c r="AA556" i="6"/>
  <c r="K125" i="3" s="1"/>
  <c r="AT558" i="6"/>
  <c r="AU558" i="6" s="1"/>
  <c r="AV558" i="6" s="1"/>
  <c r="AV556" i="6"/>
  <c r="AV50" i="12" s="1"/>
  <c r="AY556" i="6"/>
  <c r="AY50" i="12" s="1"/>
  <c r="M557" i="6"/>
  <c r="R557" i="6" s="1"/>
  <c r="T557" i="6" s="1"/>
  <c r="U557" i="6" s="1"/>
  <c r="Y557" i="6" s="1"/>
  <c r="Z557" i="6" s="1"/>
  <c r="AA557" i="6" s="1"/>
  <c r="X556" i="6"/>
  <c r="J125" i="3" s="1"/>
  <c r="M558" i="6"/>
  <c r="R558" i="6" s="1"/>
  <c r="T558" i="6" s="1"/>
  <c r="U558" i="6" s="1"/>
  <c r="Y558" i="6" s="1"/>
  <c r="Z558" i="6" s="1"/>
  <c r="AA558" i="6" s="1"/>
  <c r="V558" i="6"/>
  <c r="W558" i="6" s="1"/>
  <c r="X558" i="6" s="1"/>
  <c r="J577" i="5" l="1"/>
  <c r="M577" i="5"/>
  <c r="Q578" i="5"/>
  <c r="T578" i="5"/>
  <c r="AA576" i="5"/>
  <c r="X576" i="5"/>
  <c r="F577" i="5"/>
  <c r="C577" i="5"/>
  <c r="AN580" i="6"/>
  <c r="AG580" i="6"/>
  <c r="AH580" i="6" s="1"/>
  <c r="AI580" i="6"/>
  <c r="AD581" i="6"/>
  <c r="AM580" i="6"/>
  <c r="AL580" i="6"/>
  <c r="AE580" i="6"/>
  <c r="AF580" i="6"/>
  <c r="AJ580" i="6"/>
  <c r="AO580" i="6" s="1"/>
  <c r="AQ580" i="6" s="1"/>
  <c r="AR557" i="6"/>
  <c r="Q579" i="6"/>
  <c r="S579" i="6" s="1"/>
  <c r="O580" i="6"/>
  <c r="G580" i="6"/>
  <c r="H580" i="6" s="1"/>
  <c r="N580" i="6"/>
  <c r="F581" i="6"/>
  <c r="P581" i="6" s="1"/>
  <c r="K580" i="6"/>
  <c r="I580" i="6"/>
  <c r="J580" i="6" s="1"/>
  <c r="AK560" i="6"/>
  <c r="AP560" i="6" s="1"/>
  <c r="AR560" i="6" s="1"/>
  <c r="AT559" i="6"/>
  <c r="AK559" i="6"/>
  <c r="V559" i="6"/>
  <c r="W559" i="6" s="1"/>
  <c r="X559" i="6" s="1"/>
  <c r="AA577" i="5" l="1"/>
  <c r="X577" i="5"/>
  <c r="T579" i="5"/>
  <c r="Q579" i="5"/>
  <c r="J578" i="5"/>
  <c r="M578" i="5"/>
  <c r="C578" i="5"/>
  <c r="F578" i="5"/>
  <c r="AN581" i="6"/>
  <c r="AN53" i="12" s="1"/>
  <c r="AM581" i="6"/>
  <c r="AI581" i="6"/>
  <c r="AE581" i="6"/>
  <c r="AG581" i="6"/>
  <c r="AD582" i="6"/>
  <c r="AL581" i="6"/>
  <c r="AF581" i="6"/>
  <c r="AH581" i="6"/>
  <c r="AJ581" i="6"/>
  <c r="AO581" i="6" s="1"/>
  <c r="AQ581" i="6"/>
  <c r="AP559" i="6"/>
  <c r="AS557" i="6"/>
  <c r="AW557" i="6" s="1"/>
  <c r="AX557" i="6" s="1"/>
  <c r="AY557" i="6" s="1"/>
  <c r="AS558" i="6"/>
  <c r="AW558" i="6" s="1"/>
  <c r="AX558" i="6" s="1"/>
  <c r="AY558" i="6" s="1"/>
  <c r="L580" i="6"/>
  <c r="Q580" i="6" s="1"/>
  <c r="S580" i="6" s="1"/>
  <c r="N581" i="6"/>
  <c r="F582" i="6"/>
  <c r="P582" i="6" s="1"/>
  <c r="G581" i="6"/>
  <c r="H581" i="6" s="1"/>
  <c r="K581" i="6"/>
  <c r="I581" i="6"/>
  <c r="J581" i="6" s="1"/>
  <c r="O581" i="6"/>
  <c r="AU559" i="6"/>
  <c r="AV559" i="6" s="1"/>
  <c r="AT560" i="6"/>
  <c r="AU560" i="6" s="1"/>
  <c r="AV560" i="6" s="1"/>
  <c r="M559" i="6"/>
  <c r="R559" i="6" s="1"/>
  <c r="T559" i="6" s="1"/>
  <c r="U559" i="6" s="1"/>
  <c r="Y559" i="6" s="1"/>
  <c r="Z559" i="6" s="1"/>
  <c r="AA559" i="6" s="1"/>
  <c r="M560" i="6"/>
  <c r="R560" i="6" s="1"/>
  <c r="T560" i="6" s="1"/>
  <c r="U560" i="6" s="1"/>
  <c r="Y560" i="6" s="1"/>
  <c r="Z560" i="6" s="1"/>
  <c r="AA560" i="6" s="1"/>
  <c r="V560" i="6"/>
  <c r="W560" i="6" s="1"/>
  <c r="X560" i="6" s="1"/>
  <c r="M579" i="5" l="1"/>
  <c r="J579" i="5"/>
  <c r="Q580" i="5"/>
  <c r="T580" i="5"/>
  <c r="X578" i="5"/>
  <c r="AA578" i="5"/>
  <c r="C579" i="5"/>
  <c r="F579" i="5"/>
  <c r="AN582" i="6"/>
  <c r="AE582" i="6"/>
  <c r="AM582" i="6"/>
  <c r="AL582" i="6"/>
  <c r="AF582" i="6"/>
  <c r="AG582" i="6"/>
  <c r="AH582" i="6" s="1"/>
  <c r="AJ582" i="6" s="1"/>
  <c r="AO582" i="6" s="1"/>
  <c r="AQ582" i="6" s="1"/>
  <c r="AI582" i="6"/>
  <c r="AD583" i="6"/>
  <c r="AR559" i="6"/>
  <c r="L581" i="6"/>
  <c r="Q581" i="6" s="1"/>
  <c r="S581" i="6" s="1"/>
  <c r="O582" i="6"/>
  <c r="G582" i="6"/>
  <c r="H582" i="6" s="1"/>
  <c r="N582" i="6"/>
  <c r="F583" i="6"/>
  <c r="P583" i="6" s="1"/>
  <c r="K582" i="6"/>
  <c r="I582" i="6"/>
  <c r="J582" i="6" s="1"/>
  <c r="AK562" i="6"/>
  <c r="AP562" i="6" s="1"/>
  <c r="AR562" i="6" s="1"/>
  <c r="AT561" i="6"/>
  <c r="AU561" i="6" s="1"/>
  <c r="AV561" i="6" s="1"/>
  <c r="AK561" i="6"/>
  <c r="V561" i="6"/>
  <c r="W561" i="6" s="1"/>
  <c r="X561" i="6" s="1"/>
  <c r="AA579" i="5" l="1"/>
  <c r="X579" i="5"/>
  <c r="Q581" i="5"/>
  <c r="T581" i="5"/>
  <c r="M580" i="5"/>
  <c r="J580" i="5"/>
  <c r="F580" i="5"/>
  <c r="C580" i="5"/>
  <c r="AN583" i="6"/>
  <c r="AL583" i="6"/>
  <c r="AI583" i="6"/>
  <c r="AE583" i="6"/>
  <c r="AF583" i="6" s="1"/>
  <c r="AM583" i="6"/>
  <c r="AG583" i="6"/>
  <c r="AD584" i="6"/>
  <c r="AH583" i="6"/>
  <c r="AJ583" i="6"/>
  <c r="AO583" i="6" s="1"/>
  <c r="AQ583" i="6"/>
  <c r="AP561" i="6"/>
  <c r="AS559" i="6"/>
  <c r="AW559" i="6" s="1"/>
  <c r="AX559" i="6" s="1"/>
  <c r="AY559" i="6" s="1"/>
  <c r="AS560" i="6"/>
  <c r="AW560" i="6" s="1"/>
  <c r="AX560" i="6" s="1"/>
  <c r="AY560" i="6" s="1"/>
  <c r="L582" i="6"/>
  <c r="Q582" i="6" s="1"/>
  <c r="S582" i="6" s="1"/>
  <c r="F584" i="6"/>
  <c r="P584" i="6" s="1"/>
  <c r="K583" i="6"/>
  <c r="I583" i="6"/>
  <c r="J583" i="6" s="1"/>
  <c r="O583" i="6"/>
  <c r="N583" i="6"/>
  <c r="G583" i="6"/>
  <c r="H583" i="6" s="1"/>
  <c r="M561" i="6"/>
  <c r="R561" i="6" s="1"/>
  <c r="T561" i="6" s="1"/>
  <c r="U561" i="6" s="1"/>
  <c r="Y561" i="6" s="1"/>
  <c r="Z561" i="6" s="1"/>
  <c r="AA561" i="6" s="1"/>
  <c r="AT562" i="6"/>
  <c r="AU562" i="6" s="1"/>
  <c r="AV562" i="6" s="1"/>
  <c r="M562" i="6"/>
  <c r="R562" i="6" s="1"/>
  <c r="T562" i="6" s="1"/>
  <c r="U562" i="6" s="1"/>
  <c r="Y562" i="6" s="1"/>
  <c r="Z562" i="6" s="1"/>
  <c r="AA562" i="6" s="1"/>
  <c r="V562" i="6"/>
  <c r="W562" i="6" s="1"/>
  <c r="X562" i="6" s="1"/>
  <c r="M581" i="5" l="1"/>
  <c r="J581" i="5"/>
  <c r="T582" i="5"/>
  <c r="Q582" i="5"/>
  <c r="X580" i="5"/>
  <c r="AA580" i="5"/>
  <c r="F581" i="5"/>
  <c r="C581" i="5"/>
  <c r="AN584" i="6"/>
  <c r="AI584" i="6"/>
  <c r="AM584" i="6"/>
  <c r="AE584" i="6"/>
  <c r="AD585" i="6"/>
  <c r="AL584" i="6"/>
  <c r="AG584" i="6"/>
  <c r="AH584" i="6" s="1"/>
  <c r="AF584" i="6"/>
  <c r="AJ584" i="6"/>
  <c r="AO584" i="6" s="1"/>
  <c r="AQ584" i="6" s="1"/>
  <c r="AR561" i="6"/>
  <c r="L583" i="6"/>
  <c r="Q583" i="6" s="1"/>
  <c r="S583" i="6" s="1"/>
  <c r="I584" i="6"/>
  <c r="J584" i="6" s="1"/>
  <c r="K584" i="6"/>
  <c r="O584" i="6"/>
  <c r="G584" i="6"/>
  <c r="H584" i="6" s="1"/>
  <c r="N584" i="6"/>
  <c r="F585" i="6"/>
  <c r="P585" i="6" s="1"/>
  <c r="AK563" i="6"/>
  <c r="AK564" i="6"/>
  <c r="AP564" i="6" s="1"/>
  <c r="AR564" i="6" s="1"/>
  <c r="AT563" i="6"/>
  <c r="AU563" i="6" s="1"/>
  <c r="AV563" i="6" s="1"/>
  <c r="V563" i="6"/>
  <c r="W563" i="6" s="1"/>
  <c r="X563" i="6" s="1"/>
  <c r="AA581" i="5" l="1"/>
  <c r="X581" i="5"/>
  <c r="Q583" i="5"/>
  <c r="T583" i="5"/>
  <c r="J582" i="5"/>
  <c r="M582" i="5"/>
  <c r="C582" i="5"/>
  <c r="F582" i="5"/>
  <c r="AN585" i="6"/>
  <c r="AL585" i="6"/>
  <c r="AI585" i="6"/>
  <c r="AM585" i="6"/>
  <c r="AE585" i="6"/>
  <c r="AF585" i="6" s="1"/>
  <c r="AG585" i="6"/>
  <c r="AD586" i="6"/>
  <c r="AH585" i="6"/>
  <c r="AJ585" i="6" s="1"/>
  <c r="AO585" i="6" s="1"/>
  <c r="AQ585" i="6"/>
  <c r="AP563" i="6"/>
  <c r="AS561" i="6"/>
  <c r="AW561" i="6" s="1"/>
  <c r="AX561" i="6" s="1"/>
  <c r="AY561" i="6" s="1"/>
  <c r="AS562" i="6"/>
  <c r="AW562" i="6" s="1"/>
  <c r="AX562" i="6" s="1"/>
  <c r="AY562" i="6" s="1"/>
  <c r="L584" i="6"/>
  <c r="Q584" i="6" s="1"/>
  <c r="S584" i="6" s="1"/>
  <c r="G585" i="6"/>
  <c r="H585" i="6" s="1"/>
  <c r="N585" i="6"/>
  <c r="O585" i="6"/>
  <c r="F586" i="6"/>
  <c r="P586" i="6" s="1"/>
  <c r="I585" i="6"/>
  <c r="J585" i="6" s="1"/>
  <c r="K585" i="6"/>
  <c r="M563" i="6"/>
  <c r="R563" i="6" s="1"/>
  <c r="T563" i="6" s="1"/>
  <c r="AT564" i="6"/>
  <c r="AU564" i="6" s="1"/>
  <c r="AV564" i="6" s="1"/>
  <c r="M564" i="6"/>
  <c r="R564" i="6" s="1"/>
  <c r="T564" i="6" s="1"/>
  <c r="V564" i="6"/>
  <c r="W564" i="6" s="1"/>
  <c r="X564" i="6" s="1"/>
  <c r="M583" i="5" l="1"/>
  <c r="J583" i="5"/>
  <c r="Q584" i="5"/>
  <c r="T584" i="5"/>
  <c r="X582" i="5"/>
  <c r="AA582" i="5"/>
  <c r="C583" i="5"/>
  <c r="F583" i="5"/>
  <c r="AN586" i="6"/>
  <c r="AG586" i="6"/>
  <c r="AD587" i="6"/>
  <c r="AI586" i="6"/>
  <c r="AL586" i="6"/>
  <c r="AM586" i="6"/>
  <c r="AE586" i="6"/>
  <c r="AH586" i="6"/>
  <c r="AJ586" i="6" s="1"/>
  <c r="AO586" i="6" s="1"/>
  <c r="AQ586" i="6" s="1"/>
  <c r="AF586" i="6"/>
  <c r="AR563" i="6"/>
  <c r="L585" i="6"/>
  <c r="Q585" i="6" s="1"/>
  <c r="S585" i="6" s="1"/>
  <c r="F587" i="6"/>
  <c r="P587" i="6" s="1"/>
  <c r="K586" i="6"/>
  <c r="I586" i="6"/>
  <c r="J586" i="6" s="1"/>
  <c r="O586" i="6"/>
  <c r="G586" i="6"/>
  <c r="H586" i="6" s="1"/>
  <c r="N586" i="6"/>
  <c r="AK565" i="6"/>
  <c r="U564" i="6"/>
  <c r="Y564" i="6" s="1"/>
  <c r="Z564" i="6" s="1"/>
  <c r="AA564" i="6" s="1"/>
  <c r="U563" i="6"/>
  <c r="Y563" i="6" s="1"/>
  <c r="Z563" i="6" s="1"/>
  <c r="AA563" i="6" s="1"/>
  <c r="AT565" i="6"/>
  <c r="AU565" i="6" s="1"/>
  <c r="AV565" i="6" s="1"/>
  <c r="AK566" i="6"/>
  <c r="AP566" i="6" s="1"/>
  <c r="AR566" i="6" s="1"/>
  <c r="V565" i="6"/>
  <c r="AA583" i="5" l="1"/>
  <c r="X583" i="5"/>
  <c r="T585" i="5"/>
  <c r="Q585" i="5"/>
  <c r="M584" i="5"/>
  <c r="J584" i="5"/>
  <c r="F584" i="5"/>
  <c r="C584" i="5"/>
  <c r="AN587" i="6"/>
  <c r="AM587" i="6"/>
  <c r="AE587" i="6"/>
  <c r="AG587" i="6"/>
  <c r="AH587" i="6" s="1"/>
  <c r="AI587" i="6"/>
  <c r="AD588" i="6"/>
  <c r="AL587" i="6"/>
  <c r="AJ587" i="6"/>
  <c r="AO587" i="6" s="1"/>
  <c r="AQ587" i="6" s="1"/>
  <c r="AF587" i="6"/>
  <c r="AP565" i="6"/>
  <c r="AS563" i="6"/>
  <c r="AW563" i="6" s="1"/>
  <c r="AX563" i="6" s="1"/>
  <c r="AY563" i="6" s="1"/>
  <c r="AS564" i="6"/>
  <c r="AW564" i="6" s="1"/>
  <c r="AX564" i="6" s="1"/>
  <c r="AY564" i="6" s="1"/>
  <c r="L586" i="6"/>
  <c r="Q586" i="6" s="1"/>
  <c r="S586" i="6" s="1"/>
  <c r="K587" i="6"/>
  <c r="O587" i="6"/>
  <c r="G587" i="6"/>
  <c r="H587" i="6" s="1"/>
  <c r="N587" i="6"/>
  <c r="F588" i="6"/>
  <c r="P588" i="6" s="1"/>
  <c r="I587" i="6"/>
  <c r="J587" i="6" s="1"/>
  <c r="L587" i="6" s="1"/>
  <c r="Q587" i="6" s="1"/>
  <c r="S587" i="6" s="1"/>
  <c r="AK567" i="6"/>
  <c r="AP567" i="6" s="1"/>
  <c r="AR567" i="6" s="1"/>
  <c r="AT566" i="6"/>
  <c r="AU566" i="6" s="1"/>
  <c r="AV566" i="6" s="1"/>
  <c r="M565" i="6"/>
  <c r="R565" i="6" s="1"/>
  <c r="T565" i="6" s="1"/>
  <c r="U565" i="6" s="1"/>
  <c r="Y565" i="6" s="1"/>
  <c r="Z565" i="6" s="1"/>
  <c r="AA565" i="6" s="1"/>
  <c r="W565" i="6"/>
  <c r="X565" i="6" s="1"/>
  <c r="M566" i="6"/>
  <c r="R566" i="6" s="1"/>
  <c r="T566" i="6" s="1"/>
  <c r="U566" i="6" s="1"/>
  <c r="Y566" i="6" s="1"/>
  <c r="Z566" i="6" s="1"/>
  <c r="AA566" i="6" s="1"/>
  <c r="V566" i="6"/>
  <c r="W566" i="6" s="1"/>
  <c r="X566" i="6" s="1"/>
  <c r="M585" i="5" l="1"/>
  <c r="J585" i="5"/>
  <c r="Q586" i="5"/>
  <c r="T586" i="5"/>
  <c r="X584" i="5"/>
  <c r="AA584" i="5"/>
  <c r="F585" i="5"/>
  <c r="C585" i="5"/>
  <c r="AN588" i="6"/>
  <c r="AI588" i="6"/>
  <c r="AM588" i="6"/>
  <c r="AE588" i="6"/>
  <c r="AF588" i="6"/>
  <c r="AG588" i="6"/>
  <c r="AL588" i="6"/>
  <c r="AD589" i="6"/>
  <c r="AH588" i="6"/>
  <c r="AJ588" i="6" s="1"/>
  <c r="AO588" i="6" s="1"/>
  <c r="AQ588" i="6"/>
  <c r="AS567" i="6"/>
  <c r="AR565" i="6"/>
  <c r="AP51" i="12"/>
  <c r="AR51" i="12" s="1"/>
  <c r="F589" i="6"/>
  <c r="P589" i="6" s="1"/>
  <c r="K588" i="6"/>
  <c r="I588" i="6"/>
  <c r="J588" i="6" s="1"/>
  <c r="N588" i="6"/>
  <c r="O588" i="6"/>
  <c r="G588" i="6"/>
  <c r="H588" i="6" s="1"/>
  <c r="AK568" i="6"/>
  <c r="AP568" i="6" s="1"/>
  <c r="AR568" i="6" s="1"/>
  <c r="AS568" i="6" s="1"/>
  <c r="AT567" i="6"/>
  <c r="V567" i="6"/>
  <c r="W567" i="6" s="1"/>
  <c r="X567" i="6" s="1"/>
  <c r="M567" i="6"/>
  <c r="R567" i="6" s="1"/>
  <c r="T567" i="6" s="1"/>
  <c r="U567" i="6" s="1"/>
  <c r="Y567" i="6" s="1"/>
  <c r="Z567" i="6" s="1"/>
  <c r="AA567" i="6" s="1"/>
  <c r="AA585" i="5" l="1"/>
  <c r="X585" i="5"/>
  <c r="T587" i="5"/>
  <c r="Q587" i="5"/>
  <c r="M586" i="5"/>
  <c r="J586" i="5"/>
  <c r="C586" i="5"/>
  <c r="F586" i="5"/>
  <c r="AN589" i="6"/>
  <c r="AI589" i="6"/>
  <c r="AL589" i="6"/>
  <c r="AF589" i="6"/>
  <c r="AM589" i="6"/>
  <c r="AE589" i="6"/>
  <c r="AD590" i="6"/>
  <c r="AG589" i="6"/>
  <c r="AH589" i="6" s="1"/>
  <c r="AJ589" i="6"/>
  <c r="AO589" i="6" s="1"/>
  <c r="AQ589" i="6" s="1"/>
  <c r="AS565" i="6"/>
  <c r="AW565" i="6" s="1"/>
  <c r="AX565" i="6" s="1"/>
  <c r="AY565" i="6" s="1"/>
  <c r="AS566" i="6"/>
  <c r="AW566" i="6" s="1"/>
  <c r="AX566" i="6" s="1"/>
  <c r="AY566" i="6" s="1"/>
  <c r="L588" i="6"/>
  <c r="Q588" i="6" s="1"/>
  <c r="S588" i="6" s="1"/>
  <c r="I589" i="6"/>
  <c r="J589" i="6" s="1"/>
  <c r="O589" i="6"/>
  <c r="G589" i="6"/>
  <c r="H589" i="6" s="1"/>
  <c r="N589" i="6"/>
  <c r="K589" i="6"/>
  <c r="F590" i="6"/>
  <c r="P590" i="6" s="1"/>
  <c r="AU567" i="6"/>
  <c r="AV567" i="6" s="1"/>
  <c r="AW567" i="6"/>
  <c r="AX567" i="6" s="1"/>
  <c r="AY567" i="6" s="1"/>
  <c r="AT568" i="6"/>
  <c r="AT51" i="12" s="1"/>
  <c r="M568" i="6"/>
  <c r="R568" i="6" s="1"/>
  <c r="T568" i="6" s="1"/>
  <c r="U568" i="6" s="1"/>
  <c r="Y568" i="6" s="1"/>
  <c r="V568" i="6"/>
  <c r="M587" i="5" l="1"/>
  <c r="J587" i="5"/>
  <c r="T588" i="5"/>
  <c r="Q588" i="5"/>
  <c r="AA586" i="5"/>
  <c r="X586" i="5"/>
  <c r="C587" i="5"/>
  <c r="F587" i="5"/>
  <c r="AN590" i="6"/>
  <c r="AI590" i="6"/>
  <c r="AG590" i="6"/>
  <c r="AH590" i="6" s="1"/>
  <c r="AL590" i="6"/>
  <c r="AM590" i="6"/>
  <c r="AE590" i="6"/>
  <c r="AD591" i="6"/>
  <c r="AF590" i="6"/>
  <c r="AJ590" i="6"/>
  <c r="AO590" i="6" s="1"/>
  <c r="AQ590" i="6" s="1"/>
  <c r="AW568" i="6"/>
  <c r="AW51" i="12" s="1"/>
  <c r="L589" i="6"/>
  <c r="Q589" i="6" s="1"/>
  <c r="S589" i="6" s="1"/>
  <c r="G590" i="6"/>
  <c r="H590" i="6" s="1"/>
  <c r="N590" i="6"/>
  <c r="F591" i="6"/>
  <c r="P591" i="6" s="1"/>
  <c r="K590" i="6"/>
  <c r="I590" i="6"/>
  <c r="J590" i="6" s="1"/>
  <c r="L590" i="6" s="1"/>
  <c r="Q590" i="6" s="1"/>
  <c r="S590" i="6" s="1"/>
  <c r="O590" i="6"/>
  <c r="AK569" i="6"/>
  <c r="W568" i="6"/>
  <c r="H126" i="3"/>
  <c r="Z568" i="6"/>
  <c r="I126" i="3"/>
  <c r="AU568" i="6"/>
  <c r="AU51" i="12" s="1"/>
  <c r="AK570" i="6"/>
  <c r="AP570" i="6" s="1"/>
  <c r="AR570" i="6" s="1"/>
  <c r="AT569" i="6"/>
  <c r="V569" i="6"/>
  <c r="W569" i="6" s="1"/>
  <c r="X569" i="6" s="1"/>
  <c r="X587" i="5" l="1"/>
  <c r="AA587" i="5"/>
  <c r="T589" i="5"/>
  <c r="Q589" i="5"/>
  <c r="M588" i="5"/>
  <c r="J588" i="5"/>
  <c r="C588" i="5"/>
  <c r="F588" i="5"/>
  <c r="AN591" i="6"/>
  <c r="AD592" i="6"/>
  <c r="AF591" i="6"/>
  <c r="AL591" i="6"/>
  <c r="AG591" i="6"/>
  <c r="AH591" i="6" s="1"/>
  <c r="AI591" i="6"/>
  <c r="AE591" i="6"/>
  <c r="AM591" i="6"/>
  <c r="AJ591" i="6"/>
  <c r="AO591" i="6"/>
  <c r="AQ591" i="6" s="1"/>
  <c r="AX568" i="6"/>
  <c r="AX51" i="12" s="1"/>
  <c r="AP569" i="6"/>
  <c r="F592" i="6"/>
  <c r="P592" i="6" s="1"/>
  <c r="K591" i="6"/>
  <c r="I591" i="6"/>
  <c r="J591" i="6" s="1"/>
  <c r="L591" i="6" s="1"/>
  <c r="N591" i="6"/>
  <c r="O591" i="6"/>
  <c r="G591" i="6"/>
  <c r="H591" i="6" s="1"/>
  <c r="AU569" i="6"/>
  <c r="AV569" i="6" s="1"/>
  <c r="AT570" i="6"/>
  <c r="AU570" i="6" s="1"/>
  <c r="AV570" i="6" s="1"/>
  <c r="AA568" i="6"/>
  <c r="K126" i="3" s="1"/>
  <c r="AV568" i="6"/>
  <c r="AV51" i="12" s="1"/>
  <c r="X568" i="6"/>
  <c r="J126" i="3" s="1"/>
  <c r="M569" i="6"/>
  <c r="R569" i="6" s="1"/>
  <c r="T569" i="6" s="1"/>
  <c r="U569" i="6" s="1"/>
  <c r="Y569" i="6" s="1"/>
  <c r="Z569" i="6" s="1"/>
  <c r="AA569" i="6" s="1"/>
  <c r="AY568" i="6"/>
  <c r="AY51" i="12" s="1"/>
  <c r="M570" i="6"/>
  <c r="R570" i="6" s="1"/>
  <c r="T570" i="6" s="1"/>
  <c r="U570" i="6" s="1"/>
  <c r="Y570" i="6" s="1"/>
  <c r="Z570" i="6" s="1"/>
  <c r="AA570" i="6" s="1"/>
  <c r="V570" i="6"/>
  <c r="W570" i="6" s="1"/>
  <c r="X570" i="6" s="1"/>
  <c r="J589" i="5" l="1"/>
  <c r="M589" i="5"/>
  <c r="T590" i="5"/>
  <c r="Q590" i="5"/>
  <c r="AA588" i="5"/>
  <c r="X588" i="5"/>
  <c r="F589" i="5"/>
  <c r="C589" i="5"/>
  <c r="AN592" i="6"/>
  <c r="AL592" i="6"/>
  <c r="AM592" i="6"/>
  <c r="AE592" i="6"/>
  <c r="AF592" i="6"/>
  <c r="AG592" i="6"/>
  <c r="AH592" i="6" s="1"/>
  <c r="AD593" i="6"/>
  <c r="AI592" i="6"/>
  <c r="AJ592" i="6"/>
  <c r="AO592" i="6" s="1"/>
  <c r="AQ592" i="6" s="1"/>
  <c r="AR569" i="6"/>
  <c r="Q591" i="6"/>
  <c r="S591" i="6" s="1"/>
  <c r="N592" i="6"/>
  <c r="G592" i="6"/>
  <c r="H592" i="6" s="1"/>
  <c r="F593" i="6"/>
  <c r="P593" i="6" s="1"/>
  <c r="K592" i="6"/>
  <c r="I592" i="6"/>
  <c r="J592" i="6" s="1"/>
  <c r="O592" i="6"/>
  <c r="AK571" i="6"/>
  <c r="AK572" i="6"/>
  <c r="AP572" i="6" s="1"/>
  <c r="AR572" i="6" s="1"/>
  <c r="AT571" i="6"/>
  <c r="AU571" i="6" s="1"/>
  <c r="AV571" i="6" s="1"/>
  <c r="V571" i="6"/>
  <c r="W571" i="6" s="1"/>
  <c r="X571" i="6" s="1"/>
  <c r="X589" i="5" l="1"/>
  <c r="AA589" i="5"/>
  <c r="T591" i="5"/>
  <c r="Q591" i="5"/>
  <c r="J590" i="5"/>
  <c r="M590" i="5"/>
  <c r="C590" i="5"/>
  <c r="F590" i="5"/>
  <c r="AN593" i="6"/>
  <c r="AD594" i="6"/>
  <c r="AI593" i="6"/>
  <c r="AM593" i="6"/>
  <c r="AL593" i="6"/>
  <c r="AE593" i="6"/>
  <c r="AF593" i="6" s="1"/>
  <c r="AG593" i="6"/>
  <c r="AH593" i="6" s="1"/>
  <c r="AJ593" i="6"/>
  <c r="AO593" i="6" s="1"/>
  <c r="AQ593" i="6" s="1"/>
  <c r="AP571" i="6"/>
  <c r="AS569" i="6"/>
  <c r="AW569" i="6" s="1"/>
  <c r="AX569" i="6" s="1"/>
  <c r="AY569" i="6" s="1"/>
  <c r="AS570" i="6"/>
  <c r="AW570" i="6" s="1"/>
  <c r="AX570" i="6" s="1"/>
  <c r="AY570" i="6" s="1"/>
  <c r="L592" i="6"/>
  <c r="Q592" i="6" s="1"/>
  <c r="S592" i="6" s="1"/>
  <c r="O593" i="6"/>
  <c r="G593" i="6"/>
  <c r="H593" i="6" s="1"/>
  <c r="N593" i="6"/>
  <c r="F594" i="6"/>
  <c r="P594" i="6" s="1"/>
  <c r="K593" i="6"/>
  <c r="I593" i="6"/>
  <c r="J593" i="6" s="1"/>
  <c r="L593" i="6" s="1"/>
  <c r="Q593" i="6" s="1"/>
  <c r="S593" i="6" s="1"/>
  <c r="AT572" i="6"/>
  <c r="AU572" i="6" s="1"/>
  <c r="AV572" i="6" s="1"/>
  <c r="M571" i="6"/>
  <c r="R571" i="6" s="1"/>
  <c r="T571" i="6" s="1"/>
  <c r="U571" i="6" s="1"/>
  <c r="Y571" i="6" s="1"/>
  <c r="Z571" i="6" s="1"/>
  <c r="AA571" i="6" s="1"/>
  <c r="M572" i="6"/>
  <c r="R572" i="6" s="1"/>
  <c r="T572" i="6" s="1"/>
  <c r="V572" i="6"/>
  <c r="W572" i="6" s="1"/>
  <c r="X572" i="6" s="1"/>
  <c r="J591" i="5" l="1"/>
  <c r="M591" i="5"/>
  <c r="T592" i="5"/>
  <c r="Q592" i="5"/>
  <c r="X590" i="5"/>
  <c r="AA590" i="5"/>
  <c r="F591" i="5"/>
  <c r="C591" i="5"/>
  <c r="AN594" i="6"/>
  <c r="AE594" i="6"/>
  <c r="AF594" i="6" s="1"/>
  <c r="AG594" i="6"/>
  <c r="AH594" i="6" s="1"/>
  <c r="AM594" i="6"/>
  <c r="AD595" i="6"/>
  <c r="AI594" i="6"/>
  <c r="AL594" i="6"/>
  <c r="AJ594" i="6"/>
  <c r="AO594" i="6" s="1"/>
  <c r="AQ594" i="6"/>
  <c r="AR571" i="6"/>
  <c r="N594" i="6"/>
  <c r="F595" i="6"/>
  <c r="P595" i="6" s="1"/>
  <c r="K594" i="6"/>
  <c r="I594" i="6"/>
  <c r="J594" i="6" s="1"/>
  <c r="L594" i="6" s="1"/>
  <c r="Q594" i="6" s="1"/>
  <c r="S594" i="6" s="1"/>
  <c r="O594" i="6"/>
  <c r="G594" i="6"/>
  <c r="H594" i="6" s="1"/>
  <c r="AK573" i="6"/>
  <c r="AT573" i="6"/>
  <c r="AU573" i="6" s="1"/>
  <c r="AV573" i="6" s="1"/>
  <c r="AK574" i="6"/>
  <c r="AP574" i="6" s="1"/>
  <c r="AR574" i="6" s="1"/>
  <c r="U572" i="6"/>
  <c r="Y572" i="6" s="1"/>
  <c r="Z572" i="6" s="1"/>
  <c r="AA572" i="6" s="1"/>
  <c r="V573" i="6"/>
  <c r="W573" i="6" s="1"/>
  <c r="X573" i="6" s="1"/>
  <c r="AA591" i="5" l="1"/>
  <c r="X591" i="5"/>
  <c r="Q593" i="5"/>
  <c r="T593" i="5"/>
  <c r="M592" i="5"/>
  <c r="J592" i="5"/>
  <c r="F592" i="5"/>
  <c r="C592" i="5"/>
  <c r="AN595" i="6"/>
  <c r="AN54" i="12" s="1"/>
  <c r="AI595" i="6"/>
  <c r="AD596" i="6"/>
  <c r="AE595" i="6"/>
  <c r="AF595" i="6" s="1"/>
  <c r="AL595" i="6"/>
  <c r="AM595" i="6"/>
  <c r="AG595" i="6"/>
  <c r="AH595" i="6" s="1"/>
  <c r="AJ595" i="6"/>
  <c r="AO595" i="6" s="1"/>
  <c r="AQ595" i="6" s="1"/>
  <c r="AP573" i="6"/>
  <c r="AS571" i="6"/>
  <c r="AW571" i="6" s="1"/>
  <c r="AX571" i="6" s="1"/>
  <c r="AY571" i="6" s="1"/>
  <c r="AS572" i="6"/>
  <c r="AW572" i="6" s="1"/>
  <c r="AX572" i="6" s="1"/>
  <c r="AY572" i="6" s="1"/>
  <c r="O595" i="6"/>
  <c r="F596" i="6"/>
  <c r="P596" i="6" s="1"/>
  <c r="G595" i="6"/>
  <c r="H595" i="6" s="1"/>
  <c r="K595" i="6"/>
  <c r="N595" i="6"/>
  <c r="I595" i="6"/>
  <c r="J595" i="6" s="1"/>
  <c r="L595" i="6" s="1"/>
  <c r="Q595" i="6" s="1"/>
  <c r="S595" i="6" s="1"/>
  <c r="M573" i="6"/>
  <c r="R573" i="6" s="1"/>
  <c r="T573" i="6" s="1"/>
  <c r="U573" i="6" s="1"/>
  <c r="Y573" i="6" s="1"/>
  <c r="Z573" i="6" s="1"/>
  <c r="AA573" i="6" s="1"/>
  <c r="AT574" i="6"/>
  <c r="AU574" i="6" s="1"/>
  <c r="AV574" i="6" s="1"/>
  <c r="M574" i="6"/>
  <c r="R574" i="6" s="1"/>
  <c r="T574" i="6" s="1"/>
  <c r="U574" i="6" s="1"/>
  <c r="Y574" i="6" s="1"/>
  <c r="Z574" i="6" s="1"/>
  <c r="AA574" i="6" s="1"/>
  <c r="V574" i="6"/>
  <c r="W574" i="6" s="1"/>
  <c r="X574" i="6" s="1"/>
  <c r="T594" i="5" l="1"/>
  <c r="Q594" i="5"/>
  <c r="M593" i="5"/>
  <c r="J593" i="5"/>
  <c r="AA592" i="5"/>
  <c r="X592" i="5"/>
  <c r="F593" i="5"/>
  <c r="C593" i="5"/>
  <c r="AN596" i="6"/>
  <c r="AH596" i="6"/>
  <c r="AI596" i="6"/>
  <c r="AD597" i="6"/>
  <c r="AL596" i="6"/>
  <c r="AE596" i="6"/>
  <c r="AM596" i="6"/>
  <c r="AF596" i="6"/>
  <c r="AG596" i="6"/>
  <c r="AJ596" i="6"/>
  <c r="AO596" i="6" s="1"/>
  <c r="AQ596" i="6"/>
  <c r="AR573" i="6"/>
  <c r="K596" i="6"/>
  <c r="F597" i="6"/>
  <c r="P597" i="6" s="1"/>
  <c r="I596" i="6"/>
  <c r="O596" i="6"/>
  <c r="G596" i="6"/>
  <c r="H596" i="6" s="1"/>
  <c r="N596" i="6"/>
  <c r="J596" i="6"/>
  <c r="L596" i="6" s="1"/>
  <c r="Q596" i="6" s="1"/>
  <c r="S596" i="6" s="1"/>
  <c r="AK576" i="6"/>
  <c r="AP576" i="6" s="1"/>
  <c r="AR576" i="6" s="1"/>
  <c r="AT575" i="6"/>
  <c r="AU575" i="6" s="1"/>
  <c r="AV575" i="6" s="1"/>
  <c r="AK575" i="6"/>
  <c r="V575" i="6"/>
  <c r="W575" i="6" s="1"/>
  <c r="X575" i="6" s="1"/>
  <c r="J594" i="5" l="1"/>
  <c r="M594" i="5"/>
  <c r="AA593" i="5"/>
  <c r="X593" i="5"/>
  <c r="Q595" i="5"/>
  <c r="T595" i="5"/>
  <c r="F594" i="5"/>
  <c r="C594" i="5"/>
  <c r="AN597" i="6"/>
  <c r="AD598" i="6"/>
  <c r="AE597" i="6"/>
  <c r="AL597" i="6"/>
  <c r="AM597" i="6"/>
  <c r="AG597" i="6"/>
  <c r="AH597" i="6" s="1"/>
  <c r="AI597" i="6"/>
  <c r="AJ597" i="6"/>
  <c r="AO597" i="6"/>
  <c r="AQ597" i="6" s="1"/>
  <c r="AF597" i="6"/>
  <c r="AP575" i="6"/>
  <c r="AS573" i="6"/>
  <c r="AW573" i="6" s="1"/>
  <c r="AX573" i="6" s="1"/>
  <c r="AY573" i="6" s="1"/>
  <c r="AS574" i="6"/>
  <c r="AW574" i="6" s="1"/>
  <c r="AX574" i="6" s="1"/>
  <c r="AY574" i="6" s="1"/>
  <c r="O597" i="6"/>
  <c r="G597" i="6"/>
  <c r="H597" i="6" s="1"/>
  <c r="I597" i="6"/>
  <c r="N597" i="6"/>
  <c r="F598" i="6"/>
  <c r="P598" i="6" s="1"/>
  <c r="K597" i="6"/>
  <c r="J597" i="6"/>
  <c r="AT576" i="6"/>
  <c r="AU576" i="6" s="1"/>
  <c r="AV576" i="6" s="1"/>
  <c r="M575" i="6"/>
  <c r="R575" i="6" s="1"/>
  <c r="T575" i="6" s="1"/>
  <c r="U575" i="6" s="1"/>
  <c r="Y575" i="6" s="1"/>
  <c r="Z575" i="6" s="1"/>
  <c r="AA575" i="6" s="1"/>
  <c r="M576" i="6"/>
  <c r="R576" i="6" s="1"/>
  <c r="T576" i="6" s="1"/>
  <c r="U576" i="6" s="1"/>
  <c r="Y576" i="6" s="1"/>
  <c r="Z576" i="6" s="1"/>
  <c r="AA576" i="6" s="1"/>
  <c r="V576" i="6"/>
  <c r="W576" i="6" s="1"/>
  <c r="X576" i="6" s="1"/>
  <c r="AA594" i="5" l="1"/>
  <c r="X594" i="5"/>
  <c r="M595" i="5"/>
  <c r="J595" i="5"/>
  <c r="T596" i="5"/>
  <c r="Q596" i="5"/>
  <c r="F595" i="5"/>
  <c r="C595" i="5"/>
  <c r="AN598" i="6"/>
  <c r="AG598" i="6"/>
  <c r="AH598" i="6" s="1"/>
  <c r="AI598" i="6"/>
  <c r="AD599" i="6"/>
  <c r="AL598" i="6"/>
  <c r="AE598" i="6"/>
  <c r="AF598" i="6" s="1"/>
  <c r="AM598" i="6"/>
  <c r="AJ598" i="6"/>
  <c r="AO598" i="6" s="1"/>
  <c r="AQ598" i="6" s="1"/>
  <c r="AR575" i="6"/>
  <c r="L597" i="6"/>
  <c r="Q597" i="6" s="1"/>
  <c r="S597" i="6" s="1"/>
  <c r="O598" i="6"/>
  <c r="G598" i="6"/>
  <c r="N598" i="6"/>
  <c r="H598" i="6"/>
  <c r="F599" i="6"/>
  <c r="P599" i="6" s="1"/>
  <c r="K598" i="6"/>
  <c r="I598" i="6"/>
  <c r="J598" i="6" s="1"/>
  <c r="AK578" i="6"/>
  <c r="AP578" i="6" s="1"/>
  <c r="AR578" i="6" s="1"/>
  <c r="AT577" i="6"/>
  <c r="AK577" i="6"/>
  <c r="V577" i="6"/>
  <c r="W577" i="6" s="1"/>
  <c r="X577" i="6" s="1"/>
  <c r="Q597" i="5" l="1"/>
  <c r="T597" i="5"/>
  <c r="M596" i="5"/>
  <c r="J596" i="5"/>
  <c r="AA595" i="5"/>
  <c r="X595" i="5"/>
  <c r="F596" i="5"/>
  <c r="C596" i="5"/>
  <c r="AN599" i="6"/>
  <c r="AD600" i="6"/>
  <c r="AL599" i="6"/>
  <c r="AE599" i="6"/>
  <c r="AG599" i="6"/>
  <c r="AI599" i="6"/>
  <c r="AM599" i="6"/>
  <c r="AF599" i="6"/>
  <c r="AH599" i="6"/>
  <c r="AJ599" i="6" s="1"/>
  <c r="AO599" i="6" s="1"/>
  <c r="AQ599" i="6" s="1"/>
  <c r="AP577" i="6"/>
  <c r="AS576" i="6"/>
  <c r="AW576" i="6" s="1"/>
  <c r="AX576" i="6" s="1"/>
  <c r="AY576" i="6" s="1"/>
  <c r="AS575" i="6"/>
  <c r="AW575" i="6" s="1"/>
  <c r="AX575" i="6" s="1"/>
  <c r="AY575" i="6" s="1"/>
  <c r="L598" i="6"/>
  <c r="Q598" i="6" s="1"/>
  <c r="S598" i="6" s="1"/>
  <c r="K599" i="6"/>
  <c r="I599" i="6"/>
  <c r="J599" i="6" s="1"/>
  <c r="O599" i="6"/>
  <c r="F600" i="6"/>
  <c r="P600" i="6" s="1"/>
  <c r="G599" i="6"/>
  <c r="H599" i="6" s="1"/>
  <c r="N599" i="6"/>
  <c r="M577" i="6"/>
  <c r="R577" i="6" s="1"/>
  <c r="T577" i="6" s="1"/>
  <c r="U577" i="6" s="1"/>
  <c r="Y577" i="6" s="1"/>
  <c r="Z577" i="6" s="1"/>
  <c r="AA577" i="6" s="1"/>
  <c r="AU577" i="6"/>
  <c r="AV577" i="6" s="1"/>
  <c r="AK579" i="6"/>
  <c r="AP579" i="6" s="1"/>
  <c r="AR579" i="6" s="1"/>
  <c r="AT578" i="6"/>
  <c r="AU578" i="6" s="1"/>
  <c r="AV578" i="6" s="1"/>
  <c r="M578" i="6"/>
  <c r="R578" i="6" s="1"/>
  <c r="T578" i="6" s="1"/>
  <c r="U578" i="6" s="1"/>
  <c r="Y578" i="6" s="1"/>
  <c r="Z578" i="6" s="1"/>
  <c r="AA578" i="6" s="1"/>
  <c r="V578" i="6"/>
  <c r="W578" i="6" s="1"/>
  <c r="X578" i="6" s="1"/>
  <c r="AA596" i="5" l="1"/>
  <c r="X596" i="5"/>
  <c r="J597" i="5"/>
  <c r="M597" i="5"/>
  <c r="T598" i="5"/>
  <c r="Q598" i="5"/>
  <c r="F597" i="5"/>
  <c r="C597" i="5"/>
  <c r="AN600" i="6"/>
  <c r="AM600" i="6"/>
  <c r="AF600" i="6"/>
  <c r="AG600" i="6"/>
  <c r="AH600" i="6" s="1"/>
  <c r="AD601" i="6"/>
  <c r="AI600" i="6"/>
  <c r="AL600" i="6"/>
  <c r="AE600" i="6"/>
  <c r="AO600" i="6"/>
  <c r="AQ600" i="6" s="1"/>
  <c r="AJ600" i="6"/>
  <c r="AS579" i="6"/>
  <c r="AR577" i="6"/>
  <c r="AP52" i="12"/>
  <c r="AR52" i="12" s="1"/>
  <c r="L599" i="6"/>
  <c r="Q599" i="6" s="1"/>
  <c r="S599" i="6" s="1"/>
  <c r="N600" i="6"/>
  <c r="F601" i="6"/>
  <c r="P601" i="6" s="1"/>
  <c r="K600" i="6"/>
  <c r="I600" i="6"/>
  <c r="J600" i="6" s="1"/>
  <c r="G600" i="6"/>
  <c r="H600" i="6" s="1"/>
  <c r="O600" i="6"/>
  <c r="AK580" i="6"/>
  <c r="AP580" i="6" s="1"/>
  <c r="AR580" i="6" s="1"/>
  <c r="AS580" i="6" s="1"/>
  <c r="AT579" i="6"/>
  <c r="AU579" i="6" s="1"/>
  <c r="AV579" i="6" s="1"/>
  <c r="V579" i="6"/>
  <c r="W579" i="6" s="1"/>
  <c r="X579" i="6" s="1"/>
  <c r="M579" i="6"/>
  <c r="R579" i="6" s="1"/>
  <c r="T579" i="6" s="1"/>
  <c r="U579" i="6" s="1"/>
  <c r="Y579" i="6" s="1"/>
  <c r="Z579" i="6" s="1"/>
  <c r="AA579" i="6" s="1"/>
  <c r="T599" i="5" l="1"/>
  <c r="Q599" i="5"/>
  <c r="J598" i="5"/>
  <c r="M598" i="5"/>
  <c r="X597" i="5"/>
  <c r="AA597" i="5"/>
  <c r="F598" i="5"/>
  <c r="C598" i="5"/>
  <c r="AN601" i="6"/>
  <c r="AE601" i="6"/>
  <c r="AF601" i="6"/>
  <c r="AG601" i="6"/>
  <c r="AL601" i="6"/>
  <c r="AH601" i="6"/>
  <c r="AI601" i="6"/>
  <c r="AD602" i="6"/>
  <c r="AM601" i="6"/>
  <c r="AJ601" i="6"/>
  <c r="AO601" i="6" s="1"/>
  <c r="AQ601" i="6" s="1"/>
  <c r="AS577" i="6"/>
  <c r="AW577" i="6" s="1"/>
  <c r="AX577" i="6" s="1"/>
  <c r="AY577" i="6" s="1"/>
  <c r="AS578" i="6"/>
  <c r="AW578" i="6" s="1"/>
  <c r="AX578" i="6" s="1"/>
  <c r="AY578" i="6" s="1"/>
  <c r="AW579" i="6"/>
  <c r="AX579" i="6" s="1"/>
  <c r="AY579" i="6" s="1"/>
  <c r="L600" i="6"/>
  <c r="Q600" i="6" s="1"/>
  <c r="S600" i="6" s="1"/>
  <c r="O601" i="6"/>
  <c r="K601" i="6"/>
  <c r="G601" i="6"/>
  <c r="H601" i="6" s="1"/>
  <c r="N601" i="6"/>
  <c r="F602" i="6"/>
  <c r="P602" i="6" s="1"/>
  <c r="I601" i="6"/>
  <c r="J601" i="6" s="1"/>
  <c r="L601" i="6" s="1"/>
  <c r="Q601" i="6" s="1"/>
  <c r="S601" i="6" s="1"/>
  <c r="AT580" i="6"/>
  <c r="M580" i="6"/>
  <c r="R580" i="6" s="1"/>
  <c r="T580" i="6" s="1"/>
  <c r="U580" i="6" s="1"/>
  <c r="Y580" i="6" s="1"/>
  <c r="V580" i="6"/>
  <c r="J599" i="5" l="1"/>
  <c r="M599" i="5"/>
  <c r="X598" i="5"/>
  <c r="AA598" i="5"/>
  <c r="T600" i="5"/>
  <c r="Q600" i="5"/>
  <c r="F599" i="5"/>
  <c r="C599" i="5"/>
  <c r="AN602" i="6"/>
  <c r="AG602" i="6"/>
  <c r="AL602" i="6"/>
  <c r="AI602" i="6"/>
  <c r="AD603" i="6"/>
  <c r="AE602" i="6"/>
  <c r="AM602" i="6"/>
  <c r="AF602" i="6"/>
  <c r="AH602" i="6"/>
  <c r="AJ602" i="6" s="1"/>
  <c r="AO602" i="6" s="1"/>
  <c r="AQ602" i="6" s="1"/>
  <c r="AW580" i="6"/>
  <c r="AW52" i="12" s="1"/>
  <c r="AT52" i="12"/>
  <c r="I602" i="6"/>
  <c r="J602" i="6"/>
  <c r="O602" i="6"/>
  <c r="G602" i="6"/>
  <c r="H602" i="6" s="1"/>
  <c r="F603" i="6"/>
  <c r="P603" i="6" s="1"/>
  <c r="N602" i="6"/>
  <c r="K602" i="6"/>
  <c r="AX580" i="6"/>
  <c r="AX52" i="12" s="1"/>
  <c r="AU580" i="6"/>
  <c r="AU52" i="12" s="1"/>
  <c r="H127" i="3"/>
  <c r="W580" i="6"/>
  <c r="AK582" i="6"/>
  <c r="AP582" i="6" s="1"/>
  <c r="AR582" i="6" s="1"/>
  <c r="AT581" i="6"/>
  <c r="AU581" i="6" s="1"/>
  <c r="AV581" i="6" s="1"/>
  <c r="Z580" i="6"/>
  <c r="I127" i="3"/>
  <c r="AK581" i="6"/>
  <c r="V581" i="6"/>
  <c r="W581" i="6" s="1"/>
  <c r="X581" i="6" s="1"/>
  <c r="Q601" i="5" l="1"/>
  <c r="T601" i="5"/>
  <c r="X599" i="5"/>
  <c r="AA599" i="5"/>
  <c r="M600" i="5"/>
  <c r="J600" i="5"/>
  <c r="F600" i="5"/>
  <c r="C600" i="5"/>
  <c r="AN603" i="6"/>
  <c r="AM603" i="6"/>
  <c r="AF603" i="6"/>
  <c r="AG603" i="6"/>
  <c r="AI603" i="6"/>
  <c r="AD604" i="6"/>
  <c r="AL603" i="6"/>
  <c r="AE603" i="6"/>
  <c r="AH603" i="6"/>
  <c r="AJ603" i="6" s="1"/>
  <c r="AO603" i="6" s="1"/>
  <c r="AQ603" i="6" s="1"/>
  <c r="AP581" i="6"/>
  <c r="L602" i="6"/>
  <c r="Q602" i="6" s="1"/>
  <c r="S602" i="6" s="1"/>
  <c r="K603" i="6"/>
  <c r="I603" i="6"/>
  <c r="J603" i="6" s="1"/>
  <c r="F604" i="6"/>
  <c r="P604" i="6" s="1"/>
  <c r="O603" i="6"/>
  <c r="G603" i="6"/>
  <c r="H603" i="6" s="1"/>
  <c r="N603" i="6"/>
  <c r="AV580" i="6"/>
  <c r="AV52" i="12" s="1"/>
  <c r="AA580" i="6"/>
  <c r="K127" i="3" s="1"/>
  <c r="X580" i="6"/>
  <c r="J127" i="3" s="1"/>
  <c r="AY580" i="6"/>
  <c r="AY52" i="12" s="1"/>
  <c r="AT582" i="6"/>
  <c r="AU582" i="6" s="1"/>
  <c r="AV582" i="6" s="1"/>
  <c r="M581" i="6"/>
  <c r="R581" i="6" s="1"/>
  <c r="T581" i="6" s="1"/>
  <c r="U581" i="6" s="1"/>
  <c r="Y581" i="6" s="1"/>
  <c r="Z581" i="6" s="1"/>
  <c r="AA581" i="6" s="1"/>
  <c r="M582" i="6"/>
  <c r="R582" i="6" s="1"/>
  <c r="T582" i="6" s="1"/>
  <c r="U582" i="6" s="1"/>
  <c r="Y582" i="6" s="1"/>
  <c r="Z582" i="6" s="1"/>
  <c r="AA582" i="6" s="1"/>
  <c r="V582" i="6"/>
  <c r="W582" i="6" s="1"/>
  <c r="X582" i="6" s="1"/>
  <c r="J601" i="5" l="1"/>
  <c r="M601" i="5"/>
  <c r="AA600" i="5"/>
  <c r="X600" i="5"/>
  <c r="Q602" i="5"/>
  <c r="T602" i="5"/>
  <c r="C601" i="5"/>
  <c r="F601" i="5"/>
  <c r="AN604" i="6"/>
  <c r="AD605" i="6"/>
  <c r="AL604" i="6"/>
  <c r="AE604" i="6"/>
  <c r="AF604" i="6" s="1"/>
  <c r="AM604" i="6"/>
  <c r="AG604" i="6"/>
  <c r="AH604" i="6" s="1"/>
  <c r="AI604" i="6"/>
  <c r="AJ604" i="6"/>
  <c r="AO604" i="6" s="1"/>
  <c r="AQ604" i="6"/>
  <c r="AR581" i="6"/>
  <c r="L603" i="6"/>
  <c r="Q603" i="6" s="1"/>
  <c r="S603" i="6" s="1"/>
  <c r="G604" i="6"/>
  <c r="H604" i="6" s="1"/>
  <c r="N604" i="6"/>
  <c r="F605" i="6"/>
  <c r="P605" i="6" s="1"/>
  <c r="O604" i="6"/>
  <c r="K604" i="6"/>
  <c r="I604" i="6"/>
  <c r="J604" i="6" s="1"/>
  <c r="AK584" i="6"/>
  <c r="AP584" i="6" s="1"/>
  <c r="AR584" i="6" s="1"/>
  <c r="AT583" i="6"/>
  <c r="AK583" i="6"/>
  <c r="V583" i="6"/>
  <c r="W583" i="6" s="1"/>
  <c r="X583" i="6" s="1"/>
  <c r="Q603" i="5" l="1"/>
  <c r="T603" i="5"/>
  <c r="AA601" i="5"/>
  <c r="X601" i="5"/>
  <c r="M602" i="5"/>
  <c r="J602" i="5"/>
  <c r="C602" i="5"/>
  <c r="F602" i="5"/>
  <c r="AE605" i="6"/>
  <c r="AN605" i="6"/>
  <c r="AK605" i="6"/>
  <c r="AL605" i="6"/>
  <c r="AL5" i="12" s="1"/>
  <c r="AS605" i="6"/>
  <c r="AT605" i="6"/>
  <c r="AP605" i="6"/>
  <c r="AM605" i="6"/>
  <c r="AH605" i="6"/>
  <c r="AW605" i="6"/>
  <c r="AU605" i="6"/>
  <c r="AR605" i="6"/>
  <c r="AQ605" i="6"/>
  <c r="AI605" i="6"/>
  <c r="AJ605" i="6"/>
  <c r="AO605" i="6"/>
  <c r="AG605" i="6"/>
  <c r="AV605" i="6"/>
  <c r="AY605" i="6"/>
  <c r="AX605" i="6"/>
  <c r="AF605" i="6"/>
  <c r="AN5" i="12"/>
  <c r="AL6" i="12"/>
  <c r="AL7" i="12"/>
  <c r="AL9" i="12"/>
  <c r="AN9" i="12"/>
  <c r="AL8" i="12"/>
  <c r="AL10" i="12"/>
  <c r="AL11" i="12"/>
  <c r="AN13" i="12"/>
  <c r="AL15" i="12"/>
  <c r="AL14" i="12"/>
  <c r="AL13" i="12"/>
  <c r="AL12" i="12"/>
  <c r="AN17" i="12"/>
  <c r="AL16" i="12"/>
  <c r="AL17" i="12"/>
  <c r="AN6" i="12"/>
  <c r="AL18" i="12"/>
  <c r="AL21" i="12"/>
  <c r="AL20" i="12"/>
  <c r="AN21" i="12"/>
  <c r="AL19" i="12"/>
  <c r="AL22" i="12"/>
  <c r="AL24" i="12"/>
  <c r="AL23" i="12"/>
  <c r="AN25" i="12"/>
  <c r="AL25" i="12"/>
  <c r="AL26" i="12"/>
  <c r="AM5" i="12"/>
  <c r="AL29" i="12"/>
  <c r="AL27" i="12"/>
  <c r="AL30" i="12"/>
  <c r="AL28" i="12"/>
  <c r="AM6" i="12"/>
  <c r="AN29" i="12"/>
  <c r="AO5" i="12"/>
  <c r="AQ5" i="12" s="1"/>
  <c r="AO6" i="12"/>
  <c r="AQ6" i="12" s="1"/>
  <c r="AL31" i="12"/>
  <c r="AL32" i="12"/>
  <c r="AL33" i="12"/>
  <c r="AL34" i="12"/>
  <c r="AP5" i="12"/>
  <c r="AN8" i="12"/>
  <c r="AN10" i="12"/>
  <c r="AN11" i="12"/>
  <c r="AN12" i="12"/>
  <c r="AP10" i="12"/>
  <c r="AN14" i="12"/>
  <c r="AP13" i="12"/>
  <c r="AN16" i="12"/>
  <c r="AN18" i="12"/>
  <c r="AP16" i="12"/>
  <c r="AP17" i="12"/>
  <c r="AN20" i="12"/>
  <c r="AP18" i="12"/>
  <c r="AN22" i="12"/>
  <c r="AN23" i="12"/>
  <c r="AH19" i="12"/>
  <c r="AH10" i="12"/>
  <c r="AH11" i="12"/>
  <c r="AH8" i="12"/>
  <c r="AI11" i="12"/>
  <c r="AM12" i="12"/>
  <c r="AH18" i="12"/>
  <c r="AH5" i="12"/>
  <c r="AI6" i="12"/>
  <c r="AH16" i="12"/>
  <c r="AM13" i="12"/>
  <c r="AM22" i="12"/>
  <c r="AI10" i="12"/>
  <c r="AM23" i="12"/>
  <c r="AM9" i="12"/>
  <c r="AH15" i="12"/>
  <c r="AI13" i="12"/>
  <c r="AI9" i="12"/>
  <c r="AI5" i="12"/>
  <c r="AH23" i="12"/>
  <c r="AI16" i="12"/>
  <c r="AM20" i="12"/>
  <c r="AM8" i="12"/>
  <c r="AH14" i="12"/>
  <c r="AH20" i="12"/>
  <c r="AH9" i="12"/>
  <c r="AI7" i="12"/>
  <c r="AM7" i="12"/>
  <c r="AM10" i="12"/>
  <c r="AI15" i="12"/>
  <c r="AI8" i="12"/>
  <c r="AM14" i="12"/>
  <c r="AH21" i="12"/>
  <c r="AO23" i="12"/>
  <c r="AQ23" i="12" s="1"/>
  <c r="AI21" i="12"/>
  <c r="AM16" i="12"/>
  <c r="AI19" i="12"/>
  <c r="AM17" i="12"/>
  <c r="AO8" i="12"/>
  <c r="AQ8" i="12" s="1"/>
  <c r="AH6" i="12"/>
  <c r="AH7" i="12"/>
  <c r="AM18" i="12"/>
  <c r="AH13" i="12"/>
  <c r="AM21" i="12"/>
  <c r="AH12" i="12"/>
  <c r="AO7" i="12"/>
  <c r="AQ7" i="12" s="1"/>
  <c r="AI12" i="12"/>
  <c r="AI14" i="12"/>
  <c r="AH17" i="12"/>
  <c r="AO17" i="12"/>
  <c r="AQ17" i="12" s="1"/>
  <c r="AO9" i="12"/>
  <c r="AQ9" i="12" s="1"/>
  <c r="AH22" i="12"/>
  <c r="AM15" i="12"/>
  <c r="AI20" i="12"/>
  <c r="AO21" i="12"/>
  <c r="AQ21" i="12" s="1"/>
  <c r="AO22" i="12"/>
  <c r="AQ22" i="12" s="1"/>
  <c r="AI18" i="12"/>
  <c r="AO10" i="12"/>
  <c r="AQ10" i="12" s="1"/>
  <c r="AM19" i="12"/>
  <c r="AI17" i="12"/>
  <c r="AO12" i="12"/>
  <c r="AQ12" i="12" s="1"/>
  <c r="AO14" i="12"/>
  <c r="AQ14" i="12" s="1"/>
  <c r="AI23" i="12"/>
  <c r="AO15" i="12"/>
  <c r="AQ15" i="12" s="1"/>
  <c r="AM11" i="12"/>
  <c r="AO13" i="12"/>
  <c r="AQ13" i="12" s="1"/>
  <c r="AI22" i="12"/>
  <c r="AO20" i="12"/>
  <c r="AQ20" i="12" s="1"/>
  <c r="AO18" i="12"/>
  <c r="AQ18" i="12" s="1"/>
  <c r="AO11" i="12"/>
  <c r="AQ11" i="12" s="1"/>
  <c r="AO19" i="12"/>
  <c r="AQ19" i="12" s="1"/>
  <c r="AO16" i="12"/>
  <c r="AQ16" i="12" s="1"/>
  <c r="AP22" i="12"/>
  <c r="AP23" i="12"/>
  <c r="AN26" i="12"/>
  <c r="AP24" i="12"/>
  <c r="AP25" i="12"/>
  <c r="AN28" i="12"/>
  <c r="AP26" i="12"/>
  <c r="AP27" i="12"/>
  <c r="AP28" i="12"/>
  <c r="AP30" i="12"/>
  <c r="AP31" i="12"/>
  <c r="AP32" i="12"/>
  <c r="AI32" i="12"/>
  <c r="AH28" i="12"/>
  <c r="AM34" i="12"/>
  <c r="AM30" i="12"/>
  <c r="AM26" i="12"/>
  <c r="AI30" i="12"/>
  <c r="AM25" i="12"/>
  <c r="AH32" i="12"/>
  <c r="AI34" i="12"/>
  <c r="AH29" i="12"/>
  <c r="AM28" i="12"/>
  <c r="AI33" i="12"/>
  <c r="AI29" i="12"/>
  <c r="AM29" i="12"/>
  <c r="AH24" i="12"/>
  <c r="AM32" i="12"/>
  <c r="AM27" i="12"/>
  <c r="AI31" i="12"/>
  <c r="AM24" i="12"/>
  <c r="AH30" i="12"/>
  <c r="AH34" i="12"/>
  <c r="AH33" i="12"/>
  <c r="AM31" i="12"/>
  <c r="AH26" i="12"/>
  <c r="AI27" i="12"/>
  <c r="AI28" i="12"/>
  <c r="AH25" i="12"/>
  <c r="AM33" i="12"/>
  <c r="AI24" i="12"/>
  <c r="AH31" i="12"/>
  <c r="AI26" i="12"/>
  <c r="AH27" i="12"/>
  <c r="AI25" i="12"/>
  <c r="AO31" i="12"/>
  <c r="AQ31" i="12" s="1"/>
  <c r="AO30" i="12"/>
  <c r="AQ30" i="12" s="1"/>
  <c r="AO27" i="12"/>
  <c r="AQ27" i="12" s="1"/>
  <c r="AO34" i="12"/>
  <c r="AQ34" i="12" s="1"/>
  <c r="AO29" i="12"/>
  <c r="AQ29" i="12" s="1"/>
  <c r="AO26" i="12"/>
  <c r="AQ26" i="12" s="1"/>
  <c r="AO32" i="12"/>
  <c r="AQ32" i="12" s="1"/>
  <c r="AO25" i="12"/>
  <c r="AQ25" i="12" s="1"/>
  <c r="AO28" i="12"/>
  <c r="AQ28" i="12" s="1"/>
  <c r="AO24" i="12"/>
  <c r="AQ24" i="12" s="1"/>
  <c r="AO33" i="12"/>
  <c r="AQ33" i="12" s="1"/>
  <c r="AP583" i="6"/>
  <c r="AS582" i="6"/>
  <c r="AW582" i="6" s="1"/>
  <c r="AX582" i="6" s="1"/>
  <c r="AY582" i="6" s="1"/>
  <c r="AS581" i="6"/>
  <c r="AW581" i="6" s="1"/>
  <c r="AX581" i="6" s="1"/>
  <c r="AY581" i="6" s="1"/>
  <c r="Q6" i="12"/>
  <c r="S6" i="12" s="1"/>
  <c r="V5" i="12"/>
  <c r="H80" i="3" s="1"/>
  <c r="X5" i="12"/>
  <c r="J80" i="3" s="1"/>
  <c r="W5" i="12"/>
  <c r="Z5" i="12"/>
  <c r="M6" i="12"/>
  <c r="F137" i="3" s="1"/>
  <c r="Y5" i="12"/>
  <c r="I80" i="3" s="1"/>
  <c r="AA5" i="12"/>
  <c r="K80" i="3" s="1"/>
  <c r="N6" i="12"/>
  <c r="O6" i="12"/>
  <c r="W6" i="12"/>
  <c r="Z6" i="12"/>
  <c r="X6" i="12"/>
  <c r="J81" i="3" s="1"/>
  <c r="K6" i="12"/>
  <c r="V6" i="12"/>
  <c r="H81" i="3" s="1"/>
  <c r="Y6" i="12"/>
  <c r="I81" i="3" s="1"/>
  <c r="P6" i="12"/>
  <c r="Z7" i="12"/>
  <c r="AA6" i="12"/>
  <c r="K81" i="3" s="1"/>
  <c r="P7" i="12"/>
  <c r="K7" i="12"/>
  <c r="N7" i="12"/>
  <c r="V7" i="12"/>
  <c r="H82" i="3" s="1"/>
  <c r="AA7" i="12"/>
  <c r="K82" i="3" s="1"/>
  <c r="R6" i="12"/>
  <c r="M7" i="12"/>
  <c r="F138" i="3" s="1"/>
  <c r="J6" i="12"/>
  <c r="W7" i="12"/>
  <c r="Y7" i="12"/>
  <c r="I82" i="3" s="1"/>
  <c r="N8" i="12"/>
  <c r="K8" i="12"/>
  <c r="Q8" i="12"/>
  <c r="S8" i="12" s="1"/>
  <c r="X8" i="12"/>
  <c r="J83" i="3" s="1"/>
  <c r="M8" i="12"/>
  <c r="F139" i="3" s="1"/>
  <c r="O7" i="12"/>
  <c r="M9" i="12"/>
  <c r="F140" i="3" s="1"/>
  <c r="J7" i="12"/>
  <c r="R8" i="12"/>
  <c r="P9" i="12"/>
  <c r="K9" i="12"/>
  <c r="O8" i="12"/>
  <c r="Z8" i="12"/>
  <c r="Q9" i="12"/>
  <c r="S9" i="12" s="1"/>
  <c r="AA8" i="12"/>
  <c r="K83" i="3" s="1"/>
  <c r="J8" i="12"/>
  <c r="R7" i="12"/>
  <c r="P8" i="12"/>
  <c r="W9" i="12"/>
  <c r="V8" i="12"/>
  <c r="H83" i="3" s="1"/>
  <c r="X7" i="12"/>
  <c r="J82" i="3" s="1"/>
  <c r="Z9" i="12"/>
  <c r="Y9" i="12"/>
  <c r="I84" i="3" s="1"/>
  <c r="Q7" i="12"/>
  <c r="S7" i="12" s="1"/>
  <c r="W8" i="12"/>
  <c r="W10" i="12"/>
  <c r="AA9" i="12"/>
  <c r="K84" i="3" s="1"/>
  <c r="R9" i="12"/>
  <c r="X9" i="12"/>
  <c r="J84" i="3" s="1"/>
  <c r="Z10" i="12"/>
  <c r="O9" i="12"/>
  <c r="Q10" i="12"/>
  <c r="S10" i="12" s="1"/>
  <c r="O10" i="12"/>
  <c r="R10" i="12"/>
  <c r="N10" i="12"/>
  <c r="V10" i="12"/>
  <c r="H85" i="3" s="1"/>
  <c r="Y8" i="12"/>
  <c r="I83" i="3" s="1"/>
  <c r="AA10" i="12"/>
  <c r="K85" i="3" s="1"/>
  <c r="Y10" i="12"/>
  <c r="I85" i="3" s="1"/>
  <c r="X10" i="12"/>
  <c r="J85" i="3" s="1"/>
  <c r="Z11" i="12"/>
  <c r="K10" i="12"/>
  <c r="Y12" i="12"/>
  <c r="I87" i="3" s="1"/>
  <c r="V11" i="12"/>
  <c r="H86" i="3" s="1"/>
  <c r="Y11" i="12"/>
  <c r="I86" i="3" s="1"/>
  <c r="AA11" i="12"/>
  <c r="K86" i="3" s="1"/>
  <c r="J10" i="12"/>
  <c r="J9" i="12"/>
  <c r="N9" i="12"/>
  <c r="M10" i="12"/>
  <c r="F141" i="3" s="1"/>
  <c r="X11" i="12"/>
  <c r="J86" i="3" s="1"/>
  <c r="Q11" i="12"/>
  <c r="S11" i="12" s="1"/>
  <c r="P10" i="12"/>
  <c r="V9" i="12"/>
  <c r="H84" i="3" s="1"/>
  <c r="P11" i="12"/>
  <c r="W11" i="12"/>
  <c r="M11" i="12"/>
  <c r="F142" i="3" s="1"/>
  <c r="K11" i="12"/>
  <c r="O13" i="12"/>
  <c r="Q12" i="12"/>
  <c r="S12" i="12" s="1"/>
  <c r="R12" i="12"/>
  <c r="M12" i="12"/>
  <c r="F143" i="3" s="1"/>
  <c r="Z12" i="12"/>
  <c r="O12" i="12"/>
  <c r="V12" i="12"/>
  <c r="H87" i="3" s="1"/>
  <c r="N11" i="12"/>
  <c r="W12" i="12"/>
  <c r="M13" i="12"/>
  <c r="F144" i="3" s="1"/>
  <c r="W13" i="12"/>
  <c r="AA12" i="12"/>
  <c r="K87" i="3" s="1"/>
  <c r="X13" i="12"/>
  <c r="J88" i="3" s="1"/>
  <c r="N12" i="12"/>
  <c r="O11" i="12"/>
  <c r="K12" i="12"/>
  <c r="P12" i="12"/>
  <c r="Z13" i="12"/>
  <c r="R11" i="12"/>
  <c r="X12" i="12"/>
  <c r="J87" i="3" s="1"/>
  <c r="J11" i="12"/>
  <c r="R13" i="12"/>
  <c r="J13" i="12"/>
  <c r="Q13" i="12"/>
  <c r="S13" i="12" s="1"/>
  <c r="Q15" i="12"/>
  <c r="S15" i="12" s="1"/>
  <c r="Y14" i="12"/>
  <c r="V14" i="12"/>
  <c r="V13" i="12"/>
  <c r="H88" i="3" s="1"/>
  <c r="Z14" i="12"/>
  <c r="P13" i="12"/>
  <c r="AA13" i="12"/>
  <c r="K88" i="3" s="1"/>
  <c r="AA14" i="12"/>
  <c r="J12" i="12"/>
  <c r="Y13" i="12"/>
  <c r="I88" i="3" s="1"/>
  <c r="Z15" i="12"/>
  <c r="O16" i="12"/>
  <c r="N13" i="12"/>
  <c r="K14" i="12"/>
  <c r="V15" i="12"/>
  <c r="H90" i="3" s="1"/>
  <c r="J14" i="12"/>
  <c r="P15" i="12"/>
  <c r="N14" i="12"/>
  <c r="M14" i="12"/>
  <c r="W14" i="12"/>
  <c r="K13" i="12"/>
  <c r="X16" i="12"/>
  <c r="J91" i="3" s="1"/>
  <c r="Y15" i="12"/>
  <c r="I90" i="3" s="1"/>
  <c r="R15" i="12"/>
  <c r="AA15" i="12"/>
  <c r="K90" i="3" s="1"/>
  <c r="W15" i="12"/>
  <c r="X14" i="12"/>
  <c r="P14" i="12"/>
  <c r="O15" i="12"/>
  <c r="Z16" i="12"/>
  <c r="W16" i="12"/>
  <c r="M15" i="12"/>
  <c r="F146" i="3" s="1"/>
  <c r="K16" i="12"/>
  <c r="Y16" i="12"/>
  <c r="I91" i="3" s="1"/>
  <c r="O14" i="12"/>
  <c r="R16" i="12"/>
  <c r="R14" i="12"/>
  <c r="V16" i="12"/>
  <c r="H91" i="3" s="1"/>
  <c r="Q14" i="12"/>
  <c r="S14" i="12" s="1"/>
  <c r="J15" i="12"/>
  <c r="N15" i="12"/>
  <c r="X15" i="12"/>
  <c r="J90" i="3" s="1"/>
  <c r="Q16" i="12"/>
  <c r="S16" i="12" s="1"/>
  <c r="AA16" i="12"/>
  <c r="K91" i="3" s="1"/>
  <c r="X17" i="12"/>
  <c r="J92" i="3" s="1"/>
  <c r="Z17" i="12"/>
  <c r="AA17" i="12"/>
  <c r="K92" i="3" s="1"/>
  <c r="K18" i="12"/>
  <c r="M17" i="12"/>
  <c r="F148" i="3" s="1"/>
  <c r="K17" i="12"/>
  <c r="N16" i="12"/>
  <c r="Y17" i="12"/>
  <c r="I92" i="3" s="1"/>
  <c r="P16" i="12"/>
  <c r="M16" i="12"/>
  <c r="F147" i="3" s="1"/>
  <c r="K15" i="12"/>
  <c r="Q18" i="12"/>
  <c r="S18" i="12" s="1"/>
  <c r="N19" i="12"/>
  <c r="Z18" i="12"/>
  <c r="P18" i="12"/>
  <c r="W18" i="12"/>
  <c r="R18" i="12"/>
  <c r="N17" i="12"/>
  <c r="Y18" i="12"/>
  <c r="I93" i="3" s="1"/>
  <c r="V17" i="12"/>
  <c r="H92" i="3" s="1"/>
  <c r="Q17" i="12"/>
  <c r="S17" i="12" s="1"/>
  <c r="W17" i="12"/>
  <c r="J17" i="12"/>
  <c r="O17" i="12"/>
  <c r="AA18" i="12"/>
  <c r="K93" i="3" s="1"/>
  <c r="V18" i="12"/>
  <c r="H93" i="3" s="1"/>
  <c r="AA19" i="12"/>
  <c r="K94" i="3" s="1"/>
  <c r="X18" i="12"/>
  <c r="J93" i="3" s="1"/>
  <c r="P17" i="12"/>
  <c r="J16" i="12"/>
  <c r="Z19" i="12"/>
  <c r="N18" i="12"/>
  <c r="W19" i="12"/>
  <c r="R19" i="12"/>
  <c r="Y19" i="12"/>
  <c r="I94" i="3" s="1"/>
  <c r="O19" i="12"/>
  <c r="V19" i="12"/>
  <c r="H94" i="3" s="1"/>
  <c r="Q19" i="12"/>
  <c r="S19" i="12" s="1"/>
  <c r="J18" i="12"/>
  <c r="X19" i="12"/>
  <c r="J94" i="3" s="1"/>
  <c r="O20" i="12"/>
  <c r="K19" i="12"/>
  <c r="R20" i="12"/>
  <c r="P19" i="12"/>
  <c r="M18" i="12"/>
  <c r="F149" i="3" s="1"/>
  <c r="R17" i="12"/>
  <c r="J19" i="12"/>
  <c r="Y20" i="12"/>
  <c r="I95" i="3" s="1"/>
  <c r="O18" i="12"/>
  <c r="J20" i="12"/>
  <c r="M19" i="12"/>
  <c r="F150" i="3" s="1"/>
  <c r="K20" i="12"/>
  <c r="V20" i="12"/>
  <c r="H95" i="3" s="1"/>
  <c r="J21" i="12"/>
  <c r="P22" i="12"/>
  <c r="N20" i="12"/>
  <c r="M20" i="12"/>
  <c r="F151" i="3" s="1"/>
  <c r="R21" i="12"/>
  <c r="AA20" i="12"/>
  <c r="K95" i="3" s="1"/>
  <c r="Y21" i="12"/>
  <c r="I96" i="3" s="1"/>
  <c r="O21" i="12"/>
  <c r="P20" i="12"/>
  <c r="W20" i="12"/>
  <c r="X21" i="12"/>
  <c r="J96" i="3" s="1"/>
  <c r="Z20" i="12"/>
  <c r="V21" i="12"/>
  <c r="H96" i="3" s="1"/>
  <c r="AA21" i="12"/>
  <c r="K96" i="3" s="1"/>
  <c r="Y22" i="12"/>
  <c r="I97" i="3" s="1"/>
  <c r="Q20" i="12"/>
  <c r="S20" i="12" s="1"/>
  <c r="AA22" i="12"/>
  <c r="K97" i="3" s="1"/>
  <c r="W23" i="12"/>
  <c r="X20" i="12"/>
  <c r="J95" i="3" s="1"/>
  <c r="K22" i="12"/>
  <c r="Z21" i="12"/>
  <c r="M21" i="12"/>
  <c r="F152" i="3" s="1"/>
  <c r="K21" i="12"/>
  <c r="X22" i="12"/>
  <c r="J97" i="3" s="1"/>
  <c r="P21" i="12"/>
  <c r="J22" i="12"/>
  <c r="V22" i="12"/>
  <c r="H97" i="3" s="1"/>
  <c r="N21" i="12"/>
  <c r="W21" i="12"/>
  <c r="W22" i="12"/>
  <c r="Z22" i="12"/>
  <c r="R22" i="12"/>
  <c r="J23" i="12"/>
  <c r="V23" i="12"/>
  <c r="H98" i="3" s="1"/>
  <c r="P23" i="12"/>
  <c r="M22" i="12"/>
  <c r="F153" i="3" s="1"/>
  <c r="Y23" i="12"/>
  <c r="I98" i="3" s="1"/>
  <c r="Z23" i="12"/>
  <c r="Q21" i="12"/>
  <c r="S21" i="12" s="1"/>
  <c r="K23" i="12"/>
  <c r="AA23" i="12"/>
  <c r="K98" i="3" s="1"/>
  <c r="Q22" i="12"/>
  <c r="S22" i="12" s="1"/>
  <c r="X23" i="12"/>
  <c r="J98" i="3" s="1"/>
  <c r="N22" i="12"/>
  <c r="O23" i="12"/>
  <c r="O22" i="12"/>
  <c r="N23" i="12"/>
  <c r="N26" i="12"/>
  <c r="R24" i="12"/>
  <c r="Y24" i="12"/>
  <c r="I99" i="3" s="1"/>
  <c r="P24" i="12"/>
  <c r="M23" i="12"/>
  <c r="F154" i="3" s="1"/>
  <c r="J24" i="12"/>
  <c r="N24" i="12"/>
  <c r="K24" i="12"/>
  <c r="Z24" i="12"/>
  <c r="W24" i="12"/>
  <c r="Q24" i="12"/>
  <c r="S24" i="12" s="1"/>
  <c r="AA24" i="12"/>
  <c r="K99" i="3" s="1"/>
  <c r="O24" i="12"/>
  <c r="R23" i="12"/>
  <c r="M24" i="12"/>
  <c r="F155" i="3" s="1"/>
  <c r="X24" i="12"/>
  <c r="J99" i="3" s="1"/>
  <c r="V24" i="12"/>
  <c r="H99" i="3" s="1"/>
  <c r="Q23" i="12"/>
  <c r="S23" i="12" s="1"/>
  <c r="N5" i="12"/>
  <c r="Z25" i="12"/>
  <c r="Y25" i="12"/>
  <c r="I100" i="3" s="1"/>
  <c r="Q25" i="12"/>
  <c r="S25" i="12" s="1"/>
  <c r="O25" i="12"/>
  <c r="P25" i="12"/>
  <c r="R25" i="12"/>
  <c r="M25" i="12"/>
  <c r="F156" i="3" s="1"/>
  <c r="X25" i="12"/>
  <c r="J100" i="3" s="1"/>
  <c r="W25" i="12"/>
  <c r="J25" i="12"/>
  <c r="AA25" i="12"/>
  <c r="K100" i="3" s="1"/>
  <c r="N25" i="12"/>
  <c r="V25" i="12"/>
  <c r="H100" i="3" s="1"/>
  <c r="K25" i="12"/>
  <c r="Q26" i="12"/>
  <c r="S26" i="12" s="1"/>
  <c r="M26" i="12"/>
  <c r="F157" i="3" s="1"/>
  <c r="J26" i="12"/>
  <c r="AA26" i="12"/>
  <c r="K101" i="3" s="1"/>
  <c r="R26" i="12"/>
  <c r="W26" i="12"/>
  <c r="V26" i="12"/>
  <c r="H101" i="3" s="1"/>
  <c r="Y26" i="12"/>
  <c r="I101" i="3" s="1"/>
  <c r="P26" i="12"/>
  <c r="K26" i="12"/>
  <c r="X26" i="12"/>
  <c r="J101" i="3" s="1"/>
  <c r="O5" i="12"/>
  <c r="BX14" i="13" s="1"/>
  <c r="Z26" i="12"/>
  <c r="O26" i="12"/>
  <c r="AA28" i="12"/>
  <c r="K103" i="3" s="1"/>
  <c r="AA27" i="12"/>
  <c r="K102" i="3" s="1"/>
  <c r="Z27" i="12"/>
  <c r="W27" i="12"/>
  <c r="Q5" i="12"/>
  <c r="S5" i="12" s="1"/>
  <c r="BX18" i="13" s="1"/>
  <c r="Q27" i="12"/>
  <c r="S27" i="12" s="1"/>
  <c r="M27" i="12"/>
  <c r="F158" i="3" s="1"/>
  <c r="X27" i="12"/>
  <c r="J102" i="3" s="1"/>
  <c r="J27" i="12"/>
  <c r="O27" i="12"/>
  <c r="V27" i="12"/>
  <c r="H102" i="3" s="1"/>
  <c r="P27" i="12"/>
  <c r="R27" i="12"/>
  <c r="K27" i="12"/>
  <c r="Y27" i="12"/>
  <c r="I102" i="3" s="1"/>
  <c r="N27" i="12"/>
  <c r="Y29" i="12"/>
  <c r="I104" i="3" s="1"/>
  <c r="Q28" i="12"/>
  <c r="S28" i="12" s="1"/>
  <c r="W28" i="12"/>
  <c r="Z28" i="12"/>
  <c r="P28" i="12"/>
  <c r="V28" i="12"/>
  <c r="H103" i="3" s="1"/>
  <c r="O28" i="12"/>
  <c r="X28" i="12"/>
  <c r="J103" i="3" s="1"/>
  <c r="N28" i="12"/>
  <c r="Y28" i="12"/>
  <c r="I103" i="3" s="1"/>
  <c r="R28" i="12"/>
  <c r="M28" i="12"/>
  <c r="F159" i="3" s="1"/>
  <c r="K28" i="12"/>
  <c r="J28" i="12"/>
  <c r="M30" i="12"/>
  <c r="F161" i="3" s="1"/>
  <c r="V29" i="12"/>
  <c r="H104" i="3" s="1"/>
  <c r="J29" i="12"/>
  <c r="K29" i="12"/>
  <c r="O29" i="12"/>
  <c r="P29" i="12"/>
  <c r="W29" i="12"/>
  <c r="X29" i="12"/>
  <c r="J104" i="3" s="1"/>
  <c r="AA29" i="12"/>
  <c r="K104" i="3" s="1"/>
  <c r="N29" i="12"/>
  <c r="Z29" i="12"/>
  <c r="M29" i="12"/>
  <c r="F160" i="3" s="1"/>
  <c r="Q29" i="12"/>
  <c r="S29" i="12" s="1"/>
  <c r="R29" i="12"/>
  <c r="K31" i="12"/>
  <c r="Y30" i="12"/>
  <c r="I105" i="3" s="1"/>
  <c r="Z30" i="12"/>
  <c r="AA30" i="12"/>
  <c r="K105" i="3" s="1"/>
  <c r="V30" i="12"/>
  <c r="H105" i="3" s="1"/>
  <c r="X30" i="12"/>
  <c r="J105" i="3" s="1"/>
  <c r="Q30" i="12"/>
  <c r="S30" i="12" s="1"/>
  <c r="R30" i="12"/>
  <c r="O30" i="12"/>
  <c r="J30" i="12"/>
  <c r="W30" i="12"/>
  <c r="K30" i="12"/>
  <c r="N30" i="12"/>
  <c r="M31" i="12"/>
  <c r="F162" i="3" s="1"/>
  <c r="P30" i="12"/>
  <c r="AA31" i="12"/>
  <c r="K106" i="3" s="1"/>
  <c r="Y31" i="12"/>
  <c r="I106" i="3" s="1"/>
  <c r="X31" i="12"/>
  <c r="J106" i="3" s="1"/>
  <c r="P31" i="12"/>
  <c r="R31" i="12"/>
  <c r="V31" i="12"/>
  <c r="H106" i="3" s="1"/>
  <c r="Z31" i="12"/>
  <c r="W31" i="12"/>
  <c r="Q31" i="12"/>
  <c r="S31" i="12" s="1"/>
  <c r="N32" i="12"/>
  <c r="O32" i="12"/>
  <c r="K32" i="12"/>
  <c r="J32" i="12"/>
  <c r="N31" i="12"/>
  <c r="R32" i="12"/>
  <c r="M32" i="12"/>
  <c r="F163" i="3" s="1"/>
  <c r="O31" i="12"/>
  <c r="Z32" i="12"/>
  <c r="W32" i="12"/>
  <c r="X32" i="12"/>
  <c r="J107" i="3" s="1"/>
  <c r="Q32" i="12"/>
  <c r="S32" i="12" s="1"/>
  <c r="AA32" i="12"/>
  <c r="K107" i="3" s="1"/>
  <c r="V32" i="12"/>
  <c r="H107" i="3" s="1"/>
  <c r="J31" i="12"/>
  <c r="X33" i="12"/>
  <c r="J108" i="3" s="1"/>
  <c r="N33" i="12"/>
  <c r="V33" i="12"/>
  <c r="H108" i="3" s="1"/>
  <c r="M33" i="12"/>
  <c r="F164" i="3" s="1"/>
  <c r="P32" i="12"/>
  <c r="Q33" i="12"/>
  <c r="S33" i="12" s="1"/>
  <c r="R33" i="12"/>
  <c r="J33" i="12"/>
  <c r="AA33" i="12"/>
  <c r="K108" i="3" s="1"/>
  <c r="Y32" i="12"/>
  <c r="I107" i="3" s="1"/>
  <c r="W34" i="12"/>
  <c r="O33" i="12"/>
  <c r="Z33" i="12"/>
  <c r="V34" i="12"/>
  <c r="H109" i="3" s="1"/>
  <c r="R35" i="12"/>
  <c r="P34" i="12"/>
  <c r="P33" i="12"/>
  <c r="W33" i="12"/>
  <c r="N34" i="12"/>
  <c r="AA34" i="12"/>
  <c r="K109" i="3" s="1"/>
  <c r="Y34" i="12"/>
  <c r="I109" i="3" s="1"/>
  <c r="Q34" i="12"/>
  <c r="S34" i="12" s="1"/>
  <c r="K33" i="12"/>
  <c r="O34" i="12"/>
  <c r="Z34" i="12"/>
  <c r="K34" i="12"/>
  <c r="Y35" i="12"/>
  <c r="I110" i="3" s="1"/>
  <c r="X34" i="12"/>
  <c r="J109" i="3" s="1"/>
  <c r="M34" i="12"/>
  <c r="F165" i="3" s="1"/>
  <c r="Q35" i="12"/>
  <c r="S35" i="12" s="1"/>
  <c r="X35" i="12"/>
  <c r="J110" i="3" s="1"/>
  <c r="V35" i="12"/>
  <c r="H110" i="3" s="1"/>
  <c r="M35" i="12"/>
  <c r="F166" i="3" s="1"/>
  <c r="P35" i="12"/>
  <c r="Z35" i="12"/>
  <c r="K35" i="12"/>
  <c r="AA37" i="12"/>
  <c r="K112" i="3" s="1"/>
  <c r="AA35" i="12"/>
  <c r="K110" i="3" s="1"/>
  <c r="Y33" i="12"/>
  <c r="I108" i="3" s="1"/>
  <c r="W35" i="12"/>
  <c r="R34" i="12"/>
  <c r="M37" i="12"/>
  <c r="F168" i="3" s="1"/>
  <c r="J35" i="12"/>
  <c r="J34" i="12"/>
  <c r="W37" i="12"/>
  <c r="AA36" i="12"/>
  <c r="K111" i="3" s="1"/>
  <c r="Y37" i="12"/>
  <c r="I112" i="3" s="1"/>
  <c r="X37" i="12"/>
  <c r="J112" i="3" s="1"/>
  <c r="Z37" i="12"/>
  <c r="Q38" i="12"/>
  <c r="S38" i="12" s="1"/>
  <c r="O35" i="12"/>
  <c r="Q36" i="12"/>
  <c r="S36" i="12" s="1"/>
  <c r="O37" i="12"/>
  <c r="W38" i="12"/>
  <c r="P38" i="12"/>
  <c r="K36" i="12"/>
  <c r="K37" i="12"/>
  <c r="Q37" i="12"/>
  <c r="S37" i="12" s="1"/>
  <c r="J36" i="12"/>
  <c r="R36" i="12"/>
  <c r="Y38" i="12"/>
  <c r="O36" i="12"/>
  <c r="J38" i="12"/>
  <c r="X36" i="12"/>
  <c r="J111" i="3" s="1"/>
  <c r="X38" i="12"/>
  <c r="N35" i="12"/>
  <c r="R38" i="12"/>
  <c r="M36" i="12"/>
  <c r="F167" i="3" s="1"/>
  <c r="Z36" i="12"/>
  <c r="N36" i="12"/>
  <c r="AA38" i="12"/>
  <c r="N37" i="12"/>
  <c r="R37" i="12"/>
  <c r="Z38" i="12"/>
  <c r="M38" i="12"/>
  <c r="F169" i="3" s="1"/>
  <c r="W36" i="12"/>
  <c r="V37" i="12"/>
  <c r="H112" i="3" s="1"/>
  <c r="J37" i="12"/>
  <c r="L37" i="12" s="1"/>
  <c r="E168" i="3" s="1"/>
  <c r="D168" i="3" s="1"/>
  <c r="K39" i="12"/>
  <c r="W39" i="12"/>
  <c r="V39" i="12"/>
  <c r="H114" i="3" s="1"/>
  <c r="V38" i="12"/>
  <c r="Z39" i="12"/>
  <c r="N38" i="12"/>
  <c r="P37" i="12"/>
  <c r="Y39" i="12"/>
  <c r="I114" i="3" s="1"/>
  <c r="Y36" i="12"/>
  <c r="I111" i="3" s="1"/>
  <c r="M39" i="12"/>
  <c r="F170" i="3" s="1"/>
  <c r="X39" i="12"/>
  <c r="J114" i="3" s="1"/>
  <c r="AA40" i="12"/>
  <c r="K115" i="3" s="1"/>
  <c r="AA39" i="12"/>
  <c r="K114" i="3" s="1"/>
  <c r="P39" i="12"/>
  <c r="O39" i="12"/>
  <c r="K38" i="12"/>
  <c r="V36" i="12"/>
  <c r="H111" i="3" s="1"/>
  <c r="O38" i="12"/>
  <c r="P36" i="12"/>
  <c r="Q40" i="12"/>
  <c r="S40" i="12" s="1"/>
  <c r="M40" i="12"/>
  <c r="F171" i="3" s="1"/>
  <c r="Y40" i="12"/>
  <c r="I115" i="3" s="1"/>
  <c r="R40" i="12"/>
  <c r="V40" i="12"/>
  <c r="H115" i="3" s="1"/>
  <c r="J39" i="12"/>
  <c r="L39" i="12" s="1"/>
  <c r="E170" i="3" s="1"/>
  <c r="P40" i="12"/>
  <c r="K40" i="12"/>
  <c r="R39" i="12"/>
  <c r="W40" i="12"/>
  <c r="O40" i="12"/>
  <c r="Z40" i="12"/>
  <c r="X40" i="12"/>
  <c r="J115" i="3" s="1"/>
  <c r="X41" i="12"/>
  <c r="J116" i="3" s="1"/>
  <c r="N39" i="12"/>
  <c r="K41" i="12"/>
  <c r="V41" i="12"/>
  <c r="H116" i="3" s="1"/>
  <c r="W41" i="12"/>
  <c r="AA41" i="12"/>
  <c r="K116" i="3" s="1"/>
  <c r="P41" i="12"/>
  <c r="M41" i="12"/>
  <c r="F172" i="3" s="1"/>
  <c r="J40" i="12"/>
  <c r="L40" i="12" s="1"/>
  <c r="E171" i="3" s="1"/>
  <c r="Q41" i="12"/>
  <c r="S41" i="12" s="1"/>
  <c r="N40" i="12"/>
  <c r="Y41" i="12"/>
  <c r="I116" i="3" s="1"/>
  <c r="Q39" i="12"/>
  <c r="S39" i="12" s="1"/>
  <c r="Z41" i="12"/>
  <c r="R41" i="12"/>
  <c r="AA42" i="12"/>
  <c r="K117" i="3" s="1"/>
  <c r="Y42" i="12"/>
  <c r="I117" i="3" s="1"/>
  <c r="N42" i="12"/>
  <c r="M42" i="12"/>
  <c r="F173" i="3" s="1"/>
  <c r="Z42" i="12"/>
  <c r="X42" i="12"/>
  <c r="J117" i="3" s="1"/>
  <c r="W42" i="12"/>
  <c r="Q42" i="12"/>
  <c r="S42" i="12" s="1"/>
  <c r="R42" i="12"/>
  <c r="O41" i="12"/>
  <c r="N41" i="12"/>
  <c r="V42" i="12"/>
  <c r="H117" i="3" s="1"/>
  <c r="J41" i="12"/>
  <c r="X43" i="12"/>
  <c r="J118" i="3" s="1"/>
  <c r="V43" i="12"/>
  <c r="H118" i="3" s="1"/>
  <c r="Y43" i="12"/>
  <c r="I118" i="3" s="1"/>
  <c r="J42" i="12"/>
  <c r="K42" i="12"/>
  <c r="P42" i="12"/>
  <c r="Z43" i="12"/>
  <c r="Q43" i="12"/>
  <c r="S43" i="12" s="1"/>
  <c r="W44" i="12"/>
  <c r="O42" i="12"/>
  <c r="Q44" i="12"/>
  <c r="S44" i="12" s="1"/>
  <c r="R43" i="12"/>
  <c r="Q45" i="12"/>
  <c r="S45" i="12" s="1"/>
  <c r="K43" i="12"/>
  <c r="Z44" i="12"/>
  <c r="O43" i="12"/>
  <c r="P43" i="12"/>
  <c r="J44" i="12"/>
  <c r="X44" i="12"/>
  <c r="J119" i="3" s="1"/>
  <c r="O44" i="12"/>
  <c r="V44" i="12"/>
  <c r="H119" i="3" s="1"/>
  <c r="Y44" i="12"/>
  <c r="I119" i="3" s="1"/>
  <c r="J43" i="12"/>
  <c r="AA44" i="12"/>
  <c r="K119" i="3" s="1"/>
  <c r="W43" i="12"/>
  <c r="K45" i="12"/>
  <c r="N44" i="12"/>
  <c r="Y45" i="12"/>
  <c r="I120" i="3" s="1"/>
  <c r="N45" i="12"/>
  <c r="R44" i="12"/>
  <c r="AA43" i="12"/>
  <c r="K118" i="3" s="1"/>
  <c r="AA45" i="12"/>
  <c r="K120" i="3" s="1"/>
  <c r="V45" i="12"/>
  <c r="H120" i="3" s="1"/>
  <c r="R45" i="12"/>
  <c r="Z45" i="12"/>
  <c r="W45" i="12"/>
  <c r="P44" i="12"/>
  <c r="M44" i="12"/>
  <c r="F175" i="3" s="1"/>
  <c r="O45" i="12"/>
  <c r="K44" i="12"/>
  <c r="P45" i="12"/>
  <c r="K46" i="12"/>
  <c r="M43" i="12"/>
  <c r="F174" i="3" s="1"/>
  <c r="Q46" i="12"/>
  <c r="S46" i="12" s="1"/>
  <c r="AA46" i="12"/>
  <c r="K121" i="3" s="1"/>
  <c r="J45" i="12"/>
  <c r="N46" i="12"/>
  <c r="M46" i="12"/>
  <c r="F177" i="3" s="1"/>
  <c r="Y46" i="12"/>
  <c r="I121" i="3" s="1"/>
  <c r="Z46" i="12"/>
  <c r="P46" i="12"/>
  <c r="X45" i="12"/>
  <c r="J120" i="3" s="1"/>
  <c r="V47" i="12"/>
  <c r="H122" i="3" s="1"/>
  <c r="N43" i="12"/>
  <c r="V46" i="12"/>
  <c r="H121" i="3" s="1"/>
  <c r="X46" i="12"/>
  <c r="J121" i="3" s="1"/>
  <c r="M45" i="12"/>
  <c r="F176" i="3" s="1"/>
  <c r="W46" i="12"/>
  <c r="N47" i="12"/>
  <c r="R46" i="12"/>
  <c r="W47" i="12"/>
  <c r="Z48" i="12"/>
  <c r="Y47" i="12"/>
  <c r="I122" i="3" s="1"/>
  <c r="J47" i="12"/>
  <c r="X47" i="12"/>
  <c r="J122" i="3" s="1"/>
  <c r="J46" i="12"/>
  <c r="L46" i="12" s="1"/>
  <c r="E177" i="3" s="1"/>
  <c r="D177" i="3" s="1"/>
  <c r="P47" i="12"/>
  <c r="AA47" i="12"/>
  <c r="K122" i="3" s="1"/>
  <c r="K47" i="12"/>
  <c r="W48" i="12"/>
  <c r="P48" i="12"/>
  <c r="Q47" i="12"/>
  <c r="S47" i="12" s="1"/>
  <c r="M47" i="12"/>
  <c r="F178" i="3" s="1"/>
  <c r="Z47" i="12"/>
  <c r="O47" i="12"/>
  <c r="AA48" i="12"/>
  <c r="K123" i="3" s="1"/>
  <c r="O46" i="12"/>
  <c r="O48" i="12"/>
  <c r="Y48" i="12"/>
  <c r="I123" i="3" s="1"/>
  <c r="N48" i="12"/>
  <c r="V49" i="12"/>
  <c r="H124" i="3" s="1"/>
  <c r="X48" i="12"/>
  <c r="J123" i="3" s="1"/>
  <c r="R49" i="12"/>
  <c r="AA49" i="12"/>
  <c r="K124" i="3" s="1"/>
  <c r="P49" i="12"/>
  <c r="J49" i="12"/>
  <c r="M48" i="12"/>
  <c r="F179" i="3" s="1"/>
  <c r="W49" i="12"/>
  <c r="Y49" i="12"/>
  <c r="I124" i="3" s="1"/>
  <c r="X49" i="12"/>
  <c r="J124" i="3" s="1"/>
  <c r="Q49" i="12"/>
  <c r="S49" i="12" s="1"/>
  <c r="T49" i="12" s="1"/>
  <c r="Z49" i="12"/>
  <c r="K49" i="12"/>
  <c r="V48" i="12"/>
  <c r="H123" i="3" s="1"/>
  <c r="Q48" i="12"/>
  <c r="S48" i="12" s="1"/>
  <c r="R47" i="12"/>
  <c r="M49" i="12"/>
  <c r="F180" i="3" s="1"/>
  <c r="J48" i="12"/>
  <c r="R48" i="12"/>
  <c r="O49" i="12"/>
  <c r="K48" i="12"/>
  <c r="N49" i="12"/>
  <c r="L604" i="6"/>
  <c r="Q604" i="6" s="1"/>
  <c r="S604" i="6" s="1"/>
  <c r="I605" i="6"/>
  <c r="N605" i="6"/>
  <c r="G605" i="6"/>
  <c r="K605" i="6"/>
  <c r="K5" i="12" s="1"/>
  <c r="P5" i="12"/>
  <c r="BX15" i="13" s="1"/>
  <c r="H605" i="6"/>
  <c r="J605" i="6"/>
  <c r="O605" i="6"/>
  <c r="AU583" i="6"/>
  <c r="AV583" i="6" s="1"/>
  <c r="AT584" i="6"/>
  <c r="AU584" i="6" s="1"/>
  <c r="AV584" i="6" s="1"/>
  <c r="M583" i="6"/>
  <c r="R583" i="6" s="1"/>
  <c r="T583" i="6" s="1"/>
  <c r="U583" i="6" s="1"/>
  <c r="Y583" i="6" s="1"/>
  <c r="Z583" i="6" s="1"/>
  <c r="AA583" i="6" s="1"/>
  <c r="V584" i="6"/>
  <c r="W584" i="6" s="1"/>
  <c r="X584" i="6" s="1"/>
  <c r="M584" i="6"/>
  <c r="R584" i="6" s="1"/>
  <c r="T584" i="6" s="1"/>
  <c r="CR10" i="13" l="1"/>
  <c r="CR15" i="13"/>
  <c r="CR14" i="13"/>
  <c r="AJ6" i="12"/>
  <c r="CR18" i="13"/>
  <c r="L7" i="12"/>
  <c r="E138" i="3" s="1"/>
  <c r="D138" i="3" s="1"/>
  <c r="G138" i="3" s="1"/>
  <c r="J603" i="5"/>
  <c r="M603" i="5"/>
  <c r="X602" i="5"/>
  <c r="AA602" i="5"/>
  <c r="Q604" i="5"/>
  <c r="T604" i="5"/>
  <c r="C603" i="5"/>
  <c r="F603" i="5"/>
  <c r="AJ13" i="12"/>
  <c r="AR22" i="12"/>
  <c r="L31" i="12"/>
  <c r="E162" i="3" s="1"/>
  <c r="D162" i="3" s="1"/>
  <c r="AR23" i="12"/>
  <c r="AJ33" i="12"/>
  <c r="AJ9" i="12"/>
  <c r="AJ34" i="12"/>
  <c r="L28" i="12"/>
  <c r="E159" i="3" s="1"/>
  <c r="D159" i="3" s="1"/>
  <c r="AJ11" i="12"/>
  <c r="AJ31" i="12"/>
  <c r="AJ17" i="12"/>
  <c r="L34" i="12"/>
  <c r="E165" i="3" s="1"/>
  <c r="D165" i="3" s="1"/>
  <c r="L8" i="12"/>
  <c r="E139" i="3" s="1"/>
  <c r="D139" i="3" s="1"/>
  <c r="H218" i="3"/>
  <c r="CE24" i="13" s="1"/>
  <c r="H220" i="3"/>
  <c r="CQ24" i="13" s="1"/>
  <c r="H219" i="3"/>
  <c r="CK24" i="13" s="1"/>
  <c r="J177" i="3"/>
  <c r="K177" i="3"/>
  <c r="L177" i="3"/>
  <c r="J174" i="3"/>
  <c r="L174" i="3"/>
  <c r="K174" i="3"/>
  <c r="L179" i="3"/>
  <c r="J179" i="3"/>
  <c r="K179" i="3"/>
  <c r="L180" i="3"/>
  <c r="J180" i="3"/>
  <c r="K180" i="3"/>
  <c r="L176" i="3"/>
  <c r="J176" i="3"/>
  <c r="K176" i="3"/>
  <c r="T47" i="12"/>
  <c r="K178" i="3"/>
  <c r="L178" i="3"/>
  <c r="J178" i="3"/>
  <c r="K175" i="3"/>
  <c r="L175" i="3"/>
  <c r="J175" i="3"/>
  <c r="J173" i="3"/>
  <c r="K173" i="3"/>
  <c r="L173" i="3"/>
  <c r="J146" i="3"/>
  <c r="K146" i="3"/>
  <c r="L146" i="3"/>
  <c r="K141" i="3"/>
  <c r="L141" i="3"/>
  <c r="J141" i="3"/>
  <c r="J172" i="3"/>
  <c r="L172" i="3"/>
  <c r="K172" i="3"/>
  <c r="L171" i="3"/>
  <c r="K171" i="3"/>
  <c r="J171" i="3"/>
  <c r="K162" i="3"/>
  <c r="L162" i="3"/>
  <c r="J162" i="3"/>
  <c r="J151" i="3"/>
  <c r="L151" i="3"/>
  <c r="K151" i="3"/>
  <c r="K138" i="3"/>
  <c r="J138" i="3"/>
  <c r="L138" i="3"/>
  <c r="K139" i="3"/>
  <c r="L139" i="3"/>
  <c r="J139" i="3"/>
  <c r="J167" i="3"/>
  <c r="L167" i="3"/>
  <c r="K167" i="3"/>
  <c r="L157" i="3"/>
  <c r="J157" i="3"/>
  <c r="K157" i="3"/>
  <c r="L154" i="3"/>
  <c r="J154" i="3"/>
  <c r="K154" i="3"/>
  <c r="L152" i="3"/>
  <c r="J152" i="3"/>
  <c r="K152" i="3"/>
  <c r="J150" i="3"/>
  <c r="K150" i="3"/>
  <c r="L150" i="3"/>
  <c r="K144" i="3"/>
  <c r="L144" i="3"/>
  <c r="J144" i="3"/>
  <c r="K169" i="3"/>
  <c r="L169" i="3"/>
  <c r="J169" i="3"/>
  <c r="K149" i="3"/>
  <c r="L149" i="3"/>
  <c r="J149" i="3"/>
  <c r="L145" i="3"/>
  <c r="K145" i="3"/>
  <c r="J145" i="3"/>
  <c r="L170" i="3"/>
  <c r="J170" i="3"/>
  <c r="K170" i="3"/>
  <c r="K158" i="3"/>
  <c r="L158" i="3"/>
  <c r="J158" i="3"/>
  <c r="K147" i="3"/>
  <c r="J147" i="3"/>
  <c r="L147" i="3"/>
  <c r="L168" i="3"/>
  <c r="K168" i="3"/>
  <c r="J168" i="3"/>
  <c r="K165" i="3"/>
  <c r="J165" i="3"/>
  <c r="L165" i="3"/>
  <c r="J161" i="3"/>
  <c r="K161" i="3"/>
  <c r="L161" i="3"/>
  <c r="L160" i="3"/>
  <c r="J160" i="3"/>
  <c r="K160" i="3"/>
  <c r="K142" i="3"/>
  <c r="J142" i="3"/>
  <c r="L142" i="3"/>
  <c r="J143" i="3"/>
  <c r="L143" i="3"/>
  <c r="K143" i="3"/>
  <c r="D170" i="3"/>
  <c r="L159" i="3"/>
  <c r="J159" i="3"/>
  <c r="K159" i="3"/>
  <c r="J155" i="3"/>
  <c r="L155" i="3"/>
  <c r="K155" i="3"/>
  <c r="L148" i="3"/>
  <c r="K148" i="3"/>
  <c r="J148" i="3"/>
  <c r="L140" i="3"/>
  <c r="K140" i="3"/>
  <c r="J140" i="3"/>
  <c r="L137" i="3"/>
  <c r="J137" i="3"/>
  <c r="K137" i="3"/>
  <c r="D171" i="3"/>
  <c r="J166" i="3"/>
  <c r="L166" i="3"/>
  <c r="K166" i="3"/>
  <c r="J164" i="3"/>
  <c r="L164" i="3"/>
  <c r="K164" i="3"/>
  <c r="K163" i="3"/>
  <c r="L163" i="3"/>
  <c r="J163" i="3"/>
  <c r="J156" i="3"/>
  <c r="L156" i="3"/>
  <c r="K156" i="3"/>
  <c r="L153" i="3"/>
  <c r="J153" i="3"/>
  <c r="K153" i="3"/>
  <c r="I113" i="3"/>
  <c r="H199" i="3"/>
  <c r="AJ30" i="12"/>
  <c r="H113" i="3"/>
  <c r="H198" i="3"/>
  <c r="J113" i="3"/>
  <c r="H200" i="3"/>
  <c r="Z28" i="13" s="1"/>
  <c r="AJ27" i="12"/>
  <c r="AJ26" i="12"/>
  <c r="AJ32" i="12"/>
  <c r="K113" i="3"/>
  <c r="H201" i="3"/>
  <c r="AF28" i="13" s="1"/>
  <c r="AR30" i="12"/>
  <c r="AJ16" i="12"/>
  <c r="AJ10" i="12"/>
  <c r="AR28" i="12"/>
  <c r="AJ7" i="12"/>
  <c r="AJ21" i="12"/>
  <c r="AJ20" i="12"/>
  <c r="AJ19" i="12"/>
  <c r="AR5" i="12"/>
  <c r="AS5" i="12" s="1"/>
  <c r="AR27" i="12"/>
  <c r="AJ14" i="12"/>
  <c r="AJ15" i="12"/>
  <c r="AJ5" i="12"/>
  <c r="AR13" i="12"/>
  <c r="AJ25" i="12"/>
  <c r="AR26" i="12"/>
  <c r="AJ18" i="12"/>
  <c r="AJ29" i="12"/>
  <c r="AJ28" i="12"/>
  <c r="AR18" i="12"/>
  <c r="AR10" i="12"/>
  <c r="AR25" i="12"/>
  <c r="AJ12" i="12"/>
  <c r="AR32" i="12"/>
  <c r="AR24" i="12"/>
  <c r="AJ22" i="12"/>
  <c r="AJ23" i="12"/>
  <c r="AJ8" i="12"/>
  <c r="AR17" i="12"/>
  <c r="AN7" i="12"/>
  <c r="AN15" i="12"/>
  <c r="AN19" i="12"/>
  <c r="AN24" i="12"/>
  <c r="AN27" i="12"/>
  <c r="AN30" i="12"/>
  <c r="AN31" i="12"/>
  <c r="AN32" i="12"/>
  <c r="AN33" i="12"/>
  <c r="AN34" i="12"/>
  <c r="AJ24" i="12"/>
  <c r="AR31" i="12"/>
  <c r="AR16" i="12"/>
  <c r="L35" i="12"/>
  <c r="E166" i="3" s="1"/>
  <c r="D166" i="3" s="1"/>
  <c r="L14" i="12"/>
  <c r="L32" i="12"/>
  <c r="E163" i="3" s="1"/>
  <c r="D163" i="3" s="1"/>
  <c r="L45" i="12"/>
  <c r="E176" i="3" s="1"/>
  <c r="D176" i="3" s="1"/>
  <c r="T45" i="12"/>
  <c r="L38" i="12"/>
  <c r="E169" i="3" s="1"/>
  <c r="D169" i="3" s="1"/>
  <c r="G169" i="3" s="1"/>
  <c r="L12" i="12"/>
  <c r="E143" i="3" s="1"/>
  <c r="D143" i="3" s="1"/>
  <c r="L44" i="12"/>
  <c r="E175" i="3" s="1"/>
  <c r="D175" i="3" s="1"/>
  <c r="AR583" i="6"/>
  <c r="L30" i="12"/>
  <c r="E161" i="3" s="1"/>
  <c r="D161" i="3" s="1"/>
  <c r="T43" i="12"/>
  <c r="T37" i="12"/>
  <c r="T40" i="12"/>
  <c r="T35" i="12"/>
  <c r="T46" i="12"/>
  <c r="L42" i="12"/>
  <c r="E173" i="3" s="1"/>
  <c r="D173" i="3" s="1"/>
  <c r="T42" i="12"/>
  <c r="L29" i="12"/>
  <c r="E160" i="3" s="1"/>
  <c r="D160" i="3" s="1"/>
  <c r="L27" i="12"/>
  <c r="E158" i="3" s="1"/>
  <c r="D158" i="3" s="1"/>
  <c r="L15" i="12"/>
  <c r="E146" i="3" s="1"/>
  <c r="D146" i="3" s="1"/>
  <c r="T15" i="12"/>
  <c r="K89" i="3"/>
  <c r="T10" i="12"/>
  <c r="T48" i="12"/>
  <c r="T44" i="12"/>
  <c r="T41" i="12"/>
  <c r="T31" i="12"/>
  <c r="T20" i="12"/>
  <c r="L13" i="12"/>
  <c r="E144" i="3" s="1"/>
  <c r="D144" i="3" s="1"/>
  <c r="O3" i="12"/>
  <c r="AM3" i="12"/>
  <c r="T7" i="12"/>
  <c r="T8" i="12"/>
  <c r="T33" i="12"/>
  <c r="L48" i="12"/>
  <c r="E179" i="3" s="1"/>
  <c r="D179" i="3" s="1"/>
  <c r="T36" i="12"/>
  <c r="T26" i="12"/>
  <c r="T23" i="12"/>
  <c r="L24" i="12"/>
  <c r="E155" i="3" s="1"/>
  <c r="D155" i="3" s="1"/>
  <c r="G155" i="3" s="1"/>
  <c r="T21" i="12"/>
  <c r="L20" i="12"/>
  <c r="E151" i="3" s="1"/>
  <c r="D151" i="3" s="1"/>
  <c r="T19" i="12"/>
  <c r="T13" i="12"/>
  <c r="L9" i="12"/>
  <c r="L36" i="12"/>
  <c r="E167" i="3" s="1"/>
  <c r="D167" i="3" s="1"/>
  <c r="L25" i="12"/>
  <c r="E156" i="3" s="1"/>
  <c r="D156" i="3" s="1"/>
  <c r="T18" i="12"/>
  <c r="T14" i="12"/>
  <c r="L11" i="12"/>
  <c r="E142" i="3" s="1"/>
  <c r="D142" i="3" s="1"/>
  <c r="L10" i="12"/>
  <c r="E141" i="3" s="1"/>
  <c r="D141" i="3" s="1"/>
  <c r="T22" i="12"/>
  <c r="L47" i="12"/>
  <c r="E178" i="3" s="1"/>
  <c r="D178" i="3" s="1"/>
  <c r="L41" i="12"/>
  <c r="E172" i="3" s="1"/>
  <c r="D172" i="3" s="1"/>
  <c r="T39" i="12"/>
  <c r="T38" i="12"/>
  <c r="T27" i="12"/>
  <c r="L26" i="12"/>
  <c r="E157" i="3" s="1"/>
  <c r="D157" i="3" s="1"/>
  <c r="G157" i="3" s="1"/>
  <c r="T16" i="12"/>
  <c r="L6" i="12"/>
  <c r="E137" i="3" s="1"/>
  <c r="D137" i="3" s="1"/>
  <c r="T25" i="12"/>
  <c r="L43" i="12"/>
  <c r="E174" i="3" s="1"/>
  <c r="D174" i="3" s="1"/>
  <c r="T34" i="12"/>
  <c r="T30" i="12"/>
  <c r="T29" i="12"/>
  <c r="L22" i="12"/>
  <c r="E153" i="3" s="1"/>
  <c r="D153" i="3" s="1"/>
  <c r="G153" i="3" s="1"/>
  <c r="L19" i="12"/>
  <c r="E150" i="3" s="1"/>
  <c r="D150" i="3" s="1"/>
  <c r="G150" i="3" s="1"/>
  <c r="L18" i="12"/>
  <c r="E149" i="3" s="1"/>
  <c r="D149" i="3" s="1"/>
  <c r="L17" i="12"/>
  <c r="E148" i="3" s="1"/>
  <c r="D148" i="3" s="1"/>
  <c r="J89" i="3"/>
  <c r="F145" i="3"/>
  <c r="H89" i="3"/>
  <c r="T11" i="12"/>
  <c r="T12" i="12"/>
  <c r="T32" i="12"/>
  <c r="L605" i="6"/>
  <c r="Q605" i="6" s="1"/>
  <c r="S605" i="6" s="1"/>
  <c r="J5" i="12"/>
  <c r="L5" i="12" s="1"/>
  <c r="BX9" i="13" s="1"/>
  <c r="L49" i="12"/>
  <c r="E180" i="3" s="1"/>
  <c r="D180" i="3" s="1"/>
  <c r="L33" i="12"/>
  <c r="E164" i="3" s="1"/>
  <c r="D164" i="3" s="1"/>
  <c r="T28" i="12"/>
  <c r="T24" i="12"/>
  <c r="L23" i="12"/>
  <c r="E154" i="3" s="1"/>
  <c r="D154" i="3" s="1"/>
  <c r="L21" i="12"/>
  <c r="E152" i="3" s="1"/>
  <c r="D152" i="3" s="1"/>
  <c r="T17" i="12"/>
  <c r="L16" i="12"/>
  <c r="E147" i="3" s="1"/>
  <c r="D147" i="3" s="1"/>
  <c r="I89" i="3"/>
  <c r="T9" i="12"/>
  <c r="T6" i="12"/>
  <c r="U584" i="6"/>
  <c r="Y584" i="6" s="1"/>
  <c r="Z584" i="6" s="1"/>
  <c r="AA584" i="6" s="1"/>
  <c r="AK586" i="6"/>
  <c r="AP586" i="6" s="1"/>
  <c r="AR586" i="6" s="1"/>
  <c r="AT585" i="6"/>
  <c r="AU585" i="6" s="1"/>
  <c r="AV585" i="6" s="1"/>
  <c r="AK585" i="6"/>
  <c r="V585" i="6"/>
  <c r="W585" i="6" s="1"/>
  <c r="X585" i="6" s="1"/>
  <c r="E140" i="3" l="1"/>
  <c r="D140" i="3" s="1"/>
  <c r="G140" i="3" s="1"/>
  <c r="CR9" i="13"/>
  <c r="Q605" i="5"/>
  <c r="T605" i="5"/>
  <c r="X603" i="5"/>
  <c r="AA603" i="5"/>
  <c r="M604" i="5"/>
  <c r="J604" i="5"/>
  <c r="F604" i="5"/>
  <c r="C604" i="5"/>
  <c r="H204" i="3"/>
  <c r="Z40" i="13" s="1"/>
  <c r="H223" i="3"/>
  <c r="CK29" i="13" s="1"/>
  <c r="H222" i="3"/>
  <c r="CE29" i="13" s="1"/>
  <c r="H224" i="3"/>
  <c r="CQ29" i="13" s="1"/>
  <c r="E145" i="3"/>
  <c r="D145" i="3" s="1"/>
  <c r="G145" i="3" s="1"/>
  <c r="AS583" i="6"/>
  <c r="AW583" i="6" s="1"/>
  <c r="AX583" i="6" s="1"/>
  <c r="AY583" i="6" s="1"/>
  <c r="AS584" i="6"/>
  <c r="AW584" i="6" s="1"/>
  <c r="AX584" i="6" s="1"/>
  <c r="AY584" i="6" s="1"/>
  <c r="AP585" i="6"/>
  <c r="E136" i="3"/>
  <c r="AF22" i="13"/>
  <c r="H203" i="3"/>
  <c r="AF34" i="13" s="1"/>
  <c r="Z22" i="13"/>
  <c r="H202" i="3"/>
  <c r="Z34" i="13" s="1"/>
  <c r="M585" i="6"/>
  <c r="R585" i="6" s="1"/>
  <c r="T585" i="6" s="1"/>
  <c r="AT586" i="6"/>
  <c r="AU586" i="6" s="1"/>
  <c r="AV586" i="6" s="1"/>
  <c r="M586" i="6"/>
  <c r="R586" i="6" s="1"/>
  <c r="T586" i="6" s="1"/>
  <c r="V586" i="6"/>
  <c r="W586" i="6" s="1"/>
  <c r="X586" i="6" s="1"/>
  <c r="CR13" i="13" l="1"/>
  <c r="CR16" i="13" s="1"/>
  <c r="CR11" i="13"/>
  <c r="CR19" i="13" s="1"/>
  <c r="M605" i="5"/>
  <c r="J605" i="5"/>
  <c r="AA604" i="5"/>
  <c r="X604" i="5"/>
  <c r="Q606" i="5"/>
  <c r="T606" i="5"/>
  <c r="F605" i="5"/>
  <c r="C605" i="5"/>
  <c r="AR585" i="6"/>
  <c r="BX13" i="13"/>
  <c r="BX16" i="13" s="1"/>
  <c r="U585" i="6"/>
  <c r="Y585" i="6" s="1"/>
  <c r="Z585" i="6" s="1"/>
  <c r="AA585" i="6" s="1"/>
  <c r="AK587" i="6"/>
  <c r="U586" i="6"/>
  <c r="Y586" i="6" s="1"/>
  <c r="Z586" i="6" s="1"/>
  <c r="AA586" i="6" s="1"/>
  <c r="AK588" i="6"/>
  <c r="AP588" i="6" s="1"/>
  <c r="AR588" i="6" s="1"/>
  <c r="AT587" i="6"/>
  <c r="AU587" i="6" s="1"/>
  <c r="AV587" i="6" s="1"/>
  <c r="V587" i="6"/>
  <c r="W587" i="6" s="1"/>
  <c r="X587" i="6" s="1"/>
  <c r="T607" i="5" l="1"/>
  <c r="Q607" i="5"/>
  <c r="AA605" i="5"/>
  <c r="X605" i="5"/>
  <c r="M606" i="5"/>
  <c r="J606" i="5"/>
  <c r="C606" i="5"/>
  <c r="F606" i="5"/>
  <c r="AP587" i="6"/>
  <c r="AS585" i="6"/>
  <c r="AW585" i="6" s="1"/>
  <c r="AX585" i="6" s="1"/>
  <c r="AY585" i="6" s="1"/>
  <c r="AS586" i="6"/>
  <c r="AW586" i="6" s="1"/>
  <c r="AX586" i="6" s="1"/>
  <c r="AY586" i="6" s="1"/>
  <c r="AT588" i="6"/>
  <c r="AU588" i="6" s="1"/>
  <c r="AV588" i="6" s="1"/>
  <c r="M587" i="6"/>
  <c r="R587" i="6" s="1"/>
  <c r="T587" i="6" s="1"/>
  <c r="M588" i="6"/>
  <c r="R588" i="6" s="1"/>
  <c r="T588" i="6" s="1"/>
  <c r="U588" i="6" s="1"/>
  <c r="Y588" i="6" s="1"/>
  <c r="Z588" i="6" s="1"/>
  <c r="AA588" i="6" s="1"/>
  <c r="V588" i="6"/>
  <c r="W588" i="6" s="1"/>
  <c r="X588" i="6" s="1"/>
  <c r="X606" i="5" l="1"/>
  <c r="AA606" i="5"/>
  <c r="J607" i="5"/>
  <c r="M607" i="5"/>
  <c r="Q608" i="5"/>
  <c r="T608" i="5"/>
  <c r="F607" i="5"/>
  <c r="C607" i="5"/>
  <c r="AR587" i="6"/>
  <c r="U587" i="6"/>
  <c r="Y587" i="6" s="1"/>
  <c r="Z587" i="6" s="1"/>
  <c r="AA587" i="6" s="1"/>
  <c r="AK589" i="6"/>
  <c r="AK590" i="6"/>
  <c r="AP590" i="6" s="1"/>
  <c r="AR590" i="6" s="1"/>
  <c r="AT589" i="6"/>
  <c r="AU589" i="6" s="1"/>
  <c r="AV589" i="6" s="1"/>
  <c r="V589" i="6"/>
  <c r="W589" i="6" s="1"/>
  <c r="X589" i="6" s="1"/>
  <c r="AA607" i="5" l="1"/>
  <c r="X607" i="5"/>
  <c r="Q609" i="5"/>
  <c r="T609" i="5"/>
  <c r="M608" i="5"/>
  <c r="J608" i="5"/>
  <c r="F608" i="5"/>
  <c r="C608" i="5"/>
  <c r="AS587" i="6"/>
  <c r="AW587" i="6" s="1"/>
  <c r="AX587" i="6" s="1"/>
  <c r="AY587" i="6" s="1"/>
  <c r="AS588" i="6"/>
  <c r="AW588" i="6" s="1"/>
  <c r="AX588" i="6" s="1"/>
  <c r="AY588" i="6" s="1"/>
  <c r="AP589" i="6"/>
  <c r="AK591" i="6"/>
  <c r="AP591" i="6" s="1"/>
  <c r="AR591" i="6" s="1"/>
  <c r="AT590" i="6"/>
  <c r="AU590" i="6" s="1"/>
  <c r="AV590" i="6" s="1"/>
  <c r="M589" i="6"/>
  <c r="R589" i="6" s="1"/>
  <c r="T589" i="6" s="1"/>
  <c r="M590" i="6"/>
  <c r="R590" i="6" s="1"/>
  <c r="T590" i="6" s="1"/>
  <c r="U590" i="6" s="1"/>
  <c r="Y590" i="6" s="1"/>
  <c r="Z590" i="6" s="1"/>
  <c r="AA590" i="6" s="1"/>
  <c r="V590" i="6"/>
  <c r="W590" i="6" s="1"/>
  <c r="X590" i="6" s="1"/>
  <c r="T610" i="5" l="1"/>
  <c r="Q610" i="5"/>
  <c r="M609" i="5"/>
  <c r="J609" i="5"/>
  <c r="AA608" i="5"/>
  <c r="X608" i="5"/>
  <c r="F609" i="5"/>
  <c r="C609" i="5"/>
  <c r="AR589" i="6"/>
  <c r="AP53" i="12"/>
  <c r="AR53" i="12" s="1"/>
  <c r="U589" i="6"/>
  <c r="Y589" i="6" s="1"/>
  <c r="Z589" i="6" s="1"/>
  <c r="AA589" i="6" s="1"/>
  <c r="AK592" i="6"/>
  <c r="AP592" i="6" s="1"/>
  <c r="AR592" i="6" s="1"/>
  <c r="AS592" i="6" s="1"/>
  <c r="AT591" i="6"/>
  <c r="AU591" i="6" s="1"/>
  <c r="AV591" i="6" s="1"/>
  <c r="AS591" i="6"/>
  <c r="M591" i="6"/>
  <c r="R591" i="6" s="1"/>
  <c r="T591" i="6" s="1"/>
  <c r="U591" i="6" s="1"/>
  <c r="Y591" i="6" s="1"/>
  <c r="Z591" i="6" s="1"/>
  <c r="AA591" i="6" s="1"/>
  <c r="V591" i="6"/>
  <c r="W591" i="6" s="1"/>
  <c r="X591" i="6" s="1"/>
  <c r="AA609" i="5" l="1"/>
  <c r="X609" i="5"/>
  <c r="J610" i="5"/>
  <c r="M610" i="5"/>
  <c r="Q611" i="5"/>
  <c r="T611" i="5"/>
  <c r="C610" i="5"/>
  <c r="F610" i="5"/>
  <c r="AW591" i="6"/>
  <c r="AX591" i="6" s="1"/>
  <c r="AY591" i="6" s="1"/>
  <c r="AS589" i="6"/>
  <c r="AW589" i="6" s="1"/>
  <c r="AX589" i="6" s="1"/>
  <c r="AY589" i="6" s="1"/>
  <c r="AS590" i="6"/>
  <c r="AW590" i="6" s="1"/>
  <c r="AX590" i="6" s="1"/>
  <c r="AY590" i="6" s="1"/>
  <c r="AT592" i="6"/>
  <c r="AT53" i="12" s="1"/>
  <c r="V592" i="6"/>
  <c r="M592" i="6"/>
  <c r="R592" i="6" s="1"/>
  <c r="T592" i="6" s="1"/>
  <c r="U592" i="6" s="1"/>
  <c r="Y592" i="6" s="1"/>
  <c r="J611" i="5" l="1"/>
  <c r="M611" i="5"/>
  <c r="T612" i="5"/>
  <c r="Q612" i="5"/>
  <c r="AA610" i="5"/>
  <c r="X610" i="5"/>
  <c r="C611" i="5"/>
  <c r="F611" i="5"/>
  <c r="Z592" i="6"/>
  <c r="I128" i="3"/>
  <c r="AK594" i="6"/>
  <c r="AP594" i="6" s="1"/>
  <c r="AR594" i="6" s="1"/>
  <c r="AT593" i="6"/>
  <c r="AU593" i="6" s="1"/>
  <c r="AV593" i="6" s="1"/>
  <c r="AU592" i="6"/>
  <c r="AU53" i="12" s="1"/>
  <c r="AK593" i="6"/>
  <c r="H128" i="3"/>
  <c r="W592" i="6"/>
  <c r="AW592" i="6"/>
  <c r="AW53" i="12" s="1"/>
  <c r="V593" i="6"/>
  <c r="W593" i="6" s="1"/>
  <c r="X593" i="6" s="1"/>
  <c r="AA611" i="5" l="1"/>
  <c r="X611" i="5"/>
  <c r="Q613" i="5"/>
  <c r="T613" i="5"/>
  <c r="J612" i="5"/>
  <c r="M612" i="5"/>
  <c r="F612" i="5"/>
  <c r="C612" i="5"/>
  <c r="AP593" i="6"/>
  <c r="M593" i="6"/>
  <c r="R593" i="6" s="1"/>
  <c r="T593" i="6" s="1"/>
  <c r="U593" i="6" s="1"/>
  <c r="Y593" i="6" s="1"/>
  <c r="Z593" i="6" s="1"/>
  <c r="AA593" i="6" s="1"/>
  <c r="AX592" i="6"/>
  <c r="AX53" i="12" s="1"/>
  <c r="X592" i="6"/>
  <c r="J128" i="3" s="1"/>
  <c r="AT594" i="6"/>
  <c r="AU594" i="6" s="1"/>
  <c r="AV594" i="6" s="1"/>
  <c r="AV592" i="6"/>
  <c r="AV53" i="12" s="1"/>
  <c r="AA592" i="6"/>
  <c r="K128" i="3" s="1"/>
  <c r="V594" i="6"/>
  <c r="W594" i="6" s="1"/>
  <c r="X594" i="6" s="1"/>
  <c r="M594" i="6"/>
  <c r="R594" i="6" s="1"/>
  <c r="T594" i="6" s="1"/>
  <c r="U594" i="6" s="1"/>
  <c r="Y594" i="6" s="1"/>
  <c r="Z594" i="6" s="1"/>
  <c r="AA594" i="6" s="1"/>
  <c r="Q614" i="5" l="1"/>
  <c r="T614" i="5"/>
  <c r="M613" i="5"/>
  <c r="J613" i="5"/>
  <c r="AA612" i="5"/>
  <c r="X612" i="5"/>
  <c r="C613" i="5"/>
  <c r="F613" i="5"/>
  <c r="AR593" i="6"/>
  <c r="AK595" i="6"/>
  <c r="AK596" i="6"/>
  <c r="AP596" i="6" s="1"/>
  <c r="AR596" i="6" s="1"/>
  <c r="AT595" i="6"/>
  <c r="AU595" i="6" s="1"/>
  <c r="AV595" i="6" s="1"/>
  <c r="AY592" i="6"/>
  <c r="AY53" i="12" s="1"/>
  <c r="M595" i="6"/>
  <c r="R595" i="6" s="1"/>
  <c r="T595" i="6" s="1"/>
  <c r="U595" i="6" s="1"/>
  <c r="Y595" i="6" s="1"/>
  <c r="Z595" i="6" s="1"/>
  <c r="AA595" i="6" s="1"/>
  <c r="V595" i="6"/>
  <c r="W595" i="6" s="1"/>
  <c r="X595" i="6" s="1"/>
  <c r="M614" i="5" l="1"/>
  <c r="J614" i="5"/>
  <c r="T615" i="5"/>
  <c r="Q615" i="5"/>
  <c r="AA613" i="5"/>
  <c r="X613" i="5"/>
  <c r="C614" i="5"/>
  <c r="F614" i="5"/>
  <c r="AP595" i="6"/>
  <c r="AS593" i="6"/>
  <c r="AW593" i="6" s="1"/>
  <c r="AX593" i="6" s="1"/>
  <c r="AY593" i="6" s="1"/>
  <c r="AS594" i="6"/>
  <c r="AW594" i="6" s="1"/>
  <c r="AX594" i="6" s="1"/>
  <c r="AY594" i="6" s="1"/>
  <c r="AT596" i="6"/>
  <c r="AU596" i="6" s="1"/>
  <c r="AV596" i="6" s="1"/>
  <c r="V596" i="6"/>
  <c r="W596" i="6" s="1"/>
  <c r="X596" i="6" s="1"/>
  <c r="Q616" i="5" l="1"/>
  <c r="T616" i="5"/>
  <c r="X614" i="5"/>
  <c r="AA614" i="5"/>
  <c r="J615" i="5"/>
  <c r="M615" i="5"/>
  <c r="F615" i="5"/>
  <c r="C615" i="5"/>
  <c r="AR595" i="6"/>
  <c r="AK598" i="6"/>
  <c r="AP598" i="6" s="1"/>
  <c r="AR598" i="6" s="1"/>
  <c r="AT597" i="6"/>
  <c r="AU597" i="6" s="1"/>
  <c r="AV597" i="6" s="1"/>
  <c r="AK597" i="6"/>
  <c r="M596" i="6"/>
  <c r="R596" i="6" s="1"/>
  <c r="T596" i="6" s="1"/>
  <c r="U596" i="6" s="1"/>
  <c r="Y596" i="6" s="1"/>
  <c r="Z596" i="6" s="1"/>
  <c r="AA596" i="6" s="1"/>
  <c r="M597" i="6"/>
  <c r="R597" i="6" s="1"/>
  <c r="T597" i="6" s="1"/>
  <c r="U597" i="6" s="1"/>
  <c r="Y597" i="6" s="1"/>
  <c r="Z597" i="6" s="1"/>
  <c r="AA597" i="6" s="1"/>
  <c r="V597" i="6"/>
  <c r="W597" i="6" s="1"/>
  <c r="X597" i="6" s="1"/>
  <c r="AA615" i="5" l="1"/>
  <c r="X615" i="5"/>
  <c r="T617" i="5"/>
  <c r="Q617" i="5"/>
  <c r="J616" i="5"/>
  <c r="M616" i="5"/>
  <c r="F616" i="5"/>
  <c r="C616" i="5"/>
  <c r="AP597" i="6"/>
  <c r="AS595" i="6"/>
  <c r="AW595" i="6" s="1"/>
  <c r="AX595" i="6" s="1"/>
  <c r="AY595" i="6" s="1"/>
  <c r="AS596" i="6"/>
  <c r="AW596" i="6" s="1"/>
  <c r="AX596" i="6" s="1"/>
  <c r="AY596" i="6" s="1"/>
  <c r="AT598" i="6"/>
  <c r="AU598" i="6" s="1"/>
  <c r="AV598" i="6" s="1"/>
  <c r="M598" i="6"/>
  <c r="R598" i="6" s="1"/>
  <c r="T598" i="6" s="1"/>
  <c r="U598" i="6" s="1"/>
  <c r="Y598" i="6" s="1"/>
  <c r="Z598" i="6" s="1"/>
  <c r="AA598" i="6" s="1"/>
  <c r="V598" i="6"/>
  <c r="W598" i="6" s="1"/>
  <c r="X598" i="6" s="1"/>
  <c r="J617" i="5" l="1"/>
  <c r="M617" i="5"/>
  <c r="Q618" i="5"/>
  <c r="T618" i="5"/>
  <c r="AA616" i="5"/>
  <c r="X616" i="5"/>
  <c r="C617" i="5"/>
  <c r="F617" i="5"/>
  <c r="AR597" i="6"/>
  <c r="AT599" i="6"/>
  <c r="AU599" i="6" s="1"/>
  <c r="AV599" i="6" s="1"/>
  <c r="AK600" i="6"/>
  <c r="AP600" i="6" s="1"/>
  <c r="AR600" i="6" s="1"/>
  <c r="AK599" i="6"/>
  <c r="V599" i="6"/>
  <c r="W599" i="6" s="1"/>
  <c r="X599" i="6" s="1"/>
  <c r="M618" i="5" l="1"/>
  <c r="J618" i="5"/>
  <c r="X617" i="5"/>
  <c r="AA617" i="5"/>
  <c r="Q619" i="5"/>
  <c r="T619" i="5"/>
  <c r="F618" i="5"/>
  <c r="C618" i="5"/>
  <c r="AP599" i="6"/>
  <c r="AS597" i="6"/>
  <c r="AW597" i="6" s="1"/>
  <c r="AX597" i="6" s="1"/>
  <c r="AY597" i="6" s="1"/>
  <c r="AS598" i="6"/>
  <c r="AW598" i="6" s="1"/>
  <c r="AX598" i="6" s="1"/>
  <c r="AY598" i="6" s="1"/>
  <c r="M599" i="6"/>
  <c r="R599" i="6" s="1"/>
  <c r="T599" i="6" s="1"/>
  <c r="U599" i="6" s="1"/>
  <c r="Y599" i="6" s="1"/>
  <c r="Z599" i="6" s="1"/>
  <c r="AA599" i="6" s="1"/>
  <c r="AT600" i="6"/>
  <c r="AU600" i="6" s="1"/>
  <c r="AV600" i="6" s="1"/>
  <c r="V600" i="6"/>
  <c r="W600" i="6" s="1"/>
  <c r="X600" i="6" s="1"/>
  <c r="M600" i="6"/>
  <c r="R600" i="6" s="1"/>
  <c r="T600" i="6" s="1"/>
  <c r="U600" i="6" s="1"/>
  <c r="Y600" i="6" s="1"/>
  <c r="Z600" i="6" s="1"/>
  <c r="AA600" i="6" s="1"/>
  <c r="T620" i="5" l="1"/>
  <c r="Q620" i="5"/>
  <c r="AA618" i="5"/>
  <c r="X618" i="5"/>
  <c r="J619" i="5"/>
  <c r="M619" i="5"/>
  <c r="C619" i="5"/>
  <c r="F619" i="5"/>
  <c r="AR599" i="6"/>
  <c r="AK602" i="6"/>
  <c r="AP602" i="6" s="1"/>
  <c r="AR602" i="6" s="1"/>
  <c r="AT601" i="6"/>
  <c r="AU601" i="6" s="1"/>
  <c r="AV601" i="6" s="1"/>
  <c r="AK601" i="6"/>
  <c r="M601" i="6"/>
  <c r="R601" i="6" s="1"/>
  <c r="T601" i="6" s="1"/>
  <c r="V601" i="6"/>
  <c r="W601" i="6" s="1"/>
  <c r="X601" i="6" s="1"/>
  <c r="J620" i="5" l="1"/>
  <c r="M620" i="5"/>
  <c r="AA619" i="5"/>
  <c r="X619" i="5"/>
  <c r="Q621" i="5"/>
  <c r="T621" i="5"/>
  <c r="F620" i="5"/>
  <c r="C620" i="5"/>
  <c r="AP601" i="6"/>
  <c r="AS599" i="6"/>
  <c r="AW599" i="6" s="1"/>
  <c r="AX599" i="6" s="1"/>
  <c r="AY599" i="6" s="1"/>
  <c r="AS600" i="6"/>
  <c r="AW600" i="6" s="1"/>
  <c r="AX600" i="6" s="1"/>
  <c r="AY600" i="6" s="1"/>
  <c r="AK603" i="6"/>
  <c r="AP603" i="6" s="1"/>
  <c r="AR603" i="6" s="1"/>
  <c r="AT602" i="6"/>
  <c r="AU602" i="6" s="1"/>
  <c r="AV602" i="6" s="1"/>
  <c r="U602" i="6"/>
  <c r="Y602" i="6" s="1"/>
  <c r="Z602" i="6" s="1"/>
  <c r="AA602" i="6" s="1"/>
  <c r="U601" i="6"/>
  <c r="Y601" i="6" s="1"/>
  <c r="Z601" i="6" s="1"/>
  <c r="AA601" i="6" s="1"/>
  <c r="M602" i="6"/>
  <c r="R602" i="6" s="1"/>
  <c r="T602" i="6" s="1"/>
  <c r="V602" i="6"/>
  <c r="W602" i="6" s="1"/>
  <c r="X602" i="6" s="1"/>
  <c r="Q622" i="5" l="1"/>
  <c r="T622" i="5"/>
  <c r="AA620" i="5"/>
  <c r="X620" i="5"/>
  <c r="M621" i="5"/>
  <c r="J621" i="5"/>
  <c r="F621" i="5"/>
  <c r="C621" i="5"/>
  <c r="AR601" i="6"/>
  <c r="AK604" i="6"/>
  <c r="AT603" i="6"/>
  <c r="AU603" i="6" s="1"/>
  <c r="AV603" i="6" s="1"/>
  <c r="AS603" i="6"/>
  <c r="AW603" i="6" s="1"/>
  <c r="AX603" i="6" s="1"/>
  <c r="AY603" i="6" s="1"/>
  <c r="M603" i="6"/>
  <c r="R603" i="6" s="1"/>
  <c r="T603" i="6" s="1"/>
  <c r="U603" i="6" s="1"/>
  <c r="Y603" i="6" s="1"/>
  <c r="Z603" i="6" s="1"/>
  <c r="AA603" i="6" s="1"/>
  <c r="V603" i="6"/>
  <c r="W603" i="6" s="1"/>
  <c r="X603" i="6" s="1"/>
  <c r="Q623" i="5" l="1"/>
  <c r="T623" i="5"/>
  <c r="M622" i="5"/>
  <c r="J622" i="5"/>
  <c r="X621" i="5"/>
  <c r="AA621" i="5"/>
  <c r="C622" i="5"/>
  <c r="F622" i="5"/>
  <c r="AP604" i="6"/>
  <c r="AK5" i="12"/>
  <c r="AK6" i="12"/>
  <c r="AK7" i="12"/>
  <c r="AK8" i="12"/>
  <c r="AK9" i="12"/>
  <c r="AK10" i="12"/>
  <c r="AK11" i="12"/>
  <c r="AK12" i="12"/>
  <c r="AK13" i="12"/>
  <c r="AK14" i="12"/>
  <c r="AK15" i="12"/>
  <c r="AK16" i="12"/>
  <c r="AK17" i="12"/>
  <c r="AK18" i="12"/>
  <c r="AK19" i="12"/>
  <c r="AK20" i="12"/>
  <c r="AK21" i="12"/>
  <c r="AK22" i="12"/>
  <c r="AK23" i="12"/>
  <c r="AK24" i="12"/>
  <c r="AK25" i="12"/>
  <c r="AK26" i="12"/>
  <c r="AK27" i="12"/>
  <c r="AK28" i="12"/>
  <c r="AK29" i="12"/>
  <c r="AK30" i="12"/>
  <c r="AK31" i="12"/>
  <c r="AK32" i="12"/>
  <c r="AK33" i="12"/>
  <c r="AK34" i="12"/>
  <c r="AK35" i="12"/>
  <c r="AK36" i="12"/>
  <c r="AK37" i="12"/>
  <c r="AK38" i="12"/>
  <c r="AK39" i="12"/>
  <c r="AK40" i="12"/>
  <c r="AK41" i="12"/>
  <c r="AK42" i="12"/>
  <c r="AK43" i="12"/>
  <c r="AK44" i="12"/>
  <c r="AK45" i="12"/>
  <c r="AK46" i="12"/>
  <c r="AK47" i="12"/>
  <c r="AK48" i="12"/>
  <c r="AK49" i="12"/>
  <c r="AK50" i="12"/>
  <c r="AK51" i="12"/>
  <c r="AK52" i="12"/>
  <c r="AK53" i="12"/>
  <c r="AK54" i="12"/>
  <c r="AS601" i="6"/>
  <c r="AW601" i="6" s="1"/>
  <c r="AX601" i="6" s="1"/>
  <c r="AY601" i="6" s="1"/>
  <c r="AS602" i="6"/>
  <c r="AW602" i="6" s="1"/>
  <c r="AX602" i="6" s="1"/>
  <c r="AY602" i="6" s="1"/>
  <c r="AT604" i="6"/>
  <c r="AT54" i="12" s="1"/>
  <c r="M604" i="6"/>
  <c r="R604" i="6" s="1"/>
  <c r="T604" i="6" s="1"/>
  <c r="U604" i="6" s="1"/>
  <c r="Y604" i="6" s="1"/>
  <c r="V604" i="6"/>
  <c r="X622" i="5" l="1"/>
  <c r="AA622" i="5"/>
  <c r="M623" i="5"/>
  <c r="J623" i="5"/>
  <c r="Q23" i="14"/>
  <c r="Q24" i="14"/>
  <c r="Q25" i="14"/>
  <c r="Q26" i="14"/>
  <c r="Q27" i="14"/>
  <c r="Q28" i="14"/>
  <c r="Q29" i="14"/>
  <c r="Q30" i="14"/>
  <c r="Q31" i="14"/>
  <c r="Q32" i="14"/>
  <c r="Q33" i="14"/>
  <c r="Q34" i="14"/>
  <c r="Q35" i="14"/>
  <c r="Q36" i="14"/>
  <c r="Q37" i="14"/>
  <c r="Q38" i="14"/>
  <c r="Q39" i="14"/>
  <c r="Q40" i="14"/>
  <c r="Q41" i="14"/>
  <c r="Q42" i="14"/>
  <c r="Q43" i="14"/>
  <c r="Q44" i="14"/>
  <c r="Q45" i="14"/>
  <c r="Q46" i="14"/>
  <c r="Q47" i="14"/>
  <c r="Q48" i="14"/>
  <c r="Q49" i="14"/>
  <c r="Q50" i="14"/>
  <c r="Q51" i="14"/>
  <c r="Q52" i="14"/>
  <c r="C623" i="5"/>
  <c r="F623" i="5"/>
  <c r="AR604" i="6"/>
  <c r="AS604" i="6" s="1"/>
  <c r="AW604" i="6" s="1"/>
  <c r="AW54" i="12" s="1"/>
  <c r="AP6" i="12"/>
  <c r="AR6" i="12" s="1"/>
  <c r="AP7" i="12"/>
  <c r="AR7" i="12" s="1"/>
  <c r="AP8" i="12"/>
  <c r="AR8" i="12" s="1"/>
  <c r="AP9" i="12"/>
  <c r="AR9" i="12" s="1"/>
  <c r="AP11" i="12"/>
  <c r="AR11" i="12" s="1"/>
  <c r="AP12" i="12"/>
  <c r="AR12" i="12" s="1"/>
  <c r="AP14" i="12"/>
  <c r="AR14" i="12" s="1"/>
  <c r="AP15" i="12"/>
  <c r="AR15" i="12" s="1"/>
  <c r="AP19" i="12"/>
  <c r="AR19" i="12" s="1"/>
  <c r="AP20" i="12"/>
  <c r="AR20" i="12" s="1"/>
  <c r="AP21" i="12"/>
  <c r="AR21" i="12" s="1"/>
  <c r="AP29" i="12"/>
  <c r="AR29" i="12" s="1"/>
  <c r="AP33" i="12"/>
  <c r="AR33" i="12" s="1"/>
  <c r="AP34" i="12"/>
  <c r="AR34" i="12" s="1"/>
  <c r="AP35" i="12"/>
  <c r="AR35" i="12" s="1"/>
  <c r="AP44" i="12"/>
  <c r="AR44" i="12" s="1"/>
  <c r="AP47" i="12"/>
  <c r="AR47" i="12" s="1"/>
  <c r="AP48" i="12"/>
  <c r="AR48" i="12" s="1"/>
  <c r="AP54" i="12"/>
  <c r="AR54" i="12" s="1"/>
  <c r="J20" i="5"/>
  <c r="AU604" i="6"/>
  <c r="AU54" i="12" s="1"/>
  <c r="Z604" i="6"/>
  <c r="I129" i="3"/>
  <c r="Q20" i="5"/>
  <c r="W604" i="6"/>
  <c r="H129" i="3"/>
  <c r="V605" i="6"/>
  <c r="J23" i="14" l="1"/>
  <c r="J24" i="14"/>
  <c r="J25" i="14"/>
  <c r="J26" i="14"/>
  <c r="J27" i="14"/>
  <c r="J28" i="14"/>
  <c r="J29" i="14"/>
  <c r="J30" i="14"/>
  <c r="J31" i="14"/>
  <c r="J32" i="14"/>
  <c r="J33" i="14"/>
  <c r="J34" i="14"/>
  <c r="J35" i="14"/>
  <c r="J36" i="14"/>
  <c r="J37" i="14"/>
  <c r="J38" i="14"/>
  <c r="J39" i="14"/>
  <c r="J40" i="14"/>
  <c r="J41" i="14"/>
  <c r="J42" i="14"/>
  <c r="J43" i="14"/>
  <c r="J44" i="14"/>
  <c r="J45" i="14"/>
  <c r="J46" i="14"/>
  <c r="J47" i="14"/>
  <c r="J48" i="14"/>
  <c r="J49" i="14"/>
  <c r="J50" i="14"/>
  <c r="J51" i="14"/>
  <c r="J52" i="14"/>
  <c r="C23" i="14"/>
  <c r="C24" i="14"/>
  <c r="C25" i="14"/>
  <c r="C26" i="14"/>
  <c r="C27" i="14"/>
  <c r="C28" i="14"/>
  <c r="C29" i="14"/>
  <c r="C30" i="14"/>
  <c r="C31" i="14"/>
  <c r="C32" i="14"/>
  <c r="C33" i="14"/>
  <c r="C34" i="14"/>
  <c r="C35" i="14"/>
  <c r="C36" i="14"/>
  <c r="C37" i="14"/>
  <c r="C38" i="14"/>
  <c r="C39" i="14"/>
  <c r="C40" i="14"/>
  <c r="C41" i="14"/>
  <c r="C42" i="14"/>
  <c r="C43" i="14"/>
  <c r="C44" i="14"/>
  <c r="C45" i="14"/>
  <c r="C46" i="14"/>
  <c r="C47" i="14"/>
  <c r="C48" i="14"/>
  <c r="C49" i="14"/>
  <c r="C50" i="14"/>
  <c r="C51" i="14"/>
  <c r="C52" i="14"/>
  <c r="X623" i="5"/>
  <c r="AA623" i="5"/>
  <c r="L77" i="3"/>
  <c r="AS34" i="12"/>
  <c r="AS26" i="12"/>
  <c r="AS17" i="12"/>
  <c r="AS7" i="12"/>
  <c r="AS24" i="12"/>
  <c r="AS30" i="12"/>
  <c r="AS21" i="12"/>
  <c r="AS11" i="12"/>
  <c r="AS20" i="12"/>
  <c r="AS10" i="12"/>
  <c r="AS19" i="12"/>
  <c r="AS8" i="12"/>
  <c r="AS33" i="12"/>
  <c r="AS15" i="12"/>
  <c r="AS14" i="12"/>
  <c r="AS6" i="12"/>
  <c r="AS27" i="12"/>
  <c r="AS31" i="12"/>
  <c r="AS9" i="12"/>
  <c r="AS12" i="12"/>
  <c r="AS13" i="12"/>
  <c r="AS29" i="12"/>
  <c r="AS16" i="12"/>
  <c r="AS22" i="12"/>
  <c r="AS23" i="12"/>
  <c r="AS25" i="12"/>
  <c r="AS32" i="12"/>
  <c r="AS18" i="12"/>
  <c r="AS28" i="12"/>
  <c r="AS54" i="12"/>
  <c r="AS50" i="12"/>
  <c r="AS35" i="12"/>
  <c r="AS48" i="12"/>
  <c r="AS46" i="12"/>
  <c r="AS52" i="12"/>
  <c r="AS43" i="12"/>
  <c r="AS45" i="12"/>
  <c r="AS40" i="12"/>
  <c r="AS39" i="12"/>
  <c r="AS44" i="12"/>
  <c r="AS51" i="12"/>
  <c r="AS53" i="12"/>
  <c r="AS38" i="12"/>
  <c r="AS49" i="12"/>
  <c r="AS47" i="12"/>
  <c r="AS36" i="12"/>
  <c r="AS42" i="12"/>
  <c r="AS37" i="12"/>
  <c r="AS41" i="12"/>
  <c r="M605" i="6"/>
  <c r="W605" i="6"/>
  <c r="X605" i="6" s="1"/>
  <c r="AA604" i="6"/>
  <c r="K129" i="3" s="1"/>
  <c r="AV604" i="6"/>
  <c r="AV54" i="12" s="1"/>
  <c r="C20" i="5"/>
  <c r="AX604" i="6"/>
  <c r="AX54" i="12" s="1"/>
  <c r="X604" i="6"/>
  <c r="J129" i="3" s="1"/>
  <c r="Q20" i="14"/>
  <c r="L84" i="3" l="1"/>
  <c r="L82" i="3"/>
  <c r="J20" i="14"/>
  <c r="X23" i="14"/>
  <c r="X24" i="14"/>
  <c r="X25" i="14"/>
  <c r="X26" i="14"/>
  <c r="X27" i="14"/>
  <c r="X28" i="14"/>
  <c r="X29" i="14"/>
  <c r="X30" i="14"/>
  <c r="X31" i="14"/>
  <c r="X32" i="14"/>
  <c r="X33" i="14"/>
  <c r="X34" i="14"/>
  <c r="X35" i="14"/>
  <c r="X36" i="14"/>
  <c r="X37" i="14"/>
  <c r="X38" i="14"/>
  <c r="X39" i="14"/>
  <c r="X40" i="14"/>
  <c r="X41" i="14"/>
  <c r="X42" i="14"/>
  <c r="X43" i="14"/>
  <c r="X44" i="14"/>
  <c r="X45" i="14"/>
  <c r="X46" i="14"/>
  <c r="X47" i="14"/>
  <c r="X48" i="14"/>
  <c r="X49" i="14"/>
  <c r="X50" i="14"/>
  <c r="X51" i="14"/>
  <c r="X52" i="14"/>
  <c r="L113" i="3"/>
  <c r="L89" i="3"/>
  <c r="R605" i="6"/>
  <c r="M5" i="12"/>
  <c r="BX10" i="13" s="1"/>
  <c r="C73" i="3"/>
  <c r="C66" i="3"/>
  <c r="C67" i="3"/>
  <c r="C68" i="3"/>
  <c r="C60" i="3"/>
  <c r="C62" i="3"/>
  <c r="C53" i="3"/>
  <c r="C61" i="3"/>
  <c r="C54" i="3"/>
  <c r="C55" i="3"/>
  <c r="C63" i="3"/>
  <c r="C70" i="3"/>
  <c r="C69" i="3"/>
  <c r="C71" i="3"/>
  <c r="C59" i="3"/>
  <c r="C56" i="3"/>
  <c r="C64" i="3"/>
  <c r="C58" i="3"/>
  <c r="C65" i="3"/>
  <c r="C72" i="3"/>
  <c r="C57" i="3"/>
  <c r="C20" i="14"/>
  <c r="C35" i="3"/>
  <c r="C36" i="3"/>
  <c r="C39" i="3"/>
  <c r="C44" i="3"/>
  <c r="C32" i="3"/>
  <c r="C27" i="3"/>
  <c r="C29" i="3"/>
  <c r="C42" i="3"/>
  <c r="C26" i="3"/>
  <c r="C41" i="3"/>
  <c r="C46" i="3"/>
  <c r="C43" i="3"/>
  <c r="C28" i="3"/>
  <c r="C34" i="3"/>
  <c r="C45" i="3"/>
  <c r="C40" i="3"/>
  <c r="C33" i="3"/>
  <c r="C37" i="3"/>
  <c r="C30" i="3"/>
  <c r="C24" i="3"/>
  <c r="C31" i="3"/>
  <c r="C23" i="3"/>
  <c r="C25" i="3"/>
  <c r="C38" i="3"/>
  <c r="C47" i="3"/>
  <c r="C50" i="3"/>
  <c r="C51" i="3"/>
  <c r="C49" i="3"/>
  <c r="C52" i="3"/>
  <c r="C48" i="3"/>
  <c r="AY604" i="6"/>
  <c r="AY54" i="12" s="1"/>
  <c r="X20" i="5"/>
  <c r="BX11" i="13" l="1"/>
  <c r="BX19" i="13" s="1"/>
  <c r="F136" i="3"/>
  <c r="D136" i="3" s="1"/>
  <c r="D134" i="3" s="1"/>
  <c r="T605" i="6"/>
  <c r="U605" i="6" s="1"/>
  <c r="Y605" i="6" s="1"/>
  <c r="Z605" i="6" s="1"/>
  <c r="AA605" i="6" s="1"/>
  <c r="R5" i="12"/>
  <c r="X20" i="14"/>
  <c r="H211" i="3" l="1"/>
  <c r="BQ24" i="13" s="1"/>
  <c r="H210" i="3"/>
  <c r="BK24" i="13" s="1"/>
  <c r="H212" i="3"/>
  <c r="BW24" i="13" s="1"/>
  <c r="L136" i="3"/>
  <c r="K136" i="3"/>
  <c r="J136" i="3"/>
  <c r="T5" i="12"/>
  <c r="H216" i="3" l="1"/>
  <c r="BW29" i="13" s="1"/>
  <c r="H215" i="3"/>
  <c r="BQ29" i="13" s="1"/>
  <c r="H214" i="3"/>
  <c r="BK29" i="13" s="1"/>
  <c r="U24" i="12"/>
  <c r="U20" i="12"/>
  <c r="U25" i="12"/>
  <c r="U7" i="12"/>
  <c r="U28" i="12"/>
  <c r="U26" i="12"/>
  <c r="U6" i="12"/>
  <c r="U10" i="12"/>
  <c r="U27" i="12"/>
  <c r="U21" i="12"/>
  <c r="U22" i="12"/>
  <c r="U23" i="12"/>
  <c r="U18" i="12"/>
  <c r="U12" i="12"/>
  <c r="U8" i="12"/>
  <c r="U15" i="12"/>
  <c r="U17" i="12"/>
  <c r="U13" i="12"/>
  <c r="U16" i="12"/>
  <c r="U9" i="12"/>
  <c r="U29" i="12"/>
  <c r="U5" i="12"/>
  <c r="U11" i="12"/>
  <c r="U19" i="12"/>
  <c r="U14" i="12"/>
  <c r="U31" i="12"/>
  <c r="U32" i="12"/>
  <c r="U34" i="12"/>
  <c r="U47" i="12"/>
  <c r="U39" i="12"/>
  <c r="U38" i="12"/>
  <c r="U44" i="12"/>
  <c r="U36" i="12"/>
  <c r="U42" i="12"/>
  <c r="U37" i="12"/>
  <c r="U41" i="12"/>
  <c r="U43" i="12"/>
  <c r="U48" i="12"/>
  <c r="U45" i="12"/>
  <c r="U46" i="12"/>
  <c r="U49" i="12"/>
  <c r="U40" i="12"/>
  <c r="U35" i="12"/>
  <c r="U33" i="12"/>
  <c r="U30" i="12"/>
  <c r="H196" i="3" l="1"/>
  <c r="Z16"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Bing Xi</author>
  </authors>
  <commentList>
    <comment ref="E7" authorId="0" shapeId="0" xr:uid="{EEDA9D5A-4635-4F92-9268-4B52A6E25830}">
      <text>
        <r>
          <rPr>
            <sz val="9"/>
            <color indexed="81"/>
            <rFont val="Tahoma"/>
            <family val="2"/>
          </rPr>
          <t xml:space="preserve">Only set </t>
        </r>
        <r>
          <rPr>
            <b/>
            <sz val="9"/>
            <color indexed="81"/>
            <rFont val="Tahoma"/>
            <family val="2"/>
          </rPr>
          <t>ONE cell as "YES"</t>
        </r>
        <r>
          <rPr>
            <sz val="9"/>
            <color indexed="81"/>
            <rFont val="Tahoma"/>
            <family val="2"/>
          </rPr>
          <t>. If both are set to "YES", the top row will take priority.</t>
        </r>
      </text>
    </comment>
    <comment ref="E8" authorId="0" shapeId="0" xr:uid="{F778D619-23E9-41FA-B987-F516D4C372F5}">
      <text>
        <r>
          <rPr>
            <sz val="9"/>
            <color indexed="81"/>
            <rFont val="Tahoma"/>
            <family val="2"/>
          </rPr>
          <t xml:space="preserve">Only set </t>
        </r>
        <r>
          <rPr>
            <b/>
            <sz val="9"/>
            <color indexed="81"/>
            <rFont val="Tahoma"/>
            <family val="2"/>
          </rPr>
          <t>ONE cell as "YES"</t>
        </r>
        <r>
          <rPr>
            <sz val="9"/>
            <color indexed="81"/>
            <rFont val="Tahoma"/>
            <family val="2"/>
          </rPr>
          <t>. If both are set to "YES", the top row will take priority.</t>
        </r>
      </text>
    </comment>
    <comment ref="C13" authorId="0" shapeId="0" xr:uid="{613A69AC-D4E0-42B8-B156-E649D51839FC}">
      <text>
        <r>
          <rPr>
            <sz val="9"/>
            <color indexed="81"/>
            <rFont val="Tahoma"/>
            <family val="2"/>
          </rPr>
          <t>e.g. Parking Rent, Storage Rent, etc</t>
        </r>
      </text>
    </comment>
    <comment ref="G19" authorId="0" shapeId="0" xr:uid="{3296E5AF-8594-4FA0-8E1F-526FCC8AA15E}">
      <text>
        <r>
          <rPr>
            <sz val="9"/>
            <color indexed="81"/>
            <rFont val="Tahoma"/>
            <family val="2"/>
          </rPr>
          <t>The</t>
        </r>
        <r>
          <rPr>
            <b/>
            <sz val="9"/>
            <color indexed="81"/>
            <rFont val="Tahoma"/>
            <family val="2"/>
          </rPr>
          <t xml:space="preserve"> nominal interest rate</t>
        </r>
        <r>
          <rPr>
            <sz val="9"/>
            <color indexed="81"/>
            <rFont val="Tahoma"/>
            <family val="2"/>
          </rPr>
          <t xml:space="preserve"> is the actual price borrowers pay lenders, without accounting for any other economic factors.
The </t>
        </r>
        <r>
          <rPr>
            <b/>
            <sz val="9"/>
            <color indexed="81"/>
            <rFont val="Tahoma"/>
            <family val="2"/>
          </rPr>
          <t>effective rate</t>
        </r>
        <r>
          <rPr>
            <sz val="9"/>
            <color indexed="81"/>
            <rFont val="Tahoma"/>
            <family val="2"/>
          </rPr>
          <t xml:space="preserve"> reflects the amount paid over the year if the interest is added to the account balance every month.</t>
        </r>
      </text>
    </comment>
    <comment ref="J21" authorId="0" shapeId="0" xr:uid="{E4A4C700-0759-417D-88ED-1B72FCFAEFBA}">
      <text>
        <r>
          <rPr>
            <b/>
            <sz val="9"/>
            <color indexed="81"/>
            <rFont val="Tahoma"/>
            <family val="2"/>
          </rPr>
          <t>Approximate only.</t>
        </r>
        <r>
          <rPr>
            <sz val="9"/>
            <color indexed="81"/>
            <rFont val="Tahoma"/>
            <family val="2"/>
          </rPr>
          <t xml:space="preserve"> Please refer to Forecast tab for detailed analysis.</t>
        </r>
      </text>
    </comment>
    <comment ref="G24" authorId="0" shapeId="0" xr:uid="{E4770846-CC31-4C0C-B5E4-E86D6DE278F5}">
      <text>
        <r>
          <rPr>
            <sz val="9"/>
            <color indexed="81"/>
            <rFont val="Tahoma"/>
            <family val="2"/>
          </rPr>
          <t>The</t>
        </r>
        <r>
          <rPr>
            <b/>
            <sz val="9"/>
            <color indexed="81"/>
            <rFont val="Tahoma"/>
            <family val="2"/>
          </rPr>
          <t xml:space="preserve"> nominal interest rate</t>
        </r>
        <r>
          <rPr>
            <sz val="9"/>
            <color indexed="81"/>
            <rFont val="Tahoma"/>
            <family val="2"/>
          </rPr>
          <t xml:space="preserve"> is the actual price borrowers pay lenders, without accounting for any other economic factors.
The </t>
        </r>
        <r>
          <rPr>
            <b/>
            <sz val="9"/>
            <color indexed="81"/>
            <rFont val="Tahoma"/>
            <family val="2"/>
          </rPr>
          <t>effective rate</t>
        </r>
        <r>
          <rPr>
            <sz val="9"/>
            <color indexed="81"/>
            <rFont val="Tahoma"/>
            <family val="2"/>
          </rPr>
          <t xml:space="preserve"> reflects the amount paid over the year if the interest is added to the account balance every month.</t>
        </r>
      </text>
    </comment>
    <comment ref="G26" authorId="0" shapeId="0" xr:uid="{3403B836-2DB3-4071-B16D-234EC1BDB700}">
      <text>
        <r>
          <rPr>
            <sz val="9"/>
            <color indexed="81"/>
            <rFont val="Tahoma"/>
            <family val="2"/>
          </rPr>
          <t>The</t>
        </r>
        <r>
          <rPr>
            <b/>
            <sz val="9"/>
            <color indexed="81"/>
            <rFont val="Tahoma"/>
            <family val="2"/>
          </rPr>
          <t xml:space="preserve"> nominal interest rate</t>
        </r>
        <r>
          <rPr>
            <sz val="9"/>
            <color indexed="81"/>
            <rFont val="Tahoma"/>
            <family val="2"/>
          </rPr>
          <t xml:space="preserve"> is the actual price borrowers pay lenders, without accounting for any other economic factors.
The </t>
        </r>
        <r>
          <rPr>
            <b/>
            <sz val="9"/>
            <color indexed="81"/>
            <rFont val="Tahoma"/>
            <family val="2"/>
          </rPr>
          <t>effective rate</t>
        </r>
        <r>
          <rPr>
            <sz val="9"/>
            <color indexed="81"/>
            <rFont val="Tahoma"/>
            <family val="2"/>
          </rPr>
          <t xml:space="preserve"> reflects the amount paid over the year if the interest is added to the account balance every month.</t>
        </r>
      </text>
    </comment>
    <comment ref="C33" authorId="0" shapeId="0" xr:uid="{95D60614-D5CD-4C69-A693-20E29EE3CE92}">
      <text>
        <r>
          <rPr>
            <sz val="9"/>
            <color indexed="81"/>
            <rFont val="Tahoma"/>
            <family val="2"/>
          </rPr>
          <t xml:space="preserve">Only choose </t>
        </r>
        <r>
          <rPr>
            <b/>
            <sz val="9"/>
            <color indexed="81"/>
            <rFont val="Tahoma"/>
            <family val="2"/>
          </rPr>
          <t>EITHER by period OR percentage</t>
        </r>
        <r>
          <rPr>
            <sz val="9"/>
            <color indexed="81"/>
            <rFont val="Tahoma"/>
            <family val="2"/>
          </rPr>
          <t>. If both are non-zero values, percentage will take priority</t>
        </r>
      </text>
    </comment>
    <comment ref="C34" authorId="0" shapeId="0" xr:uid="{4BFB6F68-A8CE-4F55-861F-A8C825B1D1B4}">
      <text>
        <r>
          <rPr>
            <sz val="9"/>
            <color indexed="81"/>
            <rFont val="Tahoma"/>
            <family val="2"/>
          </rPr>
          <t xml:space="preserve">Only choose </t>
        </r>
        <r>
          <rPr>
            <b/>
            <sz val="9"/>
            <color indexed="81"/>
            <rFont val="Tahoma"/>
            <family val="2"/>
          </rPr>
          <t>EITHER by period OR percentage</t>
        </r>
        <r>
          <rPr>
            <sz val="9"/>
            <color indexed="81"/>
            <rFont val="Tahoma"/>
            <family val="2"/>
          </rPr>
          <t>. If both are non-zero values, percentage will take priority</t>
        </r>
      </text>
    </comment>
    <comment ref="C35" authorId="0" shapeId="0" xr:uid="{0E7B8741-2FDC-46EB-8F9B-42501E6EE9B8}">
      <text>
        <r>
          <rPr>
            <sz val="9"/>
            <color indexed="81"/>
            <rFont val="Tahoma"/>
            <family val="2"/>
          </rPr>
          <t xml:space="preserve">Only choose </t>
        </r>
        <r>
          <rPr>
            <b/>
            <sz val="9"/>
            <color indexed="81"/>
            <rFont val="Tahoma"/>
            <family val="2"/>
          </rPr>
          <t>EITHER by period OR percentage</t>
        </r>
        <r>
          <rPr>
            <sz val="9"/>
            <color indexed="81"/>
            <rFont val="Tahoma"/>
            <family val="2"/>
          </rPr>
          <t>. If both are non-zero values, percentage will take priority</t>
        </r>
      </text>
    </comment>
    <comment ref="C36" authorId="0" shapeId="0" xr:uid="{699097CE-7917-40FA-8270-C31F7640B5B0}">
      <text>
        <r>
          <rPr>
            <sz val="9"/>
            <color indexed="81"/>
            <rFont val="Tahoma"/>
            <family val="2"/>
          </rPr>
          <t xml:space="preserve">Only choose </t>
        </r>
        <r>
          <rPr>
            <b/>
            <sz val="9"/>
            <color indexed="81"/>
            <rFont val="Tahoma"/>
            <family val="2"/>
          </rPr>
          <t>EITHER by period OR percentage</t>
        </r>
        <r>
          <rPr>
            <sz val="9"/>
            <color indexed="81"/>
            <rFont val="Tahoma"/>
            <family val="2"/>
          </rPr>
          <t>. If both are non-zero values, percentage will take priority</t>
        </r>
      </text>
    </comment>
    <comment ref="C37" authorId="0" shapeId="0" xr:uid="{22D17071-B489-4D8A-83A4-A897EC753E48}">
      <text>
        <r>
          <rPr>
            <sz val="9"/>
            <color indexed="81"/>
            <rFont val="Tahoma"/>
            <family val="2"/>
          </rPr>
          <t xml:space="preserve">Only choose </t>
        </r>
        <r>
          <rPr>
            <b/>
            <sz val="9"/>
            <color indexed="81"/>
            <rFont val="Tahoma"/>
            <family val="2"/>
          </rPr>
          <t>EITHER by period OR percentage</t>
        </r>
        <r>
          <rPr>
            <sz val="9"/>
            <color indexed="81"/>
            <rFont val="Tahoma"/>
            <family val="2"/>
          </rPr>
          <t>. If both are non-zero values, percentage will take priority</t>
        </r>
      </text>
    </comment>
    <comment ref="C38" authorId="0" shapeId="0" xr:uid="{81F1E991-540F-48CF-8320-A86EB8401E52}">
      <text>
        <r>
          <rPr>
            <sz val="9"/>
            <color indexed="81"/>
            <rFont val="Tahoma"/>
            <family val="2"/>
          </rPr>
          <t xml:space="preserve">Only choose </t>
        </r>
        <r>
          <rPr>
            <b/>
            <sz val="9"/>
            <color indexed="81"/>
            <rFont val="Tahoma"/>
            <family val="2"/>
          </rPr>
          <t>EITHER by period OR percentage</t>
        </r>
        <r>
          <rPr>
            <sz val="9"/>
            <color indexed="81"/>
            <rFont val="Tahoma"/>
            <family val="2"/>
          </rPr>
          <t>. If both are non-zero values, percentage will take priority</t>
        </r>
      </text>
    </comment>
    <comment ref="C39" authorId="0" shapeId="0" xr:uid="{10E84496-15C9-431C-B696-958E36775279}">
      <text>
        <r>
          <rPr>
            <sz val="9"/>
            <color indexed="81"/>
            <rFont val="Tahoma"/>
            <family val="2"/>
          </rPr>
          <t xml:space="preserve">Only choose </t>
        </r>
        <r>
          <rPr>
            <b/>
            <sz val="9"/>
            <color indexed="81"/>
            <rFont val="Tahoma"/>
            <family val="2"/>
          </rPr>
          <t>EITHER by period OR percentage</t>
        </r>
        <r>
          <rPr>
            <sz val="9"/>
            <color indexed="81"/>
            <rFont val="Tahoma"/>
            <family val="2"/>
          </rPr>
          <t>. If both are non-zero values, percentage will take priority</t>
        </r>
      </text>
    </comment>
    <comment ref="C40" authorId="0" shapeId="0" xr:uid="{A974A4F0-4642-4A09-B933-08154BFC2B84}">
      <text>
        <r>
          <rPr>
            <sz val="9"/>
            <color indexed="81"/>
            <rFont val="Tahoma"/>
            <family val="2"/>
          </rPr>
          <t xml:space="preserve">Only choose </t>
        </r>
        <r>
          <rPr>
            <b/>
            <sz val="9"/>
            <color indexed="81"/>
            <rFont val="Tahoma"/>
            <family val="2"/>
          </rPr>
          <t>EITHER by period OR percentage</t>
        </r>
        <r>
          <rPr>
            <sz val="9"/>
            <color indexed="81"/>
            <rFont val="Tahoma"/>
            <family val="2"/>
          </rPr>
          <t>. If both are non-zero values, percentage will take priority</t>
        </r>
      </text>
    </comment>
    <comment ref="C41" authorId="0" shapeId="0" xr:uid="{F8C57A12-2806-4474-8FE7-D0329ECA4FC5}">
      <text>
        <r>
          <rPr>
            <sz val="9"/>
            <color indexed="81"/>
            <rFont val="Tahoma"/>
            <family val="2"/>
          </rPr>
          <t xml:space="preserve">Only choose </t>
        </r>
        <r>
          <rPr>
            <b/>
            <sz val="9"/>
            <color indexed="81"/>
            <rFont val="Tahoma"/>
            <family val="2"/>
          </rPr>
          <t>EITHER by period OR percentage</t>
        </r>
        <r>
          <rPr>
            <sz val="9"/>
            <color indexed="81"/>
            <rFont val="Tahoma"/>
            <family val="2"/>
          </rPr>
          <t>. If both are non-zero values, percentage will take priority</t>
        </r>
      </text>
    </comment>
    <comment ref="C42" authorId="0" shapeId="0" xr:uid="{23FEB11A-1E7A-48A4-B9CA-F9FF0A8A0035}">
      <text>
        <r>
          <rPr>
            <sz val="9"/>
            <color indexed="81"/>
            <rFont val="Tahoma"/>
            <family val="2"/>
          </rPr>
          <t xml:space="preserve">Only choose </t>
        </r>
        <r>
          <rPr>
            <b/>
            <sz val="9"/>
            <color indexed="81"/>
            <rFont val="Tahoma"/>
            <family val="2"/>
          </rPr>
          <t>EITHER by period OR percentage</t>
        </r>
        <r>
          <rPr>
            <sz val="9"/>
            <color indexed="81"/>
            <rFont val="Tahoma"/>
            <family val="2"/>
          </rPr>
          <t>. If both are non-zero values, percentage will take priority</t>
        </r>
      </text>
    </comment>
    <comment ref="C43" authorId="0" shapeId="0" xr:uid="{0B3AD968-2EE1-4C90-86CE-603910F255E5}">
      <text>
        <r>
          <rPr>
            <sz val="9"/>
            <color indexed="81"/>
            <rFont val="Tahoma"/>
            <family val="2"/>
          </rPr>
          <t xml:space="preserve">Only choose </t>
        </r>
        <r>
          <rPr>
            <b/>
            <sz val="9"/>
            <color indexed="81"/>
            <rFont val="Tahoma"/>
            <family val="2"/>
          </rPr>
          <t>EITHER by period OR percentage</t>
        </r>
        <r>
          <rPr>
            <sz val="9"/>
            <color indexed="81"/>
            <rFont val="Tahoma"/>
            <family val="2"/>
          </rPr>
          <t>. If both are non-zero values, percentage will take priority</t>
        </r>
      </text>
    </comment>
    <comment ref="C44" authorId="0" shapeId="0" xr:uid="{ECEF6570-8459-41D8-A2F7-F67F5FAB2F9B}">
      <text>
        <r>
          <rPr>
            <sz val="9"/>
            <color indexed="81"/>
            <rFont val="Tahoma"/>
            <family val="2"/>
          </rPr>
          <t xml:space="preserve">Only choose </t>
        </r>
        <r>
          <rPr>
            <b/>
            <sz val="9"/>
            <color indexed="81"/>
            <rFont val="Tahoma"/>
            <family val="2"/>
          </rPr>
          <t>EITHER by period OR percentage</t>
        </r>
        <r>
          <rPr>
            <sz val="9"/>
            <color indexed="81"/>
            <rFont val="Tahoma"/>
            <family val="2"/>
          </rPr>
          <t>. If both are non-zero values, percentage will take priority</t>
        </r>
      </text>
    </comment>
    <comment ref="C45" authorId="0" shapeId="0" xr:uid="{CCFDAB7D-C931-48D7-B544-553EF73A80CB}">
      <text>
        <r>
          <rPr>
            <sz val="9"/>
            <color indexed="81"/>
            <rFont val="Tahoma"/>
            <family val="2"/>
          </rPr>
          <t xml:space="preserve">Only choose </t>
        </r>
        <r>
          <rPr>
            <b/>
            <sz val="9"/>
            <color indexed="81"/>
            <rFont val="Tahoma"/>
            <family val="2"/>
          </rPr>
          <t>EITHER by period OR percentage</t>
        </r>
        <r>
          <rPr>
            <sz val="9"/>
            <color indexed="81"/>
            <rFont val="Tahoma"/>
            <family val="2"/>
          </rPr>
          <t>. If both are non-zero values, percentage will take priority</t>
        </r>
      </text>
    </comment>
    <comment ref="C46" authorId="0" shapeId="0" xr:uid="{EF28B0B0-6616-4D25-805D-89A7E93181F4}">
      <text>
        <r>
          <rPr>
            <sz val="9"/>
            <color indexed="81"/>
            <rFont val="Tahoma"/>
            <family val="2"/>
          </rPr>
          <t xml:space="preserve">Only choose </t>
        </r>
        <r>
          <rPr>
            <b/>
            <sz val="9"/>
            <color indexed="81"/>
            <rFont val="Tahoma"/>
            <family val="2"/>
          </rPr>
          <t>EITHER by period OR percentage</t>
        </r>
        <r>
          <rPr>
            <sz val="9"/>
            <color indexed="81"/>
            <rFont val="Tahoma"/>
            <family val="2"/>
          </rPr>
          <t>. If both are non-zero values, percentage will take priority</t>
        </r>
      </text>
    </comment>
    <comment ref="C47" authorId="0" shapeId="0" xr:uid="{291088FE-1185-4C0E-B72C-BB33D7D6158B}">
      <text>
        <r>
          <rPr>
            <sz val="9"/>
            <color indexed="81"/>
            <rFont val="Tahoma"/>
            <family val="2"/>
          </rPr>
          <t xml:space="preserve">Only choose </t>
        </r>
        <r>
          <rPr>
            <b/>
            <sz val="9"/>
            <color indexed="81"/>
            <rFont val="Tahoma"/>
            <family val="2"/>
          </rPr>
          <t>EITHER by period OR percentage</t>
        </r>
        <r>
          <rPr>
            <sz val="9"/>
            <color indexed="81"/>
            <rFont val="Tahoma"/>
            <family val="2"/>
          </rPr>
          <t>. If both are non-zero values, percentage will take priority</t>
        </r>
      </text>
    </comment>
    <comment ref="C48" authorId="0" shapeId="0" xr:uid="{AC755013-F49C-44C0-8BE7-2E4C098B5CEE}">
      <text>
        <r>
          <rPr>
            <sz val="9"/>
            <color indexed="81"/>
            <rFont val="Tahoma"/>
            <family val="2"/>
          </rPr>
          <t xml:space="preserve">Only choose </t>
        </r>
        <r>
          <rPr>
            <b/>
            <sz val="9"/>
            <color indexed="81"/>
            <rFont val="Tahoma"/>
            <family val="2"/>
          </rPr>
          <t>EITHER by period OR percentage</t>
        </r>
        <r>
          <rPr>
            <sz val="9"/>
            <color indexed="81"/>
            <rFont val="Tahoma"/>
            <family val="2"/>
          </rPr>
          <t>. If both are non-zero values, percentage will take priority</t>
        </r>
      </text>
    </comment>
    <comment ref="C49" authorId="0" shapeId="0" xr:uid="{8A0E2E76-9CF5-4F9F-9926-B42223B47482}">
      <text>
        <r>
          <rPr>
            <sz val="9"/>
            <color indexed="81"/>
            <rFont val="Tahoma"/>
            <family val="2"/>
          </rPr>
          <t xml:space="preserve">Only choose </t>
        </r>
        <r>
          <rPr>
            <b/>
            <sz val="9"/>
            <color indexed="81"/>
            <rFont val="Tahoma"/>
            <family val="2"/>
          </rPr>
          <t>EITHER by period OR percentage</t>
        </r>
        <r>
          <rPr>
            <sz val="9"/>
            <color indexed="81"/>
            <rFont val="Tahoma"/>
            <family val="2"/>
          </rPr>
          <t>. If both are non-zero values, percentage will take priority</t>
        </r>
      </text>
    </comment>
    <comment ref="C50" authorId="0" shapeId="0" xr:uid="{E12C3A94-68E2-4F35-AB7B-2A0163B228D6}">
      <text>
        <r>
          <rPr>
            <sz val="9"/>
            <color indexed="81"/>
            <rFont val="Tahoma"/>
            <family val="2"/>
          </rPr>
          <t xml:space="preserve">Only choose </t>
        </r>
        <r>
          <rPr>
            <b/>
            <sz val="9"/>
            <color indexed="81"/>
            <rFont val="Tahoma"/>
            <family val="2"/>
          </rPr>
          <t>EITHER by period OR percentage</t>
        </r>
        <r>
          <rPr>
            <sz val="9"/>
            <color indexed="81"/>
            <rFont val="Tahoma"/>
            <family val="2"/>
          </rPr>
          <t>. If both are non-zero values, percentage will take priority</t>
        </r>
      </text>
    </comment>
    <comment ref="C51" authorId="0" shapeId="0" xr:uid="{39F2F077-A75C-4BD7-BCD4-524648781A93}">
      <text>
        <r>
          <rPr>
            <sz val="9"/>
            <color indexed="81"/>
            <rFont val="Tahoma"/>
            <family val="2"/>
          </rPr>
          <t xml:space="preserve">Only choose </t>
        </r>
        <r>
          <rPr>
            <b/>
            <sz val="9"/>
            <color indexed="81"/>
            <rFont val="Tahoma"/>
            <family val="2"/>
          </rPr>
          <t>EITHER by period OR percentage</t>
        </r>
        <r>
          <rPr>
            <sz val="9"/>
            <color indexed="81"/>
            <rFont val="Tahoma"/>
            <family val="2"/>
          </rPr>
          <t>. If both are non-zero values, percentage will take priority</t>
        </r>
      </text>
    </comment>
    <comment ref="C52" authorId="0" shapeId="0" xr:uid="{D14E2FBB-847B-4D4E-BEBB-5ACE8212F67F}">
      <text>
        <r>
          <rPr>
            <sz val="9"/>
            <color indexed="81"/>
            <rFont val="Tahoma"/>
            <family val="2"/>
          </rPr>
          <t xml:space="preserve">Only choose </t>
        </r>
        <r>
          <rPr>
            <b/>
            <sz val="9"/>
            <color indexed="81"/>
            <rFont val="Tahoma"/>
            <family val="2"/>
          </rPr>
          <t>EITHER by period OR percentage</t>
        </r>
        <r>
          <rPr>
            <sz val="9"/>
            <color indexed="81"/>
            <rFont val="Tahoma"/>
            <family val="2"/>
          </rPr>
          <t>. If both are non-zero values, percentage will take priority</t>
        </r>
      </text>
    </comment>
    <comment ref="C53" authorId="0" shapeId="0" xr:uid="{623630EC-D15A-42EC-93C3-F7B8DA4B48E6}">
      <text>
        <r>
          <rPr>
            <sz val="9"/>
            <color indexed="81"/>
            <rFont val="Tahoma"/>
            <family val="2"/>
          </rPr>
          <t xml:space="preserve">Only choose </t>
        </r>
        <r>
          <rPr>
            <b/>
            <sz val="9"/>
            <color indexed="81"/>
            <rFont val="Tahoma"/>
            <family val="2"/>
          </rPr>
          <t>EITHER by period OR percentage</t>
        </r>
        <r>
          <rPr>
            <sz val="9"/>
            <color indexed="81"/>
            <rFont val="Tahoma"/>
            <family val="2"/>
          </rPr>
          <t>. If both are non-zero values, percentage will take priority</t>
        </r>
      </text>
    </comment>
    <comment ref="C61" authorId="0" shapeId="0" xr:uid="{10526EA6-B5C1-42BA-AA5D-06D66D780823}">
      <text>
        <r>
          <rPr>
            <sz val="9"/>
            <color indexed="81"/>
            <rFont val="Tahoma"/>
            <family val="2"/>
          </rPr>
          <t xml:space="preserve">Only choose </t>
        </r>
        <r>
          <rPr>
            <b/>
            <sz val="9"/>
            <color indexed="81"/>
            <rFont val="Tahoma"/>
            <family val="2"/>
          </rPr>
          <t>EITHER by period OR percentage</t>
        </r>
        <r>
          <rPr>
            <sz val="9"/>
            <color indexed="81"/>
            <rFont val="Tahoma"/>
            <family val="2"/>
          </rPr>
          <t>. If both are non-zero values, percentage will take priority</t>
        </r>
      </text>
    </comment>
    <comment ref="C62" authorId="0" shapeId="0" xr:uid="{7DF6B8DF-61AF-4208-9ADD-E4F824FB8128}">
      <text>
        <r>
          <rPr>
            <sz val="9"/>
            <color indexed="81"/>
            <rFont val="Tahoma"/>
            <family val="2"/>
          </rPr>
          <t xml:space="preserve">Only choose </t>
        </r>
        <r>
          <rPr>
            <b/>
            <sz val="9"/>
            <color indexed="81"/>
            <rFont val="Tahoma"/>
            <family val="2"/>
          </rPr>
          <t>EITHER by period OR percentage</t>
        </r>
        <r>
          <rPr>
            <sz val="9"/>
            <color indexed="81"/>
            <rFont val="Tahoma"/>
            <family val="2"/>
          </rPr>
          <t>. If both are non-zero values, percentage will take priority</t>
        </r>
      </text>
    </comment>
    <comment ref="C63" authorId="0" shapeId="0" xr:uid="{8545C8E2-0DC4-40C3-99C8-964388C41D2C}">
      <text>
        <r>
          <rPr>
            <sz val="9"/>
            <color indexed="81"/>
            <rFont val="Tahoma"/>
            <family val="2"/>
          </rPr>
          <t xml:space="preserve">Only choose </t>
        </r>
        <r>
          <rPr>
            <b/>
            <sz val="9"/>
            <color indexed="81"/>
            <rFont val="Tahoma"/>
            <family val="2"/>
          </rPr>
          <t>EITHER by period OR percentage</t>
        </r>
        <r>
          <rPr>
            <sz val="9"/>
            <color indexed="81"/>
            <rFont val="Tahoma"/>
            <family val="2"/>
          </rPr>
          <t>. If both are non-zero values, percentage will take priority</t>
        </r>
      </text>
    </comment>
    <comment ref="C64" authorId="0" shapeId="0" xr:uid="{4D488667-0D55-4ED1-829F-AE60F879E0E8}">
      <text>
        <r>
          <rPr>
            <sz val="9"/>
            <color indexed="81"/>
            <rFont val="Tahoma"/>
            <family val="2"/>
          </rPr>
          <t xml:space="preserve">Only choose </t>
        </r>
        <r>
          <rPr>
            <b/>
            <sz val="9"/>
            <color indexed="81"/>
            <rFont val="Tahoma"/>
            <family val="2"/>
          </rPr>
          <t>EITHER by period OR percentage</t>
        </r>
        <r>
          <rPr>
            <sz val="9"/>
            <color indexed="81"/>
            <rFont val="Tahoma"/>
            <family val="2"/>
          </rPr>
          <t>. If both are non-zero values, percentage will take priority</t>
        </r>
      </text>
    </comment>
    <comment ref="C65" authorId="0" shapeId="0" xr:uid="{2B29ED96-BBA8-435B-A9DE-123B8F418733}">
      <text>
        <r>
          <rPr>
            <sz val="9"/>
            <color indexed="81"/>
            <rFont val="Tahoma"/>
            <family val="2"/>
          </rPr>
          <t xml:space="preserve">Only choose </t>
        </r>
        <r>
          <rPr>
            <b/>
            <sz val="9"/>
            <color indexed="81"/>
            <rFont val="Tahoma"/>
            <family val="2"/>
          </rPr>
          <t>EITHER by period OR percentage</t>
        </r>
        <r>
          <rPr>
            <sz val="9"/>
            <color indexed="81"/>
            <rFont val="Tahoma"/>
            <family val="2"/>
          </rPr>
          <t>. If both are non-zero values, percentage will take priority</t>
        </r>
      </text>
    </comment>
    <comment ref="C66" authorId="0" shapeId="0" xr:uid="{2B62FEBB-4FFC-4FBD-BE45-F2FB5F659C6D}">
      <text>
        <r>
          <rPr>
            <sz val="9"/>
            <color indexed="81"/>
            <rFont val="Tahoma"/>
            <family val="2"/>
          </rPr>
          <t xml:space="preserve">Only choose </t>
        </r>
        <r>
          <rPr>
            <b/>
            <sz val="9"/>
            <color indexed="81"/>
            <rFont val="Tahoma"/>
            <family val="2"/>
          </rPr>
          <t>EITHER by period OR percentage</t>
        </r>
        <r>
          <rPr>
            <sz val="9"/>
            <color indexed="81"/>
            <rFont val="Tahoma"/>
            <family val="2"/>
          </rPr>
          <t>. If both are non-zero values, percentage will take priority</t>
        </r>
      </text>
    </comment>
    <comment ref="C67" authorId="0" shapeId="0" xr:uid="{A5C003FC-C240-4F1B-BA49-A3F82377BE13}">
      <text>
        <r>
          <rPr>
            <sz val="9"/>
            <color indexed="81"/>
            <rFont val="Tahoma"/>
            <family val="2"/>
          </rPr>
          <t xml:space="preserve">Only choose </t>
        </r>
        <r>
          <rPr>
            <b/>
            <sz val="9"/>
            <color indexed="81"/>
            <rFont val="Tahoma"/>
            <family val="2"/>
          </rPr>
          <t>EITHER by period OR percentage</t>
        </r>
        <r>
          <rPr>
            <sz val="9"/>
            <color indexed="81"/>
            <rFont val="Tahoma"/>
            <family val="2"/>
          </rPr>
          <t>. If both are non-zero values, percentage will take priority</t>
        </r>
      </text>
    </comment>
    <comment ref="C68" authorId="0" shapeId="0" xr:uid="{0FF28FEA-B095-4094-B96C-8265CD97209C}">
      <text>
        <r>
          <rPr>
            <sz val="9"/>
            <color indexed="81"/>
            <rFont val="Tahoma"/>
            <family val="2"/>
          </rPr>
          <t xml:space="preserve">Only choose </t>
        </r>
        <r>
          <rPr>
            <b/>
            <sz val="9"/>
            <color indexed="81"/>
            <rFont val="Tahoma"/>
            <family val="2"/>
          </rPr>
          <t>EITHER by period OR percentage</t>
        </r>
        <r>
          <rPr>
            <sz val="9"/>
            <color indexed="81"/>
            <rFont val="Tahoma"/>
            <family val="2"/>
          </rPr>
          <t>. If both are non-zero values, percentage will take priority</t>
        </r>
      </text>
    </comment>
    <comment ref="C69" authorId="0" shapeId="0" xr:uid="{41E0CCF0-9D2A-4C6B-92D4-C8A80DA3BE44}">
      <text>
        <r>
          <rPr>
            <sz val="9"/>
            <color indexed="81"/>
            <rFont val="Tahoma"/>
            <family val="2"/>
          </rPr>
          <t xml:space="preserve">Only choose </t>
        </r>
        <r>
          <rPr>
            <b/>
            <sz val="9"/>
            <color indexed="81"/>
            <rFont val="Tahoma"/>
            <family val="2"/>
          </rPr>
          <t>EITHER by period OR percentage</t>
        </r>
        <r>
          <rPr>
            <sz val="9"/>
            <color indexed="81"/>
            <rFont val="Tahoma"/>
            <family val="2"/>
          </rPr>
          <t>. If both are non-zero values, percentage will take priority</t>
        </r>
      </text>
    </comment>
    <comment ref="C70" authorId="0" shapeId="0" xr:uid="{07D3209F-BEA6-47E0-875F-AB2837770C06}">
      <text>
        <r>
          <rPr>
            <sz val="9"/>
            <color indexed="81"/>
            <rFont val="Tahoma"/>
            <family val="2"/>
          </rPr>
          <t xml:space="preserve">Only choose </t>
        </r>
        <r>
          <rPr>
            <b/>
            <sz val="9"/>
            <color indexed="81"/>
            <rFont val="Tahoma"/>
            <family val="2"/>
          </rPr>
          <t>EITHER by period OR percentage</t>
        </r>
        <r>
          <rPr>
            <sz val="9"/>
            <color indexed="81"/>
            <rFont val="Tahoma"/>
            <family val="2"/>
          </rPr>
          <t>. If both are non-zero values, percentage will take priority</t>
        </r>
      </text>
    </comment>
    <comment ref="C71" authorId="0" shapeId="0" xr:uid="{298540E9-34D2-4779-A5C5-9A26D6CFE63A}">
      <text>
        <r>
          <rPr>
            <sz val="9"/>
            <color indexed="81"/>
            <rFont val="Tahoma"/>
            <family val="2"/>
          </rPr>
          <t xml:space="preserve">Only choose </t>
        </r>
        <r>
          <rPr>
            <b/>
            <sz val="9"/>
            <color indexed="81"/>
            <rFont val="Tahoma"/>
            <family val="2"/>
          </rPr>
          <t>EITHER by period OR percentage</t>
        </r>
        <r>
          <rPr>
            <sz val="9"/>
            <color indexed="81"/>
            <rFont val="Tahoma"/>
            <family val="2"/>
          </rPr>
          <t>. If both are non-zero values, percentage will take priority</t>
        </r>
      </text>
    </comment>
    <comment ref="C73" authorId="0" shapeId="0" xr:uid="{F95342E7-A6B8-4691-A283-83C3617AB3CE}">
      <text>
        <r>
          <rPr>
            <sz val="9"/>
            <color indexed="81"/>
            <rFont val="Tahoma"/>
            <family val="2"/>
          </rPr>
          <t xml:space="preserve">Only choose </t>
        </r>
        <r>
          <rPr>
            <b/>
            <sz val="9"/>
            <color indexed="81"/>
            <rFont val="Tahoma"/>
            <family val="2"/>
          </rPr>
          <t>EITHER by period OR percentage</t>
        </r>
        <r>
          <rPr>
            <sz val="9"/>
            <color indexed="81"/>
            <rFont val="Tahoma"/>
            <family val="2"/>
          </rPr>
          <t>. If both are non-zero values, percentage will take priority</t>
        </r>
      </text>
    </comment>
    <comment ref="C74" authorId="0" shapeId="0" xr:uid="{2E2E2606-4F36-4716-9263-E9362EF63DEC}">
      <text>
        <r>
          <rPr>
            <sz val="9"/>
            <color indexed="81"/>
            <rFont val="Tahoma"/>
            <family val="2"/>
          </rPr>
          <t xml:space="preserve">Only choose </t>
        </r>
        <r>
          <rPr>
            <b/>
            <sz val="9"/>
            <color indexed="81"/>
            <rFont val="Tahoma"/>
            <family val="2"/>
          </rPr>
          <t>EITHER by period OR percentage</t>
        </r>
        <r>
          <rPr>
            <sz val="9"/>
            <color indexed="81"/>
            <rFont val="Tahoma"/>
            <family val="2"/>
          </rPr>
          <t>. If both are non-zero values, percentage will take priority</t>
        </r>
      </text>
    </comment>
    <comment ref="C75" authorId="0" shapeId="0" xr:uid="{E10B7DB1-0B8F-41BA-8DCE-27AFC65D6542}">
      <text>
        <r>
          <rPr>
            <sz val="9"/>
            <color indexed="81"/>
            <rFont val="Tahoma"/>
            <family val="2"/>
          </rPr>
          <t xml:space="preserve">Only choose </t>
        </r>
        <r>
          <rPr>
            <b/>
            <sz val="9"/>
            <color indexed="81"/>
            <rFont val="Tahoma"/>
            <family val="2"/>
          </rPr>
          <t>EITHER by period OR percentage</t>
        </r>
        <r>
          <rPr>
            <sz val="9"/>
            <color indexed="81"/>
            <rFont val="Tahoma"/>
            <family val="2"/>
          </rPr>
          <t>. If both are non-zero values, percentage will take priority</t>
        </r>
      </text>
    </comment>
    <comment ref="C76" authorId="0" shapeId="0" xr:uid="{7B0EEE1C-2022-4A57-A39B-50D386AF62AA}">
      <text>
        <r>
          <rPr>
            <sz val="9"/>
            <color indexed="81"/>
            <rFont val="Tahoma"/>
            <family val="2"/>
          </rPr>
          <t xml:space="preserve">Only choose </t>
        </r>
        <r>
          <rPr>
            <b/>
            <sz val="9"/>
            <color indexed="81"/>
            <rFont val="Tahoma"/>
            <family val="2"/>
          </rPr>
          <t>EITHER by period OR percentage</t>
        </r>
        <r>
          <rPr>
            <sz val="9"/>
            <color indexed="81"/>
            <rFont val="Tahoma"/>
            <family val="2"/>
          </rPr>
          <t>. If both are non-zero values, percentage will take priority</t>
        </r>
      </text>
    </comment>
    <comment ref="C77" authorId="0" shapeId="0" xr:uid="{46448199-8230-46C0-938F-E9BF68D0148B}">
      <text>
        <r>
          <rPr>
            <sz val="9"/>
            <color indexed="81"/>
            <rFont val="Tahoma"/>
            <family val="2"/>
          </rPr>
          <t xml:space="preserve">Only choose </t>
        </r>
        <r>
          <rPr>
            <b/>
            <sz val="9"/>
            <color indexed="81"/>
            <rFont val="Tahoma"/>
            <family val="2"/>
          </rPr>
          <t>EITHER by period OR percentage</t>
        </r>
        <r>
          <rPr>
            <sz val="9"/>
            <color indexed="81"/>
            <rFont val="Tahoma"/>
            <family val="2"/>
          </rPr>
          <t>. If both are non-zero values, percentage will take priority</t>
        </r>
      </text>
    </comment>
    <comment ref="C84" authorId="0" shapeId="0" xr:uid="{29BA9626-455E-4E3B-AC0B-50AC6F312909}">
      <text>
        <r>
          <rPr>
            <sz val="9"/>
            <color indexed="81"/>
            <rFont val="Tahoma"/>
            <family val="2"/>
          </rPr>
          <t xml:space="preserve">Only choose </t>
        </r>
        <r>
          <rPr>
            <b/>
            <sz val="9"/>
            <color indexed="81"/>
            <rFont val="Tahoma"/>
            <family val="2"/>
          </rPr>
          <t>EITHER by period OR percentage</t>
        </r>
        <r>
          <rPr>
            <sz val="9"/>
            <color indexed="81"/>
            <rFont val="Tahoma"/>
            <family val="2"/>
          </rPr>
          <t>. If both are non-zero values, percentage will take priority</t>
        </r>
      </text>
    </comment>
    <comment ref="C85" authorId="0" shapeId="0" xr:uid="{1D80E58B-DC82-4106-91C7-AE4BDD02FB23}">
      <text>
        <r>
          <rPr>
            <sz val="9"/>
            <color indexed="81"/>
            <rFont val="Tahoma"/>
            <family val="2"/>
          </rPr>
          <t xml:space="preserve">Only choose </t>
        </r>
        <r>
          <rPr>
            <b/>
            <sz val="9"/>
            <color indexed="81"/>
            <rFont val="Tahoma"/>
            <family val="2"/>
          </rPr>
          <t>EITHER by period OR percentage</t>
        </r>
        <r>
          <rPr>
            <sz val="9"/>
            <color indexed="81"/>
            <rFont val="Tahoma"/>
            <family val="2"/>
          </rPr>
          <t>. If both are non-zero values, percentage will take priority</t>
        </r>
      </text>
    </comment>
    <comment ref="C86" authorId="0" shapeId="0" xr:uid="{E1AF0318-EC4E-4A70-A273-FEAF30B9EA1B}">
      <text>
        <r>
          <rPr>
            <sz val="9"/>
            <color indexed="81"/>
            <rFont val="Tahoma"/>
            <family val="2"/>
          </rPr>
          <t xml:space="preserve">Only choose </t>
        </r>
        <r>
          <rPr>
            <b/>
            <sz val="9"/>
            <color indexed="81"/>
            <rFont val="Tahoma"/>
            <family val="2"/>
          </rPr>
          <t>EITHER by period OR percentage</t>
        </r>
        <r>
          <rPr>
            <sz val="9"/>
            <color indexed="81"/>
            <rFont val="Tahoma"/>
            <family val="2"/>
          </rPr>
          <t>. If both are non-zero values, percentage will take priority</t>
        </r>
      </text>
    </comment>
    <comment ref="C87" authorId="0" shapeId="0" xr:uid="{01BCF695-DBF3-4297-80E3-09FEB6874EB0}">
      <text>
        <r>
          <rPr>
            <sz val="9"/>
            <color indexed="81"/>
            <rFont val="Tahoma"/>
            <family val="2"/>
          </rPr>
          <t xml:space="preserve">Only choose </t>
        </r>
        <r>
          <rPr>
            <b/>
            <sz val="9"/>
            <color indexed="81"/>
            <rFont val="Tahoma"/>
            <family val="2"/>
          </rPr>
          <t>EITHER by period OR percentage</t>
        </r>
        <r>
          <rPr>
            <sz val="9"/>
            <color indexed="81"/>
            <rFont val="Tahoma"/>
            <family val="2"/>
          </rPr>
          <t>. If both are non-zero values, percentage will take priority</t>
        </r>
      </text>
    </comment>
    <comment ref="C88" authorId="0" shapeId="0" xr:uid="{AFD9CBCE-FA5B-4C02-9342-F51DA07EB826}">
      <text>
        <r>
          <rPr>
            <sz val="9"/>
            <color indexed="81"/>
            <rFont val="Tahoma"/>
            <family val="2"/>
          </rPr>
          <t xml:space="preserve">Only choose </t>
        </r>
        <r>
          <rPr>
            <b/>
            <sz val="9"/>
            <color indexed="81"/>
            <rFont val="Tahoma"/>
            <family val="2"/>
          </rPr>
          <t>EITHER by period OR percentage</t>
        </r>
        <r>
          <rPr>
            <sz val="9"/>
            <color indexed="81"/>
            <rFont val="Tahoma"/>
            <family val="2"/>
          </rPr>
          <t>. If both are non-zero values, percentage will take priority</t>
        </r>
      </text>
    </comment>
    <comment ref="C89" authorId="0" shapeId="0" xr:uid="{5BD6EB57-1EF2-45A1-B1EE-3D964F9ABD5F}">
      <text>
        <r>
          <rPr>
            <sz val="9"/>
            <color indexed="81"/>
            <rFont val="Tahoma"/>
            <family val="2"/>
          </rPr>
          <t xml:space="preserve">Only choose </t>
        </r>
        <r>
          <rPr>
            <b/>
            <sz val="9"/>
            <color indexed="81"/>
            <rFont val="Tahoma"/>
            <family val="2"/>
          </rPr>
          <t>EITHER by period OR percentage</t>
        </r>
        <r>
          <rPr>
            <sz val="9"/>
            <color indexed="81"/>
            <rFont val="Tahoma"/>
            <family val="2"/>
          </rPr>
          <t>. If both are non-zero values, percentage will take priority</t>
        </r>
      </text>
    </comment>
    <comment ref="C90" authorId="0" shapeId="0" xr:uid="{17FDD94A-1329-471A-847F-D6585C1AB71F}">
      <text>
        <r>
          <rPr>
            <sz val="9"/>
            <color indexed="81"/>
            <rFont val="Tahoma"/>
            <family val="2"/>
          </rPr>
          <t xml:space="preserve">Only choose </t>
        </r>
        <r>
          <rPr>
            <b/>
            <sz val="9"/>
            <color indexed="81"/>
            <rFont val="Tahoma"/>
            <family val="2"/>
          </rPr>
          <t>EITHER by period OR percentage</t>
        </r>
        <r>
          <rPr>
            <sz val="9"/>
            <color indexed="81"/>
            <rFont val="Tahoma"/>
            <family val="2"/>
          </rPr>
          <t>. If both are non-zero values, percentage will take priority</t>
        </r>
      </text>
    </comment>
    <comment ref="C91" authorId="0" shapeId="0" xr:uid="{C39A4E31-8D8D-48B9-8E27-1CE7F9D32A53}">
      <text>
        <r>
          <rPr>
            <sz val="9"/>
            <color indexed="81"/>
            <rFont val="Tahoma"/>
            <family val="2"/>
          </rPr>
          <t xml:space="preserve">Only choose </t>
        </r>
        <r>
          <rPr>
            <b/>
            <sz val="9"/>
            <color indexed="81"/>
            <rFont val="Tahoma"/>
            <family val="2"/>
          </rPr>
          <t>EITHER by period OR percentage</t>
        </r>
        <r>
          <rPr>
            <sz val="9"/>
            <color indexed="81"/>
            <rFont val="Tahoma"/>
            <family val="2"/>
          </rPr>
          <t>. If both are non-zero values, percentage will take priority</t>
        </r>
      </text>
    </comment>
    <comment ref="C92" authorId="0" shapeId="0" xr:uid="{523ACA81-6FC1-4740-8E6B-BA3D528E9ACE}">
      <text>
        <r>
          <rPr>
            <sz val="9"/>
            <color indexed="81"/>
            <rFont val="Tahoma"/>
            <family val="2"/>
          </rPr>
          <t xml:space="preserve">Only choose </t>
        </r>
        <r>
          <rPr>
            <b/>
            <sz val="9"/>
            <color indexed="81"/>
            <rFont val="Tahoma"/>
            <family val="2"/>
          </rPr>
          <t>EITHER by period OR percentage</t>
        </r>
        <r>
          <rPr>
            <sz val="9"/>
            <color indexed="81"/>
            <rFont val="Tahoma"/>
            <family val="2"/>
          </rPr>
          <t>. If both are non-zero values, percentage will take priority</t>
        </r>
      </text>
    </comment>
    <comment ref="C93" authorId="0" shapeId="0" xr:uid="{9F063D98-75ED-4826-9DAB-2925FEF48266}">
      <text>
        <r>
          <rPr>
            <sz val="9"/>
            <color indexed="81"/>
            <rFont val="Tahoma"/>
            <family val="2"/>
          </rPr>
          <t xml:space="preserve">Only choose </t>
        </r>
        <r>
          <rPr>
            <b/>
            <sz val="9"/>
            <color indexed="81"/>
            <rFont val="Tahoma"/>
            <family val="2"/>
          </rPr>
          <t>EITHER by period OR percentage</t>
        </r>
        <r>
          <rPr>
            <sz val="9"/>
            <color indexed="81"/>
            <rFont val="Tahoma"/>
            <family val="2"/>
          </rPr>
          <t>. If both are non-zero values, percentage will take priority</t>
        </r>
      </text>
    </comment>
    <comment ref="E103" authorId="0" shapeId="0" xr:uid="{D3D7255C-83B8-4E33-997B-DAF7501CB53E}">
      <text>
        <r>
          <rPr>
            <sz val="9"/>
            <color indexed="81"/>
            <rFont val="Tahoma"/>
            <family val="2"/>
          </rPr>
          <t xml:space="preserve">Only set </t>
        </r>
        <r>
          <rPr>
            <b/>
            <sz val="9"/>
            <color indexed="81"/>
            <rFont val="Tahoma"/>
            <family val="2"/>
          </rPr>
          <t>ONE cell as "YES"</t>
        </r>
        <r>
          <rPr>
            <sz val="9"/>
            <color indexed="81"/>
            <rFont val="Tahoma"/>
            <family val="2"/>
          </rPr>
          <t>. If both are set to "YES", the top row will take priority.</t>
        </r>
      </text>
    </comment>
    <comment ref="E104" authorId="0" shapeId="0" xr:uid="{ECEB79E2-3162-413A-A65F-EBBFF09F6472}">
      <text>
        <r>
          <rPr>
            <sz val="9"/>
            <color indexed="81"/>
            <rFont val="Tahoma"/>
            <family val="2"/>
          </rPr>
          <t xml:space="preserve">Only set </t>
        </r>
        <r>
          <rPr>
            <b/>
            <sz val="9"/>
            <color indexed="81"/>
            <rFont val="Tahoma"/>
            <family val="2"/>
          </rPr>
          <t>ONE cell as "YES"</t>
        </r>
        <r>
          <rPr>
            <sz val="9"/>
            <color indexed="81"/>
            <rFont val="Tahoma"/>
            <family val="2"/>
          </rPr>
          <t>. If both are set to "YES", the top row will take priority.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Bing Xi</author>
  </authors>
  <commentList>
    <comment ref="I10" authorId="0" shapeId="0" xr:uid="{CBF98109-894F-427D-B866-E570DBE56198}">
      <text>
        <r>
          <rPr>
            <sz val="9"/>
            <color indexed="81"/>
            <rFont val="Tahoma"/>
            <family val="2"/>
          </rPr>
          <t>Rate applied after IO period</t>
        </r>
      </text>
    </comment>
    <comment ref="W10" authorId="0" shapeId="0" xr:uid="{EF9A68B1-835D-4D97-B52B-21452E874AF6}">
      <text>
        <r>
          <rPr>
            <sz val="9"/>
            <color indexed="81"/>
            <rFont val="Tahoma"/>
            <family val="2"/>
          </rPr>
          <t>Rate applied after IO period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Bing Xi</author>
  </authors>
  <commentList>
    <comment ref="I10" authorId="0" shapeId="0" xr:uid="{0349D210-6C29-4D8C-B4F5-254575DE0263}">
      <text>
        <r>
          <rPr>
            <sz val="9"/>
            <color indexed="81"/>
            <rFont val="Tahoma"/>
            <family val="2"/>
          </rPr>
          <t>Rate applied after IO period</t>
        </r>
      </text>
    </comment>
    <comment ref="W10" authorId="0" shapeId="0" xr:uid="{7D35D4F5-8825-4D20-AD00-5428781A8585}">
      <text>
        <r>
          <rPr>
            <sz val="9"/>
            <color indexed="81"/>
            <rFont val="Tahoma"/>
            <family val="2"/>
          </rPr>
          <t>Rate applied after IO period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Bing Xi</author>
  </authors>
  <commentList>
    <comment ref="S3" authorId="0" shapeId="0" xr:uid="{9A4EA562-6C02-4719-BF42-65AC29034FA3}">
      <text>
        <r>
          <rPr>
            <sz val="9"/>
            <color indexed="81"/>
            <rFont val="Tahoma"/>
            <family val="2"/>
          </rPr>
          <t>Taxed Amount = (Rent - Total Deductions) * Tax Bracket</t>
        </r>
      </text>
    </comment>
    <comment ref="U3" authorId="0" shapeId="0" xr:uid="{EB61CA6F-FEA1-440A-8908-F155264B472A}">
      <text>
        <r>
          <rPr>
            <sz val="9"/>
            <color indexed="81"/>
            <rFont val="Tahoma"/>
            <family val="2"/>
          </rPr>
          <t>Excluding Month 0</t>
        </r>
      </text>
    </comment>
    <comment ref="V3" authorId="0" shapeId="0" xr:uid="{C5F12AC9-FB71-4674-AC72-CBF707810891}">
      <text>
        <r>
          <rPr>
            <sz val="9"/>
            <color indexed="81"/>
            <rFont val="Tahoma"/>
            <family val="2"/>
          </rPr>
          <t>Assumed sold EOM</t>
        </r>
      </text>
    </comment>
    <comment ref="W3" authorId="0" shapeId="0" xr:uid="{FD599D0A-E4C6-4555-9478-9CCEAE23DB70}">
      <text>
        <r>
          <rPr>
            <sz val="9"/>
            <color indexed="81"/>
            <rFont val="Tahoma"/>
            <family val="2"/>
          </rPr>
          <t>ROI = Total Profit / Purchasing Cost (incl. Downpayment)</t>
        </r>
      </text>
    </comment>
    <comment ref="X3" authorId="0" shapeId="0" xr:uid="{D1E629BB-B624-4387-A949-E85E601C19E6}">
      <text>
        <r>
          <rPr>
            <sz val="9"/>
            <color indexed="81"/>
            <rFont val="Tahoma"/>
            <family val="2"/>
          </rPr>
          <t>Annualised ROI = [Total Profit / Purchasing Cost (incl. Downpayment)] / Years</t>
        </r>
      </text>
    </comment>
    <comment ref="Y3" authorId="0" shapeId="0" xr:uid="{3CC9443C-334E-42A3-AF5B-C77068FBBF4C}">
      <text>
        <r>
          <rPr>
            <sz val="9"/>
            <color indexed="81"/>
            <rFont val="Tahoma"/>
            <family val="2"/>
          </rPr>
          <t>Net Profit if Sold (End of Month) = Sales Profit + Accummulated Cash Flow</t>
        </r>
      </text>
    </comment>
    <comment ref="Z3" authorId="0" shapeId="0" xr:uid="{EE05CB8B-36BB-4852-8562-1DE4224B9647}">
      <text>
        <r>
          <rPr>
            <sz val="9"/>
            <color indexed="81"/>
            <rFont val="Tahoma"/>
            <family val="2"/>
          </rPr>
          <t>ROI = Total Profit / Purchasing Cost (incl. Downpayment)</t>
        </r>
      </text>
    </comment>
    <comment ref="AA3" authorId="0" shapeId="0" xr:uid="{28D14959-93AA-4E43-A043-94DAB22ACB84}">
      <text>
        <r>
          <rPr>
            <sz val="9"/>
            <color indexed="81"/>
            <rFont val="Tahoma"/>
            <family val="2"/>
          </rPr>
          <t>Annualised ROI = [Total Profit / Purchasing Cost (incl. Downpayment)] / Years</t>
        </r>
      </text>
    </comment>
    <comment ref="AQ3" authorId="0" shapeId="0" xr:uid="{B9C8C14A-C944-4B68-BE7C-1B89FDCBC356}">
      <text>
        <r>
          <rPr>
            <sz val="9"/>
            <color indexed="81"/>
            <rFont val="Tahoma"/>
            <family val="2"/>
          </rPr>
          <t>Taxed Amount = (Rent - Total Deductions) * Tax Bracket</t>
        </r>
      </text>
    </comment>
    <comment ref="AS3" authorId="0" shapeId="0" xr:uid="{D5031729-F057-4B78-A52D-470352D70797}">
      <text>
        <r>
          <rPr>
            <sz val="9"/>
            <color indexed="81"/>
            <rFont val="Tahoma"/>
            <family val="2"/>
          </rPr>
          <t>Excluding Month 0</t>
        </r>
      </text>
    </comment>
    <comment ref="AT3" authorId="0" shapeId="0" xr:uid="{B195FB82-4D9E-4EC3-9F2E-F3B8940EF9EF}">
      <text>
        <r>
          <rPr>
            <sz val="9"/>
            <color indexed="81"/>
            <rFont val="Tahoma"/>
            <family val="2"/>
          </rPr>
          <t>Assumed sold EOM</t>
        </r>
      </text>
    </comment>
    <comment ref="AU3" authorId="0" shapeId="0" xr:uid="{BDF49641-4AB4-47CB-B5E9-C40F87C98F8C}">
      <text>
        <r>
          <rPr>
            <sz val="9"/>
            <color indexed="81"/>
            <rFont val="Tahoma"/>
            <family val="2"/>
          </rPr>
          <t>ROI = Total Profit / Purchasing Cost (incl. Downpayment)</t>
        </r>
      </text>
    </comment>
    <comment ref="AV3" authorId="0" shapeId="0" xr:uid="{9146CB38-7E8F-4D5A-8FAA-FCE7D89D95E4}">
      <text>
        <r>
          <rPr>
            <sz val="9"/>
            <color indexed="81"/>
            <rFont val="Tahoma"/>
            <family val="2"/>
          </rPr>
          <t>Annualised ROI = [Total Profit / Purchasing Cost (incl. Downpayment)] / Years</t>
        </r>
      </text>
    </comment>
    <comment ref="AW3" authorId="0" shapeId="0" xr:uid="{DAC89935-6FC1-43C3-9EEA-C48FE02F25CD}">
      <text>
        <r>
          <rPr>
            <sz val="9"/>
            <color indexed="81"/>
            <rFont val="Tahoma"/>
            <family val="2"/>
          </rPr>
          <t>Net Profit if Sold (End of Month) = Sales Profit + Accummulated Cash Flow</t>
        </r>
      </text>
    </comment>
    <comment ref="AX3" authorId="0" shapeId="0" xr:uid="{D19FF4E9-67B2-4160-B02E-17B3636D377A}">
      <text>
        <r>
          <rPr>
            <sz val="9"/>
            <color indexed="81"/>
            <rFont val="Tahoma"/>
            <family val="2"/>
          </rPr>
          <t>ROI = Total Profit / Purchasing Cost (incl. Downpayment)</t>
        </r>
      </text>
    </comment>
    <comment ref="AY3" authorId="0" shapeId="0" xr:uid="{C39AEA9A-A79A-4F08-A9C5-B73F7D38D042}">
      <text>
        <r>
          <rPr>
            <sz val="9"/>
            <color indexed="81"/>
            <rFont val="Tahoma"/>
            <family val="2"/>
          </rPr>
          <t>Annualised ROI = [Total Profit / Purchasing Cost (incl. Downpayment)] / Years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Bing Xi</author>
  </authors>
  <commentList>
    <comment ref="S3" authorId="0" shapeId="0" xr:uid="{53E1EA9F-04D0-4267-A9DF-B7BF81CAEA4A}">
      <text>
        <r>
          <rPr>
            <sz val="9"/>
            <color indexed="81"/>
            <rFont val="Tahoma"/>
            <family val="2"/>
          </rPr>
          <t>Taxed Amount = (Rent - Total Deductions) * Tax Bracket</t>
        </r>
      </text>
    </comment>
    <comment ref="U3" authorId="0" shapeId="0" xr:uid="{1598F39F-5260-44EB-897B-8037E762182F}">
      <text>
        <r>
          <rPr>
            <sz val="9"/>
            <color indexed="81"/>
            <rFont val="Tahoma"/>
            <family val="2"/>
          </rPr>
          <t>Excluding Month 0</t>
        </r>
      </text>
    </comment>
    <comment ref="V3" authorId="0" shapeId="0" xr:uid="{2CB76DB0-35A4-4D4B-AA4E-49DB2BB166AA}">
      <text>
        <r>
          <rPr>
            <sz val="9"/>
            <color indexed="81"/>
            <rFont val="Tahoma"/>
            <family val="2"/>
          </rPr>
          <t>Assumed sold EOY</t>
        </r>
      </text>
    </comment>
    <comment ref="W3" authorId="0" shapeId="0" xr:uid="{E6D9F7D4-9EE8-483D-A01D-A6CA8DCD2BE5}">
      <text>
        <r>
          <rPr>
            <sz val="9"/>
            <color indexed="81"/>
            <rFont val="Tahoma"/>
            <family val="2"/>
          </rPr>
          <t>ROI = Total Profit / Purchasing Cost (incl. Downpayment)</t>
        </r>
      </text>
    </comment>
    <comment ref="X3" authorId="0" shapeId="0" xr:uid="{AF6352D9-85CA-4ED1-9BAB-27291707A154}">
      <text>
        <r>
          <rPr>
            <sz val="9"/>
            <color indexed="81"/>
            <rFont val="Tahoma"/>
            <family val="2"/>
          </rPr>
          <t>Annualised ROI = [Total Profit / Purchasing Cost (incl. Downpayment)] / Years</t>
        </r>
      </text>
    </comment>
    <comment ref="Y3" authorId="0" shapeId="0" xr:uid="{355B64E1-C675-499E-85B6-DE08F8F81963}">
      <text>
        <r>
          <rPr>
            <sz val="9"/>
            <color indexed="81"/>
            <rFont val="Tahoma"/>
            <family val="2"/>
          </rPr>
          <t>Net Profit if Sold (End of Month) = Sales Profit + Accummulated Cash Flow</t>
        </r>
      </text>
    </comment>
    <comment ref="Z3" authorId="0" shapeId="0" xr:uid="{FF3360CA-6954-44DC-8F1F-0CB395FF658D}">
      <text>
        <r>
          <rPr>
            <sz val="9"/>
            <color indexed="81"/>
            <rFont val="Tahoma"/>
            <family val="2"/>
          </rPr>
          <t>ROI = Total Profit / Purchasing Cost (incl. Downpayment)</t>
        </r>
      </text>
    </comment>
    <comment ref="AA3" authorId="0" shapeId="0" xr:uid="{049DA2AA-A773-442C-A052-74EF2DF232EE}">
      <text>
        <r>
          <rPr>
            <sz val="9"/>
            <color indexed="81"/>
            <rFont val="Tahoma"/>
            <family val="2"/>
          </rPr>
          <t>Annualised ROI = [Total Profit / Purchasing Cost (incl. Downpayment)] / Years</t>
        </r>
      </text>
    </comment>
    <comment ref="AQ3" authorId="0" shapeId="0" xr:uid="{980658E4-D0E5-4399-B2A2-42713226DBE2}">
      <text>
        <r>
          <rPr>
            <sz val="9"/>
            <color indexed="81"/>
            <rFont val="Tahoma"/>
            <family val="2"/>
          </rPr>
          <t>Taxed Amount = (Rent - Total Deductions) * Tax Bracket</t>
        </r>
      </text>
    </comment>
    <comment ref="AS3" authorId="0" shapeId="0" xr:uid="{DF9B9CA5-D070-4CDD-BC5F-0AABD8A7D341}">
      <text>
        <r>
          <rPr>
            <sz val="9"/>
            <color indexed="81"/>
            <rFont val="Tahoma"/>
            <family val="2"/>
          </rPr>
          <t>Excluding Month 0</t>
        </r>
      </text>
    </comment>
    <comment ref="AT3" authorId="0" shapeId="0" xr:uid="{ADC08D6D-E21D-4B6D-8136-8B50B4887603}">
      <text>
        <r>
          <rPr>
            <sz val="9"/>
            <color indexed="81"/>
            <rFont val="Tahoma"/>
            <family val="2"/>
          </rPr>
          <t>Assumed sold EOY</t>
        </r>
      </text>
    </comment>
    <comment ref="AU3" authorId="0" shapeId="0" xr:uid="{FF91673C-8F84-4030-8B70-66FD5971E1B9}">
      <text>
        <r>
          <rPr>
            <sz val="9"/>
            <color indexed="81"/>
            <rFont val="Tahoma"/>
            <family val="2"/>
          </rPr>
          <t>ROI = Total Profit / Purchasing Cost (incl. Downpayment)</t>
        </r>
      </text>
    </comment>
    <comment ref="AV3" authorId="0" shapeId="0" xr:uid="{3FE74AC0-B205-4F53-8654-C3EC40C57254}">
      <text>
        <r>
          <rPr>
            <sz val="9"/>
            <color indexed="81"/>
            <rFont val="Tahoma"/>
            <family val="2"/>
          </rPr>
          <t>Annualised ROI = [Total Profit / Purchasing Cost (incl. Downpayment)] / Years</t>
        </r>
      </text>
    </comment>
    <comment ref="AW3" authorId="0" shapeId="0" xr:uid="{CDD07933-D3EC-4FCE-8E57-A6E3C9D189BC}">
      <text>
        <r>
          <rPr>
            <sz val="9"/>
            <color indexed="81"/>
            <rFont val="Tahoma"/>
            <family val="2"/>
          </rPr>
          <t>Net Profit if Sold (End of Month) = Sales Profit + Accummulated Cash Flow</t>
        </r>
      </text>
    </comment>
    <comment ref="AX3" authorId="0" shapeId="0" xr:uid="{4E82ECEB-539B-4D8C-8F10-49AA00FC43F1}">
      <text>
        <r>
          <rPr>
            <sz val="9"/>
            <color indexed="81"/>
            <rFont val="Tahoma"/>
            <family val="2"/>
          </rPr>
          <t>ROI = Total Profit / Purchasing Cost (incl. Downpayment)</t>
        </r>
      </text>
    </comment>
    <comment ref="AY3" authorId="0" shapeId="0" xr:uid="{78723518-8776-42BD-BC5F-AF91A06B9F2E}">
      <text>
        <r>
          <rPr>
            <sz val="9"/>
            <color indexed="81"/>
            <rFont val="Tahoma"/>
            <family val="2"/>
          </rPr>
          <t>Annualised ROI = [Total Profit / Purchasing Cost (incl. Downpayment)] / Years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pc</author>
  </authors>
  <commentList>
    <comment ref="B25" authorId="0" shapeId="0" xr:uid="{B8E2D985-102D-405D-8082-620E52E1170B}">
      <text>
        <r>
          <rPr>
            <sz val="9"/>
            <color indexed="81"/>
            <rFont val="Tahoma"/>
            <family val="2"/>
          </rPr>
          <t>0 - Much worse
5 - About the same
10 - Much better</t>
        </r>
      </text>
    </comment>
    <comment ref="B53" authorId="0" shapeId="0" xr:uid="{2E952C0A-31B1-4319-816E-DE1C4ADD3691}">
      <text>
        <r>
          <rPr>
            <sz val="9"/>
            <color indexed="81"/>
            <rFont val="Tahoma"/>
            <family val="2"/>
          </rPr>
          <t>0 - Much worse
5 - About the same
10 - Much better</t>
        </r>
      </text>
    </comment>
    <comment ref="B80" authorId="0" shapeId="0" xr:uid="{FCCDEE26-610D-4066-85D5-99F2946B3A8A}">
      <text>
        <r>
          <rPr>
            <sz val="9"/>
            <color indexed="81"/>
            <rFont val="Tahoma"/>
            <family val="2"/>
          </rPr>
          <t>0 - Much worse
5 - About the same
10 - Much better</t>
        </r>
      </text>
    </comment>
  </commentList>
</comments>
</file>

<file path=xl/sharedStrings.xml><?xml version="1.0" encoding="utf-8"?>
<sst xmlns="http://schemas.openxmlformats.org/spreadsheetml/2006/main" count="966" uniqueCount="381">
  <si>
    <t>Down Payment (%)</t>
  </si>
  <si>
    <t>Down Payment ($)</t>
  </si>
  <si>
    <t>Management Fees</t>
  </si>
  <si>
    <t>Days on Market</t>
  </si>
  <si>
    <t>Legal Fees</t>
  </si>
  <si>
    <t>Rent</t>
  </si>
  <si>
    <t>Total Price</t>
  </si>
  <si>
    <t>Estimated Appreciation (Annual)</t>
  </si>
  <si>
    <t>Principal Amount</t>
  </si>
  <si>
    <t>Conveyancer/Solicitor Fees</t>
  </si>
  <si>
    <t>Make sure to confirm prices, extra charges and scope of services with conveyancer</t>
  </si>
  <si>
    <t>Annual Interest Rate</t>
  </si>
  <si>
    <t>Strata Report</t>
  </si>
  <si>
    <t>Look for info on fees, special levies, find balance, future building works/maintenance plans</t>
  </si>
  <si>
    <t>Monthly Interest Rate</t>
  </si>
  <si>
    <t>Rental Growth (Annual)</t>
  </si>
  <si>
    <t>Loan Duration (Years)</t>
  </si>
  <si>
    <t>Includes Loan Application + Establishment Fees, Documentation + Prep Fees</t>
  </si>
  <si>
    <t>Check</t>
  </si>
  <si>
    <t>Year</t>
  </si>
  <si>
    <t>Property Value</t>
  </si>
  <si>
    <t>Equity</t>
  </si>
  <si>
    <t>Total Deductions</t>
  </si>
  <si>
    <t>After Tax Cash Flow</t>
  </si>
  <si>
    <t>Total</t>
  </si>
  <si>
    <t>Utilities and Services</t>
  </si>
  <si>
    <t>Payment</t>
  </si>
  <si>
    <t>Principal</t>
  </si>
  <si>
    <t>Balance</t>
  </si>
  <si>
    <t>Home/Building Insurance</t>
  </si>
  <si>
    <t>Contents Insurance</t>
  </si>
  <si>
    <t>Income Protection Insurance</t>
  </si>
  <si>
    <t>Optional</t>
  </si>
  <si>
    <t>Strata/Body Corporate Fees</t>
  </si>
  <si>
    <t>Renovation/Maintenance</t>
  </si>
  <si>
    <t>ONGOING FEES/COSTS</t>
  </si>
  <si>
    <t>-</t>
  </si>
  <si>
    <t>Item</t>
  </si>
  <si>
    <t>One Time Cost</t>
  </si>
  <si>
    <t>Notes/Comments</t>
  </si>
  <si>
    <t>SELLING FEES/COSTS</t>
  </si>
  <si>
    <t>Advertising &amp; Marketing Costs</t>
  </si>
  <si>
    <t>Total Selling Fees/Costs</t>
  </si>
  <si>
    <t>Provision for Vacancy</t>
  </si>
  <si>
    <t>Provision for Maintainance &amp; Capex</t>
  </si>
  <si>
    <t>Total Ongoing Fees/Costs</t>
  </si>
  <si>
    <t>Furnishing/Upgrades</t>
  </si>
  <si>
    <t>Cash-on-Cash Return</t>
  </si>
  <si>
    <t>Fees</t>
  </si>
  <si>
    <t>Interest Only Duration (Years)</t>
  </si>
  <si>
    <t>Total Loan Duration (Years)</t>
  </si>
  <si>
    <t>Payment Number (Month)</t>
  </si>
  <si>
    <t>Monthly Loan Payment</t>
  </si>
  <si>
    <t>MORTGAGE CALCULATOR - PRINCIPAL &amp; INTEREST (COMPARISON)</t>
  </si>
  <si>
    <t>MORTGAGE CALCULATOR - INTEREST ONLY (COMPARISON)</t>
  </si>
  <si>
    <t>KEY INFORMATION</t>
  </si>
  <si>
    <t>FORECAST ASSUMPTIONS</t>
  </si>
  <si>
    <t>Month</t>
  </si>
  <si>
    <t>Equivalent Monthly Appreciation</t>
  </si>
  <si>
    <t>Equivalent Monthly Rent</t>
  </si>
  <si>
    <t>Ongoing Fees/Costs (w/ Inflation)</t>
  </si>
  <si>
    <t>Inflation (Annual)</t>
  </si>
  <si>
    <t>Ongoing Fees/Costs (w/o inflation)</t>
  </si>
  <si>
    <t>Ongoing Fees/Costs are distributed throughout the year</t>
  </si>
  <si>
    <t>Tax Deductible?</t>
  </si>
  <si>
    <t>Letting Fee/Advertising Fee</t>
  </si>
  <si>
    <t>Varies depending on LVR and total loan amount</t>
  </si>
  <si>
    <t>Depreciation</t>
  </si>
  <si>
    <t>Assumed all ongoing fees/costs are tax deductible</t>
  </si>
  <si>
    <t>Location</t>
  </si>
  <si>
    <t>No. of Bedrooms</t>
  </si>
  <si>
    <t>No. of Bathrooms</t>
  </si>
  <si>
    <t>Last Sold Price</t>
  </si>
  <si>
    <t>Address</t>
  </si>
  <si>
    <t>Selling Costs</t>
  </si>
  <si>
    <t>Purchasing Costs (Incl. Downpayment)</t>
  </si>
  <si>
    <t>Before Tax Cash Flow</t>
  </si>
  <si>
    <t>Amount</t>
  </si>
  <si>
    <t>Unit</t>
  </si>
  <si>
    <t>Annual Equivalent</t>
  </si>
  <si>
    <t>Units (Period)</t>
  </si>
  <si>
    <t>per month</t>
  </si>
  <si>
    <t>per quarter</t>
  </si>
  <si>
    <t>per annum</t>
  </si>
  <si>
    <t>per week</t>
  </si>
  <si>
    <t>Estimated Selling Price</t>
  </si>
  <si>
    <t>Lump Sum Equivalent</t>
  </si>
  <si>
    <t>Utilities and Services (Connection Fee)</t>
  </si>
  <si>
    <t>Other Purchasing Costs 2</t>
  </si>
  <si>
    <t>Other Purchasing Costs 1</t>
  </si>
  <si>
    <t>Contingency</t>
  </si>
  <si>
    <t>Other Closing Costs 2</t>
  </si>
  <si>
    <t>Other Closing Costs 1</t>
  </si>
  <si>
    <t>Rental Income</t>
  </si>
  <si>
    <t>Other Income</t>
  </si>
  <si>
    <t>Down Payment</t>
  </si>
  <si>
    <t>PURCHASING COSTS</t>
  </si>
  <si>
    <t>Travel Expenses</t>
  </si>
  <si>
    <t>Flights, fuel, etc</t>
  </si>
  <si>
    <t>Real Estate Agency Commission</t>
  </si>
  <si>
    <t>Valuation/Appraisal Fees</t>
  </si>
  <si>
    <t>Renovation/Maintainance (to sell)</t>
  </si>
  <si>
    <t>Input Type</t>
  </si>
  <si>
    <t>% of Total Price</t>
  </si>
  <si>
    <t>Value</t>
  </si>
  <si>
    <t>$ Value</t>
  </si>
  <si>
    <t>Active?</t>
  </si>
  <si>
    <t>QUICK SUMMARY</t>
  </si>
  <si>
    <t>MORTGAGE INFORMATION</t>
  </si>
  <si>
    <t>Standard Interest Rate (after interest only period)</t>
  </si>
  <si>
    <t>per fortnight</t>
  </si>
  <si>
    <t>Total Purchasing Costs (Excl. Down Payment)</t>
  </si>
  <si>
    <t>Total Purchasing Costs (Incl. Down Payment)</t>
  </si>
  <si>
    <t>Other Purchasing Costs 3</t>
  </si>
  <si>
    <t>% of Sale Price</t>
  </si>
  <si>
    <t>% of Total Income</t>
  </si>
  <si>
    <t>% of Purchase Price</t>
  </si>
  <si>
    <t>TOTAL INCOME</t>
  </si>
  <si>
    <t>Other Ongoing Costs 1</t>
  </si>
  <si>
    <t>Other Ongoing Costs 2</t>
  </si>
  <si>
    <t>Other Ongoing Costs 3</t>
  </si>
  <si>
    <t>Other Closing Costs 3</t>
  </si>
  <si>
    <t>Appreciation (Annual)</t>
  </si>
  <si>
    <t>Monthly Appreciation</t>
  </si>
  <si>
    <t>Holding Period (Years)</t>
  </si>
  <si>
    <t>Holding Period</t>
  </si>
  <si>
    <t>Tax Bracket</t>
  </si>
  <si>
    <t>Key Information</t>
  </si>
  <si>
    <t>Mortgage Information</t>
  </si>
  <si>
    <t>Nominal Interest Rate</t>
  </si>
  <si>
    <t>Loan switches to a typical Principal and Interest Loan after this duration</t>
  </si>
  <si>
    <t>Additional fees including for offset/redraw accounts</t>
  </si>
  <si>
    <t>After Interest Only Period</t>
  </si>
  <si>
    <t>Equivalent Monthly Interest Rate</t>
  </si>
  <si>
    <t>Simple Cash Flow Calculator</t>
  </si>
  <si>
    <t>Purchasing Costs Required (Incl. Down Payment)</t>
  </si>
  <si>
    <t>Equivalent Monthly Income</t>
  </si>
  <si>
    <t>Total Income (Rent + Other)</t>
  </si>
  <si>
    <t>Ongoing Fees/Costs</t>
  </si>
  <si>
    <t>Loan Payment (P&amp;I Loan)</t>
  </si>
  <si>
    <t>Loan Payment (IO Loan)</t>
  </si>
  <si>
    <t>Principal &amp; Interest Loan (P&amp;I)</t>
  </si>
  <si>
    <t>Interest Only Loan (IO)</t>
  </si>
  <si>
    <t>Total Cash Flow (P&amp;I Loan)</t>
  </si>
  <si>
    <t>Cash-on-Cash Return (P&amp;I Loan)</t>
  </si>
  <si>
    <t>Total Cash Flow (IO Loan)</t>
  </si>
  <si>
    <t>Cash-on-Cash Return (IO Loan)</t>
  </si>
  <si>
    <t>Standard Interest Rate (after IO period)</t>
  </si>
  <si>
    <t>PRINCIPAL &amp; INTEREST LOAN (P&amp;I)</t>
  </si>
  <si>
    <t>INTEREST ONLY LOAN (IO)</t>
  </si>
  <si>
    <t>Standard Interest Rate</t>
  </si>
  <si>
    <t>Depreciated over how many years?</t>
  </si>
  <si>
    <t>Value eligible for depreciation claims (i.e. non-land component only, excluding amount already depreciated)</t>
  </si>
  <si>
    <t>E.g. 50-60% for new builds, 25% for established properties (depending on age); Generally higher for apartments</t>
  </si>
  <si>
    <t>Number of years left for depreciation claims; Lumped all depreciable items into one for simplicity</t>
  </si>
  <si>
    <t>Forecast Assumptions</t>
  </si>
  <si>
    <t>Value Eligible for Depreciation</t>
  </si>
  <si>
    <t>Value Eligible for Depreciation ($)</t>
  </si>
  <si>
    <t>Value Eligible for Depreciation (%)</t>
  </si>
  <si>
    <t>YES</t>
  </si>
  <si>
    <t>Consider Depreciation?</t>
  </si>
  <si>
    <t>Set to "NO" to ignore depreciation</t>
  </si>
  <si>
    <t>Buyer's Agent</t>
  </si>
  <si>
    <t>Assumed all ongoing fees/costs increases with inflation (except for those calculated as % of total income)</t>
  </si>
  <si>
    <t>Loan Repayment</t>
  </si>
  <si>
    <t>Tax Payment / (Credit)</t>
  </si>
  <si>
    <t>Net Profit if Sold</t>
  </si>
  <si>
    <t>Gross Profit if Sold</t>
  </si>
  <si>
    <t>Net ROI</t>
  </si>
  <si>
    <t>Gross ROI</t>
  </si>
  <si>
    <t>Cumulative After Tax Cash Flow</t>
  </si>
  <si>
    <t>Monthly Loan Payment (First 5 Years)</t>
  </si>
  <si>
    <t>PERIOD CONVERTER</t>
  </si>
  <si>
    <t>Total Purchase Price</t>
  </si>
  <si>
    <t>Used to calculate total appreciation and profit</t>
  </si>
  <si>
    <t>*Assumed all Ongoing Fees/Costs are tax deductible and are distributed throughout the year</t>
  </si>
  <si>
    <t>Set to maximum loan duration if no intention to sell</t>
  </si>
  <si>
    <t>Note: Please input comparison values in 'Mortgage Calculators (By Month)' sheet</t>
  </si>
  <si>
    <t>Cumulative Payment</t>
  </si>
  <si>
    <t>Cumulative Principal</t>
  </si>
  <si>
    <t>Cumulative Interest + Fees</t>
  </si>
  <si>
    <t>SELLING COSTS</t>
  </si>
  <si>
    <t>Used for Forecast (By Month) tab - Gross Profit if Sold</t>
  </si>
  <si>
    <t>Principal Label</t>
  </si>
  <si>
    <t>Interest + Fees</t>
  </si>
  <si>
    <t>Interest + Fees Label</t>
  </si>
  <si>
    <t>CHARTS FOR ANALYSIS SUMMARY TAB</t>
  </si>
  <si>
    <t>Annual Payments</t>
  </si>
  <si>
    <t>Input address for Analysis Summary tab</t>
  </si>
  <si>
    <t>Total Loan Duration</t>
  </si>
  <si>
    <t>Interest Only Duration</t>
  </si>
  <si>
    <t>Loan Duration</t>
  </si>
  <si>
    <t>Sum</t>
  </si>
  <si>
    <t>Gross Profit</t>
  </si>
  <si>
    <t>Net Profit</t>
  </si>
  <si>
    <t>Yr 1 Market Value / After Repair Value (ARV)</t>
  </si>
  <si>
    <t>Purchasing Costs</t>
  </si>
  <si>
    <t>DSCR</t>
  </si>
  <si>
    <t>LTV</t>
  </si>
  <si>
    <t>LTC</t>
  </si>
  <si>
    <t>Loan Balance</t>
  </si>
  <si>
    <t>Annual Payment</t>
  </si>
  <si>
    <t>&lt;-- Toggle between Principal &amp; Interest Loan and Interest Only Loan</t>
  </si>
  <si>
    <t>DASHBOARD NUMBERS FOR ANALYSIS SUMMARY TAB</t>
  </si>
  <si>
    <t>Cumulative
Interest + Fees</t>
  </si>
  <si>
    <t>Cumulative
Principal</t>
  </si>
  <si>
    <t>CHARTS FOR ANALYSIS SUMMARY TAB (PG 2)</t>
  </si>
  <si>
    <t>Property and Equity Growth</t>
  </si>
  <si>
    <t>Equity Value</t>
  </si>
  <si>
    <t>Est. Property Value</t>
  </si>
  <si>
    <t>Est. Equity Value</t>
  </si>
  <si>
    <t>Estimated
Property Value</t>
  </si>
  <si>
    <t>Estimated
Equity Value</t>
  </si>
  <si>
    <t>Debt Service
Coverage Ratio</t>
  </si>
  <si>
    <t>Loan To Value
Ratio</t>
  </si>
  <si>
    <t>Loan To Cost
Ratio</t>
  </si>
  <si>
    <t>Cumulative Cash Flow</t>
  </si>
  <si>
    <t>Annual Operating Income/Total Purchase Price</t>
  </si>
  <si>
    <t>After Tax Cash Flow/Debt Service</t>
  </si>
  <si>
    <t>Loan Balance/Est. Property Value</t>
  </si>
  <si>
    <t>Loan Balance/Purchase Price</t>
  </si>
  <si>
    <t>(Net Profit/Est. Equity Value)/Holding Period</t>
  </si>
  <si>
    <t>(Net Profit/Purchasing Costs Required)/Holding Period</t>
  </si>
  <si>
    <t>Property Value less Purchasing Costs</t>
  </si>
  <si>
    <t>Gross Profit less Cumulative Cash Flow</t>
  </si>
  <si>
    <t>(Gross Profit/Purchasing Costs Required)/Holding Period</t>
  </si>
  <si>
    <t>(Gross Profit/Est. Equity Value)/Holding Period</t>
  </si>
  <si>
    <t>Year 1</t>
  </si>
  <si>
    <t>Total Rental Income</t>
  </si>
  <si>
    <t>Gross Profit After Sale
(excl. Cash Flow)</t>
  </si>
  <si>
    <t>Net Profit After Sale
(incl. Cash Flow)</t>
  </si>
  <si>
    <t>Gross Profit After Sale</t>
  </si>
  <si>
    <t>Net Profit After Sale</t>
  </si>
  <si>
    <t>Cash on Cash Return</t>
  </si>
  <si>
    <t>After Tax</t>
  </si>
  <si>
    <t>Before Tax</t>
  </si>
  <si>
    <t>Yield on Cost</t>
  </si>
  <si>
    <t>Yield on Value</t>
  </si>
  <si>
    <t>Year 1 Before Tax</t>
  </si>
  <si>
    <t>Year 1 After Tax</t>
  </si>
  <si>
    <t>Annual Before Tax Cash Flow/Purchasing Costs</t>
  </si>
  <si>
    <t>Annual Before Tax Cash Flow/Total Purchase Price</t>
  </si>
  <si>
    <t>Annual Before Tax Cash Flow/Est. Property Value</t>
  </si>
  <si>
    <t>Annual Before Tax Cash Flow/Yr 1 Market Value or ARV</t>
  </si>
  <si>
    <t>Annual After Tax Cash Flow/Purchasing Costs</t>
  </si>
  <si>
    <t>Annual After Tax Cash Flow/Total Purchase Price</t>
  </si>
  <si>
    <t>Annual After Tax Cash Flow/Yr 1 Market Value or ARV</t>
  </si>
  <si>
    <t>Annual After Tax Cash Flow/Est. Property Value</t>
  </si>
  <si>
    <t>CHARTS FOR ANALYSIS SUMMARY TAB (PG 3)</t>
  </si>
  <si>
    <t>Total Expenses</t>
  </si>
  <si>
    <t>Cash Flow</t>
  </si>
  <si>
    <t>Investment Performance (Before Tax)</t>
  </si>
  <si>
    <t>Debt Service Coverage Ratio</t>
  </si>
  <si>
    <t>Loan To Value Ratio</t>
  </si>
  <si>
    <t>Loan To Cost Ratio</t>
  </si>
  <si>
    <t>Metric</t>
  </si>
  <si>
    <t>Formula</t>
  </si>
  <si>
    <t>***  NOTE: INSERT/EDIT DATA IN LIGHT BROWN CELLS ONLY  ***</t>
  </si>
  <si>
    <t>Gross and Net Profit excludes Capital Gains Tax (CGT)</t>
  </si>
  <si>
    <t>CURRENTLY LISTED FOR SALE</t>
  </si>
  <si>
    <t>Property 1</t>
  </si>
  <si>
    <t>Property 2</t>
  </si>
  <si>
    <t>Property 3</t>
  </si>
  <si>
    <t>No. of Parking Spaces</t>
  </si>
  <si>
    <t>Listing Price</t>
  </si>
  <si>
    <t>Year Built</t>
  </si>
  <si>
    <t>Last Renovated</t>
  </si>
  <si>
    <t>Property Information</t>
  </si>
  <si>
    <t>Sale History</t>
  </si>
  <si>
    <t>Relative Score to Subject Property</t>
  </si>
  <si>
    <t>Property Condition</t>
  </si>
  <si>
    <t>Fixtures</t>
  </si>
  <si>
    <t>Other</t>
  </si>
  <si>
    <t>Website Link</t>
  </si>
  <si>
    <t>Notes</t>
  </si>
  <si>
    <t>Property 6</t>
  </si>
  <si>
    <t>Property 5</t>
  </si>
  <si>
    <t>Property 4</t>
  </si>
  <si>
    <t>Average</t>
  </si>
  <si>
    <t>Area Unit:</t>
  </si>
  <si>
    <t>www.samplewebsite.com</t>
  </si>
  <si>
    <t>www.samplewebsite2.com</t>
  </si>
  <si>
    <t>www.samplewebsite3.com</t>
  </si>
  <si>
    <t>www.samplewebsite4.com</t>
  </si>
  <si>
    <t>www.samplewebsite5.com</t>
  </si>
  <si>
    <t>www.samplewebsite6.com</t>
  </si>
  <si>
    <t>RECENTLY SOLD</t>
  </si>
  <si>
    <t>Last Sold Year</t>
  </si>
  <si>
    <t>Seems overpriced for the property condition and age</t>
  </si>
  <si>
    <t>CURRENTLY LISTED FOR RENT</t>
  </si>
  <si>
    <t>Rental Information</t>
  </si>
  <si>
    <t>Backyard needs some minor work</t>
  </si>
  <si>
    <t>Asking Rent (per week)</t>
  </si>
  <si>
    <t>Recently renovated pool in backyard</t>
  </si>
  <si>
    <t>Property interior looks dated</t>
  </si>
  <si>
    <t>Mortgage Insurance</t>
  </si>
  <si>
    <t>Loan Amortization Chart</t>
  </si>
  <si>
    <t>Gross Annualized ROI</t>
  </si>
  <si>
    <t>Net Annualized ROI</t>
  </si>
  <si>
    <t>Gross Annualized ROE</t>
  </si>
  <si>
    <t>Net Annualized ROE</t>
  </si>
  <si>
    <t>Gross Annualized
Return-on-Investment</t>
  </si>
  <si>
    <t>Net Annualized
Return-on-Investment</t>
  </si>
  <si>
    <t>Gross Annualized
Return-on-Equity</t>
  </si>
  <si>
    <t>Net Annualized
Return-on-Equity</t>
  </si>
  <si>
    <t>Capitalization Rate</t>
  </si>
  <si>
    <t>Capitalization
Rate</t>
  </si>
  <si>
    <t>AMORTIZATION SCHEDULE</t>
  </si>
  <si>
    <t>Depends on whether property requires new connection</t>
  </si>
  <si>
    <t>No.</t>
  </si>
  <si>
    <t>Sheet Name</t>
  </si>
  <si>
    <t>Description</t>
  </si>
  <si>
    <t>***  NOTE: THIS SHEET CONTAINS SOME KEY CALCULATIONS BEHIND THE WORKBOOK. PLEASE DO NOT EDIT OR SOME FORMULAS/CHARTS WILL BE BROKEN.  ***</t>
  </si>
  <si>
    <t>Inputs</t>
  </si>
  <si>
    <t>Analysis Summary</t>
  </si>
  <si>
    <t>Mortgage Calculators (By Month)</t>
  </si>
  <si>
    <t>Mortgage Calculators (By Year)</t>
  </si>
  <si>
    <t>Forecast (By Month)</t>
  </si>
  <si>
    <t>Forecast (By Year)</t>
  </si>
  <si>
    <t>Comparables</t>
  </si>
  <si>
    <t>Square Feet (sqft)</t>
  </si>
  <si>
    <t>See strata report/ask conveyancer to check</t>
  </si>
  <si>
    <t>Maximum 50 years</t>
  </si>
  <si>
    <t>Other Purchasing Costs 4</t>
  </si>
  <si>
    <t>Other Purchasing Costs 5</t>
  </si>
  <si>
    <t>Other Ongoing Costs 4</t>
  </si>
  <si>
    <t>Other Ongoing Costs 5</t>
  </si>
  <si>
    <t>Other Closing Costs 4</t>
  </si>
  <si>
    <t>Other Closing Costs 5</t>
  </si>
  <si>
    <t>NO</t>
  </si>
  <si>
    <t>4% Dubai Land department</t>
  </si>
  <si>
    <t>DLD Admin fee</t>
  </si>
  <si>
    <t>NOC</t>
  </si>
  <si>
    <t>Trustee Office fee</t>
  </si>
  <si>
    <t>Legal fees</t>
  </si>
  <si>
    <t>Mortgage registration fee 0.25%</t>
  </si>
  <si>
    <t>The Lofts</t>
  </si>
  <si>
    <t>Service Charges</t>
  </si>
  <si>
    <t xml:space="preserve">Cumulative Cash Flow
</t>
  </si>
  <si>
    <t xml:space="preserve">Input the loan duration </t>
  </si>
  <si>
    <t xml:space="preserve">Alternatively, get a Defect &amp; Handover inspection for new builds </t>
  </si>
  <si>
    <t xml:space="preserve">Input valuation fee if you paid for one </t>
  </si>
  <si>
    <t>Registration of Discharge, Registration and Transfers</t>
  </si>
  <si>
    <t>NOC Paid to the developer</t>
  </si>
  <si>
    <t>The DLD Admin fee</t>
  </si>
  <si>
    <t>If property needs renovation work/maintenance</t>
  </si>
  <si>
    <t>If you need to furnish it i.e for holiday homes</t>
  </si>
  <si>
    <t>Fee to rent it out</t>
  </si>
  <si>
    <t>Your agency commission fee usually 2%</t>
  </si>
  <si>
    <t>Trustee office fee</t>
  </si>
  <si>
    <t>Miscellanous</t>
  </si>
  <si>
    <t>Other Misc 2</t>
  </si>
  <si>
    <t>Depends if tenant is paying/ sometimes chiller is on the landlord/holiday homes</t>
  </si>
  <si>
    <t>Any home insurance fees</t>
  </si>
  <si>
    <t>insured furniture if holiday homes or other home insurance</t>
  </si>
  <si>
    <t>no property is always 100% rented, have a provision for vacancy</t>
  </si>
  <si>
    <t>Any provision for ongoing maintenance</t>
  </si>
  <si>
    <t>If you give your property for property management or holiday home company</t>
  </si>
  <si>
    <t>Other Maintenance misc</t>
  </si>
  <si>
    <t>Any related fees</t>
  </si>
  <si>
    <t>Usually agreed with the broker</t>
  </si>
  <si>
    <t>Input Address</t>
  </si>
  <si>
    <t>input any valuable notes</t>
  </si>
  <si>
    <t>This is a tool that I crafted to streamline the assessment and analysis of real estate investments</t>
  </si>
  <si>
    <t>It evaluates key factors like rental revenue, property value appreciation, and expenses related to buying, maintaining, and selling, helping you gauge the viability and returns of a potential investment.</t>
  </si>
  <si>
    <t>The workbook comes equipped with essential features such as a detailed analysis overview, mortgage calculation tools, financial projection models, and a section for researching comparable properties.</t>
  </si>
  <si>
    <t>this versatile tool can also be easily tailored to assess Airbnb rental opportunities.</t>
  </si>
  <si>
    <t>Important Note: The cells are unlocked for flexibility, so please input or modify data only in the cells highlighted in LIGHT BROWN</t>
  </si>
  <si>
    <t>You’ll find links to the relevant spreadsheet in the table below for easy access:</t>
  </si>
  <si>
    <t>Enter the primary inputs and assumptions on this sheet, and they will automatically populate throughout the entire workbook.
It also features a concise summary table, providing a clear, at-a-glance view of how adjustments to the assumptions impact the overall deal.</t>
  </si>
  <si>
    <t>Easy-to-print dashboards that showcase essential metrics and insightful charts, helping you clearly visualize the investment opportunity.
Switch effortlessly between a Principal &amp; Interest Loan and an Interest Only Loan with a simple toggle.</t>
  </si>
  <si>
    <t>Features a detailed Amortization Schedule for both Principal &amp; Interest and Interest Only Loans, calculated on a monthly basis.
Additionally, it offers a mortgage comparison tool to easily evaluate two different financing scenarios side by side.</t>
  </si>
  <si>
    <t>Features a detailed Amortization Schedule for both Principal &amp; Interest and Interest Only Loans, calculated on a Yearly basis.
Additionally, it offers a mortgage comparison tool to easily evaluate two different financing scenarios side by side.</t>
  </si>
  <si>
    <t>Monthly forecast of the investment’s performance, factoring in rental revenue, property value appreciation, and expenses related to buying, maintaining, and selling throughout the mortgage term.
It incorporates  cash flows, as well as gross and net profits for a complete financial overview.</t>
  </si>
  <si>
    <t>Yearly forecast of the investment’s performance, factoring in rental revenue, property value appreciation, and expenses related to buying, maintaining, and selling throughout the mortgage term.
It incorporates  cash flows, as well as gross and net profits for a complete financial overview.</t>
  </si>
  <si>
    <t>For any notes</t>
  </si>
  <si>
    <t>User-friendly tool designed to evaluate comparable properties, both currently listed and recently sold, within the surrounding area.
It also provides rental price comparisons for a well-rounded analysis.</t>
  </si>
  <si>
    <t>If you have any questions or feedback, please do not hesitate to message me on whatsapp +971 52 860 2947</t>
  </si>
  <si>
    <t xml:space="preserve">I also provide help with analysing any of your investment and provide consultation on wether a property is a worthwile investment, feel free to reach out anytime! </t>
  </si>
  <si>
    <t xml:space="preserve">Investment Tool </t>
  </si>
  <si>
    <t>If you have questions or need consultation feel free to reach out on whatsapp +971 52 8602947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</si>
</sst>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5" formatCode="&quot;AED&quot;#,##0;\-&quot;AED&quot;#,##0"/>
    <numFmt numFmtId="7" formatCode="&quot;AED&quot;#,##0.00;\-&quot;AED&quot;#,##0.00"/>
    <numFmt numFmtId="8" formatCode="&quot;AED&quot;#,##0.00;[Red]\-&quot;AED&quot;#,##0.00"/>
    <numFmt numFmtId="164" formatCode="&quot;$&quot;#,##0;[Red]\-&quot;$&quot;#,##0"/>
    <numFmt numFmtId="165" formatCode="&quot;$&quot;#,##0.00;[Red]\-&quot;$&quot;#,##0.00"/>
    <numFmt numFmtId="166" formatCode="0.0%"/>
    <numFmt numFmtId="167" formatCode="&quot;$&quot;#,##0"/>
    <numFmt numFmtId="168" formatCode="0.000%"/>
    <numFmt numFmtId="169" formatCode="&quot;$&quot;#,##0.00"/>
    <numFmt numFmtId="170" formatCode="0.0%&quot; of total income&quot;;[Red]\-0.0%&quot; of total income&quot;"/>
    <numFmt numFmtId="171" formatCode="#,##0.0&quot; years&quot;"/>
    <numFmt numFmtId="172" formatCode="0&quot; years&quot;"/>
    <numFmt numFmtId="173" formatCode="#,##0;\-#,##0;&quot;-&quot;"/>
    <numFmt numFmtId="174" formatCode="0;\-0;&quot;-&quot;"/>
    <numFmt numFmtId="175" formatCode="#,##0.0;\-#,##0.0;&quot;-&quot;"/>
    <numFmt numFmtId="176" formatCode="&quot;AED&quot;#,##0"/>
    <numFmt numFmtId="177" formatCode="&quot;AED&quot;#,##0.00"/>
    <numFmt numFmtId="178" formatCode="&quot;AED&quot;#,##0;\-&quot;AED&quot;#,##0;&quot;-&quot;"/>
  </numFmts>
  <fonts count="23" x14ac:knownFonts="1">
    <font>
      <sz val="11"/>
      <color theme="1"/>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i/>
      <sz val="11"/>
      <color theme="1"/>
      <name val="Calibri"/>
      <family val="2"/>
      <scheme val="minor"/>
    </font>
    <font>
      <sz val="11"/>
      <name val="Calibri"/>
      <family val="2"/>
      <scheme val="minor"/>
    </font>
    <font>
      <b/>
      <sz val="11"/>
      <color theme="0"/>
      <name val="Calibri"/>
      <family val="2"/>
      <scheme val="minor"/>
    </font>
    <font>
      <sz val="11"/>
      <color theme="1"/>
      <name val="Calibri"/>
      <family val="2"/>
      <scheme val="minor"/>
    </font>
    <font>
      <u/>
      <sz val="11"/>
      <color theme="10"/>
      <name val="Calibri"/>
      <family val="2"/>
      <scheme val="minor"/>
    </font>
    <font>
      <sz val="9"/>
      <color indexed="81"/>
      <name val="Tahoma"/>
      <family val="2"/>
    </font>
    <font>
      <b/>
      <sz val="9"/>
      <color indexed="81"/>
      <name val="Tahoma"/>
      <family val="2"/>
    </font>
    <font>
      <b/>
      <sz val="11"/>
      <name val="Calibri"/>
      <family val="2"/>
      <scheme val="minor"/>
    </font>
    <font>
      <sz val="8"/>
      <name val="Calibri"/>
      <family val="2"/>
      <scheme val="minor"/>
    </font>
    <font>
      <b/>
      <sz val="12"/>
      <color theme="0"/>
      <name val="Calibri"/>
      <family val="2"/>
      <scheme val="minor"/>
    </font>
    <font>
      <i/>
      <sz val="10"/>
      <color theme="0"/>
      <name val="Calibri"/>
      <family val="2"/>
      <scheme val="minor"/>
    </font>
    <font>
      <b/>
      <i/>
      <sz val="11"/>
      <name val="Calibri"/>
      <family val="2"/>
      <scheme val="minor"/>
    </font>
    <font>
      <b/>
      <sz val="15"/>
      <color theme="0"/>
      <name val="Calibri"/>
      <family val="2"/>
      <scheme val="minor"/>
    </font>
    <font>
      <sz val="11"/>
      <color theme="0" tint="-0.249977111117893"/>
      <name val="Calibri"/>
      <family val="2"/>
      <scheme val="minor"/>
    </font>
    <font>
      <b/>
      <sz val="20"/>
      <color theme="5"/>
      <name val="Calibri"/>
      <family val="2"/>
      <scheme val="minor"/>
    </font>
    <font>
      <b/>
      <sz val="20"/>
      <color theme="4"/>
      <name val="Calibri"/>
      <family val="2"/>
      <scheme val="minor"/>
    </font>
    <font>
      <b/>
      <i/>
      <sz val="11"/>
      <color theme="1"/>
      <name val="Calibri"/>
      <family val="2"/>
      <scheme val="minor"/>
    </font>
    <font>
      <i/>
      <u/>
      <sz val="11"/>
      <color theme="10"/>
      <name val="Calibri"/>
      <family val="2"/>
      <scheme val="minor"/>
    </font>
    <font>
      <b/>
      <sz val="22"/>
      <color theme="0"/>
      <name val="Calibri"/>
      <family val="2"/>
      <scheme val="minor"/>
    </font>
  </fonts>
  <fills count="7">
    <fill>
      <patternFill patternType="none"/>
    </fill>
    <fill>
      <patternFill patternType="gray125"/>
    </fill>
    <fill>
      <patternFill patternType="solid">
        <fgColor theme="4"/>
        <bgColor indexed="64"/>
      </patternFill>
    </fill>
    <fill>
      <patternFill patternType="solid">
        <fgColor theme="6" tint="0.59999389629810485"/>
        <bgColor indexed="64"/>
      </patternFill>
    </fill>
    <fill>
      <patternFill patternType="solid">
        <fgColor theme="2" tint="0.59999389629810485"/>
        <bgColor indexed="64"/>
      </patternFill>
    </fill>
    <fill>
      <patternFill patternType="solid">
        <fgColor theme="3"/>
        <bgColor indexed="64"/>
      </patternFill>
    </fill>
    <fill>
      <patternFill patternType="solid">
        <fgColor theme="2" tint="0.79998168889431442"/>
        <bgColor indexed="64"/>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right style="dotted">
        <color indexed="64"/>
      </right>
      <top/>
      <bottom/>
      <diagonal/>
    </border>
    <border>
      <left style="dotted">
        <color indexed="64"/>
      </left>
      <right style="dotted">
        <color indexed="64"/>
      </right>
      <top/>
      <bottom/>
      <diagonal/>
    </border>
  </borders>
  <cellStyleXfs count="3">
    <xf numFmtId="0" fontId="0" fillId="0" borderId="0"/>
    <xf numFmtId="9" fontId="7" fillId="0" borderId="0" applyFont="0" applyFill="0" applyBorder="0" applyAlignment="0" applyProtection="0"/>
    <xf numFmtId="0" fontId="8" fillId="0" borderId="0" applyNumberFormat="0" applyFill="0" applyBorder="0" applyAlignment="0" applyProtection="0"/>
  </cellStyleXfs>
  <cellXfs count="166">
    <xf numFmtId="0" fontId="0" fillId="0" borderId="0" xfId="0"/>
    <xf numFmtId="0" fontId="0" fillId="0" borderId="0" xfId="0" applyAlignment="1">
      <alignment horizontal="left"/>
    </xf>
    <xf numFmtId="0" fontId="1" fillId="0" borderId="0" xfId="0" applyFont="1"/>
    <xf numFmtId="166" fontId="0" fillId="0" borderId="0" xfId="0" applyNumberFormat="1"/>
    <xf numFmtId="10" fontId="0" fillId="0" borderId="0" xfId="0" applyNumberFormat="1"/>
    <xf numFmtId="9" fontId="0" fillId="0" borderId="0" xfId="0" applyNumberFormat="1"/>
    <xf numFmtId="164" fontId="0" fillId="0" borderId="0" xfId="0" applyNumberFormat="1"/>
    <xf numFmtId="0" fontId="3" fillId="0" borderId="0" xfId="0" applyFont="1"/>
    <xf numFmtId="167" fontId="0" fillId="0" borderId="0" xfId="0" applyNumberFormat="1"/>
    <xf numFmtId="168" fontId="0" fillId="0" borderId="0" xfId="0" applyNumberFormat="1"/>
    <xf numFmtId="169" fontId="0" fillId="0" borderId="0" xfId="0" applyNumberFormat="1"/>
    <xf numFmtId="165" fontId="0" fillId="0" borderId="0" xfId="0" applyNumberFormat="1"/>
    <xf numFmtId="0" fontId="0" fillId="0" borderId="0" xfId="0" applyAlignment="1">
      <alignment horizontal="center"/>
    </xf>
    <xf numFmtId="0" fontId="3" fillId="0" borderId="1" xfId="0" applyFont="1" applyBorder="1"/>
    <xf numFmtId="0" fontId="0" fillId="0" borderId="2" xfId="0" applyBorder="1"/>
    <xf numFmtId="0" fontId="0" fillId="0" borderId="3" xfId="0" applyBorder="1"/>
    <xf numFmtId="0" fontId="1" fillId="0" borderId="4" xfId="0" applyFont="1" applyBorder="1"/>
    <xf numFmtId="0" fontId="0" fillId="0" borderId="5" xfId="0" applyBorder="1"/>
    <xf numFmtId="0" fontId="0" fillId="0" borderId="4" xfId="0" applyBorder="1"/>
    <xf numFmtId="0" fontId="0" fillId="0" borderId="6" xfId="0" applyBorder="1"/>
    <xf numFmtId="164" fontId="0" fillId="0" borderId="7" xfId="0" applyNumberFormat="1" applyBorder="1"/>
    <xf numFmtId="167" fontId="0" fillId="0" borderId="7" xfId="0" applyNumberFormat="1" applyBorder="1"/>
    <xf numFmtId="0" fontId="0" fillId="0" borderId="8" xfId="0" applyBorder="1"/>
    <xf numFmtId="0" fontId="0" fillId="0" borderId="7" xfId="0" applyBorder="1"/>
    <xf numFmtId="0" fontId="4" fillId="0" borderId="0" xfId="0" applyFont="1"/>
    <xf numFmtId="0" fontId="1" fillId="0" borderId="1" xfId="0" applyFont="1" applyBorder="1"/>
    <xf numFmtId="0" fontId="0" fillId="0" borderId="0" xfId="0" applyAlignment="1">
      <alignment horizontal="right"/>
    </xf>
    <xf numFmtId="170" fontId="0" fillId="0" borderId="0" xfId="0" applyNumberFormat="1" applyAlignment="1">
      <alignment horizontal="left"/>
    </xf>
    <xf numFmtId="0" fontId="2" fillId="0" borderId="0" xfId="0" applyFont="1"/>
    <xf numFmtId="9" fontId="0" fillId="0" borderId="0" xfId="1" applyFont="1"/>
    <xf numFmtId="0" fontId="0" fillId="0" borderId="0" xfId="0" applyAlignment="1">
      <alignment wrapText="1"/>
    </xf>
    <xf numFmtId="9" fontId="0" fillId="0" borderId="0" xfId="1" applyFont="1" applyAlignment="1">
      <alignment horizontal="right"/>
    </xf>
    <xf numFmtId="167" fontId="0" fillId="0" borderId="0" xfId="0" applyNumberFormat="1" applyAlignment="1">
      <alignment horizontal="right"/>
    </xf>
    <xf numFmtId="0" fontId="6" fillId="0" borderId="0" xfId="0" applyFont="1"/>
    <xf numFmtId="0" fontId="1" fillId="0" borderId="9" xfId="0" applyFont="1" applyBorder="1"/>
    <xf numFmtId="166" fontId="0" fillId="0" borderId="0" xfId="1" applyNumberFormat="1" applyFont="1" applyAlignment="1">
      <alignment horizontal="right"/>
    </xf>
    <xf numFmtId="10" fontId="0" fillId="0" borderId="0" xfId="0" applyNumberFormat="1" applyAlignment="1">
      <alignment horizontal="right"/>
    </xf>
    <xf numFmtId="168" fontId="0" fillId="0" borderId="0" xfId="0" applyNumberFormat="1" applyAlignment="1">
      <alignment horizontal="right"/>
    </xf>
    <xf numFmtId="9" fontId="0" fillId="0" borderId="3" xfId="0" applyNumberFormat="1" applyBorder="1"/>
    <xf numFmtId="164" fontId="0" fillId="0" borderId="5" xfId="0" applyNumberFormat="1" applyBorder="1"/>
    <xf numFmtId="164" fontId="0" fillId="0" borderId="8" xfId="0" applyNumberFormat="1" applyBorder="1"/>
    <xf numFmtId="0" fontId="6" fillId="2" borderId="0" xfId="0" applyFont="1" applyFill="1" applyAlignment="1">
      <alignment horizontal="center" vertical="center"/>
    </xf>
    <xf numFmtId="0" fontId="6" fillId="2" borderId="0" xfId="0" applyFont="1" applyFill="1" applyAlignment="1">
      <alignment horizontal="center" vertical="center" wrapText="1"/>
    </xf>
    <xf numFmtId="0" fontId="0" fillId="3" borderId="0" xfId="0" applyFill="1"/>
    <xf numFmtId="0" fontId="0" fillId="4" borderId="0" xfId="0" applyFill="1"/>
    <xf numFmtId="10" fontId="0" fillId="3" borderId="0" xfId="0" applyNumberFormat="1" applyFill="1"/>
    <xf numFmtId="0" fontId="6" fillId="2" borderId="0" xfId="0" applyFont="1" applyFill="1"/>
    <xf numFmtId="166" fontId="0" fillId="3" borderId="0" xfId="0" applyNumberFormat="1" applyFill="1"/>
    <xf numFmtId="166" fontId="0" fillId="3" borderId="0" xfId="1" applyNumberFormat="1" applyFont="1" applyFill="1"/>
    <xf numFmtId="10" fontId="0" fillId="3" borderId="0" xfId="0" applyNumberFormat="1" applyFill="1" applyAlignment="1">
      <alignment horizontal="right"/>
    </xf>
    <xf numFmtId="0" fontId="0" fillId="3" borderId="0" xfId="0" applyFill="1" applyAlignment="1">
      <alignment horizontal="right"/>
    </xf>
    <xf numFmtId="0" fontId="1" fillId="3" borderId="0" xfId="0" applyFont="1" applyFill="1"/>
    <xf numFmtId="168" fontId="0" fillId="3" borderId="0" xfId="0" applyNumberFormat="1" applyFill="1"/>
    <xf numFmtId="0" fontId="6" fillId="2" borderId="0" xfId="0" applyFont="1" applyFill="1" applyAlignment="1">
      <alignment horizontal="center"/>
    </xf>
    <xf numFmtId="0" fontId="2" fillId="2" borderId="0" xfId="0" applyFont="1" applyFill="1"/>
    <xf numFmtId="165" fontId="6" fillId="2" borderId="0" xfId="0" applyNumberFormat="1" applyFont="1" applyFill="1"/>
    <xf numFmtId="171" fontId="0" fillId="0" borderId="0" xfId="0" applyNumberFormat="1"/>
    <xf numFmtId="167" fontId="2" fillId="0" borderId="0" xfId="0" applyNumberFormat="1" applyFont="1"/>
    <xf numFmtId="0" fontId="5" fillId="0" borderId="4" xfId="0" applyFont="1" applyBorder="1"/>
    <xf numFmtId="0" fontId="5" fillId="0" borderId="5" xfId="0" applyFont="1" applyBorder="1" applyAlignment="1">
      <alignment horizontal="center"/>
    </xf>
    <xf numFmtId="0" fontId="5" fillId="0" borderId="6" xfId="0" applyFont="1" applyBorder="1"/>
    <xf numFmtId="0" fontId="5" fillId="0" borderId="8" xfId="0" applyFont="1" applyBorder="1" applyAlignment="1">
      <alignment horizontal="center"/>
    </xf>
    <xf numFmtId="0" fontId="11" fillId="0" borderId="4" xfId="0" applyFont="1" applyBorder="1"/>
    <xf numFmtId="0" fontId="11" fillId="0" borderId="5" xfId="0" applyFont="1" applyBorder="1" applyAlignment="1">
      <alignment horizontal="center"/>
    </xf>
    <xf numFmtId="0" fontId="13" fillId="2" borderId="0" xfId="0" applyFont="1" applyFill="1"/>
    <xf numFmtId="0" fontId="2" fillId="2" borderId="0" xfId="0" applyFont="1" applyFill="1" applyAlignment="1">
      <alignment wrapText="1"/>
    </xf>
    <xf numFmtId="0" fontId="14" fillId="2" borderId="0" xfId="0" applyFont="1" applyFill="1" applyAlignment="1">
      <alignment vertical="center"/>
    </xf>
    <xf numFmtId="0" fontId="11" fillId="4" borderId="9" xfId="0" applyFont="1" applyFill="1" applyBorder="1"/>
    <xf numFmtId="167" fontId="11" fillId="4" borderId="9" xfId="0" applyNumberFormat="1" applyFont="1" applyFill="1" applyBorder="1"/>
    <xf numFmtId="0" fontId="11" fillId="4" borderId="0" xfId="0" applyFont="1" applyFill="1"/>
    <xf numFmtId="167" fontId="11" fillId="4" borderId="0" xfId="0" applyNumberFormat="1" applyFont="1" applyFill="1"/>
    <xf numFmtId="167" fontId="15" fillId="4" borderId="9" xfId="0" applyNumberFormat="1" applyFont="1" applyFill="1" applyBorder="1"/>
    <xf numFmtId="0" fontId="11" fillId="0" borderId="0" xfId="0" applyFont="1"/>
    <xf numFmtId="0" fontId="5" fillId="0" borderId="0" xfId="0" applyFont="1"/>
    <xf numFmtId="0" fontId="6" fillId="2" borderId="0" xfId="0" applyFont="1" applyFill="1" applyAlignment="1">
      <alignment horizontal="center" wrapText="1"/>
    </xf>
    <xf numFmtId="0" fontId="0" fillId="0" borderId="4" xfId="0" applyBorder="1" applyAlignment="1">
      <alignment horizontal="center" vertical="center"/>
    </xf>
    <xf numFmtId="0" fontId="0" fillId="0" borderId="4" xfId="0" applyBorder="1" applyAlignment="1">
      <alignment horizontal="center"/>
    </xf>
    <xf numFmtId="0" fontId="0" fillId="0" borderId="6" xfId="0" applyBorder="1" applyAlignment="1">
      <alignment horizontal="center"/>
    </xf>
    <xf numFmtId="0" fontId="0" fillId="0" borderId="0" xfId="0" applyAlignment="1">
      <alignment horizontal="center" vertical="center" wrapText="1"/>
    </xf>
    <xf numFmtId="0" fontId="0" fillId="0" borderId="0" xfId="0" applyAlignment="1">
      <alignment vertical="center" wrapText="1"/>
    </xf>
    <xf numFmtId="0" fontId="0" fillId="0" borderId="7" xfId="0" applyBorder="1" applyAlignment="1">
      <alignment horizontal="center"/>
    </xf>
    <xf numFmtId="0" fontId="5" fillId="3" borderId="0" xfId="0" applyFont="1" applyFill="1" applyAlignment="1">
      <alignment horizontal="left"/>
    </xf>
    <xf numFmtId="0" fontId="5" fillId="0" borderId="0" xfId="0" applyFont="1" applyAlignment="1">
      <alignment horizontal="center"/>
    </xf>
    <xf numFmtId="0" fontId="6" fillId="5" borderId="0" xfId="0" applyFont="1" applyFill="1"/>
    <xf numFmtId="0" fontId="16" fillId="5" borderId="0" xfId="0" applyFont="1" applyFill="1"/>
    <xf numFmtId="172" fontId="0" fillId="0" borderId="0" xfId="0" applyNumberFormat="1" applyAlignment="1">
      <alignment horizontal="right"/>
    </xf>
    <xf numFmtId="0" fontId="17" fillId="0" borderId="0" xfId="0" applyFont="1"/>
    <xf numFmtId="1" fontId="0" fillId="3" borderId="0" xfId="0" applyNumberFormat="1" applyFill="1"/>
    <xf numFmtId="172" fontId="0" fillId="0" borderId="0" xfId="0" applyNumberFormat="1"/>
    <xf numFmtId="0" fontId="6" fillId="2" borderId="0" xfId="0" applyFont="1" applyFill="1" applyAlignment="1">
      <alignment horizontal="left"/>
    </xf>
    <xf numFmtId="9" fontId="0" fillId="0" borderId="7" xfId="1" applyFont="1" applyBorder="1"/>
    <xf numFmtId="9" fontId="0" fillId="0" borderId="0" xfId="1" applyFont="1" applyBorder="1"/>
    <xf numFmtId="0" fontId="11" fillId="3" borderId="0" xfId="0" applyFont="1" applyFill="1"/>
    <xf numFmtId="166" fontId="0" fillId="0" borderId="0" xfId="1" applyNumberFormat="1" applyFont="1"/>
    <xf numFmtId="0" fontId="0" fillId="2" borderId="0" xfId="0" applyFill="1"/>
    <xf numFmtId="2" fontId="0" fillId="0" borderId="0" xfId="0" applyNumberFormat="1"/>
    <xf numFmtId="0" fontId="1" fillId="4" borderId="0" xfId="0" applyFont="1" applyFill="1"/>
    <xf numFmtId="166" fontId="0" fillId="0" borderId="0" xfId="1" applyNumberFormat="1" applyFont="1" applyBorder="1"/>
    <xf numFmtId="166" fontId="0" fillId="0" borderId="7" xfId="1" applyNumberFormat="1" applyFont="1" applyBorder="1"/>
    <xf numFmtId="2" fontId="0" fillId="0" borderId="0" xfId="1" applyNumberFormat="1" applyFont="1" applyBorder="1"/>
    <xf numFmtId="0" fontId="0" fillId="0" borderId="0" xfId="0" applyAlignment="1">
      <alignment vertical="center"/>
    </xf>
    <xf numFmtId="0" fontId="0" fillId="3" borderId="0" xfId="0" applyFill="1" applyAlignment="1">
      <alignment vertical="center"/>
    </xf>
    <xf numFmtId="0" fontId="1" fillId="0" borderId="10" xfId="0" applyFont="1" applyBorder="1" applyAlignment="1">
      <alignment vertical="center"/>
    </xf>
    <xf numFmtId="0" fontId="0" fillId="0" borderId="10" xfId="0" applyBorder="1" applyAlignment="1">
      <alignment vertical="center"/>
    </xf>
    <xf numFmtId="49" fontId="0" fillId="3" borderId="10" xfId="0" applyNumberFormat="1" applyFill="1" applyBorder="1" applyAlignment="1">
      <alignment vertical="center"/>
    </xf>
    <xf numFmtId="173" fontId="0" fillId="3" borderId="10" xfId="0" applyNumberFormat="1" applyFill="1" applyBorder="1" applyAlignment="1">
      <alignment horizontal="center" vertical="center"/>
    </xf>
    <xf numFmtId="174" fontId="0" fillId="3" borderId="10" xfId="0" applyNumberFormat="1" applyFill="1" applyBorder="1" applyAlignment="1">
      <alignment horizontal="center" vertical="center"/>
    </xf>
    <xf numFmtId="0" fontId="0" fillId="0" borderId="10" xfId="0" applyBorder="1" applyAlignment="1">
      <alignment horizontal="center" vertical="center"/>
    </xf>
    <xf numFmtId="175" fontId="0" fillId="3" borderId="10" xfId="0" applyNumberFormat="1" applyFill="1" applyBorder="1" applyAlignment="1">
      <alignment horizontal="center" vertical="center"/>
    </xf>
    <xf numFmtId="0" fontId="8" fillId="3" borderId="10" xfId="2" applyFill="1" applyBorder="1" applyAlignment="1">
      <alignment vertical="center"/>
    </xf>
    <xf numFmtId="0" fontId="0" fillId="3" borderId="10" xfId="0" applyFill="1" applyBorder="1" applyAlignment="1">
      <alignment vertical="top" wrapText="1"/>
    </xf>
    <xf numFmtId="0" fontId="0" fillId="0" borderId="10" xfId="0" applyBorder="1" applyAlignment="1">
      <alignment vertical="top"/>
    </xf>
    <xf numFmtId="0" fontId="20" fillId="0" borderId="11" xfId="0" applyFont="1" applyBorder="1" applyAlignment="1">
      <alignment vertical="center"/>
    </xf>
    <xf numFmtId="0" fontId="4" fillId="0" borderId="11" xfId="0" applyFont="1" applyBorder="1" applyAlignment="1">
      <alignment vertical="center"/>
    </xf>
    <xf numFmtId="49" fontId="4" fillId="0" borderId="11" xfId="0" applyNumberFormat="1" applyFont="1" applyBorder="1" applyAlignment="1">
      <alignment vertical="center"/>
    </xf>
    <xf numFmtId="173" fontId="4" fillId="0" borderId="11" xfId="0" applyNumberFormat="1" applyFont="1" applyBorder="1" applyAlignment="1">
      <alignment horizontal="center" vertical="center"/>
    </xf>
    <xf numFmtId="174" fontId="4" fillId="0" borderId="11" xfId="0" applyNumberFormat="1" applyFont="1" applyBorder="1" applyAlignment="1">
      <alignment horizontal="center" vertical="center"/>
    </xf>
    <xf numFmtId="0" fontId="4" fillId="0" borderId="11" xfId="0" applyFont="1" applyBorder="1" applyAlignment="1">
      <alignment horizontal="center" vertical="center"/>
    </xf>
    <xf numFmtId="175" fontId="4" fillId="0" borderId="11" xfId="0" applyNumberFormat="1" applyFont="1" applyBorder="1" applyAlignment="1">
      <alignment horizontal="center" vertical="center"/>
    </xf>
    <xf numFmtId="0" fontId="21" fillId="0" borderId="11" xfId="2" applyFont="1" applyFill="1" applyBorder="1" applyAlignment="1">
      <alignment vertical="center"/>
    </xf>
    <xf numFmtId="0" fontId="4" fillId="0" borderId="11" xfId="0" applyFont="1" applyBorder="1" applyAlignment="1">
      <alignment vertical="top" wrapText="1"/>
    </xf>
    <xf numFmtId="0" fontId="13" fillId="2" borderId="0" xfId="0" applyFont="1" applyFill="1" applyAlignment="1">
      <alignment horizontal="center" vertical="center"/>
    </xf>
    <xf numFmtId="0" fontId="1" fillId="0" borderId="0" xfId="0" applyFont="1" applyAlignment="1">
      <alignment horizontal="left"/>
    </xf>
    <xf numFmtId="0" fontId="13" fillId="2" borderId="0" xfId="0" applyFont="1" applyFill="1" applyAlignment="1">
      <alignment vertical="center"/>
    </xf>
    <xf numFmtId="0" fontId="0" fillId="6" borderId="0" xfId="0" applyFill="1" applyAlignment="1">
      <alignment horizontal="center" vertical="top"/>
    </xf>
    <xf numFmtId="0" fontId="8" fillId="6" borderId="0" xfId="2" applyFill="1" applyAlignment="1">
      <alignment vertical="top"/>
    </xf>
    <xf numFmtId="0" fontId="0" fillId="6" borderId="0" xfId="0" applyFill="1" applyAlignment="1">
      <alignment vertical="top" wrapText="1"/>
    </xf>
    <xf numFmtId="0" fontId="0" fillId="0" borderId="0" xfId="0" applyAlignment="1">
      <alignment horizontal="center" vertical="top"/>
    </xf>
    <xf numFmtId="0" fontId="8" fillId="0" borderId="0" xfId="2" applyFill="1" applyAlignment="1">
      <alignment vertical="top"/>
    </xf>
    <xf numFmtId="0" fontId="0" fillId="0" borderId="0" xfId="0" applyAlignment="1">
      <alignment vertical="top" wrapText="1"/>
    </xf>
    <xf numFmtId="176" fontId="0" fillId="3" borderId="0" xfId="0" applyNumberFormat="1" applyFill="1"/>
    <xf numFmtId="177" fontId="0" fillId="3" borderId="0" xfId="0" applyNumberFormat="1" applyFill="1"/>
    <xf numFmtId="176" fontId="0" fillId="0" borderId="0" xfId="0" applyNumberFormat="1"/>
    <xf numFmtId="176" fontId="11" fillId="4" borderId="9" xfId="0" applyNumberFormat="1" applyFont="1" applyFill="1" applyBorder="1"/>
    <xf numFmtId="176" fontId="11" fillId="4" borderId="0" xfId="0" applyNumberFormat="1" applyFont="1" applyFill="1"/>
    <xf numFmtId="176" fontId="15" fillId="4" borderId="9" xfId="0" applyNumberFormat="1" applyFont="1" applyFill="1" applyBorder="1"/>
    <xf numFmtId="176" fontId="0" fillId="0" borderId="0" xfId="0" applyNumberFormat="1" applyAlignment="1">
      <alignment horizontal="right"/>
    </xf>
    <xf numFmtId="177" fontId="0" fillId="0" borderId="0" xfId="0" applyNumberFormat="1" applyAlignment="1">
      <alignment horizontal="right"/>
    </xf>
    <xf numFmtId="7" fontId="0" fillId="0" borderId="0" xfId="0" applyNumberFormat="1" applyAlignment="1">
      <alignment horizontal="right"/>
    </xf>
    <xf numFmtId="5" fontId="0" fillId="0" borderId="0" xfId="0" applyNumberFormat="1" applyAlignment="1">
      <alignment horizontal="right"/>
    </xf>
    <xf numFmtId="177" fontId="0" fillId="0" borderId="0" xfId="0" applyNumberFormat="1"/>
    <xf numFmtId="39" fontId="0" fillId="0" borderId="0" xfId="0" applyNumberFormat="1" applyAlignment="1">
      <alignment horizontal="right"/>
    </xf>
    <xf numFmtId="5" fontId="0" fillId="0" borderId="0" xfId="0" applyNumberFormat="1"/>
    <xf numFmtId="8" fontId="6" fillId="2" borderId="0" xfId="0" applyNumberFormat="1" applyFont="1" applyFill="1" applyAlignment="1">
      <alignment horizontal="center"/>
    </xf>
    <xf numFmtId="5" fontId="0" fillId="3" borderId="0" xfId="0" applyNumberFormat="1" applyFill="1"/>
    <xf numFmtId="178" fontId="0" fillId="3" borderId="10" xfId="0" applyNumberFormat="1" applyFill="1" applyBorder="1" applyAlignment="1">
      <alignment horizontal="center" vertical="center"/>
    </xf>
    <xf numFmtId="178" fontId="4" fillId="0" borderId="11" xfId="0" applyNumberFormat="1" applyFont="1" applyBorder="1" applyAlignment="1">
      <alignment horizontal="center" vertical="center"/>
    </xf>
    <xf numFmtId="178" fontId="0" fillId="0" borderId="10" xfId="0" applyNumberFormat="1" applyBorder="1" applyAlignment="1">
      <alignment horizontal="center" vertical="center"/>
    </xf>
    <xf numFmtId="5" fontId="0" fillId="3" borderId="10" xfId="0" applyNumberFormat="1" applyFill="1" applyBorder="1" applyAlignment="1">
      <alignment horizontal="center" vertical="center"/>
    </xf>
    <xf numFmtId="5" fontId="4" fillId="0" borderId="11" xfId="0" applyNumberFormat="1" applyFont="1" applyBorder="1" applyAlignment="1">
      <alignment horizontal="center" vertical="center"/>
    </xf>
    <xf numFmtId="5" fontId="0" fillId="0" borderId="10" xfId="0" applyNumberFormat="1" applyBorder="1" applyAlignment="1">
      <alignment horizontal="center" vertical="center"/>
    </xf>
    <xf numFmtId="0" fontId="22" fillId="5" borderId="0" xfId="0" applyFont="1" applyFill="1" applyAlignment="1">
      <alignment horizontal="left"/>
    </xf>
    <xf numFmtId="0" fontId="0" fillId="0" borderId="0" xfId="0" applyAlignment="1">
      <alignment horizontal="left"/>
    </xf>
    <xf numFmtId="0" fontId="0" fillId="0" borderId="0" xfId="0" applyAlignment="1">
      <alignment horizontal="left" wrapText="1"/>
    </xf>
    <xf numFmtId="166" fontId="19" fillId="0" borderId="0" xfId="1" applyNumberFormat="1" applyFont="1" applyAlignment="1">
      <alignment horizontal="center" vertical="top"/>
    </xf>
    <xf numFmtId="2" fontId="18" fillId="0" borderId="0" xfId="0" applyNumberFormat="1" applyFont="1" applyAlignment="1">
      <alignment horizontal="center" vertical="top"/>
    </xf>
    <xf numFmtId="0" fontId="3" fillId="0" borderId="0" xfId="0" applyFont="1" applyAlignment="1">
      <alignment horizontal="center" vertical="center" wrapText="1"/>
    </xf>
    <xf numFmtId="0" fontId="3" fillId="0" borderId="0" xfId="0" applyFont="1" applyAlignment="1">
      <alignment horizontal="center" vertical="center"/>
    </xf>
    <xf numFmtId="166" fontId="18" fillId="0" borderId="0" xfId="1" applyNumberFormat="1" applyFont="1" applyAlignment="1">
      <alignment horizontal="center" vertical="top"/>
    </xf>
    <xf numFmtId="5" fontId="18" fillId="0" borderId="0" xfId="0" applyNumberFormat="1" applyFont="1" applyAlignment="1">
      <alignment horizontal="center" vertical="top"/>
    </xf>
    <xf numFmtId="5" fontId="19" fillId="0" borderId="0" xfId="0" applyNumberFormat="1" applyFont="1" applyAlignment="1">
      <alignment horizontal="center" vertical="top"/>
    </xf>
    <xf numFmtId="0" fontId="6" fillId="2" borderId="0" xfId="0" applyFont="1" applyFill="1" applyAlignment="1">
      <alignment horizontal="left"/>
    </xf>
    <xf numFmtId="5" fontId="1" fillId="0" borderId="0" xfId="0" applyNumberFormat="1" applyFont="1" applyAlignment="1">
      <alignment horizontal="right"/>
    </xf>
    <xf numFmtId="5" fontId="0" fillId="0" borderId="0" xfId="0" applyNumberFormat="1" applyAlignment="1">
      <alignment horizontal="right"/>
    </xf>
    <xf numFmtId="176" fontId="1" fillId="0" borderId="0" xfId="0" applyNumberFormat="1" applyFont="1" applyAlignment="1">
      <alignment horizontal="right"/>
    </xf>
    <xf numFmtId="0" fontId="13" fillId="2" borderId="0" xfId="0" applyFont="1" applyFill="1" applyAlignment="1">
      <alignment horizontal="center" vertical="center"/>
    </xf>
  </cellXfs>
  <cellStyles count="3">
    <cellStyle name="Hyperlink" xfId="2" builtinId="8"/>
    <cellStyle name="Normal" xfId="0" builtinId="0"/>
    <cellStyle name="Percent" xfId="1" builtinId="5"/>
  </cellStyles>
  <dxfs count="31">
    <dxf>
      <fill>
        <patternFill>
          <bgColor theme="2" tint="0.79998168889431442"/>
        </patternFill>
      </fill>
    </dxf>
    <dxf>
      <fill>
        <patternFill>
          <bgColor theme="2" tint="0.79998168889431442"/>
        </patternFill>
      </fill>
    </dxf>
    <dxf>
      <fill>
        <patternFill>
          <bgColor theme="2" tint="0.79998168889431442"/>
        </patternFill>
      </fill>
    </dxf>
    <dxf>
      <fill>
        <patternFill>
          <bgColor theme="2" tint="0.79998168889431442"/>
        </patternFill>
      </fill>
    </dxf>
    <dxf>
      <fill>
        <patternFill>
          <bgColor theme="2" tint="0.79998168889431442"/>
        </patternFill>
      </fill>
    </dxf>
    <dxf>
      <fill>
        <patternFill>
          <bgColor theme="2" tint="0.79998168889431442"/>
        </patternFill>
      </fill>
    </dxf>
    <dxf>
      <fill>
        <patternFill>
          <bgColor theme="2" tint="0.79998168889431442"/>
        </patternFill>
      </fill>
    </dxf>
    <dxf>
      <fill>
        <patternFill>
          <bgColor theme="2" tint="0.79998168889431442"/>
        </patternFill>
      </fill>
    </dxf>
    <dxf>
      <fill>
        <patternFill>
          <bgColor theme="2" tint="0.79998168889431442"/>
        </patternFill>
      </fill>
    </dxf>
    <dxf>
      <fill>
        <patternFill>
          <bgColor theme="2" tint="0.79998168889431442"/>
        </patternFill>
      </fill>
    </dxf>
    <dxf>
      <fill>
        <patternFill>
          <bgColor theme="2" tint="0.79998168889431442"/>
        </patternFill>
      </fill>
    </dxf>
    <dxf>
      <fill>
        <patternFill>
          <bgColor theme="2" tint="0.79998168889431442"/>
        </patternFill>
      </fill>
    </dxf>
    <dxf>
      <fill>
        <patternFill>
          <bgColor theme="2" tint="0.79998168889431442"/>
        </patternFill>
      </fill>
    </dxf>
    <dxf>
      <fill>
        <patternFill>
          <bgColor theme="2" tint="0.79998168889431442"/>
        </patternFill>
      </fill>
    </dxf>
    <dxf>
      <fill>
        <patternFill>
          <bgColor theme="2" tint="0.79998168889431442"/>
        </patternFill>
      </fill>
    </dxf>
    <dxf>
      <fill>
        <patternFill>
          <bgColor theme="2" tint="0.79998168889431442"/>
        </patternFill>
      </fill>
    </dxf>
    <dxf>
      <fill>
        <patternFill>
          <bgColor theme="2" tint="0.79998168889431442"/>
        </patternFill>
      </fill>
    </dxf>
    <dxf>
      <fill>
        <patternFill>
          <bgColor theme="2" tint="0.79998168889431442"/>
        </patternFill>
      </fill>
    </dxf>
    <dxf>
      <fill>
        <patternFill>
          <bgColor theme="2" tint="0.79998168889431442"/>
        </patternFill>
      </fill>
    </dxf>
    <dxf>
      <fill>
        <patternFill>
          <bgColor theme="2" tint="0.79998168889431442"/>
        </patternFill>
      </fill>
    </dxf>
    <dxf>
      <fill>
        <patternFill>
          <bgColor theme="2" tint="0.79998168889431442"/>
        </patternFill>
      </fill>
    </dxf>
    <dxf>
      <fill>
        <patternFill>
          <bgColor theme="2" tint="0.79998168889431442"/>
        </patternFill>
      </fill>
    </dxf>
    <dxf>
      <fill>
        <patternFill>
          <bgColor theme="2" tint="0.79998168889431442"/>
        </patternFill>
      </fill>
    </dxf>
    <dxf>
      <font>
        <strike/>
        <color theme="0" tint="-0.499984740745262"/>
      </font>
      <fill>
        <patternFill>
          <bgColor theme="6" tint="0.59996337778862885"/>
        </patternFill>
      </fill>
    </dxf>
    <dxf>
      <font>
        <strike/>
        <color theme="0" tint="-0.499984740745262"/>
      </font>
      <fill>
        <patternFill>
          <bgColor theme="6" tint="0.59996337778862885"/>
        </patternFill>
      </fill>
    </dxf>
    <dxf>
      <font>
        <strike/>
        <color theme="0" tint="-0.499984740745262"/>
      </font>
      <fill>
        <patternFill>
          <bgColor theme="6" tint="0.59996337778862885"/>
        </patternFill>
      </fill>
    </dxf>
    <dxf>
      <font>
        <strike/>
        <color theme="0" tint="-0.499984740745262"/>
      </font>
      <fill>
        <patternFill patternType="none">
          <bgColor auto="1"/>
        </patternFill>
      </fill>
    </dxf>
    <dxf>
      <font>
        <strike/>
        <color theme="0" tint="-0.499984740745262"/>
      </font>
      <fill>
        <patternFill patternType="none">
          <bgColor auto="1"/>
        </patternFill>
      </fill>
    </dxf>
    <dxf>
      <font>
        <strike/>
        <color theme="0" tint="-0.499984740745262"/>
      </font>
      <fill>
        <patternFill patternType="none">
          <bgColor auto="1"/>
        </patternFill>
      </fill>
    </dxf>
    <dxf>
      <font>
        <strike/>
        <color theme="0" tint="-0.499984740745262"/>
      </font>
    </dxf>
    <dxf>
      <font>
        <strike/>
        <color theme="0" tint="-0.499984740745262"/>
      </font>
      <fill>
        <patternFill patternType="none">
          <bgColor auto="1"/>
        </patternFill>
      </fill>
    </dxf>
  </dxfs>
  <tableStyles count="0" defaultTableStyle="TableStyleMedium2" defaultPivotStyle="PivotStyleLight16"/>
  <colors>
    <mruColors>
      <color rgb="FFFBFA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AU" b="1">
                <a:solidFill>
                  <a:schemeClr val="tx2"/>
                </a:solidFill>
              </a:rPr>
              <a:t>Annual Payments</a:t>
            </a:r>
          </a:p>
        </c:rich>
      </c:tx>
      <c:layout>
        <c:manualLayout>
          <c:xMode val="edge"/>
          <c:yMode val="edge"/>
          <c:x val="7.2544051632045736E-4"/>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lotArea>
      <c:layout/>
      <c:barChart>
        <c:barDir val="col"/>
        <c:grouping val="stacked"/>
        <c:varyColors val="0"/>
        <c:ser>
          <c:idx val="0"/>
          <c:order val="0"/>
          <c:tx>
            <c:strRef>
              <c:f>'RE Calculations'!$L$21</c:f>
              <c:strCache>
                <c:ptCount val="1"/>
                <c:pt idx="0">
                  <c:v>Principal</c:v>
                </c:pt>
              </c:strCache>
            </c:strRef>
          </c:tx>
          <c:spPr>
            <a:solidFill>
              <a:schemeClr val="accent1"/>
            </a:solidFill>
            <a:ln>
              <a:noFill/>
            </a:ln>
            <a:effectLst/>
          </c:spPr>
          <c:invertIfNegative val="0"/>
          <c:cat>
            <c:numRef>
              <c:f>[0]!YearForChart1</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[0]!PrincipalForChart1</c:f>
              <c:numCache>
                <c:formatCode>"$"#,##0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BB35-4131-822F-BF4CB940822C}"/>
            </c:ext>
          </c:extLst>
        </c:ser>
        <c:ser>
          <c:idx val="1"/>
          <c:order val="1"/>
          <c:tx>
            <c:strRef>
              <c:f>'RE Calculations'!$M$21</c:f>
              <c:strCache>
                <c:ptCount val="1"/>
                <c:pt idx="0">
                  <c:v>Interest + Fees</c:v>
                </c:pt>
              </c:strCache>
            </c:strRef>
          </c:tx>
          <c:spPr>
            <a:solidFill>
              <a:schemeClr val="accent2"/>
            </a:solidFill>
            <a:ln>
              <a:noFill/>
            </a:ln>
            <a:effectLst/>
          </c:spPr>
          <c:invertIfNegative val="0"/>
          <c:cat>
            <c:numRef>
              <c:f>[0]!YearForChart1</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[0]!InterestForChart1</c:f>
              <c:numCache>
                <c:formatCode>"$"#,##0</c:formatCode>
                <c:ptCount val="30"/>
                <c:pt idx="0">
                  <c:v>99.999999999999986</c:v>
                </c:pt>
                <c:pt idx="1">
                  <c:v>99.999999999999986</c:v>
                </c:pt>
                <c:pt idx="2">
                  <c:v>99.999999999999986</c:v>
                </c:pt>
                <c:pt idx="3">
                  <c:v>99.999999999999986</c:v>
                </c:pt>
                <c:pt idx="4">
                  <c:v>99.999999999999986</c:v>
                </c:pt>
                <c:pt idx="5">
                  <c:v>99.999999999999986</c:v>
                </c:pt>
                <c:pt idx="6">
                  <c:v>99.999999999999986</c:v>
                </c:pt>
                <c:pt idx="7">
                  <c:v>99.999999999999986</c:v>
                </c:pt>
                <c:pt idx="8">
                  <c:v>99.999999999999986</c:v>
                </c:pt>
                <c:pt idx="9">
                  <c:v>99.999999999999986</c:v>
                </c:pt>
                <c:pt idx="10">
                  <c:v>99.999999999999986</c:v>
                </c:pt>
                <c:pt idx="11">
                  <c:v>99.999999999999986</c:v>
                </c:pt>
                <c:pt idx="12">
                  <c:v>99.999999999999986</c:v>
                </c:pt>
                <c:pt idx="13">
                  <c:v>99.999999999999986</c:v>
                </c:pt>
                <c:pt idx="14">
                  <c:v>99.999999999999986</c:v>
                </c:pt>
                <c:pt idx="15">
                  <c:v>99.999999999999986</c:v>
                </c:pt>
                <c:pt idx="16">
                  <c:v>99.999999999999986</c:v>
                </c:pt>
                <c:pt idx="17">
                  <c:v>99.999999999999986</c:v>
                </c:pt>
                <c:pt idx="18">
                  <c:v>99.999999999999986</c:v>
                </c:pt>
                <c:pt idx="19">
                  <c:v>99.999999999999986</c:v>
                </c:pt>
                <c:pt idx="20">
                  <c:v>99.999999999999986</c:v>
                </c:pt>
                <c:pt idx="21">
                  <c:v>99.999999999999986</c:v>
                </c:pt>
                <c:pt idx="22">
                  <c:v>99.999999999999986</c:v>
                </c:pt>
                <c:pt idx="23">
                  <c:v>99.999999999999986</c:v>
                </c:pt>
                <c:pt idx="24">
                  <c:v>99.999999999999986</c:v>
                </c:pt>
                <c:pt idx="25">
                  <c:v>99.999999999999986</c:v>
                </c:pt>
                <c:pt idx="26">
                  <c:v>99.999999999999986</c:v>
                </c:pt>
                <c:pt idx="27">
                  <c:v>99.999999999999986</c:v>
                </c:pt>
                <c:pt idx="28">
                  <c:v>99.999999999999986</c:v>
                </c:pt>
                <c:pt idx="29">
                  <c:v>99.999999999999986</c:v>
                </c:pt>
              </c:numCache>
            </c:numRef>
          </c:val>
          <c:extLst>
            <c:ext xmlns:c16="http://schemas.microsoft.com/office/drawing/2014/chart" uri="{C3380CC4-5D6E-409C-BE32-E72D297353CC}">
              <c16:uniqueId val="{00000001-BB35-4131-822F-BF4CB940822C}"/>
            </c:ext>
          </c:extLst>
        </c:ser>
        <c:dLbls>
          <c:showLegendKey val="0"/>
          <c:showVal val="0"/>
          <c:showCatName val="0"/>
          <c:showSerName val="0"/>
          <c:showPercent val="0"/>
          <c:showBubbleSize val="0"/>
        </c:dLbls>
        <c:gapWidth val="150"/>
        <c:overlap val="100"/>
        <c:axId val="51550480"/>
        <c:axId val="51549040"/>
      </c:barChart>
      <c:barChart>
        <c:barDir val="col"/>
        <c:grouping val="clustered"/>
        <c:varyColors val="0"/>
        <c:ser>
          <c:idx val="2"/>
          <c:order val="2"/>
          <c:tx>
            <c:strRef>
              <c:f>'RE Calculations'!$O$21</c:f>
              <c:strCache>
                <c:ptCount val="1"/>
                <c:pt idx="0">
                  <c:v>Holding Period</c:v>
                </c:pt>
              </c:strCache>
            </c:strRef>
          </c:tx>
          <c:spPr>
            <a:noFill/>
            <a:ln w="31750">
              <a:solidFill>
                <a:schemeClr val="bg2">
                  <a:alpha val="50000"/>
                </a:schemeClr>
              </a:solidFill>
            </a:ln>
            <a:effectLst/>
          </c:spPr>
          <c:invertIfNegative val="0"/>
          <c:dPt>
            <c:idx val="9"/>
            <c:invertIfNegative val="0"/>
            <c:bubble3D val="0"/>
            <c:spPr>
              <a:noFill/>
              <a:ln w="38100">
                <a:solidFill>
                  <a:schemeClr val="bg2">
                    <a:alpha val="50000"/>
                  </a:schemeClr>
                </a:solidFill>
              </a:ln>
              <a:effectLst/>
            </c:spPr>
            <c:extLst>
              <c:ext xmlns:c16="http://schemas.microsoft.com/office/drawing/2014/chart" uri="{C3380CC4-5D6E-409C-BE32-E72D297353CC}">
                <c16:uniqueId val="{00000001-44A8-4BFD-B2CB-8DE9824E5AE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val>
            <c:numRef>
              <c:f>[0]!HoldPeriodForChart1</c:f>
              <c:numCache>
                <c:formatCode>"$"#,##0</c:formatCode>
                <c:ptCount val="30"/>
                <c:pt idx="0">
                  <c:v>#N/A</c:v>
                </c:pt>
                <c:pt idx="1">
                  <c:v>#N/A</c:v>
                </c:pt>
                <c:pt idx="2">
                  <c:v>#N/A</c:v>
                </c:pt>
                <c:pt idx="3">
                  <c:v>#N/A</c:v>
                </c:pt>
                <c:pt idx="4">
                  <c:v>99.999999999999986</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numCache>
            </c:numRef>
          </c:val>
          <c:extLst>
            <c:ext xmlns:c16="http://schemas.microsoft.com/office/drawing/2014/chart" uri="{C3380CC4-5D6E-409C-BE32-E72D297353CC}">
              <c16:uniqueId val="{00000000-44A8-4BFD-B2CB-8DE9824E5AEB}"/>
            </c:ext>
          </c:extLst>
        </c:ser>
        <c:dLbls>
          <c:showLegendKey val="0"/>
          <c:showVal val="0"/>
          <c:showCatName val="0"/>
          <c:showSerName val="0"/>
          <c:showPercent val="0"/>
          <c:showBubbleSize val="0"/>
        </c:dLbls>
        <c:gapWidth val="90"/>
        <c:axId val="2076428335"/>
        <c:axId val="2076432175"/>
      </c:barChart>
      <c:dateAx>
        <c:axId val="5155048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AU"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49040"/>
        <c:crosses val="autoZero"/>
        <c:auto val="0"/>
        <c:lblOffset val="100"/>
        <c:baseTimeUnit val="days"/>
      </c:dateAx>
      <c:valAx>
        <c:axId val="51549040"/>
        <c:scaling>
          <c:orientation val="minMax"/>
        </c:scaling>
        <c:delete val="0"/>
        <c:axPos val="l"/>
        <c:majorGridlines>
          <c:spPr>
            <a:ln w="9525" cap="flat" cmpd="sng" algn="ctr">
              <a:solidFill>
                <a:schemeClr val="tx1">
                  <a:lumMod val="15000"/>
                  <a:lumOff val="85000"/>
                </a:schemeClr>
              </a:solidFill>
              <a:round/>
            </a:ln>
            <a:effectLst/>
          </c:spPr>
        </c:majorGridlines>
        <c:numFmt formatCode="&quot;AED&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50480"/>
        <c:crosses val="autoZero"/>
        <c:crossBetween val="between"/>
      </c:valAx>
      <c:valAx>
        <c:axId val="2076432175"/>
        <c:scaling>
          <c:orientation val="minMax"/>
        </c:scaling>
        <c:delete val="1"/>
        <c:axPos val="r"/>
        <c:numFmt formatCode="&quot;$&quot;#,##0" sourceLinked="1"/>
        <c:majorTickMark val="out"/>
        <c:minorTickMark val="none"/>
        <c:tickLblPos val="nextTo"/>
        <c:crossAx val="2076428335"/>
        <c:crosses val="max"/>
        <c:crossBetween val="between"/>
      </c:valAx>
      <c:catAx>
        <c:axId val="2076428335"/>
        <c:scaling>
          <c:orientation val="minMax"/>
        </c:scaling>
        <c:delete val="1"/>
        <c:axPos val="b"/>
        <c:numFmt formatCode="General" sourceLinked="1"/>
        <c:majorTickMark val="out"/>
        <c:minorTickMark val="none"/>
        <c:tickLblPos val="nextTo"/>
        <c:crossAx val="2076432175"/>
        <c:crosses val="autoZero"/>
        <c:auto val="1"/>
        <c:lblAlgn val="ctr"/>
        <c:lblOffset val="100"/>
        <c:noMultiLvlLbl val="0"/>
      </c:catAx>
      <c:spPr>
        <a:noFill/>
        <a:ln>
          <a:noFill/>
        </a:ln>
        <a:effectLst/>
      </c:spPr>
    </c:plotArea>
    <c:legend>
      <c:legendPos val="r"/>
      <c:legendEntry>
        <c:idx val="2"/>
        <c:delete val="1"/>
      </c:legendEntry>
      <c:layout>
        <c:manualLayout>
          <c:xMode val="edge"/>
          <c:yMode val="edge"/>
          <c:x val="0.73159691973238683"/>
          <c:y val="1.3395209528191572E-2"/>
          <c:w val="0.26575062294778989"/>
          <c:h val="6.234353890023709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AU" b="1">
                <a:solidFill>
                  <a:schemeClr val="tx2"/>
                </a:solidFill>
              </a:rPr>
              <a:t>Loan Amortisation Chart</a:t>
            </a:r>
          </a:p>
        </c:rich>
      </c:tx>
      <c:layout>
        <c:manualLayout>
          <c:xMode val="edge"/>
          <c:yMode val="edge"/>
          <c:x val="1.0488598736627037E-3"/>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lotArea>
      <c:layout>
        <c:manualLayout>
          <c:layoutTarget val="inner"/>
          <c:xMode val="edge"/>
          <c:yMode val="edge"/>
          <c:x val="0.10708280923734105"/>
          <c:y val="0.13804711929874949"/>
          <c:w val="0.87341670199414478"/>
          <c:h val="0.63015570645245433"/>
        </c:manualLayout>
      </c:layout>
      <c:barChart>
        <c:barDir val="col"/>
        <c:grouping val="clustered"/>
        <c:varyColors val="0"/>
        <c:ser>
          <c:idx val="3"/>
          <c:order val="3"/>
          <c:tx>
            <c:strRef>
              <c:f>'RE Calculations'!$I$21</c:f>
              <c:strCache>
                <c:ptCount val="1"/>
                <c:pt idx="0">
                  <c:v>Holding Period</c:v>
                </c:pt>
              </c:strCache>
            </c:strRef>
          </c:tx>
          <c:spPr>
            <a:solidFill>
              <a:schemeClr val="bg2">
                <a:alpha val="50000"/>
              </a:schemeClr>
            </a:solidFill>
            <a:ln>
              <a:noFill/>
            </a:ln>
            <a:effectLst/>
          </c:spPr>
          <c:invertIfNegative val="0"/>
          <c:dLbls>
            <c:dLbl>
              <c:idx val="9"/>
              <c:layout>
                <c:manualLayout>
                  <c:x val="6.9951564137959588E-8"/>
                  <c:y val="1.11659960318739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7.9959936195504261E-2"/>
                      <c:h val="0.11160281227012563"/>
                    </c:manualLayout>
                  </c15:layout>
                </c:ext>
                <c:ext xmlns:c16="http://schemas.microsoft.com/office/drawing/2014/chart" uri="{C3380CC4-5D6E-409C-BE32-E72D297353CC}">
                  <c16:uniqueId val="{00000000-C0A7-44A2-BAD8-1A675272E56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'RE Calculations'!$B$22:$B$52</c:f>
              <c:numCache>
                <c:formatCode>General</c:formatCod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numCache>
            </c:numRef>
          </c:cat>
          <c:val>
            <c:numRef>
              <c:f>[0]!HoldPeriodForChart2</c:f>
              <c:numCache>
                <c:formatCode>"$"#,##0</c:formatCode>
                <c:ptCount val="30"/>
                <c:pt idx="0">
                  <c:v>#N/A</c:v>
                </c:pt>
                <c:pt idx="1">
                  <c:v>#N/A</c:v>
                </c:pt>
                <c:pt idx="2">
                  <c:v>#N/A</c:v>
                </c:pt>
                <c:pt idx="3">
                  <c:v>#N/A</c:v>
                </c:pt>
                <c:pt idx="4">
                  <c:v>2999.9999999999995</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numCache>
            </c:numRef>
          </c:val>
          <c:extLst>
            <c:ext xmlns:c16="http://schemas.microsoft.com/office/drawing/2014/chart" uri="{C3380CC4-5D6E-409C-BE32-E72D297353CC}">
              <c16:uniqueId val="{00000000-A565-4C8F-98DC-E2D150C7435C}"/>
            </c:ext>
          </c:extLst>
        </c:ser>
        <c:dLbls>
          <c:showLegendKey val="0"/>
          <c:showVal val="0"/>
          <c:showCatName val="0"/>
          <c:showSerName val="0"/>
          <c:showPercent val="0"/>
          <c:showBubbleSize val="0"/>
        </c:dLbls>
        <c:gapWidth val="500"/>
        <c:axId val="2074346063"/>
        <c:axId val="2074345583"/>
      </c:barChart>
      <c:lineChart>
        <c:grouping val="standard"/>
        <c:varyColors val="0"/>
        <c:ser>
          <c:idx val="0"/>
          <c:order val="0"/>
          <c:tx>
            <c:strRef>
              <c:f>'RE Calculations'!$F$21</c:f>
              <c:strCache>
                <c:ptCount val="1"/>
                <c:pt idx="0">
                  <c:v>Balance</c:v>
                </c:pt>
              </c:strCache>
            </c:strRef>
          </c:tx>
          <c:spPr>
            <a:ln w="28575" cap="rnd">
              <a:solidFill>
                <a:schemeClr val="tx2"/>
              </a:solidFill>
              <a:round/>
            </a:ln>
            <a:effectLst/>
          </c:spPr>
          <c:marker>
            <c:symbol val="circle"/>
            <c:size val="5"/>
            <c:spPr>
              <a:solidFill>
                <a:schemeClr val="tx2"/>
              </a:solidFill>
              <a:ln w="9525">
                <a:solidFill>
                  <a:schemeClr val="tx2"/>
                </a:solidFill>
              </a:ln>
              <a:effectLst/>
            </c:spPr>
          </c:marker>
          <c:dLbls>
            <c:delete val="1"/>
          </c:dLbls>
          <c:cat>
            <c:numRef>
              <c:f>[0]!YearForChart1</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[0]!BalanceForChart2</c:f>
              <c:numCache>
                <c:formatCode>"$"#,##0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D848-43C1-92CE-2D1840E35209}"/>
            </c:ext>
          </c:extLst>
        </c:ser>
        <c:ser>
          <c:idx val="1"/>
          <c:order val="1"/>
          <c:tx>
            <c:strRef>
              <c:f>'RE Calculations'!$D$21</c:f>
              <c:strCache>
                <c:ptCount val="1"/>
                <c:pt idx="0">
                  <c:v>Cumulative Principal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Lbl>
              <c:idx val="0"/>
              <c:tx>
                <c:rich>
                  <a:bodyPr/>
                  <a:lstStyle/>
                  <a:p>
                    <a:fld id="{4E9B2862-681C-4932-9689-272968AFAE65}" type="CELLRANGE">
                      <a:rPr lang="en-US"/>
                      <a:pPr/>
                      <a:t>[CELLRANGE]</a:t>
                    </a:fld>
                    <a:endParaRPr lang="en-AE"/>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D848-43C1-92CE-2D1840E35209}"/>
                </c:ext>
              </c:extLst>
            </c:dLbl>
            <c:dLbl>
              <c:idx val="1"/>
              <c:tx>
                <c:rich>
                  <a:bodyPr/>
                  <a:lstStyle/>
                  <a:p>
                    <a:fld id="{D055B3BB-997C-48E0-9D12-1A2D55360DD2}" type="CELLRANGE">
                      <a:rPr lang="en-AE"/>
                      <a:pPr/>
                      <a:t>[CELLRANGE]</a:t>
                    </a:fld>
                    <a:endParaRPr lang="en-AE"/>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D848-43C1-92CE-2D1840E35209}"/>
                </c:ext>
              </c:extLst>
            </c:dLbl>
            <c:dLbl>
              <c:idx val="2"/>
              <c:tx>
                <c:rich>
                  <a:bodyPr/>
                  <a:lstStyle/>
                  <a:p>
                    <a:fld id="{43008109-DE67-4867-84E3-021B1E6C1A1A}" type="CELLRANGE">
                      <a:rPr lang="en-AE"/>
                      <a:pPr/>
                      <a:t>[CELLRANGE]</a:t>
                    </a:fld>
                    <a:endParaRPr lang="en-AE"/>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D848-43C1-92CE-2D1840E35209}"/>
                </c:ext>
              </c:extLst>
            </c:dLbl>
            <c:dLbl>
              <c:idx val="3"/>
              <c:tx>
                <c:rich>
                  <a:bodyPr/>
                  <a:lstStyle/>
                  <a:p>
                    <a:fld id="{666D9F49-DB59-489C-8BFE-3E029E6E2BF5}" type="CELLRANGE">
                      <a:rPr lang="en-AE"/>
                      <a:pPr/>
                      <a:t>[CELLRANGE]</a:t>
                    </a:fld>
                    <a:endParaRPr lang="en-AE"/>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D848-43C1-92CE-2D1840E35209}"/>
                </c:ext>
              </c:extLst>
            </c:dLbl>
            <c:dLbl>
              <c:idx val="4"/>
              <c:tx>
                <c:rich>
                  <a:bodyPr/>
                  <a:lstStyle/>
                  <a:p>
                    <a:fld id="{DADEAF98-EF93-45EE-8FB3-804C4F08F695}" type="CELLRANGE">
                      <a:rPr lang="en-AE"/>
                      <a:pPr/>
                      <a:t>[CELLRANGE]</a:t>
                    </a:fld>
                    <a:endParaRPr lang="en-AE"/>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D848-43C1-92CE-2D1840E35209}"/>
                </c:ext>
              </c:extLst>
            </c:dLbl>
            <c:dLbl>
              <c:idx val="5"/>
              <c:tx>
                <c:rich>
                  <a:bodyPr/>
                  <a:lstStyle/>
                  <a:p>
                    <a:fld id="{B29DA67B-0895-4A3D-B4D5-90FD39AEC318}" type="CELLRANGE">
                      <a:rPr lang="en-AE"/>
                      <a:pPr/>
                      <a:t>[CELLRANGE]</a:t>
                    </a:fld>
                    <a:endParaRPr lang="en-AE"/>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D848-43C1-92CE-2D1840E35209}"/>
                </c:ext>
              </c:extLst>
            </c:dLbl>
            <c:dLbl>
              <c:idx val="6"/>
              <c:tx>
                <c:rich>
                  <a:bodyPr/>
                  <a:lstStyle/>
                  <a:p>
                    <a:fld id="{FC55CCC9-D00C-49B6-BBA7-A5E0D4971BEC}" type="CELLRANGE">
                      <a:rPr lang="en-AE"/>
                      <a:pPr/>
                      <a:t>[CELLRANGE]</a:t>
                    </a:fld>
                    <a:endParaRPr lang="en-AE"/>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D848-43C1-92CE-2D1840E35209}"/>
                </c:ext>
              </c:extLst>
            </c:dLbl>
            <c:dLbl>
              <c:idx val="7"/>
              <c:tx>
                <c:rich>
                  <a:bodyPr/>
                  <a:lstStyle/>
                  <a:p>
                    <a:fld id="{260223F8-DB01-4327-8F75-56D0F3F23FFE}" type="CELLRANGE">
                      <a:rPr lang="en-AE"/>
                      <a:pPr/>
                      <a:t>[CELLRANGE]</a:t>
                    </a:fld>
                    <a:endParaRPr lang="en-AE"/>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D848-43C1-92CE-2D1840E35209}"/>
                </c:ext>
              </c:extLst>
            </c:dLbl>
            <c:dLbl>
              <c:idx val="8"/>
              <c:tx>
                <c:rich>
                  <a:bodyPr/>
                  <a:lstStyle/>
                  <a:p>
                    <a:fld id="{8E360225-085A-44E3-86AE-615DA0B18A8C}" type="CELLRANGE">
                      <a:rPr lang="en-AE"/>
                      <a:pPr/>
                      <a:t>[CELLRANGE]</a:t>
                    </a:fld>
                    <a:endParaRPr lang="en-AE"/>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D848-43C1-92CE-2D1840E35209}"/>
                </c:ext>
              </c:extLst>
            </c:dLbl>
            <c:dLbl>
              <c:idx val="9"/>
              <c:tx>
                <c:rich>
                  <a:bodyPr/>
                  <a:lstStyle/>
                  <a:p>
                    <a:fld id="{A7062645-8360-4956-AB75-14EEB6EE97D9}" type="CELLRANGE">
                      <a:rPr lang="en-AE"/>
                      <a:pPr/>
                      <a:t>[CELLRANGE]</a:t>
                    </a:fld>
                    <a:endParaRPr lang="en-AE"/>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D848-43C1-92CE-2D1840E35209}"/>
                </c:ext>
              </c:extLst>
            </c:dLbl>
            <c:dLbl>
              <c:idx val="10"/>
              <c:tx>
                <c:rich>
                  <a:bodyPr/>
                  <a:lstStyle/>
                  <a:p>
                    <a:fld id="{7ECBE958-5CEB-4E0E-BCCD-1609A04F2E8A}" type="CELLRANGE">
                      <a:rPr lang="en-AE"/>
                      <a:pPr/>
                      <a:t>[CELLRANGE]</a:t>
                    </a:fld>
                    <a:endParaRPr lang="en-AE"/>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D848-43C1-92CE-2D1840E35209}"/>
                </c:ext>
              </c:extLst>
            </c:dLbl>
            <c:dLbl>
              <c:idx val="11"/>
              <c:tx>
                <c:rich>
                  <a:bodyPr/>
                  <a:lstStyle/>
                  <a:p>
                    <a:fld id="{361CABE4-63A4-4B58-B67C-3D0BB586D811}" type="CELLRANGE">
                      <a:rPr lang="en-AE"/>
                      <a:pPr/>
                      <a:t>[CELLRANGE]</a:t>
                    </a:fld>
                    <a:endParaRPr lang="en-AE"/>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D848-43C1-92CE-2D1840E35209}"/>
                </c:ext>
              </c:extLst>
            </c:dLbl>
            <c:dLbl>
              <c:idx val="12"/>
              <c:tx>
                <c:rich>
                  <a:bodyPr/>
                  <a:lstStyle/>
                  <a:p>
                    <a:fld id="{5B6E0D13-AD3A-49A8-BD2F-F3181E1770D4}" type="CELLRANGE">
                      <a:rPr lang="en-AE"/>
                      <a:pPr/>
                      <a:t>[CELLRANGE]</a:t>
                    </a:fld>
                    <a:endParaRPr lang="en-AE"/>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D848-43C1-92CE-2D1840E35209}"/>
                </c:ext>
              </c:extLst>
            </c:dLbl>
            <c:dLbl>
              <c:idx val="13"/>
              <c:tx>
                <c:rich>
                  <a:bodyPr/>
                  <a:lstStyle/>
                  <a:p>
                    <a:fld id="{B2B0F051-B4B8-4DB7-B41A-F5C6235AC991}" type="CELLRANGE">
                      <a:rPr lang="en-AE"/>
                      <a:pPr/>
                      <a:t>[CELLRANGE]</a:t>
                    </a:fld>
                    <a:endParaRPr lang="en-AE"/>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D848-43C1-92CE-2D1840E35209}"/>
                </c:ext>
              </c:extLst>
            </c:dLbl>
            <c:dLbl>
              <c:idx val="14"/>
              <c:tx>
                <c:rich>
                  <a:bodyPr/>
                  <a:lstStyle/>
                  <a:p>
                    <a:fld id="{D9A4EF51-A09C-418D-B077-8E96C14F2466}" type="CELLRANGE">
                      <a:rPr lang="en-AE"/>
                      <a:pPr/>
                      <a:t>[CELLRANGE]</a:t>
                    </a:fld>
                    <a:endParaRPr lang="en-AE"/>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D848-43C1-92CE-2D1840E35209}"/>
                </c:ext>
              </c:extLst>
            </c:dLbl>
            <c:dLbl>
              <c:idx val="15"/>
              <c:tx>
                <c:rich>
                  <a:bodyPr/>
                  <a:lstStyle/>
                  <a:p>
                    <a:fld id="{87338668-7DD8-469E-AE94-62375E7D2F0F}" type="CELLRANGE">
                      <a:rPr lang="en-AE"/>
                      <a:pPr/>
                      <a:t>[CELLRANGE]</a:t>
                    </a:fld>
                    <a:endParaRPr lang="en-AE"/>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4-D848-43C1-92CE-2D1840E35209}"/>
                </c:ext>
              </c:extLst>
            </c:dLbl>
            <c:dLbl>
              <c:idx val="16"/>
              <c:tx>
                <c:rich>
                  <a:bodyPr/>
                  <a:lstStyle/>
                  <a:p>
                    <a:fld id="{0C80E15F-F3CA-48A6-B4B1-B3F35B880535}" type="CELLRANGE">
                      <a:rPr lang="en-AE"/>
                      <a:pPr/>
                      <a:t>[CELLRANGE]</a:t>
                    </a:fld>
                    <a:endParaRPr lang="en-AE"/>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D848-43C1-92CE-2D1840E35209}"/>
                </c:ext>
              </c:extLst>
            </c:dLbl>
            <c:dLbl>
              <c:idx val="17"/>
              <c:tx>
                <c:rich>
                  <a:bodyPr/>
                  <a:lstStyle/>
                  <a:p>
                    <a:fld id="{55000625-BCEC-44F8-8553-EA608625AA08}" type="CELLRANGE">
                      <a:rPr lang="en-AE"/>
                      <a:pPr/>
                      <a:t>[CELLRANGE]</a:t>
                    </a:fld>
                    <a:endParaRPr lang="en-AE"/>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6-D848-43C1-92CE-2D1840E35209}"/>
                </c:ext>
              </c:extLst>
            </c:dLbl>
            <c:dLbl>
              <c:idx val="18"/>
              <c:tx>
                <c:rich>
                  <a:bodyPr/>
                  <a:lstStyle/>
                  <a:p>
                    <a:fld id="{C593D0A4-883F-4D9F-B273-C6CDA6C3D0E4}" type="CELLRANGE">
                      <a:rPr lang="en-AE"/>
                      <a:pPr/>
                      <a:t>[CELLRANGE]</a:t>
                    </a:fld>
                    <a:endParaRPr lang="en-AE"/>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D848-43C1-92CE-2D1840E35209}"/>
                </c:ext>
              </c:extLst>
            </c:dLbl>
            <c:dLbl>
              <c:idx val="19"/>
              <c:tx>
                <c:rich>
                  <a:bodyPr/>
                  <a:lstStyle/>
                  <a:p>
                    <a:fld id="{ADC13C56-EECD-428F-8733-62E5E00DA564}" type="CELLRANGE">
                      <a:rPr lang="en-AE"/>
                      <a:pPr/>
                      <a:t>[CELLRANGE]</a:t>
                    </a:fld>
                    <a:endParaRPr lang="en-AE"/>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D848-43C1-92CE-2D1840E35209}"/>
                </c:ext>
              </c:extLst>
            </c:dLbl>
            <c:dLbl>
              <c:idx val="20"/>
              <c:tx>
                <c:rich>
                  <a:bodyPr/>
                  <a:lstStyle/>
                  <a:p>
                    <a:fld id="{336EA025-7066-461B-8F74-6F9B8A218C45}" type="CELLRANGE">
                      <a:rPr lang="en-AE"/>
                      <a:pPr/>
                      <a:t>[CELLRANGE]</a:t>
                    </a:fld>
                    <a:endParaRPr lang="en-AE"/>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9-D848-43C1-92CE-2D1840E35209}"/>
                </c:ext>
              </c:extLst>
            </c:dLbl>
            <c:dLbl>
              <c:idx val="21"/>
              <c:tx>
                <c:rich>
                  <a:bodyPr/>
                  <a:lstStyle/>
                  <a:p>
                    <a:fld id="{627ED12D-0404-4F84-80C8-45E6C20F6854}" type="CELLRANGE">
                      <a:rPr lang="en-AE"/>
                      <a:pPr/>
                      <a:t>[CELLRANGE]</a:t>
                    </a:fld>
                    <a:endParaRPr lang="en-AE"/>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A-D848-43C1-92CE-2D1840E35209}"/>
                </c:ext>
              </c:extLst>
            </c:dLbl>
            <c:dLbl>
              <c:idx val="22"/>
              <c:tx>
                <c:rich>
                  <a:bodyPr/>
                  <a:lstStyle/>
                  <a:p>
                    <a:fld id="{44DAF6E7-CEB7-4E51-9A3E-41FF73B448D2}" type="CELLRANGE">
                      <a:rPr lang="en-AE"/>
                      <a:pPr/>
                      <a:t>[CELLRANGE]</a:t>
                    </a:fld>
                    <a:endParaRPr lang="en-AE"/>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B-D848-43C1-92CE-2D1840E35209}"/>
                </c:ext>
              </c:extLst>
            </c:dLbl>
            <c:dLbl>
              <c:idx val="23"/>
              <c:tx>
                <c:rich>
                  <a:bodyPr/>
                  <a:lstStyle/>
                  <a:p>
                    <a:fld id="{647BF843-4627-45CA-8BC0-A315F8A96031}" type="CELLRANGE">
                      <a:rPr lang="en-AE"/>
                      <a:pPr/>
                      <a:t>[CELLRANGE]</a:t>
                    </a:fld>
                    <a:endParaRPr lang="en-AE"/>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C-D848-43C1-92CE-2D1840E35209}"/>
                </c:ext>
              </c:extLst>
            </c:dLbl>
            <c:dLbl>
              <c:idx val="24"/>
              <c:tx>
                <c:rich>
                  <a:bodyPr/>
                  <a:lstStyle/>
                  <a:p>
                    <a:fld id="{58ADF7AC-C46E-47EF-B538-2E4CBA72FA72}" type="CELLRANGE">
                      <a:rPr lang="en-AE"/>
                      <a:pPr/>
                      <a:t>[CELLRANGE]</a:t>
                    </a:fld>
                    <a:endParaRPr lang="en-AE"/>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D848-43C1-92CE-2D1840E35209}"/>
                </c:ext>
              </c:extLst>
            </c:dLbl>
            <c:dLbl>
              <c:idx val="25"/>
              <c:tx>
                <c:rich>
                  <a:bodyPr/>
                  <a:lstStyle/>
                  <a:p>
                    <a:fld id="{B4502FE2-A9CA-4939-8DA5-F4F7E42C75E1}" type="CELLRANGE">
                      <a:rPr lang="en-AE"/>
                      <a:pPr/>
                      <a:t>[CELLRANGE]</a:t>
                    </a:fld>
                    <a:endParaRPr lang="en-AE"/>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E-D848-43C1-92CE-2D1840E35209}"/>
                </c:ext>
              </c:extLst>
            </c:dLbl>
            <c:dLbl>
              <c:idx val="26"/>
              <c:tx>
                <c:rich>
                  <a:bodyPr/>
                  <a:lstStyle/>
                  <a:p>
                    <a:fld id="{E309CC7C-EA20-4E62-9069-74334B6D6438}" type="CELLRANGE">
                      <a:rPr lang="en-AE"/>
                      <a:pPr/>
                      <a:t>[CELLRANGE]</a:t>
                    </a:fld>
                    <a:endParaRPr lang="en-AE"/>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F-D848-43C1-92CE-2D1840E35209}"/>
                </c:ext>
              </c:extLst>
            </c:dLbl>
            <c:dLbl>
              <c:idx val="27"/>
              <c:tx>
                <c:rich>
                  <a:bodyPr/>
                  <a:lstStyle/>
                  <a:p>
                    <a:fld id="{DAE6EBA9-E1FD-47D0-8B06-130F07E3D6DC}" type="CELLRANGE">
                      <a:rPr lang="en-AE"/>
                      <a:pPr/>
                      <a:t>[CELLRANGE]</a:t>
                    </a:fld>
                    <a:endParaRPr lang="en-AE"/>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0-D848-43C1-92CE-2D1840E35209}"/>
                </c:ext>
              </c:extLst>
            </c:dLbl>
            <c:dLbl>
              <c:idx val="28"/>
              <c:tx>
                <c:rich>
                  <a:bodyPr/>
                  <a:lstStyle/>
                  <a:p>
                    <a:fld id="{24DBEC2F-92ED-4A1A-9711-8ED22853495D}" type="CELLRANGE">
                      <a:rPr lang="en-AE"/>
                      <a:pPr/>
                      <a:t>[CELLRANGE]</a:t>
                    </a:fld>
                    <a:endParaRPr lang="en-AE"/>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1-D848-43C1-92CE-2D1840E35209}"/>
                </c:ext>
              </c:extLst>
            </c:dLbl>
            <c:dLbl>
              <c:idx val="29"/>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5EDEFBC-59BE-4603-931C-7D3C167E37C7}" type="VALUE">
                      <a:rPr lang="en-US"/>
                      <a:pPr>
                        <a:defRPr/>
                      </a:pPr>
                      <a:t>[VALUE]</a:t>
                    </a:fld>
                    <a:endParaRPr lang="en-AE"/>
                  </a:p>
                </c:rich>
              </c:tx>
              <c:numFmt formatCode="&quot;AED&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D848-43C1-92CE-2D1840E352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[0]!YearForChart1</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[0]!CumPrincipalForChart2</c:f>
              <c:numCache>
                <c:formatCode>"$"#,##0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5="http://schemas.microsoft.com/office/drawing/2012/chart" uri="{02D57815-91ED-43cb-92C2-25804820EDAC}">
              <c15:datalabelsRange>
                <c15:f>'RE Calculations'!$G$23:$G$52</c15:f>
                <c15:dlblRangeCache>
                  <c:ptCount val="30"/>
                  <c:pt idx="29">
                    <c:v>$0</c:v>
                  </c:pt>
                </c15:dlblRangeCache>
              </c15:datalabelsRange>
            </c:ext>
            <c:ext xmlns:c16="http://schemas.microsoft.com/office/drawing/2014/chart" uri="{C3380CC4-5D6E-409C-BE32-E72D297353CC}">
              <c16:uniqueId val="{00000001-D848-43C1-92CE-2D1840E35209}"/>
            </c:ext>
          </c:extLst>
        </c:ser>
        <c:ser>
          <c:idx val="2"/>
          <c:order val="2"/>
          <c:tx>
            <c:strRef>
              <c:f>'RE Calculations'!$E$21</c:f>
              <c:strCache>
                <c:ptCount val="1"/>
                <c:pt idx="0">
                  <c:v>Cumulative Interest + Fees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dLbl>
              <c:idx val="0"/>
              <c:tx>
                <c:rich>
                  <a:bodyPr/>
                  <a:lstStyle/>
                  <a:p>
                    <a:fld id="{55F6B801-C611-44E3-987B-7CE559CA4F7A}" type="CELLRANGE">
                      <a:rPr lang="en-US"/>
                      <a:pPr/>
                      <a:t>[CELLRANGE]</a:t>
                    </a:fld>
                    <a:endParaRPr lang="en-AE"/>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2-D848-43C1-92CE-2D1840E35209}"/>
                </c:ext>
              </c:extLst>
            </c:dLbl>
            <c:dLbl>
              <c:idx val="1"/>
              <c:tx>
                <c:rich>
                  <a:bodyPr/>
                  <a:lstStyle/>
                  <a:p>
                    <a:fld id="{4F1AC3FB-C241-4A8C-AEE2-857F800A0A7E}" type="CELLRANGE">
                      <a:rPr lang="en-AE"/>
                      <a:pPr/>
                      <a:t>[CELLRANGE]</a:t>
                    </a:fld>
                    <a:endParaRPr lang="en-AE"/>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3-D848-43C1-92CE-2D1840E35209}"/>
                </c:ext>
              </c:extLst>
            </c:dLbl>
            <c:dLbl>
              <c:idx val="2"/>
              <c:tx>
                <c:rich>
                  <a:bodyPr/>
                  <a:lstStyle/>
                  <a:p>
                    <a:fld id="{7B074841-6C9F-4A36-BBFF-3D44E12A737C}" type="CELLRANGE">
                      <a:rPr lang="en-AE"/>
                      <a:pPr/>
                      <a:t>[CELLRANGE]</a:t>
                    </a:fld>
                    <a:endParaRPr lang="en-AE"/>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4-D848-43C1-92CE-2D1840E35209}"/>
                </c:ext>
              </c:extLst>
            </c:dLbl>
            <c:dLbl>
              <c:idx val="3"/>
              <c:tx>
                <c:rich>
                  <a:bodyPr/>
                  <a:lstStyle/>
                  <a:p>
                    <a:fld id="{3DF09202-8380-4CF7-8220-DDA4A1518F5F}" type="CELLRANGE">
                      <a:rPr lang="en-AE"/>
                      <a:pPr/>
                      <a:t>[CELLRANGE]</a:t>
                    </a:fld>
                    <a:endParaRPr lang="en-AE"/>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5-D848-43C1-92CE-2D1840E35209}"/>
                </c:ext>
              </c:extLst>
            </c:dLbl>
            <c:dLbl>
              <c:idx val="4"/>
              <c:tx>
                <c:rich>
                  <a:bodyPr/>
                  <a:lstStyle/>
                  <a:p>
                    <a:fld id="{0FB0C5BD-048E-422D-8019-E0A3C32475DB}" type="CELLRANGE">
                      <a:rPr lang="en-AE"/>
                      <a:pPr/>
                      <a:t>[CELLRANGE]</a:t>
                    </a:fld>
                    <a:endParaRPr lang="en-AE"/>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6-D848-43C1-92CE-2D1840E35209}"/>
                </c:ext>
              </c:extLst>
            </c:dLbl>
            <c:dLbl>
              <c:idx val="5"/>
              <c:tx>
                <c:rich>
                  <a:bodyPr/>
                  <a:lstStyle/>
                  <a:p>
                    <a:fld id="{8EAB549B-EC79-4FBD-B52B-7D6B9B1983F1}" type="CELLRANGE">
                      <a:rPr lang="en-AE"/>
                      <a:pPr/>
                      <a:t>[CELLRANGE]</a:t>
                    </a:fld>
                    <a:endParaRPr lang="en-AE"/>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7-D848-43C1-92CE-2D1840E35209}"/>
                </c:ext>
              </c:extLst>
            </c:dLbl>
            <c:dLbl>
              <c:idx val="6"/>
              <c:tx>
                <c:rich>
                  <a:bodyPr/>
                  <a:lstStyle/>
                  <a:p>
                    <a:fld id="{BDCC1D57-2276-4F1D-A687-9E4FF2FEF584}" type="CELLRANGE">
                      <a:rPr lang="en-AE"/>
                      <a:pPr/>
                      <a:t>[CELLRANGE]</a:t>
                    </a:fld>
                    <a:endParaRPr lang="en-AE"/>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8-D848-43C1-92CE-2D1840E35209}"/>
                </c:ext>
              </c:extLst>
            </c:dLbl>
            <c:dLbl>
              <c:idx val="7"/>
              <c:tx>
                <c:rich>
                  <a:bodyPr/>
                  <a:lstStyle/>
                  <a:p>
                    <a:fld id="{2ED13EB7-C8E7-44B3-ABD3-8FA23427E3F7}" type="CELLRANGE">
                      <a:rPr lang="en-AE"/>
                      <a:pPr/>
                      <a:t>[CELLRANGE]</a:t>
                    </a:fld>
                    <a:endParaRPr lang="en-AE"/>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9-D848-43C1-92CE-2D1840E35209}"/>
                </c:ext>
              </c:extLst>
            </c:dLbl>
            <c:dLbl>
              <c:idx val="8"/>
              <c:tx>
                <c:rich>
                  <a:bodyPr/>
                  <a:lstStyle/>
                  <a:p>
                    <a:fld id="{E4275E27-A78B-453B-B286-4661C101BFC8}" type="CELLRANGE">
                      <a:rPr lang="en-AE"/>
                      <a:pPr/>
                      <a:t>[CELLRANGE]</a:t>
                    </a:fld>
                    <a:endParaRPr lang="en-AE"/>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A-D848-43C1-92CE-2D1840E35209}"/>
                </c:ext>
              </c:extLst>
            </c:dLbl>
            <c:dLbl>
              <c:idx val="9"/>
              <c:tx>
                <c:rich>
                  <a:bodyPr/>
                  <a:lstStyle/>
                  <a:p>
                    <a:fld id="{27AD0E10-5E16-43D7-AC16-481AC68BB0E4}" type="CELLRANGE">
                      <a:rPr lang="en-AE"/>
                      <a:pPr/>
                      <a:t>[CELLRANGE]</a:t>
                    </a:fld>
                    <a:endParaRPr lang="en-AE"/>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B-D848-43C1-92CE-2D1840E35209}"/>
                </c:ext>
              </c:extLst>
            </c:dLbl>
            <c:dLbl>
              <c:idx val="10"/>
              <c:tx>
                <c:rich>
                  <a:bodyPr/>
                  <a:lstStyle/>
                  <a:p>
                    <a:fld id="{D928B59B-EB64-49DD-A456-268572C6A356}" type="CELLRANGE">
                      <a:rPr lang="en-AE"/>
                      <a:pPr/>
                      <a:t>[CELLRANGE]</a:t>
                    </a:fld>
                    <a:endParaRPr lang="en-AE"/>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D848-43C1-92CE-2D1840E35209}"/>
                </c:ext>
              </c:extLst>
            </c:dLbl>
            <c:dLbl>
              <c:idx val="11"/>
              <c:tx>
                <c:rich>
                  <a:bodyPr/>
                  <a:lstStyle/>
                  <a:p>
                    <a:fld id="{4CA6D0F9-08E1-47B8-B09B-42CEF366317D}" type="CELLRANGE">
                      <a:rPr lang="en-AE"/>
                      <a:pPr/>
                      <a:t>[CELLRANGE]</a:t>
                    </a:fld>
                    <a:endParaRPr lang="en-AE"/>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D-D848-43C1-92CE-2D1840E35209}"/>
                </c:ext>
              </c:extLst>
            </c:dLbl>
            <c:dLbl>
              <c:idx val="12"/>
              <c:tx>
                <c:rich>
                  <a:bodyPr/>
                  <a:lstStyle/>
                  <a:p>
                    <a:fld id="{D4B08041-38D9-414A-A4DE-B7BC36B2CEBA}" type="CELLRANGE">
                      <a:rPr lang="en-AE"/>
                      <a:pPr/>
                      <a:t>[CELLRANGE]</a:t>
                    </a:fld>
                    <a:endParaRPr lang="en-AE"/>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E-D848-43C1-92CE-2D1840E35209}"/>
                </c:ext>
              </c:extLst>
            </c:dLbl>
            <c:dLbl>
              <c:idx val="13"/>
              <c:tx>
                <c:rich>
                  <a:bodyPr/>
                  <a:lstStyle/>
                  <a:p>
                    <a:fld id="{A0141B5C-D672-46FA-A5FA-2E55FC53E61A}" type="CELLRANGE">
                      <a:rPr lang="en-AE"/>
                      <a:pPr/>
                      <a:t>[CELLRANGE]</a:t>
                    </a:fld>
                    <a:endParaRPr lang="en-AE"/>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F-D848-43C1-92CE-2D1840E35209}"/>
                </c:ext>
              </c:extLst>
            </c:dLbl>
            <c:dLbl>
              <c:idx val="14"/>
              <c:tx>
                <c:rich>
                  <a:bodyPr/>
                  <a:lstStyle/>
                  <a:p>
                    <a:fld id="{F96FC2F3-4504-43DA-B486-D6A007DA2A6B}" type="CELLRANGE">
                      <a:rPr lang="en-AE"/>
                      <a:pPr/>
                      <a:t>[CELLRANGE]</a:t>
                    </a:fld>
                    <a:endParaRPr lang="en-AE"/>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0-D848-43C1-92CE-2D1840E35209}"/>
                </c:ext>
              </c:extLst>
            </c:dLbl>
            <c:dLbl>
              <c:idx val="15"/>
              <c:tx>
                <c:rich>
                  <a:bodyPr/>
                  <a:lstStyle/>
                  <a:p>
                    <a:fld id="{0F42698F-7A95-4ED2-A007-9B77CB6164B4}" type="CELLRANGE">
                      <a:rPr lang="en-AE"/>
                      <a:pPr/>
                      <a:t>[CELLRANGE]</a:t>
                    </a:fld>
                    <a:endParaRPr lang="en-AE"/>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1-D848-43C1-92CE-2D1840E35209}"/>
                </c:ext>
              </c:extLst>
            </c:dLbl>
            <c:dLbl>
              <c:idx val="16"/>
              <c:tx>
                <c:rich>
                  <a:bodyPr/>
                  <a:lstStyle/>
                  <a:p>
                    <a:fld id="{D43A7BE5-B690-415D-99AA-339A3EE83411}" type="CELLRANGE">
                      <a:rPr lang="en-AE"/>
                      <a:pPr/>
                      <a:t>[CELLRANGE]</a:t>
                    </a:fld>
                    <a:endParaRPr lang="en-AE"/>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2-D848-43C1-92CE-2D1840E35209}"/>
                </c:ext>
              </c:extLst>
            </c:dLbl>
            <c:dLbl>
              <c:idx val="17"/>
              <c:tx>
                <c:rich>
                  <a:bodyPr/>
                  <a:lstStyle/>
                  <a:p>
                    <a:fld id="{F92C1E69-CEF1-4452-B515-95C028CF382E}" type="CELLRANGE">
                      <a:rPr lang="en-AE"/>
                      <a:pPr/>
                      <a:t>[CELLRANGE]</a:t>
                    </a:fld>
                    <a:endParaRPr lang="en-AE"/>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3-D848-43C1-92CE-2D1840E35209}"/>
                </c:ext>
              </c:extLst>
            </c:dLbl>
            <c:dLbl>
              <c:idx val="18"/>
              <c:tx>
                <c:rich>
                  <a:bodyPr/>
                  <a:lstStyle/>
                  <a:p>
                    <a:fld id="{19560C33-837B-4A33-AC62-0A0AC8B346AE}" type="CELLRANGE">
                      <a:rPr lang="en-AE"/>
                      <a:pPr/>
                      <a:t>[CELLRANGE]</a:t>
                    </a:fld>
                    <a:endParaRPr lang="en-AE"/>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4-D848-43C1-92CE-2D1840E35209}"/>
                </c:ext>
              </c:extLst>
            </c:dLbl>
            <c:dLbl>
              <c:idx val="19"/>
              <c:tx>
                <c:rich>
                  <a:bodyPr/>
                  <a:lstStyle/>
                  <a:p>
                    <a:fld id="{EA06C35C-46F0-4060-A435-FFF1E4137D33}" type="CELLRANGE">
                      <a:rPr lang="en-AE"/>
                      <a:pPr/>
                      <a:t>[CELLRANGE]</a:t>
                    </a:fld>
                    <a:endParaRPr lang="en-AE"/>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5-D848-43C1-92CE-2D1840E35209}"/>
                </c:ext>
              </c:extLst>
            </c:dLbl>
            <c:dLbl>
              <c:idx val="20"/>
              <c:tx>
                <c:rich>
                  <a:bodyPr/>
                  <a:lstStyle/>
                  <a:p>
                    <a:fld id="{4824B572-4CBA-438D-BF22-EDC7E6E49BDD}" type="CELLRANGE">
                      <a:rPr lang="en-AE"/>
                      <a:pPr/>
                      <a:t>[CELLRANGE]</a:t>
                    </a:fld>
                    <a:endParaRPr lang="en-AE"/>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6-D848-43C1-92CE-2D1840E35209}"/>
                </c:ext>
              </c:extLst>
            </c:dLbl>
            <c:dLbl>
              <c:idx val="21"/>
              <c:tx>
                <c:rich>
                  <a:bodyPr/>
                  <a:lstStyle/>
                  <a:p>
                    <a:fld id="{D86F3FEE-2714-425A-91E2-2B178FA7D2E2}" type="CELLRANGE">
                      <a:rPr lang="en-AE"/>
                      <a:pPr/>
                      <a:t>[CELLRANGE]</a:t>
                    </a:fld>
                    <a:endParaRPr lang="en-AE"/>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7-D848-43C1-92CE-2D1840E35209}"/>
                </c:ext>
              </c:extLst>
            </c:dLbl>
            <c:dLbl>
              <c:idx val="22"/>
              <c:tx>
                <c:rich>
                  <a:bodyPr/>
                  <a:lstStyle/>
                  <a:p>
                    <a:fld id="{B4AB762E-E01B-4A40-B5D7-F03823BADF74}" type="CELLRANGE">
                      <a:rPr lang="en-AE"/>
                      <a:pPr/>
                      <a:t>[CELLRANGE]</a:t>
                    </a:fld>
                    <a:endParaRPr lang="en-AE"/>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8-D848-43C1-92CE-2D1840E35209}"/>
                </c:ext>
              </c:extLst>
            </c:dLbl>
            <c:dLbl>
              <c:idx val="23"/>
              <c:tx>
                <c:rich>
                  <a:bodyPr/>
                  <a:lstStyle/>
                  <a:p>
                    <a:fld id="{CC303E62-B66F-4A9F-B01D-F34138752A65}" type="CELLRANGE">
                      <a:rPr lang="en-AE"/>
                      <a:pPr/>
                      <a:t>[CELLRANGE]</a:t>
                    </a:fld>
                    <a:endParaRPr lang="en-AE"/>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9-D848-43C1-92CE-2D1840E35209}"/>
                </c:ext>
              </c:extLst>
            </c:dLbl>
            <c:dLbl>
              <c:idx val="24"/>
              <c:tx>
                <c:rich>
                  <a:bodyPr/>
                  <a:lstStyle/>
                  <a:p>
                    <a:fld id="{3EC6DAFD-92AA-4EDA-BBBA-3973F3AABC35}" type="CELLRANGE">
                      <a:rPr lang="en-AE"/>
                      <a:pPr/>
                      <a:t>[CELLRANGE]</a:t>
                    </a:fld>
                    <a:endParaRPr lang="en-AE"/>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A-D848-43C1-92CE-2D1840E35209}"/>
                </c:ext>
              </c:extLst>
            </c:dLbl>
            <c:dLbl>
              <c:idx val="25"/>
              <c:tx>
                <c:rich>
                  <a:bodyPr/>
                  <a:lstStyle/>
                  <a:p>
                    <a:fld id="{72E048AD-9580-42B2-93DF-61D5969F6C7E}" type="CELLRANGE">
                      <a:rPr lang="en-AE"/>
                      <a:pPr/>
                      <a:t>[CELLRANGE]</a:t>
                    </a:fld>
                    <a:endParaRPr lang="en-AE"/>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B-D848-43C1-92CE-2D1840E35209}"/>
                </c:ext>
              </c:extLst>
            </c:dLbl>
            <c:dLbl>
              <c:idx val="26"/>
              <c:tx>
                <c:rich>
                  <a:bodyPr/>
                  <a:lstStyle/>
                  <a:p>
                    <a:fld id="{3DF267D0-A792-432F-BE35-3A56D5238C0B}" type="CELLRANGE">
                      <a:rPr lang="en-AE"/>
                      <a:pPr/>
                      <a:t>[CELLRANGE]</a:t>
                    </a:fld>
                    <a:endParaRPr lang="en-AE"/>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C-D848-43C1-92CE-2D1840E35209}"/>
                </c:ext>
              </c:extLst>
            </c:dLbl>
            <c:dLbl>
              <c:idx val="27"/>
              <c:tx>
                <c:rich>
                  <a:bodyPr/>
                  <a:lstStyle/>
                  <a:p>
                    <a:fld id="{00C2A922-24C9-420A-BAD0-438B9F493098}" type="CELLRANGE">
                      <a:rPr lang="en-AE"/>
                      <a:pPr/>
                      <a:t>[CELLRANGE]</a:t>
                    </a:fld>
                    <a:endParaRPr lang="en-AE"/>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D-D848-43C1-92CE-2D1840E35209}"/>
                </c:ext>
              </c:extLst>
            </c:dLbl>
            <c:dLbl>
              <c:idx val="28"/>
              <c:tx>
                <c:rich>
                  <a:bodyPr/>
                  <a:lstStyle/>
                  <a:p>
                    <a:fld id="{A22CD255-BE07-4A96-9B1E-83B087D80352}" type="CELLRANGE">
                      <a:rPr lang="en-AE"/>
                      <a:pPr/>
                      <a:t>[CELLRANGE]</a:t>
                    </a:fld>
                    <a:endParaRPr lang="en-AE"/>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E-D848-43C1-92CE-2D1840E35209}"/>
                </c:ext>
              </c:extLst>
            </c:dLbl>
            <c:dLbl>
              <c:idx val="29"/>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979FB59-D6FB-4C41-99B8-DADC1BDA83E7}" type="VALUE">
                      <a:rPr lang="en-US"/>
                      <a:pPr>
                        <a:defRPr/>
                      </a:pPr>
                      <a:t>[VALUE]</a:t>
                    </a:fld>
                    <a:endParaRPr lang="en-AE"/>
                  </a:p>
                </c:rich>
              </c:tx>
              <c:numFmt formatCode="&quot;AED&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D848-43C1-92CE-2D1840E352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numRef>
              <c:f>[0]!YearForChart1</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[0]!CumInterestForChart2</c:f>
              <c:numCache>
                <c:formatCode>"$"#,##0</c:formatCode>
                <c:ptCount val="30"/>
                <c:pt idx="0">
                  <c:v>99.999999999999986</c:v>
                </c:pt>
                <c:pt idx="1">
                  <c:v>199.99999999999997</c:v>
                </c:pt>
                <c:pt idx="2">
                  <c:v>299.99999999999994</c:v>
                </c:pt>
                <c:pt idx="3">
                  <c:v>399.99999999999994</c:v>
                </c:pt>
                <c:pt idx="4">
                  <c:v>499.99999999999994</c:v>
                </c:pt>
                <c:pt idx="5">
                  <c:v>599.99999999999989</c:v>
                </c:pt>
                <c:pt idx="6">
                  <c:v>699.99999999999989</c:v>
                </c:pt>
                <c:pt idx="7">
                  <c:v>799.99999999999989</c:v>
                </c:pt>
                <c:pt idx="8">
                  <c:v>899.99999999999989</c:v>
                </c:pt>
                <c:pt idx="9">
                  <c:v>999.99999999999989</c:v>
                </c:pt>
                <c:pt idx="10">
                  <c:v>1099.9999999999998</c:v>
                </c:pt>
                <c:pt idx="11">
                  <c:v>1199.9999999999998</c:v>
                </c:pt>
                <c:pt idx="12">
                  <c:v>1299.9999999999998</c:v>
                </c:pt>
                <c:pt idx="13">
                  <c:v>1399.9999999999998</c:v>
                </c:pt>
                <c:pt idx="14">
                  <c:v>1499.9999999999998</c:v>
                </c:pt>
                <c:pt idx="15">
                  <c:v>1599.9999999999998</c:v>
                </c:pt>
                <c:pt idx="16">
                  <c:v>1699.9999999999998</c:v>
                </c:pt>
                <c:pt idx="17">
                  <c:v>1799.9999999999998</c:v>
                </c:pt>
                <c:pt idx="18">
                  <c:v>1899.9999999999998</c:v>
                </c:pt>
                <c:pt idx="19">
                  <c:v>1999.9999999999998</c:v>
                </c:pt>
                <c:pt idx="20">
                  <c:v>2099.9999999999995</c:v>
                </c:pt>
                <c:pt idx="21">
                  <c:v>2199.9999999999995</c:v>
                </c:pt>
                <c:pt idx="22">
                  <c:v>2299.9999999999995</c:v>
                </c:pt>
                <c:pt idx="23">
                  <c:v>2399.9999999999995</c:v>
                </c:pt>
                <c:pt idx="24">
                  <c:v>2499.9999999999995</c:v>
                </c:pt>
                <c:pt idx="25">
                  <c:v>2599.9999999999995</c:v>
                </c:pt>
                <c:pt idx="26">
                  <c:v>2699.9999999999995</c:v>
                </c:pt>
                <c:pt idx="27">
                  <c:v>2799.9999999999995</c:v>
                </c:pt>
                <c:pt idx="28">
                  <c:v>2899.9999999999995</c:v>
                </c:pt>
                <c:pt idx="29">
                  <c:v>2999.9999999999995</c:v>
                </c:pt>
              </c:numCache>
            </c:numRef>
          </c:val>
          <c:smooth val="0"/>
          <c:extLst>
            <c:ext xmlns:c15="http://schemas.microsoft.com/office/drawing/2012/chart" uri="{02D57815-91ED-43cb-92C2-25804820EDAC}">
              <c15:datalabelsRange>
                <c15:f>'RE Calculations'!$H$23:$H$52</c15:f>
                <c15:dlblRangeCache>
                  <c:ptCount val="30"/>
                  <c:pt idx="29">
                    <c:v>$3,000</c:v>
                  </c:pt>
                </c15:dlblRangeCache>
              </c15:datalabelsRange>
            </c:ext>
            <c:ext xmlns:c16="http://schemas.microsoft.com/office/drawing/2014/chart" uri="{C3380CC4-5D6E-409C-BE32-E72D297353CC}">
              <c16:uniqueId val="{00000002-D848-43C1-92CE-2D1840E35209}"/>
            </c:ext>
          </c:extLst>
        </c:ser>
        <c:dLbls>
          <c:dLblPos val="t"/>
          <c:showLegendKey val="0"/>
          <c:showVal val="1"/>
          <c:showCatName val="0"/>
          <c:showSerName val="0"/>
          <c:showPercent val="0"/>
          <c:showBubbleSize val="0"/>
        </c:dLbls>
        <c:marker val="1"/>
        <c:smooth val="0"/>
        <c:axId val="51550480"/>
        <c:axId val="51549040"/>
      </c:lineChart>
      <c:catAx>
        <c:axId val="5155048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AU" b="1"/>
                  <a:t>Year</a:t>
                </a:r>
              </a:p>
            </c:rich>
          </c:tx>
          <c:layout>
            <c:manualLayout>
              <c:xMode val="edge"/>
              <c:yMode val="edge"/>
              <c:x val="0.52240706663095071"/>
              <c:y val="0.83965781506891468"/>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49040"/>
        <c:crosses val="autoZero"/>
        <c:auto val="1"/>
        <c:lblAlgn val="ctr"/>
        <c:lblOffset val="100"/>
        <c:noMultiLvlLbl val="0"/>
      </c:catAx>
      <c:valAx>
        <c:axId val="51549040"/>
        <c:scaling>
          <c:orientation val="minMax"/>
          <c:min val="0"/>
        </c:scaling>
        <c:delete val="0"/>
        <c:axPos val="l"/>
        <c:majorGridlines>
          <c:spPr>
            <a:ln w="6350" cap="flat" cmpd="sng" algn="ctr">
              <a:solidFill>
                <a:schemeClr val="bg1">
                  <a:lumMod val="85000"/>
                  <a:alpha val="80000"/>
                </a:schemeClr>
              </a:solidFill>
              <a:round/>
            </a:ln>
            <a:effectLst/>
          </c:spPr>
        </c:majorGridlines>
        <c:numFmt formatCode="&quot;AED&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50480"/>
        <c:crosses val="autoZero"/>
        <c:crossBetween val="between"/>
      </c:valAx>
      <c:valAx>
        <c:axId val="2074345583"/>
        <c:scaling>
          <c:orientation val="minMax"/>
        </c:scaling>
        <c:delete val="1"/>
        <c:axPos val="r"/>
        <c:numFmt formatCode="&quot;$&quot;#,##0" sourceLinked="1"/>
        <c:majorTickMark val="out"/>
        <c:minorTickMark val="none"/>
        <c:tickLblPos val="nextTo"/>
        <c:crossAx val="2074346063"/>
        <c:crosses val="max"/>
        <c:crossBetween val="between"/>
      </c:valAx>
      <c:catAx>
        <c:axId val="2074346063"/>
        <c:scaling>
          <c:orientation val="minMax"/>
        </c:scaling>
        <c:delete val="1"/>
        <c:axPos val="b"/>
        <c:numFmt formatCode="General" sourceLinked="1"/>
        <c:majorTickMark val="out"/>
        <c:minorTickMark val="none"/>
        <c:tickLblPos val="nextTo"/>
        <c:crossAx val="2074345583"/>
        <c:crosses val="autoZero"/>
        <c:auto val="1"/>
        <c:lblAlgn val="ctr"/>
        <c:lblOffset val="100"/>
        <c:noMultiLvlLbl val="0"/>
      </c:catAx>
      <c:spPr>
        <a:noFill/>
        <a:ln>
          <a:noFill/>
        </a:ln>
        <a:effectLst/>
      </c:spPr>
    </c:plotArea>
    <c:legend>
      <c:legendPos val="b"/>
      <c:legendEntry>
        <c:idx val="0"/>
        <c:delete val="1"/>
      </c:legendEntry>
      <c:layout>
        <c:manualLayout>
          <c:xMode val="edge"/>
          <c:yMode val="edge"/>
          <c:x val="0.40372219272692089"/>
          <c:y val="1.4148098435315736E-2"/>
          <c:w val="0.59578177929871157"/>
          <c:h val="6.2808343028963806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AU" b="1">
                <a:solidFill>
                  <a:schemeClr val="tx2"/>
                </a:solidFill>
              </a:rPr>
              <a:t>Property and Equity Growth</a:t>
            </a:r>
          </a:p>
        </c:rich>
      </c:tx>
      <c:layout>
        <c:manualLayout>
          <c:xMode val="edge"/>
          <c:yMode val="edge"/>
          <c:x val="7.2548004907501296E-4"/>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'RE Calculations'!$C$78</c:f>
              <c:strCache>
                <c:ptCount val="1"/>
                <c:pt idx="0">
                  <c:v>Property Value</c:v>
                </c:pt>
              </c:strCache>
            </c:strRef>
          </c:tx>
          <c:spPr>
            <a:solidFill>
              <a:schemeClr val="accent1"/>
            </a:solidFill>
            <a:ln>
              <a:noFill/>
            </a:ln>
            <a:effectLst/>
          </c:spPr>
          <c:invertIfNegative val="0"/>
          <c:cat>
            <c:numRef>
              <c:f>[0]!YearForChart3</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[0]!PropValueForChart3</c:f>
              <c:numCache>
                <c:formatCode>"$"#,##0</c:formatCode>
                <c:ptCount val="30"/>
                <c:pt idx="0">
                  <c:v>1716750</c:v>
                </c:pt>
                <c:pt idx="1">
                  <c:v>1802587.5</c:v>
                </c:pt>
                <c:pt idx="2">
                  <c:v>1892716.875</c:v>
                </c:pt>
                <c:pt idx="3">
                  <c:v>1987352.71875</c:v>
                </c:pt>
                <c:pt idx="4">
                  <c:v>2086720.3546875</c:v>
                </c:pt>
                <c:pt idx="5">
                  <c:v>2191056.3724218751</c:v>
                </c:pt>
                <c:pt idx="6">
                  <c:v>2300609.191042969</c:v>
                </c:pt>
                <c:pt idx="7">
                  <c:v>2415639.6505951174</c:v>
                </c:pt>
                <c:pt idx="8">
                  <c:v>2536421.6331248735</c:v>
                </c:pt>
                <c:pt idx="9">
                  <c:v>2663242.7147811172</c:v>
                </c:pt>
                <c:pt idx="10">
                  <c:v>2796404.8505201731</c:v>
                </c:pt>
                <c:pt idx="11">
                  <c:v>2936225.0930461818</c:v>
                </c:pt>
                <c:pt idx="12">
                  <c:v>3083036.3476984911</c:v>
                </c:pt>
                <c:pt idx="13">
                  <c:v>3237188.1650834158</c:v>
                </c:pt>
                <c:pt idx="14">
                  <c:v>3399047.5733375866</c:v>
                </c:pt>
                <c:pt idx="15">
                  <c:v>3568999.9520044662</c:v>
                </c:pt>
                <c:pt idx="16">
                  <c:v>3747449.9496046896</c:v>
                </c:pt>
                <c:pt idx="17">
                  <c:v>3934822.4470849242</c:v>
                </c:pt>
                <c:pt idx="18">
                  <c:v>4131563.5694391704</c:v>
                </c:pt>
                <c:pt idx="19">
                  <c:v>4338141.7479111291</c:v>
                </c:pt>
                <c:pt idx="20">
                  <c:v>4555048.8353066854</c:v>
                </c:pt>
                <c:pt idx="21">
                  <c:v>4782801.2770720199</c:v>
                </c:pt>
                <c:pt idx="22">
                  <c:v>5021941.3409256209</c:v>
                </c:pt>
                <c:pt idx="23">
                  <c:v>5273038.4079719018</c:v>
                </c:pt>
                <c:pt idx="24">
                  <c:v>5536690.3283704976</c:v>
                </c:pt>
                <c:pt idx="25">
                  <c:v>5813524.8447890226</c:v>
                </c:pt>
                <c:pt idx="26">
                  <c:v>6104201.0870284736</c:v>
                </c:pt>
                <c:pt idx="27">
                  <c:v>6409411.1413798975</c:v>
                </c:pt>
                <c:pt idx="28">
                  <c:v>6729881.6984488927</c:v>
                </c:pt>
                <c:pt idx="29">
                  <c:v>7066375.7833713377</c:v>
                </c:pt>
              </c:numCache>
            </c:numRef>
          </c:val>
          <c:extLst>
            <c:ext xmlns:c16="http://schemas.microsoft.com/office/drawing/2014/chart" uri="{C3380CC4-5D6E-409C-BE32-E72D297353CC}">
              <c16:uniqueId val="{00000000-7391-47CC-92D8-2C753B831566}"/>
            </c:ext>
          </c:extLst>
        </c:ser>
        <c:ser>
          <c:idx val="1"/>
          <c:order val="1"/>
          <c:tx>
            <c:strRef>
              <c:f>'RE Calculations'!$D$78</c:f>
              <c:strCache>
                <c:ptCount val="1"/>
                <c:pt idx="0">
                  <c:v>Equity Value</c:v>
                </c:pt>
              </c:strCache>
            </c:strRef>
          </c:tx>
          <c:spPr>
            <a:solidFill>
              <a:schemeClr val="accent2"/>
            </a:solidFill>
            <a:ln>
              <a:noFill/>
            </a:ln>
            <a:effectLst/>
          </c:spPr>
          <c:invertIfNegative val="0"/>
          <c:cat>
            <c:numRef>
              <c:f>[0]!YearForChart3</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[0]!EqValueForChart3</c:f>
              <c:numCache>
                <c:formatCode>"$"#,##0</c:formatCode>
                <c:ptCount val="30"/>
                <c:pt idx="0">
                  <c:v>1716750</c:v>
                </c:pt>
                <c:pt idx="1">
                  <c:v>1802587.5</c:v>
                </c:pt>
                <c:pt idx="2">
                  <c:v>1892716.875</c:v>
                </c:pt>
                <c:pt idx="3">
                  <c:v>1987352.71875</c:v>
                </c:pt>
                <c:pt idx="4">
                  <c:v>2086720.3546875</c:v>
                </c:pt>
                <c:pt idx="5">
                  <c:v>2191056.3724218751</c:v>
                </c:pt>
                <c:pt idx="6">
                  <c:v>2300609.191042969</c:v>
                </c:pt>
                <c:pt idx="7">
                  <c:v>2415639.6505951174</c:v>
                </c:pt>
                <c:pt idx="8">
                  <c:v>2536421.6331248735</c:v>
                </c:pt>
                <c:pt idx="9">
                  <c:v>2663242.7147811172</c:v>
                </c:pt>
                <c:pt idx="10">
                  <c:v>2796404.8505201731</c:v>
                </c:pt>
                <c:pt idx="11">
                  <c:v>2936225.0930461818</c:v>
                </c:pt>
                <c:pt idx="12">
                  <c:v>3083036.3476984911</c:v>
                </c:pt>
                <c:pt idx="13">
                  <c:v>3237188.1650834158</c:v>
                </c:pt>
                <c:pt idx="14">
                  <c:v>3399047.5733375866</c:v>
                </c:pt>
                <c:pt idx="15">
                  <c:v>3568999.9520044662</c:v>
                </c:pt>
                <c:pt idx="16">
                  <c:v>3747449.9496046896</c:v>
                </c:pt>
                <c:pt idx="17">
                  <c:v>3934822.4470849242</c:v>
                </c:pt>
                <c:pt idx="18">
                  <c:v>4131563.5694391704</c:v>
                </c:pt>
                <c:pt idx="19">
                  <c:v>4338141.7479111291</c:v>
                </c:pt>
                <c:pt idx="20">
                  <c:v>4555048.8353066854</c:v>
                </c:pt>
                <c:pt idx="21">
                  <c:v>4782801.2770720199</c:v>
                </c:pt>
                <c:pt idx="22">
                  <c:v>5021941.3409256209</c:v>
                </c:pt>
                <c:pt idx="23">
                  <c:v>5273038.4079719018</c:v>
                </c:pt>
                <c:pt idx="24">
                  <c:v>5536690.3283704976</c:v>
                </c:pt>
                <c:pt idx="25">
                  <c:v>5813524.8447890226</c:v>
                </c:pt>
                <c:pt idx="26">
                  <c:v>6104201.0870284736</c:v>
                </c:pt>
                <c:pt idx="27">
                  <c:v>6409411.1413798975</c:v>
                </c:pt>
                <c:pt idx="28">
                  <c:v>6729881.6984488927</c:v>
                </c:pt>
                <c:pt idx="29">
                  <c:v>7066375.7833713377</c:v>
                </c:pt>
              </c:numCache>
            </c:numRef>
          </c:val>
          <c:extLst>
            <c:ext xmlns:c16="http://schemas.microsoft.com/office/drawing/2014/chart" uri="{C3380CC4-5D6E-409C-BE32-E72D297353CC}">
              <c16:uniqueId val="{00000001-7391-47CC-92D8-2C753B831566}"/>
            </c:ext>
          </c:extLst>
        </c:ser>
        <c:dLbls>
          <c:showLegendKey val="0"/>
          <c:showVal val="0"/>
          <c:showCatName val="0"/>
          <c:showSerName val="0"/>
          <c:showPercent val="0"/>
          <c:showBubbleSize val="0"/>
        </c:dLbls>
        <c:gapWidth val="150"/>
        <c:axId val="51550480"/>
        <c:axId val="51549040"/>
      </c:barChart>
      <c:barChart>
        <c:barDir val="col"/>
        <c:grouping val="clustered"/>
        <c:varyColors val="0"/>
        <c:ser>
          <c:idx val="2"/>
          <c:order val="2"/>
          <c:tx>
            <c:strRef>
              <c:f>'RE Calculations'!$E$78</c:f>
              <c:strCache>
                <c:ptCount val="1"/>
                <c:pt idx="0">
                  <c:v>Holding Period</c:v>
                </c:pt>
              </c:strCache>
            </c:strRef>
          </c:tx>
          <c:spPr>
            <a:noFill/>
            <a:ln>
              <a:noFill/>
            </a:ln>
            <a:effectLst/>
          </c:spPr>
          <c:invertIfNegative val="0"/>
          <c:dPt>
            <c:idx val="9"/>
            <c:invertIfNegative val="0"/>
            <c:bubble3D val="0"/>
            <c:spPr>
              <a:noFill/>
              <a:ln>
                <a:noFill/>
              </a:ln>
              <a:effectLst/>
            </c:spPr>
            <c:extLst>
              <c:ext xmlns:c16="http://schemas.microsoft.com/office/drawing/2014/chart" uri="{C3380CC4-5D6E-409C-BE32-E72D297353CC}">
                <c16:uniqueId val="{00000001-53BF-423D-8C09-8DA8B108186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[0]!YearForChart3</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[0]!HoldPeriodForChart3</c:f>
              <c:numCache>
                <c:formatCode>"$"#,##0</c:formatCode>
                <c:ptCount val="30"/>
                <c:pt idx="0">
                  <c:v>#N/A</c:v>
                </c:pt>
                <c:pt idx="1">
                  <c:v>#N/A</c:v>
                </c:pt>
                <c:pt idx="2">
                  <c:v>#N/A</c:v>
                </c:pt>
                <c:pt idx="3">
                  <c:v>#N/A</c:v>
                </c:pt>
                <c:pt idx="4">
                  <c:v>2086720.3546875</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numCache>
            </c:numRef>
          </c:val>
          <c:extLst>
            <c:ext xmlns:c16="http://schemas.microsoft.com/office/drawing/2014/chart" uri="{C3380CC4-5D6E-409C-BE32-E72D297353CC}">
              <c16:uniqueId val="{00000004-7391-47CC-92D8-2C753B831566}"/>
            </c:ext>
          </c:extLst>
        </c:ser>
        <c:dLbls>
          <c:showLegendKey val="0"/>
          <c:showVal val="0"/>
          <c:showCatName val="0"/>
          <c:showSerName val="0"/>
          <c:showPercent val="0"/>
          <c:showBubbleSize val="0"/>
        </c:dLbls>
        <c:gapWidth val="90"/>
        <c:axId val="2076428335"/>
        <c:axId val="2076432175"/>
      </c:barChart>
      <c:catAx>
        <c:axId val="5155048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AU"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49040"/>
        <c:crosses val="autoZero"/>
        <c:auto val="1"/>
        <c:lblAlgn val="ctr"/>
        <c:lblOffset val="100"/>
        <c:noMultiLvlLbl val="0"/>
      </c:catAx>
      <c:valAx>
        <c:axId val="51549040"/>
        <c:scaling>
          <c:orientation val="minMax"/>
        </c:scaling>
        <c:delete val="0"/>
        <c:axPos val="l"/>
        <c:majorGridlines>
          <c:spPr>
            <a:ln w="9525" cap="flat" cmpd="sng" algn="ctr">
              <a:solidFill>
                <a:schemeClr val="tx1">
                  <a:lumMod val="15000"/>
                  <a:lumOff val="85000"/>
                </a:schemeClr>
              </a:solidFill>
              <a:round/>
            </a:ln>
            <a:effectLst/>
          </c:spPr>
        </c:majorGridlines>
        <c:numFmt formatCode="&quot;AED&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50480"/>
        <c:crosses val="autoZero"/>
        <c:crossBetween val="between"/>
      </c:valAx>
      <c:valAx>
        <c:axId val="2076432175"/>
        <c:scaling>
          <c:orientation val="minMax"/>
        </c:scaling>
        <c:delete val="1"/>
        <c:axPos val="r"/>
        <c:numFmt formatCode="&quot;$&quot;#,##0" sourceLinked="1"/>
        <c:majorTickMark val="out"/>
        <c:minorTickMark val="none"/>
        <c:tickLblPos val="nextTo"/>
        <c:crossAx val="2076428335"/>
        <c:crosses val="max"/>
        <c:crossBetween val="between"/>
      </c:valAx>
      <c:catAx>
        <c:axId val="2076428335"/>
        <c:scaling>
          <c:orientation val="minMax"/>
        </c:scaling>
        <c:delete val="1"/>
        <c:axPos val="b"/>
        <c:numFmt formatCode="General" sourceLinked="1"/>
        <c:majorTickMark val="out"/>
        <c:minorTickMark val="none"/>
        <c:tickLblPos val="nextTo"/>
        <c:crossAx val="2076432175"/>
        <c:crosses val="autoZero"/>
        <c:auto val="1"/>
        <c:lblAlgn val="ctr"/>
        <c:lblOffset val="100"/>
        <c:noMultiLvlLbl val="0"/>
      </c:catAx>
      <c:spPr>
        <a:noFill/>
        <a:ln>
          <a:noFill/>
        </a:ln>
        <a:effectLst/>
      </c:spPr>
    </c:plotArea>
    <c:legend>
      <c:legendPos val="r"/>
      <c:legendEntry>
        <c:idx val="2"/>
        <c:delete val="1"/>
      </c:legendEntry>
      <c:layout>
        <c:manualLayout>
          <c:xMode val="edge"/>
          <c:yMode val="edge"/>
          <c:x val="0.73159691973238683"/>
          <c:y val="1.3395209528191572E-2"/>
          <c:w val="0.26575062294778989"/>
          <c:h val="6.234353890023709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AU" b="1">
                <a:solidFill>
                  <a:schemeClr val="tx2"/>
                </a:solidFill>
              </a:rPr>
              <a:t>Gross and Net Annualised ROI</a:t>
            </a:r>
          </a:p>
        </c:rich>
      </c:tx>
      <c:layout>
        <c:manualLayout>
          <c:xMode val="edge"/>
          <c:yMode val="edge"/>
          <c:x val="3.2003943289012492E-3"/>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lotArea>
      <c:layout>
        <c:manualLayout>
          <c:layoutTarget val="inner"/>
          <c:xMode val="edge"/>
          <c:yMode val="edge"/>
          <c:x val="4.5262521794811376E-2"/>
          <c:y val="0.13804706615062948"/>
          <c:w val="0.87341670199414478"/>
          <c:h val="0.63015570645245433"/>
        </c:manualLayout>
      </c:layout>
      <c:barChart>
        <c:barDir val="col"/>
        <c:grouping val="clustered"/>
        <c:varyColors val="0"/>
        <c:ser>
          <c:idx val="3"/>
          <c:order val="2"/>
          <c:tx>
            <c:strRef>
              <c:f>'RE Calculations'!$L$78</c:f>
              <c:strCache>
                <c:ptCount val="1"/>
                <c:pt idx="0">
                  <c:v>Holding Period</c:v>
                </c:pt>
              </c:strCache>
            </c:strRef>
          </c:tx>
          <c:spPr>
            <a:solidFill>
              <a:schemeClr val="bg2">
                <a:alpha val="50000"/>
              </a:schemeClr>
            </a:solidFill>
            <a:ln>
              <a:noFill/>
            </a:ln>
            <a:effectLst/>
          </c:spPr>
          <c:invertIfNegative val="0"/>
          <c:dPt>
            <c:idx val="10"/>
            <c:invertIfNegative val="0"/>
            <c:bubble3D val="0"/>
            <c:spPr>
              <a:solidFill>
                <a:schemeClr val="bg2">
                  <a:alpha val="50000"/>
                </a:schemeClr>
              </a:solidFill>
              <a:ln>
                <a:noFill/>
              </a:ln>
              <a:effectLst/>
            </c:spPr>
            <c:extLst>
              <c:ext xmlns:c16="http://schemas.microsoft.com/office/drawing/2014/chart" uri="{C3380CC4-5D6E-409C-BE32-E72D297353CC}">
                <c16:uniqueId val="{00000000-92F6-4C95-A5CB-F1447A7074A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[0]!YearForChart4</c:f>
              <c:numCache>
                <c:formatCode>General</c:formatCod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numCache>
            </c:numRef>
          </c:cat>
          <c:val>
            <c:numRef>
              <c:f>[0]!HoldPeriodForChart4</c:f>
              <c:numCache>
                <c:formatCode>"$"#,##0</c:formatCode>
                <c:ptCount val="31"/>
                <c:pt idx="0">
                  <c:v>#N/A</c:v>
                </c:pt>
                <c:pt idx="1">
                  <c:v>#N/A</c:v>
                </c:pt>
                <c:pt idx="2">
                  <c:v>#N/A</c:v>
                </c:pt>
                <c:pt idx="3">
                  <c:v>#N/A</c:v>
                </c:pt>
                <c:pt idx="4">
                  <c:v>#N/A</c:v>
                </c:pt>
                <c:pt idx="5">
                  <c:v>10874230.418305244</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numCache>
            </c:numRef>
          </c:val>
          <c:extLst>
            <c:ext xmlns:c16="http://schemas.microsoft.com/office/drawing/2014/chart" uri="{C3380CC4-5D6E-409C-BE32-E72D297353CC}">
              <c16:uniqueId val="{00000001-92F6-4C95-A5CB-F1447A7074A3}"/>
            </c:ext>
          </c:extLst>
        </c:ser>
        <c:dLbls>
          <c:showLegendKey val="0"/>
          <c:showVal val="0"/>
          <c:showCatName val="0"/>
          <c:showSerName val="0"/>
          <c:showPercent val="0"/>
          <c:showBubbleSize val="0"/>
        </c:dLbls>
        <c:gapWidth val="500"/>
        <c:overlap val="50"/>
        <c:axId val="1532113328"/>
        <c:axId val="1532109968"/>
      </c:barChart>
      <c:lineChart>
        <c:grouping val="standard"/>
        <c:varyColors val="0"/>
        <c:ser>
          <c:idx val="2"/>
          <c:order val="0"/>
          <c:tx>
            <c:strRef>
              <c:f>'RE Calculations'!$J$78</c:f>
              <c:strCache>
                <c:ptCount val="1"/>
                <c:pt idx="0">
                  <c:v>Gross Annualized ROI</c:v>
                </c:pt>
              </c:strCache>
            </c:strRef>
          </c:tx>
          <c:spPr>
            <a:ln w="28575" cap="rnd">
              <a:solidFill>
                <a:schemeClr val="tx2"/>
              </a:solidFill>
              <a:round/>
            </a:ln>
            <a:effectLst/>
          </c:spPr>
          <c:marker>
            <c:symbol val="circle"/>
            <c:size val="5"/>
            <c:spPr>
              <a:solidFill>
                <a:schemeClr val="tx2"/>
              </a:solidFill>
              <a:ln w="9525">
                <a:solidFill>
                  <a:schemeClr val="tx2"/>
                </a:solidFill>
              </a:ln>
              <a:effectLst/>
            </c:spPr>
          </c:marker>
          <c:cat>
            <c:numRef>
              <c:f>[0]!YearForChart4</c:f>
              <c:numCache>
                <c:formatCode>General</c:formatCod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numCache>
            </c:numRef>
          </c:cat>
          <c:val>
            <c:numRef>
              <c:f>[0]!GrossROIForChart4</c:f>
              <c:numCache>
                <c:formatCode>0%</c:formatCode>
                <c:ptCount val="31"/>
                <c:pt idx="0">
                  <c:v>0</c:v>
                </c:pt>
                <c:pt idx="1">
                  <c:v>4.8024174483004577E-2</c:v>
                </c:pt>
                <c:pt idx="2">
                  <c:v>5.0282959000692129E-2</c:v>
                </c:pt>
                <c:pt idx="3">
                  <c:v>5.1911582898561071E-2</c:v>
                </c:pt>
                <c:pt idx="4">
                  <c:v>5.3415505231174297E-2</c:v>
                </c:pt>
                <c:pt idx="5">
                  <c:v>5.4897131353032404E-2</c:v>
                </c:pt>
                <c:pt idx="6">
                  <c:v>5.6391745732941596E-2</c:v>
                </c:pt>
                <c:pt idx="7">
                  <c:v>5.7915504701680234E-2</c:v>
                </c:pt>
                <c:pt idx="8">
                  <c:v>5.947743679394743E-2</c:v>
                </c:pt>
                <c:pt idx="9">
                  <c:v>6.1083444873709841E-2</c:v>
                </c:pt>
                <c:pt idx="10">
                  <c:v>6.2737908885078797E-2</c:v>
                </c:pt>
                <c:pt idx="11">
                  <c:v>6.4444416189777962E-2</c:v>
                </c:pt>
                <c:pt idx="12">
                  <c:v>6.6206128482180493E-2</c:v>
                </c:pt>
                <c:pt idx="13">
                  <c:v>6.8025981051515708E-2</c:v>
                </c:pt>
                <c:pt idx="14">
                  <c:v>6.9906798296244257E-2</c:v>
                </c:pt>
                <c:pt idx="15">
                  <c:v>7.1851364649934718E-2</c:v>
                </c:pt>
                <c:pt idx="16">
                  <c:v>7.3862470501918867E-2</c:v>
                </c:pt>
                <c:pt idx="17">
                  <c:v>7.5942943483909814E-2</c:v>
                </c:pt>
                <c:pt idx="18">
                  <c:v>7.8095670887890017E-2</c:v>
                </c:pt>
                <c:pt idx="19">
                  <c:v>8.0323616556597491E-2</c:v>
                </c:pt>
                <c:pt idx="20">
                  <c:v>8.2629834254917517E-2</c:v>
                </c:pt>
                <c:pt idx="21">
                  <c:v>8.501747876892847E-2</c:v>
                </c:pt>
                <c:pt idx="22">
                  <c:v>8.748981552950473E-2</c:v>
                </c:pt>
                <c:pt idx="23">
                  <c:v>9.0050229283730021E-2</c:v>
                </c:pt>
                <c:pt idx="24">
                  <c:v>9.2702232166512924E-2</c:v>
                </c:pt>
                <c:pt idx="25">
                  <c:v>9.5449471415614301E-2</c:v>
                </c:pt>
                <c:pt idx="26">
                  <c:v>9.8295736902081002E-2</c:v>
                </c:pt>
                <c:pt idx="27">
                  <c:v>0.10124496860077935</c:v>
                </c:pt>
                <c:pt idx="28">
                  <c:v>0.10430126409379736</c:v>
                </c:pt>
                <c:pt idx="29">
                  <c:v>0.10746888617765085</c:v>
                </c:pt>
                <c:pt idx="30">
                  <c:v>0.11075227063012334</c:v>
                </c:pt>
              </c:numCache>
            </c:numRef>
          </c:val>
          <c:smooth val="0"/>
          <c:extLst>
            <c:ext xmlns:c16="http://schemas.microsoft.com/office/drawing/2014/chart" uri="{C3380CC4-5D6E-409C-BE32-E72D297353CC}">
              <c16:uniqueId val="{00000042-92F6-4C95-A5CB-F1447A7074A3}"/>
            </c:ext>
          </c:extLst>
        </c:ser>
        <c:ser>
          <c:idx val="4"/>
          <c:order val="1"/>
          <c:tx>
            <c:strRef>
              <c:f>'RE Calculations'!$K$78</c:f>
              <c:strCache>
                <c:ptCount val="1"/>
                <c:pt idx="0">
                  <c:v>Net Annualized ROI</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[0]!YearForChart4</c:f>
              <c:numCache>
                <c:formatCode>General</c:formatCod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numCache>
            </c:numRef>
          </c:cat>
          <c:val>
            <c:numRef>
              <c:f>[0]!NetROIForChart4</c:f>
              <c:numCache>
                <c:formatCode>0%</c:formatCode>
                <c:ptCount val="31"/>
                <c:pt idx="0">
                  <c:v>0</c:v>
                </c:pt>
                <c:pt idx="1">
                  <c:v>9.4127082179127131E-2</c:v>
                </c:pt>
                <c:pt idx="2">
                  <c:v>9.7817291650922261E-2</c:v>
                </c:pt>
                <c:pt idx="3">
                  <c:v>0.10092505466803571</c:v>
                </c:pt>
                <c:pt idx="4">
                  <c:v>0.10395761956622301</c:v>
                </c:pt>
                <c:pt idx="5">
                  <c:v>0.10701925255242506</c:v>
                </c:pt>
                <c:pt idx="6">
                  <c:v>0.11014717350127144</c:v>
                </c:pt>
                <c:pt idx="7">
                  <c:v>0.11335955181268807</c:v>
                </c:pt>
                <c:pt idx="8">
                  <c:v>0.11666750999718413</c:v>
                </c:pt>
                <c:pt idx="9">
                  <c:v>0.12007912918377467</c:v>
                </c:pt>
                <c:pt idx="10">
                  <c:v>0.12360105539877039</c:v>
                </c:pt>
                <c:pt idx="11">
                  <c:v>0.12723923358286651</c:v>
                </c:pt>
                <c:pt idx="12">
                  <c:v>0.13099927834416333</c:v>
                </c:pt>
                <c:pt idx="13">
                  <c:v>0.13488667722367079</c:v>
                </c:pt>
                <c:pt idx="14">
                  <c:v>0.13890691038555542</c:v>
                </c:pt>
                <c:pt idx="15">
                  <c:v>0.14306552589904956</c:v>
                </c:pt>
                <c:pt idx="16">
                  <c:v>0.1473681902032199</c:v>
                </c:pt>
                <c:pt idx="17">
                  <c:v>0.15182072413405834</c:v>
                </c:pt>
                <c:pt idx="18">
                  <c:v>0.15642913028784719</c:v>
                </c:pt>
                <c:pt idx="19">
                  <c:v>0.16119961507115943</c:v>
                </c:pt>
                <c:pt idx="20">
                  <c:v>0.16613860745523779</c:v>
                </c:pt>
                <c:pt idx="21">
                  <c:v>0.17125277569135844</c:v>
                </c:pt>
                <c:pt idx="22">
                  <c:v>0.17654904279438169</c:v>
                </c:pt>
                <c:pt idx="23">
                  <c:v>0.18203460132850294</c:v>
                </c:pt>
                <c:pt idx="24">
                  <c:v>0.18771692785883773</c:v>
                </c:pt>
                <c:pt idx="25">
                  <c:v>0.19360379732379529</c:v>
                </c:pt>
                <c:pt idx="26">
                  <c:v>0.19970329751250793</c:v>
                </c:pt>
                <c:pt idx="27">
                  <c:v>0.20602384378483155</c:v>
                </c:pt>
                <c:pt idx="28">
                  <c:v>0.21257419414008466</c:v>
                </c:pt>
                <c:pt idx="29">
                  <c:v>0.21936346471945839</c:v>
                </c:pt>
                <c:pt idx="30">
                  <c:v>0.22640114581255749</c:v>
                </c:pt>
              </c:numCache>
            </c:numRef>
          </c:val>
          <c:smooth val="0"/>
          <c:extLst>
            <c:ext xmlns:c16="http://schemas.microsoft.com/office/drawing/2014/chart" uri="{C3380CC4-5D6E-409C-BE32-E72D297353CC}">
              <c16:uniqueId val="{00000043-92F6-4C95-A5CB-F1447A7074A3}"/>
            </c:ext>
          </c:extLst>
        </c:ser>
        <c:dLbls>
          <c:showLegendKey val="0"/>
          <c:showVal val="0"/>
          <c:showCatName val="0"/>
          <c:showSerName val="0"/>
          <c:showPercent val="0"/>
          <c:showBubbleSize val="0"/>
        </c:dLbls>
        <c:marker val="1"/>
        <c:smooth val="0"/>
        <c:axId val="51550480"/>
        <c:axId val="51549040"/>
      </c:lineChart>
      <c:catAx>
        <c:axId val="5155048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AU" b="1"/>
                  <a:t>Year</a:t>
                </a:r>
              </a:p>
            </c:rich>
          </c:tx>
          <c:layout>
            <c:manualLayout>
              <c:xMode val="edge"/>
              <c:yMode val="edge"/>
              <c:x val="0.46159956481269526"/>
              <c:y val="0.82138485978726328"/>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49040"/>
        <c:crosses val="autoZero"/>
        <c:auto val="1"/>
        <c:lblAlgn val="ctr"/>
        <c:lblOffset val="100"/>
        <c:noMultiLvlLbl val="0"/>
      </c:catAx>
      <c:valAx>
        <c:axId val="51549040"/>
        <c:scaling>
          <c:orientation val="minMax"/>
        </c:scaling>
        <c:delete val="0"/>
        <c:axPos val="l"/>
        <c:majorGridlines>
          <c:spPr>
            <a:ln w="6350" cap="flat" cmpd="sng" algn="ctr">
              <a:solidFill>
                <a:schemeClr val="bg1">
                  <a:lumMod val="85000"/>
                  <a:alpha val="8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50480"/>
        <c:crosses val="autoZero"/>
        <c:crossBetween val="between"/>
      </c:valAx>
      <c:valAx>
        <c:axId val="1532109968"/>
        <c:scaling>
          <c:orientation val="minMax"/>
        </c:scaling>
        <c:delete val="0"/>
        <c:axPos val="r"/>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alpha val="0"/>
                  </a:sysClr>
                </a:solidFill>
                <a:latin typeface="+mn-lt"/>
                <a:ea typeface="+mn-ea"/>
                <a:cs typeface="+mn-cs"/>
              </a:defRPr>
            </a:pPr>
            <a:endParaRPr lang="en-US"/>
          </a:p>
        </c:txPr>
        <c:crossAx val="1532113328"/>
        <c:crosses val="max"/>
        <c:crossBetween val="between"/>
      </c:valAx>
      <c:catAx>
        <c:axId val="1532113328"/>
        <c:scaling>
          <c:orientation val="minMax"/>
        </c:scaling>
        <c:delete val="1"/>
        <c:axPos val="b"/>
        <c:numFmt formatCode="General" sourceLinked="1"/>
        <c:majorTickMark val="out"/>
        <c:minorTickMark val="none"/>
        <c:tickLblPos val="nextTo"/>
        <c:crossAx val="1532109968"/>
        <c:crosses val="autoZero"/>
        <c:auto val="1"/>
        <c:lblAlgn val="ctr"/>
        <c:lblOffset val="100"/>
        <c:noMultiLvlLbl val="0"/>
      </c:catAx>
      <c:spPr>
        <a:noFill/>
        <a:ln>
          <a:noFill/>
        </a:ln>
        <a:effectLst/>
      </c:spPr>
    </c:plotArea>
    <c:legend>
      <c:legendPos val="b"/>
      <c:legendEntry>
        <c:idx val="0"/>
        <c:delete val="1"/>
      </c:legendEntry>
      <c:layout>
        <c:manualLayout>
          <c:xMode val="edge"/>
          <c:yMode val="edge"/>
          <c:x val="0.54230928104971554"/>
          <c:y val="1.4148062000724488E-2"/>
          <c:w val="0.39484939602722702"/>
          <c:h val="5.4479800194467222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AU" b="1">
                <a:solidFill>
                  <a:schemeClr val="tx2"/>
                </a:solidFill>
              </a:rPr>
              <a:t>Cash Flow</a:t>
            </a:r>
          </a:p>
        </c:rich>
      </c:tx>
      <c:layout>
        <c:manualLayout>
          <c:xMode val="edge"/>
          <c:yMode val="edge"/>
          <c:x val="0"/>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'RE Calculations'!$C$135</c:f>
              <c:strCache>
                <c:ptCount val="1"/>
                <c:pt idx="0">
                  <c:v>Total Rental Income</c:v>
                </c:pt>
              </c:strCache>
            </c:strRef>
          </c:tx>
          <c:spPr>
            <a:solidFill>
              <a:schemeClr val="accent1"/>
            </a:solidFill>
            <a:ln>
              <a:noFill/>
            </a:ln>
            <a:effectLst/>
          </c:spPr>
          <c:invertIfNegative val="0"/>
          <c:cat>
            <c:numRef>
              <c:f>[0]!YearForChart5</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[0]!RentForChart5</c:f>
              <c:numCache>
                <c:formatCode>"$"#,##0</c:formatCode>
                <c:ptCount val="30"/>
                <c:pt idx="0">
                  <c:v>103000</c:v>
                </c:pt>
                <c:pt idx="1">
                  <c:v>108150</c:v>
                </c:pt>
                <c:pt idx="2">
                  <c:v>113557.5</c:v>
                </c:pt>
                <c:pt idx="3">
                  <c:v>119235.37500000001</c:v>
                </c:pt>
                <c:pt idx="4">
                  <c:v>125197.14375</c:v>
                </c:pt>
                <c:pt idx="5">
                  <c:v>131457.00093750001</c:v>
                </c:pt>
                <c:pt idx="6">
                  <c:v>138029.85098437499</c:v>
                </c:pt>
                <c:pt idx="7">
                  <c:v>144931.34353359378</c:v>
                </c:pt>
                <c:pt idx="8">
                  <c:v>152177.91071027346</c:v>
                </c:pt>
                <c:pt idx="9">
                  <c:v>159786.80624578713</c:v>
                </c:pt>
                <c:pt idx="10">
                  <c:v>167776.14655807649</c:v>
                </c:pt>
                <c:pt idx="11">
                  <c:v>176164.95388598033</c:v>
                </c:pt>
                <c:pt idx="12">
                  <c:v>184973.2015802793</c:v>
                </c:pt>
                <c:pt idx="13">
                  <c:v>194221.8616592933</c:v>
                </c:pt>
                <c:pt idx="14">
                  <c:v>203932.95474225792</c:v>
                </c:pt>
                <c:pt idx="15">
                  <c:v>214129.60247937089</c:v>
                </c:pt>
                <c:pt idx="16">
                  <c:v>224836.08260333943</c:v>
                </c:pt>
                <c:pt idx="17">
                  <c:v>236077.88673350643</c:v>
                </c:pt>
                <c:pt idx="18">
                  <c:v>247881.78107018172</c:v>
                </c:pt>
                <c:pt idx="19">
                  <c:v>260275.87012369081</c:v>
                </c:pt>
                <c:pt idx="20">
                  <c:v>273289.66362987534</c:v>
                </c:pt>
                <c:pt idx="21">
                  <c:v>286954.14681136911</c:v>
                </c:pt>
                <c:pt idx="22">
                  <c:v>301301.85415193753</c:v>
                </c:pt>
                <c:pt idx="23">
                  <c:v>316366.94685953448</c:v>
                </c:pt>
                <c:pt idx="24">
                  <c:v>332185.2942025112</c:v>
                </c:pt>
                <c:pt idx="25">
                  <c:v>348794.55891263671</c:v>
                </c:pt>
                <c:pt idx="26">
                  <c:v>366234.28685826861</c:v>
                </c:pt>
                <c:pt idx="27">
                  <c:v>384546.00120118208</c:v>
                </c:pt>
                <c:pt idx="28">
                  <c:v>403773.30126124108</c:v>
                </c:pt>
                <c:pt idx="29">
                  <c:v>423961.96632430324</c:v>
                </c:pt>
              </c:numCache>
            </c:numRef>
          </c:val>
          <c:extLst>
            <c:ext xmlns:c16="http://schemas.microsoft.com/office/drawing/2014/chart" uri="{C3380CC4-5D6E-409C-BE32-E72D297353CC}">
              <c16:uniqueId val="{00000000-8672-44F6-AFE3-62DCF832F322}"/>
            </c:ext>
          </c:extLst>
        </c:ser>
        <c:ser>
          <c:idx val="2"/>
          <c:order val="3"/>
          <c:tx>
            <c:strRef>
              <c:f>'RE Calculations'!$G$135</c:f>
              <c:strCache>
                <c:ptCount val="1"/>
                <c:pt idx="0">
                  <c:v>Holding Period</c:v>
                </c:pt>
              </c:strCache>
            </c:strRef>
          </c:tx>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[0]!YearForChart5</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[0]!HoldPeriodForChart5</c:f>
              <c:numCache>
                <c:formatCode>"$"#,##0</c:formatCode>
                <c:ptCount val="30"/>
                <c:pt idx="0">
                  <c:v>#N/A</c:v>
                </c:pt>
                <c:pt idx="1">
                  <c:v>#N/A</c:v>
                </c:pt>
                <c:pt idx="2">
                  <c:v>#N/A</c:v>
                </c:pt>
                <c:pt idx="3">
                  <c:v>#N/A</c:v>
                </c:pt>
                <c:pt idx="4">
                  <c:v>125197.14375</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numCache>
            </c:numRef>
          </c:val>
          <c:extLst>
            <c:ext xmlns:c16="http://schemas.microsoft.com/office/drawing/2014/chart" uri="{C3380CC4-5D6E-409C-BE32-E72D297353CC}">
              <c16:uniqueId val="{00000004-8672-44F6-AFE3-62DCF832F322}"/>
            </c:ext>
          </c:extLst>
        </c:ser>
        <c:dLbls>
          <c:showLegendKey val="0"/>
          <c:showVal val="0"/>
          <c:showCatName val="0"/>
          <c:showSerName val="0"/>
          <c:showPercent val="0"/>
          <c:showBubbleSize val="0"/>
        </c:dLbls>
        <c:gapWidth val="0"/>
        <c:overlap val="-100"/>
        <c:axId val="51550480"/>
        <c:axId val="51549040"/>
      </c:barChart>
      <c:barChart>
        <c:barDir val="col"/>
        <c:grouping val="stacked"/>
        <c:varyColors val="0"/>
        <c:ser>
          <c:idx val="1"/>
          <c:order val="1"/>
          <c:tx>
            <c:strRef>
              <c:f>'RE Calculations'!$E$135</c:f>
              <c:strCache>
                <c:ptCount val="1"/>
                <c:pt idx="0">
                  <c:v>Total Ongoing Fees/Costs</c:v>
                </c:pt>
              </c:strCache>
            </c:strRef>
          </c:tx>
          <c:spPr>
            <a:solidFill>
              <a:schemeClr val="accent2"/>
            </a:solidFill>
            <a:ln>
              <a:noFill/>
            </a:ln>
            <a:effectLst/>
          </c:spPr>
          <c:invertIfNegative val="0"/>
          <c:cat>
            <c:numRef>
              <c:f>[0]!YearForChart5</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[0]!CostsForChart5</c:f>
              <c:numCache>
                <c:formatCode>"$"#,##0</c:formatCode>
                <c:ptCount val="30"/>
                <c:pt idx="0">
                  <c:v>29187.999999999996</c:v>
                </c:pt>
                <c:pt idx="1">
                  <c:v>29754.5</c:v>
                </c:pt>
                <c:pt idx="2">
                  <c:v>30349.324999999997</c:v>
                </c:pt>
                <c:pt idx="3">
                  <c:v>30973.891250000001</c:v>
                </c:pt>
                <c:pt idx="4">
                  <c:v>31629.6858125</c:v>
                </c:pt>
                <c:pt idx="5">
                  <c:v>32318.270103125004</c:v>
                </c:pt>
                <c:pt idx="6">
                  <c:v>33041.283608281243</c:v>
                </c:pt>
                <c:pt idx="7">
                  <c:v>33800.447788695317</c:v>
                </c:pt>
                <c:pt idx="8">
                  <c:v>34597.570178130081</c:v>
                </c:pt>
                <c:pt idx="9">
                  <c:v>35434.548687036586</c:v>
                </c:pt>
                <c:pt idx="10">
                  <c:v>36313.376121388414</c:v>
                </c:pt>
                <c:pt idx="11">
                  <c:v>37236.144927457834</c:v>
                </c:pt>
                <c:pt idx="12">
                  <c:v>38205.052173830714</c:v>
                </c:pt>
                <c:pt idx="13">
                  <c:v>39222.404782522266</c:v>
                </c:pt>
                <c:pt idx="14">
                  <c:v>40290.625021648368</c:v>
                </c:pt>
                <c:pt idx="15">
                  <c:v>41412.256272730796</c:v>
                </c:pt>
                <c:pt idx="16">
                  <c:v>42589.969086367331</c:v>
                </c:pt>
                <c:pt idx="17">
                  <c:v>43826.567540685704</c:v>
                </c:pt>
                <c:pt idx="18">
                  <c:v>45124.995917719993</c:v>
                </c:pt>
                <c:pt idx="19">
                  <c:v>46488.345713605988</c:v>
                </c:pt>
                <c:pt idx="20">
                  <c:v>47919.862999286284</c:v>
                </c:pt>
                <c:pt idx="21">
                  <c:v>49422.956149250611</c:v>
                </c:pt>
                <c:pt idx="22">
                  <c:v>51001.203956713114</c:v>
                </c:pt>
                <c:pt idx="23">
                  <c:v>52658.364154548792</c:v>
                </c:pt>
                <c:pt idx="24">
                  <c:v>54398.382362276243</c:v>
                </c:pt>
                <c:pt idx="25">
                  <c:v>56225.401480390035</c:v>
                </c:pt>
                <c:pt idx="26">
                  <c:v>58143.771554409526</c:v>
                </c:pt>
                <c:pt idx="27">
                  <c:v>60158.06013213002</c:v>
                </c:pt>
                <c:pt idx="28">
                  <c:v>62273.063138736514</c:v>
                </c:pt>
                <c:pt idx="29">
                  <c:v>64493.816295673358</c:v>
                </c:pt>
              </c:numCache>
            </c:numRef>
          </c:val>
          <c:extLst>
            <c:ext xmlns:c16="http://schemas.microsoft.com/office/drawing/2014/chart" uri="{C3380CC4-5D6E-409C-BE32-E72D297353CC}">
              <c16:uniqueId val="{00000001-8672-44F6-AFE3-62DCF832F322}"/>
            </c:ext>
          </c:extLst>
        </c:ser>
        <c:ser>
          <c:idx val="3"/>
          <c:order val="2"/>
          <c:tx>
            <c:strRef>
              <c:f>'RE Calculations'!$F$135</c:f>
              <c:strCache>
                <c:ptCount val="1"/>
                <c:pt idx="0">
                  <c:v>Loan Repayment</c:v>
                </c:pt>
              </c:strCache>
            </c:strRef>
          </c:tx>
          <c:spPr>
            <a:solidFill>
              <a:schemeClr val="accent3"/>
            </a:solidFill>
            <a:ln>
              <a:noFill/>
            </a:ln>
            <a:effectLst/>
          </c:spPr>
          <c:invertIfNegative val="0"/>
          <c:cat>
            <c:numRef>
              <c:f>[0]!YearForChart5</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[0]!LoanForChart5</c:f>
              <c:numCache>
                <c:formatCode>"$"#,##0</c:formatCode>
                <c:ptCount val="3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3A-8672-44F6-AFE3-62DCF832F322}"/>
            </c:ext>
          </c:extLst>
        </c:ser>
        <c:dLbls>
          <c:showLegendKey val="0"/>
          <c:showVal val="0"/>
          <c:showCatName val="0"/>
          <c:showSerName val="0"/>
          <c:showPercent val="0"/>
          <c:showBubbleSize val="0"/>
        </c:dLbls>
        <c:gapWidth val="200"/>
        <c:overlap val="100"/>
        <c:axId val="10644592"/>
        <c:axId val="10644112"/>
      </c:barChart>
      <c:catAx>
        <c:axId val="5155048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AU"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49040"/>
        <c:crosses val="autoZero"/>
        <c:auto val="1"/>
        <c:lblAlgn val="ctr"/>
        <c:lblOffset val="100"/>
        <c:noMultiLvlLbl val="0"/>
      </c:catAx>
      <c:valAx>
        <c:axId val="51549040"/>
        <c:scaling>
          <c:orientation val="minMax"/>
        </c:scaling>
        <c:delete val="0"/>
        <c:axPos val="l"/>
        <c:majorGridlines>
          <c:spPr>
            <a:ln w="9525" cap="flat" cmpd="sng" algn="ctr">
              <a:solidFill>
                <a:schemeClr val="tx1">
                  <a:lumMod val="15000"/>
                  <a:lumOff val="85000"/>
                </a:schemeClr>
              </a:solidFill>
              <a:round/>
            </a:ln>
            <a:effectLst/>
          </c:spPr>
        </c:majorGridlines>
        <c:numFmt formatCode="&quot;AED&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50480"/>
        <c:crosses val="autoZero"/>
        <c:crossBetween val="between"/>
      </c:valAx>
      <c:valAx>
        <c:axId val="10644112"/>
        <c:scaling>
          <c:orientation val="minMax"/>
        </c:scaling>
        <c:delete val="1"/>
        <c:axPos val="r"/>
        <c:numFmt formatCode="&quot;$&quot;#,##0" sourceLinked="1"/>
        <c:majorTickMark val="out"/>
        <c:minorTickMark val="none"/>
        <c:tickLblPos val="nextTo"/>
        <c:crossAx val="10644592"/>
        <c:crosses val="max"/>
        <c:crossBetween val="between"/>
      </c:valAx>
      <c:catAx>
        <c:axId val="10644592"/>
        <c:scaling>
          <c:orientation val="minMax"/>
        </c:scaling>
        <c:delete val="1"/>
        <c:axPos val="b"/>
        <c:numFmt formatCode="General" sourceLinked="1"/>
        <c:majorTickMark val="out"/>
        <c:minorTickMark val="none"/>
        <c:tickLblPos val="nextTo"/>
        <c:crossAx val="10644112"/>
        <c:crosses val="autoZero"/>
        <c:auto val="1"/>
        <c:lblAlgn val="ctr"/>
        <c:lblOffset val="100"/>
        <c:noMultiLvlLbl val="0"/>
      </c:catAx>
      <c:spPr>
        <a:noFill/>
        <a:ln>
          <a:noFill/>
        </a:ln>
        <a:effectLst/>
      </c:spPr>
    </c:plotArea>
    <c:legend>
      <c:legendPos val="r"/>
      <c:legendEntry>
        <c:idx val="1"/>
        <c:delete val="1"/>
      </c:legendEntry>
      <c:layout>
        <c:manualLayout>
          <c:xMode val="edge"/>
          <c:yMode val="edge"/>
          <c:x val="0.32771816923568309"/>
          <c:y val="1.3395209528191572E-2"/>
          <c:w val="0.66962950616653993"/>
          <c:h val="6.234353890023709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r>
              <a:rPr lang="en-AU" b="1">
                <a:solidFill>
                  <a:schemeClr val="tx2"/>
                </a:solidFill>
              </a:rPr>
              <a:t>Performance (Before Tax)</a:t>
            </a:r>
          </a:p>
        </c:rich>
      </c:tx>
      <c:layout>
        <c:manualLayout>
          <c:xMode val="edge"/>
          <c:yMode val="edge"/>
          <c:x val="0"/>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mn-lt"/>
              <a:ea typeface="+mn-ea"/>
              <a:cs typeface="+mn-cs"/>
            </a:defRPr>
          </a:pPr>
          <a:endParaRPr lang="en-US"/>
        </a:p>
      </c:txPr>
    </c:title>
    <c:autoTitleDeleted val="0"/>
    <c:plotArea>
      <c:layout/>
      <c:barChart>
        <c:barDir val="col"/>
        <c:grouping val="clustered"/>
        <c:varyColors val="0"/>
        <c:ser>
          <c:idx val="2"/>
          <c:order val="3"/>
          <c:tx>
            <c:strRef>
              <c:f>'RE Calculations'!$M$135</c:f>
              <c:strCache>
                <c:ptCount val="1"/>
                <c:pt idx="0">
                  <c:v>Holding Period</c:v>
                </c:pt>
              </c:strCache>
            </c:strRef>
          </c:tx>
          <c:spPr>
            <a:solidFill>
              <a:schemeClr val="bg2">
                <a:alpha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cat>
            <c:numRef>
              <c:f>[0]!YearForChart6</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[0]!HoldPeriodForChart6</c:f>
              <c:numCache>
                <c:formatCode>0.0%</c:formatCode>
                <c:ptCount val="30"/>
                <c:pt idx="0">
                  <c:v>#N/A</c:v>
                </c:pt>
                <c:pt idx="1">
                  <c:v>#N/A</c:v>
                </c:pt>
                <c:pt idx="2">
                  <c:v>#N/A</c:v>
                </c:pt>
                <c:pt idx="3">
                  <c:v>#N/A</c:v>
                </c:pt>
                <c:pt idx="4">
                  <c:v>1</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numCache>
            </c:numRef>
          </c:val>
          <c:extLst>
            <c:ext xmlns:c16="http://schemas.microsoft.com/office/drawing/2014/chart" uri="{C3380CC4-5D6E-409C-BE32-E72D297353CC}">
              <c16:uniqueId val="{00000003-3098-49B7-A3D9-BA43829DF8DD}"/>
            </c:ext>
          </c:extLst>
        </c:ser>
        <c:dLbls>
          <c:showLegendKey val="0"/>
          <c:showVal val="0"/>
          <c:showCatName val="0"/>
          <c:showSerName val="0"/>
          <c:showPercent val="0"/>
          <c:showBubbleSize val="0"/>
        </c:dLbls>
        <c:gapWidth val="200"/>
        <c:axId val="403895023"/>
        <c:axId val="403896463"/>
      </c:barChart>
      <c:lineChart>
        <c:grouping val="standard"/>
        <c:varyColors val="0"/>
        <c:ser>
          <c:idx val="0"/>
          <c:order val="0"/>
          <c:tx>
            <c:strRef>
              <c:f>'RE Calculations'!$J$135</c:f>
              <c:strCache>
                <c:ptCount val="1"/>
                <c:pt idx="0">
                  <c:v>Cash-on-Cash Return</c:v>
                </c:pt>
              </c:strCache>
            </c:strRef>
          </c:tx>
          <c:spPr>
            <a:ln w="28575" cap="rnd">
              <a:solidFill>
                <a:schemeClr val="accent1"/>
              </a:solidFill>
              <a:round/>
            </a:ln>
            <a:effectLst/>
          </c:spPr>
          <c:marker>
            <c:symbol val="none"/>
          </c:marker>
          <c:cat>
            <c:numRef>
              <c:f>[0]!YearForChart6</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[0]!CoCForChart6</c:f>
              <c:numCache>
                <c:formatCode>0.0%</c:formatCode>
                <c:ptCount val="30"/>
                <c:pt idx="0">
                  <c:v>4.6102907696122554E-2</c:v>
                </c:pt>
                <c:pt idx="1">
                  <c:v>4.8965757604337724E-2</c:v>
                </c:pt>
                <c:pt idx="2">
                  <c:v>5.1971750007963662E-2</c:v>
                </c:pt>
                <c:pt idx="3">
                  <c:v>5.5128042031770866E-2</c:v>
                </c:pt>
                <c:pt idx="4">
                  <c:v>5.8442148656768431E-2</c:v>
                </c:pt>
                <c:pt idx="5">
                  <c:v>6.1921960613015907E-2</c:v>
                </c:pt>
                <c:pt idx="6">
                  <c:v>6.5575763167075724E-2</c:v>
                </c:pt>
                <c:pt idx="7">
                  <c:v>6.9412255848838575E-2</c:v>
                </c:pt>
                <c:pt idx="8">
                  <c:v>7.3440573164689549E-2</c:v>
                </c:pt>
                <c:pt idx="9">
                  <c:v>7.7670306346333026E-2</c:v>
                </c:pt>
                <c:pt idx="10">
                  <c:v>8.211152618705872E-2</c:v>
                </c:pt>
                <c:pt idx="11">
                  <c:v>8.6774807019820696E-2</c:v>
                </c:pt>
                <c:pt idx="12">
                  <c:v>9.1671251894220762E-2</c:v>
                </c:pt>
                <c:pt idx="13">
                  <c:v>9.6812519012340864E-2</c:v>
                </c:pt>
                <c:pt idx="14">
                  <c:v>0.10221084948636691</c:v>
                </c:pt>
                <c:pt idx="15">
                  <c:v>0.1078790964840943</c:v>
                </c:pt>
                <c:pt idx="16">
                  <c:v>0.11383075583170806</c:v>
                </c:pt>
                <c:pt idx="17">
                  <c:v>0.12007999814670252</c:v>
                </c:pt>
                <c:pt idx="18">
                  <c:v>0.12664170257744672</c:v>
                </c:pt>
                <c:pt idx="19">
                  <c:v>0.13353149222972804</c:v>
                </c:pt>
                <c:pt idx="20">
                  <c:v>0.14076577136462354</c:v>
                </c:pt>
                <c:pt idx="21">
                  <c:v>0.1483617644562637</c:v>
                </c:pt>
                <c:pt idx="22">
                  <c:v>0.15633755720248593</c:v>
                </c:pt>
                <c:pt idx="23">
                  <c:v>0.16471213958601927</c:v>
                </c:pt>
                <c:pt idx="24">
                  <c:v>0.17350545108872933</c:v>
                </c:pt>
                <c:pt idx="25">
                  <c:v>0.18273842816657479</c:v>
                </c:pt>
                <c:pt idx="26">
                  <c:v>0.19243305409831257</c:v>
                </c:pt>
                <c:pt idx="27">
                  <c:v>0.20261241132663724</c:v>
                </c:pt>
                <c:pt idx="28">
                  <c:v>0.21330073641637812</c:v>
                </c:pt>
                <c:pt idx="29">
                  <c:v>0.2245234777606061</c:v>
                </c:pt>
              </c:numCache>
            </c:numRef>
          </c:val>
          <c:smooth val="0"/>
          <c:extLst>
            <c:ext xmlns:c16="http://schemas.microsoft.com/office/drawing/2014/chart" uri="{C3380CC4-5D6E-409C-BE32-E72D297353CC}">
              <c16:uniqueId val="{00000000-3098-49B7-A3D9-BA43829DF8DD}"/>
            </c:ext>
          </c:extLst>
        </c:ser>
        <c:ser>
          <c:idx val="1"/>
          <c:order val="1"/>
          <c:tx>
            <c:strRef>
              <c:f>'RE Calculations'!$K$135</c:f>
              <c:strCache>
                <c:ptCount val="1"/>
                <c:pt idx="0">
                  <c:v>Yield on Cost</c:v>
                </c:pt>
              </c:strCache>
            </c:strRef>
          </c:tx>
          <c:spPr>
            <a:ln w="28575" cap="rnd">
              <a:solidFill>
                <a:schemeClr val="accent2"/>
              </a:solidFill>
              <a:round/>
            </a:ln>
            <a:effectLst/>
          </c:spPr>
          <c:marker>
            <c:symbol val="none"/>
          </c:marker>
          <c:cat>
            <c:numRef>
              <c:f>[0]!YearForChart6</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[0]!YieldCostForChart6</c:f>
              <c:numCache>
                <c:formatCode>0.0%</c:formatCode>
                <c:ptCount val="30"/>
                <c:pt idx="0">
                  <c:v>4.9209640321344048E-2</c:v>
                </c:pt>
                <c:pt idx="1">
                  <c:v>5.2265408846961577E-2</c:v>
                </c:pt>
                <c:pt idx="2">
                  <c:v>5.5473965798859985E-2</c:v>
                </c:pt>
                <c:pt idx="3">
                  <c:v>5.8842950598353289E-2</c:v>
                </c:pt>
                <c:pt idx="4">
                  <c:v>6.2380384637821251E-2</c:v>
                </c:pt>
                <c:pt idx="5">
                  <c:v>6.6094690379262661E-2</c:v>
                </c:pt>
                <c:pt idx="6">
                  <c:v>6.9994711407776092E-2</c:v>
                </c:pt>
                <c:pt idx="7">
                  <c:v>7.4089733487715234E-2</c:v>
                </c:pt>
                <c:pt idx="8">
                  <c:v>7.8389506671651329E-2</c:v>
                </c:pt>
                <c:pt idx="9">
                  <c:v>8.2904268514784177E-2</c:v>
                </c:pt>
                <c:pt idx="10">
                  <c:v>8.7644768450073712E-2</c:v>
                </c:pt>
                <c:pt idx="11">
                  <c:v>9.2622293382127727E-2</c:v>
                </c:pt>
                <c:pt idx="12">
                  <c:v>9.7848694560784419E-2</c:v>
                </c:pt>
                <c:pt idx="13">
                  <c:v>0.10333641579837398</c:v>
                </c:pt>
                <c:pt idx="14">
                  <c:v>0.10909852309784297</c:v>
                </c:pt>
                <c:pt idx="15">
                  <c:v>0.11514873576228543</c:v>
                </c:pt>
                <c:pt idx="16">
                  <c:v>0.12150145905995004</c:v>
                </c:pt>
                <c:pt idx="17">
                  <c:v>0.12817181852249787</c:v>
                </c:pt>
                <c:pt idx="18">
                  <c:v>0.13517569595817314</c:v>
                </c:pt>
                <c:pt idx="19">
                  <c:v>0.14252976726563205</c:v>
                </c:pt>
                <c:pt idx="20">
                  <c:v>0.15025154213846403</c:v>
                </c:pt>
                <c:pt idx="21">
                  <c:v>0.15835940575493748</c:v>
                </c:pt>
                <c:pt idx="22">
                  <c:v>0.16687266255223471</c:v>
                </c:pt>
                <c:pt idx="23">
                  <c:v>0.17581158218939677</c:v>
                </c:pt>
                <c:pt idx="24">
                  <c:v>0.18519744780841699</c:v>
                </c:pt>
                <c:pt idx="25">
                  <c:v>0.19505260670838809</c:v>
                </c:pt>
                <c:pt idx="26">
                  <c:v>0.20540052355335783</c:v>
                </c:pt>
                <c:pt idx="27">
                  <c:v>0.21626583624057605</c:v>
                </c:pt>
                <c:pt idx="28">
                  <c:v>0.22767441456215515</c:v>
                </c:pt>
                <c:pt idx="29">
                  <c:v>0.23965342179981328</c:v>
                </c:pt>
              </c:numCache>
            </c:numRef>
          </c:val>
          <c:smooth val="0"/>
          <c:extLst>
            <c:ext xmlns:c16="http://schemas.microsoft.com/office/drawing/2014/chart" uri="{C3380CC4-5D6E-409C-BE32-E72D297353CC}">
              <c16:uniqueId val="{00000004-3098-49B7-A3D9-BA43829DF8DD}"/>
            </c:ext>
          </c:extLst>
        </c:ser>
        <c:ser>
          <c:idx val="3"/>
          <c:order val="2"/>
          <c:tx>
            <c:strRef>
              <c:f>'RE Calculations'!$L$135</c:f>
              <c:strCache>
                <c:ptCount val="1"/>
                <c:pt idx="0">
                  <c:v>Yield on Value</c:v>
                </c:pt>
              </c:strCache>
            </c:strRef>
          </c:tx>
          <c:spPr>
            <a:ln w="28575" cap="rnd">
              <a:solidFill>
                <a:schemeClr val="accent3"/>
              </a:solidFill>
              <a:round/>
            </a:ln>
            <a:effectLst/>
          </c:spPr>
          <c:marker>
            <c:symbol val="none"/>
          </c:marker>
          <c:cat>
            <c:numRef>
              <c:f>[0]!YearForChart6</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[0]!YieldValueForChart6</c:f>
              <c:numCache>
                <c:formatCode>0.0%</c:formatCode>
                <c:ptCount val="30"/>
                <c:pt idx="0">
                  <c:v>4.5144954128440364E-2</c:v>
                </c:pt>
                <c:pt idx="1">
                  <c:v>4.7948318042813465E-2</c:v>
                </c:pt>
                <c:pt idx="2">
                  <c:v>5.0891850152905219E-2</c:v>
                </c:pt>
                <c:pt idx="3">
                  <c:v>5.3982558868501535E-2</c:v>
                </c:pt>
                <c:pt idx="4">
                  <c:v>5.722780301987767E-2</c:v>
                </c:pt>
                <c:pt idx="5">
                  <c:v>6.0635309378822638E-2</c:v>
                </c:pt>
                <c:pt idx="6">
                  <c:v>6.4213191055714838E-2</c:v>
                </c:pt>
                <c:pt idx="7">
                  <c:v>6.7969966816451663E-2</c:v>
                </c:pt>
                <c:pt idx="8">
                  <c:v>7.1914581365225327E-2</c:v>
                </c:pt>
                <c:pt idx="9">
                  <c:v>7.6056426641437636E-2</c:v>
                </c:pt>
                <c:pt idx="10">
                  <c:v>8.040536418146059E-2</c:v>
                </c:pt>
                <c:pt idx="11">
                  <c:v>8.4971748598484692E-2</c:v>
                </c:pt>
                <c:pt idx="12">
                  <c:v>8.9766452236359998E-2</c:v>
                </c:pt>
                <c:pt idx="13">
                  <c:v>9.4800891056129086E-2</c:v>
                </c:pt>
                <c:pt idx="14">
                  <c:v>0.10008705181688658</c:v>
                </c:pt>
                <c:pt idx="15">
                  <c:v>0.10563752061568198</c:v>
                </c:pt>
                <c:pt idx="16">
                  <c:v>0.11146551285441715</c:v>
                </c:pt>
                <c:pt idx="17">
                  <c:v>0.11758490470508912</c:v>
                </c:pt>
                <c:pt idx="18">
                  <c:v>0.12401026614829469</c:v>
                </c:pt>
                <c:pt idx="19">
                  <c:v>0.13075689566366042</c:v>
                </c:pt>
                <c:pt idx="20">
                  <c:v>0.13784085665479456</c:v>
                </c:pt>
                <c:pt idx="21">
                  <c:v>0.14527901569548532</c:v>
                </c:pt>
                <c:pt idx="22">
                  <c:v>0.15308908268821067</c:v>
                </c:pt>
                <c:pt idx="23">
                  <c:v>0.1612896530305723</c:v>
                </c:pt>
                <c:pt idx="24">
                  <c:v>0.16990025189005203</c:v>
                </c:pt>
                <c:pt idx="25">
                  <c:v>0.17894138069250565</c:v>
                </c:pt>
                <c:pt idx="26">
                  <c:v>0.18843456593508201</c:v>
                </c:pt>
                <c:pt idx="27">
                  <c:v>0.19840241043978718</c:v>
                </c:pt>
                <c:pt idx="28">
                  <c:v>0.20886864716972758</c:v>
                </c:pt>
                <c:pt idx="29">
                  <c:v>0.21985819573616508</c:v>
                </c:pt>
              </c:numCache>
            </c:numRef>
          </c:val>
          <c:smooth val="0"/>
          <c:extLst>
            <c:ext xmlns:c16="http://schemas.microsoft.com/office/drawing/2014/chart" uri="{C3380CC4-5D6E-409C-BE32-E72D297353CC}">
              <c16:uniqueId val="{00000005-3098-49B7-A3D9-BA43829DF8DD}"/>
            </c:ext>
          </c:extLst>
        </c:ser>
        <c:dLbls>
          <c:showLegendKey val="0"/>
          <c:showVal val="0"/>
          <c:showCatName val="0"/>
          <c:showSerName val="0"/>
          <c:showPercent val="0"/>
          <c:showBubbleSize val="0"/>
        </c:dLbls>
        <c:marker val="1"/>
        <c:smooth val="0"/>
        <c:axId val="51550480"/>
        <c:axId val="51549040"/>
      </c:lineChart>
      <c:catAx>
        <c:axId val="5155048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AU"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49040"/>
        <c:crosses val="autoZero"/>
        <c:auto val="1"/>
        <c:lblAlgn val="ctr"/>
        <c:lblOffset val="100"/>
        <c:noMultiLvlLbl val="0"/>
      </c:catAx>
      <c:valAx>
        <c:axId val="5154904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50480"/>
        <c:crosses val="autoZero"/>
        <c:crossBetween val="between"/>
      </c:valAx>
      <c:valAx>
        <c:axId val="403896463"/>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403895023"/>
        <c:crosses val="max"/>
        <c:crossBetween val="between"/>
      </c:valAx>
      <c:catAx>
        <c:axId val="403895023"/>
        <c:scaling>
          <c:orientation val="minMax"/>
        </c:scaling>
        <c:delete val="1"/>
        <c:axPos val="b"/>
        <c:numFmt formatCode="General" sourceLinked="1"/>
        <c:majorTickMark val="out"/>
        <c:minorTickMark val="none"/>
        <c:tickLblPos val="nextTo"/>
        <c:crossAx val="403896463"/>
        <c:crosses val="autoZero"/>
        <c:auto val="1"/>
        <c:lblAlgn val="ctr"/>
        <c:lblOffset val="100"/>
        <c:noMultiLvlLbl val="0"/>
      </c:catAx>
      <c:spPr>
        <a:noFill/>
        <a:ln>
          <a:noFill/>
        </a:ln>
        <a:effectLst/>
      </c:spPr>
    </c:plotArea>
    <c:legend>
      <c:legendPos val="r"/>
      <c:legendEntry>
        <c:idx val="0"/>
        <c:delete val="1"/>
      </c:legendEntry>
      <c:layout>
        <c:manualLayout>
          <c:xMode val="edge"/>
          <c:yMode val="edge"/>
          <c:x val="0.32341183549099761"/>
          <c:y val="1.3395339005443112E-2"/>
          <c:w val="0.63145514931107716"/>
          <c:h val="6.234353890023709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fmlaLink="$E$35" lockText="1" noThreeD="1"/>
</file>

<file path=xl/ctrlProps/ctrlProp2.xml><?xml version="1.0" encoding="utf-8"?>
<formControlPr xmlns="http://schemas.microsoft.com/office/spreadsheetml/2009/9/main" objectType="CheckBox" fmlaLink="$E$33" lockText="1" noThreeD="1"/>
</file>

<file path=xl/ctrlProps/ctrlProp3.xml><?xml version="1.0" encoding="utf-8"?>
<formControlPr xmlns="http://schemas.microsoft.com/office/spreadsheetml/2009/9/main" objectType="CheckBox" fmlaLink="$E$34" lockText="1" noThreeD="1"/>
</file>

<file path=xl/ctrlProps/ctrlProp4.xml><?xml version="1.0" encoding="utf-8"?>
<formControlPr xmlns="http://schemas.microsoft.com/office/spreadsheetml/2009/9/main" objectType="CheckBox" fmlaLink="$E$36" lockText="1" noThreeD="1"/>
</file>

<file path=xl/ctrlProps/ctrlProp5.xml><?xml version="1.0" encoding="utf-8"?>
<formControlPr xmlns="http://schemas.microsoft.com/office/spreadsheetml/2009/9/main" objectType="CheckBox" fmlaLink="$E$37" lockText="1" noThreeD="1"/>
</file>

<file path=xl/ctrlProps/ctrlProp6.xml><?xml version="1.0" encoding="utf-8"?>
<formControlPr xmlns="http://schemas.microsoft.com/office/spreadsheetml/2009/9/main" objectType="CheckBox" fmlaLink="$E$38" lockText="1" noThreeD="1"/>
</file>

<file path=xl/ctrlProps/ctrlProp7.xml><?xml version="1.0" encoding="utf-8"?>
<formControlPr xmlns="http://schemas.microsoft.com/office/spreadsheetml/2009/9/main" objectType="CheckBox" fmlaLink="$E$39" lockText="1" noThreeD="1"/>
</file>

<file path=xl/ctrlProps/ctrlProp8.xml><?xml version="1.0" encoding="utf-8"?>
<formControlPr xmlns="http://schemas.microsoft.com/office/spreadsheetml/2009/9/main" objectType="CheckBox" fmlaLink="$E$40" lockText="1" noThreeD="1"/>
</file>

<file path=xl/ctrlProps/ctrlProp9.xml><?xml version="1.0" encoding="utf-8"?>
<formControlPr xmlns="http://schemas.microsoft.com/office/spreadsheetml/2009/9/main" objectType="CheckBox" fmlaLink="$E$42" lockText="1" noThreeD="1"/>
</file>

<file path=xl/ctrlProps/ctrlProp10.xml><?xml version="1.0" encoding="utf-8"?>
<formControlPr xmlns="http://schemas.microsoft.com/office/spreadsheetml/2009/9/main" objectType="CheckBox" fmlaLink="$E$41" lockText="1" noThreeD="1"/>
</file>

<file path=xl/ctrlProps/ctrlProp11.xml><?xml version="1.0" encoding="utf-8"?>
<formControlPr xmlns="http://schemas.microsoft.com/office/spreadsheetml/2009/9/main" objectType="CheckBox" fmlaLink="$E$43" lockText="1" noThreeD="1"/>
</file>

<file path=xl/ctrlProps/ctrlProp12.xml><?xml version="1.0" encoding="utf-8"?>
<formControlPr xmlns="http://schemas.microsoft.com/office/spreadsheetml/2009/9/main" objectType="CheckBox" fmlaLink="$E$44" lockText="1" noThreeD="1"/>
</file>

<file path=xl/ctrlProps/ctrlProp13.xml><?xml version="1.0" encoding="utf-8"?>
<formControlPr xmlns="http://schemas.microsoft.com/office/spreadsheetml/2009/9/main" objectType="CheckBox" fmlaLink="$E$46" lockText="1" noThreeD="1"/>
</file>

<file path=xl/ctrlProps/ctrlProp14.xml><?xml version="1.0" encoding="utf-8"?>
<formControlPr xmlns="http://schemas.microsoft.com/office/spreadsheetml/2009/9/main" objectType="CheckBox" fmlaLink="$E$45" lockText="1" noThreeD="1"/>
</file>

<file path=xl/ctrlProps/ctrlProp15.xml><?xml version="1.0" encoding="utf-8"?>
<formControlPr xmlns="http://schemas.microsoft.com/office/spreadsheetml/2009/9/main" objectType="CheckBox" fmlaLink="$E$48" lockText="1" noThreeD="1"/>
</file>

<file path=xl/ctrlProps/ctrlProp16.xml><?xml version="1.0" encoding="utf-8"?>
<formControlPr xmlns="http://schemas.microsoft.com/office/spreadsheetml/2009/9/main" objectType="CheckBox" fmlaLink="$E$50" lockText="1" noThreeD="1"/>
</file>

<file path=xl/ctrlProps/ctrlProp17.xml><?xml version="1.0" encoding="utf-8"?>
<formControlPr xmlns="http://schemas.microsoft.com/office/spreadsheetml/2009/9/main" objectType="CheckBox" fmlaLink="$E$49" lockText="1" noThreeD="1"/>
</file>

<file path=xl/ctrlProps/ctrlProp18.xml><?xml version="1.0" encoding="utf-8"?>
<formControlPr xmlns="http://schemas.microsoft.com/office/spreadsheetml/2009/9/main" objectType="CheckBox" fmlaLink="$E$53" lockText="1" noThreeD="1"/>
</file>

<file path=xl/ctrlProps/ctrlProp19.xml><?xml version="1.0" encoding="utf-8"?>
<formControlPr xmlns="http://schemas.microsoft.com/office/spreadsheetml/2009/9/main" objectType="CheckBox" fmlaLink="$E$84" lockText="1" noThreeD="1"/>
</file>

<file path=xl/ctrlProps/ctrlProp20.xml><?xml version="1.0" encoding="utf-8"?>
<formControlPr xmlns="http://schemas.microsoft.com/office/spreadsheetml/2009/9/main" objectType="CheckBox" fmlaLink="$E$85" lockText="1" noThreeD="1"/>
</file>

<file path=xl/ctrlProps/ctrlProp21.xml><?xml version="1.0" encoding="utf-8"?>
<formControlPr xmlns="http://schemas.microsoft.com/office/spreadsheetml/2009/9/main" objectType="CheckBox" fmlaLink="$E$86" lockText="1" noThreeD="1"/>
</file>

<file path=xl/ctrlProps/ctrlProp22.xml><?xml version="1.0" encoding="utf-8"?>
<formControlPr xmlns="http://schemas.microsoft.com/office/spreadsheetml/2009/9/main" objectType="CheckBox" fmlaLink="$E$87" lockText="1" noThreeD="1"/>
</file>

<file path=xl/ctrlProps/ctrlProp23.xml><?xml version="1.0" encoding="utf-8"?>
<formControlPr xmlns="http://schemas.microsoft.com/office/spreadsheetml/2009/9/main" objectType="CheckBox" fmlaLink="$E$88" lockText="1" noThreeD="1"/>
</file>

<file path=xl/ctrlProps/ctrlProp24.xml><?xml version="1.0" encoding="utf-8"?>
<formControlPr xmlns="http://schemas.microsoft.com/office/spreadsheetml/2009/9/main" objectType="CheckBox" fmlaLink="$E$90" lockText="1" noThreeD="1"/>
</file>

<file path=xl/ctrlProps/ctrlProp25.xml><?xml version="1.0" encoding="utf-8"?>
<formControlPr xmlns="http://schemas.microsoft.com/office/spreadsheetml/2009/9/main" objectType="CheckBox" fmlaLink="$E$89" lockText="1" noThreeD="1"/>
</file>

<file path=xl/ctrlProps/ctrlProp26.xml><?xml version="1.0" encoding="utf-8"?>
<formControlPr xmlns="http://schemas.microsoft.com/office/spreadsheetml/2009/9/main" objectType="CheckBox" fmlaLink="$E$93" lockText="1" noThreeD="1"/>
</file>

<file path=xl/ctrlProps/ctrlProp27.xml><?xml version="1.0" encoding="utf-8"?>
<formControlPr xmlns="http://schemas.microsoft.com/office/spreadsheetml/2009/9/main" objectType="CheckBox" fmlaLink="$E$47" lockText="1" noThreeD="1"/>
</file>

<file path=xl/ctrlProps/ctrlProp28.xml><?xml version="1.0" encoding="utf-8"?>
<formControlPr xmlns="http://schemas.microsoft.com/office/spreadsheetml/2009/9/main" objectType="CheckBox" fmlaLink="$E$52" lockText="1" noThreeD="1"/>
</file>

<file path=xl/ctrlProps/ctrlProp29.xml><?xml version="1.0" encoding="utf-8"?>
<formControlPr xmlns="http://schemas.microsoft.com/office/spreadsheetml/2009/9/main" objectType="CheckBox" fmlaLink="$E$51" lockText="1" noThreeD="1"/>
</file>

<file path=xl/ctrlProps/ctrlProp30.xml><?xml version="1.0" encoding="utf-8"?>
<formControlPr xmlns="http://schemas.microsoft.com/office/spreadsheetml/2009/9/main" objectType="CheckBox" fmlaLink="$E$92" lockText="1" noThreeD="1"/>
</file>

<file path=xl/ctrlProps/ctrlProp31.xml><?xml version="1.0" encoding="utf-8"?>
<formControlPr xmlns="http://schemas.microsoft.com/office/spreadsheetml/2009/9/main" objectType="CheckBox" fmlaLink="$E$91" lockText="1" noThreeD="1"/>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431800</xdr:colOff>
          <xdr:row>34</xdr:row>
          <xdr:rowOff>19050</xdr:rowOff>
        </xdr:from>
        <xdr:to>
          <xdr:col>4</xdr:col>
          <xdr:colOff>641350</xdr:colOff>
          <xdr:row>34</xdr:row>
          <xdr:rowOff>184150</xdr:rowOff>
        </xdr:to>
        <xdr:sp macro="" textlink="">
          <xdr:nvSpPr>
            <xdr:cNvPr id="17496" name="Check Box 88" hidden="1">
              <a:extLst>
                <a:ext uri="{63B3BB69-23CF-44E3-9099-C40C66FF867C}">
                  <a14:compatExt spid="_x0000_s17496"/>
                </a:ext>
                <a:ext uri="{FF2B5EF4-FFF2-40B4-BE49-F238E27FC236}">
                  <a16:creationId xmlns:a16="http://schemas.microsoft.com/office/drawing/2014/main" id="{00000000-0008-0000-0100-000058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431800</xdr:colOff>
          <xdr:row>32</xdr:row>
          <xdr:rowOff>19050</xdr:rowOff>
        </xdr:from>
        <xdr:to>
          <xdr:col>4</xdr:col>
          <xdr:colOff>641350</xdr:colOff>
          <xdr:row>32</xdr:row>
          <xdr:rowOff>184150</xdr:rowOff>
        </xdr:to>
        <xdr:sp macro="" textlink="">
          <xdr:nvSpPr>
            <xdr:cNvPr id="17497" name="Check Box 89" hidden="1">
              <a:extLst>
                <a:ext uri="{63B3BB69-23CF-44E3-9099-C40C66FF867C}">
                  <a14:compatExt spid="_x0000_s17497"/>
                </a:ext>
                <a:ext uri="{FF2B5EF4-FFF2-40B4-BE49-F238E27FC236}">
                  <a16:creationId xmlns:a16="http://schemas.microsoft.com/office/drawing/2014/main" id="{00000000-0008-0000-0100-000059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431800</xdr:colOff>
          <xdr:row>33</xdr:row>
          <xdr:rowOff>19050</xdr:rowOff>
        </xdr:from>
        <xdr:to>
          <xdr:col>4</xdr:col>
          <xdr:colOff>641350</xdr:colOff>
          <xdr:row>33</xdr:row>
          <xdr:rowOff>184150</xdr:rowOff>
        </xdr:to>
        <xdr:sp macro="" textlink="">
          <xdr:nvSpPr>
            <xdr:cNvPr id="17498" name="Check Box 90" hidden="1">
              <a:extLst>
                <a:ext uri="{63B3BB69-23CF-44E3-9099-C40C66FF867C}">
                  <a14:compatExt spid="_x0000_s17498"/>
                </a:ext>
                <a:ext uri="{FF2B5EF4-FFF2-40B4-BE49-F238E27FC236}">
                  <a16:creationId xmlns:a16="http://schemas.microsoft.com/office/drawing/2014/main" id="{00000000-0008-0000-0100-00005A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431800</xdr:colOff>
          <xdr:row>35</xdr:row>
          <xdr:rowOff>19050</xdr:rowOff>
        </xdr:from>
        <xdr:to>
          <xdr:col>4</xdr:col>
          <xdr:colOff>641350</xdr:colOff>
          <xdr:row>35</xdr:row>
          <xdr:rowOff>184150</xdr:rowOff>
        </xdr:to>
        <xdr:sp macro="" textlink="">
          <xdr:nvSpPr>
            <xdr:cNvPr id="17499" name="Check Box 91" hidden="1">
              <a:extLst>
                <a:ext uri="{63B3BB69-23CF-44E3-9099-C40C66FF867C}">
                  <a14:compatExt spid="_x0000_s17499"/>
                </a:ext>
                <a:ext uri="{FF2B5EF4-FFF2-40B4-BE49-F238E27FC236}">
                  <a16:creationId xmlns:a16="http://schemas.microsoft.com/office/drawing/2014/main" id="{00000000-0008-0000-0100-00005B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431800</xdr:colOff>
          <xdr:row>36</xdr:row>
          <xdr:rowOff>19050</xdr:rowOff>
        </xdr:from>
        <xdr:to>
          <xdr:col>4</xdr:col>
          <xdr:colOff>641350</xdr:colOff>
          <xdr:row>36</xdr:row>
          <xdr:rowOff>184150</xdr:rowOff>
        </xdr:to>
        <xdr:sp macro="" textlink="">
          <xdr:nvSpPr>
            <xdr:cNvPr id="17500" name="Check Box 92" hidden="1">
              <a:extLst>
                <a:ext uri="{63B3BB69-23CF-44E3-9099-C40C66FF867C}">
                  <a14:compatExt spid="_x0000_s17500"/>
                </a:ext>
                <a:ext uri="{FF2B5EF4-FFF2-40B4-BE49-F238E27FC236}">
                  <a16:creationId xmlns:a16="http://schemas.microsoft.com/office/drawing/2014/main" id="{00000000-0008-0000-0100-00005C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431800</xdr:colOff>
          <xdr:row>37</xdr:row>
          <xdr:rowOff>19050</xdr:rowOff>
        </xdr:from>
        <xdr:to>
          <xdr:col>4</xdr:col>
          <xdr:colOff>641350</xdr:colOff>
          <xdr:row>37</xdr:row>
          <xdr:rowOff>184150</xdr:rowOff>
        </xdr:to>
        <xdr:sp macro="" textlink="">
          <xdr:nvSpPr>
            <xdr:cNvPr id="17501" name="Check Box 93" hidden="1">
              <a:extLst>
                <a:ext uri="{63B3BB69-23CF-44E3-9099-C40C66FF867C}">
                  <a14:compatExt spid="_x0000_s17501"/>
                </a:ext>
                <a:ext uri="{FF2B5EF4-FFF2-40B4-BE49-F238E27FC236}">
                  <a16:creationId xmlns:a16="http://schemas.microsoft.com/office/drawing/2014/main" id="{00000000-0008-0000-0100-00005D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431800</xdr:colOff>
          <xdr:row>38</xdr:row>
          <xdr:rowOff>19050</xdr:rowOff>
        </xdr:from>
        <xdr:to>
          <xdr:col>4</xdr:col>
          <xdr:colOff>641350</xdr:colOff>
          <xdr:row>38</xdr:row>
          <xdr:rowOff>184150</xdr:rowOff>
        </xdr:to>
        <xdr:sp macro="" textlink="">
          <xdr:nvSpPr>
            <xdr:cNvPr id="17502" name="Check Box 94" hidden="1">
              <a:extLst>
                <a:ext uri="{63B3BB69-23CF-44E3-9099-C40C66FF867C}">
                  <a14:compatExt spid="_x0000_s17502"/>
                </a:ext>
                <a:ext uri="{FF2B5EF4-FFF2-40B4-BE49-F238E27FC236}">
                  <a16:creationId xmlns:a16="http://schemas.microsoft.com/office/drawing/2014/main" id="{00000000-0008-0000-0100-00005E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431800</xdr:colOff>
          <xdr:row>39</xdr:row>
          <xdr:rowOff>19050</xdr:rowOff>
        </xdr:from>
        <xdr:to>
          <xdr:col>4</xdr:col>
          <xdr:colOff>641350</xdr:colOff>
          <xdr:row>39</xdr:row>
          <xdr:rowOff>184150</xdr:rowOff>
        </xdr:to>
        <xdr:sp macro="" textlink="">
          <xdr:nvSpPr>
            <xdr:cNvPr id="17503" name="Check Box 95" hidden="1">
              <a:extLst>
                <a:ext uri="{63B3BB69-23CF-44E3-9099-C40C66FF867C}">
                  <a14:compatExt spid="_x0000_s17503"/>
                </a:ext>
                <a:ext uri="{FF2B5EF4-FFF2-40B4-BE49-F238E27FC236}">
                  <a16:creationId xmlns:a16="http://schemas.microsoft.com/office/drawing/2014/main" id="{00000000-0008-0000-0100-00005F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431800</xdr:colOff>
          <xdr:row>41</xdr:row>
          <xdr:rowOff>19050</xdr:rowOff>
        </xdr:from>
        <xdr:to>
          <xdr:col>4</xdr:col>
          <xdr:colOff>641350</xdr:colOff>
          <xdr:row>41</xdr:row>
          <xdr:rowOff>184150</xdr:rowOff>
        </xdr:to>
        <xdr:sp macro="" textlink="">
          <xdr:nvSpPr>
            <xdr:cNvPr id="17504" name="Check Box 96" hidden="1">
              <a:extLst>
                <a:ext uri="{63B3BB69-23CF-44E3-9099-C40C66FF867C}">
                  <a14:compatExt spid="_x0000_s17504"/>
                </a:ext>
                <a:ext uri="{FF2B5EF4-FFF2-40B4-BE49-F238E27FC236}">
                  <a16:creationId xmlns:a16="http://schemas.microsoft.com/office/drawing/2014/main" id="{00000000-0008-0000-0100-000060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431800</xdr:colOff>
          <xdr:row>40</xdr:row>
          <xdr:rowOff>19050</xdr:rowOff>
        </xdr:from>
        <xdr:to>
          <xdr:col>4</xdr:col>
          <xdr:colOff>641350</xdr:colOff>
          <xdr:row>41</xdr:row>
          <xdr:rowOff>0</xdr:rowOff>
        </xdr:to>
        <xdr:sp macro="" textlink="">
          <xdr:nvSpPr>
            <xdr:cNvPr id="17505" name="Check Box 97" hidden="1">
              <a:extLst>
                <a:ext uri="{63B3BB69-23CF-44E3-9099-C40C66FF867C}">
                  <a14:compatExt spid="_x0000_s17505"/>
                </a:ext>
                <a:ext uri="{FF2B5EF4-FFF2-40B4-BE49-F238E27FC236}">
                  <a16:creationId xmlns:a16="http://schemas.microsoft.com/office/drawing/2014/main" id="{00000000-0008-0000-0100-000061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431800</xdr:colOff>
          <xdr:row>42</xdr:row>
          <xdr:rowOff>19050</xdr:rowOff>
        </xdr:from>
        <xdr:to>
          <xdr:col>4</xdr:col>
          <xdr:colOff>641350</xdr:colOff>
          <xdr:row>42</xdr:row>
          <xdr:rowOff>184150</xdr:rowOff>
        </xdr:to>
        <xdr:sp macro="" textlink="">
          <xdr:nvSpPr>
            <xdr:cNvPr id="17506" name="Check Box 98" hidden="1">
              <a:extLst>
                <a:ext uri="{63B3BB69-23CF-44E3-9099-C40C66FF867C}">
                  <a14:compatExt spid="_x0000_s17506"/>
                </a:ext>
                <a:ext uri="{FF2B5EF4-FFF2-40B4-BE49-F238E27FC236}">
                  <a16:creationId xmlns:a16="http://schemas.microsoft.com/office/drawing/2014/main" id="{00000000-0008-0000-0100-000062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431800</xdr:colOff>
          <xdr:row>43</xdr:row>
          <xdr:rowOff>19050</xdr:rowOff>
        </xdr:from>
        <xdr:to>
          <xdr:col>4</xdr:col>
          <xdr:colOff>641350</xdr:colOff>
          <xdr:row>43</xdr:row>
          <xdr:rowOff>184150</xdr:rowOff>
        </xdr:to>
        <xdr:sp macro="" textlink="">
          <xdr:nvSpPr>
            <xdr:cNvPr id="17507" name="Check Box 99" hidden="1">
              <a:extLst>
                <a:ext uri="{63B3BB69-23CF-44E3-9099-C40C66FF867C}">
                  <a14:compatExt spid="_x0000_s17507"/>
                </a:ext>
                <a:ext uri="{FF2B5EF4-FFF2-40B4-BE49-F238E27FC236}">
                  <a16:creationId xmlns:a16="http://schemas.microsoft.com/office/drawing/2014/main" id="{00000000-0008-0000-0100-000063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431800</xdr:colOff>
          <xdr:row>45</xdr:row>
          <xdr:rowOff>19050</xdr:rowOff>
        </xdr:from>
        <xdr:to>
          <xdr:col>4</xdr:col>
          <xdr:colOff>641350</xdr:colOff>
          <xdr:row>45</xdr:row>
          <xdr:rowOff>184150</xdr:rowOff>
        </xdr:to>
        <xdr:sp macro="" textlink="">
          <xdr:nvSpPr>
            <xdr:cNvPr id="17508" name="Check Box 100" hidden="1">
              <a:extLst>
                <a:ext uri="{63B3BB69-23CF-44E3-9099-C40C66FF867C}">
                  <a14:compatExt spid="_x0000_s17508"/>
                </a:ext>
                <a:ext uri="{FF2B5EF4-FFF2-40B4-BE49-F238E27FC236}">
                  <a16:creationId xmlns:a16="http://schemas.microsoft.com/office/drawing/2014/main" id="{00000000-0008-0000-0100-000064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431800</xdr:colOff>
          <xdr:row>44</xdr:row>
          <xdr:rowOff>19050</xdr:rowOff>
        </xdr:from>
        <xdr:to>
          <xdr:col>4</xdr:col>
          <xdr:colOff>641350</xdr:colOff>
          <xdr:row>44</xdr:row>
          <xdr:rowOff>184150</xdr:rowOff>
        </xdr:to>
        <xdr:sp macro="" textlink="">
          <xdr:nvSpPr>
            <xdr:cNvPr id="17509" name="Check Box 101" hidden="1">
              <a:extLst>
                <a:ext uri="{63B3BB69-23CF-44E3-9099-C40C66FF867C}">
                  <a14:compatExt spid="_x0000_s17509"/>
                </a:ext>
                <a:ext uri="{FF2B5EF4-FFF2-40B4-BE49-F238E27FC236}">
                  <a16:creationId xmlns:a16="http://schemas.microsoft.com/office/drawing/2014/main" id="{00000000-0008-0000-0100-000065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431800</xdr:colOff>
          <xdr:row>47</xdr:row>
          <xdr:rowOff>19050</xdr:rowOff>
        </xdr:from>
        <xdr:to>
          <xdr:col>4</xdr:col>
          <xdr:colOff>641350</xdr:colOff>
          <xdr:row>47</xdr:row>
          <xdr:rowOff>184150</xdr:rowOff>
        </xdr:to>
        <xdr:sp macro="" textlink="">
          <xdr:nvSpPr>
            <xdr:cNvPr id="17510" name="Check Box 102" hidden="1">
              <a:extLst>
                <a:ext uri="{63B3BB69-23CF-44E3-9099-C40C66FF867C}">
                  <a14:compatExt spid="_x0000_s17510"/>
                </a:ext>
                <a:ext uri="{FF2B5EF4-FFF2-40B4-BE49-F238E27FC236}">
                  <a16:creationId xmlns:a16="http://schemas.microsoft.com/office/drawing/2014/main" id="{00000000-0008-0000-0100-000066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431800</xdr:colOff>
          <xdr:row>49</xdr:row>
          <xdr:rowOff>19050</xdr:rowOff>
        </xdr:from>
        <xdr:to>
          <xdr:col>4</xdr:col>
          <xdr:colOff>641350</xdr:colOff>
          <xdr:row>49</xdr:row>
          <xdr:rowOff>184150</xdr:rowOff>
        </xdr:to>
        <xdr:sp macro="" textlink="">
          <xdr:nvSpPr>
            <xdr:cNvPr id="17511" name="Check Box 103" hidden="1">
              <a:extLst>
                <a:ext uri="{63B3BB69-23CF-44E3-9099-C40C66FF867C}">
                  <a14:compatExt spid="_x0000_s17511"/>
                </a:ext>
                <a:ext uri="{FF2B5EF4-FFF2-40B4-BE49-F238E27FC236}">
                  <a16:creationId xmlns:a16="http://schemas.microsoft.com/office/drawing/2014/main" id="{00000000-0008-0000-0100-000067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431800</xdr:colOff>
          <xdr:row>48</xdr:row>
          <xdr:rowOff>19050</xdr:rowOff>
        </xdr:from>
        <xdr:to>
          <xdr:col>4</xdr:col>
          <xdr:colOff>641350</xdr:colOff>
          <xdr:row>48</xdr:row>
          <xdr:rowOff>184150</xdr:rowOff>
        </xdr:to>
        <xdr:sp macro="" textlink="">
          <xdr:nvSpPr>
            <xdr:cNvPr id="17514" name="Check Box 106" hidden="1">
              <a:extLst>
                <a:ext uri="{63B3BB69-23CF-44E3-9099-C40C66FF867C}">
                  <a14:compatExt spid="_x0000_s17514"/>
                </a:ext>
                <a:ext uri="{FF2B5EF4-FFF2-40B4-BE49-F238E27FC236}">
                  <a16:creationId xmlns:a16="http://schemas.microsoft.com/office/drawing/2014/main" id="{00000000-0008-0000-0100-00006A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431800</xdr:colOff>
          <xdr:row>52</xdr:row>
          <xdr:rowOff>19050</xdr:rowOff>
        </xdr:from>
        <xdr:to>
          <xdr:col>4</xdr:col>
          <xdr:colOff>641350</xdr:colOff>
          <xdr:row>52</xdr:row>
          <xdr:rowOff>184150</xdr:rowOff>
        </xdr:to>
        <xdr:sp macro="" textlink="">
          <xdr:nvSpPr>
            <xdr:cNvPr id="17515" name="Check Box 107" hidden="1">
              <a:extLst>
                <a:ext uri="{63B3BB69-23CF-44E3-9099-C40C66FF867C}">
                  <a14:compatExt spid="_x0000_s17515"/>
                </a:ext>
                <a:ext uri="{FF2B5EF4-FFF2-40B4-BE49-F238E27FC236}">
                  <a16:creationId xmlns:a16="http://schemas.microsoft.com/office/drawing/2014/main" id="{00000000-0008-0000-0100-00006B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431800</xdr:colOff>
          <xdr:row>83</xdr:row>
          <xdr:rowOff>19050</xdr:rowOff>
        </xdr:from>
        <xdr:to>
          <xdr:col>4</xdr:col>
          <xdr:colOff>641350</xdr:colOff>
          <xdr:row>83</xdr:row>
          <xdr:rowOff>184150</xdr:rowOff>
        </xdr:to>
        <xdr:sp macro="" textlink="">
          <xdr:nvSpPr>
            <xdr:cNvPr id="17530" name="Check Box 122" hidden="1">
              <a:extLst>
                <a:ext uri="{63B3BB69-23CF-44E3-9099-C40C66FF867C}">
                  <a14:compatExt spid="_x0000_s17530"/>
                </a:ext>
                <a:ext uri="{FF2B5EF4-FFF2-40B4-BE49-F238E27FC236}">
                  <a16:creationId xmlns:a16="http://schemas.microsoft.com/office/drawing/2014/main" id="{00000000-0008-0000-0100-00007A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431800</xdr:colOff>
          <xdr:row>84</xdr:row>
          <xdr:rowOff>19050</xdr:rowOff>
        </xdr:from>
        <xdr:to>
          <xdr:col>4</xdr:col>
          <xdr:colOff>641350</xdr:colOff>
          <xdr:row>84</xdr:row>
          <xdr:rowOff>184150</xdr:rowOff>
        </xdr:to>
        <xdr:sp macro="" textlink="">
          <xdr:nvSpPr>
            <xdr:cNvPr id="17531" name="Check Box 123" hidden="1">
              <a:extLst>
                <a:ext uri="{63B3BB69-23CF-44E3-9099-C40C66FF867C}">
                  <a14:compatExt spid="_x0000_s17531"/>
                </a:ext>
                <a:ext uri="{FF2B5EF4-FFF2-40B4-BE49-F238E27FC236}">
                  <a16:creationId xmlns:a16="http://schemas.microsoft.com/office/drawing/2014/main" id="{00000000-0008-0000-0100-00007B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431800</xdr:colOff>
          <xdr:row>85</xdr:row>
          <xdr:rowOff>19050</xdr:rowOff>
        </xdr:from>
        <xdr:to>
          <xdr:col>4</xdr:col>
          <xdr:colOff>641350</xdr:colOff>
          <xdr:row>85</xdr:row>
          <xdr:rowOff>184150</xdr:rowOff>
        </xdr:to>
        <xdr:sp macro="" textlink="">
          <xdr:nvSpPr>
            <xdr:cNvPr id="17532" name="Check Box 124" hidden="1">
              <a:extLst>
                <a:ext uri="{63B3BB69-23CF-44E3-9099-C40C66FF867C}">
                  <a14:compatExt spid="_x0000_s17532"/>
                </a:ext>
                <a:ext uri="{FF2B5EF4-FFF2-40B4-BE49-F238E27FC236}">
                  <a16:creationId xmlns:a16="http://schemas.microsoft.com/office/drawing/2014/main" id="{00000000-0008-0000-0100-00007C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431800</xdr:colOff>
          <xdr:row>86</xdr:row>
          <xdr:rowOff>19050</xdr:rowOff>
        </xdr:from>
        <xdr:to>
          <xdr:col>4</xdr:col>
          <xdr:colOff>641350</xdr:colOff>
          <xdr:row>86</xdr:row>
          <xdr:rowOff>184150</xdr:rowOff>
        </xdr:to>
        <xdr:sp macro="" textlink="">
          <xdr:nvSpPr>
            <xdr:cNvPr id="17533" name="Check Box 125" hidden="1">
              <a:extLst>
                <a:ext uri="{63B3BB69-23CF-44E3-9099-C40C66FF867C}">
                  <a14:compatExt spid="_x0000_s17533"/>
                </a:ext>
                <a:ext uri="{FF2B5EF4-FFF2-40B4-BE49-F238E27FC236}">
                  <a16:creationId xmlns:a16="http://schemas.microsoft.com/office/drawing/2014/main" id="{00000000-0008-0000-0100-00007D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431800</xdr:colOff>
          <xdr:row>87</xdr:row>
          <xdr:rowOff>19050</xdr:rowOff>
        </xdr:from>
        <xdr:to>
          <xdr:col>4</xdr:col>
          <xdr:colOff>641350</xdr:colOff>
          <xdr:row>87</xdr:row>
          <xdr:rowOff>184150</xdr:rowOff>
        </xdr:to>
        <xdr:sp macro="" textlink="">
          <xdr:nvSpPr>
            <xdr:cNvPr id="17534" name="Check Box 126" hidden="1">
              <a:extLst>
                <a:ext uri="{63B3BB69-23CF-44E3-9099-C40C66FF867C}">
                  <a14:compatExt spid="_x0000_s17534"/>
                </a:ext>
                <a:ext uri="{FF2B5EF4-FFF2-40B4-BE49-F238E27FC236}">
                  <a16:creationId xmlns:a16="http://schemas.microsoft.com/office/drawing/2014/main" id="{00000000-0008-0000-0100-00007E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431800</xdr:colOff>
          <xdr:row>89</xdr:row>
          <xdr:rowOff>19050</xdr:rowOff>
        </xdr:from>
        <xdr:to>
          <xdr:col>4</xdr:col>
          <xdr:colOff>641350</xdr:colOff>
          <xdr:row>89</xdr:row>
          <xdr:rowOff>184150</xdr:rowOff>
        </xdr:to>
        <xdr:sp macro="" textlink="">
          <xdr:nvSpPr>
            <xdr:cNvPr id="17535" name="Check Box 127" hidden="1">
              <a:extLst>
                <a:ext uri="{63B3BB69-23CF-44E3-9099-C40C66FF867C}">
                  <a14:compatExt spid="_x0000_s17535"/>
                </a:ext>
                <a:ext uri="{FF2B5EF4-FFF2-40B4-BE49-F238E27FC236}">
                  <a16:creationId xmlns:a16="http://schemas.microsoft.com/office/drawing/2014/main" id="{00000000-0008-0000-0100-00007F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431800</xdr:colOff>
          <xdr:row>88</xdr:row>
          <xdr:rowOff>19050</xdr:rowOff>
        </xdr:from>
        <xdr:to>
          <xdr:col>4</xdr:col>
          <xdr:colOff>641350</xdr:colOff>
          <xdr:row>88</xdr:row>
          <xdr:rowOff>184150</xdr:rowOff>
        </xdr:to>
        <xdr:sp macro="" textlink="">
          <xdr:nvSpPr>
            <xdr:cNvPr id="17536" name="Check Box 128" hidden="1">
              <a:extLst>
                <a:ext uri="{63B3BB69-23CF-44E3-9099-C40C66FF867C}">
                  <a14:compatExt spid="_x0000_s17536"/>
                </a:ext>
                <a:ext uri="{FF2B5EF4-FFF2-40B4-BE49-F238E27FC236}">
                  <a16:creationId xmlns:a16="http://schemas.microsoft.com/office/drawing/2014/main" id="{00000000-0008-0000-0100-000080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431800</xdr:colOff>
          <xdr:row>92</xdr:row>
          <xdr:rowOff>19050</xdr:rowOff>
        </xdr:from>
        <xdr:to>
          <xdr:col>4</xdr:col>
          <xdr:colOff>641350</xdr:colOff>
          <xdr:row>92</xdr:row>
          <xdr:rowOff>184150</xdr:rowOff>
        </xdr:to>
        <xdr:sp macro="" textlink="">
          <xdr:nvSpPr>
            <xdr:cNvPr id="17537" name="Check Box 129" hidden="1">
              <a:extLst>
                <a:ext uri="{63B3BB69-23CF-44E3-9099-C40C66FF867C}">
                  <a14:compatExt spid="_x0000_s17537"/>
                </a:ext>
                <a:ext uri="{FF2B5EF4-FFF2-40B4-BE49-F238E27FC236}">
                  <a16:creationId xmlns:a16="http://schemas.microsoft.com/office/drawing/2014/main" id="{00000000-0008-0000-0100-000081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431800</xdr:colOff>
          <xdr:row>46</xdr:row>
          <xdr:rowOff>19050</xdr:rowOff>
        </xdr:from>
        <xdr:to>
          <xdr:col>4</xdr:col>
          <xdr:colOff>641350</xdr:colOff>
          <xdr:row>46</xdr:row>
          <xdr:rowOff>184150</xdr:rowOff>
        </xdr:to>
        <xdr:sp macro="" textlink="">
          <xdr:nvSpPr>
            <xdr:cNvPr id="17541" name="Check Box 133" hidden="1">
              <a:extLst>
                <a:ext uri="{63B3BB69-23CF-44E3-9099-C40C66FF867C}">
                  <a14:compatExt spid="_x0000_s17541"/>
                </a:ext>
                <a:ext uri="{FF2B5EF4-FFF2-40B4-BE49-F238E27FC236}">
                  <a16:creationId xmlns:a16="http://schemas.microsoft.com/office/drawing/2014/main" id="{00000000-0008-0000-0100-000085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431800</xdr:colOff>
          <xdr:row>51</xdr:row>
          <xdr:rowOff>19050</xdr:rowOff>
        </xdr:from>
        <xdr:to>
          <xdr:col>4</xdr:col>
          <xdr:colOff>641350</xdr:colOff>
          <xdr:row>51</xdr:row>
          <xdr:rowOff>184150</xdr:rowOff>
        </xdr:to>
        <xdr:sp macro="" textlink="">
          <xdr:nvSpPr>
            <xdr:cNvPr id="17545" name="Check Box 137" hidden="1">
              <a:extLst>
                <a:ext uri="{63B3BB69-23CF-44E3-9099-C40C66FF867C}">
                  <a14:compatExt spid="_x0000_s17545"/>
                </a:ext>
                <a:ext uri="{FF2B5EF4-FFF2-40B4-BE49-F238E27FC236}">
                  <a16:creationId xmlns:a16="http://schemas.microsoft.com/office/drawing/2014/main" id="{00000000-0008-0000-0100-000089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431800</xdr:colOff>
          <xdr:row>50</xdr:row>
          <xdr:rowOff>19050</xdr:rowOff>
        </xdr:from>
        <xdr:to>
          <xdr:col>4</xdr:col>
          <xdr:colOff>641350</xdr:colOff>
          <xdr:row>50</xdr:row>
          <xdr:rowOff>184150</xdr:rowOff>
        </xdr:to>
        <xdr:sp macro="" textlink="">
          <xdr:nvSpPr>
            <xdr:cNvPr id="17546" name="Check Box 138" hidden="1">
              <a:extLst>
                <a:ext uri="{63B3BB69-23CF-44E3-9099-C40C66FF867C}">
                  <a14:compatExt spid="_x0000_s17546"/>
                </a:ext>
                <a:ext uri="{FF2B5EF4-FFF2-40B4-BE49-F238E27FC236}">
                  <a16:creationId xmlns:a16="http://schemas.microsoft.com/office/drawing/2014/main" id="{00000000-0008-0000-0100-00008A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431800</xdr:colOff>
          <xdr:row>91</xdr:row>
          <xdr:rowOff>19050</xdr:rowOff>
        </xdr:from>
        <xdr:to>
          <xdr:col>4</xdr:col>
          <xdr:colOff>641350</xdr:colOff>
          <xdr:row>91</xdr:row>
          <xdr:rowOff>184150</xdr:rowOff>
        </xdr:to>
        <xdr:sp macro="" textlink="">
          <xdr:nvSpPr>
            <xdr:cNvPr id="17551" name="Check Box 143" hidden="1">
              <a:extLst>
                <a:ext uri="{63B3BB69-23CF-44E3-9099-C40C66FF867C}">
                  <a14:compatExt spid="_x0000_s17551"/>
                </a:ext>
                <a:ext uri="{FF2B5EF4-FFF2-40B4-BE49-F238E27FC236}">
                  <a16:creationId xmlns:a16="http://schemas.microsoft.com/office/drawing/2014/main" id="{00000000-0008-0000-0100-00008F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431800</xdr:colOff>
          <xdr:row>90</xdr:row>
          <xdr:rowOff>19050</xdr:rowOff>
        </xdr:from>
        <xdr:to>
          <xdr:col>4</xdr:col>
          <xdr:colOff>641350</xdr:colOff>
          <xdr:row>90</xdr:row>
          <xdr:rowOff>184150</xdr:rowOff>
        </xdr:to>
        <xdr:sp macro="" textlink="">
          <xdr:nvSpPr>
            <xdr:cNvPr id="17552" name="Check Box 144" hidden="1">
              <a:extLst>
                <a:ext uri="{63B3BB69-23CF-44E3-9099-C40C66FF867C}">
                  <a14:compatExt spid="_x0000_s17552"/>
                </a:ext>
                <a:ext uri="{FF2B5EF4-FFF2-40B4-BE49-F238E27FC236}">
                  <a16:creationId xmlns:a16="http://schemas.microsoft.com/office/drawing/2014/main" id="{00000000-0008-0000-0100-0000904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3</xdr:col>
      <xdr:colOff>141192</xdr:colOff>
      <xdr:row>6</xdr:row>
      <xdr:rowOff>112061</xdr:rowOff>
    </xdr:from>
    <xdr:to>
      <xdr:col>24</xdr:col>
      <xdr:colOff>0</xdr:colOff>
      <xdr:row>22</xdr:row>
      <xdr:rowOff>38101</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141192</xdr:colOff>
      <xdr:row>21</xdr:row>
      <xdr:rowOff>180975</xdr:rowOff>
    </xdr:from>
    <xdr:to>
      <xdr:col>24</xdr:col>
      <xdr:colOff>0</xdr:colOff>
      <xdr:row>42</xdr:row>
      <xdr:rowOff>114300</xdr:rowOff>
    </xdr:to>
    <xdr:graphicFrame macro="">
      <xdr:nvGraphicFramePr>
        <xdr:cNvPr id="4" name="Chart 3">
          <a:extLst>
            <a:ext uri="{FF2B5EF4-FFF2-40B4-BE49-F238E27FC236}">
              <a16:creationId xmlns:a16="http://schemas.microsoft.com/office/drawing/2014/main" id="{00000000-0008-0000-0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9525</xdr:colOff>
      <xdr:row>42</xdr:row>
      <xdr:rowOff>85725</xdr:rowOff>
    </xdr:from>
    <xdr:to>
      <xdr:col>7</xdr:col>
      <xdr:colOff>9525</xdr:colOff>
      <xdr:row>46</xdr:row>
      <xdr:rowOff>151725</xdr:rowOff>
    </xdr:to>
    <xdr:cxnSp macro="">
      <xdr:nvCxnSpPr>
        <xdr:cNvPr id="5" name="Straight Connector 4">
          <a:extLst>
            <a:ext uri="{FF2B5EF4-FFF2-40B4-BE49-F238E27FC236}">
              <a16:creationId xmlns:a16="http://schemas.microsoft.com/office/drawing/2014/main" id="{00000000-0008-0000-0200-000005000000}"/>
            </a:ext>
          </a:extLst>
        </xdr:cNvPr>
        <xdr:cNvCxnSpPr/>
      </xdr:nvCxnSpPr>
      <xdr:spPr>
        <a:xfrm>
          <a:off x="6381750" y="8143875"/>
          <a:ext cx="0" cy="828000"/>
        </a:xfrm>
        <a:prstGeom prst="line">
          <a:avLst/>
        </a:prstGeom>
        <a:ln w="15875">
          <a:solidFill>
            <a:schemeClr val="accent3"/>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0</xdr:colOff>
      <xdr:row>42</xdr:row>
      <xdr:rowOff>85725</xdr:rowOff>
    </xdr:from>
    <xdr:to>
      <xdr:col>18</xdr:col>
      <xdr:colOff>0</xdr:colOff>
      <xdr:row>46</xdr:row>
      <xdr:rowOff>151725</xdr:rowOff>
    </xdr:to>
    <xdr:cxnSp macro="">
      <xdr:nvCxnSpPr>
        <xdr:cNvPr id="8" name="Straight Connector 7">
          <a:extLst>
            <a:ext uri="{FF2B5EF4-FFF2-40B4-BE49-F238E27FC236}">
              <a16:creationId xmlns:a16="http://schemas.microsoft.com/office/drawing/2014/main" id="{00000000-0008-0000-0200-000008000000}"/>
            </a:ext>
          </a:extLst>
        </xdr:cNvPr>
        <xdr:cNvCxnSpPr/>
      </xdr:nvCxnSpPr>
      <xdr:spPr>
        <a:xfrm>
          <a:off x="9725025" y="8143875"/>
          <a:ext cx="0" cy="828000"/>
        </a:xfrm>
        <a:prstGeom prst="line">
          <a:avLst/>
        </a:prstGeom>
        <a:ln w="15875">
          <a:solidFill>
            <a:schemeClr val="accent3"/>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37</xdr:col>
      <xdr:colOff>138480</xdr:colOff>
      <xdr:row>6</xdr:row>
      <xdr:rowOff>112059</xdr:rowOff>
    </xdr:from>
    <xdr:to>
      <xdr:col>61</xdr:col>
      <xdr:colOff>6105</xdr:colOff>
      <xdr:row>27</xdr:row>
      <xdr:rowOff>9525</xdr:rowOff>
    </xdr:to>
    <xdr:graphicFrame macro="">
      <xdr:nvGraphicFramePr>
        <xdr:cNvPr id="16" name="Chart 15">
          <a:extLst>
            <a:ext uri="{FF2B5EF4-FFF2-40B4-BE49-F238E27FC236}">
              <a16:creationId xmlns:a16="http://schemas.microsoft.com/office/drawing/2014/main" id="{00000000-0008-0000-02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38</xdr:col>
      <xdr:colOff>7327</xdr:colOff>
      <xdr:row>26</xdr:row>
      <xdr:rowOff>142876</xdr:rowOff>
    </xdr:from>
    <xdr:to>
      <xdr:col>61</xdr:col>
      <xdr:colOff>556846</xdr:colOff>
      <xdr:row>49</xdr:row>
      <xdr:rowOff>104776</xdr:rowOff>
    </xdr:to>
    <xdr:graphicFrame macro="">
      <xdr:nvGraphicFramePr>
        <xdr:cNvPr id="17" name="Chart 16">
          <a:extLst>
            <a:ext uri="{FF2B5EF4-FFF2-40B4-BE49-F238E27FC236}">
              <a16:creationId xmlns:a16="http://schemas.microsoft.com/office/drawing/2014/main" id="{00000000-0008-0000-02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294033</xdr:colOff>
      <xdr:row>42</xdr:row>
      <xdr:rowOff>84897</xdr:rowOff>
    </xdr:from>
    <xdr:to>
      <xdr:col>11</xdr:col>
      <xdr:colOff>294033</xdr:colOff>
      <xdr:row>46</xdr:row>
      <xdr:rowOff>150897</xdr:rowOff>
    </xdr:to>
    <xdr:cxnSp macro="">
      <xdr:nvCxnSpPr>
        <xdr:cNvPr id="18" name="Straight Connector 17">
          <a:extLst>
            <a:ext uri="{FF2B5EF4-FFF2-40B4-BE49-F238E27FC236}">
              <a16:creationId xmlns:a16="http://schemas.microsoft.com/office/drawing/2014/main" id="{00000000-0008-0000-0200-000012000000}"/>
            </a:ext>
          </a:extLst>
        </xdr:cNvPr>
        <xdr:cNvCxnSpPr/>
      </xdr:nvCxnSpPr>
      <xdr:spPr>
        <a:xfrm>
          <a:off x="7885458" y="8143047"/>
          <a:ext cx="0" cy="828000"/>
        </a:xfrm>
        <a:prstGeom prst="line">
          <a:avLst/>
        </a:prstGeom>
        <a:ln w="15875">
          <a:solidFill>
            <a:schemeClr val="accent3"/>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9525</xdr:colOff>
      <xdr:row>42</xdr:row>
      <xdr:rowOff>85725</xdr:rowOff>
    </xdr:from>
    <xdr:to>
      <xdr:col>31</xdr:col>
      <xdr:colOff>9525</xdr:colOff>
      <xdr:row>46</xdr:row>
      <xdr:rowOff>151725</xdr:rowOff>
    </xdr:to>
    <xdr:cxnSp macro="">
      <xdr:nvCxnSpPr>
        <xdr:cNvPr id="3" name="Straight Connector 2">
          <a:extLst>
            <a:ext uri="{FF2B5EF4-FFF2-40B4-BE49-F238E27FC236}">
              <a16:creationId xmlns:a16="http://schemas.microsoft.com/office/drawing/2014/main" id="{00000000-0008-0000-0200-000003000000}"/>
            </a:ext>
          </a:extLst>
        </xdr:cNvPr>
        <xdr:cNvCxnSpPr/>
      </xdr:nvCxnSpPr>
      <xdr:spPr>
        <a:xfrm>
          <a:off x="14001750" y="8143875"/>
          <a:ext cx="0" cy="828000"/>
        </a:xfrm>
        <a:prstGeom prst="line">
          <a:avLst/>
        </a:prstGeom>
        <a:ln w="15875">
          <a:solidFill>
            <a:schemeClr val="accent3"/>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9525</xdr:colOff>
      <xdr:row>36</xdr:row>
      <xdr:rowOff>85725</xdr:rowOff>
    </xdr:from>
    <xdr:to>
      <xdr:col>31</xdr:col>
      <xdr:colOff>9525</xdr:colOff>
      <xdr:row>40</xdr:row>
      <xdr:rowOff>151725</xdr:rowOff>
    </xdr:to>
    <xdr:cxnSp macro="">
      <xdr:nvCxnSpPr>
        <xdr:cNvPr id="6" name="Straight Connector 5">
          <a:extLst>
            <a:ext uri="{FF2B5EF4-FFF2-40B4-BE49-F238E27FC236}">
              <a16:creationId xmlns:a16="http://schemas.microsoft.com/office/drawing/2014/main" id="{00000000-0008-0000-0200-000006000000}"/>
            </a:ext>
          </a:extLst>
        </xdr:cNvPr>
        <xdr:cNvCxnSpPr/>
      </xdr:nvCxnSpPr>
      <xdr:spPr>
        <a:xfrm>
          <a:off x="14001750" y="7000875"/>
          <a:ext cx="0" cy="828000"/>
        </a:xfrm>
        <a:prstGeom prst="line">
          <a:avLst/>
        </a:prstGeom>
        <a:ln w="15875">
          <a:solidFill>
            <a:schemeClr val="accent3"/>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9525</xdr:colOff>
      <xdr:row>30</xdr:row>
      <xdr:rowOff>85725</xdr:rowOff>
    </xdr:from>
    <xdr:to>
      <xdr:col>31</xdr:col>
      <xdr:colOff>9525</xdr:colOff>
      <xdr:row>34</xdr:row>
      <xdr:rowOff>151725</xdr:rowOff>
    </xdr:to>
    <xdr:cxnSp macro="">
      <xdr:nvCxnSpPr>
        <xdr:cNvPr id="7" name="Straight Connector 6">
          <a:extLst>
            <a:ext uri="{FF2B5EF4-FFF2-40B4-BE49-F238E27FC236}">
              <a16:creationId xmlns:a16="http://schemas.microsoft.com/office/drawing/2014/main" id="{00000000-0008-0000-0200-000007000000}"/>
            </a:ext>
          </a:extLst>
        </xdr:cNvPr>
        <xdr:cNvCxnSpPr/>
      </xdr:nvCxnSpPr>
      <xdr:spPr>
        <a:xfrm>
          <a:off x="14001750" y="5857875"/>
          <a:ext cx="0" cy="828000"/>
        </a:xfrm>
        <a:prstGeom prst="line">
          <a:avLst/>
        </a:prstGeom>
        <a:ln w="15875">
          <a:solidFill>
            <a:schemeClr val="accent3"/>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9525</xdr:colOff>
      <xdr:row>24</xdr:row>
      <xdr:rowOff>85725</xdr:rowOff>
    </xdr:from>
    <xdr:to>
      <xdr:col>31</xdr:col>
      <xdr:colOff>9525</xdr:colOff>
      <xdr:row>28</xdr:row>
      <xdr:rowOff>151725</xdr:rowOff>
    </xdr:to>
    <xdr:cxnSp macro="">
      <xdr:nvCxnSpPr>
        <xdr:cNvPr id="9" name="Straight Connector 8">
          <a:extLst>
            <a:ext uri="{FF2B5EF4-FFF2-40B4-BE49-F238E27FC236}">
              <a16:creationId xmlns:a16="http://schemas.microsoft.com/office/drawing/2014/main" id="{00000000-0008-0000-0200-000009000000}"/>
            </a:ext>
          </a:extLst>
        </xdr:cNvPr>
        <xdr:cNvCxnSpPr/>
      </xdr:nvCxnSpPr>
      <xdr:spPr>
        <a:xfrm>
          <a:off x="14001750" y="4714875"/>
          <a:ext cx="0" cy="828000"/>
        </a:xfrm>
        <a:prstGeom prst="line">
          <a:avLst/>
        </a:prstGeom>
        <a:ln w="15875">
          <a:solidFill>
            <a:schemeClr val="accent3"/>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9525</xdr:colOff>
      <xdr:row>18</xdr:row>
      <xdr:rowOff>85725</xdr:rowOff>
    </xdr:from>
    <xdr:to>
      <xdr:col>31</xdr:col>
      <xdr:colOff>9525</xdr:colOff>
      <xdr:row>22</xdr:row>
      <xdr:rowOff>151725</xdr:rowOff>
    </xdr:to>
    <xdr:cxnSp macro="">
      <xdr:nvCxnSpPr>
        <xdr:cNvPr id="10" name="Straight Connector 9">
          <a:extLst>
            <a:ext uri="{FF2B5EF4-FFF2-40B4-BE49-F238E27FC236}">
              <a16:creationId xmlns:a16="http://schemas.microsoft.com/office/drawing/2014/main" id="{00000000-0008-0000-0200-00000A000000}"/>
            </a:ext>
          </a:extLst>
        </xdr:cNvPr>
        <xdr:cNvCxnSpPr/>
      </xdr:nvCxnSpPr>
      <xdr:spPr>
        <a:xfrm>
          <a:off x="14001750" y="3571875"/>
          <a:ext cx="0" cy="828000"/>
        </a:xfrm>
        <a:prstGeom prst="line">
          <a:avLst/>
        </a:prstGeom>
        <a:ln w="15875">
          <a:solidFill>
            <a:schemeClr val="accent3"/>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9525</xdr:colOff>
      <xdr:row>12</xdr:row>
      <xdr:rowOff>85725</xdr:rowOff>
    </xdr:from>
    <xdr:to>
      <xdr:col>31</xdr:col>
      <xdr:colOff>9525</xdr:colOff>
      <xdr:row>16</xdr:row>
      <xdr:rowOff>151725</xdr:rowOff>
    </xdr:to>
    <xdr:cxnSp macro="">
      <xdr:nvCxnSpPr>
        <xdr:cNvPr id="11" name="Straight Connector 10">
          <a:extLst>
            <a:ext uri="{FF2B5EF4-FFF2-40B4-BE49-F238E27FC236}">
              <a16:creationId xmlns:a16="http://schemas.microsoft.com/office/drawing/2014/main" id="{00000000-0008-0000-0200-00000B000000}"/>
            </a:ext>
          </a:extLst>
        </xdr:cNvPr>
        <xdr:cNvCxnSpPr/>
      </xdr:nvCxnSpPr>
      <xdr:spPr>
        <a:xfrm>
          <a:off x="14001750" y="2428875"/>
          <a:ext cx="0" cy="828000"/>
        </a:xfrm>
        <a:prstGeom prst="line">
          <a:avLst/>
        </a:prstGeom>
        <a:ln w="15875">
          <a:solidFill>
            <a:schemeClr val="accent3"/>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9525</xdr:colOff>
      <xdr:row>6</xdr:row>
      <xdr:rowOff>85725</xdr:rowOff>
    </xdr:from>
    <xdr:to>
      <xdr:col>31</xdr:col>
      <xdr:colOff>9525</xdr:colOff>
      <xdr:row>10</xdr:row>
      <xdr:rowOff>151725</xdr:rowOff>
    </xdr:to>
    <xdr:cxnSp macro="">
      <xdr:nvCxnSpPr>
        <xdr:cNvPr id="12" name="Straight Connector 11">
          <a:extLst>
            <a:ext uri="{FF2B5EF4-FFF2-40B4-BE49-F238E27FC236}">
              <a16:creationId xmlns:a16="http://schemas.microsoft.com/office/drawing/2014/main" id="{00000000-0008-0000-0200-00000C000000}"/>
            </a:ext>
          </a:extLst>
        </xdr:cNvPr>
        <xdr:cNvCxnSpPr/>
      </xdr:nvCxnSpPr>
      <xdr:spPr>
        <a:xfrm>
          <a:off x="14001750" y="1285875"/>
          <a:ext cx="0" cy="828000"/>
        </a:xfrm>
        <a:prstGeom prst="line">
          <a:avLst/>
        </a:prstGeom>
        <a:ln w="15875">
          <a:solidFill>
            <a:schemeClr val="accent3"/>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122925</xdr:colOff>
      <xdr:row>23</xdr:row>
      <xdr:rowOff>109200</xdr:rowOff>
    </xdr:from>
    <xdr:to>
      <xdr:col>30</xdr:col>
      <xdr:colOff>200925</xdr:colOff>
      <xdr:row>23</xdr:row>
      <xdr:rowOff>109200</xdr:rowOff>
    </xdr:to>
    <xdr:cxnSp macro="">
      <xdr:nvCxnSpPr>
        <xdr:cNvPr id="13" name="Straight Connector 12">
          <a:extLst>
            <a:ext uri="{FF2B5EF4-FFF2-40B4-BE49-F238E27FC236}">
              <a16:creationId xmlns:a16="http://schemas.microsoft.com/office/drawing/2014/main" id="{00000000-0008-0000-0200-00000D000000}"/>
            </a:ext>
          </a:extLst>
        </xdr:cNvPr>
        <xdr:cNvCxnSpPr/>
      </xdr:nvCxnSpPr>
      <xdr:spPr>
        <a:xfrm flipH="1">
          <a:off x="12286350" y="4547850"/>
          <a:ext cx="1602000" cy="0"/>
        </a:xfrm>
        <a:prstGeom prst="line">
          <a:avLst/>
        </a:prstGeom>
        <a:ln w="15875">
          <a:solidFill>
            <a:schemeClr val="accent3"/>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122925</xdr:colOff>
      <xdr:row>23</xdr:row>
      <xdr:rowOff>109200</xdr:rowOff>
    </xdr:from>
    <xdr:to>
      <xdr:col>36</xdr:col>
      <xdr:colOff>200925</xdr:colOff>
      <xdr:row>23</xdr:row>
      <xdr:rowOff>109200</xdr:rowOff>
    </xdr:to>
    <xdr:cxnSp macro="">
      <xdr:nvCxnSpPr>
        <xdr:cNvPr id="20" name="Straight Connector 19">
          <a:extLst>
            <a:ext uri="{FF2B5EF4-FFF2-40B4-BE49-F238E27FC236}">
              <a16:creationId xmlns:a16="http://schemas.microsoft.com/office/drawing/2014/main" id="{00000000-0008-0000-0200-000014000000}"/>
            </a:ext>
          </a:extLst>
        </xdr:cNvPr>
        <xdr:cNvCxnSpPr/>
      </xdr:nvCxnSpPr>
      <xdr:spPr>
        <a:xfrm flipH="1">
          <a:off x="14115150" y="4547850"/>
          <a:ext cx="1602000" cy="0"/>
        </a:xfrm>
        <a:prstGeom prst="line">
          <a:avLst/>
        </a:prstGeom>
        <a:ln w="15875">
          <a:solidFill>
            <a:schemeClr val="accent3"/>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122925</xdr:colOff>
      <xdr:row>29</xdr:row>
      <xdr:rowOff>109200</xdr:rowOff>
    </xdr:from>
    <xdr:to>
      <xdr:col>30</xdr:col>
      <xdr:colOff>200925</xdr:colOff>
      <xdr:row>29</xdr:row>
      <xdr:rowOff>109200</xdr:rowOff>
    </xdr:to>
    <xdr:cxnSp macro="">
      <xdr:nvCxnSpPr>
        <xdr:cNvPr id="24" name="Straight Connector 23">
          <a:extLst>
            <a:ext uri="{FF2B5EF4-FFF2-40B4-BE49-F238E27FC236}">
              <a16:creationId xmlns:a16="http://schemas.microsoft.com/office/drawing/2014/main" id="{00000000-0008-0000-0200-000018000000}"/>
            </a:ext>
          </a:extLst>
        </xdr:cNvPr>
        <xdr:cNvCxnSpPr/>
      </xdr:nvCxnSpPr>
      <xdr:spPr>
        <a:xfrm flipH="1">
          <a:off x="12286350" y="5690850"/>
          <a:ext cx="1602000" cy="0"/>
        </a:xfrm>
        <a:prstGeom prst="line">
          <a:avLst/>
        </a:prstGeom>
        <a:ln w="15875">
          <a:solidFill>
            <a:schemeClr val="accent3"/>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122925</xdr:colOff>
      <xdr:row>29</xdr:row>
      <xdr:rowOff>109200</xdr:rowOff>
    </xdr:from>
    <xdr:to>
      <xdr:col>36</xdr:col>
      <xdr:colOff>200925</xdr:colOff>
      <xdr:row>29</xdr:row>
      <xdr:rowOff>109200</xdr:rowOff>
    </xdr:to>
    <xdr:cxnSp macro="">
      <xdr:nvCxnSpPr>
        <xdr:cNvPr id="25" name="Straight Connector 24">
          <a:extLst>
            <a:ext uri="{FF2B5EF4-FFF2-40B4-BE49-F238E27FC236}">
              <a16:creationId xmlns:a16="http://schemas.microsoft.com/office/drawing/2014/main" id="{00000000-0008-0000-0200-000019000000}"/>
            </a:ext>
          </a:extLst>
        </xdr:cNvPr>
        <xdr:cNvCxnSpPr/>
      </xdr:nvCxnSpPr>
      <xdr:spPr>
        <a:xfrm flipH="1">
          <a:off x="14115150" y="5690850"/>
          <a:ext cx="1602000" cy="0"/>
        </a:xfrm>
        <a:prstGeom prst="line">
          <a:avLst/>
        </a:prstGeom>
        <a:ln w="15875">
          <a:solidFill>
            <a:schemeClr val="accent3"/>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122925</xdr:colOff>
      <xdr:row>35</xdr:row>
      <xdr:rowOff>109200</xdr:rowOff>
    </xdr:from>
    <xdr:to>
      <xdr:col>30</xdr:col>
      <xdr:colOff>200925</xdr:colOff>
      <xdr:row>35</xdr:row>
      <xdr:rowOff>109200</xdr:rowOff>
    </xdr:to>
    <xdr:cxnSp macro="">
      <xdr:nvCxnSpPr>
        <xdr:cNvPr id="26" name="Straight Connector 25">
          <a:extLst>
            <a:ext uri="{FF2B5EF4-FFF2-40B4-BE49-F238E27FC236}">
              <a16:creationId xmlns:a16="http://schemas.microsoft.com/office/drawing/2014/main" id="{00000000-0008-0000-0200-00001A000000}"/>
            </a:ext>
          </a:extLst>
        </xdr:cNvPr>
        <xdr:cNvCxnSpPr/>
      </xdr:nvCxnSpPr>
      <xdr:spPr>
        <a:xfrm flipH="1">
          <a:off x="12286350" y="6833850"/>
          <a:ext cx="1602000" cy="0"/>
        </a:xfrm>
        <a:prstGeom prst="line">
          <a:avLst/>
        </a:prstGeom>
        <a:ln w="15875">
          <a:solidFill>
            <a:schemeClr val="accent3"/>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122925</xdr:colOff>
      <xdr:row>35</xdr:row>
      <xdr:rowOff>109200</xdr:rowOff>
    </xdr:from>
    <xdr:to>
      <xdr:col>36</xdr:col>
      <xdr:colOff>200925</xdr:colOff>
      <xdr:row>35</xdr:row>
      <xdr:rowOff>109200</xdr:rowOff>
    </xdr:to>
    <xdr:cxnSp macro="">
      <xdr:nvCxnSpPr>
        <xdr:cNvPr id="27" name="Straight Connector 26">
          <a:extLst>
            <a:ext uri="{FF2B5EF4-FFF2-40B4-BE49-F238E27FC236}">
              <a16:creationId xmlns:a16="http://schemas.microsoft.com/office/drawing/2014/main" id="{00000000-0008-0000-0200-00001B000000}"/>
            </a:ext>
          </a:extLst>
        </xdr:cNvPr>
        <xdr:cNvCxnSpPr/>
      </xdr:nvCxnSpPr>
      <xdr:spPr>
        <a:xfrm flipH="1">
          <a:off x="14115150" y="6833850"/>
          <a:ext cx="1602000" cy="0"/>
        </a:xfrm>
        <a:prstGeom prst="line">
          <a:avLst/>
        </a:prstGeom>
        <a:ln w="15875">
          <a:solidFill>
            <a:schemeClr val="accent3"/>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122925</xdr:colOff>
      <xdr:row>41</xdr:row>
      <xdr:rowOff>109200</xdr:rowOff>
    </xdr:from>
    <xdr:to>
      <xdr:col>30</xdr:col>
      <xdr:colOff>200925</xdr:colOff>
      <xdr:row>41</xdr:row>
      <xdr:rowOff>109200</xdr:rowOff>
    </xdr:to>
    <xdr:cxnSp macro="">
      <xdr:nvCxnSpPr>
        <xdr:cNvPr id="28" name="Straight Connector 27">
          <a:extLst>
            <a:ext uri="{FF2B5EF4-FFF2-40B4-BE49-F238E27FC236}">
              <a16:creationId xmlns:a16="http://schemas.microsoft.com/office/drawing/2014/main" id="{00000000-0008-0000-0200-00001C000000}"/>
            </a:ext>
          </a:extLst>
        </xdr:cNvPr>
        <xdr:cNvCxnSpPr/>
      </xdr:nvCxnSpPr>
      <xdr:spPr>
        <a:xfrm flipH="1">
          <a:off x="12286350" y="7976850"/>
          <a:ext cx="1602000" cy="0"/>
        </a:xfrm>
        <a:prstGeom prst="line">
          <a:avLst/>
        </a:prstGeom>
        <a:ln w="15875">
          <a:solidFill>
            <a:schemeClr val="accent3"/>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122925</xdr:colOff>
      <xdr:row>41</xdr:row>
      <xdr:rowOff>109200</xdr:rowOff>
    </xdr:from>
    <xdr:to>
      <xdr:col>36</xdr:col>
      <xdr:colOff>200925</xdr:colOff>
      <xdr:row>41</xdr:row>
      <xdr:rowOff>109200</xdr:rowOff>
    </xdr:to>
    <xdr:cxnSp macro="">
      <xdr:nvCxnSpPr>
        <xdr:cNvPr id="29" name="Straight Connector 28">
          <a:extLst>
            <a:ext uri="{FF2B5EF4-FFF2-40B4-BE49-F238E27FC236}">
              <a16:creationId xmlns:a16="http://schemas.microsoft.com/office/drawing/2014/main" id="{00000000-0008-0000-0200-00001D000000}"/>
            </a:ext>
          </a:extLst>
        </xdr:cNvPr>
        <xdr:cNvCxnSpPr/>
      </xdr:nvCxnSpPr>
      <xdr:spPr>
        <a:xfrm flipH="1">
          <a:off x="14115150" y="7976850"/>
          <a:ext cx="1602000" cy="0"/>
        </a:xfrm>
        <a:prstGeom prst="line">
          <a:avLst/>
        </a:prstGeom>
        <a:ln w="15875">
          <a:solidFill>
            <a:schemeClr val="accent3"/>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122925</xdr:colOff>
      <xdr:row>17</xdr:row>
      <xdr:rowOff>109200</xdr:rowOff>
    </xdr:from>
    <xdr:to>
      <xdr:col>30</xdr:col>
      <xdr:colOff>200925</xdr:colOff>
      <xdr:row>17</xdr:row>
      <xdr:rowOff>109200</xdr:rowOff>
    </xdr:to>
    <xdr:cxnSp macro="">
      <xdr:nvCxnSpPr>
        <xdr:cNvPr id="30" name="Straight Connector 29">
          <a:extLst>
            <a:ext uri="{FF2B5EF4-FFF2-40B4-BE49-F238E27FC236}">
              <a16:creationId xmlns:a16="http://schemas.microsoft.com/office/drawing/2014/main" id="{00000000-0008-0000-0200-00001E000000}"/>
            </a:ext>
          </a:extLst>
        </xdr:cNvPr>
        <xdr:cNvCxnSpPr/>
      </xdr:nvCxnSpPr>
      <xdr:spPr>
        <a:xfrm flipH="1">
          <a:off x="12286350" y="3404850"/>
          <a:ext cx="1602000" cy="0"/>
        </a:xfrm>
        <a:prstGeom prst="line">
          <a:avLst/>
        </a:prstGeom>
        <a:ln w="15875">
          <a:solidFill>
            <a:schemeClr val="accent3"/>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122925</xdr:colOff>
      <xdr:row>17</xdr:row>
      <xdr:rowOff>109200</xdr:rowOff>
    </xdr:from>
    <xdr:to>
      <xdr:col>36</xdr:col>
      <xdr:colOff>200925</xdr:colOff>
      <xdr:row>17</xdr:row>
      <xdr:rowOff>109200</xdr:rowOff>
    </xdr:to>
    <xdr:cxnSp macro="">
      <xdr:nvCxnSpPr>
        <xdr:cNvPr id="31" name="Straight Connector 30">
          <a:extLst>
            <a:ext uri="{FF2B5EF4-FFF2-40B4-BE49-F238E27FC236}">
              <a16:creationId xmlns:a16="http://schemas.microsoft.com/office/drawing/2014/main" id="{00000000-0008-0000-0200-00001F000000}"/>
            </a:ext>
          </a:extLst>
        </xdr:cNvPr>
        <xdr:cNvCxnSpPr/>
      </xdr:nvCxnSpPr>
      <xdr:spPr>
        <a:xfrm flipH="1">
          <a:off x="14115150" y="3404850"/>
          <a:ext cx="1602000" cy="0"/>
        </a:xfrm>
        <a:prstGeom prst="line">
          <a:avLst/>
        </a:prstGeom>
        <a:ln w="15875">
          <a:solidFill>
            <a:schemeClr val="accent3"/>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122925</xdr:colOff>
      <xdr:row>11</xdr:row>
      <xdr:rowOff>109200</xdr:rowOff>
    </xdr:from>
    <xdr:to>
      <xdr:col>30</xdr:col>
      <xdr:colOff>200925</xdr:colOff>
      <xdr:row>11</xdr:row>
      <xdr:rowOff>109200</xdr:rowOff>
    </xdr:to>
    <xdr:cxnSp macro="">
      <xdr:nvCxnSpPr>
        <xdr:cNvPr id="32" name="Straight Connector 31">
          <a:extLst>
            <a:ext uri="{FF2B5EF4-FFF2-40B4-BE49-F238E27FC236}">
              <a16:creationId xmlns:a16="http://schemas.microsoft.com/office/drawing/2014/main" id="{00000000-0008-0000-0200-000020000000}"/>
            </a:ext>
          </a:extLst>
        </xdr:cNvPr>
        <xdr:cNvCxnSpPr/>
      </xdr:nvCxnSpPr>
      <xdr:spPr>
        <a:xfrm flipH="1">
          <a:off x="12286350" y="2261850"/>
          <a:ext cx="1602000" cy="0"/>
        </a:xfrm>
        <a:prstGeom prst="line">
          <a:avLst/>
        </a:prstGeom>
        <a:ln w="15875">
          <a:solidFill>
            <a:schemeClr val="accent3"/>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122925</xdr:colOff>
      <xdr:row>11</xdr:row>
      <xdr:rowOff>109200</xdr:rowOff>
    </xdr:from>
    <xdr:to>
      <xdr:col>36</xdr:col>
      <xdr:colOff>200925</xdr:colOff>
      <xdr:row>11</xdr:row>
      <xdr:rowOff>109200</xdr:rowOff>
    </xdr:to>
    <xdr:cxnSp macro="">
      <xdr:nvCxnSpPr>
        <xdr:cNvPr id="33" name="Straight Connector 32">
          <a:extLst>
            <a:ext uri="{FF2B5EF4-FFF2-40B4-BE49-F238E27FC236}">
              <a16:creationId xmlns:a16="http://schemas.microsoft.com/office/drawing/2014/main" id="{00000000-0008-0000-0200-000021000000}"/>
            </a:ext>
          </a:extLst>
        </xdr:cNvPr>
        <xdr:cNvCxnSpPr/>
      </xdr:nvCxnSpPr>
      <xdr:spPr>
        <a:xfrm flipH="1">
          <a:off x="14115150" y="2261850"/>
          <a:ext cx="1602000" cy="0"/>
        </a:xfrm>
        <a:prstGeom prst="line">
          <a:avLst/>
        </a:prstGeom>
        <a:ln w="15875">
          <a:solidFill>
            <a:schemeClr val="accent3"/>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68</xdr:col>
      <xdr:colOff>9525</xdr:colOff>
      <xdr:row>21</xdr:row>
      <xdr:rowOff>85725</xdr:rowOff>
    </xdr:from>
    <xdr:to>
      <xdr:col>68</xdr:col>
      <xdr:colOff>9525</xdr:colOff>
      <xdr:row>24</xdr:row>
      <xdr:rowOff>151725</xdr:rowOff>
    </xdr:to>
    <xdr:cxnSp macro="">
      <xdr:nvCxnSpPr>
        <xdr:cNvPr id="15" name="Straight Connector 14">
          <a:extLst>
            <a:ext uri="{FF2B5EF4-FFF2-40B4-BE49-F238E27FC236}">
              <a16:creationId xmlns:a16="http://schemas.microsoft.com/office/drawing/2014/main" id="{00000000-0008-0000-0200-00000F000000}"/>
            </a:ext>
          </a:extLst>
        </xdr:cNvPr>
        <xdr:cNvCxnSpPr/>
      </xdr:nvCxnSpPr>
      <xdr:spPr>
        <a:xfrm>
          <a:off x="25974675" y="4143375"/>
          <a:ext cx="0" cy="637500"/>
        </a:xfrm>
        <a:prstGeom prst="line">
          <a:avLst/>
        </a:prstGeom>
        <a:ln w="15875">
          <a:solidFill>
            <a:schemeClr val="accent3"/>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74</xdr:col>
      <xdr:colOff>9525</xdr:colOff>
      <xdr:row>21</xdr:row>
      <xdr:rowOff>85725</xdr:rowOff>
    </xdr:from>
    <xdr:to>
      <xdr:col>74</xdr:col>
      <xdr:colOff>9525</xdr:colOff>
      <xdr:row>24</xdr:row>
      <xdr:rowOff>151725</xdr:rowOff>
    </xdr:to>
    <xdr:cxnSp macro="">
      <xdr:nvCxnSpPr>
        <xdr:cNvPr id="19" name="Straight Connector 18">
          <a:extLst>
            <a:ext uri="{FF2B5EF4-FFF2-40B4-BE49-F238E27FC236}">
              <a16:creationId xmlns:a16="http://schemas.microsoft.com/office/drawing/2014/main" id="{00000000-0008-0000-0200-000013000000}"/>
            </a:ext>
          </a:extLst>
        </xdr:cNvPr>
        <xdr:cNvCxnSpPr/>
      </xdr:nvCxnSpPr>
      <xdr:spPr>
        <a:xfrm>
          <a:off x="27803475" y="4143375"/>
          <a:ext cx="0" cy="637500"/>
        </a:xfrm>
        <a:prstGeom prst="line">
          <a:avLst/>
        </a:prstGeom>
        <a:ln w="15875">
          <a:solidFill>
            <a:schemeClr val="accent3"/>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62</xdr:col>
      <xdr:colOff>1</xdr:colOff>
      <xdr:row>32</xdr:row>
      <xdr:rowOff>123826</xdr:rowOff>
    </xdr:from>
    <xdr:to>
      <xdr:col>81</xdr:col>
      <xdr:colOff>80596</xdr:colOff>
      <xdr:row>47</xdr:row>
      <xdr:rowOff>104776</xdr:rowOff>
    </xdr:to>
    <xdr:graphicFrame macro="">
      <xdr:nvGraphicFramePr>
        <xdr:cNvPr id="23" name="Chart 22">
          <a:extLst>
            <a:ext uri="{FF2B5EF4-FFF2-40B4-BE49-F238E27FC236}">
              <a16:creationId xmlns:a16="http://schemas.microsoft.com/office/drawing/2014/main" id="{00000000-0008-0000-02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68</xdr:col>
      <xdr:colOff>9525</xdr:colOff>
      <xdr:row>26</xdr:row>
      <xdr:rowOff>85725</xdr:rowOff>
    </xdr:from>
    <xdr:to>
      <xdr:col>68</xdr:col>
      <xdr:colOff>9525</xdr:colOff>
      <xdr:row>29</xdr:row>
      <xdr:rowOff>151725</xdr:rowOff>
    </xdr:to>
    <xdr:cxnSp macro="">
      <xdr:nvCxnSpPr>
        <xdr:cNvPr id="34" name="Straight Connector 33">
          <a:extLst>
            <a:ext uri="{FF2B5EF4-FFF2-40B4-BE49-F238E27FC236}">
              <a16:creationId xmlns:a16="http://schemas.microsoft.com/office/drawing/2014/main" id="{00000000-0008-0000-0200-000022000000}"/>
            </a:ext>
          </a:extLst>
        </xdr:cNvPr>
        <xdr:cNvCxnSpPr/>
      </xdr:nvCxnSpPr>
      <xdr:spPr>
        <a:xfrm>
          <a:off x="25974675" y="5095875"/>
          <a:ext cx="0" cy="637500"/>
        </a:xfrm>
        <a:prstGeom prst="line">
          <a:avLst/>
        </a:prstGeom>
        <a:ln w="15875">
          <a:solidFill>
            <a:schemeClr val="accent3"/>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74</xdr:col>
      <xdr:colOff>9525</xdr:colOff>
      <xdr:row>26</xdr:row>
      <xdr:rowOff>85725</xdr:rowOff>
    </xdr:from>
    <xdr:to>
      <xdr:col>74</xdr:col>
      <xdr:colOff>9525</xdr:colOff>
      <xdr:row>29</xdr:row>
      <xdr:rowOff>151725</xdr:rowOff>
    </xdr:to>
    <xdr:cxnSp macro="">
      <xdr:nvCxnSpPr>
        <xdr:cNvPr id="35" name="Straight Connector 34">
          <a:extLst>
            <a:ext uri="{FF2B5EF4-FFF2-40B4-BE49-F238E27FC236}">
              <a16:creationId xmlns:a16="http://schemas.microsoft.com/office/drawing/2014/main" id="{00000000-0008-0000-0200-000023000000}"/>
            </a:ext>
          </a:extLst>
        </xdr:cNvPr>
        <xdr:cNvCxnSpPr/>
      </xdr:nvCxnSpPr>
      <xdr:spPr>
        <a:xfrm>
          <a:off x="27803475" y="5095875"/>
          <a:ext cx="0" cy="637500"/>
        </a:xfrm>
        <a:prstGeom prst="line">
          <a:avLst/>
        </a:prstGeom>
        <a:ln w="15875">
          <a:solidFill>
            <a:schemeClr val="accent3"/>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88</xdr:col>
      <xdr:colOff>9525</xdr:colOff>
      <xdr:row>21</xdr:row>
      <xdr:rowOff>85725</xdr:rowOff>
    </xdr:from>
    <xdr:to>
      <xdr:col>88</xdr:col>
      <xdr:colOff>9525</xdr:colOff>
      <xdr:row>24</xdr:row>
      <xdr:rowOff>151725</xdr:rowOff>
    </xdr:to>
    <xdr:cxnSp macro="">
      <xdr:nvCxnSpPr>
        <xdr:cNvPr id="39" name="Straight Connector 38">
          <a:extLst>
            <a:ext uri="{FF2B5EF4-FFF2-40B4-BE49-F238E27FC236}">
              <a16:creationId xmlns:a16="http://schemas.microsoft.com/office/drawing/2014/main" id="{00000000-0008-0000-0200-000027000000}"/>
            </a:ext>
          </a:extLst>
        </xdr:cNvPr>
        <xdr:cNvCxnSpPr/>
      </xdr:nvCxnSpPr>
      <xdr:spPr>
        <a:xfrm>
          <a:off x="25974675" y="4143375"/>
          <a:ext cx="0" cy="637500"/>
        </a:xfrm>
        <a:prstGeom prst="line">
          <a:avLst/>
        </a:prstGeom>
        <a:ln w="15875">
          <a:solidFill>
            <a:schemeClr val="accent3"/>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94</xdr:col>
      <xdr:colOff>9525</xdr:colOff>
      <xdr:row>21</xdr:row>
      <xdr:rowOff>85725</xdr:rowOff>
    </xdr:from>
    <xdr:to>
      <xdr:col>94</xdr:col>
      <xdr:colOff>9525</xdr:colOff>
      <xdr:row>24</xdr:row>
      <xdr:rowOff>151725</xdr:rowOff>
    </xdr:to>
    <xdr:cxnSp macro="">
      <xdr:nvCxnSpPr>
        <xdr:cNvPr id="40" name="Straight Connector 39">
          <a:extLst>
            <a:ext uri="{FF2B5EF4-FFF2-40B4-BE49-F238E27FC236}">
              <a16:creationId xmlns:a16="http://schemas.microsoft.com/office/drawing/2014/main" id="{00000000-0008-0000-0200-000028000000}"/>
            </a:ext>
          </a:extLst>
        </xdr:cNvPr>
        <xdr:cNvCxnSpPr/>
      </xdr:nvCxnSpPr>
      <xdr:spPr>
        <a:xfrm>
          <a:off x="27803475" y="4143375"/>
          <a:ext cx="0" cy="637500"/>
        </a:xfrm>
        <a:prstGeom prst="line">
          <a:avLst/>
        </a:prstGeom>
        <a:ln w="15875">
          <a:solidFill>
            <a:schemeClr val="accent3"/>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88</xdr:col>
      <xdr:colOff>9525</xdr:colOff>
      <xdr:row>26</xdr:row>
      <xdr:rowOff>85725</xdr:rowOff>
    </xdr:from>
    <xdr:to>
      <xdr:col>88</xdr:col>
      <xdr:colOff>9525</xdr:colOff>
      <xdr:row>29</xdr:row>
      <xdr:rowOff>151725</xdr:rowOff>
    </xdr:to>
    <xdr:cxnSp macro="">
      <xdr:nvCxnSpPr>
        <xdr:cNvPr id="41" name="Straight Connector 40">
          <a:extLst>
            <a:ext uri="{FF2B5EF4-FFF2-40B4-BE49-F238E27FC236}">
              <a16:creationId xmlns:a16="http://schemas.microsoft.com/office/drawing/2014/main" id="{00000000-0008-0000-0200-000029000000}"/>
            </a:ext>
          </a:extLst>
        </xdr:cNvPr>
        <xdr:cNvCxnSpPr/>
      </xdr:nvCxnSpPr>
      <xdr:spPr>
        <a:xfrm>
          <a:off x="25974675" y="5095875"/>
          <a:ext cx="0" cy="637500"/>
        </a:xfrm>
        <a:prstGeom prst="line">
          <a:avLst/>
        </a:prstGeom>
        <a:ln w="15875">
          <a:solidFill>
            <a:schemeClr val="accent3"/>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94</xdr:col>
      <xdr:colOff>9525</xdr:colOff>
      <xdr:row>26</xdr:row>
      <xdr:rowOff>85725</xdr:rowOff>
    </xdr:from>
    <xdr:to>
      <xdr:col>94</xdr:col>
      <xdr:colOff>9525</xdr:colOff>
      <xdr:row>29</xdr:row>
      <xdr:rowOff>151725</xdr:rowOff>
    </xdr:to>
    <xdr:cxnSp macro="">
      <xdr:nvCxnSpPr>
        <xdr:cNvPr id="47" name="Straight Connector 46">
          <a:extLst>
            <a:ext uri="{FF2B5EF4-FFF2-40B4-BE49-F238E27FC236}">
              <a16:creationId xmlns:a16="http://schemas.microsoft.com/office/drawing/2014/main" id="{00000000-0008-0000-0200-00002F000000}"/>
            </a:ext>
          </a:extLst>
        </xdr:cNvPr>
        <xdr:cNvCxnSpPr/>
      </xdr:nvCxnSpPr>
      <xdr:spPr>
        <a:xfrm>
          <a:off x="27803475" y="5095875"/>
          <a:ext cx="0" cy="637500"/>
        </a:xfrm>
        <a:prstGeom prst="line">
          <a:avLst/>
        </a:prstGeom>
        <a:ln w="15875">
          <a:solidFill>
            <a:schemeClr val="accent3"/>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82</xdr:col>
      <xdr:colOff>0</xdr:colOff>
      <xdr:row>32</xdr:row>
      <xdr:rowOff>123826</xdr:rowOff>
    </xdr:from>
    <xdr:to>
      <xdr:col>101</xdr:col>
      <xdr:colOff>356152</xdr:colOff>
      <xdr:row>47</xdr:row>
      <xdr:rowOff>104776</xdr:rowOff>
    </xdr:to>
    <xdr:graphicFrame macro="">
      <xdr:nvGraphicFramePr>
        <xdr:cNvPr id="50" name="Chart 49">
          <a:extLst>
            <a:ext uri="{FF2B5EF4-FFF2-40B4-BE49-F238E27FC236}">
              <a16:creationId xmlns:a16="http://schemas.microsoft.com/office/drawing/2014/main" id="{00000000-0008-0000-0200-00003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Theme">
  <a:themeElements>
    <a:clrScheme name="Custom 1">
      <a:dk1>
        <a:sysClr val="windowText" lastClr="000000"/>
      </a:dk1>
      <a:lt1>
        <a:sysClr val="window" lastClr="FFFFFF"/>
      </a:lt1>
      <a:dk2>
        <a:srgbClr val="001219"/>
      </a:dk2>
      <a:lt2>
        <a:srgbClr val="94D2BD"/>
      </a:lt2>
      <a:accent1>
        <a:srgbClr val="005F73"/>
      </a:accent1>
      <a:accent2>
        <a:srgbClr val="0A9396"/>
      </a:accent2>
      <a:accent3>
        <a:srgbClr val="DDC275"/>
      </a:accent3>
      <a:accent4>
        <a:srgbClr val="EE9B00"/>
      </a:accent4>
      <a:accent5>
        <a:srgbClr val="CA6702"/>
      </a:accent5>
      <a:accent6>
        <a:srgbClr val="9B2226"/>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 Type="http://schemas.openxmlformats.org/officeDocument/2006/relationships/vmlDrawing" Target="../drawings/vmlDrawing1.vml"/><Relationship Id="rId21" Type="http://schemas.openxmlformats.org/officeDocument/2006/relationships/ctrlProp" Target="../ctrlProps/ctrlProp18.xml"/><Relationship Id="rId34" Type="http://schemas.openxmlformats.org/officeDocument/2006/relationships/ctrlProp" Target="../ctrlProps/ctrlProp31.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omments" Target="../comments1.xml"/><Relationship Id="rId8" Type="http://schemas.openxmlformats.org/officeDocument/2006/relationships/ctrlProp" Target="../ctrlProps/ctrlProp5.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8" Type="http://schemas.openxmlformats.org/officeDocument/2006/relationships/hyperlink" Target="http://www.samplewebsite2.com/" TargetMode="External"/><Relationship Id="rId13" Type="http://schemas.openxmlformats.org/officeDocument/2006/relationships/hyperlink" Target="http://www.samplewebsite2.com/" TargetMode="External"/><Relationship Id="rId18" Type="http://schemas.openxmlformats.org/officeDocument/2006/relationships/vmlDrawing" Target="../drawings/vmlDrawing6.vml"/><Relationship Id="rId3" Type="http://schemas.openxmlformats.org/officeDocument/2006/relationships/hyperlink" Target="http://www.samplewebsite3.com/" TargetMode="External"/><Relationship Id="rId7" Type="http://schemas.openxmlformats.org/officeDocument/2006/relationships/hyperlink" Target="http://www.samplewebsite.com/" TargetMode="External"/><Relationship Id="rId12" Type="http://schemas.openxmlformats.org/officeDocument/2006/relationships/hyperlink" Target="http://www.samplewebsite.com/" TargetMode="External"/><Relationship Id="rId17" Type="http://schemas.openxmlformats.org/officeDocument/2006/relationships/printerSettings" Target="../printerSettings/printerSettings9.bin"/><Relationship Id="rId2" Type="http://schemas.openxmlformats.org/officeDocument/2006/relationships/hyperlink" Target="http://www.samplewebsite2.com/" TargetMode="External"/><Relationship Id="rId16" Type="http://schemas.openxmlformats.org/officeDocument/2006/relationships/hyperlink" Target="http://www.samplewebsite5.com/" TargetMode="External"/><Relationship Id="rId1" Type="http://schemas.openxmlformats.org/officeDocument/2006/relationships/hyperlink" Target="http://www.samplewebsite.com/" TargetMode="External"/><Relationship Id="rId6" Type="http://schemas.openxmlformats.org/officeDocument/2006/relationships/hyperlink" Target="http://www.samplewebsite6.com/" TargetMode="External"/><Relationship Id="rId11" Type="http://schemas.openxmlformats.org/officeDocument/2006/relationships/hyperlink" Target="http://www.samplewebsite5.com/" TargetMode="External"/><Relationship Id="rId5" Type="http://schemas.openxmlformats.org/officeDocument/2006/relationships/hyperlink" Target="http://www.samplewebsite5.com/" TargetMode="External"/><Relationship Id="rId15" Type="http://schemas.openxmlformats.org/officeDocument/2006/relationships/hyperlink" Target="http://www.samplewebsite4.com/" TargetMode="External"/><Relationship Id="rId10" Type="http://schemas.openxmlformats.org/officeDocument/2006/relationships/hyperlink" Target="http://www.samplewebsite4.com/" TargetMode="External"/><Relationship Id="rId19" Type="http://schemas.openxmlformats.org/officeDocument/2006/relationships/comments" Target="../comments6.xml"/><Relationship Id="rId4" Type="http://schemas.openxmlformats.org/officeDocument/2006/relationships/hyperlink" Target="http://www.samplewebsite4.com/" TargetMode="External"/><Relationship Id="rId9" Type="http://schemas.openxmlformats.org/officeDocument/2006/relationships/hyperlink" Target="http://www.samplewebsite3.com/" TargetMode="External"/><Relationship Id="rId14" Type="http://schemas.openxmlformats.org/officeDocument/2006/relationships/hyperlink" Target="http://www.samplewebsite3.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9A2A6-0624-4A78-B460-C26DD7445EBC}">
  <sheetPr>
    <tabColor theme="2"/>
  </sheetPr>
  <dimension ref="B2:D26"/>
  <sheetViews>
    <sheetView showGridLines="0" tabSelected="1" zoomScale="73" workbookViewId="0">
      <selection activeCell="D7" sqref="D7"/>
    </sheetView>
  </sheetViews>
  <sheetFormatPr defaultRowHeight="14.5" x14ac:dyDescent="0.35"/>
  <cols>
    <col min="1" max="1" width="2.81640625" customWidth="1"/>
    <col min="2" max="2" width="6.453125" customWidth="1"/>
    <col min="3" max="3" width="32.7265625" customWidth="1"/>
    <col min="4" max="4" width="108.81640625" customWidth="1"/>
  </cols>
  <sheetData>
    <row r="2" spans="2:4" ht="28.5" x14ac:dyDescent="0.65">
      <c r="B2" s="151" t="s">
        <v>379</v>
      </c>
      <c r="C2" s="151"/>
      <c r="D2" s="151"/>
    </row>
    <row r="3" spans="2:4" x14ac:dyDescent="0.35">
      <c r="B3" t="s">
        <v>380</v>
      </c>
    </row>
    <row r="4" spans="2:4" x14ac:dyDescent="0.35">
      <c r="B4" t="s">
        <v>363</v>
      </c>
    </row>
    <row r="5" spans="2:4" x14ac:dyDescent="0.35">
      <c r="B5" t="s">
        <v>364</v>
      </c>
    </row>
    <row r="6" spans="2:4" x14ac:dyDescent="0.35">
      <c r="B6" t="s">
        <v>365</v>
      </c>
    </row>
    <row r="7" spans="2:4" x14ac:dyDescent="0.35">
      <c r="B7" t="s">
        <v>366</v>
      </c>
    </row>
    <row r="9" spans="2:4" x14ac:dyDescent="0.35">
      <c r="B9" t="s">
        <v>367</v>
      </c>
    </row>
    <row r="10" spans="2:4" x14ac:dyDescent="0.35">
      <c r="B10" t="s">
        <v>368</v>
      </c>
    </row>
    <row r="12" spans="2:4" ht="20.25" customHeight="1" x14ac:dyDescent="0.35">
      <c r="B12" s="121" t="s">
        <v>309</v>
      </c>
      <c r="C12" s="123" t="s">
        <v>310</v>
      </c>
      <c r="D12" s="123" t="s">
        <v>311</v>
      </c>
    </row>
    <row r="13" spans="2:4" ht="52.5" customHeight="1" x14ac:dyDescent="0.35">
      <c r="B13" s="127">
        <v>1</v>
      </c>
      <c r="C13" s="128" t="s">
        <v>313</v>
      </c>
      <c r="D13" s="129" t="s">
        <v>369</v>
      </c>
    </row>
    <row r="14" spans="2:4" ht="52.5" customHeight="1" x14ac:dyDescent="0.35">
      <c r="B14" s="124">
        <v>2</v>
      </c>
      <c r="C14" s="125" t="s">
        <v>314</v>
      </c>
      <c r="D14" s="126" t="s">
        <v>370</v>
      </c>
    </row>
    <row r="15" spans="2:4" ht="52.5" customHeight="1" x14ac:dyDescent="0.35">
      <c r="B15" s="127">
        <v>3</v>
      </c>
      <c r="C15" s="128" t="s">
        <v>315</v>
      </c>
      <c r="D15" s="129" t="s">
        <v>371</v>
      </c>
    </row>
    <row r="16" spans="2:4" ht="52.5" customHeight="1" x14ac:dyDescent="0.35">
      <c r="B16" s="124">
        <v>4</v>
      </c>
      <c r="C16" s="125" t="s">
        <v>316</v>
      </c>
      <c r="D16" s="126" t="s">
        <v>372</v>
      </c>
    </row>
    <row r="17" spans="2:4" ht="52.5" customHeight="1" x14ac:dyDescent="0.35">
      <c r="B17" s="127">
        <v>5</v>
      </c>
      <c r="C17" s="128" t="s">
        <v>317</v>
      </c>
      <c r="D17" s="129" t="s">
        <v>373</v>
      </c>
    </row>
    <row r="18" spans="2:4" ht="52.5" customHeight="1" x14ac:dyDescent="0.35">
      <c r="B18" s="124">
        <v>6</v>
      </c>
      <c r="C18" s="125" t="s">
        <v>318</v>
      </c>
      <c r="D18" s="126" t="s">
        <v>374</v>
      </c>
    </row>
    <row r="19" spans="2:4" ht="52.5" customHeight="1" x14ac:dyDescent="0.35">
      <c r="B19" s="127">
        <v>7</v>
      </c>
      <c r="C19" s="128" t="s">
        <v>319</v>
      </c>
      <c r="D19" s="129" t="s">
        <v>376</v>
      </c>
    </row>
    <row r="20" spans="2:4" ht="52.5" customHeight="1" x14ac:dyDescent="0.35">
      <c r="B20" s="124">
        <v>8</v>
      </c>
      <c r="C20" s="125" t="s">
        <v>274</v>
      </c>
      <c r="D20" s="126" t="s">
        <v>375</v>
      </c>
    </row>
    <row r="22" spans="2:4" x14ac:dyDescent="0.35">
      <c r="B22" s="152"/>
      <c r="C22" s="152"/>
      <c r="D22" s="152"/>
    </row>
    <row r="23" spans="2:4" x14ac:dyDescent="0.35">
      <c r="B23" s="152" t="s">
        <v>377</v>
      </c>
      <c r="C23" s="152"/>
      <c r="D23" s="152"/>
    </row>
    <row r="24" spans="2:4" ht="15" customHeight="1" x14ac:dyDescent="0.35">
      <c r="B24" t="s">
        <v>378</v>
      </c>
    </row>
    <row r="25" spans="2:4" x14ac:dyDescent="0.35">
      <c r="B25" s="153"/>
      <c r="C25" s="153"/>
      <c r="D25" s="153"/>
    </row>
    <row r="26" spans="2:4" x14ac:dyDescent="0.35">
      <c r="B26" s="153"/>
      <c r="C26" s="153"/>
      <c r="D26" s="153"/>
    </row>
  </sheetData>
  <mergeCells count="4">
    <mergeCell ref="B2:D2"/>
    <mergeCell ref="B22:D22"/>
    <mergeCell ref="B23:D23"/>
    <mergeCell ref="B25:D26"/>
  </mergeCells>
  <hyperlinks>
    <hyperlink ref="C13" location="Inputs!A1" display="Inputs" xr:uid="{A4467EAF-FCDC-4F86-BE32-5C9E814CD1A6}"/>
    <hyperlink ref="C14" location="'Analysis Summary'!A1" display="Analysis Summary" xr:uid="{82B9D62B-5BCD-47FB-A6F4-23103AC8D069}"/>
    <hyperlink ref="C15" location="'Mortgage Calculators (By Month)'!A1" display="Mortgage Calculators (By Month)" xr:uid="{ED0EAC5F-FDE6-447F-961A-6EAEB3419E2D}"/>
    <hyperlink ref="C16" location="'Mortgage Calculators (By Year)'!A1" display="Mortgage Calculators (By Year)" xr:uid="{DBE40EA6-7B91-4DD4-B1B5-6E56BB679CE4}"/>
    <hyperlink ref="C17" location="'Forecast (By Month)'!A1" display="Forecast (By Month)" xr:uid="{0E629D5F-25C8-461E-B242-4243FDD92940}"/>
    <hyperlink ref="C18" location="'Forecast (By Year)'!A1" display="Forecast (By Year)" xr:uid="{855362CF-425D-4AA8-BE4C-7B6E3F0E6521}"/>
    <hyperlink ref="C19" location="Comparables!A1" display="Comparables" xr:uid="{215FB1E6-CEA7-4696-8B01-8D2D67D04053}"/>
    <hyperlink ref="C20" location="Notes!A1" display="Notes" xr:uid="{47363261-C139-4019-83D6-137429350D12}"/>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F4111-04C3-41EA-89C2-5A5318D095B8}">
  <sheetPr>
    <tabColor theme="3"/>
  </sheetPr>
  <dimension ref="A1:K105"/>
  <sheetViews>
    <sheetView showGridLines="0" topLeftCell="C1" zoomScale="66" zoomScaleNormal="100" workbookViewId="0">
      <pane ySplit="1" topLeftCell="A70" activePane="bottomLeft" state="frozen"/>
      <selection pane="bottomLeft" activeCell="J55" sqref="J55"/>
    </sheetView>
  </sheetViews>
  <sheetFormatPr defaultRowHeight="14.5" x14ac:dyDescent="0.35"/>
  <cols>
    <col min="1" max="1" width="2.81640625" customWidth="1"/>
    <col min="2" max="2" width="42.54296875" customWidth="1"/>
    <col min="3" max="3" width="31.6328125" customWidth="1"/>
    <col min="4" max="4" width="16" customWidth="1"/>
    <col min="5" max="5" width="15.26953125" bestFit="1" customWidth="1"/>
    <col min="6" max="6" width="20.26953125" bestFit="1" customWidth="1"/>
    <col min="7" max="7" width="95.1796875" bestFit="1" customWidth="1"/>
    <col min="8" max="9" width="5.1796875" customWidth="1"/>
    <col min="10" max="10" width="44.81640625" customWidth="1"/>
    <col min="11" max="11" width="35" customWidth="1"/>
  </cols>
  <sheetData>
    <row r="1" spans="1:11" x14ac:dyDescent="0.35">
      <c r="A1" s="43"/>
      <c r="B1" s="51" t="s">
        <v>257</v>
      </c>
      <c r="C1" s="43"/>
      <c r="D1" s="43"/>
      <c r="E1" s="43"/>
      <c r="F1" s="43"/>
      <c r="G1" s="43"/>
      <c r="H1" s="43"/>
      <c r="I1" s="43"/>
      <c r="J1" s="43"/>
      <c r="K1" s="43"/>
    </row>
    <row r="3" spans="1:11" ht="15.5" x14ac:dyDescent="0.35">
      <c r="B3" s="64" t="s">
        <v>55</v>
      </c>
      <c r="C3" s="54"/>
      <c r="D3" s="54"/>
      <c r="E3" s="54"/>
      <c r="F3" s="54"/>
      <c r="G3" s="54"/>
      <c r="J3" s="64" t="s">
        <v>107</v>
      </c>
      <c r="K3" s="54"/>
    </row>
    <row r="4" spans="1:11" x14ac:dyDescent="0.35">
      <c r="B4" s="54"/>
      <c r="C4" s="53" t="s">
        <v>104</v>
      </c>
      <c r="D4" s="53" t="s">
        <v>102</v>
      </c>
      <c r="E4" s="53" t="s">
        <v>106</v>
      </c>
      <c r="F4" s="54"/>
      <c r="G4" s="46" t="s">
        <v>39</v>
      </c>
      <c r="J4" s="46" t="s">
        <v>127</v>
      </c>
      <c r="K4" s="54"/>
    </row>
    <row r="5" spans="1:11" x14ac:dyDescent="0.35">
      <c r="A5" s="73"/>
      <c r="B5" s="73" t="s">
        <v>73</v>
      </c>
      <c r="C5" s="81" t="s">
        <v>336</v>
      </c>
      <c r="D5" s="82"/>
      <c r="E5" s="82"/>
      <c r="F5" s="73"/>
      <c r="G5" s="73" t="s">
        <v>188</v>
      </c>
      <c r="H5" s="73"/>
      <c r="J5" t="s">
        <v>173</v>
      </c>
      <c r="K5" s="136">
        <f>C6</f>
        <v>1499950</v>
      </c>
    </row>
    <row r="6" spans="1:11" x14ac:dyDescent="0.35">
      <c r="B6" t="s">
        <v>173</v>
      </c>
      <c r="C6" s="130">
        <v>1499950</v>
      </c>
      <c r="J6" t="s">
        <v>0</v>
      </c>
      <c r="K6" s="35">
        <f>IF($E7="YES",$C7,$C8/$C$6)</f>
        <v>1</v>
      </c>
    </row>
    <row r="7" spans="1:11" x14ac:dyDescent="0.35">
      <c r="B7" t="s">
        <v>95</v>
      </c>
      <c r="C7" s="47">
        <v>1</v>
      </c>
      <c r="D7" t="s">
        <v>103</v>
      </c>
      <c r="E7" s="43" t="s">
        <v>159</v>
      </c>
      <c r="J7" t="s">
        <v>1</v>
      </c>
      <c r="K7" s="136">
        <f>IF($E7="YES",$C7*$C$6,$C8)</f>
        <v>1499950</v>
      </c>
    </row>
    <row r="8" spans="1:11" x14ac:dyDescent="0.35">
      <c r="C8" s="130">
        <v>80000</v>
      </c>
      <c r="D8" t="s">
        <v>105</v>
      </c>
      <c r="E8" t="str">
        <f>IF($E$7="YES","NO","YES")</f>
        <v>NO</v>
      </c>
      <c r="J8" t="s">
        <v>8</v>
      </c>
      <c r="K8" s="136">
        <f>K5-K7</f>
        <v>0</v>
      </c>
    </row>
    <row r="9" spans="1:11" x14ac:dyDescent="0.35">
      <c r="B9" t="s">
        <v>195</v>
      </c>
      <c r="C9" s="130">
        <v>1635000</v>
      </c>
      <c r="G9" t="s">
        <v>174</v>
      </c>
      <c r="J9" t="s">
        <v>195</v>
      </c>
      <c r="K9" s="136">
        <f>C9</f>
        <v>1635000</v>
      </c>
    </row>
    <row r="10" spans="1:11" x14ac:dyDescent="0.35">
      <c r="B10" t="s">
        <v>124</v>
      </c>
      <c r="C10" s="87">
        <v>5</v>
      </c>
      <c r="G10" t="s">
        <v>176</v>
      </c>
      <c r="J10" t="s">
        <v>125</v>
      </c>
      <c r="K10" s="88">
        <f>$C$10</f>
        <v>5</v>
      </c>
    </row>
    <row r="11" spans="1:11" x14ac:dyDescent="0.35">
      <c r="B11" t="s">
        <v>122</v>
      </c>
      <c r="C11" s="48">
        <v>0.05</v>
      </c>
      <c r="J11" t="s">
        <v>122</v>
      </c>
      <c r="K11" s="3">
        <f>C11</f>
        <v>0.05</v>
      </c>
    </row>
    <row r="12" spans="1:11" x14ac:dyDescent="0.35">
      <c r="B12" t="s">
        <v>93</v>
      </c>
      <c r="C12" s="131">
        <v>103000</v>
      </c>
      <c r="D12" s="43" t="s">
        <v>83</v>
      </c>
      <c r="J12" t="s">
        <v>123</v>
      </c>
      <c r="K12" s="4">
        <f>POWER((1+K11),1/12)-1</f>
        <v>4.0741237836483535E-3</v>
      </c>
    </row>
    <row r="13" spans="1:11" x14ac:dyDescent="0.35">
      <c r="B13" t="s">
        <v>94</v>
      </c>
      <c r="C13" s="131">
        <v>0</v>
      </c>
      <c r="D13" s="43" t="s">
        <v>84</v>
      </c>
      <c r="J13" t="s">
        <v>85</v>
      </c>
      <c r="K13" s="136">
        <f>$K$9*(1+$K$11)^$K$10</f>
        <v>2086720.3546875003</v>
      </c>
    </row>
    <row r="14" spans="1:11" x14ac:dyDescent="0.35">
      <c r="B14" t="s">
        <v>15</v>
      </c>
      <c r="C14" s="45">
        <v>0.05</v>
      </c>
      <c r="J14" t="s">
        <v>93</v>
      </c>
      <c r="K14" s="141" t="str">
        <f>TEXT($C$12,"AED#,##0.00")&amp;" "&amp;$D$12</f>
        <v>AED103,000.00 per annum</v>
      </c>
    </row>
    <row r="15" spans="1:11" x14ac:dyDescent="0.35">
      <c r="J15" t="s">
        <v>94</v>
      </c>
      <c r="K15" s="139" t="str">
        <f>TEXT($C$13,"AED#,##0.00")&amp;" "&amp;$D$13</f>
        <v>AED0.00 per week</v>
      </c>
    </row>
    <row r="16" spans="1:11" x14ac:dyDescent="0.35">
      <c r="C16" s="2"/>
      <c r="J16" t="s">
        <v>136</v>
      </c>
      <c r="K16" s="137">
        <f>($C$12*_xlfn.XLOOKUP($D$12,'RE Calculations'!$B$12:$B$16,'RE Calculations'!$C$12:$C$16,"Error - check formula",0)+$C$13*_xlfn.XLOOKUP($D$13,'RE Calculations'!$B$12:$B$16,'RE Calculations'!$C$12:$C$16,"Error - check formula",0))/12</f>
        <v>8583.3333333333339</v>
      </c>
    </row>
    <row r="17" spans="2:11" ht="15.5" x14ac:dyDescent="0.35">
      <c r="B17" s="64" t="s">
        <v>108</v>
      </c>
      <c r="C17" s="54"/>
      <c r="D17" s="54"/>
      <c r="E17" s="54"/>
      <c r="F17" s="54"/>
      <c r="G17" s="54"/>
      <c r="J17" t="s">
        <v>15</v>
      </c>
      <c r="K17" s="4">
        <f>C14</f>
        <v>0.05</v>
      </c>
    </row>
    <row r="18" spans="2:11" x14ac:dyDescent="0.35">
      <c r="B18" s="72" t="s">
        <v>141</v>
      </c>
      <c r="C18" s="73"/>
      <c r="D18" s="73"/>
      <c r="E18" s="73"/>
      <c r="F18" s="73"/>
      <c r="G18" s="73"/>
      <c r="J18" t="s">
        <v>135</v>
      </c>
      <c r="K18" s="136">
        <f>F56</f>
        <v>1601027</v>
      </c>
    </row>
    <row r="19" spans="2:11" x14ac:dyDescent="0.35">
      <c r="B19" t="s">
        <v>11</v>
      </c>
      <c r="C19" s="45">
        <v>4.4999999999999998E-2</v>
      </c>
      <c r="G19" t="s">
        <v>129</v>
      </c>
      <c r="J19" t="s">
        <v>74</v>
      </c>
      <c r="K19" s="132">
        <f>F95</f>
        <v>46234.407093750007</v>
      </c>
    </row>
    <row r="20" spans="2:11" x14ac:dyDescent="0.35">
      <c r="B20" t="s">
        <v>16</v>
      </c>
      <c r="C20" s="43">
        <v>30</v>
      </c>
      <c r="G20" t="s">
        <v>339</v>
      </c>
    </row>
    <row r="21" spans="2:11" x14ac:dyDescent="0.35">
      <c r="B21" t="s">
        <v>48</v>
      </c>
      <c r="C21" s="130">
        <v>100</v>
      </c>
      <c r="D21" s="43" t="s">
        <v>83</v>
      </c>
      <c r="G21" t="s">
        <v>131</v>
      </c>
      <c r="J21" s="46" t="s">
        <v>134</v>
      </c>
      <c r="K21" s="50" t="s">
        <v>81</v>
      </c>
    </row>
    <row r="22" spans="2:11" x14ac:dyDescent="0.35">
      <c r="J22" t="s">
        <v>137</v>
      </c>
      <c r="K22" s="140">
        <f>K16*12/_xlfn.XLOOKUP($K$21,'RE Calculations'!$B$12:$B$16,'RE Calculations'!$C$12:$C$16,"Error - Check Unit Input",0)</f>
        <v>8583.3333333333339</v>
      </c>
    </row>
    <row r="23" spans="2:11" x14ac:dyDescent="0.35">
      <c r="B23" s="72" t="s">
        <v>142</v>
      </c>
      <c r="C23" s="73"/>
      <c r="D23" s="73"/>
      <c r="E23" s="73"/>
      <c r="F23" s="73"/>
      <c r="G23" s="73"/>
      <c r="J23" t="s">
        <v>138</v>
      </c>
      <c r="K23" s="132">
        <f>F79/_xlfn.XLOOKUP($K$21,'RE Calculations'!$B$12:$B$16,'RE Calculations'!$C$12:$C$16,"Error - Check Unit Input",0)</f>
        <v>2432.3333333333335</v>
      </c>
    </row>
    <row r="24" spans="2:11" x14ac:dyDescent="0.35">
      <c r="B24" t="s">
        <v>11</v>
      </c>
      <c r="C24" s="45">
        <v>4.7500000000000001E-2</v>
      </c>
      <c r="G24" t="s">
        <v>129</v>
      </c>
      <c r="J24" t="s">
        <v>139</v>
      </c>
      <c r="K24" s="140">
        <f>K39*12/_xlfn.XLOOKUP($K$21,'RE Calculations'!$B$12:$B$16,'RE Calculations'!$C$12:$C$16,"Error - Check Unit Input",0)</f>
        <v>100</v>
      </c>
    </row>
    <row r="25" spans="2:11" x14ac:dyDescent="0.35">
      <c r="B25" t="s">
        <v>49</v>
      </c>
      <c r="C25" s="43">
        <v>5</v>
      </c>
      <c r="G25" t="s">
        <v>130</v>
      </c>
      <c r="J25" t="s">
        <v>143</v>
      </c>
      <c r="K25" s="140">
        <f>K22-K23-K24</f>
        <v>6051</v>
      </c>
    </row>
    <row r="26" spans="2:11" x14ac:dyDescent="0.35">
      <c r="B26" t="s">
        <v>147</v>
      </c>
      <c r="C26" s="45">
        <v>4.4999999999999998E-2</v>
      </c>
      <c r="G26" t="s">
        <v>129</v>
      </c>
      <c r="J26" t="s">
        <v>144</v>
      </c>
      <c r="K26" s="4">
        <f>(K25*_xlfn.XLOOKUP($K$21,'RE Calculations'!$B$12:$B$16,'RE Calculations'!$C$12:$C$16,"Error - Check Unit Input",0))/K18</f>
        <v>4.5353388793568129E-2</v>
      </c>
    </row>
    <row r="27" spans="2:11" x14ac:dyDescent="0.35">
      <c r="B27" t="s">
        <v>50</v>
      </c>
      <c r="C27" s="43">
        <v>30</v>
      </c>
      <c r="G27" t="s">
        <v>322</v>
      </c>
      <c r="J27" t="s">
        <v>140</v>
      </c>
      <c r="K27" s="140">
        <f>K49*12/_xlfn.XLOOKUP($K$21,'RE Calculations'!$B$12:$B$16,'RE Calculations'!$C$12:$C$16,"Error - Check Unit Input",0)</f>
        <v>120</v>
      </c>
    </row>
    <row r="28" spans="2:11" x14ac:dyDescent="0.35">
      <c r="B28" t="s">
        <v>48</v>
      </c>
      <c r="C28" s="130">
        <v>120</v>
      </c>
      <c r="D28" s="43" t="s">
        <v>83</v>
      </c>
      <c r="G28" t="s">
        <v>131</v>
      </c>
      <c r="J28" t="str">
        <f>"Loan Payment After "&amp;K44&amp;" Years (IO Loan)"</f>
        <v>Loan Payment After 5 Years (IO Loan)</v>
      </c>
      <c r="K28" s="140">
        <f>K50*12/_xlfn.XLOOKUP($K$21,'RE Calculations'!$B$12:$B$16,'RE Calculations'!$C$12:$C$16,"Error - Check Unit Input",0)</f>
        <v>120</v>
      </c>
    </row>
    <row r="29" spans="2:11" x14ac:dyDescent="0.35">
      <c r="J29" t="s">
        <v>145</v>
      </c>
      <c r="K29" s="140">
        <f>K22-K23-K27</f>
        <v>6031</v>
      </c>
    </row>
    <row r="30" spans="2:11" x14ac:dyDescent="0.35">
      <c r="J30" t="str">
        <f>"Total Cash Flow After "&amp;K44&amp;" Years (IO Loan)"</f>
        <v>Total Cash Flow After 5 Years (IO Loan)</v>
      </c>
      <c r="K30" s="140">
        <f>K22-K23-K28</f>
        <v>6031</v>
      </c>
    </row>
    <row r="31" spans="2:11" ht="15.5" x14ac:dyDescent="0.35">
      <c r="B31" s="64" t="s">
        <v>96</v>
      </c>
      <c r="C31" s="54"/>
      <c r="D31" s="54"/>
      <c r="E31" s="54"/>
      <c r="F31" s="54"/>
      <c r="G31" s="54"/>
      <c r="J31" t="s">
        <v>146</v>
      </c>
      <c r="K31" s="4">
        <f>(K29*_xlfn.XLOOKUP($K$21,'RE Calculations'!$B$12:$B$16,'RE Calculations'!$C$12:$C$16,"Error - Check Unit Input",0))/K18</f>
        <v>4.5203485013057244E-2</v>
      </c>
    </row>
    <row r="32" spans="2:11" x14ac:dyDescent="0.35">
      <c r="B32" s="46" t="s">
        <v>37</v>
      </c>
      <c r="C32" s="53" t="s">
        <v>116</v>
      </c>
      <c r="D32" s="53" t="s">
        <v>38</v>
      </c>
      <c r="E32" s="53" t="s">
        <v>64</v>
      </c>
      <c r="F32" s="53" t="s">
        <v>86</v>
      </c>
      <c r="G32" s="46" t="s">
        <v>39</v>
      </c>
    </row>
    <row r="33" spans="2:11" x14ac:dyDescent="0.35">
      <c r="B33" t="s">
        <v>334</v>
      </c>
      <c r="C33" s="49">
        <v>0</v>
      </c>
      <c r="D33" s="130">
        <v>0</v>
      </c>
      <c r="E33" s="28" t="b">
        <v>0</v>
      </c>
      <c r="F33" s="132">
        <f t="shared" ref="F33:F53" si="0">IFERROR(IF(OR(C33=0,C33="",ISERROR(C33)),D33,C33*$C$6),"Error - Check Input")</f>
        <v>0</v>
      </c>
      <c r="G33" t="s">
        <v>340</v>
      </c>
      <c r="J33" s="46" t="s">
        <v>128</v>
      </c>
      <c r="K33" s="54"/>
    </row>
    <row r="34" spans="2:11" x14ac:dyDescent="0.35">
      <c r="B34" t="s">
        <v>9</v>
      </c>
      <c r="C34" s="49">
        <v>0</v>
      </c>
      <c r="D34" s="130">
        <v>4500</v>
      </c>
      <c r="E34" s="28" t="b">
        <v>0</v>
      </c>
      <c r="F34" s="132">
        <f t="shared" si="0"/>
        <v>4500</v>
      </c>
      <c r="G34" t="s">
        <v>10</v>
      </c>
      <c r="J34" s="72" t="s">
        <v>141</v>
      </c>
      <c r="K34" s="73"/>
    </row>
    <row r="35" spans="2:11" x14ac:dyDescent="0.35">
      <c r="B35" t="s">
        <v>12</v>
      </c>
      <c r="C35" s="49">
        <v>0</v>
      </c>
      <c r="D35" s="130">
        <v>0</v>
      </c>
      <c r="E35" s="28" t="b">
        <v>0</v>
      </c>
      <c r="F35" s="132">
        <f t="shared" si="0"/>
        <v>0</v>
      </c>
      <c r="G35" t="s">
        <v>13</v>
      </c>
      <c r="J35" t="s">
        <v>11</v>
      </c>
      <c r="K35" s="36">
        <f>C19</f>
        <v>4.4999999999999998E-2</v>
      </c>
    </row>
    <row r="36" spans="2:11" x14ac:dyDescent="0.35">
      <c r="B36" t="s">
        <v>335</v>
      </c>
      <c r="C36" s="49">
        <v>0</v>
      </c>
      <c r="D36" s="130">
        <v>0</v>
      </c>
      <c r="E36" s="28" t="b">
        <v>0</v>
      </c>
      <c r="F36" s="132">
        <f t="shared" si="0"/>
        <v>0</v>
      </c>
      <c r="G36" t="s">
        <v>17</v>
      </c>
      <c r="J36" t="s">
        <v>133</v>
      </c>
      <c r="K36" s="37">
        <f>K35/12</f>
        <v>3.7499999999999999E-3</v>
      </c>
    </row>
    <row r="37" spans="2:11" x14ac:dyDescent="0.35">
      <c r="B37" t="s">
        <v>295</v>
      </c>
      <c r="C37" s="49">
        <v>0</v>
      </c>
      <c r="D37" s="130">
        <v>0</v>
      </c>
      <c r="E37" s="28" t="b">
        <v>0</v>
      </c>
      <c r="F37" s="132">
        <f t="shared" si="0"/>
        <v>0</v>
      </c>
      <c r="G37" t="s">
        <v>66</v>
      </c>
      <c r="J37" t="s">
        <v>16</v>
      </c>
      <c r="K37" s="26">
        <f>C20</f>
        <v>30</v>
      </c>
    </row>
    <row r="38" spans="2:11" x14ac:dyDescent="0.35">
      <c r="B38" t="s">
        <v>100</v>
      </c>
      <c r="C38" s="49">
        <v>0</v>
      </c>
      <c r="D38" s="130">
        <v>0</v>
      </c>
      <c r="E38" s="28" t="b">
        <v>0</v>
      </c>
      <c r="F38" s="132">
        <f t="shared" si="0"/>
        <v>0</v>
      </c>
      <c r="G38" t="s">
        <v>341</v>
      </c>
      <c r="J38" t="s">
        <v>48</v>
      </c>
      <c r="K38" s="136" t="str">
        <f>TEXT($C$21,"AED#,##0.00")&amp;" "&amp;$D$21</f>
        <v>AED100.00 per annum</v>
      </c>
    </row>
    <row r="39" spans="2:11" x14ac:dyDescent="0.35">
      <c r="B39" t="s">
        <v>330</v>
      </c>
      <c r="C39" s="49">
        <v>0.04</v>
      </c>
      <c r="D39" s="130">
        <v>700</v>
      </c>
      <c r="E39" s="28" t="b">
        <v>0</v>
      </c>
      <c r="F39" s="132">
        <f t="shared" si="0"/>
        <v>59998</v>
      </c>
      <c r="G39" t="s">
        <v>342</v>
      </c>
      <c r="J39" t="s">
        <v>52</v>
      </c>
      <c r="K39" s="140">
        <f>-PMT(K36,K37*12,K8)+$C$21*_xlfn.XLOOKUP($D$21,'RE Calculations'!$B$12:$B$16,'RE Calculations'!$C$12:$C$16,"ERROR - Check Input")</f>
        <v>100</v>
      </c>
    </row>
    <row r="40" spans="2:11" x14ac:dyDescent="0.35">
      <c r="B40" t="s">
        <v>332</v>
      </c>
      <c r="C40" s="49">
        <v>0</v>
      </c>
      <c r="D40" s="130">
        <v>2000</v>
      </c>
      <c r="E40" s="28" t="b">
        <v>0</v>
      </c>
      <c r="F40" s="132">
        <f t="shared" si="0"/>
        <v>2000</v>
      </c>
      <c r="G40" t="s">
        <v>343</v>
      </c>
    </row>
    <row r="41" spans="2:11" x14ac:dyDescent="0.35">
      <c r="B41" t="s">
        <v>87</v>
      </c>
      <c r="C41" s="49">
        <v>0</v>
      </c>
      <c r="D41" s="130">
        <v>0</v>
      </c>
      <c r="E41" s="28" t="b">
        <v>0</v>
      </c>
      <c r="F41" s="132">
        <f t="shared" si="0"/>
        <v>0</v>
      </c>
      <c r="G41" t="s">
        <v>308</v>
      </c>
      <c r="J41" s="72" t="s">
        <v>142</v>
      </c>
      <c r="K41" s="73"/>
    </row>
    <row r="42" spans="2:11" x14ac:dyDescent="0.35">
      <c r="B42" t="s">
        <v>331</v>
      </c>
      <c r="C42" s="49">
        <v>0</v>
      </c>
      <c r="D42" s="130">
        <v>580</v>
      </c>
      <c r="E42" s="28" t="b">
        <v>0</v>
      </c>
      <c r="F42" s="132">
        <f t="shared" si="0"/>
        <v>580</v>
      </c>
      <c r="G42" t="s">
        <v>344</v>
      </c>
      <c r="J42" t="s">
        <v>11</v>
      </c>
      <c r="K42" s="4">
        <f>C24</f>
        <v>4.7500000000000001E-2</v>
      </c>
    </row>
    <row r="43" spans="2:11" x14ac:dyDescent="0.35">
      <c r="B43" t="s">
        <v>97</v>
      </c>
      <c r="C43" s="49">
        <v>0</v>
      </c>
      <c r="D43" s="130">
        <v>0</v>
      </c>
      <c r="E43" s="28" t="b">
        <v>0</v>
      </c>
      <c r="F43" s="132">
        <f t="shared" si="0"/>
        <v>0</v>
      </c>
      <c r="G43" t="s">
        <v>98</v>
      </c>
      <c r="J43" t="s">
        <v>133</v>
      </c>
      <c r="K43" s="37">
        <f>K42/12</f>
        <v>3.9583333333333337E-3</v>
      </c>
    </row>
    <row r="44" spans="2:11" x14ac:dyDescent="0.35">
      <c r="B44" t="s">
        <v>34</v>
      </c>
      <c r="C44" s="49">
        <v>0</v>
      </c>
      <c r="D44" s="130">
        <v>0</v>
      </c>
      <c r="E44" s="28" t="b">
        <v>0</v>
      </c>
      <c r="F44" s="132">
        <f t="shared" si="0"/>
        <v>0</v>
      </c>
      <c r="G44" t="s">
        <v>345</v>
      </c>
      <c r="J44" t="s">
        <v>49</v>
      </c>
      <c r="K44">
        <f>C25</f>
        <v>5</v>
      </c>
    </row>
    <row r="45" spans="2:11" x14ac:dyDescent="0.35">
      <c r="B45" t="s">
        <v>46</v>
      </c>
      <c r="C45" s="49">
        <v>0</v>
      </c>
      <c r="D45" s="130">
        <v>0</v>
      </c>
      <c r="E45" s="28" t="b">
        <v>0</v>
      </c>
      <c r="F45" s="132">
        <f t="shared" si="0"/>
        <v>0</v>
      </c>
      <c r="G45" t="s">
        <v>346</v>
      </c>
      <c r="J45" t="s">
        <v>109</v>
      </c>
      <c r="K45" s="4">
        <f>C26</f>
        <v>4.4999999999999998E-2</v>
      </c>
    </row>
    <row r="46" spans="2:11" x14ac:dyDescent="0.35">
      <c r="B46" t="s">
        <v>65</v>
      </c>
      <c r="C46" s="49">
        <v>0</v>
      </c>
      <c r="D46" s="130">
        <v>0</v>
      </c>
      <c r="E46" s="28" t="b">
        <v>0</v>
      </c>
      <c r="F46" s="132">
        <f t="shared" si="0"/>
        <v>0</v>
      </c>
      <c r="G46" t="s">
        <v>347</v>
      </c>
      <c r="J46" t="s">
        <v>133</v>
      </c>
      <c r="K46" s="37">
        <f>K45/12</f>
        <v>3.7499999999999999E-3</v>
      </c>
    </row>
    <row r="47" spans="2:11" x14ac:dyDescent="0.35">
      <c r="B47" t="s">
        <v>162</v>
      </c>
      <c r="C47" s="49">
        <v>0.02</v>
      </c>
      <c r="D47" s="130">
        <v>0</v>
      </c>
      <c r="E47" s="28" t="b">
        <v>0</v>
      </c>
      <c r="F47" s="132">
        <f t="shared" si="0"/>
        <v>29999</v>
      </c>
      <c r="G47" t="s">
        <v>348</v>
      </c>
      <c r="J47" t="s">
        <v>50</v>
      </c>
      <c r="K47">
        <f>C27</f>
        <v>30</v>
      </c>
    </row>
    <row r="48" spans="2:11" x14ac:dyDescent="0.35">
      <c r="B48" t="s">
        <v>333</v>
      </c>
      <c r="C48" s="49">
        <v>0</v>
      </c>
      <c r="D48" s="130">
        <v>4000</v>
      </c>
      <c r="E48" s="28" t="b">
        <v>0</v>
      </c>
      <c r="F48" s="132">
        <f t="shared" si="0"/>
        <v>4000</v>
      </c>
      <c r="G48" t="s">
        <v>349</v>
      </c>
      <c r="J48" t="s">
        <v>48</v>
      </c>
      <c r="K48" s="136" t="str">
        <f>TEXT($C$28,"AED#,##0.00")&amp;" "&amp;$D$28</f>
        <v>AED120.00 per annum</v>
      </c>
    </row>
    <row r="49" spans="2:11" x14ac:dyDescent="0.35">
      <c r="B49" t="s">
        <v>89</v>
      </c>
      <c r="C49" s="49">
        <v>0</v>
      </c>
      <c r="D49" s="130">
        <v>0</v>
      </c>
      <c r="E49" s="28" t="b">
        <v>0</v>
      </c>
      <c r="F49" s="132">
        <f t="shared" si="0"/>
        <v>0</v>
      </c>
      <c r="G49" t="s">
        <v>32</v>
      </c>
      <c r="J49" t="str">
        <f>"Monthly Loan Payment (First "&amp;K44&amp;" Years)"</f>
        <v>Monthly Loan Payment (First 5 Years)</v>
      </c>
      <c r="K49" s="140">
        <f>K42*K8/12+$C$28*_xlfn.XLOOKUP($D$28,'RE Calculations'!$B$12:$B$16,'RE Calculations'!$C$12:$C$16,"ERROR - Check Input")</f>
        <v>120</v>
      </c>
    </row>
    <row r="50" spans="2:11" x14ac:dyDescent="0.35">
      <c r="B50" t="s">
        <v>88</v>
      </c>
      <c r="C50" s="49">
        <v>0</v>
      </c>
      <c r="D50" s="130">
        <v>0</v>
      </c>
      <c r="E50" s="28" t="b">
        <v>0</v>
      </c>
      <c r="F50" s="132">
        <f t="shared" si="0"/>
        <v>0</v>
      </c>
      <c r="G50" t="s">
        <v>32</v>
      </c>
      <c r="J50" t="s">
        <v>132</v>
      </c>
      <c r="K50" s="140">
        <f>-PMT(K46,(K47-K44)*12,K8)+$C$28*_xlfn.XLOOKUP($D$28,'RE Calculations'!$B$12:$B$16,'RE Calculations'!$C$12:$C$16,"ERROR - Check Input")</f>
        <v>120</v>
      </c>
    </row>
    <row r="51" spans="2:11" x14ac:dyDescent="0.35">
      <c r="B51" t="s">
        <v>113</v>
      </c>
      <c r="C51" s="49">
        <v>0</v>
      </c>
      <c r="D51" s="130">
        <v>0</v>
      </c>
      <c r="E51" s="28" t="b">
        <v>0</v>
      </c>
      <c r="F51" s="132">
        <f t="shared" ref="F51:F52" si="1">IFERROR(IF(OR(C51=0,C51="",ISERROR(C51)),D51,C51*$C$6),"Error - Check Input")</f>
        <v>0</v>
      </c>
      <c r="G51" t="s">
        <v>32</v>
      </c>
    </row>
    <row r="52" spans="2:11" x14ac:dyDescent="0.35">
      <c r="B52" t="s">
        <v>323</v>
      </c>
      <c r="C52" s="49">
        <v>0</v>
      </c>
      <c r="D52" s="130">
        <v>0</v>
      </c>
      <c r="E52" s="28" t="b">
        <v>0</v>
      </c>
      <c r="F52" s="132">
        <f t="shared" si="1"/>
        <v>0</v>
      </c>
      <c r="G52" t="s">
        <v>32</v>
      </c>
      <c r="J52" s="46" t="s">
        <v>155</v>
      </c>
      <c r="K52" s="54"/>
    </row>
    <row r="53" spans="2:11" x14ac:dyDescent="0.35">
      <c r="B53" t="s">
        <v>324</v>
      </c>
      <c r="C53" s="49">
        <v>0</v>
      </c>
      <c r="D53" s="130">
        <v>0</v>
      </c>
      <c r="E53" s="28" t="b">
        <v>0</v>
      </c>
      <c r="F53" s="132">
        <f t="shared" si="0"/>
        <v>0</v>
      </c>
      <c r="G53" t="s">
        <v>32</v>
      </c>
      <c r="J53" t="s">
        <v>61</v>
      </c>
      <c r="K53" s="36">
        <f>C100</f>
        <v>0</v>
      </c>
    </row>
    <row r="54" spans="2:11" x14ac:dyDescent="0.35">
      <c r="C54" s="8"/>
      <c r="D54" s="32"/>
      <c r="E54" s="8"/>
      <c r="J54" t="s">
        <v>36</v>
      </c>
      <c r="K54" s="3">
        <f>C101</f>
        <v>0</v>
      </c>
    </row>
    <row r="55" spans="2:11" x14ac:dyDescent="0.35">
      <c r="B55" s="67" t="s">
        <v>111</v>
      </c>
      <c r="C55" s="68"/>
      <c r="D55" s="68"/>
      <c r="E55" s="67"/>
      <c r="F55" s="133">
        <f>SUM(F33:F54)</f>
        <v>101077</v>
      </c>
      <c r="G55" s="34"/>
      <c r="J55" t="s">
        <v>158</v>
      </c>
      <c r="K55" s="3">
        <f>IF(E102="YES",IF($E103="YES",$C$103,$C$104/$K$5),0)</f>
        <v>0</v>
      </c>
    </row>
    <row r="56" spans="2:11" x14ac:dyDescent="0.35">
      <c r="B56" s="69" t="s">
        <v>112</v>
      </c>
      <c r="C56" s="70"/>
      <c r="D56" s="70"/>
      <c r="E56" s="69"/>
      <c r="F56" s="134">
        <f>F55+K7</f>
        <v>1601027</v>
      </c>
      <c r="G56" s="2"/>
      <c r="J56" t="s">
        <v>157</v>
      </c>
      <c r="K56" s="136">
        <f>IF(E102="YES",IF($E104="YES",$C$104,$C$103*$K$5),0)</f>
        <v>0</v>
      </c>
    </row>
    <row r="57" spans="2:11" x14ac:dyDescent="0.35">
      <c r="J57" t="s">
        <v>151</v>
      </c>
      <c r="K57" s="56">
        <f>IF(E102="YES",C105,0)</f>
        <v>0</v>
      </c>
    </row>
    <row r="58" spans="2:11" x14ac:dyDescent="0.35">
      <c r="F58" s="8"/>
    </row>
    <row r="59" spans="2:11" ht="15.5" x14ac:dyDescent="0.35">
      <c r="B59" s="64" t="s">
        <v>35</v>
      </c>
      <c r="C59" s="66" t="s">
        <v>175</v>
      </c>
      <c r="D59" s="54"/>
      <c r="E59" s="54"/>
      <c r="F59" s="54"/>
      <c r="G59" s="54"/>
    </row>
    <row r="60" spans="2:11" x14ac:dyDescent="0.35">
      <c r="B60" s="46" t="s">
        <v>37</v>
      </c>
      <c r="C60" s="53" t="s">
        <v>115</v>
      </c>
      <c r="D60" s="53" t="s">
        <v>77</v>
      </c>
      <c r="E60" s="53" t="s">
        <v>78</v>
      </c>
      <c r="F60" s="53" t="s">
        <v>79</v>
      </c>
      <c r="G60" s="46" t="s">
        <v>39</v>
      </c>
      <c r="H60" s="2"/>
    </row>
    <row r="61" spans="2:11" x14ac:dyDescent="0.35">
      <c r="B61" t="s">
        <v>350</v>
      </c>
      <c r="C61" s="49">
        <v>0</v>
      </c>
      <c r="D61" s="130">
        <v>0</v>
      </c>
      <c r="E61" s="43" t="s">
        <v>83</v>
      </c>
      <c r="F61" s="132">
        <f>IFERROR(IF(OR(C61=0,C61="",ISERROR(C61)),D61*_xlfn.XLOOKUP(E61,'RE Calculations'!$B$12:$B$16,'RE Calculations'!$C$12:$C$16,"Error - Check Unit Input",0),C61*'RE Calculations'!$C$8),"Error - Check Input")</f>
        <v>0</v>
      </c>
    </row>
    <row r="62" spans="2:11" x14ac:dyDescent="0.35">
      <c r="B62" t="s">
        <v>351</v>
      </c>
      <c r="C62" s="49">
        <v>0</v>
      </c>
      <c r="D62" s="130">
        <v>0</v>
      </c>
      <c r="E62" s="43" t="s">
        <v>83</v>
      </c>
      <c r="F62" s="132">
        <f>IFERROR(IF(OR(C62=0,C62="",ISERROR(C62)),D62*_xlfn.XLOOKUP(E62,'RE Calculations'!$B$12:$B$16,'RE Calculations'!$C$12:$C$16,"Error - Check Unit Input",0),C62*'RE Calculations'!$C$8),"Error - Check Input")</f>
        <v>0</v>
      </c>
    </row>
    <row r="63" spans="2:11" x14ac:dyDescent="0.35">
      <c r="B63" t="s">
        <v>337</v>
      </c>
      <c r="C63" s="49">
        <v>0</v>
      </c>
      <c r="D63" s="130">
        <v>10158</v>
      </c>
      <c r="E63" s="43" t="s">
        <v>83</v>
      </c>
      <c r="F63" s="132">
        <f>IFERROR(IF(OR(C63=0,C63="",ISERROR(C63)),D63*_xlfn.XLOOKUP(E63,'RE Calculations'!$B$12:$B$16,'RE Calculations'!$C$12:$C$16,"Error - Check Unit Input",0),C63*'RE Calculations'!$C$8),"Error - Check Input")</f>
        <v>10158</v>
      </c>
    </row>
    <row r="64" spans="2:11" x14ac:dyDescent="0.35">
      <c r="B64" t="s">
        <v>25</v>
      </c>
      <c r="C64" s="49">
        <v>0</v>
      </c>
      <c r="D64" s="130">
        <v>600</v>
      </c>
      <c r="E64" s="43" t="s">
        <v>81</v>
      </c>
      <c r="F64" s="132">
        <f>IFERROR(IF(OR(C64=0,C64="",ISERROR(C64)),D64*_xlfn.XLOOKUP(E64,'RE Calculations'!$B$12:$B$16,'RE Calculations'!$C$12:$C$16,"Error - Check Unit Input",0),C64*'RE Calculations'!$C$8),"Error - Check Input")</f>
        <v>7200</v>
      </c>
      <c r="G64" t="s">
        <v>352</v>
      </c>
    </row>
    <row r="65" spans="2:8" x14ac:dyDescent="0.35">
      <c r="B65" t="s">
        <v>33</v>
      </c>
      <c r="C65" s="49">
        <v>0</v>
      </c>
      <c r="D65" s="130">
        <v>0</v>
      </c>
      <c r="E65" s="43" t="s">
        <v>83</v>
      </c>
      <c r="F65" s="132">
        <f>IFERROR(IF(OR(C65=0,C65="",ISERROR(C65)),D65*_xlfn.XLOOKUP(E65,'RE Calculations'!$B$12:$B$16,'RE Calculations'!$C$12:$C$16,"Error - Check Unit Input",0),C65*'RE Calculations'!$C$8),"Error - Check Input")</f>
        <v>0</v>
      </c>
      <c r="G65" t="s">
        <v>321</v>
      </c>
    </row>
    <row r="66" spans="2:8" x14ac:dyDescent="0.35">
      <c r="B66" t="s">
        <v>29</v>
      </c>
      <c r="C66" s="49">
        <v>0</v>
      </c>
      <c r="D66" s="130">
        <v>0</v>
      </c>
      <c r="E66" s="43" t="s">
        <v>83</v>
      </c>
      <c r="F66" s="132">
        <f>IFERROR(IF(OR(C66=0,C66="",ISERROR(C66)),D66*_xlfn.XLOOKUP(E66,'RE Calculations'!$B$12:$B$16,'RE Calculations'!$C$12:$C$16,"Error - Check Unit Input",0),C66*'RE Calculations'!$C$8),"Error - Check Input")</f>
        <v>0</v>
      </c>
      <c r="G66" t="s">
        <v>353</v>
      </c>
    </row>
    <row r="67" spans="2:8" x14ac:dyDescent="0.35">
      <c r="B67" t="s">
        <v>30</v>
      </c>
      <c r="C67" s="49">
        <v>0</v>
      </c>
      <c r="D67" s="130">
        <v>500</v>
      </c>
      <c r="E67" s="43" t="s">
        <v>83</v>
      </c>
      <c r="F67" s="132">
        <f>IFERROR(IF(OR(C67=0,C67="",ISERROR(C67)),D67*_xlfn.XLOOKUP(E67,'RE Calculations'!$B$12:$B$16,'RE Calculations'!$C$12:$C$16,"Error - Check Unit Input",0),C67*'RE Calculations'!$C$8),"Error - Check Input")</f>
        <v>500</v>
      </c>
      <c r="G67" t="s">
        <v>354</v>
      </c>
    </row>
    <row r="68" spans="2:8" x14ac:dyDescent="0.35">
      <c r="B68" t="s">
        <v>31</v>
      </c>
      <c r="C68" s="49">
        <v>0</v>
      </c>
      <c r="D68" s="130">
        <v>0</v>
      </c>
      <c r="E68" s="43" t="s">
        <v>83</v>
      </c>
      <c r="F68" s="132">
        <f>IFERROR(IF(OR(C68=0,C68="",ISERROR(C68)),D68*_xlfn.XLOOKUP(E68,'RE Calculations'!$B$12:$B$16,'RE Calculations'!$C$12:$C$16,"Error - Check Unit Input",0),C68*'RE Calculations'!$C$8),"Error - Check Input")</f>
        <v>0</v>
      </c>
      <c r="G68" t="s">
        <v>32</v>
      </c>
    </row>
    <row r="69" spans="2:8" x14ac:dyDescent="0.35">
      <c r="B69" t="s">
        <v>43</v>
      </c>
      <c r="C69" s="49">
        <v>0.02</v>
      </c>
      <c r="D69" s="130">
        <v>0</v>
      </c>
      <c r="E69" s="43" t="s">
        <v>83</v>
      </c>
      <c r="F69" s="132">
        <f>IFERROR(IF(OR(C69=0,C69="",ISERROR(C69)),D69*_xlfn.XLOOKUP(E69,'RE Calculations'!$B$12:$B$16,'RE Calculations'!$C$12:$C$16,"Error - Check Unit Input",0),C69*'RE Calculations'!$C$8),"Error - Check Input")</f>
        <v>2060</v>
      </c>
      <c r="G69" s="27" t="s">
        <v>355</v>
      </c>
    </row>
    <row r="70" spans="2:8" x14ac:dyDescent="0.35">
      <c r="B70" t="s">
        <v>44</v>
      </c>
      <c r="C70" s="49">
        <v>0.01</v>
      </c>
      <c r="D70" s="130">
        <v>0</v>
      </c>
      <c r="E70" s="43" t="s">
        <v>81</v>
      </c>
      <c r="F70" s="132">
        <f>IFERROR(IF(OR(C70=0,C70="",ISERROR(C70)),D70*_xlfn.XLOOKUP(E70,'RE Calculations'!$B$12:$B$16,'RE Calculations'!$C$12:$C$16,"Error - Check Unit Input",0),C70*'RE Calculations'!$C$8),"Error - Check Input")</f>
        <v>1030</v>
      </c>
      <c r="G70" s="27" t="s">
        <v>356</v>
      </c>
    </row>
    <row r="71" spans="2:8" x14ac:dyDescent="0.35">
      <c r="B71" t="s">
        <v>2</v>
      </c>
      <c r="C71" s="49">
        <v>0.08</v>
      </c>
      <c r="D71" s="130">
        <v>0</v>
      </c>
      <c r="E71" s="43" t="s">
        <v>81</v>
      </c>
      <c r="F71" s="132">
        <f>IFERROR(IF(OR(C71=0,C71="",ISERROR(C71)),D71*_xlfn.XLOOKUP(E71,'RE Calculations'!$B$12:$B$16,'RE Calculations'!$C$12:$C$16,"Error - Check Unit Input",0),C71*'RE Calculations'!$C$8),"Error - Check Input")</f>
        <v>8240</v>
      </c>
      <c r="G71" s="27" t="s">
        <v>357</v>
      </c>
    </row>
    <row r="72" spans="2:8" x14ac:dyDescent="0.35">
      <c r="B72" t="s">
        <v>358</v>
      </c>
      <c r="C72" s="49">
        <v>0</v>
      </c>
      <c r="D72" s="130">
        <v>0</v>
      </c>
      <c r="E72" s="43" t="s">
        <v>83</v>
      </c>
      <c r="F72" s="132">
        <f>IFERROR(IF(OR(C72=0,C72="",ISERROR(C72)),D72*_xlfn.XLOOKUP(E72,'RE Calculations'!$B$12:$B$16,'RE Calculations'!$C$12:$C$16,"Error - Check Unit Input",0),C72*'RE Calculations'!$C$8),"Error - Check Input")</f>
        <v>0</v>
      </c>
      <c r="G72" t="s">
        <v>32</v>
      </c>
    </row>
    <row r="73" spans="2:8" x14ac:dyDescent="0.35">
      <c r="B73" t="s">
        <v>118</v>
      </c>
      <c r="C73" s="49">
        <v>0</v>
      </c>
      <c r="D73" s="130">
        <v>0</v>
      </c>
      <c r="E73" s="43" t="s">
        <v>81</v>
      </c>
      <c r="F73" s="132">
        <f>IFERROR(IF(OR(C73=0,C73="",ISERROR(C73)),D73*_xlfn.XLOOKUP(E73,'RE Calculations'!$B$12:$B$16,'RE Calculations'!$C$12:$C$16,"Error - Check Unit Input",0),C73*'RE Calculations'!$C$8),"Error - Check Input")</f>
        <v>0</v>
      </c>
      <c r="G73" t="s">
        <v>32</v>
      </c>
      <c r="H73" s="27"/>
    </row>
    <row r="74" spans="2:8" x14ac:dyDescent="0.35">
      <c r="B74" t="s">
        <v>119</v>
      </c>
      <c r="C74" s="49">
        <v>0</v>
      </c>
      <c r="D74" s="130">
        <v>0</v>
      </c>
      <c r="E74" s="43" t="s">
        <v>81</v>
      </c>
      <c r="F74" s="132">
        <f>IFERROR(IF(OR(C74=0,C74="",ISERROR(C74)),D74*_xlfn.XLOOKUP(E74,'RE Calculations'!$B$12:$B$16,'RE Calculations'!$C$12:$C$16,"Error - Check Unit Input",0),C74*'RE Calculations'!$C$8),"Error - Check Input")</f>
        <v>0</v>
      </c>
      <c r="G74" t="s">
        <v>32</v>
      </c>
      <c r="H74" s="27"/>
    </row>
    <row r="75" spans="2:8" x14ac:dyDescent="0.35">
      <c r="B75" t="s">
        <v>120</v>
      </c>
      <c r="C75" s="49">
        <v>0</v>
      </c>
      <c r="D75" s="130">
        <v>0</v>
      </c>
      <c r="E75" s="43" t="s">
        <v>81</v>
      </c>
      <c r="F75" s="132">
        <f>IFERROR(IF(OR(C75=0,C75="",ISERROR(C75)),D75*_xlfn.XLOOKUP(E75,'RE Calculations'!$B$12:$B$16,'RE Calculations'!$C$12:$C$16,"Error - Check Unit Input",0),C75*'RE Calculations'!$C$8),"Error - Check Input")</f>
        <v>0</v>
      </c>
      <c r="G75" t="s">
        <v>32</v>
      </c>
      <c r="H75" s="27"/>
    </row>
    <row r="76" spans="2:8" x14ac:dyDescent="0.35">
      <c r="B76" t="s">
        <v>325</v>
      </c>
      <c r="C76" s="49">
        <v>0</v>
      </c>
      <c r="D76" s="130">
        <v>0</v>
      </c>
      <c r="E76" s="43" t="s">
        <v>81</v>
      </c>
      <c r="F76" s="132">
        <f>IFERROR(IF(OR(C76=0,C76="",ISERROR(C76)),D76*_xlfn.XLOOKUP(E76,'RE Calculations'!$B$12:$B$16,'RE Calculations'!$C$12:$C$16,"Error - Check Unit Input",0),C76*'RE Calculations'!$C$8),"Error - Check Input")</f>
        <v>0</v>
      </c>
      <c r="G76" t="s">
        <v>32</v>
      </c>
      <c r="H76" s="27"/>
    </row>
    <row r="77" spans="2:8" x14ac:dyDescent="0.35">
      <c r="B77" t="s">
        <v>326</v>
      </c>
      <c r="C77" s="49">
        <v>0</v>
      </c>
      <c r="D77" s="130">
        <v>0</v>
      </c>
      <c r="E77" s="43" t="s">
        <v>81</v>
      </c>
      <c r="F77" s="132">
        <f>IFERROR(IF(OR(C77=0,C77="",ISERROR(C77)),D77*_xlfn.XLOOKUP(E77,'RE Calculations'!$B$12:$B$16,'RE Calculations'!$C$12:$C$16,"Error - Check Unit Input",0),C77*'RE Calculations'!$C$8),"Error - Check Input")</f>
        <v>0</v>
      </c>
      <c r="G77" t="s">
        <v>32</v>
      </c>
    </row>
    <row r="78" spans="2:8" x14ac:dyDescent="0.35">
      <c r="C78" s="8"/>
      <c r="D78" s="132"/>
      <c r="E78" s="26"/>
      <c r="F78" s="132"/>
    </row>
    <row r="79" spans="2:8" x14ac:dyDescent="0.35">
      <c r="B79" s="67" t="s">
        <v>45</v>
      </c>
      <c r="C79" s="67"/>
      <c r="D79" s="135">
        <f>F79/_xlfn.XLOOKUP(E79,'RE Calculations'!$B$12:$B$16,'RE Calculations'!$C$12:$C$16,"Error - check formula",0)</f>
        <v>2432.3333333333335</v>
      </c>
      <c r="E79" s="71" t="s">
        <v>81</v>
      </c>
      <c r="F79" s="133">
        <f>SUM(F61:F78)</f>
        <v>29188</v>
      </c>
      <c r="G79" s="34"/>
    </row>
    <row r="82" spans="2:7" ht="15.5" x14ac:dyDescent="0.35">
      <c r="B82" s="64" t="s">
        <v>40</v>
      </c>
      <c r="C82" s="54"/>
      <c r="D82" s="54"/>
      <c r="E82" s="54"/>
      <c r="F82" s="54"/>
      <c r="G82" s="54"/>
    </row>
    <row r="83" spans="2:7" x14ac:dyDescent="0.35">
      <c r="B83" s="46" t="s">
        <v>37</v>
      </c>
      <c r="C83" s="53" t="s">
        <v>114</v>
      </c>
      <c r="D83" s="53" t="s">
        <v>38</v>
      </c>
      <c r="E83" s="53" t="s">
        <v>64</v>
      </c>
      <c r="F83" s="53" t="s">
        <v>86</v>
      </c>
      <c r="G83" s="46" t="s">
        <v>39</v>
      </c>
    </row>
    <row r="84" spans="2:7" x14ac:dyDescent="0.35">
      <c r="B84" t="s">
        <v>41</v>
      </c>
      <c r="C84" s="49">
        <v>0</v>
      </c>
      <c r="D84" s="130">
        <v>0</v>
      </c>
      <c r="E84" s="57" t="b">
        <v>0</v>
      </c>
      <c r="F84" s="132">
        <f t="shared" ref="F84:F93" si="2">IFERROR(IF(OR(C84=0,C84="",ISERROR(C84)),D84,C84*$K$13),"Error - Check Input")</f>
        <v>0</v>
      </c>
      <c r="G84" t="s">
        <v>359</v>
      </c>
    </row>
    <row r="85" spans="2:7" x14ac:dyDescent="0.35">
      <c r="B85" t="s">
        <v>99</v>
      </c>
      <c r="C85" s="49">
        <v>0.02</v>
      </c>
      <c r="D85" s="130">
        <v>0</v>
      </c>
      <c r="E85" s="57" t="b">
        <v>0</v>
      </c>
      <c r="F85" s="132">
        <f t="shared" si="2"/>
        <v>41734.407093750007</v>
      </c>
      <c r="G85" t="s">
        <v>360</v>
      </c>
    </row>
    <row r="86" spans="2:7" x14ac:dyDescent="0.35">
      <c r="B86" t="s">
        <v>4</v>
      </c>
      <c r="C86" s="49">
        <v>0</v>
      </c>
      <c r="D86" s="130">
        <v>4500</v>
      </c>
      <c r="E86" s="57" t="b">
        <v>0</v>
      </c>
      <c r="F86" s="132">
        <f t="shared" si="2"/>
        <v>4500</v>
      </c>
    </row>
    <row r="87" spans="2:7" x14ac:dyDescent="0.35">
      <c r="B87" t="s">
        <v>90</v>
      </c>
      <c r="C87" s="49">
        <v>0</v>
      </c>
      <c r="D87" s="130">
        <v>0</v>
      </c>
      <c r="E87" s="57" t="b">
        <v>0</v>
      </c>
      <c r="F87" s="132">
        <f t="shared" si="2"/>
        <v>0</v>
      </c>
      <c r="G87" t="s">
        <v>32</v>
      </c>
    </row>
    <row r="88" spans="2:7" x14ac:dyDescent="0.35">
      <c r="B88" t="s">
        <v>101</v>
      </c>
      <c r="C88" s="49">
        <v>0</v>
      </c>
      <c r="D88" s="130">
        <v>0</v>
      </c>
      <c r="E88" s="57" t="b">
        <v>0</v>
      </c>
      <c r="F88" s="132">
        <f t="shared" si="2"/>
        <v>0</v>
      </c>
      <c r="G88" t="s">
        <v>32</v>
      </c>
    </row>
    <row r="89" spans="2:7" x14ac:dyDescent="0.35">
      <c r="B89" t="s">
        <v>92</v>
      </c>
      <c r="C89" s="49">
        <v>0</v>
      </c>
      <c r="D89" s="130">
        <v>0</v>
      </c>
      <c r="E89" s="57" t="b">
        <v>0</v>
      </c>
      <c r="F89" s="132">
        <f t="shared" si="2"/>
        <v>0</v>
      </c>
      <c r="G89" t="s">
        <v>32</v>
      </c>
    </row>
    <row r="90" spans="2:7" x14ac:dyDescent="0.35">
      <c r="B90" t="s">
        <v>91</v>
      </c>
      <c r="C90" s="49">
        <v>0</v>
      </c>
      <c r="D90" s="130">
        <v>0</v>
      </c>
      <c r="E90" s="57" t="b">
        <v>0</v>
      </c>
      <c r="F90" s="132">
        <f t="shared" si="2"/>
        <v>0</v>
      </c>
      <c r="G90" t="s">
        <v>32</v>
      </c>
    </row>
    <row r="91" spans="2:7" x14ac:dyDescent="0.35">
      <c r="B91" t="s">
        <v>121</v>
      </c>
      <c r="C91" s="49">
        <v>0</v>
      </c>
      <c r="D91" s="130">
        <v>0</v>
      </c>
      <c r="E91" s="57" t="b">
        <v>0</v>
      </c>
      <c r="F91" s="132">
        <f t="shared" ref="F91:F92" si="3">IFERROR(IF(OR(C91=0,C91="",ISERROR(C91)),D91,C91*$K$13),"Error - Check Input")</f>
        <v>0</v>
      </c>
      <c r="G91" t="s">
        <v>32</v>
      </c>
    </row>
    <row r="92" spans="2:7" x14ac:dyDescent="0.35">
      <c r="B92" t="s">
        <v>327</v>
      </c>
      <c r="C92" s="49">
        <v>0</v>
      </c>
      <c r="D92" s="130">
        <v>0</v>
      </c>
      <c r="E92" s="57" t="b">
        <v>0</v>
      </c>
      <c r="F92" s="132">
        <f t="shared" si="3"/>
        <v>0</v>
      </c>
      <c r="G92" t="s">
        <v>32</v>
      </c>
    </row>
    <row r="93" spans="2:7" x14ac:dyDescent="0.35">
      <c r="B93" t="s">
        <v>328</v>
      </c>
      <c r="C93" s="49">
        <v>0</v>
      </c>
      <c r="D93" s="130">
        <v>0</v>
      </c>
      <c r="E93" s="57" t="b">
        <v>0</v>
      </c>
      <c r="F93" s="132">
        <f t="shared" si="2"/>
        <v>0</v>
      </c>
      <c r="G93" t="s">
        <v>32</v>
      </c>
    </row>
    <row r="94" spans="2:7" x14ac:dyDescent="0.35">
      <c r="C94" s="8"/>
      <c r="D94" s="32"/>
      <c r="E94" s="8"/>
    </row>
    <row r="95" spans="2:7" x14ac:dyDescent="0.35">
      <c r="B95" s="67" t="s">
        <v>42</v>
      </c>
      <c r="C95" s="68"/>
      <c r="D95" s="68"/>
      <c r="E95" s="67"/>
      <c r="F95" s="133">
        <f>SUM(F84:F94)</f>
        <v>46234.407093750007</v>
      </c>
      <c r="G95" s="34"/>
    </row>
    <row r="98" spans="2:7" ht="15.5" x14ac:dyDescent="0.35">
      <c r="B98" s="64" t="s">
        <v>56</v>
      </c>
      <c r="C98" s="54"/>
      <c r="D98" s="54"/>
      <c r="E98" s="54"/>
      <c r="F98" s="54"/>
      <c r="G98" s="54"/>
    </row>
    <row r="99" spans="2:7" x14ac:dyDescent="0.35">
      <c r="B99" s="54"/>
      <c r="C99" s="53" t="s">
        <v>104</v>
      </c>
      <c r="D99" s="53" t="s">
        <v>102</v>
      </c>
      <c r="E99" s="53" t="s">
        <v>106</v>
      </c>
      <c r="F99" s="54"/>
      <c r="G99" s="54"/>
    </row>
    <row r="100" spans="2:7" x14ac:dyDescent="0.35">
      <c r="B100" t="s">
        <v>61</v>
      </c>
      <c r="C100" s="45">
        <v>0</v>
      </c>
    </row>
    <row r="101" spans="2:7" x14ac:dyDescent="0.35">
      <c r="B101" t="s">
        <v>36</v>
      </c>
      <c r="C101" s="45">
        <v>0</v>
      </c>
    </row>
    <row r="102" spans="2:7" x14ac:dyDescent="0.35">
      <c r="B102" t="s">
        <v>160</v>
      </c>
      <c r="C102" s="4"/>
      <c r="E102" s="43" t="s">
        <v>329</v>
      </c>
      <c r="G102" t="s">
        <v>161</v>
      </c>
    </row>
    <row r="103" spans="2:7" x14ac:dyDescent="0.35">
      <c r="B103" t="s">
        <v>156</v>
      </c>
      <c r="C103" s="45">
        <v>0.25</v>
      </c>
      <c r="D103" t="s">
        <v>103</v>
      </c>
      <c r="E103" s="43" t="s">
        <v>159</v>
      </c>
      <c r="G103" t="s">
        <v>153</v>
      </c>
    </row>
    <row r="104" spans="2:7" x14ac:dyDescent="0.35">
      <c r="C104" s="130">
        <v>120000</v>
      </c>
      <c r="D104" t="s">
        <v>105</v>
      </c>
      <c r="E104" t="str">
        <f>IF($E$103="YES","NO","YES")</f>
        <v>NO</v>
      </c>
      <c r="G104" t="s">
        <v>152</v>
      </c>
    </row>
    <row r="105" spans="2:7" x14ac:dyDescent="0.35">
      <c r="B105" t="s">
        <v>151</v>
      </c>
      <c r="C105" s="43">
        <v>30</v>
      </c>
      <c r="G105" t="s">
        <v>154</v>
      </c>
    </row>
  </sheetData>
  <phoneticPr fontId="12" type="noConversion"/>
  <conditionalFormatting sqref="C7:D7">
    <cfRule type="expression" dxfId="30" priority="8">
      <formula>$E$7="NO"</formula>
    </cfRule>
  </conditionalFormatting>
  <conditionalFormatting sqref="C8:D8">
    <cfRule type="expression" dxfId="29" priority="9">
      <formula>$E$7="YES"</formula>
    </cfRule>
  </conditionalFormatting>
  <conditionalFormatting sqref="C103:D103">
    <cfRule type="expression" dxfId="28" priority="2">
      <formula>$E$103="NO"</formula>
    </cfRule>
  </conditionalFormatting>
  <conditionalFormatting sqref="C104:D104">
    <cfRule type="expression" dxfId="27" priority="3">
      <formula>$E$103="YES"</formula>
    </cfRule>
  </conditionalFormatting>
  <conditionalFormatting sqref="C103:E105">
    <cfRule type="expression" dxfId="26" priority="1">
      <formula>$E$102="NO"</formula>
    </cfRule>
  </conditionalFormatting>
  <conditionalFormatting sqref="D33:D53">
    <cfRule type="expression" dxfId="25" priority="7">
      <formula>$C33&gt;0</formula>
    </cfRule>
  </conditionalFormatting>
  <conditionalFormatting sqref="D84:D93">
    <cfRule type="expression" dxfId="24" priority="5">
      <formula>$C84&gt;0</formula>
    </cfRule>
  </conditionalFormatting>
  <conditionalFormatting sqref="D61:E77">
    <cfRule type="expression" dxfId="23" priority="4">
      <formula>$C61&gt;0</formula>
    </cfRule>
  </conditionalFormatting>
  <dataValidations count="1">
    <dataValidation type="list" allowBlank="1" showInputMessage="1" showErrorMessage="1" sqref="E102:E104 E7:E8" xr:uid="{A84D9682-51AB-40B0-934B-72B5C43FC598}">
      <formula1>"YES, NO"</formula1>
    </dataValidation>
  </dataValidation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7496" r:id="rId4" name="Check Box 88">
              <controlPr defaultSize="0" autoFill="0" autoLine="0" autoPict="0">
                <anchor moveWithCells="1">
                  <from>
                    <xdr:col>4</xdr:col>
                    <xdr:colOff>431800</xdr:colOff>
                    <xdr:row>34</xdr:row>
                    <xdr:rowOff>19050</xdr:rowOff>
                  </from>
                  <to>
                    <xdr:col>4</xdr:col>
                    <xdr:colOff>641350</xdr:colOff>
                    <xdr:row>34</xdr:row>
                    <xdr:rowOff>184150</xdr:rowOff>
                  </to>
                </anchor>
              </controlPr>
            </control>
          </mc:Choice>
        </mc:AlternateContent>
        <mc:AlternateContent xmlns:mc="http://schemas.openxmlformats.org/markup-compatibility/2006">
          <mc:Choice Requires="x14">
            <control shapeId="17497" r:id="rId5" name="Check Box 89">
              <controlPr defaultSize="0" autoFill="0" autoLine="0" autoPict="0">
                <anchor moveWithCells="1">
                  <from>
                    <xdr:col>4</xdr:col>
                    <xdr:colOff>431800</xdr:colOff>
                    <xdr:row>32</xdr:row>
                    <xdr:rowOff>19050</xdr:rowOff>
                  </from>
                  <to>
                    <xdr:col>4</xdr:col>
                    <xdr:colOff>641350</xdr:colOff>
                    <xdr:row>32</xdr:row>
                    <xdr:rowOff>184150</xdr:rowOff>
                  </to>
                </anchor>
              </controlPr>
            </control>
          </mc:Choice>
        </mc:AlternateContent>
        <mc:AlternateContent xmlns:mc="http://schemas.openxmlformats.org/markup-compatibility/2006">
          <mc:Choice Requires="x14">
            <control shapeId="17498" r:id="rId6" name="Check Box 90">
              <controlPr defaultSize="0" autoFill="0" autoLine="0" autoPict="0">
                <anchor moveWithCells="1">
                  <from>
                    <xdr:col>4</xdr:col>
                    <xdr:colOff>431800</xdr:colOff>
                    <xdr:row>33</xdr:row>
                    <xdr:rowOff>19050</xdr:rowOff>
                  </from>
                  <to>
                    <xdr:col>4</xdr:col>
                    <xdr:colOff>641350</xdr:colOff>
                    <xdr:row>33</xdr:row>
                    <xdr:rowOff>184150</xdr:rowOff>
                  </to>
                </anchor>
              </controlPr>
            </control>
          </mc:Choice>
        </mc:AlternateContent>
        <mc:AlternateContent xmlns:mc="http://schemas.openxmlformats.org/markup-compatibility/2006">
          <mc:Choice Requires="x14">
            <control shapeId="17499" r:id="rId7" name="Check Box 91">
              <controlPr defaultSize="0" autoFill="0" autoLine="0" autoPict="0">
                <anchor moveWithCells="1">
                  <from>
                    <xdr:col>4</xdr:col>
                    <xdr:colOff>431800</xdr:colOff>
                    <xdr:row>35</xdr:row>
                    <xdr:rowOff>19050</xdr:rowOff>
                  </from>
                  <to>
                    <xdr:col>4</xdr:col>
                    <xdr:colOff>641350</xdr:colOff>
                    <xdr:row>35</xdr:row>
                    <xdr:rowOff>184150</xdr:rowOff>
                  </to>
                </anchor>
              </controlPr>
            </control>
          </mc:Choice>
        </mc:AlternateContent>
        <mc:AlternateContent xmlns:mc="http://schemas.openxmlformats.org/markup-compatibility/2006">
          <mc:Choice Requires="x14">
            <control shapeId="17500" r:id="rId8" name="Check Box 92">
              <controlPr defaultSize="0" autoFill="0" autoLine="0" autoPict="0">
                <anchor moveWithCells="1">
                  <from>
                    <xdr:col>4</xdr:col>
                    <xdr:colOff>431800</xdr:colOff>
                    <xdr:row>36</xdr:row>
                    <xdr:rowOff>19050</xdr:rowOff>
                  </from>
                  <to>
                    <xdr:col>4</xdr:col>
                    <xdr:colOff>641350</xdr:colOff>
                    <xdr:row>36</xdr:row>
                    <xdr:rowOff>184150</xdr:rowOff>
                  </to>
                </anchor>
              </controlPr>
            </control>
          </mc:Choice>
        </mc:AlternateContent>
        <mc:AlternateContent xmlns:mc="http://schemas.openxmlformats.org/markup-compatibility/2006">
          <mc:Choice Requires="x14">
            <control shapeId="17501" r:id="rId9" name="Check Box 93">
              <controlPr defaultSize="0" autoFill="0" autoLine="0" autoPict="0">
                <anchor moveWithCells="1">
                  <from>
                    <xdr:col>4</xdr:col>
                    <xdr:colOff>431800</xdr:colOff>
                    <xdr:row>37</xdr:row>
                    <xdr:rowOff>19050</xdr:rowOff>
                  </from>
                  <to>
                    <xdr:col>4</xdr:col>
                    <xdr:colOff>641350</xdr:colOff>
                    <xdr:row>37</xdr:row>
                    <xdr:rowOff>184150</xdr:rowOff>
                  </to>
                </anchor>
              </controlPr>
            </control>
          </mc:Choice>
        </mc:AlternateContent>
        <mc:AlternateContent xmlns:mc="http://schemas.openxmlformats.org/markup-compatibility/2006">
          <mc:Choice Requires="x14">
            <control shapeId="17502" r:id="rId10" name="Check Box 94">
              <controlPr defaultSize="0" autoFill="0" autoLine="0" autoPict="0">
                <anchor moveWithCells="1">
                  <from>
                    <xdr:col>4</xdr:col>
                    <xdr:colOff>431800</xdr:colOff>
                    <xdr:row>38</xdr:row>
                    <xdr:rowOff>19050</xdr:rowOff>
                  </from>
                  <to>
                    <xdr:col>4</xdr:col>
                    <xdr:colOff>641350</xdr:colOff>
                    <xdr:row>38</xdr:row>
                    <xdr:rowOff>184150</xdr:rowOff>
                  </to>
                </anchor>
              </controlPr>
            </control>
          </mc:Choice>
        </mc:AlternateContent>
        <mc:AlternateContent xmlns:mc="http://schemas.openxmlformats.org/markup-compatibility/2006">
          <mc:Choice Requires="x14">
            <control shapeId="17503" r:id="rId11" name="Check Box 95">
              <controlPr defaultSize="0" autoFill="0" autoLine="0" autoPict="0">
                <anchor moveWithCells="1">
                  <from>
                    <xdr:col>4</xdr:col>
                    <xdr:colOff>431800</xdr:colOff>
                    <xdr:row>39</xdr:row>
                    <xdr:rowOff>19050</xdr:rowOff>
                  </from>
                  <to>
                    <xdr:col>4</xdr:col>
                    <xdr:colOff>641350</xdr:colOff>
                    <xdr:row>39</xdr:row>
                    <xdr:rowOff>184150</xdr:rowOff>
                  </to>
                </anchor>
              </controlPr>
            </control>
          </mc:Choice>
        </mc:AlternateContent>
        <mc:AlternateContent xmlns:mc="http://schemas.openxmlformats.org/markup-compatibility/2006">
          <mc:Choice Requires="x14">
            <control shapeId="17504" r:id="rId12" name="Check Box 96">
              <controlPr defaultSize="0" autoFill="0" autoLine="0" autoPict="0">
                <anchor moveWithCells="1">
                  <from>
                    <xdr:col>4</xdr:col>
                    <xdr:colOff>431800</xdr:colOff>
                    <xdr:row>41</xdr:row>
                    <xdr:rowOff>19050</xdr:rowOff>
                  </from>
                  <to>
                    <xdr:col>4</xdr:col>
                    <xdr:colOff>641350</xdr:colOff>
                    <xdr:row>41</xdr:row>
                    <xdr:rowOff>184150</xdr:rowOff>
                  </to>
                </anchor>
              </controlPr>
            </control>
          </mc:Choice>
        </mc:AlternateContent>
        <mc:AlternateContent xmlns:mc="http://schemas.openxmlformats.org/markup-compatibility/2006">
          <mc:Choice Requires="x14">
            <control shapeId="17505" r:id="rId13" name="Check Box 97">
              <controlPr defaultSize="0" autoFill="0" autoLine="0" autoPict="0">
                <anchor moveWithCells="1">
                  <from>
                    <xdr:col>4</xdr:col>
                    <xdr:colOff>431800</xdr:colOff>
                    <xdr:row>40</xdr:row>
                    <xdr:rowOff>19050</xdr:rowOff>
                  </from>
                  <to>
                    <xdr:col>4</xdr:col>
                    <xdr:colOff>641350</xdr:colOff>
                    <xdr:row>41</xdr:row>
                    <xdr:rowOff>0</xdr:rowOff>
                  </to>
                </anchor>
              </controlPr>
            </control>
          </mc:Choice>
        </mc:AlternateContent>
        <mc:AlternateContent xmlns:mc="http://schemas.openxmlformats.org/markup-compatibility/2006">
          <mc:Choice Requires="x14">
            <control shapeId="17506" r:id="rId14" name="Check Box 98">
              <controlPr defaultSize="0" autoFill="0" autoLine="0" autoPict="0">
                <anchor moveWithCells="1">
                  <from>
                    <xdr:col>4</xdr:col>
                    <xdr:colOff>431800</xdr:colOff>
                    <xdr:row>42</xdr:row>
                    <xdr:rowOff>19050</xdr:rowOff>
                  </from>
                  <to>
                    <xdr:col>4</xdr:col>
                    <xdr:colOff>641350</xdr:colOff>
                    <xdr:row>42</xdr:row>
                    <xdr:rowOff>184150</xdr:rowOff>
                  </to>
                </anchor>
              </controlPr>
            </control>
          </mc:Choice>
        </mc:AlternateContent>
        <mc:AlternateContent xmlns:mc="http://schemas.openxmlformats.org/markup-compatibility/2006">
          <mc:Choice Requires="x14">
            <control shapeId="17507" r:id="rId15" name="Check Box 99">
              <controlPr defaultSize="0" autoFill="0" autoLine="0" autoPict="0">
                <anchor moveWithCells="1">
                  <from>
                    <xdr:col>4</xdr:col>
                    <xdr:colOff>431800</xdr:colOff>
                    <xdr:row>43</xdr:row>
                    <xdr:rowOff>19050</xdr:rowOff>
                  </from>
                  <to>
                    <xdr:col>4</xdr:col>
                    <xdr:colOff>641350</xdr:colOff>
                    <xdr:row>43</xdr:row>
                    <xdr:rowOff>184150</xdr:rowOff>
                  </to>
                </anchor>
              </controlPr>
            </control>
          </mc:Choice>
        </mc:AlternateContent>
        <mc:AlternateContent xmlns:mc="http://schemas.openxmlformats.org/markup-compatibility/2006">
          <mc:Choice Requires="x14">
            <control shapeId="17508" r:id="rId16" name="Check Box 100">
              <controlPr defaultSize="0" autoFill="0" autoLine="0" autoPict="0">
                <anchor moveWithCells="1">
                  <from>
                    <xdr:col>4</xdr:col>
                    <xdr:colOff>431800</xdr:colOff>
                    <xdr:row>45</xdr:row>
                    <xdr:rowOff>19050</xdr:rowOff>
                  </from>
                  <to>
                    <xdr:col>4</xdr:col>
                    <xdr:colOff>641350</xdr:colOff>
                    <xdr:row>45</xdr:row>
                    <xdr:rowOff>184150</xdr:rowOff>
                  </to>
                </anchor>
              </controlPr>
            </control>
          </mc:Choice>
        </mc:AlternateContent>
        <mc:AlternateContent xmlns:mc="http://schemas.openxmlformats.org/markup-compatibility/2006">
          <mc:Choice Requires="x14">
            <control shapeId="17509" r:id="rId17" name="Check Box 101">
              <controlPr defaultSize="0" autoFill="0" autoLine="0" autoPict="0">
                <anchor moveWithCells="1">
                  <from>
                    <xdr:col>4</xdr:col>
                    <xdr:colOff>431800</xdr:colOff>
                    <xdr:row>44</xdr:row>
                    <xdr:rowOff>19050</xdr:rowOff>
                  </from>
                  <to>
                    <xdr:col>4</xdr:col>
                    <xdr:colOff>641350</xdr:colOff>
                    <xdr:row>44</xdr:row>
                    <xdr:rowOff>184150</xdr:rowOff>
                  </to>
                </anchor>
              </controlPr>
            </control>
          </mc:Choice>
        </mc:AlternateContent>
        <mc:AlternateContent xmlns:mc="http://schemas.openxmlformats.org/markup-compatibility/2006">
          <mc:Choice Requires="x14">
            <control shapeId="17510" r:id="rId18" name="Check Box 102">
              <controlPr defaultSize="0" autoFill="0" autoLine="0" autoPict="0">
                <anchor moveWithCells="1">
                  <from>
                    <xdr:col>4</xdr:col>
                    <xdr:colOff>431800</xdr:colOff>
                    <xdr:row>47</xdr:row>
                    <xdr:rowOff>19050</xdr:rowOff>
                  </from>
                  <to>
                    <xdr:col>4</xdr:col>
                    <xdr:colOff>641350</xdr:colOff>
                    <xdr:row>47</xdr:row>
                    <xdr:rowOff>184150</xdr:rowOff>
                  </to>
                </anchor>
              </controlPr>
            </control>
          </mc:Choice>
        </mc:AlternateContent>
        <mc:AlternateContent xmlns:mc="http://schemas.openxmlformats.org/markup-compatibility/2006">
          <mc:Choice Requires="x14">
            <control shapeId="17511" r:id="rId19" name="Check Box 103">
              <controlPr defaultSize="0" autoFill="0" autoLine="0" autoPict="0">
                <anchor moveWithCells="1">
                  <from>
                    <xdr:col>4</xdr:col>
                    <xdr:colOff>431800</xdr:colOff>
                    <xdr:row>49</xdr:row>
                    <xdr:rowOff>19050</xdr:rowOff>
                  </from>
                  <to>
                    <xdr:col>4</xdr:col>
                    <xdr:colOff>641350</xdr:colOff>
                    <xdr:row>49</xdr:row>
                    <xdr:rowOff>184150</xdr:rowOff>
                  </to>
                </anchor>
              </controlPr>
            </control>
          </mc:Choice>
        </mc:AlternateContent>
        <mc:AlternateContent xmlns:mc="http://schemas.openxmlformats.org/markup-compatibility/2006">
          <mc:Choice Requires="x14">
            <control shapeId="17514" r:id="rId20" name="Check Box 106">
              <controlPr defaultSize="0" autoFill="0" autoLine="0" autoPict="0">
                <anchor moveWithCells="1">
                  <from>
                    <xdr:col>4</xdr:col>
                    <xdr:colOff>431800</xdr:colOff>
                    <xdr:row>48</xdr:row>
                    <xdr:rowOff>19050</xdr:rowOff>
                  </from>
                  <to>
                    <xdr:col>4</xdr:col>
                    <xdr:colOff>641350</xdr:colOff>
                    <xdr:row>48</xdr:row>
                    <xdr:rowOff>184150</xdr:rowOff>
                  </to>
                </anchor>
              </controlPr>
            </control>
          </mc:Choice>
        </mc:AlternateContent>
        <mc:AlternateContent xmlns:mc="http://schemas.openxmlformats.org/markup-compatibility/2006">
          <mc:Choice Requires="x14">
            <control shapeId="17515" r:id="rId21" name="Check Box 107">
              <controlPr defaultSize="0" autoFill="0" autoLine="0" autoPict="0">
                <anchor moveWithCells="1">
                  <from>
                    <xdr:col>4</xdr:col>
                    <xdr:colOff>431800</xdr:colOff>
                    <xdr:row>52</xdr:row>
                    <xdr:rowOff>19050</xdr:rowOff>
                  </from>
                  <to>
                    <xdr:col>4</xdr:col>
                    <xdr:colOff>641350</xdr:colOff>
                    <xdr:row>52</xdr:row>
                    <xdr:rowOff>184150</xdr:rowOff>
                  </to>
                </anchor>
              </controlPr>
            </control>
          </mc:Choice>
        </mc:AlternateContent>
        <mc:AlternateContent xmlns:mc="http://schemas.openxmlformats.org/markup-compatibility/2006">
          <mc:Choice Requires="x14">
            <control shapeId="17530" r:id="rId22" name="Check Box 122">
              <controlPr defaultSize="0" autoFill="0" autoLine="0" autoPict="0">
                <anchor moveWithCells="1">
                  <from>
                    <xdr:col>4</xdr:col>
                    <xdr:colOff>431800</xdr:colOff>
                    <xdr:row>83</xdr:row>
                    <xdr:rowOff>19050</xdr:rowOff>
                  </from>
                  <to>
                    <xdr:col>4</xdr:col>
                    <xdr:colOff>641350</xdr:colOff>
                    <xdr:row>83</xdr:row>
                    <xdr:rowOff>184150</xdr:rowOff>
                  </to>
                </anchor>
              </controlPr>
            </control>
          </mc:Choice>
        </mc:AlternateContent>
        <mc:AlternateContent xmlns:mc="http://schemas.openxmlformats.org/markup-compatibility/2006">
          <mc:Choice Requires="x14">
            <control shapeId="17531" r:id="rId23" name="Check Box 123">
              <controlPr defaultSize="0" autoFill="0" autoLine="0" autoPict="0">
                <anchor moveWithCells="1">
                  <from>
                    <xdr:col>4</xdr:col>
                    <xdr:colOff>431800</xdr:colOff>
                    <xdr:row>84</xdr:row>
                    <xdr:rowOff>19050</xdr:rowOff>
                  </from>
                  <to>
                    <xdr:col>4</xdr:col>
                    <xdr:colOff>641350</xdr:colOff>
                    <xdr:row>84</xdr:row>
                    <xdr:rowOff>184150</xdr:rowOff>
                  </to>
                </anchor>
              </controlPr>
            </control>
          </mc:Choice>
        </mc:AlternateContent>
        <mc:AlternateContent xmlns:mc="http://schemas.openxmlformats.org/markup-compatibility/2006">
          <mc:Choice Requires="x14">
            <control shapeId="17532" r:id="rId24" name="Check Box 124">
              <controlPr defaultSize="0" autoFill="0" autoLine="0" autoPict="0">
                <anchor moveWithCells="1">
                  <from>
                    <xdr:col>4</xdr:col>
                    <xdr:colOff>431800</xdr:colOff>
                    <xdr:row>85</xdr:row>
                    <xdr:rowOff>19050</xdr:rowOff>
                  </from>
                  <to>
                    <xdr:col>4</xdr:col>
                    <xdr:colOff>641350</xdr:colOff>
                    <xdr:row>85</xdr:row>
                    <xdr:rowOff>184150</xdr:rowOff>
                  </to>
                </anchor>
              </controlPr>
            </control>
          </mc:Choice>
        </mc:AlternateContent>
        <mc:AlternateContent xmlns:mc="http://schemas.openxmlformats.org/markup-compatibility/2006">
          <mc:Choice Requires="x14">
            <control shapeId="17533" r:id="rId25" name="Check Box 125">
              <controlPr defaultSize="0" autoFill="0" autoLine="0" autoPict="0">
                <anchor moveWithCells="1">
                  <from>
                    <xdr:col>4</xdr:col>
                    <xdr:colOff>431800</xdr:colOff>
                    <xdr:row>86</xdr:row>
                    <xdr:rowOff>19050</xdr:rowOff>
                  </from>
                  <to>
                    <xdr:col>4</xdr:col>
                    <xdr:colOff>641350</xdr:colOff>
                    <xdr:row>86</xdr:row>
                    <xdr:rowOff>184150</xdr:rowOff>
                  </to>
                </anchor>
              </controlPr>
            </control>
          </mc:Choice>
        </mc:AlternateContent>
        <mc:AlternateContent xmlns:mc="http://schemas.openxmlformats.org/markup-compatibility/2006">
          <mc:Choice Requires="x14">
            <control shapeId="17534" r:id="rId26" name="Check Box 126">
              <controlPr defaultSize="0" autoFill="0" autoLine="0" autoPict="0">
                <anchor moveWithCells="1">
                  <from>
                    <xdr:col>4</xdr:col>
                    <xdr:colOff>431800</xdr:colOff>
                    <xdr:row>87</xdr:row>
                    <xdr:rowOff>19050</xdr:rowOff>
                  </from>
                  <to>
                    <xdr:col>4</xdr:col>
                    <xdr:colOff>641350</xdr:colOff>
                    <xdr:row>87</xdr:row>
                    <xdr:rowOff>184150</xdr:rowOff>
                  </to>
                </anchor>
              </controlPr>
            </control>
          </mc:Choice>
        </mc:AlternateContent>
        <mc:AlternateContent xmlns:mc="http://schemas.openxmlformats.org/markup-compatibility/2006">
          <mc:Choice Requires="x14">
            <control shapeId="17535" r:id="rId27" name="Check Box 127">
              <controlPr defaultSize="0" autoFill="0" autoLine="0" autoPict="0">
                <anchor moveWithCells="1">
                  <from>
                    <xdr:col>4</xdr:col>
                    <xdr:colOff>431800</xdr:colOff>
                    <xdr:row>89</xdr:row>
                    <xdr:rowOff>19050</xdr:rowOff>
                  </from>
                  <to>
                    <xdr:col>4</xdr:col>
                    <xdr:colOff>641350</xdr:colOff>
                    <xdr:row>89</xdr:row>
                    <xdr:rowOff>184150</xdr:rowOff>
                  </to>
                </anchor>
              </controlPr>
            </control>
          </mc:Choice>
        </mc:AlternateContent>
        <mc:AlternateContent xmlns:mc="http://schemas.openxmlformats.org/markup-compatibility/2006">
          <mc:Choice Requires="x14">
            <control shapeId="17536" r:id="rId28" name="Check Box 128">
              <controlPr defaultSize="0" autoFill="0" autoLine="0" autoPict="0">
                <anchor moveWithCells="1">
                  <from>
                    <xdr:col>4</xdr:col>
                    <xdr:colOff>431800</xdr:colOff>
                    <xdr:row>88</xdr:row>
                    <xdr:rowOff>19050</xdr:rowOff>
                  </from>
                  <to>
                    <xdr:col>4</xdr:col>
                    <xdr:colOff>641350</xdr:colOff>
                    <xdr:row>88</xdr:row>
                    <xdr:rowOff>184150</xdr:rowOff>
                  </to>
                </anchor>
              </controlPr>
            </control>
          </mc:Choice>
        </mc:AlternateContent>
        <mc:AlternateContent xmlns:mc="http://schemas.openxmlformats.org/markup-compatibility/2006">
          <mc:Choice Requires="x14">
            <control shapeId="17537" r:id="rId29" name="Check Box 129">
              <controlPr defaultSize="0" autoFill="0" autoLine="0" autoPict="0">
                <anchor moveWithCells="1">
                  <from>
                    <xdr:col>4</xdr:col>
                    <xdr:colOff>431800</xdr:colOff>
                    <xdr:row>92</xdr:row>
                    <xdr:rowOff>19050</xdr:rowOff>
                  </from>
                  <to>
                    <xdr:col>4</xdr:col>
                    <xdr:colOff>641350</xdr:colOff>
                    <xdr:row>92</xdr:row>
                    <xdr:rowOff>184150</xdr:rowOff>
                  </to>
                </anchor>
              </controlPr>
            </control>
          </mc:Choice>
        </mc:AlternateContent>
        <mc:AlternateContent xmlns:mc="http://schemas.openxmlformats.org/markup-compatibility/2006">
          <mc:Choice Requires="x14">
            <control shapeId="17541" r:id="rId30" name="Check Box 133">
              <controlPr defaultSize="0" autoFill="0" autoLine="0" autoPict="0">
                <anchor moveWithCells="1">
                  <from>
                    <xdr:col>4</xdr:col>
                    <xdr:colOff>431800</xdr:colOff>
                    <xdr:row>46</xdr:row>
                    <xdr:rowOff>19050</xdr:rowOff>
                  </from>
                  <to>
                    <xdr:col>4</xdr:col>
                    <xdr:colOff>641350</xdr:colOff>
                    <xdr:row>46</xdr:row>
                    <xdr:rowOff>184150</xdr:rowOff>
                  </to>
                </anchor>
              </controlPr>
            </control>
          </mc:Choice>
        </mc:AlternateContent>
        <mc:AlternateContent xmlns:mc="http://schemas.openxmlformats.org/markup-compatibility/2006">
          <mc:Choice Requires="x14">
            <control shapeId="17545" r:id="rId31" name="Check Box 137">
              <controlPr defaultSize="0" autoFill="0" autoLine="0" autoPict="0">
                <anchor moveWithCells="1">
                  <from>
                    <xdr:col>4</xdr:col>
                    <xdr:colOff>431800</xdr:colOff>
                    <xdr:row>51</xdr:row>
                    <xdr:rowOff>19050</xdr:rowOff>
                  </from>
                  <to>
                    <xdr:col>4</xdr:col>
                    <xdr:colOff>641350</xdr:colOff>
                    <xdr:row>51</xdr:row>
                    <xdr:rowOff>184150</xdr:rowOff>
                  </to>
                </anchor>
              </controlPr>
            </control>
          </mc:Choice>
        </mc:AlternateContent>
        <mc:AlternateContent xmlns:mc="http://schemas.openxmlformats.org/markup-compatibility/2006">
          <mc:Choice Requires="x14">
            <control shapeId="17546" r:id="rId32" name="Check Box 138">
              <controlPr defaultSize="0" autoFill="0" autoLine="0" autoPict="0">
                <anchor moveWithCells="1">
                  <from>
                    <xdr:col>4</xdr:col>
                    <xdr:colOff>431800</xdr:colOff>
                    <xdr:row>50</xdr:row>
                    <xdr:rowOff>19050</xdr:rowOff>
                  </from>
                  <to>
                    <xdr:col>4</xdr:col>
                    <xdr:colOff>641350</xdr:colOff>
                    <xdr:row>50</xdr:row>
                    <xdr:rowOff>184150</xdr:rowOff>
                  </to>
                </anchor>
              </controlPr>
            </control>
          </mc:Choice>
        </mc:AlternateContent>
        <mc:AlternateContent xmlns:mc="http://schemas.openxmlformats.org/markup-compatibility/2006">
          <mc:Choice Requires="x14">
            <control shapeId="17551" r:id="rId33" name="Check Box 143">
              <controlPr defaultSize="0" autoFill="0" autoLine="0" autoPict="0">
                <anchor moveWithCells="1">
                  <from>
                    <xdr:col>4</xdr:col>
                    <xdr:colOff>431800</xdr:colOff>
                    <xdr:row>91</xdr:row>
                    <xdr:rowOff>19050</xdr:rowOff>
                  </from>
                  <to>
                    <xdr:col>4</xdr:col>
                    <xdr:colOff>641350</xdr:colOff>
                    <xdr:row>91</xdr:row>
                    <xdr:rowOff>184150</xdr:rowOff>
                  </to>
                </anchor>
              </controlPr>
            </control>
          </mc:Choice>
        </mc:AlternateContent>
        <mc:AlternateContent xmlns:mc="http://schemas.openxmlformats.org/markup-compatibility/2006">
          <mc:Choice Requires="x14">
            <control shapeId="17552" r:id="rId34" name="Check Box 144">
              <controlPr defaultSize="0" autoFill="0" autoLine="0" autoPict="0">
                <anchor moveWithCells="1">
                  <from>
                    <xdr:col>4</xdr:col>
                    <xdr:colOff>431800</xdr:colOff>
                    <xdr:row>90</xdr:row>
                    <xdr:rowOff>19050</xdr:rowOff>
                  </from>
                  <to>
                    <xdr:col>4</xdr:col>
                    <xdr:colOff>641350</xdr:colOff>
                    <xdr:row>90</xdr:row>
                    <xdr:rowOff>184150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r:uid="{CC336007-7BCE-4530-A7F6-AFA67CCFE4FB}">
          <x14:formula1>
            <xm:f>'RE Calculations'!$B$12:$B$16</xm:f>
          </x14:formula1>
          <xm:sqref>D12:D13 D21 D28 E79 K21 E61:E77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4E638-59F7-4E28-A58D-9E9DD8D188F1}">
  <sheetPr>
    <tabColor theme="3"/>
    <pageSetUpPr fitToPage="1"/>
  </sheetPr>
  <dimension ref="B2:CW61"/>
  <sheetViews>
    <sheetView showGridLines="0" topLeftCell="A9" zoomScale="62" zoomScaleNormal="100" zoomScaleSheetLayoutView="85" workbookViewId="0">
      <selection activeCell="Y40" sqref="Y40"/>
    </sheetView>
  </sheetViews>
  <sheetFormatPr defaultRowHeight="14.5" x14ac:dyDescent="0.35"/>
  <cols>
    <col min="1" max="1" width="2.81640625" customWidth="1"/>
    <col min="2" max="2" width="48.1796875" bestFit="1" customWidth="1"/>
    <col min="3" max="3" width="19.54296875" customWidth="1"/>
    <col min="4" max="4" width="2.1796875" customWidth="1"/>
    <col min="7" max="24" width="4.54296875" customWidth="1"/>
    <col min="26" max="37" width="4.54296875" customWidth="1"/>
    <col min="38" max="38" width="2.1796875" customWidth="1"/>
    <col min="39" max="39" width="4.54296875" customWidth="1"/>
    <col min="40" max="40" width="3.7265625" customWidth="1"/>
    <col min="41" max="41" width="4.54296875" customWidth="1"/>
    <col min="44" max="61" width="4.54296875" customWidth="1"/>
    <col min="63" max="80" width="4.54296875" customWidth="1"/>
    <col min="81" max="81" width="1.81640625" customWidth="1"/>
    <col min="82" max="82" width="2.1796875" customWidth="1"/>
    <col min="83" max="100" width="4.54296875" customWidth="1"/>
    <col min="101" max="101" width="1.81640625" customWidth="1"/>
  </cols>
  <sheetData>
    <row r="2" spans="2:101" x14ac:dyDescent="0.35">
      <c r="B2" s="92" t="s">
        <v>141</v>
      </c>
      <c r="C2" s="24" t="s">
        <v>202</v>
      </c>
      <c r="D2" s="72"/>
      <c r="E2" s="72"/>
      <c r="F2" s="72"/>
      <c r="BJ2" s="95"/>
    </row>
    <row r="4" spans="2:101" ht="19.5" x14ac:dyDescent="0.45">
      <c r="B4" s="84" t="str">
        <f>Inputs!$C$5</f>
        <v>The Lofts</v>
      </c>
      <c r="C4" s="83"/>
      <c r="D4" s="83"/>
      <c r="E4" s="83"/>
      <c r="F4" s="83"/>
      <c r="G4" s="83"/>
      <c r="H4" s="83"/>
      <c r="I4" s="83"/>
      <c r="J4" s="83"/>
      <c r="K4" s="83"/>
      <c r="L4" s="83"/>
      <c r="M4" s="83"/>
      <c r="N4" s="83"/>
      <c r="O4" s="83"/>
      <c r="P4" s="83"/>
      <c r="Q4" s="83"/>
      <c r="R4" s="83"/>
      <c r="S4" s="83"/>
      <c r="T4" s="83"/>
      <c r="U4" s="83"/>
      <c r="V4" s="83"/>
      <c r="W4" s="83"/>
      <c r="X4" s="83"/>
      <c r="Y4" s="33"/>
      <c r="Z4" s="84" t="str">
        <f>Inputs!$C$5</f>
        <v>The Lofts</v>
      </c>
      <c r="AA4" s="84"/>
      <c r="AB4" s="84"/>
      <c r="AC4" s="84"/>
      <c r="AD4" s="84"/>
      <c r="AE4" s="84"/>
      <c r="AF4" s="84"/>
      <c r="AG4" s="84"/>
      <c r="AH4" s="84"/>
      <c r="AI4" s="84"/>
      <c r="AJ4" s="84"/>
      <c r="AK4" s="84"/>
      <c r="AL4" s="84"/>
      <c r="AM4" s="84"/>
      <c r="AN4" s="83"/>
      <c r="AO4" s="83"/>
      <c r="AP4" s="83"/>
      <c r="AQ4" s="83"/>
      <c r="AR4" s="83"/>
      <c r="AS4" s="83"/>
      <c r="AT4" s="83"/>
      <c r="AU4" s="83"/>
      <c r="AV4" s="83"/>
      <c r="AW4" s="83"/>
      <c r="AX4" s="83"/>
      <c r="AY4" s="83"/>
      <c r="AZ4" s="83"/>
      <c r="BA4" s="83"/>
      <c r="BB4" s="83"/>
      <c r="BC4" s="83"/>
      <c r="BD4" s="83"/>
      <c r="BE4" s="83"/>
      <c r="BF4" s="83"/>
      <c r="BG4" s="83"/>
      <c r="BH4" s="83"/>
      <c r="BI4" s="83"/>
      <c r="BK4" s="84" t="str">
        <f>Inputs!$C$5</f>
        <v>The Lofts</v>
      </c>
      <c r="BL4" s="84"/>
      <c r="BM4" s="84"/>
      <c r="BN4" s="84"/>
      <c r="BO4" s="84"/>
      <c r="BP4" s="84"/>
      <c r="BQ4" s="84"/>
      <c r="BR4" s="84"/>
      <c r="BS4" s="84"/>
      <c r="BT4" s="84"/>
      <c r="BU4" s="84"/>
      <c r="BV4" s="84"/>
      <c r="BW4" s="84"/>
      <c r="BX4" s="84"/>
      <c r="BY4" s="83"/>
      <c r="BZ4" s="83"/>
      <c r="CA4" s="83"/>
      <c r="CB4" s="83"/>
      <c r="CC4" s="83"/>
      <c r="CD4" s="83"/>
      <c r="CE4" s="83"/>
      <c r="CF4" s="83"/>
      <c r="CG4" s="83"/>
      <c r="CH4" s="83"/>
      <c r="CI4" s="83"/>
      <c r="CJ4" s="83"/>
      <c r="CK4" s="83"/>
      <c r="CL4" s="83"/>
      <c r="CM4" s="83"/>
      <c r="CN4" s="83"/>
      <c r="CO4" s="83"/>
      <c r="CP4" s="83"/>
      <c r="CQ4" s="83"/>
      <c r="CR4" s="83"/>
      <c r="CS4" s="83"/>
      <c r="CT4" s="83"/>
      <c r="CU4" s="83"/>
      <c r="CV4" s="83"/>
      <c r="CW4" s="83"/>
    </row>
    <row r="5" spans="2:101" ht="15" customHeight="1" x14ac:dyDescent="0.35"/>
    <row r="6" spans="2:101" ht="15" customHeight="1" x14ac:dyDescent="0.35">
      <c r="B6" s="46" t="s">
        <v>55</v>
      </c>
      <c r="C6" s="54"/>
      <c r="E6" s="161" t="str">
        <f>$B$2</f>
        <v>Principal &amp; Interest Loan (P&amp;I)</v>
      </c>
      <c r="F6" s="161"/>
      <c r="G6" s="161"/>
      <c r="H6" s="161"/>
      <c r="I6" s="161"/>
      <c r="J6" s="89"/>
      <c r="K6" s="54"/>
      <c r="L6" s="54"/>
      <c r="M6" s="54"/>
      <c r="N6" s="54"/>
      <c r="O6" s="54"/>
      <c r="P6" s="54"/>
      <c r="Q6" s="54"/>
      <c r="R6" s="54"/>
      <c r="S6" s="54"/>
      <c r="T6" s="54"/>
      <c r="U6" s="54"/>
      <c r="V6" s="54"/>
      <c r="W6" s="54"/>
      <c r="X6" s="54"/>
      <c r="Z6" s="46" t="str">
        <f>"With a holding period of "&amp;$C$12&amp;" years:"</f>
        <v>With a holding period of 5 years:</v>
      </c>
      <c r="AA6" s="46"/>
      <c r="AB6" s="46"/>
      <c r="AC6" s="46"/>
      <c r="AD6" s="46"/>
      <c r="AE6" s="46"/>
      <c r="AF6" s="46"/>
      <c r="AG6" s="46"/>
      <c r="AH6" s="46"/>
      <c r="AI6" s="46"/>
      <c r="AJ6" s="46"/>
      <c r="AK6" s="46"/>
      <c r="AL6" s="33"/>
      <c r="AM6" s="161" t="str">
        <f>$B$2</f>
        <v>Principal &amp; Interest Loan (P&amp;I)</v>
      </c>
      <c r="AN6" s="161"/>
      <c r="AO6" s="161"/>
      <c r="AP6" s="161"/>
      <c r="AQ6" s="161"/>
      <c r="AR6" s="94"/>
      <c r="AS6" s="94"/>
      <c r="AT6" s="94"/>
      <c r="AU6" s="89"/>
      <c r="AV6" s="54"/>
      <c r="AW6" s="54"/>
      <c r="AX6" s="94"/>
      <c r="AY6" s="94"/>
      <c r="AZ6" s="94"/>
      <c r="BA6" s="94"/>
      <c r="BB6" s="94"/>
      <c r="BC6" s="54"/>
      <c r="BD6" s="54"/>
      <c r="BE6" s="54"/>
      <c r="BF6" s="54"/>
      <c r="BG6" s="54"/>
      <c r="BH6" s="54"/>
      <c r="BI6" s="54"/>
      <c r="BK6" s="46" t="s">
        <v>227</v>
      </c>
      <c r="BL6" s="46"/>
      <c r="BM6" s="46"/>
      <c r="BN6" s="46"/>
      <c r="BO6" s="46"/>
      <c r="BP6" s="46"/>
      <c r="BQ6" s="46"/>
      <c r="BR6" s="46"/>
      <c r="BS6" s="46"/>
      <c r="BT6" s="46"/>
      <c r="BU6" s="46"/>
      <c r="BV6" s="46"/>
      <c r="BW6" s="46"/>
      <c r="BX6" s="94"/>
      <c r="BY6" s="94"/>
      <c r="BZ6" s="94"/>
      <c r="CA6" s="94"/>
      <c r="CB6" s="94"/>
      <c r="CC6" s="94"/>
      <c r="CE6" s="46" t="str">
        <f>"Year "&amp;Inputs!$K$10&amp;" (Holding Period)"</f>
        <v>Year 5 (Holding Period)</v>
      </c>
      <c r="CF6" s="94"/>
      <c r="CG6" s="94"/>
      <c r="CH6" s="89"/>
      <c r="CI6" s="54"/>
      <c r="CJ6" s="54"/>
      <c r="CK6" s="94"/>
      <c r="CL6" s="94"/>
      <c r="CM6" s="94"/>
      <c r="CN6" s="94"/>
      <c r="CO6" s="94"/>
      <c r="CP6" s="54"/>
      <c r="CQ6" s="54"/>
      <c r="CR6" s="54"/>
      <c r="CS6" s="54"/>
      <c r="CT6" s="54"/>
      <c r="CU6" s="54"/>
      <c r="CV6" s="54"/>
      <c r="CW6" s="94"/>
    </row>
    <row r="7" spans="2:101" ht="15" customHeight="1" x14ac:dyDescent="0.35">
      <c r="B7" t="s">
        <v>6</v>
      </c>
      <c r="C7" s="136">
        <f>Inputs!$K5</f>
        <v>1499950</v>
      </c>
      <c r="Z7" s="157" t="s">
        <v>196</v>
      </c>
      <c r="AA7" s="157"/>
      <c r="AB7" s="157"/>
      <c r="AC7" s="157"/>
      <c r="AD7" s="157"/>
      <c r="AE7" s="157"/>
      <c r="AF7" s="156" t="s">
        <v>211</v>
      </c>
      <c r="AG7" s="157"/>
      <c r="AH7" s="157"/>
      <c r="AI7" s="157"/>
      <c r="AJ7" s="157"/>
      <c r="AK7" s="157"/>
    </row>
    <row r="8" spans="2:101" ht="15" customHeight="1" x14ac:dyDescent="0.35">
      <c r="B8" t="s">
        <v>0</v>
      </c>
      <c r="C8" s="35">
        <f>Inputs!$K6</f>
        <v>1</v>
      </c>
      <c r="Z8" s="157"/>
      <c r="AA8" s="157"/>
      <c r="AB8" s="157"/>
      <c r="AC8" s="157"/>
      <c r="AD8" s="157"/>
      <c r="AE8" s="157"/>
      <c r="AF8" s="157"/>
      <c r="AG8" s="157"/>
      <c r="AH8" s="157"/>
      <c r="AI8" s="157"/>
      <c r="AJ8" s="157"/>
      <c r="AK8" s="157"/>
      <c r="BK8" t="s">
        <v>228</v>
      </c>
      <c r="BX8" s="163">
        <f>IF('Analysis Summary'!$B$2=Inputs!$B$18,_xlfn.XLOOKUP(1,'Forecast (By Year)'!$F$3:$F$55,'Forecast (By Year)'!$I$3:$I$55),_xlfn.XLOOKUP(1,'Forecast (By Year)'!$AD$3:$AD$55,'Forecast (By Year)'!$AG$3:$AG$55))</f>
        <v>103000</v>
      </c>
      <c r="BY8" s="163"/>
      <c r="BZ8" s="163"/>
      <c r="CA8" s="163"/>
      <c r="CB8" s="163"/>
      <c r="CE8" t="s">
        <v>228</v>
      </c>
      <c r="CR8" s="163">
        <f>IF('Analysis Summary'!$B$2=Inputs!$B$18,_xlfn.XLOOKUP(Inputs!$K$10,'Forecast (By Year)'!$F$3:$F$55,'Forecast (By Year)'!$I$3:$I$55),_xlfn.XLOOKUP(Inputs!$K$10,'Forecast (By Year)'!$AD$3:$AD$55,'Forecast (By Year)'!$AG$3:$AG$55))</f>
        <v>125197.14375</v>
      </c>
      <c r="CS8" s="163"/>
      <c r="CT8" s="163"/>
      <c r="CU8" s="163"/>
      <c r="CV8" s="163"/>
    </row>
    <row r="9" spans="2:101" ht="15" customHeight="1" x14ac:dyDescent="0.35">
      <c r="B9" t="s">
        <v>1</v>
      </c>
      <c r="C9" s="136">
        <f>Inputs!$K7</f>
        <v>1499950</v>
      </c>
      <c r="Z9" s="157"/>
      <c r="AA9" s="157"/>
      <c r="AB9" s="157"/>
      <c r="AC9" s="157"/>
      <c r="AD9" s="157"/>
      <c r="AE9" s="157"/>
      <c r="AF9" s="157"/>
      <c r="AG9" s="157"/>
      <c r="AH9" s="157"/>
      <c r="AI9" s="157"/>
      <c r="AJ9" s="157"/>
      <c r="AK9" s="157"/>
      <c r="BK9" t="s">
        <v>45</v>
      </c>
      <c r="BX9" s="163">
        <f>IF('Analysis Summary'!$B$2=Inputs!$B$18,_xlfn.XLOOKUP(1,'Forecast (By Year)'!$F$3:$F$55,'Forecast (By Year)'!$L$3:$L$55),_xlfn.XLOOKUP(1,'Forecast (By Year)'!$AD$3:$AD$55,'Forecast (By Year)'!$AJ$3:$AJ$55))</f>
        <v>29187.999999999996</v>
      </c>
      <c r="BY9" s="163"/>
      <c r="BZ9" s="163"/>
      <c r="CA9" s="163"/>
      <c r="CB9" s="163"/>
      <c r="CE9" t="s">
        <v>45</v>
      </c>
      <c r="CR9" s="163">
        <f>IF('Analysis Summary'!$B$2=Inputs!$B$18,_xlfn.XLOOKUP(Inputs!$K$10,'Forecast (By Year)'!$F$3:$F$55,'Forecast (By Year)'!$L$3:$L$55),_xlfn.XLOOKUP(Inputs!$K$10,'Forecast (By Year)'!$AD$3:$AD$55,'Forecast (By Year)'!$AJ$3:$AJ$55))</f>
        <v>31629.6858125</v>
      </c>
      <c r="CS9" s="163"/>
      <c r="CT9" s="163"/>
      <c r="CU9" s="163"/>
      <c r="CV9" s="163"/>
    </row>
    <row r="10" spans="2:101" ht="15" customHeight="1" x14ac:dyDescent="0.35">
      <c r="B10" t="s">
        <v>8</v>
      </c>
      <c r="C10" s="136">
        <f>Inputs!$K8</f>
        <v>0</v>
      </c>
      <c r="Z10" s="159">
        <f>'RE Calculations'!H194</f>
        <v>1601027</v>
      </c>
      <c r="AA10" s="159"/>
      <c r="AB10" s="159"/>
      <c r="AC10" s="159"/>
      <c r="AD10" s="159"/>
      <c r="AE10" s="159"/>
      <c r="AF10" s="160">
        <f>'RE Calculations'!H195</f>
        <v>2086720.3546875</v>
      </c>
      <c r="AG10" s="160"/>
      <c r="AH10" s="160"/>
      <c r="AI10" s="160"/>
      <c r="AJ10" s="160"/>
      <c r="AK10" s="160"/>
      <c r="BK10" t="str">
        <f>"Loan Repayment - "&amp;$B$2</f>
        <v>Loan Repayment - Principal &amp; Interest Loan (P&amp;I)</v>
      </c>
      <c r="BX10" s="163">
        <f>IF('Analysis Summary'!$B$2=Inputs!$B$18,_xlfn.XLOOKUP(1,'Forecast (By Year)'!$F$3:$F$55,'Forecast (By Year)'!$M$3:$M$55),_xlfn.XLOOKUP(1,'Forecast (By Year)'!$AD$3:$AD$55,'Forecast (By Year)'!$AK$3:$AK$55))</f>
        <v>0</v>
      </c>
      <c r="BY10" s="163"/>
      <c r="BZ10" s="163"/>
      <c r="CA10" s="163"/>
      <c r="CB10" s="163"/>
      <c r="CE10" t="str">
        <f>"Loan Repayment - "&amp;$B$2</f>
        <v>Loan Repayment - Principal &amp; Interest Loan (P&amp;I)</v>
      </c>
      <c r="CR10" s="163">
        <f>IF('Analysis Summary'!$B$2=Inputs!$B$18,_xlfn.XLOOKUP(Inputs!$K$10,'Forecast (By Year)'!$F$3:$F$55,'Forecast (By Year)'!$M$3:$M$55),_xlfn.XLOOKUP(Inputs!$K$10,'Forecast (By Year)'!$AD$3:$AD$55,'Forecast (By Year)'!$AK$3:$AK$55))</f>
        <v>0</v>
      </c>
      <c r="CS10" s="163"/>
      <c r="CT10" s="163"/>
      <c r="CU10" s="163"/>
      <c r="CV10" s="163"/>
    </row>
    <row r="11" spans="2:101" ht="15" customHeight="1" x14ac:dyDescent="0.35">
      <c r="B11" t="s">
        <v>195</v>
      </c>
      <c r="C11" s="136">
        <f>Inputs!$K9</f>
        <v>1635000</v>
      </c>
      <c r="Z11" s="159"/>
      <c r="AA11" s="159"/>
      <c r="AB11" s="159"/>
      <c r="AC11" s="159"/>
      <c r="AD11" s="159"/>
      <c r="AE11" s="159"/>
      <c r="AF11" s="160"/>
      <c r="AG11" s="160"/>
      <c r="AH11" s="160"/>
      <c r="AI11" s="160"/>
      <c r="AJ11" s="160"/>
      <c r="AK11" s="160"/>
      <c r="BK11" s="2" t="s">
        <v>76</v>
      </c>
      <c r="BX11" s="162">
        <f>BX8-BX9-BX10</f>
        <v>73812</v>
      </c>
      <c r="BY11" s="162"/>
      <c r="BZ11" s="162"/>
      <c r="CA11" s="162"/>
      <c r="CB11" s="162"/>
      <c r="CE11" s="2" t="s">
        <v>76</v>
      </c>
      <c r="CR11" s="162">
        <f>CR8-CR9-CR10</f>
        <v>93567.457937500003</v>
      </c>
      <c r="CS11" s="162"/>
      <c r="CT11" s="162"/>
      <c r="CU11" s="162"/>
      <c r="CV11" s="162"/>
    </row>
    <row r="12" spans="2:101" ht="15" customHeight="1" x14ac:dyDescent="0.35">
      <c r="B12" t="s">
        <v>125</v>
      </c>
      <c r="C12" s="88">
        <f>Inputs!$K10</f>
        <v>5</v>
      </c>
    </row>
    <row r="13" spans="2:101" ht="15" customHeight="1" x14ac:dyDescent="0.35">
      <c r="B13" t="s">
        <v>122</v>
      </c>
      <c r="C13" s="3">
        <f>Inputs!$K11</f>
        <v>0.05</v>
      </c>
      <c r="Z13" s="156" t="s">
        <v>338</v>
      </c>
      <c r="AA13" s="157"/>
      <c r="AB13" s="157"/>
      <c r="AC13" s="157"/>
      <c r="AD13" s="157"/>
      <c r="AE13" s="157"/>
      <c r="AF13" s="156" t="s">
        <v>212</v>
      </c>
      <c r="AG13" s="157"/>
      <c r="AH13" s="157"/>
      <c r="AI13" s="157"/>
      <c r="AJ13" s="157"/>
      <c r="AK13" s="157"/>
      <c r="BK13" t="s">
        <v>45</v>
      </c>
      <c r="BX13" s="163">
        <f>BX9</f>
        <v>29187.999999999996</v>
      </c>
      <c r="BY13" s="163"/>
      <c r="BZ13" s="163"/>
      <c r="CA13" s="163"/>
      <c r="CB13" s="163"/>
      <c r="CE13" t="s">
        <v>45</v>
      </c>
      <c r="CR13" s="163">
        <f>CR9</f>
        <v>31629.6858125</v>
      </c>
      <c r="CS13" s="163"/>
      <c r="CT13" s="163"/>
      <c r="CU13" s="163"/>
      <c r="CV13" s="163"/>
    </row>
    <row r="14" spans="2:101" ht="15" customHeight="1" x14ac:dyDescent="0.35">
      <c r="B14" t="s">
        <v>123</v>
      </c>
      <c r="C14" s="4">
        <f>Inputs!$K12</f>
        <v>4.0741237836483535E-3</v>
      </c>
      <c r="Z14" s="157"/>
      <c r="AA14" s="157"/>
      <c r="AB14" s="157"/>
      <c r="AC14" s="157"/>
      <c r="AD14" s="157"/>
      <c r="AE14" s="157"/>
      <c r="AF14" s="157"/>
      <c r="AG14" s="157"/>
      <c r="AH14" s="157"/>
      <c r="AI14" s="157"/>
      <c r="AJ14" s="157"/>
      <c r="AK14" s="157"/>
      <c r="BK14" t="s">
        <v>184</v>
      </c>
      <c r="BX14" s="163">
        <f>IF('Analysis Summary'!$B$2=Inputs!$B$18,_xlfn.XLOOKUP(1,'Forecast (By Year)'!$F$3:$F$55,'Forecast (By Year)'!$O$3:$O$55),_xlfn.XLOOKUP(1,'Forecast (By Year)'!$AD$3:$AD$55,'Forecast (By Year)'!$AM$3:$AM$55))</f>
        <v>99.999999999999986</v>
      </c>
      <c r="BY14" s="163"/>
      <c r="BZ14" s="163"/>
      <c r="CA14" s="163"/>
      <c r="CB14" s="163"/>
      <c r="CE14" t="s">
        <v>184</v>
      </c>
      <c r="CR14" s="163">
        <f>IF('Analysis Summary'!$B$2=Inputs!$B$18,_xlfn.XLOOKUP(Inputs!$K$10,'Forecast (By Year)'!$F$3:$F$55,'Forecast (By Year)'!$O$3:$O$55),_xlfn.XLOOKUP(Inputs!$K$10,'Forecast (By Year)'!$AD$3:$AD$55,'Forecast (By Year)'!$AM$3:$AM$55))</f>
        <v>99.999999999999986</v>
      </c>
      <c r="CS14" s="163"/>
      <c r="CT14" s="163"/>
      <c r="CU14" s="163"/>
      <c r="CV14" s="163"/>
    </row>
    <row r="15" spans="2:101" ht="15" customHeight="1" x14ac:dyDescent="0.35">
      <c r="B15" t="s">
        <v>85</v>
      </c>
      <c r="C15" s="136">
        <f>Inputs!$K13</f>
        <v>2086720.3546875003</v>
      </c>
      <c r="Z15" s="157"/>
      <c r="AA15" s="157"/>
      <c r="AB15" s="157"/>
      <c r="AC15" s="157"/>
      <c r="AD15" s="157"/>
      <c r="AE15" s="157"/>
      <c r="AF15" s="157"/>
      <c r="AG15" s="157"/>
      <c r="AH15" s="157"/>
      <c r="AI15" s="157"/>
      <c r="AJ15" s="157"/>
      <c r="AK15" s="157"/>
      <c r="BK15" t="s">
        <v>67</v>
      </c>
      <c r="BX15" s="163">
        <f>IF('Analysis Summary'!$B$2=Inputs!$B$18,_xlfn.XLOOKUP(1,'Forecast (By Year)'!$F$3:$F$55,'Forecast (By Year)'!$P$3:$P$55),_xlfn.XLOOKUP(1,'Forecast (By Year)'!$AD$3:$AD$55,'Forecast (By Year)'!$AN$3:$AN$55))</f>
        <v>0</v>
      </c>
      <c r="BY15" s="163"/>
      <c r="BZ15" s="163"/>
      <c r="CA15" s="163"/>
      <c r="CB15" s="163"/>
      <c r="CE15" t="s">
        <v>67</v>
      </c>
      <c r="CR15" s="163">
        <f>IF('Analysis Summary'!$B$2=Inputs!$B$18,_xlfn.XLOOKUP(Inputs!$K$10,'Forecast (By Year)'!$F$3:$F$55,'Forecast (By Year)'!$P$3:$P$55),_xlfn.XLOOKUP(Inputs!$K$10,'Forecast (By Year)'!$AD$3:$AD$55,'Forecast (By Year)'!$AN$3:$AN$55))</f>
        <v>0</v>
      </c>
      <c r="CS15" s="163"/>
      <c r="CT15" s="163"/>
      <c r="CU15" s="163"/>
      <c r="CV15" s="163"/>
    </row>
    <row r="16" spans="2:101" ht="15" customHeight="1" x14ac:dyDescent="0.35">
      <c r="B16" t="s">
        <v>93</v>
      </c>
      <c r="C16" s="138" t="str">
        <f>Inputs!$K14</f>
        <v>AED103,000.00 per annum</v>
      </c>
      <c r="Z16" s="160">
        <f>'RE Calculations'!H196</f>
        <v>417244.61668750003</v>
      </c>
      <c r="AA16" s="160"/>
      <c r="AB16" s="160"/>
      <c r="AC16" s="160"/>
      <c r="AD16" s="160"/>
      <c r="AE16" s="160"/>
      <c r="AF16" s="159">
        <f>'RE Calculations'!H197</f>
        <v>2086720.3546875</v>
      </c>
      <c r="AG16" s="159"/>
      <c r="AH16" s="159"/>
      <c r="AI16" s="159"/>
      <c r="AJ16" s="159"/>
      <c r="AK16" s="159"/>
      <c r="BK16" s="2" t="s">
        <v>22</v>
      </c>
      <c r="BX16" s="164">
        <f>SUM(BX13:CB15)</f>
        <v>29287.999999999996</v>
      </c>
      <c r="BY16" s="164"/>
      <c r="BZ16" s="164"/>
      <c r="CA16" s="164"/>
      <c r="CB16" s="164"/>
      <c r="CE16" s="2" t="s">
        <v>22</v>
      </c>
      <c r="CR16" s="162">
        <f>SUM(CR13:CV15)</f>
        <v>31729.6858125</v>
      </c>
      <c r="CS16" s="162"/>
      <c r="CT16" s="162"/>
      <c r="CU16" s="162"/>
      <c r="CV16" s="162"/>
    </row>
    <row r="17" spans="2:101" ht="15" customHeight="1" x14ac:dyDescent="0.35">
      <c r="B17" t="s">
        <v>94</v>
      </c>
      <c r="C17" s="139" t="str">
        <f>Inputs!$K15</f>
        <v>AED0.00 per week</v>
      </c>
      <c r="Z17" s="160"/>
      <c r="AA17" s="160"/>
      <c r="AB17" s="160"/>
      <c r="AC17" s="160"/>
      <c r="AD17" s="160"/>
      <c r="AE17" s="160"/>
      <c r="AF17" s="159"/>
      <c r="AG17" s="159"/>
      <c r="AH17" s="159"/>
      <c r="AI17" s="159"/>
      <c r="AJ17" s="159"/>
      <c r="AK17" s="159"/>
    </row>
    <row r="18" spans="2:101" ht="15" customHeight="1" x14ac:dyDescent="0.35">
      <c r="B18" t="s">
        <v>136</v>
      </c>
      <c r="C18" s="137">
        <f>Inputs!$K16</f>
        <v>8583.3333333333339</v>
      </c>
      <c r="BK18" t="str">
        <f>"Tax Payment / Credit (at "&amp;Inputs!$K$54*100&amp;"% tax rate)"</f>
        <v>Tax Payment / Credit (at 0% tax rate)</v>
      </c>
      <c r="BX18" s="163">
        <f>IF('Analysis Summary'!$B$2=Inputs!$B$18,_xlfn.XLOOKUP(1,'Forecast (By Year)'!$F$3:$F$55,'Forecast (By Year)'!$S$3:$S$55),_xlfn.XLOOKUP(1,'Forecast (By Year)'!$AD$3:$AD$55,'Forecast (By Year)'!$AQ$3:$AQ$55))</f>
        <v>0</v>
      </c>
      <c r="BY18" s="163"/>
      <c r="BZ18" s="163"/>
      <c r="CA18" s="163"/>
      <c r="CB18" s="163"/>
      <c r="CE18" t="str">
        <f>"Tax Payment / Credit (at "&amp;Inputs!$K$54*100&amp;"% tax rate)"</f>
        <v>Tax Payment / Credit (at 0% tax rate)</v>
      </c>
      <c r="CR18" s="163">
        <f>IF('Analysis Summary'!$B$2=Inputs!$B$18,_xlfn.XLOOKUP(Inputs!$K$10,'Forecast (By Year)'!$F$3:$F$55,'Forecast (By Year)'!$S$3:$S$55),_xlfn.XLOOKUP(Inputs!$K$10,'Forecast (By Year)'!$AD$3:$AD$55,'Forecast (By Year)'!$AQ$3:$AQ$55))</f>
        <v>0</v>
      </c>
      <c r="CS18" s="163"/>
      <c r="CT18" s="163"/>
      <c r="CU18" s="163"/>
      <c r="CV18" s="163"/>
    </row>
    <row r="19" spans="2:101" ht="15" customHeight="1" x14ac:dyDescent="0.35">
      <c r="B19" t="s">
        <v>15</v>
      </c>
      <c r="C19" s="4">
        <f>Inputs!$K17</f>
        <v>0.05</v>
      </c>
      <c r="Z19" s="156" t="s">
        <v>229</v>
      </c>
      <c r="AA19" s="157"/>
      <c r="AB19" s="157"/>
      <c r="AC19" s="157"/>
      <c r="AD19" s="157"/>
      <c r="AE19" s="157"/>
      <c r="AF19" s="156" t="s">
        <v>230</v>
      </c>
      <c r="AG19" s="157"/>
      <c r="AH19" s="157"/>
      <c r="AI19" s="157"/>
      <c r="AJ19" s="157"/>
      <c r="AK19" s="157"/>
      <c r="BK19" s="2" t="s">
        <v>23</v>
      </c>
      <c r="BX19" s="162">
        <f>BX11-BX18</f>
        <v>73812</v>
      </c>
      <c r="BY19" s="162"/>
      <c r="BZ19" s="162"/>
      <c r="CA19" s="162"/>
      <c r="CB19" s="162"/>
      <c r="CE19" s="2" t="s">
        <v>23</v>
      </c>
      <c r="CR19" s="162">
        <f>CR11-CR18</f>
        <v>93567.457937500003</v>
      </c>
      <c r="CS19" s="162"/>
      <c r="CT19" s="162"/>
      <c r="CU19" s="162"/>
      <c r="CV19" s="162"/>
    </row>
    <row r="20" spans="2:101" ht="15" customHeight="1" x14ac:dyDescent="0.35">
      <c r="B20" t="s">
        <v>135</v>
      </c>
      <c r="C20" s="136">
        <f>Inputs!$K18</f>
        <v>1601027</v>
      </c>
      <c r="Z20" s="157"/>
      <c r="AA20" s="157"/>
      <c r="AB20" s="157"/>
      <c r="AC20" s="157"/>
      <c r="AD20" s="157"/>
      <c r="AE20" s="157"/>
      <c r="AF20" s="157"/>
      <c r="AG20" s="157"/>
      <c r="AH20" s="157"/>
      <c r="AI20" s="157"/>
      <c r="AJ20" s="157"/>
      <c r="AK20" s="157"/>
    </row>
    <row r="21" spans="2:101" ht="15" customHeight="1" x14ac:dyDescent="0.35">
      <c r="B21" t="s">
        <v>74</v>
      </c>
      <c r="C21" s="132">
        <f>Inputs!$K19</f>
        <v>46234.407093750007</v>
      </c>
      <c r="Z21" s="157"/>
      <c r="AA21" s="157"/>
      <c r="AB21" s="157"/>
      <c r="AC21" s="157"/>
      <c r="AD21" s="157"/>
      <c r="AE21" s="157"/>
      <c r="AF21" s="157"/>
      <c r="AG21" s="157"/>
      <c r="AH21" s="157"/>
      <c r="AI21" s="157"/>
      <c r="AJ21" s="157"/>
      <c r="AK21" s="157"/>
      <c r="BK21" s="44"/>
      <c r="BL21" s="44"/>
      <c r="BM21" s="44"/>
      <c r="BN21" s="44"/>
      <c r="BO21" s="44"/>
      <c r="BP21" s="44"/>
      <c r="BQ21" s="44"/>
      <c r="BR21" s="44"/>
      <c r="BS21" s="96" t="s">
        <v>235</v>
      </c>
      <c r="BT21" s="44"/>
      <c r="BU21" s="44"/>
      <c r="BV21" s="44"/>
      <c r="BW21" s="44"/>
      <c r="BX21" s="44"/>
      <c r="BY21" s="44"/>
      <c r="BZ21" s="44"/>
      <c r="CA21" s="44"/>
      <c r="CB21" s="44"/>
      <c r="CC21" s="44"/>
      <c r="CE21" s="44"/>
      <c r="CF21" s="44"/>
      <c r="CG21" s="44"/>
      <c r="CH21" s="44"/>
      <c r="CI21" s="44"/>
      <c r="CJ21" s="44"/>
      <c r="CK21" s="44"/>
      <c r="CL21" s="44"/>
      <c r="CM21" s="96" t="s">
        <v>235</v>
      </c>
      <c r="CN21" s="44"/>
      <c r="CO21" s="44"/>
      <c r="CP21" s="44"/>
      <c r="CQ21" s="44"/>
      <c r="CR21" s="44"/>
      <c r="CS21" s="44"/>
      <c r="CT21" s="44"/>
      <c r="CU21" s="44"/>
      <c r="CV21" s="44"/>
      <c r="CW21" s="44"/>
    </row>
    <row r="22" spans="2:101" ht="15" customHeight="1" x14ac:dyDescent="0.35">
      <c r="Z22" s="159">
        <f>'RE Calculations'!H198</f>
        <v>439458.94759375701</v>
      </c>
      <c r="AA22" s="159"/>
      <c r="AB22" s="159"/>
      <c r="AC22" s="159"/>
      <c r="AD22" s="159"/>
      <c r="AE22" s="159"/>
      <c r="AF22" s="160">
        <f>'RE Calculations'!H199</f>
        <v>856703.5642812571</v>
      </c>
      <c r="AG22" s="160"/>
      <c r="AH22" s="160"/>
      <c r="AI22" s="160"/>
      <c r="AJ22" s="160"/>
      <c r="AK22" s="160"/>
      <c r="BK22" s="156" t="s">
        <v>47</v>
      </c>
      <c r="BL22" s="156"/>
      <c r="BM22" s="156"/>
      <c r="BN22" s="156"/>
      <c r="BO22" s="156"/>
      <c r="BP22" s="156"/>
      <c r="BQ22" s="156" t="s">
        <v>236</v>
      </c>
      <c r="BR22" s="156"/>
      <c r="BS22" s="156"/>
      <c r="BT22" s="156"/>
      <c r="BU22" s="156"/>
      <c r="BV22" s="156"/>
      <c r="BW22" s="156" t="s">
        <v>237</v>
      </c>
      <c r="BX22" s="156"/>
      <c r="BY22" s="156"/>
      <c r="BZ22" s="156"/>
      <c r="CA22" s="156"/>
      <c r="CB22" s="156"/>
      <c r="CE22" s="156" t="s">
        <v>47</v>
      </c>
      <c r="CF22" s="156"/>
      <c r="CG22" s="156"/>
      <c r="CH22" s="156"/>
      <c r="CI22" s="156"/>
      <c r="CJ22" s="156"/>
      <c r="CK22" s="156" t="s">
        <v>236</v>
      </c>
      <c r="CL22" s="156"/>
      <c r="CM22" s="156"/>
      <c r="CN22" s="156"/>
      <c r="CO22" s="156"/>
      <c r="CP22" s="156"/>
      <c r="CQ22" s="156" t="s">
        <v>237</v>
      </c>
      <c r="CR22" s="156"/>
      <c r="CS22" s="156"/>
      <c r="CT22" s="156"/>
      <c r="CU22" s="156"/>
      <c r="CV22" s="156"/>
    </row>
    <row r="23" spans="2:101" ht="15" customHeight="1" x14ac:dyDescent="0.35">
      <c r="B23" s="46" t="s">
        <v>108</v>
      </c>
      <c r="C23" s="54"/>
      <c r="Z23" s="159"/>
      <c r="AA23" s="159"/>
      <c r="AB23" s="159"/>
      <c r="AC23" s="159"/>
      <c r="AD23" s="159"/>
      <c r="AE23" s="159"/>
      <c r="AF23" s="160"/>
      <c r="AG23" s="160"/>
      <c r="AH23" s="160"/>
      <c r="AI23" s="160"/>
      <c r="AJ23" s="160"/>
      <c r="AK23" s="160"/>
      <c r="BK23" s="156"/>
      <c r="BL23" s="156"/>
      <c r="BM23" s="156"/>
      <c r="BN23" s="156"/>
      <c r="BO23" s="156"/>
      <c r="BP23" s="156"/>
      <c r="BQ23" s="156"/>
      <c r="BR23" s="156"/>
      <c r="BS23" s="156"/>
      <c r="BT23" s="156"/>
      <c r="BU23" s="156"/>
      <c r="BV23" s="156"/>
      <c r="BW23" s="156"/>
      <c r="BX23" s="156"/>
      <c r="BY23" s="156"/>
      <c r="BZ23" s="156"/>
      <c r="CA23" s="156"/>
      <c r="CB23" s="156"/>
      <c r="CE23" s="156"/>
      <c r="CF23" s="156"/>
      <c r="CG23" s="156"/>
      <c r="CH23" s="156"/>
      <c r="CI23" s="156"/>
      <c r="CJ23" s="156"/>
      <c r="CK23" s="156"/>
      <c r="CL23" s="156"/>
      <c r="CM23" s="156"/>
      <c r="CN23" s="156"/>
      <c r="CO23" s="156"/>
      <c r="CP23" s="156"/>
      <c r="CQ23" s="156"/>
      <c r="CR23" s="156"/>
      <c r="CS23" s="156"/>
      <c r="CT23" s="156"/>
      <c r="CU23" s="156"/>
      <c r="CV23" s="156"/>
    </row>
    <row r="24" spans="2:101" ht="15" customHeight="1" x14ac:dyDescent="0.35">
      <c r="B24" s="2" t="s">
        <v>141</v>
      </c>
      <c r="BK24" s="154">
        <f>'RE Calculations'!H210</f>
        <v>4.6102907696122554E-2</v>
      </c>
      <c r="BL24" s="154"/>
      <c r="BM24" s="154"/>
      <c r="BN24" s="154"/>
      <c r="BO24" s="154"/>
      <c r="BP24" s="154"/>
      <c r="BQ24" s="158">
        <f>'RE Calculations'!H211</f>
        <v>4.9209640321344048E-2</v>
      </c>
      <c r="BR24" s="158"/>
      <c r="BS24" s="158"/>
      <c r="BT24" s="158"/>
      <c r="BU24" s="158"/>
      <c r="BV24" s="158"/>
      <c r="BW24" s="154">
        <f>'RE Calculations'!H212</f>
        <v>4.5144954128440364E-2</v>
      </c>
      <c r="BX24" s="154"/>
      <c r="BY24" s="154"/>
      <c r="BZ24" s="154"/>
      <c r="CA24" s="154"/>
      <c r="CB24" s="154"/>
      <c r="CE24" s="154">
        <f>'RE Calculations'!H218</f>
        <v>5.8442148656768431E-2</v>
      </c>
      <c r="CF24" s="154"/>
      <c r="CG24" s="154"/>
      <c r="CH24" s="154"/>
      <c r="CI24" s="154"/>
      <c r="CJ24" s="154"/>
      <c r="CK24" s="158">
        <f>'RE Calculations'!H219</f>
        <v>6.2380384637821251E-2</v>
      </c>
      <c r="CL24" s="158"/>
      <c r="CM24" s="158"/>
      <c r="CN24" s="158"/>
      <c r="CO24" s="158"/>
      <c r="CP24" s="158"/>
      <c r="CQ24" s="154">
        <f>'RE Calculations'!H220</f>
        <v>5.722780301987767E-2</v>
      </c>
      <c r="CR24" s="154"/>
      <c r="CS24" s="154"/>
      <c r="CT24" s="154"/>
      <c r="CU24" s="154"/>
      <c r="CV24" s="154"/>
    </row>
    <row r="25" spans="2:101" ht="15" customHeight="1" x14ac:dyDescent="0.35">
      <c r="B25" t="s">
        <v>11</v>
      </c>
      <c r="C25" s="36">
        <f>Inputs!K35</f>
        <v>4.4999999999999998E-2</v>
      </c>
      <c r="Z25" s="156" t="s">
        <v>301</v>
      </c>
      <c r="AA25" s="157"/>
      <c r="AB25" s="157"/>
      <c r="AC25" s="157"/>
      <c r="AD25" s="157"/>
      <c r="AE25" s="157"/>
      <c r="AF25" s="156" t="s">
        <v>302</v>
      </c>
      <c r="AG25" s="157"/>
      <c r="AH25" s="157"/>
      <c r="AI25" s="157"/>
      <c r="AJ25" s="157"/>
      <c r="AK25" s="157"/>
      <c r="BK25" s="154"/>
      <c r="BL25" s="154"/>
      <c r="BM25" s="154"/>
      <c r="BN25" s="154"/>
      <c r="BO25" s="154"/>
      <c r="BP25" s="154"/>
      <c r="BQ25" s="158"/>
      <c r="BR25" s="158"/>
      <c r="BS25" s="158"/>
      <c r="BT25" s="158"/>
      <c r="BU25" s="158"/>
      <c r="BV25" s="158"/>
      <c r="BW25" s="154"/>
      <c r="BX25" s="154"/>
      <c r="BY25" s="154"/>
      <c r="BZ25" s="154"/>
      <c r="CA25" s="154"/>
      <c r="CB25" s="154"/>
      <c r="CE25" s="154"/>
      <c r="CF25" s="154"/>
      <c r="CG25" s="154"/>
      <c r="CH25" s="154"/>
      <c r="CI25" s="154"/>
      <c r="CJ25" s="154"/>
      <c r="CK25" s="158"/>
      <c r="CL25" s="158"/>
      <c r="CM25" s="158"/>
      <c r="CN25" s="158"/>
      <c r="CO25" s="158"/>
      <c r="CP25" s="158"/>
      <c r="CQ25" s="154"/>
      <c r="CR25" s="154"/>
      <c r="CS25" s="154"/>
      <c r="CT25" s="154"/>
      <c r="CU25" s="154"/>
      <c r="CV25" s="154"/>
    </row>
    <row r="26" spans="2:101" ht="15" customHeight="1" x14ac:dyDescent="0.35">
      <c r="B26" t="s">
        <v>133</v>
      </c>
      <c r="C26" s="37">
        <f>Inputs!K36</f>
        <v>3.7499999999999999E-3</v>
      </c>
      <c r="Z26" s="157"/>
      <c r="AA26" s="157"/>
      <c r="AB26" s="157"/>
      <c r="AC26" s="157"/>
      <c r="AD26" s="157"/>
      <c r="AE26" s="157"/>
      <c r="AF26" s="157"/>
      <c r="AG26" s="157"/>
      <c r="AH26" s="157"/>
      <c r="AI26" s="157"/>
      <c r="AJ26" s="157"/>
      <c r="AK26" s="157"/>
      <c r="BK26" s="44"/>
      <c r="BL26" s="44"/>
      <c r="BM26" s="44"/>
      <c r="BN26" s="44"/>
      <c r="BO26" s="44"/>
      <c r="BP26" s="44"/>
      <c r="BQ26" s="44"/>
      <c r="BR26" s="44"/>
      <c r="BS26" s="96" t="s">
        <v>234</v>
      </c>
      <c r="BT26" s="44"/>
      <c r="BU26" s="44"/>
      <c r="BV26" s="44"/>
      <c r="BW26" s="44"/>
      <c r="BX26" s="44"/>
      <c r="BY26" s="44"/>
      <c r="BZ26" s="44"/>
      <c r="CA26" s="44"/>
      <c r="CB26" s="44"/>
      <c r="CC26" s="44"/>
      <c r="CE26" s="44"/>
      <c r="CF26" s="44"/>
      <c r="CG26" s="44"/>
      <c r="CH26" s="44"/>
      <c r="CI26" s="44"/>
      <c r="CJ26" s="44"/>
      <c r="CK26" s="44"/>
      <c r="CL26" s="44"/>
      <c r="CM26" s="96" t="s">
        <v>234</v>
      </c>
      <c r="CN26" s="44"/>
      <c r="CO26" s="44"/>
      <c r="CP26" s="44"/>
      <c r="CQ26" s="44"/>
      <c r="CR26" s="44"/>
      <c r="CS26" s="44"/>
      <c r="CT26" s="44"/>
      <c r="CU26" s="44"/>
      <c r="CV26" s="44"/>
      <c r="CW26" s="44"/>
    </row>
    <row r="27" spans="2:101" ht="15" customHeight="1" x14ac:dyDescent="0.35">
      <c r="B27" t="s">
        <v>191</v>
      </c>
      <c r="C27" s="85">
        <f>Inputs!K37</f>
        <v>30</v>
      </c>
      <c r="Z27" s="157"/>
      <c r="AA27" s="157"/>
      <c r="AB27" s="157"/>
      <c r="AC27" s="157"/>
      <c r="AD27" s="157"/>
      <c r="AE27" s="157"/>
      <c r="AF27" s="157"/>
      <c r="AG27" s="157"/>
      <c r="AH27" s="157"/>
      <c r="AI27" s="157"/>
      <c r="AJ27" s="157"/>
      <c r="AK27" s="157"/>
      <c r="BK27" s="156" t="s">
        <v>47</v>
      </c>
      <c r="BL27" s="156"/>
      <c r="BM27" s="156"/>
      <c r="BN27" s="156"/>
      <c r="BO27" s="156"/>
      <c r="BP27" s="156"/>
      <c r="BQ27" s="156" t="s">
        <v>236</v>
      </c>
      <c r="BR27" s="156"/>
      <c r="BS27" s="156"/>
      <c r="BT27" s="156"/>
      <c r="BU27" s="156"/>
      <c r="BV27" s="156"/>
      <c r="BW27" s="156" t="s">
        <v>237</v>
      </c>
      <c r="BX27" s="156"/>
      <c r="BY27" s="156"/>
      <c r="BZ27" s="156"/>
      <c r="CA27" s="156"/>
      <c r="CB27" s="156"/>
      <c r="CE27" s="156" t="s">
        <v>47</v>
      </c>
      <c r="CF27" s="156"/>
      <c r="CG27" s="156"/>
      <c r="CH27" s="156"/>
      <c r="CI27" s="156"/>
      <c r="CJ27" s="156"/>
      <c r="CK27" s="156" t="s">
        <v>236</v>
      </c>
      <c r="CL27" s="156"/>
      <c r="CM27" s="156"/>
      <c r="CN27" s="156"/>
      <c r="CO27" s="156"/>
      <c r="CP27" s="156"/>
      <c r="CQ27" s="156" t="s">
        <v>237</v>
      </c>
      <c r="CR27" s="156"/>
      <c r="CS27" s="156"/>
      <c r="CT27" s="156"/>
      <c r="CU27" s="156"/>
      <c r="CV27" s="156"/>
    </row>
    <row r="28" spans="2:101" ht="15" customHeight="1" x14ac:dyDescent="0.35">
      <c r="B28" t="s">
        <v>48</v>
      </c>
      <c r="C28" s="136" t="str">
        <f>Inputs!K38</f>
        <v>AED100.00 per annum</v>
      </c>
      <c r="Z28" s="154">
        <f>'RE Calculations'!H200</f>
        <v>5.4897131353032404E-2</v>
      </c>
      <c r="AA28" s="154"/>
      <c r="AB28" s="154"/>
      <c r="AC28" s="154"/>
      <c r="AD28" s="154"/>
      <c r="AE28" s="154"/>
      <c r="AF28" s="158">
        <f>'RE Calculations'!H201</f>
        <v>0.10701925255242506</v>
      </c>
      <c r="AG28" s="158"/>
      <c r="AH28" s="158"/>
      <c r="AI28" s="158"/>
      <c r="AJ28" s="158"/>
      <c r="AK28" s="158"/>
      <c r="BK28" s="156"/>
      <c r="BL28" s="156"/>
      <c r="BM28" s="156"/>
      <c r="BN28" s="156"/>
      <c r="BO28" s="156"/>
      <c r="BP28" s="156"/>
      <c r="BQ28" s="156"/>
      <c r="BR28" s="156"/>
      <c r="BS28" s="156"/>
      <c r="BT28" s="156"/>
      <c r="BU28" s="156"/>
      <c r="BV28" s="156"/>
      <c r="BW28" s="156"/>
      <c r="BX28" s="156"/>
      <c r="BY28" s="156"/>
      <c r="BZ28" s="156"/>
      <c r="CA28" s="156"/>
      <c r="CB28" s="156"/>
      <c r="CE28" s="156"/>
      <c r="CF28" s="156"/>
      <c r="CG28" s="156"/>
      <c r="CH28" s="156"/>
      <c r="CI28" s="156"/>
      <c r="CJ28" s="156"/>
      <c r="CK28" s="156"/>
      <c r="CL28" s="156"/>
      <c r="CM28" s="156"/>
      <c r="CN28" s="156"/>
      <c r="CO28" s="156"/>
      <c r="CP28" s="156"/>
      <c r="CQ28" s="156"/>
      <c r="CR28" s="156"/>
      <c r="CS28" s="156"/>
      <c r="CT28" s="156"/>
      <c r="CU28" s="156"/>
      <c r="CV28" s="156"/>
    </row>
    <row r="29" spans="2:101" ht="15" customHeight="1" x14ac:dyDescent="0.35">
      <c r="B29" t="s">
        <v>52</v>
      </c>
      <c r="C29" s="10">
        <f>Inputs!K39</f>
        <v>100</v>
      </c>
      <c r="Z29" s="154"/>
      <c r="AA29" s="154"/>
      <c r="AB29" s="154"/>
      <c r="AC29" s="154"/>
      <c r="AD29" s="154"/>
      <c r="AE29" s="154"/>
      <c r="AF29" s="158"/>
      <c r="AG29" s="158"/>
      <c r="AH29" s="158"/>
      <c r="AI29" s="158"/>
      <c r="AJ29" s="158"/>
      <c r="AK29" s="158"/>
      <c r="BK29" s="154">
        <f>'RE Calculations'!H214</f>
        <v>4.6102907696122554E-2</v>
      </c>
      <c r="BL29" s="154"/>
      <c r="BM29" s="154"/>
      <c r="BN29" s="154"/>
      <c r="BO29" s="154"/>
      <c r="BP29" s="154"/>
      <c r="BQ29" s="158">
        <f>'RE Calculations'!H215</f>
        <v>4.9209640321344048E-2</v>
      </c>
      <c r="BR29" s="158"/>
      <c r="BS29" s="158"/>
      <c r="BT29" s="158"/>
      <c r="BU29" s="158"/>
      <c r="BV29" s="158"/>
      <c r="BW29" s="154">
        <f>'RE Calculations'!H216</f>
        <v>4.5144954128440364E-2</v>
      </c>
      <c r="BX29" s="154"/>
      <c r="BY29" s="154"/>
      <c r="BZ29" s="154"/>
      <c r="CA29" s="154"/>
      <c r="CB29" s="154"/>
      <c r="CE29" s="154">
        <f>'RE Calculations'!H222</f>
        <v>5.8442148656768431E-2</v>
      </c>
      <c r="CF29" s="154"/>
      <c r="CG29" s="154"/>
      <c r="CH29" s="154"/>
      <c r="CI29" s="154"/>
      <c r="CJ29" s="154"/>
      <c r="CK29" s="158">
        <f>'RE Calculations'!H223</f>
        <v>6.2380384637821251E-2</v>
      </c>
      <c r="CL29" s="158"/>
      <c r="CM29" s="158"/>
      <c r="CN29" s="158"/>
      <c r="CO29" s="158"/>
      <c r="CP29" s="158"/>
      <c r="CQ29" s="154">
        <f>'RE Calculations'!H224</f>
        <v>5.722780301987767E-2</v>
      </c>
      <c r="CR29" s="154"/>
      <c r="CS29" s="154"/>
      <c r="CT29" s="154"/>
      <c r="CU29" s="154"/>
      <c r="CV29" s="154"/>
    </row>
    <row r="30" spans="2:101" ht="15" customHeight="1" x14ac:dyDescent="0.35">
      <c r="BK30" s="154"/>
      <c r="BL30" s="154"/>
      <c r="BM30" s="154"/>
      <c r="BN30" s="154"/>
      <c r="BO30" s="154"/>
      <c r="BP30" s="154"/>
      <c r="BQ30" s="158"/>
      <c r="BR30" s="158"/>
      <c r="BS30" s="158"/>
      <c r="BT30" s="158"/>
      <c r="BU30" s="158"/>
      <c r="BV30" s="158"/>
      <c r="BW30" s="154"/>
      <c r="BX30" s="154"/>
      <c r="BY30" s="154"/>
      <c r="BZ30" s="154"/>
      <c r="CA30" s="154"/>
      <c r="CB30" s="154"/>
      <c r="CE30" s="154"/>
      <c r="CF30" s="154"/>
      <c r="CG30" s="154"/>
      <c r="CH30" s="154"/>
      <c r="CI30" s="154"/>
      <c r="CJ30" s="154"/>
      <c r="CK30" s="158"/>
      <c r="CL30" s="158"/>
      <c r="CM30" s="158"/>
      <c r="CN30" s="158"/>
      <c r="CO30" s="158"/>
      <c r="CP30" s="158"/>
      <c r="CQ30" s="154"/>
      <c r="CR30" s="154"/>
      <c r="CS30" s="154"/>
      <c r="CT30" s="154"/>
      <c r="CU30" s="154"/>
      <c r="CV30" s="154"/>
    </row>
    <row r="31" spans="2:101" ht="15" customHeight="1" x14ac:dyDescent="0.35">
      <c r="B31" s="72" t="s">
        <v>142</v>
      </c>
      <c r="C31" s="73"/>
      <c r="Z31" s="156" t="s">
        <v>303</v>
      </c>
      <c r="AA31" s="157"/>
      <c r="AB31" s="157"/>
      <c r="AC31" s="157"/>
      <c r="AD31" s="157"/>
      <c r="AE31" s="157"/>
      <c r="AF31" s="156" t="s">
        <v>304</v>
      </c>
      <c r="AG31" s="157"/>
      <c r="AH31" s="157"/>
      <c r="AI31" s="157"/>
      <c r="AJ31" s="157"/>
      <c r="AK31" s="157"/>
    </row>
    <row r="32" spans="2:101" ht="15" customHeight="1" x14ac:dyDescent="0.35">
      <c r="B32" t="s">
        <v>11</v>
      </c>
      <c r="C32" s="4">
        <f>Inputs!K42</f>
        <v>4.7500000000000001E-2</v>
      </c>
      <c r="Z32" s="157"/>
      <c r="AA32" s="157"/>
      <c r="AB32" s="157"/>
      <c r="AC32" s="157"/>
      <c r="AD32" s="157"/>
      <c r="AE32" s="157"/>
      <c r="AF32" s="157"/>
      <c r="AG32" s="157"/>
      <c r="AH32" s="157"/>
      <c r="AI32" s="157"/>
      <c r="AJ32" s="157"/>
      <c r="AK32" s="157"/>
      <c r="BK32" s="161" t="str">
        <f>$B$2</f>
        <v>Principal &amp; Interest Loan (P&amp;I)</v>
      </c>
      <c r="BL32" s="161"/>
      <c r="BM32" s="161"/>
      <c r="BN32" s="161"/>
      <c r="BO32" s="161"/>
      <c r="BP32" s="161"/>
      <c r="BQ32" s="161"/>
      <c r="BR32" s="94"/>
      <c r="BS32" s="89"/>
      <c r="BT32" s="54"/>
      <c r="BU32" s="54"/>
      <c r="BV32" s="94"/>
      <c r="BW32" s="94"/>
      <c r="BX32" s="94"/>
      <c r="BY32" s="94"/>
      <c r="BZ32" s="94"/>
      <c r="CA32" s="54"/>
      <c r="CB32" s="54"/>
      <c r="CC32" s="54"/>
      <c r="CD32" s="54"/>
      <c r="CE32" s="54"/>
      <c r="CF32" s="54"/>
      <c r="CG32" s="54"/>
      <c r="CH32" s="46"/>
      <c r="CI32" s="46"/>
      <c r="CJ32" s="46"/>
      <c r="CK32" s="46"/>
      <c r="CL32" s="46"/>
      <c r="CM32" s="46"/>
      <c r="CN32" s="46"/>
      <c r="CO32" s="46"/>
      <c r="CP32" s="46"/>
      <c r="CQ32" s="46"/>
      <c r="CR32" s="94"/>
      <c r="CS32" s="94"/>
      <c r="CT32" s="94"/>
      <c r="CU32" s="94"/>
      <c r="CV32" s="94"/>
      <c r="CW32" s="94"/>
    </row>
    <row r="33" spans="2:37" ht="15" customHeight="1" x14ac:dyDescent="0.35">
      <c r="B33" t="s">
        <v>133</v>
      </c>
      <c r="C33" s="37">
        <f>Inputs!K43</f>
        <v>3.9583333333333337E-3</v>
      </c>
      <c r="Z33" s="157"/>
      <c r="AA33" s="157"/>
      <c r="AB33" s="157"/>
      <c r="AC33" s="157"/>
      <c r="AD33" s="157"/>
      <c r="AE33" s="157"/>
      <c r="AF33" s="157"/>
      <c r="AG33" s="157"/>
      <c r="AH33" s="157"/>
      <c r="AI33" s="157"/>
      <c r="AJ33" s="157"/>
      <c r="AK33" s="157"/>
    </row>
    <row r="34" spans="2:37" ht="15" customHeight="1" x14ac:dyDescent="0.35">
      <c r="B34" t="s">
        <v>190</v>
      </c>
      <c r="C34" s="85">
        <f>Inputs!K44</f>
        <v>5</v>
      </c>
      <c r="Z34" s="158">
        <f>'RE Calculations'!H202</f>
        <v>4.2119582205308856E-2</v>
      </c>
      <c r="AA34" s="158"/>
      <c r="AB34" s="158"/>
      <c r="AC34" s="158"/>
      <c r="AD34" s="158"/>
      <c r="AE34" s="158"/>
      <c r="AF34" s="154">
        <f>'RE Calculations'!H203</f>
        <v>8.2110050094331311E-2</v>
      </c>
      <c r="AG34" s="154"/>
      <c r="AH34" s="154"/>
      <c r="AI34" s="154"/>
      <c r="AJ34" s="154"/>
      <c r="AK34" s="154"/>
    </row>
    <row r="35" spans="2:37" ht="15" customHeight="1" x14ac:dyDescent="0.35">
      <c r="B35" t="s">
        <v>109</v>
      </c>
      <c r="C35" s="4">
        <f>Inputs!K45</f>
        <v>4.4999999999999998E-2</v>
      </c>
      <c r="Z35" s="158"/>
      <c r="AA35" s="158"/>
      <c r="AB35" s="158"/>
      <c r="AC35" s="158"/>
      <c r="AD35" s="158"/>
      <c r="AE35" s="158"/>
      <c r="AF35" s="154"/>
      <c r="AG35" s="154"/>
      <c r="AH35" s="154"/>
      <c r="AI35" s="154"/>
      <c r="AJ35" s="154"/>
      <c r="AK35" s="154"/>
    </row>
    <row r="36" spans="2:37" ht="15" customHeight="1" x14ac:dyDescent="0.35">
      <c r="B36" t="s">
        <v>133</v>
      </c>
      <c r="C36" s="37">
        <f>Inputs!K46</f>
        <v>3.7499999999999999E-3</v>
      </c>
    </row>
    <row r="37" spans="2:37" ht="15" customHeight="1" x14ac:dyDescent="0.35">
      <c r="B37" t="s">
        <v>189</v>
      </c>
      <c r="C37" s="85">
        <f>Inputs!K47</f>
        <v>30</v>
      </c>
      <c r="Z37" s="156" t="s">
        <v>306</v>
      </c>
      <c r="AA37" s="157"/>
      <c r="AB37" s="157"/>
      <c r="AC37" s="157"/>
      <c r="AD37" s="157"/>
      <c r="AE37" s="157"/>
      <c r="AF37" s="156" t="s">
        <v>213</v>
      </c>
      <c r="AG37" s="157"/>
      <c r="AH37" s="157"/>
      <c r="AI37" s="157"/>
      <c r="AJ37" s="157"/>
      <c r="AK37" s="157"/>
    </row>
    <row r="38" spans="2:37" ht="15" customHeight="1" x14ac:dyDescent="0.35">
      <c r="B38" t="s">
        <v>48</v>
      </c>
      <c r="C38" s="139" t="str">
        <f>Inputs!K48</f>
        <v>AED120.00 per annum</v>
      </c>
      <c r="Z38" s="157"/>
      <c r="AA38" s="157"/>
      <c r="AB38" s="157"/>
      <c r="AC38" s="157"/>
      <c r="AD38" s="157"/>
      <c r="AE38" s="157"/>
      <c r="AF38" s="157"/>
      <c r="AG38" s="157"/>
      <c r="AH38" s="157"/>
      <c r="AI38" s="157"/>
      <c r="AJ38" s="157"/>
      <c r="AK38" s="157"/>
    </row>
    <row r="39" spans="2:37" ht="15" customHeight="1" x14ac:dyDescent="0.35">
      <c r="B39" t="s">
        <v>171</v>
      </c>
      <c r="C39" s="140">
        <f>Inputs!K49</f>
        <v>120</v>
      </c>
      <c r="Z39" s="157"/>
      <c r="AA39" s="157"/>
      <c r="AB39" s="157"/>
      <c r="AC39" s="157"/>
      <c r="AD39" s="157"/>
      <c r="AE39" s="157"/>
      <c r="AF39" s="157"/>
      <c r="AG39" s="157"/>
      <c r="AH39" s="157"/>
      <c r="AI39" s="157"/>
      <c r="AJ39" s="157"/>
      <c r="AK39" s="157"/>
    </row>
    <row r="40" spans="2:37" ht="15" customHeight="1" x14ac:dyDescent="0.35">
      <c r="B40" t="s">
        <v>132</v>
      </c>
      <c r="C40" s="140">
        <f>Inputs!K50</f>
        <v>120</v>
      </c>
      <c r="Z40" s="154">
        <f>'RE Calculations'!H204</f>
        <v>4.4839481115576854E-2</v>
      </c>
      <c r="AA40" s="154"/>
      <c r="AB40" s="154"/>
      <c r="AC40" s="154"/>
      <c r="AD40" s="154"/>
      <c r="AE40" s="154"/>
      <c r="AF40" s="155">
        <f>'RE Calculations'!H205</f>
        <v>1251.9714375000003</v>
      </c>
      <c r="AG40" s="155"/>
      <c r="AH40" s="155"/>
      <c r="AI40" s="155"/>
      <c r="AJ40" s="155"/>
      <c r="AK40" s="155"/>
    </row>
    <row r="41" spans="2:37" ht="15" customHeight="1" x14ac:dyDescent="0.35">
      <c r="Z41" s="154"/>
      <c r="AA41" s="154"/>
      <c r="AB41" s="154"/>
      <c r="AC41" s="154"/>
      <c r="AD41" s="154"/>
      <c r="AE41" s="154"/>
      <c r="AF41" s="155"/>
      <c r="AG41" s="155"/>
      <c r="AH41" s="155"/>
      <c r="AI41" s="155"/>
      <c r="AJ41" s="155"/>
      <c r="AK41" s="155"/>
    </row>
    <row r="42" spans="2:37" ht="15" customHeight="1" x14ac:dyDescent="0.35">
      <c r="B42" s="46" t="s">
        <v>56</v>
      </c>
      <c r="C42" s="54"/>
      <c r="E42" s="46" t="str">
        <f>"With a holding period of "&amp;$C$12&amp;" years:"</f>
        <v>With a holding period of 5 years:</v>
      </c>
      <c r="F42" s="54"/>
      <c r="G42" s="54"/>
      <c r="H42" s="54"/>
      <c r="I42" s="54"/>
      <c r="J42" s="54"/>
      <c r="K42" s="54"/>
      <c r="L42" s="54"/>
      <c r="M42" s="54"/>
      <c r="N42" s="54"/>
      <c r="O42" s="54"/>
      <c r="P42" s="54"/>
      <c r="Q42" s="54"/>
      <c r="R42" s="54"/>
      <c r="S42" s="54"/>
      <c r="T42" s="54"/>
      <c r="U42" s="54"/>
      <c r="V42" s="54"/>
      <c r="W42" s="54"/>
      <c r="X42" s="54"/>
      <c r="Y42" s="28"/>
    </row>
    <row r="43" spans="2:37" ht="15" customHeight="1" x14ac:dyDescent="0.35">
      <c r="B43" t="s">
        <v>61</v>
      </c>
      <c r="C43" s="36">
        <f>Inputs!K53</f>
        <v>0</v>
      </c>
      <c r="E43" s="157" t="s">
        <v>201</v>
      </c>
      <c r="F43" s="157"/>
      <c r="G43" s="157"/>
      <c r="H43" s="157" t="s">
        <v>200</v>
      </c>
      <c r="I43" s="157"/>
      <c r="J43" s="157"/>
      <c r="K43" s="157"/>
      <c r="L43" s="157"/>
      <c r="M43" s="156" t="s">
        <v>205</v>
      </c>
      <c r="N43" s="156"/>
      <c r="O43" s="156"/>
      <c r="P43" s="156"/>
      <c r="Q43" s="156"/>
      <c r="R43" s="156"/>
      <c r="S43" s="156" t="s">
        <v>204</v>
      </c>
      <c r="T43" s="156"/>
      <c r="U43" s="156"/>
      <c r="V43" s="156"/>
      <c r="W43" s="156"/>
      <c r="X43" s="156"/>
      <c r="Z43" s="156" t="s">
        <v>214</v>
      </c>
      <c r="AA43" s="157"/>
      <c r="AB43" s="157"/>
      <c r="AC43" s="157"/>
      <c r="AD43" s="157"/>
      <c r="AE43" s="157"/>
      <c r="AF43" s="156" t="s">
        <v>215</v>
      </c>
      <c r="AG43" s="157"/>
      <c r="AH43" s="157"/>
      <c r="AI43" s="157"/>
      <c r="AJ43" s="157"/>
      <c r="AK43" s="157"/>
    </row>
    <row r="44" spans="2:37" ht="15" customHeight="1" x14ac:dyDescent="0.35">
      <c r="B44" t="s">
        <v>126</v>
      </c>
      <c r="C44" s="3">
        <f>Inputs!K54</f>
        <v>0</v>
      </c>
      <c r="E44" s="157"/>
      <c r="F44" s="157"/>
      <c r="G44" s="157"/>
      <c r="H44" s="157"/>
      <c r="I44" s="157"/>
      <c r="J44" s="157"/>
      <c r="K44" s="157"/>
      <c r="L44" s="157"/>
      <c r="M44" s="156"/>
      <c r="N44" s="156"/>
      <c r="O44" s="156"/>
      <c r="P44" s="156"/>
      <c r="Q44" s="156"/>
      <c r="R44" s="156"/>
      <c r="S44" s="156"/>
      <c r="T44" s="156"/>
      <c r="U44" s="156"/>
      <c r="V44" s="156"/>
      <c r="W44" s="156"/>
      <c r="X44" s="156"/>
      <c r="Z44" s="157"/>
      <c r="AA44" s="157"/>
      <c r="AB44" s="157"/>
      <c r="AC44" s="157"/>
      <c r="AD44" s="157"/>
      <c r="AE44" s="157"/>
      <c r="AF44" s="157"/>
      <c r="AG44" s="157"/>
      <c r="AH44" s="157"/>
      <c r="AI44" s="157"/>
      <c r="AJ44" s="157"/>
      <c r="AK44" s="157"/>
    </row>
    <row r="45" spans="2:37" ht="15" customHeight="1" x14ac:dyDescent="0.35">
      <c r="B45" t="s">
        <v>158</v>
      </c>
      <c r="C45" s="3">
        <f>Inputs!K55</f>
        <v>0</v>
      </c>
      <c r="E45" s="157"/>
      <c r="F45" s="157"/>
      <c r="G45" s="157"/>
      <c r="H45" s="157"/>
      <c r="I45" s="157"/>
      <c r="J45" s="157"/>
      <c r="K45" s="157"/>
      <c r="L45" s="157"/>
      <c r="M45" s="156"/>
      <c r="N45" s="156"/>
      <c r="O45" s="156"/>
      <c r="P45" s="156"/>
      <c r="Q45" s="156"/>
      <c r="R45" s="156"/>
      <c r="S45" s="156"/>
      <c r="T45" s="156"/>
      <c r="U45" s="156"/>
      <c r="V45" s="156"/>
      <c r="W45" s="156"/>
      <c r="X45" s="156"/>
      <c r="Z45" s="157"/>
      <c r="AA45" s="157"/>
      <c r="AB45" s="157"/>
      <c r="AC45" s="157"/>
      <c r="AD45" s="157"/>
      <c r="AE45" s="157"/>
      <c r="AF45" s="157"/>
      <c r="AG45" s="157"/>
      <c r="AH45" s="157"/>
      <c r="AI45" s="157"/>
      <c r="AJ45" s="157"/>
      <c r="AK45" s="157"/>
    </row>
    <row r="46" spans="2:37" ht="15" customHeight="1" x14ac:dyDescent="0.35">
      <c r="B46" t="s">
        <v>157</v>
      </c>
      <c r="C46" s="136">
        <f>Inputs!K56</f>
        <v>0</v>
      </c>
      <c r="E46" s="159">
        <f>'RE Calculations'!H190</f>
        <v>99.999999999999986</v>
      </c>
      <c r="F46" s="159"/>
      <c r="G46" s="159"/>
      <c r="H46" s="160">
        <f>'RE Calculations'!H191</f>
        <v>0</v>
      </c>
      <c r="I46" s="160"/>
      <c r="J46" s="160"/>
      <c r="K46" s="160"/>
      <c r="L46" s="160"/>
      <c r="M46" s="159">
        <f>'RE Calculations'!H192</f>
        <v>0</v>
      </c>
      <c r="N46" s="159"/>
      <c r="O46" s="159"/>
      <c r="P46" s="159"/>
      <c r="Q46" s="159"/>
      <c r="R46" s="159"/>
      <c r="S46" s="160">
        <f>'RE Calculations'!H193</f>
        <v>499.99999999999994</v>
      </c>
      <c r="T46" s="160"/>
      <c r="U46" s="160"/>
      <c r="V46" s="160"/>
      <c r="W46" s="160"/>
      <c r="X46" s="160"/>
      <c r="Z46" s="158">
        <f>'RE Calculations'!H206</f>
        <v>0</v>
      </c>
      <c r="AA46" s="158"/>
      <c r="AB46" s="158"/>
      <c r="AC46" s="158"/>
      <c r="AD46" s="158"/>
      <c r="AE46" s="158"/>
      <c r="AF46" s="154">
        <f>'RE Calculations'!H207</f>
        <v>0</v>
      </c>
      <c r="AG46" s="154"/>
      <c r="AH46" s="154"/>
      <c r="AI46" s="154"/>
      <c r="AJ46" s="154"/>
      <c r="AK46" s="154"/>
    </row>
    <row r="47" spans="2:37" ht="15" customHeight="1" x14ac:dyDescent="0.35">
      <c r="B47" t="s">
        <v>151</v>
      </c>
      <c r="C47" s="56">
        <f>Inputs!K57</f>
        <v>0</v>
      </c>
      <c r="E47" s="159"/>
      <c r="F47" s="159"/>
      <c r="G47" s="159"/>
      <c r="H47" s="160"/>
      <c r="I47" s="160"/>
      <c r="J47" s="160"/>
      <c r="K47" s="160"/>
      <c r="L47" s="160"/>
      <c r="M47" s="159"/>
      <c r="N47" s="159"/>
      <c r="O47" s="159"/>
      <c r="P47" s="159"/>
      <c r="Q47" s="159"/>
      <c r="R47" s="159"/>
      <c r="S47" s="160"/>
      <c r="T47" s="160"/>
      <c r="U47" s="160"/>
      <c r="V47" s="160"/>
      <c r="W47" s="160"/>
      <c r="X47" s="160"/>
      <c r="Z47" s="158"/>
      <c r="AA47" s="158"/>
      <c r="AB47" s="158"/>
      <c r="AC47" s="158"/>
      <c r="AD47" s="158"/>
      <c r="AE47" s="158"/>
      <c r="AF47" s="154"/>
      <c r="AG47" s="154"/>
      <c r="AH47" s="154"/>
      <c r="AI47" s="154"/>
      <c r="AJ47" s="154"/>
      <c r="AK47" s="154"/>
    </row>
    <row r="48" spans="2:37" ht="15" customHeight="1" x14ac:dyDescent="0.35"/>
    <row r="50" spans="26:80" x14ac:dyDescent="0.35">
      <c r="BM50" s="73"/>
      <c r="BN50" s="73"/>
      <c r="BO50" s="73"/>
      <c r="BP50" s="73"/>
      <c r="BQ50" s="73"/>
      <c r="BR50" s="73"/>
      <c r="BS50" s="73"/>
      <c r="BT50" s="73"/>
      <c r="BU50" s="73"/>
      <c r="BV50" s="73"/>
      <c r="BW50" s="73"/>
      <c r="BX50" s="73"/>
      <c r="BY50" s="73"/>
      <c r="BZ50" s="73"/>
      <c r="CA50" s="73"/>
      <c r="CB50" s="73"/>
    </row>
    <row r="51" spans="26:80" x14ac:dyDescent="0.35">
      <c r="Z51" s="2" t="s">
        <v>255</v>
      </c>
      <c r="AF51" s="2" t="s">
        <v>256</v>
      </c>
      <c r="BK51" s="2" t="s">
        <v>255</v>
      </c>
      <c r="BQ51" s="2" t="s">
        <v>256</v>
      </c>
      <c r="BR51" s="73"/>
      <c r="BS51" s="73"/>
      <c r="BT51" s="73"/>
      <c r="BU51" s="73"/>
      <c r="BV51" s="73"/>
      <c r="BW51" s="73"/>
      <c r="BX51" s="73"/>
      <c r="BY51" s="73"/>
      <c r="BZ51" s="73"/>
      <c r="CA51" s="73"/>
      <c r="CB51" s="73"/>
    </row>
    <row r="52" spans="26:80" x14ac:dyDescent="0.35">
      <c r="Z52" t="s">
        <v>231</v>
      </c>
      <c r="AF52" t="s">
        <v>223</v>
      </c>
      <c r="BK52" s="24" t="s">
        <v>235</v>
      </c>
    </row>
    <row r="53" spans="26:80" x14ac:dyDescent="0.35">
      <c r="Z53" t="s">
        <v>232</v>
      </c>
      <c r="AF53" t="s">
        <v>224</v>
      </c>
      <c r="BK53" t="s">
        <v>47</v>
      </c>
      <c r="BQ53" t="s">
        <v>240</v>
      </c>
    </row>
    <row r="54" spans="26:80" x14ac:dyDescent="0.35">
      <c r="Z54" t="s">
        <v>297</v>
      </c>
      <c r="AF54" t="s">
        <v>225</v>
      </c>
      <c r="BK54" t="s">
        <v>236</v>
      </c>
      <c r="BQ54" t="s">
        <v>241</v>
      </c>
    </row>
    <row r="55" spans="26:80" x14ac:dyDescent="0.35">
      <c r="Z55" t="s">
        <v>298</v>
      </c>
      <c r="AF55" t="s">
        <v>222</v>
      </c>
      <c r="BK55" t="s">
        <v>237</v>
      </c>
      <c r="BQ55" t="s">
        <v>243</v>
      </c>
    </row>
    <row r="56" spans="26:80" x14ac:dyDescent="0.35">
      <c r="Z56" t="s">
        <v>299</v>
      </c>
      <c r="AF56" t="s">
        <v>226</v>
      </c>
      <c r="BK56" s="24" t="s">
        <v>234</v>
      </c>
    </row>
    <row r="57" spans="26:80" x14ac:dyDescent="0.35">
      <c r="Z57" t="s">
        <v>300</v>
      </c>
      <c r="AF57" t="s">
        <v>221</v>
      </c>
      <c r="BK57" t="s">
        <v>47</v>
      </c>
      <c r="BQ57" t="s">
        <v>244</v>
      </c>
    </row>
    <row r="58" spans="26:80" x14ac:dyDescent="0.35">
      <c r="Z58" t="s">
        <v>305</v>
      </c>
      <c r="AF58" t="s">
        <v>217</v>
      </c>
      <c r="BK58" t="s">
        <v>236</v>
      </c>
      <c r="BQ58" t="s">
        <v>245</v>
      </c>
    </row>
    <row r="59" spans="26:80" x14ac:dyDescent="0.35">
      <c r="Z59" t="s">
        <v>252</v>
      </c>
      <c r="AF59" t="s">
        <v>218</v>
      </c>
      <c r="BK59" t="s">
        <v>237</v>
      </c>
      <c r="BQ59" t="s">
        <v>246</v>
      </c>
    </row>
    <row r="60" spans="26:80" x14ac:dyDescent="0.35">
      <c r="Z60" t="s">
        <v>253</v>
      </c>
      <c r="AF60" t="s">
        <v>219</v>
      </c>
    </row>
    <row r="61" spans="26:80" x14ac:dyDescent="0.35">
      <c r="Z61" t="s">
        <v>254</v>
      </c>
      <c r="AF61" t="s">
        <v>220</v>
      </c>
    </row>
  </sheetData>
  <mergeCells count="83">
    <mergeCell ref="CE27:CJ28"/>
    <mergeCell ref="CK27:CP28"/>
    <mergeCell ref="CQ27:CV28"/>
    <mergeCell ref="CE29:CJ30"/>
    <mergeCell ref="CK29:CP30"/>
    <mergeCell ref="CQ29:CV30"/>
    <mergeCell ref="CE22:CJ23"/>
    <mergeCell ref="CK22:CP23"/>
    <mergeCell ref="CQ22:CV23"/>
    <mergeCell ref="CE24:CJ25"/>
    <mergeCell ref="CK24:CP25"/>
    <mergeCell ref="CQ24:CV25"/>
    <mergeCell ref="CR14:CV14"/>
    <mergeCell ref="CR15:CV15"/>
    <mergeCell ref="CR16:CV16"/>
    <mergeCell ref="CR18:CV18"/>
    <mergeCell ref="CR19:CV19"/>
    <mergeCell ref="CR8:CV8"/>
    <mergeCell ref="CR9:CV9"/>
    <mergeCell ref="CR10:CV10"/>
    <mergeCell ref="CR11:CV11"/>
    <mergeCell ref="CR13:CV13"/>
    <mergeCell ref="BX13:CB13"/>
    <mergeCell ref="BX11:CB11"/>
    <mergeCell ref="BX10:CB10"/>
    <mergeCell ref="BX9:CB9"/>
    <mergeCell ref="BX8:CB8"/>
    <mergeCell ref="BX19:CB19"/>
    <mergeCell ref="BX18:CB18"/>
    <mergeCell ref="BX16:CB16"/>
    <mergeCell ref="BX15:CB15"/>
    <mergeCell ref="BX14:CB14"/>
    <mergeCell ref="BW29:CB30"/>
    <mergeCell ref="BK24:BP25"/>
    <mergeCell ref="BQ24:BV25"/>
    <mergeCell ref="BW24:CB25"/>
    <mergeCell ref="BW22:CB23"/>
    <mergeCell ref="BW27:CB28"/>
    <mergeCell ref="BQ27:BV28"/>
    <mergeCell ref="BK27:BP28"/>
    <mergeCell ref="BK22:BP23"/>
    <mergeCell ref="BQ22:BV23"/>
    <mergeCell ref="BK29:BP30"/>
    <mergeCell ref="BQ29:BV30"/>
    <mergeCell ref="BK32:BQ32"/>
    <mergeCell ref="E46:G47"/>
    <mergeCell ref="E43:G45"/>
    <mergeCell ref="E6:I6"/>
    <mergeCell ref="S43:X45"/>
    <mergeCell ref="S46:X47"/>
    <mergeCell ref="M43:R45"/>
    <mergeCell ref="M46:R47"/>
    <mergeCell ref="H46:L47"/>
    <mergeCell ref="H43:L45"/>
    <mergeCell ref="AM6:AQ6"/>
    <mergeCell ref="AF7:AK9"/>
    <mergeCell ref="Z7:AE9"/>
    <mergeCell ref="AF10:AK11"/>
    <mergeCell ref="Z10:AE11"/>
    <mergeCell ref="Z13:AE15"/>
    <mergeCell ref="AF13:AK15"/>
    <mergeCell ref="Z16:AE17"/>
    <mergeCell ref="AF16:AK17"/>
    <mergeCell ref="Z19:AE21"/>
    <mergeCell ref="AF19:AK21"/>
    <mergeCell ref="Z22:AE23"/>
    <mergeCell ref="AF22:AK23"/>
    <mergeCell ref="Z25:AE27"/>
    <mergeCell ref="AF25:AK27"/>
    <mergeCell ref="Z28:AE29"/>
    <mergeCell ref="AF28:AK29"/>
    <mergeCell ref="Z31:AE33"/>
    <mergeCell ref="AF31:AK33"/>
    <mergeCell ref="Z34:AE35"/>
    <mergeCell ref="AF34:AK35"/>
    <mergeCell ref="Z37:AE39"/>
    <mergeCell ref="AF37:AK39"/>
    <mergeCell ref="Z40:AE41"/>
    <mergeCell ref="AF40:AK41"/>
    <mergeCell ref="Z43:AE45"/>
    <mergeCell ref="AF43:AK45"/>
    <mergeCell ref="Z46:AE47"/>
    <mergeCell ref="AF46:AK47"/>
  </mergeCells>
  <dataValidations count="1">
    <dataValidation type="list" allowBlank="1" showInputMessage="1" showErrorMessage="1" sqref="E6 B2 AM6 BK32" xr:uid="{4403696A-C5B0-4416-B07E-716D07D74F97}">
      <formula1>"Principal &amp; Interest Loan (P&amp;I), Interest Only Loan (IO)"</formula1>
    </dataValidation>
  </dataValidations>
  <printOptions horizontalCentered="1" verticalCentered="1"/>
  <pageMargins left="0.19685039370078741" right="0.19685039370078741" top="0.19685039370078741" bottom="0.19685039370078741" header="0.31496062992125984" footer="0.31496062992125984"/>
  <pageSetup paperSize="9" scale="84"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6A19E-4BE4-4D05-A28C-63EDE358CC2C}">
  <sheetPr>
    <tabColor theme="3"/>
  </sheetPr>
  <dimension ref="A1:P792"/>
  <sheetViews>
    <sheetView showGridLines="0" zoomScale="85" zoomScaleNormal="85" workbookViewId="0">
      <pane ySplit="1" topLeftCell="A2" activePane="bottomLeft" state="frozen"/>
      <selection pane="bottomLeft"/>
    </sheetView>
  </sheetViews>
  <sheetFormatPr defaultRowHeight="14.5" x14ac:dyDescent="0.35"/>
  <cols>
    <col min="1" max="1" width="9.1796875" customWidth="1"/>
    <col min="2" max="2" width="35.1796875" customWidth="1"/>
    <col min="3" max="3" width="16.26953125" customWidth="1"/>
    <col min="4" max="4" width="13.54296875" customWidth="1"/>
    <col min="5" max="5" width="15.1796875" customWidth="1"/>
    <col min="6" max="6" width="10.1796875" customWidth="1"/>
    <col min="7" max="7" width="10.81640625" bestFit="1" customWidth="1"/>
    <col min="8" max="8" width="11.26953125" bestFit="1" customWidth="1"/>
    <col min="9" max="9" width="11.453125" customWidth="1"/>
    <col min="10" max="12" width="9.1796875" customWidth="1"/>
    <col min="13" max="13" width="10.1796875" customWidth="1"/>
  </cols>
  <sheetData>
    <row r="1" spans="1:15" x14ac:dyDescent="0.35">
      <c r="A1" s="43"/>
      <c r="B1" s="51" t="s">
        <v>312</v>
      </c>
      <c r="C1" s="43"/>
      <c r="D1" s="43"/>
      <c r="E1" s="43"/>
      <c r="F1" s="43"/>
      <c r="G1" s="43"/>
      <c r="H1" s="43"/>
      <c r="I1" s="43"/>
      <c r="J1" s="43"/>
      <c r="K1" s="43"/>
      <c r="L1" s="43"/>
      <c r="M1" s="43"/>
      <c r="N1" s="43"/>
      <c r="O1" s="43"/>
    </row>
    <row r="2" spans="1:15" ht="15" thickBot="1" x14ac:dyDescent="0.4">
      <c r="C2" s="5"/>
      <c r="D2" s="6"/>
    </row>
    <row r="3" spans="1:15" ht="15.5" x14ac:dyDescent="0.35">
      <c r="B3" s="13" t="s">
        <v>117</v>
      </c>
      <c r="C3" s="38"/>
      <c r="D3" s="6"/>
    </row>
    <row r="4" spans="1:15" x14ac:dyDescent="0.35">
      <c r="B4" s="18" t="s">
        <v>84</v>
      </c>
      <c r="C4" s="39">
        <f>(Inputs!$C$12*_xlfn.XLOOKUP(Inputs!$D$12,'RE Calculations'!$B$12:$B$16,'RE Calculations'!$C$12:$C$16,"Error - Check Unit Input",0)+Inputs!$C$13*_xlfn.XLOOKUP(Inputs!$D$13,'RE Calculations'!$B$12:$B$16,'RE Calculations'!$C$12:$C$16,"Error - Check Unit Input",0))/_xlfn.XLOOKUP(B4,'RE Calculations'!$B$12:$B$16,'RE Calculations'!$C$12:$C$16,"Error - Check Unit Input",0)</f>
        <v>1980.7692307692307</v>
      </c>
      <c r="D4" s="6"/>
      <c r="J4" s="122"/>
    </row>
    <row r="5" spans="1:15" x14ac:dyDescent="0.35">
      <c r="B5" s="18" t="s">
        <v>110</v>
      </c>
      <c r="C5" s="39">
        <f>(Inputs!$C$12*_xlfn.XLOOKUP(Inputs!$D$12,'RE Calculations'!$B$12:$B$16,'RE Calculations'!$C$12:$C$16,"Error - Check Unit Input",0)+Inputs!$C$13*_xlfn.XLOOKUP(Inputs!$D$13,'RE Calculations'!$B$12:$B$16,'RE Calculations'!$C$12:$C$16,"Error - Check Unit Input",0))/_xlfn.XLOOKUP(B5,'RE Calculations'!$B$12:$B$16,'RE Calculations'!$C$12:$C$16,"Error - Check Unit Input",0)</f>
        <v>3961.5384615384614</v>
      </c>
      <c r="D5" s="6"/>
    </row>
    <row r="6" spans="1:15" x14ac:dyDescent="0.35">
      <c r="B6" s="18" t="s">
        <v>81</v>
      </c>
      <c r="C6" s="39">
        <f>(Inputs!$C$12*_xlfn.XLOOKUP(Inputs!$D$12,'RE Calculations'!$B$12:$B$16,'RE Calculations'!$C$12:$C$16,"Error - Check Unit Input",0)+Inputs!$C$13*_xlfn.XLOOKUP(Inputs!$D$13,'RE Calculations'!$B$12:$B$16,'RE Calculations'!$C$12:$C$16,"Error - Check Unit Input",0))/_xlfn.XLOOKUP(B6,'RE Calculations'!$B$12:$B$16,'RE Calculations'!$C$12:$C$16,"Error - Check Unit Input",0)</f>
        <v>8583.3333333333339</v>
      </c>
      <c r="D6" s="6"/>
      <c r="J6" s="1"/>
    </row>
    <row r="7" spans="1:15" x14ac:dyDescent="0.35">
      <c r="B7" s="18" t="s">
        <v>82</v>
      </c>
      <c r="C7" s="39">
        <f>(Inputs!$C$12*_xlfn.XLOOKUP(Inputs!$D$12,'RE Calculations'!$B$12:$B$16,'RE Calculations'!$C$12:$C$16,"Error - Check Unit Input",0)+Inputs!$C$13*_xlfn.XLOOKUP(Inputs!$D$13,'RE Calculations'!$B$12:$B$16,'RE Calculations'!$C$12:$C$16,"Error - Check Unit Input",0))/_xlfn.XLOOKUP(B7,'RE Calculations'!$B$12:$B$16,'RE Calculations'!$C$12:$C$16,"Error - Check Unit Input",0)</f>
        <v>25750</v>
      </c>
      <c r="D7" s="6"/>
    </row>
    <row r="8" spans="1:15" ht="15" thickBot="1" x14ac:dyDescent="0.4">
      <c r="B8" s="19" t="s">
        <v>83</v>
      </c>
      <c r="C8" s="40">
        <f>(Inputs!$C$12*_xlfn.XLOOKUP(Inputs!$D$12,'RE Calculations'!$B$12:$B$16,'RE Calculations'!$C$12:$C$16,"Error - Check Unit Input",0)+Inputs!$C$13*_xlfn.XLOOKUP(Inputs!$D$13,'RE Calculations'!$B$12:$B$16,'RE Calculations'!$C$12:$C$16,"Error - Check Unit Input",0))/_xlfn.XLOOKUP(B8,'RE Calculations'!$B$12:$B$16,'RE Calculations'!$C$12:$C$16,"Error - Check Unit Input",0)</f>
        <v>103000</v>
      </c>
      <c r="D8" s="6"/>
    </row>
    <row r="9" spans="1:15" ht="15" thickBot="1" x14ac:dyDescent="0.4">
      <c r="C9" s="5"/>
      <c r="D9" s="6"/>
    </row>
    <row r="10" spans="1:15" ht="15.5" x14ac:dyDescent="0.35">
      <c r="B10" s="13" t="s">
        <v>172</v>
      </c>
      <c r="C10" s="15"/>
      <c r="D10" s="6"/>
    </row>
    <row r="11" spans="1:15" x14ac:dyDescent="0.35">
      <c r="B11" s="62" t="s">
        <v>80</v>
      </c>
      <c r="C11" s="63" t="s">
        <v>79</v>
      </c>
      <c r="D11" s="6"/>
    </row>
    <row r="12" spans="1:15" x14ac:dyDescent="0.35">
      <c r="B12" s="58" t="s">
        <v>84</v>
      </c>
      <c r="C12" s="59">
        <v>52</v>
      </c>
      <c r="D12" s="6"/>
    </row>
    <row r="13" spans="1:15" x14ac:dyDescent="0.35">
      <c r="B13" s="58" t="s">
        <v>110</v>
      </c>
      <c r="C13" s="59">
        <v>26</v>
      </c>
      <c r="D13" s="6"/>
      <c r="J13" s="122"/>
    </row>
    <row r="14" spans="1:15" x14ac:dyDescent="0.35">
      <c r="B14" s="58" t="s">
        <v>81</v>
      </c>
      <c r="C14" s="59">
        <v>12</v>
      </c>
      <c r="D14" s="6"/>
      <c r="J14" s="1"/>
    </row>
    <row r="15" spans="1:15" x14ac:dyDescent="0.35">
      <c r="B15" s="58" t="s">
        <v>82</v>
      </c>
      <c r="C15" s="59">
        <v>4</v>
      </c>
      <c r="D15" s="6"/>
      <c r="J15" s="1"/>
      <c r="K15" s="11"/>
      <c r="L15" s="11"/>
    </row>
    <row r="16" spans="1:15" ht="15" thickBot="1" x14ac:dyDescent="0.4">
      <c r="B16" s="60" t="s">
        <v>83</v>
      </c>
      <c r="C16" s="61">
        <v>1</v>
      </c>
      <c r="D16" s="6"/>
      <c r="J16" s="1"/>
      <c r="K16" s="11"/>
      <c r="L16" s="11"/>
    </row>
    <row r="17" spans="2:16" ht="15" thickBot="1" x14ac:dyDescent="0.4">
      <c r="C17" s="5"/>
      <c r="D17" s="6"/>
      <c r="J17" s="1"/>
      <c r="K17" s="11"/>
      <c r="L17" s="11"/>
    </row>
    <row r="18" spans="2:16" x14ac:dyDescent="0.35">
      <c r="B18" s="25" t="s">
        <v>186</v>
      </c>
      <c r="C18" s="14"/>
      <c r="D18" s="14"/>
      <c r="E18" s="14"/>
      <c r="F18" s="14"/>
      <c r="G18" s="14"/>
      <c r="H18" s="14"/>
      <c r="I18" s="14"/>
      <c r="J18" s="14"/>
      <c r="K18" s="14"/>
      <c r="L18" s="14"/>
      <c r="M18" s="14"/>
      <c r="N18" s="14"/>
      <c r="O18" s="14"/>
      <c r="P18" s="15"/>
    </row>
    <row r="19" spans="2:16" x14ac:dyDescent="0.35">
      <c r="B19" s="16" t="s">
        <v>296</v>
      </c>
      <c r="K19" s="2" t="s">
        <v>187</v>
      </c>
      <c r="P19" s="17"/>
    </row>
    <row r="20" spans="2:16" x14ac:dyDescent="0.35">
      <c r="B20" s="62" t="str">
        <f>'Analysis Summary'!$E$6</f>
        <v>Principal &amp; Interest Loan (P&amp;I)</v>
      </c>
      <c r="C20" s="24"/>
      <c r="I20" s="86">
        <f>_xlfn.MAXIFS(D22:E73,D22:E73,"&gt;0")</f>
        <v>2999.9999999999995</v>
      </c>
      <c r="K20" s="2" t="str">
        <f>'Analysis Summary'!$E$6</f>
        <v>Principal &amp; Interest Loan (P&amp;I)</v>
      </c>
      <c r="O20" s="86">
        <f>_xlfn.XLOOKUP(Inputs!$K$10,'RE Calculations'!$K$22:$K$73,'RE Calculations'!$N$22:$N$73)</f>
        <v>99.999999999999986</v>
      </c>
      <c r="P20" s="17"/>
    </row>
    <row r="21" spans="2:16" ht="29" x14ac:dyDescent="0.35">
      <c r="B21" s="75" t="s">
        <v>19</v>
      </c>
      <c r="C21" s="79" t="s">
        <v>178</v>
      </c>
      <c r="D21" s="79" t="s">
        <v>179</v>
      </c>
      <c r="E21" s="79" t="s">
        <v>180</v>
      </c>
      <c r="F21" s="79" t="s">
        <v>28</v>
      </c>
      <c r="G21" s="79" t="s">
        <v>183</v>
      </c>
      <c r="H21" s="79" t="s">
        <v>185</v>
      </c>
      <c r="I21" s="79" t="s">
        <v>125</v>
      </c>
      <c r="K21" s="78" t="s">
        <v>19</v>
      </c>
      <c r="L21" s="79" t="s">
        <v>27</v>
      </c>
      <c r="M21" s="79" t="s">
        <v>184</v>
      </c>
      <c r="N21" s="79" t="s">
        <v>192</v>
      </c>
      <c r="O21" s="79" t="s">
        <v>125</v>
      </c>
      <c r="P21" s="17"/>
    </row>
    <row r="22" spans="2:16" x14ac:dyDescent="0.35">
      <c r="B22" s="76">
        <v>0</v>
      </c>
      <c r="C22" s="8">
        <f>IF($B$20=Inputs!$B$18,IF($B22&lt;='Mortgage Calculators (By Year)'!$C$9,SUM('Mortgage Calculators (By Year)'!C$22:C22),NA()),IF($B22&lt;='Mortgage Calculators (By Year)'!$J$12,SUM('Mortgage Calculators (By Year)'!J$22:J22),NA()))</f>
        <v>0</v>
      </c>
      <c r="D22" s="8">
        <f>IF($B$20=Inputs!$B$18,IF($B22&lt;='Mortgage Calculators (By Year)'!$C$9,SUM('Mortgage Calculators (By Year)'!D$22:D22),NA()),IF($B22&lt;='Mortgage Calculators (By Year)'!$J$12,SUM('Mortgage Calculators (By Year)'!K$22:K22),NA()))</f>
        <v>0</v>
      </c>
      <c r="E22" s="8">
        <f>IF($B$20=Inputs!$B$18,IF($B22&lt;='Mortgage Calculators (By Year)'!$C$9,SUM('Mortgage Calculators (By Year)'!E$22:E22),NA()),IF($B22&lt;='Mortgage Calculators (By Year)'!$J$12,SUM('Mortgage Calculators (By Year)'!L$22:L22),NA()))</f>
        <v>0</v>
      </c>
      <c r="F22" s="8">
        <f>IF($B$20=Inputs!$B$18,IF($B22&lt;='Mortgage Calculators (By Year)'!$C$9,'Mortgage Calculators (By Year)'!F22,NA()),IF($B22&lt;='Mortgage Calculators (By Year)'!$J$12,'Mortgage Calculators (By Year)'!M22,NA()))</f>
        <v>0</v>
      </c>
      <c r="G22" s="30"/>
      <c r="H22" s="30"/>
      <c r="I22" s="8" t="e">
        <f>IF(B22=ROUND(Inputs!$K$10,0),$I$20,NA())</f>
        <v>#N/A</v>
      </c>
      <c r="K22" s="78">
        <v>0</v>
      </c>
      <c r="L22" s="8">
        <f>IF($K$20=Inputs!$B$18,IF($K22&lt;='Mortgage Calculators (By Year)'!$C$9,'Mortgage Calculators (By Year)'!D22,NA()),IF($K22&lt;='Mortgage Calculators (By Year)'!$J$12,'Mortgage Calculators (By Year)'!K22,NA()))</f>
        <v>0</v>
      </c>
      <c r="M22" s="8">
        <f>IF($K$20=Inputs!$B$18,IF($K22&lt;='Mortgage Calculators (By Year)'!$C$9,'Mortgage Calculators (By Year)'!E22,NA()),IF($K22&lt;='Mortgage Calculators (By Year)'!$J$12,'Mortgage Calculators (By Year)'!L22,NA()))</f>
        <v>0</v>
      </c>
      <c r="N22" s="8">
        <f t="shared" ref="N22" si="0">L22+M22</f>
        <v>0</v>
      </c>
      <c r="O22" s="8" t="e">
        <f>IF(K22=ROUND(Inputs!$K$10,0),$O$20,NA())</f>
        <v>#N/A</v>
      </c>
      <c r="P22" s="17"/>
    </row>
    <row r="23" spans="2:16" x14ac:dyDescent="0.35">
      <c r="B23" s="76">
        <v>1</v>
      </c>
      <c r="C23" s="8">
        <f>IF($B$20=Inputs!$B$18,IF($B23&lt;='Mortgage Calculators (By Year)'!$C$9,SUM('Mortgage Calculators (By Year)'!C$22:C23),NA()),IF($B23&lt;='Mortgage Calculators (By Year)'!$J$12,SUM('Mortgage Calculators (By Year)'!J$22:J23),NA()))</f>
        <v>0</v>
      </c>
      <c r="D23" s="8">
        <f>IF($B$20=Inputs!$B$18,IF($B23&lt;='Mortgage Calculators (By Year)'!$C$9,SUM('Mortgage Calculators (By Year)'!D$22:D23),NA()),IF($B23&lt;='Mortgage Calculators (By Year)'!$J$12,SUM('Mortgage Calculators (By Year)'!K$22:K23),NA()))</f>
        <v>0</v>
      </c>
      <c r="E23" s="8">
        <f>IF($B$20=Inputs!$B$18,IF($B23&lt;='Mortgage Calculators (By Year)'!$C$9,SUM('Mortgage Calculators (By Year)'!E$22:E23),NA()),IF($B23&lt;='Mortgage Calculators (By Year)'!$J$12,SUM('Mortgage Calculators (By Year)'!L$22:L23),NA()))</f>
        <v>99.999999999999986</v>
      </c>
      <c r="F23" s="8">
        <f>IF($B$20=Inputs!$B$18,IF($B23&lt;='Mortgage Calculators (By Year)'!$C$9,'Mortgage Calculators (By Year)'!F23,NA()),IF($B23&lt;='Mortgage Calculators (By Year)'!$J$12,'Mortgage Calculators (By Year)'!M23,NA()))</f>
        <v>0</v>
      </c>
      <c r="G23" s="8" t="str">
        <f>IF($B$20=Inputs!$B$18,IF($B23='Mortgage Calculators (By Year)'!$C$9,D23,""),IF($B23='Mortgage Calculators (By Year)'!$J$12,D23,""))</f>
        <v/>
      </c>
      <c r="H23" s="8" t="str">
        <f>IF($B$20=Inputs!$B$18,IF($B23='Mortgage Calculators (By Year)'!$C$9,E23,""),IF($B23='Mortgage Calculators (By Year)'!$J$12,E23,""))</f>
        <v/>
      </c>
      <c r="I23" s="8" t="e">
        <f>IF(B23=ROUND(Inputs!$K$10,0),$I$20,NA())</f>
        <v>#N/A</v>
      </c>
      <c r="K23" s="12">
        <v>1</v>
      </c>
      <c r="L23" s="8">
        <f>IF($K$20=Inputs!$B$18,IF($K23&lt;='Mortgage Calculators (By Year)'!$C$9,'Mortgage Calculators (By Year)'!D23,NA()),IF($K23&lt;='Mortgage Calculators (By Year)'!$J$12,'Mortgage Calculators (By Year)'!K23,NA()))</f>
        <v>0</v>
      </c>
      <c r="M23" s="8">
        <f>IF($K$20=Inputs!$B$18,IF($K23&lt;='Mortgage Calculators (By Year)'!$C$9,'Mortgage Calculators (By Year)'!E23,NA()),IF($K23&lt;='Mortgage Calculators (By Year)'!$J$12,'Mortgage Calculators (By Year)'!L23,NA()))</f>
        <v>99.999999999999986</v>
      </c>
      <c r="N23" s="8">
        <f>L23+M23</f>
        <v>99.999999999999986</v>
      </c>
      <c r="O23" s="8" t="e">
        <f>IF(K23=ROUND(Inputs!$K$10,0),$O$20,NA())</f>
        <v>#N/A</v>
      </c>
      <c r="P23" s="17"/>
    </row>
    <row r="24" spans="2:16" x14ac:dyDescent="0.35">
      <c r="B24" s="76">
        <v>2</v>
      </c>
      <c r="C24" s="8">
        <f>IF($B$20=Inputs!$B$18,IF($B24&lt;='Mortgage Calculators (By Year)'!$C$9,SUM('Mortgage Calculators (By Year)'!C$22:C24),NA()),IF($B24&lt;='Mortgage Calculators (By Year)'!$J$12,SUM('Mortgage Calculators (By Year)'!J$22:J24),NA()))</f>
        <v>0</v>
      </c>
      <c r="D24" s="8">
        <f>IF($B$20=Inputs!$B$18,IF($B24&lt;='Mortgage Calculators (By Year)'!$C$9,SUM('Mortgage Calculators (By Year)'!D$22:D24),NA()),IF($B24&lt;='Mortgage Calculators (By Year)'!$J$12,SUM('Mortgage Calculators (By Year)'!K$22:K24),NA()))</f>
        <v>0</v>
      </c>
      <c r="E24" s="8">
        <f>IF($B$20=Inputs!$B$18,IF($B24&lt;='Mortgage Calculators (By Year)'!$C$9,SUM('Mortgage Calculators (By Year)'!E$22:E24),NA()),IF($B24&lt;='Mortgage Calculators (By Year)'!$J$12,SUM('Mortgage Calculators (By Year)'!L$22:L24),NA()))</f>
        <v>199.99999999999997</v>
      </c>
      <c r="F24" s="8">
        <f>IF($B$20=Inputs!$B$18,IF($B24&lt;='Mortgage Calculators (By Year)'!$C$9,'Mortgage Calculators (By Year)'!F24,NA()),IF($B24&lt;='Mortgage Calculators (By Year)'!$J$12,'Mortgage Calculators (By Year)'!M24,NA()))</f>
        <v>0</v>
      </c>
      <c r="G24" s="8" t="str">
        <f>IF($B$20=Inputs!$B$18,IF($B24='Mortgage Calculators (By Year)'!$C$9,D24,""),IF($B24='Mortgage Calculators (By Year)'!$J$12,D24,""))</f>
        <v/>
      </c>
      <c r="H24" s="8" t="str">
        <f>IF($B$20=Inputs!$B$18,IF($B24='Mortgage Calculators (By Year)'!$C$9,E24,""),IF($B24='Mortgage Calculators (By Year)'!$J$12,E24,""))</f>
        <v/>
      </c>
      <c r="I24" s="8" t="e">
        <f>IF(B24=ROUND(Inputs!$K$10,0),$I$20,NA())</f>
        <v>#N/A</v>
      </c>
      <c r="K24" s="12">
        <v>2</v>
      </c>
      <c r="L24" s="8">
        <f>IF($K$20=Inputs!$B$18,IF($K24&lt;='Mortgage Calculators (By Year)'!$C$9,'Mortgage Calculators (By Year)'!D24,NA()),IF($K24&lt;='Mortgage Calculators (By Year)'!$J$12,'Mortgage Calculators (By Year)'!K24,NA()))</f>
        <v>0</v>
      </c>
      <c r="M24" s="8">
        <f>IF($K$20=Inputs!$B$18,IF($K24&lt;='Mortgage Calculators (By Year)'!$C$9,'Mortgage Calculators (By Year)'!E24,NA()),IF($K24&lt;='Mortgage Calculators (By Year)'!$J$12,'Mortgage Calculators (By Year)'!L24,NA()))</f>
        <v>99.999999999999986</v>
      </c>
      <c r="N24" s="8">
        <f t="shared" ref="N24:N52" si="1">L24+M24</f>
        <v>99.999999999999986</v>
      </c>
      <c r="O24" s="8" t="e">
        <f>IF(K24=ROUND(Inputs!$K$10,0),$O$20,NA())</f>
        <v>#N/A</v>
      </c>
      <c r="P24" s="17"/>
    </row>
    <row r="25" spans="2:16" x14ac:dyDescent="0.35">
      <c r="B25" s="76">
        <v>3</v>
      </c>
      <c r="C25" s="8">
        <f>IF($B$20=Inputs!$B$18,IF($B25&lt;='Mortgage Calculators (By Year)'!$C$9,SUM('Mortgage Calculators (By Year)'!C$22:C25),NA()),IF($B25&lt;='Mortgage Calculators (By Year)'!$J$12,SUM('Mortgage Calculators (By Year)'!J$22:J25),NA()))</f>
        <v>0</v>
      </c>
      <c r="D25" s="8">
        <f>IF($B$20=Inputs!$B$18,IF($B25&lt;='Mortgage Calculators (By Year)'!$C$9,SUM('Mortgage Calculators (By Year)'!D$22:D25),NA()),IF($B25&lt;='Mortgage Calculators (By Year)'!$J$12,SUM('Mortgage Calculators (By Year)'!K$22:K25),NA()))</f>
        <v>0</v>
      </c>
      <c r="E25" s="8">
        <f>IF($B$20=Inputs!$B$18,IF($B25&lt;='Mortgage Calculators (By Year)'!$C$9,SUM('Mortgage Calculators (By Year)'!E$22:E25),NA()),IF($B25&lt;='Mortgage Calculators (By Year)'!$J$12,SUM('Mortgage Calculators (By Year)'!L$22:L25),NA()))</f>
        <v>299.99999999999994</v>
      </c>
      <c r="F25" s="8">
        <f>IF($B$20=Inputs!$B$18,IF($B25&lt;='Mortgage Calculators (By Year)'!$C$9,'Mortgage Calculators (By Year)'!F25,NA()),IF($B25&lt;='Mortgage Calculators (By Year)'!$J$12,'Mortgage Calculators (By Year)'!M25,NA()))</f>
        <v>0</v>
      </c>
      <c r="G25" s="8" t="str">
        <f>IF($B$20=Inputs!$B$18,IF($B25='Mortgage Calculators (By Year)'!$C$9,D25,""),IF($B25='Mortgage Calculators (By Year)'!$J$12,D25,""))</f>
        <v/>
      </c>
      <c r="H25" s="8" t="str">
        <f>IF($B$20=Inputs!$B$18,IF($B25='Mortgage Calculators (By Year)'!$C$9,E25,""),IF($B25='Mortgage Calculators (By Year)'!$J$12,E25,""))</f>
        <v/>
      </c>
      <c r="I25" s="8" t="e">
        <f>IF(B25=ROUND(Inputs!$K$10,0),$I$20,NA())</f>
        <v>#N/A</v>
      </c>
      <c r="K25" s="12">
        <v>3</v>
      </c>
      <c r="L25" s="8">
        <f>IF($K$20=Inputs!$B$18,IF($K25&lt;='Mortgage Calculators (By Year)'!$C$9,'Mortgage Calculators (By Year)'!D25,NA()),IF($K25&lt;='Mortgage Calculators (By Year)'!$J$12,'Mortgage Calculators (By Year)'!K25,NA()))</f>
        <v>0</v>
      </c>
      <c r="M25" s="8">
        <f>IF($K$20=Inputs!$B$18,IF($K25&lt;='Mortgage Calculators (By Year)'!$C$9,'Mortgage Calculators (By Year)'!E25,NA()),IF($K25&lt;='Mortgage Calculators (By Year)'!$J$12,'Mortgage Calculators (By Year)'!L25,NA()))</f>
        <v>99.999999999999986</v>
      </c>
      <c r="N25" s="8">
        <f t="shared" si="1"/>
        <v>99.999999999999986</v>
      </c>
      <c r="O25" s="8" t="e">
        <f>IF(K25=ROUND(Inputs!$K$10,0),$O$20,NA())</f>
        <v>#N/A</v>
      </c>
      <c r="P25" s="17"/>
    </row>
    <row r="26" spans="2:16" x14ac:dyDescent="0.35">
      <c r="B26" s="76">
        <v>4</v>
      </c>
      <c r="C26" s="8">
        <f>IF($B$20=Inputs!$B$18,IF($B26&lt;='Mortgage Calculators (By Year)'!$C$9,SUM('Mortgage Calculators (By Year)'!C$22:C26),NA()),IF($B26&lt;='Mortgage Calculators (By Year)'!$J$12,SUM('Mortgage Calculators (By Year)'!J$22:J26),NA()))</f>
        <v>0</v>
      </c>
      <c r="D26" s="8">
        <f>IF($B$20=Inputs!$B$18,IF($B26&lt;='Mortgage Calculators (By Year)'!$C$9,SUM('Mortgage Calculators (By Year)'!D$22:D26),NA()),IF($B26&lt;='Mortgage Calculators (By Year)'!$J$12,SUM('Mortgage Calculators (By Year)'!K$22:K26),NA()))</f>
        <v>0</v>
      </c>
      <c r="E26" s="8">
        <f>IF($B$20=Inputs!$B$18,IF($B26&lt;='Mortgage Calculators (By Year)'!$C$9,SUM('Mortgage Calculators (By Year)'!E$22:E26),NA()),IF($B26&lt;='Mortgage Calculators (By Year)'!$J$12,SUM('Mortgage Calculators (By Year)'!L$22:L26),NA()))</f>
        <v>399.99999999999994</v>
      </c>
      <c r="F26" s="8">
        <f>IF($B$20=Inputs!$B$18,IF($B26&lt;='Mortgage Calculators (By Year)'!$C$9,'Mortgage Calculators (By Year)'!F26,NA()),IF($B26&lt;='Mortgage Calculators (By Year)'!$J$12,'Mortgage Calculators (By Year)'!M26,NA()))</f>
        <v>0</v>
      </c>
      <c r="G26" s="8" t="str">
        <f>IF($B$20=Inputs!$B$18,IF($B26='Mortgage Calculators (By Year)'!$C$9,D26,""),IF($B26='Mortgage Calculators (By Year)'!$J$12,D26,""))</f>
        <v/>
      </c>
      <c r="H26" s="8" t="str">
        <f>IF($B$20=Inputs!$B$18,IF($B26='Mortgage Calculators (By Year)'!$C$9,E26,""),IF($B26='Mortgage Calculators (By Year)'!$J$12,E26,""))</f>
        <v/>
      </c>
      <c r="I26" s="8" t="e">
        <f>IF(B26=ROUND(Inputs!$K$10,0),$I$20,NA())</f>
        <v>#N/A</v>
      </c>
      <c r="K26" s="12">
        <v>4</v>
      </c>
      <c r="L26" s="8">
        <f>IF($K$20=Inputs!$B$18,IF($K26&lt;='Mortgage Calculators (By Year)'!$C$9,'Mortgage Calculators (By Year)'!D26,NA()),IF($K26&lt;='Mortgage Calculators (By Year)'!$J$12,'Mortgage Calculators (By Year)'!K26,NA()))</f>
        <v>0</v>
      </c>
      <c r="M26" s="8">
        <f>IF($K$20=Inputs!$B$18,IF($K26&lt;='Mortgage Calculators (By Year)'!$C$9,'Mortgage Calculators (By Year)'!E26,NA()),IF($K26&lt;='Mortgage Calculators (By Year)'!$J$12,'Mortgage Calculators (By Year)'!L26,NA()))</f>
        <v>99.999999999999986</v>
      </c>
      <c r="N26" s="8">
        <f t="shared" si="1"/>
        <v>99.999999999999986</v>
      </c>
      <c r="O26" s="8" t="e">
        <f>IF(K26=ROUND(Inputs!$K$10,0),$O$20,NA())</f>
        <v>#N/A</v>
      </c>
      <c r="P26" s="17"/>
    </row>
    <row r="27" spans="2:16" x14ac:dyDescent="0.35">
      <c r="B27" s="76">
        <v>5</v>
      </c>
      <c r="C27" s="8">
        <f>IF($B$20=Inputs!$B$18,IF($B27&lt;='Mortgage Calculators (By Year)'!$C$9,SUM('Mortgage Calculators (By Year)'!C$22:C27),NA()),IF($B27&lt;='Mortgage Calculators (By Year)'!$J$12,SUM('Mortgage Calculators (By Year)'!J$22:J27),NA()))</f>
        <v>0</v>
      </c>
      <c r="D27" s="8">
        <f>IF($B$20=Inputs!$B$18,IF($B27&lt;='Mortgage Calculators (By Year)'!$C$9,SUM('Mortgage Calculators (By Year)'!D$22:D27),NA()),IF($B27&lt;='Mortgage Calculators (By Year)'!$J$12,SUM('Mortgage Calculators (By Year)'!K$22:K27),NA()))</f>
        <v>0</v>
      </c>
      <c r="E27" s="8">
        <f>IF($B$20=Inputs!$B$18,IF($B27&lt;='Mortgage Calculators (By Year)'!$C$9,SUM('Mortgage Calculators (By Year)'!E$22:E27),NA()),IF($B27&lt;='Mortgage Calculators (By Year)'!$J$12,SUM('Mortgage Calculators (By Year)'!L$22:L27),NA()))</f>
        <v>499.99999999999994</v>
      </c>
      <c r="F27" s="8">
        <f>IF($B$20=Inputs!$B$18,IF($B27&lt;='Mortgage Calculators (By Year)'!$C$9,'Mortgage Calculators (By Year)'!F27,NA()),IF($B27&lt;='Mortgage Calculators (By Year)'!$J$12,'Mortgage Calculators (By Year)'!M27,NA()))</f>
        <v>0</v>
      </c>
      <c r="G27" s="8" t="str">
        <f>IF($B$20=Inputs!$B$18,IF($B27='Mortgage Calculators (By Year)'!$C$9,D27,""),IF($B27='Mortgage Calculators (By Year)'!$J$12,D27,""))</f>
        <v/>
      </c>
      <c r="H27" s="8" t="str">
        <f>IF($B$20=Inputs!$B$18,IF($B27='Mortgage Calculators (By Year)'!$C$9,E27,""),IF($B27='Mortgage Calculators (By Year)'!$J$12,E27,""))</f>
        <v/>
      </c>
      <c r="I27" s="8">
        <f>IF(B27=ROUND(Inputs!$K$10,0),$I$20,NA())</f>
        <v>2999.9999999999995</v>
      </c>
      <c r="K27" s="12">
        <v>5</v>
      </c>
      <c r="L27" s="8">
        <f>IF($K$20=Inputs!$B$18,IF($K27&lt;='Mortgage Calculators (By Year)'!$C$9,'Mortgage Calculators (By Year)'!D27,NA()),IF($K27&lt;='Mortgage Calculators (By Year)'!$J$12,'Mortgage Calculators (By Year)'!K27,NA()))</f>
        <v>0</v>
      </c>
      <c r="M27" s="8">
        <f>IF($K$20=Inputs!$B$18,IF($K27&lt;='Mortgage Calculators (By Year)'!$C$9,'Mortgage Calculators (By Year)'!E27,NA()),IF($K27&lt;='Mortgage Calculators (By Year)'!$J$12,'Mortgage Calculators (By Year)'!L27,NA()))</f>
        <v>99.999999999999986</v>
      </c>
      <c r="N27" s="8">
        <f t="shared" si="1"/>
        <v>99.999999999999986</v>
      </c>
      <c r="O27" s="8">
        <f>IF(K27=ROUND(Inputs!$K$10,0),$O$20,NA())</f>
        <v>99.999999999999986</v>
      </c>
      <c r="P27" s="17"/>
    </row>
    <row r="28" spans="2:16" x14ac:dyDescent="0.35">
      <c r="B28" s="76">
        <v>6</v>
      </c>
      <c r="C28" s="8">
        <f>IF($B$20=Inputs!$B$18,IF($B28&lt;='Mortgage Calculators (By Year)'!$C$9,SUM('Mortgage Calculators (By Year)'!C$22:C28),NA()),IF($B28&lt;='Mortgage Calculators (By Year)'!$J$12,SUM('Mortgage Calculators (By Year)'!J$22:J28),NA()))</f>
        <v>0</v>
      </c>
      <c r="D28" s="8">
        <f>IF($B$20=Inputs!$B$18,IF($B28&lt;='Mortgage Calculators (By Year)'!$C$9,SUM('Mortgage Calculators (By Year)'!D$22:D28),NA()),IF($B28&lt;='Mortgage Calculators (By Year)'!$J$12,SUM('Mortgage Calculators (By Year)'!K$22:K28),NA()))</f>
        <v>0</v>
      </c>
      <c r="E28" s="8">
        <f>IF($B$20=Inputs!$B$18,IF($B28&lt;='Mortgage Calculators (By Year)'!$C$9,SUM('Mortgage Calculators (By Year)'!E$22:E28),NA()),IF($B28&lt;='Mortgage Calculators (By Year)'!$J$12,SUM('Mortgage Calculators (By Year)'!L$22:L28),NA()))</f>
        <v>599.99999999999989</v>
      </c>
      <c r="F28" s="8">
        <f>IF($B$20=Inputs!$B$18,IF($B28&lt;='Mortgage Calculators (By Year)'!$C$9,'Mortgage Calculators (By Year)'!F28,NA()),IF($B28&lt;='Mortgage Calculators (By Year)'!$J$12,'Mortgage Calculators (By Year)'!M28,NA()))</f>
        <v>0</v>
      </c>
      <c r="G28" s="8" t="str">
        <f>IF($B$20=Inputs!$B$18,IF($B28='Mortgage Calculators (By Year)'!$C$9,D28,""),IF($B28='Mortgage Calculators (By Year)'!$J$12,D28,""))</f>
        <v/>
      </c>
      <c r="H28" s="8" t="str">
        <f>IF($B$20=Inputs!$B$18,IF($B28='Mortgage Calculators (By Year)'!$C$9,E28,""),IF($B28='Mortgage Calculators (By Year)'!$J$12,E28,""))</f>
        <v/>
      </c>
      <c r="I28" s="8" t="e">
        <f>IF(B28=ROUND(Inputs!$K$10,0),$I$20,NA())</f>
        <v>#N/A</v>
      </c>
      <c r="K28" s="12">
        <v>6</v>
      </c>
      <c r="L28" s="8">
        <f>IF($K$20=Inputs!$B$18,IF($K28&lt;='Mortgage Calculators (By Year)'!$C$9,'Mortgage Calculators (By Year)'!D28,NA()),IF($K28&lt;='Mortgage Calculators (By Year)'!$J$12,'Mortgage Calculators (By Year)'!K28,NA()))</f>
        <v>0</v>
      </c>
      <c r="M28" s="8">
        <f>IF($K$20=Inputs!$B$18,IF($K28&lt;='Mortgage Calculators (By Year)'!$C$9,'Mortgage Calculators (By Year)'!E28,NA()),IF($K28&lt;='Mortgage Calculators (By Year)'!$J$12,'Mortgage Calculators (By Year)'!L28,NA()))</f>
        <v>99.999999999999986</v>
      </c>
      <c r="N28" s="8">
        <f t="shared" si="1"/>
        <v>99.999999999999986</v>
      </c>
      <c r="O28" s="8" t="e">
        <f>IF(K28=ROUND(Inputs!$K$10,0),$O$20,NA())</f>
        <v>#N/A</v>
      </c>
      <c r="P28" s="17"/>
    </row>
    <row r="29" spans="2:16" x14ac:dyDescent="0.35">
      <c r="B29" s="76">
        <v>7</v>
      </c>
      <c r="C29" s="8">
        <f>IF($B$20=Inputs!$B$18,IF($B29&lt;='Mortgage Calculators (By Year)'!$C$9,SUM('Mortgage Calculators (By Year)'!C$22:C29),NA()),IF($B29&lt;='Mortgage Calculators (By Year)'!$J$12,SUM('Mortgage Calculators (By Year)'!J$22:J29),NA()))</f>
        <v>0</v>
      </c>
      <c r="D29" s="8">
        <f>IF($B$20=Inputs!$B$18,IF($B29&lt;='Mortgage Calculators (By Year)'!$C$9,SUM('Mortgage Calculators (By Year)'!D$22:D29),NA()),IF($B29&lt;='Mortgage Calculators (By Year)'!$J$12,SUM('Mortgage Calculators (By Year)'!K$22:K29),NA()))</f>
        <v>0</v>
      </c>
      <c r="E29" s="8">
        <f>IF($B$20=Inputs!$B$18,IF($B29&lt;='Mortgage Calculators (By Year)'!$C$9,SUM('Mortgage Calculators (By Year)'!E$22:E29),NA()),IF($B29&lt;='Mortgage Calculators (By Year)'!$J$12,SUM('Mortgage Calculators (By Year)'!L$22:L29),NA()))</f>
        <v>699.99999999999989</v>
      </c>
      <c r="F29" s="8">
        <f>IF($B$20=Inputs!$B$18,IF($B29&lt;='Mortgage Calculators (By Year)'!$C$9,'Mortgage Calculators (By Year)'!F29,NA()),IF($B29&lt;='Mortgage Calculators (By Year)'!$J$12,'Mortgage Calculators (By Year)'!M29,NA()))</f>
        <v>0</v>
      </c>
      <c r="G29" s="8" t="str">
        <f>IF($B$20=Inputs!$B$18,IF($B29='Mortgage Calculators (By Year)'!$C$9,D29,""),IF($B29='Mortgage Calculators (By Year)'!$J$12,D29,""))</f>
        <v/>
      </c>
      <c r="H29" s="8" t="str">
        <f>IF($B$20=Inputs!$B$18,IF($B29='Mortgage Calculators (By Year)'!$C$9,E29,""),IF($B29='Mortgage Calculators (By Year)'!$J$12,E29,""))</f>
        <v/>
      </c>
      <c r="I29" s="8" t="e">
        <f>IF(B29=ROUND(Inputs!$K$10,0),$I$20,NA())</f>
        <v>#N/A</v>
      </c>
      <c r="K29" s="12">
        <v>7</v>
      </c>
      <c r="L29" s="8">
        <f>IF($K$20=Inputs!$B$18,IF($K29&lt;='Mortgage Calculators (By Year)'!$C$9,'Mortgage Calculators (By Year)'!D29,NA()),IF($K29&lt;='Mortgage Calculators (By Year)'!$J$12,'Mortgage Calculators (By Year)'!K29,NA()))</f>
        <v>0</v>
      </c>
      <c r="M29" s="8">
        <f>IF($K$20=Inputs!$B$18,IF($K29&lt;='Mortgage Calculators (By Year)'!$C$9,'Mortgage Calculators (By Year)'!E29,NA()),IF($K29&lt;='Mortgage Calculators (By Year)'!$J$12,'Mortgage Calculators (By Year)'!L29,NA()))</f>
        <v>99.999999999999986</v>
      </c>
      <c r="N29" s="8">
        <f t="shared" si="1"/>
        <v>99.999999999999986</v>
      </c>
      <c r="O29" s="8" t="e">
        <f>IF(K29=ROUND(Inputs!$K$10,0),$O$20,NA())</f>
        <v>#N/A</v>
      </c>
      <c r="P29" s="17"/>
    </row>
    <row r="30" spans="2:16" x14ac:dyDescent="0.35">
      <c r="B30" s="76">
        <v>8</v>
      </c>
      <c r="C30" s="8">
        <f>IF($B$20=Inputs!$B$18,IF($B30&lt;='Mortgage Calculators (By Year)'!$C$9,SUM('Mortgage Calculators (By Year)'!C$22:C30),NA()),IF($B30&lt;='Mortgage Calculators (By Year)'!$J$12,SUM('Mortgage Calculators (By Year)'!J$22:J30),NA()))</f>
        <v>0</v>
      </c>
      <c r="D30" s="8">
        <f>IF($B$20=Inputs!$B$18,IF($B30&lt;='Mortgage Calculators (By Year)'!$C$9,SUM('Mortgage Calculators (By Year)'!D$22:D30),NA()),IF($B30&lt;='Mortgage Calculators (By Year)'!$J$12,SUM('Mortgage Calculators (By Year)'!K$22:K30),NA()))</f>
        <v>0</v>
      </c>
      <c r="E30" s="8">
        <f>IF($B$20=Inputs!$B$18,IF($B30&lt;='Mortgage Calculators (By Year)'!$C$9,SUM('Mortgage Calculators (By Year)'!E$22:E30),NA()),IF($B30&lt;='Mortgage Calculators (By Year)'!$J$12,SUM('Mortgage Calculators (By Year)'!L$22:L30),NA()))</f>
        <v>799.99999999999989</v>
      </c>
      <c r="F30" s="8">
        <f>IF($B$20=Inputs!$B$18,IF($B30&lt;='Mortgage Calculators (By Year)'!$C$9,'Mortgage Calculators (By Year)'!F30,NA()),IF($B30&lt;='Mortgage Calculators (By Year)'!$J$12,'Mortgage Calculators (By Year)'!M30,NA()))</f>
        <v>0</v>
      </c>
      <c r="G30" s="8" t="str">
        <f>IF($B$20=Inputs!$B$18,IF($B30='Mortgage Calculators (By Year)'!$C$9,D30,""),IF($B30='Mortgage Calculators (By Year)'!$J$12,D30,""))</f>
        <v/>
      </c>
      <c r="H30" s="8" t="str">
        <f>IF($B$20=Inputs!$B$18,IF($B30='Mortgage Calculators (By Year)'!$C$9,E30,""),IF($B30='Mortgage Calculators (By Year)'!$J$12,E30,""))</f>
        <v/>
      </c>
      <c r="I30" s="8" t="e">
        <f>IF(B30=ROUND(Inputs!$K$10,0),$I$20,NA())</f>
        <v>#N/A</v>
      </c>
      <c r="K30" s="12">
        <v>8</v>
      </c>
      <c r="L30" s="8">
        <f>IF($K$20=Inputs!$B$18,IF($K30&lt;='Mortgage Calculators (By Year)'!$C$9,'Mortgage Calculators (By Year)'!D30,NA()),IF($K30&lt;='Mortgage Calculators (By Year)'!$J$12,'Mortgage Calculators (By Year)'!K30,NA()))</f>
        <v>0</v>
      </c>
      <c r="M30" s="8">
        <f>IF($K$20=Inputs!$B$18,IF($K30&lt;='Mortgage Calculators (By Year)'!$C$9,'Mortgage Calculators (By Year)'!E30,NA()),IF($K30&lt;='Mortgage Calculators (By Year)'!$J$12,'Mortgage Calculators (By Year)'!L30,NA()))</f>
        <v>99.999999999999986</v>
      </c>
      <c r="N30" s="8">
        <f t="shared" si="1"/>
        <v>99.999999999999986</v>
      </c>
      <c r="O30" s="8" t="e">
        <f>IF(K30=ROUND(Inputs!$K$10,0),$O$20,NA())</f>
        <v>#N/A</v>
      </c>
      <c r="P30" s="17"/>
    </row>
    <row r="31" spans="2:16" x14ac:dyDescent="0.35">
      <c r="B31" s="76">
        <v>9</v>
      </c>
      <c r="C31" s="8">
        <f>IF($B$20=Inputs!$B$18,IF($B31&lt;='Mortgage Calculators (By Year)'!$C$9,SUM('Mortgage Calculators (By Year)'!C$22:C31),NA()),IF($B31&lt;='Mortgage Calculators (By Year)'!$J$12,SUM('Mortgage Calculators (By Year)'!J$22:J31),NA()))</f>
        <v>0</v>
      </c>
      <c r="D31" s="8">
        <f>IF($B$20=Inputs!$B$18,IF($B31&lt;='Mortgage Calculators (By Year)'!$C$9,SUM('Mortgage Calculators (By Year)'!D$22:D31),NA()),IF($B31&lt;='Mortgage Calculators (By Year)'!$J$12,SUM('Mortgage Calculators (By Year)'!K$22:K31),NA()))</f>
        <v>0</v>
      </c>
      <c r="E31" s="8">
        <f>IF($B$20=Inputs!$B$18,IF($B31&lt;='Mortgage Calculators (By Year)'!$C$9,SUM('Mortgage Calculators (By Year)'!E$22:E31),NA()),IF($B31&lt;='Mortgage Calculators (By Year)'!$J$12,SUM('Mortgage Calculators (By Year)'!L$22:L31),NA()))</f>
        <v>899.99999999999989</v>
      </c>
      <c r="F31" s="8">
        <f>IF($B$20=Inputs!$B$18,IF($B31&lt;='Mortgage Calculators (By Year)'!$C$9,'Mortgage Calculators (By Year)'!F31,NA()),IF($B31&lt;='Mortgage Calculators (By Year)'!$J$12,'Mortgage Calculators (By Year)'!M31,NA()))</f>
        <v>0</v>
      </c>
      <c r="G31" s="8" t="str">
        <f>IF($B$20=Inputs!$B$18,IF($B31='Mortgage Calculators (By Year)'!$C$9,D31,""),IF($B31='Mortgage Calculators (By Year)'!$J$12,D31,""))</f>
        <v/>
      </c>
      <c r="H31" s="8" t="str">
        <f>IF($B$20=Inputs!$B$18,IF($B31='Mortgage Calculators (By Year)'!$C$9,E31,""),IF($B31='Mortgage Calculators (By Year)'!$J$12,E31,""))</f>
        <v/>
      </c>
      <c r="I31" s="8" t="e">
        <f>IF(B31=ROUND(Inputs!$K$10,0),$I$20,NA())</f>
        <v>#N/A</v>
      </c>
      <c r="K31" s="12">
        <v>9</v>
      </c>
      <c r="L31" s="8">
        <f>IF($K$20=Inputs!$B$18,IF($K31&lt;='Mortgage Calculators (By Year)'!$C$9,'Mortgage Calculators (By Year)'!D31,NA()),IF($K31&lt;='Mortgage Calculators (By Year)'!$J$12,'Mortgage Calculators (By Year)'!K31,NA()))</f>
        <v>0</v>
      </c>
      <c r="M31" s="8">
        <f>IF($K$20=Inputs!$B$18,IF($K31&lt;='Mortgage Calculators (By Year)'!$C$9,'Mortgage Calculators (By Year)'!E31,NA()),IF($K31&lt;='Mortgage Calculators (By Year)'!$J$12,'Mortgage Calculators (By Year)'!L31,NA()))</f>
        <v>99.999999999999986</v>
      </c>
      <c r="N31" s="8">
        <f t="shared" si="1"/>
        <v>99.999999999999986</v>
      </c>
      <c r="O31" s="8" t="e">
        <f>IF(K31=ROUND(Inputs!$K$10,0),$O$20,NA())</f>
        <v>#N/A</v>
      </c>
      <c r="P31" s="17"/>
    </row>
    <row r="32" spans="2:16" x14ac:dyDescent="0.35">
      <c r="B32" s="76">
        <v>10</v>
      </c>
      <c r="C32" s="8">
        <f>IF($B$20=Inputs!$B$18,IF($B32&lt;='Mortgage Calculators (By Year)'!$C$9,SUM('Mortgage Calculators (By Year)'!C$22:C32),NA()),IF($B32&lt;='Mortgage Calculators (By Year)'!$J$12,SUM('Mortgage Calculators (By Year)'!J$22:J32),NA()))</f>
        <v>0</v>
      </c>
      <c r="D32" s="8">
        <f>IF($B$20=Inputs!$B$18,IF($B32&lt;='Mortgage Calculators (By Year)'!$C$9,SUM('Mortgage Calculators (By Year)'!D$22:D32),NA()),IF($B32&lt;='Mortgage Calculators (By Year)'!$J$12,SUM('Mortgage Calculators (By Year)'!K$22:K32),NA()))</f>
        <v>0</v>
      </c>
      <c r="E32" s="8">
        <f>IF($B$20=Inputs!$B$18,IF($B32&lt;='Mortgage Calculators (By Year)'!$C$9,SUM('Mortgage Calculators (By Year)'!E$22:E32),NA()),IF($B32&lt;='Mortgage Calculators (By Year)'!$J$12,SUM('Mortgage Calculators (By Year)'!L$22:L32),NA()))</f>
        <v>999.99999999999989</v>
      </c>
      <c r="F32" s="8">
        <f>IF($B$20=Inputs!$B$18,IF($B32&lt;='Mortgage Calculators (By Year)'!$C$9,'Mortgage Calculators (By Year)'!F32,NA()),IF($B32&lt;='Mortgage Calculators (By Year)'!$J$12,'Mortgage Calculators (By Year)'!M32,NA()))</f>
        <v>0</v>
      </c>
      <c r="G32" s="8" t="str">
        <f>IF($B$20=Inputs!$B$18,IF($B32='Mortgage Calculators (By Year)'!$C$9,D32,""),IF($B32='Mortgage Calculators (By Year)'!$J$12,D32,""))</f>
        <v/>
      </c>
      <c r="H32" s="8" t="str">
        <f>IF($B$20=Inputs!$B$18,IF($B32='Mortgage Calculators (By Year)'!$C$9,E32,""),IF($B32='Mortgage Calculators (By Year)'!$J$12,E32,""))</f>
        <v/>
      </c>
      <c r="I32" s="8" t="e">
        <f>IF(B32=ROUND(Inputs!$K$10,0),$I$20,NA())</f>
        <v>#N/A</v>
      </c>
      <c r="K32" s="12">
        <v>10</v>
      </c>
      <c r="L32" s="8">
        <f>IF($K$20=Inputs!$B$18,IF($K32&lt;='Mortgage Calculators (By Year)'!$C$9,'Mortgage Calculators (By Year)'!D32,NA()),IF($K32&lt;='Mortgage Calculators (By Year)'!$J$12,'Mortgage Calculators (By Year)'!K32,NA()))</f>
        <v>0</v>
      </c>
      <c r="M32" s="8">
        <f>IF($K$20=Inputs!$B$18,IF($K32&lt;='Mortgage Calculators (By Year)'!$C$9,'Mortgage Calculators (By Year)'!E32,NA()),IF($K32&lt;='Mortgage Calculators (By Year)'!$J$12,'Mortgage Calculators (By Year)'!L32,NA()))</f>
        <v>99.999999999999986</v>
      </c>
      <c r="N32" s="8">
        <f t="shared" si="1"/>
        <v>99.999999999999986</v>
      </c>
      <c r="O32" s="8" t="e">
        <f>IF(K32=ROUND(Inputs!$K$10,0),$O$20,NA())</f>
        <v>#N/A</v>
      </c>
      <c r="P32" s="17"/>
    </row>
    <row r="33" spans="2:16" x14ac:dyDescent="0.35">
      <c r="B33" s="76">
        <v>11</v>
      </c>
      <c r="C33" s="8">
        <f>IF($B$20=Inputs!$B$18,IF($B33&lt;='Mortgage Calculators (By Year)'!$C$9,SUM('Mortgage Calculators (By Year)'!C$22:C33),NA()),IF($B33&lt;='Mortgage Calculators (By Year)'!$J$12,SUM('Mortgage Calculators (By Year)'!J$22:J33),NA()))</f>
        <v>0</v>
      </c>
      <c r="D33" s="8">
        <f>IF($B$20=Inputs!$B$18,IF($B33&lt;='Mortgage Calculators (By Year)'!$C$9,SUM('Mortgage Calculators (By Year)'!D$22:D33),NA()),IF($B33&lt;='Mortgage Calculators (By Year)'!$J$12,SUM('Mortgage Calculators (By Year)'!K$22:K33),NA()))</f>
        <v>0</v>
      </c>
      <c r="E33" s="8">
        <f>IF($B$20=Inputs!$B$18,IF($B33&lt;='Mortgage Calculators (By Year)'!$C$9,SUM('Mortgage Calculators (By Year)'!E$22:E33),NA()),IF($B33&lt;='Mortgage Calculators (By Year)'!$J$12,SUM('Mortgage Calculators (By Year)'!L$22:L33),NA()))</f>
        <v>1099.9999999999998</v>
      </c>
      <c r="F33" s="8">
        <f>IF($B$20=Inputs!$B$18,IF($B33&lt;='Mortgage Calculators (By Year)'!$C$9,'Mortgage Calculators (By Year)'!F33,NA()),IF($B33&lt;='Mortgage Calculators (By Year)'!$J$12,'Mortgage Calculators (By Year)'!M33,NA()))</f>
        <v>0</v>
      </c>
      <c r="G33" s="8" t="str">
        <f>IF($B$20=Inputs!$B$18,IF($B33='Mortgage Calculators (By Year)'!$C$9,D33,""),IF($B33='Mortgage Calculators (By Year)'!$J$12,D33,""))</f>
        <v/>
      </c>
      <c r="H33" s="8" t="str">
        <f>IF($B$20=Inputs!$B$18,IF($B33='Mortgage Calculators (By Year)'!$C$9,E33,""),IF($B33='Mortgage Calculators (By Year)'!$J$12,E33,""))</f>
        <v/>
      </c>
      <c r="I33" s="8" t="e">
        <f>IF(B33=ROUND(Inputs!$K$10,0),$I$20,NA())</f>
        <v>#N/A</v>
      </c>
      <c r="K33" s="12">
        <v>11</v>
      </c>
      <c r="L33" s="8">
        <f>IF($K$20=Inputs!$B$18,IF($K33&lt;='Mortgage Calculators (By Year)'!$C$9,'Mortgage Calculators (By Year)'!D33,NA()),IF($K33&lt;='Mortgage Calculators (By Year)'!$J$12,'Mortgage Calculators (By Year)'!K33,NA()))</f>
        <v>0</v>
      </c>
      <c r="M33" s="8">
        <f>IF($K$20=Inputs!$B$18,IF($K33&lt;='Mortgage Calculators (By Year)'!$C$9,'Mortgage Calculators (By Year)'!E33,NA()),IF($K33&lt;='Mortgage Calculators (By Year)'!$J$12,'Mortgage Calculators (By Year)'!L33,NA()))</f>
        <v>99.999999999999986</v>
      </c>
      <c r="N33" s="8">
        <f t="shared" si="1"/>
        <v>99.999999999999986</v>
      </c>
      <c r="O33" s="8" t="e">
        <f>IF(K33=ROUND(Inputs!$K$10,0),$O$20,NA())</f>
        <v>#N/A</v>
      </c>
      <c r="P33" s="17"/>
    </row>
    <row r="34" spans="2:16" x14ac:dyDescent="0.35">
      <c r="B34" s="76">
        <v>12</v>
      </c>
      <c r="C34" s="8">
        <f>IF($B$20=Inputs!$B$18,IF($B34&lt;='Mortgage Calculators (By Year)'!$C$9,SUM('Mortgage Calculators (By Year)'!C$22:C34),NA()),IF($B34&lt;='Mortgage Calculators (By Year)'!$J$12,SUM('Mortgage Calculators (By Year)'!J$22:J34),NA()))</f>
        <v>0</v>
      </c>
      <c r="D34" s="8">
        <f>IF($B$20=Inputs!$B$18,IF($B34&lt;='Mortgage Calculators (By Year)'!$C$9,SUM('Mortgage Calculators (By Year)'!D$22:D34),NA()),IF($B34&lt;='Mortgage Calculators (By Year)'!$J$12,SUM('Mortgage Calculators (By Year)'!K$22:K34),NA()))</f>
        <v>0</v>
      </c>
      <c r="E34" s="8">
        <f>IF($B$20=Inputs!$B$18,IF($B34&lt;='Mortgage Calculators (By Year)'!$C$9,SUM('Mortgage Calculators (By Year)'!E$22:E34),NA()),IF($B34&lt;='Mortgage Calculators (By Year)'!$J$12,SUM('Mortgage Calculators (By Year)'!L$22:L34),NA()))</f>
        <v>1199.9999999999998</v>
      </c>
      <c r="F34" s="8">
        <f>IF($B$20=Inputs!$B$18,IF($B34&lt;='Mortgage Calculators (By Year)'!$C$9,'Mortgage Calculators (By Year)'!F34,NA()),IF($B34&lt;='Mortgage Calculators (By Year)'!$J$12,'Mortgage Calculators (By Year)'!M34,NA()))</f>
        <v>0</v>
      </c>
      <c r="G34" s="8" t="str">
        <f>IF($B$20=Inputs!$B$18,IF($B34='Mortgage Calculators (By Year)'!$C$9,D34,""),IF($B34='Mortgage Calculators (By Year)'!$J$12,D34,""))</f>
        <v/>
      </c>
      <c r="H34" s="8" t="str">
        <f>IF($B$20=Inputs!$B$18,IF($B34='Mortgage Calculators (By Year)'!$C$9,E34,""),IF($B34='Mortgage Calculators (By Year)'!$J$12,E34,""))</f>
        <v/>
      </c>
      <c r="I34" s="8" t="e">
        <f>IF(B34=ROUND(Inputs!$K$10,0),$I$20,NA())</f>
        <v>#N/A</v>
      </c>
      <c r="K34" s="12">
        <v>12</v>
      </c>
      <c r="L34" s="8">
        <f>IF($K$20=Inputs!$B$18,IF($K34&lt;='Mortgage Calculators (By Year)'!$C$9,'Mortgage Calculators (By Year)'!D34,NA()),IF($K34&lt;='Mortgage Calculators (By Year)'!$J$12,'Mortgage Calculators (By Year)'!K34,NA()))</f>
        <v>0</v>
      </c>
      <c r="M34" s="8">
        <f>IF($K$20=Inputs!$B$18,IF($K34&lt;='Mortgage Calculators (By Year)'!$C$9,'Mortgage Calculators (By Year)'!E34,NA()),IF($K34&lt;='Mortgage Calculators (By Year)'!$J$12,'Mortgage Calculators (By Year)'!L34,NA()))</f>
        <v>99.999999999999986</v>
      </c>
      <c r="N34" s="8">
        <f t="shared" si="1"/>
        <v>99.999999999999986</v>
      </c>
      <c r="O34" s="8" t="e">
        <f>IF(K34=ROUND(Inputs!$K$10,0),$O$20,NA())</f>
        <v>#N/A</v>
      </c>
      <c r="P34" s="17"/>
    </row>
    <row r="35" spans="2:16" x14ac:dyDescent="0.35">
      <c r="B35" s="76">
        <v>13</v>
      </c>
      <c r="C35" s="8">
        <f>IF($B$20=Inputs!$B$18,IF($B35&lt;='Mortgage Calculators (By Year)'!$C$9,SUM('Mortgage Calculators (By Year)'!C$22:C35),NA()),IF($B35&lt;='Mortgage Calculators (By Year)'!$J$12,SUM('Mortgage Calculators (By Year)'!J$22:J35),NA()))</f>
        <v>0</v>
      </c>
      <c r="D35" s="8">
        <f>IF($B$20=Inputs!$B$18,IF($B35&lt;='Mortgage Calculators (By Year)'!$C$9,SUM('Mortgage Calculators (By Year)'!D$22:D35),NA()),IF($B35&lt;='Mortgage Calculators (By Year)'!$J$12,SUM('Mortgage Calculators (By Year)'!K$22:K35),NA()))</f>
        <v>0</v>
      </c>
      <c r="E35" s="8">
        <f>IF($B$20=Inputs!$B$18,IF($B35&lt;='Mortgage Calculators (By Year)'!$C$9,SUM('Mortgage Calculators (By Year)'!E$22:E35),NA()),IF($B35&lt;='Mortgage Calculators (By Year)'!$J$12,SUM('Mortgage Calculators (By Year)'!L$22:L35),NA()))</f>
        <v>1299.9999999999998</v>
      </c>
      <c r="F35" s="8">
        <f>IF($B$20=Inputs!$B$18,IF($B35&lt;='Mortgage Calculators (By Year)'!$C$9,'Mortgage Calculators (By Year)'!F35,NA()),IF($B35&lt;='Mortgage Calculators (By Year)'!$J$12,'Mortgage Calculators (By Year)'!M35,NA()))</f>
        <v>0</v>
      </c>
      <c r="G35" s="8" t="str">
        <f>IF($B$20=Inputs!$B$18,IF($B35='Mortgage Calculators (By Year)'!$C$9,D35,""),IF($B35='Mortgage Calculators (By Year)'!$J$12,D35,""))</f>
        <v/>
      </c>
      <c r="H35" s="8" t="str">
        <f>IF($B$20=Inputs!$B$18,IF($B35='Mortgage Calculators (By Year)'!$C$9,E35,""),IF($B35='Mortgage Calculators (By Year)'!$J$12,E35,""))</f>
        <v/>
      </c>
      <c r="I35" s="8" t="e">
        <f>IF(B35=ROUND(Inputs!$K$10,0),$I$20,NA())</f>
        <v>#N/A</v>
      </c>
      <c r="K35" s="12">
        <v>13</v>
      </c>
      <c r="L35" s="8">
        <f>IF($K$20=Inputs!$B$18,IF($K35&lt;='Mortgage Calculators (By Year)'!$C$9,'Mortgage Calculators (By Year)'!D35,NA()),IF($K35&lt;='Mortgage Calculators (By Year)'!$J$12,'Mortgage Calculators (By Year)'!K35,NA()))</f>
        <v>0</v>
      </c>
      <c r="M35" s="8">
        <f>IF($K$20=Inputs!$B$18,IF($K35&lt;='Mortgage Calculators (By Year)'!$C$9,'Mortgage Calculators (By Year)'!E35,NA()),IF($K35&lt;='Mortgage Calculators (By Year)'!$J$12,'Mortgage Calculators (By Year)'!L35,NA()))</f>
        <v>99.999999999999986</v>
      </c>
      <c r="N35" s="8">
        <f t="shared" si="1"/>
        <v>99.999999999999986</v>
      </c>
      <c r="O35" s="8" t="e">
        <f>IF(K35=ROUND(Inputs!$K$10,0),$O$20,NA())</f>
        <v>#N/A</v>
      </c>
      <c r="P35" s="17"/>
    </row>
    <row r="36" spans="2:16" x14ac:dyDescent="0.35">
      <c r="B36" s="76">
        <v>14</v>
      </c>
      <c r="C36" s="8">
        <f>IF($B$20=Inputs!$B$18,IF($B36&lt;='Mortgage Calculators (By Year)'!$C$9,SUM('Mortgage Calculators (By Year)'!C$22:C36),NA()),IF($B36&lt;='Mortgage Calculators (By Year)'!$J$12,SUM('Mortgage Calculators (By Year)'!J$22:J36),NA()))</f>
        <v>0</v>
      </c>
      <c r="D36" s="8">
        <f>IF($B$20=Inputs!$B$18,IF($B36&lt;='Mortgage Calculators (By Year)'!$C$9,SUM('Mortgage Calculators (By Year)'!D$22:D36),NA()),IF($B36&lt;='Mortgage Calculators (By Year)'!$J$12,SUM('Mortgage Calculators (By Year)'!K$22:K36),NA()))</f>
        <v>0</v>
      </c>
      <c r="E36" s="8">
        <f>IF($B$20=Inputs!$B$18,IF($B36&lt;='Mortgage Calculators (By Year)'!$C$9,SUM('Mortgage Calculators (By Year)'!E$22:E36),NA()),IF($B36&lt;='Mortgage Calculators (By Year)'!$J$12,SUM('Mortgage Calculators (By Year)'!L$22:L36),NA()))</f>
        <v>1399.9999999999998</v>
      </c>
      <c r="F36" s="8">
        <f>IF($B$20=Inputs!$B$18,IF($B36&lt;='Mortgage Calculators (By Year)'!$C$9,'Mortgage Calculators (By Year)'!F36,NA()),IF($B36&lt;='Mortgage Calculators (By Year)'!$J$12,'Mortgage Calculators (By Year)'!M36,NA()))</f>
        <v>0</v>
      </c>
      <c r="G36" s="8" t="str">
        <f>IF($B$20=Inputs!$B$18,IF($B36='Mortgage Calculators (By Year)'!$C$9,D36,""),IF($B36='Mortgage Calculators (By Year)'!$J$12,D36,""))</f>
        <v/>
      </c>
      <c r="H36" s="8" t="str">
        <f>IF($B$20=Inputs!$B$18,IF($B36='Mortgage Calculators (By Year)'!$C$9,E36,""),IF($B36='Mortgage Calculators (By Year)'!$J$12,E36,""))</f>
        <v/>
      </c>
      <c r="I36" s="8" t="e">
        <f>IF(B36=ROUND(Inputs!$K$10,0),$I$20,NA())</f>
        <v>#N/A</v>
      </c>
      <c r="K36" s="12">
        <v>14</v>
      </c>
      <c r="L36" s="8">
        <f>IF($K$20=Inputs!$B$18,IF($K36&lt;='Mortgage Calculators (By Year)'!$C$9,'Mortgage Calculators (By Year)'!D36,NA()),IF($K36&lt;='Mortgage Calculators (By Year)'!$J$12,'Mortgage Calculators (By Year)'!K36,NA()))</f>
        <v>0</v>
      </c>
      <c r="M36" s="8">
        <f>IF($K$20=Inputs!$B$18,IF($K36&lt;='Mortgage Calculators (By Year)'!$C$9,'Mortgage Calculators (By Year)'!E36,NA()),IF($K36&lt;='Mortgage Calculators (By Year)'!$J$12,'Mortgage Calculators (By Year)'!L36,NA()))</f>
        <v>99.999999999999986</v>
      </c>
      <c r="N36" s="8">
        <f t="shared" si="1"/>
        <v>99.999999999999986</v>
      </c>
      <c r="O36" s="8" t="e">
        <f>IF(K36=ROUND(Inputs!$K$10,0),$O$20,NA())</f>
        <v>#N/A</v>
      </c>
      <c r="P36" s="17"/>
    </row>
    <row r="37" spans="2:16" x14ac:dyDescent="0.35">
      <c r="B37" s="76">
        <v>15</v>
      </c>
      <c r="C37" s="8">
        <f>IF($B$20=Inputs!$B$18,IF($B37&lt;='Mortgage Calculators (By Year)'!$C$9,SUM('Mortgage Calculators (By Year)'!C$22:C37),NA()),IF($B37&lt;='Mortgage Calculators (By Year)'!$J$12,SUM('Mortgage Calculators (By Year)'!J$22:J37),NA()))</f>
        <v>0</v>
      </c>
      <c r="D37" s="8">
        <f>IF($B$20=Inputs!$B$18,IF($B37&lt;='Mortgage Calculators (By Year)'!$C$9,SUM('Mortgage Calculators (By Year)'!D$22:D37),NA()),IF($B37&lt;='Mortgage Calculators (By Year)'!$J$12,SUM('Mortgage Calculators (By Year)'!K$22:K37),NA()))</f>
        <v>0</v>
      </c>
      <c r="E37" s="8">
        <f>IF($B$20=Inputs!$B$18,IF($B37&lt;='Mortgage Calculators (By Year)'!$C$9,SUM('Mortgage Calculators (By Year)'!E$22:E37),NA()),IF($B37&lt;='Mortgage Calculators (By Year)'!$J$12,SUM('Mortgage Calculators (By Year)'!L$22:L37),NA()))</f>
        <v>1499.9999999999998</v>
      </c>
      <c r="F37" s="8">
        <f>IF($B$20=Inputs!$B$18,IF($B37&lt;='Mortgage Calculators (By Year)'!$C$9,'Mortgage Calculators (By Year)'!F37,NA()),IF($B37&lt;='Mortgage Calculators (By Year)'!$J$12,'Mortgage Calculators (By Year)'!M37,NA()))</f>
        <v>0</v>
      </c>
      <c r="G37" s="8" t="str">
        <f>IF($B$20=Inputs!$B$18,IF($B37='Mortgage Calculators (By Year)'!$C$9,D37,""),IF($B37='Mortgage Calculators (By Year)'!$J$12,D37,""))</f>
        <v/>
      </c>
      <c r="H37" s="8" t="str">
        <f>IF($B$20=Inputs!$B$18,IF($B37='Mortgage Calculators (By Year)'!$C$9,E37,""),IF($B37='Mortgage Calculators (By Year)'!$J$12,E37,""))</f>
        <v/>
      </c>
      <c r="I37" s="8" t="e">
        <f>IF(B37=ROUND(Inputs!$K$10,0),$I$20,NA())</f>
        <v>#N/A</v>
      </c>
      <c r="K37" s="12">
        <v>15</v>
      </c>
      <c r="L37" s="8">
        <f>IF($K$20=Inputs!$B$18,IF($K37&lt;='Mortgage Calculators (By Year)'!$C$9,'Mortgage Calculators (By Year)'!D37,NA()),IF($K37&lt;='Mortgage Calculators (By Year)'!$J$12,'Mortgage Calculators (By Year)'!K37,NA()))</f>
        <v>0</v>
      </c>
      <c r="M37" s="8">
        <f>IF($K$20=Inputs!$B$18,IF($K37&lt;='Mortgage Calculators (By Year)'!$C$9,'Mortgage Calculators (By Year)'!E37,NA()),IF($K37&lt;='Mortgage Calculators (By Year)'!$J$12,'Mortgage Calculators (By Year)'!L37,NA()))</f>
        <v>99.999999999999986</v>
      </c>
      <c r="N37" s="8">
        <f t="shared" si="1"/>
        <v>99.999999999999986</v>
      </c>
      <c r="O37" s="8" t="e">
        <f>IF(K37=ROUND(Inputs!$K$10,0),$O$20,NA())</f>
        <v>#N/A</v>
      </c>
      <c r="P37" s="17"/>
    </row>
    <row r="38" spans="2:16" x14ac:dyDescent="0.35">
      <c r="B38" s="76">
        <v>16</v>
      </c>
      <c r="C38" s="8">
        <f>IF($B$20=Inputs!$B$18,IF($B38&lt;='Mortgage Calculators (By Year)'!$C$9,SUM('Mortgage Calculators (By Year)'!C$22:C38),NA()),IF($B38&lt;='Mortgage Calculators (By Year)'!$J$12,SUM('Mortgage Calculators (By Year)'!J$22:J38),NA()))</f>
        <v>0</v>
      </c>
      <c r="D38" s="8">
        <f>IF($B$20=Inputs!$B$18,IF($B38&lt;='Mortgage Calculators (By Year)'!$C$9,SUM('Mortgage Calculators (By Year)'!D$22:D38),NA()),IF($B38&lt;='Mortgage Calculators (By Year)'!$J$12,SUM('Mortgage Calculators (By Year)'!K$22:K38),NA()))</f>
        <v>0</v>
      </c>
      <c r="E38" s="8">
        <f>IF($B$20=Inputs!$B$18,IF($B38&lt;='Mortgage Calculators (By Year)'!$C$9,SUM('Mortgage Calculators (By Year)'!E$22:E38),NA()),IF($B38&lt;='Mortgage Calculators (By Year)'!$J$12,SUM('Mortgage Calculators (By Year)'!L$22:L38),NA()))</f>
        <v>1599.9999999999998</v>
      </c>
      <c r="F38" s="8">
        <f>IF($B$20=Inputs!$B$18,IF($B38&lt;='Mortgage Calculators (By Year)'!$C$9,'Mortgage Calculators (By Year)'!F38,NA()),IF($B38&lt;='Mortgage Calculators (By Year)'!$J$12,'Mortgage Calculators (By Year)'!M38,NA()))</f>
        <v>0</v>
      </c>
      <c r="G38" s="8" t="str">
        <f>IF($B$20=Inputs!$B$18,IF($B38='Mortgage Calculators (By Year)'!$C$9,D38,""),IF($B38='Mortgage Calculators (By Year)'!$J$12,D38,""))</f>
        <v/>
      </c>
      <c r="H38" s="8" t="str">
        <f>IF($B$20=Inputs!$B$18,IF($B38='Mortgage Calculators (By Year)'!$C$9,E38,""),IF($B38='Mortgage Calculators (By Year)'!$J$12,E38,""))</f>
        <v/>
      </c>
      <c r="I38" s="8" t="e">
        <f>IF(B38=ROUND(Inputs!$K$10,0),$I$20,NA())</f>
        <v>#N/A</v>
      </c>
      <c r="K38" s="12">
        <v>16</v>
      </c>
      <c r="L38" s="8">
        <f>IF($K$20=Inputs!$B$18,IF($K38&lt;='Mortgage Calculators (By Year)'!$C$9,'Mortgage Calculators (By Year)'!D38,NA()),IF($K38&lt;='Mortgage Calculators (By Year)'!$J$12,'Mortgage Calculators (By Year)'!K38,NA()))</f>
        <v>0</v>
      </c>
      <c r="M38" s="8">
        <f>IF($K$20=Inputs!$B$18,IF($K38&lt;='Mortgage Calculators (By Year)'!$C$9,'Mortgage Calculators (By Year)'!E38,NA()),IF($K38&lt;='Mortgage Calculators (By Year)'!$J$12,'Mortgage Calculators (By Year)'!L38,NA()))</f>
        <v>99.999999999999986</v>
      </c>
      <c r="N38" s="8">
        <f t="shared" si="1"/>
        <v>99.999999999999986</v>
      </c>
      <c r="O38" s="8" t="e">
        <f>IF(K38=ROUND(Inputs!$K$10,0),$O$20,NA())</f>
        <v>#N/A</v>
      </c>
      <c r="P38" s="17"/>
    </row>
    <row r="39" spans="2:16" x14ac:dyDescent="0.35">
      <c r="B39" s="76">
        <v>17</v>
      </c>
      <c r="C39" s="8">
        <f>IF($B$20=Inputs!$B$18,IF($B39&lt;='Mortgage Calculators (By Year)'!$C$9,SUM('Mortgage Calculators (By Year)'!C$22:C39),NA()),IF($B39&lt;='Mortgage Calculators (By Year)'!$J$12,SUM('Mortgage Calculators (By Year)'!J$22:J39),NA()))</f>
        <v>0</v>
      </c>
      <c r="D39" s="8">
        <f>IF($B$20=Inputs!$B$18,IF($B39&lt;='Mortgage Calculators (By Year)'!$C$9,SUM('Mortgage Calculators (By Year)'!D$22:D39),NA()),IF($B39&lt;='Mortgage Calculators (By Year)'!$J$12,SUM('Mortgage Calculators (By Year)'!K$22:K39),NA()))</f>
        <v>0</v>
      </c>
      <c r="E39" s="8">
        <f>IF($B$20=Inputs!$B$18,IF($B39&lt;='Mortgage Calculators (By Year)'!$C$9,SUM('Mortgage Calculators (By Year)'!E$22:E39),NA()),IF($B39&lt;='Mortgage Calculators (By Year)'!$J$12,SUM('Mortgage Calculators (By Year)'!L$22:L39),NA()))</f>
        <v>1699.9999999999998</v>
      </c>
      <c r="F39" s="8">
        <f>IF($B$20=Inputs!$B$18,IF($B39&lt;='Mortgage Calculators (By Year)'!$C$9,'Mortgage Calculators (By Year)'!F39,NA()),IF($B39&lt;='Mortgage Calculators (By Year)'!$J$12,'Mortgage Calculators (By Year)'!M39,NA()))</f>
        <v>0</v>
      </c>
      <c r="G39" s="8" t="str">
        <f>IF($B$20=Inputs!$B$18,IF($B39='Mortgage Calculators (By Year)'!$C$9,D39,""),IF($B39='Mortgage Calculators (By Year)'!$J$12,D39,""))</f>
        <v/>
      </c>
      <c r="H39" s="8" t="str">
        <f>IF($B$20=Inputs!$B$18,IF($B39='Mortgage Calculators (By Year)'!$C$9,E39,""),IF($B39='Mortgage Calculators (By Year)'!$J$12,E39,""))</f>
        <v/>
      </c>
      <c r="I39" s="8" t="e">
        <f>IF(B39=ROUND(Inputs!$K$10,0),$I$20,NA())</f>
        <v>#N/A</v>
      </c>
      <c r="K39" s="12">
        <v>17</v>
      </c>
      <c r="L39" s="8">
        <f>IF($K$20=Inputs!$B$18,IF($K39&lt;='Mortgage Calculators (By Year)'!$C$9,'Mortgage Calculators (By Year)'!D39,NA()),IF($K39&lt;='Mortgage Calculators (By Year)'!$J$12,'Mortgage Calculators (By Year)'!K39,NA()))</f>
        <v>0</v>
      </c>
      <c r="M39" s="8">
        <f>IF($K$20=Inputs!$B$18,IF($K39&lt;='Mortgage Calculators (By Year)'!$C$9,'Mortgage Calculators (By Year)'!E39,NA()),IF($K39&lt;='Mortgage Calculators (By Year)'!$J$12,'Mortgage Calculators (By Year)'!L39,NA()))</f>
        <v>99.999999999999986</v>
      </c>
      <c r="N39" s="8">
        <f t="shared" si="1"/>
        <v>99.999999999999986</v>
      </c>
      <c r="O39" s="8" t="e">
        <f>IF(K39=ROUND(Inputs!$K$10,0),$O$20,NA())</f>
        <v>#N/A</v>
      </c>
      <c r="P39" s="17"/>
    </row>
    <row r="40" spans="2:16" x14ac:dyDescent="0.35">
      <c r="B40" s="76">
        <v>18</v>
      </c>
      <c r="C40" s="8">
        <f>IF($B$20=Inputs!$B$18,IF($B40&lt;='Mortgage Calculators (By Year)'!$C$9,SUM('Mortgage Calculators (By Year)'!C$22:C40),NA()),IF($B40&lt;='Mortgage Calculators (By Year)'!$J$12,SUM('Mortgage Calculators (By Year)'!J$22:J40),NA()))</f>
        <v>0</v>
      </c>
      <c r="D40" s="8">
        <f>IF($B$20=Inputs!$B$18,IF($B40&lt;='Mortgage Calculators (By Year)'!$C$9,SUM('Mortgage Calculators (By Year)'!D$22:D40),NA()),IF($B40&lt;='Mortgage Calculators (By Year)'!$J$12,SUM('Mortgage Calculators (By Year)'!K$22:K40),NA()))</f>
        <v>0</v>
      </c>
      <c r="E40" s="8">
        <f>IF($B$20=Inputs!$B$18,IF($B40&lt;='Mortgage Calculators (By Year)'!$C$9,SUM('Mortgage Calculators (By Year)'!E$22:E40),NA()),IF($B40&lt;='Mortgage Calculators (By Year)'!$J$12,SUM('Mortgage Calculators (By Year)'!L$22:L40),NA()))</f>
        <v>1799.9999999999998</v>
      </c>
      <c r="F40" s="8">
        <f>IF($B$20=Inputs!$B$18,IF($B40&lt;='Mortgage Calculators (By Year)'!$C$9,'Mortgage Calculators (By Year)'!F40,NA()),IF($B40&lt;='Mortgage Calculators (By Year)'!$J$12,'Mortgage Calculators (By Year)'!M40,NA()))</f>
        <v>0</v>
      </c>
      <c r="G40" s="8" t="str">
        <f>IF($B$20=Inputs!$B$18,IF($B40='Mortgage Calculators (By Year)'!$C$9,D40,""),IF($B40='Mortgage Calculators (By Year)'!$J$12,D40,""))</f>
        <v/>
      </c>
      <c r="H40" s="8" t="str">
        <f>IF($B$20=Inputs!$B$18,IF($B40='Mortgage Calculators (By Year)'!$C$9,E40,""),IF($B40='Mortgage Calculators (By Year)'!$J$12,E40,""))</f>
        <v/>
      </c>
      <c r="I40" s="8" t="e">
        <f>IF(B40=ROUND(Inputs!$K$10,0),$I$20,NA())</f>
        <v>#N/A</v>
      </c>
      <c r="K40" s="12">
        <v>18</v>
      </c>
      <c r="L40" s="8">
        <f>IF($K$20=Inputs!$B$18,IF($K40&lt;='Mortgage Calculators (By Year)'!$C$9,'Mortgage Calculators (By Year)'!D40,NA()),IF($K40&lt;='Mortgage Calculators (By Year)'!$J$12,'Mortgage Calculators (By Year)'!K40,NA()))</f>
        <v>0</v>
      </c>
      <c r="M40" s="8">
        <f>IF($K$20=Inputs!$B$18,IF($K40&lt;='Mortgage Calculators (By Year)'!$C$9,'Mortgage Calculators (By Year)'!E40,NA()),IF($K40&lt;='Mortgage Calculators (By Year)'!$J$12,'Mortgage Calculators (By Year)'!L40,NA()))</f>
        <v>99.999999999999986</v>
      </c>
      <c r="N40" s="8">
        <f t="shared" si="1"/>
        <v>99.999999999999986</v>
      </c>
      <c r="O40" s="8" t="e">
        <f>IF(K40=ROUND(Inputs!$K$10,0),$O$20,NA())</f>
        <v>#N/A</v>
      </c>
      <c r="P40" s="17"/>
    </row>
    <row r="41" spans="2:16" x14ac:dyDescent="0.35">
      <c r="B41" s="76">
        <v>19</v>
      </c>
      <c r="C41" s="8">
        <f>IF($B$20=Inputs!$B$18,IF($B41&lt;='Mortgage Calculators (By Year)'!$C$9,SUM('Mortgage Calculators (By Year)'!C$22:C41),NA()),IF($B41&lt;='Mortgage Calculators (By Year)'!$J$12,SUM('Mortgage Calculators (By Year)'!J$22:J41),NA()))</f>
        <v>0</v>
      </c>
      <c r="D41" s="8">
        <f>IF($B$20=Inputs!$B$18,IF($B41&lt;='Mortgage Calculators (By Year)'!$C$9,SUM('Mortgage Calculators (By Year)'!D$22:D41),NA()),IF($B41&lt;='Mortgage Calculators (By Year)'!$J$12,SUM('Mortgage Calculators (By Year)'!K$22:K41),NA()))</f>
        <v>0</v>
      </c>
      <c r="E41" s="8">
        <f>IF($B$20=Inputs!$B$18,IF($B41&lt;='Mortgage Calculators (By Year)'!$C$9,SUM('Mortgage Calculators (By Year)'!E$22:E41),NA()),IF($B41&lt;='Mortgage Calculators (By Year)'!$J$12,SUM('Mortgage Calculators (By Year)'!L$22:L41),NA()))</f>
        <v>1899.9999999999998</v>
      </c>
      <c r="F41" s="8">
        <f>IF($B$20=Inputs!$B$18,IF($B41&lt;='Mortgage Calculators (By Year)'!$C$9,'Mortgage Calculators (By Year)'!F41,NA()),IF($B41&lt;='Mortgage Calculators (By Year)'!$J$12,'Mortgage Calculators (By Year)'!M41,NA()))</f>
        <v>0</v>
      </c>
      <c r="G41" s="8" t="str">
        <f>IF($B$20=Inputs!$B$18,IF($B41='Mortgage Calculators (By Year)'!$C$9,D41,""),IF($B41='Mortgage Calculators (By Year)'!$J$12,D41,""))</f>
        <v/>
      </c>
      <c r="H41" s="8" t="str">
        <f>IF($B$20=Inputs!$B$18,IF($B41='Mortgage Calculators (By Year)'!$C$9,E41,""),IF($B41='Mortgage Calculators (By Year)'!$J$12,E41,""))</f>
        <v/>
      </c>
      <c r="I41" s="8" t="e">
        <f>IF(B41=ROUND(Inputs!$K$10,0),$I$20,NA())</f>
        <v>#N/A</v>
      </c>
      <c r="K41" s="12">
        <v>19</v>
      </c>
      <c r="L41" s="8">
        <f>IF($K$20=Inputs!$B$18,IF($K41&lt;='Mortgage Calculators (By Year)'!$C$9,'Mortgage Calculators (By Year)'!D41,NA()),IF($K41&lt;='Mortgage Calculators (By Year)'!$J$12,'Mortgage Calculators (By Year)'!K41,NA()))</f>
        <v>0</v>
      </c>
      <c r="M41" s="8">
        <f>IF($K$20=Inputs!$B$18,IF($K41&lt;='Mortgage Calculators (By Year)'!$C$9,'Mortgage Calculators (By Year)'!E41,NA()),IF($K41&lt;='Mortgage Calculators (By Year)'!$J$12,'Mortgage Calculators (By Year)'!L41,NA()))</f>
        <v>99.999999999999986</v>
      </c>
      <c r="N41" s="8">
        <f t="shared" si="1"/>
        <v>99.999999999999986</v>
      </c>
      <c r="O41" s="8" t="e">
        <f>IF(K41=ROUND(Inputs!$K$10,0),$O$20,NA())</f>
        <v>#N/A</v>
      </c>
      <c r="P41" s="17"/>
    </row>
    <row r="42" spans="2:16" x14ac:dyDescent="0.35">
      <c r="B42" s="76">
        <v>20</v>
      </c>
      <c r="C42" s="8">
        <f>IF($B$20=Inputs!$B$18,IF($B42&lt;='Mortgage Calculators (By Year)'!$C$9,SUM('Mortgage Calculators (By Year)'!C$22:C42),NA()),IF($B42&lt;='Mortgage Calculators (By Year)'!$J$12,SUM('Mortgage Calculators (By Year)'!J$22:J42),NA()))</f>
        <v>0</v>
      </c>
      <c r="D42" s="8">
        <f>IF($B$20=Inputs!$B$18,IF($B42&lt;='Mortgage Calculators (By Year)'!$C$9,SUM('Mortgage Calculators (By Year)'!D$22:D42),NA()),IF($B42&lt;='Mortgage Calculators (By Year)'!$J$12,SUM('Mortgage Calculators (By Year)'!K$22:K42),NA()))</f>
        <v>0</v>
      </c>
      <c r="E42" s="8">
        <f>IF($B$20=Inputs!$B$18,IF($B42&lt;='Mortgage Calculators (By Year)'!$C$9,SUM('Mortgage Calculators (By Year)'!E$22:E42),NA()),IF($B42&lt;='Mortgage Calculators (By Year)'!$J$12,SUM('Mortgage Calculators (By Year)'!L$22:L42),NA()))</f>
        <v>1999.9999999999998</v>
      </c>
      <c r="F42" s="8">
        <f>IF($B$20=Inputs!$B$18,IF($B42&lt;='Mortgage Calculators (By Year)'!$C$9,'Mortgage Calculators (By Year)'!F42,NA()),IF($B42&lt;='Mortgage Calculators (By Year)'!$J$12,'Mortgage Calculators (By Year)'!M42,NA()))</f>
        <v>0</v>
      </c>
      <c r="G42" s="8" t="str">
        <f>IF($B$20=Inputs!$B$18,IF($B42='Mortgage Calculators (By Year)'!$C$9,D42,""),IF($B42='Mortgage Calculators (By Year)'!$J$12,D42,""))</f>
        <v/>
      </c>
      <c r="H42" s="8" t="str">
        <f>IF($B$20=Inputs!$B$18,IF($B42='Mortgage Calculators (By Year)'!$C$9,E42,""),IF($B42='Mortgage Calculators (By Year)'!$J$12,E42,""))</f>
        <v/>
      </c>
      <c r="I42" s="8" t="e">
        <f>IF(B42=ROUND(Inputs!$K$10,0),$I$20,NA())</f>
        <v>#N/A</v>
      </c>
      <c r="K42" s="12">
        <v>20</v>
      </c>
      <c r="L42" s="8">
        <f>IF($K$20=Inputs!$B$18,IF($K42&lt;='Mortgage Calculators (By Year)'!$C$9,'Mortgage Calculators (By Year)'!D42,NA()),IF($K42&lt;='Mortgage Calculators (By Year)'!$J$12,'Mortgage Calculators (By Year)'!K42,NA()))</f>
        <v>0</v>
      </c>
      <c r="M42" s="8">
        <f>IF($K$20=Inputs!$B$18,IF($K42&lt;='Mortgage Calculators (By Year)'!$C$9,'Mortgage Calculators (By Year)'!E42,NA()),IF($K42&lt;='Mortgage Calculators (By Year)'!$J$12,'Mortgage Calculators (By Year)'!L42,NA()))</f>
        <v>99.999999999999986</v>
      </c>
      <c r="N42" s="8">
        <f t="shared" si="1"/>
        <v>99.999999999999986</v>
      </c>
      <c r="O42" s="8" t="e">
        <f>IF(K42=ROUND(Inputs!$K$10,0),$O$20,NA())</f>
        <v>#N/A</v>
      </c>
      <c r="P42" s="17"/>
    </row>
    <row r="43" spans="2:16" x14ac:dyDescent="0.35">
      <c r="B43" s="76">
        <v>21</v>
      </c>
      <c r="C43" s="8">
        <f>IF($B$20=Inputs!$B$18,IF($B43&lt;='Mortgage Calculators (By Year)'!$C$9,SUM('Mortgage Calculators (By Year)'!C$22:C43),NA()),IF($B43&lt;='Mortgage Calculators (By Year)'!$J$12,SUM('Mortgage Calculators (By Year)'!J$22:J43),NA()))</f>
        <v>0</v>
      </c>
      <c r="D43" s="8">
        <f>IF($B$20=Inputs!$B$18,IF($B43&lt;='Mortgage Calculators (By Year)'!$C$9,SUM('Mortgage Calculators (By Year)'!D$22:D43),NA()),IF($B43&lt;='Mortgage Calculators (By Year)'!$J$12,SUM('Mortgage Calculators (By Year)'!K$22:K43),NA()))</f>
        <v>0</v>
      </c>
      <c r="E43" s="8">
        <f>IF($B$20=Inputs!$B$18,IF($B43&lt;='Mortgage Calculators (By Year)'!$C$9,SUM('Mortgage Calculators (By Year)'!E$22:E43),NA()),IF($B43&lt;='Mortgage Calculators (By Year)'!$J$12,SUM('Mortgage Calculators (By Year)'!L$22:L43),NA()))</f>
        <v>2099.9999999999995</v>
      </c>
      <c r="F43" s="8">
        <f>IF($B$20=Inputs!$B$18,IF($B43&lt;='Mortgage Calculators (By Year)'!$C$9,'Mortgage Calculators (By Year)'!F43,NA()),IF($B43&lt;='Mortgage Calculators (By Year)'!$J$12,'Mortgage Calculators (By Year)'!M43,NA()))</f>
        <v>0</v>
      </c>
      <c r="G43" s="8" t="str">
        <f>IF($B$20=Inputs!$B$18,IF($B43='Mortgage Calculators (By Year)'!$C$9,D43,""),IF($B43='Mortgage Calculators (By Year)'!$J$12,D43,""))</f>
        <v/>
      </c>
      <c r="H43" s="8" t="str">
        <f>IF($B$20=Inputs!$B$18,IF($B43='Mortgage Calculators (By Year)'!$C$9,E43,""),IF($B43='Mortgage Calculators (By Year)'!$J$12,E43,""))</f>
        <v/>
      </c>
      <c r="I43" s="8" t="e">
        <f>IF(B43=ROUND(Inputs!$K$10,0),$I$20,NA())</f>
        <v>#N/A</v>
      </c>
      <c r="K43" s="12">
        <v>21</v>
      </c>
      <c r="L43" s="8">
        <f>IF($K$20=Inputs!$B$18,IF($K43&lt;='Mortgage Calculators (By Year)'!$C$9,'Mortgage Calculators (By Year)'!D43,NA()),IF($K43&lt;='Mortgage Calculators (By Year)'!$J$12,'Mortgage Calculators (By Year)'!K43,NA()))</f>
        <v>0</v>
      </c>
      <c r="M43" s="8">
        <f>IF($K$20=Inputs!$B$18,IF($K43&lt;='Mortgage Calculators (By Year)'!$C$9,'Mortgage Calculators (By Year)'!E43,NA()),IF($K43&lt;='Mortgage Calculators (By Year)'!$J$12,'Mortgage Calculators (By Year)'!L43,NA()))</f>
        <v>99.999999999999986</v>
      </c>
      <c r="N43" s="8">
        <f t="shared" si="1"/>
        <v>99.999999999999986</v>
      </c>
      <c r="O43" s="8" t="e">
        <f>IF(K43=ROUND(Inputs!$K$10,0),$O$20,NA())</f>
        <v>#N/A</v>
      </c>
      <c r="P43" s="17"/>
    </row>
    <row r="44" spans="2:16" x14ac:dyDescent="0.35">
      <c r="B44" s="76">
        <v>22</v>
      </c>
      <c r="C44" s="8">
        <f>IF($B$20=Inputs!$B$18,IF($B44&lt;='Mortgage Calculators (By Year)'!$C$9,SUM('Mortgage Calculators (By Year)'!C$22:C44),NA()),IF($B44&lt;='Mortgage Calculators (By Year)'!$J$12,SUM('Mortgage Calculators (By Year)'!J$22:J44),NA()))</f>
        <v>0</v>
      </c>
      <c r="D44" s="8">
        <f>IF($B$20=Inputs!$B$18,IF($B44&lt;='Mortgage Calculators (By Year)'!$C$9,SUM('Mortgage Calculators (By Year)'!D$22:D44),NA()),IF($B44&lt;='Mortgage Calculators (By Year)'!$J$12,SUM('Mortgage Calculators (By Year)'!K$22:K44),NA()))</f>
        <v>0</v>
      </c>
      <c r="E44" s="8">
        <f>IF($B$20=Inputs!$B$18,IF($B44&lt;='Mortgage Calculators (By Year)'!$C$9,SUM('Mortgage Calculators (By Year)'!E$22:E44),NA()),IF($B44&lt;='Mortgage Calculators (By Year)'!$J$12,SUM('Mortgage Calculators (By Year)'!L$22:L44),NA()))</f>
        <v>2199.9999999999995</v>
      </c>
      <c r="F44" s="8">
        <f>IF($B$20=Inputs!$B$18,IF($B44&lt;='Mortgage Calculators (By Year)'!$C$9,'Mortgage Calculators (By Year)'!F44,NA()),IF($B44&lt;='Mortgage Calculators (By Year)'!$J$12,'Mortgage Calculators (By Year)'!M44,NA()))</f>
        <v>0</v>
      </c>
      <c r="G44" s="8" t="str">
        <f>IF($B$20=Inputs!$B$18,IF($B44='Mortgage Calculators (By Year)'!$C$9,D44,""),IF($B44='Mortgage Calculators (By Year)'!$J$12,D44,""))</f>
        <v/>
      </c>
      <c r="H44" s="8" t="str">
        <f>IF($B$20=Inputs!$B$18,IF($B44='Mortgage Calculators (By Year)'!$C$9,E44,""),IF($B44='Mortgage Calculators (By Year)'!$J$12,E44,""))</f>
        <v/>
      </c>
      <c r="I44" s="8" t="e">
        <f>IF(B44=ROUND(Inputs!$K$10,0),$I$20,NA())</f>
        <v>#N/A</v>
      </c>
      <c r="K44" s="12">
        <v>22</v>
      </c>
      <c r="L44" s="8">
        <f>IF($K$20=Inputs!$B$18,IF($K44&lt;='Mortgage Calculators (By Year)'!$C$9,'Mortgage Calculators (By Year)'!D44,NA()),IF($K44&lt;='Mortgage Calculators (By Year)'!$J$12,'Mortgage Calculators (By Year)'!K44,NA()))</f>
        <v>0</v>
      </c>
      <c r="M44" s="8">
        <f>IF($K$20=Inputs!$B$18,IF($K44&lt;='Mortgage Calculators (By Year)'!$C$9,'Mortgage Calculators (By Year)'!E44,NA()),IF($K44&lt;='Mortgage Calculators (By Year)'!$J$12,'Mortgage Calculators (By Year)'!L44,NA()))</f>
        <v>99.999999999999986</v>
      </c>
      <c r="N44" s="8">
        <f t="shared" si="1"/>
        <v>99.999999999999986</v>
      </c>
      <c r="O44" s="8" t="e">
        <f>IF(K44=ROUND(Inputs!$K$10,0),$O$20,NA())</f>
        <v>#N/A</v>
      </c>
      <c r="P44" s="17"/>
    </row>
    <row r="45" spans="2:16" x14ac:dyDescent="0.35">
      <c r="B45" s="76">
        <v>23</v>
      </c>
      <c r="C45" s="8">
        <f>IF($B$20=Inputs!$B$18,IF($B45&lt;='Mortgage Calculators (By Year)'!$C$9,SUM('Mortgage Calculators (By Year)'!C$22:C45),NA()),IF($B45&lt;='Mortgage Calculators (By Year)'!$J$12,SUM('Mortgage Calculators (By Year)'!J$22:J45),NA()))</f>
        <v>0</v>
      </c>
      <c r="D45" s="8">
        <f>IF($B$20=Inputs!$B$18,IF($B45&lt;='Mortgage Calculators (By Year)'!$C$9,SUM('Mortgage Calculators (By Year)'!D$22:D45),NA()),IF($B45&lt;='Mortgage Calculators (By Year)'!$J$12,SUM('Mortgage Calculators (By Year)'!K$22:K45),NA()))</f>
        <v>0</v>
      </c>
      <c r="E45" s="8">
        <f>IF($B$20=Inputs!$B$18,IF($B45&lt;='Mortgage Calculators (By Year)'!$C$9,SUM('Mortgage Calculators (By Year)'!E$22:E45),NA()),IF($B45&lt;='Mortgage Calculators (By Year)'!$J$12,SUM('Mortgage Calculators (By Year)'!L$22:L45),NA()))</f>
        <v>2299.9999999999995</v>
      </c>
      <c r="F45" s="8">
        <f>IF($B$20=Inputs!$B$18,IF($B45&lt;='Mortgage Calculators (By Year)'!$C$9,'Mortgage Calculators (By Year)'!F45,NA()),IF($B45&lt;='Mortgage Calculators (By Year)'!$J$12,'Mortgage Calculators (By Year)'!M45,NA()))</f>
        <v>0</v>
      </c>
      <c r="G45" s="8" t="str">
        <f>IF($B$20=Inputs!$B$18,IF($B45='Mortgage Calculators (By Year)'!$C$9,D45,""),IF($B45='Mortgage Calculators (By Year)'!$J$12,D45,""))</f>
        <v/>
      </c>
      <c r="H45" s="8" t="str">
        <f>IF($B$20=Inputs!$B$18,IF($B45='Mortgage Calculators (By Year)'!$C$9,E45,""),IF($B45='Mortgage Calculators (By Year)'!$J$12,E45,""))</f>
        <v/>
      </c>
      <c r="I45" s="8" t="e">
        <f>IF(B45=ROUND(Inputs!$K$10,0),$I$20,NA())</f>
        <v>#N/A</v>
      </c>
      <c r="K45" s="12">
        <v>23</v>
      </c>
      <c r="L45" s="8">
        <f>IF($K$20=Inputs!$B$18,IF($K45&lt;='Mortgage Calculators (By Year)'!$C$9,'Mortgage Calculators (By Year)'!D45,NA()),IF($K45&lt;='Mortgage Calculators (By Year)'!$J$12,'Mortgage Calculators (By Year)'!K45,NA()))</f>
        <v>0</v>
      </c>
      <c r="M45" s="8">
        <f>IF($K$20=Inputs!$B$18,IF($K45&lt;='Mortgage Calculators (By Year)'!$C$9,'Mortgage Calculators (By Year)'!E45,NA()),IF($K45&lt;='Mortgage Calculators (By Year)'!$J$12,'Mortgage Calculators (By Year)'!L45,NA()))</f>
        <v>99.999999999999986</v>
      </c>
      <c r="N45" s="8">
        <f t="shared" si="1"/>
        <v>99.999999999999986</v>
      </c>
      <c r="O45" s="8" t="e">
        <f>IF(K45=ROUND(Inputs!$K$10,0),$O$20,NA())</f>
        <v>#N/A</v>
      </c>
      <c r="P45" s="17"/>
    </row>
    <row r="46" spans="2:16" x14ac:dyDescent="0.35">
      <c r="B46" s="76">
        <v>24</v>
      </c>
      <c r="C46" s="8">
        <f>IF($B$20=Inputs!$B$18,IF($B46&lt;='Mortgage Calculators (By Year)'!$C$9,SUM('Mortgage Calculators (By Year)'!C$22:C46),NA()),IF($B46&lt;='Mortgage Calculators (By Year)'!$J$12,SUM('Mortgage Calculators (By Year)'!J$22:J46),NA()))</f>
        <v>0</v>
      </c>
      <c r="D46" s="8">
        <f>IF($B$20=Inputs!$B$18,IF($B46&lt;='Mortgage Calculators (By Year)'!$C$9,SUM('Mortgage Calculators (By Year)'!D$22:D46),NA()),IF($B46&lt;='Mortgage Calculators (By Year)'!$J$12,SUM('Mortgage Calculators (By Year)'!K$22:K46),NA()))</f>
        <v>0</v>
      </c>
      <c r="E46" s="8">
        <f>IF($B$20=Inputs!$B$18,IF($B46&lt;='Mortgage Calculators (By Year)'!$C$9,SUM('Mortgage Calculators (By Year)'!E$22:E46),NA()),IF($B46&lt;='Mortgage Calculators (By Year)'!$J$12,SUM('Mortgage Calculators (By Year)'!L$22:L46),NA()))</f>
        <v>2399.9999999999995</v>
      </c>
      <c r="F46" s="8">
        <f>IF($B$20=Inputs!$B$18,IF($B46&lt;='Mortgage Calculators (By Year)'!$C$9,'Mortgage Calculators (By Year)'!F46,NA()),IF($B46&lt;='Mortgage Calculators (By Year)'!$J$12,'Mortgage Calculators (By Year)'!M46,NA()))</f>
        <v>0</v>
      </c>
      <c r="G46" s="8" t="str">
        <f>IF($B$20=Inputs!$B$18,IF($B46='Mortgage Calculators (By Year)'!$C$9,D46,""),IF($B46='Mortgage Calculators (By Year)'!$J$12,D46,""))</f>
        <v/>
      </c>
      <c r="H46" s="8" t="str">
        <f>IF($B$20=Inputs!$B$18,IF($B46='Mortgage Calculators (By Year)'!$C$9,E46,""),IF($B46='Mortgage Calculators (By Year)'!$J$12,E46,""))</f>
        <v/>
      </c>
      <c r="I46" s="8" t="e">
        <f>IF(B46=ROUND(Inputs!$K$10,0),$I$20,NA())</f>
        <v>#N/A</v>
      </c>
      <c r="K46" s="12">
        <v>24</v>
      </c>
      <c r="L46" s="8">
        <f>IF($K$20=Inputs!$B$18,IF($K46&lt;='Mortgage Calculators (By Year)'!$C$9,'Mortgage Calculators (By Year)'!D46,NA()),IF($K46&lt;='Mortgage Calculators (By Year)'!$J$12,'Mortgage Calculators (By Year)'!K46,NA()))</f>
        <v>0</v>
      </c>
      <c r="M46" s="8">
        <f>IF($K$20=Inputs!$B$18,IF($K46&lt;='Mortgage Calculators (By Year)'!$C$9,'Mortgage Calculators (By Year)'!E46,NA()),IF($K46&lt;='Mortgage Calculators (By Year)'!$J$12,'Mortgage Calculators (By Year)'!L46,NA()))</f>
        <v>99.999999999999986</v>
      </c>
      <c r="N46" s="8">
        <f t="shared" si="1"/>
        <v>99.999999999999986</v>
      </c>
      <c r="O46" s="8" t="e">
        <f>IF(K46=ROUND(Inputs!$K$10,0),$O$20,NA())</f>
        <v>#N/A</v>
      </c>
      <c r="P46" s="17"/>
    </row>
    <row r="47" spans="2:16" x14ac:dyDescent="0.35">
      <c r="B47" s="76">
        <v>25</v>
      </c>
      <c r="C47" s="8">
        <f>IF($B$20=Inputs!$B$18,IF($B47&lt;='Mortgage Calculators (By Year)'!$C$9,SUM('Mortgage Calculators (By Year)'!C$22:C47),NA()),IF($B47&lt;='Mortgage Calculators (By Year)'!$J$12,SUM('Mortgage Calculators (By Year)'!J$22:J47),NA()))</f>
        <v>0</v>
      </c>
      <c r="D47" s="8">
        <f>IF($B$20=Inputs!$B$18,IF($B47&lt;='Mortgage Calculators (By Year)'!$C$9,SUM('Mortgage Calculators (By Year)'!D$22:D47),NA()),IF($B47&lt;='Mortgage Calculators (By Year)'!$J$12,SUM('Mortgage Calculators (By Year)'!K$22:K47),NA()))</f>
        <v>0</v>
      </c>
      <c r="E47" s="8">
        <f>IF($B$20=Inputs!$B$18,IF($B47&lt;='Mortgage Calculators (By Year)'!$C$9,SUM('Mortgage Calculators (By Year)'!E$22:E47),NA()),IF($B47&lt;='Mortgage Calculators (By Year)'!$J$12,SUM('Mortgage Calculators (By Year)'!L$22:L47),NA()))</f>
        <v>2499.9999999999995</v>
      </c>
      <c r="F47" s="8">
        <f>IF($B$20=Inputs!$B$18,IF($B47&lt;='Mortgage Calculators (By Year)'!$C$9,'Mortgage Calculators (By Year)'!F47,NA()),IF($B47&lt;='Mortgage Calculators (By Year)'!$J$12,'Mortgage Calculators (By Year)'!M47,NA()))</f>
        <v>0</v>
      </c>
      <c r="G47" s="8" t="str">
        <f>IF($B$20=Inputs!$B$18,IF($B47='Mortgage Calculators (By Year)'!$C$9,D47,""),IF($B47='Mortgage Calculators (By Year)'!$J$12,D47,""))</f>
        <v/>
      </c>
      <c r="H47" s="8" t="str">
        <f>IF($B$20=Inputs!$B$18,IF($B47='Mortgage Calculators (By Year)'!$C$9,E47,""),IF($B47='Mortgage Calculators (By Year)'!$J$12,E47,""))</f>
        <v/>
      </c>
      <c r="I47" s="8" t="e">
        <f>IF(B47=ROUND(Inputs!$K$10,0),$I$20,NA())</f>
        <v>#N/A</v>
      </c>
      <c r="K47" s="12">
        <v>25</v>
      </c>
      <c r="L47" s="8">
        <f>IF($K$20=Inputs!$B$18,IF($K47&lt;='Mortgage Calculators (By Year)'!$C$9,'Mortgage Calculators (By Year)'!D47,NA()),IF($K47&lt;='Mortgage Calculators (By Year)'!$J$12,'Mortgage Calculators (By Year)'!K47,NA()))</f>
        <v>0</v>
      </c>
      <c r="M47" s="8">
        <f>IF($K$20=Inputs!$B$18,IF($K47&lt;='Mortgage Calculators (By Year)'!$C$9,'Mortgage Calculators (By Year)'!E47,NA()),IF($K47&lt;='Mortgage Calculators (By Year)'!$J$12,'Mortgage Calculators (By Year)'!L47,NA()))</f>
        <v>99.999999999999986</v>
      </c>
      <c r="N47" s="8">
        <f t="shared" si="1"/>
        <v>99.999999999999986</v>
      </c>
      <c r="O47" s="8" t="e">
        <f>IF(K47=ROUND(Inputs!$K$10,0),$O$20,NA())</f>
        <v>#N/A</v>
      </c>
      <c r="P47" s="17"/>
    </row>
    <row r="48" spans="2:16" x14ac:dyDescent="0.35">
      <c r="B48" s="76">
        <v>26</v>
      </c>
      <c r="C48" s="8">
        <f>IF($B$20=Inputs!$B$18,IF($B48&lt;='Mortgage Calculators (By Year)'!$C$9,SUM('Mortgage Calculators (By Year)'!C$22:C48),NA()),IF($B48&lt;='Mortgage Calculators (By Year)'!$J$12,SUM('Mortgage Calculators (By Year)'!J$22:J48),NA()))</f>
        <v>0</v>
      </c>
      <c r="D48" s="8">
        <f>IF($B$20=Inputs!$B$18,IF($B48&lt;='Mortgage Calculators (By Year)'!$C$9,SUM('Mortgage Calculators (By Year)'!D$22:D48),NA()),IF($B48&lt;='Mortgage Calculators (By Year)'!$J$12,SUM('Mortgage Calculators (By Year)'!K$22:K48),NA()))</f>
        <v>0</v>
      </c>
      <c r="E48" s="8">
        <f>IF($B$20=Inputs!$B$18,IF($B48&lt;='Mortgage Calculators (By Year)'!$C$9,SUM('Mortgage Calculators (By Year)'!E$22:E48),NA()),IF($B48&lt;='Mortgage Calculators (By Year)'!$J$12,SUM('Mortgage Calculators (By Year)'!L$22:L48),NA()))</f>
        <v>2599.9999999999995</v>
      </c>
      <c r="F48" s="8">
        <f>IF($B$20=Inputs!$B$18,IF($B48&lt;='Mortgage Calculators (By Year)'!$C$9,'Mortgage Calculators (By Year)'!F48,NA()),IF($B48&lt;='Mortgage Calculators (By Year)'!$J$12,'Mortgage Calculators (By Year)'!M48,NA()))</f>
        <v>0</v>
      </c>
      <c r="G48" s="8" t="str">
        <f>IF($B$20=Inputs!$B$18,IF($B48='Mortgage Calculators (By Year)'!$C$9,D48,""),IF($B48='Mortgage Calculators (By Year)'!$J$12,D48,""))</f>
        <v/>
      </c>
      <c r="H48" s="8" t="str">
        <f>IF($B$20=Inputs!$B$18,IF($B48='Mortgage Calculators (By Year)'!$C$9,E48,""),IF($B48='Mortgage Calculators (By Year)'!$J$12,E48,""))</f>
        <v/>
      </c>
      <c r="I48" s="8" t="e">
        <f>IF(B48=ROUND(Inputs!$K$10,0),$I$20,NA())</f>
        <v>#N/A</v>
      </c>
      <c r="K48" s="12">
        <v>26</v>
      </c>
      <c r="L48" s="8">
        <f>IF($K$20=Inputs!$B$18,IF($K48&lt;='Mortgage Calculators (By Year)'!$C$9,'Mortgage Calculators (By Year)'!D48,NA()),IF($K48&lt;='Mortgage Calculators (By Year)'!$J$12,'Mortgage Calculators (By Year)'!K48,NA()))</f>
        <v>0</v>
      </c>
      <c r="M48" s="8">
        <f>IF($K$20=Inputs!$B$18,IF($K48&lt;='Mortgage Calculators (By Year)'!$C$9,'Mortgage Calculators (By Year)'!E48,NA()),IF($K48&lt;='Mortgage Calculators (By Year)'!$J$12,'Mortgage Calculators (By Year)'!L48,NA()))</f>
        <v>99.999999999999986</v>
      </c>
      <c r="N48" s="8">
        <f t="shared" si="1"/>
        <v>99.999999999999986</v>
      </c>
      <c r="O48" s="8" t="e">
        <f>IF(K48=ROUND(Inputs!$K$10,0),$O$20,NA())</f>
        <v>#N/A</v>
      </c>
      <c r="P48" s="17"/>
    </row>
    <row r="49" spans="2:16" x14ac:dyDescent="0.35">
      <c r="B49" s="76">
        <v>27</v>
      </c>
      <c r="C49" s="8">
        <f>IF($B$20=Inputs!$B$18,IF($B49&lt;='Mortgage Calculators (By Year)'!$C$9,SUM('Mortgage Calculators (By Year)'!C$22:C49),NA()),IF($B49&lt;='Mortgage Calculators (By Year)'!$J$12,SUM('Mortgage Calculators (By Year)'!J$22:J49),NA()))</f>
        <v>0</v>
      </c>
      <c r="D49" s="8">
        <f>IF($B$20=Inputs!$B$18,IF($B49&lt;='Mortgage Calculators (By Year)'!$C$9,SUM('Mortgage Calculators (By Year)'!D$22:D49),NA()),IF($B49&lt;='Mortgage Calculators (By Year)'!$J$12,SUM('Mortgage Calculators (By Year)'!K$22:K49),NA()))</f>
        <v>0</v>
      </c>
      <c r="E49" s="8">
        <f>IF($B$20=Inputs!$B$18,IF($B49&lt;='Mortgage Calculators (By Year)'!$C$9,SUM('Mortgage Calculators (By Year)'!E$22:E49),NA()),IF($B49&lt;='Mortgage Calculators (By Year)'!$J$12,SUM('Mortgage Calculators (By Year)'!L$22:L49),NA()))</f>
        <v>2699.9999999999995</v>
      </c>
      <c r="F49" s="8">
        <f>IF($B$20=Inputs!$B$18,IF($B49&lt;='Mortgage Calculators (By Year)'!$C$9,'Mortgage Calculators (By Year)'!F49,NA()),IF($B49&lt;='Mortgage Calculators (By Year)'!$J$12,'Mortgage Calculators (By Year)'!M49,NA()))</f>
        <v>0</v>
      </c>
      <c r="G49" s="8" t="str">
        <f>IF($B$20=Inputs!$B$18,IF($B49='Mortgage Calculators (By Year)'!$C$9,D49,""),IF($B49='Mortgage Calculators (By Year)'!$J$12,D49,""))</f>
        <v/>
      </c>
      <c r="H49" s="8" t="str">
        <f>IF($B$20=Inputs!$B$18,IF($B49='Mortgage Calculators (By Year)'!$C$9,E49,""),IF($B49='Mortgage Calculators (By Year)'!$J$12,E49,""))</f>
        <v/>
      </c>
      <c r="I49" s="8" t="e">
        <f>IF(B49=ROUND(Inputs!$K$10,0),$I$20,NA())</f>
        <v>#N/A</v>
      </c>
      <c r="K49" s="12">
        <v>27</v>
      </c>
      <c r="L49" s="8">
        <f>IF($K$20=Inputs!$B$18,IF($K49&lt;='Mortgage Calculators (By Year)'!$C$9,'Mortgage Calculators (By Year)'!D49,NA()),IF($K49&lt;='Mortgage Calculators (By Year)'!$J$12,'Mortgage Calculators (By Year)'!K49,NA()))</f>
        <v>0</v>
      </c>
      <c r="M49" s="8">
        <f>IF($K$20=Inputs!$B$18,IF($K49&lt;='Mortgage Calculators (By Year)'!$C$9,'Mortgage Calculators (By Year)'!E49,NA()),IF($K49&lt;='Mortgage Calculators (By Year)'!$J$12,'Mortgage Calculators (By Year)'!L49,NA()))</f>
        <v>99.999999999999986</v>
      </c>
      <c r="N49" s="8">
        <f t="shared" si="1"/>
        <v>99.999999999999986</v>
      </c>
      <c r="O49" s="8" t="e">
        <f>IF(K49=ROUND(Inputs!$K$10,0),$O$20,NA())</f>
        <v>#N/A</v>
      </c>
      <c r="P49" s="17"/>
    </row>
    <row r="50" spans="2:16" x14ac:dyDescent="0.35">
      <c r="B50" s="76">
        <v>28</v>
      </c>
      <c r="C50" s="8">
        <f>IF($B$20=Inputs!$B$18,IF($B50&lt;='Mortgage Calculators (By Year)'!$C$9,SUM('Mortgage Calculators (By Year)'!C$22:C50),NA()),IF($B50&lt;='Mortgage Calculators (By Year)'!$J$12,SUM('Mortgage Calculators (By Year)'!J$22:J50),NA()))</f>
        <v>0</v>
      </c>
      <c r="D50" s="8">
        <f>IF($B$20=Inputs!$B$18,IF($B50&lt;='Mortgage Calculators (By Year)'!$C$9,SUM('Mortgage Calculators (By Year)'!D$22:D50),NA()),IF($B50&lt;='Mortgage Calculators (By Year)'!$J$12,SUM('Mortgage Calculators (By Year)'!K$22:K50),NA()))</f>
        <v>0</v>
      </c>
      <c r="E50" s="8">
        <f>IF($B$20=Inputs!$B$18,IF($B50&lt;='Mortgage Calculators (By Year)'!$C$9,SUM('Mortgage Calculators (By Year)'!E$22:E50),NA()),IF($B50&lt;='Mortgage Calculators (By Year)'!$J$12,SUM('Mortgage Calculators (By Year)'!L$22:L50),NA()))</f>
        <v>2799.9999999999995</v>
      </c>
      <c r="F50" s="8">
        <f>IF($B$20=Inputs!$B$18,IF($B50&lt;='Mortgage Calculators (By Year)'!$C$9,'Mortgage Calculators (By Year)'!F50,NA()),IF($B50&lt;='Mortgage Calculators (By Year)'!$J$12,'Mortgage Calculators (By Year)'!M50,NA()))</f>
        <v>0</v>
      </c>
      <c r="G50" s="8" t="str">
        <f>IF($B$20=Inputs!$B$18,IF($B50='Mortgage Calculators (By Year)'!$C$9,D50,""),IF($B50='Mortgage Calculators (By Year)'!$J$12,D50,""))</f>
        <v/>
      </c>
      <c r="H50" s="8" t="str">
        <f>IF($B$20=Inputs!$B$18,IF($B50='Mortgage Calculators (By Year)'!$C$9,E50,""),IF($B50='Mortgage Calculators (By Year)'!$J$12,E50,""))</f>
        <v/>
      </c>
      <c r="I50" s="8" t="e">
        <f>IF(B50=ROUND(Inputs!$K$10,0),$I$20,NA())</f>
        <v>#N/A</v>
      </c>
      <c r="K50" s="12">
        <v>28</v>
      </c>
      <c r="L50" s="8">
        <f>IF($K$20=Inputs!$B$18,IF($K50&lt;='Mortgage Calculators (By Year)'!$C$9,'Mortgage Calculators (By Year)'!D50,NA()),IF($K50&lt;='Mortgage Calculators (By Year)'!$J$12,'Mortgage Calculators (By Year)'!K50,NA()))</f>
        <v>0</v>
      </c>
      <c r="M50" s="8">
        <f>IF($K$20=Inputs!$B$18,IF($K50&lt;='Mortgage Calculators (By Year)'!$C$9,'Mortgage Calculators (By Year)'!E50,NA()),IF($K50&lt;='Mortgage Calculators (By Year)'!$J$12,'Mortgage Calculators (By Year)'!L50,NA()))</f>
        <v>99.999999999999986</v>
      </c>
      <c r="N50" s="8">
        <f t="shared" si="1"/>
        <v>99.999999999999986</v>
      </c>
      <c r="O50" s="8" t="e">
        <f>IF(K50=ROUND(Inputs!$K$10,0),$O$20,NA())</f>
        <v>#N/A</v>
      </c>
      <c r="P50" s="17"/>
    </row>
    <row r="51" spans="2:16" x14ac:dyDescent="0.35">
      <c r="B51" s="76">
        <v>29</v>
      </c>
      <c r="C51" s="8">
        <f>IF($B$20=Inputs!$B$18,IF($B51&lt;='Mortgage Calculators (By Year)'!$C$9,SUM('Mortgage Calculators (By Year)'!C$22:C51),NA()),IF($B51&lt;='Mortgage Calculators (By Year)'!$J$12,SUM('Mortgage Calculators (By Year)'!J$22:J51),NA()))</f>
        <v>0</v>
      </c>
      <c r="D51" s="8">
        <f>IF($B$20=Inputs!$B$18,IF($B51&lt;='Mortgage Calculators (By Year)'!$C$9,SUM('Mortgage Calculators (By Year)'!D$22:D51),NA()),IF($B51&lt;='Mortgage Calculators (By Year)'!$J$12,SUM('Mortgage Calculators (By Year)'!K$22:K51),NA()))</f>
        <v>0</v>
      </c>
      <c r="E51" s="8">
        <f>IF($B$20=Inputs!$B$18,IF($B51&lt;='Mortgage Calculators (By Year)'!$C$9,SUM('Mortgage Calculators (By Year)'!E$22:E51),NA()),IF($B51&lt;='Mortgage Calculators (By Year)'!$J$12,SUM('Mortgage Calculators (By Year)'!L$22:L51),NA()))</f>
        <v>2899.9999999999995</v>
      </c>
      <c r="F51" s="8">
        <f>IF($B$20=Inputs!$B$18,IF($B51&lt;='Mortgage Calculators (By Year)'!$C$9,'Mortgage Calculators (By Year)'!F51,NA()),IF($B51&lt;='Mortgage Calculators (By Year)'!$J$12,'Mortgage Calculators (By Year)'!M51,NA()))</f>
        <v>0</v>
      </c>
      <c r="G51" s="8" t="str">
        <f>IF($B$20=Inputs!$B$18,IF($B51='Mortgage Calculators (By Year)'!$C$9,D51,""),IF($B51='Mortgage Calculators (By Year)'!$J$12,D51,""))</f>
        <v/>
      </c>
      <c r="H51" s="8" t="str">
        <f>IF($B$20=Inputs!$B$18,IF($B51='Mortgage Calculators (By Year)'!$C$9,E51,""),IF($B51='Mortgage Calculators (By Year)'!$J$12,E51,""))</f>
        <v/>
      </c>
      <c r="I51" s="8" t="e">
        <f>IF(B51=ROUND(Inputs!$K$10,0),$I$20,NA())</f>
        <v>#N/A</v>
      </c>
      <c r="K51" s="12">
        <v>29</v>
      </c>
      <c r="L51" s="8">
        <f>IF($K$20=Inputs!$B$18,IF($K51&lt;='Mortgage Calculators (By Year)'!$C$9,'Mortgage Calculators (By Year)'!D51,NA()),IF($K51&lt;='Mortgage Calculators (By Year)'!$J$12,'Mortgage Calculators (By Year)'!K51,NA()))</f>
        <v>0</v>
      </c>
      <c r="M51" s="8">
        <f>IF($K$20=Inputs!$B$18,IF($K51&lt;='Mortgage Calculators (By Year)'!$C$9,'Mortgage Calculators (By Year)'!E51,NA()),IF($K51&lt;='Mortgage Calculators (By Year)'!$J$12,'Mortgage Calculators (By Year)'!L51,NA()))</f>
        <v>99.999999999999986</v>
      </c>
      <c r="N51" s="8">
        <f t="shared" si="1"/>
        <v>99.999999999999986</v>
      </c>
      <c r="O51" s="8" t="e">
        <f>IF(K51=ROUND(Inputs!$K$10,0),$O$20,NA())</f>
        <v>#N/A</v>
      </c>
      <c r="P51" s="17"/>
    </row>
    <row r="52" spans="2:16" x14ac:dyDescent="0.35">
      <c r="B52" s="76">
        <v>30</v>
      </c>
      <c r="C52" s="8">
        <f>IF($B$20=Inputs!$B$18,IF($B52&lt;='Mortgage Calculators (By Year)'!$C$9,SUM('Mortgage Calculators (By Year)'!C$22:C52),NA()),IF($B52&lt;='Mortgage Calculators (By Year)'!$J$12,SUM('Mortgage Calculators (By Year)'!J$22:J52),NA()))</f>
        <v>0</v>
      </c>
      <c r="D52" s="8">
        <f>IF($B$20=Inputs!$B$18,IF($B52&lt;='Mortgage Calculators (By Year)'!$C$9,SUM('Mortgage Calculators (By Year)'!D$22:D52),NA()),IF($B52&lt;='Mortgage Calculators (By Year)'!$J$12,SUM('Mortgage Calculators (By Year)'!K$22:K52),NA()))</f>
        <v>0</v>
      </c>
      <c r="E52" s="8">
        <f>IF($B$20=Inputs!$B$18,IF($B52&lt;='Mortgage Calculators (By Year)'!$C$9,SUM('Mortgage Calculators (By Year)'!E$22:E52),NA()),IF($B52&lt;='Mortgage Calculators (By Year)'!$J$12,SUM('Mortgage Calculators (By Year)'!L$22:L52),NA()))</f>
        <v>2999.9999999999995</v>
      </c>
      <c r="F52" s="8">
        <f>IF($B$20=Inputs!$B$18,IF($B52&lt;='Mortgage Calculators (By Year)'!$C$9,'Mortgage Calculators (By Year)'!F52,NA()),IF($B52&lt;='Mortgage Calculators (By Year)'!$J$12,'Mortgage Calculators (By Year)'!M52,NA()))</f>
        <v>0</v>
      </c>
      <c r="G52" s="8">
        <f>IF($B$20=Inputs!$B$18,IF($B52='Mortgage Calculators (By Year)'!$C$9,D52,""),IF($B52='Mortgage Calculators (By Year)'!$J$12,D52,""))</f>
        <v>0</v>
      </c>
      <c r="H52" s="8">
        <f>IF($B$20=Inputs!$B$18,IF($B52='Mortgage Calculators (By Year)'!$C$9,E52,""),IF($B52='Mortgage Calculators (By Year)'!$J$12,E52,""))</f>
        <v>2999.9999999999995</v>
      </c>
      <c r="I52" s="8" t="e">
        <f>IF(B52=ROUND(Inputs!$K$10,0),$I$20,NA())</f>
        <v>#N/A</v>
      </c>
      <c r="K52" s="12">
        <v>30</v>
      </c>
      <c r="L52" s="8">
        <f>IF($K$20=Inputs!$B$18,IF($K52&lt;='Mortgage Calculators (By Year)'!$C$9,'Mortgage Calculators (By Year)'!D52,NA()),IF($K52&lt;='Mortgage Calculators (By Year)'!$J$12,'Mortgage Calculators (By Year)'!K52,NA()))</f>
        <v>0</v>
      </c>
      <c r="M52" s="8">
        <f>IF($K$20=Inputs!$B$18,IF($K52&lt;='Mortgage Calculators (By Year)'!$C$9,'Mortgage Calculators (By Year)'!E52,NA()),IF($K52&lt;='Mortgage Calculators (By Year)'!$J$12,'Mortgage Calculators (By Year)'!L52,NA()))</f>
        <v>99.999999999999986</v>
      </c>
      <c r="N52" s="8">
        <f t="shared" si="1"/>
        <v>99.999999999999986</v>
      </c>
      <c r="O52" s="8" t="e">
        <f>IF(K52=ROUND(Inputs!$K$10,0),$O$20,NA())</f>
        <v>#N/A</v>
      </c>
      <c r="P52" s="17"/>
    </row>
    <row r="53" spans="2:16" x14ac:dyDescent="0.35">
      <c r="B53" s="76">
        <v>31</v>
      </c>
      <c r="C53" s="8" t="e">
        <f>IF($B$20=Inputs!$B$18,IF($B53&lt;='Mortgage Calculators (By Year)'!$C$9,SUM('Mortgage Calculators (By Year)'!C$22:C53),NA()),IF($B53&lt;='Mortgage Calculators (By Year)'!$J$12,SUM('Mortgage Calculators (By Year)'!J$22:J53),NA()))</f>
        <v>#N/A</v>
      </c>
      <c r="D53" s="8" t="e">
        <f>IF($B$20=Inputs!$B$18,IF($B53&lt;='Mortgage Calculators (By Year)'!$C$9,SUM('Mortgage Calculators (By Year)'!D$22:D53),NA()),IF($B53&lt;='Mortgage Calculators (By Year)'!$J$12,SUM('Mortgage Calculators (By Year)'!K$22:K53),NA()))</f>
        <v>#N/A</v>
      </c>
      <c r="E53" s="8" t="e">
        <f>IF($B$20=Inputs!$B$18,IF($B53&lt;='Mortgage Calculators (By Year)'!$C$9,SUM('Mortgage Calculators (By Year)'!E$22:E53),NA()),IF($B53&lt;='Mortgage Calculators (By Year)'!$J$12,SUM('Mortgage Calculators (By Year)'!L$22:L53),NA()))</f>
        <v>#N/A</v>
      </c>
      <c r="F53" s="8" t="e">
        <f>IF($B$20=Inputs!$B$18,IF($B53&lt;='Mortgage Calculators (By Year)'!$C$9,'Mortgage Calculators (By Year)'!F53,NA()),IF($B53&lt;='Mortgage Calculators (By Year)'!$J$12,'Mortgage Calculators (By Year)'!M53,NA()))</f>
        <v>#N/A</v>
      </c>
      <c r="G53" s="8" t="str">
        <f>IF($B$20=Inputs!$B$18,IF($B53='Mortgage Calculators (By Year)'!$C$9,D53,""),IF($B53='Mortgage Calculators (By Year)'!$J$12,D53,""))</f>
        <v/>
      </c>
      <c r="H53" s="8" t="str">
        <f>IF($B$20=Inputs!$B$18,IF($B53='Mortgage Calculators (By Year)'!$C$9,E53,""),IF($B53='Mortgage Calculators (By Year)'!$J$12,E53,""))</f>
        <v/>
      </c>
      <c r="I53" s="8" t="e">
        <f>IF(B53=ROUND(Inputs!$K$10,0),$I$20,NA())</f>
        <v>#N/A</v>
      </c>
      <c r="K53" s="12">
        <v>31</v>
      </c>
      <c r="L53" s="8" t="e">
        <f>IF($K$20=Inputs!$B$18,IF($K53&lt;='Mortgage Calculators (By Year)'!$C$9,'Mortgage Calculators (By Year)'!D53,NA()),IF($K53&lt;='Mortgage Calculators (By Year)'!$J$12,'Mortgage Calculators (By Year)'!K53,NA()))</f>
        <v>#N/A</v>
      </c>
      <c r="M53" s="8" t="e">
        <f>IF($K$20=Inputs!$B$18,IF($K53&lt;='Mortgage Calculators (By Year)'!$C$9,'Mortgage Calculators (By Year)'!E53,NA()),IF($K53&lt;='Mortgage Calculators (By Year)'!$J$12,'Mortgage Calculators (By Year)'!L53,NA()))</f>
        <v>#N/A</v>
      </c>
      <c r="N53" s="8" t="e">
        <f t="shared" ref="N53:N73" si="2">L53+M53</f>
        <v>#N/A</v>
      </c>
      <c r="O53" s="8" t="e">
        <f>IF(K53=ROUND(Inputs!$K$10,0),$O$20,NA())</f>
        <v>#N/A</v>
      </c>
      <c r="P53" s="17"/>
    </row>
    <row r="54" spans="2:16" x14ac:dyDescent="0.35">
      <c r="B54" s="76">
        <v>32</v>
      </c>
      <c r="C54" s="8" t="e">
        <f>IF($B$20=Inputs!$B$18,IF($B54&lt;='Mortgage Calculators (By Year)'!$C$9,SUM('Mortgage Calculators (By Year)'!C$22:C54),NA()),IF($B54&lt;='Mortgage Calculators (By Year)'!$J$12,SUM('Mortgage Calculators (By Year)'!J$22:J54),NA()))</f>
        <v>#N/A</v>
      </c>
      <c r="D54" s="8" t="e">
        <f>IF($B$20=Inputs!$B$18,IF($B54&lt;='Mortgage Calculators (By Year)'!$C$9,SUM('Mortgage Calculators (By Year)'!D$22:D54),NA()),IF($B54&lt;='Mortgage Calculators (By Year)'!$J$12,SUM('Mortgage Calculators (By Year)'!K$22:K54),NA()))</f>
        <v>#N/A</v>
      </c>
      <c r="E54" s="8" t="e">
        <f>IF($B$20=Inputs!$B$18,IF($B54&lt;='Mortgage Calculators (By Year)'!$C$9,SUM('Mortgage Calculators (By Year)'!E$22:E54),NA()),IF($B54&lt;='Mortgage Calculators (By Year)'!$J$12,SUM('Mortgage Calculators (By Year)'!L$22:L54),NA()))</f>
        <v>#N/A</v>
      </c>
      <c r="F54" s="8" t="e">
        <f>IF($B$20=Inputs!$B$18,IF($B54&lt;='Mortgage Calculators (By Year)'!$C$9,'Mortgage Calculators (By Year)'!F54,NA()),IF($B54&lt;='Mortgage Calculators (By Year)'!$J$12,'Mortgage Calculators (By Year)'!M54,NA()))</f>
        <v>#N/A</v>
      </c>
      <c r="G54" s="8" t="str">
        <f>IF($B$20=Inputs!$B$18,IF($B54='Mortgage Calculators (By Year)'!$C$9,D54,""),IF($B54='Mortgage Calculators (By Year)'!$J$12,D54,""))</f>
        <v/>
      </c>
      <c r="H54" s="8" t="str">
        <f>IF($B$20=Inputs!$B$18,IF($B54='Mortgage Calculators (By Year)'!$C$9,E54,""),IF($B54='Mortgage Calculators (By Year)'!$J$12,E54,""))</f>
        <v/>
      </c>
      <c r="I54" s="8" t="e">
        <f>IF(B54=ROUND(Inputs!$K$10,0),$I$20,NA())</f>
        <v>#N/A</v>
      </c>
      <c r="K54" s="12">
        <v>32</v>
      </c>
      <c r="L54" s="8" t="e">
        <f>IF($K$20=Inputs!$B$18,IF($K54&lt;='Mortgage Calculators (By Year)'!$C$9,'Mortgage Calculators (By Year)'!D54,NA()),IF($K54&lt;='Mortgage Calculators (By Year)'!$J$12,'Mortgage Calculators (By Year)'!K54,NA()))</f>
        <v>#N/A</v>
      </c>
      <c r="M54" s="8" t="e">
        <f>IF($K$20=Inputs!$B$18,IF($K54&lt;='Mortgage Calculators (By Year)'!$C$9,'Mortgage Calculators (By Year)'!E54,NA()),IF($K54&lt;='Mortgage Calculators (By Year)'!$J$12,'Mortgage Calculators (By Year)'!L54,NA()))</f>
        <v>#N/A</v>
      </c>
      <c r="N54" s="8" t="e">
        <f t="shared" si="2"/>
        <v>#N/A</v>
      </c>
      <c r="O54" s="8" t="e">
        <f>IF(K54=ROUND(Inputs!$K$10,0),$O$20,NA())</f>
        <v>#N/A</v>
      </c>
      <c r="P54" s="17"/>
    </row>
    <row r="55" spans="2:16" x14ac:dyDescent="0.35">
      <c r="B55" s="76">
        <v>33</v>
      </c>
      <c r="C55" s="8" t="e">
        <f>IF($B$20=Inputs!$B$18,IF($B55&lt;='Mortgage Calculators (By Year)'!$C$9,SUM('Mortgage Calculators (By Year)'!C$22:C55),NA()),IF($B55&lt;='Mortgage Calculators (By Year)'!$J$12,SUM('Mortgage Calculators (By Year)'!J$22:J55),NA()))</f>
        <v>#N/A</v>
      </c>
      <c r="D55" s="8" t="e">
        <f>IF($B$20=Inputs!$B$18,IF($B55&lt;='Mortgage Calculators (By Year)'!$C$9,SUM('Mortgage Calculators (By Year)'!D$22:D55),NA()),IF($B55&lt;='Mortgage Calculators (By Year)'!$J$12,SUM('Mortgage Calculators (By Year)'!K$22:K55),NA()))</f>
        <v>#N/A</v>
      </c>
      <c r="E55" s="8" t="e">
        <f>IF($B$20=Inputs!$B$18,IF($B55&lt;='Mortgage Calculators (By Year)'!$C$9,SUM('Mortgage Calculators (By Year)'!E$22:E55),NA()),IF($B55&lt;='Mortgage Calculators (By Year)'!$J$12,SUM('Mortgage Calculators (By Year)'!L$22:L55),NA()))</f>
        <v>#N/A</v>
      </c>
      <c r="F55" s="8" t="e">
        <f>IF($B$20=Inputs!$B$18,IF($B55&lt;='Mortgage Calculators (By Year)'!$C$9,'Mortgage Calculators (By Year)'!F55,NA()),IF($B55&lt;='Mortgage Calculators (By Year)'!$J$12,'Mortgage Calculators (By Year)'!M55,NA()))</f>
        <v>#N/A</v>
      </c>
      <c r="G55" s="8" t="str">
        <f>IF($B$20=Inputs!$B$18,IF($B55='Mortgage Calculators (By Year)'!$C$9,D55,""),IF($B55='Mortgage Calculators (By Year)'!$J$12,D55,""))</f>
        <v/>
      </c>
      <c r="H55" s="8" t="str">
        <f>IF($B$20=Inputs!$B$18,IF($B55='Mortgage Calculators (By Year)'!$C$9,E55,""),IF($B55='Mortgage Calculators (By Year)'!$J$12,E55,""))</f>
        <v/>
      </c>
      <c r="I55" s="8" t="e">
        <f>IF(B55=ROUND(Inputs!$K$10,0),$I$20,NA())</f>
        <v>#N/A</v>
      </c>
      <c r="K55" s="12">
        <v>33</v>
      </c>
      <c r="L55" s="8" t="e">
        <f>IF($K$20=Inputs!$B$18,IF($K55&lt;='Mortgage Calculators (By Year)'!$C$9,'Mortgage Calculators (By Year)'!D55,NA()),IF($K55&lt;='Mortgage Calculators (By Year)'!$J$12,'Mortgage Calculators (By Year)'!K55,NA()))</f>
        <v>#N/A</v>
      </c>
      <c r="M55" s="8" t="e">
        <f>IF($K$20=Inputs!$B$18,IF($K55&lt;='Mortgage Calculators (By Year)'!$C$9,'Mortgage Calculators (By Year)'!E55,NA()),IF($K55&lt;='Mortgage Calculators (By Year)'!$J$12,'Mortgage Calculators (By Year)'!L55,NA()))</f>
        <v>#N/A</v>
      </c>
      <c r="N55" s="8" t="e">
        <f t="shared" si="2"/>
        <v>#N/A</v>
      </c>
      <c r="O55" s="8" t="e">
        <f>IF(K55=ROUND(Inputs!$K$10,0),$O$20,NA())</f>
        <v>#N/A</v>
      </c>
      <c r="P55" s="17"/>
    </row>
    <row r="56" spans="2:16" x14ac:dyDescent="0.35">
      <c r="B56" s="76">
        <v>34</v>
      </c>
      <c r="C56" s="8" t="e">
        <f>IF($B$20=Inputs!$B$18,IF($B56&lt;='Mortgage Calculators (By Year)'!$C$9,SUM('Mortgage Calculators (By Year)'!C$22:C56),NA()),IF($B56&lt;='Mortgage Calculators (By Year)'!$J$12,SUM('Mortgage Calculators (By Year)'!J$22:J56),NA()))</f>
        <v>#N/A</v>
      </c>
      <c r="D56" s="8" t="e">
        <f>IF($B$20=Inputs!$B$18,IF($B56&lt;='Mortgage Calculators (By Year)'!$C$9,SUM('Mortgage Calculators (By Year)'!D$22:D56),NA()),IF($B56&lt;='Mortgage Calculators (By Year)'!$J$12,SUM('Mortgage Calculators (By Year)'!K$22:K56),NA()))</f>
        <v>#N/A</v>
      </c>
      <c r="E56" s="8" t="e">
        <f>IF($B$20=Inputs!$B$18,IF($B56&lt;='Mortgage Calculators (By Year)'!$C$9,SUM('Mortgage Calculators (By Year)'!E$22:E56),NA()),IF($B56&lt;='Mortgage Calculators (By Year)'!$J$12,SUM('Mortgage Calculators (By Year)'!L$22:L56),NA()))</f>
        <v>#N/A</v>
      </c>
      <c r="F56" s="8" t="e">
        <f>IF($B$20=Inputs!$B$18,IF($B56&lt;='Mortgage Calculators (By Year)'!$C$9,'Mortgage Calculators (By Year)'!F56,NA()),IF($B56&lt;='Mortgage Calculators (By Year)'!$J$12,'Mortgage Calculators (By Year)'!M56,NA()))</f>
        <v>#N/A</v>
      </c>
      <c r="G56" s="8" t="str">
        <f>IF($B$20=Inputs!$B$18,IF($B56='Mortgage Calculators (By Year)'!$C$9,D56,""),IF($B56='Mortgage Calculators (By Year)'!$J$12,D56,""))</f>
        <v/>
      </c>
      <c r="H56" s="8" t="str">
        <f>IF($B$20=Inputs!$B$18,IF($B56='Mortgage Calculators (By Year)'!$C$9,E56,""),IF($B56='Mortgage Calculators (By Year)'!$J$12,E56,""))</f>
        <v/>
      </c>
      <c r="I56" s="8" t="e">
        <f>IF(B56=ROUND(Inputs!$K$10,0),$I$20,NA())</f>
        <v>#N/A</v>
      </c>
      <c r="K56" s="12">
        <v>34</v>
      </c>
      <c r="L56" s="8" t="e">
        <f>IF($K$20=Inputs!$B$18,IF($K56&lt;='Mortgage Calculators (By Year)'!$C$9,'Mortgage Calculators (By Year)'!D56,NA()),IF($K56&lt;='Mortgage Calculators (By Year)'!$J$12,'Mortgage Calculators (By Year)'!K56,NA()))</f>
        <v>#N/A</v>
      </c>
      <c r="M56" s="8" t="e">
        <f>IF($K$20=Inputs!$B$18,IF($K56&lt;='Mortgage Calculators (By Year)'!$C$9,'Mortgage Calculators (By Year)'!E56,NA()),IF($K56&lt;='Mortgage Calculators (By Year)'!$J$12,'Mortgage Calculators (By Year)'!L56,NA()))</f>
        <v>#N/A</v>
      </c>
      <c r="N56" s="8" t="e">
        <f t="shared" si="2"/>
        <v>#N/A</v>
      </c>
      <c r="O56" s="8" t="e">
        <f>IF(K56=ROUND(Inputs!$K$10,0),$O$20,NA())</f>
        <v>#N/A</v>
      </c>
      <c r="P56" s="17"/>
    </row>
    <row r="57" spans="2:16" x14ac:dyDescent="0.35">
      <c r="B57" s="76">
        <v>35</v>
      </c>
      <c r="C57" s="8" t="e">
        <f>IF($B$20=Inputs!$B$18,IF($B57&lt;='Mortgage Calculators (By Year)'!$C$9,SUM('Mortgage Calculators (By Year)'!C$22:C57),NA()),IF($B57&lt;='Mortgage Calculators (By Year)'!$J$12,SUM('Mortgage Calculators (By Year)'!J$22:J57),NA()))</f>
        <v>#N/A</v>
      </c>
      <c r="D57" s="8" t="e">
        <f>IF($B$20=Inputs!$B$18,IF($B57&lt;='Mortgage Calculators (By Year)'!$C$9,SUM('Mortgage Calculators (By Year)'!D$22:D57),NA()),IF($B57&lt;='Mortgage Calculators (By Year)'!$J$12,SUM('Mortgage Calculators (By Year)'!K$22:K57),NA()))</f>
        <v>#N/A</v>
      </c>
      <c r="E57" s="8" t="e">
        <f>IF($B$20=Inputs!$B$18,IF($B57&lt;='Mortgage Calculators (By Year)'!$C$9,SUM('Mortgage Calculators (By Year)'!E$22:E57),NA()),IF($B57&lt;='Mortgage Calculators (By Year)'!$J$12,SUM('Mortgage Calculators (By Year)'!L$22:L57),NA()))</f>
        <v>#N/A</v>
      </c>
      <c r="F57" s="8" t="e">
        <f>IF($B$20=Inputs!$B$18,IF($B57&lt;='Mortgage Calculators (By Year)'!$C$9,'Mortgage Calculators (By Year)'!F57,NA()),IF($B57&lt;='Mortgage Calculators (By Year)'!$J$12,'Mortgage Calculators (By Year)'!M57,NA()))</f>
        <v>#N/A</v>
      </c>
      <c r="G57" s="8" t="str">
        <f>IF($B$20=Inputs!$B$18,IF($B57='Mortgage Calculators (By Year)'!$C$9,D57,""),IF($B57='Mortgage Calculators (By Year)'!$J$12,D57,""))</f>
        <v/>
      </c>
      <c r="H57" s="8" t="str">
        <f>IF($B$20=Inputs!$B$18,IF($B57='Mortgage Calculators (By Year)'!$C$9,E57,""),IF($B57='Mortgage Calculators (By Year)'!$J$12,E57,""))</f>
        <v/>
      </c>
      <c r="I57" s="8" t="e">
        <f>IF(B57=ROUND(Inputs!$K$10,0),$I$20,NA())</f>
        <v>#N/A</v>
      </c>
      <c r="K57" s="12">
        <v>35</v>
      </c>
      <c r="L57" s="8" t="e">
        <f>IF($K$20=Inputs!$B$18,IF($K57&lt;='Mortgage Calculators (By Year)'!$C$9,'Mortgage Calculators (By Year)'!D57,NA()),IF($K57&lt;='Mortgage Calculators (By Year)'!$J$12,'Mortgage Calculators (By Year)'!K57,NA()))</f>
        <v>#N/A</v>
      </c>
      <c r="M57" s="8" t="e">
        <f>IF($K$20=Inputs!$B$18,IF($K57&lt;='Mortgage Calculators (By Year)'!$C$9,'Mortgage Calculators (By Year)'!E57,NA()),IF($K57&lt;='Mortgage Calculators (By Year)'!$J$12,'Mortgage Calculators (By Year)'!L57,NA()))</f>
        <v>#N/A</v>
      </c>
      <c r="N57" s="8" t="e">
        <f t="shared" si="2"/>
        <v>#N/A</v>
      </c>
      <c r="O57" s="8" t="e">
        <f>IF(K57=ROUND(Inputs!$K$10,0),$O$20,NA())</f>
        <v>#N/A</v>
      </c>
      <c r="P57" s="17"/>
    </row>
    <row r="58" spans="2:16" x14ac:dyDescent="0.35">
      <c r="B58" s="76">
        <v>36</v>
      </c>
      <c r="C58" s="8" t="e">
        <f>IF($B$20=Inputs!$B$18,IF($B58&lt;='Mortgage Calculators (By Year)'!$C$9,SUM('Mortgage Calculators (By Year)'!C$22:C58),NA()),IF($B58&lt;='Mortgage Calculators (By Year)'!$J$12,SUM('Mortgage Calculators (By Year)'!J$22:J58),NA()))</f>
        <v>#N/A</v>
      </c>
      <c r="D58" s="8" t="e">
        <f>IF($B$20=Inputs!$B$18,IF($B58&lt;='Mortgage Calculators (By Year)'!$C$9,SUM('Mortgage Calculators (By Year)'!D$22:D58),NA()),IF($B58&lt;='Mortgage Calculators (By Year)'!$J$12,SUM('Mortgage Calculators (By Year)'!K$22:K58),NA()))</f>
        <v>#N/A</v>
      </c>
      <c r="E58" s="8" t="e">
        <f>IF($B$20=Inputs!$B$18,IF($B58&lt;='Mortgage Calculators (By Year)'!$C$9,SUM('Mortgage Calculators (By Year)'!E$22:E58),NA()),IF($B58&lt;='Mortgage Calculators (By Year)'!$J$12,SUM('Mortgage Calculators (By Year)'!L$22:L58),NA()))</f>
        <v>#N/A</v>
      </c>
      <c r="F58" s="8" t="e">
        <f>IF($B$20=Inputs!$B$18,IF($B58&lt;='Mortgage Calculators (By Year)'!$C$9,'Mortgage Calculators (By Year)'!F58,NA()),IF($B58&lt;='Mortgage Calculators (By Year)'!$J$12,'Mortgage Calculators (By Year)'!M58,NA()))</f>
        <v>#N/A</v>
      </c>
      <c r="G58" s="8" t="str">
        <f>IF($B$20=Inputs!$B$18,IF($B58='Mortgage Calculators (By Year)'!$C$9,D58,""),IF($B58='Mortgage Calculators (By Year)'!$J$12,D58,""))</f>
        <v/>
      </c>
      <c r="H58" s="8" t="str">
        <f>IF($B$20=Inputs!$B$18,IF($B58='Mortgage Calculators (By Year)'!$C$9,E58,""),IF($B58='Mortgage Calculators (By Year)'!$J$12,E58,""))</f>
        <v/>
      </c>
      <c r="I58" s="8" t="e">
        <f>IF(B58=ROUND(Inputs!$K$10,0),$I$20,NA())</f>
        <v>#N/A</v>
      </c>
      <c r="K58" s="12">
        <v>36</v>
      </c>
      <c r="L58" s="8" t="e">
        <f>IF($K$20=Inputs!$B$18,IF($K58&lt;='Mortgage Calculators (By Year)'!$C$9,'Mortgage Calculators (By Year)'!D58,NA()),IF($K58&lt;='Mortgage Calculators (By Year)'!$J$12,'Mortgage Calculators (By Year)'!K58,NA()))</f>
        <v>#N/A</v>
      </c>
      <c r="M58" s="8" t="e">
        <f>IF($K$20=Inputs!$B$18,IF($K58&lt;='Mortgage Calculators (By Year)'!$C$9,'Mortgage Calculators (By Year)'!E58,NA()),IF($K58&lt;='Mortgage Calculators (By Year)'!$J$12,'Mortgage Calculators (By Year)'!L58,NA()))</f>
        <v>#N/A</v>
      </c>
      <c r="N58" s="8" t="e">
        <f t="shared" si="2"/>
        <v>#N/A</v>
      </c>
      <c r="O58" s="8" t="e">
        <f>IF(K58=ROUND(Inputs!$K$10,0),$O$20,NA())</f>
        <v>#N/A</v>
      </c>
      <c r="P58" s="17"/>
    </row>
    <row r="59" spans="2:16" x14ac:dyDescent="0.35">
      <c r="B59" s="76">
        <v>37</v>
      </c>
      <c r="C59" s="8" t="e">
        <f>IF($B$20=Inputs!$B$18,IF($B59&lt;='Mortgage Calculators (By Year)'!$C$9,SUM('Mortgage Calculators (By Year)'!C$22:C59),NA()),IF($B59&lt;='Mortgage Calculators (By Year)'!$J$12,SUM('Mortgage Calculators (By Year)'!J$22:J59),NA()))</f>
        <v>#N/A</v>
      </c>
      <c r="D59" s="8" t="e">
        <f>IF($B$20=Inputs!$B$18,IF($B59&lt;='Mortgage Calculators (By Year)'!$C$9,SUM('Mortgage Calculators (By Year)'!D$22:D59),NA()),IF($B59&lt;='Mortgage Calculators (By Year)'!$J$12,SUM('Mortgage Calculators (By Year)'!K$22:K59),NA()))</f>
        <v>#N/A</v>
      </c>
      <c r="E59" s="8" t="e">
        <f>IF($B$20=Inputs!$B$18,IF($B59&lt;='Mortgage Calculators (By Year)'!$C$9,SUM('Mortgage Calculators (By Year)'!E$22:E59),NA()),IF($B59&lt;='Mortgage Calculators (By Year)'!$J$12,SUM('Mortgage Calculators (By Year)'!L$22:L59),NA()))</f>
        <v>#N/A</v>
      </c>
      <c r="F59" s="8" t="e">
        <f>IF($B$20=Inputs!$B$18,IF($B59&lt;='Mortgage Calculators (By Year)'!$C$9,'Mortgage Calculators (By Year)'!F59,NA()),IF($B59&lt;='Mortgage Calculators (By Year)'!$J$12,'Mortgage Calculators (By Year)'!M59,NA()))</f>
        <v>#N/A</v>
      </c>
      <c r="G59" s="8" t="str">
        <f>IF($B$20=Inputs!$B$18,IF($B59='Mortgage Calculators (By Year)'!$C$9,D59,""),IF($B59='Mortgage Calculators (By Year)'!$J$12,D59,""))</f>
        <v/>
      </c>
      <c r="H59" s="8" t="str">
        <f>IF($B$20=Inputs!$B$18,IF($B59='Mortgage Calculators (By Year)'!$C$9,E59,""),IF($B59='Mortgage Calculators (By Year)'!$J$12,E59,""))</f>
        <v/>
      </c>
      <c r="I59" s="8" t="e">
        <f>IF(B59=ROUND(Inputs!$K$10,0),$I$20,NA())</f>
        <v>#N/A</v>
      </c>
      <c r="K59" s="12">
        <v>37</v>
      </c>
      <c r="L59" s="8" t="e">
        <f>IF($K$20=Inputs!$B$18,IF($K59&lt;='Mortgage Calculators (By Year)'!$C$9,'Mortgage Calculators (By Year)'!D59,NA()),IF($K59&lt;='Mortgage Calculators (By Year)'!$J$12,'Mortgage Calculators (By Year)'!K59,NA()))</f>
        <v>#N/A</v>
      </c>
      <c r="M59" s="8" t="e">
        <f>IF($K$20=Inputs!$B$18,IF($K59&lt;='Mortgage Calculators (By Year)'!$C$9,'Mortgage Calculators (By Year)'!E59,NA()),IF($K59&lt;='Mortgage Calculators (By Year)'!$J$12,'Mortgage Calculators (By Year)'!L59,NA()))</f>
        <v>#N/A</v>
      </c>
      <c r="N59" s="8" t="e">
        <f t="shared" si="2"/>
        <v>#N/A</v>
      </c>
      <c r="O59" s="8" t="e">
        <f>IF(K59=ROUND(Inputs!$K$10,0),$O$20,NA())</f>
        <v>#N/A</v>
      </c>
      <c r="P59" s="17"/>
    </row>
    <row r="60" spans="2:16" x14ac:dyDescent="0.35">
      <c r="B60" s="76">
        <v>38</v>
      </c>
      <c r="C60" s="8" t="e">
        <f>IF($B$20=Inputs!$B$18,IF($B60&lt;='Mortgage Calculators (By Year)'!$C$9,SUM('Mortgage Calculators (By Year)'!C$22:C60),NA()),IF($B60&lt;='Mortgage Calculators (By Year)'!$J$12,SUM('Mortgage Calculators (By Year)'!J$22:J60),NA()))</f>
        <v>#N/A</v>
      </c>
      <c r="D60" s="8" t="e">
        <f>IF($B$20=Inputs!$B$18,IF($B60&lt;='Mortgage Calculators (By Year)'!$C$9,SUM('Mortgage Calculators (By Year)'!D$22:D60),NA()),IF($B60&lt;='Mortgage Calculators (By Year)'!$J$12,SUM('Mortgage Calculators (By Year)'!K$22:K60),NA()))</f>
        <v>#N/A</v>
      </c>
      <c r="E60" s="8" t="e">
        <f>IF($B$20=Inputs!$B$18,IF($B60&lt;='Mortgage Calculators (By Year)'!$C$9,SUM('Mortgage Calculators (By Year)'!E$22:E60),NA()),IF($B60&lt;='Mortgage Calculators (By Year)'!$J$12,SUM('Mortgage Calculators (By Year)'!L$22:L60),NA()))</f>
        <v>#N/A</v>
      </c>
      <c r="F60" s="8" t="e">
        <f>IF($B$20=Inputs!$B$18,IF($B60&lt;='Mortgage Calculators (By Year)'!$C$9,'Mortgage Calculators (By Year)'!F60,NA()),IF($B60&lt;='Mortgage Calculators (By Year)'!$J$12,'Mortgage Calculators (By Year)'!M60,NA()))</f>
        <v>#N/A</v>
      </c>
      <c r="G60" s="8" t="str">
        <f>IF($B$20=Inputs!$B$18,IF($B60='Mortgage Calculators (By Year)'!$C$9,D60,""),IF($B60='Mortgage Calculators (By Year)'!$J$12,D60,""))</f>
        <v/>
      </c>
      <c r="H60" s="8" t="str">
        <f>IF($B$20=Inputs!$B$18,IF($B60='Mortgage Calculators (By Year)'!$C$9,E60,""),IF($B60='Mortgage Calculators (By Year)'!$J$12,E60,""))</f>
        <v/>
      </c>
      <c r="I60" s="8" t="e">
        <f>IF(B60=ROUND(Inputs!$K$10,0),$I$20,NA())</f>
        <v>#N/A</v>
      </c>
      <c r="K60" s="12">
        <v>38</v>
      </c>
      <c r="L60" s="8" t="e">
        <f>IF($K$20=Inputs!$B$18,IF($K60&lt;='Mortgage Calculators (By Year)'!$C$9,'Mortgage Calculators (By Year)'!D60,NA()),IF($K60&lt;='Mortgage Calculators (By Year)'!$J$12,'Mortgage Calculators (By Year)'!K60,NA()))</f>
        <v>#N/A</v>
      </c>
      <c r="M60" s="8" t="e">
        <f>IF($K$20=Inputs!$B$18,IF($K60&lt;='Mortgage Calculators (By Year)'!$C$9,'Mortgage Calculators (By Year)'!E60,NA()),IF($K60&lt;='Mortgage Calculators (By Year)'!$J$12,'Mortgage Calculators (By Year)'!L60,NA()))</f>
        <v>#N/A</v>
      </c>
      <c r="N60" s="8" t="e">
        <f t="shared" si="2"/>
        <v>#N/A</v>
      </c>
      <c r="O60" s="8" t="e">
        <f>IF(K60=ROUND(Inputs!$K$10,0),$O$20,NA())</f>
        <v>#N/A</v>
      </c>
      <c r="P60" s="17"/>
    </row>
    <row r="61" spans="2:16" x14ac:dyDescent="0.35">
      <c r="B61" s="76">
        <v>39</v>
      </c>
      <c r="C61" s="8" t="e">
        <f>IF($B$20=Inputs!$B$18,IF($B61&lt;='Mortgage Calculators (By Year)'!$C$9,SUM('Mortgage Calculators (By Year)'!C$22:C61),NA()),IF($B61&lt;='Mortgage Calculators (By Year)'!$J$12,SUM('Mortgage Calculators (By Year)'!J$22:J61),NA()))</f>
        <v>#N/A</v>
      </c>
      <c r="D61" s="8" t="e">
        <f>IF($B$20=Inputs!$B$18,IF($B61&lt;='Mortgage Calculators (By Year)'!$C$9,SUM('Mortgage Calculators (By Year)'!D$22:D61),NA()),IF($B61&lt;='Mortgage Calculators (By Year)'!$J$12,SUM('Mortgage Calculators (By Year)'!K$22:K61),NA()))</f>
        <v>#N/A</v>
      </c>
      <c r="E61" s="8" t="e">
        <f>IF($B$20=Inputs!$B$18,IF($B61&lt;='Mortgage Calculators (By Year)'!$C$9,SUM('Mortgage Calculators (By Year)'!E$22:E61),NA()),IF($B61&lt;='Mortgage Calculators (By Year)'!$J$12,SUM('Mortgage Calculators (By Year)'!L$22:L61),NA()))</f>
        <v>#N/A</v>
      </c>
      <c r="F61" s="8" t="e">
        <f>IF($B$20=Inputs!$B$18,IF($B61&lt;='Mortgage Calculators (By Year)'!$C$9,'Mortgage Calculators (By Year)'!F61,NA()),IF($B61&lt;='Mortgage Calculators (By Year)'!$J$12,'Mortgage Calculators (By Year)'!M61,NA()))</f>
        <v>#N/A</v>
      </c>
      <c r="G61" s="8" t="str">
        <f>IF($B$20=Inputs!$B$18,IF($B61='Mortgage Calculators (By Year)'!$C$9,D61,""),IF($B61='Mortgage Calculators (By Year)'!$J$12,D61,""))</f>
        <v/>
      </c>
      <c r="H61" s="8" t="str">
        <f>IF($B$20=Inputs!$B$18,IF($B61='Mortgage Calculators (By Year)'!$C$9,E61,""),IF($B61='Mortgage Calculators (By Year)'!$J$12,E61,""))</f>
        <v/>
      </c>
      <c r="I61" s="8" t="e">
        <f>IF(B61=ROUND(Inputs!$K$10,0),$I$20,NA())</f>
        <v>#N/A</v>
      </c>
      <c r="K61" s="12">
        <v>39</v>
      </c>
      <c r="L61" s="8" t="e">
        <f>IF($K$20=Inputs!$B$18,IF($K61&lt;='Mortgage Calculators (By Year)'!$C$9,'Mortgage Calculators (By Year)'!D61,NA()),IF($K61&lt;='Mortgage Calculators (By Year)'!$J$12,'Mortgage Calculators (By Year)'!K61,NA()))</f>
        <v>#N/A</v>
      </c>
      <c r="M61" s="8" t="e">
        <f>IF($K$20=Inputs!$B$18,IF($K61&lt;='Mortgage Calculators (By Year)'!$C$9,'Mortgage Calculators (By Year)'!E61,NA()),IF($K61&lt;='Mortgage Calculators (By Year)'!$J$12,'Mortgage Calculators (By Year)'!L61,NA()))</f>
        <v>#N/A</v>
      </c>
      <c r="N61" s="8" t="e">
        <f t="shared" si="2"/>
        <v>#N/A</v>
      </c>
      <c r="O61" s="8" t="e">
        <f>IF(K61=ROUND(Inputs!$K$10,0),$O$20,NA())</f>
        <v>#N/A</v>
      </c>
      <c r="P61" s="17"/>
    </row>
    <row r="62" spans="2:16" x14ac:dyDescent="0.35">
      <c r="B62" s="76">
        <v>40</v>
      </c>
      <c r="C62" s="8" t="e">
        <f>IF($B$20=Inputs!$B$18,IF($B62&lt;='Mortgage Calculators (By Year)'!$C$9,SUM('Mortgage Calculators (By Year)'!C$22:C62),NA()),IF($B62&lt;='Mortgage Calculators (By Year)'!$J$12,SUM('Mortgage Calculators (By Year)'!J$22:J62),NA()))</f>
        <v>#N/A</v>
      </c>
      <c r="D62" s="8" t="e">
        <f>IF($B$20=Inputs!$B$18,IF($B62&lt;='Mortgage Calculators (By Year)'!$C$9,SUM('Mortgage Calculators (By Year)'!D$22:D62),NA()),IF($B62&lt;='Mortgage Calculators (By Year)'!$J$12,SUM('Mortgage Calculators (By Year)'!K$22:K62),NA()))</f>
        <v>#N/A</v>
      </c>
      <c r="E62" s="8" t="e">
        <f>IF($B$20=Inputs!$B$18,IF($B62&lt;='Mortgage Calculators (By Year)'!$C$9,SUM('Mortgage Calculators (By Year)'!E$22:E62),NA()),IF($B62&lt;='Mortgage Calculators (By Year)'!$J$12,SUM('Mortgage Calculators (By Year)'!L$22:L62),NA()))</f>
        <v>#N/A</v>
      </c>
      <c r="F62" s="8" t="e">
        <f>IF($B$20=Inputs!$B$18,IF($B62&lt;='Mortgage Calculators (By Year)'!$C$9,'Mortgage Calculators (By Year)'!F62,NA()),IF($B62&lt;='Mortgage Calculators (By Year)'!$J$12,'Mortgage Calculators (By Year)'!M62,NA()))</f>
        <v>#N/A</v>
      </c>
      <c r="G62" s="8" t="str">
        <f>IF($B$20=Inputs!$B$18,IF($B62='Mortgage Calculators (By Year)'!$C$9,D62,""),IF($B62='Mortgage Calculators (By Year)'!$J$12,D62,""))</f>
        <v/>
      </c>
      <c r="H62" s="8" t="str">
        <f>IF($B$20=Inputs!$B$18,IF($B62='Mortgage Calculators (By Year)'!$C$9,E62,""),IF($B62='Mortgage Calculators (By Year)'!$J$12,E62,""))</f>
        <v/>
      </c>
      <c r="I62" s="8" t="e">
        <f>IF(B62=ROUND(Inputs!$K$10,0),$I$20,NA())</f>
        <v>#N/A</v>
      </c>
      <c r="K62" s="12">
        <v>40</v>
      </c>
      <c r="L62" s="8" t="e">
        <f>IF($K$20=Inputs!$B$18,IF($K62&lt;='Mortgage Calculators (By Year)'!$C$9,'Mortgage Calculators (By Year)'!D62,NA()),IF($K62&lt;='Mortgage Calculators (By Year)'!$J$12,'Mortgage Calculators (By Year)'!K62,NA()))</f>
        <v>#N/A</v>
      </c>
      <c r="M62" s="8" t="e">
        <f>IF($K$20=Inputs!$B$18,IF($K62&lt;='Mortgage Calculators (By Year)'!$C$9,'Mortgage Calculators (By Year)'!E62,NA()),IF($K62&lt;='Mortgage Calculators (By Year)'!$J$12,'Mortgage Calculators (By Year)'!L62,NA()))</f>
        <v>#N/A</v>
      </c>
      <c r="N62" s="8" t="e">
        <f t="shared" si="2"/>
        <v>#N/A</v>
      </c>
      <c r="O62" s="8" t="e">
        <f>IF(K62=ROUND(Inputs!$K$10,0),$O$20,NA())</f>
        <v>#N/A</v>
      </c>
      <c r="P62" s="17"/>
    </row>
    <row r="63" spans="2:16" x14ac:dyDescent="0.35">
      <c r="B63" s="76">
        <v>41</v>
      </c>
      <c r="C63" s="8" t="e">
        <f>IF($B$20=Inputs!$B$18,IF($B63&lt;='Mortgage Calculators (By Year)'!$C$9,SUM('Mortgage Calculators (By Year)'!C$22:C63),NA()),IF($B63&lt;='Mortgage Calculators (By Year)'!$J$12,SUM('Mortgage Calculators (By Year)'!J$22:J63),NA()))</f>
        <v>#N/A</v>
      </c>
      <c r="D63" s="8" t="e">
        <f>IF($B$20=Inputs!$B$18,IF($B63&lt;='Mortgage Calculators (By Year)'!$C$9,SUM('Mortgage Calculators (By Year)'!D$22:D63),NA()),IF($B63&lt;='Mortgage Calculators (By Year)'!$J$12,SUM('Mortgage Calculators (By Year)'!K$22:K63),NA()))</f>
        <v>#N/A</v>
      </c>
      <c r="E63" s="8" t="e">
        <f>IF($B$20=Inputs!$B$18,IF($B63&lt;='Mortgage Calculators (By Year)'!$C$9,SUM('Mortgage Calculators (By Year)'!E$22:E63),NA()),IF($B63&lt;='Mortgage Calculators (By Year)'!$J$12,SUM('Mortgage Calculators (By Year)'!L$22:L63),NA()))</f>
        <v>#N/A</v>
      </c>
      <c r="F63" s="8" t="e">
        <f>IF($B$20=Inputs!$B$18,IF($B63&lt;='Mortgage Calculators (By Year)'!$C$9,'Mortgage Calculators (By Year)'!F63,NA()),IF($B63&lt;='Mortgage Calculators (By Year)'!$J$12,'Mortgage Calculators (By Year)'!M63,NA()))</f>
        <v>#N/A</v>
      </c>
      <c r="G63" s="8" t="str">
        <f>IF($B$20=Inputs!$B$18,IF($B63='Mortgage Calculators (By Year)'!$C$9,D63,""),IF($B63='Mortgage Calculators (By Year)'!$J$12,D63,""))</f>
        <v/>
      </c>
      <c r="H63" s="8" t="str">
        <f>IF($B$20=Inputs!$B$18,IF($B63='Mortgage Calculators (By Year)'!$C$9,E63,""),IF($B63='Mortgage Calculators (By Year)'!$J$12,E63,""))</f>
        <v/>
      </c>
      <c r="I63" s="8" t="e">
        <f>IF(B63=ROUND(Inputs!$K$10,0),$I$20,NA())</f>
        <v>#N/A</v>
      </c>
      <c r="K63" s="12">
        <v>41</v>
      </c>
      <c r="L63" s="8" t="e">
        <f>IF($K$20=Inputs!$B$18,IF($K63&lt;='Mortgage Calculators (By Year)'!$C$9,'Mortgage Calculators (By Year)'!D63,NA()),IF($K63&lt;='Mortgage Calculators (By Year)'!$J$12,'Mortgage Calculators (By Year)'!K63,NA()))</f>
        <v>#N/A</v>
      </c>
      <c r="M63" s="8" t="e">
        <f>IF($K$20=Inputs!$B$18,IF($K63&lt;='Mortgage Calculators (By Year)'!$C$9,'Mortgage Calculators (By Year)'!E63,NA()),IF($K63&lt;='Mortgage Calculators (By Year)'!$J$12,'Mortgage Calculators (By Year)'!L63,NA()))</f>
        <v>#N/A</v>
      </c>
      <c r="N63" s="8" t="e">
        <f t="shared" si="2"/>
        <v>#N/A</v>
      </c>
      <c r="O63" s="8" t="e">
        <f>IF(K63=ROUND(Inputs!$K$10,0),$O$20,NA())</f>
        <v>#N/A</v>
      </c>
      <c r="P63" s="17"/>
    </row>
    <row r="64" spans="2:16" x14ac:dyDescent="0.35">
      <c r="B64" s="76">
        <v>42</v>
      </c>
      <c r="C64" s="8" t="e">
        <f>IF($B$20=Inputs!$B$18,IF($B64&lt;='Mortgage Calculators (By Year)'!$C$9,SUM('Mortgage Calculators (By Year)'!C$22:C64),NA()),IF($B64&lt;='Mortgage Calculators (By Year)'!$J$12,SUM('Mortgage Calculators (By Year)'!J$22:J64),NA()))</f>
        <v>#N/A</v>
      </c>
      <c r="D64" s="8" t="e">
        <f>IF($B$20=Inputs!$B$18,IF($B64&lt;='Mortgage Calculators (By Year)'!$C$9,SUM('Mortgage Calculators (By Year)'!D$22:D64),NA()),IF($B64&lt;='Mortgage Calculators (By Year)'!$J$12,SUM('Mortgage Calculators (By Year)'!K$22:K64),NA()))</f>
        <v>#N/A</v>
      </c>
      <c r="E64" s="8" t="e">
        <f>IF($B$20=Inputs!$B$18,IF($B64&lt;='Mortgage Calculators (By Year)'!$C$9,SUM('Mortgage Calculators (By Year)'!E$22:E64),NA()),IF($B64&lt;='Mortgage Calculators (By Year)'!$J$12,SUM('Mortgage Calculators (By Year)'!L$22:L64),NA()))</f>
        <v>#N/A</v>
      </c>
      <c r="F64" s="8" t="e">
        <f>IF($B$20=Inputs!$B$18,IF($B64&lt;='Mortgage Calculators (By Year)'!$C$9,'Mortgage Calculators (By Year)'!F64,NA()),IF($B64&lt;='Mortgage Calculators (By Year)'!$J$12,'Mortgage Calculators (By Year)'!M64,NA()))</f>
        <v>#N/A</v>
      </c>
      <c r="G64" s="8" t="str">
        <f>IF($B$20=Inputs!$B$18,IF($B64='Mortgage Calculators (By Year)'!$C$9,D64,""),IF($B64='Mortgage Calculators (By Year)'!$J$12,D64,""))</f>
        <v/>
      </c>
      <c r="H64" s="8" t="str">
        <f>IF($B$20=Inputs!$B$18,IF($B64='Mortgage Calculators (By Year)'!$C$9,E64,""),IF($B64='Mortgage Calculators (By Year)'!$J$12,E64,""))</f>
        <v/>
      </c>
      <c r="I64" s="8" t="e">
        <f>IF(B64=ROUND(Inputs!$K$10,0),$I$20,NA())</f>
        <v>#N/A</v>
      </c>
      <c r="K64" s="12">
        <v>42</v>
      </c>
      <c r="L64" s="8" t="e">
        <f>IF($K$20=Inputs!$B$18,IF($K64&lt;='Mortgage Calculators (By Year)'!$C$9,'Mortgage Calculators (By Year)'!D64,NA()),IF($K64&lt;='Mortgage Calculators (By Year)'!$J$12,'Mortgage Calculators (By Year)'!K64,NA()))</f>
        <v>#N/A</v>
      </c>
      <c r="M64" s="8" t="e">
        <f>IF($K$20=Inputs!$B$18,IF($K64&lt;='Mortgage Calculators (By Year)'!$C$9,'Mortgage Calculators (By Year)'!E64,NA()),IF($K64&lt;='Mortgage Calculators (By Year)'!$J$12,'Mortgage Calculators (By Year)'!L64,NA()))</f>
        <v>#N/A</v>
      </c>
      <c r="N64" s="8" t="e">
        <f t="shared" si="2"/>
        <v>#N/A</v>
      </c>
      <c r="O64" s="8" t="e">
        <f>IF(K64=ROUND(Inputs!$K$10,0),$O$20,NA())</f>
        <v>#N/A</v>
      </c>
      <c r="P64" s="17"/>
    </row>
    <row r="65" spans="2:16" x14ac:dyDescent="0.35">
      <c r="B65" s="76">
        <v>43</v>
      </c>
      <c r="C65" s="8" t="e">
        <f>IF($B$20=Inputs!$B$18,IF($B65&lt;='Mortgage Calculators (By Year)'!$C$9,SUM('Mortgage Calculators (By Year)'!C$22:C65),NA()),IF($B65&lt;='Mortgage Calculators (By Year)'!$J$12,SUM('Mortgage Calculators (By Year)'!J$22:J65),NA()))</f>
        <v>#N/A</v>
      </c>
      <c r="D65" s="8" t="e">
        <f>IF($B$20=Inputs!$B$18,IF($B65&lt;='Mortgage Calculators (By Year)'!$C$9,SUM('Mortgage Calculators (By Year)'!D$22:D65),NA()),IF($B65&lt;='Mortgage Calculators (By Year)'!$J$12,SUM('Mortgage Calculators (By Year)'!K$22:K65),NA()))</f>
        <v>#N/A</v>
      </c>
      <c r="E65" s="8" t="e">
        <f>IF($B$20=Inputs!$B$18,IF($B65&lt;='Mortgage Calculators (By Year)'!$C$9,SUM('Mortgage Calculators (By Year)'!E$22:E65),NA()),IF($B65&lt;='Mortgage Calculators (By Year)'!$J$12,SUM('Mortgage Calculators (By Year)'!L$22:L65),NA()))</f>
        <v>#N/A</v>
      </c>
      <c r="F65" s="8" t="e">
        <f>IF($B$20=Inputs!$B$18,IF($B65&lt;='Mortgage Calculators (By Year)'!$C$9,'Mortgage Calculators (By Year)'!F65,NA()),IF($B65&lt;='Mortgage Calculators (By Year)'!$J$12,'Mortgage Calculators (By Year)'!M65,NA()))</f>
        <v>#N/A</v>
      </c>
      <c r="G65" s="8" t="str">
        <f>IF($B$20=Inputs!$B$18,IF($B65='Mortgage Calculators (By Year)'!$C$9,D65,""),IF($B65='Mortgage Calculators (By Year)'!$J$12,D65,""))</f>
        <v/>
      </c>
      <c r="H65" s="8" t="str">
        <f>IF($B$20=Inputs!$B$18,IF($B65='Mortgage Calculators (By Year)'!$C$9,E65,""),IF($B65='Mortgage Calculators (By Year)'!$J$12,E65,""))</f>
        <v/>
      </c>
      <c r="I65" s="8" t="e">
        <f>IF(B65=ROUND(Inputs!$K$10,0),$I$20,NA())</f>
        <v>#N/A</v>
      </c>
      <c r="K65" s="12">
        <v>43</v>
      </c>
      <c r="L65" s="8" t="e">
        <f>IF($K$20=Inputs!$B$18,IF($K65&lt;='Mortgage Calculators (By Year)'!$C$9,'Mortgage Calculators (By Year)'!D65,NA()),IF($K65&lt;='Mortgage Calculators (By Year)'!$J$12,'Mortgage Calculators (By Year)'!K65,NA()))</f>
        <v>#N/A</v>
      </c>
      <c r="M65" s="8" t="e">
        <f>IF($K$20=Inputs!$B$18,IF($K65&lt;='Mortgage Calculators (By Year)'!$C$9,'Mortgage Calculators (By Year)'!E65,NA()),IF($K65&lt;='Mortgage Calculators (By Year)'!$J$12,'Mortgage Calculators (By Year)'!L65,NA()))</f>
        <v>#N/A</v>
      </c>
      <c r="N65" s="8" t="e">
        <f t="shared" si="2"/>
        <v>#N/A</v>
      </c>
      <c r="O65" s="8" t="e">
        <f>IF(K65=ROUND(Inputs!$K$10,0),$O$20,NA())</f>
        <v>#N/A</v>
      </c>
      <c r="P65" s="17"/>
    </row>
    <row r="66" spans="2:16" x14ac:dyDescent="0.35">
      <c r="B66" s="76">
        <v>44</v>
      </c>
      <c r="C66" s="8" t="e">
        <f>IF($B$20=Inputs!$B$18,IF($B66&lt;='Mortgage Calculators (By Year)'!$C$9,SUM('Mortgage Calculators (By Year)'!C$22:C66),NA()),IF($B66&lt;='Mortgage Calculators (By Year)'!$J$12,SUM('Mortgage Calculators (By Year)'!J$22:J66),NA()))</f>
        <v>#N/A</v>
      </c>
      <c r="D66" s="8" t="e">
        <f>IF($B$20=Inputs!$B$18,IF($B66&lt;='Mortgage Calculators (By Year)'!$C$9,SUM('Mortgage Calculators (By Year)'!D$22:D66),NA()),IF($B66&lt;='Mortgage Calculators (By Year)'!$J$12,SUM('Mortgage Calculators (By Year)'!K$22:K66),NA()))</f>
        <v>#N/A</v>
      </c>
      <c r="E66" s="8" t="e">
        <f>IF($B$20=Inputs!$B$18,IF($B66&lt;='Mortgage Calculators (By Year)'!$C$9,SUM('Mortgage Calculators (By Year)'!E$22:E66),NA()),IF($B66&lt;='Mortgage Calculators (By Year)'!$J$12,SUM('Mortgage Calculators (By Year)'!L$22:L66),NA()))</f>
        <v>#N/A</v>
      </c>
      <c r="F66" s="8" t="e">
        <f>IF($B$20=Inputs!$B$18,IF($B66&lt;='Mortgage Calculators (By Year)'!$C$9,'Mortgage Calculators (By Year)'!F66,NA()),IF($B66&lt;='Mortgage Calculators (By Year)'!$J$12,'Mortgage Calculators (By Year)'!M66,NA()))</f>
        <v>#N/A</v>
      </c>
      <c r="G66" s="8" t="str">
        <f>IF($B$20=Inputs!$B$18,IF($B66='Mortgage Calculators (By Year)'!$C$9,D66,""),IF($B66='Mortgage Calculators (By Year)'!$J$12,D66,""))</f>
        <v/>
      </c>
      <c r="H66" s="8" t="str">
        <f>IF($B$20=Inputs!$B$18,IF($B66='Mortgage Calculators (By Year)'!$C$9,E66,""),IF($B66='Mortgage Calculators (By Year)'!$J$12,E66,""))</f>
        <v/>
      </c>
      <c r="I66" s="8" t="e">
        <f>IF(B66=ROUND(Inputs!$K$10,0),$I$20,NA())</f>
        <v>#N/A</v>
      </c>
      <c r="K66" s="12">
        <v>44</v>
      </c>
      <c r="L66" s="8" t="e">
        <f>IF($K$20=Inputs!$B$18,IF($K66&lt;='Mortgage Calculators (By Year)'!$C$9,'Mortgage Calculators (By Year)'!D66,NA()),IF($K66&lt;='Mortgage Calculators (By Year)'!$J$12,'Mortgage Calculators (By Year)'!K66,NA()))</f>
        <v>#N/A</v>
      </c>
      <c r="M66" s="8" t="e">
        <f>IF($K$20=Inputs!$B$18,IF($K66&lt;='Mortgage Calculators (By Year)'!$C$9,'Mortgage Calculators (By Year)'!E66,NA()),IF($K66&lt;='Mortgage Calculators (By Year)'!$J$12,'Mortgage Calculators (By Year)'!L66,NA()))</f>
        <v>#N/A</v>
      </c>
      <c r="N66" s="8" t="e">
        <f t="shared" si="2"/>
        <v>#N/A</v>
      </c>
      <c r="O66" s="8" t="e">
        <f>IF(K66=ROUND(Inputs!$K$10,0),$O$20,NA())</f>
        <v>#N/A</v>
      </c>
      <c r="P66" s="17"/>
    </row>
    <row r="67" spans="2:16" x14ac:dyDescent="0.35">
      <c r="B67" s="76">
        <v>45</v>
      </c>
      <c r="C67" s="8" t="e">
        <f>IF($B$20=Inputs!$B$18,IF($B67&lt;='Mortgage Calculators (By Year)'!$C$9,SUM('Mortgage Calculators (By Year)'!C$22:C67),NA()),IF($B67&lt;='Mortgage Calculators (By Year)'!$J$12,SUM('Mortgage Calculators (By Year)'!J$22:J67),NA()))</f>
        <v>#N/A</v>
      </c>
      <c r="D67" s="8" t="e">
        <f>IF($B$20=Inputs!$B$18,IF($B67&lt;='Mortgage Calculators (By Year)'!$C$9,SUM('Mortgage Calculators (By Year)'!D$22:D67),NA()),IF($B67&lt;='Mortgage Calculators (By Year)'!$J$12,SUM('Mortgage Calculators (By Year)'!K$22:K67),NA()))</f>
        <v>#N/A</v>
      </c>
      <c r="E67" s="8" t="e">
        <f>IF($B$20=Inputs!$B$18,IF($B67&lt;='Mortgage Calculators (By Year)'!$C$9,SUM('Mortgage Calculators (By Year)'!E$22:E67),NA()),IF($B67&lt;='Mortgage Calculators (By Year)'!$J$12,SUM('Mortgage Calculators (By Year)'!L$22:L67),NA()))</f>
        <v>#N/A</v>
      </c>
      <c r="F67" s="8" t="e">
        <f>IF($B$20=Inputs!$B$18,IF($B67&lt;='Mortgage Calculators (By Year)'!$C$9,'Mortgage Calculators (By Year)'!F67,NA()),IF($B67&lt;='Mortgage Calculators (By Year)'!$J$12,'Mortgage Calculators (By Year)'!M67,NA()))</f>
        <v>#N/A</v>
      </c>
      <c r="G67" s="8" t="str">
        <f>IF($B$20=Inputs!$B$18,IF($B67='Mortgage Calculators (By Year)'!$C$9,D67,""),IF($B67='Mortgage Calculators (By Year)'!$J$12,D67,""))</f>
        <v/>
      </c>
      <c r="H67" s="8" t="str">
        <f>IF($B$20=Inputs!$B$18,IF($B67='Mortgage Calculators (By Year)'!$C$9,E67,""),IF($B67='Mortgage Calculators (By Year)'!$J$12,E67,""))</f>
        <v/>
      </c>
      <c r="I67" s="8" t="e">
        <f>IF(B67=ROUND(Inputs!$K$10,0),$I$20,NA())</f>
        <v>#N/A</v>
      </c>
      <c r="K67" s="12">
        <v>45</v>
      </c>
      <c r="L67" s="8" t="e">
        <f>IF($K$20=Inputs!$B$18,IF($K67&lt;='Mortgage Calculators (By Year)'!$C$9,'Mortgage Calculators (By Year)'!D67,NA()),IF($K67&lt;='Mortgage Calculators (By Year)'!$J$12,'Mortgage Calculators (By Year)'!K67,NA()))</f>
        <v>#N/A</v>
      </c>
      <c r="M67" s="8" t="e">
        <f>IF($K$20=Inputs!$B$18,IF($K67&lt;='Mortgage Calculators (By Year)'!$C$9,'Mortgage Calculators (By Year)'!E67,NA()),IF($K67&lt;='Mortgage Calculators (By Year)'!$J$12,'Mortgage Calculators (By Year)'!L67,NA()))</f>
        <v>#N/A</v>
      </c>
      <c r="N67" s="8" t="e">
        <f t="shared" si="2"/>
        <v>#N/A</v>
      </c>
      <c r="O67" s="8" t="e">
        <f>IF(K67=ROUND(Inputs!$K$10,0),$O$20,NA())</f>
        <v>#N/A</v>
      </c>
      <c r="P67" s="17"/>
    </row>
    <row r="68" spans="2:16" x14ac:dyDescent="0.35">
      <c r="B68" s="76">
        <v>46</v>
      </c>
      <c r="C68" s="8" t="e">
        <f>IF($B$20=Inputs!$B$18,IF($B68&lt;='Mortgage Calculators (By Year)'!$C$9,SUM('Mortgage Calculators (By Year)'!C$22:C68),NA()),IF($B68&lt;='Mortgage Calculators (By Year)'!$J$12,SUM('Mortgage Calculators (By Year)'!J$22:J68),NA()))</f>
        <v>#N/A</v>
      </c>
      <c r="D68" s="8" t="e">
        <f>IF($B$20=Inputs!$B$18,IF($B68&lt;='Mortgage Calculators (By Year)'!$C$9,SUM('Mortgage Calculators (By Year)'!D$22:D68),NA()),IF($B68&lt;='Mortgage Calculators (By Year)'!$J$12,SUM('Mortgage Calculators (By Year)'!K$22:K68),NA()))</f>
        <v>#N/A</v>
      </c>
      <c r="E68" s="8" t="e">
        <f>IF($B$20=Inputs!$B$18,IF($B68&lt;='Mortgage Calculators (By Year)'!$C$9,SUM('Mortgage Calculators (By Year)'!E$22:E68),NA()),IF($B68&lt;='Mortgage Calculators (By Year)'!$J$12,SUM('Mortgage Calculators (By Year)'!L$22:L68),NA()))</f>
        <v>#N/A</v>
      </c>
      <c r="F68" s="8" t="e">
        <f>IF($B$20=Inputs!$B$18,IF($B68&lt;='Mortgage Calculators (By Year)'!$C$9,'Mortgage Calculators (By Year)'!F68,NA()),IF($B68&lt;='Mortgage Calculators (By Year)'!$J$12,'Mortgage Calculators (By Year)'!M68,NA()))</f>
        <v>#N/A</v>
      </c>
      <c r="G68" s="8" t="str">
        <f>IF($B$20=Inputs!$B$18,IF($B68='Mortgage Calculators (By Year)'!$C$9,D68,""),IF($B68='Mortgage Calculators (By Year)'!$J$12,D68,""))</f>
        <v/>
      </c>
      <c r="H68" s="8" t="str">
        <f>IF($B$20=Inputs!$B$18,IF($B68='Mortgage Calculators (By Year)'!$C$9,E68,""),IF($B68='Mortgage Calculators (By Year)'!$J$12,E68,""))</f>
        <v/>
      </c>
      <c r="I68" s="8" t="e">
        <f>IF(B68=ROUND(Inputs!$K$10,0),$I$20,NA())</f>
        <v>#N/A</v>
      </c>
      <c r="K68" s="12">
        <v>46</v>
      </c>
      <c r="L68" s="8" t="e">
        <f>IF($K$20=Inputs!$B$18,IF($K68&lt;='Mortgage Calculators (By Year)'!$C$9,'Mortgage Calculators (By Year)'!D68,NA()),IF($K68&lt;='Mortgage Calculators (By Year)'!$J$12,'Mortgage Calculators (By Year)'!K68,NA()))</f>
        <v>#N/A</v>
      </c>
      <c r="M68" s="8" t="e">
        <f>IF($K$20=Inputs!$B$18,IF($K68&lt;='Mortgage Calculators (By Year)'!$C$9,'Mortgage Calculators (By Year)'!E68,NA()),IF($K68&lt;='Mortgage Calculators (By Year)'!$J$12,'Mortgage Calculators (By Year)'!L68,NA()))</f>
        <v>#N/A</v>
      </c>
      <c r="N68" s="8" t="e">
        <f t="shared" si="2"/>
        <v>#N/A</v>
      </c>
      <c r="O68" s="8" t="e">
        <f>IF(K68=ROUND(Inputs!$K$10,0),$O$20,NA())</f>
        <v>#N/A</v>
      </c>
      <c r="P68" s="17"/>
    </row>
    <row r="69" spans="2:16" x14ac:dyDescent="0.35">
      <c r="B69" s="76">
        <v>47</v>
      </c>
      <c r="C69" s="8" t="e">
        <f>IF($B$20=Inputs!$B$18,IF($B69&lt;='Mortgage Calculators (By Year)'!$C$9,SUM('Mortgage Calculators (By Year)'!C$22:C69),NA()),IF($B69&lt;='Mortgage Calculators (By Year)'!$J$12,SUM('Mortgage Calculators (By Year)'!J$22:J69),NA()))</f>
        <v>#N/A</v>
      </c>
      <c r="D69" s="8" t="e">
        <f>IF($B$20=Inputs!$B$18,IF($B69&lt;='Mortgage Calculators (By Year)'!$C$9,SUM('Mortgage Calculators (By Year)'!D$22:D69),NA()),IF($B69&lt;='Mortgage Calculators (By Year)'!$J$12,SUM('Mortgage Calculators (By Year)'!K$22:K69),NA()))</f>
        <v>#N/A</v>
      </c>
      <c r="E69" s="8" t="e">
        <f>IF($B$20=Inputs!$B$18,IF($B69&lt;='Mortgage Calculators (By Year)'!$C$9,SUM('Mortgage Calculators (By Year)'!E$22:E69),NA()),IF($B69&lt;='Mortgage Calculators (By Year)'!$J$12,SUM('Mortgage Calculators (By Year)'!L$22:L69),NA()))</f>
        <v>#N/A</v>
      </c>
      <c r="F69" s="8" t="e">
        <f>IF($B$20=Inputs!$B$18,IF($B69&lt;='Mortgage Calculators (By Year)'!$C$9,'Mortgage Calculators (By Year)'!F69,NA()),IF($B69&lt;='Mortgage Calculators (By Year)'!$J$12,'Mortgage Calculators (By Year)'!M69,NA()))</f>
        <v>#N/A</v>
      </c>
      <c r="G69" s="8" t="str">
        <f>IF($B$20=Inputs!$B$18,IF($B69='Mortgage Calculators (By Year)'!$C$9,D69,""),IF($B69='Mortgage Calculators (By Year)'!$J$12,D69,""))</f>
        <v/>
      </c>
      <c r="H69" s="8" t="str">
        <f>IF($B$20=Inputs!$B$18,IF($B69='Mortgage Calculators (By Year)'!$C$9,E69,""),IF($B69='Mortgage Calculators (By Year)'!$J$12,E69,""))</f>
        <v/>
      </c>
      <c r="I69" s="8" t="e">
        <f>IF(B69=ROUND(Inputs!$K$10,0),$I$20,NA())</f>
        <v>#N/A</v>
      </c>
      <c r="K69" s="12">
        <v>47</v>
      </c>
      <c r="L69" s="8" t="e">
        <f>IF($K$20=Inputs!$B$18,IF($K69&lt;='Mortgage Calculators (By Year)'!$C$9,'Mortgage Calculators (By Year)'!D69,NA()),IF($K69&lt;='Mortgage Calculators (By Year)'!$J$12,'Mortgage Calculators (By Year)'!K69,NA()))</f>
        <v>#N/A</v>
      </c>
      <c r="M69" s="8" t="e">
        <f>IF($K$20=Inputs!$B$18,IF($K69&lt;='Mortgage Calculators (By Year)'!$C$9,'Mortgage Calculators (By Year)'!E69,NA()),IF($K69&lt;='Mortgage Calculators (By Year)'!$J$12,'Mortgage Calculators (By Year)'!L69,NA()))</f>
        <v>#N/A</v>
      </c>
      <c r="N69" s="8" t="e">
        <f t="shared" si="2"/>
        <v>#N/A</v>
      </c>
      <c r="O69" s="8" t="e">
        <f>IF(K69=ROUND(Inputs!$K$10,0),$O$20,NA())</f>
        <v>#N/A</v>
      </c>
      <c r="P69" s="17"/>
    </row>
    <row r="70" spans="2:16" x14ac:dyDescent="0.35">
      <c r="B70" s="76">
        <v>48</v>
      </c>
      <c r="C70" s="8" t="e">
        <f>IF($B$20=Inputs!$B$18,IF($B70&lt;='Mortgage Calculators (By Year)'!$C$9,SUM('Mortgage Calculators (By Year)'!C$22:C70),NA()),IF($B70&lt;='Mortgage Calculators (By Year)'!$J$12,SUM('Mortgage Calculators (By Year)'!J$22:J70),NA()))</f>
        <v>#N/A</v>
      </c>
      <c r="D70" s="8" t="e">
        <f>IF($B$20=Inputs!$B$18,IF($B70&lt;='Mortgage Calculators (By Year)'!$C$9,SUM('Mortgage Calculators (By Year)'!D$22:D70),NA()),IF($B70&lt;='Mortgage Calculators (By Year)'!$J$12,SUM('Mortgage Calculators (By Year)'!K$22:K70),NA()))</f>
        <v>#N/A</v>
      </c>
      <c r="E70" s="8" t="e">
        <f>IF($B$20=Inputs!$B$18,IF($B70&lt;='Mortgage Calculators (By Year)'!$C$9,SUM('Mortgage Calculators (By Year)'!E$22:E70),NA()),IF($B70&lt;='Mortgage Calculators (By Year)'!$J$12,SUM('Mortgage Calculators (By Year)'!L$22:L70),NA()))</f>
        <v>#N/A</v>
      </c>
      <c r="F70" s="8" t="e">
        <f>IF($B$20=Inputs!$B$18,IF($B70&lt;='Mortgage Calculators (By Year)'!$C$9,'Mortgage Calculators (By Year)'!F70,NA()),IF($B70&lt;='Mortgage Calculators (By Year)'!$J$12,'Mortgage Calculators (By Year)'!M70,NA()))</f>
        <v>#N/A</v>
      </c>
      <c r="G70" s="8" t="str">
        <f>IF($B$20=Inputs!$B$18,IF($B70='Mortgage Calculators (By Year)'!$C$9,D70,""),IF($B70='Mortgage Calculators (By Year)'!$J$12,D70,""))</f>
        <v/>
      </c>
      <c r="H70" s="8" t="str">
        <f>IF($B$20=Inputs!$B$18,IF($B70='Mortgage Calculators (By Year)'!$C$9,E70,""),IF($B70='Mortgage Calculators (By Year)'!$J$12,E70,""))</f>
        <v/>
      </c>
      <c r="I70" s="8" t="e">
        <f>IF(B70=ROUND(Inputs!$K$10,0),$I$20,NA())</f>
        <v>#N/A</v>
      </c>
      <c r="K70" s="12">
        <v>48</v>
      </c>
      <c r="L70" s="8" t="e">
        <f>IF($K$20=Inputs!$B$18,IF($K70&lt;='Mortgage Calculators (By Year)'!$C$9,'Mortgage Calculators (By Year)'!D70,NA()),IF($K70&lt;='Mortgage Calculators (By Year)'!$J$12,'Mortgage Calculators (By Year)'!K70,NA()))</f>
        <v>#N/A</v>
      </c>
      <c r="M70" s="8" t="e">
        <f>IF($K$20=Inputs!$B$18,IF($K70&lt;='Mortgage Calculators (By Year)'!$C$9,'Mortgage Calculators (By Year)'!E70,NA()),IF($K70&lt;='Mortgage Calculators (By Year)'!$J$12,'Mortgage Calculators (By Year)'!L70,NA()))</f>
        <v>#N/A</v>
      </c>
      <c r="N70" s="8" t="e">
        <f t="shared" si="2"/>
        <v>#N/A</v>
      </c>
      <c r="O70" s="8" t="e">
        <f>IF(K70=ROUND(Inputs!$K$10,0),$O$20,NA())</f>
        <v>#N/A</v>
      </c>
      <c r="P70" s="17"/>
    </row>
    <row r="71" spans="2:16" x14ac:dyDescent="0.35">
      <c r="B71" s="76">
        <v>49</v>
      </c>
      <c r="C71" s="8" t="e">
        <f>IF($B$20=Inputs!$B$18,IF($B71&lt;='Mortgage Calculators (By Year)'!$C$9,SUM('Mortgage Calculators (By Year)'!C$22:C71),NA()),IF($B71&lt;='Mortgage Calculators (By Year)'!$J$12,SUM('Mortgage Calculators (By Year)'!J$22:J71),NA()))</f>
        <v>#N/A</v>
      </c>
      <c r="D71" s="8" t="e">
        <f>IF($B$20=Inputs!$B$18,IF($B71&lt;='Mortgage Calculators (By Year)'!$C$9,SUM('Mortgage Calculators (By Year)'!D$22:D71),NA()),IF($B71&lt;='Mortgage Calculators (By Year)'!$J$12,SUM('Mortgage Calculators (By Year)'!K$22:K71),NA()))</f>
        <v>#N/A</v>
      </c>
      <c r="E71" s="8" t="e">
        <f>IF($B$20=Inputs!$B$18,IF($B71&lt;='Mortgage Calculators (By Year)'!$C$9,SUM('Mortgage Calculators (By Year)'!E$22:E71),NA()),IF($B71&lt;='Mortgage Calculators (By Year)'!$J$12,SUM('Mortgage Calculators (By Year)'!L$22:L71),NA()))</f>
        <v>#N/A</v>
      </c>
      <c r="F71" s="8" t="e">
        <f>IF($B$20=Inputs!$B$18,IF($B71&lt;='Mortgage Calculators (By Year)'!$C$9,'Mortgage Calculators (By Year)'!F71,NA()),IF($B71&lt;='Mortgage Calculators (By Year)'!$J$12,'Mortgage Calculators (By Year)'!M71,NA()))</f>
        <v>#N/A</v>
      </c>
      <c r="G71" s="8" t="str">
        <f>IF($B$20=Inputs!$B$18,IF($B71='Mortgage Calculators (By Year)'!$C$9,D71,""),IF($B71='Mortgage Calculators (By Year)'!$J$12,D71,""))</f>
        <v/>
      </c>
      <c r="H71" s="8" t="str">
        <f>IF($B$20=Inputs!$B$18,IF($B71='Mortgage Calculators (By Year)'!$C$9,E71,""),IF($B71='Mortgage Calculators (By Year)'!$J$12,E71,""))</f>
        <v/>
      </c>
      <c r="I71" s="8" t="e">
        <f>IF(B71=ROUND(Inputs!$K$10,0),$I$20,NA())</f>
        <v>#N/A</v>
      </c>
      <c r="K71" s="12">
        <v>49</v>
      </c>
      <c r="L71" s="8" t="e">
        <f>IF($K$20=Inputs!$B$18,IF($K71&lt;='Mortgage Calculators (By Year)'!$C$9,'Mortgage Calculators (By Year)'!D71,NA()),IF($K71&lt;='Mortgage Calculators (By Year)'!$J$12,'Mortgage Calculators (By Year)'!K71,NA()))</f>
        <v>#N/A</v>
      </c>
      <c r="M71" s="8" t="e">
        <f>IF($K$20=Inputs!$B$18,IF($K71&lt;='Mortgage Calculators (By Year)'!$C$9,'Mortgage Calculators (By Year)'!E71,NA()),IF($K71&lt;='Mortgage Calculators (By Year)'!$J$12,'Mortgage Calculators (By Year)'!L71,NA()))</f>
        <v>#N/A</v>
      </c>
      <c r="N71" s="8" t="e">
        <f t="shared" si="2"/>
        <v>#N/A</v>
      </c>
      <c r="O71" s="8" t="e">
        <f>IF(K71=ROUND(Inputs!$K$10,0),$O$20,NA())</f>
        <v>#N/A</v>
      </c>
      <c r="P71" s="17"/>
    </row>
    <row r="72" spans="2:16" x14ac:dyDescent="0.35">
      <c r="B72" s="76">
        <v>50</v>
      </c>
      <c r="C72" s="8" t="e">
        <f>IF($B$20=Inputs!$B$18,IF($B72&lt;='Mortgage Calculators (By Year)'!$C$9,SUM('Mortgage Calculators (By Year)'!C$22:C72),NA()),IF($B72&lt;='Mortgage Calculators (By Year)'!$J$12,SUM('Mortgage Calculators (By Year)'!J$22:J72),NA()))</f>
        <v>#N/A</v>
      </c>
      <c r="D72" s="8" t="e">
        <f>IF($B$20=Inputs!$B$18,IF($B72&lt;='Mortgage Calculators (By Year)'!$C$9,SUM('Mortgage Calculators (By Year)'!D$22:D72),NA()),IF($B72&lt;='Mortgage Calculators (By Year)'!$J$12,SUM('Mortgage Calculators (By Year)'!K$22:K72),NA()))</f>
        <v>#N/A</v>
      </c>
      <c r="E72" s="8" t="e">
        <f>IF($B$20=Inputs!$B$18,IF($B72&lt;='Mortgage Calculators (By Year)'!$C$9,SUM('Mortgage Calculators (By Year)'!E$22:E72),NA()),IF($B72&lt;='Mortgage Calculators (By Year)'!$J$12,SUM('Mortgage Calculators (By Year)'!L$22:L72),NA()))</f>
        <v>#N/A</v>
      </c>
      <c r="F72" s="8" t="e">
        <f>IF($B$20=Inputs!$B$18,IF($B72&lt;='Mortgage Calculators (By Year)'!$C$9,'Mortgage Calculators (By Year)'!F72,NA()),IF($B72&lt;='Mortgage Calculators (By Year)'!$J$12,'Mortgage Calculators (By Year)'!M72,NA()))</f>
        <v>#N/A</v>
      </c>
      <c r="G72" s="8" t="str">
        <f>IF($B$20=Inputs!$B$18,IF($B72='Mortgage Calculators (By Year)'!$C$9,D72,""),IF($B72='Mortgage Calculators (By Year)'!$J$12,D72,""))</f>
        <v/>
      </c>
      <c r="H72" s="8" t="str">
        <f>IF($B$20=Inputs!$B$18,IF($B72='Mortgage Calculators (By Year)'!$C$9,E72,""),IF($B72='Mortgage Calculators (By Year)'!$J$12,E72,""))</f>
        <v/>
      </c>
      <c r="I72" s="8" t="e">
        <f>IF(B72=ROUND(Inputs!$K$10,0),$I$20,NA())</f>
        <v>#N/A</v>
      </c>
      <c r="K72" s="12">
        <v>50</v>
      </c>
      <c r="L72" s="8" t="e">
        <f>IF($K$20=Inputs!$B$18,IF($K72&lt;='Mortgage Calculators (By Year)'!$C$9,'Mortgage Calculators (By Year)'!D72,NA()),IF($K72&lt;='Mortgage Calculators (By Year)'!$J$12,'Mortgage Calculators (By Year)'!K72,NA()))</f>
        <v>#N/A</v>
      </c>
      <c r="M72" s="8" t="e">
        <f>IF($K$20=Inputs!$B$18,IF($K72&lt;='Mortgage Calculators (By Year)'!$C$9,'Mortgage Calculators (By Year)'!E72,NA()),IF($K72&lt;='Mortgage Calculators (By Year)'!$J$12,'Mortgage Calculators (By Year)'!L72,NA()))</f>
        <v>#N/A</v>
      </c>
      <c r="N72" s="8" t="e">
        <f t="shared" si="2"/>
        <v>#N/A</v>
      </c>
      <c r="O72" s="8" t="e">
        <f>IF(K72=ROUND(Inputs!$K$10,0),$O$20,NA())</f>
        <v>#N/A</v>
      </c>
      <c r="P72" s="17"/>
    </row>
    <row r="73" spans="2:16" ht="15" thickBot="1" x14ac:dyDescent="0.4">
      <c r="B73" s="77">
        <v>51</v>
      </c>
      <c r="C73" s="21" t="e">
        <f>IF($B$20=Inputs!$B$18,IF($B73&lt;='Mortgage Calculators (By Year)'!$C$9,SUM('Mortgage Calculators (By Year)'!C$22:C73),NA()),IF($B73&lt;='Mortgage Calculators (By Year)'!$J$12,SUM('Mortgage Calculators (By Year)'!J$22:J73),NA()))</f>
        <v>#N/A</v>
      </c>
      <c r="D73" s="21" t="e">
        <f>IF($B$20=Inputs!$B$18,IF($B73&lt;='Mortgage Calculators (By Year)'!$C$9,SUM('Mortgage Calculators (By Year)'!D$22:D73),NA()),IF($B73&lt;='Mortgage Calculators (By Year)'!$J$12,SUM('Mortgage Calculators (By Year)'!K$22:K73),NA()))</f>
        <v>#N/A</v>
      </c>
      <c r="E73" s="21" t="e">
        <f>IF($B$20=Inputs!$B$18,IF($B73&lt;='Mortgage Calculators (By Year)'!$C$9,SUM('Mortgage Calculators (By Year)'!E$22:E73),NA()),IF($B73&lt;='Mortgage Calculators (By Year)'!$J$12,SUM('Mortgage Calculators (By Year)'!L$22:L73),NA()))</f>
        <v>#N/A</v>
      </c>
      <c r="F73" s="21" t="e">
        <f>IF($B$20=Inputs!$B$18,IF($B73&lt;='Mortgage Calculators (By Year)'!$C$9,'Mortgage Calculators (By Year)'!F73,NA()),IF($B73&lt;='Mortgage Calculators (By Year)'!$J$12,'Mortgage Calculators (By Year)'!M73,NA()))</f>
        <v>#N/A</v>
      </c>
      <c r="G73" s="21" t="str">
        <f>IF($B$20=Inputs!$B$18,IF($B73='Mortgage Calculators (By Year)'!$C$9,D73,""),IF($B73='Mortgage Calculators (By Year)'!$J$12,D73,""))</f>
        <v/>
      </c>
      <c r="H73" s="21" t="str">
        <f>IF($B$20=Inputs!$B$18,IF($B73='Mortgage Calculators (By Year)'!$C$9,E73,""),IF($B73='Mortgage Calculators (By Year)'!$J$12,E73,""))</f>
        <v/>
      </c>
      <c r="I73" s="21" t="e">
        <f>IF(B73=ROUND(Inputs!$K$10,0),$I$20,NA())</f>
        <v>#N/A</v>
      </c>
      <c r="J73" s="23"/>
      <c r="K73" s="80">
        <v>51</v>
      </c>
      <c r="L73" s="21" t="e">
        <f>IF($K$20=Inputs!$B$18,IF($K73&lt;='Mortgage Calculators (By Year)'!$C$9,'Mortgage Calculators (By Year)'!D73,NA()),IF($K73&lt;='Mortgage Calculators (By Year)'!$J$12,'Mortgage Calculators (By Year)'!K73,NA()))</f>
        <v>#N/A</v>
      </c>
      <c r="M73" s="21" t="e">
        <f>IF($K$20=Inputs!$B$18,IF($K73&lt;='Mortgage Calculators (By Year)'!$C$9,'Mortgage Calculators (By Year)'!E73,NA()),IF($K73&lt;='Mortgage Calculators (By Year)'!$J$12,'Mortgage Calculators (By Year)'!L73,NA()))</f>
        <v>#N/A</v>
      </c>
      <c r="N73" s="21" t="e">
        <f t="shared" si="2"/>
        <v>#N/A</v>
      </c>
      <c r="O73" s="21" t="e">
        <f>IF(K73=ROUND(Inputs!$K$10,0),$O$20,NA())</f>
        <v>#N/A</v>
      </c>
      <c r="P73" s="22"/>
    </row>
    <row r="74" spans="2:16" ht="15" thickBot="1" x14ac:dyDescent="0.4"/>
    <row r="75" spans="2:16" x14ac:dyDescent="0.35">
      <c r="B75" s="25" t="s">
        <v>206</v>
      </c>
      <c r="C75" s="14"/>
      <c r="D75" s="14"/>
      <c r="E75" s="14"/>
      <c r="F75" s="14"/>
      <c r="G75" s="14"/>
      <c r="H75" s="14"/>
      <c r="I75" s="14"/>
      <c r="J75" s="14"/>
      <c r="K75" s="14"/>
      <c r="L75" s="14"/>
      <c r="M75" s="15"/>
    </row>
    <row r="76" spans="2:16" x14ac:dyDescent="0.35">
      <c r="B76" s="16" t="s">
        <v>207</v>
      </c>
      <c r="G76" s="2" t="s">
        <v>187</v>
      </c>
      <c r="M76" s="17"/>
    </row>
    <row r="77" spans="2:16" x14ac:dyDescent="0.35">
      <c r="B77" s="62" t="str">
        <f>'Analysis Summary'!$E$6</f>
        <v>Principal &amp; Interest Loan (P&amp;I)</v>
      </c>
      <c r="C77" s="24"/>
      <c r="E77" s="86">
        <f>_xlfn.XLOOKUP(Inputs!$K$10,'RE Calculations'!$B$79:$B$130,'RE Calculations'!$C$79:$C$130)</f>
        <v>2086720.3546875</v>
      </c>
      <c r="G77" s="2" t="str">
        <f>'Analysis Summary'!$E$6</f>
        <v>Principal &amp; Interest Loan (P&amp;I)</v>
      </c>
      <c r="L77" s="86">
        <f>_xlfn.MAXIFS(H79:I130,H79:I130,"&gt;0")</f>
        <v>10874230.418305244</v>
      </c>
      <c r="M77" s="17"/>
    </row>
    <row r="78" spans="2:16" ht="43.5" x14ac:dyDescent="0.35">
      <c r="B78" s="75" t="s">
        <v>19</v>
      </c>
      <c r="C78" s="79" t="s">
        <v>20</v>
      </c>
      <c r="D78" s="79" t="s">
        <v>208</v>
      </c>
      <c r="E78" s="79" t="s">
        <v>125</v>
      </c>
      <c r="G78" s="78" t="s">
        <v>19</v>
      </c>
      <c r="H78" s="79" t="s">
        <v>193</v>
      </c>
      <c r="I78" s="79" t="s">
        <v>194</v>
      </c>
      <c r="J78" s="79" t="s">
        <v>297</v>
      </c>
      <c r="K78" s="79" t="s">
        <v>298</v>
      </c>
      <c r="L78" s="79" t="s">
        <v>125</v>
      </c>
      <c r="M78" s="17"/>
    </row>
    <row r="79" spans="2:16" x14ac:dyDescent="0.35">
      <c r="B79" s="76">
        <v>0</v>
      </c>
      <c r="C79" s="8">
        <f>IF($B$77=Inputs!$B$18,IF($B79&lt;='Mortgage Calculators (By Year)'!$C$9,'Forecast (By Year)'!G4,NA()),IF($B79&lt;='Mortgage Calculators (By Year)'!$J$12,'Forecast (By Year)'!AE4,NA()))</f>
        <v>1635000</v>
      </c>
      <c r="D79" s="8">
        <f>IF($B$77=Inputs!$B$18,IF($B79&lt;='Mortgage Calculators (By Year)'!$C$9,'Forecast (By Year)'!H4,NA()),IF($B79&lt;='Mortgage Calculators (By Year)'!$J$12,'Forecast (By Year)'!AF4,NA()))</f>
        <v>1635000</v>
      </c>
      <c r="E79" s="8" t="e">
        <f>IF(B79=ROUND(Inputs!$K$10,0),$E$77,NA())</f>
        <v>#N/A</v>
      </c>
      <c r="G79" s="78">
        <v>0</v>
      </c>
      <c r="H79" s="8">
        <f>IF($K$20=Inputs!$B$18,IF($G79&lt;='Mortgage Calculators (By Year)'!$C$9,'Forecast (By Year)'!V4,NA()),IF($G79&lt;='Mortgage Calculators (By Year)'!$J$12,'Forecast (By Year)'!AT4,NA()))</f>
        <v>-3227</v>
      </c>
      <c r="I79" s="8">
        <f>IF($K$20=Inputs!$B$18,IF($G79&lt;='Mortgage Calculators (By Year)'!$C$9,'Forecast (By Year)'!Y4,NA()),IF($G79&lt;='Mortgage Calculators (By Year)'!$J$12,'Forecast (By Year)'!AW4,NA()))</f>
        <v>-3227</v>
      </c>
      <c r="J79" s="91" t="str">
        <f>IF($K$20=Inputs!$B$18,IF($G79&lt;='Mortgage Calculators (By Year)'!$C$9,'Forecast (By Year)'!X4,NA()),IF($G79&lt;='Mortgage Calculators (By Year)'!$J$12,'Forecast (By Year)'!AV4,NA()))</f>
        <v>-</v>
      </c>
      <c r="K79" s="91" t="str">
        <f>IF($K$20=Inputs!$B$18,IF($G79&lt;='Mortgage Calculators (By Year)'!$C$9,'Forecast (By Year)'!AA4,NA()),IF($G79&lt;='Mortgage Calculators (By Year)'!$J$12,'Forecast (By Year)'!AY4,NA()))</f>
        <v>-</v>
      </c>
      <c r="L79" s="8" t="e">
        <f>IF(G79=ROUND(Inputs!$K$10,0),$L$77,NA())</f>
        <v>#N/A</v>
      </c>
      <c r="M79" s="17"/>
    </row>
    <row r="80" spans="2:16" x14ac:dyDescent="0.35">
      <c r="B80" s="76">
        <v>1</v>
      </c>
      <c r="C80" s="8">
        <f>IF($B$77=Inputs!$B$18,IF($B80&lt;='Mortgage Calculators (By Year)'!$C$9,'Forecast (By Year)'!G5,NA()),IF($B80&lt;='Mortgage Calculators (By Year)'!$J$12,'Forecast (By Year)'!AE5,NA()))</f>
        <v>1716750</v>
      </c>
      <c r="D80" s="8">
        <f>IF($B$77=Inputs!$B$18,IF($B80&lt;='Mortgage Calculators (By Year)'!$C$9,'Forecast (By Year)'!H5,NA()),IF($B80&lt;='Mortgage Calculators (By Year)'!$J$12,'Forecast (By Year)'!AF5,NA()))</f>
        <v>1716750</v>
      </c>
      <c r="E80" s="8" t="e">
        <f>IF(B80=ROUND(Inputs!$K$10,0),$E$77,NA())</f>
        <v>#N/A</v>
      </c>
      <c r="G80" s="12">
        <v>1</v>
      </c>
      <c r="H80" s="8">
        <f>IF($K$20=Inputs!$B$18,IF($G80&lt;='Mortgage Calculators (By Year)'!$C$9,'Forecast (By Year)'!V5,NA()),IF($G80&lt;='Mortgage Calculators (By Year)'!$J$12,'Forecast (By Year)'!AT5,NA()))</f>
        <v>76888.000000001368</v>
      </c>
      <c r="I80" s="8">
        <f>IF($K$20=Inputs!$B$18,IF($G80&lt;='Mortgage Calculators (By Year)'!$C$9,'Forecast (By Year)'!Y5,NA()),IF($G80&lt;='Mortgage Calculators (By Year)'!$J$12,'Forecast (By Year)'!AW5,NA()))</f>
        <v>150700.00000000137</v>
      </c>
      <c r="J80" s="91">
        <f>IF($K$20=Inputs!$B$18,IF($G80&lt;='Mortgage Calculators (By Year)'!$C$9,'Forecast (By Year)'!X5,NA()),IF($G80&lt;='Mortgage Calculators (By Year)'!$J$12,'Forecast (By Year)'!AV5,NA()))</f>
        <v>4.8024174483004577E-2</v>
      </c>
      <c r="K80" s="91">
        <f>IF($K$20=Inputs!$B$18,IF($G80&lt;='Mortgage Calculators (By Year)'!$C$9,'Forecast (By Year)'!AA5,NA()),IF($G80&lt;='Mortgage Calculators (By Year)'!$J$12,'Forecast (By Year)'!AY5,NA()))</f>
        <v>9.4127082179127131E-2</v>
      </c>
      <c r="L80" s="8" t="e">
        <f>IF(G80=ROUND(Inputs!$K$10,0),$L$77,NA())</f>
        <v>#N/A</v>
      </c>
      <c r="M80" s="17"/>
    </row>
    <row r="81" spans="2:13" x14ac:dyDescent="0.35">
      <c r="B81" s="76">
        <v>2</v>
      </c>
      <c r="C81" s="8">
        <f>IF($B$77=Inputs!$B$18,IF($B81&lt;='Mortgage Calculators (By Year)'!$C$9,'Forecast (By Year)'!G6,NA()),IF($B81&lt;='Mortgage Calculators (By Year)'!$J$12,'Forecast (By Year)'!AE6,NA()))</f>
        <v>1802587.5</v>
      </c>
      <c r="D81" s="8">
        <f>IF($B$77=Inputs!$B$18,IF($B81&lt;='Mortgage Calculators (By Year)'!$C$9,'Forecast (By Year)'!H6,NA()),IF($B81&lt;='Mortgage Calculators (By Year)'!$J$12,'Forecast (By Year)'!AF6,NA()))</f>
        <v>1802587.5</v>
      </c>
      <c r="E81" s="8" t="e">
        <f>IF(B81=ROUND(Inputs!$K$10,0),$E$77,NA())</f>
        <v>#N/A</v>
      </c>
      <c r="G81" s="12">
        <v>2</v>
      </c>
      <c r="H81" s="8">
        <f>IF($K$20=Inputs!$B$18,IF($G81&lt;='Mortgage Calculators (By Year)'!$C$9,'Forecast (By Year)'!V6,NA()),IF($G81&lt;='Mortgage Calculators (By Year)'!$J$12,'Forecast (By Year)'!AT6,NA()))</f>
        <v>161008.75000000224</v>
      </c>
      <c r="I81" s="8">
        <f>IF($K$20=Inputs!$B$18,IF($G81&lt;='Mortgage Calculators (By Year)'!$C$9,'Forecast (By Year)'!Y6,NA()),IF($G81&lt;='Mortgage Calculators (By Year)'!$J$12,'Forecast (By Year)'!AW6,NA()))</f>
        <v>313216.25000000221</v>
      </c>
      <c r="J81" s="91">
        <f>IF($K$20=Inputs!$B$18,IF($G81&lt;='Mortgage Calculators (By Year)'!$C$9,'Forecast (By Year)'!X6,NA()),IF($G81&lt;='Mortgage Calculators (By Year)'!$J$12,'Forecast (By Year)'!AV6,NA()))</f>
        <v>5.0282959000692129E-2</v>
      </c>
      <c r="K81" s="91">
        <f>IF($K$20=Inputs!$B$18,IF($G81&lt;='Mortgage Calculators (By Year)'!$C$9,'Forecast (By Year)'!AA6,NA()),IF($G81&lt;='Mortgage Calculators (By Year)'!$J$12,'Forecast (By Year)'!AY6,NA()))</f>
        <v>9.7817291650922261E-2</v>
      </c>
      <c r="L81" s="8" t="e">
        <f>IF(G81=ROUND(Inputs!$K$10,0),$L$77,NA())</f>
        <v>#N/A</v>
      </c>
      <c r="M81" s="17"/>
    </row>
    <row r="82" spans="2:13" x14ac:dyDescent="0.35">
      <c r="B82" s="76">
        <v>3</v>
      </c>
      <c r="C82" s="8">
        <f>IF($B$77=Inputs!$B$18,IF($B82&lt;='Mortgage Calculators (By Year)'!$C$9,'Forecast (By Year)'!G7,NA()),IF($B82&lt;='Mortgage Calculators (By Year)'!$J$12,'Forecast (By Year)'!AE7,NA()))</f>
        <v>1892716.875</v>
      </c>
      <c r="D82" s="8">
        <f>IF($B$77=Inputs!$B$18,IF($B82&lt;='Mortgage Calculators (By Year)'!$C$9,'Forecast (By Year)'!H7,NA()),IF($B82&lt;='Mortgage Calculators (By Year)'!$J$12,'Forecast (By Year)'!AF7,NA()))</f>
        <v>1892716.875</v>
      </c>
      <c r="E82" s="8" t="e">
        <f>IF(B82=ROUND(Inputs!$K$10,0),$E$77,NA())</f>
        <v>#N/A</v>
      </c>
      <c r="G82" s="12">
        <v>3</v>
      </c>
      <c r="H82" s="8">
        <f>IF($K$20=Inputs!$B$18,IF($G82&lt;='Mortgage Calculators (By Year)'!$C$9,'Forecast (By Year)'!V7,NA()),IF($G82&lt;='Mortgage Calculators (By Year)'!$J$12,'Forecast (By Year)'!AT7,NA()))</f>
        <v>249335.53750000359</v>
      </c>
      <c r="I82" s="8">
        <f>IF($K$20=Inputs!$B$18,IF($G82&lt;='Mortgage Calculators (By Year)'!$C$9,'Forecast (By Year)'!Y7,NA()),IF($G82&lt;='Mortgage Calculators (By Year)'!$J$12,'Forecast (By Year)'!AW7,NA()))</f>
        <v>484751.21250000363</v>
      </c>
      <c r="J82" s="91">
        <f>IF($K$20=Inputs!$B$18,IF($G82&lt;='Mortgage Calculators (By Year)'!$C$9,'Forecast (By Year)'!X7,NA()),IF($G82&lt;='Mortgage Calculators (By Year)'!$J$12,'Forecast (By Year)'!AV7,NA()))</f>
        <v>5.1911582898561071E-2</v>
      </c>
      <c r="K82" s="91">
        <f>IF($K$20=Inputs!$B$18,IF($G82&lt;='Mortgage Calculators (By Year)'!$C$9,'Forecast (By Year)'!AA7,NA()),IF($G82&lt;='Mortgage Calculators (By Year)'!$J$12,'Forecast (By Year)'!AY7,NA()))</f>
        <v>0.10092505466803571</v>
      </c>
      <c r="L82" s="8" t="e">
        <f>IF(G82=ROUND(Inputs!$K$10,0),$L$77,NA())</f>
        <v>#N/A</v>
      </c>
      <c r="M82" s="17"/>
    </row>
    <row r="83" spans="2:13" x14ac:dyDescent="0.35">
      <c r="B83" s="76">
        <v>4</v>
      </c>
      <c r="C83" s="8">
        <f>IF($B$77=Inputs!$B$18,IF($B83&lt;='Mortgage Calculators (By Year)'!$C$9,'Forecast (By Year)'!G8,NA()),IF($B83&lt;='Mortgage Calculators (By Year)'!$J$12,'Forecast (By Year)'!AE8,NA()))</f>
        <v>1987352.71875</v>
      </c>
      <c r="D83" s="8">
        <f>IF($B$77=Inputs!$B$18,IF($B83&lt;='Mortgage Calculators (By Year)'!$C$9,'Forecast (By Year)'!H8,NA()),IF($B83&lt;='Mortgage Calculators (By Year)'!$J$12,'Forecast (By Year)'!AF8,NA()))</f>
        <v>1987352.71875</v>
      </c>
      <c r="E83" s="8" t="e">
        <f>IF(B83=ROUND(Inputs!$K$10,0),$E$77,NA())</f>
        <v>#N/A</v>
      </c>
      <c r="G83" s="12">
        <v>4</v>
      </c>
      <c r="H83" s="8">
        <f>IF($K$20=Inputs!$B$18,IF($G83&lt;='Mortgage Calculators (By Year)'!$C$9,'Forecast (By Year)'!V8,NA()),IF($G83&lt;='Mortgage Calculators (By Year)'!$J$12,'Forecast (By Year)'!AT8,NA()))</f>
        <v>342078.66437500517</v>
      </c>
      <c r="I83" s="8">
        <f>IF($K$20=Inputs!$B$18,IF($G83&lt;='Mortgage Calculators (By Year)'!$C$9,'Forecast (By Year)'!Y8,NA()),IF($G83&lt;='Mortgage Calculators (By Year)'!$J$12,'Forecast (By Year)'!AW8,NA()))</f>
        <v>665755.82312500535</v>
      </c>
      <c r="J83" s="91">
        <f>IF($K$20=Inputs!$B$18,IF($G83&lt;='Mortgage Calculators (By Year)'!$C$9,'Forecast (By Year)'!X8,NA()),IF($G83&lt;='Mortgage Calculators (By Year)'!$J$12,'Forecast (By Year)'!AV8,NA()))</f>
        <v>5.3415505231174297E-2</v>
      </c>
      <c r="K83" s="91">
        <f>IF($K$20=Inputs!$B$18,IF($G83&lt;='Mortgage Calculators (By Year)'!$C$9,'Forecast (By Year)'!AA8,NA()),IF($G83&lt;='Mortgage Calculators (By Year)'!$J$12,'Forecast (By Year)'!AY8,NA()))</f>
        <v>0.10395761956622301</v>
      </c>
      <c r="L83" s="8" t="e">
        <f>IF(G83=ROUND(Inputs!$K$10,0),$L$77,NA())</f>
        <v>#N/A</v>
      </c>
      <c r="M83" s="17"/>
    </row>
    <row r="84" spans="2:13" x14ac:dyDescent="0.35">
      <c r="B84" s="76">
        <v>5</v>
      </c>
      <c r="C84" s="8">
        <f>IF($B$77=Inputs!$B$18,IF($B84&lt;='Mortgage Calculators (By Year)'!$C$9,'Forecast (By Year)'!G9,NA()),IF($B84&lt;='Mortgage Calculators (By Year)'!$J$12,'Forecast (By Year)'!AE9,NA()))</f>
        <v>2086720.3546875</v>
      </c>
      <c r="D84" s="8">
        <f>IF($B$77=Inputs!$B$18,IF($B84&lt;='Mortgage Calculators (By Year)'!$C$9,'Forecast (By Year)'!H9,NA()),IF($B84&lt;='Mortgage Calculators (By Year)'!$J$12,'Forecast (By Year)'!AF9,NA()))</f>
        <v>2086720.3546875</v>
      </c>
      <c r="E84" s="8">
        <f>IF(B84=ROUND(Inputs!$K$10,0),$E$77,NA())</f>
        <v>2086720.3546875</v>
      </c>
      <c r="G84" s="12">
        <v>5</v>
      </c>
      <c r="H84" s="8">
        <f>IF($K$20=Inputs!$B$18,IF($G84&lt;='Mortgage Calculators (By Year)'!$C$9,'Forecast (By Year)'!V9,NA()),IF($G84&lt;='Mortgage Calculators (By Year)'!$J$12,'Forecast (By Year)'!AT9,NA()))</f>
        <v>439458.94759375701</v>
      </c>
      <c r="I84" s="8">
        <f>IF($K$20=Inputs!$B$18,IF($G84&lt;='Mortgage Calculators (By Year)'!$C$9,'Forecast (By Year)'!Y9,NA()),IF($G84&lt;='Mortgage Calculators (By Year)'!$J$12,'Forecast (By Year)'!AW9,NA()))</f>
        <v>856703.5642812571</v>
      </c>
      <c r="J84" s="91">
        <f>IF($K$20=Inputs!$B$18,IF($G84&lt;='Mortgage Calculators (By Year)'!$C$9,'Forecast (By Year)'!X9,NA()),IF($G84&lt;='Mortgage Calculators (By Year)'!$J$12,'Forecast (By Year)'!AV9,NA()))</f>
        <v>5.4897131353032404E-2</v>
      </c>
      <c r="K84" s="91">
        <f>IF($K$20=Inputs!$B$18,IF($G84&lt;='Mortgage Calculators (By Year)'!$C$9,'Forecast (By Year)'!AA9,NA()),IF($G84&lt;='Mortgage Calculators (By Year)'!$J$12,'Forecast (By Year)'!AY9,NA()))</f>
        <v>0.10701925255242506</v>
      </c>
      <c r="L84" s="8">
        <f>IF(G84=ROUND(Inputs!$K$10,0),$L$77,NA())</f>
        <v>10874230.418305244</v>
      </c>
      <c r="M84" s="17"/>
    </row>
    <row r="85" spans="2:13" x14ac:dyDescent="0.35">
      <c r="B85" s="76">
        <v>6</v>
      </c>
      <c r="C85" s="8">
        <f>IF($B$77=Inputs!$B$18,IF($B85&lt;='Mortgage Calculators (By Year)'!$C$9,'Forecast (By Year)'!G10,NA()),IF($B85&lt;='Mortgage Calculators (By Year)'!$J$12,'Forecast (By Year)'!AE10,NA()))</f>
        <v>2191056.3724218751</v>
      </c>
      <c r="D85" s="8">
        <f>IF($B$77=Inputs!$B$18,IF($B85&lt;='Mortgage Calculators (By Year)'!$C$9,'Forecast (By Year)'!H10,NA()),IF($B85&lt;='Mortgage Calculators (By Year)'!$J$12,'Forecast (By Year)'!AF10,NA()))</f>
        <v>2191056.3724218751</v>
      </c>
      <c r="E85" s="8" t="e">
        <f>IF(B85=ROUND(Inputs!$K$10,0),$E$77,NA())</f>
        <v>#N/A</v>
      </c>
      <c r="G85" s="12">
        <v>6</v>
      </c>
      <c r="H85" s="8">
        <f>IF($K$20=Inputs!$B$18,IF($G85&lt;='Mortgage Calculators (By Year)'!$C$9,'Forecast (By Year)'!V10,NA()),IF($G85&lt;='Mortgage Calculators (By Year)'!$J$12,'Forecast (By Year)'!AT10,NA()))</f>
        <v>541708.24497344578</v>
      </c>
      <c r="I85" s="8">
        <f>IF($K$20=Inputs!$B$18,IF($G85&lt;='Mortgage Calculators (By Year)'!$C$9,'Forecast (By Year)'!Y10,NA()),IF($G85&lt;='Mortgage Calculators (By Year)'!$J$12,'Forecast (By Year)'!AW10,NA()))</f>
        <v>1058091.5924953206</v>
      </c>
      <c r="J85" s="91">
        <f>IF($K$20=Inputs!$B$18,IF($G85&lt;='Mortgage Calculators (By Year)'!$C$9,'Forecast (By Year)'!X10,NA()),IF($G85&lt;='Mortgage Calculators (By Year)'!$J$12,'Forecast (By Year)'!AV10,NA()))</f>
        <v>5.6391745732941596E-2</v>
      </c>
      <c r="K85" s="91">
        <f>IF($K$20=Inputs!$B$18,IF($G85&lt;='Mortgage Calculators (By Year)'!$C$9,'Forecast (By Year)'!AA10,NA()),IF($G85&lt;='Mortgage Calculators (By Year)'!$J$12,'Forecast (By Year)'!AY10,NA()))</f>
        <v>0.11014717350127144</v>
      </c>
      <c r="L85" s="8" t="e">
        <f>IF(G85=ROUND(Inputs!$K$10,0),$L$77,NA())</f>
        <v>#N/A</v>
      </c>
      <c r="M85" s="17"/>
    </row>
    <row r="86" spans="2:13" x14ac:dyDescent="0.35">
      <c r="B86" s="76">
        <v>7</v>
      </c>
      <c r="C86" s="8">
        <f>IF($B$77=Inputs!$B$18,IF($B86&lt;='Mortgage Calculators (By Year)'!$C$9,'Forecast (By Year)'!G11,NA()),IF($B86&lt;='Mortgage Calculators (By Year)'!$J$12,'Forecast (By Year)'!AE11,NA()))</f>
        <v>2300609.191042969</v>
      </c>
      <c r="D86" s="8">
        <f>IF($B$77=Inputs!$B$18,IF($B86&lt;='Mortgage Calculators (By Year)'!$C$9,'Forecast (By Year)'!H11,NA()),IF($B86&lt;='Mortgage Calculators (By Year)'!$J$12,'Forecast (By Year)'!AF11,NA()))</f>
        <v>2300609.191042969</v>
      </c>
      <c r="E86" s="8" t="e">
        <f>IF(B86=ROUND(Inputs!$K$10,0),$E$77,NA())</f>
        <v>#N/A</v>
      </c>
      <c r="G86" s="12">
        <v>7</v>
      </c>
      <c r="H86" s="8">
        <f>IF($K$20=Inputs!$B$18,IF($G86&lt;='Mortgage Calculators (By Year)'!$C$9,'Forecast (By Year)'!V11,NA()),IF($G86&lt;='Mortgage Calculators (By Year)'!$J$12,'Forecast (By Year)'!AT11,NA()))</f>
        <v>649070.00722211902</v>
      </c>
      <c r="I86" s="8">
        <f>IF($K$20=Inputs!$B$18,IF($G86&lt;='Mortgage Calculators (By Year)'!$C$9,'Forecast (By Year)'!Y11,NA()),IF($G86&lt;='Mortgage Calculators (By Year)'!$J$12,'Forecast (By Year)'!AW11,NA()))</f>
        <v>1270441.9221200878</v>
      </c>
      <c r="J86" s="91">
        <f>IF($K$20=Inputs!$B$18,IF($G86&lt;='Mortgage Calculators (By Year)'!$C$9,'Forecast (By Year)'!X11,NA()),IF($G86&lt;='Mortgage Calculators (By Year)'!$J$12,'Forecast (By Year)'!AV11,NA()))</f>
        <v>5.7915504701680234E-2</v>
      </c>
      <c r="K86" s="91">
        <f>IF($K$20=Inputs!$B$18,IF($G86&lt;='Mortgage Calculators (By Year)'!$C$9,'Forecast (By Year)'!AA11,NA()),IF($G86&lt;='Mortgage Calculators (By Year)'!$J$12,'Forecast (By Year)'!AY11,NA()))</f>
        <v>0.11335955181268807</v>
      </c>
      <c r="L86" s="8" t="e">
        <f>IF(G86=ROUND(Inputs!$K$10,0),$L$77,NA())</f>
        <v>#N/A</v>
      </c>
      <c r="M86" s="17"/>
    </row>
    <row r="87" spans="2:13" x14ac:dyDescent="0.35">
      <c r="B87" s="76">
        <v>8</v>
      </c>
      <c r="C87" s="8">
        <f>IF($B$77=Inputs!$B$18,IF($B87&lt;='Mortgage Calculators (By Year)'!$C$9,'Forecast (By Year)'!G12,NA()),IF($B87&lt;='Mortgage Calculators (By Year)'!$J$12,'Forecast (By Year)'!AE12,NA()))</f>
        <v>2415639.6505951174</v>
      </c>
      <c r="D87" s="8">
        <f>IF($B$77=Inputs!$B$18,IF($B87&lt;='Mortgage Calculators (By Year)'!$C$9,'Forecast (By Year)'!H12,NA()),IF($B87&lt;='Mortgage Calculators (By Year)'!$J$12,'Forecast (By Year)'!AF12,NA()))</f>
        <v>2415639.6505951174</v>
      </c>
      <c r="E87" s="8" t="e">
        <f>IF(B87=ROUND(Inputs!$K$10,0),$E$77,NA())</f>
        <v>#N/A</v>
      </c>
      <c r="G87" s="12">
        <v>8</v>
      </c>
      <c r="H87" s="8">
        <f>IF($K$20=Inputs!$B$18,IF($G87&lt;='Mortgage Calculators (By Year)'!$C$9,'Forecast (By Year)'!V12,NA()),IF($G87&lt;='Mortgage Calculators (By Year)'!$J$12,'Forecast (By Year)'!AT12,NA()))</f>
        <v>761799.85758322617</v>
      </c>
      <c r="I87" s="8">
        <f>IF($K$20=Inputs!$B$18,IF($G87&lt;='Mortgage Calculators (By Year)'!$C$9,'Forecast (By Year)'!Y12,NA()),IF($G87&lt;='Mortgage Calculators (By Year)'!$J$12,'Forecast (By Year)'!AW12,NA()))</f>
        <v>1494302.6682260938</v>
      </c>
      <c r="J87" s="91">
        <f>IF($K$20=Inputs!$B$18,IF($G87&lt;='Mortgage Calculators (By Year)'!$C$9,'Forecast (By Year)'!X12,NA()),IF($G87&lt;='Mortgage Calculators (By Year)'!$J$12,'Forecast (By Year)'!AV12,NA()))</f>
        <v>5.947743679394743E-2</v>
      </c>
      <c r="K87" s="91">
        <f>IF($K$20=Inputs!$B$18,IF($G87&lt;='Mortgage Calculators (By Year)'!$C$9,'Forecast (By Year)'!AA12,NA()),IF($G87&lt;='Mortgage Calculators (By Year)'!$J$12,'Forecast (By Year)'!AY12,NA()))</f>
        <v>0.11666750999718413</v>
      </c>
      <c r="L87" s="8" t="e">
        <f>IF(G87=ROUND(Inputs!$K$10,0),$L$77,NA())</f>
        <v>#N/A</v>
      </c>
      <c r="M87" s="17"/>
    </row>
    <row r="88" spans="2:13" x14ac:dyDescent="0.35">
      <c r="B88" s="76">
        <v>9</v>
      </c>
      <c r="C88" s="8">
        <f>IF($B$77=Inputs!$B$18,IF($B88&lt;='Mortgage Calculators (By Year)'!$C$9,'Forecast (By Year)'!G13,NA()),IF($B88&lt;='Mortgage Calculators (By Year)'!$J$12,'Forecast (By Year)'!AE13,NA()))</f>
        <v>2536421.6331248735</v>
      </c>
      <c r="D88" s="8">
        <f>IF($B$77=Inputs!$B$18,IF($B88&lt;='Mortgage Calculators (By Year)'!$C$9,'Forecast (By Year)'!H13,NA()),IF($B88&lt;='Mortgage Calculators (By Year)'!$J$12,'Forecast (By Year)'!AF13,NA()))</f>
        <v>2536421.6331248735</v>
      </c>
      <c r="E88" s="8" t="e">
        <f>IF(B88=ROUND(Inputs!$K$10,0),$E$77,NA())</f>
        <v>#N/A</v>
      </c>
      <c r="G88" s="12">
        <v>9</v>
      </c>
      <c r="H88" s="8">
        <f>IF($K$20=Inputs!$B$18,IF($G88&lt;='Mortgage Calculators (By Year)'!$C$9,'Forecast (By Year)'!V13,NA()),IF($G88&lt;='Mortgage Calculators (By Year)'!$J$12,'Forecast (By Year)'!AT13,NA()))</f>
        <v>880166.2004623895</v>
      </c>
      <c r="I88" s="8">
        <f>IF($K$20=Inputs!$B$18,IF($G88&lt;='Mortgage Calculators (By Year)'!$C$9,'Forecast (By Year)'!Y13,NA()),IF($G88&lt;='Mortgage Calculators (By Year)'!$J$12,'Forecast (By Year)'!AW13,NA()))</f>
        <v>1730249.3516374007</v>
      </c>
      <c r="J88" s="91">
        <f>IF($K$20=Inputs!$B$18,IF($G88&lt;='Mortgage Calculators (By Year)'!$C$9,'Forecast (By Year)'!X13,NA()),IF($G88&lt;='Mortgage Calculators (By Year)'!$J$12,'Forecast (By Year)'!AV13,NA()))</f>
        <v>6.1083444873709841E-2</v>
      </c>
      <c r="K88" s="91">
        <f>IF($K$20=Inputs!$B$18,IF($G88&lt;='Mortgage Calculators (By Year)'!$C$9,'Forecast (By Year)'!AA13,NA()),IF($G88&lt;='Mortgage Calculators (By Year)'!$J$12,'Forecast (By Year)'!AY13,NA()))</f>
        <v>0.12007912918377467</v>
      </c>
      <c r="L88" s="8" t="e">
        <f>IF(G88=ROUND(Inputs!$K$10,0),$L$77,NA())</f>
        <v>#N/A</v>
      </c>
      <c r="M88" s="17"/>
    </row>
    <row r="89" spans="2:13" x14ac:dyDescent="0.35">
      <c r="B89" s="76">
        <v>10</v>
      </c>
      <c r="C89" s="8">
        <f>IF($B$77=Inputs!$B$18,IF($B89&lt;='Mortgage Calculators (By Year)'!$C$9,'Forecast (By Year)'!G14,NA()),IF($B89&lt;='Mortgage Calculators (By Year)'!$J$12,'Forecast (By Year)'!AE14,NA()))</f>
        <v>2663242.7147811172</v>
      </c>
      <c r="D89" s="8">
        <f>IF($B$77=Inputs!$B$18,IF($B89&lt;='Mortgage Calculators (By Year)'!$C$9,'Forecast (By Year)'!H14,NA()),IF($B89&lt;='Mortgage Calculators (By Year)'!$J$12,'Forecast (By Year)'!AF14,NA()))</f>
        <v>2663242.7147811172</v>
      </c>
      <c r="E89" s="8" t="e">
        <f>IF(B89=ROUND(Inputs!$K$10,0),$E$77,NA())</f>
        <v>#N/A</v>
      </c>
      <c r="G89" s="12">
        <v>10</v>
      </c>
      <c r="H89" s="8">
        <f>IF($K$20=Inputs!$B$18,IF($G89&lt;='Mortgage Calculators (By Year)'!$C$9,'Forecast (By Year)'!V14,NA()),IF($G89&lt;='Mortgage Calculators (By Year)'!$J$12,'Forecast (By Year)'!AT14,NA()))</f>
        <v>1004450.8604855106</v>
      </c>
      <c r="I89" s="8">
        <f>IF($K$20=Inputs!$B$18,IF($G89&lt;='Mortgage Calculators (By Year)'!$C$9,'Forecast (By Year)'!Y14,NA()),IF($G89&lt;='Mortgage Calculators (By Year)'!$J$12,'Forecast (By Year)'!AW14,NA()))</f>
        <v>1978886.2692192718</v>
      </c>
      <c r="J89" s="91">
        <f>IF($K$20=Inputs!$B$18,IF($G89&lt;='Mortgage Calculators (By Year)'!$C$9,'Forecast (By Year)'!X14,NA()),IF($G89&lt;='Mortgage Calculators (By Year)'!$J$12,'Forecast (By Year)'!AV14,NA()))</f>
        <v>6.2737908885078797E-2</v>
      </c>
      <c r="K89" s="91">
        <f>IF($K$20=Inputs!$B$18,IF($G89&lt;='Mortgage Calculators (By Year)'!$C$9,'Forecast (By Year)'!AA14,NA()),IF($G89&lt;='Mortgage Calculators (By Year)'!$J$12,'Forecast (By Year)'!AY14,NA()))</f>
        <v>0.12360105539877039</v>
      </c>
      <c r="L89" s="8" t="e">
        <f>IF(G89=ROUND(Inputs!$K$10,0),$L$77,NA())</f>
        <v>#N/A</v>
      </c>
      <c r="M89" s="17"/>
    </row>
    <row r="90" spans="2:13" x14ac:dyDescent="0.35">
      <c r="B90" s="76">
        <v>11</v>
      </c>
      <c r="C90" s="8">
        <f>IF($B$77=Inputs!$B$18,IF($B90&lt;='Mortgage Calculators (By Year)'!$C$9,'Forecast (By Year)'!G15,NA()),IF($B90&lt;='Mortgage Calculators (By Year)'!$J$12,'Forecast (By Year)'!AE15,NA()))</f>
        <v>2796404.8505201731</v>
      </c>
      <c r="D90" s="8">
        <f>IF($B$77=Inputs!$B$18,IF($B90&lt;='Mortgage Calculators (By Year)'!$C$9,'Forecast (By Year)'!H15,NA()),IF($B90&lt;='Mortgage Calculators (By Year)'!$J$12,'Forecast (By Year)'!AF15,NA()))</f>
        <v>2796404.8505201731</v>
      </c>
      <c r="E90" s="8" t="e">
        <f>IF(B90=ROUND(Inputs!$K$10,0),$E$77,NA())</f>
        <v>#N/A</v>
      </c>
      <c r="G90" s="12">
        <v>11</v>
      </c>
      <c r="H90" s="8">
        <f>IF($K$20=Inputs!$B$18,IF($G90&lt;='Mortgage Calculators (By Year)'!$C$9,'Forecast (By Year)'!V15,NA()),IF($G90&lt;='Mortgage Calculators (By Year)'!$J$12,'Forecast (By Year)'!AT15,NA()))</f>
        <v>1134949.7535097881</v>
      </c>
      <c r="I90" s="8">
        <f>IF($K$20=Inputs!$B$18,IF($G90&lt;='Mortgage Calculators (By Year)'!$C$9,'Forecast (By Year)'!Y15,NA()),IF($G90&lt;='Mortgage Calculators (By Year)'!$J$12,'Forecast (By Year)'!AW15,NA()))</f>
        <v>2240847.9326802366</v>
      </c>
      <c r="J90" s="91">
        <f>IF($K$20=Inputs!$B$18,IF($G90&lt;='Mortgage Calculators (By Year)'!$C$9,'Forecast (By Year)'!X15,NA()),IF($G90&lt;='Mortgage Calculators (By Year)'!$J$12,'Forecast (By Year)'!AV15,NA()))</f>
        <v>6.4444416189777962E-2</v>
      </c>
      <c r="K90" s="91">
        <f>IF($K$20=Inputs!$B$18,IF($G90&lt;='Mortgage Calculators (By Year)'!$C$9,'Forecast (By Year)'!AA15,NA()),IF($G90&lt;='Mortgage Calculators (By Year)'!$J$12,'Forecast (By Year)'!AY15,NA()))</f>
        <v>0.12723923358286651</v>
      </c>
      <c r="L90" s="8" t="e">
        <f>IF(G90=ROUND(Inputs!$K$10,0),$L$77,NA())</f>
        <v>#N/A</v>
      </c>
      <c r="M90" s="17"/>
    </row>
    <row r="91" spans="2:13" x14ac:dyDescent="0.35">
      <c r="B91" s="76">
        <v>12</v>
      </c>
      <c r="C91" s="8">
        <f>IF($B$77=Inputs!$B$18,IF($B91&lt;='Mortgage Calculators (By Year)'!$C$9,'Forecast (By Year)'!G16,NA()),IF($B91&lt;='Mortgage Calculators (By Year)'!$J$12,'Forecast (By Year)'!AE16,NA()))</f>
        <v>2936225.0930461818</v>
      </c>
      <c r="D91" s="8">
        <f>IF($B$77=Inputs!$B$18,IF($B91&lt;='Mortgage Calculators (By Year)'!$C$9,'Forecast (By Year)'!H16,NA()),IF($B91&lt;='Mortgage Calculators (By Year)'!$J$12,'Forecast (By Year)'!AF16,NA()))</f>
        <v>2936225.0930461818</v>
      </c>
      <c r="E91" s="8" t="e">
        <f>IF(B91=ROUND(Inputs!$K$10,0),$E$77,NA())</f>
        <v>#N/A</v>
      </c>
      <c r="G91" s="12">
        <v>12</v>
      </c>
      <c r="H91" s="8">
        <f>IF($K$20=Inputs!$B$18,IF($G91&lt;='Mortgage Calculators (By Year)'!$C$9,'Forecast (By Year)'!V16,NA()),IF($G91&lt;='Mortgage Calculators (By Year)'!$J$12,'Forecast (By Year)'!AT16,NA()))</f>
        <v>1271973.5911852799</v>
      </c>
      <c r="I91" s="8">
        <f>IF($K$20=Inputs!$B$18,IF($G91&lt;='Mortgage Calculators (By Year)'!$C$9,'Forecast (By Year)'!Y16,NA()),IF($G91&lt;='Mortgage Calculators (By Year)'!$J$12,'Forecast (By Year)'!AW16,NA()))</f>
        <v>2516800.5793142496</v>
      </c>
      <c r="J91" s="91">
        <f>IF($K$20=Inputs!$B$18,IF($G91&lt;='Mortgage Calculators (By Year)'!$C$9,'Forecast (By Year)'!X16,NA()),IF($G91&lt;='Mortgage Calculators (By Year)'!$J$12,'Forecast (By Year)'!AV16,NA()))</f>
        <v>6.6206128482180493E-2</v>
      </c>
      <c r="K91" s="91">
        <f>IF($K$20=Inputs!$B$18,IF($G91&lt;='Mortgage Calculators (By Year)'!$C$9,'Forecast (By Year)'!AA16,NA()),IF($G91&lt;='Mortgage Calculators (By Year)'!$J$12,'Forecast (By Year)'!AY16,NA()))</f>
        <v>0.13099927834416333</v>
      </c>
      <c r="L91" s="8" t="e">
        <f>IF(G91=ROUND(Inputs!$K$10,0),$L$77,NA())</f>
        <v>#N/A</v>
      </c>
      <c r="M91" s="17"/>
    </row>
    <row r="92" spans="2:13" x14ac:dyDescent="0.35">
      <c r="B92" s="76">
        <v>13</v>
      </c>
      <c r="C92" s="8">
        <f>IF($B$77=Inputs!$B$18,IF($B92&lt;='Mortgage Calculators (By Year)'!$C$9,'Forecast (By Year)'!G17,NA()),IF($B92&lt;='Mortgage Calculators (By Year)'!$J$12,'Forecast (By Year)'!AE17,NA()))</f>
        <v>3083036.3476984911</v>
      </c>
      <c r="D92" s="8">
        <f>IF($B$77=Inputs!$B$18,IF($B92&lt;='Mortgage Calculators (By Year)'!$C$9,'Forecast (By Year)'!H17,NA()),IF($B92&lt;='Mortgage Calculators (By Year)'!$J$12,'Forecast (By Year)'!AF17,NA()))</f>
        <v>3083036.3476984911</v>
      </c>
      <c r="E92" s="8" t="e">
        <f>IF(B92=ROUND(Inputs!$K$10,0),$E$77,NA())</f>
        <v>#N/A</v>
      </c>
      <c r="G92" s="12">
        <v>13</v>
      </c>
      <c r="H92" s="8">
        <f>IF($K$20=Inputs!$B$18,IF($G92&lt;='Mortgage Calculators (By Year)'!$C$9,'Forecast (By Year)'!V17,NA()),IF($G92&lt;='Mortgage Calculators (By Year)'!$J$12,'Forecast (By Year)'!AT17,NA()))</f>
        <v>1415848.6207445455</v>
      </c>
      <c r="I92" s="8">
        <f>IF($K$20=Inputs!$B$18,IF($G92&lt;='Mortgage Calculators (By Year)'!$C$9,'Forecast (By Year)'!Y17,NA()),IF($G92&lt;='Mortgage Calculators (By Year)'!$J$12,'Forecast (By Year)'!AW17,NA()))</f>
        <v>2807443.7582799653</v>
      </c>
      <c r="J92" s="91">
        <f>IF($K$20=Inputs!$B$18,IF($G92&lt;='Mortgage Calculators (By Year)'!$C$9,'Forecast (By Year)'!X17,NA()),IF($G92&lt;='Mortgage Calculators (By Year)'!$J$12,'Forecast (By Year)'!AV17,NA()))</f>
        <v>6.8025981051515708E-2</v>
      </c>
      <c r="K92" s="91">
        <f>IF($K$20=Inputs!$B$18,IF($G92&lt;='Mortgage Calculators (By Year)'!$C$9,'Forecast (By Year)'!AA17,NA()),IF($G92&lt;='Mortgage Calculators (By Year)'!$J$12,'Forecast (By Year)'!AY17,NA()))</f>
        <v>0.13488667722367079</v>
      </c>
      <c r="L92" s="8" t="e">
        <f>IF(G92=ROUND(Inputs!$K$10,0),$L$77,NA())</f>
        <v>#N/A</v>
      </c>
      <c r="M92" s="17"/>
    </row>
    <row r="93" spans="2:13" x14ac:dyDescent="0.35">
      <c r="B93" s="76">
        <v>14</v>
      </c>
      <c r="C93" s="8">
        <f>IF($B$77=Inputs!$B$18,IF($B93&lt;='Mortgage Calculators (By Year)'!$C$9,'Forecast (By Year)'!G18,NA()),IF($B93&lt;='Mortgage Calculators (By Year)'!$J$12,'Forecast (By Year)'!AE18,NA()))</f>
        <v>3237188.1650834158</v>
      </c>
      <c r="D93" s="8">
        <f>IF($B$77=Inputs!$B$18,IF($B93&lt;='Mortgage Calculators (By Year)'!$C$9,'Forecast (By Year)'!H18,NA()),IF($B93&lt;='Mortgage Calculators (By Year)'!$J$12,'Forecast (By Year)'!AF18,NA()))</f>
        <v>3237188.1650834158</v>
      </c>
      <c r="E93" s="8" t="e">
        <f>IF(B93=ROUND(Inputs!$K$10,0),$E$77,NA())</f>
        <v>#N/A</v>
      </c>
      <c r="G93" s="12">
        <v>14</v>
      </c>
      <c r="H93" s="8">
        <f>IF($K$20=Inputs!$B$18,IF($G93&lt;='Mortgage Calculators (By Year)'!$C$9,'Forecast (By Year)'!V18,NA()),IF($G93&lt;='Mortgage Calculators (By Year)'!$J$12,'Forecast (By Year)'!AT18,NA()))</f>
        <v>1566917.4017817748</v>
      </c>
      <c r="I93" s="8">
        <f>IF($K$20=Inputs!$B$18,IF($G93&lt;='Mortgage Calculators (By Year)'!$C$9,'Forecast (By Year)'!Y18,NA()),IF($G93&lt;='Mortgage Calculators (By Year)'!$J$12,'Forecast (By Year)'!AW18,NA()))</f>
        <v>3113511.996193965</v>
      </c>
      <c r="J93" s="91">
        <f>IF($K$20=Inputs!$B$18,IF($G93&lt;='Mortgage Calculators (By Year)'!$C$9,'Forecast (By Year)'!X18,NA()),IF($G93&lt;='Mortgage Calculators (By Year)'!$J$12,'Forecast (By Year)'!AV18,NA()))</f>
        <v>6.9906798296244257E-2</v>
      </c>
      <c r="K93" s="91">
        <f>IF($K$20=Inputs!$B$18,IF($G93&lt;='Mortgage Calculators (By Year)'!$C$9,'Forecast (By Year)'!AA18,NA()),IF($G93&lt;='Mortgage Calculators (By Year)'!$J$12,'Forecast (By Year)'!AY18,NA()))</f>
        <v>0.13890691038555542</v>
      </c>
      <c r="L93" s="8" t="e">
        <f>IF(G93=ROUND(Inputs!$K$10,0),$L$77,NA())</f>
        <v>#N/A</v>
      </c>
      <c r="M93" s="17"/>
    </row>
    <row r="94" spans="2:13" x14ac:dyDescent="0.35">
      <c r="B94" s="76">
        <v>15</v>
      </c>
      <c r="C94" s="8">
        <f>IF($B$77=Inputs!$B$18,IF($B94&lt;='Mortgage Calculators (By Year)'!$C$9,'Forecast (By Year)'!G19,NA()),IF($B94&lt;='Mortgage Calculators (By Year)'!$J$12,'Forecast (By Year)'!AE19,NA()))</f>
        <v>3399047.5733375866</v>
      </c>
      <c r="D94" s="8">
        <f>IF($B$77=Inputs!$B$18,IF($B94&lt;='Mortgage Calculators (By Year)'!$C$9,'Forecast (By Year)'!H19,NA()),IF($B94&lt;='Mortgage Calculators (By Year)'!$J$12,'Forecast (By Year)'!AF19,NA()))</f>
        <v>3399047.5733375866</v>
      </c>
      <c r="E94" s="8" t="e">
        <f>IF(B94=ROUND(Inputs!$K$10,0),$E$77,NA())</f>
        <v>#N/A</v>
      </c>
      <c r="G94" s="12">
        <v>15</v>
      </c>
      <c r="H94" s="8">
        <f>IF($K$20=Inputs!$B$18,IF($G94&lt;='Mortgage Calculators (By Year)'!$C$9,'Forecast (By Year)'!V19,NA()),IF($G94&lt;='Mortgage Calculators (By Year)'!$J$12,'Forecast (By Year)'!AT19,NA()))</f>
        <v>1725539.6218708653</v>
      </c>
      <c r="I94" s="8">
        <f>IF($K$20=Inputs!$B$18,IF($G94&lt;='Mortgage Calculators (By Year)'!$C$9,'Forecast (By Year)'!Y19,NA()),IF($G94&lt;='Mortgage Calculators (By Year)'!$J$12,'Forecast (By Year)'!AW19,NA()))</f>
        <v>3435776.5460036644</v>
      </c>
      <c r="J94" s="91">
        <f>IF($K$20=Inputs!$B$18,IF($G94&lt;='Mortgage Calculators (By Year)'!$C$9,'Forecast (By Year)'!X19,NA()),IF($G94&lt;='Mortgage Calculators (By Year)'!$J$12,'Forecast (By Year)'!AV19,NA()))</f>
        <v>7.1851364649934718E-2</v>
      </c>
      <c r="K94" s="91">
        <f>IF($K$20=Inputs!$B$18,IF($G94&lt;='Mortgage Calculators (By Year)'!$C$9,'Forecast (By Year)'!AA19,NA()),IF($G94&lt;='Mortgage Calculators (By Year)'!$J$12,'Forecast (By Year)'!AY19,NA()))</f>
        <v>0.14306552589904956</v>
      </c>
      <c r="L94" s="8" t="e">
        <f>IF(G94=ROUND(Inputs!$K$10,0),$L$77,NA())</f>
        <v>#N/A</v>
      </c>
      <c r="M94" s="17"/>
    </row>
    <row r="95" spans="2:13" x14ac:dyDescent="0.35">
      <c r="B95" s="76">
        <v>16</v>
      </c>
      <c r="C95" s="8">
        <f>IF($B$77=Inputs!$B$18,IF($B95&lt;='Mortgage Calculators (By Year)'!$C$9,'Forecast (By Year)'!G20,NA()),IF($B95&lt;='Mortgage Calculators (By Year)'!$J$12,'Forecast (By Year)'!AE20,NA()))</f>
        <v>3568999.9520044662</v>
      </c>
      <c r="D95" s="8">
        <f>IF($B$77=Inputs!$B$18,IF($B95&lt;='Mortgage Calculators (By Year)'!$C$9,'Forecast (By Year)'!H20,NA()),IF($B95&lt;='Mortgage Calculators (By Year)'!$J$12,'Forecast (By Year)'!AF20,NA()))</f>
        <v>3568999.9520044662</v>
      </c>
      <c r="E95" s="8" t="e">
        <f>IF(B95=ROUND(Inputs!$K$10,0),$E$77,NA())</f>
        <v>#N/A</v>
      </c>
      <c r="G95" s="12">
        <v>16</v>
      </c>
      <c r="H95" s="8">
        <f>IF($K$20=Inputs!$B$18,IF($G95&lt;='Mortgage Calculators (By Year)'!$C$9,'Forecast (By Year)'!V20,NA()),IF($G95&lt;='Mortgage Calculators (By Year)'!$J$12,'Forecast (By Year)'!AT20,NA()))</f>
        <v>1892092.9529644107</v>
      </c>
      <c r="I95" s="8">
        <f>IF($K$20=Inputs!$B$18,IF($G95&lt;='Mortgage Calculators (By Year)'!$C$9,'Forecast (By Year)'!Y20,NA()),IF($G95&lt;='Mortgage Calculators (By Year)'!$J$12,'Forecast (By Year)'!AW20,NA()))</f>
        <v>3775047.2233038489</v>
      </c>
      <c r="J95" s="91">
        <f>IF($K$20=Inputs!$B$18,IF($G95&lt;='Mortgage Calculators (By Year)'!$C$9,'Forecast (By Year)'!X20,NA()),IF($G95&lt;='Mortgage Calculators (By Year)'!$J$12,'Forecast (By Year)'!AV20,NA()))</f>
        <v>7.3862470501918867E-2</v>
      </c>
      <c r="K95" s="91">
        <f>IF($K$20=Inputs!$B$18,IF($G95&lt;='Mortgage Calculators (By Year)'!$C$9,'Forecast (By Year)'!AA20,NA()),IF($G95&lt;='Mortgage Calculators (By Year)'!$J$12,'Forecast (By Year)'!AY20,NA()))</f>
        <v>0.1473681902032199</v>
      </c>
      <c r="L95" s="8" t="e">
        <f>IF(G95=ROUND(Inputs!$K$10,0),$L$77,NA())</f>
        <v>#N/A</v>
      </c>
      <c r="M95" s="17"/>
    </row>
    <row r="96" spans="2:13" x14ac:dyDescent="0.35">
      <c r="B96" s="76">
        <v>17</v>
      </c>
      <c r="C96" s="8">
        <f>IF($B$77=Inputs!$B$18,IF($B96&lt;='Mortgage Calculators (By Year)'!$C$9,'Forecast (By Year)'!G21,NA()),IF($B96&lt;='Mortgage Calculators (By Year)'!$J$12,'Forecast (By Year)'!AE21,NA()))</f>
        <v>3747449.9496046896</v>
      </c>
      <c r="D96" s="8">
        <f>IF($B$77=Inputs!$B$18,IF($B96&lt;='Mortgage Calculators (By Year)'!$C$9,'Forecast (By Year)'!H21,NA()),IF($B96&lt;='Mortgage Calculators (By Year)'!$J$12,'Forecast (By Year)'!AF21,NA()))</f>
        <v>3747449.9496046896</v>
      </c>
      <c r="E96" s="8" t="e">
        <f>IF(B96=ROUND(Inputs!$K$10,0),$E$77,NA())</f>
        <v>#N/A</v>
      </c>
      <c r="G96" s="12">
        <v>17</v>
      </c>
      <c r="H96" s="8">
        <f>IF($K$20=Inputs!$B$18,IF($G96&lt;='Mortgage Calculators (By Year)'!$C$9,'Forecast (By Year)'!V21,NA()),IF($G96&lt;='Mortgage Calculators (By Year)'!$J$12,'Forecast (By Year)'!AT21,NA()))</f>
        <v>2066973.9506126326</v>
      </c>
      <c r="I96" s="8">
        <f>IF($K$20=Inputs!$B$18,IF($G96&lt;='Mortgage Calculators (By Year)'!$C$9,'Forecast (By Year)'!Y21,NA()),IF($G96&lt;='Mortgage Calculators (By Year)'!$J$12,'Forecast (By Year)'!AW21,NA()))</f>
        <v>4132174.3344690436</v>
      </c>
      <c r="J96" s="91">
        <f>IF($K$20=Inputs!$B$18,IF($G96&lt;='Mortgage Calculators (By Year)'!$C$9,'Forecast (By Year)'!X21,NA()),IF($G96&lt;='Mortgage Calculators (By Year)'!$J$12,'Forecast (By Year)'!AV21,NA()))</f>
        <v>7.5942943483909814E-2</v>
      </c>
      <c r="K96" s="91">
        <f>IF($K$20=Inputs!$B$18,IF($G96&lt;='Mortgage Calculators (By Year)'!$C$9,'Forecast (By Year)'!AA21,NA()),IF($G96&lt;='Mortgage Calculators (By Year)'!$J$12,'Forecast (By Year)'!AY21,NA()))</f>
        <v>0.15182072413405834</v>
      </c>
      <c r="L96" s="8" t="e">
        <f>IF(G96=ROUND(Inputs!$K$10,0),$L$77,NA())</f>
        <v>#N/A</v>
      </c>
      <c r="M96" s="17"/>
    </row>
    <row r="97" spans="2:13" x14ac:dyDescent="0.35">
      <c r="B97" s="76">
        <v>18</v>
      </c>
      <c r="C97" s="8">
        <f>IF($B$77=Inputs!$B$18,IF($B97&lt;='Mortgage Calculators (By Year)'!$C$9,'Forecast (By Year)'!G22,NA()),IF($B97&lt;='Mortgage Calculators (By Year)'!$J$12,'Forecast (By Year)'!AE22,NA()))</f>
        <v>3934822.4470849242</v>
      </c>
      <c r="D97" s="8">
        <f>IF($B$77=Inputs!$B$18,IF($B97&lt;='Mortgage Calculators (By Year)'!$C$9,'Forecast (By Year)'!H22,NA()),IF($B97&lt;='Mortgage Calculators (By Year)'!$J$12,'Forecast (By Year)'!AF22,NA()))</f>
        <v>3934822.4470849242</v>
      </c>
      <c r="E97" s="8" t="e">
        <f>IF(B97=ROUND(Inputs!$K$10,0),$E$77,NA())</f>
        <v>#N/A</v>
      </c>
      <c r="G97" s="12">
        <v>18</v>
      </c>
      <c r="H97" s="8">
        <f>IF($K$20=Inputs!$B$18,IF($G97&lt;='Mortgage Calculators (By Year)'!$C$9,'Forecast (By Year)'!V22,NA()),IF($G97&lt;='Mortgage Calculators (By Year)'!$J$12,'Forecast (By Year)'!AT22,NA()))</f>
        <v>2250598.998143266</v>
      </c>
      <c r="I97" s="8">
        <f>IF($K$20=Inputs!$B$18,IF($G97&lt;='Mortgage Calculators (By Year)'!$C$9,'Forecast (By Year)'!Y22,NA()),IF($G97&lt;='Mortgage Calculators (By Year)'!$J$12,'Forecast (By Year)'!AW22,NA()))</f>
        <v>4508050.7011925001</v>
      </c>
      <c r="J97" s="91">
        <f>IF($K$20=Inputs!$B$18,IF($G97&lt;='Mortgage Calculators (By Year)'!$C$9,'Forecast (By Year)'!X22,NA()),IF($G97&lt;='Mortgage Calculators (By Year)'!$J$12,'Forecast (By Year)'!AV22,NA()))</f>
        <v>7.8095670887890017E-2</v>
      </c>
      <c r="K97" s="91">
        <f>IF($K$20=Inputs!$B$18,IF($G97&lt;='Mortgage Calculators (By Year)'!$C$9,'Forecast (By Year)'!AA22,NA()),IF($G97&lt;='Mortgage Calculators (By Year)'!$J$12,'Forecast (By Year)'!AY22,NA()))</f>
        <v>0.15642913028784719</v>
      </c>
      <c r="L97" s="8" t="e">
        <f>IF(G97=ROUND(Inputs!$K$10,0),$L$77,NA())</f>
        <v>#N/A</v>
      </c>
      <c r="M97" s="17"/>
    </row>
    <row r="98" spans="2:13" x14ac:dyDescent="0.35">
      <c r="B98" s="76">
        <v>19</v>
      </c>
      <c r="C98" s="8">
        <f>IF($B$77=Inputs!$B$18,IF($B98&lt;='Mortgage Calculators (By Year)'!$C$9,'Forecast (By Year)'!G23,NA()),IF($B98&lt;='Mortgage Calculators (By Year)'!$J$12,'Forecast (By Year)'!AE23,NA()))</f>
        <v>4131563.5694391704</v>
      </c>
      <c r="D98" s="8">
        <f>IF($B$77=Inputs!$B$18,IF($B98&lt;='Mortgage Calculators (By Year)'!$C$9,'Forecast (By Year)'!H23,NA()),IF($B98&lt;='Mortgage Calculators (By Year)'!$J$12,'Forecast (By Year)'!AF23,NA()))</f>
        <v>4131563.5694391704</v>
      </c>
      <c r="E98" s="8" t="e">
        <f>IF(B98=ROUND(Inputs!$K$10,0),$E$77,NA())</f>
        <v>#N/A</v>
      </c>
      <c r="G98" s="12">
        <v>19</v>
      </c>
      <c r="H98" s="8">
        <f>IF($K$20=Inputs!$B$18,IF($G98&lt;='Mortgage Calculators (By Year)'!$C$9,'Forecast (By Year)'!V23,NA()),IF($G98&lt;='Mortgage Calculators (By Year)'!$J$12,'Forecast (By Year)'!AT23,NA()))</f>
        <v>2443405.2980504325</v>
      </c>
      <c r="I98" s="8">
        <f>IF($K$20=Inputs!$B$18,IF($G98&lt;='Mortgage Calculators (By Year)'!$C$9,'Forecast (By Year)'!Y23,NA()),IF($G98&lt;='Mortgage Calculators (By Year)'!$J$12,'Forecast (By Year)'!AW23,NA()))</f>
        <v>4903613.7862521298</v>
      </c>
      <c r="J98" s="91">
        <f>IF($K$20=Inputs!$B$18,IF($G98&lt;='Mortgage Calculators (By Year)'!$C$9,'Forecast (By Year)'!X23,NA()),IF($G98&lt;='Mortgage Calculators (By Year)'!$J$12,'Forecast (By Year)'!AV23,NA()))</f>
        <v>8.0323616556597491E-2</v>
      </c>
      <c r="K98" s="91">
        <f>IF($K$20=Inputs!$B$18,IF($G98&lt;='Mortgage Calculators (By Year)'!$C$9,'Forecast (By Year)'!AA23,NA()),IF($G98&lt;='Mortgage Calculators (By Year)'!$J$12,'Forecast (By Year)'!AY23,NA()))</f>
        <v>0.16119961507115943</v>
      </c>
      <c r="L98" s="8" t="e">
        <f>IF(G98=ROUND(Inputs!$K$10,0),$L$77,NA())</f>
        <v>#N/A</v>
      </c>
      <c r="M98" s="17"/>
    </row>
    <row r="99" spans="2:13" x14ac:dyDescent="0.35">
      <c r="B99" s="76">
        <v>20</v>
      </c>
      <c r="C99" s="8">
        <f>IF($B$77=Inputs!$B$18,IF($B99&lt;='Mortgage Calculators (By Year)'!$C$9,'Forecast (By Year)'!G24,NA()),IF($B99&lt;='Mortgage Calculators (By Year)'!$J$12,'Forecast (By Year)'!AE24,NA()))</f>
        <v>4338141.7479111291</v>
      </c>
      <c r="D99" s="8">
        <f>IF($B$77=Inputs!$B$18,IF($B99&lt;='Mortgage Calculators (By Year)'!$C$9,'Forecast (By Year)'!H24,NA()),IF($B99&lt;='Mortgage Calculators (By Year)'!$J$12,'Forecast (By Year)'!AF24,NA()))</f>
        <v>4338141.7479111291</v>
      </c>
      <c r="E99" s="8" t="e">
        <f>IF(B99=ROUND(Inputs!$K$10,0),$E$77,NA())</f>
        <v>#N/A</v>
      </c>
      <c r="G99" s="12">
        <v>20</v>
      </c>
      <c r="H99" s="8">
        <f>IF($K$20=Inputs!$B$18,IF($G99&lt;='Mortgage Calculators (By Year)'!$C$9,'Forecast (By Year)'!V24,NA()),IF($G99&lt;='Mortgage Calculators (By Year)'!$J$12,'Forecast (By Year)'!AT24,NA()))</f>
        <v>2645851.9129529567</v>
      </c>
      <c r="I99" s="8">
        <f>IF($K$20=Inputs!$B$18,IF($G99&lt;='Mortgage Calculators (By Year)'!$C$9,'Forecast (By Year)'!Y24,NA()),IF($G99&lt;='Mortgage Calculators (By Year)'!$J$12,'Forecast (By Year)'!AW24,NA()))</f>
        <v>5319847.9255647399</v>
      </c>
      <c r="J99" s="91">
        <f>IF($K$20=Inputs!$B$18,IF($G99&lt;='Mortgage Calculators (By Year)'!$C$9,'Forecast (By Year)'!X24,NA()),IF($G99&lt;='Mortgage Calculators (By Year)'!$J$12,'Forecast (By Year)'!AV24,NA()))</f>
        <v>8.2629834254917517E-2</v>
      </c>
      <c r="K99" s="91">
        <f>IF($K$20=Inputs!$B$18,IF($G99&lt;='Mortgage Calculators (By Year)'!$C$9,'Forecast (By Year)'!AA24,NA()),IF($G99&lt;='Mortgage Calculators (By Year)'!$J$12,'Forecast (By Year)'!AY24,NA()))</f>
        <v>0.16613860745523779</v>
      </c>
      <c r="L99" s="8" t="e">
        <f>IF(G99=ROUND(Inputs!$K$10,0),$L$77,NA())</f>
        <v>#N/A</v>
      </c>
      <c r="M99" s="17"/>
    </row>
    <row r="100" spans="2:13" x14ac:dyDescent="0.35">
      <c r="B100" s="76">
        <v>21</v>
      </c>
      <c r="C100" s="8">
        <f>IF($B$77=Inputs!$B$18,IF($B100&lt;='Mortgage Calculators (By Year)'!$C$9,'Forecast (By Year)'!G25,NA()),IF($B100&lt;='Mortgage Calculators (By Year)'!$J$12,'Forecast (By Year)'!AE25,NA()))</f>
        <v>4555048.8353066854</v>
      </c>
      <c r="D100" s="8">
        <f>IF($B$77=Inputs!$B$18,IF($B100&lt;='Mortgage Calculators (By Year)'!$C$9,'Forecast (By Year)'!H25,NA()),IF($B100&lt;='Mortgage Calculators (By Year)'!$J$12,'Forecast (By Year)'!AF25,NA()))</f>
        <v>4555048.8353066854</v>
      </c>
      <c r="E100" s="8" t="e">
        <f>IF(B100=ROUND(Inputs!$K$10,0),$E$77,NA())</f>
        <v>#N/A</v>
      </c>
      <c r="G100" s="12">
        <v>21</v>
      </c>
      <c r="H100" s="8">
        <f>IF($K$20=Inputs!$B$18,IF($G100&lt;='Mortgage Calculators (By Year)'!$C$9,'Forecast (By Year)'!V25,NA()),IF($G100&lt;='Mortgage Calculators (By Year)'!$J$12,'Forecast (By Year)'!AT25,NA()))</f>
        <v>2858420.8586006062</v>
      </c>
      <c r="I100" s="8">
        <f>IF($K$20=Inputs!$B$18,IF($G100&lt;='Mortgage Calculators (By Year)'!$C$9,'Forecast (By Year)'!Y25,NA()),IF($G100&lt;='Mortgage Calculators (By Year)'!$J$12,'Forecast (By Year)'!AW25,NA()))</f>
        <v>5757786.6718429793</v>
      </c>
      <c r="J100" s="91">
        <f>IF($K$20=Inputs!$B$18,IF($G100&lt;='Mortgage Calculators (By Year)'!$C$9,'Forecast (By Year)'!X25,NA()),IF($G100&lt;='Mortgage Calculators (By Year)'!$J$12,'Forecast (By Year)'!AV25,NA()))</f>
        <v>8.501747876892847E-2</v>
      </c>
      <c r="K100" s="91">
        <f>IF($K$20=Inputs!$B$18,IF($G100&lt;='Mortgage Calculators (By Year)'!$C$9,'Forecast (By Year)'!AA25,NA()),IF($G100&lt;='Mortgage Calculators (By Year)'!$J$12,'Forecast (By Year)'!AY25,NA()))</f>
        <v>0.17125277569135844</v>
      </c>
      <c r="L100" s="8" t="e">
        <f>IF(G100=ROUND(Inputs!$K$10,0),$L$77,NA())</f>
        <v>#N/A</v>
      </c>
      <c r="M100" s="17"/>
    </row>
    <row r="101" spans="2:13" x14ac:dyDescent="0.35">
      <c r="B101" s="76">
        <v>22</v>
      </c>
      <c r="C101" s="8">
        <f>IF($B$77=Inputs!$B$18,IF($B101&lt;='Mortgage Calculators (By Year)'!$C$9,'Forecast (By Year)'!G26,NA()),IF($B101&lt;='Mortgage Calculators (By Year)'!$J$12,'Forecast (By Year)'!AE26,NA()))</f>
        <v>4782801.2770720199</v>
      </c>
      <c r="D101" s="8">
        <f>IF($B$77=Inputs!$B$18,IF($B101&lt;='Mortgage Calculators (By Year)'!$C$9,'Forecast (By Year)'!H26,NA()),IF($B101&lt;='Mortgage Calculators (By Year)'!$J$12,'Forecast (By Year)'!AF26,NA()))</f>
        <v>4782801.2770720199</v>
      </c>
      <c r="E101" s="8" t="e">
        <f>IF(B101=ROUND(Inputs!$K$10,0),$E$77,NA())</f>
        <v>#N/A</v>
      </c>
      <c r="G101" s="12">
        <v>22</v>
      </c>
      <c r="H101" s="8">
        <f>IF($K$20=Inputs!$B$18,IF($G101&lt;='Mortgage Calculators (By Year)'!$C$9,'Forecast (By Year)'!V26,NA()),IF($G101&lt;='Mortgage Calculators (By Year)'!$J$12,'Forecast (By Year)'!AT26,NA()))</f>
        <v>3081618.2515306403</v>
      </c>
      <c r="I101" s="8">
        <f>IF($K$20=Inputs!$B$18,IF($G101&lt;='Mortgage Calculators (By Year)'!$C$9,'Forecast (By Year)'!Y26,NA()),IF($G101&lt;='Mortgage Calculators (By Year)'!$J$12,'Forecast (By Year)'!AW26,NA()))</f>
        <v>6218515.2554351315</v>
      </c>
      <c r="J101" s="91">
        <f>IF($K$20=Inputs!$B$18,IF($G101&lt;='Mortgage Calculators (By Year)'!$C$9,'Forecast (By Year)'!X26,NA()),IF($G101&lt;='Mortgage Calculators (By Year)'!$J$12,'Forecast (By Year)'!AV26,NA()))</f>
        <v>8.748981552950473E-2</v>
      </c>
      <c r="K101" s="91">
        <f>IF($K$20=Inputs!$B$18,IF($G101&lt;='Mortgage Calculators (By Year)'!$C$9,'Forecast (By Year)'!AA26,NA()),IF($G101&lt;='Mortgage Calculators (By Year)'!$J$12,'Forecast (By Year)'!AY26,NA()))</f>
        <v>0.17654904279438169</v>
      </c>
      <c r="L101" s="8" t="e">
        <f>IF(G101=ROUND(Inputs!$K$10,0),$L$77,NA())</f>
        <v>#N/A</v>
      </c>
      <c r="M101" s="17"/>
    </row>
    <row r="102" spans="2:13" x14ac:dyDescent="0.35">
      <c r="B102" s="76">
        <v>23</v>
      </c>
      <c r="C102" s="8">
        <f>IF($B$77=Inputs!$B$18,IF($B102&lt;='Mortgage Calculators (By Year)'!$C$9,'Forecast (By Year)'!G27,NA()),IF($B102&lt;='Mortgage Calculators (By Year)'!$J$12,'Forecast (By Year)'!AE27,NA()))</f>
        <v>5021941.3409256209</v>
      </c>
      <c r="D102" s="8">
        <f>IF($B$77=Inputs!$B$18,IF($B102&lt;='Mortgage Calculators (By Year)'!$C$9,'Forecast (By Year)'!H27,NA()),IF($B102&lt;='Mortgage Calculators (By Year)'!$J$12,'Forecast (By Year)'!AF27,NA()))</f>
        <v>5021941.3409256209</v>
      </c>
      <c r="E102" s="8" t="e">
        <f>IF(B102=ROUND(Inputs!$K$10,0),$E$77,NA())</f>
        <v>#N/A</v>
      </c>
      <c r="G102" s="12">
        <v>23</v>
      </c>
      <c r="H102" s="8">
        <f>IF($K$20=Inputs!$B$18,IF($G102&lt;='Mortgage Calculators (By Year)'!$C$9,'Forecast (By Year)'!V27,NA()),IF($G102&lt;='Mortgage Calculators (By Year)'!$J$12,'Forecast (By Year)'!AT27,NA()))</f>
        <v>3315975.5141071756</v>
      </c>
      <c r="I102" s="8">
        <f>IF($K$20=Inputs!$B$18,IF($G102&lt;='Mortgage Calculators (By Year)'!$C$9,'Forecast (By Year)'!Y27,NA()),IF($G102&lt;='Mortgage Calculators (By Year)'!$J$12,'Forecast (By Year)'!AW27,NA()))</f>
        <v>6703173.1682068892</v>
      </c>
      <c r="J102" s="91">
        <f>IF($K$20=Inputs!$B$18,IF($G102&lt;='Mortgage Calculators (By Year)'!$C$9,'Forecast (By Year)'!X27,NA()),IF($G102&lt;='Mortgage Calculators (By Year)'!$J$12,'Forecast (By Year)'!AV27,NA()))</f>
        <v>9.0050229283730021E-2</v>
      </c>
      <c r="K102" s="91">
        <f>IF($K$20=Inputs!$B$18,IF($G102&lt;='Mortgage Calculators (By Year)'!$C$9,'Forecast (By Year)'!AA27,NA()),IF($G102&lt;='Mortgage Calculators (By Year)'!$J$12,'Forecast (By Year)'!AY27,NA()))</f>
        <v>0.18203460132850294</v>
      </c>
      <c r="L102" s="8" t="e">
        <f>IF(G102=ROUND(Inputs!$K$10,0),$L$77,NA())</f>
        <v>#N/A</v>
      </c>
      <c r="M102" s="17"/>
    </row>
    <row r="103" spans="2:13" x14ac:dyDescent="0.35">
      <c r="B103" s="76">
        <v>24</v>
      </c>
      <c r="C103" s="8">
        <f>IF($B$77=Inputs!$B$18,IF($B103&lt;='Mortgage Calculators (By Year)'!$C$9,'Forecast (By Year)'!G28,NA()),IF($B103&lt;='Mortgage Calculators (By Year)'!$J$12,'Forecast (By Year)'!AE28,NA()))</f>
        <v>5273038.4079719018</v>
      </c>
      <c r="D103" s="8">
        <f>IF($B$77=Inputs!$B$18,IF($B103&lt;='Mortgage Calculators (By Year)'!$C$9,'Forecast (By Year)'!H28,NA()),IF($B103&lt;='Mortgage Calculators (By Year)'!$J$12,'Forecast (By Year)'!AF28,NA()))</f>
        <v>5273038.4079719018</v>
      </c>
      <c r="E103" s="8" t="e">
        <f>IF(B103=ROUND(Inputs!$K$10,0),$E$77,NA())</f>
        <v>#N/A</v>
      </c>
      <c r="G103" s="12">
        <v>24</v>
      </c>
      <c r="H103" s="8">
        <f>IF($K$20=Inputs!$B$18,IF($G103&lt;='Mortgage Calculators (By Year)'!$C$9,'Forecast (By Year)'!V28,NA()),IF($G103&lt;='Mortgage Calculators (By Year)'!$J$12,'Forecast (By Year)'!AT28,NA()))</f>
        <v>3562050.6398125365</v>
      </c>
      <c r="I103" s="8">
        <f>IF($K$20=Inputs!$B$18,IF($G103&lt;='Mortgage Calculators (By Year)'!$C$9,'Forecast (By Year)'!Y28,NA()),IF($G103&lt;='Mortgage Calculators (By Year)'!$J$12,'Forecast (By Year)'!AW28,NA()))</f>
        <v>7212956.8766172333</v>
      </c>
      <c r="J103" s="91">
        <f>IF($K$20=Inputs!$B$18,IF($G103&lt;='Mortgage Calculators (By Year)'!$C$9,'Forecast (By Year)'!X28,NA()),IF($G103&lt;='Mortgage Calculators (By Year)'!$J$12,'Forecast (By Year)'!AV28,NA()))</f>
        <v>9.2702232166512924E-2</v>
      </c>
      <c r="K103" s="91">
        <f>IF($K$20=Inputs!$B$18,IF($G103&lt;='Mortgage Calculators (By Year)'!$C$9,'Forecast (By Year)'!AA28,NA()),IF($G103&lt;='Mortgage Calculators (By Year)'!$J$12,'Forecast (By Year)'!AY28,NA()))</f>
        <v>0.18771692785883773</v>
      </c>
      <c r="L103" s="8" t="e">
        <f>IF(G103=ROUND(Inputs!$K$10,0),$L$77,NA())</f>
        <v>#N/A</v>
      </c>
      <c r="M103" s="17"/>
    </row>
    <row r="104" spans="2:13" x14ac:dyDescent="0.35">
      <c r="B104" s="76">
        <v>25</v>
      </c>
      <c r="C104" s="8">
        <f>IF($B$77=Inputs!$B$18,IF($B104&lt;='Mortgage Calculators (By Year)'!$C$9,'Forecast (By Year)'!G29,NA()),IF($B104&lt;='Mortgage Calculators (By Year)'!$J$12,'Forecast (By Year)'!AE29,NA()))</f>
        <v>5536690.3283704976</v>
      </c>
      <c r="D104" s="8">
        <f>IF($B$77=Inputs!$B$18,IF($B104&lt;='Mortgage Calculators (By Year)'!$C$9,'Forecast (By Year)'!H29,NA()),IF($B104&lt;='Mortgage Calculators (By Year)'!$J$12,'Forecast (By Year)'!AF29,NA()))</f>
        <v>5536690.3283704976</v>
      </c>
      <c r="E104" s="8" t="e">
        <f>IF(B104=ROUND(Inputs!$K$10,0),$E$77,NA())</f>
        <v>#N/A</v>
      </c>
      <c r="G104" s="12">
        <v>25</v>
      </c>
      <c r="H104" s="8">
        <f>IF($K$20=Inputs!$B$18,IF($G104&lt;='Mortgage Calculators (By Year)'!$C$9,'Forecast (By Year)'!V29,NA()),IF($G104&lt;='Mortgage Calculators (By Year)'!$J$12,'Forecast (By Year)'!AT29,NA()))</f>
        <v>3820429.5218031676</v>
      </c>
      <c r="I104" s="8">
        <f>IF($K$20=Inputs!$B$18,IF($G104&lt;='Mortgage Calculators (By Year)'!$C$9,'Forecast (By Year)'!Y29,NA()),IF($G104&lt;='Mortgage Calculators (By Year)'!$J$12,'Forecast (By Year)'!AW29,NA()))</f>
        <v>7749122.6704481002</v>
      </c>
      <c r="J104" s="91">
        <f>IF($K$20=Inputs!$B$18,IF($G104&lt;='Mortgage Calculators (By Year)'!$C$9,'Forecast (By Year)'!X29,NA()),IF($G104&lt;='Mortgage Calculators (By Year)'!$J$12,'Forecast (By Year)'!AV29,NA()))</f>
        <v>9.5449471415614301E-2</v>
      </c>
      <c r="K104" s="91">
        <f>IF($K$20=Inputs!$B$18,IF($G104&lt;='Mortgage Calculators (By Year)'!$C$9,'Forecast (By Year)'!AA29,NA()),IF($G104&lt;='Mortgage Calculators (By Year)'!$J$12,'Forecast (By Year)'!AY29,NA()))</f>
        <v>0.19360379732379529</v>
      </c>
      <c r="L104" s="8" t="e">
        <f>IF(G104=ROUND(Inputs!$K$10,0),$L$77,NA())</f>
        <v>#N/A</v>
      </c>
      <c r="M104" s="17"/>
    </row>
    <row r="105" spans="2:13" x14ac:dyDescent="0.35">
      <c r="B105" s="76">
        <v>26</v>
      </c>
      <c r="C105" s="8">
        <f>IF($B$77=Inputs!$B$18,IF($B105&lt;='Mortgage Calculators (By Year)'!$C$9,'Forecast (By Year)'!G30,NA()),IF($B105&lt;='Mortgage Calculators (By Year)'!$J$12,'Forecast (By Year)'!AE30,NA()))</f>
        <v>5813524.8447890226</v>
      </c>
      <c r="D105" s="8">
        <f>IF($B$77=Inputs!$B$18,IF($B105&lt;='Mortgage Calculators (By Year)'!$C$9,'Forecast (By Year)'!H30,NA()),IF($B105&lt;='Mortgage Calculators (By Year)'!$J$12,'Forecast (By Year)'!AF30,NA()))</f>
        <v>5813524.8447890226</v>
      </c>
      <c r="E105" s="8" t="e">
        <f>IF(B105=ROUND(Inputs!$K$10,0),$E$77,NA())</f>
        <v>#N/A</v>
      </c>
      <c r="G105" s="12">
        <v>26</v>
      </c>
      <c r="H105" s="8">
        <f>IF($K$20=Inputs!$B$18,IF($G105&lt;='Mortgage Calculators (By Year)'!$C$9,'Forecast (By Year)'!V30,NA()),IF($G105&lt;='Mortgage Calculators (By Year)'!$J$12,'Forecast (By Year)'!AT30,NA()))</f>
        <v>4091727.3478933293</v>
      </c>
      <c r="I105" s="8">
        <f>IF($K$20=Inputs!$B$18,IF($G105&lt;='Mortgage Calculators (By Year)'!$C$9,'Forecast (By Year)'!Y30,NA()),IF($G105&lt;='Mortgage Calculators (By Year)'!$J$12,'Forecast (By Year)'!AW30,NA()))</f>
        <v>8312989.6539705088</v>
      </c>
      <c r="J105" s="91">
        <f>IF($K$20=Inputs!$B$18,IF($G105&lt;='Mortgage Calculators (By Year)'!$C$9,'Forecast (By Year)'!X30,NA()),IF($G105&lt;='Mortgage Calculators (By Year)'!$J$12,'Forecast (By Year)'!AV30,NA()))</f>
        <v>9.8295736902081002E-2</v>
      </c>
      <c r="K105" s="91">
        <f>IF($K$20=Inputs!$B$18,IF($G105&lt;='Mortgage Calculators (By Year)'!$C$9,'Forecast (By Year)'!AA30,NA()),IF($G105&lt;='Mortgage Calculators (By Year)'!$J$12,'Forecast (By Year)'!AY30,NA()))</f>
        <v>0.19970329751250793</v>
      </c>
      <c r="L105" s="8" t="e">
        <f>IF(G105=ROUND(Inputs!$K$10,0),$L$77,NA())</f>
        <v>#N/A</v>
      </c>
      <c r="M105" s="17"/>
    </row>
    <row r="106" spans="2:13" x14ac:dyDescent="0.35">
      <c r="B106" s="76">
        <v>27</v>
      </c>
      <c r="C106" s="8">
        <f>IF($B$77=Inputs!$B$18,IF($B106&lt;='Mortgage Calculators (By Year)'!$C$9,'Forecast (By Year)'!G31,NA()),IF($B106&lt;='Mortgage Calculators (By Year)'!$J$12,'Forecast (By Year)'!AE31,NA()))</f>
        <v>6104201.0870284736</v>
      </c>
      <c r="D106" s="8">
        <f>IF($B$77=Inputs!$B$18,IF($B106&lt;='Mortgage Calculators (By Year)'!$C$9,'Forecast (By Year)'!H31,NA()),IF($B106&lt;='Mortgage Calculators (By Year)'!$J$12,'Forecast (By Year)'!AF31,NA()))</f>
        <v>6104201.0870284736</v>
      </c>
      <c r="E106" s="8" t="e">
        <f>IF(B106=ROUND(Inputs!$K$10,0),$E$77,NA())</f>
        <v>#N/A</v>
      </c>
      <c r="G106" s="12">
        <v>27</v>
      </c>
      <c r="H106" s="8">
        <f>IF($K$20=Inputs!$B$18,IF($G106&lt;='Mortgage Calculators (By Year)'!$C$9,'Forecast (By Year)'!V31,NA()),IF($G106&lt;='Mortgage Calculators (By Year)'!$J$12,'Forecast (By Year)'!AT31,NA()))</f>
        <v>4376590.0652879989</v>
      </c>
      <c r="I106" s="8">
        <f>IF($K$20=Inputs!$B$18,IF($G106&lt;='Mortgage Calculators (By Year)'!$C$9,'Forecast (By Year)'!Y31,NA()),IF($G106&lt;='Mortgage Calculators (By Year)'!$J$12,'Forecast (By Year)'!AW31,NA()))</f>
        <v>8905942.8866690323</v>
      </c>
      <c r="J106" s="91">
        <f>IF($K$20=Inputs!$B$18,IF($G106&lt;='Mortgage Calculators (By Year)'!$C$9,'Forecast (By Year)'!X31,NA()),IF($G106&lt;='Mortgage Calculators (By Year)'!$J$12,'Forecast (By Year)'!AV31,NA()))</f>
        <v>0.10124496860077935</v>
      </c>
      <c r="K106" s="91">
        <f>IF($K$20=Inputs!$B$18,IF($G106&lt;='Mortgage Calculators (By Year)'!$C$9,'Forecast (By Year)'!AA31,NA()),IF($G106&lt;='Mortgage Calculators (By Year)'!$J$12,'Forecast (By Year)'!AY31,NA()))</f>
        <v>0.20602384378483155</v>
      </c>
      <c r="L106" s="8" t="e">
        <f>IF(G106=ROUND(Inputs!$K$10,0),$L$77,NA())</f>
        <v>#N/A</v>
      </c>
      <c r="M106" s="17"/>
    </row>
    <row r="107" spans="2:13" x14ac:dyDescent="0.35">
      <c r="B107" s="76">
        <v>28</v>
      </c>
      <c r="C107" s="8">
        <f>IF($B$77=Inputs!$B$18,IF($B107&lt;='Mortgage Calculators (By Year)'!$C$9,'Forecast (By Year)'!G32,NA()),IF($B107&lt;='Mortgage Calculators (By Year)'!$J$12,'Forecast (By Year)'!AE32,NA()))</f>
        <v>6409411.1413798975</v>
      </c>
      <c r="D107" s="8">
        <f>IF($B$77=Inputs!$B$18,IF($B107&lt;='Mortgage Calculators (By Year)'!$C$9,'Forecast (By Year)'!H32,NA()),IF($B107&lt;='Mortgage Calculators (By Year)'!$J$12,'Forecast (By Year)'!AF32,NA()))</f>
        <v>6409411.1413798975</v>
      </c>
      <c r="E107" s="8" t="e">
        <f>IF(B107=ROUND(Inputs!$K$10,0),$E$77,NA())</f>
        <v>#N/A</v>
      </c>
      <c r="G107" s="12">
        <v>28</v>
      </c>
      <c r="H107" s="8">
        <f>IF($K$20=Inputs!$B$18,IF($G107&lt;='Mortgage Calculators (By Year)'!$C$9,'Forecast (By Year)'!V32,NA()),IF($G107&lt;='Mortgage Calculators (By Year)'!$J$12,'Forecast (By Year)'!AT32,NA()))</f>
        <v>4675695.9185524033</v>
      </c>
      <c r="I107" s="8">
        <f>IF($K$20=Inputs!$B$18,IF($G107&lt;='Mortgage Calculators (By Year)'!$C$9,'Forecast (By Year)'!Y32,NA()),IF($G107&lt;='Mortgage Calculators (By Year)'!$J$12,'Forecast (By Year)'!AW32,NA()))</f>
        <v>9529436.6810024846</v>
      </c>
      <c r="J107" s="91">
        <f>IF($K$20=Inputs!$B$18,IF($G107&lt;='Mortgage Calculators (By Year)'!$C$9,'Forecast (By Year)'!X32,NA()),IF($G107&lt;='Mortgage Calculators (By Year)'!$J$12,'Forecast (By Year)'!AV32,NA()))</f>
        <v>0.10430126409379736</v>
      </c>
      <c r="K107" s="91">
        <f>IF($K$20=Inputs!$B$18,IF($G107&lt;='Mortgage Calculators (By Year)'!$C$9,'Forecast (By Year)'!AA32,NA()),IF($G107&lt;='Mortgage Calculators (By Year)'!$J$12,'Forecast (By Year)'!AY32,NA()))</f>
        <v>0.21257419414008466</v>
      </c>
      <c r="L107" s="8" t="e">
        <f>IF(G107=ROUND(Inputs!$K$10,0),$L$77,NA())</f>
        <v>#N/A</v>
      </c>
      <c r="M107" s="17"/>
    </row>
    <row r="108" spans="2:13" x14ac:dyDescent="0.35">
      <c r="B108" s="76">
        <v>29</v>
      </c>
      <c r="C108" s="8">
        <f>IF($B$77=Inputs!$B$18,IF($B108&lt;='Mortgage Calculators (By Year)'!$C$9,'Forecast (By Year)'!G33,NA()),IF($B108&lt;='Mortgage Calculators (By Year)'!$J$12,'Forecast (By Year)'!AE33,NA()))</f>
        <v>6729881.6984488927</v>
      </c>
      <c r="D108" s="8">
        <f>IF($B$77=Inputs!$B$18,IF($B108&lt;='Mortgage Calculators (By Year)'!$C$9,'Forecast (By Year)'!H33,NA()),IF($B108&lt;='Mortgage Calculators (By Year)'!$J$12,'Forecast (By Year)'!AF33,NA()))</f>
        <v>6729881.6984488927</v>
      </c>
      <c r="E108" s="8" t="e">
        <f>IF(B108=ROUND(Inputs!$K$10,0),$E$77,NA())</f>
        <v>#N/A</v>
      </c>
      <c r="G108" s="12">
        <v>29</v>
      </c>
      <c r="H108" s="8">
        <f>IF($K$20=Inputs!$B$18,IF($G108&lt;='Mortgage Calculators (By Year)'!$C$9,'Forecast (By Year)'!V33,NA()),IF($G108&lt;='Mortgage Calculators (By Year)'!$J$12,'Forecast (By Year)'!AT33,NA()))</f>
        <v>4989757.0644800281</v>
      </c>
      <c r="I108" s="8">
        <f>IF($K$20=Inputs!$B$18,IF($G108&lt;='Mortgage Calculators (By Year)'!$C$9,'Forecast (By Year)'!Y33,NA()),IF($G108&lt;='Mortgage Calculators (By Year)'!$J$12,'Forecast (By Year)'!AW33,NA()))</f>
        <v>10184998.06505261</v>
      </c>
      <c r="J108" s="91">
        <f>IF($K$20=Inputs!$B$18,IF($G108&lt;='Mortgage Calculators (By Year)'!$C$9,'Forecast (By Year)'!X33,NA()),IF($G108&lt;='Mortgage Calculators (By Year)'!$J$12,'Forecast (By Year)'!AV33,NA()))</f>
        <v>0.10746888617765085</v>
      </c>
      <c r="K108" s="91">
        <f>IF($K$20=Inputs!$B$18,IF($G108&lt;='Mortgage Calculators (By Year)'!$C$9,'Forecast (By Year)'!AA33,NA()),IF($G108&lt;='Mortgage Calculators (By Year)'!$J$12,'Forecast (By Year)'!AY33,NA()))</f>
        <v>0.21936346471945839</v>
      </c>
      <c r="L108" s="8" t="e">
        <f>IF(G108=ROUND(Inputs!$K$10,0),$L$77,NA())</f>
        <v>#N/A</v>
      </c>
      <c r="M108" s="17"/>
    </row>
    <row r="109" spans="2:13" x14ac:dyDescent="0.35">
      <c r="B109" s="76">
        <v>30</v>
      </c>
      <c r="C109" s="8">
        <f>IF($B$77=Inputs!$B$18,IF($B109&lt;='Mortgage Calculators (By Year)'!$C$9,'Forecast (By Year)'!G34,NA()),IF($B109&lt;='Mortgage Calculators (By Year)'!$J$12,'Forecast (By Year)'!AE34,NA()))</f>
        <v>7066375.7833713377</v>
      </c>
      <c r="D109" s="8">
        <f>IF($B$77=Inputs!$B$18,IF($B109&lt;='Mortgage Calculators (By Year)'!$C$9,'Forecast (By Year)'!H34,NA()),IF($B109&lt;='Mortgage Calculators (By Year)'!$J$12,'Forecast (By Year)'!AF34,NA()))</f>
        <v>7066375.7833713377</v>
      </c>
      <c r="E109" s="8" t="e">
        <f>IF(B109=ROUND(Inputs!$K$10,0),$E$77,NA())</f>
        <v>#N/A</v>
      </c>
      <c r="G109" s="12">
        <v>30</v>
      </c>
      <c r="H109" s="8">
        <f>IF($K$20=Inputs!$B$18,IF($G109&lt;='Mortgage Calculators (By Year)'!$C$9,'Forecast (By Year)'!V34,NA()),IF($G109&lt;='Mortgage Calculators (By Year)'!$J$12,'Forecast (By Year)'!AT34,NA()))</f>
        <v>5319521.2677040342</v>
      </c>
      <c r="I109" s="8">
        <f>IF($K$20=Inputs!$B$18,IF($G109&lt;='Mortgage Calculators (By Year)'!$C$9,'Forecast (By Year)'!Y34,NA()),IF($G109&lt;='Mortgage Calculators (By Year)'!$J$12,'Forecast (By Year)'!AW34,NA()))</f>
        <v>10874230.418305244</v>
      </c>
      <c r="J109" s="91">
        <f>IF($K$20=Inputs!$B$18,IF($G109&lt;='Mortgage Calculators (By Year)'!$C$9,'Forecast (By Year)'!X34,NA()),IF($G109&lt;='Mortgage Calculators (By Year)'!$J$12,'Forecast (By Year)'!AV34,NA()))</f>
        <v>0.11075227063012334</v>
      </c>
      <c r="K109" s="91">
        <f>IF($K$20=Inputs!$B$18,IF($G109&lt;='Mortgage Calculators (By Year)'!$C$9,'Forecast (By Year)'!AA34,NA()),IF($G109&lt;='Mortgage Calculators (By Year)'!$J$12,'Forecast (By Year)'!AY34,NA()))</f>
        <v>0.22640114581255749</v>
      </c>
      <c r="L109" s="8" t="e">
        <f>IF(G109=ROUND(Inputs!$K$10,0),$L$77,NA())</f>
        <v>#N/A</v>
      </c>
      <c r="M109" s="17"/>
    </row>
    <row r="110" spans="2:13" x14ac:dyDescent="0.35">
      <c r="B110" s="76">
        <v>31</v>
      </c>
      <c r="C110" s="8" t="e">
        <f>IF($B$77=Inputs!$B$18,IF($B110&lt;='Mortgage Calculators (By Year)'!$C$9,'Forecast (By Year)'!G35,NA()),IF($B110&lt;='Mortgage Calculators (By Year)'!$J$12,'Forecast (By Year)'!AE35,NA()))</f>
        <v>#N/A</v>
      </c>
      <c r="D110" s="8" t="e">
        <f>IF($B$77=Inputs!$B$18,IF($B110&lt;='Mortgage Calculators (By Year)'!$C$9,'Forecast (By Year)'!H35,NA()),IF($B110&lt;='Mortgage Calculators (By Year)'!$J$12,'Forecast (By Year)'!AF35,NA()))</f>
        <v>#N/A</v>
      </c>
      <c r="E110" s="8" t="e">
        <f>IF(B110=ROUND(Inputs!$K$10,0),$E$77,NA())</f>
        <v>#N/A</v>
      </c>
      <c r="G110" s="12">
        <v>31</v>
      </c>
      <c r="H110" s="8" t="e">
        <f>IF($K$20=Inputs!$B$18,IF($G110&lt;='Mortgage Calculators (By Year)'!$C$9,'Forecast (By Year)'!V35,NA()),IF($G110&lt;='Mortgage Calculators (By Year)'!$J$12,'Forecast (By Year)'!AT35,NA()))</f>
        <v>#N/A</v>
      </c>
      <c r="I110" s="8" t="e">
        <f>IF($K$20=Inputs!$B$18,IF($G110&lt;='Mortgage Calculators (By Year)'!$C$9,'Forecast (By Year)'!Y35,NA()),IF($G110&lt;='Mortgage Calculators (By Year)'!$J$12,'Forecast (By Year)'!AW35,NA()))</f>
        <v>#N/A</v>
      </c>
      <c r="J110" s="91" t="e">
        <f>IF($K$20=Inputs!$B$18,IF($G110&lt;='Mortgage Calculators (By Year)'!$C$9,'Forecast (By Year)'!X35,NA()),IF($G110&lt;='Mortgage Calculators (By Year)'!$J$12,'Forecast (By Year)'!AV35,NA()))</f>
        <v>#N/A</v>
      </c>
      <c r="K110" s="91" t="e">
        <f>IF($K$20=Inputs!$B$18,IF($G110&lt;='Mortgage Calculators (By Year)'!$C$9,'Forecast (By Year)'!AA35,NA()),IF($G110&lt;='Mortgage Calculators (By Year)'!$J$12,'Forecast (By Year)'!AY35,NA()))</f>
        <v>#N/A</v>
      </c>
      <c r="L110" s="8" t="e">
        <f>IF(G110=ROUND(Inputs!$K$10,0),$L$77,NA())</f>
        <v>#N/A</v>
      </c>
      <c r="M110" s="17"/>
    </row>
    <row r="111" spans="2:13" x14ac:dyDescent="0.35">
      <c r="B111" s="76">
        <v>32</v>
      </c>
      <c r="C111" s="8" t="e">
        <f>IF($B$77=Inputs!$B$18,IF($B111&lt;='Mortgage Calculators (By Year)'!$C$9,'Forecast (By Year)'!G36,NA()),IF($B111&lt;='Mortgage Calculators (By Year)'!$J$12,'Forecast (By Year)'!AE36,NA()))</f>
        <v>#N/A</v>
      </c>
      <c r="D111" s="8" t="e">
        <f>IF($B$77=Inputs!$B$18,IF($B111&lt;='Mortgage Calculators (By Year)'!$C$9,'Forecast (By Year)'!H36,NA()),IF($B111&lt;='Mortgage Calculators (By Year)'!$J$12,'Forecast (By Year)'!AF36,NA()))</f>
        <v>#N/A</v>
      </c>
      <c r="E111" s="8" t="e">
        <f>IF(B111=ROUND(Inputs!$K$10,0),$E$77,NA())</f>
        <v>#N/A</v>
      </c>
      <c r="G111" s="12">
        <v>32</v>
      </c>
      <c r="H111" s="8" t="e">
        <f>IF($K$20=Inputs!$B$18,IF($G111&lt;='Mortgage Calculators (By Year)'!$C$9,'Forecast (By Year)'!V36,NA()),IF($G111&lt;='Mortgage Calculators (By Year)'!$J$12,'Forecast (By Year)'!AT36,NA()))</f>
        <v>#N/A</v>
      </c>
      <c r="I111" s="8" t="e">
        <f>IF($K$20=Inputs!$B$18,IF($G111&lt;='Mortgage Calculators (By Year)'!$C$9,'Forecast (By Year)'!Y36,NA()),IF($G111&lt;='Mortgage Calculators (By Year)'!$J$12,'Forecast (By Year)'!AW36,NA()))</f>
        <v>#N/A</v>
      </c>
      <c r="J111" s="91" t="e">
        <f>IF($K$20=Inputs!$B$18,IF($G111&lt;='Mortgage Calculators (By Year)'!$C$9,'Forecast (By Year)'!X36,NA()),IF($G111&lt;='Mortgage Calculators (By Year)'!$J$12,'Forecast (By Year)'!AV36,NA()))</f>
        <v>#N/A</v>
      </c>
      <c r="K111" s="91" t="e">
        <f>IF($K$20=Inputs!$B$18,IF($G111&lt;='Mortgage Calculators (By Year)'!$C$9,'Forecast (By Year)'!AA36,NA()),IF($G111&lt;='Mortgage Calculators (By Year)'!$J$12,'Forecast (By Year)'!AY36,NA()))</f>
        <v>#N/A</v>
      </c>
      <c r="L111" s="8" t="e">
        <f>IF(G111=ROUND(Inputs!$K$10,0),$L$77,NA())</f>
        <v>#N/A</v>
      </c>
      <c r="M111" s="17"/>
    </row>
    <row r="112" spans="2:13" x14ac:dyDescent="0.35">
      <c r="B112" s="76">
        <v>33</v>
      </c>
      <c r="C112" s="8" t="e">
        <f>IF($B$77=Inputs!$B$18,IF($B112&lt;='Mortgage Calculators (By Year)'!$C$9,'Forecast (By Year)'!G37,NA()),IF($B112&lt;='Mortgage Calculators (By Year)'!$J$12,'Forecast (By Year)'!AE37,NA()))</f>
        <v>#N/A</v>
      </c>
      <c r="D112" s="8" t="e">
        <f>IF($B$77=Inputs!$B$18,IF($B112&lt;='Mortgage Calculators (By Year)'!$C$9,'Forecast (By Year)'!H37,NA()),IF($B112&lt;='Mortgage Calculators (By Year)'!$J$12,'Forecast (By Year)'!AF37,NA()))</f>
        <v>#N/A</v>
      </c>
      <c r="E112" s="8" t="e">
        <f>IF(B112=ROUND(Inputs!$K$10,0),$E$77,NA())</f>
        <v>#N/A</v>
      </c>
      <c r="G112" s="12">
        <v>33</v>
      </c>
      <c r="H112" s="8" t="e">
        <f>IF($K$20=Inputs!$B$18,IF($G112&lt;='Mortgage Calculators (By Year)'!$C$9,'Forecast (By Year)'!V37,NA()),IF($G112&lt;='Mortgage Calculators (By Year)'!$J$12,'Forecast (By Year)'!AT37,NA()))</f>
        <v>#N/A</v>
      </c>
      <c r="I112" s="8" t="e">
        <f>IF($K$20=Inputs!$B$18,IF($G112&lt;='Mortgage Calculators (By Year)'!$C$9,'Forecast (By Year)'!Y37,NA()),IF($G112&lt;='Mortgage Calculators (By Year)'!$J$12,'Forecast (By Year)'!AW37,NA()))</f>
        <v>#N/A</v>
      </c>
      <c r="J112" s="91" t="e">
        <f>IF($K$20=Inputs!$B$18,IF($G112&lt;='Mortgage Calculators (By Year)'!$C$9,'Forecast (By Year)'!X37,NA()),IF($G112&lt;='Mortgage Calculators (By Year)'!$J$12,'Forecast (By Year)'!AV37,NA()))</f>
        <v>#N/A</v>
      </c>
      <c r="K112" s="91" t="e">
        <f>IF($K$20=Inputs!$B$18,IF($G112&lt;='Mortgage Calculators (By Year)'!$C$9,'Forecast (By Year)'!AA37,NA()),IF($G112&lt;='Mortgage Calculators (By Year)'!$J$12,'Forecast (By Year)'!AY37,NA()))</f>
        <v>#N/A</v>
      </c>
      <c r="L112" s="8" t="e">
        <f>IF(G112=ROUND(Inputs!$K$10,0),$L$77,NA())</f>
        <v>#N/A</v>
      </c>
      <c r="M112" s="17"/>
    </row>
    <row r="113" spans="2:13" x14ac:dyDescent="0.35">
      <c r="B113" s="76">
        <v>34</v>
      </c>
      <c r="C113" s="8" t="e">
        <f>IF($B$77=Inputs!$B$18,IF($B113&lt;='Mortgage Calculators (By Year)'!$C$9,'Forecast (By Year)'!G38,NA()),IF($B113&lt;='Mortgage Calculators (By Year)'!$J$12,'Forecast (By Year)'!AE38,NA()))</f>
        <v>#N/A</v>
      </c>
      <c r="D113" s="8" t="e">
        <f>IF($B$77=Inputs!$B$18,IF($B113&lt;='Mortgage Calculators (By Year)'!$C$9,'Forecast (By Year)'!H38,NA()),IF($B113&lt;='Mortgage Calculators (By Year)'!$J$12,'Forecast (By Year)'!AF38,NA()))</f>
        <v>#N/A</v>
      </c>
      <c r="E113" s="8" t="e">
        <f>IF(B113=ROUND(Inputs!$K$10,0),$E$77,NA())</f>
        <v>#N/A</v>
      </c>
      <c r="G113" s="12">
        <v>34</v>
      </c>
      <c r="H113" s="8" t="e">
        <f>IF($K$20=Inputs!$B$18,IF($G113&lt;='Mortgage Calculators (By Year)'!$C$9,'Forecast (By Year)'!V38,NA()),IF($G113&lt;='Mortgage Calculators (By Year)'!$J$12,'Forecast (By Year)'!AT38,NA()))</f>
        <v>#N/A</v>
      </c>
      <c r="I113" s="8" t="e">
        <f>IF($K$20=Inputs!$B$18,IF($G113&lt;='Mortgage Calculators (By Year)'!$C$9,'Forecast (By Year)'!Y38,NA()),IF($G113&lt;='Mortgage Calculators (By Year)'!$J$12,'Forecast (By Year)'!AW38,NA()))</f>
        <v>#N/A</v>
      </c>
      <c r="J113" s="91" t="e">
        <f>IF($K$20=Inputs!$B$18,IF($G113&lt;='Mortgage Calculators (By Year)'!$C$9,'Forecast (By Year)'!X38,NA()),IF($G113&lt;='Mortgage Calculators (By Year)'!$J$12,'Forecast (By Year)'!AV38,NA()))</f>
        <v>#N/A</v>
      </c>
      <c r="K113" s="91" t="e">
        <f>IF($K$20=Inputs!$B$18,IF($G113&lt;='Mortgage Calculators (By Year)'!$C$9,'Forecast (By Year)'!AA38,NA()),IF($G113&lt;='Mortgage Calculators (By Year)'!$J$12,'Forecast (By Year)'!AY38,NA()))</f>
        <v>#N/A</v>
      </c>
      <c r="L113" s="8" t="e">
        <f>IF(G113=ROUND(Inputs!$K$10,0),$L$77,NA())</f>
        <v>#N/A</v>
      </c>
      <c r="M113" s="17"/>
    </row>
    <row r="114" spans="2:13" x14ac:dyDescent="0.35">
      <c r="B114" s="76">
        <v>35</v>
      </c>
      <c r="C114" s="8" t="e">
        <f>IF($B$77=Inputs!$B$18,IF($B114&lt;='Mortgage Calculators (By Year)'!$C$9,'Forecast (By Year)'!G39,NA()),IF($B114&lt;='Mortgage Calculators (By Year)'!$J$12,'Forecast (By Year)'!AE39,NA()))</f>
        <v>#N/A</v>
      </c>
      <c r="D114" s="8" t="e">
        <f>IF($B$77=Inputs!$B$18,IF($B114&lt;='Mortgage Calculators (By Year)'!$C$9,'Forecast (By Year)'!H39,NA()),IF($B114&lt;='Mortgage Calculators (By Year)'!$J$12,'Forecast (By Year)'!AF39,NA()))</f>
        <v>#N/A</v>
      </c>
      <c r="E114" s="8" t="e">
        <f>IF(B114=ROUND(Inputs!$K$10,0),$E$77,NA())</f>
        <v>#N/A</v>
      </c>
      <c r="G114" s="12">
        <v>35</v>
      </c>
      <c r="H114" s="8" t="e">
        <f>IF($K$20=Inputs!$B$18,IF($G114&lt;='Mortgage Calculators (By Year)'!$C$9,'Forecast (By Year)'!V39,NA()),IF($G114&lt;='Mortgage Calculators (By Year)'!$J$12,'Forecast (By Year)'!AT39,NA()))</f>
        <v>#N/A</v>
      </c>
      <c r="I114" s="8" t="e">
        <f>IF($K$20=Inputs!$B$18,IF($G114&lt;='Mortgage Calculators (By Year)'!$C$9,'Forecast (By Year)'!Y39,NA()),IF($G114&lt;='Mortgage Calculators (By Year)'!$J$12,'Forecast (By Year)'!AW39,NA()))</f>
        <v>#N/A</v>
      </c>
      <c r="J114" s="91" t="e">
        <f>IF($K$20=Inputs!$B$18,IF($G114&lt;='Mortgage Calculators (By Year)'!$C$9,'Forecast (By Year)'!X39,NA()),IF($G114&lt;='Mortgage Calculators (By Year)'!$J$12,'Forecast (By Year)'!AV39,NA()))</f>
        <v>#N/A</v>
      </c>
      <c r="K114" s="91" t="e">
        <f>IF($K$20=Inputs!$B$18,IF($G114&lt;='Mortgage Calculators (By Year)'!$C$9,'Forecast (By Year)'!AA39,NA()),IF($G114&lt;='Mortgage Calculators (By Year)'!$J$12,'Forecast (By Year)'!AY39,NA()))</f>
        <v>#N/A</v>
      </c>
      <c r="L114" s="8" t="e">
        <f>IF(G114=ROUND(Inputs!$K$10,0),$L$77,NA())</f>
        <v>#N/A</v>
      </c>
      <c r="M114" s="17"/>
    </row>
    <row r="115" spans="2:13" x14ac:dyDescent="0.35">
      <c r="B115" s="76">
        <v>36</v>
      </c>
      <c r="C115" s="8" t="e">
        <f>IF($B$77=Inputs!$B$18,IF($B115&lt;='Mortgage Calculators (By Year)'!$C$9,'Forecast (By Year)'!G40,NA()),IF($B115&lt;='Mortgage Calculators (By Year)'!$J$12,'Forecast (By Year)'!AE40,NA()))</f>
        <v>#N/A</v>
      </c>
      <c r="D115" s="8" t="e">
        <f>IF($B$77=Inputs!$B$18,IF($B115&lt;='Mortgage Calculators (By Year)'!$C$9,'Forecast (By Year)'!H40,NA()),IF($B115&lt;='Mortgage Calculators (By Year)'!$J$12,'Forecast (By Year)'!AF40,NA()))</f>
        <v>#N/A</v>
      </c>
      <c r="E115" s="8" t="e">
        <f>IF(B115=ROUND(Inputs!$K$10,0),$E$77,NA())</f>
        <v>#N/A</v>
      </c>
      <c r="G115" s="12">
        <v>36</v>
      </c>
      <c r="H115" s="8" t="e">
        <f>IF($K$20=Inputs!$B$18,IF($G115&lt;='Mortgage Calculators (By Year)'!$C$9,'Forecast (By Year)'!V40,NA()),IF($G115&lt;='Mortgage Calculators (By Year)'!$J$12,'Forecast (By Year)'!AT40,NA()))</f>
        <v>#N/A</v>
      </c>
      <c r="I115" s="8" t="e">
        <f>IF($K$20=Inputs!$B$18,IF($G115&lt;='Mortgage Calculators (By Year)'!$C$9,'Forecast (By Year)'!Y40,NA()),IF($G115&lt;='Mortgage Calculators (By Year)'!$J$12,'Forecast (By Year)'!AW40,NA()))</f>
        <v>#N/A</v>
      </c>
      <c r="J115" s="91" t="e">
        <f>IF($K$20=Inputs!$B$18,IF($G115&lt;='Mortgage Calculators (By Year)'!$C$9,'Forecast (By Year)'!X40,NA()),IF($G115&lt;='Mortgage Calculators (By Year)'!$J$12,'Forecast (By Year)'!AV40,NA()))</f>
        <v>#N/A</v>
      </c>
      <c r="K115" s="91" t="e">
        <f>IF($K$20=Inputs!$B$18,IF($G115&lt;='Mortgage Calculators (By Year)'!$C$9,'Forecast (By Year)'!AA40,NA()),IF($G115&lt;='Mortgage Calculators (By Year)'!$J$12,'Forecast (By Year)'!AY40,NA()))</f>
        <v>#N/A</v>
      </c>
      <c r="L115" s="8" t="e">
        <f>IF(G115=ROUND(Inputs!$K$10,0),$L$77,NA())</f>
        <v>#N/A</v>
      </c>
      <c r="M115" s="17"/>
    </row>
    <row r="116" spans="2:13" x14ac:dyDescent="0.35">
      <c r="B116" s="76">
        <v>37</v>
      </c>
      <c r="C116" s="8" t="e">
        <f>IF($B$77=Inputs!$B$18,IF($B116&lt;='Mortgage Calculators (By Year)'!$C$9,'Forecast (By Year)'!G41,NA()),IF($B116&lt;='Mortgage Calculators (By Year)'!$J$12,'Forecast (By Year)'!AE41,NA()))</f>
        <v>#N/A</v>
      </c>
      <c r="D116" s="8" t="e">
        <f>IF($B$77=Inputs!$B$18,IF($B116&lt;='Mortgage Calculators (By Year)'!$C$9,'Forecast (By Year)'!H41,NA()),IF($B116&lt;='Mortgage Calculators (By Year)'!$J$12,'Forecast (By Year)'!AF41,NA()))</f>
        <v>#N/A</v>
      </c>
      <c r="E116" s="8" t="e">
        <f>IF(B116=ROUND(Inputs!$K$10,0),$E$77,NA())</f>
        <v>#N/A</v>
      </c>
      <c r="G116" s="12">
        <v>37</v>
      </c>
      <c r="H116" s="8" t="e">
        <f>IF($K$20=Inputs!$B$18,IF($G116&lt;='Mortgage Calculators (By Year)'!$C$9,'Forecast (By Year)'!V41,NA()),IF($G116&lt;='Mortgage Calculators (By Year)'!$J$12,'Forecast (By Year)'!AT41,NA()))</f>
        <v>#N/A</v>
      </c>
      <c r="I116" s="8" t="e">
        <f>IF($K$20=Inputs!$B$18,IF($G116&lt;='Mortgage Calculators (By Year)'!$C$9,'Forecast (By Year)'!Y41,NA()),IF($G116&lt;='Mortgage Calculators (By Year)'!$J$12,'Forecast (By Year)'!AW41,NA()))</f>
        <v>#N/A</v>
      </c>
      <c r="J116" s="91" t="e">
        <f>IF($K$20=Inputs!$B$18,IF($G116&lt;='Mortgage Calculators (By Year)'!$C$9,'Forecast (By Year)'!X41,NA()),IF($G116&lt;='Mortgage Calculators (By Year)'!$J$12,'Forecast (By Year)'!AV41,NA()))</f>
        <v>#N/A</v>
      </c>
      <c r="K116" s="91" t="e">
        <f>IF($K$20=Inputs!$B$18,IF($G116&lt;='Mortgage Calculators (By Year)'!$C$9,'Forecast (By Year)'!AA41,NA()),IF($G116&lt;='Mortgage Calculators (By Year)'!$J$12,'Forecast (By Year)'!AY41,NA()))</f>
        <v>#N/A</v>
      </c>
      <c r="L116" s="8" t="e">
        <f>IF(G116=ROUND(Inputs!$K$10,0),$L$77,NA())</f>
        <v>#N/A</v>
      </c>
      <c r="M116" s="17"/>
    </row>
    <row r="117" spans="2:13" x14ac:dyDescent="0.35">
      <c r="B117" s="76">
        <v>38</v>
      </c>
      <c r="C117" s="8" t="e">
        <f>IF($B$77=Inputs!$B$18,IF($B117&lt;='Mortgage Calculators (By Year)'!$C$9,'Forecast (By Year)'!G42,NA()),IF($B117&lt;='Mortgage Calculators (By Year)'!$J$12,'Forecast (By Year)'!AE42,NA()))</f>
        <v>#N/A</v>
      </c>
      <c r="D117" s="8" t="e">
        <f>IF($B$77=Inputs!$B$18,IF($B117&lt;='Mortgage Calculators (By Year)'!$C$9,'Forecast (By Year)'!H42,NA()),IF($B117&lt;='Mortgage Calculators (By Year)'!$J$12,'Forecast (By Year)'!AF42,NA()))</f>
        <v>#N/A</v>
      </c>
      <c r="E117" s="8" t="e">
        <f>IF(B117=ROUND(Inputs!$K$10,0),$E$77,NA())</f>
        <v>#N/A</v>
      </c>
      <c r="G117" s="12">
        <v>38</v>
      </c>
      <c r="H117" s="8" t="e">
        <f>IF($K$20=Inputs!$B$18,IF($G117&lt;='Mortgage Calculators (By Year)'!$C$9,'Forecast (By Year)'!V42,NA()),IF($G117&lt;='Mortgage Calculators (By Year)'!$J$12,'Forecast (By Year)'!AT42,NA()))</f>
        <v>#N/A</v>
      </c>
      <c r="I117" s="8" t="e">
        <f>IF($K$20=Inputs!$B$18,IF($G117&lt;='Mortgage Calculators (By Year)'!$C$9,'Forecast (By Year)'!Y42,NA()),IF($G117&lt;='Mortgage Calculators (By Year)'!$J$12,'Forecast (By Year)'!AW42,NA()))</f>
        <v>#N/A</v>
      </c>
      <c r="J117" s="91" t="e">
        <f>IF($K$20=Inputs!$B$18,IF($G117&lt;='Mortgage Calculators (By Year)'!$C$9,'Forecast (By Year)'!X42,NA()),IF($G117&lt;='Mortgage Calculators (By Year)'!$J$12,'Forecast (By Year)'!AV42,NA()))</f>
        <v>#N/A</v>
      </c>
      <c r="K117" s="91" t="e">
        <f>IF($K$20=Inputs!$B$18,IF($G117&lt;='Mortgage Calculators (By Year)'!$C$9,'Forecast (By Year)'!AA42,NA()),IF($G117&lt;='Mortgage Calculators (By Year)'!$J$12,'Forecast (By Year)'!AY42,NA()))</f>
        <v>#N/A</v>
      </c>
      <c r="L117" s="8" t="e">
        <f>IF(G117=ROUND(Inputs!$K$10,0),$L$77,NA())</f>
        <v>#N/A</v>
      </c>
      <c r="M117" s="17"/>
    </row>
    <row r="118" spans="2:13" x14ac:dyDescent="0.35">
      <c r="B118" s="76">
        <v>39</v>
      </c>
      <c r="C118" s="8" t="e">
        <f>IF($B$77=Inputs!$B$18,IF($B118&lt;='Mortgage Calculators (By Year)'!$C$9,'Forecast (By Year)'!G43,NA()),IF($B118&lt;='Mortgage Calculators (By Year)'!$J$12,'Forecast (By Year)'!AE43,NA()))</f>
        <v>#N/A</v>
      </c>
      <c r="D118" s="8" t="e">
        <f>IF($B$77=Inputs!$B$18,IF($B118&lt;='Mortgage Calculators (By Year)'!$C$9,'Forecast (By Year)'!H43,NA()),IF($B118&lt;='Mortgage Calculators (By Year)'!$J$12,'Forecast (By Year)'!AF43,NA()))</f>
        <v>#N/A</v>
      </c>
      <c r="E118" s="8" t="e">
        <f>IF(B118=ROUND(Inputs!$K$10,0),$E$77,NA())</f>
        <v>#N/A</v>
      </c>
      <c r="G118" s="12">
        <v>39</v>
      </c>
      <c r="H118" s="8" t="e">
        <f>IF($K$20=Inputs!$B$18,IF($G118&lt;='Mortgage Calculators (By Year)'!$C$9,'Forecast (By Year)'!V43,NA()),IF($G118&lt;='Mortgage Calculators (By Year)'!$J$12,'Forecast (By Year)'!AT43,NA()))</f>
        <v>#N/A</v>
      </c>
      <c r="I118" s="8" t="e">
        <f>IF($K$20=Inputs!$B$18,IF($G118&lt;='Mortgage Calculators (By Year)'!$C$9,'Forecast (By Year)'!Y43,NA()),IF($G118&lt;='Mortgage Calculators (By Year)'!$J$12,'Forecast (By Year)'!AW43,NA()))</f>
        <v>#N/A</v>
      </c>
      <c r="J118" s="91" t="e">
        <f>IF($K$20=Inputs!$B$18,IF($G118&lt;='Mortgage Calculators (By Year)'!$C$9,'Forecast (By Year)'!X43,NA()),IF($G118&lt;='Mortgage Calculators (By Year)'!$J$12,'Forecast (By Year)'!AV43,NA()))</f>
        <v>#N/A</v>
      </c>
      <c r="K118" s="91" t="e">
        <f>IF($K$20=Inputs!$B$18,IF($G118&lt;='Mortgage Calculators (By Year)'!$C$9,'Forecast (By Year)'!AA43,NA()),IF($G118&lt;='Mortgage Calculators (By Year)'!$J$12,'Forecast (By Year)'!AY43,NA()))</f>
        <v>#N/A</v>
      </c>
      <c r="L118" s="8" t="e">
        <f>IF(G118=ROUND(Inputs!$K$10,0),$L$77,NA())</f>
        <v>#N/A</v>
      </c>
      <c r="M118" s="17"/>
    </row>
    <row r="119" spans="2:13" x14ac:dyDescent="0.35">
      <c r="B119" s="76">
        <v>40</v>
      </c>
      <c r="C119" s="8" t="e">
        <f>IF($B$77=Inputs!$B$18,IF($B119&lt;='Mortgage Calculators (By Year)'!$C$9,'Forecast (By Year)'!G44,NA()),IF($B119&lt;='Mortgage Calculators (By Year)'!$J$12,'Forecast (By Year)'!AE44,NA()))</f>
        <v>#N/A</v>
      </c>
      <c r="D119" s="8" t="e">
        <f>IF($B$77=Inputs!$B$18,IF($B119&lt;='Mortgage Calculators (By Year)'!$C$9,'Forecast (By Year)'!H44,NA()),IF($B119&lt;='Mortgage Calculators (By Year)'!$J$12,'Forecast (By Year)'!AF44,NA()))</f>
        <v>#N/A</v>
      </c>
      <c r="E119" s="8" t="e">
        <f>IF(B119=ROUND(Inputs!$K$10,0),$E$77,NA())</f>
        <v>#N/A</v>
      </c>
      <c r="G119" s="12">
        <v>40</v>
      </c>
      <c r="H119" s="8" t="e">
        <f>IF($K$20=Inputs!$B$18,IF($G119&lt;='Mortgage Calculators (By Year)'!$C$9,'Forecast (By Year)'!V44,NA()),IF($G119&lt;='Mortgage Calculators (By Year)'!$J$12,'Forecast (By Year)'!AT44,NA()))</f>
        <v>#N/A</v>
      </c>
      <c r="I119" s="8" t="e">
        <f>IF($K$20=Inputs!$B$18,IF($G119&lt;='Mortgage Calculators (By Year)'!$C$9,'Forecast (By Year)'!Y44,NA()),IF($G119&lt;='Mortgage Calculators (By Year)'!$J$12,'Forecast (By Year)'!AW44,NA()))</f>
        <v>#N/A</v>
      </c>
      <c r="J119" s="91" t="e">
        <f>IF($K$20=Inputs!$B$18,IF($G119&lt;='Mortgage Calculators (By Year)'!$C$9,'Forecast (By Year)'!X44,NA()),IF($G119&lt;='Mortgage Calculators (By Year)'!$J$12,'Forecast (By Year)'!AV44,NA()))</f>
        <v>#N/A</v>
      </c>
      <c r="K119" s="91" t="e">
        <f>IF($K$20=Inputs!$B$18,IF($G119&lt;='Mortgage Calculators (By Year)'!$C$9,'Forecast (By Year)'!AA44,NA()),IF($G119&lt;='Mortgage Calculators (By Year)'!$J$12,'Forecast (By Year)'!AY44,NA()))</f>
        <v>#N/A</v>
      </c>
      <c r="L119" s="8" t="e">
        <f>IF(G119=ROUND(Inputs!$K$10,0),$L$77,NA())</f>
        <v>#N/A</v>
      </c>
      <c r="M119" s="17"/>
    </row>
    <row r="120" spans="2:13" x14ac:dyDescent="0.35">
      <c r="B120" s="76">
        <v>41</v>
      </c>
      <c r="C120" s="8" t="e">
        <f>IF($B$77=Inputs!$B$18,IF($B120&lt;='Mortgage Calculators (By Year)'!$C$9,'Forecast (By Year)'!G45,NA()),IF($B120&lt;='Mortgage Calculators (By Year)'!$J$12,'Forecast (By Year)'!AE45,NA()))</f>
        <v>#N/A</v>
      </c>
      <c r="D120" s="8" t="e">
        <f>IF($B$77=Inputs!$B$18,IF($B120&lt;='Mortgage Calculators (By Year)'!$C$9,'Forecast (By Year)'!H45,NA()),IF($B120&lt;='Mortgage Calculators (By Year)'!$J$12,'Forecast (By Year)'!AF45,NA()))</f>
        <v>#N/A</v>
      </c>
      <c r="E120" s="8" t="e">
        <f>IF(B120=ROUND(Inputs!$K$10,0),$E$77,NA())</f>
        <v>#N/A</v>
      </c>
      <c r="G120" s="12">
        <v>41</v>
      </c>
      <c r="H120" s="8" t="e">
        <f>IF($K$20=Inputs!$B$18,IF($G120&lt;='Mortgage Calculators (By Year)'!$C$9,'Forecast (By Year)'!V45,NA()),IF($G120&lt;='Mortgage Calculators (By Year)'!$J$12,'Forecast (By Year)'!AT45,NA()))</f>
        <v>#N/A</v>
      </c>
      <c r="I120" s="8" t="e">
        <f>IF($K$20=Inputs!$B$18,IF($G120&lt;='Mortgage Calculators (By Year)'!$C$9,'Forecast (By Year)'!Y45,NA()),IF($G120&lt;='Mortgage Calculators (By Year)'!$J$12,'Forecast (By Year)'!AW45,NA()))</f>
        <v>#N/A</v>
      </c>
      <c r="J120" s="91" t="e">
        <f>IF($K$20=Inputs!$B$18,IF($G120&lt;='Mortgage Calculators (By Year)'!$C$9,'Forecast (By Year)'!X45,NA()),IF($G120&lt;='Mortgage Calculators (By Year)'!$J$12,'Forecast (By Year)'!AV45,NA()))</f>
        <v>#N/A</v>
      </c>
      <c r="K120" s="91" t="e">
        <f>IF($K$20=Inputs!$B$18,IF($G120&lt;='Mortgage Calculators (By Year)'!$C$9,'Forecast (By Year)'!AA45,NA()),IF($G120&lt;='Mortgage Calculators (By Year)'!$J$12,'Forecast (By Year)'!AY45,NA()))</f>
        <v>#N/A</v>
      </c>
      <c r="L120" s="8" t="e">
        <f>IF(G120=ROUND(Inputs!$K$10,0),$L$77,NA())</f>
        <v>#N/A</v>
      </c>
      <c r="M120" s="17"/>
    </row>
    <row r="121" spans="2:13" x14ac:dyDescent="0.35">
      <c r="B121" s="76">
        <v>42</v>
      </c>
      <c r="C121" s="8" t="e">
        <f>IF($B$77=Inputs!$B$18,IF($B121&lt;='Mortgage Calculators (By Year)'!$C$9,'Forecast (By Year)'!G46,NA()),IF($B121&lt;='Mortgage Calculators (By Year)'!$J$12,'Forecast (By Year)'!AE46,NA()))</f>
        <v>#N/A</v>
      </c>
      <c r="D121" s="8" t="e">
        <f>IF($B$77=Inputs!$B$18,IF($B121&lt;='Mortgage Calculators (By Year)'!$C$9,'Forecast (By Year)'!H46,NA()),IF($B121&lt;='Mortgage Calculators (By Year)'!$J$12,'Forecast (By Year)'!AF46,NA()))</f>
        <v>#N/A</v>
      </c>
      <c r="E121" s="8" t="e">
        <f>IF(B121=ROUND(Inputs!$K$10,0),$E$77,NA())</f>
        <v>#N/A</v>
      </c>
      <c r="G121" s="12">
        <v>42</v>
      </c>
      <c r="H121" s="8" t="e">
        <f>IF($K$20=Inputs!$B$18,IF($G121&lt;='Mortgage Calculators (By Year)'!$C$9,'Forecast (By Year)'!V46,NA()),IF($G121&lt;='Mortgage Calculators (By Year)'!$J$12,'Forecast (By Year)'!AT46,NA()))</f>
        <v>#N/A</v>
      </c>
      <c r="I121" s="8" t="e">
        <f>IF($K$20=Inputs!$B$18,IF($G121&lt;='Mortgage Calculators (By Year)'!$C$9,'Forecast (By Year)'!Y46,NA()),IF($G121&lt;='Mortgage Calculators (By Year)'!$J$12,'Forecast (By Year)'!AW46,NA()))</f>
        <v>#N/A</v>
      </c>
      <c r="J121" s="91" t="e">
        <f>IF($K$20=Inputs!$B$18,IF($G121&lt;='Mortgage Calculators (By Year)'!$C$9,'Forecast (By Year)'!X46,NA()),IF($G121&lt;='Mortgage Calculators (By Year)'!$J$12,'Forecast (By Year)'!AV46,NA()))</f>
        <v>#N/A</v>
      </c>
      <c r="K121" s="91" t="e">
        <f>IF($K$20=Inputs!$B$18,IF($G121&lt;='Mortgage Calculators (By Year)'!$C$9,'Forecast (By Year)'!AA46,NA()),IF($G121&lt;='Mortgage Calculators (By Year)'!$J$12,'Forecast (By Year)'!AY46,NA()))</f>
        <v>#N/A</v>
      </c>
      <c r="L121" s="8" t="e">
        <f>IF(G121=ROUND(Inputs!$K$10,0),$L$77,NA())</f>
        <v>#N/A</v>
      </c>
      <c r="M121" s="17"/>
    </row>
    <row r="122" spans="2:13" x14ac:dyDescent="0.35">
      <c r="B122" s="76">
        <v>43</v>
      </c>
      <c r="C122" s="8" t="e">
        <f>IF($B$77=Inputs!$B$18,IF($B122&lt;='Mortgage Calculators (By Year)'!$C$9,'Forecast (By Year)'!G47,NA()),IF($B122&lt;='Mortgage Calculators (By Year)'!$J$12,'Forecast (By Year)'!AE47,NA()))</f>
        <v>#N/A</v>
      </c>
      <c r="D122" s="8" t="e">
        <f>IF($B$77=Inputs!$B$18,IF($B122&lt;='Mortgage Calculators (By Year)'!$C$9,'Forecast (By Year)'!H47,NA()),IF($B122&lt;='Mortgage Calculators (By Year)'!$J$12,'Forecast (By Year)'!AF47,NA()))</f>
        <v>#N/A</v>
      </c>
      <c r="E122" s="8" t="e">
        <f>IF(B122=ROUND(Inputs!$K$10,0),$E$77,NA())</f>
        <v>#N/A</v>
      </c>
      <c r="G122" s="12">
        <v>43</v>
      </c>
      <c r="H122" s="8" t="e">
        <f>IF($K$20=Inputs!$B$18,IF($G122&lt;='Mortgage Calculators (By Year)'!$C$9,'Forecast (By Year)'!V47,NA()),IF($G122&lt;='Mortgage Calculators (By Year)'!$J$12,'Forecast (By Year)'!AT47,NA()))</f>
        <v>#N/A</v>
      </c>
      <c r="I122" s="8" t="e">
        <f>IF($K$20=Inputs!$B$18,IF($G122&lt;='Mortgage Calculators (By Year)'!$C$9,'Forecast (By Year)'!Y47,NA()),IF($G122&lt;='Mortgage Calculators (By Year)'!$J$12,'Forecast (By Year)'!AW47,NA()))</f>
        <v>#N/A</v>
      </c>
      <c r="J122" s="91" t="e">
        <f>IF($K$20=Inputs!$B$18,IF($G122&lt;='Mortgage Calculators (By Year)'!$C$9,'Forecast (By Year)'!X47,NA()),IF($G122&lt;='Mortgage Calculators (By Year)'!$J$12,'Forecast (By Year)'!AV47,NA()))</f>
        <v>#N/A</v>
      </c>
      <c r="K122" s="91" t="e">
        <f>IF($K$20=Inputs!$B$18,IF($G122&lt;='Mortgage Calculators (By Year)'!$C$9,'Forecast (By Year)'!AA47,NA()),IF($G122&lt;='Mortgage Calculators (By Year)'!$J$12,'Forecast (By Year)'!AY47,NA()))</f>
        <v>#N/A</v>
      </c>
      <c r="L122" s="8" t="e">
        <f>IF(G122=ROUND(Inputs!$K$10,0),$L$77,NA())</f>
        <v>#N/A</v>
      </c>
      <c r="M122" s="17"/>
    </row>
    <row r="123" spans="2:13" x14ac:dyDescent="0.35">
      <c r="B123" s="76">
        <v>44</v>
      </c>
      <c r="C123" s="8" t="e">
        <f>IF($B$77=Inputs!$B$18,IF($B123&lt;='Mortgage Calculators (By Year)'!$C$9,'Forecast (By Year)'!G48,NA()),IF($B123&lt;='Mortgage Calculators (By Year)'!$J$12,'Forecast (By Year)'!AE48,NA()))</f>
        <v>#N/A</v>
      </c>
      <c r="D123" s="8" t="e">
        <f>IF($B$77=Inputs!$B$18,IF($B123&lt;='Mortgage Calculators (By Year)'!$C$9,'Forecast (By Year)'!H48,NA()),IF($B123&lt;='Mortgage Calculators (By Year)'!$J$12,'Forecast (By Year)'!AF48,NA()))</f>
        <v>#N/A</v>
      </c>
      <c r="E123" s="8" t="e">
        <f>IF(B123=ROUND(Inputs!$K$10,0),$E$77,NA())</f>
        <v>#N/A</v>
      </c>
      <c r="G123" s="12">
        <v>44</v>
      </c>
      <c r="H123" s="8" t="e">
        <f>IF($K$20=Inputs!$B$18,IF($G123&lt;='Mortgage Calculators (By Year)'!$C$9,'Forecast (By Year)'!V48,NA()),IF($G123&lt;='Mortgage Calculators (By Year)'!$J$12,'Forecast (By Year)'!AT48,NA()))</f>
        <v>#N/A</v>
      </c>
      <c r="I123" s="8" t="e">
        <f>IF($K$20=Inputs!$B$18,IF($G123&lt;='Mortgage Calculators (By Year)'!$C$9,'Forecast (By Year)'!Y48,NA()),IF($G123&lt;='Mortgage Calculators (By Year)'!$J$12,'Forecast (By Year)'!AW48,NA()))</f>
        <v>#N/A</v>
      </c>
      <c r="J123" s="91" t="e">
        <f>IF($K$20=Inputs!$B$18,IF($G123&lt;='Mortgage Calculators (By Year)'!$C$9,'Forecast (By Year)'!X48,NA()),IF($G123&lt;='Mortgage Calculators (By Year)'!$J$12,'Forecast (By Year)'!AV48,NA()))</f>
        <v>#N/A</v>
      </c>
      <c r="K123" s="91" t="e">
        <f>IF($K$20=Inputs!$B$18,IF($G123&lt;='Mortgage Calculators (By Year)'!$C$9,'Forecast (By Year)'!AA48,NA()),IF($G123&lt;='Mortgage Calculators (By Year)'!$J$12,'Forecast (By Year)'!AY48,NA()))</f>
        <v>#N/A</v>
      </c>
      <c r="L123" s="8" t="e">
        <f>IF(G123=ROUND(Inputs!$K$10,0),$L$77,NA())</f>
        <v>#N/A</v>
      </c>
      <c r="M123" s="17"/>
    </row>
    <row r="124" spans="2:13" x14ac:dyDescent="0.35">
      <c r="B124" s="76">
        <v>45</v>
      </c>
      <c r="C124" s="8" t="e">
        <f>IF($B$77=Inputs!$B$18,IF($B124&lt;='Mortgage Calculators (By Year)'!$C$9,'Forecast (By Year)'!G49,NA()),IF($B124&lt;='Mortgage Calculators (By Year)'!$J$12,'Forecast (By Year)'!AE49,NA()))</f>
        <v>#N/A</v>
      </c>
      <c r="D124" s="8" t="e">
        <f>IF($B$77=Inputs!$B$18,IF($B124&lt;='Mortgage Calculators (By Year)'!$C$9,'Forecast (By Year)'!H49,NA()),IF($B124&lt;='Mortgage Calculators (By Year)'!$J$12,'Forecast (By Year)'!AF49,NA()))</f>
        <v>#N/A</v>
      </c>
      <c r="E124" s="8" t="e">
        <f>IF(B124=ROUND(Inputs!$K$10,0),$E$77,NA())</f>
        <v>#N/A</v>
      </c>
      <c r="G124" s="12">
        <v>45</v>
      </c>
      <c r="H124" s="8" t="e">
        <f>IF($K$20=Inputs!$B$18,IF($G124&lt;='Mortgage Calculators (By Year)'!$C$9,'Forecast (By Year)'!V49,NA()),IF($G124&lt;='Mortgage Calculators (By Year)'!$J$12,'Forecast (By Year)'!AT49,NA()))</f>
        <v>#N/A</v>
      </c>
      <c r="I124" s="8" t="e">
        <f>IF($K$20=Inputs!$B$18,IF($G124&lt;='Mortgage Calculators (By Year)'!$C$9,'Forecast (By Year)'!Y49,NA()),IF($G124&lt;='Mortgage Calculators (By Year)'!$J$12,'Forecast (By Year)'!AW49,NA()))</f>
        <v>#N/A</v>
      </c>
      <c r="J124" s="91" t="e">
        <f>IF($K$20=Inputs!$B$18,IF($G124&lt;='Mortgage Calculators (By Year)'!$C$9,'Forecast (By Year)'!X49,NA()),IF($G124&lt;='Mortgage Calculators (By Year)'!$J$12,'Forecast (By Year)'!AV49,NA()))</f>
        <v>#N/A</v>
      </c>
      <c r="K124" s="91" t="e">
        <f>IF($K$20=Inputs!$B$18,IF($G124&lt;='Mortgage Calculators (By Year)'!$C$9,'Forecast (By Year)'!AA49,NA()),IF($G124&lt;='Mortgage Calculators (By Year)'!$J$12,'Forecast (By Year)'!AY49,NA()))</f>
        <v>#N/A</v>
      </c>
      <c r="L124" s="8" t="e">
        <f>IF(G124=ROUND(Inputs!$K$10,0),$L$77,NA())</f>
        <v>#N/A</v>
      </c>
      <c r="M124" s="17"/>
    </row>
    <row r="125" spans="2:13" x14ac:dyDescent="0.35">
      <c r="B125" s="76">
        <v>46</v>
      </c>
      <c r="C125" s="8" t="e">
        <f>IF($B$77=Inputs!$B$18,IF($B125&lt;='Mortgage Calculators (By Year)'!$C$9,'Forecast (By Year)'!G50,NA()),IF($B125&lt;='Mortgage Calculators (By Year)'!$J$12,'Forecast (By Year)'!AE50,NA()))</f>
        <v>#N/A</v>
      </c>
      <c r="D125" s="8" t="e">
        <f>IF($B$77=Inputs!$B$18,IF($B125&lt;='Mortgage Calculators (By Year)'!$C$9,'Forecast (By Year)'!H50,NA()),IF($B125&lt;='Mortgage Calculators (By Year)'!$J$12,'Forecast (By Year)'!AF50,NA()))</f>
        <v>#N/A</v>
      </c>
      <c r="E125" s="8" t="e">
        <f>IF(B125=ROUND(Inputs!$K$10,0),$E$77,NA())</f>
        <v>#N/A</v>
      </c>
      <c r="G125" s="12">
        <v>46</v>
      </c>
      <c r="H125" s="8" t="e">
        <f>IF($K$20=Inputs!$B$18,IF($G125&lt;='Mortgage Calculators (By Year)'!$C$9,'Forecast (By Year)'!V50,NA()),IF($G125&lt;='Mortgage Calculators (By Year)'!$J$12,'Forecast (By Year)'!AT50,NA()))</f>
        <v>#N/A</v>
      </c>
      <c r="I125" s="8" t="e">
        <f>IF($K$20=Inputs!$B$18,IF($G125&lt;='Mortgage Calculators (By Year)'!$C$9,'Forecast (By Year)'!Y50,NA()),IF($G125&lt;='Mortgage Calculators (By Year)'!$J$12,'Forecast (By Year)'!AW50,NA()))</f>
        <v>#N/A</v>
      </c>
      <c r="J125" s="91" t="e">
        <f>IF($K$20=Inputs!$B$18,IF($G125&lt;='Mortgage Calculators (By Year)'!$C$9,'Forecast (By Year)'!X50,NA()),IF($G125&lt;='Mortgage Calculators (By Year)'!$J$12,'Forecast (By Year)'!AV50,NA()))</f>
        <v>#N/A</v>
      </c>
      <c r="K125" s="91" t="e">
        <f>IF($K$20=Inputs!$B$18,IF($G125&lt;='Mortgage Calculators (By Year)'!$C$9,'Forecast (By Year)'!AA50,NA()),IF($G125&lt;='Mortgage Calculators (By Year)'!$J$12,'Forecast (By Year)'!AY50,NA()))</f>
        <v>#N/A</v>
      </c>
      <c r="L125" s="8" t="e">
        <f>IF(G125=ROUND(Inputs!$K$10,0),$L$77,NA())</f>
        <v>#N/A</v>
      </c>
      <c r="M125" s="17"/>
    </row>
    <row r="126" spans="2:13" x14ac:dyDescent="0.35">
      <c r="B126" s="76">
        <v>47</v>
      </c>
      <c r="C126" s="8" t="e">
        <f>IF($B$77=Inputs!$B$18,IF($B126&lt;='Mortgage Calculators (By Year)'!$C$9,'Forecast (By Year)'!G51,NA()),IF($B126&lt;='Mortgage Calculators (By Year)'!$J$12,'Forecast (By Year)'!AE51,NA()))</f>
        <v>#N/A</v>
      </c>
      <c r="D126" s="8" t="e">
        <f>IF($B$77=Inputs!$B$18,IF($B126&lt;='Mortgage Calculators (By Year)'!$C$9,'Forecast (By Year)'!H51,NA()),IF($B126&lt;='Mortgage Calculators (By Year)'!$J$12,'Forecast (By Year)'!AF51,NA()))</f>
        <v>#N/A</v>
      </c>
      <c r="E126" s="8" t="e">
        <f>IF(B126=ROUND(Inputs!$K$10,0),$E$77,NA())</f>
        <v>#N/A</v>
      </c>
      <c r="G126" s="12">
        <v>47</v>
      </c>
      <c r="H126" s="8" t="e">
        <f>IF($K$20=Inputs!$B$18,IF($G126&lt;='Mortgage Calculators (By Year)'!$C$9,'Forecast (By Year)'!V51,NA()),IF($G126&lt;='Mortgage Calculators (By Year)'!$J$12,'Forecast (By Year)'!AT51,NA()))</f>
        <v>#N/A</v>
      </c>
      <c r="I126" s="8" t="e">
        <f>IF($K$20=Inputs!$B$18,IF($G126&lt;='Mortgage Calculators (By Year)'!$C$9,'Forecast (By Year)'!Y51,NA()),IF($G126&lt;='Mortgage Calculators (By Year)'!$J$12,'Forecast (By Year)'!AW51,NA()))</f>
        <v>#N/A</v>
      </c>
      <c r="J126" s="91" t="e">
        <f>IF($K$20=Inputs!$B$18,IF($G126&lt;='Mortgage Calculators (By Year)'!$C$9,'Forecast (By Year)'!X51,NA()),IF($G126&lt;='Mortgage Calculators (By Year)'!$J$12,'Forecast (By Year)'!AV51,NA()))</f>
        <v>#N/A</v>
      </c>
      <c r="K126" s="91" t="e">
        <f>IF($K$20=Inputs!$B$18,IF($G126&lt;='Mortgage Calculators (By Year)'!$C$9,'Forecast (By Year)'!AA51,NA()),IF($G126&lt;='Mortgage Calculators (By Year)'!$J$12,'Forecast (By Year)'!AY51,NA()))</f>
        <v>#N/A</v>
      </c>
      <c r="L126" s="8" t="e">
        <f>IF(G126=ROUND(Inputs!$K$10,0),$L$77,NA())</f>
        <v>#N/A</v>
      </c>
      <c r="M126" s="17"/>
    </row>
    <row r="127" spans="2:13" x14ac:dyDescent="0.35">
      <c r="B127" s="76">
        <v>48</v>
      </c>
      <c r="C127" s="8" t="e">
        <f>IF($B$77=Inputs!$B$18,IF($B127&lt;='Mortgage Calculators (By Year)'!$C$9,'Forecast (By Year)'!G52,NA()),IF($B127&lt;='Mortgage Calculators (By Year)'!$J$12,'Forecast (By Year)'!AE52,NA()))</f>
        <v>#N/A</v>
      </c>
      <c r="D127" s="8" t="e">
        <f>IF($B$77=Inputs!$B$18,IF($B127&lt;='Mortgage Calculators (By Year)'!$C$9,'Forecast (By Year)'!H52,NA()),IF($B127&lt;='Mortgage Calculators (By Year)'!$J$12,'Forecast (By Year)'!AF52,NA()))</f>
        <v>#N/A</v>
      </c>
      <c r="E127" s="8" t="e">
        <f>IF(B127=ROUND(Inputs!$K$10,0),$E$77,NA())</f>
        <v>#N/A</v>
      </c>
      <c r="G127" s="12">
        <v>48</v>
      </c>
      <c r="H127" s="8" t="e">
        <f>IF($K$20=Inputs!$B$18,IF($G127&lt;='Mortgage Calculators (By Year)'!$C$9,'Forecast (By Year)'!V52,NA()),IF($G127&lt;='Mortgage Calculators (By Year)'!$J$12,'Forecast (By Year)'!AT52,NA()))</f>
        <v>#N/A</v>
      </c>
      <c r="I127" s="8" t="e">
        <f>IF($K$20=Inputs!$B$18,IF($G127&lt;='Mortgage Calculators (By Year)'!$C$9,'Forecast (By Year)'!Y52,NA()),IF($G127&lt;='Mortgage Calculators (By Year)'!$J$12,'Forecast (By Year)'!AW52,NA()))</f>
        <v>#N/A</v>
      </c>
      <c r="J127" s="91" t="e">
        <f>IF($K$20=Inputs!$B$18,IF($G127&lt;='Mortgage Calculators (By Year)'!$C$9,'Forecast (By Year)'!X52,NA()),IF($G127&lt;='Mortgage Calculators (By Year)'!$J$12,'Forecast (By Year)'!AV52,NA()))</f>
        <v>#N/A</v>
      </c>
      <c r="K127" s="91" t="e">
        <f>IF($K$20=Inputs!$B$18,IF($G127&lt;='Mortgage Calculators (By Year)'!$C$9,'Forecast (By Year)'!AA52,NA()),IF($G127&lt;='Mortgage Calculators (By Year)'!$J$12,'Forecast (By Year)'!AY52,NA()))</f>
        <v>#N/A</v>
      </c>
      <c r="L127" s="8" t="e">
        <f>IF(G127=ROUND(Inputs!$K$10,0),$L$77,NA())</f>
        <v>#N/A</v>
      </c>
      <c r="M127" s="17"/>
    </row>
    <row r="128" spans="2:13" x14ac:dyDescent="0.35">
      <c r="B128" s="76">
        <v>49</v>
      </c>
      <c r="C128" s="8" t="e">
        <f>IF($B$77=Inputs!$B$18,IF($B128&lt;='Mortgage Calculators (By Year)'!$C$9,'Forecast (By Year)'!G53,NA()),IF($B128&lt;='Mortgage Calculators (By Year)'!$J$12,'Forecast (By Year)'!AE53,NA()))</f>
        <v>#N/A</v>
      </c>
      <c r="D128" s="8" t="e">
        <f>IF($B$77=Inputs!$B$18,IF($B128&lt;='Mortgage Calculators (By Year)'!$C$9,'Forecast (By Year)'!H53,NA()),IF($B128&lt;='Mortgage Calculators (By Year)'!$J$12,'Forecast (By Year)'!AF53,NA()))</f>
        <v>#N/A</v>
      </c>
      <c r="E128" s="8" t="e">
        <f>IF(B128=ROUND(Inputs!$K$10,0),$E$77,NA())</f>
        <v>#N/A</v>
      </c>
      <c r="G128" s="12">
        <v>49</v>
      </c>
      <c r="H128" s="8" t="e">
        <f>IF($K$20=Inputs!$B$18,IF($G128&lt;='Mortgage Calculators (By Year)'!$C$9,'Forecast (By Year)'!V53,NA()),IF($G128&lt;='Mortgage Calculators (By Year)'!$J$12,'Forecast (By Year)'!AT53,NA()))</f>
        <v>#N/A</v>
      </c>
      <c r="I128" s="8" t="e">
        <f>IF($K$20=Inputs!$B$18,IF($G128&lt;='Mortgage Calculators (By Year)'!$C$9,'Forecast (By Year)'!Y53,NA()),IF($G128&lt;='Mortgage Calculators (By Year)'!$J$12,'Forecast (By Year)'!AW53,NA()))</f>
        <v>#N/A</v>
      </c>
      <c r="J128" s="91" t="e">
        <f>IF($K$20=Inputs!$B$18,IF($G128&lt;='Mortgage Calculators (By Year)'!$C$9,'Forecast (By Year)'!X53,NA()),IF($G128&lt;='Mortgage Calculators (By Year)'!$J$12,'Forecast (By Year)'!AV53,NA()))</f>
        <v>#N/A</v>
      </c>
      <c r="K128" s="91" t="e">
        <f>IF($K$20=Inputs!$B$18,IF($G128&lt;='Mortgage Calculators (By Year)'!$C$9,'Forecast (By Year)'!AA53,NA()),IF($G128&lt;='Mortgage Calculators (By Year)'!$J$12,'Forecast (By Year)'!AY53,NA()))</f>
        <v>#N/A</v>
      </c>
      <c r="L128" s="8" t="e">
        <f>IF(G128=ROUND(Inputs!$K$10,0),$L$77,NA())</f>
        <v>#N/A</v>
      </c>
      <c r="M128" s="17"/>
    </row>
    <row r="129" spans="2:14" x14ac:dyDescent="0.35">
      <c r="B129" s="76">
        <v>50</v>
      </c>
      <c r="C129" s="8" t="e">
        <f>IF($B$77=Inputs!$B$18,IF($B129&lt;='Mortgage Calculators (By Year)'!$C$9,'Forecast (By Year)'!G54,NA()),IF($B129&lt;='Mortgage Calculators (By Year)'!$J$12,'Forecast (By Year)'!AE54,NA()))</f>
        <v>#N/A</v>
      </c>
      <c r="D129" s="8" t="e">
        <f>IF($B$77=Inputs!$B$18,IF($B129&lt;='Mortgage Calculators (By Year)'!$C$9,'Forecast (By Year)'!H54,NA()),IF($B129&lt;='Mortgage Calculators (By Year)'!$J$12,'Forecast (By Year)'!AF54,NA()))</f>
        <v>#N/A</v>
      </c>
      <c r="E129" s="8" t="e">
        <f>IF(B129=ROUND(Inputs!$K$10,0),$E$77,NA())</f>
        <v>#N/A</v>
      </c>
      <c r="G129" s="12">
        <v>50</v>
      </c>
      <c r="H129" s="8" t="e">
        <f>IF($K$20=Inputs!$B$18,IF($G129&lt;='Mortgage Calculators (By Year)'!$C$9,'Forecast (By Year)'!V54,NA()),IF($G129&lt;='Mortgage Calculators (By Year)'!$J$12,'Forecast (By Year)'!AT54,NA()))</f>
        <v>#N/A</v>
      </c>
      <c r="I129" s="8" t="e">
        <f>IF($K$20=Inputs!$B$18,IF($G129&lt;='Mortgage Calculators (By Year)'!$C$9,'Forecast (By Year)'!Y54,NA()),IF($G129&lt;='Mortgage Calculators (By Year)'!$J$12,'Forecast (By Year)'!AW54,NA()))</f>
        <v>#N/A</v>
      </c>
      <c r="J129" s="91" t="e">
        <f>IF($K$20=Inputs!$B$18,IF($G129&lt;='Mortgage Calculators (By Year)'!$C$9,'Forecast (By Year)'!X54,NA()),IF($G129&lt;='Mortgage Calculators (By Year)'!$J$12,'Forecast (By Year)'!AV54,NA()))</f>
        <v>#N/A</v>
      </c>
      <c r="K129" s="91" t="e">
        <f>IF($K$20=Inputs!$B$18,IF($G129&lt;='Mortgage Calculators (By Year)'!$C$9,'Forecast (By Year)'!AA54,NA()),IF($G129&lt;='Mortgage Calculators (By Year)'!$J$12,'Forecast (By Year)'!AY54,NA()))</f>
        <v>#N/A</v>
      </c>
      <c r="L129" s="8" t="e">
        <f>IF(G129=ROUND(Inputs!$K$10,0),$L$77,NA())</f>
        <v>#N/A</v>
      </c>
      <c r="M129" s="17"/>
    </row>
    <row r="130" spans="2:14" ht="15" thickBot="1" x14ac:dyDescent="0.4">
      <c r="B130" s="77">
        <v>51</v>
      </c>
      <c r="C130" s="21" t="e">
        <f>IF($B$77=Inputs!$B$18,IF($B130&lt;='Mortgage Calculators (By Year)'!$C$9,'Forecast (By Year)'!G55,NA()),IF($B130&lt;='Mortgage Calculators (By Year)'!$J$12,'Forecast (By Year)'!AE55,NA()))</f>
        <v>#N/A</v>
      </c>
      <c r="D130" s="21" t="e">
        <f>IF($B$77=Inputs!$B$18,IF($B130&lt;='Mortgage Calculators (By Year)'!$C$9,'Forecast (By Year)'!H55,NA()),IF($B130&lt;='Mortgage Calculators (By Year)'!$J$12,'Forecast (By Year)'!AF55,NA()))</f>
        <v>#N/A</v>
      </c>
      <c r="E130" s="21" t="e">
        <f>IF(B130=ROUND(Inputs!$K$10,0),$E$77,NA())</f>
        <v>#N/A</v>
      </c>
      <c r="F130" s="23"/>
      <c r="G130" s="80">
        <v>51</v>
      </c>
      <c r="H130" s="21" t="e">
        <f>IF($K$20=Inputs!$B$18,IF($G130&lt;='Mortgage Calculators (By Year)'!$C$9,'Forecast (By Year)'!V55,NA()),IF($G130&lt;='Mortgage Calculators (By Year)'!$J$12,'Forecast (By Year)'!AT55,NA()))</f>
        <v>#N/A</v>
      </c>
      <c r="I130" s="21" t="e">
        <f>IF($K$20=Inputs!$B$18,IF($G130&lt;='Mortgage Calculators (By Year)'!$C$9,'Forecast (By Year)'!Y55,NA()),IF($G130&lt;='Mortgage Calculators (By Year)'!$J$12,'Forecast (By Year)'!AW55,NA()))</f>
        <v>#N/A</v>
      </c>
      <c r="J130" s="90" t="e">
        <f>IF($K$20=Inputs!$B$18,IF($G130&lt;='Mortgage Calculators (By Year)'!$C$9,'Forecast (By Year)'!X55,NA()),IF($G130&lt;='Mortgage Calculators (By Year)'!$J$12,'Forecast (By Year)'!AV55,NA()))</f>
        <v>#N/A</v>
      </c>
      <c r="K130" s="90" t="e">
        <f>IF($K$20=Inputs!$B$18,IF($G130&lt;='Mortgage Calculators (By Year)'!$C$9,'Forecast (By Year)'!AA55,NA()),IF($G130&lt;='Mortgage Calculators (By Year)'!$J$12,'Forecast (By Year)'!AY55,NA()))</f>
        <v>#N/A</v>
      </c>
      <c r="L130" s="21" t="e">
        <f>IF(G130=ROUND(Inputs!$K$10,0),$L$77,NA())</f>
        <v>#N/A</v>
      </c>
      <c r="M130" s="22"/>
    </row>
    <row r="131" spans="2:14" ht="15" thickBot="1" x14ac:dyDescent="0.4"/>
    <row r="132" spans="2:14" x14ac:dyDescent="0.35">
      <c r="B132" s="25" t="s">
        <v>248</v>
      </c>
      <c r="C132" s="14"/>
      <c r="D132" s="14"/>
      <c r="E132" s="14"/>
      <c r="F132" s="14"/>
      <c r="G132" s="14"/>
      <c r="H132" s="14"/>
      <c r="I132" s="14"/>
      <c r="J132" s="14"/>
      <c r="K132" s="14"/>
      <c r="L132" s="14"/>
      <c r="M132" s="14"/>
      <c r="N132" s="15"/>
    </row>
    <row r="133" spans="2:14" x14ac:dyDescent="0.35">
      <c r="B133" s="16" t="s">
        <v>250</v>
      </c>
      <c r="I133" s="2" t="s">
        <v>251</v>
      </c>
      <c r="N133" s="17"/>
    </row>
    <row r="134" spans="2:14" x14ac:dyDescent="0.35">
      <c r="B134" s="62" t="str">
        <f>'Analysis Summary'!$E$6</f>
        <v>Principal &amp; Interest Loan (P&amp;I)</v>
      </c>
      <c r="C134" s="24"/>
      <c r="D134" s="8">
        <f>_xlfn.MAXIFS(C136:D186,C136:D186,"&gt;0")</f>
        <v>423961.96632430324</v>
      </c>
      <c r="G134" s="86">
        <f>_xlfn.XLOOKUP(Inputs!$K$10,'RE Calculations'!$B$136:$B$186,'RE Calculations'!$C$136:$C$186)</f>
        <v>125197.14375</v>
      </c>
      <c r="I134" s="2" t="str">
        <f>'Analysis Summary'!$E$6</f>
        <v>Principal &amp; Interest Loan (P&amp;I)</v>
      </c>
      <c r="M134" s="86">
        <v>1</v>
      </c>
      <c r="N134" s="17"/>
    </row>
    <row r="135" spans="2:14" ht="43.5" x14ac:dyDescent="0.35">
      <c r="B135" s="75" t="s">
        <v>19</v>
      </c>
      <c r="C135" s="79" t="s">
        <v>228</v>
      </c>
      <c r="D135" s="79" t="s">
        <v>249</v>
      </c>
      <c r="E135" s="79" t="s">
        <v>45</v>
      </c>
      <c r="F135" s="79" t="s">
        <v>164</v>
      </c>
      <c r="G135" s="79" t="s">
        <v>125</v>
      </c>
      <c r="I135" s="78" t="s">
        <v>19</v>
      </c>
      <c r="J135" s="79" t="s">
        <v>47</v>
      </c>
      <c r="K135" s="79" t="s">
        <v>236</v>
      </c>
      <c r="L135" s="79" t="s">
        <v>237</v>
      </c>
      <c r="M135" s="79" t="s">
        <v>125</v>
      </c>
      <c r="N135" s="17"/>
    </row>
    <row r="136" spans="2:14" x14ac:dyDescent="0.35">
      <c r="B136" s="76">
        <v>1</v>
      </c>
      <c r="C136" s="8">
        <f>IF($B$77=Inputs!$B$18,IF($B136&lt;='Mortgage Calculators (By Year)'!$C$9,'Forecast (By Year)'!I5,NA()),IF($B136&lt;='Mortgage Calculators (By Year)'!$J$12,'Forecast (By Year)'!AG5,NA()))</f>
        <v>103000</v>
      </c>
      <c r="D136" s="8">
        <f t="shared" ref="D136:D165" si="3">SUM(E136:F136)</f>
        <v>29187.999999999996</v>
      </c>
      <c r="E136" s="8">
        <f>IF($B$77=Inputs!$B$18,IF($B136&lt;='Mortgage Calculators (By Year)'!$C$9,'Forecast (By Year)'!L5,NA()),IF($B136&lt;='Mortgage Calculators (By Year)'!$J$12,'Forecast (By Year)'!AJ5,NA()))</f>
        <v>29187.999999999996</v>
      </c>
      <c r="F136" s="8">
        <f>IF($B$77=Inputs!$B$18,IF($B136&lt;='Mortgage Calculators (By Year)'!$C$9,'Forecast (By Year)'!M5,NA()),IF($B136&lt;='Mortgage Calculators (By Year)'!$J$12,'Forecast (By Year)'!AK5,NA()))</f>
        <v>0</v>
      </c>
      <c r="G136" s="8" t="e">
        <f>IF(B136=ROUND(Inputs!$K$10,0),_xlfn.MAXIFS(C136:D136,C136:D136,"&gt;0"),NA())</f>
        <v>#N/A</v>
      </c>
      <c r="I136" s="12">
        <v>1</v>
      </c>
      <c r="J136" s="93">
        <f>IF($B$77=Inputs!$B$18,_xlfn.XLOOKUP(I136,'Forecast (By Year)'!$F$3:$F$55,'Forecast (By Year)'!$R$3:$R$55)/Inputs!$K$18,_xlfn.XLOOKUP(I136,'Forecast (By Year)'!$AD$3:$AD$55,'Forecast (By Year)'!$AP$3:$AP$55)/Inputs!$K$18)</f>
        <v>4.6102907696122554E-2</v>
      </c>
      <c r="K136" s="93">
        <f>IF($B$77=Inputs!$B$18,_xlfn.XLOOKUP(I136,'Forecast (By Year)'!$F$3:$F$55,'Forecast (By Year)'!$R$3:$R$55)/Inputs!$K$5,_xlfn.XLOOKUP(I136,'Forecast (By Year)'!$AD$3:$AD$55,'Forecast (By Year)'!$AP$3:$AP$55)/Inputs!$K$5)</f>
        <v>4.9209640321344048E-2</v>
      </c>
      <c r="L136" s="93">
        <f>IF($B$77=Inputs!$B$18,_xlfn.XLOOKUP(I136,'Forecast (By Year)'!$F$3:$F$55,'Forecast (By Year)'!$R$3:$R$55)/Inputs!$K$9,_xlfn.XLOOKUP(I136,'Forecast (By Year)'!$AD$3:$AD$55,'Forecast (By Year)'!$AP$3:$AP$55)/Inputs!$K$9)</f>
        <v>4.5144954128440364E-2</v>
      </c>
      <c r="M136" s="97" t="e">
        <f>IF(I136=ROUND(Inputs!$K$10,0),$M$134,NA())</f>
        <v>#N/A</v>
      </c>
      <c r="N136" s="17"/>
    </row>
    <row r="137" spans="2:14" x14ac:dyDescent="0.35">
      <c r="B137" s="76">
        <v>2</v>
      </c>
      <c r="C137" s="8">
        <f>IF($B$77=Inputs!$B$18,IF($B137&lt;='Mortgage Calculators (By Year)'!$C$9,'Forecast (By Year)'!I6,NA()),IF($B137&lt;='Mortgage Calculators (By Year)'!$J$12,'Forecast (By Year)'!AG6,NA()))</f>
        <v>108150</v>
      </c>
      <c r="D137" s="8">
        <f t="shared" si="3"/>
        <v>29754.5</v>
      </c>
      <c r="E137" s="8">
        <f>IF($B$77=Inputs!$B$18,IF($B137&lt;='Mortgage Calculators (By Year)'!$C$9,'Forecast (By Year)'!L6,NA()),IF($B137&lt;='Mortgage Calculators (By Year)'!$J$12,'Forecast (By Year)'!AJ6,NA()))</f>
        <v>29754.5</v>
      </c>
      <c r="F137" s="8">
        <f>IF($B$77=Inputs!$B$18,IF($B137&lt;='Mortgage Calculators (By Year)'!$C$9,'Forecast (By Year)'!M6,NA()),IF($B137&lt;='Mortgage Calculators (By Year)'!$J$12,'Forecast (By Year)'!AK6,NA()))</f>
        <v>0</v>
      </c>
      <c r="G137" s="8" t="e">
        <f>IF(B137=ROUND(Inputs!$K$10,0),_xlfn.MAXIFS(C137:D137,C137:D137,"&gt;0"),NA())</f>
        <v>#N/A</v>
      </c>
      <c r="I137" s="12">
        <v>2</v>
      </c>
      <c r="J137" s="97">
        <f>IF($B$77=Inputs!$B$18,_xlfn.XLOOKUP(I137,'Forecast (By Year)'!$F$3:$F$55,'Forecast (By Year)'!$R$3:$R$55)/Inputs!$K$18,_xlfn.XLOOKUP(I137,'Forecast (By Year)'!$AD$3:$AD$55,'Forecast (By Year)'!$AP$3:$AP$55)/Inputs!$K$18)</f>
        <v>4.8965757604337724E-2</v>
      </c>
      <c r="K137" s="97">
        <f>IF($B$77=Inputs!$B$18,_xlfn.XLOOKUP(I137,'Forecast (By Year)'!$F$3:$F$55,'Forecast (By Year)'!$R$3:$R$55)/Inputs!$K$5,_xlfn.XLOOKUP(I137,'Forecast (By Year)'!$AD$3:$AD$55,'Forecast (By Year)'!$AP$3:$AP$55)/Inputs!$K$5)</f>
        <v>5.2265408846961577E-2</v>
      </c>
      <c r="L137" s="97">
        <f>IF($B$77=Inputs!$B$18,_xlfn.XLOOKUP(I137,'Forecast (By Year)'!$F$3:$F$55,'Forecast (By Year)'!$R$3:$R$55)/Inputs!$K$9,_xlfn.XLOOKUP(I137,'Forecast (By Year)'!$AD$3:$AD$55,'Forecast (By Year)'!$AP$3:$AP$55)/Inputs!$K$9)</f>
        <v>4.7948318042813465E-2</v>
      </c>
      <c r="M137" s="97" t="e">
        <f>IF(I137=ROUND(Inputs!$K$10,0),$M$134,NA())</f>
        <v>#N/A</v>
      </c>
      <c r="N137" s="17"/>
    </row>
    <row r="138" spans="2:14" x14ac:dyDescent="0.35">
      <c r="B138" s="76">
        <v>3</v>
      </c>
      <c r="C138" s="8">
        <f>IF($B$77=Inputs!$B$18,IF($B138&lt;='Mortgage Calculators (By Year)'!$C$9,'Forecast (By Year)'!I7,NA()),IF($B138&lt;='Mortgage Calculators (By Year)'!$J$12,'Forecast (By Year)'!AG7,NA()))</f>
        <v>113557.5</v>
      </c>
      <c r="D138" s="8">
        <f t="shared" si="3"/>
        <v>30349.324999999997</v>
      </c>
      <c r="E138" s="8">
        <f>IF($B$77=Inputs!$B$18,IF($B138&lt;='Mortgage Calculators (By Year)'!$C$9,'Forecast (By Year)'!L7,NA()),IF($B138&lt;='Mortgage Calculators (By Year)'!$J$12,'Forecast (By Year)'!AJ7,NA()))</f>
        <v>30349.324999999997</v>
      </c>
      <c r="F138" s="8">
        <f>IF($B$77=Inputs!$B$18,IF($B138&lt;='Mortgage Calculators (By Year)'!$C$9,'Forecast (By Year)'!M7,NA()),IF($B138&lt;='Mortgage Calculators (By Year)'!$J$12,'Forecast (By Year)'!AK7,NA()))</f>
        <v>0</v>
      </c>
      <c r="G138" s="8" t="e">
        <f>IF(B138=ROUND(Inputs!$K$10,0),_xlfn.MAXIFS(C138:D138,C138:D138,"&gt;0"),NA())</f>
        <v>#N/A</v>
      </c>
      <c r="I138" s="12">
        <v>3</v>
      </c>
      <c r="J138" s="97">
        <f>IF($B$77=Inputs!$B$18,_xlfn.XLOOKUP(I138,'Forecast (By Year)'!$F$3:$F$55,'Forecast (By Year)'!$R$3:$R$55)/Inputs!$K$18,_xlfn.XLOOKUP(I138,'Forecast (By Year)'!$AD$3:$AD$55,'Forecast (By Year)'!$AP$3:$AP$55)/Inputs!$K$18)</f>
        <v>5.1971750007963662E-2</v>
      </c>
      <c r="K138" s="97">
        <f>IF($B$77=Inputs!$B$18,_xlfn.XLOOKUP(I138,'Forecast (By Year)'!$F$3:$F$55,'Forecast (By Year)'!$R$3:$R$55)/Inputs!$K$5,_xlfn.XLOOKUP(I138,'Forecast (By Year)'!$AD$3:$AD$55,'Forecast (By Year)'!$AP$3:$AP$55)/Inputs!$K$5)</f>
        <v>5.5473965798859985E-2</v>
      </c>
      <c r="L138" s="97">
        <f>IF($B$77=Inputs!$B$18,_xlfn.XLOOKUP(I138,'Forecast (By Year)'!$F$3:$F$55,'Forecast (By Year)'!$R$3:$R$55)/Inputs!$K$9,_xlfn.XLOOKUP(I138,'Forecast (By Year)'!$AD$3:$AD$55,'Forecast (By Year)'!$AP$3:$AP$55)/Inputs!$K$9)</f>
        <v>5.0891850152905219E-2</v>
      </c>
      <c r="M138" s="97" t="e">
        <f>IF(I138=ROUND(Inputs!$K$10,0),$M$134,NA())</f>
        <v>#N/A</v>
      </c>
      <c r="N138" s="17"/>
    </row>
    <row r="139" spans="2:14" x14ac:dyDescent="0.35">
      <c r="B139" s="76">
        <v>4</v>
      </c>
      <c r="C139" s="8">
        <f>IF($B$77=Inputs!$B$18,IF($B139&lt;='Mortgage Calculators (By Year)'!$C$9,'Forecast (By Year)'!I8,NA()),IF($B139&lt;='Mortgage Calculators (By Year)'!$J$12,'Forecast (By Year)'!AG8,NA()))</f>
        <v>119235.37500000001</v>
      </c>
      <c r="D139" s="8">
        <f t="shared" si="3"/>
        <v>30973.891250000001</v>
      </c>
      <c r="E139" s="8">
        <f>IF($B$77=Inputs!$B$18,IF($B139&lt;='Mortgage Calculators (By Year)'!$C$9,'Forecast (By Year)'!L8,NA()),IF($B139&lt;='Mortgage Calculators (By Year)'!$J$12,'Forecast (By Year)'!AJ8,NA()))</f>
        <v>30973.891250000001</v>
      </c>
      <c r="F139" s="8">
        <f>IF($B$77=Inputs!$B$18,IF($B139&lt;='Mortgage Calculators (By Year)'!$C$9,'Forecast (By Year)'!M8,NA()),IF($B139&lt;='Mortgage Calculators (By Year)'!$J$12,'Forecast (By Year)'!AK8,NA()))</f>
        <v>0</v>
      </c>
      <c r="G139" s="8" t="e">
        <f>IF(B139=ROUND(Inputs!$K$10,0),_xlfn.MAXIFS(C139:D139,C139:D139,"&gt;0"),NA())</f>
        <v>#N/A</v>
      </c>
      <c r="I139" s="12">
        <v>4</v>
      </c>
      <c r="J139" s="97">
        <f>IF($B$77=Inputs!$B$18,_xlfn.XLOOKUP(I139,'Forecast (By Year)'!$F$3:$F$55,'Forecast (By Year)'!$R$3:$R$55)/Inputs!$K$18,_xlfn.XLOOKUP(I139,'Forecast (By Year)'!$AD$3:$AD$55,'Forecast (By Year)'!$AP$3:$AP$55)/Inputs!$K$18)</f>
        <v>5.5128042031770866E-2</v>
      </c>
      <c r="K139" s="97">
        <f>IF($B$77=Inputs!$B$18,_xlfn.XLOOKUP(I139,'Forecast (By Year)'!$F$3:$F$55,'Forecast (By Year)'!$R$3:$R$55)/Inputs!$K$5,_xlfn.XLOOKUP(I139,'Forecast (By Year)'!$AD$3:$AD$55,'Forecast (By Year)'!$AP$3:$AP$55)/Inputs!$K$5)</f>
        <v>5.8842950598353289E-2</v>
      </c>
      <c r="L139" s="97">
        <f>IF($B$77=Inputs!$B$18,_xlfn.XLOOKUP(I139,'Forecast (By Year)'!$F$3:$F$55,'Forecast (By Year)'!$R$3:$R$55)/Inputs!$K$9,_xlfn.XLOOKUP(I139,'Forecast (By Year)'!$AD$3:$AD$55,'Forecast (By Year)'!$AP$3:$AP$55)/Inputs!$K$9)</f>
        <v>5.3982558868501535E-2</v>
      </c>
      <c r="M139" s="97" t="e">
        <f>IF(I139=ROUND(Inputs!$K$10,0),$M$134,NA())</f>
        <v>#N/A</v>
      </c>
      <c r="N139" s="17"/>
    </row>
    <row r="140" spans="2:14" x14ac:dyDescent="0.35">
      <c r="B140" s="76">
        <v>5</v>
      </c>
      <c r="C140" s="8">
        <f>IF($B$77=Inputs!$B$18,IF($B140&lt;='Mortgage Calculators (By Year)'!$C$9,'Forecast (By Year)'!I9,NA()),IF($B140&lt;='Mortgage Calculators (By Year)'!$J$12,'Forecast (By Year)'!AG9,NA()))</f>
        <v>125197.14375</v>
      </c>
      <c r="D140" s="8">
        <f t="shared" si="3"/>
        <v>31629.6858125</v>
      </c>
      <c r="E140" s="8">
        <f>IF($B$77=Inputs!$B$18,IF($B140&lt;='Mortgage Calculators (By Year)'!$C$9,'Forecast (By Year)'!L9,NA()),IF($B140&lt;='Mortgage Calculators (By Year)'!$J$12,'Forecast (By Year)'!AJ9,NA()))</f>
        <v>31629.6858125</v>
      </c>
      <c r="F140" s="8">
        <f>IF($B$77=Inputs!$B$18,IF($B140&lt;='Mortgage Calculators (By Year)'!$C$9,'Forecast (By Year)'!M9,NA()),IF($B140&lt;='Mortgage Calculators (By Year)'!$J$12,'Forecast (By Year)'!AK9,NA()))</f>
        <v>0</v>
      </c>
      <c r="G140" s="8">
        <f>IF(B140=ROUND(Inputs!$K$10,0),_xlfn.MAXIFS(C140:D140,C140:D140,"&gt;0"),NA())</f>
        <v>125197.14375</v>
      </c>
      <c r="I140" s="12">
        <v>5</v>
      </c>
      <c r="J140" s="97">
        <f>IF($B$77=Inputs!$B$18,_xlfn.XLOOKUP(I140,'Forecast (By Year)'!$F$3:$F$55,'Forecast (By Year)'!$R$3:$R$55)/Inputs!$K$18,_xlfn.XLOOKUP(I140,'Forecast (By Year)'!$AD$3:$AD$55,'Forecast (By Year)'!$AP$3:$AP$55)/Inputs!$K$18)</f>
        <v>5.8442148656768431E-2</v>
      </c>
      <c r="K140" s="97">
        <f>IF($B$77=Inputs!$B$18,_xlfn.XLOOKUP(I140,'Forecast (By Year)'!$F$3:$F$55,'Forecast (By Year)'!$R$3:$R$55)/Inputs!$K$5,_xlfn.XLOOKUP(I140,'Forecast (By Year)'!$AD$3:$AD$55,'Forecast (By Year)'!$AP$3:$AP$55)/Inputs!$K$5)</f>
        <v>6.2380384637821251E-2</v>
      </c>
      <c r="L140" s="97">
        <f>IF($B$77=Inputs!$B$18,_xlfn.XLOOKUP(I140,'Forecast (By Year)'!$F$3:$F$55,'Forecast (By Year)'!$R$3:$R$55)/Inputs!$K$9,_xlfn.XLOOKUP(I140,'Forecast (By Year)'!$AD$3:$AD$55,'Forecast (By Year)'!$AP$3:$AP$55)/Inputs!$K$9)</f>
        <v>5.722780301987767E-2</v>
      </c>
      <c r="M140" s="97">
        <f>IF(I140=ROUND(Inputs!$K$10,0),$M$134,NA())</f>
        <v>1</v>
      </c>
      <c r="N140" s="17"/>
    </row>
    <row r="141" spans="2:14" x14ac:dyDescent="0.35">
      <c r="B141" s="76">
        <v>6</v>
      </c>
      <c r="C141" s="8">
        <f>IF($B$77=Inputs!$B$18,IF($B141&lt;='Mortgage Calculators (By Year)'!$C$9,'Forecast (By Year)'!I10,NA()),IF($B141&lt;='Mortgage Calculators (By Year)'!$J$12,'Forecast (By Year)'!AG10,NA()))</f>
        <v>131457.00093750001</v>
      </c>
      <c r="D141" s="8">
        <f t="shared" si="3"/>
        <v>32318.270103125004</v>
      </c>
      <c r="E141" s="8">
        <f>IF($B$77=Inputs!$B$18,IF($B141&lt;='Mortgage Calculators (By Year)'!$C$9,'Forecast (By Year)'!L10,NA()),IF($B141&lt;='Mortgage Calculators (By Year)'!$J$12,'Forecast (By Year)'!AJ10,NA()))</f>
        <v>32318.270103125004</v>
      </c>
      <c r="F141" s="8">
        <f>IF($B$77=Inputs!$B$18,IF($B141&lt;='Mortgage Calculators (By Year)'!$C$9,'Forecast (By Year)'!M10,NA()),IF($B141&lt;='Mortgage Calculators (By Year)'!$J$12,'Forecast (By Year)'!AK10,NA()))</f>
        <v>0</v>
      </c>
      <c r="G141" s="8" t="e">
        <f>IF(B141=ROUND(Inputs!$K$10,0),_xlfn.MAXIFS(C141:D141,C141:D141,"&gt;0"),NA())</f>
        <v>#N/A</v>
      </c>
      <c r="I141" s="12">
        <v>6</v>
      </c>
      <c r="J141" s="97">
        <f>IF($B$77=Inputs!$B$18,_xlfn.XLOOKUP(I141,'Forecast (By Year)'!$F$3:$F$55,'Forecast (By Year)'!$R$3:$R$55)/Inputs!$K$18,_xlfn.XLOOKUP(I141,'Forecast (By Year)'!$AD$3:$AD$55,'Forecast (By Year)'!$AP$3:$AP$55)/Inputs!$K$18)</f>
        <v>6.1921960613015907E-2</v>
      </c>
      <c r="K141" s="97">
        <f>IF($B$77=Inputs!$B$18,_xlfn.XLOOKUP(I141,'Forecast (By Year)'!$F$3:$F$55,'Forecast (By Year)'!$R$3:$R$55)/Inputs!$K$5,_xlfn.XLOOKUP(I141,'Forecast (By Year)'!$AD$3:$AD$55,'Forecast (By Year)'!$AP$3:$AP$55)/Inputs!$K$5)</f>
        <v>6.6094690379262661E-2</v>
      </c>
      <c r="L141" s="97">
        <f>IF($B$77=Inputs!$B$18,_xlfn.XLOOKUP(I141,'Forecast (By Year)'!$F$3:$F$55,'Forecast (By Year)'!$R$3:$R$55)/Inputs!$K$9,_xlfn.XLOOKUP(I141,'Forecast (By Year)'!$AD$3:$AD$55,'Forecast (By Year)'!$AP$3:$AP$55)/Inputs!$K$9)</f>
        <v>6.0635309378822638E-2</v>
      </c>
      <c r="M141" s="97" t="e">
        <f>IF(I141=ROUND(Inputs!$K$10,0),$M$134,NA())</f>
        <v>#N/A</v>
      </c>
      <c r="N141" s="17"/>
    </row>
    <row r="142" spans="2:14" x14ac:dyDescent="0.35">
      <c r="B142" s="76">
        <v>7</v>
      </c>
      <c r="C142" s="8">
        <f>IF($B$77=Inputs!$B$18,IF($B142&lt;='Mortgage Calculators (By Year)'!$C$9,'Forecast (By Year)'!I11,NA()),IF($B142&lt;='Mortgage Calculators (By Year)'!$J$12,'Forecast (By Year)'!AG11,NA()))</f>
        <v>138029.85098437499</v>
      </c>
      <c r="D142" s="8">
        <f t="shared" si="3"/>
        <v>33041.283608281243</v>
      </c>
      <c r="E142" s="8">
        <f>IF($B$77=Inputs!$B$18,IF($B142&lt;='Mortgage Calculators (By Year)'!$C$9,'Forecast (By Year)'!L11,NA()),IF($B142&lt;='Mortgage Calculators (By Year)'!$J$12,'Forecast (By Year)'!AJ11,NA()))</f>
        <v>33041.283608281243</v>
      </c>
      <c r="F142" s="8">
        <f>IF($B$77=Inputs!$B$18,IF($B142&lt;='Mortgage Calculators (By Year)'!$C$9,'Forecast (By Year)'!M11,NA()),IF($B142&lt;='Mortgage Calculators (By Year)'!$J$12,'Forecast (By Year)'!AK11,NA()))</f>
        <v>0</v>
      </c>
      <c r="G142" s="8" t="e">
        <f>IF(B142=ROUND(Inputs!$K$10,0),_xlfn.MAXIFS(C142:D142,C142:D142,"&gt;0"),NA())</f>
        <v>#N/A</v>
      </c>
      <c r="I142" s="12">
        <v>7</v>
      </c>
      <c r="J142" s="97">
        <f>IF($B$77=Inputs!$B$18,_xlfn.XLOOKUP(I142,'Forecast (By Year)'!$F$3:$F$55,'Forecast (By Year)'!$R$3:$R$55)/Inputs!$K$18,_xlfn.XLOOKUP(I142,'Forecast (By Year)'!$AD$3:$AD$55,'Forecast (By Year)'!$AP$3:$AP$55)/Inputs!$K$18)</f>
        <v>6.5575763167075724E-2</v>
      </c>
      <c r="K142" s="97">
        <f>IF($B$77=Inputs!$B$18,_xlfn.XLOOKUP(I142,'Forecast (By Year)'!$F$3:$F$55,'Forecast (By Year)'!$R$3:$R$55)/Inputs!$K$5,_xlfn.XLOOKUP(I142,'Forecast (By Year)'!$AD$3:$AD$55,'Forecast (By Year)'!$AP$3:$AP$55)/Inputs!$K$5)</f>
        <v>6.9994711407776092E-2</v>
      </c>
      <c r="L142" s="97">
        <f>IF($B$77=Inputs!$B$18,_xlfn.XLOOKUP(I142,'Forecast (By Year)'!$F$3:$F$55,'Forecast (By Year)'!$R$3:$R$55)/Inputs!$K$9,_xlfn.XLOOKUP(I142,'Forecast (By Year)'!$AD$3:$AD$55,'Forecast (By Year)'!$AP$3:$AP$55)/Inputs!$K$9)</f>
        <v>6.4213191055714838E-2</v>
      </c>
      <c r="M142" s="97" t="e">
        <f>IF(I142=ROUND(Inputs!$K$10,0),$M$134,NA())</f>
        <v>#N/A</v>
      </c>
      <c r="N142" s="17"/>
    </row>
    <row r="143" spans="2:14" x14ac:dyDescent="0.35">
      <c r="B143" s="76">
        <v>8</v>
      </c>
      <c r="C143" s="8">
        <f>IF($B$77=Inputs!$B$18,IF($B143&lt;='Mortgage Calculators (By Year)'!$C$9,'Forecast (By Year)'!I12,NA()),IF($B143&lt;='Mortgage Calculators (By Year)'!$J$12,'Forecast (By Year)'!AG12,NA()))</f>
        <v>144931.34353359378</v>
      </c>
      <c r="D143" s="8">
        <f t="shared" si="3"/>
        <v>33800.447788695317</v>
      </c>
      <c r="E143" s="8">
        <f>IF($B$77=Inputs!$B$18,IF($B143&lt;='Mortgage Calculators (By Year)'!$C$9,'Forecast (By Year)'!L12,NA()),IF($B143&lt;='Mortgage Calculators (By Year)'!$J$12,'Forecast (By Year)'!AJ12,NA()))</f>
        <v>33800.447788695317</v>
      </c>
      <c r="F143" s="8">
        <f>IF($B$77=Inputs!$B$18,IF($B143&lt;='Mortgage Calculators (By Year)'!$C$9,'Forecast (By Year)'!M12,NA()),IF($B143&lt;='Mortgage Calculators (By Year)'!$J$12,'Forecast (By Year)'!AK12,NA()))</f>
        <v>0</v>
      </c>
      <c r="G143" s="8" t="e">
        <f>IF(B143=ROUND(Inputs!$K$10,0),_xlfn.MAXIFS(C143:D143,C143:D143,"&gt;0"),NA())</f>
        <v>#N/A</v>
      </c>
      <c r="I143" s="12">
        <v>8</v>
      </c>
      <c r="J143" s="97">
        <f>IF($B$77=Inputs!$B$18,_xlfn.XLOOKUP(I143,'Forecast (By Year)'!$F$3:$F$55,'Forecast (By Year)'!$R$3:$R$55)/Inputs!$K$18,_xlfn.XLOOKUP(I143,'Forecast (By Year)'!$AD$3:$AD$55,'Forecast (By Year)'!$AP$3:$AP$55)/Inputs!$K$18)</f>
        <v>6.9412255848838575E-2</v>
      </c>
      <c r="K143" s="97">
        <f>IF($B$77=Inputs!$B$18,_xlfn.XLOOKUP(I143,'Forecast (By Year)'!$F$3:$F$55,'Forecast (By Year)'!$R$3:$R$55)/Inputs!$K$5,_xlfn.XLOOKUP(I143,'Forecast (By Year)'!$AD$3:$AD$55,'Forecast (By Year)'!$AP$3:$AP$55)/Inputs!$K$5)</f>
        <v>7.4089733487715234E-2</v>
      </c>
      <c r="L143" s="97">
        <f>IF($B$77=Inputs!$B$18,_xlfn.XLOOKUP(I143,'Forecast (By Year)'!$F$3:$F$55,'Forecast (By Year)'!$R$3:$R$55)/Inputs!$K$9,_xlfn.XLOOKUP(I143,'Forecast (By Year)'!$AD$3:$AD$55,'Forecast (By Year)'!$AP$3:$AP$55)/Inputs!$K$9)</f>
        <v>6.7969966816451663E-2</v>
      </c>
      <c r="M143" s="97" t="e">
        <f>IF(I143=ROUND(Inputs!$K$10,0),$M$134,NA())</f>
        <v>#N/A</v>
      </c>
      <c r="N143" s="17"/>
    </row>
    <row r="144" spans="2:14" x14ac:dyDescent="0.35">
      <c r="B144" s="76">
        <v>9</v>
      </c>
      <c r="C144" s="8">
        <f>IF($B$77=Inputs!$B$18,IF($B144&lt;='Mortgage Calculators (By Year)'!$C$9,'Forecast (By Year)'!I13,NA()),IF($B144&lt;='Mortgage Calculators (By Year)'!$J$12,'Forecast (By Year)'!AG13,NA()))</f>
        <v>152177.91071027346</v>
      </c>
      <c r="D144" s="8">
        <f t="shared" si="3"/>
        <v>34597.570178130081</v>
      </c>
      <c r="E144" s="8">
        <f>IF($B$77=Inputs!$B$18,IF($B144&lt;='Mortgage Calculators (By Year)'!$C$9,'Forecast (By Year)'!L13,NA()),IF($B144&lt;='Mortgage Calculators (By Year)'!$J$12,'Forecast (By Year)'!AJ13,NA()))</f>
        <v>34597.570178130081</v>
      </c>
      <c r="F144" s="8">
        <f>IF($B$77=Inputs!$B$18,IF($B144&lt;='Mortgage Calculators (By Year)'!$C$9,'Forecast (By Year)'!M13,NA()),IF($B144&lt;='Mortgage Calculators (By Year)'!$J$12,'Forecast (By Year)'!AK13,NA()))</f>
        <v>0</v>
      </c>
      <c r="G144" s="8" t="e">
        <f>IF(B144=ROUND(Inputs!$K$10,0),_xlfn.MAXIFS(C144:D144,C144:D144,"&gt;0"),NA())</f>
        <v>#N/A</v>
      </c>
      <c r="I144" s="12">
        <v>9</v>
      </c>
      <c r="J144" s="97">
        <f>IF($B$77=Inputs!$B$18,_xlfn.XLOOKUP(I144,'Forecast (By Year)'!$F$3:$F$55,'Forecast (By Year)'!$R$3:$R$55)/Inputs!$K$18,_xlfn.XLOOKUP(I144,'Forecast (By Year)'!$AD$3:$AD$55,'Forecast (By Year)'!$AP$3:$AP$55)/Inputs!$K$18)</f>
        <v>7.3440573164689549E-2</v>
      </c>
      <c r="K144" s="97">
        <f>IF($B$77=Inputs!$B$18,_xlfn.XLOOKUP(I144,'Forecast (By Year)'!$F$3:$F$55,'Forecast (By Year)'!$R$3:$R$55)/Inputs!$K$5,_xlfn.XLOOKUP(I144,'Forecast (By Year)'!$AD$3:$AD$55,'Forecast (By Year)'!$AP$3:$AP$55)/Inputs!$K$5)</f>
        <v>7.8389506671651329E-2</v>
      </c>
      <c r="L144" s="97">
        <f>IF($B$77=Inputs!$B$18,_xlfn.XLOOKUP(I144,'Forecast (By Year)'!$F$3:$F$55,'Forecast (By Year)'!$R$3:$R$55)/Inputs!$K$9,_xlfn.XLOOKUP(I144,'Forecast (By Year)'!$AD$3:$AD$55,'Forecast (By Year)'!$AP$3:$AP$55)/Inputs!$K$9)</f>
        <v>7.1914581365225327E-2</v>
      </c>
      <c r="M144" s="97" t="e">
        <f>IF(I144=ROUND(Inputs!$K$10,0),$M$134,NA())</f>
        <v>#N/A</v>
      </c>
      <c r="N144" s="17"/>
    </row>
    <row r="145" spans="2:14" x14ac:dyDescent="0.35">
      <c r="B145" s="76">
        <v>10</v>
      </c>
      <c r="C145" s="8">
        <f>IF($B$77=Inputs!$B$18,IF($B145&lt;='Mortgage Calculators (By Year)'!$C$9,'Forecast (By Year)'!I14,NA()),IF($B145&lt;='Mortgage Calculators (By Year)'!$J$12,'Forecast (By Year)'!AG14,NA()))</f>
        <v>159786.80624578713</v>
      </c>
      <c r="D145" s="8">
        <f t="shared" si="3"/>
        <v>35434.548687036586</v>
      </c>
      <c r="E145" s="8">
        <f>IF($B$77=Inputs!$B$18,IF($B145&lt;='Mortgage Calculators (By Year)'!$C$9,'Forecast (By Year)'!L14,NA()),IF($B145&lt;='Mortgage Calculators (By Year)'!$J$12,'Forecast (By Year)'!AJ14,NA()))</f>
        <v>35434.548687036586</v>
      </c>
      <c r="F145" s="8">
        <f>IF($B$77=Inputs!$B$18,IF($B145&lt;='Mortgage Calculators (By Year)'!$C$9,'Forecast (By Year)'!M14,NA()),IF($B145&lt;='Mortgage Calculators (By Year)'!$J$12,'Forecast (By Year)'!AK14,NA()))</f>
        <v>0</v>
      </c>
      <c r="G145" s="8" t="e">
        <f>IF(B145=ROUND(Inputs!$K$10,0),_xlfn.MAXIFS(C145:D145,C145:D145,"&gt;0"),NA())</f>
        <v>#N/A</v>
      </c>
      <c r="I145" s="12">
        <v>10</v>
      </c>
      <c r="J145" s="97">
        <f>IF($B$77=Inputs!$B$18,_xlfn.XLOOKUP(I145,'Forecast (By Year)'!$F$3:$F$55,'Forecast (By Year)'!$R$3:$R$55)/Inputs!$K$18,_xlfn.XLOOKUP(I145,'Forecast (By Year)'!$AD$3:$AD$55,'Forecast (By Year)'!$AP$3:$AP$55)/Inputs!$K$18)</f>
        <v>7.7670306346333026E-2</v>
      </c>
      <c r="K145" s="97">
        <f>IF($B$77=Inputs!$B$18,_xlfn.XLOOKUP(I145,'Forecast (By Year)'!$F$3:$F$55,'Forecast (By Year)'!$R$3:$R$55)/Inputs!$K$5,_xlfn.XLOOKUP(I145,'Forecast (By Year)'!$AD$3:$AD$55,'Forecast (By Year)'!$AP$3:$AP$55)/Inputs!$K$5)</f>
        <v>8.2904268514784177E-2</v>
      </c>
      <c r="L145" s="97">
        <f>IF($B$77=Inputs!$B$18,_xlfn.XLOOKUP(I145,'Forecast (By Year)'!$F$3:$F$55,'Forecast (By Year)'!$R$3:$R$55)/Inputs!$K$9,_xlfn.XLOOKUP(I145,'Forecast (By Year)'!$AD$3:$AD$55,'Forecast (By Year)'!$AP$3:$AP$55)/Inputs!$K$9)</f>
        <v>7.6056426641437636E-2</v>
      </c>
      <c r="M145" s="97" t="e">
        <f>IF(I145=ROUND(Inputs!$K$10,0),$M$134,NA())</f>
        <v>#N/A</v>
      </c>
      <c r="N145" s="17"/>
    </row>
    <row r="146" spans="2:14" x14ac:dyDescent="0.35">
      <c r="B146" s="76">
        <v>11</v>
      </c>
      <c r="C146" s="8">
        <f>IF($B$77=Inputs!$B$18,IF($B146&lt;='Mortgage Calculators (By Year)'!$C$9,'Forecast (By Year)'!I15,NA()),IF($B146&lt;='Mortgage Calculators (By Year)'!$J$12,'Forecast (By Year)'!AG15,NA()))</f>
        <v>167776.14655807649</v>
      </c>
      <c r="D146" s="8">
        <f t="shared" si="3"/>
        <v>36313.376121388414</v>
      </c>
      <c r="E146" s="8">
        <f>IF($B$77=Inputs!$B$18,IF($B146&lt;='Mortgage Calculators (By Year)'!$C$9,'Forecast (By Year)'!L15,NA()),IF($B146&lt;='Mortgage Calculators (By Year)'!$J$12,'Forecast (By Year)'!AJ15,NA()))</f>
        <v>36313.376121388414</v>
      </c>
      <c r="F146" s="8">
        <f>IF($B$77=Inputs!$B$18,IF($B146&lt;='Mortgage Calculators (By Year)'!$C$9,'Forecast (By Year)'!M15,NA()),IF($B146&lt;='Mortgage Calculators (By Year)'!$J$12,'Forecast (By Year)'!AK15,NA()))</f>
        <v>0</v>
      </c>
      <c r="G146" s="8" t="e">
        <f>IF(B146=ROUND(Inputs!$K$10,0),_xlfn.MAXIFS(C146:D146,C146:D146,"&gt;0"),NA())</f>
        <v>#N/A</v>
      </c>
      <c r="I146" s="12">
        <v>11</v>
      </c>
      <c r="J146" s="97">
        <f>IF($B$77=Inputs!$B$18,_xlfn.XLOOKUP(I146,'Forecast (By Year)'!$F$3:$F$55,'Forecast (By Year)'!$R$3:$R$55)/Inputs!$K$18,_xlfn.XLOOKUP(I146,'Forecast (By Year)'!$AD$3:$AD$55,'Forecast (By Year)'!$AP$3:$AP$55)/Inputs!$K$18)</f>
        <v>8.211152618705872E-2</v>
      </c>
      <c r="K146" s="97">
        <f>IF($B$77=Inputs!$B$18,_xlfn.XLOOKUP(I146,'Forecast (By Year)'!$F$3:$F$55,'Forecast (By Year)'!$R$3:$R$55)/Inputs!$K$5,_xlfn.XLOOKUP(I146,'Forecast (By Year)'!$AD$3:$AD$55,'Forecast (By Year)'!$AP$3:$AP$55)/Inputs!$K$5)</f>
        <v>8.7644768450073712E-2</v>
      </c>
      <c r="L146" s="97">
        <f>IF($B$77=Inputs!$B$18,_xlfn.XLOOKUP(I146,'Forecast (By Year)'!$F$3:$F$55,'Forecast (By Year)'!$R$3:$R$55)/Inputs!$K$9,_xlfn.XLOOKUP(I146,'Forecast (By Year)'!$AD$3:$AD$55,'Forecast (By Year)'!$AP$3:$AP$55)/Inputs!$K$9)</f>
        <v>8.040536418146059E-2</v>
      </c>
      <c r="M146" s="97" t="e">
        <f>IF(I146=ROUND(Inputs!$K$10,0),$M$134,NA())</f>
        <v>#N/A</v>
      </c>
      <c r="N146" s="17"/>
    </row>
    <row r="147" spans="2:14" x14ac:dyDescent="0.35">
      <c r="B147" s="76">
        <v>12</v>
      </c>
      <c r="C147" s="8">
        <f>IF($B$77=Inputs!$B$18,IF($B147&lt;='Mortgage Calculators (By Year)'!$C$9,'Forecast (By Year)'!I16,NA()),IF($B147&lt;='Mortgage Calculators (By Year)'!$J$12,'Forecast (By Year)'!AG16,NA()))</f>
        <v>176164.95388598033</v>
      </c>
      <c r="D147" s="8">
        <f t="shared" si="3"/>
        <v>37236.144927457834</v>
      </c>
      <c r="E147" s="8">
        <f>IF($B$77=Inputs!$B$18,IF($B147&lt;='Mortgage Calculators (By Year)'!$C$9,'Forecast (By Year)'!L16,NA()),IF($B147&lt;='Mortgage Calculators (By Year)'!$J$12,'Forecast (By Year)'!AJ16,NA()))</f>
        <v>37236.144927457834</v>
      </c>
      <c r="F147" s="8">
        <f>IF($B$77=Inputs!$B$18,IF($B147&lt;='Mortgage Calculators (By Year)'!$C$9,'Forecast (By Year)'!M16,NA()),IF($B147&lt;='Mortgage Calculators (By Year)'!$J$12,'Forecast (By Year)'!AK16,NA()))</f>
        <v>0</v>
      </c>
      <c r="G147" s="8" t="e">
        <f>IF(B147=ROUND(Inputs!$K$10,0),_xlfn.MAXIFS(C147:D147,C147:D147,"&gt;0"),NA())</f>
        <v>#N/A</v>
      </c>
      <c r="I147" s="12">
        <v>12</v>
      </c>
      <c r="J147" s="97">
        <f>IF($B$77=Inputs!$B$18,_xlfn.XLOOKUP(I147,'Forecast (By Year)'!$F$3:$F$55,'Forecast (By Year)'!$R$3:$R$55)/Inputs!$K$18,_xlfn.XLOOKUP(I147,'Forecast (By Year)'!$AD$3:$AD$55,'Forecast (By Year)'!$AP$3:$AP$55)/Inputs!$K$18)</f>
        <v>8.6774807019820696E-2</v>
      </c>
      <c r="K147" s="97">
        <f>IF($B$77=Inputs!$B$18,_xlfn.XLOOKUP(I147,'Forecast (By Year)'!$F$3:$F$55,'Forecast (By Year)'!$R$3:$R$55)/Inputs!$K$5,_xlfn.XLOOKUP(I147,'Forecast (By Year)'!$AD$3:$AD$55,'Forecast (By Year)'!$AP$3:$AP$55)/Inputs!$K$5)</f>
        <v>9.2622293382127727E-2</v>
      </c>
      <c r="L147" s="97">
        <f>IF($B$77=Inputs!$B$18,_xlfn.XLOOKUP(I147,'Forecast (By Year)'!$F$3:$F$55,'Forecast (By Year)'!$R$3:$R$55)/Inputs!$K$9,_xlfn.XLOOKUP(I147,'Forecast (By Year)'!$AD$3:$AD$55,'Forecast (By Year)'!$AP$3:$AP$55)/Inputs!$K$9)</f>
        <v>8.4971748598484692E-2</v>
      </c>
      <c r="M147" s="97" t="e">
        <f>IF(I147=ROUND(Inputs!$K$10,0),$M$134,NA())</f>
        <v>#N/A</v>
      </c>
      <c r="N147" s="17"/>
    </row>
    <row r="148" spans="2:14" x14ac:dyDescent="0.35">
      <c r="B148" s="76">
        <v>13</v>
      </c>
      <c r="C148" s="8">
        <f>IF($B$77=Inputs!$B$18,IF($B148&lt;='Mortgage Calculators (By Year)'!$C$9,'Forecast (By Year)'!I17,NA()),IF($B148&lt;='Mortgage Calculators (By Year)'!$J$12,'Forecast (By Year)'!AG17,NA()))</f>
        <v>184973.2015802793</v>
      </c>
      <c r="D148" s="8">
        <f t="shared" si="3"/>
        <v>38205.052173830714</v>
      </c>
      <c r="E148" s="8">
        <f>IF($B$77=Inputs!$B$18,IF($B148&lt;='Mortgage Calculators (By Year)'!$C$9,'Forecast (By Year)'!L17,NA()),IF($B148&lt;='Mortgage Calculators (By Year)'!$J$12,'Forecast (By Year)'!AJ17,NA()))</f>
        <v>38205.052173830714</v>
      </c>
      <c r="F148" s="8">
        <f>IF($B$77=Inputs!$B$18,IF($B148&lt;='Mortgage Calculators (By Year)'!$C$9,'Forecast (By Year)'!M17,NA()),IF($B148&lt;='Mortgage Calculators (By Year)'!$J$12,'Forecast (By Year)'!AK17,NA()))</f>
        <v>0</v>
      </c>
      <c r="G148" s="8" t="e">
        <f>IF(B148=ROUND(Inputs!$K$10,0),_xlfn.MAXIFS(C148:D148,C148:D148,"&gt;0"),NA())</f>
        <v>#N/A</v>
      </c>
      <c r="I148" s="12">
        <v>13</v>
      </c>
      <c r="J148" s="97">
        <f>IF($B$77=Inputs!$B$18,_xlfn.XLOOKUP(I148,'Forecast (By Year)'!$F$3:$F$55,'Forecast (By Year)'!$R$3:$R$55)/Inputs!$K$18,_xlfn.XLOOKUP(I148,'Forecast (By Year)'!$AD$3:$AD$55,'Forecast (By Year)'!$AP$3:$AP$55)/Inputs!$K$18)</f>
        <v>9.1671251894220762E-2</v>
      </c>
      <c r="K148" s="97">
        <f>IF($B$77=Inputs!$B$18,_xlfn.XLOOKUP(I148,'Forecast (By Year)'!$F$3:$F$55,'Forecast (By Year)'!$R$3:$R$55)/Inputs!$K$5,_xlfn.XLOOKUP(I148,'Forecast (By Year)'!$AD$3:$AD$55,'Forecast (By Year)'!$AP$3:$AP$55)/Inputs!$K$5)</f>
        <v>9.7848694560784419E-2</v>
      </c>
      <c r="L148" s="97">
        <f>IF($B$77=Inputs!$B$18,_xlfn.XLOOKUP(I148,'Forecast (By Year)'!$F$3:$F$55,'Forecast (By Year)'!$R$3:$R$55)/Inputs!$K$9,_xlfn.XLOOKUP(I148,'Forecast (By Year)'!$AD$3:$AD$55,'Forecast (By Year)'!$AP$3:$AP$55)/Inputs!$K$9)</f>
        <v>8.9766452236359998E-2</v>
      </c>
      <c r="M148" s="97" t="e">
        <f>IF(I148=ROUND(Inputs!$K$10,0),$M$134,NA())</f>
        <v>#N/A</v>
      </c>
      <c r="N148" s="17"/>
    </row>
    <row r="149" spans="2:14" x14ac:dyDescent="0.35">
      <c r="B149" s="76">
        <v>14</v>
      </c>
      <c r="C149" s="8">
        <f>IF($B$77=Inputs!$B$18,IF($B149&lt;='Mortgage Calculators (By Year)'!$C$9,'Forecast (By Year)'!I18,NA()),IF($B149&lt;='Mortgage Calculators (By Year)'!$J$12,'Forecast (By Year)'!AG18,NA()))</f>
        <v>194221.8616592933</v>
      </c>
      <c r="D149" s="8">
        <f t="shared" si="3"/>
        <v>39222.404782522266</v>
      </c>
      <c r="E149" s="8">
        <f>IF($B$77=Inputs!$B$18,IF($B149&lt;='Mortgage Calculators (By Year)'!$C$9,'Forecast (By Year)'!L18,NA()),IF($B149&lt;='Mortgage Calculators (By Year)'!$J$12,'Forecast (By Year)'!AJ18,NA()))</f>
        <v>39222.404782522266</v>
      </c>
      <c r="F149" s="8">
        <f>IF($B$77=Inputs!$B$18,IF($B149&lt;='Mortgage Calculators (By Year)'!$C$9,'Forecast (By Year)'!M18,NA()),IF($B149&lt;='Mortgage Calculators (By Year)'!$J$12,'Forecast (By Year)'!AK18,NA()))</f>
        <v>0</v>
      </c>
      <c r="G149" s="8" t="e">
        <f>IF(B149=ROUND(Inputs!$K$10,0),_xlfn.MAXIFS(C149:D149,C149:D149,"&gt;0"),NA())</f>
        <v>#N/A</v>
      </c>
      <c r="I149" s="12">
        <v>14</v>
      </c>
      <c r="J149" s="97">
        <f>IF($B$77=Inputs!$B$18,_xlfn.XLOOKUP(I149,'Forecast (By Year)'!$F$3:$F$55,'Forecast (By Year)'!$R$3:$R$55)/Inputs!$K$18,_xlfn.XLOOKUP(I149,'Forecast (By Year)'!$AD$3:$AD$55,'Forecast (By Year)'!$AP$3:$AP$55)/Inputs!$K$18)</f>
        <v>9.6812519012340864E-2</v>
      </c>
      <c r="K149" s="97">
        <f>IF($B$77=Inputs!$B$18,_xlfn.XLOOKUP(I149,'Forecast (By Year)'!$F$3:$F$55,'Forecast (By Year)'!$R$3:$R$55)/Inputs!$K$5,_xlfn.XLOOKUP(I149,'Forecast (By Year)'!$AD$3:$AD$55,'Forecast (By Year)'!$AP$3:$AP$55)/Inputs!$K$5)</f>
        <v>0.10333641579837398</v>
      </c>
      <c r="L149" s="97">
        <f>IF($B$77=Inputs!$B$18,_xlfn.XLOOKUP(I149,'Forecast (By Year)'!$F$3:$F$55,'Forecast (By Year)'!$R$3:$R$55)/Inputs!$K$9,_xlfn.XLOOKUP(I149,'Forecast (By Year)'!$AD$3:$AD$55,'Forecast (By Year)'!$AP$3:$AP$55)/Inputs!$K$9)</f>
        <v>9.4800891056129086E-2</v>
      </c>
      <c r="M149" s="97" t="e">
        <f>IF(I149=ROUND(Inputs!$K$10,0),$M$134,NA())</f>
        <v>#N/A</v>
      </c>
      <c r="N149" s="17"/>
    </row>
    <row r="150" spans="2:14" x14ac:dyDescent="0.35">
      <c r="B150" s="76">
        <v>15</v>
      </c>
      <c r="C150" s="8">
        <f>IF($B$77=Inputs!$B$18,IF($B150&lt;='Mortgage Calculators (By Year)'!$C$9,'Forecast (By Year)'!I19,NA()),IF($B150&lt;='Mortgage Calculators (By Year)'!$J$12,'Forecast (By Year)'!AG19,NA()))</f>
        <v>203932.95474225792</v>
      </c>
      <c r="D150" s="8">
        <f t="shared" si="3"/>
        <v>40290.625021648368</v>
      </c>
      <c r="E150" s="8">
        <f>IF($B$77=Inputs!$B$18,IF($B150&lt;='Mortgage Calculators (By Year)'!$C$9,'Forecast (By Year)'!L19,NA()),IF($B150&lt;='Mortgage Calculators (By Year)'!$J$12,'Forecast (By Year)'!AJ19,NA()))</f>
        <v>40290.625021648368</v>
      </c>
      <c r="F150" s="8">
        <f>IF($B$77=Inputs!$B$18,IF($B150&lt;='Mortgage Calculators (By Year)'!$C$9,'Forecast (By Year)'!M19,NA()),IF($B150&lt;='Mortgage Calculators (By Year)'!$J$12,'Forecast (By Year)'!AK19,NA()))</f>
        <v>0</v>
      </c>
      <c r="G150" s="8" t="e">
        <f>IF(B150=ROUND(Inputs!$K$10,0),_xlfn.MAXIFS(C150:D150,C150:D150,"&gt;0"),NA())</f>
        <v>#N/A</v>
      </c>
      <c r="I150" s="12">
        <v>15</v>
      </c>
      <c r="J150" s="97">
        <f>IF($B$77=Inputs!$B$18,_xlfn.XLOOKUP(I150,'Forecast (By Year)'!$F$3:$F$55,'Forecast (By Year)'!$R$3:$R$55)/Inputs!$K$18,_xlfn.XLOOKUP(I150,'Forecast (By Year)'!$AD$3:$AD$55,'Forecast (By Year)'!$AP$3:$AP$55)/Inputs!$K$18)</f>
        <v>0.10221084948636691</v>
      </c>
      <c r="K150" s="97">
        <f>IF($B$77=Inputs!$B$18,_xlfn.XLOOKUP(I150,'Forecast (By Year)'!$F$3:$F$55,'Forecast (By Year)'!$R$3:$R$55)/Inputs!$K$5,_xlfn.XLOOKUP(I150,'Forecast (By Year)'!$AD$3:$AD$55,'Forecast (By Year)'!$AP$3:$AP$55)/Inputs!$K$5)</f>
        <v>0.10909852309784297</v>
      </c>
      <c r="L150" s="97">
        <f>IF($B$77=Inputs!$B$18,_xlfn.XLOOKUP(I150,'Forecast (By Year)'!$F$3:$F$55,'Forecast (By Year)'!$R$3:$R$55)/Inputs!$K$9,_xlfn.XLOOKUP(I150,'Forecast (By Year)'!$AD$3:$AD$55,'Forecast (By Year)'!$AP$3:$AP$55)/Inputs!$K$9)</f>
        <v>0.10008705181688658</v>
      </c>
      <c r="M150" s="97" t="e">
        <f>IF(I150=ROUND(Inputs!$K$10,0),$M$134,NA())</f>
        <v>#N/A</v>
      </c>
      <c r="N150" s="17"/>
    </row>
    <row r="151" spans="2:14" x14ac:dyDescent="0.35">
      <c r="B151" s="76">
        <v>16</v>
      </c>
      <c r="C151" s="8">
        <f>IF($B$77=Inputs!$B$18,IF($B151&lt;='Mortgage Calculators (By Year)'!$C$9,'Forecast (By Year)'!I20,NA()),IF($B151&lt;='Mortgage Calculators (By Year)'!$J$12,'Forecast (By Year)'!AG20,NA()))</f>
        <v>214129.60247937089</v>
      </c>
      <c r="D151" s="8">
        <f t="shared" si="3"/>
        <v>41412.256272730796</v>
      </c>
      <c r="E151" s="8">
        <f>IF($B$77=Inputs!$B$18,IF($B151&lt;='Mortgage Calculators (By Year)'!$C$9,'Forecast (By Year)'!L20,NA()),IF($B151&lt;='Mortgage Calculators (By Year)'!$J$12,'Forecast (By Year)'!AJ20,NA()))</f>
        <v>41412.256272730796</v>
      </c>
      <c r="F151" s="8">
        <f>IF($B$77=Inputs!$B$18,IF($B151&lt;='Mortgage Calculators (By Year)'!$C$9,'Forecast (By Year)'!M20,NA()),IF($B151&lt;='Mortgage Calculators (By Year)'!$J$12,'Forecast (By Year)'!AK20,NA()))</f>
        <v>0</v>
      </c>
      <c r="G151" s="8" t="e">
        <f>IF(B151=ROUND(Inputs!$K$10,0),_xlfn.MAXIFS(C151:D151,C151:D151,"&gt;0"),NA())</f>
        <v>#N/A</v>
      </c>
      <c r="I151" s="12">
        <v>16</v>
      </c>
      <c r="J151" s="97">
        <f>IF($B$77=Inputs!$B$18,_xlfn.XLOOKUP(I151,'Forecast (By Year)'!$F$3:$F$55,'Forecast (By Year)'!$R$3:$R$55)/Inputs!$K$18,_xlfn.XLOOKUP(I151,'Forecast (By Year)'!$AD$3:$AD$55,'Forecast (By Year)'!$AP$3:$AP$55)/Inputs!$K$18)</f>
        <v>0.1078790964840943</v>
      </c>
      <c r="K151" s="97">
        <f>IF($B$77=Inputs!$B$18,_xlfn.XLOOKUP(I151,'Forecast (By Year)'!$F$3:$F$55,'Forecast (By Year)'!$R$3:$R$55)/Inputs!$K$5,_xlfn.XLOOKUP(I151,'Forecast (By Year)'!$AD$3:$AD$55,'Forecast (By Year)'!$AP$3:$AP$55)/Inputs!$K$5)</f>
        <v>0.11514873576228543</v>
      </c>
      <c r="L151" s="97">
        <f>IF($B$77=Inputs!$B$18,_xlfn.XLOOKUP(I151,'Forecast (By Year)'!$F$3:$F$55,'Forecast (By Year)'!$R$3:$R$55)/Inputs!$K$9,_xlfn.XLOOKUP(I151,'Forecast (By Year)'!$AD$3:$AD$55,'Forecast (By Year)'!$AP$3:$AP$55)/Inputs!$K$9)</f>
        <v>0.10563752061568198</v>
      </c>
      <c r="M151" s="97" t="e">
        <f>IF(I151=ROUND(Inputs!$K$10,0),$M$134,NA())</f>
        <v>#N/A</v>
      </c>
      <c r="N151" s="17"/>
    </row>
    <row r="152" spans="2:14" x14ac:dyDescent="0.35">
      <c r="B152" s="76">
        <v>17</v>
      </c>
      <c r="C152" s="8">
        <f>IF($B$77=Inputs!$B$18,IF($B152&lt;='Mortgage Calculators (By Year)'!$C$9,'Forecast (By Year)'!I21,NA()),IF($B152&lt;='Mortgage Calculators (By Year)'!$J$12,'Forecast (By Year)'!AG21,NA()))</f>
        <v>224836.08260333943</v>
      </c>
      <c r="D152" s="8">
        <f t="shared" si="3"/>
        <v>42589.969086367331</v>
      </c>
      <c r="E152" s="8">
        <f>IF($B$77=Inputs!$B$18,IF($B152&lt;='Mortgage Calculators (By Year)'!$C$9,'Forecast (By Year)'!L21,NA()),IF($B152&lt;='Mortgage Calculators (By Year)'!$J$12,'Forecast (By Year)'!AJ21,NA()))</f>
        <v>42589.969086367331</v>
      </c>
      <c r="F152" s="8">
        <f>IF($B$77=Inputs!$B$18,IF($B152&lt;='Mortgage Calculators (By Year)'!$C$9,'Forecast (By Year)'!M21,NA()),IF($B152&lt;='Mortgage Calculators (By Year)'!$J$12,'Forecast (By Year)'!AK21,NA()))</f>
        <v>0</v>
      </c>
      <c r="G152" s="8" t="e">
        <f>IF(B152=ROUND(Inputs!$K$10,0),_xlfn.MAXIFS(C152:D152,C152:D152,"&gt;0"),NA())</f>
        <v>#N/A</v>
      </c>
      <c r="I152" s="12">
        <v>17</v>
      </c>
      <c r="J152" s="97">
        <f>IF($B$77=Inputs!$B$18,_xlfn.XLOOKUP(I152,'Forecast (By Year)'!$F$3:$F$55,'Forecast (By Year)'!$R$3:$R$55)/Inputs!$K$18,_xlfn.XLOOKUP(I152,'Forecast (By Year)'!$AD$3:$AD$55,'Forecast (By Year)'!$AP$3:$AP$55)/Inputs!$K$18)</f>
        <v>0.11383075583170806</v>
      </c>
      <c r="K152" s="97">
        <f>IF($B$77=Inputs!$B$18,_xlfn.XLOOKUP(I152,'Forecast (By Year)'!$F$3:$F$55,'Forecast (By Year)'!$R$3:$R$55)/Inputs!$K$5,_xlfn.XLOOKUP(I152,'Forecast (By Year)'!$AD$3:$AD$55,'Forecast (By Year)'!$AP$3:$AP$55)/Inputs!$K$5)</f>
        <v>0.12150145905995004</v>
      </c>
      <c r="L152" s="97">
        <f>IF($B$77=Inputs!$B$18,_xlfn.XLOOKUP(I152,'Forecast (By Year)'!$F$3:$F$55,'Forecast (By Year)'!$R$3:$R$55)/Inputs!$K$9,_xlfn.XLOOKUP(I152,'Forecast (By Year)'!$AD$3:$AD$55,'Forecast (By Year)'!$AP$3:$AP$55)/Inputs!$K$9)</f>
        <v>0.11146551285441715</v>
      </c>
      <c r="M152" s="97" t="e">
        <f>IF(I152=ROUND(Inputs!$K$10,0),$M$134,NA())</f>
        <v>#N/A</v>
      </c>
      <c r="N152" s="17"/>
    </row>
    <row r="153" spans="2:14" x14ac:dyDescent="0.35">
      <c r="B153" s="76">
        <v>18</v>
      </c>
      <c r="C153" s="8">
        <f>IF($B$77=Inputs!$B$18,IF($B153&lt;='Mortgage Calculators (By Year)'!$C$9,'Forecast (By Year)'!I22,NA()),IF($B153&lt;='Mortgage Calculators (By Year)'!$J$12,'Forecast (By Year)'!AG22,NA()))</f>
        <v>236077.88673350643</v>
      </c>
      <c r="D153" s="8">
        <f t="shared" si="3"/>
        <v>43826.567540685704</v>
      </c>
      <c r="E153" s="8">
        <f>IF($B$77=Inputs!$B$18,IF($B153&lt;='Mortgage Calculators (By Year)'!$C$9,'Forecast (By Year)'!L22,NA()),IF($B153&lt;='Mortgage Calculators (By Year)'!$J$12,'Forecast (By Year)'!AJ22,NA()))</f>
        <v>43826.567540685704</v>
      </c>
      <c r="F153" s="8">
        <f>IF($B$77=Inputs!$B$18,IF($B153&lt;='Mortgage Calculators (By Year)'!$C$9,'Forecast (By Year)'!M22,NA()),IF($B153&lt;='Mortgage Calculators (By Year)'!$J$12,'Forecast (By Year)'!AK22,NA()))</f>
        <v>0</v>
      </c>
      <c r="G153" s="8" t="e">
        <f>IF(B153=ROUND(Inputs!$K$10,0),_xlfn.MAXIFS(C153:D153,C153:D153,"&gt;0"),NA())</f>
        <v>#N/A</v>
      </c>
      <c r="I153" s="12">
        <v>18</v>
      </c>
      <c r="J153" s="97">
        <f>IF($B$77=Inputs!$B$18,_xlfn.XLOOKUP(I153,'Forecast (By Year)'!$F$3:$F$55,'Forecast (By Year)'!$R$3:$R$55)/Inputs!$K$18,_xlfn.XLOOKUP(I153,'Forecast (By Year)'!$AD$3:$AD$55,'Forecast (By Year)'!$AP$3:$AP$55)/Inputs!$K$18)</f>
        <v>0.12007999814670252</v>
      </c>
      <c r="K153" s="97">
        <f>IF($B$77=Inputs!$B$18,_xlfn.XLOOKUP(I153,'Forecast (By Year)'!$F$3:$F$55,'Forecast (By Year)'!$R$3:$R$55)/Inputs!$K$5,_xlfn.XLOOKUP(I153,'Forecast (By Year)'!$AD$3:$AD$55,'Forecast (By Year)'!$AP$3:$AP$55)/Inputs!$K$5)</f>
        <v>0.12817181852249787</v>
      </c>
      <c r="L153" s="97">
        <f>IF($B$77=Inputs!$B$18,_xlfn.XLOOKUP(I153,'Forecast (By Year)'!$F$3:$F$55,'Forecast (By Year)'!$R$3:$R$55)/Inputs!$K$9,_xlfn.XLOOKUP(I153,'Forecast (By Year)'!$AD$3:$AD$55,'Forecast (By Year)'!$AP$3:$AP$55)/Inputs!$K$9)</f>
        <v>0.11758490470508912</v>
      </c>
      <c r="M153" s="97" t="e">
        <f>IF(I153=ROUND(Inputs!$K$10,0),$M$134,NA())</f>
        <v>#N/A</v>
      </c>
      <c r="N153" s="17"/>
    </row>
    <row r="154" spans="2:14" x14ac:dyDescent="0.35">
      <c r="B154" s="76">
        <v>19</v>
      </c>
      <c r="C154" s="8">
        <f>IF($B$77=Inputs!$B$18,IF($B154&lt;='Mortgage Calculators (By Year)'!$C$9,'Forecast (By Year)'!I23,NA()),IF($B154&lt;='Mortgage Calculators (By Year)'!$J$12,'Forecast (By Year)'!AG23,NA()))</f>
        <v>247881.78107018172</v>
      </c>
      <c r="D154" s="8">
        <f t="shared" si="3"/>
        <v>45124.995917719993</v>
      </c>
      <c r="E154" s="8">
        <f>IF($B$77=Inputs!$B$18,IF($B154&lt;='Mortgage Calculators (By Year)'!$C$9,'Forecast (By Year)'!L23,NA()),IF($B154&lt;='Mortgage Calculators (By Year)'!$J$12,'Forecast (By Year)'!AJ23,NA()))</f>
        <v>45124.995917719993</v>
      </c>
      <c r="F154" s="8">
        <f>IF($B$77=Inputs!$B$18,IF($B154&lt;='Mortgage Calculators (By Year)'!$C$9,'Forecast (By Year)'!M23,NA()),IF($B154&lt;='Mortgage Calculators (By Year)'!$J$12,'Forecast (By Year)'!AK23,NA()))</f>
        <v>0</v>
      </c>
      <c r="G154" s="8" t="e">
        <f>IF(B154=ROUND(Inputs!$K$10,0),_xlfn.MAXIFS(C154:D154,C154:D154,"&gt;0"),NA())</f>
        <v>#N/A</v>
      </c>
      <c r="I154" s="12">
        <v>19</v>
      </c>
      <c r="J154" s="97">
        <f>IF($B$77=Inputs!$B$18,_xlfn.XLOOKUP(I154,'Forecast (By Year)'!$F$3:$F$55,'Forecast (By Year)'!$R$3:$R$55)/Inputs!$K$18,_xlfn.XLOOKUP(I154,'Forecast (By Year)'!$AD$3:$AD$55,'Forecast (By Year)'!$AP$3:$AP$55)/Inputs!$K$18)</f>
        <v>0.12664170257744672</v>
      </c>
      <c r="K154" s="97">
        <f>IF($B$77=Inputs!$B$18,_xlfn.XLOOKUP(I154,'Forecast (By Year)'!$F$3:$F$55,'Forecast (By Year)'!$R$3:$R$55)/Inputs!$K$5,_xlfn.XLOOKUP(I154,'Forecast (By Year)'!$AD$3:$AD$55,'Forecast (By Year)'!$AP$3:$AP$55)/Inputs!$K$5)</f>
        <v>0.13517569595817314</v>
      </c>
      <c r="L154" s="97">
        <f>IF($B$77=Inputs!$B$18,_xlfn.XLOOKUP(I154,'Forecast (By Year)'!$F$3:$F$55,'Forecast (By Year)'!$R$3:$R$55)/Inputs!$K$9,_xlfn.XLOOKUP(I154,'Forecast (By Year)'!$AD$3:$AD$55,'Forecast (By Year)'!$AP$3:$AP$55)/Inputs!$K$9)</f>
        <v>0.12401026614829469</v>
      </c>
      <c r="M154" s="97" t="e">
        <f>IF(I154=ROUND(Inputs!$K$10,0),$M$134,NA())</f>
        <v>#N/A</v>
      </c>
      <c r="N154" s="17"/>
    </row>
    <row r="155" spans="2:14" x14ac:dyDescent="0.35">
      <c r="B155" s="76">
        <v>20</v>
      </c>
      <c r="C155" s="8">
        <f>IF($B$77=Inputs!$B$18,IF($B155&lt;='Mortgage Calculators (By Year)'!$C$9,'Forecast (By Year)'!I24,NA()),IF($B155&lt;='Mortgage Calculators (By Year)'!$J$12,'Forecast (By Year)'!AG24,NA()))</f>
        <v>260275.87012369081</v>
      </c>
      <c r="D155" s="8">
        <f t="shared" si="3"/>
        <v>46488.345713605988</v>
      </c>
      <c r="E155" s="8">
        <f>IF($B$77=Inputs!$B$18,IF($B155&lt;='Mortgage Calculators (By Year)'!$C$9,'Forecast (By Year)'!L24,NA()),IF($B155&lt;='Mortgage Calculators (By Year)'!$J$12,'Forecast (By Year)'!AJ24,NA()))</f>
        <v>46488.345713605988</v>
      </c>
      <c r="F155" s="8">
        <f>IF($B$77=Inputs!$B$18,IF($B155&lt;='Mortgage Calculators (By Year)'!$C$9,'Forecast (By Year)'!M24,NA()),IF($B155&lt;='Mortgage Calculators (By Year)'!$J$12,'Forecast (By Year)'!AK24,NA()))</f>
        <v>0</v>
      </c>
      <c r="G155" s="8" t="e">
        <f>IF(B155=ROUND(Inputs!$K$10,0),_xlfn.MAXIFS(C155:D155,C155:D155,"&gt;0"),NA())</f>
        <v>#N/A</v>
      </c>
      <c r="I155" s="12">
        <v>20</v>
      </c>
      <c r="J155" s="97">
        <f>IF($B$77=Inputs!$B$18,_xlfn.XLOOKUP(I155,'Forecast (By Year)'!$F$3:$F$55,'Forecast (By Year)'!$R$3:$R$55)/Inputs!$K$18,_xlfn.XLOOKUP(I155,'Forecast (By Year)'!$AD$3:$AD$55,'Forecast (By Year)'!$AP$3:$AP$55)/Inputs!$K$18)</f>
        <v>0.13353149222972804</v>
      </c>
      <c r="K155" s="97">
        <f>IF($B$77=Inputs!$B$18,_xlfn.XLOOKUP(I155,'Forecast (By Year)'!$F$3:$F$55,'Forecast (By Year)'!$R$3:$R$55)/Inputs!$K$5,_xlfn.XLOOKUP(I155,'Forecast (By Year)'!$AD$3:$AD$55,'Forecast (By Year)'!$AP$3:$AP$55)/Inputs!$K$5)</f>
        <v>0.14252976726563205</v>
      </c>
      <c r="L155" s="97">
        <f>IF($B$77=Inputs!$B$18,_xlfn.XLOOKUP(I155,'Forecast (By Year)'!$F$3:$F$55,'Forecast (By Year)'!$R$3:$R$55)/Inputs!$K$9,_xlfn.XLOOKUP(I155,'Forecast (By Year)'!$AD$3:$AD$55,'Forecast (By Year)'!$AP$3:$AP$55)/Inputs!$K$9)</f>
        <v>0.13075689566366042</v>
      </c>
      <c r="M155" s="97" t="e">
        <f>IF(I155=ROUND(Inputs!$K$10,0),$M$134,NA())</f>
        <v>#N/A</v>
      </c>
      <c r="N155" s="17"/>
    </row>
    <row r="156" spans="2:14" x14ac:dyDescent="0.35">
      <c r="B156" s="76">
        <v>21</v>
      </c>
      <c r="C156" s="8">
        <f>IF($B$77=Inputs!$B$18,IF($B156&lt;='Mortgage Calculators (By Year)'!$C$9,'Forecast (By Year)'!I25,NA()),IF($B156&lt;='Mortgage Calculators (By Year)'!$J$12,'Forecast (By Year)'!AG25,NA()))</f>
        <v>273289.66362987534</v>
      </c>
      <c r="D156" s="8">
        <f t="shared" si="3"/>
        <v>47919.862999286284</v>
      </c>
      <c r="E156" s="8">
        <f>IF($B$77=Inputs!$B$18,IF($B156&lt;='Mortgage Calculators (By Year)'!$C$9,'Forecast (By Year)'!L25,NA()),IF($B156&lt;='Mortgage Calculators (By Year)'!$J$12,'Forecast (By Year)'!AJ25,NA()))</f>
        <v>47919.862999286284</v>
      </c>
      <c r="F156" s="8">
        <f>IF($B$77=Inputs!$B$18,IF($B156&lt;='Mortgage Calculators (By Year)'!$C$9,'Forecast (By Year)'!M25,NA()),IF($B156&lt;='Mortgage Calculators (By Year)'!$J$12,'Forecast (By Year)'!AK25,NA()))</f>
        <v>0</v>
      </c>
      <c r="G156" s="8" t="e">
        <f>IF(B156=ROUND(Inputs!$K$10,0),_xlfn.MAXIFS(C156:D156,C156:D156,"&gt;0"),NA())</f>
        <v>#N/A</v>
      </c>
      <c r="I156" s="12">
        <v>21</v>
      </c>
      <c r="J156" s="97">
        <f>IF($B$77=Inputs!$B$18,_xlfn.XLOOKUP(I156,'Forecast (By Year)'!$F$3:$F$55,'Forecast (By Year)'!$R$3:$R$55)/Inputs!$K$18,_xlfn.XLOOKUP(I156,'Forecast (By Year)'!$AD$3:$AD$55,'Forecast (By Year)'!$AP$3:$AP$55)/Inputs!$K$18)</f>
        <v>0.14076577136462354</v>
      </c>
      <c r="K156" s="97">
        <f>IF($B$77=Inputs!$B$18,_xlfn.XLOOKUP(I156,'Forecast (By Year)'!$F$3:$F$55,'Forecast (By Year)'!$R$3:$R$55)/Inputs!$K$5,_xlfn.XLOOKUP(I156,'Forecast (By Year)'!$AD$3:$AD$55,'Forecast (By Year)'!$AP$3:$AP$55)/Inputs!$K$5)</f>
        <v>0.15025154213846403</v>
      </c>
      <c r="L156" s="97">
        <f>IF($B$77=Inputs!$B$18,_xlfn.XLOOKUP(I156,'Forecast (By Year)'!$F$3:$F$55,'Forecast (By Year)'!$R$3:$R$55)/Inputs!$K$9,_xlfn.XLOOKUP(I156,'Forecast (By Year)'!$AD$3:$AD$55,'Forecast (By Year)'!$AP$3:$AP$55)/Inputs!$K$9)</f>
        <v>0.13784085665479456</v>
      </c>
      <c r="M156" s="97" t="e">
        <f>IF(I156=ROUND(Inputs!$K$10,0),$M$134,NA())</f>
        <v>#N/A</v>
      </c>
      <c r="N156" s="17"/>
    </row>
    <row r="157" spans="2:14" x14ac:dyDescent="0.35">
      <c r="B157" s="76">
        <v>22</v>
      </c>
      <c r="C157" s="8">
        <f>IF($B$77=Inputs!$B$18,IF($B157&lt;='Mortgage Calculators (By Year)'!$C$9,'Forecast (By Year)'!I26,NA()),IF($B157&lt;='Mortgage Calculators (By Year)'!$J$12,'Forecast (By Year)'!AG26,NA()))</f>
        <v>286954.14681136911</v>
      </c>
      <c r="D157" s="8">
        <f t="shared" si="3"/>
        <v>49422.956149250611</v>
      </c>
      <c r="E157" s="8">
        <f>IF($B$77=Inputs!$B$18,IF($B157&lt;='Mortgage Calculators (By Year)'!$C$9,'Forecast (By Year)'!L26,NA()),IF($B157&lt;='Mortgage Calculators (By Year)'!$J$12,'Forecast (By Year)'!AJ26,NA()))</f>
        <v>49422.956149250611</v>
      </c>
      <c r="F157" s="8">
        <f>IF($B$77=Inputs!$B$18,IF($B157&lt;='Mortgage Calculators (By Year)'!$C$9,'Forecast (By Year)'!M26,NA()),IF($B157&lt;='Mortgage Calculators (By Year)'!$J$12,'Forecast (By Year)'!AK26,NA()))</f>
        <v>0</v>
      </c>
      <c r="G157" s="8" t="e">
        <f>IF(B157=ROUND(Inputs!$K$10,0),_xlfn.MAXIFS(C157:D157,C157:D157,"&gt;0"),NA())</f>
        <v>#N/A</v>
      </c>
      <c r="I157" s="12">
        <v>22</v>
      </c>
      <c r="J157" s="97">
        <f>IF($B$77=Inputs!$B$18,_xlfn.XLOOKUP(I157,'Forecast (By Year)'!$F$3:$F$55,'Forecast (By Year)'!$R$3:$R$55)/Inputs!$K$18,_xlfn.XLOOKUP(I157,'Forecast (By Year)'!$AD$3:$AD$55,'Forecast (By Year)'!$AP$3:$AP$55)/Inputs!$K$18)</f>
        <v>0.1483617644562637</v>
      </c>
      <c r="K157" s="97">
        <f>IF($B$77=Inputs!$B$18,_xlfn.XLOOKUP(I157,'Forecast (By Year)'!$F$3:$F$55,'Forecast (By Year)'!$R$3:$R$55)/Inputs!$K$5,_xlfn.XLOOKUP(I157,'Forecast (By Year)'!$AD$3:$AD$55,'Forecast (By Year)'!$AP$3:$AP$55)/Inputs!$K$5)</f>
        <v>0.15835940575493748</v>
      </c>
      <c r="L157" s="97">
        <f>IF($B$77=Inputs!$B$18,_xlfn.XLOOKUP(I157,'Forecast (By Year)'!$F$3:$F$55,'Forecast (By Year)'!$R$3:$R$55)/Inputs!$K$9,_xlfn.XLOOKUP(I157,'Forecast (By Year)'!$AD$3:$AD$55,'Forecast (By Year)'!$AP$3:$AP$55)/Inputs!$K$9)</f>
        <v>0.14527901569548532</v>
      </c>
      <c r="M157" s="97" t="e">
        <f>IF(I157=ROUND(Inputs!$K$10,0),$M$134,NA())</f>
        <v>#N/A</v>
      </c>
      <c r="N157" s="17"/>
    </row>
    <row r="158" spans="2:14" x14ac:dyDescent="0.35">
      <c r="B158" s="76">
        <v>23</v>
      </c>
      <c r="C158" s="8">
        <f>IF($B$77=Inputs!$B$18,IF($B158&lt;='Mortgage Calculators (By Year)'!$C$9,'Forecast (By Year)'!I27,NA()),IF($B158&lt;='Mortgage Calculators (By Year)'!$J$12,'Forecast (By Year)'!AG27,NA()))</f>
        <v>301301.85415193753</v>
      </c>
      <c r="D158" s="8">
        <f t="shared" si="3"/>
        <v>51001.203956713114</v>
      </c>
      <c r="E158" s="8">
        <f>IF($B$77=Inputs!$B$18,IF($B158&lt;='Mortgage Calculators (By Year)'!$C$9,'Forecast (By Year)'!L27,NA()),IF($B158&lt;='Mortgage Calculators (By Year)'!$J$12,'Forecast (By Year)'!AJ27,NA()))</f>
        <v>51001.203956713114</v>
      </c>
      <c r="F158" s="8">
        <f>IF($B$77=Inputs!$B$18,IF($B158&lt;='Mortgage Calculators (By Year)'!$C$9,'Forecast (By Year)'!M27,NA()),IF($B158&lt;='Mortgage Calculators (By Year)'!$J$12,'Forecast (By Year)'!AK27,NA()))</f>
        <v>0</v>
      </c>
      <c r="G158" s="8" t="e">
        <f>IF(B158=ROUND(Inputs!$K$10,0),_xlfn.MAXIFS(C158:D158,C158:D158,"&gt;0"),NA())</f>
        <v>#N/A</v>
      </c>
      <c r="I158" s="12">
        <v>23</v>
      </c>
      <c r="J158" s="97">
        <f>IF($B$77=Inputs!$B$18,_xlfn.XLOOKUP(I158,'Forecast (By Year)'!$F$3:$F$55,'Forecast (By Year)'!$R$3:$R$55)/Inputs!$K$18,_xlfn.XLOOKUP(I158,'Forecast (By Year)'!$AD$3:$AD$55,'Forecast (By Year)'!$AP$3:$AP$55)/Inputs!$K$18)</f>
        <v>0.15633755720248593</v>
      </c>
      <c r="K158" s="97">
        <f>IF($B$77=Inputs!$B$18,_xlfn.XLOOKUP(I158,'Forecast (By Year)'!$F$3:$F$55,'Forecast (By Year)'!$R$3:$R$55)/Inputs!$K$5,_xlfn.XLOOKUP(I158,'Forecast (By Year)'!$AD$3:$AD$55,'Forecast (By Year)'!$AP$3:$AP$55)/Inputs!$K$5)</f>
        <v>0.16687266255223471</v>
      </c>
      <c r="L158" s="97">
        <f>IF($B$77=Inputs!$B$18,_xlfn.XLOOKUP(I158,'Forecast (By Year)'!$F$3:$F$55,'Forecast (By Year)'!$R$3:$R$55)/Inputs!$K$9,_xlfn.XLOOKUP(I158,'Forecast (By Year)'!$AD$3:$AD$55,'Forecast (By Year)'!$AP$3:$AP$55)/Inputs!$K$9)</f>
        <v>0.15308908268821067</v>
      </c>
      <c r="M158" s="97" t="e">
        <f>IF(I158=ROUND(Inputs!$K$10,0),$M$134,NA())</f>
        <v>#N/A</v>
      </c>
      <c r="N158" s="17"/>
    </row>
    <row r="159" spans="2:14" x14ac:dyDescent="0.35">
      <c r="B159" s="76">
        <v>24</v>
      </c>
      <c r="C159" s="8">
        <f>IF($B$77=Inputs!$B$18,IF($B159&lt;='Mortgage Calculators (By Year)'!$C$9,'Forecast (By Year)'!I28,NA()),IF($B159&lt;='Mortgage Calculators (By Year)'!$J$12,'Forecast (By Year)'!AG28,NA()))</f>
        <v>316366.94685953448</v>
      </c>
      <c r="D159" s="8">
        <f t="shared" si="3"/>
        <v>52658.364154548792</v>
      </c>
      <c r="E159" s="8">
        <f>IF($B$77=Inputs!$B$18,IF($B159&lt;='Mortgage Calculators (By Year)'!$C$9,'Forecast (By Year)'!L28,NA()),IF($B159&lt;='Mortgage Calculators (By Year)'!$J$12,'Forecast (By Year)'!AJ28,NA()))</f>
        <v>52658.364154548792</v>
      </c>
      <c r="F159" s="8">
        <f>IF($B$77=Inputs!$B$18,IF($B159&lt;='Mortgage Calculators (By Year)'!$C$9,'Forecast (By Year)'!M28,NA()),IF($B159&lt;='Mortgage Calculators (By Year)'!$J$12,'Forecast (By Year)'!AK28,NA()))</f>
        <v>0</v>
      </c>
      <c r="G159" s="8" t="e">
        <f>IF(B159=ROUND(Inputs!$K$10,0),_xlfn.MAXIFS(C159:D159,C159:D159,"&gt;0"),NA())</f>
        <v>#N/A</v>
      </c>
      <c r="I159" s="12">
        <v>24</v>
      </c>
      <c r="J159" s="97">
        <f>IF($B$77=Inputs!$B$18,_xlfn.XLOOKUP(I159,'Forecast (By Year)'!$F$3:$F$55,'Forecast (By Year)'!$R$3:$R$55)/Inputs!$K$18,_xlfn.XLOOKUP(I159,'Forecast (By Year)'!$AD$3:$AD$55,'Forecast (By Year)'!$AP$3:$AP$55)/Inputs!$K$18)</f>
        <v>0.16471213958601927</v>
      </c>
      <c r="K159" s="97">
        <f>IF($B$77=Inputs!$B$18,_xlfn.XLOOKUP(I159,'Forecast (By Year)'!$F$3:$F$55,'Forecast (By Year)'!$R$3:$R$55)/Inputs!$K$5,_xlfn.XLOOKUP(I159,'Forecast (By Year)'!$AD$3:$AD$55,'Forecast (By Year)'!$AP$3:$AP$55)/Inputs!$K$5)</f>
        <v>0.17581158218939677</v>
      </c>
      <c r="L159" s="97">
        <f>IF($B$77=Inputs!$B$18,_xlfn.XLOOKUP(I159,'Forecast (By Year)'!$F$3:$F$55,'Forecast (By Year)'!$R$3:$R$55)/Inputs!$K$9,_xlfn.XLOOKUP(I159,'Forecast (By Year)'!$AD$3:$AD$55,'Forecast (By Year)'!$AP$3:$AP$55)/Inputs!$K$9)</f>
        <v>0.1612896530305723</v>
      </c>
      <c r="M159" s="97" t="e">
        <f>IF(I159=ROUND(Inputs!$K$10,0),$M$134,NA())</f>
        <v>#N/A</v>
      </c>
      <c r="N159" s="17"/>
    </row>
    <row r="160" spans="2:14" x14ac:dyDescent="0.35">
      <c r="B160" s="76">
        <v>25</v>
      </c>
      <c r="C160" s="8">
        <f>IF($B$77=Inputs!$B$18,IF($B160&lt;='Mortgage Calculators (By Year)'!$C$9,'Forecast (By Year)'!I29,NA()),IF($B160&lt;='Mortgage Calculators (By Year)'!$J$12,'Forecast (By Year)'!AG29,NA()))</f>
        <v>332185.2942025112</v>
      </c>
      <c r="D160" s="8">
        <f t="shared" si="3"/>
        <v>54398.382362276243</v>
      </c>
      <c r="E160" s="8">
        <f>IF($B$77=Inputs!$B$18,IF($B160&lt;='Mortgage Calculators (By Year)'!$C$9,'Forecast (By Year)'!L29,NA()),IF($B160&lt;='Mortgage Calculators (By Year)'!$J$12,'Forecast (By Year)'!AJ29,NA()))</f>
        <v>54398.382362276243</v>
      </c>
      <c r="F160" s="8">
        <f>IF($B$77=Inputs!$B$18,IF($B160&lt;='Mortgage Calculators (By Year)'!$C$9,'Forecast (By Year)'!M29,NA()),IF($B160&lt;='Mortgage Calculators (By Year)'!$J$12,'Forecast (By Year)'!AK29,NA()))</f>
        <v>0</v>
      </c>
      <c r="G160" s="8" t="e">
        <f>IF(B160=ROUND(Inputs!$K$10,0),_xlfn.MAXIFS(C160:D160,C160:D160,"&gt;0"),NA())</f>
        <v>#N/A</v>
      </c>
      <c r="I160" s="12">
        <v>25</v>
      </c>
      <c r="J160" s="97">
        <f>IF($B$77=Inputs!$B$18,_xlfn.XLOOKUP(I160,'Forecast (By Year)'!$F$3:$F$55,'Forecast (By Year)'!$R$3:$R$55)/Inputs!$K$18,_xlfn.XLOOKUP(I160,'Forecast (By Year)'!$AD$3:$AD$55,'Forecast (By Year)'!$AP$3:$AP$55)/Inputs!$K$18)</f>
        <v>0.17350545108872933</v>
      </c>
      <c r="K160" s="97">
        <f>IF($B$77=Inputs!$B$18,_xlfn.XLOOKUP(I160,'Forecast (By Year)'!$F$3:$F$55,'Forecast (By Year)'!$R$3:$R$55)/Inputs!$K$5,_xlfn.XLOOKUP(I160,'Forecast (By Year)'!$AD$3:$AD$55,'Forecast (By Year)'!$AP$3:$AP$55)/Inputs!$K$5)</f>
        <v>0.18519744780841699</v>
      </c>
      <c r="L160" s="97">
        <f>IF($B$77=Inputs!$B$18,_xlfn.XLOOKUP(I160,'Forecast (By Year)'!$F$3:$F$55,'Forecast (By Year)'!$R$3:$R$55)/Inputs!$K$9,_xlfn.XLOOKUP(I160,'Forecast (By Year)'!$AD$3:$AD$55,'Forecast (By Year)'!$AP$3:$AP$55)/Inputs!$K$9)</f>
        <v>0.16990025189005203</v>
      </c>
      <c r="M160" s="97" t="e">
        <f>IF(I160=ROUND(Inputs!$K$10,0),$M$134,NA())</f>
        <v>#N/A</v>
      </c>
      <c r="N160" s="17"/>
    </row>
    <row r="161" spans="2:14" x14ac:dyDescent="0.35">
      <c r="B161" s="76">
        <v>26</v>
      </c>
      <c r="C161" s="8">
        <f>IF($B$77=Inputs!$B$18,IF($B161&lt;='Mortgage Calculators (By Year)'!$C$9,'Forecast (By Year)'!I30,NA()),IF($B161&lt;='Mortgage Calculators (By Year)'!$J$12,'Forecast (By Year)'!AG30,NA()))</f>
        <v>348794.55891263671</v>
      </c>
      <c r="D161" s="8">
        <f t="shared" si="3"/>
        <v>56225.401480390035</v>
      </c>
      <c r="E161" s="8">
        <f>IF($B$77=Inputs!$B$18,IF($B161&lt;='Mortgage Calculators (By Year)'!$C$9,'Forecast (By Year)'!L30,NA()),IF($B161&lt;='Mortgage Calculators (By Year)'!$J$12,'Forecast (By Year)'!AJ30,NA()))</f>
        <v>56225.401480390035</v>
      </c>
      <c r="F161" s="8">
        <f>IF($B$77=Inputs!$B$18,IF($B161&lt;='Mortgage Calculators (By Year)'!$C$9,'Forecast (By Year)'!M30,NA()),IF($B161&lt;='Mortgage Calculators (By Year)'!$J$12,'Forecast (By Year)'!AK30,NA()))</f>
        <v>0</v>
      </c>
      <c r="G161" s="8" t="e">
        <f>IF(B161=ROUND(Inputs!$K$10,0),_xlfn.MAXIFS(C161:D161,C161:D161,"&gt;0"),NA())</f>
        <v>#N/A</v>
      </c>
      <c r="I161" s="12">
        <v>26</v>
      </c>
      <c r="J161" s="97">
        <f>IF($B$77=Inputs!$B$18,_xlfn.XLOOKUP(I161,'Forecast (By Year)'!$F$3:$F$55,'Forecast (By Year)'!$R$3:$R$55)/Inputs!$K$18,_xlfn.XLOOKUP(I161,'Forecast (By Year)'!$AD$3:$AD$55,'Forecast (By Year)'!$AP$3:$AP$55)/Inputs!$K$18)</f>
        <v>0.18273842816657479</v>
      </c>
      <c r="K161" s="97">
        <f>IF($B$77=Inputs!$B$18,_xlfn.XLOOKUP(I161,'Forecast (By Year)'!$F$3:$F$55,'Forecast (By Year)'!$R$3:$R$55)/Inputs!$K$5,_xlfn.XLOOKUP(I161,'Forecast (By Year)'!$AD$3:$AD$55,'Forecast (By Year)'!$AP$3:$AP$55)/Inputs!$K$5)</f>
        <v>0.19505260670838809</v>
      </c>
      <c r="L161" s="97">
        <f>IF($B$77=Inputs!$B$18,_xlfn.XLOOKUP(I161,'Forecast (By Year)'!$F$3:$F$55,'Forecast (By Year)'!$R$3:$R$55)/Inputs!$K$9,_xlfn.XLOOKUP(I161,'Forecast (By Year)'!$AD$3:$AD$55,'Forecast (By Year)'!$AP$3:$AP$55)/Inputs!$K$9)</f>
        <v>0.17894138069250565</v>
      </c>
      <c r="M161" s="97" t="e">
        <f>IF(I161=ROUND(Inputs!$K$10,0),$M$134,NA())</f>
        <v>#N/A</v>
      </c>
      <c r="N161" s="17"/>
    </row>
    <row r="162" spans="2:14" x14ac:dyDescent="0.35">
      <c r="B162" s="76">
        <v>27</v>
      </c>
      <c r="C162" s="8">
        <f>IF($B$77=Inputs!$B$18,IF($B162&lt;='Mortgage Calculators (By Year)'!$C$9,'Forecast (By Year)'!I31,NA()),IF($B162&lt;='Mortgage Calculators (By Year)'!$J$12,'Forecast (By Year)'!AG31,NA()))</f>
        <v>366234.28685826861</v>
      </c>
      <c r="D162" s="8">
        <f t="shared" si="3"/>
        <v>58143.771554409526</v>
      </c>
      <c r="E162" s="8">
        <f>IF($B$77=Inputs!$B$18,IF($B162&lt;='Mortgage Calculators (By Year)'!$C$9,'Forecast (By Year)'!L31,NA()),IF($B162&lt;='Mortgage Calculators (By Year)'!$J$12,'Forecast (By Year)'!AJ31,NA()))</f>
        <v>58143.771554409526</v>
      </c>
      <c r="F162" s="8">
        <f>IF($B$77=Inputs!$B$18,IF($B162&lt;='Mortgage Calculators (By Year)'!$C$9,'Forecast (By Year)'!M31,NA()),IF($B162&lt;='Mortgage Calculators (By Year)'!$J$12,'Forecast (By Year)'!AK31,NA()))</f>
        <v>0</v>
      </c>
      <c r="G162" s="8" t="e">
        <f>IF(B162=ROUND(Inputs!$K$10,0),_xlfn.MAXIFS(C162:D162,C162:D162,"&gt;0"),NA())</f>
        <v>#N/A</v>
      </c>
      <c r="I162" s="12">
        <v>27</v>
      </c>
      <c r="J162" s="97">
        <f>IF($B$77=Inputs!$B$18,_xlfn.XLOOKUP(I162,'Forecast (By Year)'!$F$3:$F$55,'Forecast (By Year)'!$R$3:$R$55)/Inputs!$K$18,_xlfn.XLOOKUP(I162,'Forecast (By Year)'!$AD$3:$AD$55,'Forecast (By Year)'!$AP$3:$AP$55)/Inputs!$K$18)</f>
        <v>0.19243305409831257</v>
      </c>
      <c r="K162" s="97">
        <f>IF($B$77=Inputs!$B$18,_xlfn.XLOOKUP(I162,'Forecast (By Year)'!$F$3:$F$55,'Forecast (By Year)'!$R$3:$R$55)/Inputs!$K$5,_xlfn.XLOOKUP(I162,'Forecast (By Year)'!$AD$3:$AD$55,'Forecast (By Year)'!$AP$3:$AP$55)/Inputs!$K$5)</f>
        <v>0.20540052355335783</v>
      </c>
      <c r="L162" s="97">
        <f>IF($B$77=Inputs!$B$18,_xlfn.XLOOKUP(I162,'Forecast (By Year)'!$F$3:$F$55,'Forecast (By Year)'!$R$3:$R$55)/Inputs!$K$9,_xlfn.XLOOKUP(I162,'Forecast (By Year)'!$AD$3:$AD$55,'Forecast (By Year)'!$AP$3:$AP$55)/Inputs!$K$9)</f>
        <v>0.18843456593508201</v>
      </c>
      <c r="M162" s="97" t="e">
        <f>IF(I162=ROUND(Inputs!$K$10,0),$M$134,NA())</f>
        <v>#N/A</v>
      </c>
      <c r="N162" s="17"/>
    </row>
    <row r="163" spans="2:14" x14ac:dyDescent="0.35">
      <c r="B163" s="76">
        <v>28</v>
      </c>
      <c r="C163" s="8">
        <f>IF($B$77=Inputs!$B$18,IF($B163&lt;='Mortgage Calculators (By Year)'!$C$9,'Forecast (By Year)'!I32,NA()),IF($B163&lt;='Mortgage Calculators (By Year)'!$J$12,'Forecast (By Year)'!AG32,NA()))</f>
        <v>384546.00120118208</v>
      </c>
      <c r="D163" s="8">
        <f t="shared" si="3"/>
        <v>60158.06013213002</v>
      </c>
      <c r="E163" s="8">
        <f>IF($B$77=Inputs!$B$18,IF($B163&lt;='Mortgage Calculators (By Year)'!$C$9,'Forecast (By Year)'!L32,NA()),IF($B163&lt;='Mortgage Calculators (By Year)'!$J$12,'Forecast (By Year)'!AJ32,NA()))</f>
        <v>60158.06013213002</v>
      </c>
      <c r="F163" s="8">
        <f>IF($B$77=Inputs!$B$18,IF($B163&lt;='Mortgage Calculators (By Year)'!$C$9,'Forecast (By Year)'!M32,NA()),IF($B163&lt;='Mortgage Calculators (By Year)'!$J$12,'Forecast (By Year)'!AK32,NA()))</f>
        <v>0</v>
      </c>
      <c r="G163" s="8" t="e">
        <f>IF(B163=ROUND(Inputs!$K$10,0),_xlfn.MAXIFS(C163:D163,C163:D163,"&gt;0"),NA())</f>
        <v>#N/A</v>
      </c>
      <c r="I163" s="12">
        <v>28</v>
      </c>
      <c r="J163" s="97">
        <f>IF($B$77=Inputs!$B$18,_xlfn.XLOOKUP(I163,'Forecast (By Year)'!$F$3:$F$55,'Forecast (By Year)'!$R$3:$R$55)/Inputs!$K$18,_xlfn.XLOOKUP(I163,'Forecast (By Year)'!$AD$3:$AD$55,'Forecast (By Year)'!$AP$3:$AP$55)/Inputs!$K$18)</f>
        <v>0.20261241132663724</v>
      </c>
      <c r="K163" s="97">
        <f>IF($B$77=Inputs!$B$18,_xlfn.XLOOKUP(I163,'Forecast (By Year)'!$F$3:$F$55,'Forecast (By Year)'!$R$3:$R$55)/Inputs!$K$5,_xlfn.XLOOKUP(I163,'Forecast (By Year)'!$AD$3:$AD$55,'Forecast (By Year)'!$AP$3:$AP$55)/Inputs!$K$5)</f>
        <v>0.21626583624057605</v>
      </c>
      <c r="L163" s="97">
        <f>IF($B$77=Inputs!$B$18,_xlfn.XLOOKUP(I163,'Forecast (By Year)'!$F$3:$F$55,'Forecast (By Year)'!$R$3:$R$55)/Inputs!$K$9,_xlfn.XLOOKUP(I163,'Forecast (By Year)'!$AD$3:$AD$55,'Forecast (By Year)'!$AP$3:$AP$55)/Inputs!$K$9)</f>
        <v>0.19840241043978718</v>
      </c>
      <c r="M163" s="97" t="e">
        <f>IF(I163=ROUND(Inputs!$K$10,0),$M$134,NA())</f>
        <v>#N/A</v>
      </c>
      <c r="N163" s="17"/>
    </row>
    <row r="164" spans="2:14" x14ac:dyDescent="0.35">
      <c r="B164" s="76">
        <v>29</v>
      </c>
      <c r="C164" s="8">
        <f>IF($B$77=Inputs!$B$18,IF($B164&lt;='Mortgage Calculators (By Year)'!$C$9,'Forecast (By Year)'!I33,NA()),IF($B164&lt;='Mortgage Calculators (By Year)'!$J$12,'Forecast (By Year)'!AG33,NA()))</f>
        <v>403773.30126124108</v>
      </c>
      <c r="D164" s="8">
        <f t="shared" si="3"/>
        <v>62273.063138736514</v>
      </c>
      <c r="E164" s="8">
        <f>IF($B$77=Inputs!$B$18,IF($B164&lt;='Mortgage Calculators (By Year)'!$C$9,'Forecast (By Year)'!L33,NA()),IF($B164&lt;='Mortgage Calculators (By Year)'!$J$12,'Forecast (By Year)'!AJ33,NA()))</f>
        <v>62273.063138736514</v>
      </c>
      <c r="F164" s="8">
        <f>IF($B$77=Inputs!$B$18,IF($B164&lt;='Mortgage Calculators (By Year)'!$C$9,'Forecast (By Year)'!M33,NA()),IF($B164&lt;='Mortgage Calculators (By Year)'!$J$12,'Forecast (By Year)'!AK33,NA()))</f>
        <v>0</v>
      </c>
      <c r="G164" s="8" t="e">
        <f>IF(B164=ROUND(Inputs!$K$10,0),_xlfn.MAXIFS(C164:D164,C164:D164,"&gt;0"),NA())</f>
        <v>#N/A</v>
      </c>
      <c r="I164" s="12">
        <v>29</v>
      </c>
      <c r="J164" s="97">
        <f>IF($B$77=Inputs!$B$18,_xlfn.XLOOKUP(I164,'Forecast (By Year)'!$F$3:$F$55,'Forecast (By Year)'!$R$3:$R$55)/Inputs!$K$18,_xlfn.XLOOKUP(I164,'Forecast (By Year)'!$AD$3:$AD$55,'Forecast (By Year)'!$AP$3:$AP$55)/Inputs!$K$18)</f>
        <v>0.21330073641637812</v>
      </c>
      <c r="K164" s="97">
        <f>IF($B$77=Inputs!$B$18,_xlfn.XLOOKUP(I164,'Forecast (By Year)'!$F$3:$F$55,'Forecast (By Year)'!$R$3:$R$55)/Inputs!$K$5,_xlfn.XLOOKUP(I164,'Forecast (By Year)'!$AD$3:$AD$55,'Forecast (By Year)'!$AP$3:$AP$55)/Inputs!$K$5)</f>
        <v>0.22767441456215515</v>
      </c>
      <c r="L164" s="97">
        <f>IF($B$77=Inputs!$B$18,_xlfn.XLOOKUP(I164,'Forecast (By Year)'!$F$3:$F$55,'Forecast (By Year)'!$R$3:$R$55)/Inputs!$K$9,_xlfn.XLOOKUP(I164,'Forecast (By Year)'!$AD$3:$AD$55,'Forecast (By Year)'!$AP$3:$AP$55)/Inputs!$K$9)</f>
        <v>0.20886864716972758</v>
      </c>
      <c r="M164" s="97" t="e">
        <f>IF(I164=ROUND(Inputs!$K$10,0),$M$134,NA())</f>
        <v>#N/A</v>
      </c>
      <c r="N164" s="17"/>
    </row>
    <row r="165" spans="2:14" x14ac:dyDescent="0.35">
      <c r="B165" s="76">
        <v>30</v>
      </c>
      <c r="C165" s="8">
        <f>IF($B$77=Inputs!$B$18,IF($B165&lt;='Mortgage Calculators (By Year)'!$C$9,'Forecast (By Year)'!I34,NA()),IF($B165&lt;='Mortgage Calculators (By Year)'!$J$12,'Forecast (By Year)'!AG34,NA()))</f>
        <v>423961.96632430324</v>
      </c>
      <c r="D165" s="8">
        <f t="shared" si="3"/>
        <v>64493.816295673358</v>
      </c>
      <c r="E165" s="8">
        <f>IF($B$77=Inputs!$B$18,IF($B165&lt;='Mortgage Calculators (By Year)'!$C$9,'Forecast (By Year)'!L34,NA()),IF($B165&lt;='Mortgage Calculators (By Year)'!$J$12,'Forecast (By Year)'!AJ34,NA()))</f>
        <v>64493.816295673358</v>
      </c>
      <c r="F165" s="8">
        <f>IF($B$77=Inputs!$B$18,IF($B165&lt;='Mortgage Calculators (By Year)'!$C$9,'Forecast (By Year)'!M34,NA()),IF($B165&lt;='Mortgage Calculators (By Year)'!$J$12,'Forecast (By Year)'!AK34,NA()))</f>
        <v>0</v>
      </c>
      <c r="G165" s="8" t="e">
        <f>IF(B165=ROUND(Inputs!$K$10,0),_xlfn.MAXIFS(C165:D165,C165:D165,"&gt;0"),NA())</f>
        <v>#N/A</v>
      </c>
      <c r="I165" s="12">
        <v>30</v>
      </c>
      <c r="J165" s="97">
        <f>IF($B$77=Inputs!$B$18,_xlfn.XLOOKUP(I165,'Forecast (By Year)'!$F$3:$F$55,'Forecast (By Year)'!$R$3:$R$55)/Inputs!$K$18,_xlfn.XLOOKUP(I165,'Forecast (By Year)'!$AD$3:$AD$55,'Forecast (By Year)'!$AP$3:$AP$55)/Inputs!$K$18)</f>
        <v>0.2245234777606061</v>
      </c>
      <c r="K165" s="97">
        <f>IF($B$77=Inputs!$B$18,_xlfn.XLOOKUP(I165,'Forecast (By Year)'!$F$3:$F$55,'Forecast (By Year)'!$R$3:$R$55)/Inputs!$K$5,_xlfn.XLOOKUP(I165,'Forecast (By Year)'!$AD$3:$AD$55,'Forecast (By Year)'!$AP$3:$AP$55)/Inputs!$K$5)</f>
        <v>0.23965342179981328</v>
      </c>
      <c r="L165" s="97">
        <f>IF($B$77=Inputs!$B$18,_xlfn.XLOOKUP(I165,'Forecast (By Year)'!$F$3:$F$55,'Forecast (By Year)'!$R$3:$R$55)/Inputs!$K$9,_xlfn.XLOOKUP(I165,'Forecast (By Year)'!$AD$3:$AD$55,'Forecast (By Year)'!$AP$3:$AP$55)/Inputs!$K$9)</f>
        <v>0.21985819573616508</v>
      </c>
      <c r="M165" s="97" t="e">
        <f>IF(I165=ROUND(Inputs!$K$10,0),$M$134,NA())</f>
        <v>#N/A</v>
      </c>
      <c r="N165" s="17"/>
    </row>
    <row r="166" spans="2:14" x14ac:dyDescent="0.35">
      <c r="B166" s="76">
        <v>31</v>
      </c>
      <c r="C166" s="8" t="e">
        <f>IF($B$77=Inputs!$B$18,IF($B166&lt;='Mortgage Calculators (By Year)'!$C$9,'Forecast (By Year)'!I35,NA()),IF($B166&lt;='Mortgage Calculators (By Year)'!$J$12,'Forecast (By Year)'!AG35,NA()))</f>
        <v>#N/A</v>
      </c>
      <c r="D166" s="8" t="e">
        <f t="shared" ref="D166:D186" si="4">SUM(E166:F166)</f>
        <v>#N/A</v>
      </c>
      <c r="E166" s="8" t="e">
        <f>IF($B$77=Inputs!$B$18,IF($B166&lt;='Mortgage Calculators (By Year)'!$C$9,'Forecast (By Year)'!L35,NA()),IF($B166&lt;='Mortgage Calculators (By Year)'!$J$12,'Forecast (By Year)'!AJ35,NA()))</f>
        <v>#N/A</v>
      </c>
      <c r="F166" s="8" t="e">
        <f>IF($B$77=Inputs!$B$18,IF($B166&lt;='Mortgage Calculators (By Year)'!$C$9,'Forecast (By Year)'!M35,NA()),IF($B166&lt;='Mortgage Calculators (By Year)'!$J$12,'Forecast (By Year)'!AK35,NA()))</f>
        <v>#N/A</v>
      </c>
      <c r="G166" s="8" t="e">
        <f>IF(B166=ROUND(Inputs!$K$10,0),_xlfn.MAXIFS(C166:D166,C166:D166,"&gt;0"),NA())</f>
        <v>#N/A</v>
      </c>
      <c r="I166" s="12">
        <v>31</v>
      </c>
      <c r="J166" s="97" t="e">
        <f>IF($B$77=Inputs!$B$18,_xlfn.XLOOKUP(I166,'Forecast (By Year)'!$F$3:$F$55,'Forecast (By Year)'!$R$3:$R$55)/Inputs!$K$18,_xlfn.XLOOKUP(I166,'Forecast (By Year)'!$AD$3:$AD$55,'Forecast (By Year)'!$AP$3:$AP$55)/Inputs!$K$18)</f>
        <v>#N/A</v>
      </c>
      <c r="K166" s="97" t="e">
        <f>IF($B$77=Inputs!$B$18,_xlfn.XLOOKUP(I166,'Forecast (By Year)'!$F$3:$F$55,'Forecast (By Year)'!$R$3:$R$55)/Inputs!$K$5,_xlfn.XLOOKUP(I166,'Forecast (By Year)'!$AD$3:$AD$55,'Forecast (By Year)'!$AP$3:$AP$55)/Inputs!$K$5)</f>
        <v>#N/A</v>
      </c>
      <c r="L166" s="97" t="e">
        <f>IF($B$77=Inputs!$B$18,_xlfn.XLOOKUP(I166,'Forecast (By Year)'!$F$3:$F$55,'Forecast (By Year)'!$R$3:$R$55)/Inputs!$K$9,_xlfn.XLOOKUP(I166,'Forecast (By Year)'!$AD$3:$AD$55,'Forecast (By Year)'!$AP$3:$AP$55)/Inputs!$K$9)</f>
        <v>#N/A</v>
      </c>
      <c r="M166" s="97" t="e">
        <f>IF(I166=ROUND(Inputs!$K$10,0),$M$134,NA())</f>
        <v>#N/A</v>
      </c>
      <c r="N166" s="17"/>
    </row>
    <row r="167" spans="2:14" x14ac:dyDescent="0.35">
      <c r="B167" s="76">
        <v>32</v>
      </c>
      <c r="C167" s="8" t="e">
        <f>IF($B$77=Inputs!$B$18,IF($B167&lt;='Mortgage Calculators (By Year)'!$C$9,'Forecast (By Year)'!I36,NA()),IF($B167&lt;='Mortgage Calculators (By Year)'!$J$12,'Forecast (By Year)'!AG36,NA()))</f>
        <v>#N/A</v>
      </c>
      <c r="D167" s="8" t="e">
        <f t="shared" si="4"/>
        <v>#N/A</v>
      </c>
      <c r="E167" s="8" t="e">
        <f>IF($B$77=Inputs!$B$18,IF($B167&lt;='Mortgage Calculators (By Year)'!$C$9,'Forecast (By Year)'!L36,NA()),IF($B167&lt;='Mortgage Calculators (By Year)'!$J$12,'Forecast (By Year)'!AJ36,NA()))</f>
        <v>#N/A</v>
      </c>
      <c r="F167" s="8" t="e">
        <f>IF($B$77=Inputs!$B$18,IF($B167&lt;='Mortgage Calculators (By Year)'!$C$9,'Forecast (By Year)'!M36,NA()),IF($B167&lt;='Mortgage Calculators (By Year)'!$J$12,'Forecast (By Year)'!AK36,NA()))</f>
        <v>#N/A</v>
      </c>
      <c r="G167" s="8" t="e">
        <f>IF(B167=ROUND(Inputs!$K$10,0),_xlfn.MAXIFS(C167:D167,C167:D167,"&gt;0"),NA())</f>
        <v>#N/A</v>
      </c>
      <c r="I167" s="12">
        <v>32</v>
      </c>
      <c r="J167" s="97" t="e">
        <f>IF($B$77=Inputs!$B$18,_xlfn.XLOOKUP(I167,'Forecast (By Year)'!$F$3:$F$55,'Forecast (By Year)'!$R$3:$R$55)/Inputs!$K$18,_xlfn.XLOOKUP(I167,'Forecast (By Year)'!$AD$3:$AD$55,'Forecast (By Year)'!$AP$3:$AP$55)/Inputs!$K$18)</f>
        <v>#N/A</v>
      </c>
      <c r="K167" s="97" t="e">
        <f>IF($B$77=Inputs!$B$18,_xlfn.XLOOKUP(I167,'Forecast (By Year)'!$F$3:$F$55,'Forecast (By Year)'!$R$3:$R$55)/Inputs!$K$5,_xlfn.XLOOKUP(I167,'Forecast (By Year)'!$AD$3:$AD$55,'Forecast (By Year)'!$AP$3:$AP$55)/Inputs!$K$5)</f>
        <v>#N/A</v>
      </c>
      <c r="L167" s="97" t="e">
        <f>IF($B$77=Inputs!$B$18,_xlfn.XLOOKUP(I167,'Forecast (By Year)'!$F$3:$F$55,'Forecast (By Year)'!$R$3:$R$55)/Inputs!$K$9,_xlfn.XLOOKUP(I167,'Forecast (By Year)'!$AD$3:$AD$55,'Forecast (By Year)'!$AP$3:$AP$55)/Inputs!$K$9)</f>
        <v>#N/A</v>
      </c>
      <c r="M167" s="97" t="e">
        <f>IF(I167=ROUND(Inputs!$K$10,0),$M$134,NA())</f>
        <v>#N/A</v>
      </c>
      <c r="N167" s="17"/>
    </row>
    <row r="168" spans="2:14" x14ac:dyDescent="0.35">
      <c r="B168" s="76">
        <v>33</v>
      </c>
      <c r="C168" s="8" t="e">
        <f>IF($B$77=Inputs!$B$18,IF($B168&lt;='Mortgage Calculators (By Year)'!$C$9,'Forecast (By Year)'!I37,NA()),IF($B168&lt;='Mortgage Calculators (By Year)'!$J$12,'Forecast (By Year)'!AG37,NA()))</f>
        <v>#N/A</v>
      </c>
      <c r="D168" s="8" t="e">
        <f t="shared" si="4"/>
        <v>#N/A</v>
      </c>
      <c r="E168" s="8" t="e">
        <f>IF($B$77=Inputs!$B$18,IF($B168&lt;='Mortgage Calculators (By Year)'!$C$9,'Forecast (By Year)'!L37,NA()),IF($B168&lt;='Mortgage Calculators (By Year)'!$J$12,'Forecast (By Year)'!AJ37,NA()))</f>
        <v>#N/A</v>
      </c>
      <c r="F168" s="8" t="e">
        <f>IF($B$77=Inputs!$B$18,IF($B168&lt;='Mortgage Calculators (By Year)'!$C$9,'Forecast (By Year)'!M37,NA()),IF($B168&lt;='Mortgage Calculators (By Year)'!$J$12,'Forecast (By Year)'!AK37,NA()))</f>
        <v>#N/A</v>
      </c>
      <c r="G168" s="8" t="e">
        <f>IF(B168=ROUND(Inputs!$K$10,0),_xlfn.MAXIFS(C168:D168,C168:D168,"&gt;0"),NA())</f>
        <v>#N/A</v>
      </c>
      <c r="I168" s="12">
        <v>33</v>
      </c>
      <c r="J168" s="97" t="e">
        <f>IF($B$77=Inputs!$B$18,_xlfn.XLOOKUP(I168,'Forecast (By Year)'!$F$3:$F$55,'Forecast (By Year)'!$R$3:$R$55)/Inputs!$K$18,_xlfn.XLOOKUP(I168,'Forecast (By Year)'!$AD$3:$AD$55,'Forecast (By Year)'!$AP$3:$AP$55)/Inputs!$K$18)</f>
        <v>#N/A</v>
      </c>
      <c r="K168" s="97" t="e">
        <f>IF($B$77=Inputs!$B$18,_xlfn.XLOOKUP(I168,'Forecast (By Year)'!$F$3:$F$55,'Forecast (By Year)'!$R$3:$R$55)/Inputs!$K$5,_xlfn.XLOOKUP(I168,'Forecast (By Year)'!$AD$3:$AD$55,'Forecast (By Year)'!$AP$3:$AP$55)/Inputs!$K$5)</f>
        <v>#N/A</v>
      </c>
      <c r="L168" s="97" t="e">
        <f>IF($B$77=Inputs!$B$18,_xlfn.XLOOKUP(I168,'Forecast (By Year)'!$F$3:$F$55,'Forecast (By Year)'!$R$3:$R$55)/Inputs!$K$9,_xlfn.XLOOKUP(I168,'Forecast (By Year)'!$AD$3:$AD$55,'Forecast (By Year)'!$AP$3:$AP$55)/Inputs!$K$9)</f>
        <v>#N/A</v>
      </c>
      <c r="M168" s="97" t="e">
        <f>IF(I168=ROUND(Inputs!$K$10,0),$M$134,NA())</f>
        <v>#N/A</v>
      </c>
      <c r="N168" s="17"/>
    </row>
    <row r="169" spans="2:14" x14ac:dyDescent="0.35">
      <c r="B169" s="76">
        <v>34</v>
      </c>
      <c r="C169" s="8" t="e">
        <f>IF($B$77=Inputs!$B$18,IF($B169&lt;='Mortgage Calculators (By Year)'!$C$9,'Forecast (By Year)'!I38,NA()),IF($B169&lt;='Mortgage Calculators (By Year)'!$J$12,'Forecast (By Year)'!AG38,NA()))</f>
        <v>#N/A</v>
      </c>
      <c r="D169" s="8" t="e">
        <f t="shared" si="4"/>
        <v>#N/A</v>
      </c>
      <c r="E169" s="8" t="e">
        <f>IF($B$77=Inputs!$B$18,IF($B169&lt;='Mortgage Calculators (By Year)'!$C$9,'Forecast (By Year)'!L38,NA()),IF($B169&lt;='Mortgage Calculators (By Year)'!$J$12,'Forecast (By Year)'!AJ38,NA()))</f>
        <v>#N/A</v>
      </c>
      <c r="F169" s="8" t="e">
        <f>IF($B$77=Inputs!$B$18,IF($B169&lt;='Mortgage Calculators (By Year)'!$C$9,'Forecast (By Year)'!M38,NA()),IF($B169&lt;='Mortgage Calculators (By Year)'!$J$12,'Forecast (By Year)'!AK38,NA()))</f>
        <v>#N/A</v>
      </c>
      <c r="G169" s="8" t="e">
        <f>IF(B169=ROUND(Inputs!$K$10,0),_xlfn.MAXIFS(C169:D169,C169:D169,"&gt;0"),NA())</f>
        <v>#N/A</v>
      </c>
      <c r="I169" s="12">
        <v>34</v>
      </c>
      <c r="J169" s="97" t="e">
        <f>IF($B$77=Inputs!$B$18,_xlfn.XLOOKUP(I169,'Forecast (By Year)'!$F$3:$F$55,'Forecast (By Year)'!$R$3:$R$55)/Inputs!$K$18,_xlfn.XLOOKUP(I169,'Forecast (By Year)'!$AD$3:$AD$55,'Forecast (By Year)'!$AP$3:$AP$55)/Inputs!$K$18)</f>
        <v>#N/A</v>
      </c>
      <c r="K169" s="97" t="e">
        <f>IF($B$77=Inputs!$B$18,_xlfn.XLOOKUP(I169,'Forecast (By Year)'!$F$3:$F$55,'Forecast (By Year)'!$R$3:$R$55)/Inputs!$K$5,_xlfn.XLOOKUP(I169,'Forecast (By Year)'!$AD$3:$AD$55,'Forecast (By Year)'!$AP$3:$AP$55)/Inputs!$K$5)</f>
        <v>#N/A</v>
      </c>
      <c r="L169" s="97" t="e">
        <f>IF($B$77=Inputs!$B$18,_xlfn.XLOOKUP(I169,'Forecast (By Year)'!$F$3:$F$55,'Forecast (By Year)'!$R$3:$R$55)/Inputs!$K$9,_xlfn.XLOOKUP(I169,'Forecast (By Year)'!$AD$3:$AD$55,'Forecast (By Year)'!$AP$3:$AP$55)/Inputs!$K$9)</f>
        <v>#N/A</v>
      </c>
      <c r="M169" s="97" t="e">
        <f>IF(I169=ROUND(Inputs!$K$10,0),$M$134,NA())</f>
        <v>#N/A</v>
      </c>
      <c r="N169" s="17"/>
    </row>
    <row r="170" spans="2:14" x14ac:dyDescent="0.35">
      <c r="B170" s="76">
        <v>35</v>
      </c>
      <c r="C170" s="8" t="e">
        <f>IF($B$77=Inputs!$B$18,IF($B170&lt;='Mortgage Calculators (By Year)'!$C$9,'Forecast (By Year)'!I39,NA()),IF($B170&lt;='Mortgage Calculators (By Year)'!$J$12,'Forecast (By Year)'!AG39,NA()))</f>
        <v>#N/A</v>
      </c>
      <c r="D170" s="8" t="e">
        <f t="shared" si="4"/>
        <v>#N/A</v>
      </c>
      <c r="E170" s="8" t="e">
        <f>IF($B$77=Inputs!$B$18,IF($B170&lt;='Mortgage Calculators (By Year)'!$C$9,'Forecast (By Year)'!L39,NA()),IF($B170&lt;='Mortgage Calculators (By Year)'!$J$12,'Forecast (By Year)'!AJ39,NA()))</f>
        <v>#N/A</v>
      </c>
      <c r="F170" s="8" t="e">
        <f>IF($B$77=Inputs!$B$18,IF($B170&lt;='Mortgage Calculators (By Year)'!$C$9,'Forecast (By Year)'!M39,NA()),IF($B170&lt;='Mortgage Calculators (By Year)'!$J$12,'Forecast (By Year)'!AK39,NA()))</f>
        <v>#N/A</v>
      </c>
      <c r="G170" s="8" t="e">
        <f>IF(B170=ROUND(Inputs!$K$10,0),_xlfn.MAXIFS(C170:D170,C170:D170,"&gt;0"),NA())</f>
        <v>#N/A</v>
      </c>
      <c r="I170" s="12">
        <v>35</v>
      </c>
      <c r="J170" s="97" t="e">
        <f>IF($B$77=Inputs!$B$18,_xlfn.XLOOKUP(I170,'Forecast (By Year)'!$F$3:$F$55,'Forecast (By Year)'!$R$3:$R$55)/Inputs!$K$18,_xlfn.XLOOKUP(I170,'Forecast (By Year)'!$AD$3:$AD$55,'Forecast (By Year)'!$AP$3:$AP$55)/Inputs!$K$18)</f>
        <v>#N/A</v>
      </c>
      <c r="K170" s="97" t="e">
        <f>IF($B$77=Inputs!$B$18,_xlfn.XLOOKUP(I170,'Forecast (By Year)'!$F$3:$F$55,'Forecast (By Year)'!$R$3:$R$55)/Inputs!$K$5,_xlfn.XLOOKUP(I170,'Forecast (By Year)'!$AD$3:$AD$55,'Forecast (By Year)'!$AP$3:$AP$55)/Inputs!$K$5)</f>
        <v>#N/A</v>
      </c>
      <c r="L170" s="97" t="e">
        <f>IF($B$77=Inputs!$B$18,_xlfn.XLOOKUP(I170,'Forecast (By Year)'!$F$3:$F$55,'Forecast (By Year)'!$R$3:$R$55)/Inputs!$K$9,_xlfn.XLOOKUP(I170,'Forecast (By Year)'!$AD$3:$AD$55,'Forecast (By Year)'!$AP$3:$AP$55)/Inputs!$K$9)</f>
        <v>#N/A</v>
      </c>
      <c r="M170" s="97" t="e">
        <f>IF(I170=ROUND(Inputs!$K$10,0),$M$134,NA())</f>
        <v>#N/A</v>
      </c>
      <c r="N170" s="17"/>
    </row>
    <row r="171" spans="2:14" x14ac:dyDescent="0.35">
      <c r="B171" s="76">
        <v>36</v>
      </c>
      <c r="C171" s="8" t="e">
        <f>IF($B$77=Inputs!$B$18,IF($B171&lt;='Mortgage Calculators (By Year)'!$C$9,'Forecast (By Year)'!I40,NA()),IF($B171&lt;='Mortgage Calculators (By Year)'!$J$12,'Forecast (By Year)'!AG40,NA()))</f>
        <v>#N/A</v>
      </c>
      <c r="D171" s="8" t="e">
        <f t="shared" si="4"/>
        <v>#N/A</v>
      </c>
      <c r="E171" s="8" t="e">
        <f>IF($B$77=Inputs!$B$18,IF($B171&lt;='Mortgage Calculators (By Year)'!$C$9,'Forecast (By Year)'!L40,NA()),IF($B171&lt;='Mortgage Calculators (By Year)'!$J$12,'Forecast (By Year)'!AJ40,NA()))</f>
        <v>#N/A</v>
      </c>
      <c r="F171" s="8" t="e">
        <f>IF($B$77=Inputs!$B$18,IF($B171&lt;='Mortgage Calculators (By Year)'!$C$9,'Forecast (By Year)'!M40,NA()),IF($B171&lt;='Mortgage Calculators (By Year)'!$J$12,'Forecast (By Year)'!AK40,NA()))</f>
        <v>#N/A</v>
      </c>
      <c r="G171" s="8" t="e">
        <f>IF(B171=ROUND(Inputs!$K$10,0),_xlfn.MAXIFS(C171:D171,C171:D171,"&gt;0"),NA())</f>
        <v>#N/A</v>
      </c>
      <c r="I171" s="12">
        <v>36</v>
      </c>
      <c r="J171" s="97" t="e">
        <f>IF($B$77=Inputs!$B$18,_xlfn.XLOOKUP(I171,'Forecast (By Year)'!$F$3:$F$55,'Forecast (By Year)'!$R$3:$R$55)/Inputs!$K$18,_xlfn.XLOOKUP(I171,'Forecast (By Year)'!$AD$3:$AD$55,'Forecast (By Year)'!$AP$3:$AP$55)/Inputs!$K$18)</f>
        <v>#N/A</v>
      </c>
      <c r="K171" s="97" t="e">
        <f>IF($B$77=Inputs!$B$18,_xlfn.XLOOKUP(I171,'Forecast (By Year)'!$F$3:$F$55,'Forecast (By Year)'!$R$3:$R$55)/Inputs!$K$5,_xlfn.XLOOKUP(I171,'Forecast (By Year)'!$AD$3:$AD$55,'Forecast (By Year)'!$AP$3:$AP$55)/Inputs!$K$5)</f>
        <v>#N/A</v>
      </c>
      <c r="L171" s="97" t="e">
        <f>IF($B$77=Inputs!$B$18,_xlfn.XLOOKUP(I171,'Forecast (By Year)'!$F$3:$F$55,'Forecast (By Year)'!$R$3:$R$55)/Inputs!$K$9,_xlfn.XLOOKUP(I171,'Forecast (By Year)'!$AD$3:$AD$55,'Forecast (By Year)'!$AP$3:$AP$55)/Inputs!$K$9)</f>
        <v>#N/A</v>
      </c>
      <c r="M171" s="97" t="e">
        <f>IF(I171=ROUND(Inputs!$K$10,0),$M$134,NA())</f>
        <v>#N/A</v>
      </c>
      <c r="N171" s="17"/>
    </row>
    <row r="172" spans="2:14" x14ac:dyDescent="0.35">
      <c r="B172" s="76">
        <v>37</v>
      </c>
      <c r="C172" s="8" t="e">
        <f>IF($B$77=Inputs!$B$18,IF($B172&lt;='Mortgage Calculators (By Year)'!$C$9,'Forecast (By Year)'!I41,NA()),IF($B172&lt;='Mortgage Calculators (By Year)'!$J$12,'Forecast (By Year)'!AG41,NA()))</f>
        <v>#N/A</v>
      </c>
      <c r="D172" s="8" t="e">
        <f t="shared" si="4"/>
        <v>#N/A</v>
      </c>
      <c r="E172" s="8" t="e">
        <f>IF($B$77=Inputs!$B$18,IF($B172&lt;='Mortgage Calculators (By Year)'!$C$9,'Forecast (By Year)'!L41,NA()),IF($B172&lt;='Mortgage Calculators (By Year)'!$J$12,'Forecast (By Year)'!AJ41,NA()))</f>
        <v>#N/A</v>
      </c>
      <c r="F172" s="8" t="e">
        <f>IF($B$77=Inputs!$B$18,IF($B172&lt;='Mortgage Calculators (By Year)'!$C$9,'Forecast (By Year)'!M41,NA()),IF($B172&lt;='Mortgage Calculators (By Year)'!$J$12,'Forecast (By Year)'!AK41,NA()))</f>
        <v>#N/A</v>
      </c>
      <c r="G172" s="8" t="e">
        <f>IF(B172=ROUND(Inputs!$K$10,0),_xlfn.MAXIFS(C172:D172,C172:D172,"&gt;0"),NA())</f>
        <v>#N/A</v>
      </c>
      <c r="I172" s="12">
        <v>37</v>
      </c>
      <c r="J172" s="97" t="e">
        <f>IF($B$77=Inputs!$B$18,_xlfn.XLOOKUP(I172,'Forecast (By Year)'!$F$3:$F$55,'Forecast (By Year)'!$R$3:$R$55)/Inputs!$K$18,_xlfn.XLOOKUP(I172,'Forecast (By Year)'!$AD$3:$AD$55,'Forecast (By Year)'!$AP$3:$AP$55)/Inputs!$K$18)</f>
        <v>#N/A</v>
      </c>
      <c r="K172" s="97" t="e">
        <f>IF($B$77=Inputs!$B$18,_xlfn.XLOOKUP(I172,'Forecast (By Year)'!$F$3:$F$55,'Forecast (By Year)'!$R$3:$R$55)/Inputs!$K$5,_xlfn.XLOOKUP(I172,'Forecast (By Year)'!$AD$3:$AD$55,'Forecast (By Year)'!$AP$3:$AP$55)/Inputs!$K$5)</f>
        <v>#N/A</v>
      </c>
      <c r="L172" s="97" t="e">
        <f>IF($B$77=Inputs!$B$18,_xlfn.XLOOKUP(I172,'Forecast (By Year)'!$F$3:$F$55,'Forecast (By Year)'!$R$3:$R$55)/Inputs!$K$9,_xlfn.XLOOKUP(I172,'Forecast (By Year)'!$AD$3:$AD$55,'Forecast (By Year)'!$AP$3:$AP$55)/Inputs!$K$9)</f>
        <v>#N/A</v>
      </c>
      <c r="M172" s="97" t="e">
        <f>IF(I172=ROUND(Inputs!$K$10,0),$M$134,NA())</f>
        <v>#N/A</v>
      </c>
      <c r="N172" s="17"/>
    </row>
    <row r="173" spans="2:14" x14ac:dyDescent="0.35">
      <c r="B173" s="76">
        <v>38</v>
      </c>
      <c r="C173" s="8" t="e">
        <f>IF($B$77=Inputs!$B$18,IF($B173&lt;='Mortgage Calculators (By Year)'!$C$9,'Forecast (By Year)'!I42,NA()),IF($B173&lt;='Mortgage Calculators (By Year)'!$J$12,'Forecast (By Year)'!AG42,NA()))</f>
        <v>#N/A</v>
      </c>
      <c r="D173" s="8" t="e">
        <f t="shared" si="4"/>
        <v>#N/A</v>
      </c>
      <c r="E173" s="8" t="e">
        <f>IF($B$77=Inputs!$B$18,IF($B173&lt;='Mortgage Calculators (By Year)'!$C$9,'Forecast (By Year)'!L42,NA()),IF($B173&lt;='Mortgage Calculators (By Year)'!$J$12,'Forecast (By Year)'!AJ42,NA()))</f>
        <v>#N/A</v>
      </c>
      <c r="F173" s="8" t="e">
        <f>IF($B$77=Inputs!$B$18,IF($B173&lt;='Mortgage Calculators (By Year)'!$C$9,'Forecast (By Year)'!M42,NA()),IF($B173&lt;='Mortgage Calculators (By Year)'!$J$12,'Forecast (By Year)'!AK42,NA()))</f>
        <v>#N/A</v>
      </c>
      <c r="G173" s="8" t="e">
        <f>IF(B173=ROUND(Inputs!$K$10,0),_xlfn.MAXIFS(C173:D173,C173:D173,"&gt;0"),NA())</f>
        <v>#N/A</v>
      </c>
      <c r="I173" s="12">
        <v>38</v>
      </c>
      <c r="J173" s="97" t="e">
        <f>IF($B$77=Inputs!$B$18,_xlfn.XLOOKUP(I173,'Forecast (By Year)'!$F$3:$F$55,'Forecast (By Year)'!$R$3:$R$55)/Inputs!$K$18,_xlfn.XLOOKUP(I173,'Forecast (By Year)'!$AD$3:$AD$55,'Forecast (By Year)'!$AP$3:$AP$55)/Inputs!$K$18)</f>
        <v>#N/A</v>
      </c>
      <c r="K173" s="97" t="e">
        <f>IF($B$77=Inputs!$B$18,_xlfn.XLOOKUP(I173,'Forecast (By Year)'!$F$3:$F$55,'Forecast (By Year)'!$R$3:$R$55)/Inputs!$K$5,_xlfn.XLOOKUP(I173,'Forecast (By Year)'!$AD$3:$AD$55,'Forecast (By Year)'!$AP$3:$AP$55)/Inputs!$K$5)</f>
        <v>#N/A</v>
      </c>
      <c r="L173" s="97" t="e">
        <f>IF($B$77=Inputs!$B$18,_xlfn.XLOOKUP(I173,'Forecast (By Year)'!$F$3:$F$55,'Forecast (By Year)'!$R$3:$R$55)/Inputs!$K$9,_xlfn.XLOOKUP(I173,'Forecast (By Year)'!$AD$3:$AD$55,'Forecast (By Year)'!$AP$3:$AP$55)/Inputs!$K$9)</f>
        <v>#N/A</v>
      </c>
      <c r="M173" s="97" t="e">
        <f>IF(I173=ROUND(Inputs!$K$10,0),$M$134,NA())</f>
        <v>#N/A</v>
      </c>
      <c r="N173" s="17"/>
    </row>
    <row r="174" spans="2:14" x14ac:dyDescent="0.35">
      <c r="B174" s="76">
        <v>39</v>
      </c>
      <c r="C174" s="8" t="e">
        <f>IF($B$77=Inputs!$B$18,IF($B174&lt;='Mortgage Calculators (By Year)'!$C$9,'Forecast (By Year)'!I43,NA()),IF($B174&lt;='Mortgage Calculators (By Year)'!$J$12,'Forecast (By Year)'!AG43,NA()))</f>
        <v>#N/A</v>
      </c>
      <c r="D174" s="8" t="e">
        <f t="shared" si="4"/>
        <v>#N/A</v>
      </c>
      <c r="E174" s="8" t="e">
        <f>IF($B$77=Inputs!$B$18,IF($B174&lt;='Mortgage Calculators (By Year)'!$C$9,'Forecast (By Year)'!L43,NA()),IF($B174&lt;='Mortgage Calculators (By Year)'!$J$12,'Forecast (By Year)'!AJ43,NA()))</f>
        <v>#N/A</v>
      </c>
      <c r="F174" s="8" t="e">
        <f>IF($B$77=Inputs!$B$18,IF($B174&lt;='Mortgage Calculators (By Year)'!$C$9,'Forecast (By Year)'!M43,NA()),IF($B174&lt;='Mortgage Calculators (By Year)'!$J$12,'Forecast (By Year)'!AK43,NA()))</f>
        <v>#N/A</v>
      </c>
      <c r="G174" s="8" t="e">
        <f>IF(B174=ROUND(Inputs!$K$10,0),_xlfn.MAXIFS(C174:D174,C174:D174,"&gt;0"),NA())</f>
        <v>#N/A</v>
      </c>
      <c r="I174" s="12">
        <v>39</v>
      </c>
      <c r="J174" s="97" t="e">
        <f>IF($B$77=Inputs!$B$18,_xlfn.XLOOKUP(I174,'Forecast (By Year)'!$F$3:$F$55,'Forecast (By Year)'!$R$3:$R$55)/Inputs!$K$18,_xlfn.XLOOKUP(I174,'Forecast (By Year)'!$AD$3:$AD$55,'Forecast (By Year)'!$AP$3:$AP$55)/Inputs!$K$18)</f>
        <v>#N/A</v>
      </c>
      <c r="K174" s="97" t="e">
        <f>IF($B$77=Inputs!$B$18,_xlfn.XLOOKUP(I174,'Forecast (By Year)'!$F$3:$F$55,'Forecast (By Year)'!$R$3:$R$55)/Inputs!$K$5,_xlfn.XLOOKUP(I174,'Forecast (By Year)'!$AD$3:$AD$55,'Forecast (By Year)'!$AP$3:$AP$55)/Inputs!$K$5)</f>
        <v>#N/A</v>
      </c>
      <c r="L174" s="97" t="e">
        <f>IF($B$77=Inputs!$B$18,_xlfn.XLOOKUP(I174,'Forecast (By Year)'!$F$3:$F$55,'Forecast (By Year)'!$R$3:$R$55)/Inputs!$K$9,_xlfn.XLOOKUP(I174,'Forecast (By Year)'!$AD$3:$AD$55,'Forecast (By Year)'!$AP$3:$AP$55)/Inputs!$K$9)</f>
        <v>#N/A</v>
      </c>
      <c r="M174" s="97" t="e">
        <f>IF(I174=ROUND(Inputs!$K$10,0),$M$134,NA())</f>
        <v>#N/A</v>
      </c>
      <c r="N174" s="17"/>
    </row>
    <row r="175" spans="2:14" x14ac:dyDescent="0.35">
      <c r="B175" s="76">
        <v>40</v>
      </c>
      <c r="C175" s="8" t="e">
        <f>IF($B$77=Inputs!$B$18,IF($B175&lt;='Mortgage Calculators (By Year)'!$C$9,'Forecast (By Year)'!I44,NA()),IF($B175&lt;='Mortgage Calculators (By Year)'!$J$12,'Forecast (By Year)'!AG44,NA()))</f>
        <v>#N/A</v>
      </c>
      <c r="D175" s="8" t="e">
        <f t="shared" si="4"/>
        <v>#N/A</v>
      </c>
      <c r="E175" s="8" t="e">
        <f>IF($B$77=Inputs!$B$18,IF($B175&lt;='Mortgage Calculators (By Year)'!$C$9,'Forecast (By Year)'!L44,NA()),IF($B175&lt;='Mortgage Calculators (By Year)'!$J$12,'Forecast (By Year)'!AJ44,NA()))</f>
        <v>#N/A</v>
      </c>
      <c r="F175" s="8" t="e">
        <f>IF($B$77=Inputs!$B$18,IF($B175&lt;='Mortgage Calculators (By Year)'!$C$9,'Forecast (By Year)'!M44,NA()),IF($B175&lt;='Mortgage Calculators (By Year)'!$J$12,'Forecast (By Year)'!AK44,NA()))</f>
        <v>#N/A</v>
      </c>
      <c r="G175" s="8" t="e">
        <f>IF(B175=ROUND(Inputs!$K$10,0),_xlfn.MAXIFS(C175:D175,C175:D175,"&gt;0"),NA())</f>
        <v>#N/A</v>
      </c>
      <c r="I175" s="12">
        <v>40</v>
      </c>
      <c r="J175" s="97" t="e">
        <f>IF($B$77=Inputs!$B$18,_xlfn.XLOOKUP(I175,'Forecast (By Year)'!$F$3:$F$55,'Forecast (By Year)'!$R$3:$R$55)/Inputs!$K$18,_xlfn.XLOOKUP(I175,'Forecast (By Year)'!$AD$3:$AD$55,'Forecast (By Year)'!$AP$3:$AP$55)/Inputs!$K$18)</f>
        <v>#N/A</v>
      </c>
      <c r="K175" s="97" t="e">
        <f>IF($B$77=Inputs!$B$18,_xlfn.XLOOKUP(I175,'Forecast (By Year)'!$F$3:$F$55,'Forecast (By Year)'!$R$3:$R$55)/Inputs!$K$5,_xlfn.XLOOKUP(I175,'Forecast (By Year)'!$AD$3:$AD$55,'Forecast (By Year)'!$AP$3:$AP$55)/Inputs!$K$5)</f>
        <v>#N/A</v>
      </c>
      <c r="L175" s="97" t="e">
        <f>IF($B$77=Inputs!$B$18,_xlfn.XLOOKUP(I175,'Forecast (By Year)'!$F$3:$F$55,'Forecast (By Year)'!$R$3:$R$55)/Inputs!$K$9,_xlfn.XLOOKUP(I175,'Forecast (By Year)'!$AD$3:$AD$55,'Forecast (By Year)'!$AP$3:$AP$55)/Inputs!$K$9)</f>
        <v>#N/A</v>
      </c>
      <c r="M175" s="97" t="e">
        <f>IF(I175=ROUND(Inputs!$K$10,0),$M$134,NA())</f>
        <v>#N/A</v>
      </c>
      <c r="N175" s="17"/>
    </row>
    <row r="176" spans="2:14" x14ac:dyDescent="0.35">
      <c r="B176" s="76">
        <v>41</v>
      </c>
      <c r="C176" s="8" t="e">
        <f>IF($B$77=Inputs!$B$18,IF($B176&lt;='Mortgage Calculators (By Year)'!$C$9,'Forecast (By Year)'!I45,NA()),IF($B176&lt;='Mortgage Calculators (By Year)'!$J$12,'Forecast (By Year)'!AG45,NA()))</f>
        <v>#N/A</v>
      </c>
      <c r="D176" s="8" t="e">
        <f t="shared" si="4"/>
        <v>#N/A</v>
      </c>
      <c r="E176" s="8" t="e">
        <f>IF($B$77=Inputs!$B$18,IF($B176&lt;='Mortgage Calculators (By Year)'!$C$9,'Forecast (By Year)'!L45,NA()),IF($B176&lt;='Mortgage Calculators (By Year)'!$J$12,'Forecast (By Year)'!AJ45,NA()))</f>
        <v>#N/A</v>
      </c>
      <c r="F176" s="8" t="e">
        <f>IF($B$77=Inputs!$B$18,IF($B176&lt;='Mortgage Calculators (By Year)'!$C$9,'Forecast (By Year)'!M45,NA()),IF($B176&lt;='Mortgage Calculators (By Year)'!$J$12,'Forecast (By Year)'!AK45,NA()))</f>
        <v>#N/A</v>
      </c>
      <c r="G176" s="8" t="e">
        <f>IF(B176=ROUND(Inputs!$K$10,0),_xlfn.MAXIFS(C176:D176,C176:D176,"&gt;0"),NA())</f>
        <v>#N/A</v>
      </c>
      <c r="I176" s="12">
        <v>41</v>
      </c>
      <c r="J176" s="97" t="e">
        <f>IF($B$77=Inputs!$B$18,_xlfn.XLOOKUP(I176,'Forecast (By Year)'!$F$3:$F$55,'Forecast (By Year)'!$R$3:$R$55)/Inputs!$K$18,_xlfn.XLOOKUP(I176,'Forecast (By Year)'!$AD$3:$AD$55,'Forecast (By Year)'!$AP$3:$AP$55)/Inputs!$K$18)</f>
        <v>#N/A</v>
      </c>
      <c r="K176" s="97" t="e">
        <f>IF($B$77=Inputs!$B$18,_xlfn.XLOOKUP(I176,'Forecast (By Year)'!$F$3:$F$55,'Forecast (By Year)'!$R$3:$R$55)/Inputs!$K$5,_xlfn.XLOOKUP(I176,'Forecast (By Year)'!$AD$3:$AD$55,'Forecast (By Year)'!$AP$3:$AP$55)/Inputs!$K$5)</f>
        <v>#N/A</v>
      </c>
      <c r="L176" s="97" t="e">
        <f>IF($B$77=Inputs!$B$18,_xlfn.XLOOKUP(I176,'Forecast (By Year)'!$F$3:$F$55,'Forecast (By Year)'!$R$3:$R$55)/Inputs!$K$9,_xlfn.XLOOKUP(I176,'Forecast (By Year)'!$AD$3:$AD$55,'Forecast (By Year)'!$AP$3:$AP$55)/Inputs!$K$9)</f>
        <v>#N/A</v>
      </c>
      <c r="M176" s="97" t="e">
        <f>IF(I176=ROUND(Inputs!$K$10,0),$M$134,NA())</f>
        <v>#N/A</v>
      </c>
      <c r="N176" s="17"/>
    </row>
    <row r="177" spans="2:14" x14ac:dyDescent="0.35">
      <c r="B177" s="76">
        <v>42</v>
      </c>
      <c r="C177" s="8" t="e">
        <f>IF($B$77=Inputs!$B$18,IF($B177&lt;='Mortgage Calculators (By Year)'!$C$9,'Forecast (By Year)'!I46,NA()),IF($B177&lt;='Mortgage Calculators (By Year)'!$J$12,'Forecast (By Year)'!AG46,NA()))</f>
        <v>#N/A</v>
      </c>
      <c r="D177" s="8" t="e">
        <f t="shared" si="4"/>
        <v>#N/A</v>
      </c>
      <c r="E177" s="8" t="e">
        <f>IF($B$77=Inputs!$B$18,IF($B177&lt;='Mortgage Calculators (By Year)'!$C$9,'Forecast (By Year)'!L46,NA()),IF($B177&lt;='Mortgage Calculators (By Year)'!$J$12,'Forecast (By Year)'!AJ46,NA()))</f>
        <v>#N/A</v>
      </c>
      <c r="F177" s="8" t="e">
        <f>IF($B$77=Inputs!$B$18,IF($B177&lt;='Mortgage Calculators (By Year)'!$C$9,'Forecast (By Year)'!M46,NA()),IF($B177&lt;='Mortgage Calculators (By Year)'!$J$12,'Forecast (By Year)'!AK46,NA()))</f>
        <v>#N/A</v>
      </c>
      <c r="G177" s="8" t="e">
        <f>IF(B177=ROUND(Inputs!$K$10,0),_xlfn.MAXIFS(C177:D177,C177:D177,"&gt;0"),NA())</f>
        <v>#N/A</v>
      </c>
      <c r="I177" s="12">
        <v>42</v>
      </c>
      <c r="J177" s="97" t="e">
        <f>IF($B$77=Inputs!$B$18,_xlfn.XLOOKUP(I177,'Forecast (By Year)'!$F$3:$F$55,'Forecast (By Year)'!$R$3:$R$55)/Inputs!$K$18,_xlfn.XLOOKUP(I177,'Forecast (By Year)'!$AD$3:$AD$55,'Forecast (By Year)'!$AP$3:$AP$55)/Inputs!$K$18)</f>
        <v>#N/A</v>
      </c>
      <c r="K177" s="97" t="e">
        <f>IF($B$77=Inputs!$B$18,_xlfn.XLOOKUP(I177,'Forecast (By Year)'!$F$3:$F$55,'Forecast (By Year)'!$R$3:$R$55)/Inputs!$K$5,_xlfn.XLOOKUP(I177,'Forecast (By Year)'!$AD$3:$AD$55,'Forecast (By Year)'!$AP$3:$AP$55)/Inputs!$K$5)</f>
        <v>#N/A</v>
      </c>
      <c r="L177" s="97" t="e">
        <f>IF($B$77=Inputs!$B$18,_xlfn.XLOOKUP(I177,'Forecast (By Year)'!$F$3:$F$55,'Forecast (By Year)'!$R$3:$R$55)/Inputs!$K$9,_xlfn.XLOOKUP(I177,'Forecast (By Year)'!$AD$3:$AD$55,'Forecast (By Year)'!$AP$3:$AP$55)/Inputs!$K$9)</f>
        <v>#N/A</v>
      </c>
      <c r="M177" s="97" t="e">
        <f>IF(I177=ROUND(Inputs!$K$10,0),$M$134,NA())</f>
        <v>#N/A</v>
      </c>
      <c r="N177" s="17"/>
    </row>
    <row r="178" spans="2:14" x14ac:dyDescent="0.35">
      <c r="B178" s="76">
        <v>43</v>
      </c>
      <c r="C178" s="8" t="e">
        <f>IF($B$77=Inputs!$B$18,IF($B178&lt;='Mortgage Calculators (By Year)'!$C$9,'Forecast (By Year)'!I47,NA()),IF($B178&lt;='Mortgage Calculators (By Year)'!$J$12,'Forecast (By Year)'!AG47,NA()))</f>
        <v>#N/A</v>
      </c>
      <c r="D178" s="8" t="e">
        <f t="shared" si="4"/>
        <v>#N/A</v>
      </c>
      <c r="E178" s="8" t="e">
        <f>IF($B$77=Inputs!$B$18,IF($B178&lt;='Mortgage Calculators (By Year)'!$C$9,'Forecast (By Year)'!L47,NA()),IF($B178&lt;='Mortgage Calculators (By Year)'!$J$12,'Forecast (By Year)'!AJ47,NA()))</f>
        <v>#N/A</v>
      </c>
      <c r="F178" s="8" t="e">
        <f>IF($B$77=Inputs!$B$18,IF($B178&lt;='Mortgage Calculators (By Year)'!$C$9,'Forecast (By Year)'!M47,NA()),IF($B178&lt;='Mortgage Calculators (By Year)'!$J$12,'Forecast (By Year)'!AK47,NA()))</f>
        <v>#N/A</v>
      </c>
      <c r="G178" s="8" t="e">
        <f>IF(B178=ROUND(Inputs!$K$10,0),_xlfn.MAXIFS(C178:D178,C178:D178,"&gt;0"),NA())</f>
        <v>#N/A</v>
      </c>
      <c r="I178" s="12">
        <v>43</v>
      </c>
      <c r="J178" s="97" t="e">
        <f>IF($B$77=Inputs!$B$18,_xlfn.XLOOKUP(I178,'Forecast (By Year)'!$F$3:$F$55,'Forecast (By Year)'!$R$3:$R$55)/Inputs!$K$18,_xlfn.XLOOKUP(I178,'Forecast (By Year)'!$AD$3:$AD$55,'Forecast (By Year)'!$AP$3:$AP$55)/Inputs!$K$18)</f>
        <v>#N/A</v>
      </c>
      <c r="K178" s="97" t="e">
        <f>IF($B$77=Inputs!$B$18,_xlfn.XLOOKUP(I178,'Forecast (By Year)'!$F$3:$F$55,'Forecast (By Year)'!$R$3:$R$55)/Inputs!$K$5,_xlfn.XLOOKUP(I178,'Forecast (By Year)'!$AD$3:$AD$55,'Forecast (By Year)'!$AP$3:$AP$55)/Inputs!$K$5)</f>
        <v>#N/A</v>
      </c>
      <c r="L178" s="97" t="e">
        <f>IF($B$77=Inputs!$B$18,_xlfn.XLOOKUP(I178,'Forecast (By Year)'!$F$3:$F$55,'Forecast (By Year)'!$R$3:$R$55)/Inputs!$K$9,_xlfn.XLOOKUP(I178,'Forecast (By Year)'!$AD$3:$AD$55,'Forecast (By Year)'!$AP$3:$AP$55)/Inputs!$K$9)</f>
        <v>#N/A</v>
      </c>
      <c r="M178" s="97" t="e">
        <f>IF(I178=ROUND(Inputs!$K$10,0),$M$134,NA())</f>
        <v>#N/A</v>
      </c>
      <c r="N178" s="17"/>
    </row>
    <row r="179" spans="2:14" x14ac:dyDescent="0.35">
      <c r="B179" s="76">
        <v>44</v>
      </c>
      <c r="C179" s="8" t="e">
        <f>IF($B$77=Inputs!$B$18,IF($B179&lt;='Mortgage Calculators (By Year)'!$C$9,'Forecast (By Year)'!I48,NA()),IF($B179&lt;='Mortgage Calculators (By Year)'!$J$12,'Forecast (By Year)'!AG48,NA()))</f>
        <v>#N/A</v>
      </c>
      <c r="D179" s="8" t="e">
        <f t="shared" si="4"/>
        <v>#N/A</v>
      </c>
      <c r="E179" s="8" t="e">
        <f>IF($B$77=Inputs!$B$18,IF($B179&lt;='Mortgage Calculators (By Year)'!$C$9,'Forecast (By Year)'!L48,NA()),IF($B179&lt;='Mortgage Calculators (By Year)'!$J$12,'Forecast (By Year)'!AJ48,NA()))</f>
        <v>#N/A</v>
      </c>
      <c r="F179" s="8" t="e">
        <f>IF($B$77=Inputs!$B$18,IF($B179&lt;='Mortgage Calculators (By Year)'!$C$9,'Forecast (By Year)'!M48,NA()),IF($B179&lt;='Mortgage Calculators (By Year)'!$J$12,'Forecast (By Year)'!AK48,NA()))</f>
        <v>#N/A</v>
      </c>
      <c r="G179" s="8" t="e">
        <f>IF(B179=ROUND(Inputs!$K$10,0),_xlfn.MAXIFS(C179:D179,C179:D179,"&gt;0"),NA())</f>
        <v>#N/A</v>
      </c>
      <c r="I179" s="12">
        <v>44</v>
      </c>
      <c r="J179" s="97" t="e">
        <f>IF($B$77=Inputs!$B$18,_xlfn.XLOOKUP(I179,'Forecast (By Year)'!$F$3:$F$55,'Forecast (By Year)'!$R$3:$R$55)/Inputs!$K$18,_xlfn.XLOOKUP(I179,'Forecast (By Year)'!$AD$3:$AD$55,'Forecast (By Year)'!$AP$3:$AP$55)/Inputs!$K$18)</f>
        <v>#N/A</v>
      </c>
      <c r="K179" s="97" t="e">
        <f>IF($B$77=Inputs!$B$18,_xlfn.XLOOKUP(I179,'Forecast (By Year)'!$F$3:$F$55,'Forecast (By Year)'!$R$3:$R$55)/Inputs!$K$5,_xlfn.XLOOKUP(I179,'Forecast (By Year)'!$AD$3:$AD$55,'Forecast (By Year)'!$AP$3:$AP$55)/Inputs!$K$5)</f>
        <v>#N/A</v>
      </c>
      <c r="L179" s="97" t="e">
        <f>IF($B$77=Inputs!$B$18,_xlfn.XLOOKUP(I179,'Forecast (By Year)'!$F$3:$F$55,'Forecast (By Year)'!$R$3:$R$55)/Inputs!$K$9,_xlfn.XLOOKUP(I179,'Forecast (By Year)'!$AD$3:$AD$55,'Forecast (By Year)'!$AP$3:$AP$55)/Inputs!$K$9)</f>
        <v>#N/A</v>
      </c>
      <c r="M179" s="97" t="e">
        <f>IF(I179=ROUND(Inputs!$K$10,0),$M$134,NA())</f>
        <v>#N/A</v>
      </c>
      <c r="N179" s="17"/>
    </row>
    <row r="180" spans="2:14" x14ac:dyDescent="0.35">
      <c r="B180" s="76">
        <v>45</v>
      </c>
      <c r="C180" s="8" t="e">
        <f>IF($B$77=Inputs!$B$18,IF($B180&lt;='Mortgage Calculators (By Year)'!$C$9,'Forecast (By Year)'!I49,NA()),IF($B180&lt;='Mortgage Calculators (By Year)'!$J$12,'Forecast (By Year)'!AG49,NA()))</f>
        <v>#N/A</v>
      </c>
      <c r="D180" s="8" t="e">
        <f t="shared" si="4"/>
        <v>#N/A</v>
      </c>
      <c r="E180" s="8" t="e">
        <f>IF($B$77=Inputs!$B$18,IF($B180&lt;='Mortgage Calculators (By Year)'!$C$9,'Forecast (By Year)'!L49,NA()),IF($B180&lt;='Mortgage Calculators (By Year)'!$J$12,'Forecast (By Year)'!AJ49,NA()))</f>
        <v>#N/A</v>
      </c>
      <c r="F180" s="8" t="e">
        <f>IF($B$77=Inputs!$B$18,IF($B180&lt;='Mortgage Calculators (By Year)'!$C$9,'Forecast (By Year)'!M49,NA()),IF($B180&lt;='Mortgage Calculators (By Year)'!$J$12,'Forecast (By Year)'!AK49,NA()))</f>
        <v>#N/A</v>
      </c>
      <c r="G180" s="8" t="e">
        <f>IF(B180=ROUND(Inputs!$K$10,0),_xlfn.MAXIFS(C180:D180,C180:D180,"&gt;0"),NA())</f>
        <v>#N/A</v>
      </c>
      <c r="I180" s="12">
        <v>45</v>
      </c>
      <c r="J180" s="97" t="e">
        <f>IF($B$77=Inputs!$B$18,_xlfn.XLOOKUP(I180,'Forecast (By Year)'!$F$3:$F$55,'Forecast (By Year)'!$R$3:$R$55)/Inputs!$K$18,_xlfn.XLOOKUP(I180,'Forecast (By Year)'!$AD$3:$AD$55,'Forecast (By Year)'!$AP$3:$AP$55)/Inputs!$K$18)</f>
        <v>#N/A</v>
      </c>
      <c r="K180" s="97" t="e">
        <f>IF($B$77=Inputs!$B$18,_xlfn.XLOOKUP(I180,'Forecast (By Year)'!$F$3:$F$55,'Forecast (By Year)'!$R$3:$R$55)/Inputs!$K$5,_xlfn.XLOOKUP(I180,'Forecast (By Year)'!$AD$3:$AD$55,'Forecast (By Year)'!$AP$3:$AP$55)/Inputs!$K$5)</f>
        <v>#N/A</v>
      </c>
      <c r="L180" s="97" t="e">
        <f>IF($B$77=Inputs!$B$18,_xlfn.XLOOKUP(I180,'Forecast (By Year)'!$F$3:$F$55,'Forecast (By Year)'!$R$3:$R$55)/Inputs!$K$9,_xlfn.XLOOKUP(I180,'Forecast (By Year)'!$AD$3:$AD$55,'Forecast (By Year)'!$AP$3:$AP$55)/Inputs!$K$9)</f>
        <v>#N/A</v>
      </c>
      <c r="M180" s="97" t="e">
        <f>IF(I180=ROUND(Inputs!$K$10,0),$M$134,NA())</f>
        <v>#N/A</v>
      </c>
      <c r="N180" s="17"/>
    </row>
    <row r="181" spans="2:14" x14ac:dyDescent="0.35">
      <c r="B181" s="76">
        <v>46</v>
      </c>
      <c r="C181" s="8" t="e">
        <f>IF($B$77=Inputs!$B$18,IF($B181&lt;='Mortgage Calculators (By Year)'!$C$9,'Forecast (By Year)'!I50,NA()),IF($B181&lt;='Mortgage Calculators (By Year)'!$J$12,'Forecast (By Year)'!AG50,NA()))</f>
        <v>#N/A</v>
      </c>
      <c r="D181" s="8" t="e">
        <f t="shared" si="4"/>
        <v>#N/A</v>
      </c>
      <c r="E181" s="8" t="e">
        <f>IF($B$77=Inputs!$B$18,IF($B181&lt;='Mortgage Calculators (By Year)'!$C$9,'Forecast (By Year)'!L50,NA()),IF($B181&lt;='Mortgage Calculators (By Year)'!$J$12,'Forecast (By Year)'!AJ50,NA()))</f>
        <v>#N/A</v>
      </c>
      <c r="F181" s="8" t="e">
        <f>IF($B$77=Inputs!$B$18,IF($B181&lt;='Mortgage Calculators (By Year)'!$C$9,'Forecast (By Year)'!M50,NA()),IF($B181&lt;='Mortgage Calculators (By Year)'!$J$12,'Forecast (By Year)'!AK50,NA()))</f>
        <v>#N/A</v>
      </c>
      <c r="G181" s="8" t="e">
        <f>IF(B181=ROUND(Inputs!$K$10,0),_xlfn.MAXIFS(C181:D181,C181:D181,"&gt;0"),NA())</f>
        <v>#N/A</v>
      </c>
      <c r="I181" s="12">
        <v>46</v>
      </c>
      <c r="J181" s="97" t="e">
        <f>IF($B$77=Inputs!$B$18,_xlfn.XLOOKUP(I181,'Forecast (By Year)'!$F$3:$F$55,'Forecast (By Year)'!$R$3:$R$55)/Inputs!$K$18,_xlfn.XLOOKUP(I181,'Forecast (By Year)'!$AD$3:$AD$55,'Forecast (By Year)'!$AP$3:$AP$55)/Inputs!$K$18)</f>
        <v>#N/A</v>
      </c>
      <c r="K181" s="97" t="e">
        <f>IF($B$77=Inputs!$B$18,_xlfn.XLOOKUP(I181,'Forecast (By Year)'!$F$3:$F$55,'Forecast (By Year)'!$R$3:$R$55)/Inputs!$K$5,_xlfn.XLOOKUP(I181,'Forecast (By Year)'!$AD$3:$AD$55,'Forecast (By Year)'!$AP$3:$AP$55)/Inputs!$K$5)</f>
        <v>#N/A</v>
      </c>
      <c r="L181" s="97" t="e">
        <f>IF($B$77=Inputs!$B$18,_xlfn.XLOOKUP(I181,'Forecast (By Year)'!$F$3:$F$55,'Forecast (By Year)'!$R$3:$R$55)/Inputs!$K$9,_xlfn.XLOOKUP(I181,'Forecast (By Year)'!$AD$3:$AD$55,'Forecast (By Year)'!$AP$3:$AP$55)/Inputs!$K$9)</f>
        <v>#N/A</v>
      </c>
      <c r="M181" s="97" t="e">
        <f>IF(I181=ROUND(Inputs!$K$10,0),$M$134,NA())</f>
        <v>#N/A</v>
      </c>
      <c r="N181" s="17"/>
    </row>
    <row r="182" spans="2:14" x14ac:dyDescent="0.35">
      <c r="B182" s="76">
        <v>47</v>
      </c>
      <c r="C182" s="8" t="e">
        <f>IF($B$77=Inputs!$B$18,IF($B182&lt;='Mortgage Calculators (By Year)'!$C$9,'Forecast (By Year)'!I51,NA()),IF($B182&lt;='Mortgage Calculators (By Year)'!$J$12,'Forecast (By Year)'!AG51,NA()))</f>
        <v>#N/A</v>
      </c>
      <c r="D182" s="8" t="e">
        <f t="shared" si="4"/>
        <v>#N/A</v>
      </c>
      <c r="E182" s="8" t="e">
        <f>IF($B$77=Inputs!$B$18,IF($B182&lt;='Mortgage Calculators (By Year)'!$C$9,'Forecast (By Year)'!L51,NA()),IF($B182&lt;='Mortgage Calculators (By Year)'!$J$12,'Forecast (By Year)'!AJ51,NA()))</f>
        <v>#N/A</v>
      </c>
      <c r="F182" s="8" t="e">
        <f>IF($B$77=Inputs!$B$18,IF($B182&lt;='Mortgage Calculators (By Year)'!$C$9,'Forecast (By Year)'!M51,NA()),IF($B182&lt;='Mortgage Calculators (By Year)'!$J$12,'Forecast (By Year)'!AK51,NA()))</f>
        <v>#N/A</v>
      </c>
      <c r="G182" s="8" t="e">
        <f>IF(B182=ROUND(Inputs!$K$10,0),_xlfn.MAXIFS(C182:D182,C182:D182,"&gt;0"),NA())</f>
        <v>#N/A</v>
      </c>
      <c r="I182" s="12">
        <v>47</v>
      </c>
      <c r="J182" s="97" t="e">
        <f>IF($B$77=Inputs!$B$18,_xlfn.XLOOKUP(I182,'Forecast (By Year)'!$F$3:$F$55,'Forecast (By Year)'!$R$3:$R$55)/Inputs!$K$18,_xlfn.XLOOKUP(I182,'Forecast (By Year)'!$AD$3:$AD$55,'Forecast (By Year)'!$AP$3:$AP$55)/Inputs!$K$18)</f>
        <v>#N/A</v>
      </c>
      <c r="K182" s="97" t="e">
        <f>IF($B$77=Inputs!$B$18,_xlfn.XLOOKUP(I182,'Forecast (By Year)'!$F$3:$F$55,'Forecast (By Year)'!$R$3:$R$55)/Inputs!$K$5,_xlfn.XLOOKUP(I182,'Forecast (By Year)'!$AD$3:$AD$55,'Forecast (By Year)'!$AP$3:$AP$55)/Inputs!$K$5)</f>
        <v>#N/A</v>
      </c>
      <c r="L182" s="97" t="e">
        <f>IF($B$77=Inputs!$B$18,_xlfn.XLOOKUP(I182,'Forecast (By Year)'!$F$3:$F$55,'Forecast (By Year)'!$R$3:$R$55)/Inputs!$K$9,_xlfn.XLOOKUP(I182,'Forecast (By Year)'!$AD$3:$AD$55,'Forecast (By Year)'!$AP$3:$AP$55)/Inputs!$K$9)</f>
        <v>#N/A</v>
      </c>
      <c r="M182" s="97" t="e">
        <f>IF(I182=ROUND(Inputs!$K$10,0),$M$134,NA())</f>
        <v>#N/A</v>
      </c>
      <c r="N182" s="17"/>
    </row>
    <row r="183" spans="2:14" x14ac:dyDescent="0.35">
      <c r="B183" s="76">
        <v>48</v>
      </c>
      <c r="C183" s="8" t="e">
        <f>IF($B$77=Inputs!$B$18,IF($B183&lt;='Mortgage Calculators (By Year)'!$C$9,'Forecast (By Year)'!I52,NA()),IF($B183&lt;='Mortgage Calculators (By Year)'!$J$12,'Forecast (By Year)'!AG52,NA()))</f>
        <v>#N/A</v>
      </c>
      <c r="D183" s="8" t="e">
        <f t="shared" si="4"/>
        <v>#N/A</v>
      </c>
      <c r="E183" s="8" t="e">
        <f>IF($B$77=Inputs!$B$18,IF($B183&lt;='Mortgage Calculators (By Year)'!$C$9,'Forecast (By Year)'!L52,NA()),IF($B183&lt;='Mortgage Calculators (By Year)'!$J$12,'Forecast (By Year)'!AJ52,NA()))</f>
        <v>#N/A</v>
      </c>
      <c r="F183" s="8" t="e">
        <f>IF($B$77=Inputs!$B$18,IF($B183&lt;='Mortgage Calculators (By Year)'!$C$9,'Forecast (By Year)'!M52,NA()),IF($B183&lt;='Mortgage Calculators (By Year)'!$J$12,'Forecast (By Year)'!AK52,NA()))</f>
        <v>#N/A</v>
      </c>
      <c r="G183" s="8" t="e">
        <f>IF(B183=ROUND(Inputs!$K$10,0),_xlfn.MAXIFS(C183:D183,C183:D183,"&gt;0"),NA())</f>
        <v>#N/A</v>
      </c>
      <c r="I183" s="12">
        <v>48</v>
      </c>
      <c r="J183" s="97" t="e">
        <f>IF($B$77=Inputs!$B$18,_xlfn.XLOOKUP(I183,'Forecast (By Year)'!$F$3:$F$55,'Forecast (By Year)'!$R$3:$R$55)/Inputs!$K$18,_xlfn.XLOOKUP(I183,'Forecast (By Year)'!$AD$3:$AD$55,'Forecast (By Year)'!$AP$3:$AP$55)/Inputs!$K$18)</f>
        <v>#N/A</v>
      </c>
      <c r="K183" s="97" t="e">
        <f>IF($B$77=Inputs!$B$18,_xlfn.XLOOKUP(I183,'Forecast (By Year)'!$F$3:$F$55,'Forecast (By Year)'!$R$3:$R$55)/Inputs!$K$5,_xlfn.XLOOKUP(I183,'Forecast (By Year)'!$AD$3:$AD$55,'Forecast (By Year)'!$AP$3:$AP$55)/Inputs!$K$5)</f>
        <v>#N/A</v>
      </c>
      <c r="L183" s="97" t="e">
        <f>IF($B$77=Inputs!$B$18,_xlfn.XLOOKUP(I183,'Forecast (By Year)'!$F$3:$F$55,'Forecast (By Year)'!$R$3:$R$55)/Inputs!$K$9,_xlfn.XLOOKUP(I183,'Forecast (By Year)'!$AD$3:$AD$55,'Forecast (By Year)'!$AP$3:$AP$55)/Inputs!$K$9)</f>
        <v>#N/A</v>
      </c>
      <c r="M183" s="97" t="e">
        <f>IF(I183=ROUND(Inputs!$K$10,0),$M$134,NA())</f>
        <v>#N/A</v>
      </c>
      <c r="N183" s="17"/>
    </row>
    <row r="184" spans="2:14" x14ac:dyDescent="0.35">
      <c r="B184" s="76">
        <v>49</v>
      </c>
      <c r="C184" s="8" t="e">
        <f>IF($B$77=Inputs!$B$18,IF($B184&lt;='Mortgage Calculators (By Year)'!$C$9,'Forecast (By Year)'!I53,NA()),IF($B184&lt;='Mortgage Calculators (By Year)'!$J$12,'Forecast (By Year)'!AG53,NA()))</f>
        <v>#N/A</v>
      </c>
      <c r="D184" s="8" t="e">
        <f t="shared" si="4"/>
        <v>#N/A</v>
      </c>
      <c r="E184" s="8" t="e">
        <f>IF($B$77=Inputs!$B$18,IF($B184&lt;='Mortgage Calculators (By Year)'!$C$9,'Forecast (By Year)'!L53,NA()),IF($B184&lt;='Mortgage Calculators (By Year)'!$J$12,'Forecast (By Year)'!AJ53,NA()))</f>
        <v>#N/A</v>
      </c>
      <c r="F184" s="8" t="e">
        <f>IF($B$77=Inputs!$B$18,IF($B184&lt;='Mortgage Calculators (By Year)'!$C$9,'Forecast (By Year)'!M53,NA()),IF($B184&lt;='Mortgage Calculators (By Year)'!$J$12,'Forecast (By Year)'!AK53,NA()))</f>
        <v>#N/A</v>
      </c>
      <c r="G184" s="8" t="e">
        <f>IF(B184=ROUND(Inputs!$K$10,0),_xlfn.MAXIFS(C184:D184,C184:D184,"&gt;0"),NA())</f>
        <v>#N/A</v>
      </c>
      <c r="I184" s="12">
        <v>49</v>
      </c>
      <c r="J184" s="97" t="e">
        <f>IF($B$77=Inputs!$B$18,_xlfn.XLOOKUP(I184,'Forecast (By Year)'!$F$3:$F$55,'Forecast (By Year)'!$R$3:$R$55)/Inputs!$K$18,_xlfn.XLOOKUP(I184,'Forecast (By Year)'!$AD$3:$AD$55,'Forecast (By Year)'!$AP$3:$AP$55)/Inputs!$K$18)</f>
        <v>#N/A</v>
      </c>
      <c r="K184" s="97" t="e">
        <f>IF($B$77=Inputs!$B$18,_xlfn.XLOOKUP(I184,'Forecast (By Year)'!$F$3:$F$55,'Forecast (By Year)'!$R$3:$R$55)/Inputs!$K$5,_xlfn.XLOOKUP(I184,'Forecast (By Year)'!$AD$3:$AD$55,'Forecast (By Year)'!$AP$3:$AP$55)/Inputs!$K$5)</f>
        <v>#N/A</v>
      </c>
      <c r="L184" s="97" t="e">
        <f>IF($B$77=Inputs!$B$18,_xlfn.XLOOKUP(I184,'Forecast (By Year)'!$F$3:$F$55,'Forecast (By Year)'!$R$3:$R$55)/Inputs!$K$9,_xlfn.XLOOKUP(I184,'Forecast (By Year)'!$AD$3:$AD$55,'Forecast (By Year)'!$AP$3:$AP$55)/Inputs!$K$9)</f>
        <v>#N/A</v>
      </c>
      <c r="M184" s="97" t="e">
        <f>IF(I184=ROUND(Inputs!$K$10,0),$M$134,NA())</f>
        <v>#N/A</v>
      </c>
      <c r="N184" s="17"/>
    </row>
    <row r="185" spans="2:14" x14ac:dyDescent="0.35">
      <c r="B185" s="76">
        <v>50</v>
      </c>
      <c r="C185" s="8" t="e">
        <f>IF($B$77=Inputs!$B$18,IF($B185&lt;='Mortgage Calculators (By Year)'!$C$9,'Forecast (By Year)'!I54,NA()),IF($B185&lt;='Mortgage Calculators (By Year)'!$J$12,'Forecast (By Year)'!AG54,NA()))</f>
        <v>#N/A</v>
      </c>
      <c r="D185" s="8" t="e">
        <f t="shared" si="4"/>
        <v>#N/A</v>
      </c>
      <c r="E185" s="8" t="e">
        <f>IF($B$77=Inputs!$B$18,IF($B185&lt;='Mortgage Calculators (By Year)'!$C$9,'Forecast (By Year)'!L54,NA()),IF($B185&lt;='Mortgage Calculators (By Year)'!$J$12,'Forecast (By Year)'!AJ54,NA()))</f>
        <v>#N/A</v>
      </c>
      <c r="F185" s="8" t="e">
        <f>IF($B$77=Inputs!$B$18,IF($B185&lt;='Mortgage Calculators (By Year)'!$C$9,'Forecast (By Year)'!M54,NA()),IF($B185&lt;='Mortgage Calculators (By Year)'!$J$12,'Forecast (By Year)'!AK54,NA()))</f>
        <v>#N/A</v>
      </c>
      <c r="G185" s="8" t="e">
        <f>IF(B185=ROUND(Inputs!$K$10,0),_xlfn.MAXIFS(C185:D185,C185:D185,"&gt;0"),NA())</f>
        <v>#N/A</v>
      </c>
      <c r="I185" s="12">
        <v>50</v>
      </c>
      <c r="J185" s="97" t="e">
        <f>IF($B$77=Inputs!$B$18,_xlfn.XLOOKUP(I185,'Forecast (By Year)'!$F$3:$F$55,'Forecast (By Year)'!$R$3:$R$55)/Inputs!$K$18,_xlfn.XLOOKUP(I185,'Forecast (By Year)'!$AD$3:$AD$55,'Forecast (By Year)'!$AP$3:$AP$55)/Inputs!$K$18)</f>
        <v>#N/A</v>
      </c>
      <c r="K185" s="97" t="e">
        <f>IF($B$77=Inputs!$B$18,_xlfn.XLOOKUP(I185,'Forecast (By Year)'!$F$3:$F$55,'Forecast (By Year)'!$R$3:$R$55)/Inputs!$K$5,_xlfn.XLOOKUP(I185,'Forecast (By Year)'!$AD$3:$AD$55,'Forecast (By Year)'!$AP$3:$AP$55)/Inputs!$K$5)</f>
        <v>#N/A</v>
      </c>
      <c r="L185" s="97" t="e">
        <f>IF($B$77=Inputs!$B$18,_xlfn.XLOOKUP(I185,'Forecast (By Year)'!$F$3:$F$55,'Forecast (By Year)'!$R$3:$R$55)/Inputs!$K$9,_xlfn.XLOOKUP(I185,'Forecast (By Year)'!$AD$3:$AD$55,'Forecast (By Year)'!$AP$3:$AP$55)/Inputs!$K$9)</f>
        <v>#N/A</v>
      </c>
      <c r="M185" s="97" t="e">
        <f>IF(I185=ROUND(Inputs!$K$10,0),$M$134,NA())</f>
        <v>#N/A</v>
      </c>
      <c r="N185" s="17"/>
    </row>
    <row r="186" spans="2:14" ht="15" thickBot="1" x14ac:dyDescent="0.4">
      <c r="B186" s="77">
        <v>51</v>
      </c>
      <c r="C186" s="21" t="e">
        <f>IF($B$77=Inputs!$B$18,IF($B186&lt;='Mortgage Calculators (By Year)'!$C$9,'Forecast (By Year)'!I55,NA()),IF($B186&lt;='Mortgage Calculators (By Year)'!$J$12,'Forecast (By Year)'!AG55,NA()))</f>
        <v>#N/A</v>
      </c>
      <c r="D186" s="21" t="e">
        <f t="shared" si="4"/>
        <v>#N/A</v>
      </c>
      <c r="E186" s="21" t="e">
        <f>IF($B$77=Inputs!$B$18,IF($B186&lt;='Mortgage Calculators (By Year)'!$C$9,'Forecast (By Year)'!L55,NA()),IF($B186&lt;='Mortgage Calculators (By Year)'!$J$12,'Forecast (By Year)'!AJ55,NA()))</f>
        <v>#N/A</v>
      </c>
      <c r="F186" s="21" t="e">
        <f>IF($B$77=Inputs!$B$18,IF($B186&lt;='Mortgage Calculators (By Year)'!$C$9,'Forecast (By Year)'!M55,NA()),IF($B186&lt;='Mortgage Calculators (By Year)'!$J$12,'Forecast (By Year)'!AK55,NA()))</f>
        <v>#N/A</v>
      </c>
      <c r="G186" s="21" t="e">
        <f>IF(B186=ROUND(Inputs!$K$10,0),_xlfn.MAXIFS(C186:D186,C186:D186,"&gt;0"),NA())</f>
        <v>#N/A</v>
      </c>
      <c r="H186" s="23"/>
      <c r="I186" s="80">
        <v>51</v>
      </c>
      <c r="J186" s="98" t="e">
        <f>IF($B$77=Inputs!$B$18,_xlfn.XLOOKUP(I186,'Forecast (By Year)'!$F$3:$F$55,'Forecast (By Year)'!$R$3:$R$55)/Inputs!$K$18,_xlfn.XLOOKUP(I186,'Forecast (By Year)'!$AD$3:$AD$55,'Forecast (By Year)'!$AP$3:$AP$55)/Inputs!$K$18)</f>
        <v>#N/A</v>
      </c>
      <c r="K186" s="98" t="e">
        <f>IF($B$77=Inputs!$B$18,_xlfn.XLOOKUP(I186,'Forecast (By Year)'!$F$3:$F$55,'Forecast (By Year)'!$R$3:$R$55)/Inputs!$K$5,_xlfn.XLOOKUP(I186,'Forecast (By Year)'!$AD$3:$AD$55,'Forecast (By Year)'!$AP$3:$AP$55)/Inputs!$K$5)</f>
        <v>#N/A</v>
      </c>
      <c r="L186" s="98" t="e">
        <f>IF($B$77=Inputs!$B$18,_xlfn.XLOOKUP(I186,'Forecast (By Year)'!$F$3:$F$55,'Forecast (By Year)'!$R$3:$R$55)/Inputs!$K$9,_xlfn.XLOOKUP(I186,'Forecast (By Year)'!$AD$3:$AD$55,'Forecast (By Year)'!$AP$3:$AP$55)/Inputs!$K$9)</f>
        <v>#N/A</v>
      </c>
      <c r="M186" s="98" t="e">
        <f>IF(I186=ROUND(Inputs!$K$10,0),$M$134,NA())</f>
        <v>#N/A</v>
      </c>
      <c r="N186" s="22"/>
    </row>
    <row r="187" spans="2:14" ht="15" thickBot="1" x14ac:dyDescent="0.4"/>
    <row r="188" spans="2:14" x14ac:dyDescent="0.35">
      <c r="B188" s="25" t="s">
        <v>181</v>
      </c>
      <c r="C188" s="14"/>
      <c r="D188" s="15"/>
      <c r="F188" s="25" t="s">
        <v>203</v>
      </c>
      <c r="G188" s="14"/>
      <c r="H188" s="14"/>
      <c r="I188" s="14"/>
      <c r="J188" s="14"/>
      <c r="K188" s="14"/>
      <c r="L188" s="14"/>
      <c r="M188" s="14"/>
      <c r="N188" s="15"/>
    </row>
    <row r="189" spans="2:14" x14ac:dyDescent="0.35">
      <c r="B189" s="16" t="s">
        <v>182</v>
      </c>
      <c r="D189" s="17"/>
      <c r="F189" s="16" t="str">
        <f>"For a holding period of "&amp;Inputs!$K$10&amp;" years"</f>
        <v>For a holding period of 5 years</v>
      </c>
      <c r="N189" s="17"/>
    </row>
    <row r="190" spans="2:14" x14ac:dyDescent="0.35">
      <c r="B190" s="18" t="s">
        <v>57</v>
      </c>
      <c r="C190" t="s">
        <v>74</v>
      </c>
      <c r="D190" s="17"/>
      <c r="F190" s="18" t="s">
        <v>201</v>
      </c>
      <c r="H190" s="8">
        <f>_xlfn.XLOOKUP(Inputs!$K$10,'RE Calculations'!$K$22:$K$73,'RE Calculations'!$N$22:$N$73)</f>
        <v>99.999999999999986</v>
      </c>
      <c r="N190" s="17"/>
    </row>
    <row r="191" spans="2:14" x14ac:dyDescent="0.35">
      <c r="B191" s="18">
        <v>0</v>
      </c>
      <c r="C191" s="6">
        <f>IFERROR(IF(OR(Inputs!$C$84=0,Inputs!$C$84="",ISERROR(Inputs!$C$84)),Inputs!$D$84,Inputs!$C$84*Inputs!$K$9),"Error - Check Input")
+IFERROR(IF(OR(Inputs!$C$85=0,Inputs!$C$85="",ISERROR(Inputs!$C$85)),Inputs!$D$85,Inputs!$C$85*Inputs!$K$9),"Error - Check Input")
+IFERROR(IF(OR(Inputs!$C$86=0,Inputs!$C$86="",ISERROR(Inputs!$C$86)),Inputs!$D$86,Inputs!$C$86*Inputs!$K$9),"Error - Check Input")
+IFERROR(IF(OR(Inputs!$C$87=0,Inputs!$C$87="",ISERROR(Inputs!$C$87)),Inputs!$D$87,Inputs!$C$87*Inputs!$K$9),"Error - Check Input")
+IFERROR(IF(OR(Inputs!$C$88=0,Inputs!$C$88="",ISERROR(Inputs!$C$88)),Inputs!$D$88,Inputs!$C$88*Inputs!$K$9),"Error - Check Input")
+IFERROR(IF(OR(Inputs!$C$89=0,Inputs!$C$89="",ISERROR(Inputs!$C$89)),Inputs!$D$89,Inputs!$C$89*Inputs!$K$9),"Error - Check Input")
+IFERROR(IF(OR(Inputs!$C$90=0,Inputs!$C$90="",ISERROR(Inputs!$C$90)),Inputs!$D$90,Inputs!$C$90*Inputs!$K$9),"Error - Check Input")
+IFERROR(IF(OR(Inputs!$C$93=0,Inputs!$C$93="",ISERROR(Inputs!$C$93)),Inputs!$D$93,Inputs!$C$93*Inputs!$K$9),"Error - Check Input")</f>
        <v>37200</v>
      </c>
      <c r="D191" s="17"/>
      <c r="F191" s="18" t="s">
        <v>200</v>
      </c>
      <c r="H191" s="8">
        <f>_xlfn.XLOOKUP(Inputs!$K$10,'RE Calculations'!$B$22:$B$73,'RE Calculations'!$F$22:$F$73)</f>
        <v>0</v>
      </c>
      <c r="N191" s="17"/>
    </row>
    <row r="192" spans="2:14" x14ac:dyDescent="0.35">
      <c r="B192" s="18">
        <v>1</v>
      </c>
      <c r="C192" s="6">
        <f>IFERROR(IF(OR(Inputs!$C$84=0,Inputs!$C$84="",ISERROR(Inputs!$C$84)),Inputs!$D$84,Inputs!$C$84*Inputs!$K$9*(1+Inputs!$K$12)^B192),"Error - Check Input")
+IFERROR(IF(OR(Inputs!$C$85=0,Inputs!$C$85="",ISERROR(Inputs!$C$85)),Inputs!$D$85,Inputs!$C$85*Inputs!$K$9*(1+Inputs!$K$12)^B192),"Error - Check Input")
+IFERROR(IF(OR(Inputs!$C$86=0,Inputs!$C$86="",ISERROR(Inputs!$C$86)),Inputs!$D$86,Inputs!$C$86*Inputs!$K$9*(1+Inputs!$K$12)^B192),"Error - Check Input")
+IFERROR(IF(OR(Inputs!$C$87=0,Inputs!$C$87="",ISERROR(Inputs!$C$87)),Inputs!$D$87,Inputs!$C$87*Inputs!$K$9*(1+Inputs!$K$12)^B192),"Error - Check Input")
+IFERROR(IF(OR(Inputs!$C$88=0,Inputs!$C$88="",ISERROR(Inputs!$C$88)),Inputs!$D$88,Inputs!$C$88*Inputs!$K$9*(1+Inputs!$K$12)^B192),"Error - Check Input")
+IFERROR(IF(OR(Inputs!$C$89=0,Inputs!$C$89="",ISERROR(Inputs!$C$89)),Inputs!$D$89,Inputs!$C$89*Inputs!$K$9*(1+Inputs!$K$12)^B192),"Error - Check Input")
+IFERROR(IF(OR(Inputs!$C$90=0,Inputs!$C$90="",ISERROR(Inputs!$C$90)),Inputs!$D$90,Inputs!$C$90*Inputs!$K$9*(1+Inputs!$K$12)^B192),"Error - Check Input")
+IFERROR(IF(OR(Inputs!$C$93=0,Inputs!$C$93="",ISERROR(Inputs!$C$93)),Inputs!$D$93,Inputs!$C$93*Inputs!$K$9*(1+Inputs!$K$12)^B192),"Error - Check Input")</f>
        <v>37333.223847725298</v>
      </c>
      <c r="D192" s="17"/>
      <c r="F192" s="18" t="s">
        <v>179</v>
      </c>
      <c r="H192" s="8">
        <f>_xlfn.XLOOKUP(Inputs!$K$10,'RE Calculations'!$B$22:$B$73,'RE Calculations'!$D$22:$D$73)</f>
        <v>0</v>
      </c>
      <c r="N192" s="17"/>
    </row>
    <row r="193" spans="2:14" x14ac:dyDescent="0.35">
      <c r="B193" s="18">
        <v>2</v>
      </c>
      <c r="C193" s="6">
        <f>IFERROR(IF(OR(Inputs!$C$84=0,Inputs!$C$84="",ISERROR(Inputs!$C$84)),Inputs!$D$84,Inputs!$C$84*Inputs!$K$9*(1+Inputs!$K$12)^B193),"Error - Check Input")
+IFERROR(IF(OR(Inputs!$C$85=0,Inputs!$C$85="",ISERROR(Inputs!$C$85)),Inputs!$D$85,Inputs!$C$85*Inputs!$K$9*(1+Inputs!$K$12)^B193),"Error - Check Input")
+IFERROR(IF(OR(Inputs!$C$86=0,Inputs!$C$86="",ISERROR(Inputs!$C$86)),Inputs!$D$86,Inputs!$C$86*Inputs!$K$9*(1+Inputs!$K$12)^B193),"Error - Check Input")
+IFERROR(IF(OR(Inputs!$C$87=0,Inputs!$C$87="",ISERROR(Inputs!$C$87)),Inputs!$D$87,Inputs!$C$87*Inputs!$K$9*(1+Inputs!$K$12)^B193),"Error - Check Input")
+IFERROR(IF(OR(Inputs!$C$88=0,Inputs!$C$88="",ISERROR(Inputs!$C$88)),Inputs!$D$88,Inputs!$C$88*Inputs!$K$9*(1+Inputs!$K$12)^B193),"Error - Check Input")
+IFERROR(IF(OR(Inputs!$C$89=0,Inputs!$C$89="",ISERROR(Inputs!$C$89)),Inputs!$D$89,Inputs!$C$89*Inputs!$K$9*(1+Inputs!$K$12)^B193),"Error - Check Input")
+IFERROR(IF(OR(Inputs!$C$90=0,Inputs!$C$90="",ISERROR(Inputs!$C$90)),Inputs!$D$90,Inputs!$C$90*Inputs!$K$9*(1+Inputs!$K$12)^B193),"Error - Check Input")
+IFERROR(IF(OR(Inputs!$C$93=0,Inputs!$C$93="",ISERROR(Inputs!$C$93)),Inputs!$D$93,Inputs!$C$93*Inputs!$K$9*(1+Inputs!$K$12)^B193),"Error - Check Input")</f>
        <v>37466.990465897172</v>
      </c>
      <c r="D193" s="17"/>
      <c r="F193" s="18" t="s">
        <v>180</v>
      </c>
      <c r="H193" s="8">
        <f>_xlfn.XLOOKUP(Inputs!$K$10,'RE Calculations'!$B$22:$B$73,'RE Calculations'!$E$22:$E$73)</f>
        <v>499.99999999999994</v>
      </c>
      <c r="N193" s="17"/>
    </row>
    <row r="194" spans="2:14" x14ac:dyDescent="0.35">
      <c r="B194" s="18">
        <v>3</v>
      </c>
      <c r="C194" s="6">
        <f>IFERROR(IF(OR(Inputs!$C$84=0,Inputs!$C$84="",ISERROR(Inputs!$C$84)),Inputs!$D$84,Inputs!$C$84*Inputs!$K$9*(1+Inputs!$K$12)^B194),"Error - Check Input")
+IFERROR(IF(OR(Inputs!$C$85=0,Inputs!$C$85="",ISERROR(Inputs!$C$85)),Inputs!$D$85,Inputs!$C$85*Inputs!$K$9*(1+Inputs!$K$12)^B194),"Error - Check Input")
+IFERROR(IF(OR(Inputs!$C$86=0,Inputs!$C$86="",ISERROR(Inputs!$C$86)),Inputs!$D$86,Inputs!$C$86*Inputs!$K$9*(1+Inputs!$K$12)^B194),"Error - Check Input")
+IFERROR(IF(OR(Inputs!$C$87=0,Inputs!$C$87="",ISERROR(Inputs!$C$87)),Inputs!$D$87,Inputs!$C$87*Inputs!$K$9*(1+Inputs!$K$12)^B194),"Error - Check Input")
+IFERROR(IF(OR(Inputs!$C$88=0,Inputs!$C$88="",ISERROR(Inputs!$C$88)),Inputs!$D$88,Inputs!$C$88*Inputs!$K$9*(1+Inputs!$K$12)^B194),"Error - Check Input")
+IFERROR(IF(OR(Inputs!$C$89=0,Inputs!$C$89="",ISERROR(Inputs!$C$89)),Inputs!$D$89,Inputs!$C$89*Inputs!$K$9*(1+Inputs!$K$12)^B194),"Error - Check Input")
+IFERROR(IF(OR(Inputs!$C$90=0,Inputs!$C$90="",ISERROR(Inputs!$C$90)),Inputs!$D$90,Inputs!$C$90*Inputs!$K$9*(1+Inputs!$K$12)^B194),"Error - Check Input")
+IFERROR(IF(OR(Inputs!$C$93=0,Inputs!$C$93="",ISERROR(Inputs!$C$93)),Inputs!$D$93,Inputs!$C$93*Inputs!$K$9*(1+Inputs!$K$12)^B194),"Error - Check Input")</f>
        <v>37601.302065829594</v>
      </c>
      <c r="D194" s="17"/>
      <c r="F194" s="18" t="s">
        <v>196</v>
      </c>
      <c r="H194" s="8">
        <f>Inputs!K18</f>
        <v>1601027</v>
      </c>
      <c r="N194" s="17"/>
    </row>
    <row r="195" spans="2:14" x14ac:dyDescent="0.35">
      <c r="B195" s="18">
        <v>4</v>
      </c>
      <c r="C195" s="6">
        <f>IFERROR(IF(OR(Inputs!$C$84=0,Inputs!$C$84="",ISERROR(Inputs!$C$84)),Inputs!$D$84,Inputs!$C$84*Inputs!$K$9*(1+Inputs!$K$12)^B195),"Error - Check Input")
+IFERROR(IF(OR(Inputs!$C$85=0,Inputs!$C$85="",ISERROR(Inputs!$C$85)),Inputs!$D$85,Inputs!$C$85*Inputs!$K$9*(1+Inputs!$K$12)^B195),"Error - Check Input")
+IFERROR(IF(OR(Inputs!$C$86=0,Inputs!$C$86="",ISERROR(Inputs!$C$86)),Inputs!$D$86,Inputs!$C$86*Inputs!$K$9*(1+Inputs!$K$12)^B195),"Error - Check Input")
+IFERROR(IF(OR(Inputs!$C$87=0,Inputs!$C$87="",ISERROR(Inputs!$C$87)),Inputs!$D$87,Inputs!$C$87*Inputs!$K$9*(1+Inputs!$K$12)^B195),"Error - Check Input")
+IFERROR(IF(OR(Inputs!$C$88=0,Inputs!$C$88="",ISERROR(Inputs!$C$88)),Inputs!$D$88,Inputs!$C$88*Inputs!$K$9*(1+Inputs!$K$12)^B195),"Error - Check Input")
+IFERROR(IF(OR(Inputs!$C$89=0,Inputs!$C$89="",ISERROR(Inputs!$C$89)),Inputs!$D$89,Inputs!$C$89*Inputs!$K$9*(1+Inputs!$K$12)^B195),"Error - Check Input")
+IFERROR(IF(OR(Inputs!$C$90=0,Inputs!$C$90="",ISERROR(Inputs!$C$90)),Inputs!$D$90,Inputs!$C$90*Inputs!$K$9*(1+Inputs!$K$12)^B195),"Error - Check Input")
+IFERROR(IF(OR(Inputs!$C$93=0,Inputs!$C$93="",ISERROR(Inputs!$C$93)),Inputs!$D$93,Inputs!$C$93*Inputs!$K$9*(1+Inputs!$K$12)^B195),"Error - Check Input")</f>
        <v>37736.16086784572</v>
      </c>
      <c r="D195" s="17"/>
      <c r="F195" s="18" t="s">
        <v>209</v>
      </c>
      <c r="H195" s="8">
        <f>_xlfn.XLOOKUP(Inputs!$K$10,'RE Calculations'!$B$79:$B$130,'RE Calculations'!$C$79:$C$130)</f>
        <v>2086720.3546875</v>
      </c>
      <c r="N195" s="17"/>
    </row>
    <row r="196" spans="2:14" x14ac:dyDescent="0.35">
      <c r="B196" s="18">
        <v>5</v>
      </c>
      <c r="C196" s="6">
        <f>IFERROR(IF(OR(Inputs!$C$84=0,Inputs!$C$84="",ISERROR(Inputs!$C$84)),Inputs!$D$84,Inputs!$C$84*Inputs!$K$9*(1+Inputs!$K$12)^B196),"Error - Check Input")
+IFERROR(IF(OR(Inputs!$C$85=0,Inputs!$C$85="",ISERROR(Inputs!$C$85)),Inputs!$D$85,Inputs!$C$85*Inputs!$K$9*(1+Inputs!$K$12)^B196),"Error - Check Input")
+IFERROR(IF(OR(Inputs!$C$86=0,Inputs!$C$86="",ISERROR(Inputs!$C$86)),Inputs!$D$86,Inputs!$C$86*Inputs!$K$9*(1+Inputs!$K$12)^B196),"Error - Check Input")
+IFERROR(IF(OR(Inputs!$C$87=0,Inputs!$C$87="",ISERROR(Inputs!$C$87)),Inputs!$D$87,Inputs!$C$87*Inputs!$K$9*(1+Inputs!$K$12)^B196),"Error - Check Input")
+IFERROR(IF(OR(Inputs!$C$88=0,Inputs!$C$88="",ISERROR(Inputs!$C$88)),Inputs!$D$88,Inputs!$C$88*Inputs!$K$9*(1+Inputs!$K$12)^B196),"Error - Check Input")
+IFERROR(IF(OR(Inputs!$C$89=0,Inputs!$C$89="",ISERROR(Inputs!$C$89)),Inputs!$D$89,Inputs!$C$89*Inputs!$K$9*(1+Inputs!$K$12)^B196),"Error - Check Input")
+IFERROR(IF(OR(Inputs!$C$90=0,Inputs!$C$90="",ISERROR(Inputs!$C$90)),Inputs!$D$90,Inputs!$C$90*Inputs!$K$9*(1+Inputs!$K$12)^B196),"Error - Check Input")
+IFERROR(IF(OR(Inputs!$C$93=0,Inputs!$C$93="",ISERROR(Inputs!$C$93)),Inputs!$D$93,Inputs!$C$93*Inputs!$K$9*(1+Inputs!$K$12)^B196),"Error - Check Input")</f>
        <v>37871.56910131457</v>
      </c>
      <c r="D196" s="17"/>
      <c r="F196" s="18" t="s">
        <v>216</v>
      </c>
      <c r="H196" s="8">
        <f>IF($B$77=Inputs!$B$18,_xlfn.XLOOKUP(Inputs!$K$10,'Forecast (By Year)'!$F$4:$F$55,'Forecast (By Year)'!$U$4:$U$55),_xlfn.XLOOKUP(Inputs!$K$10,'Forecast (By Year)'!$AD$4:$AD$55,'Forecast (By Year)'!$AR$4:$AR$55))</f>
        <v>417244.61668750003</v>
      </c>
      <c r="N196" s="17"/>
    </row>
    <row r="197" spans="2:14" x14ac:dyDescent="0.35">
      <c r="B197" s="18">
        <v>6</v>
      </c>
      <c r="C197" s="6">
        <f>IFERROR(IF(OR(Inputs!$C$84=0,Inputs!$C$84="",ISERROR(Inputs!$C$84)),Inputs!$D$84,Inputs!$C$84*Inputs!$K$9*(1+Inputs!$K$12)^B197),"Error - Check Input")
+IFERROR(IF(OR(Inputs!$C$85=0,Inputs!$C$85="",ISERROR(Inputs!$C$85)),Inputs!$D$85,Inputs!$C$85*Inputs!$K$9*(1+Inputs!$K$12)^B197),"Error - Check Input")
+IFERROR(IF(OR(Inputs!$C$86=0,Inputs!$C$86="",ISERROR(Inputs!$C$86)),Inputs!$D$86,Inputs!$C$86*Inputs!$K$9*(1+Inputs!$K$12)^B197),"Error - Check Input")
+IFERROR(IF(OR(Inputs!$C$87=0,Inputs!$C$87="",ISERROR(Inputs!$C$87)),Inputs!$D$87,Inputs!$C$87*Inputs!$K$9*(1+Inputs!$K$12)^B197),"Error - Check Input")
+IFERROR(IF(OR(Inputs!$C$88=0,Inputs!$C$88="",ISERROR(Inputs!$C$88)),Inputs!$D$88,Inputs!$C$88*Inputs!$K$9*(1+Inputs!$K$12)^B197),"Error - Check Input")
+IFERROR(IF(OR(Inputs!$C$89=0,Inputs!$C$89="",ISERROR(Inputs!$C$89)),Inputs!$D$89,Inputs!$C$89*Inputs!$K$9*(1+Inputs!$K$12)^B197),"Error - Check Input")
+IFERROR(IF(OR(Inputs!$C$90=0,Inputs!$C$90="",ISERROR(Inputs!$C$90)),Inputs!$D$90,Inputs!$C$90*Inputs!$K$9*(1+Inputs!$K$12)^B197),"Error - Check Input")
+IFERROR(IF(OR(Inputs!$C$93=0,Inputs!$C$93="",ISERROR(Inputs!$C$93)),Inputs!$D$93,Inputs!$C$93*Inputs!$K$9*(1+Inputs!$K$12)^B197),"Error - Check Input")</f>
        <v>38007.529004687902</v>
      </c>
      <c r="D197" s="17"/>
      <c r="F197" s="18" t="s">
        <v>210</v>
      </c>
      <c r="H197" s="8">
        <f>_xlfn.XLOOKUP(Inputs!$K$10,'RE Calculations'!$B$79:$B$130,'RE Calculations'!$D$79:$D$130)</f>
        <v>2086720.3546875</v>
      </c>
      <c r="N197" s="17"/>
    </row>
    <row r="198" spans="2:14" x14ac:dyDescent="0.35">
      <c r="B198" s="18">
        <v>7</v>
      </c>
      <c r="C198" s="6">
        <f>IFERROR(IF(OR(Inputs!$C$84=0,Inputs!$C$84="",ISERROR(Inputs!$C$84)),Inputs!$D$84,Inputs!$C$84*Inputs!$K$9*(1+Inputs!$K$12)^B198),"Error - Check Input")
+IFERROR(IF(OR(Inputs!$C$85=0,Inputs!$C$85="",ISERROR(Inputs!$C$85)),Inputs!$D$85,Inputs!$C$85*Inputs!$K$9*(1+Inputs!$K$12)^B198),"Error - Check Input")
+IFERROR(IF(OR(Inputs!$C$86=0,Inputs!$C$86="",ISERROR(Inputs!$C$86)),Inputs!$D$86,Inputs!$C$86*Inputs!$K$9*(1+Inputs!$K$12)^B198),"Error - Check Input")
+IFERROR(IF(OR(Inputs!$C$87=0,Inputs!$C$87="",ISERROR(Inputs!$C$87)),Inputs!$D$87,Inputs!$C$87*Inputs!$K$9*(1+Inputs!$K$12)^B198),"Error - Check Input")
+IFERROR(IF(OR(Inputs!$C$88=0,Inputs!$C$88="",ISERROR(Inputs!$C$88)),Inputs!$D$88,Inputs!$C$88*Inputs!$K$9*(1+Inputs!$K$12)^B198),"Error - Check Input")
+IFERROR(IF(OR(Inputs!$C$89=0,Inputs!$C$89="",ISERROR(Inputs!$C$89)),Inputs!$D$89,Inputs!$C$89*Inputs!$K$9*(1+Inputs!$K$12)^B198),"Error - Check Input")
+IFERROR(IF(OR(Inputs!$C$90=0,Inputs!$C$90="",ISERROR(Inputs!$C$90)),Inputs!$D$90,Inputs!$C$90*Inputs!$K$9*(1+Inputs!$K$12)^B198),"Error - Check Input")
+IFERROR(IF(OR(Inputs!$C$93=0,Inputs!$C$93="",ISERROR(Inputs!$C$93)),Inputs!$D$93,Inputs!$C$93*Inputs!$K$9*(1+Inputs!$K$12)^B198),"Error - Check Input")</f>
        <v>38144.042825537188</v>
      </c>
      <c r="D198" s="17"/>
      <c r="F198" s="18" t="s">
        <v>231</v>
      </c>
      <c r="H198" s="8">
        <f>IF($B$77=Inputs!$B$18,_xlfn.XLOOKUP(Inputs!$K$10,'Forecast (By Year)'!$F$4:$F$55,'Forecast (By Year)'!$V$4:$V$55),_xlfn.XLOOKUP(Inputs!$K$10,'Forecast (By Year)'!$AD$4:$AD$55,'Forecast (By Year)'!$AT$4:$AT$55))</f>
        <v>439458.94759375701</v>
      </c>
      <c r="I198" t="s">
        <v>223</v>
      </c>
      <c r="N198" s="17"/>
    </row>
    <row r="199" spans="2:14" x14ac:dyDescent="0.35">
      <c r="B199" s="18">
        <v>8</v>
      </c>
      <c r="C199" s="6">
        <f>IFERROR(IF(OR(Inputs!$C$84=0,Inputs!$C$84="",ISERROR(Inputs!$C$84)),Inputs!$D$84,Inputs!$C$84*Inputs!$K$9*(1+Inputs!$K$12)^B199),"Error - Check Input")
+IFERROR(IF(OR(Inputs!$C$85=0,Inputs!$C$85="",ISERROR(Inputs!$C$85)),Inputs!$D$85,Inputs!$C$85*Inputs!$K$9*(1+Inputs!$K$12)^B199),"Error - Check Input")
+IFERROR(IF(OR(Inputs!$C$86=0,Inputs!$C$86="",ISERROR(Inputs!$C$86)),Inputs!$D$86,Inputs!$C$86*Inputs!$K$9*(1+Inputs!$K$12)^B199),"Error - Check Input")
+IFERROR(IF(OR(Inputs!$C$87=0,Inputs!$C$87="",ISERROR(Inputs!$C$87)),Inputs!$D$87,Inputs!$C$87*Inputs!$K$9*(1+Inputs!$K$12)^B199),"Error - Check Input")
+IFERROR(IF(OR(Inputs!$C$88=0,Inputs!$C$88="",ISERROR(Inputs!$C$88)),Inputs!$D$88,Inputs!$C$88*Inputs!$K$9*(1+Inputs!$K$12)^B199),"Error - Check Input")
+IFERROR(IF(OR(Inputs!$C$89=0,Inputs!$C$89="",ISERROR(Inputs!$C$89)),Inputs!$D$89,Inputs!$C$89*Inputs!$K$9*(1+Inputs!$K$12)^B199),"Error - Check Input")
+IFERROR(IF(OR(Inputs!$C$90=0,Inputs!$C$90="",ISERROR(Inputs!$C$90)),Inputs!$D$90,Inputs!$C$90*Inputs!$K$9*(1+Inputs!$K$12)^B199),"Error - Check Input")
+IFERROR(IF(OR(Inputs!$C$93=0,Inputs!$C$93="",ISERROR(Inputs!$C$93)),Inputs!$D$93,Inputs!$C$93*Inputs!$K$9*(1+Inputs!$K$12)^B199),"Error - Check Input")</f>
        <v>38281.112820590795</v>
      </c>
      <c r="D199" s="17"/>
      <c r="F199" s="18" t="s">
        <v>232</v>
      </c>
      <c r="H199" s="8">
        <f>IF($B$77=Inputs!$B$18,_xlfn.XLOOKUP(Inputs!$K$10,'Forecast (By Year)'!$F$4:$F$55,'Forecast (By Year)'!$Y$4:$Y$55),_xlfn.XLOOKUP(Inputs!$K$10,'Forecast (By Year)'!$AD$4:$AD$55,'Forecast (By Year)'!$AW$4:$AW$55))</f>
        <v>856703.5642812571</v>
      </c>
      <c r="I199" t="s">
        <v>224</v>
      </c>
      <c r="N199" s="17"/>
    </row>
    <row r="200" spans="2:14" x14ac:dyDescent="0.35">
      <c r="B200" s="18">
        <v>9</v>
      </c>
      <c r="C200" s="6">
        <f>IFERROR(IF(OR(Inputs!$C$84=0,Inputs!$C$84="",ISERROR(Inputs!$C$84)),Inputs!$D$84,Inputs!$C$84*Inputs!$K$9*(1+Inputs!$K$12)^B200),"Error - Check Input")
+IFERROR(IF(OR(Inputs!$C$85=0,Inputs!$C$85="",ISERROR(Inputs!$C$85)),Inputs!$D$85,Inputs!$C$85*Inputs!$K$9*(1+Inputs!$K$12)^B200),"Error - Check Input")
+IFERROR(IF(OR(Inputs!$C$86=0,Inputs!$C$86="",ISERROR(Inputs!$C$86)),Inputs!$D$86,Inputs!$C$86*Inputs!$K$9*(1+Inputs!$K$12)^B200),"Error - Check Input")
+IFERROR(IF(OR(Inputs!$C$87=0,Inputs!$C$87="",ISERROR(Inputs!$C$87)),Inputs!$D$87,Inputs!$C$87*Inputs!$K$9*(1+Inputs!$K$12)^B200),"Error - Check Input")
+IFERROR(IF(OR(Inputs!$C$88=0,Inputs!$C$88="",ISERROR(Inputs!$C$88)),Inputs!$D$88,Inputs!$C$88*Inputs!$K$9*(1+Inputs!$K$12)^B200),"Error - Check Input")
+IFERROR(IF(OR(Inputs!$C$89=0,Inputs!$C$89="",ISERROR(Inputs!$C$89)),Inputs!$D$89,Inputs!$C$89*Inputs!$K$9*(1+Inputs!$K$12)^B200),"Error - Check Input")
+IFERROR(IF(OR(Inputs!$C$90=0,Inputs!$C$90="",ISERROR(Inputs!$C$90)),Inputs!$D$90,Inputs!$C$90*Inputs!$K$9*(1+Inputs!$K$12)^B200),"Error - Check Input")
+IFERROR(IF(OR(Inputs!$C$93=0,Inputs!$C$93="",ISERROR(Inputs!$C$93)),Inputs!$D$93,Inputs!$C$93*Inputs!$K$9*(1+Inputs!$K$12)^B200),"Error - Check Input")</f>
        <v>38418.741255771274</v>
      </c>
      <c r="D200" s="17"/>
      <c r="F200" s="18" t="s">
        <v>297</v>
      </c>
      <c r="H200" s="97">
        <f>IF($B$77=Inputs!$B$18,_xlfn.XLOOKUP(Inputs!$K$10,'Forecast (By Year)'!$F$4:$F$55,'Forecast (By Year)'!$X$4:$X$55),_xlfn.XLOOKUP(Inputs!$K$10,'Forecast (By Year)'!$AD$4:$AD$55,'Forecast (By Year)'!$AV$4:$AV$55))</f>
        <v>5.4897131353032404E-2</v>
      </c>
      <c r="I200" t="s">
        <v>225</v>
      </c>
      <c r="N200" s="17"/>
    </row>
    <row r="201" spans="2:14" x14ac:dyDescent="0.35">
      <c r="B201" s="18">
        <v>10</v>
      </c>
      <c r="C201" s="6">
        <f>IFERROR(IF(OR(Inputs!$C$84=0,Inputs!$C$84="",ISERROR(Inputs!$C$84)),Inputs!$D$84,Inputs!$C$84*Inputs!$K$9*(1+Inputs!$K$12)^B201),"Error - Check Input")
+IFERROR(IF(OR(Inputs!$C$85=0,Inputs!$C$85="",ISERROR(Inputs!$C$85)),Inputs!$D$85,Inputs!$C$85*Inputs!$K$9*(1+Inputs!$K$12)^B201),"Error - Check Input")
+IFERROR(IF(OR(Inputs!$C$86=0,Inputs!$C$86="",ISERROR(Inputs!$C$86)),Inputs!$D$86,Inputs!$C$86*Inputs!$K$9*(1+Inputs!$K$12)^B201),"Error - Check Input")
+IFERROR(IF(OR(Inputs!$C$87=0,Inputs!$C$87="",ISERROR(Inputs!$C$87)),Inputs!$D$87,Inputs!$C$87*Inputs!$K$9*(1+Inputs!$K$12)^B201),"Error - Check Input")
+IFERROR(IF(OR(Inputs!$C$88=0,Inputs!$C$88="",ISERROR(Inputs!$C$88)),Inputs!$D$88,Inputs!$C$88*Inputs!$K$9*(1+Inputs!$K$12)^B201),"Error - Check Input")
+IFERROR(IF(OR(Inputs!$C$89=0,Inputs!$C$89="",ISERROR(Inputs!$C$89)),Inputs!$D$89,Inputs!$C$89*Inputs!$K$9*(1+Inputs!$K$12)^B201),"Error - Check Input")
+IFERROR(IF(OR(Inputs!$C$90=0,Inputs!$C$90="",ISERROR(Inputs!$C$90)),Inputs!$D$90,Inputs!$C$90*Inputs!$K$9*(1+Inputs!$K$12)^B201),"Error - Check Input")
+IFERROR(IF(OR(Inputs!$C$93=0,Inputs!$C$93="",ISERROR(Inputs!$C$93)),Inputs!$D$93,Inputs!$C$93*Inputs!$K$9*(1+Inputs!$K$12)^B201),"Error - Check Input")</f>
        <v>38556.93040623283</v>
      </c>
      <c r="D201" s="17"/>
      <c r="F201" s="18" t="s">
        <v>298</v>
      </c>
      <c r="H201" s="97">
        <f>IF($B$77=Inputs!$B$18,_xlfn.XLOOKUP(Inputs!$K$10,'Forecast (By Year)'!$F$4:$F$55,'Forecast (By Year)'!$AA$4:$AA$55),_xlfn.XLOOKUP(Inputs!$K$10,'Forecast (By Year)'!$AD$4:$AD$55,'Forecast (By Year)'!$AY$4:$AY$55))</f>
        <v>0.10701925255242506</v>
      </c>
      <c r="I201" t="s">
        <v>222</v>
      </c>
      <c r="N201" s="17"/>
    </row>
    <row r="202" spans="2:14" x14ac:dyDescent="0.35">
      <c r="B202" s="18">
        <v>11</v>
      </c>
      <c r="C202" s="6">
        <f>IFERROR(IF(OR(Inputs!$C$84=0,Inputs!$C$84="",ISERROR(Inputs!$C$84)),Inputs!$D$84,Inputs!$C$84*Inputs!$K$9*(1+Inputs!$K$12)^B202),"Error - Check Input")
+IFERROR(IF(OR(Inputs!$C$85=0,Inputs!$C$85="",ISERROR(Inputs!$C$85)),Inputs!$D$85,Inputs!$C$85*Inputs!$K$9*(1+Inputs!$K$12)^B202),"Error - Check Input")
+IFERROR(IF(OR(Inputs!$C$86=0,Inputs!$C$86="",ISERROR(Inputs!$C$86)),Inputs!$D$86,Inputs!$C$86*Inputs!$K$9*(1+Inputs!$K$12)^B202),"Error - Check Input")
+IFERROR(IF(OR(Inputs!$C$87=0,Inputs!$C$87="",ISERROR(Inputs!$C$87)),Inputs!$D$87,Inputs!$C$87*Inputs!$K$9*(1+Inputs!$K$12)^B202),"Error - Check Input")
+IFERROR(IF(OR(Inputs!$C$88=0,Inputs!$C$88="",ISERROR(Inputs!$C$88)),Inputs!$D$88,Inputs!$C$88*Inputs!$K$9*(1+Inputs!$K$12)^B202),"Error - Check Input")
+IFERROR(IF(OR(Inputs!$C$89=0,Inputs!$C$89="",ISERROR(Inputs!$C$89)),Inputs!$D$89,Inputs!$C$89*Inputs!$K$9*(1+Inputs!$K$12)^B202),"Error - Check Input")
+IFERROR(IF(OR(Inputs!$C$90=0,Inputs!$C$90="",ISERROR(Inputs!$C$90)),Inputs!$D$90,Inputs!$C$90*Inputs!$K$9*(1+Inputs!$K$12)^B202),"Error - Check Input")
+IFERROR(IF(OR(Inputs!$C$93=0,Inputs!$C$93="",ISERROR(Inputs!$C$93)),Inputs!$D$93,Inputs!$C$93*Inputs!$K$9*(1+Inputs!$K$12)^B202),"Error - Check Input")</f>
        <v>38695.682556398919</v>
      </c>
      <c r="D202" s="17"/>
      <c r="F202" s="18" t="s">
        <v>299</v>
      </c>
      <c r="H202" s="97">
        <f>(H198/H197)/Inputs!$K$10</f>
        <v>4.2119582205308856E-2</v>
      </c>
      <c r="I202" t="s">
        <v>226</v>
      </c>
      <c r="N202" s="17"/>
    </row>
    <row r="203" spans="2:14" x14ac:dyDescent="0.35">
      <c r="B203" s="18">
        <v>12</v>
      </c>
      <c r="C203" s="6">
        <f>IFERROR(IF(OR(Inputs!$C$84=0,Inputs!$C$84="",ISERROR(Inputs!$C$84)),Inputs!$D$84,Inputs!$C$84*Inputs!$K$9*(1+Inputs!$K$12)^B203),"Error - Check Input")
+IFERROR(IF(OR(Inputs!$C$85=0,Inputs!$C$85="",ISERROR(Inputs!$C$85)),Inputs!$D$85,Inputs!$C$85*Inputs!$K$9*(1+Inputs!$K$12)^B203),"Error - Check Input")
+IFERROR(IF(OR(Inputs!$C$86=0,Inputs!$C$86="",ISERROR(Inputs!$C$86)),Inputs!$D$86,Inputs!$C$86*Inputs!$K$9*(1+Inputs!$K$12)^B203),"Error - Check Input")
+IFERROR(IF(OR(Inputs!$C$87=0,Inputs!$C$87="",ISERROR(Inputs!$C$87)),Inputs!$D$87,Inputs!$C$87*Inputs!$K$9*(1+Inputs!$K$12)^B203),"Error - Check Input")
+IFERROR(IF(OR(Inputs!$C$88=0,Inputs!$C$88="",ISERROR(Inputs!$C$88)),Inputs!$D$88,Inputs!$C$88*Inputs!$K$9*(1+Inputs!$K$12)^B203),"Error - Check Input")
+IFERROR(IF(OR(Inputs!$C$89=0,Inputs!$C$89="",ISERROR(Inputs!$C$89)),Inputs!$D$89,Inputs!$C$89*Inputs!$K$9*(1+Inputs!$K$12)^B203),"Error - Check Input")
+IFERROR(IF(OR(Inputs!$C$90=0,Inputs!$C$90="",ISERROR(Inputs!$C$90)),Inputs!$D$90,Inputs!$C$90*Inputs!$K$9*(1+Inputs!$K$12)^B203),"Error - Check Input")
+IFERROR(IF(OR(Inputs!$C$93=0,Inputs!$C$93="",ISERROR(Inputs!$C$93)),Inputs!$D$93,Inputs!$C$93*Inputs!$K$9*(1+Inputs!$K$12)^B203),"Error - Check Input")</f>
        <v>38835.000000000036</v>
      </c>
      <c r="D203" s="17"/>
      <c r="F203" s="18" t="s">
        <v>300</v>
      </c>
      <c r="H203" s="97">
        <f>(H199/H197)/Inputs!$K$10</f>
        <v>8.2110050094331311E-2</v>
      </c>
      <c r="I203" t="s">
        <v>221</v>
      </c>
      <c r="N203" s="17"/>
    </row>
    <row r="204" spans="2:14" x14ac:dyDescent="0.35">
      <c r="B204" s="18">
        <v>13</v>
      </c>
      <c r="C204" s="6">
        <f>IFERROR(IF(OR(Inputs!$C$84=0,Inputs!$C$84="",ISERROR(Inputs!$C$84)),Inputs!$D$84,Inputs!$C$84*Inputs!$K$9*(1+Inputs!$K$12)^B204),"Error - Check Input")
+IFERROR(IF(OR(Inputs!$C$85=0,Inputs!$C$85="",ISERROR(Inputs!$C$85)),Inputs!$D$85,Inputs!$C$85*Inputs!$K$9*(1+Inputs!$K$12)^B204),"Error - Check Input")
+IFERROR(IF(OR(Inputs!$C$86=0,Inputs!$C$86="",ISERROR(Inputs!$C$86)),Inputs!$D$86,Inputs!$C$86*Inputs!$K$9*(1+Inputs!$K$12)^B204),"Error - Check Input")
+IFERROR(IF(OR(Inputs!$C$87=0,Inputs!$C$87="",ISERROR(Inputs!$C$87)),Inputs!$D$87,Inputs!$C$87*Inputs!$K$9*(1+Inputs!$K$12)^B204),"Error - Check Input")
+IFERROR(IF(OR(Inputs!$C$88=0,Inputs!$C$88="",ISERROR(Inputs!$C$88)),Inputs!$D$88,Inputs!$C$88*Inputs!$K$9*(1+Inputs!$K$12)^B204),"Error - Check Input")
+IFERROR(IF(OR(Inputs!$C$89=0,Inputs!$C$89="",ISERROR(Inputs!$C$89)),Inputs!$D$89,Inputs!$C$89*Inputs!$K$9*(1+Inputs!$K$12)^B204),"Error - Check Input")
+IFERROR(IF(OR(Inputs!$C$90=0,Inputs!$C$90="",ISERROR(Inputs!$C$90)),Inputs!$D$90,Inputs!$C$90*Inputs!$K$9*(1+Inputs!$K$12)^B204),"Error - Check Input")
+IFERROR(IF(OR(Inputs!$C$93=0,Inputs!$C$93="",ISERROR(Inputs!$C$93)),Inputs!$D$93,Inputs!$C$93*Inputs!$K$9*(1+Inputs!$K$12)^B204),"Error - Check Input")</f>
        <v>38974.885040111607</v>
      </c>
      <c r="D204" s="17"/>
      <c r="F204" s="18" t="s">
        <v>305</v>
      </c>
      <c r="H204" s="97">
        <f>IF($B$77=Inputs!$B$18,_xlfn.XLOOKUP(Inputs!$K$10,'Forecast (By Year)'!$F$4:$F$55,'Forecast (By Year)'!$T$4:$T$55),_xlfn.XLOOKUP(Inputs!$K$10,'Forecast (By Year)'!$AD$4:$AD$55,'Forecast (By Year)'!$AR$4:$AR$55))/$H$195</f>
        <v>4.4839481115576854E-2</v>
      </c>
      <c r="I204" t="s">
        <v>217</v>
      </c>
      <c r="N204" s="17"/>
    </row>
    <row r="205" spans="2:14" x14ac:dyDescent="0.35">
      <c r="B205" s="18">
        <v>14</v>
      </c>
      <c r="C205" s="6">
        <f>IFERROR(IF(OR(Inputs!$C$84=0,Inputs!$C$84="",ISERROR(Inputs!$C$84)),Inputs!$D$84,Inputs!$C$84*Inputs!$K$9*(1+Inputs!$K$12)^B205),"Error - Check Input")
+IFERROR(IF(OR(Inputs!$C$85=0,Inputs!$C$85="",ISERROR(Inputs!$C$85)),Inputs!$D$85,Inputs!$C$85*Inputs!$K$9*(1+Inputs!$K$12)^B205),"Error - Check Input")
+IFERROR(IF(OR(Inputs!$C$86=0,Inputs!$C$86="",ISERROR(Inputs!$C$86)),Inputs!$D$86,Inputs!$C$86*Inputs!$K$9*(1+Inputs!$K$12)^B205),"Error - Check Input")
+IFERROR(IF(OR(Inputs!$C$87=0,Inputs!$C$87="",ISERROR(Inputs!$C$87)),Inputs!$D$87,Inputs!$C$87*Inputs!$K$9*(1+Inputs!$K$12)^B205),"Error - Check Input")
+IFERROR(IF(OR(Inputs!$C$88=0,Inputs!$C$88="",ISERROR(Inputs!$C$88)),Inputs!$D$88,Inputs!$C$88*Inputs!$K$9*(1+Inputs!$K$12)^B205),"Error - Check Input")
+IFERROR(IF(OR(Inputs!$C$89=0,Inputs!$C$89="",ISERROR(Inputs!$C$89)),Inputs!$D$89,Inputs!$C$89*Inputs!$K$9*(1+Inputs!$K$12)^B205),"Error - Check Input")
+IFERROR(IF(OR(Inputs!$C$90=0,Inputs!$C$90="",ISERROR(Inputs!$C$90)),Inputs!$D$90,Inputs!$C$90*Inputs!$K$9*(1+Inputs!$K$12)^B205),"Error - Check Input")
+IFERROR(IF(OR(Inputs!$C$93=0,Inputs!$C$93="",ISERROR(Inputs!$C$93)),Inputs!$D$93,Inputs!$C$93*Inputs!$K$9*(1+Inputs!$K$12)^B205),"Error - Check Input")</f>
        <v>39115.339989192071</v>
      </c>
      <c r="D205" s="17"/>
      <c r="F205" s="18" t="s">
        <v>197</v>
      </c>
      <c r="H205" s="99">
        <f>IF($B$77=Inputs!$B$18,_xlfn.XLOOKUP(Inputs!$K$10,'Forecast (By Year)'!$F$4:$F$55,'Forecast (By Year)'!$I$4:$I$55),_xlfn.XLOOKUP(Inputs!$K$10,'Forecast (By Year)'!$AD$4:$AD$55,'Forecast (By Year)'!$AG$4:$AG$55))/$H$190</f>
        <v>1251.9714375000003</v>
      </c>
      <c r="I205" t="s">
        <v>218</v>
      </c>
      <c r="N205" s="17"/>
    </row>
    <row r="206" spans="2:14" x14ac:dyDescent="0.35">
      <c r="B206" s="18">
        <v>15</v>
      </c>
      <c r="C206" s="6">
        <f>IFERROR(IF(OR(Inputs!$C$84=0,Inputs!$C$84="",ISERROR(Inputs!$C$84)),Inputs!$D$84,Inputs!$C$84*Inputs!$K$9*(1+Inputs!$K$12)^B206),"Error - Check Input")
+IFERROR(IF(OR(Inputs!$C$85=0,Inputs!$C$85="",ISERROR(Inputs!$C$85)),Inputs!$D$85,Inputs!$C$85*Inputs!$K$9*(1+Inputs!$K$12)^B206),"Error - Check Input")
+IFERROR(IF(OR(Inputs!$C$86=0,Inputs!$C$86="",ISERROR(Inputs!$C$86)),Inputs!$D$86,Inputs!$C$86*Inputs!$K$9*(1+Inputs!$K$12)^B206),"Error - Check Input")
+IFERROR(IF(OR(Inputs!$C$87=0,Inputs!$C$87="",ISERROR(Inputs!$C$87)),Inputs!$D$87,Inputs!$C$87*Inputs!$K$9*(1+Inputs!$K$12)^B206),"Error - Check Input")
+IFERROR(IF(OR(Inputs!$C$88=0,Inputs!$C$88="",ISERROR(Inputs!$C$88)),Inputs!$D$88,Inputs!$C$88*Inputs!$K$9*(1+Inputs!$K$12)^B206),"Error - Check Input")
+IFERROR(IF(OR(Inputs!$C$89=0,Inputs!$C$89="",ISERROR(Inputs!$C$89)),Inputs!$D$89,Inputs!$C$89*Inputs!$K$9*(1+Inputs!$K$12)^B206),"Error - Check Input")
+IFERROR(IF(OR(Inputs!$C$90=0,Inputs!$C$90="",ISERROR(Inputs!$C$90)),Inputs!$D$90,Inputs!$C$90*Inputs!$K$9*(1+Inputs!$K$12)^B206),"Error - Check Input")
+IFERROR(IF(OR(Inputs!$C$93=0,Inputs!$C$93="",ISERROR(Inputs!$C$93)),Inputs!$D$93,Inputs!$C$93*Inputs!$K$9*(1+Inputs!$K$12)^B206),"Error - Check Input")</f>
        <v>39256.367169121113</v>
      </c>
      <c r="D206" s="17"/>
      <c r="F206" s="18" t="s">
        <v>198</v>
      </c>
      <c r="H206" s="97">
        <f>$H$191/$H$195</f>
        <v>0</v>
      </c>
      <c r="I206" t="s">
        <v>219</v>
      </c>
      <c r="N206" s="17"/>
    </row>
    <row r="207" spans="2:14" x14ac:dyDescent="0.35">
      <c r="B207" s="18">
        <v>16</v>
      </c>
      <c r="C207" s="6">
        <f>IFERROR(IF(OR(Inputs!$C$84=0,Inputs!$C$84="",ISERROR(Inputs!$C$84)),Inputs!$D$84,Inputs!$C$84*Inputs!$K$9*(1+Inputs!$K$12)^B207),"Error - Check Input")
+IFERROR(IF(OR(Inputs!$C$85=0,Inputs!$C$85="",ISERROR(Inputs!$C$85)),Inputs!$D$85,Inputs!$C$85*Inputs!$K$9*(1+Inputs!$K$12)^B207),"Error - Check Input")
+IFERROR(IF(OR(Inputs!$C$86=0,Inputs!$C$86="",ISERROR(Inputs!$C$86)),Inputs!$D$86,Inputs!$C$86*Inputs!$K$9*(1+Inputs!$K$12)^B207),"Error - Check Input")
+IFERROR(IF(OR(Inputs!$C$87=0,Inputs!$C$87="",ISERROR(Inputs!$C$87)),Inputs!$D$87,Inputs!$C$87*Inputs!$K$9*(1+Inputs!$K$12)^B207),"Error - Check Input")
+IFERROR(IF(OR(Inputs!$C$88=0,Inputs!$C$88="",ISERROR(Inputs!$C$88)),Inputs!$D$88,Inputs!$C$88*Inputs!$K$9*(1+Inputs!$K$12)^B207),"Error - Check Input")
+IFERROR(IF(OR(Inputs!$C$89=0,Inputs!$C$89="",ISERROR(Inputs!$C$89)),Inputs!$D$89,Inputs!$C$89*Inputs!$K$9*(1+Inputs!$K$12)^B207),"Error - Check Input")
+IFERROR(IF(OR(Inputs!$C$90=0,Inputs!$C$90="",ISERROR(Inputs!$C$90)),Inputs!$D$90,Inputs!$C$90*Inputs!$K$9*(1+Inputs!$K$12)^B207),"Error - Check Input")
+IFERROR(IF(OR(Inputs!$C$93=0,Inputs!$C$93="",ISERROR(Inputs!$C$93)),Inputs!$D$93,Inputs!$C$93*Inputs!$K$9*(1+Inputs!$K$12)^B207),"Error - Check Input")</f>
        <v>39397.968911238044</v>
      </c>
      <c r="D207" s="17"/>
      <c r="F207" s="18" t="s">
        <v>199</v>
      </c>
      <c r="H207" s="97">
        <f>$H$191/Inputs!$C$6</f>
        <v>0</v>
      </c>
      <c r="I207" t="s">
        <v>220</v>
      </c>
      <c r="N207" s="17"/>
    </row>
    <row r="208" spans="2:14" x14ac:dyDescent="0.35">
      <c r="B208" s="18">
        <v>17</v>
      </c>
      <c r="C208" s="6">
        <f>IFERROR(IF(OR(Inputs!$C$84=0,Inputs!$C$84="",ISERROR(Inputs!$C$84)),Inputs!$D$84,Inputs!$C$84*Inputs!$K$9*(1+Inputs!$K$12)^B208),"Error - Check Input")
+IFERROR(IF(OR(Inputs!$C$85=0,Inputs!$C$85="",ISERROR(Inputs!$C$85)),Inputs!$D$85,Inputs!$C$85*Inputs!$K$9*(1+Inputs!$K$12)^B208),"Error - Check Input")
+IFERROR(IF(OR(Inputs!$C$86=0,Inputs!$C$86="",ISERROR(Inputs!$C$86)),Inputs!$D$86,Inputs!$C$86*Inputs!$K$9*(1+Inputs!$K$12)^B208),"Error - Check Input")
+IFERROR(IF(OR(Inputs!$C$87=0,Inputs!$C$87="",ISERROR(Inputs!$C$87)),Inputs!$D$87,Inputs!$C$87*Inputs!$K$9*(1+Inputs!$K$12)^B208),"Error - Check Input")
+IFERROR(IF(OR(Inputs!$C$88=0,Inputs!$C$88="",ISERROR(Inputs!$C$88)),Inputs!$D$88,Inputs!$C$88*Inputs!$K$9*(1+Inputs!$K$12)^B208),"Error - Check Input")
+IFERROR(IF(OR(Inputs!$C$89=0,Inputs!$C$89="",ISERROR(Inputs!$C$89)),Inputs!$D$89,Inputs!$C$89*Inputs!$K$9*(1+Inputs!$K$12)^B208),"Error - Check Input")
+IFERROR(IF(OR(Inputs!$C$90=0,Inputs!$C$90="",ISERROR(Inputs!$C$90)),Inputs!$D$90,Inputs!$C$90*Inputs!$K$9*(1+Inputs!$K$12)^B208),"Error - Check Input")
+IFERROR(IF(OR(Inputs!$C$93=0,Inputs!$C$93="",ISERROR(Inputs!$C$93)),Inputs!$D$93,Inputs!$C$93*Inputs!$K$9*(1+Inputs!$K$12)^B208),"Error - Check Input")</f>
        <v>39540.14755638034</v>
      </c>
      <c r="D208" s="17"/>
      <c r="F208" s="18"/>
      <c r="N208" s="17"/>
    </row>
    <row r="209" spans="2:15" x14ac:dyDescent="0.35">
      <c r="B209" s="18">
        <v>18</v>
      </c>
      <c r="C209" s="6">
        <f>IFERROR(IF(OR(Inputs!$C$84=0,Inputs!$C$84="",ISERROR(Inputs!$C$84)),Inputs!$D$84,Inputs!$C$84*Inputs!$K$9*(1+Inputs!$K$12)^B209),"Error - Check Input")
+IFERROR(IF(OR(Inputs!$C$85=0,Inputs!$C$85="",ISERROR(Inputs!$C$85)),Inputs!$D$85,Inputs!$C$85*Inputs!$K$9*(1+Inputs!$K$12)^B209),"Error - Check Input")
+IFERROR(IF(OR(Inputs!$C$86=0,Inputs!$C$86="",ISERROR(Inputs!$C$86)),Inputs!$D$86,Inputs!$C$86*Inputs!$K$9*(1+Inputs!$K$12)^B209),"Error - Check Input")
+IFERROR(IF(OR(Inputs!$C$87=0,Inputs!$C$87="",ISERROR(Inputs!$C$87)),Inputs!$D$87,Inputs!$C$87*Inputs!$K$9*(1+Inputs!$K$12)^B209),"Error - Check Input")
+IFERROR(IF(OR(Inputs!$C$88=0,Inputs!$C$88="",ISERROR(Inputs!$C$88)),Inputs!$D$88,Inputs!$C$88*Inputs!$K$9*(1+Inputs!$K$12)^B209),"Error - Check Input")
+IFERROR(IF(OR(Inputs!$C$89=0,Inputs!$C$89="",ISERROR(Inputs!$C$89)),Inputs!$D$89,Inputs!$C$89*Inputs!$K$9*(1+Inputs!$K$12)^B209),"Error - Check Input")
+IFERROR(IF(OR(Inputs!$C$90=0,Inputs!$C$90="",ISERROR(Inputs!$C$90)),Inputs!$D$90,Inputs!$C$90*Inputs!$K$9*(1+Inputs!$K$12)^B209),"Error - Check Input")
+IFERROR(IF(OR(Inputs!$C$93=0,Inputs!$C$93="",ISERROR(Inputs!$C$93)),Inputs!$D$93,Inputs!$C$93*Inputs!$K$9*(1+Inputs!$K$12)^B209),"Error - Check Input")</f>
        <v>39682.905454922337</v>
      </c>
      <c r="D209" s="17"/>
      <c r="F209" s="16" t="s">
        <v>238</v>
      </c>
      <c r="N209" s="17"/>
    </row>
    <row r="210" spans="2:15" x14ac:dyDescent="0.35">
      <c r="B210" s="18">
        <v>19</v>
      </c>
      <c r="C210" s="6">
        <f>IFERROR(IF(OR(Inputs!$C$84=0,Inputs!$C$84="",ISERROR(Inputs!$C$84)),Inputs!$D$84,Inputs!$C$84*Inputs!$K$9*(1+Inputs!$K$12)^B210),"Error - Check Input")
+IFERROR(IF(OR(Inputs!$C$85=0,Inputs!$C$85="",ISERROR(Inputs!$C$85)),Inputs!$D$85,Inputs!$C$85*Inputs!$K$9*(1+Inputs!$K$12)^B210),"Error - Check Input")
+IFERROR(IF(OR(Inputs!$C$86=0,Inputs!$C$86="",ISERROR(Inputs!$C$86)),Inputs!$D$86,Inputs!$C$86*Inputs!$K$9*(1+Inputs!$K$12)^B210),"Error - Check Input")
+IFERROR(IF(OR(Inputs!$C$87=0,Inputs!$C$87="",ISERROR(Inputs!$C$87)),Inputs!$D$87,Inputs!$C$87*Inputs!$K$9*(1+Inputs!$K$12)^B210),"Error - Check Input")
+IFERROR(IF(OR(Inputs!$C$88=0,Inputs!$C$88="",ISERROR(Inputs!$C$88)),Inputs!$D$88,Inputs!$C$88*Inputs!$K$9*(1+Inputs!$K$12)^B210),"Error - Check Input")
+IFERROR(IF(OR(Inputs!$C$89=0,Inputs!$C$89="",ISERROR(Inputs!$C$89)),Inputs!$D$89,Inputs!$C$89*Inputs!$K$9*(1+Inputs!$K$12)^B210),"Error - Check Input")
+IFERROR(IF(OR(Inputs!$C$90=0,Inputs!$C$90="",ISERROR(Inputs!$C$90)),Inputs!$D$90,Inputs!$C$90*Inputs!$K$9*(1+Inputs!$K$12)^B210),"Error - Check Input")
+IFERROR(IF(OR(Inputs!$C$93=0,Inputs!$C$93="",ISERROR(Inputs!$C$93)),Inputs!$D$93,Inputs!$C$93*Inputs!$K$9*(1+Inputs!$K$12)^B210),"Error - Check Input")</f>
        <v>39826.244966814091</v>
      </c>
      <c r="D210" s="17"/>
      <c r="F210" s="18" t="s">
        <v>233</v>
      </c>
      <c r="H210" s="97">
        <f>IF($B$77=Inputs!$B$18,_xlfn.XLOOKUP(1,'Forecast (By Year)'!$F$3:$F$55,'Forecast (By Year)'!$R$3:$R$55)/Inputs!$K$18,_xlfn.XLOOKUP(1,'Forecast (By Year)'!$AD$3:$AD$55,'Forecast (By Year)'!$AP$3:$AP$55)/Inputs!$K$18)</f>
        <v>4.6102907696122554E-2</v>
      </c>
      <c r="I210" t="s">
        <v>240</v>
      </c>
      <c r="N210" s="17"/>
    </row>
    <row r="211" spans="2:15" x14ac:dyDescent="0.35">
      <c r="B211" s="18">
        <v>20</v>
      </c>
      <c r="C211" s="6">
        <f>IFERROR(IF(OR(Inputs!$C$84=0,Inputs!$C$84="",ISERROR(Inputs!$C$84)),Inputs!$D$84,Inputs!$C$84*Inputs!$K$9*(1+Inputs!$K$12)^B211),"Error - Check Input")
+IFERROR(IF(OR(Inputs!$C$85=0,Inputs!$C$85="",ISERROR(Inputs!$C$85)),Inputs!$D$85,Inputs!$C$85*Inputs!$K$9*(1+Inputs!$K$12)^B211),"Error - Check Input")
+IFERROR(IF(OR(Inputs!$C$86=0,Inputs!$C$86="",ISERROR(Inputs!$C$86)),Inputs!$D$86,Inputs!$C$86*Inputs!$K$9*(1+Inputs!$K$12)^B211),"Error - Check Input")
+IFERROR(IF(OR(Inputs!$C$87=0,Inputs!$C$87="",ISERROR(Inputs!$C$87)),Inputs!$D$87,Inputs!$C$87*Inputs!$K$9*(1+Inputs!$K$12)^B211),"Error - Check Input")
+IFERROR(IF(OR(Inputs!$C$88=0,Inputs!$C$88="",ISERROR(Inputs!$C$88)),Inputs!$D$88,Inputs!$C$88*Inputs!$K$9*(1+Inputs!$K$12)^B211),"Error - Check Input")
+IFERROR(IF(OR(Inputs!$C$89=0,Inputs!$C$89="",ISERROR(Inputs!$C$89)),Inputs!$D$89,Inputs!$C$89*Inputs!$K$9*(1+Inputs!$K$12)^B211),"Error - Check Input")
+IFERROR(IF(OR(Inputs!$C$90=0,Inputs!$C$90="",ISERROR(Inputs!$C$90)),Inputs!$D$90,Inputs!$C$90*Inputs!$K$9*(1+Inputs!$K$12)^B211),"Error - Check Input")
+IFERROR(IF(OR(Inputs!$C$93=0,Inputs!$C$93="",ISERROR(Inputs!$C$93)),Inputs!$D$93,Inputs!$C$93*Inputs!$K$9*(1+Inputs!$K$12)^B211),"Error - Check Input")</f>
        <v>39970.168461620378</v>
      </c>
      <c r="D211" s="17"/>
      <c r="F211" s="18" t="s">
        <v>236</v>
      </c>
      <c r="H211" s="97">
        <f>IF($B$77=Inputs!$B$18,_xlfn.XLOOKUP(1,'Forecast (By Year)'!$F$3:$F$55,'Forecast (By Year)'!$R$3:$R$55)/Inputs!$K$5,_xlfn.XLOOKUP(1,'Forecast (By Year)'!$AD$3:$AD$55,'Forecast (By Year)'!$AP$3:$AP$55)/Inputs!$K$5)</f>
        <v>4.9209640321344048E-2</v>
      </c>
      <c r="I211" t="s">
        <v>241</v>
      </c>
      <c r="N211" s="17"/>
      <c r="O211" s="93"/>
    </row>
    <row r="212" spans="2:15" x14ac:dyDescent="0.35">
      <c r="B212" s="18">
        <v>21</v>
      </c>
      <c r="C212" s="6">
        <f>IFERROR(IF(OR(Inputs!$C$84=0,Inputs!$C$84="",ISERROR(Inputs!$C$84)),Inputs!$D$84,Inputs!$C$84*Inputs!$K$9*(1+Inputs!$K$12)^B212),"Error - Check Input")
+IFERROR(IF(OR(Inputs!$C$85=0,Inputs!$C$85="",ISERROR(Inputs!$C$85)),Inputs!$D$85,Inputs!$C$85*Inputs!$K$9*(1+Inputs!$K$12)^B212),"Error - Check Input")
+IFERROR(IF(OR(Inputs!$C$86=0,Inputs!$C$86="",ISERROR(Inputs!$C$86)),Inputs!$D$86,Inputs!$C$86*Inputs!$K$9*(1+Inputs!$K$12)^B212),"Error - Check Input")
+IFERROR(IF(OR(Inputs!$C$87=0,Inputs!$C$87="",ISERROR(Inputs!$C$87)),Inputs!$D$87,Inputs!$C$87*Inputs!$K$9*(1+Inputs!$K$12)^B212),"Error - Check Input")
+IFERROR(IF(OR(Inputs!$C$88=0,Inputs!$C$88="",ISERROR(Inputs!$C$88)),Inputs!$D$88,Inputs!$C$88*Inputs!$K$9*(1+Inputs!$K$12)^B212),"Error - Check Input")
+IFERROR(IF(OR(Inputs!$C$89=0,Inputs!$C$89="",ISERROR(Inputs!$C$89)),Inputs!$D$89,Inputs!$C$89*Inputs!$K$9*(1+Inputs!$K$12)^B212),"Error - Check Input")
+IFERROR(IF(OR(Inputs!$C$90=0,Inputs!$C$90="",ISERROR(Inputs!$C$90)),Inputs!$D$90,Inputs!$C$90*Inputs!$K$9*(1+Inputs!$K$12)^B212),"Error - Check Input")
+IFERROR(IF(OR(Inputs!$C$93=0,Inputs!$C$93="",ISERROR(Inputs!$C$93)),Inputs!$D$93,Inputs!$C$93*Inputs!$K$9*(1+Inputs!$K$12)^B212),"Error - Check Input")</f>
        <v>40114.678318559876</v>
      </c>
      <c r="D212" s="17"/>
      <c r="F212" s="18" t="s">
        <v>237</v>
      </c>
      <c r="H212" s="97">
        <f>IF($B$77=Inputs!$B$18,_xlfn.XLOOKUP(1,'Forecast (By Year)'!$F$3:$F$55,'Forecast (By Year)'!$R$3:$R$55)/Inputs!$K$9,_xlfn.XLOOKUP(1,'Forecast (By Year)'!$AD$3:$AD$55,'Forecast (By Year)'!$AP$3:$AP$55)/Inputs!$K$9)</f>
        <v>4.5144954128440364E-2</v>
      </c>
      <c r="I212" t="s">
        <v>243</v>
      </c>
      <c r="N212" s="17"/>
      <c r="O212" s="93"/>
    </row>
    <row r="213" spans="2:15" x14ac:dyDescent="0.35">
      <c r="B213" s="18">
        <v>22</v>
      </c>
      <c r="C213" s="6">
        <f>IFERROR(IF(OR(Inputs!$C$84=0,Inputs!$C$84="",ISERROR(Inputs!$C$84)),Inputs!$D$84,Inputs!$C$84*Inputs!$K$9*(1+Inputs!$K$12)^B213),"Error - Check Input")
+IFERROR(IF(OR(Inputs!$C$85=0,Inputs!$C$85="",ISERROR(Inputs!$C$85)),Inputs!$D$85,Inputs!$C$85*Inputs!$K$9*(1+Inputs!$K$12)^B213),"Error - Check Input")
+IFERROR(IF(OR(Inputs!$C$86=0,Inputs!$C$86="",ISERROR(Inputs!$C$86)),Inputs!$D$86,Inputs!$C$86*Inputs!$K$9*(1+Inputs!$K$12)^B213),"Error - Check Input")
+IFERROR(IF(OR(Inputs!$C$87=0,Inputs!$C$87="",ISERROR(Inputs!$C$87)),Inputs!$D$87,Inputs!$C$87*Inputs!$K$9*(1+Inputs!$K$12)^B213),"Error - Check Input")
+IFERROR(IF(OR(Inputs!$C$88=0,Inputs!$C$88="",ISERROR(Inputs!$C$88)),Inputs!$D$88,Inputs!$C$88*Inputs!$K$9*(1+Inputs!$K$12)^B213),"Error - Check Input")
+IFERROR(IF(OR(Inputs!$C$89=0,Inputs!$C$89="",ISERROR(Inputs!$C$89)),Inputs!$D$89,Inputs!$C$89*Inputs!$K$9*(1+Inputs!$K$12)^B213),"Error - Check Input")
+IFERROR(IF(OR(Inputs!$C$90=0,Inputs!$C$90="",ISERROR(Inputs!$C$90)),Inputs!$D$90,Inputs!$C$90*Inputs!$K$9*(1+Inputs!$K$12)^B213),"Error - Check Input")
+IFERROR(IF(OR(Inputs!$C$93=0,Inputs!$C$93="",ISERROR(Inputs!$C$93)),Inputs!$D$93,Inputs!$C$93*Inputs!$K$9*(1+Inputs!$K$12)^B213),"Error - Check Input")</f>
        <v>40259.776926544509</v>
      </c>
      <c r="D213" s="17"/>
      <c r="F213" s="16" t="s">
        <v>239</v>
      </c>
      <c r="N213" s="17"/>
    </row>
    <row r="214" spans="2:15" x14ac:dyDescent="0.35">
      <c r="B214" s="18">
        <v>23</v>
      </c>
      <c r="C214" s="6">
        <f>IFERROR(IF(OR(Inputs!$C$84=0,Inputs!$C$84="",ISERROR(Inputs!$C$84)),Inputs!$D$84,Inputs!$C$84*Inputs!$K$9*(1+Inputs!$K$12)^B214),"Error - Check Input")
+IFERROR(IF(OR(Inputs!$C$85=0,Inputs!$C$85="",ISERROR(Inputs!$C$85)),Inputs!$D$85,Inputs!$C$85*Inputs!$K$9*(1+Inputs!$K$12)^B214),"Error - Check Input")
+IFERROR(IF(OR(Inputs!$C$86=0,Inputs!$C$86="",ISERROR(Inputs!$C$86)),Inputs!$D$86,Inputs!$C$86*Inputs!$K$9*(1+Inputs!$K$12)^B214),"Error - Check Input")
+IFERROR(IF(OR(Inputs!$C$87=0,Inputs!$C$87="",ISERROR(Inputs!$C$87)),Inputs!$D$87,Inputs!$C$87*Inputs!$K$9*(1+Inputs!$K$12)^B214),"Error - Check Input")
+IFERROR(IF(OR(Inputs!$C$88=0,Inputs!$C$88="",ISERROR(Inputs!$C$88)),Inputs!$D$88,Inputs!$C$88*Inputs!$K$9*(1+Inputs!$K$12)^B214),"Error - Check Input")
+IFERROR(IF(OR(Inputs!$C$89=0,Inputs!$C$89="",ISERROR(Inputs!$C$89)),Inputs!$D$89,Inputs!$C$89*Inputs!$K$9*(1+Inputs!$K$12)^B214),"Error - Check Input")
+IFERROR(IF(OR(Inputs!$C$90=0,Inputs!$C$90="",ISERROR(Inputs!$C$90)),Inputs!$D$90,Inputs!$C$90*Inputs!$K$9*(1+Inputs!$K$12)^B214),"Error - Check Input")
+IFERROR(IF(OR(Inputs!$C$93=0,Inputs!$C$93="",ISERROR(Inputs!$C$93)),Inputs!$D$93,Inputs!$C$93*Inputs!$K$9*(1+Inputs!$K$12)^B214),"Error - Check Input")</f>
        <v>40405.466684218904</v>
      </c>
      <c r="D214" s="17"/>
      <c r="F214" s="18" t="s">
        <v>233</v>
      </c>
      <c r="H214" s="97">
        <f>IF($B$77=Inputs!$B$18,_xlfn.XLOOKUP(1,'Forecast (By Year)'!$F$3:$F$55,'Forecast (By Year)'!$T$3:$T$55)/Inputs!$K$18,_xlfn.XLOOKUP(1,'Forecast (By Year)'!$AD$3:$AD$55,'Forecast (By Year)'!$AR$3:$AR$55)/Inputs!$K$18)</f>
        <v>4.6102907696122554E-2</v>
      </c>
      <c r="I214" t="s">
        <v>244</v>
      </c>
      <c r="N214" s="17"/>
    </row>
    <row r="215" spans="2:15" x14ac:dyDescent="0.35">
      <c r="B215" s="18">
        <v>24</v>
      </c>
      <c r="C215" s="6">
        <f>IFERROR(IF(OR(Inputs!$C$84=0,Inputs!$C$84="",ISERROR(Inputs!$C$84)),Inputs!$D$84,Inputs!$C$84*Inputs!$K$9*(1+Inputs!$K$12)^B215),"Error - Check Input")
+IFERROR(IF(OR(Inputs!$C$85=0,Inputs!$C$85="",ISERROR(Inputs!$C$85)),Inputs!$D$85,Inputs!$C$85*Inputs!$K$9*(1+Inputs!$K$12)^B215),"Error - Check Input")
+IFERROR(IF(OR(Inputs!$C$86=0,Inputs!$C$86="",ISERROR(Inputs!$C$86)),Inputs!$D$86,Inputs!$C$86*Inputs!$K$9*(1+Inputs!$K$12)^B215),"Error - Check Input")
+IFERROR(IF(OR(Inputs!$C$87=0,Inputs!$C$87="",ISERROR(Inputs!$C$87)),Inputs!$D$87,Inputs!$C$87*Inputs!$K$9*(1+Inputs!$K$12)^B215),"Error - Check Input")
+IFERROR(IF(OR(Inputs!$C$88=0,Inputs!$C$88="",ISERROR(Inputs!$C$88)),Inputs!$D$88,Inputs!$C$88*Inputs!$K$9*(1+Inputs!$K$12)^B215),"Error - Check Input")
+IFERROR(IF(OR(Inputs!$C$89=0,Inputs!$C$89="",ISERROR(Inputs!$C$89)),Inputs!$D$89,Inputs!$C$89*Inputs!$K$9*(1+Inputs!$K$12)^B215),"Error - Check Input")
+IFERROR(IF(OR(Inputs!$C$90=0,Inputs!$C$90="",ISERROR(Inputs!$C$90)),Inputs!$D$90,Inputs!$C$90*Inputs!$K$9*(1+Inputs!$K$12)^B215),"Error - Check Input")
+IFERROR(IF(OR(Inputs!$C$93=0,Inputs!$C$93="",ISERROR(Inputs!$C$93)),Inputs!$D$93,Inputs!$C$93*Inputs!$K$9*(1+Inputs!$K$12)^B215),"Error - Check Input")</f>
        <v>40551.75000000008</v>
      </c>
      <c r="D215" s="17"/>
      <c r="F215" s="18" t="s">
        <v>236</v>
      </c>
      <c r="H215" s="97">
        <f>IF($B$77=Inputs!$B$18,_xlfn.XLOOKUP(1,'Forecast (By Year)'!$F$3:$F$55,'Forecast (By Year)'!$T$3:$T$55)/Inputs!$K$5,_xlfn.XLOOKUP(1,'Forecast (By Year)'!$AD$3:$AD$55,'Forecast (By Year)'!$AR$3:$AR$55)/Inputs!$K$5)</f>
        <v>4.9209640321344048E-2</v>
      </c>
      <c r="I215" t="s">
        <v>245</v>
      </c>
      <c r="N215" s="17"/>
    </row>
    <row r="216" spans="2:15" x14ac:dyDescent="0.35">
      <c r="B216" s="18">
        <v>25</v>
      </c>
      <c r="C216" s="6">
        <f>IFERROR(IF(OR(Inputs!$C$84=0,Inputs!$C$84="",ISERROR(Inputs!$C$84)),Inputs!$D$84,Inputs!$C$84*Inputs!$K$9*(1+Inputs!$K$12)^B216),"Error - Check Input")
+IFERROR(IF(OR(Inputs!$C$85=0,Inputs!$C$85="",ISERROR(Inputs!$C$85)),Inputs!$D$85,Inputs!$C$85*Inputs!$K$9*(1+Inputs!$K$12)^B216),"Error - Check Input")
+IFERROR(IF(OR(Inputs!$C$86=0,Inputs!$C$86="",ISERROR(Inputs!$C$86)),Inputs!$D$86,Inputs!$C$86*Inputs!$K$9*(1+Inputs!$K$12)^B216),"Error - Check Input")
+IFERROR(IF(OR(Inputs!$C$87=0,Inputs!$C$87="",ISERROR(Inputs!$C$87)),Inputs!$D$87,Inputs!$C$87*Inputs!$K$9*(1+Inputs!$K$12)^B216),"Error - Check Input")
+IFERROR(IF(OR(Inputs!$C$88=0,Inputs!$C$88="",ISERROR(Inputs!$C$88)),Inputs!$D$88,Inputs!$C$88*Inputs!$K$9*(1+Inputs!$K$12)^B216),"Error - Check Input")
+IFERROR(IF(OR(Inputs!$C$89=0,Inputs!$C$89="",ISERROR(Inputs!$C$89)),Inputs!$D$89,Inputs!$C$89*Inputs!$K$9*(1+Inputs!$K$12)^B216),"Error - Check Input")
+IFERROR(IF(OR(Inputs!$C$90=0,Inputs!$C$90="",ISERROR(Inputs!$C$90)),Inputs!$D$90,Inputs!$C$90*Inputs!$K$9*(1+Inputs!$K$12)^B216),"Error - Check Input")
+IFERROR(IF(OR(Inputs!$C$93=0,Inputs!$C$93="",ISERROR(Inputs!$C$93)),Inputs!$D$93,Inputs!$C$93*Inputs!$K$9*(1+Inputs!$K$12)^B216),"Error - Check Input")</f>
        <v>40698.629292117228</v>
      </c>
      <c r="D216" s="17"/>
      <c r="F216" s="18" t="s">
        <v>237</v>
      </c>
      <c r="H216" s="97">
        <f>IF($B$77=Inputs!$B$18,_xlfn.XLOOKUP(1,'Forecast (By Year)'!$F$3:$F$55,'Forecast (By Year)'!$T$3:$T$55)/Inputs!$K$9,_xlfn.XLOOKUP(1,'Forecast (By Year)'!$AD$3:$AD$55,'Forecast (By Year)'!$AR$3:$AR$55)/Inputs!$K$9)</f>
        <v>4.5144954128440364E-2</v>
      </c>
      <c r="I216" t="s">
        <v>246</v>
      </c>
      <c r="N216" s="17"/>
    </row>
    <row r="217" spans="2:15" x14ac:dyDescent="0.35">
      <c r="B217" s="18">
        <v>26</v>
      </c>
      <c r="C217" s="6">
        <f>IFERROR(IF(OR(Inputs!$C$84=0,Inputs!$C$84="",ISERROR(Inputs!$C$84)),Inputs!$D$84,Inputs!$C$84*Inputs!$K$9*(1+Inputs!$K$12)^B217),"Error - Check Input")
+IFERROR(IF(OR(Inputs!$C$85=0,Inputs!$C$85="",ISERROR(Inputs!$C$85)),Inputs!$D$85,Inputs!$C$85*Inputs!$K$9*(1+Inputs!$K$12)^B217),"Error - Check Input")
+IFERROR(IF(OR(Inputs!$C$86=0,Inputs!$C$86="",ISERROR(Inputs!$C$86)),Inputs!$D$86,Inputs!$C$86*Inputs!$K$9*(1+Inputs!$K$12)^B217),"Error - Check Input")
+IFERROR(IF(OR(Inputs!$C$87=0,Inputs!$C$87="",ISERROR(Inputs!$C$87)),Inputs!$D$87,Inputs!$C$87*Inputs!$K$9*(1+Inputs!$K$12)^B217),"Error - Check Input")
+IFERROR(IF(OR(Inputs!$C$88=0,Inputs!$C$88="",ISERROR(Inputs!$C$88)),Inputs!$D$88,Inputs!$C$88*Inputs!$K$9*(1+Inputs!$K$12)^B217),"Error - Check Input")
+IFERROR(IF(OR(Inputs!$C$89=0,Inputs!$C$89="",ISERROR(Inputs!$C$89)),Inputs!$D$89,Inputs!$C$89*Inputs!$K$9*(1+Inputs!$K$12)^B217),"Error - Check Input")
+IFERROR(IF(OR(Inputs!$C$90=0,Inputs!$C$90="",ISERROR(Inputs!$C$90)),Inputs!$D$90,Inputs!$C$90*Inputs!$K$9*(1+Inputs!$K$12)^B217),"Error - Check Input")
+IFERROR(IF(OR(Inputs!$C$93=0,Inputs!$C$93="",ISERROR(Inputs!$C$93)),Inputs!$D$93,Inputs!$C$93*Inputs!$K$9*(1+Inputs!$K$12)^B217),"Error - Check Input")</f>
        <v>40846.106988651714</v>
      </c>
      <c r="D217" s="17"/>
      <c r="F217" s="16" t="str">
        <f>"Year "&amp;Inputs!$K$10&amp;" Before Tax"</f>
        <v>Year 5 Before Tax</v>
      </c>
      <c r="N217" s="17"/>
    </row>
    <row r="218" spans="2:15" x14ac:dyDescent="0.35">
      <c r="B218" s="18">
        <v>27</v>
      </c>
      <c r="C218" s="6">
        <f>IFERROR(IF(OR(Inputs!$C$84=0,Inputs!$C$84="",ISERROR(Inputs!$C$84)),Inputs!$D$84,Inputs!$C$84*Inputs!$K$9*(1+Inputs!$K$12)^B218),"Error - Check Input")
+IFERROR(IF(OR(Inputs!$C$85=0,Inputs!$C$85="",ISERROR(Inputs!$C$85)),Inputs!$D$85,Inputs!$C$85*Inputs!$K$9*(1+Inputs!$K$12)^B218),"Error - Check Input")
+IFERROR(IF(OR(Inputs!$C$86=0,Inputs!$C$86="",ISERROR(Inputs!$C$86)),Inputs!$D$86,Inputs!$C$86*Inputs!$K$9*(1+Inputs!$K$12)^B218),"Error - Check Input")
+IFERROR(IF(OR(Inputs!$C$87=0,Inputs!$C$87="",ISERROR(Inputs!$C$87)),Inputs!$D$87,Inputs!$C$87*Inputs!$K$9*(1+Inputs!$K$12)^B218),"Error - Check Input")
+IFERROR(IF(OR(Inputs!$C$88=0,Inputs!$C$88="",ISERROR(Inputs!$C$88)),Inputs!$D$88,Inputs!$C$88*Inputs!$K$9*(1+Inputs!$K$12)^B218),"Error - Check Input")
+IFERROR(IF(OR(Inputs!$C$89=0,Inputs!$C$89="",ISERROR(Inputs!$C$89)),Inputs!$D$89,Inputs!$C$89*Inputs!$K$9*(1+Inputs!$K$12)^B218),"Error - Check Input")
+IFERROR(IF(OR(Inputs!$C$90=0,Inputs!$C$90="",ISERROR(Inputs!$C$90)),Inputs!$D$90,Inputs!$C$90*Inputs!$K$9*(1+Inputs!$K$12)^B218),"Error - Check Input")
+IFERROR(IF(OR(Inputs!$C$93=0,Inputs!$C$93="",ISERROR(Inputs!$C$93)),Inputs!$D$93,Inputs!$C$93*Inputs!$K$9*(1+Inputs!$K$12)^B218),"Error - Check Input")</f>
        <v>40994.185527577203</v>
      </c>
      <c r="D218" s="17"/>
      <c r="F218" s="18" t="s">
        <v>233</v>
      </c>
      <c r="H218" s="97">
        <f>IF($B$77=Inputs!$B$18,_xlfn.XLOOKUP(Inputs!$K$10,'Forecast (By Year)'!$F$3:$F$55,'Forecast (By Year)'!$R$3:$R$55)/Inputs!$K$18,_xlfn.XLOOKUP(Inputs!$K$10,'Forecast (By Year)'!$AD$3:$AD$55,'Forecast (By Year)'!$AP$3:$AP$55)/Inputs!$K$18)</f>
        <v>5.8442148656768431E-2</v>
      </c>
      <c r="I218" t="s">
        <v>240</v>
      </c>
      <c r="N218" s="17"/>
    </row>
    <row r="219" spans="2:15" x14ac:dyDescent="0.35">
      <c r="B219" s="18">
        <v>28</v>
      </c>
      <c r="C219" s="6">
        <f>IFERROR(IF(OR(Inputs!$C$84=0,Inputs!$C$84="",ISERROR(Inputs!$C$84)),Inputs!$D$84,Inputs!$C$84*Inputs!$K$9*(1+Inputs!$K$12)^B219),"Error - Check Input")
+IFERROR(IF(OR(Inputs!$C$85=0,Inputs!$C$85="",ISERROR(Inputs!$C$85)),Inputs!$D$85,Inputs!$C$85*Inputs!$K$9*(1+Inputs!$K$12)^B219),"Error - Check Input")
+IFERROR(IF(OR(Inputs!$C$86=0,Inputs!$C$86="",ISERROR(Inputs!$C$86)),Inputs!$D$86,Inputs!$C$86*Inputs!$K$9*(1+Inputs!$K$12)^B219),"Error - Check Input")
+IFERROR(IF(OR(Inputs!$C$87=0,Inputs!$C$87="",ISERROR(Inputs!$C$87)),Inputs!$D$87,Inputs!$C$87*Inputs!$K$9*(1+Inputs!$K$12)^B219),"Error - Check Input")
+IFERROR(IF(OR(Inputs!$C$88=0,Inputs!$C$88="",ISERROR(Inputs!$C$88)),Inputs!$D$88,Inputs!$C$88*Inputs!$K$9*(1+Inputs!$K$12)^B219),"Error - Check Input")
+IFERROR(IF(OR(Inputs!$C$89=0,Inputs!$C$89="",ISERROR(Inputs!$C$89)),Inputs!$D$89,Inputs!$C$89*Inputs!$K$9*(1+Inputs!$K$12)^B219),"Error - Check Input")
+IFERROR(IF(OR(Inputs!$C$90=0,Inputs!$C$90="",ISERROR(Inputs!$C$90)),Inputs!$D$90,Inputs!$C$90*Inputs!$K$9*(1+Inputs!$K$12)^B219),"Error - Check Input")
+IFERROR(IF(OR(Inputs!$C$93=0,Inputs!$C$93="",ISERROR(Inputs!$C$93)),Inputs!$D$93,Inputs!$C$93*Inputs!$K$9*(1+Inputs!$K$12)^B219),"Error - Check Input")</f>
        <v>41142.867356799987</v>
      </c>
      <c r="D219" s="17"/>
      <c r="F219" s="18" t="s">
        <v>236</v>
      </c>
      <c r="H219" s="97">
        <f>IF($B$77=Inputs!$B$18,_xlfn.XLOOKUP(Inputs!$K$10,'Forecast (By Year)'!$F$3:$F$55,'Forecast (By Year)'!$R$3:$R$55)/Inputs!$K$5,_xlfn.XLOOKUP(Inputs!$K$10,'Forecast (By Year)'!$AD$3:$AD$55,'Forecast (By Year)'!$AP$3:$AP$55)/Inputs!$K$5)</f>
        <v>6.2380384637821251E-2</v>
      </c>
      <c r="I219" t="s">
        <v>241</v>
      </c>
      <c r="N219" s="17"/>
    </row>
    <row r="220" spans="2:15" x14ac:dyDescent="0.35">
      <c r="B220" s="18">
        <v>29</v>
      </c>
      <c r="C220" s="6">
        <f>IFERROR(IF(OR(Inputs!$C$84=0,Inputs!$C$84="",ISERROR(Inputs!$C$84)),Inputs!$D$84,Inputs!$C$84*Inputs!$K$9*(1+Inputs!$K$12)^B220),"Error - Check Input")
+IFERROR(IF(OR(Inputs!$C$85=0,Inputs!$C$85="",ISERROR(Inputs!$C$85)),Inputs!$D$85,Inputs!$C$85*Inputs!$K$9*(1+Inputs!$K$12)^B220),"Error - Check Input")
+IFERROR(IF(OR(Inputs!$C$86=0,Inputs!$C$86="",ISERROR(Inputs!$C$86)),Inputs!$D$86,Inputs!$C$86*Inputs!$K$9*(1+Inputs!$K$12)^B220),"Error - Check Input")
+IFERROR(IF(OR(Inputs!$C$87=0,Inputs!$C$87="",ISERROR(Inputs!$C$87)),Inputs!$D$87,Inputs!$C$87*Inputs!$K$9*(1+Inputs!$K$12)^B220),"Error - Check Input")
+IFERROR(IF(OR(Inputs!$C$88=0,Inputs!$C$88="",ISERROR(Inputs!$C$88)),Inputs!$D$88,Inputs!$C$88*Inputs!$K$9*(1+Inputs!$K$12)^B220),"Error - Check Input")
+IFERROR(IF(OR(Inputs!$C$89=0,Inputs!$C$89="",ISERROR(Inputs!$C$89)),Inputs!$D$89,Inputs!$C$89*Inputs!$K$9*(1+Inputs!$K$12)^B220),"Error - Check Input")
+IFERROR(IF(OR(Inputs!$C$90=0,Inputs!$C$90="",ISERROR(Inputs!$C$90)),Inputs!$D$90,Inputs!$C$90*Inputs!$K$9*(1+Inputs!$K$12)^B220),"Error - Check Input")
+IFERROR(IF(OR(Inputs!$C$93=0,Inputs!$C$93="",ISERROR(Inputs!$C$93)),Inputs!$D$93,Inputs!$C$93*Inputs!$K$9*(1+Inputs!$K$12)^B220),"Error - Check Input")</f>
        <v>41292.154934199396</v>
      </c>
      <c r="D220" s="17"/>
      <c r="F220" s="18" t="s">
        <v>237</v>
      </c>
      <c r="H220" s="97">
        <f>IF($B$77=Inputs!$B$18,_xlfn.XLOOKUP(Inputs!$K$10,'Forecast (By Year)'!$F$3:$F$55,'Forecast (By Year)'!$R$3:$R$55)/Inputs!$K$9,_xlfn.XLOOKUP(Inputs!$K$10,'Forecast (By Year)'!$AD$3:$AD$55,'Forecast (By Year)'!$AP$3:$AP$55)/Inputs!$K$9)</f>
        <v>5.722780301987767E-2</v>
      </c>
      <c r="I220" t="s">
        <v>242</v>
      </c>
      <c r="N220" s="17"/>
    </row>
    <row r="221" spans="2:15" x14ac:dyDescent="0.35">
      <c r="B221" s="18">
        <v>30</v>
      </c>
      <c r="C221" s="6">
        <f>IFERROR(IF(OR(Inputs!$C$84=0,Inputs!$C$84="",ISERROR(Inputs!$C$84)),Inputs!$D$84,Inputs!$C$84*Inputs!$K$9*(1+Inputs!$K$12)^B221),"Error - Check Input")
+IFERROR(IF(OR(Inputs!$C$85=0,Inputs!$C$85="",ISERROR(Inputs!$C$85)),Inputs!$D$85,Inputs!$C$85*Inputs!$K$9*(1+Inputs!$K$12)^B221),"Error - Check Input")
+IFERROR(IF(OR(Inputs!$C$86=0,Inputs!$C$86="",ISERROR(Inputs!$C$86)),Inputs!$D$86,Inputs!$C$86*Inputs!$K$9*(1+Inputs!$K$12)^B221),"Error - Check Input")
+IFERROR(IF(OR(Inputs!$C$87=0,Inputs!$C$87="",ISERROR(Inputs!$C$87)),Inputs!$D$87,Inputs!$C$87*Inputs!$K$9*(1+Inputs!$K$12)^B221),"Error - Check Input")
+IFERROR(IF(OR(Inputs!$C$88=0,Inputs!$C$88="",ISERROR(Inputs!$C$88)),Inputs!$D$88,Inputs!$C$88*Inputs!$K$9*(1+Inputs!$K$12)^B221),"Error - Check Input")
+IFERROR(IF(OR(Inputs!$C$89=0,Inputs!$C$89="",ISERROR(Inputs!$C$89)),Inputs!$D$89,Inputs!$C$89*Inputs!$K$9*(1+Inputs!$K$12)^B221),"Error - Check Input")
+IFERROR(IF(OR(Inputs!$C$90=0,Inputs!$C$90="",ISERROR(Inputs!$C$90)),Inputs!$D$90,Inputs!$C$90*Inputs!$K$9*(1+Inputs!$K$12)^B221),"Error - Check Input")
+IFERROR(IF(OR(Inputs!$C$93=0,Inputs!$C$93="",ISERROR(Inputs!$C$93)),Inputs!$D$93,Inputs!$C$93*Inputs!$K$9*(1+Inputs!$K$12)^B221),"Error - Check Input")</f>
        <v>41442.050727668495</v>
      </c>
      <c r="D221" s="17"/>
      <c r="F221" s="16" t="str">
        <f>"Year "&amp;Inputs!$K$10&amp;" After Tax"</f>
        <v>Year 5 After Tax</v>
      </c>
      <c r="N221" s="17"/>
    </row>
    <row r="222" spans="2:15" x14ac:dyDescent="0.35">
      <c r="B222" s="18">
        <v>31</v>
      </c>
      <c r="C222" s="6">
        <f>IFERROR(IF(OR(Inputs!$C$84=0,Inputs!$C$84="",ISERROR(Inputs!$C$84)),Inputs!$D$84,Inputs!$C$84*Inputs!$K$9*(1+Inputs!$K$12)^B222),"Error - Check Input")
+IFERROR(IF(OR(Inputs!$C$85=0,Inputs!$C$85="",ISERROR(Inputs!$C$85)),Inputs!$D$85,Inputs!$C$85*Inputs!$K$9*(1+Inputs!$K$12)^B222),"Error - Check Input")
+IFERROR(IF(OR(Inputs!$C$86=0,Inputs!$C$86="",ISERROR(Inputs!$C$86)),Inputs!$D$86,Inputs!$C$86*Inputs!$K$9*(1+Inputs!$K$12)^B222),"Error - Check Input")
+IFERROR(IF(OR(Inputs!$C$87=0,Inputs!$C$87="",ISERROR(Inputs!$C$87)),Inputs!$D$87,Inputs!$C$87*Inputs!$K$9*(1+Inputs!$K$12)^B222),"Error - Check Input")
+IFERROR(IF(OR(Inputs!$C$88=0,Inputs!$C$88="",ISERROR(Inputs!$C$88)),Inputs!$D$88,Inputs!$C$88*Inputs!$K$9*(1+Inputs!$K$12)^B222),"Error - Check Input")
+IFERROR(IF(OR(Inputs!$C$89=0,Inputs!$C$89="",ISERROR(Inputs!$C$89)),Inputs!$D$89,Inputs!$C$89*Inputs!$K$9*(1+Inputs!$K$12)^B222),"Error - Check Input")
+IFERROR(IF(OR(Inputs!$C$90=0,Inputs!$C$90="",ISERROR(Inputs!$C$90)),Inputs!$D$90,Inputs!$C$90*Inputs!$K$9*(1+Inputs!$K$12)^B222),"Error - Check Input")
+IFERROR(IF(OR(Inputs!$C$93=0,Inputs!$C$93="",ISERROR(Inputs!$C$93)),Inputs!$D$93,Inputs!$C$93*Inputs!$K$9*(1+Inputs!$K$12)^B222),"Error - Check Input")</f>
        <v>41592.557215154833</v>
      </c>
      <c r="D222" s="17"/>
      <c r="F222" s="18" t="s">
        <v>233</v>
      </c>
      <c r="H222" s="97">
        <f>IF($B$77=Inputs!$B$18,_xlfn.XLOOKUP(Inputs!$K$10,'Forecast (By Year)'!$F$3:$F$55,'Forecast (By Year)'!$T$3:$T$55)/Inputs!$K$18,_xlfn.XLOOKUP(Inputs!$K$10,'Forecast (By Year)'!$AD$3:$AD$55,'Forecast (By Year)'!$AR$3:$AR$55)/Inputs!$K$18)</f>
        <v>5.8442148656768431E-2</v>
      </c>
      <c r="I222" t="s">
        <v>244</v>
      </c>
      <c r="N222" s="17"/>
    </row>
    <row r="223" spans="2:15" x14ac:dyDescent="0.35">
      <c r="B223" s="18">
        <v>32</v>
      </c>
      <c r="C223" s="6">
        <f>IFERROR(IF(OR(Inputs!$C$84=0,Inputs!$C$84="",ISERROR(Inputs!$C$84)),Inputs!$D$84,Inputs!$C$84*Inputs!$K$9*(1+Inputs!$K$12)^B223),"Error - Check Input")
+IFERROR(IF(OR(Inputs!$C$85=0,Inputs!$C$85="",ISERROR(Inputs!$C$85)),Inputs!$D$85,Inputs!$C$85*Inputs!$K$9*(1+Inputs!$K$12)^B223),"Error - Check Input")
+IFERROR(IF(OR(Inputs!$C$86=0,Inputs!$C$86="",ISERROR(Inputs!$C$86)),Inputs!$D$86,Inputs!$C$86*Inputs!$K$9*(1+Inputs!$K$12)^B223),"Error - Check Input")
+IFERROR(IF(OR(Inputs!$C$87=0,Inputs!$C$87="",ISERROR(Inputs!$C$87)),Inputs!$D$87,Inputs!$C$87*Inputs!$K$9*(1+Inputs!$K$12)^B223),"Error - Check Input")
+IFERROR(IF(OR(Inputs!$C$88=0,Inputs!$C$88="",ISERROR(Inputs!$C$88)),Inputs!$D$88,Inputs!$C$88*Inputs!$K$9*(1+Inputs!$K$12)^B223),"Error - Check Input")
+IFERROR(IF(OR(Inputs!$C$89=0,Inputs!$C$89="",ISERROR(Inputs!$C$89)),Inputs!$D$89,Inputs!$C$89*Inputs!$K$9*(1+Inputs!$K$12)^B223),"Error - Check Input")
+IFERROR(IF(OR(Inputs!$C$90=0,Inputs!$C$90="",ISERROR(Inputs!$C$90)),Inputs!$D$90,Inputs!$C$90*Inputs!$K$9*(1+Inputs!$K$12)^B223),"Error - Check Input")
+IFERROR(IF(OR(Inputs!$C$93=0,Inputs!$C$93="",ISERROR(Inputs!$C$93)),Inputs!$D$93,Inputs!$C$93*Inputs!$K$9*(1+Inputs!$K$12)^B223),"Error - Check Input")</f>
        <v>41743.676884701439</v>
      </c>
      <c r="D223" s="17"/>
      <c r="F223" s="18" t="s">
        <v>236</v>
      </c>
      <c r="H223" s="97">
        <f>IF($B$77=Inputs!$B$18,_xlfn.XLOOKUP(Inputs!$K$10,'Forecast (By Year)'!$F$3:$F$55,'Forecast (By Year)'!$T$3:$T$55)/Inputs!$K$5,_xlfn.XLOOKUP(Inputs!$K$10,'Forecast (By Year)'!$AD$3:$AD$55,'Forecast (By Year)'!$AR$3:$AR$55)/Inputs!$K$5)</f>
        <v>6.2380384637821251E-2</v>
      </c>
      <c r="I223" t="s">
        <v>245</v>
      </c>
      <c r="N223" s="17"/>
    </row>
    <row r="224" spans="2:15" ht="15" thickBot="1" x14ac:dyDescent="0.4">
      <c r="B224" s="18">
        <v>33</v>
      </c>
      <c r="C224" s="6">
        <f>IFERROR(IF(OR(Inputs!$C$84=0,Inputs!$C$84="",ISERROR(Inputs!$C$84)),Inputs!$D$84,Inputs!$C$84*Inputs!$K$9*(1+Inputs!$K$12)^B224),"Error - Check Input")
+IFERROR(IF(OR(Inputs!$C$85=0,Inputs!$C$85="",ISERROR(Inputs!$C$85)),Inputs!$D$85,Inputs!$C$85*Inputs!$K$9*(1+Inputs!$K$12)^B224),"Error - Check Input")
+IFERROR(IF(OR(Inputs!$C$86=0,Inputs!$C$86="",ISERROR(Inputs!$C$86)),Inputs!$D$86,Inputs!$C$86*Inputs!$K$9*(1+Inputs!$K$12)^B224),"Error - Check Input")
+IFERROR(IF(OR(Inputs!$C$87=0,Inputs!$C$87="",ISERROR(Inputs!$C$87)),Inputs!$D$87,Inputs!$C$87*Inputs!$K$9*(1+Inputs!$K$12)^B224),"Error - Check Input")
+IFERROR(IF(OR(Inputs!$C$88=0,Inputs!$C$88="",ISERROR(Inputs!$C$88)),Inputs!$D$88,Inputs!$C$88*Inputs!$K$9*(1+Inputs!$K$12)^B224),"Error - Check Input")
+IFERROR(IF(OR(Inputs!$C$89=0,Inputs!$C$89="",ISERROR(Inputs!$C$89)),Inputs!$D$89,Inputs!$C$89*Inputs!$K$9*(1+Inputs!$K$12)^B224),"Error - Check Input")
+IFERROR(IF(OR(Inputs!$C$90=0,Inputs!$C$90="",ISERROR(Inputs!$C$90)),Inputs!$D$90,Inputs!$C$90*Inputs!$K$9*(1+Inputs!$K$12)^B224),"Error - Check Input")
+IFERROR(IF(OR(Inputs!$C$93=0,Inputs!$C$93="",ISERROR(Inputs!$C$93)),Inputs!$D$93,Inputs!$C$93*Inputs!$K$9*(1+Inputs!$K$12)^B224),"Error - Check Input")</f>
        <v>41895.412234487914</v>
      </c>
      <c r="D224" s="17"/>
      <c r="F224" s="19" t="s">
        <v>237</v>
      </c>
      <c r="G224" s="23"/>
      <c r="H224" s="98">
        <f>IF($B$77=Inputs!$B$18,_xlfn.XLOOKUP(Inputs!$K$10,'Forecast (By Year)'!$F$3:$F$55,'Forecast (By Year)'!$T$3:$T$55)/Inputs!$K$9,_xlfn.XLOOKUP(Inputs!$K$10,'Forecast (By Year)'!$AD$3:$AD$55,'Forecast (By Year)'!$AR$3:$AR$55)/Inputs!$K$9)</f>
        <v>5.722780301987767E-2</v>
      </c>
      <c r="I224" s="23" t="s">
        <v>247</v>
      </c>
      <c r="J224" s="23"/>
      <c r="K224" s="23"/>
      <c r="L224" s="23"/>
      <c r="M224" s="23"/>
      <c r="N224" s="22"/>
    </row>
    <row r="225" spans="2:4" x14ac:dyDescent="0.35">
      <c r="B225" s="18">
        <v>34</v>
      </c>
      <c r="C225" s="6">
        <f>IFERROR(IF(OR(Inputs!$C$84=0,Inputs!$C$84="",ISERROR(Inputs!$C$84)),Inputs!$D$84,Inputs!$C$84*Inputs!$K$9*(1+Inputs!$K$12)^B225),"Error - Check Input")
+IFERROR(IF(OR(Inputs!$C$85=0,Inputs!$C$85="",ISERROR(Inputs!$C$85)),Inputs!$D$85,Inputs!$C$85*Inputs!$K$9*(1+Inputs!$K$12)^B225),"Error - Check Input")
+IFERROR(IF(OR(Inputs!$C$86=0,Inputs!$C$86="",ISERROR(Inputs!$C$86)),Inputs!$D$86,Inputs!$C$86*Inputs!$K$9*(1+Inputs!$K$12)^B225),"Error - Check Input")
+IFERROR(IF(OR(Inputs!$C$87=0,Inputs!$C$87="",ISERROR(Inputs!$C$87)),Inputs!$D$87,Inputs!$C$87*Inputs!$K$9*(1+Inputs!$K$12)^B225),"Error - Check Input")
+IFERROR(IF(OR(Inputs!$C$88=0,Inputs!$C$88="",ISERROR(Inputs!$C$88)),Inputs!$D$88,Inputs!$C$88*Inputs!$K$9*(1+Inputs!$K$12)^B225),"Error - Check Input")
+IFERROR(IF(OR(Inputs!$C$89=0,Inputs!$C$89="",ISERROR(Inputs!$C$89)),Inputs!$D$89,Inputs!$C$89*Inputs!$K$9*(1+Inputs!$K$12)^B225),"Error - Check Input")
+IFERROR(IF(OR(Inputs!$C$90=0,Inputs!$C$90="",ISERROR(Inputs!$C$90)),Inputs!$D$90,Inputs!$C$90*Inputs!$K$9*(1+Inputs!$K$12)^B225),"Error - Check Input")
+IFERROR(IF(OR(Inputs!$C$93=0,Inputs!$C$93="",ISERROR(Inputs!$C$93)),Inputs!$D$93,Inputs!$C$93*Inputs!$K$9*(1+Inputs!$K$12)^B225),"Error - Check Input")</f>
        <v>42047.765772871782</v>
      </c>
      <c r="D225" s="17"/>
    </row>
    <row r="226" spans="2:4" x14ac:dyDescent="0.35">
      <c r="B226" s="18">
        <v>35</v>
      </c>
      <c r="C226" s="6">
        <f>IFERROR(IF(OR(Inputs!$C$84=0,Inputs!$C$84="",ISERROR(Inputs!$C$84)),Inputs!$D$84,Inputs!$C$84*Inputs!$K$9*(1+Inputs!$K$12)^B226),"Error - Check Input")
+IFERROR(IF(OR(Inputs!$C$85=0,Inputs!$C$85="",ISERROR(Inputs!$C$85)),Inputs!$D$85,Inputs!$C$85*Inputs!$K$9*(1+Inputs!$K$12)^B226),"Error - Check Input")
+IFERROR(IF(OR(Inputs!$C$86=0,Inputs!$C$86="",ISERROR(Inputs!$C$86)),Inputs!$D$86,Inputs!$C$86*Inputs!$K$9*(1+Inputs!$K$12)^B226),"Error - Check Input")
+IFERROR(IF(OR(Inputs!$C$87=0,Inputs!$C$87="",ISERROR(Inputs!$C$87)),Inputs!$D$87,Inputs!$C$87*Inputs!$K$9*(1+Inputs!$K$12)^B226),"Error - Check Input")
+IFERROR(IF(OR(Inputs!$C$88=0,Inputs!$C$88="",ISERROR(Inputs!$C$88)),Inputs!$D$88,Inputs!$C$88*Inputs!$K$9*(1+Inputs!$K$12)^B226),"Error - Check Input")
+IFERROR(IF(OR(Inputs!$C$89=0,Inputs!$C$89="",ISERROR(Inputs!$C$89)),Inputs!$D$89,Inputs!$C$89*Inputs!$K$9*(1+Inputs!$K$12)^B226),"Error - Check Input")
+IFERROR(IF(OR(Inputs!$C$90=0,Inputs!$C$90="",ISERROR(Inputs!$C$90)),Inputs!$D$90,Inputs!$C$90*Inputs!$K$9*(1+Inputs!$K$12)^B226),"Error - Check Input")
+IFERROR(IF(OR(Inputs!$C$93=0,Inputs!$C$93="",ISERROR(Inputs!$C$93)),Inputs!$D$93,Inputs!$C$93*Inputs!$K$9*(1+Inputs!$K$12)^B226),"Error - Check Input")</f>
        <v>42200.740018429897</v>
      </c>
      <c r="D226" s="17"/>
    </row>
    <row r="227" spans="2:4" x14ac:dyDescent="0.35">
      <c r="B227" s="18">
        <v>36</v>
      </c>
      <c r="C227" s="6">
        <f>IFERROR(IF(OR(Inputs!$C$84=0,Inputs!$C$84="",ISERROR(Inputs!$C$84)),Inputs!$D$84,Inputs!$C$84*Inputs!$K$9*(1+Inputs!$K$12)^B227),"Error - Check Input")
+IFERROR(IF(OR(Inputs!$C$85=0,Inputs!$C$85="",ISERROR(Inputs!$C$85)),Inputs!$D$85,Inputs!$C$85*Inputs!$K$9*(1+Inputs!$K$12)^B227),"Error - Check Input")
+IFERROR(IF(OR(Inputs!$C$86=0,Inputs!$C$86="",ISERROR(Inputs!$C$86)),Inputs!$D$86,Inputs!$C$86*Inputs!$K$9*(1+Inputs!$K$12)^B227),"Error - Check Input")
+IFERROR(IF(OR(Inputs!$C$87=0,Inputs!$C$87="",ISERROR(Inputs!$C$87)),Inputs!$D$87,Inputs!$C$87*Inputs!$K$9*(1+Inputs!$K$12)^B227),"Error - Check Input")
+IFERROR(IF(OR(Inputs!$C$88=0,Inputs!$C$88="",ISERROR(Inputs!$C$88)),Inputs!$D$88,Inputs!$C$88*Inputs!$K$9*(1+Inputs!$K$12)^B227),"Error - Check Input")
+IFERROR(IF(OR(Inputs!$C$89=0,Inputs!$C$89="",ISERROR(Inputs!$C$89)),Inputs!$D$89,Inputs!$C$89*Inputs!$K$9*(1+Inputs!$K$12)^B227),"Error - Check Input")
+IFERROR(IF(OR(Inputs!$C$90=0,Inputs!$C$90="",ISERROR(Inputs!$C$90)),Inputs!$D$90,Inputs!$C$90*Inputs!$K$9*(1+Inputs!$K$12)^B227),"Error - Check Input")
+IFERROR(IF(OR(Inputs!$C$93=0,Inputs!$C$93="",ISERROR(Inputs!$C$93)),Inputs!$D$93,Inputs!$C$93*Inputs!$K$9*(1+Inputs!$K$12)^B227),"Error - Check Input")</f>
        <v>42354.337500000125</v>
      </c>
      <c r="D227" s="17"/>
    </row>
    <row r="228" spans="2:4" x14ac:dyDescent="0.35">
      <c r="B228" s="18">
        <v>37</v>
      </c>
      <c r="C228" s="6">
        <f>IFERROR(IF(OR(Inputs!$C$84=0,Inputs!$C$84="",ISERROR(Inputs!$C$84)),Inputs!$D$84,Inputs!$C$84*Inputs!$K$9*(1+Inputs!$K$12)^B228),"Error - Check Input")
+IFERROR(IF(OR(Inputs!$C$85=0,Inputs!$C$85="",ISERROR(Inputs!$C$85)),Inputs!$D$85,Inputs!$C$85*Inputs!$K$9*(1+Inputs!$K$12)^B228),"Error - Check Input")
+IFERROR(IF(OR(Inputs!$C$86=0,Inputs!$C$86="",ISERROR(Inputs!$C$86)),Inputs!$D$86,Inputs!$C$86*Inputs!$K$9*(1+Inputs!$K$12)^B228),"Error - Check Input")
+IFERROR(IF(OR(Inputs!$C$87=0,Inputs!$C$87="",ISERROR(Inputs!$C$87)),Inputs!$D$87,Inputs!$C$87*Inputs!$K$9*(1+Inputs!$K$12)^B228),"Error - Check Input")
+IFERROR(IF(OR(Inputs!$C$88=0,Inputs!$C$88="",ISERROR(Inputs!$C$88)),Inputs!$D$88,Inputs!$C$88*Inputs!$K$9*(1+Inputs!$K$12)^B228),"Error - Check Input")
+IFERROR(IF(OR(Inputs!$C$89=0,Inputs!$C$89="",ISERROR(Inputs!$C$89)),Inputs!$D$89,Inputs!$C$89*Inputs!$K$9*(1+Inputs!$K$12)^B228),"Error - Check Input")
+IFERROR(IF(OR(Inputs!$C$90=0,Inputs!$C$90="",ISERROR(Inputs!$C$90)),Inputs!$D$90,Inputs!$C$90*Inputs!$K$9*(1+Inputs!$K$12)^B228),"Error - Check Input")
+IFERROR(IF(OR(Inputs!$C$93=0,Inputs!$C$93="",ISERROR(Inputs!$C$93)),Inputs!$D$93,Inputs!$C$93*Inputs!$K$9*(1+Inputs!$K$12)^B228),"Error - Check Input")</f>
        <v>42508.560756723127</v>
      </c>
      <c r="D228" s="17"/>
    </row>
    <row r="229" spans="2:4" x14ac:dyDescent="0.35">
      <c r="B229" s="18">
        <v>38</v>
      </c>
      <c r="C229" s="6">
        <f>IFERROR(IF(OR(Inputs!$C$84=0,Inputs!$C$84="",ISERROR(Inputs!$C$84)),Inputs!$D$84,Inputs!$C$84*Inputs!$K$9*(1+Inputs!$K$12)^B229),"Error - Check Input")
+IFERROR(IF(OR(Inputs!$C$85=0,Inputs!$C$85="",ISERROR(Inputs!$C$85)),Inputs!$D$85,Inputs!$C$85*Inputs!$K$9*(1+Inputs!$K$12)^B229),"Error - Check Input")
+IFERROR(IF(OR(Inputs!$C$86=0,Inputs!$C$86="",ISERROR(Inputs!$C$86)),Inputs!$D$86,Inputs!$C$86*Inputs!$K$9*(1+Inputs!$K$12)^B229),"Error - Check Input")
+IFERROR(IF(OR(Inputs!$C$87=0,Inputs!$C$87="",ISERROR(Inputs!$C$87)),Inputs!$D$87,Inputs!$C$87*Inputs!$K$9*(1+Inputs!$K$12)^B229),"Error - Check Input")
+IFERROR(IF(OR(Inputs!$C$88=0,Inputs!$C$88="",ISERROR(Inputs!$C$88)),Inputs!$D$88,Inputs!$C$88*Inputs!$K$9*(1+Inputs!$K$12)^B229),"Error - Check Input")
+IFERROR(IF(OR(Inputs!$C$89=0,Inputs!$C$89="",ISERROR(Inputs!$C$89)),Inputs!$D$89,Inputs!$C$89*Inputs!$K$9*(1+Inputs!$K$12)^B229),"Error - Check Input")
+IFERROR(IF(OR(Inputs!$C$90=0,Inputs!$C$90="",ISERROR(Inputs!$C$90)),Inputs!$D$90,Inputs!$C$90*Inputs!$K$9*(1+Inputs!$K$12)^B229),"Error - Check Input")
+IFERROR(IF(OR(Inputs!$C$93=0,Inputs!$C$93="",ISERROR(Inputs!$C$93)),Inputs!$D$93,Inputs!$C$93*Inputs!$K$9*(1+Inputs!$K$12)^B229),"Error - Check Input")</f>
        <v>42663.412338084338</v>
      </c>
      <c r="D229" s="17"/>
    </row>
    <row r="230" spans="2:4" x14ac:dyDescent="0.35">
      <c r="B230" s="18">
        <v>39</v>
      </c>
      <c r="C230" s="6">
        <f>IFERROR(IF(OR(Inputs!$C$84=0,Inputs!$C$84="",ISERROR(Inputs!$C$84)),Inputs!$D$84,Inputs!$C$84*Inputs!$K$9*(1+Inputs!$K$12)^B230),"Error - Check Input")
+IFERROR(IF(OR(Inputs!$C$85=0,Inputs!$C$85="",ISERROR(Inputs!$C$85)),Inputs!$D$85,Inputs!$C$85*Inputs!$K$9*(1+Inputs!$K$12)^B230),"Error - Check Input")
+IFERROR(IF(OR(Inputs!$C$86=0,Inputs!$C$86="",ISERROR(Inputs!$C$86)),Inputs!$D$86,Inputs!$C$86*Inputs!$K$9*(1+Inputs!$K$12)^B230),"Error - Check Input")
+IFERROR(IF(OR(Inputs!$C$87=0,Inputs!$C$87="",ISERROR(Inputs!$C$87)),Inputs!$D$87,Inputs!$C$87*Inputs!$K$9*(1+Inputs!$K$12)^B230),"Error - Check Input")
+IFERROR(IF(OR(Inputs!$C$88=0,Inputs!$C$88="",ISERROR(Inputs!$C$88)),Inputs!$D$88,Inputs!$C$88*Inputs!$K$9*(1+Inputs!$K$12)^B230),"Error - Check Input")
+IFERROR(IF(OR(Inputs!$C$89=0,Inputs!$C$89="",ISERROR(Inputs!$C$89)),Inputs!$D$89,Inputs!$C$89*Inputs!$K$9*(1+Inputs!$K$12)^B230),"Error - Check Input")
+IFERROR(IF(OR(Inputs!$C$90=0,Inputs!$C$90="",ISERROR(Inputs!$C$90)),Inputs!$D$90,Inputs!$C$90*Inputs!$K$9*(1+Inputs!$K$12)^B230),"Error - Check Input")
+IFERROR(IF(OR(Inputs!$C$93=0,Inputs!$C$93="",ISERROR(Inputs!$C$93)),Inputs!$D$93,Inputs!$C$93*Inputs!$K$9*(1+Inputs!$K$12)^B230),"Error - Check Input")</f>
        <v>42818.894803956107</v>
      </c>
      <c r="D230" s="17"/>
    </row>
    <row r="231" spans="2:4" x14ac:dyDescent="0.35">
      <c r="B231" s="18">
        <v>40</v>
      </c>
      <c r="C231" s="6">
        <f>IFERROR(IF(OR(Inputs!$C$84=0,Inputs!$C$84="",ISERROR(Inputs!$C$84)),Inputs!$D$84,Inputs!$C$84*Inputs!$K$9*(1+Inputs!$K$12)^B231),"Error - Check Input")
+IFERROR(IF(OR(Inputs!$C$85=0,Inputs!$C$85="",ISERROR(Inputs!$C$85)),Inputs!$D$85,Inputs!$C$85*Inputs!$K$9*(1+Inputs!$K$12)^B231),"Error - Check Input")
+IFERROR(IF(OR(Inputs!$C$86=0,Inputs!$C$86="",ISERROR(Inputs!$C$86)),Inputs!$D$86,Inputs!$C$86*Inputs!$K$9*(1+Inputs!$K$12)^B231),"Error - Check Input")
+IFERROR(IF(OR(Inputs!$C$87=0,Inputs!$C$87="",ISERROR(Inputs!$C$87)),Inputs!$D$87,Inputs!$C$87*Inputs!$K$9*(1+Inputs!$K$12)^B231),"Error - Check Input")
+IFERROR(IF(OR(Inputs!$C$88=0,Inputs!$C$88="",ISERROR(Inputs!$C$88)),Inputs!$D$88,Inputs!$C$88*Inputs!$K$9*(1+Inputs!$K$12)^B231),"Error - Check Input")
+IFERROR(IF(OR(Inputs!$C$89=0,Inputs!$C$89="",ISERROR(Inputs!$C$89)),Inputs!$D$89,Inputs!$C$89*Inputs!$K$9*(1+Inputs!$K$12)^B231),"Error - Check Input")
+IFERROR(IF(OR(Inputs!$C$90=0,Inputs!$C$90="",ISERROR(Inputs!$C$90)),Inputs!$D$90,Inputs!$C$90*Inputs!$K$9*(1+Inputs!$K$12)^B231),"Error - Check Input")
+IFERROR(IF(OR(Inputs!$C$93=0,Inputs!$C$93="",ISERROR(Inputs!$C$93)),Inputs!$D$93,Inputs!$C$93*Inputs!$K$9*(1+Inputs!$K$12)^B231),"Error - Check Input")</f>
        <v>42975.010724640029</v>
      </c>
      <c r="D231" s="17"/>
    </row>
    <row r="232" spans="2:4" x14ac:dyDescent="0.35">
      <c r="B232" s="18">
        <v>41</v>
      </c>
      <c r="C232" s="6">
        <f>IFERROR(IF(OR(Inputs!$C$84=0,Inputs!$C$84="",ISERROR(Inputs!$C$84)),Inputs!$D$84,Inputs!$C$84*Inputs!$K$9*(1+Inputs!$K$12)^B232),"Error - Check Input")
+IFERROR(IF(OR(Inputs!$C$85=0,Inputs!$C$85="",ISERROR(Inputs!$C$85)),Inputs!$D$85,Inputs!$C$85*Inputs!$K$9*(1+Inputs!$K$12)^B232),"Error - Check Input")
+IFERROR(IF(OR(Inputs!$C$86=0,Inputs!$C$86="",ISERROR(Inputs!$C$86)),Inputs!$D$86,Inputs!$C$86*Inputs!$K$9*(1+Inputs!$K$12)^B232),"Error - Check Input")
+IFERROR(IF(OR(Inputs!$C$87=0,Inputs!$C$87="",ISERROR(Inputs!$C$87)),Inputs!$D$87,Inputs!$C$87*Inputs!$K$9*(1+Inputs!$K$12)^B232),"Error - Check Input")
+IFERROR(IF(OR(Inputs!$C$88=0,Inputs!$C$88="",ISERROR(Inputs!$C$88)),Inputs!$D$88,Inputs!$C$88*Inputs!$K$9*(1+Inputs!$K$12)^B232),"Error - Check Input")
+IFERROR(IF(OR(Inputs!$C$89=0,Inputs!$C$89="",ISERROR(Inputs!$C$89)),Inputs!$D$89,Inputs!$C$89*Inputs!$K$9*(1+Inputs!$K$12)^B232),"Error - Check Input")
+IFERROR(IF(OR(Inputs!$C$90=0,Inputs!$C$90="",ISERROR(Inputs!$C$90)),Inputs!$D$90,Inputs!$C$90*Inputs!$K$9*(1+Inputs!$K$12)^B232),"Error - Check Input")
+IFERROR(IF(OR(Inputs!$C$93=0,Inputs!$C$93="",ISERROR(Inputs!$C$93)),Inputs!$D$93,Inputs!$C$93*Inputs!$K$9*(1+Inputs!$K$12)^B232),"Error - Check Input")</f>
        <v>43131.762680909414</v>
      </c>
      <c r="D232" s="17"/>
    </row>
    <row r="233" spans="2:4" x14ac:dyDescent="0.35">
      <c r="B233" s="18">
        <v>42</v>
      </c>
      <c r="C233" s="6">
        <f>IFERROR(IF(OR(Inputs!$C$84=0,Inputs!$C$84="",ISERROR(Inputs!$C$84)),Inputs!$D$84,Inputs!$C$84*Inputs!$K$9*(1+Inputs!$K$12)^B233),"Error - Check Input")
+IFERROR(IF(OR(Inputs!$C$85=0,Inputs!$C$85="",ISERROR(Inputs!$C$85)),Inputs!$D$85,Inputs!$C$85*Inputs!$K$9*(1+Inputs!$K$12)^B233),"Error - Check Input")
+IFERROR(IF(OR(Inputs!$C$86=0,Inputs!$C$86="",ISERROR(Inputs!$C$86)),Inputs!$D$86,Inputs!$C$86*Inputs!$K$9*(1+Inputs!$K$12)^B233),"Error - Check Input")
+IFERROR(IF(OR(Inputs!$C$87=0,Inputs!$C$87="",ISERROR(Inputs!$C$87)),Inputs!$D$87,Inputs!$C$87*Inputs!$K$9*(1+Inputs!$K$12)^B233),"Error - Check Input")
+IFERROR(IF(OR(Inputs!$C$88=0,Inputs!$C$88="",ISERROR(Inputs!$C$88)),Inputs!$D$88,Inputs!$C$88*Inputs!$K$9*(1+Inputs!$K$12)^B233),"Error - Check Input")
+IFERROR(IF(OR(Inputs!$C$89=0,Inputs!$C$89="",ISERROR(Inputs!$C$89)),Inputs!$D$89,Inputs!$C$89*Inputs!$K$9*(1+Inputs!$K$12)^B233),"Error - Check Input")
+IFERROR(IF(OR(Inputs!$C$90=0,Inputs!$C$90="",ISERROR(Inputs!$C$90)),Inputs!$D$90,Inputs!$C$90*Inputs!$K$9*(1+Inputs!$K$12)^B233),"Error - Check Input")
+IFERROR(IF(OR(Inputs!$C$93=0,Inputs!$C$93="",ISERROR(Inputs!$C$93)),Inputs!$D$93,Inputs!$C$93*Inputs!$K$9*(1+Inputs!$K$12)^B233),"Error - Check Input")</f>
        <v>43289.153264051965</v>
      </c>
      <c r="D233" s="17"/>
    </row>
    <row r="234" spans="2:4" x14ac:dyDescent="0.35">
      <c r="B234" s="18">
        <v>43</v>
      </c>
      <c r="C234" s="6">
        <f>IFERROR(IF(OR(Inputs!$C$84=0,Inputs!$C$84="",ISERROR(Inputs!$C$84)),Inputs!$D$84,Inputs!$C$84*Inputs!$K$9*(1+Inputs!$K$12)^B234),"Error - Check Input")
+IFERROR(IF(OR(Inputs!$C$85=0,Inputs!$C$85="",ISERROR(Inputs!$C$85)),Inputs!$D$85,Inputs!$C$85*Inputs!$K$9*(1+Inputs!$K$12)^B234),"Error - Check Input")
+IFERROR(IF(OR(Inputs!$C$86=0,Inputs!$C$86="",ISERROR(Inputs!$C$86)),Inputs!$D$86,Inputs!$C$86*Inputs!$K$9*(1+Inputs!$K$12)^B234),"Error - Check Input")
+IFERROR(IF(OR(Inputs!$C$87=0,Inputs!$C$87="",ISERROR(Inputs!$C$87)),Inputs!$D$87,Inputs!$C$87*Inputs!$K$9*(1+Inputs!$K$12)^B234),"Error - Check Input")
+IFERROR(IF(OR(Inputs!$C$88=0,Inputs!$C$88="",ISERROR(Inputs!$C$88)),Inputs!$D$88,Inputs!$C$88*Inputs!$K$9*(1+Inputs!$K$12)^B234),"Error - Check Input")
+IFERROR(IF(OR(Inputs!$C$89=0,Inputs!$C$89="",ISERROR(Inputs!$C$89)),Inputs!$D$89,Inputs!$C$89*Inputs!$K$9*(1+Inputs!$K$12)^B234),"Error - Check Input")
+IFERROR(IF(OR(Inputs!$C$90=0,Inputs!$C$90="",ISERROR(Inputs!$C$90)),Inputs!$D$90,Inputs!$C$90*Inputs!$K$9*(1+Inputs!$K$12)^B234),"Error - Check Input")
+IFERROR(IF(OR(Inputs!$C$93=0,Inputs!$C$93="",ISERROR(Inputs!$C$93)),Inputs!$D$93,Inputs!$C$93*Inputs!$K$9*(1+Inputs!$K$12)^B234),"Error - Check Input")</f>
        <v>43447.185075912625</v>
      </c>
      <c r="D234" s="17"/>
    </row>
    <row r="235" spans="2:4" x14ac:dyDescent="0.35">
      <c r="B235" s="18">
        <v>44</v>
      </c>
      <c r="C235" s="6">
        <f>IFERROR(IF(OR(Inputs!$C$84=0,Inputs!$C$84="",ISERROR(Inputs!$C$84)),Inputs!$D$84,Inputs!$C$84*Inputs!$K$9*(1+Inputs!$K$12)^B235),"Error - Check Input")
+IFERROR(IF(OR(Inputs!$C$85=0,Inputs!$C$85="",ISERROR(Inputs!$C$85)),Inputs!$D$85,Inputs!$C$85*Inputs!$K$9*(1+Inputs!$K$12)^B235),"Error - Check Input")
+IFERROR(IF(OR(Inputs!$C$86=0,Inputs!$C$86="",ISERROR(Inputs!$C$86)),Inputs!$D$86,Inputs!$C$86*Inputs!$K$9*(1+Inputs!$K$12)^B235),"Error - Check Input")
+IFERROR(IF(OR(Inputs!$C$87=0,Inputs!$C$87="",ISERROR(Inputs!$C$87)),Inputs!$D$87,Inputs!$C$87*Inputs!$K$9*(1+Inputs!$K$12)^B235),"Error - Check Input")
+IFERROR(IF(OR(Inputs!$C$88=0,Inputs!$C$88="",ISERROR(Inputs!$C$88)),Inputs!$D$88,Inputs!$C$88*Inputs!$K$9*(1+Inputs!$K$12)^B235),"Error - Check Input")
+IFERROR(IF(OR(Inputs!$C$89=0,Inputs!$C$89="",ISERROR(Inputs!$C$89)),Inputs!$D$89,Inputs!$C$89*Inputs!$K$9*(1+Inputs!$K$12)^B235),"Error - Check Input")
+IFERROR(IF(OR(Inputs!$C$90=0,Inputs!$C$90="",ISERROR(Inputs!$C$90)),Inputs!$D$90,Inputs!$C$90*Inputs!$K$9*(1+Inputs!$K$12)^B235),"Error - Check Input")
+IFERROR(IF(OR(Inputs!$C$93=0,Inputs!$C$93="",ISERROR(Inputs!$C$93)),Inputs!$D$93,Inputs!$C$93*Inputs!$K$9*(1+Inputs!$K$12)^B235),"Error - Check Input")</f>
        <v>43605.860728936554</v>
      </c>
      <c r="D235" s="17"/>
    </row>
    <row r="236" spans="2:4" x14ac:dyDescent="0.35">
      <c r="B236" s="18">
        <v>45</v>
      </c>
      <c r="C236" s="6">
        <f>IFERROR(IF(OR(Inputs!$C$84=0,Inputs!$C$84="",ISERROR(Inputs!$C$84)),Inputs!$D$84,Inputs!$C$84*Inputs!$K$9*(1+Inputs!$K$12)^B236),"Error - Check Input")
+IFERROR(IF(OR(Inputs!$C$85=0,Inputs!$C$85="",ISERROR(Inputs!$C$85)),Inputs!$D$85,Inputs!$C$85*Inputs!$K$9*(1+Inputs!$K$12)^B236),"Error - Check Input")
+IFERROR(IF(OR(Inputs!$C$86=0,Inputs!$C$86="",ISERROR(Inputs!$C$86)),Inputs!$D$86,Inputs!$C$86*Inputs!$K$9*(1+Inputs!$K$12)^B236),"Error - Check Input")
+IFERROR(IF(OR(Inputs!$C$87=0,Inputs!$C$87="",ISERROR(Inputs!$C$87)),Inputs!$D$87,Inputs!$C$87*Inputs!$K$9*(1+Inputs!$K$12)^B236),"Error - Check Input")
+IFERROR(IF(OR(Inputs!$C$88=0,Inputs!$C$88="",ISERROR(Inputs!$C$88)),Inputs!$D$88,Inputs!$C$88*Inputs!$K$9*(1+Inputs!$K$12)^B236),"Error - Check Input")
+IFERROR(IF(OR(Inputs!$C$89=0,Inputs!$C$89="",ISERROR(Inputs!$C$89)),Inputs!$D$89,Inputs!$C$89*Inputs!$K$9*(1+Inputs!$K$12)^B236),"Error - Check Input")
+IFERROR(IF(OR(Inputs!$C$90=0,Inputs!$C$90="",ISERROR(Inputs!$C$90)),Inputs!$D$90,Inputs!$C$90*Inputs!$K$9*(1+Inputs!$K$12)^B236),"Error - Check Input")
+IFERROR(IF(OR(Inputs!$C$93=0,Inputs!$C$93="",ISERROR(Inputs!$C$93)),Inputs!$D$93,Inputs!$C$93*Inputs!$K$9*(1+Inputs!$K$12)^B236),"Error - Check Input")</f>
        <v>43765.182846212352</v>
      </c>
      <c r="D236" s="17"/>
    </row>
    <row r="237" spans="2:4" x14ac:dyDescent="0.35">
      <c r="B237" s="18">
        <v>46</v>
      </c>
      <c r="C237" s="6">
        <f>IFERROR(IF(OR(Inputs!$C$84=0,Inputs!$C$84="",ISERROR(Inputs!$C$84)),Inputs!$D$84,Inputs!$C$84*Inputs!$K$9*(1+Inputs!$K$12)^B237),"Error - Check Input")
+IFERROR(IF(OR(Inputs!$C$85=0,Inputs!$C$85="",ISERROR(Inputs!$C$85)),Inputs!$D$85,Inputs!$C$85*Inputs!$K$9*(1+Inputs!$K$12)^B237),"Error - Check Input")
+IFERROR(IF(OR(Inputs!$C$86=0,Inputs!$C$86="",ISERROR(Inputs!$C$86)),Inputs!$D$86,Inputs!$C$86*Inputs!$K$9*(1+Inputs!$K$12)^B237),"Error - Check Input")
+IFERROR(IF(OR(Inputs!$C$87=0,Inputs!$C$87="",ISERROR(Inputs!$C$87)),Inputs!$D$87,Inputs!$C$87*Inputs!$K$9*(1+Inputs!$K$12)^B237),"Error - Check Input")
+IFERROR(IF(OR(Inputs!$C$88=0,Inputs!$C$88="",ISERROR(Inputs!$C$88)),Inputs!$D$88,Inputs!$C$88*Inputs!$K$9*(1+Inputs!$K$12)^B237),"Error - Check Input")
+IFERROR(IF(OR(Inputs!$C$89=0,Inputs!$C$89="",ISERROR(Inputs!$C$89)),Inputs!$D$89,Inputs!$C$89*Inputs!$K$9*(1+Inputs!$K$12)^B237),"Error - Check Input")
+IFERROR(IF(OR(Inputs!$C$90=0,Inputs!$C$90="",ISERROR(Inputs!$C$90)),Inputs!$D$90,Inputs!$C$90*Inputs!$K$9*(1+Inputs!$K$12)^B237),"Error - Check Input")
+IFERROR(IF(OR(Inputs!$C$93=0,Inputs!$C$93="",ISERROR(Inputs!$C$93)),Inputs!$D$93,Inputs!$C$93*Inputs!$K$9*(1+Inputs!$K$12)^B237),"Error - Check Input")</f>
        <v>43925.154061515408</v>
      </c>
      <c r="D237" s="17"/>
    </row>
    <row r="238" spans="2:4" x14ac:dyDescent="0.35">
      <c r="B238" s="18">
        <v>47</v>
      </c>
      <c r="C238" s="6">
        <f>IFERROR(IF(OR(Inputs!$C$84=0,Inputs!$C$84="",ISERROR(Inputs!$C$84)),Inputs!$D$84,Inputs!$C$84*Inputs!$K$9*(1+Inputs!$K$12)^B238),"Error - Check Input")
+IFERROR(IF(OR(Inputs!$C$85=0,Inputs!$C$85="",ISERROR(Inputs!$C$85)),Inputs!$D$85,Inputs!$C$85*Inputs!$K$9*(1+Inputs!$K$12)^B238),"Error - Check Input")
+IFERROR(IF(OR(Inputs!$C$86=0,Inputs!$C$86="",ISERROR(Inputs!$C$86)),Inputs!$D$86,Inputs!$C$86*Inputs!$K$9*(1+Inputs!$K$12)^B238),"Error - Check Input")
+IFERROR(IF(OR(Inputs!$C$87=0,Inputs!$C$87="",ISERROR(Inputs!$C$87)),Inputs!$D$87,Inputs!$C$87*Inputs!$K$9*(1+Inputs!$K$12)^B238),"Error - Check Input")
+IFERROR(IF(OR(Inputs!$C$88=0,Inputs!$C$88="",ISERROR(Inputs!$C$88)),Inputs!$D$88,Inputs!$C$88*Inputs!$K$9*(1+Inputs!$K$12)^B238),"Error - Check Input")
+IFERROR(IF(OR(Inputs!$C$89=0,Inputs!$C$89="",ISERROR(Inputs!$C$89)),Inputs!$D$89,Inputs!$C$89*Inputs!$K$9*(1+Inputs!$K$12)^B238),"Error - Check Input")
+IFERROR(IF(OR(Inputs!$C$90=0,Inputs!$C$90="",ISERROR(Inputs!$C$90)),Inputs!$D$90,Inputs!$C$90*Inputs!$K$9*(1+Inputs!$K$12)^B238),"Error - Check Input")
+IFERROR(IF(OR(Inputs!$C$93=0,Inputs!$C$93="",ISERROR(Inputs!$C$93)),Inputs!$D$93,Inputs!$C$93*Inputs!$K$9*(1+Inputs!$K$12)^B238),"Error - Check Input")</f>
        <v>44085.777019351437</v>
      </c>
      <c r="D238" s="17"/>
    </row>
    <row r="239" spans="2:4" x14ac:dyDescent="0.35">
      <c r="B239" s="18">
        <v>48</v>
      </c>
      <c r="C239" s="6">
        <f>IFERROR(IF(OR(Inputs!$C$84=0,Inputs!$C$84="",ISERROR(Inputs!$C$84)),Inputs!$D$84,Inputs!$C$84*Inputs!$K$9*(1+Inputs!$K$12)^B239),"Error - Check Input")
+IFERROR(IF(OR(Inputs!$C$85=0,Inputs!$C$85="",ISERROR(Inputs!$C$85)),Inputs!$D$85,Inputs!$C$85*Inputs!$K$9*(1+Inputs!$K$12)^B239),"Error - Check Input")
+IFERROR(IF(OR(Inputs!$C$86=0,Inputs!$C$86="",ISERROR(Inputs!$C$86)),Inputs!$D$86,Inputs!$C$86*Inputs!$K$9*(1+Inputs!$K$12)^B239),"Error - Check Input")
+IFERROR(IF(OR(Inputs!$C$87=0,Inputs!$C$87="",ISERROR(Inputs!$C$87)),Inputs!$D$87,Inputs!$C$87*Inputs!$K$9*(1+Inputs!$K$12)^B239),"Error - Check Input")
+IFERROR(IF(OR(Inputs!$C$88=0,Inputs!$C$88="",ISERROR(Inputs!$C$88)),Inputs!$D$88,Inputs!$C$88*Inputs!$K$9*(1+Inputs!$K$12)^B239),"Error - Check Input")
+IFERROR(IF(OR(Inputs!$C$89=0,Inputs!$C$89="",ISERROR(Inputs!$C$89)),Inputs!$D$89,Inputs!$C$89*Inputs!$K$9*(1+Inputs!$K$12)^B239),"Error - Check Input")
+IFERROR(IF(OR(Inputs!$C$90=0,Inputs!$C$90="",ISERROR(Inputs!$C$90)),Inputs!$D$90,Inputs!$C$90*Inputs!$K$9*(1+Inputs!$K$12)^B239),"Error - Check Input")
+IFERROR(IF(OR(Inputs!$C$93=0,Inputs!$C$93="",ISERROR(Inputs!$C$93)),Inputs!$D$93,Inputs!$C$93*Inputs!$K$9*(1+Inputs!$K$12)^B239),"Error - Check Input")</f>
        <v>44247.054375000182</v>
      </c>
      <c r="D239" s="17"/>
    </row>
    <row r="240" spans="2:4" x14ac:dyDescent="0.35">
      <c r="B240" s="18">
        <v>49</v>
      </c>
      <c r="C240" s="6">
        <f>IFERROR(IF(OR(Inputs!$C$84=0,Inputs!$C$84="",ISERROR(Inputs!$C$84)),Inputs!$D$84,Inputs!$C$84*Inputs!$K$9*(1+Inputs!$K$12)^B240),"Error - Check Input")
+IFERROR(IF(OR(Inputs!$C$85=0,Inputs!$C$85="",ISERROR(Inputs!$C$85)),Inputs!$D$85,Inputs!$C$85*Inputs!$K$9*(1+Inputs!$K$12)^B240),"Error - Check Input")
+IFERROR(IF(OR(Inputs!$C$86=0,Inputs!$C$86="",ISERROR(Inputs!$C$86)),Inputs!$D$86,Inputs!$C$86*Inputs!$K$9*(1+Inputs!$K$12)^B240),"Error - Check Input")
+IFERROR(IF(OR(Inputs!$C$87=0,Inputs!$C$87="",ISERROR(Inputs!$C$87)),Inputs!$D$87,Inputs!$C$87*Inputs!$K$9*(1+Inputs!$K$12)^B240),"Error - Check Input")
+IFERROR(IF(OR(Inputs!$C$88=0,Inputs!$C$88="",ISERROR(Inputs!$C$88)),Inputs!$D$88,Inputs!$C$88*Inputs!$K$9*(1+Inputs!$K$12)^B240),"Error - Check Input")
+IFERROR(IF(OR(Inputs!$C$89=0,Inputs!$C$89="",ISERROR(Inputs!$C$89)),Inputs!$D$89,Inputs!$C$89*Inputs!$K$9*(1+Inputs!$K$12)^B240),"Error - Check Input")
+IFERROR(IF(OR(Inputs!$C$90=0,Inputs!$C$90="",ISERROR(Inputs!$C$90)),Inputs!$D$90,Inputs!$C$90*Inputs!$K$9*(1+Inputs!$K$12)^B240),"Error - Check Input")
+IFERROR(IF(OR(Inputs!$C$93=0,Inputs!$C$93="",ISERROR(Inputs!$C$93)),Inputs!$D$93,Inputs!$C$93*Inputs!$K$9*(1+Inputs!$K$12)^B240),"Error - Check Input")</f>
        <v>44408.988794559322</v>
      </c>
      <c r="D240" s="17"/>
    </row>
    <row r="241" spans="2:4" x14ac:dyDescent="0.35">
      <c r="B241" s="18">
        <v>50</v>
      </c>
      <c r="C241" s="6">
        <f>IFERROR(IF(OR(Inputs!$C$84=0,Inputs!$C$84="",ISERROR(Inputs!$C$84)),Inputs!$D$84,Inputs!$C$84*Inputs!$K$9*(1+Inputs!$K$12)^B241),"Error - Check Input")
+IFERROR(IF(OR(Inputs!$C$85=0,Inputs!$C$85="",ISERROR(Inputs!$C$85)),Inputs!$D$85,Inputs!$C$85*Inputs!$K$9*(1+Inputs!$K$12)^B241),"Error - Check Input")
+IFERROR(IF(OR(Inputs!$C$86=0,Inputs!$C$86="",ISERROR(Inputs!$C$86)),Inputs!$D$86,Inputs!$C$86*Inputs!$K$9*(1+Inputs!$K$12)^B241),"Error - Check Input")
+IFERROR(IF(OR(Inputs!$C$87=0,Inputs!$C$87="",ISERROR(Inputs!$C$87)),Inputs!$D$87,Inputs!$C$87*Inputs!$K$9*(1+Inputs!$K$12)^B241),"Error - Check Input")
+IFERROR(IF(OR(Inputs!$C$88=0,Inputs!$C$88="",ISERROR(Inputs!$C$88)),Inputs!$D$88,Inputs!$C$88*Inputs!$K$9*(1+Inputs!$K$12)^B241),"Error - Check Input")
+IFERROR(IF(OR(Inputs!$C$89=0,Inputs!$C$89="",ISERROR(Inputs!$C$89)),Inputs!$D$89,Inputs!$C$89*Inputs!$K$9*(1+Inputs!$K$12)^B241),"Error - Check Input")
+IFERROR(IF(OR(Inputs!$C$90=0,Inputs!$C$90="",ISERROR(Inputs!$C$90)),Inputs!$D$90,Inputs!$C$90*Inputs!$K$9*(1+Inputs!$K$12)^B241),"Error - Check Input")
+IFERROR(IF(OR(Inputs!$C$93=0,Inputs!$C$93="",ISERROR(Inputs!$C$93)),Inputs!$D$93,Inputs!$C$93*Inputs!$K$9*(1+Inputs!$K$12)^B241),"Error - Check Input")</f>
        <v>44571.582954988604</v>
      </c>
      <c r="D241" s="17"/>
    </row>
    <row r="242" spans="2:4" x14ac:dyDescent="0.35">
      <c r="B242" s="18">
        <v>51</v>
      </c>
      <c r="C242" s="6">
        <f>IFERROR(IF(OR(Inputs!$C$84=0,Inputs!$C$84="",ISERROR(Inputs!$C$84)),Inputs!$D$84,Inputs!$C$84*Inputs!$K$9*(1+Inputs!$K$12)^B242),"Error - Check Input")
+IFERROR(IF(OR(Inputs!$C$85=0,Inputs!$C$85="",ISERROR(Inputs!$C$85)),Inputs!$D$85,Inputs!$C$85*Inputs!$K$9*(1+Inputs!$K$12)^B242),"Error - Check Input")
+IFERROR(IF(OR(Inputs!$C$86=0,Inputs!$C$86="",ISERROR(Inputs!$C$86)),Inputs!$D$86,Inputs!$C$86*Inputs!$K$9*(1+Inputs!$K$12)^B242),"Error - Check Input")
+IFERROR(IF(OR(Inputs!$C$87=0,Inputs!$C$87="",ISERROR(Inputs!$C$87)),Inputs!$D$87,Inputs!$C$87*Inputs!$K$9*(1+Inputs!$K$12)^B242),"Error - Check Input")
+IFERROR(IF(OR(Inputs!$C$88=0,Inputs!$C$88="",ISERROR(Inputs!$C$88)),Inputs!$D$88,Inputs!$C$88*Inputs!$K$9*(1+Inputs!$K$12)^B242),"Error - Check Input")
+IFERROR(IF(OR(Inputs!$C$89=0,Inputs!$C$89="",ISERROR(Inputs!$C$89)),Inputs!$D$89,Inputs!$C$89*Inputs!$K$9*(1+Inputs!$K$12)^B242),"Error - Check Input")
+IFERROR(IF(OR(Inputs!$C$90=0,Inputs!$C$90="",ISERROR(Inputs!$C$90)),Inputs!$D$90,Inputs!$C$90*Inputs!$K$9*(1+Inputs!$K$12)^B242),"Error - Check Input")
+IFERROR(IF(OR(Inputs!$C$93=0,Inputs!$C$93="",ISERROR(Inputs!$C$93)),Inputs!$D$93,Inputs!$C$93*Inputs!$K$9*(1+Inputs!$K$12)^B242),"Error - Check Input")</f>
        <v>44734.839544153961</v>
      </c>
      <c r="D242" s="17"/>
    </row>
    <row r="243" spans="2:4" x14ac:dyDescent="0.35">
      <c r="B243" s="18">
        <v>52</v>
      </c>
      <c r="C243" s="6">
        <f>IFERROR(IF(OR(Inputs!$C$84=0,Inputs!$C$84="",ISERROR(Inputs!$C$84)),Inputs!$D$84,Inputs!$C$84*Inputs!$K$9*(1+Inputs!$K$12)^B243),"Error - Check Input")
+IFERROR(IF(OR(Inputs!$C$85=0,Inputs!$C$85="",ISERROR(Inputs!$C$85)),Inputs!$D$85,Inputs!$C$85*Inputs!$K$9*(1+Inputs!$K$12)^B243),"Error - Check Input")
+IFERROR(IF(OR(Inputs!$C$86=0,Inputs!$C$86="",ISERROR(Inputs!$C$86)),Inputs!$D$86,Inputs!$C$86*Inputs!$K$9*(1+Inputs!$K$12)^B243),"Error - Check Input")
+IFERROR(IF(OR(Inputs!$C$87=0,Inputs!$C$87="",ISERROR(Inputs!$C$87)),Inputs!$D$87,Inputs!$C$87*Inputs!$K$9*(1+Inputs!$K$12)^B243),"Error - Check Input")
+IFERROR(IF(OR(Inputs!$C$88=0,Inputs!$C$88="",ISERROR(Inputs!$C$88)),Inputs!$D$88,Inputs!$C$88*Inputs!$K$9*(1+Inputs!$K$12)^B243),"Error - Check Input")
+IFERROR(IF(OR(Inputs!$C$89=0,Inputs!$C$89="",ISERROR(Inputs!$C$89)),Inputs!$D$89,Inputs!$C$89*Inputs!$K$9*(1+Inputs!$K$12)^B243),"Error - Check Input")
+IFERROR(IF(OR(Inputs!$C$90=0,Inputs!$C$90="",ISERROR(Inputs!$C$90)),Inputs!$D$90,Inputs!$C$90*Inputs!$K$9*(1+Inputs!$K$12)^B243),"Error - Check Input")
+IFERROR(IF(OR(Inputs!$C$93=0,Inputs!$C$93="",ISERROR(Inputs!$C$93)),Inputs!$D$93,Inputs!$C$93*Inputs!$K$9*(1+Inputs!$K$12)^B243),"Error - Check Input")</f>
        <v>44898.761260872074</v>
      </c>
      <c r="D243" s="17"/>
    </row>
    <row r="244" spans="2:4" x14ac:dyDescent="0.35">
      <c r="B244" s="18">
        <v>53</v>
      </c>
      <c r="C244" s="6">
        <f>IFERROR(IF(OR(Inputs!$C$84=0,Inputs!$C$84="",ISERROR(Inputs!$C$84)),Inputs!$D$84,Inputs!$C$84*Inputs!$K$9*(1+Inputs!$K$12)^B244),"Error - Check Input")
+IFERROR(IF(OR(Inputs!$C$85=0,Inputs!$C$85="",ISERROR(Inputs!$C$85)),Inputs!$D$85,Inputs!$C$85*Inputs!$K$9*(1+Inputs!$K$12)^B244),"Error - Check Input")
+IFERROR(IF(OR(Inputs!$C$86=0,Inputs!$C$86="",ISERROR(Inputs!$C$86)),Inputs!$D$86,Inputs!$C$86*Inputs!$K$9*(1+Inputs!$K$12)^B244),"Error - Check Input")
+IFERROR(IF(OR(Inputs!$C$87=0,Inputs!$C$87="",ISERROR(Inputs!$C$87)),Inputs!$D$87,Inputs!$C$87*Inputs!$K$9*(1+Inputs!$K$12)^B244),"Error - Check Input")
+IFERROR(IF(OR(Inputs!$C$88=0,Inputs!$C$88="",ISERROR(Inputs!$C$88)),Inputs!$D$88,Inputs!$C$88*Inputs!$K$9*(1+Inputs!$K$12)^B244),"Error - Check Input")
+IFERROR(IF(OR(Inputs!$C$89=0,Inputs!$C$89="",ISERROR(Inputs!$C$89)),Inputs!$D$89,Inputs!$C$89*Inputs!$K$9*(1+Inputs!$K$12)^B244),"Error - Check Input")
+IFERROR(IF(OR(Inputs!$C$90=0,Inputs!$C$90="",ISERROR(Inputs!$C$90)),Inputs!$D$90,Inputs!$C$90*Inputs!$K$9*(1+Inputs!$K$12)^B244),"Error - Check Input")
+IFERROR(IF(OR(Inputs!$C$93=0,Inputs!$C$93="",ISERROR(Inputs!$C$93)),Inputs!$D$93,Inputs!$C$93*Inputs!$K$9*(1+Inputs!$K$12)^B244),"Error - Check Input")</f>
        <v>45063.350814954923</v>
      </c>
      <c r="D244" s="17"/>
    </row>
    <row r="245" spans="2:4" x14ac:dyDescent="0.35">
      <c r="B245" s="18">
        <v>54</v>
      </c>
      <c r="C245" s="6">
        <f>IFERROR(IF(OR(Inputs!$C$84=0,Inputs!$C$84="",ISERROR(Inputs!$C$84)),Inputs!$D$84,Inputs!$C$84*Inputs!$K$9*(1+Inputs!$K$12)^B245),"Error - Check Input")
+IFERROR(IF(OR(Inputs!$C$85=0,Inputs!$C$85="",ISERROR(Inputs!$C$85)),Inputs!$D$85,Inputs!$C$85*Inputs!$K$9*(1+Inputs!$K$12)^B245),"Error - Check Input")
+IFERROR(IF(OR(Inputs!$C$86=0,Inputs!$C$86="",ISERROR(Inputs!$C$86)),Inputs!$D$86,Inputs!$C$86*Inputs!$K$9*(1+Inputs!$K$12)^B245),"Error - Check Input")
+IFERROR(IF(OR(Inputs!$C$87=0,Inputs!$C$87="",ISERROR(Inputs!$C$87)),Inputs!$D$87,Inputs!$C$87*Inputs!$K$9*(1+Inputs!$K$12)^B245),"Error - Check Input")
+IFERROR(IF(OR(Inputs!$C$88=0,Inputs!$C$88="",ISERROR(Inputs!$C$88)),Inputs!$D$88,Inputs!$C$88*Inputs!$K$9*(1+Inputs!$K$12)^B245),"Error - Check Input")
+IFERROR(IF(OR(Inputs!$C$89=0,Inputs!$C$89="",ISERROR(Inputs!$C$89)),Inputs!$D$89,Inputs!$C$89*Inputs!$K$9*(1+Inputs!$K$12)^B245),"Error - Check Input")
+IFERROR(IF(OR(Inputs!$C$90=0,Inputs!$C$90="",ISERROR(Inputs!$C$90)),Inputs!$D$90,Inputs!$C$90*Inputs!$K$9*(1+Inputs!$K$12)^B245),"Error - Check Input")
+IFERROR(IF(OR(Inputs!$C$93=0,Inputs!$C$93="",ISERROR(Inputs!$C$93)),Inputs!$D$93,Inputs!$C$93*Inputs!$K$9*(1+Inputs!$K$12)^B245),"Error - Check Input")</f>
        <v>45228.610927254609</v>
      </c>
      <c r="D245" s="17"/>
    </row>
    <row r="246" spans="2:4" x14ac:dyDescent="0.35">
      <c r="B246" s="18">
        <v>55</v>
      </c>
      <c r="C246" s="6">
        <f>IFERROR(IF(OR(Inputs!$C$84=0,Inputs!$C$84="",ISERROR(Inputs!$C$84)),Inputs!$D$84,Inputs!$C$84*Inputs!$K$9*(1+Inputs!$K$12)^B246),"Error - Check Input")
+IFERROR(IF(OR(Inputs!$C$85=0,Inputs!$C$85="",ISERROR(Inputs!$C$85)),Inputs!$D$85,Inputs!$C$85*Inputs!$K$9*(1+Inputs!$K$12)^B246),"Error - Check Input")
+IFERROR(IF(OR(Inputs!$C$86=0,Inputs!$C$86="",ISERROR(Inputs!$C$86)),Inputs!$D$86,Inputs!$C$86*Inputs!$K$9*(1+Inputs!$K$12)^B246),"Error - Check Input")
+IFERROR(IF(OR(Inputs!$C$87=0,Inputs!$C$87="",ISERROR(Inputs!$C$87)),Inputs!$D$87,Inputs!$C$87*Inputs!$K$9*(1+Inputs!$K$12)^B246),"Error - Check Input")
+IFERROR(IF(OR(Inputs!$C$88=0,Inputs!$C$88="",ISERROR(Inputs!$C$88)),Inputs!$D$88,Inputs!$C$88*Inputs!$K$9*(1+Inputs!$K$12)^B246),"Error - Check Input")
+IFERROR(IF(OR(Inputs!$C$89=0,Inputs!$C$89="",ISERROR(Inputs!$C$89)),Inputs!$D$89,Inputs!$C$89*Inputs!$K$9*(1+Inputs!$K$12)^B246),"Error - Check Input")
+IFERROR(IF(OR(Inputs!$C$90=0,Inputs!$C$90="",ISERROR(Inputs!$C$90)),Inputs!$D$90,Inputs!$C$90*Inputs!$K$9*(1+Inputs!$K$12)^B246),"Error - Check Input")
+IFERROR(IF(OR(Inputs!$C$93=0,Inputs!$C$93="",ISERROR(Inputs!$C$93)),Inputs!$D$93,Inputs!$C$93*Inputs!$K$9*(1+Inputs!$K$12)^B246),"Error - Check Input")</f>
        <v>45394.544329708297</v>
      </c>
      <c r="D246" s="17"/>
    </row>
    <row r="247" spans="2:4" x14ac:dyDescent="0.35">
      <c r="B247" s="18">
        <v>56</v>
      </c>
      <c r="C247" s="6">
        <f>IFERROR(IF(OR(Inputs!$C$84=0,Inputs!$C$84="",ISERROR(Inputs!$C$84)),Inputs!$D$84,Inputs!$C$84*Inputs!$K$9*(1+Inputs!$K$12)^B247),"Error - Check Input")
+IFERROR(IF(OR(Inputs!$C$85=0,Inputs!$C$85="",ISERROR(Inputs!$C$85)),Inputs!$D$85,Inputs!$C$85*Inputs!$K$9*(1+Inputs!$K$12)^B247),"Error - Check Input")
+IFERROR(IF(OR(Inputs!$C$86=0,Inputs!$C$86="",ISERROR(Inputs!$C$86)),Inputs!$D$86,Inputs!$C$86*Inputs!$K$9*(1+Inputs!$K$12)^B247),"Error - Check Input")
+IFERROR(IF(OR(Inputs!$C$87=0,Inputs!$C$87="",ISERROR(Inputs!$C$87)),Inputs!$D$87,Inputs!$C$87*Inputs!$K$9*(1+Inputs!$K$12)^B247),"Error - Check Input")
+IFERROR(IF(OR(Inputs!$C$88=0,Inputs!$C$88="",ISERROR(Inputs!$C$88)),Inputs!$D$88,Inputs!$C$88*Inputs!$K$9*(1+Inputs!$K$12)^B247),"Error - Check Input")
+IFERROR(IF(OR(Inputs!$C$89=0,Inputs!$C$89="",ISERROR(Inputs!$C$89)),Inputs!$D$89,Inputs!$C$89*Inputs!$K$9*(1+Inputs!$K$12)^B247),"Error - Check Input")
+IFERROR(IF(OR(Inputs!$C$90=0,Inputs!$C$90="",ISERROR(Inputs!$C$90)),Inputs!$D$90,Inputs!$C$90*Inputs!$K$9*(1+Inputs!$K$12)^B247),"Error - Check Input")
+IFERROR(IF(OR(Inputs!$C$93=0,Inputs!$C$93="",ISERROR(Inputs!$C$93)),Inputs!$D$93,Inputs!$C$93*Inputs!$K$9*(1+Inputs!$K$12)^B247),"Error - Check Input")</f>
        <v>45561.153765383431</v>
      </c>
      <c r="D247" s="17"/>
    </row>
    <row r="248" spans="2:4" x14ac:dyDescent="0.35">
      <c r="B248" s="18">
        <v>57</v>
      </c>
      <c r="C248" s="6">
        <f>IFERROR(IF(OR(Inputs!$C$84=0,Inputs!$C$84="",ISERROR(Inputs!$C$84)),Inputs!$D$84,Inputs!$C$84*Inputs!$K$9*(1+Inputs!$K$12)^B248),"Error - Check Input")
+IFERROR(IF(OR(Inputs!$C$85=0,Inputs!$C$85="",ISERROR(Inputs!$C$85)),Inputs!$D$85,Inputs!$C$85*Inputs!$K$9*(1+Inputs!$K$12)^B248),"Error - Check Input")
+IFERROR(IF(OR(Inputs!$C$86=0,Inputs!$C$86="",ISERROR(Inputs!$C$86)),Inputs!$D$86,Inputs!$C$86*Inputs!$K$9*(1+Inputs!$K$12)^B248),"Error - Check Input")
+IFERROR(IF(OR(Inputs!$C$87=0,Inputs!$C$87="",ISERROR(Inputs!$C$87)),Inputs!$D$87,Inputs!$C$87*Inputs!$K$9*(1+Inputs!$K$12)^B248),"Error - Check Input")
+IFERROR(IF(OR(Inputs!$C$88=0,Inputs!$C$88="",ISERROR(Inputs!$C$88)),Inputs!$D$88,Inputs!$C$88*Inputs!$K$9*(1+Inputs!$K$12)^B248),"Error - Check Input")
+IFERROR(IF(OR(Inputs!$C$89=0,Inputs!$C$89="",ISERROR(Inputs!$C$89)),Inputs!$D$89,Inputs!$C$89*Inputs!$K$9*(1+Inputs!$K$12)^B248),"Error - Check Input")
+IFERROR(IF(OR(Inputs!$C$90=0,Inputs!$C$90="",ISERROR(Inputs!$C$90)),Inputs!$D$90,Inputs!$C$90*Inputs!$K$9*(1+Inputs!$K$12)^B248),"Error - Check Input")
+IFERROR(IF(OR(Inputs!$C$93=0,Inputs!$C$93="",ISERROR(Inputs!$C$93)),Inputs!$D$93,Inputs!$C$93*Inputs!$K$9*(1+Inputs!$K$12)^B248),"Error - Check Input")</f>
        <v>45728.441988523024</v>
      </c>
      <c r="D248" s="17"/>
    </row>
    <row r="249" spans="2:4" x14ac:dyDescent="0.35">
      <c r="B249" s="18">
        <v>58</v>
      </c>
      <c r="C249" s="6">
        <f>IFERROR(IF(OR(Inputs!$C$84=0,Inputs!$C$84="",ISERROR(Inputs!$C$84)),Inputs!$D$84,Inputs!$C$84*Inputs!$K$9*(1+Inputs!$K$12)^B249),"Error - Check Input")
+IFERROR(IF(OR(Inputs!$C$85=0,Inputs!$C$85="",ISERROR(Inputs!$C$85)),Inputs!$D$85,Inputs!$C$85*Inputs!$K$9*(1+Inputs!$K$12)^B249),"Error - Check Input")
+IFERROR(IF(OR(Inputs!$C$86=0,Inputs!$C$86="",ISERROR(Inputs!$C$86)),Inputs!$D$86,Inputs!$C$86*Inputs!$K$9*(1+Inputs!$K$12)^B249),"Error - Check Input")
+IFERROR(IF(OR(Inputs!$C$87=0,Inputs!$C$87="",ISERROR(Inputs!$C$87)),Inputs!$D$87,Inputs!$C$87*Inputs!$K$9*(1+Inputs!$K$12)^B249),"Error - Check Input")
+IFERROR(IF(OR(Inputs!$C$88=0,Inputs!$C$88="",ISERROR(Inputs!$C$88)),Inputs!$D$88,Inputs!$C$88*Inputs!$K$9*(1+Inputs!$K$12)^B249),"Error - Check Input")
+IFERROR(IF(OR(Inputs!$C$89=0,Inputs!$C$89="",ISERROR(Inputs!$C$89)),Inputs!$D$89,Inputs!$C$89*Inputs!$K$9*(1+Inputs!$K$12)^B249),"Error - Check Input")
+IFERROR(IF(OR(Inputs!$C$90=0,Inputs!$C$90="",ISERROR(Inputs!$C$90)),Inputs!$D$90,Inputs!$C$90*Inputs!$K$9*(1+Inputs!$K$12)^B249),"Error - Check Input")
+IFERROR(IF(OR(Inputs!$C$93=0,Inputs!$C$93="",ISERROR(Inputs!$C$93)),Inputs!$D$93,Inputs!$C$93*Inputs!$K$9*(1+Inputs!$K$12)^B249),"Error - Check Input")</f>
        <v>45896.411764591227</v>
      </c>
      <c r="D249" s="17"/>
    </row>
    <row r="250" spans="2:4" x14ac:dyDescent="0.35">
      <c r="B250" s="18">
        <v>59</v>
      </c>
      <c r="C250" s="6">
        <f>IFERROR(IF(OR(Inputs!$C$84=0,Inputs!$C$84="",ISERROR(Inputs!$C$84)),Inputs!$D$84,Inputs!$C$84*Inputs!$K$9*(1+Inputs!$K$12)^B250),"Error - Check Input")
+IFERROR(IF(OR(Inputs!$C$85=0,Inputs!$C$85="",ISERROR(Inputs!$C$85)),Inputs!$D$85,Inputs!$C$85*Inputs!$K$9*(1+Inputs!$K$12)^B250),"Error - Check Input")
+IFERROR(IF(OR(Inputs!$C$86=0,Inputs!$C$86="",ISERROR(Inputs!$C$86)),Inputs!$D$86,Inputs!$C$86*Inputs!$K$9*(1+Inputs!$K$12)^B250),"Error - Check Input")
+IFERROR(IF(OR(Inputs!$C$87=0,Inputs!$C$87="",ISERROR(Inputs!$C$87)),Inputs!$D$87,Inputs!$C$87*Inputs!$K$9*(1+Inputs!$K$12)^B250),"Error - Check Input")
+IFERROR(IF(OR(Inputs!$C$88=0,Inputs!$C$88="",ISERROR(Inputs!$C$88)),Inputs!$D$88,Inputs!$C$88*Inputs!$K$9*(1+Inputs!$K$12)^B250),"Error - Check Input")
+IFERROR(IF(OR(Inputs!$C$89=0,Inputs!$C$89="",ISERROR(Inputs!$C$89)),Inputs!$D$89,Inputs!$C$89*Inputs!$K$9*(1+Inputs!$K$12)^B250),"Error - Check Input")
+IFERROR(IF(OR(Inputs!$C$90=0,Inputs!$C$90="",ISERROR(Inputs!$C$90)),Inputs!$D$90,Inputs!$C$90*Inputs!$K$9*(1+Inputs!$K$12)^B250),"Error - Check Input")
+IFERROR(IF(OR(Inputs!$C$93=0,Inputs!$C$93="",ISERROR(Inputs!$C$93)),Inputs!$D$93,Inputs!$C$93*Inputs!$K$9*(1+Inputs!$K$12)^B250),"Error - Check Input")</f>
        <v>46065.065870319057</v>
      </c>
      <c r="D250" s="17"/>
    </row>
    <row r="251" spans="2:4" x14ac:dyDescent="0.35">
      <c r="B251" s="18">
        <v>60</v>
      </c>
      <c r="C251" s="6">
        <f>IFERROR(IF(OR(Inputs!$C$84=0,Inputs!$C$84="",ISERROR(Inputs!$C$84)),Inputs!$D$84,Inputs!$C$84*Inputs!$K$9*(1+Inputs!$K$12)^B251),"Error - Check Input")
+IFERROR(IF(OR(Inputs!$C$85=0,Inputs!$C$85="",ISERROR(Inputs!$C$85)),Inputs!$D$85,Inputs!$C$85*Inputs!$K$9*(1+Inputs!$K$12)^B251),"Error - Check Input")
+IFERROR(IF(OR(Inputs!$C$86=0,Inputs!$C$86="",ISERROR(Inputs!$C$86)),Inputs!$D$86,Inputs!$C$86*Inputs!$K$9*(1+Inputs!$K$12)^B251),"Error - Check Input")
+IFERROR(IF(OR(Inputs!$C$87=0,Inputs!$C$87="",ISERROR(Inputs!$C$87)),Inputs!$D$87,Inputs!$C$87*Inputs!$K$9*(1+Inputs!$K$12)^B251),"Error - Check Input")
+IFERROR(IF(OR(Inputs!$C$88=0,Inputs!$C$88="",ISERROR(Inputs!$C$88)),Inputs!$D$88,Inputs!$C$88*Inputs!$K$9*(1+Inputs!$K$12)^B251),"Error - Check Input")
+IFERROR(IF(OR(Inputs!$C$89=0,Inputs!$C$89="",ISERROR(Inputs!$C$89)),Inputs!$D$89,Inputs!$C$89*Inputs!$K$9*(1+Inputs!$K$12)^B251),"Error - Check Input")
+IFERROR(IF(OR(Inputs!$C$90=0,Inputs!$C$90="",ISERROR(Inputs!$C$90)),Inputs!$D$90,Inputs!$C$90*Inputs!$K$9*(1+Inputs!$K$12)^B251),"Error - Check Input")
+IFERROR(IF(OR(Inputs!$C$93=0,Inputs!$C$93="",ISERROR(Inputs!$C$93)),Inputs!$D$93,Inputs!$C$93*Inputs!$K$9*(1+Inputs!$K$12)^B251),"Error - Check Input")</f>
        <v>46234.407093750233</v>
      </c>
      <c r="D251" s="17"/>
    </row>
    <row r="252" spans="2:4" x14ac:dyDescent="0.35">
      <c r="B252" s="18">
        <v>61</v>
      </c>
      <c r="C252" s="6">
        <f>IFERROR(IF(OR(Inputs!$C$84=0,Inputs!$C$84="",ISERROR(Inputs!$C$84)),Inputs!$D$84,Inputs!$C$84*Inputs!$K$9*(1+Inputs!$K$12)^B252),"Error - Check Input")
+IFERROR(IF(OR(Inputs!$C$85=0,Inputs!$C$85="",ISERROR(Inputs!$C$85)),Inputs!$D$85,Inputs!$C$85*Inputs!$K$9*(1+Inputs!$K$12)^B252),"Error - Check Input")
+IFERROR(IF(OR(Inputs!$C$86=0,Inputs!$C$86="",ISERROR(Inputs!$C$86)),Inputs!$D$86,Inputs!$C$86*Inputs!$K$9*(1+Inputs!$K$12)^B252),"Error - Check Input")
+IFERROR(IF(OR(Inputs!$C$87=0,Inputs!$C$87="",ISERROR(Inputs!$C$87)),Inputs!$D$87,Inputs!$C$87*Inputs!$K$9*(1+Inputs!$K$12)^B252),"Error - Check Input")
+IFERROR(IF(OR(Inputs!$C$88=0,Inputs!$C$88="",ISERROR(Inputs!$C$88)),Inputs!$D$88,Inputs!$C$88*Inputs!$K$9*(1+Inputs!$K$12)^B252),"Error - Check Input")
+IFERROR(IF(OR(Inputs!$C$89=0,Inputs!$C$89="",ISERROR(Inputs!$C$89)),Inputs!$D$89,Inputs!$C$89*Inputs!$K$9*(1+Inputs!$K$12)^B252),"Error - Check Input")
+IFERROR(IF(OR(Inputs!$C$90=0,Inputs!$C$90="",ISERROR(Inputs!$C$90)),Inputs!$D$90,Inputs!$C$90*Inputs!$K$9*(1+Inputs!$K$12)^B252),"Error - Check Input")
+IFERROR(IF(OR(Inputs!$C$93=0,Inputs!$C$93="",ISERROR(Inputs!$C$93)),Inputs!$D$93,Inputs!$C$93*Inputs!$K$9*(1+Inputs!$K$12)^B252),"Error - Check Input")</f>
        <v>46404.438234287343</v>
      </c>
      <c r="D252" s="17"/>
    </row>
    <row r="253" spans="2:4" x14ac:dyDescent="0.35">
      <c r="B253" s="18">
        <v>62</v>
      </c>
      <c r="C253" s="6">
        <f>IFERROR(IF(OR(Inputs!$C$84=0,Inputs!$C$84="",ISERROR(Inputs!$C$84)),Inputs!$D$84,Inputs!$C$84*Inputs!$K$9*(1+Inputs!$K$12)^B253),"Error - Check Input")
+IFERROR(IF(OR(Inputs!$C$85=0,Inputs!$C$85="",ISERROR(Inputs!$C$85)),Inputs!$D$85,Inputs!$C$85*Inputs!$K$9*(1+Inputs!$K$12)^B253),"Error - Check Input")
+IFERROR(IF(OR(Inputs!$C$86=0,Inputs!$C$86="",ISERROR(Inputs!$C$86)),Inputs!$D$86,Inputs!$C$86*Inputs!$K$9*(1+Inputs!$K$12)^B253),"Error - Check Input")
+IFERROR(IF(OR(Inputs!$C$87=0,Inputs!$C$87="",ISERROR(Inputs!$C$87)),Inputs!$D$87,Inputs!$C$87*Inputs!$K$9*(1+Inputs!$K$12)^B253),"Error - Check Input")
+IFERROR(IF(OR(Inputs!$C$88=0,Inputs!$C$88="",ISERROR(Inputs!$C$88)),Inputs!$D$88,Inputs!$C$88*Inputs!$K$9*(1+Inputs!$K$12)^B253),"Error - Check Input")
+IFERROR(IF(OR(Inputs!$C$89=0,Inputs!$C$89="",ISERROR(Inputs!$C$89)),Inputs!$D$89,Inputs!$C$89*Inputs!$K$9*(1+Inputs!$K$12)^B253),"Error - Check Input")
+IFERROR(IF(OR(Inputs!$C$90=0,Inputs!$C$90="",ISERROR(Inputs!$C$90)),Inputs!$D$90,Inputs!$C$90*Inputs!$K$9*(1+Inputs!$K$12)^B253),"Error - Check Input")
+IFERROR(IF(OR(Inputs!$C$93=0,Inputs!$C$93="",ISERROR(Inputs!$C$93)),Inputs!$D$93,Inputs!$C$93*Inputs!$K$9*(1+Inputs!$K$12)^B253),"Error - Check Input")</f>
        <v>46575.162102738075</v>
      </c>
      <c r="D253" s="17"/>
    </row>
    <row r="254" spans="2:4" x14ac:dyDescent="0.35">
      <c r="B254" s="18">
        <v>63</v>
      </c>
      <c r="C254" s="6">
        <f>IFERROR(IF(OR(Inputs!$C$84=0,Inputs!$C$84="",ISERROR(Inputs!$C$84)),Inputs!$D$84,Inputs!$C$84*Inputs!$K$9*(1+Inputs!$K$12)^B254),"Error - Check Input")
+IFERROR(IF(OR(Inputs!$C$85=0,Inputs!$C$85="",ISERROR(Inputs!$C$85)),Inputs!$D$85,Inputs!$C$85*Inputs!$K$9*(1+Inputs!$K$12)^B254),"Error - Check Input")
+IFERROR(IF(OR(Inputs!$C$86=0,Inputs!$C$86="",ISERROR(Inputs!$C$86)),Inputs!$D$86,Inputs!$C$86*Inputs!$K$9*(1+Inputs!$K$12)^B254),"Error - Check Input")
+IFERROR(IF(OR(Inputs!$C$87=0,Inputs!$C$87="",ISERROR(Inputs!$C$87)),Inputs!$D$87,Inputs!$C$87*Inputs!$K$9*(1+Inputs!$K$12)^B254),"Error - Check Input")
+IFERROR(IF(OR(Inputs!$C$88=0,Inputs!$C$88="",ISERROR(Inputs!$C$88)),Inputs!$D$88,Inputs!$C$88*Inputs!$K$9*(1+Inputs!$K$12)^B254),"Error - Check Input")
+IFERROR(IF(OR(Inputs!$C$89=0,Inputs!$C$89="",ISERROR(Inputs!$C$89)),Inputs!$D$89,Inputs!$C$89*Inputs!$K$9*(1+Inputs!$K$12)^B254),"Error - Check Input")
+IFERROR(IF(OR(Inputs!$C$90=0,Inputs!$C$90="",ISERROR(Inputs!$C$90)),Inputs!$D$90,Inputs!$C$90*Inputs!$K$9*(1+Inputs!$K$12)^B254),"Error - Check Input")
+IFERROR(IF(OR(Inputs!$C$93=0,Inputs!$C$93="",ISERROR(Inputs!$C$93)),Inputs!$D$93,Inputs!$C$93*Inputs!$K$9*(1+Inputs!$K$12)^B254),"Error - Check Input")</f>
        <v>46746.581521361702</v>
      </c>
      <c r="D254" s="17"/>
    </row>
    <row r="255" spans="2:4" x14ac:dyDescent="0.35">
      <c r="B255" s="18">
        <v>64</v>
      </c>
      <c r="C255" s="6">
        <f>IFERROR(IF(OR(Inputs!$C$84=0,Inputs!$C$84="",ISERROR(Inputs!$C$84)),Inputs!$D$84,Inputs!$C$84*Inputs!$K$9*(1+Inputs!$K$12)^B255),"Error - Check Input")
+IFERROR(IF(OR(Inputs!$C$85=0,Inputs!$C$85="",ISERROR(Inputs!$C$85)),Inputs!$D$85,Inputs!$C$85*Inputs!$K$9*(1+Inputs!$K$12)^B255),"Error - Check Input")
+IFERROR(IF(OR(Inputs!$C$86=0,Inputs!$C$86="",ISERROR(Inputs!$C$86)),Inputs!$D$86,Inputs!$C$86*Inputs!$K$9*(1+Inputs!$K$12)^B255),"Error - Check Input")
+IFERROR(IF(OR(Inputs!$C$87=0,Inputs!$C$87="",ISERROR(Inputs!$C$87)),Inputs!$D$87,Inputs!$C$87*Inputs!$K$9*(1+Inputs!$K$12)^B255),"Error - Check Input")
+IFERROR(IF(OR(Inputs!$C$88=0,Inputs!$C$88="",ISERROR(Inputs!$C$88)),Inputs!$D$88,Inputs!$C$88*Inputs!$K$9*(1+Inputs!$K$12)^B255),"Error - Check Input")
+IFERROR(IF(OR(Inputs!$C$89=0,Inputs!$C$89="",ISERROR(Inputs!$C$89)),Inputs!$D$89,Inputs!$C$89*Inputs!$K$9*(1+Inputs!$K$12)^B255),"Error - Check Input")
+IFERROR(IF(OR(Inputs!$C$90=0,Inputs!$C$90="",ISERROR(Inputs!$C$90)),Inputs!$D$90,Inputs!$C$90*Inputs!$K$9*(1+Inputs!$K$12)^B255),"Error - Check Input")
+IFERROR(IF(OR(Inputs!$C$93=0,Inputs!$C$93="",ISERROR(Inputs!$C$93)),Inputs!$D$93,Inputs!$C$93*Inputs!$K$9*(1+Inputs!$K$12)^B255),"Error - Check Input")</f>
        <v>46918.699323915731</v>
      </c>
      <c r="D255" s="17"/>
    </row>
    <row r="256" spans="2:4" x14ac:dyDescent="0.35">
      <c r="B256" s="18">
        <v>65</v>
      </c>
      <c r="C256" s="6">
        <f>IFERROR(IF(OR(Inputs!$C$84=0,Inputs!$C$84="",ISERROR(Inputs!$C$84)),Inputs!$D$84,Inputs!$C$84*Inputs!$K$9*(1+Inputs!$K$12)^B256),"Error - Check Input")
+IFERROR(IF(OR(Inputs!$C$85=0,Inputs!$C$85="",ISERROR(Inputs!$C$85)),Inputs!$D$85,Inputs!$C$85*Inputs!$K$9*(1+Inputs!$K$12)^B256),"Error - Check Input")
+IFERROR(IF(OR(Inputs!$C$86=0,Inputs!$C$86="",ISERROR(Inputs!$C$86)),Inputs!$D$86,Inputs!$C$86*Inputs!$K$9*(1+Inputs!$K$12)^B256),"Error - Check Input")
+IFERROR(IF(OR(Inputs!$C$87=0,Inputs!$C$87="",ISERROR(Inputs!$C$87)),Inputs!$D$87,Inputs!$C$87*Inputs!$K$9*(1+Inputs!$K$12)^B256),"Error - Check Input")
+IFERROR(IF(OR(Inputs!$C$88=0,Inputs!$C$88="",ISERROR(Inputs!$C$88)),Inputs!$D$88,Inputs!$C$88*Inputs!$K$9*(1+Inputs!$K$12)^B256),"Error - Check Input")
+IFERROR(IF(OR(Inputs!$C$89=0,Inputs!$C$89="",ISERROR(Inputs!$C$89)),Inputs!$D$89,Inputs!$C$89*Inputs!$K$9*(1+Inputs!$K$12)^B256),"Error - Check Input")
+IFERROR(IF(OR(Inputs!$C$90=0,Inputs!$C$90="",ISERROR(Inputs!$C$90)),Inputs!$D$90,Inputs!$C$90*Inputs!$K$9*(1+Inputs!$K$12)^B256),"Error - Check Input")
+IFERROR(IF(OR(Inputs!$C$93=0,Inputs!$C$93="",ISERROR(Inputs!$C$93)),Inputs!$D$93,Inputs!$C$93*Inputs!$K$9*(1+Inputs!$K$12)^B256),"Error - Check Input")</f>
        <v>47091.518355702719</v>
      </c>
      <c r="D256" s="17"/>
    </row>
    <row r="257" spans="2:4" x14ac:dyDescent="0.35">
      <c r="B257" s="18">
        <v>66</v>
      </c>
      <c r="C257" s="6">
        <f>IFERROR(IF(OR(Inputs!$C$84=0,Inputs!$C$84="",ISERROR(Inputs!$C$84)),Inputs!$D$84,Inputs!$C$84*Inputs!$K$9*(1+Inputs!$K$12)^B257),"Error - Check Input")
+IFERROR(IF(OR(Inputs!$C$85=0,Inputs!$C$85="",ISERROR(Inputs!$C$85)),Inputs!$D$85,Inputs!$C$85*Inputs!$K$9*(1+Inputs!$K$12)^B257),"Error - Check Input")
+IFERROR(IF(OR(Inputs!$C$86=0,Inputs!$C$86="",ISERROR(Inputs!$C$86)),Inputs!$D$86,Inputs!$C$86*Inputs!$K$9*(1+Inputs!$K$12)^B257),"Error - Check Input")
+IFERROR(IF(OR(Inputs!$C$87=0,Inputs!$C$87="",ISERROR(Inputs!$C$87)),Inputs!$D$87,Inputs!$C$87*Inputs!$K$9*(1+Inputs!$K$12)^B257),"Error - Check Input")
+IFERROR(IF(OR(Inputs!$C$88=0,Inputs!$C$88="",ISERROR(Inputs!$C$88)),Inputs!$D$88,Inputs!$C$88*Inputs!$K$9*(1+Inputs!$K$12)^B257),"Error - Check Input")
+IFERROR(IF(OR(Inputs!$C$89=0,Inputs!$C$89="",ISERROR(Inputs!$C$89)),Inputs!$D$89,Inputs!$C$89*Inputs!$K$9*(1+Inputs!$K$12)^B257),"Error - Check Input")
+IFERROR(IF(OR(Inputs!$C$90=0,Inputs!$C$90="",ISERROR(Inputs!$C$90)),Inputs!$D$90,Inputs!$C$90*Inputs!$K$9*(1+Inputs!$K$12)^B257),"Error - Check Input")
+IFERROR(IF(OR(Inputs!$C$93=0,Inputs!$C$93="",ISERROR(Inputs!$C$93)),Inputs!$D$93,Inputs!$C$93*Inputs!$K$9*(1+Inputs!$K$12)^B257),"Error - Check Input")</f>
        <v>47265.041473617392</v>
      </c>
      <c r="D257" s="17"/>
    </row>
    <row r="258" spans="2:4" x14ac:dyDescent="0.35">
      <c r="B258" s="18">
        <v>67</v>
      </c>
      <c r="C258" s="6">
        <f>IFERROR(IF(OR(Inputs!$C$84=0,Inputs!$C$84="",ISERROR(Inputs!$C$84)),Inputs!$D$84,Inputs!$C$84*Inputs!$K$9*(1+Inputs!$K$12)^B258),"Error - Check Input")
+IFERROR(IF(OR(Inputs!$C$85=0,Inputs!$C$85="",ISERROR(Inputs!$C$85)),Inputs!$D$85,Inputs!$C$85*Inputs!$K$9*(1+Inputs!$K$12)^B258),"Error - Check Input")
+IFERROR(IF(OR(Inputs!$C$86=0,Inputs!$C$86="",ISERROR(Inputs!$C$86)),Inputs!$D$86,Inputs!$C$86*Inputs!$K$9*(1+Inputs!$K$12)^B258),"Error - Check Input")
+IFERROR(IF(OR(Inputs!$C$87=0,Inputs!$C$87="",ISERROR(Inputs!$C$87)),Inputs!$D$87,Inputs!$C$87*Inputs!$K$9*(1+Inputs!$K$12)^B258),"Error - Check Input")
+IFERROR(IF(OR(Inputs!$C$88=0,Inputs!$C$88="",ISERROR(Inputs!$C$88)),Inputs!$D$88,Inputs!$C$88*Inputs!$K$9*(1+Inputs!$K$12)^B258),"Error - Check Input")
+IFERROR(IF(OR(Inputs!$C$89=0,Inputs!$C$89="",ISERROR(Inputs!$C$89)),Inputs!$D$89,Inputs!$C$89*Inputs!$K$9*(1+Inputs!$K$12)^B258),"Error - Check Input")
+IFERROR(IF(OR(Inputs!$C$90=0,Inputs!$C$90="",ISERROR(Inputs!$C$90)),Inputs!$D$90,Inputs!$C$90*Inputs!$K$9*(1+Inputs!$K$12)^B258),"Error - Check Input")
+IFERROR(IF(OR(Inputs!$C$93=0,Inputs!$C$93="",ISERROR(Inputs!$C$93)),Inputs!$D$93,Inputs!$C$93*Inputs!$K$9*(1+Inputs!$K$12)^B258),"Error - Check Input")</f>
        <v>47439.271546193762</v>
      </c>
      <c r="D258" s="17"/>
    </row>
    <row r="259" spans="2:4" x14ac:dyDescent="0.35">
      <c r="B259" s="18">
        <v>68</v>
      </c>
      <c r="C259" s="6">
        <f>IFERROR(IF(OR(Inputs!$C$84=0,Inputs!$C$84="",ISERROR(Inputs!$C$84)),Inputs!$D$84,Inputs!$C$84*Inputs!$K$9*(1+Inputs!$K$12)^B259),"Error - Check Input")
+IFERROR(IF(OR(Inputs!$C$85=0,Inputs!$C$85="",ISERROR(Inputs!$C$85)),Inputs!$D$85,Inputs!$C$85*Inputs!$K$9*(1+Inputs!$K$12)^B259),"Error - Check Input")
+IFERROR(IF(OR(Inputs!$C$86=0,Inputs!$C$86="",ISERROR(Inputs!$C$86)),Inputs!$D$86,Inputs!$C$86*Inputs!$K$9*(1+Inputs!$K$12)^B259),"Error - Check Input")
+IFERROR(IF(OR(Inputs!$C$87=0,Inputs!$C$87="",ISERROR(Inputs!$C$87)),Inputs!$D$87,Inputs!$C$87*Inputs!$K$9*(1+Inputs!$K$12)^B259),"Error - Check Input")
+IFERROR(IF(OR(Inputs!$C$88=0,Inputs!$C$88="",ISERROR(Inputs!$C$88)),Inputs!$D$88,Inputs!$C$88*Inputs!$K$9*(1+Inputs!$K$12)^B259),"Error - Check Input")
+IFERROR(IF(OR(Inputs!$C$89=0,Inputs!$C$89="",ISERROR(Inputs!$C$89)),Inputs!$D$89,Inputs!$C$89*Inputs!$K$9*(1+Inputs!$K$12)^B259),"Error - Check Input")
+IFERROR(IF(OR(Inputs!$C$90=0,Inputs!$C$90="",ISERROR(Inputs!$C$90)),Inputs!$D$90,Inputs!$C$90*Inputs!$K$9*(1+Inputs!$K$12)^B259),"Error - Check Input")
+IFERROR(IF(OR(Inputs!$C$93=0,Inputs!$C$93="",ISERROR(Inputs!$C$93)),Inputs!$D$93,Inputs!$C$93*Inputs!$K$9*(1+Inputs!$K$12)^B259),"Error - Check Input")</f>
        <v>47614.211453652642</v>
      </c>
      <c r="D259" s="17"/>
    </row>
    <row r="260" spans="2:4" x14ac:dyDescent="0.35">
      <c r="B260" s="18">
        <v>69</v>
      </c>
      <c r="C260" s="6">
        <f>IFERROR(IF(OR(Inputs!$C$84=0,Inputs!$C$84="",ISERROR(Inputs!$C$84)),Inputs!$D$84,Inputs!$C$84*Inputs!$K$9*(1+Inputs!$K$12)^B260),"Error - Check Input")
+IFERROR(IF(OR(Inputs!$C$85=0,Inputs!$C$85="",ISERROR(Inputs!$C$85)),Inputs!$D$85,Inputs!$C$85*Inputs!$K$9*(1+Inputs!$K$12)^B260),"Error - Check Input")
+IFERROR(IF(OR(Inputs!$C$86=0,Inputs!$C$86="",ISERROR(Inputs!$C$86)),Inputs!$D$86,Inputs!$C$86*Inputs!$K$9*(1+Inputs!$K$12)^B260),"Error - Check Input")
+IFERROR(IF(OR(Inputs!$C$87=0,Inputs!$C$87="",ISERROR(Inputs!$C$87)),Inputs!$D$87,Inputs!$C$87*Inputs!$K$9*(1+Inputs!$K$12)^B260),"Error - Check Input")
+IFERROR(IF(OR(Inputs!$C$88=0,Inputs!$C$88="",ISERROR(Inputs!$C$88)),Inputs!$D$88,Inputs!$C$88*Inputs!$K$9*(1+Inputs!$K$12)^B260),"Error - Check Input")
+IFERROR(IF(OR(Inputs!$C$89=0,Inputs!$C$89="",ISERROR(Inputs!$C$89)),Inputs!$D$89,Inputs!$C$89*Inputs!$K$9*(1+Inputs!$K$12)^B260),"Error - Check Input")
+IFERROR(IF(OR(Inputs!$C$90=0,Inputs!$C$90="",ISERROR(Inputs!$C$90)),Inputs!$D$90,Inputs!$C$90*Inputs!$K$9*(1+Inputs!$K$12)^B260),"Error - Check Input")
+IFERROR(IF(OR(Inputs!$C$93=0,Inputs!$C$93="",ISERROR(Inputs!$C$93)),Inputs!$D$93,Inputs!$C$93*Inputs!$K$9*(1+Inputs!$K$12)^B260),"Error - Check Input")</f>
        <v>47789.864087949216</v>
      </c>
      <c r="D260" s="17"/>
    </row>
    <row r="261" spans="2:4" x14ac:dyDescent="0.35">
      <c r="B261" s="18">
        <v>70</v>
      </c>
      <c r="C261" s="6">
        <f>IFERROR(IF(OR(Inputs!$C$84=0,Inputs!$C$84="",ISERROR(Inputs!$C$84)),Inputs!$D$84,Inputs!$C$84*Inputs!$K$9*(1+Inputs!$K$12)^B261),"Error - Check Input")
+IFERROR(IF(OR(Inputs!$C$85=0,Inputs!$C$85="",ISERROR(Inputs!$C$85)),Inputs!$D$85,Inputs!$C$85*Inputs!$K$9*(1+Inputs!$K$12)^B261),"Error - Check Input")
+IFERROR(IF(OR(Inputs!$C$86=0,Inputs!$C$86="",ISERROR(Inputs!$C$86)),Inputs!$D$86,Inputs!$C$86*Inputs!$K$9*(1+Inputs!$K$12)^B261),"Error - Check Input")
+IFERROR(IF(OR(Inputs!$C$87=0,Inputs!$C$87="",ISERROR(Inputs!$C$87)),Inputs!$D$87,Inputs!$C$87*Inputs!$K$9*(1+Inputs!$K$12)^B261),"Error - Check Input")
+IFERROR(IF(OR(Inputs!$C$88=0,Inputs!$C$88="",ISERROR(Inputs!$C$88)),Inputs!$D$88,Inputs!$C$88*Inputs!$K$9*(1+Inputs!$K$12)^B261),"Error - Check Input")
+IFERROR(IF(OR(Inputs!$C$89=0,Inputs!$C$89="",ISERROR(Inputs!$C$89)),Inputs!$D$89,Inputs!$C$89*Inputs!$K$9*(1+Inputs!$K$12)^B261),"Error - Check Input")
+IFERROR(IF(OR(Inputs!$C$90=0,Inputs!$C$90="",ISERROR(Inputs!$C$90)),Inputs!$D$90,Inputs!$C$90*Inputs!$K$9*(1+Inputs!$K$12)^B261),"Error - Check Input")
+IFERROR(IF(OR(Inputs!$C$93=0,Inputs!$C$93="",ISERROR(Inputs!$C$93)),Inputs!$D$93,Inputs!$C$93*Inputs!$K$9*(1+Inputs!$K$12)^B261),"Error - Check Input")</f>
        <v>47966.232352820836</v>
      </c>
      <c r="D261" s="17"/>
    </row>
    <row r="262" spans="2:4" x14ac:dyDescent="0.35">
      <c r="B262" s="18">
        <v>71</v>
      </c>
      <c r="C262" s="6">
        <f>IFERROR(IF(OR(Inputs!$C$84=0,Inputs!$C$84="",ISERROR(Inputs!$C$84)),Inputs!$D$84,Inputs!$C$84*Inputs!$K$9*(1+Inputs!$K$12)^B262),"Error - Check Input")
+IFERROR(IF(OR(Inputs!$C$85=0,Inputs!$C$85="",ISERROR(Inputs!$C$85)),Inputs!$D$85,Inputs!$C$85*Inputs!$K$9*(1+Inputs!$K$12)^B262),"Error - Check Input")
+IFERROR(IF(OR(Inputs!$C$86=0,Inputs!$C$86="",ISERROR(Inputs!$C$86)),Inputs!$D$86,Inputs!$C$86*Inputs!$K$9*(1+Inputs!$K$12)^B262),"Error - Check Input")
+IFERROR(IF(OR(Inputs!$C$87=0,Inputs!$C$87="",ISERROR(Inputs!$C$87)),Inputs!$D$87,Inputs!$C$87*Inputs!$K$9*(1+Inputs!$K$12)^B262),"Error - Check Input")
+IFERROR(IF(OR(Inputs!$C$88=0,Inputs!$C$88="",ISERROR(Inputs!$C$88)),Inputs!$D$88,Inputs!$C$88*Inputs!$K$9*(1+Inputs!$K$12)^B262),"Error - Check Input")
+IFERROR(IF(OR(Inputs!$C$89=0,Inputs!$C$89="",ISERROR(Inputs!$C$89)),Inputs!$D$89,Inputs!$C$89*Inputs!$K$9*(1+Inputs!$K$12)^B262),"Error - Check Input")
+IFERROR(IF(OR(Inputs!$C$90=0,Inputs!$C$90="",ISERROR(Inputs!$C$90)),Inputs!$D$90,Inputs!$C$90*Inputs!$K$9*(1+Inputs!$K$12)^B262),"Error - Check Input")
+IFERROR(IF(OR(Inputs!$C$93=0,Inputs!$C$93="",ISERROR(Inputs!$C$93)),Inputs!$D$93,Inputs!$C$93*Inputs!$K$9*(1+Inputs!$K$12)^B262),"Error - Check Input")</f>
        <v>48143.319163835047</v>
      </c>
      <c r="D262" s="17"/>
    </row>
    <row r="263" spans="2:4" x14ac:dyDescent="0.35">
      <c r="B263" s="18">
        <v>72</v>
      </c>
      <c r="C263" s="6">
        <f>IFERROR(IF(OR(Inputs!$C$84=0,Inputs!$C$84="",ISERROR(Inputs!$C$84)),Inputs!$D$84,Inputs!$C$84*Inputs!$K$9*(1+Inputs!$K$12)^B263),"Error - Check Input")
+IFERROR(IF(OR(Inputs!$C$85=0,Inputs!$C$85="",ISERROR(Inputs!$C$85)),Inputs!$D$85,Inputs!$C$85*Inputs!$K$9*(1+Inputs!$K$12)^B263),"Error - Check Input")
+IFERROR(IF(OR(Inputs!$C$86=0,Inputs!$C$86="",ISERROR(Inputs!$C$86)),Inputs!$D$86,Inputs!$C$86*Inputs!$K$9*(1+Inputs!$K$12)^B263),"Error - Check Input")
+IFERROR(IF(OR(Inputs!$C$87=0,Inputs!$C$87="",ISERROR(Inputs!$C$87)),Inputs!$D$87,Inputs!$C$87*Inputs!$K$9*(1+Inputs!$K$12)^B263),"Error - Check Input")
+IFERROR(IF(OR(Inputs!$C$88=0,Inputs!$C$88="",ISERROR(Inputs!$C$88)),Inputs!$D$88,Inputs!$C$88*Inputs!$K$9*(1+Inputs!$K$12)^B263),"Error - Check Input")
+IFERROR(IF(OR(Inputs!$C$89=0,Inputs!$C$89="",ISERROR(Inputs!$C$89)),Inputs!$D$89,Inputs!$C$89*Inputs!$K$9*(1+Inputs!$K$12)^B263),"Error - Check Input")
+IFERROR(IF(OR(Inputs!$C$90=0,Inputs!$C$90="",ISERROR(Inputs!$C$90)),Inputs!$D$90,Inputs!$C$90*Inputs!$K$9*(1+Inputs!$K$12)^B263),"Error - Check Input")
+IFERROR(IF(OR(Inputs!$C$93=0,Inputs!$C$93="",ISERROR(Inputs!$C$93)),Inputs!$D$93,Inputs!$C$93*Inputs!$K$9*(1+Inputs!$K$12)^B263),"Error - Check Input")</f>
        <v>48321.127448437786</v>
      </c>
      <c r="D263" s="17"/>
    </row>
    <row r="264" spans="2:4" x14ac:dyDescent="0.35">
      <c r="B264" s="18">
        <v>73</v>
      </c>
      <c r="C264" s="6">
        <f>IFERROR(IF(OR(Inputs!$C$84=0,Inputs!$C$84="",ISERROR(Inputs!$C$84)),Inputs!$D$84,Inputs!$C$84*Inputs!$K$9*(1+Inputs!$K$12)^B264),"Error - Check Input")
+IFERROR(IF(OR(Inputs!$C$85=0,Inputs!$C$85="",ISERROR(Inputs!$C$85)),Inputs!$D$85,Inputs!$C$85*Inputs!$K$9*(1+Inputs!$K$12)^B264),"Error - Check Input")
+IFERROR(IF(OR(Inputs!$C$86=0,Inputs!$C$86="",ISERROR(Inputs!$C$86)),Inputs!$D$86,Inputs!$C$86*Inputs!$K$9*(1+Inputs!$K$12)^B264),"Error - Check Input")
+IFERROR(IF(OR(Inputs!$C$87=0,Inputs!$C$87="",ISERROR(Inputs!$C$87)),Inputs!$D$87,Inputs!$C$87*Inputs!$K$9*(1+Inputs!$K$12)^B264),"Error - Check Input")
+IFERROR(IF(OR(Inputs!$C$88=0,Inputs!$C$88="",ISERROR(Inputs!$C$88)),Inputs!$D$88,Inputs!$C$88*Inputs!$K$9*(1+Inputs!$K$12)^B264),"Error - Check Input")
+IFERROR(IF(OR(Inputs!$C$89=0,Inputs!$C$89="",ISERROR(Inputs!$C$89)),Inputs!$D$89,Inputs!$C$89*Inputs!$K$9*(1+Inputs!$K$12)^B264),"Error - Check Input")
+IFERROR(IF(OR(Inputs!$C$90=0,Inputs!$C$90="",ISERROR(Inputs!$C$90)),Inputs!$D$90,Inputs!$C$90*Inputs!$K$9*(1+Inputs!$K$12)^B264),"Error - Check Input")
+IFERROR(IF(OR(Inputs!$C$93=0,Inputs!$C$93="",ISERROR(Inputs!$C$93)),Inputs!$D$93,Inputs!$C$93*Inputs!$K$9*(1+Inputs!$K$12)^B264),"Error - Check Input")</f>
        <v>48499.660146001763</v>
      </c>
      <c r="D264" s="17"/>
    </row>
    <row r="265" spans="2:4" x14ac:dyDescent="0.35">
      <c r="B265" s="18">
        <v>74</v>
      </c>
      <c r="C265" s="6">
        <f>IFERROR(IF(OR(Inputs!$C$84=0,Inputs!$C$84="",ISERROR(Inputs!$C$84)),Inputs!$D$84,Inputs!$C$84*Inputs!$K$9*(1+Inputs!$K$12)^B265),"Error - Check Input")
+IFERROR(IF(OR(Inputs!$C$85=0,Inputs!$C$85="",ISERROR(Inputs!$C$85)),Inputs!$D$85,Inputs!$C$85*Inputs!$K$9*(1+Inputs!$K$12)^B265),"Error - Check Input")
+IFERROR(IF(OR(Inputs!$C$86=0,Inputs!$C$86="",ISERROR(Inputs!$C$86)),Inputs!$D$86,Inputs!$C$86*Inputs!$K$9*(1+Inputs!$K$12)^B265),"Error - Check Input")
+IFERROR(IF(OR(Inputs!$C$87=0,Inputs!$C$87="",ISERROR(Inputs!$C$87)),Inputs!$D$87,Inputs!$C$87*Inputs!$K$9*(1+Inputs!$K$12)^B265),"Error - Check Input")
+IFERROR(IF(OR(Inputs!$C$88=0,Inputs!$C$88="",ISERROR(Inputs!$C$88)),Inputs!$D$88,Inputs!$C$88*Inputs!$K$9*(1+Inputs!$K$12)^B265),"Error - Check Input")
+IFERROR(IF(OR(Inputs!$C$89=0,Inputs!$C$89="",ISERROR(Inputs!$C$89)),Inputs!$D$89,Inputs!$C$89*Inputs!$K$9*(1+Inputs!$K$12)^B265),"Error - Check Input")
+IFERROR(IF(OR(Inputs!$C$90=0,Inputs!$C$90="",ISERROR(Inputs!$C$90)),Inputs!$D$90,Inputs!$C$90*Inputs!$K$9*(1+Inputs!$K$12)^B265),"Error - Check Input")
+IFERROR(IF(OR(Inputs!$C$93=0,Inputs!$C$93="",ISERROR(Inputs!$C$93)),Inputs!$D$93,Inputs!$C$93*Inputs!$K$9*(1+Inputs!$K$12)^B265),"Error - Check Input")</f>
        <v>48678.920207875031</v>
      </c>
      <c r="D265" s="17"/>
    </row>
    <row r="266" spans="2:4" x14ac:dyDescent="0.35">
      <c r="B266" s="18">
        <v>75</v>
      </c>
      <c r="C266" s="6">
        <f>IFERROR(IF(OR(Inputs!$C$84=0,Inputs!$C$84="",ISERROR(Inputs!$C$84)),Inputs!$D$84,Inputs!$C$84*Inputs!$K$9*(1+Inputs!$K$12)^B266),"Error - Check Input")
+IFERROR(IF(OR(Inputs!$C$85=0,Inputs!$C$85="",ISERROR(Inputs!$C$85)),Inputs!$D$85,Inputs!$C$85*Inputs!$K$9*(1+Inputs!$K$12)^B266),"Error - Check Input")
+IFERROR(IF(OR(Inputs!$C$86=0,Inputs!$C$86="",ISERROR(Inputs!$C$86)),Inputs!$D$86,Inputs!$C$86*Inputs!$K$9*(1+Inputs!$K$12)^B266),"Error - Check Input")
+IFERROR(IF(OR(Inputs!$C$87=0,Inputs!$C$87="",ISERROR(Inputs!$C$87)),Inputs!$D$87,Inputs!$C$87*Inputs!$K$9*(1+Inputs!$K$12)^B266),"Error - Check Input")
+IFERROR(IF(OR(Inputs!$C$88=0,Inputs!$C$88="",ISERROR(Inputs!$C$88)),Inputs!$D$88,Inputs!$C$88*Inputs!$K$9*(1+Inputs!$K$12)^B266),"Error - Check Input")
+IFERROR(IF(OR(Inputs!$C$89=0,Inputs!$C$89="",ISERROR(Inputs!$C$89)),Inputs!$D$89,Inputs!$C$89*Inputs!$K$9*(1+Inputs!$K$12)^B266),"Error - Check Input")
+IFERROR(IF(OR(Inputs!$C$90=0,Inputs!$C$90="",ISERROR(Inputs!$C$90)),Inputs!$D$90,Inputs!$C$90*Inputs!$K$9*(1+Inputs!$K$12)^B266),"Error - Check Input")
+IFERROR(IF(OR(Inputs!$C$93=0,Inputs!$C$93="",ISERROR(Inputs!$C$93)),Inputs!$D$93,Inputs!$C$93*Inputs!$K$9*(1+Inputs!$K$12)^B266),"Error - Check Input")</f>
        <v>48858.910597429836</v>
      </c>
      <c r="D266" s="17"/>
    </row>
    <row r="267" spans="2:4" x14ac:dyDescent="0.35">
      <c r="B267" s="18">
        <v>76</v>
      </c>
      <c r="C267" s="6">
        <f>IFERROR(IF(OR(Inputs!$C$84=0,Inputs!$C$84="",ISERROR(Inputs!$C$84)),Inputs!$D$84,Inputs!$C$84*Inputs!$K$9*(1+Inputs!$K$12)^B267),"Error - Check Input")
+IFERROR(IF(OR(Inputs!$C$85=0,Inputs!$C$85="",ISERROR(Inputs!$C$85)),Inputs!$D$85,Inputs!$C$85*Inputs!$K$9*(1+Inputs!$K$12)^B267),"Error - Check Input")
+IFERROR(IF(OR(Inputs!$C$86=0,Inputs!$C$86="",ISERROR(Inputs!$C$86)),Inputs!$D$86,Inputs!$C$86*Inputs!$K$9*(1+Inputs!$K$12)^B267),"Error - Check Input")
+IFERROR(IF(OR(Inputs!$C$87=0,Inputs!$C$87="",ISERROR(Inputs!$C$87)),Inputs!$D$87,Inputs!$C$87*Inputs!$K$9*(1+Inputs!$K$12)^B267),"Error - Check Input")
+IFERROR(IF(OR(Inputs!$C$88=0,Inputs!$C$88="",ISERROR(Inputs!$C$88)),Inputs!$D$88,Inputs!$C$88*Inputs!$K$9*(1+Inputs!$K$12)^B267),"Error - Check Input")
+IFERROR(IF(OR(Inputs!$C$89=0,Inputs!$C$89="",ISERROR(Inputs!$C$89)),Inputs!$D$89,Inputs!$C$89*Inputs!$K$9*(1+Inputs!$K$12)^B267),"Error - Check Input")
+IFERROR(IF(OR(Inputs!$C$90=0,Inputs!$C$90="",ISERROR(Inputs!$C$90)),Inputs!$D$90,Inputs!$C$90*Inputs!$K$9*(1+Inputs!$K$12)^B267),"Error - Check Input")
+IFERROR(IF(OR(Inputs!$C$93=0,Inputs!$C$93="",ISERROR(Inputs!$C$93)),Inputs!$D$93,Inputs!$C$93*Inputs!$K$9*(1+Inputs!$K$12)^B267),"Error - Check Input")</f>
        <v>49039.634290111564</v>
      </c>
      <c r="D267" s="17"/>
    </row>
    <row r="268" spans="2:4" x14ac:dyDescent="0.35">
      <c r="B268" s="18">
        <v>77</v>
      </c>
      <c r="C268" s="6">
        <f>IFERROR(IF(OR(Inputs!$C$84=0,Inputs!$C$84="",ISERROR(Inputs!$C$84)),Inputs!$D$84,Inputs!$C$84*Inputs!$K$9*(1+Inputs!$K$12)^B268),"Error - Check Input")
+IFERROR(IF(OR(Inputs!$C$85=0,Inputs!$C$85="",ISERROR(Inputs!$C$85)),Inputs!$D$85,Inputs!$C$85*Inputs!$K$9*(1+Inputs!$K$12)^B268),"Error - Check Input")
+IFERROR(IF(OR(Inputs!$C$86=0,Inputs!$C$86="",ISERROR(Inputs!$C$86)),Inputs!$D$86,Inputs!$C$86*Inputs!$K$9*(1+Inputs!$K$12)^B268),"Error - Check Input")
+IFERROR(IF(OR(Inputs!$C$87=0,Inputs!$C$87="",ISERROR(Inputs!$C$87)),Inputs!$D$87,Inputs!$C$87*Inputs!$K$9*(1+Inputs!$K$12)^B268),"Error - Check Input")
+IFERROR(IF(OR(Inputs!$C$88=0,Inputs!$C$88="",ISERROR(Inputs!$C$88)),Inputs!$D$88,Inputs!$C$88*Inputs!$K$9*(1+Inputs!$K$12)^B268),"Error - Check Input")
+IFERROR(IF(OR(Inputs!$C$89=0,Inputs!$C$89="",ISERROR(Inputs!$C$89)),Inputs!$D$89,Inputs!$C$89*Inputs!$K$9*(1+Inputs!$K$12)^B268),"Error - Check Input")
+IFERROR(IF(OR(Inputs!$C$90=0,Inputs!$C$90="",ISERROR(Inputs!$C$90)),Inputs!$D$90,Inputs!$C$90*Inputs!$K$9*(1+Inputs!$K$12)^B268),"Error - Check Input")
+IFERROR(IF(OR(Inputs!$C$93=0,Inputs!$C$93="",ISERROR(Inputs!$C$93)),Inputs!$D$93,Inputs!$C$93*Inputs!$K$9*(1+Inputs!$K$12)^B268),"Error - Check Input")</f>
        <v>49221.094273487906</v>
      </c>
      <c r="D268" s="17"/>
    </row>
    <row r="269" spans="2:4" x14ac:dyDescent="0.35">
      <c r="B269" s="18">
        <v>78</v>
      </c>
      <c r="C269" s="6">
        <f>IFERROR(IF(OR(Inputs!$C$84=0,Inputs!$C$84="",ISERROR(Inputs!$C$84)),Inputs!$D$84,Inputs!$C$84*Inputs!$K$9*(1+Inputs!$K$12)^B269),"Error - Check Input")
+IFERROR(IF(OR(Inputs!$C$85=0,Inputs!$C$85="",ISERROR(Inputs!$C$85)),Inputs!$D$85,Inputs!$C$85*Inputs!$K$9*(1+Inputs!$K$12)^B269),"Error - Check Input")
+IFERROR(IF(OR(Inputs!$C$86=0,Inputs!$C$86="",ISERROR(Inputs!$C$86)),Inputs!$D$86,Inputs!$C$86*Inputs!$K$9*(1+Inputs!$K$12)^B269),"Error - Check Input")
+IFERROR(IF(OR(Inputs!$C$87=0,Inputs!$C$87="",ISERROR(Inputs!$C$87)),Inputs!$D$87,Inputs!$C$87*Inputs!$K$9*(1+Inputs!$K$12)^B269),"Error - Check Input")
+IFERROR(IF(OR(Inputs!$C$88=0,Inputs!$C$88="",ISERROR(Inputs!$C$88)),Inputs!$D$88,Inputs!$C$88*Inputs!$K$9*(1+Inputs!$K$12)^B269),"Error - Check Input")
+IFERROR(IF(OR(Inputs!$C$89=0,Inputs!$C$89="",ISERROR(Inputs!$C$89)),Inputs!$D$89,Inputs!$C$89*Inputs!$K$9*(1+Inputs!$K$12)^B269),"Error - Check Input")
+IFERROR(IF(OR(Inputs!$C$90=0,Inputs!$C$90="",ISERROR(Inputs!$C$90)),Inputs!$D$90,Inputs!$C$90*Inputs!$K$9*(1+Inputs!$K$12)^B269),"Error - Check Input")
+IFERROR(IF(OR(Inputs!$C$93=0,Inputs!$C$93="",ISERROR(Inputs!$C$93)),Inputs!$D$93,Inputs!$C$93*Inputs!$K$9*(1+Inputs!$K$12)^B269),"Error - Check Input")</f>
        <v>49403.293547298308</v>
      </c>
      <c r="D269" s="17"/>
    </row>
    <row r="270" spans="2:4" x14ac:dyDescent="0.35">
      <c r="B270" s="18">
        <v>79</v>
      </c>
      <c r="C270" s="6">
        <f>IFERROR(IF(OR(Inputs!$C$84=0,Inputs!$C$84="",ISERROR(Inputs!$C$84)),Inputs!$D$84,Inputs!$C$84*Inputs!$K$9*(1+Inputs!$K$12)^B270),"Error - Check Input")
+IFERROR(IF(OR(Inputs!$C$85=0,Inputs!$C$85="",ISERROR(Inputs!$C$85)),Inputs!$D$85,Inputs!$C$85*Inputs!$K$9*(1+Inputs!$K$12)^B270),"Error - Check Input")
+IFERROR(IF(OR(Inputs!$C$86=0,Inputs!$C$86="",ISERROR(Inputs!$C$86)),Inputs!$D$86,Inputs!$C$86*Inputs!$K$9*(1+Inputs!$K$12)^B270),"Error - Check Input")
+IFERROR(IF(OR(Inputs!$C$87=0,Inputs!$C$87="",ISERROR(Inputs!$C$87)),Inputs!$D$87,Inputs!$C$87*Inputs!$K$9*(1+Inputs!$K$12)^B270),"Error - Check Input")
+IFERROR(IF(OR(Inputs!$C$88=0,Inputs!$C$88="",ISERROR(Inputs!$C$88)),Inputs!$D$88,Inputs!$C$88*Inputs!$K$9*(1+Inputs!$K$12)^B270),"Error - Check Input")
+IFERROR(IF(OR(Inputs!$C$89=0,Inputs!$C$89="",ISERROR(Inputs!$C$89)),Inputs!$D$89,Inputs!$C$89*Inputs!$K$9*(1+Inputs!$K$12)^B270),"Error - Check Input")
+IFERROR(IF(OR(Inputs!$C$90=0,Inputs!$C$90="",ISERROR(Inputs!$C$90)),Inputs!$D$90,Inputs!$C$90*Inputs!$K$9*(1+Inputs!$K$12)^B270),"Error - Check Input")
+IFERROR(IF(OR(Inputs!$C$93=0,Inputs!$C$93="",ISERROR(Inputs!$C$93)),Inputs!$D$93,Inputs!$C$93*Inputs!$K$9*(1+Inputs!$K$12)^B270),"Error - Check Input")</f>
        <v>49586.235123503502</v>
      </c>
      <c r="D270" s="17"/>
    </row>
    <row r="271" spans="2:4" x14ac:dyDescent="0.35">
      <c r="B271" s="18">
        <v>80</v>
      </c>
      <c r="C271" s="6">
        <f>IFERROR(IF(OR(Inputs!$C$84=0,Inputs!$C$84="",ISERROR(Inputs!$C$84)),Inputs!$D$84,Inputs!$C$84*Inputs!$K$9*(1+Inputs!$K$12)^B271),"Error - Check Input")
+IFERROR(IF(OR(Inputs!$C$85=0,Inputs!$C$85="",ISERROR(Inputs!$C$85)),Inputs!$D$85,Inputs!$C$85*Inputs!$K$9*(1+Inputs!$K$12)^B271),"Error - Check Input")
+IFERROR(IF(OR(Inputs!$C$86=0,Inputs!$C$86="",ISERROR(Inputs!$C$86)),Inputs!$D$86,Inputs!$C$86*Inputs!$K$9*(1+Inputs!$K$12)^B271),"Error - Check Input")
+IFERROR(IF(OR(Inputs!$C$87=0,Inputs!$C$87="",ISERROR(Inputs!$C$87)),Inputs!$D$87,Inputs!$C$87*Inputs!$K$9*(1+Inputs!$K$12)^B271),"Error - Check Input")
+IFERROR(IF(OR(Inputs!$C$88=0,Inputs!$C$88="",ISERROR(Inputs!$C$88)),Inputs!$D$88,Inputs!$C$88*Inputs!$K$9*(1+Inputs!$K$12)^B271),"Error - Check Input")
+IFERROR(IF(OR(Inputs!$C$89=0,Inputs!$C$89="",ISERROR(Inputs!$C$89)),Inputs!$D$89,Inputs!$C$89*Inputs!$K$9*(1+Inputs!$K$12)^B271),"Error - Check Input")
+IFERROR(IF(OR(Inputs!$C$90=0,Inputs!$C$90="",ISERROR(Inputs!$C$90)),Inputs!$D$90,Inputs!$C$90*Inputs!$K$9*(1+Inputs!$K$12)^B271),"Error - Check Input")
+IFERROR(IF(OR(Inputs!$C$93=0,Inputs!$C$93="",ISERROR(Inputs!$C$93)),Inputs!$D$93,Inputs!$C$93*Inputs!$K$9*(1+Inputs!$K$12)^B271),"Error - Check Input")</f>
        <v>49769.922026335327</v>
      </c>
      <c r="D271" s="17"/>
    </row>
    <row r="272" spans="2:4" x14ac:dyDescent="0.35">
      <c r="B272" s="18">
        <v>81</v>
      </c>
      <c r="C272" s="6">
        <f>IFERROR(IF(OR(Inputs!$C$84=0,Inputs!$C$84="",ISERROR(Inputs!$C$84)),Inputs!$D$84,Inputs!$C$84*Inputs!$K$9*(1+Inputs!$K$12)^B272),"Error - Check Input")
+IFERROR(IF(OR(Inputs!$C$85=0,Inputs!$C$85="",ISERROR(Inputs!$C$85)),Inputs!$D$85,Inputs!$C$85*Inputs!$K$9*(1+Inputs!$K$12)^B272),"Error - Check Input")
+IFERROR(IF(OR(Inputs!$C$86=0,Inputs!$C$86="",ISERROR(Inputs!$C$86)),Inputs!$D$86,Inputs!$C$86*Inputs!$K$9*(1+Inputs!$K$12)^B272),"Error - Check Input")
+IFERROR(IF(OR(Inputs!$C$87=0,Inputs!$C$87="",ISERROR(Inputs!$C$87)),Inputs!$D$87,Inputs!$C$87*Inputs!$K$9*(1+Inputs!$K$12)^B272),"Error - Check Input")
+IFERROR(IF(OR(Inputs!$C$88=0,Inputs!$C$88="",ISERROR(Inputs!$C$88)),Inputs!$D$88,Inputs!$C$88*Inputs!$K$9*(1+Inputs!$K$12)^B272),"Error - Check Input")
+IFERROR(IF(OR(Inputs!$C$89=0,Inputs!$C$89="",ISERROR(Inputs!$C$89)),Inputs!$D$89,Inputs!$C$89*Inputs!$K$9*(1+Inputs!$K$12)^B272),"Error - Check Input")
+IFERROR(IF(OR(Inputs!$C$90=0,Inputs!$C$90="",ISERROR(Inputs!$C$90)),Inputs!$D$90,Inputs!$C$90*Inputs!$K$9*(1+Inputs!$K$12)^B272),"Error - Check Input")
+IFERROR(IF(OR(Inputs!$C$93=0,Inputs!$C$93="",ISERROR(Inputs!$C$93)),Inputs!$D$93,Inputs!$C$93*Inputs!$K$9*(1+Inputs!$K$12)^B272),"Error - Check Input")</f>
        <v>49954.357292346729</v>
      </c>
      <c r="D272" s="17"/>
    </row>
    <row r="273" spans="2:4" x14ac:dyDescent="0.35">
      <c r="B273" s="18">
        <v>82</v>
      </c>
      <c r="C273" s="6">
        <f>IFERROR(IF(OR(Inputs!$C$84=0,Inputs!$C$84="",ISERROR(Inputs!$C$84)),Inputs!$D$84,Inputs!$C$84*Inputs!$K$9*(1+Inputs!$K$12)^B273),"Error - Check Input")
+IFERROR(IF(OR(Inputs!$C$85=0,Inputs!$C$85="",ISERROR(Inputs!$C$85)),Inputs!$D$85,Inputs!$C$85*Inputs!$K$9*(1+Inputs!$K$12)^B273),"Error - Check Input")
+IFERROR(IF(OR(Inputs!$C$86=0,Inputs!$C$86="",ISERROR(Inputs!$C$86)),Inputs!$D$86,Inputs!$C$86*Inputs!$K$9*(1+Inputs!$K$12)^B273),"Error - Check Input")
+IFERROR(IF(OR(Inputs!$C$87=0,Inputs!$C$87="",ISERROR(Inputs!$C$87)),Inputs!$D$87,Inputs!$C$87*Inputs!$K$9*(1+Inputs!$K$12)^B273),"Error - Check Input")
+IFERROR(IF(OR(Inputs!$C$88=0,Inputs!$C$88="",ISERROR(Inputs!$C$88)),Inputs!$D$88,Inputs!$C$88*Inputs!$K$9*(1+Inputs!$K$12)^B273),"Error - Check Input")
+IFERROR(IF(OR(Inputs!$C$89=0,Inputs!$C$89="",ISERROR(Inputs!$C$89)),Inputs!$D$89,Inputs!$C$89*Inputs!$K$9*(1+Inputs!$K$12)^B273),"Error - Check Input")
+IFERROR(IF(OR(Inputs!$C$90=0,Inputs!$C$90="",ISERROR(Inputs!$C$90)),Inputs!$D$90,Inputs!$C$90*Inputs!$K$9*(1+Inputs!$K$12)^B273),"Error - Check Input")
+IFERROR(IF(OR(Inputs!$C$93=0,Inputs!$C$93="",ISERROR(Inputs!$C$93)),Inputs!$D$93,Inputs!$C$93*Inputs!$K$9*(1+Inputs!$K$12)^B273),"Error - Check Input")</f>
        <v>50139.543970461935</v>
      </c>
      <c r="D273" s="17"/>
    </row>
    <row r="274" spans="2:4" x14ac:dyDescent="0.35">
      <c r="B274" s="18">
        <v>83</v>
      </c>
      <c r="C274" s="6">
        <f>IFERROR(IF(OR(Inputs!$C$84=0,Inputs!$C$84="",ISERROR(Inputs!$C$84)),Inputs!$D$84,Inputs!$C$84*Inputs!$K$9*(1+Inputs!$K$12)^B274),"Error - Check Input")
+IFERROR(IF(OR(Inputs!$C$85=0,Inputs!$C$85="",ISERROR(Inputs!$C$85)),Inputs!$D$85,Inputs!$C$85*Inputs!$K$9*(1+Inputs!$K$12)^B274),"Error - Check Input")
+IFERROR(IF(OR(Inputs!$C$86=0,Inputs!$C$86="",ISERROR(Inputs!$C$86)),Inputs!$D$86,Inputs!$C$86*Inputs!$K$9*(1+Inputs!$K$12)^B274),"Error - Check Input")
+IFERROR(IF(OR(Inputs!$C$87=0,Inputs!$C$87="",ISERROR(Inputs!$C$87)),Inputs!$D$87,Inputs!$C$87*Inputs!$K$9*(1+Inputs!$K$12)^B274),"Error - Check Input")
+IFERROR(IF(OR(Inputs!$C$88=0,Inputs!$C$88="",ISERROR(Inputs!$C$88)),Inputs!$D$88,Inputs!$C$88*Inputs!$K$9*(1+Inputs!$K$12)^B274),"Error - Check Input")
+IFERROR(IF(OR(Inputs!$C$89=0,Inputs!$C$89="",ISERROR(Inputs!$C$89)),Inputs!$D$89,Inputs!$C$89*Inputs!$K$9*(1+Inputs!$K$12)^B274),"Error - Check Input")
+IFERROR(IF(OR(Inputs!$C$90=0,Inputs!$C$90="",ISERROR(Inputs!$C$90)),Inputs!$D$90,Inputs!$C$90*Inputs!$K$9*(1+Inputs!$K$12)^B274),"Error - Check Input")
+IFERROR(IF(OR(Inputs!$C$93=0,Inputs!$C$93="",ISERROR(Inputs!$C$93)),Inputs!$D$93,Inputs!$C$93*Inputs!$K$9*(1+Inputs!$K$12)^B274),"Error - Check Input")</f>
        <v>50325.485122026861</v>
      </c>
      <c r="D274" s="17"/>
    </row>
    <row r="275" spans="2:4" x14ac:dyDescent="0.35">
      <c r="B275" s="18">
        <v>84</v>
      </c>
      <c r="C275" s="6">
        <f>IFERROR(IF(OR(Inputs!$C$84=0,Inputs!$C$84="",ISERROR(Inputs!$C$84)),Inputs!$D$84,Inputs!$C$84*Inputs!$K$9*(1+Inputs!$K$12)^B275),"Error - Check Input")
+IFERROR(IF(OR(Inputs!$C$85=0,Inputs!$C$85="",ISERROR(Inputs!$C$85)),Inputs!$D$85,Inputs!$C$85*Inputs!$K$9*(1+Inputs!$K$12)^B275),"Error - Check Input")
+IFERROR(IF(OR(Inputs!$C$86=0,Inputs!$C$86="",ISERROR(Inputs!$C$86)),Inputs!$D$86,Inputs!$C$86*Inputs!$K$9*(1+Inputs!$K$12)^B275),"Error - Check Input")
+IFERROR(IF(OR(Inputs!$C$87=0,Inputs!$C$87="",ISERROR(Inputs!$C$87)),Inputs!$D$87,Inputs!$C$87*Inputs!$K$9*(1+Inputs!$K$12)^B275),"Error - Check Input")
+IFERROR(IF(OR(Inputs!$C$88=0,Inputs!$C$88="",ISERROR(Inputs!$C$88)),Inputs!$D$88,Inputs!$C$88*Inputs!$K$9*(1+Inputs!$K$12)^B275),"Error - Check Input")
+IFERROR(IF(OR(Inputs!$C$89=0,Inputs!$C$89="",ISERROR(Inputs!$C$89)),Inputs!$D$89,Inputs!$C$89*Inputs!$K$9*(1+Inputs!$K$12)^B275),"Error - Check Input")
+IFERROR(IF(OR(Inputs!$C$90=0,Inputs!$C$90="",ISERROR(Inputs!$C$90)),Inputs!$D$90,Inputs!$C$90*Inputs!$K$9*(1+Inputs!$K$12)^B275),"Error - Check Input")
+IFERROR(IF(OR(Inputs!$C$93=0,Inputs!$C$93="",ISERROR(Inputs!$C$93)),Inputs!$D$93,Inputs!$C$93*Inputs!$K$9*(1+Inputs!$K$12)^B275),"Error - Check Input")</f>
        <v>50512.183820859733</v>
      </c>
      <c r="D275" s="17"/>
    </row>
    <row r="276" spans="2:4" x14ac:dyDescent="0.35">
      <c r="B276" s="18">
        <v>85</v>
      </c>
      <c r="C276" s="6">
        <f>IFERROR(IF(OR(Inputs!$C$84=0,Inputs!$C$84="",ISERROR(Inputs!$C$84)),Inputs!$D$84,Inputs!$C$84*Inputs!$K$9*(1+Inputs!$K$12)^B276),"Error - Check Input")
+IFERROR(IF(OR(Inputs!$C$85=0,Inputs!$C$85="",ISERROR(Inputs!$C$85)),Inputs!$D$85,Inputs!$C$85*Inputs!$K$9*(1+Inputs!$K$12)^B276),"Error - Check Input")
+IFERROR(IF(OR(Inputs!$C$86=0,Inputs!$C$86="",ISERROR(Inputs!$C$86)),Inputs!$D$86,Inputs!$C$86*Inputs!$K$9*(1+Inputs!$K$12)^B276),"Error - Check Input")
+IFERROR(IF(OR(Inputs!$C$87=0,Inputs!$C$87="",ISERROR(Inputs!$C$87)),Inputs!$D$87,Inputs!$C$87*Inputs!$K$9*(1+Inputs!$K$12)^B276),"Error - Check Input")
+IFERROR(IF(OR(Inputs!$C$88=0,Inputs!$C$88="",ISERROR(Inputs!$C$88)),Inputs!$D$88,Inputs!$C$88*Inputs!$K$9*(1+Inputs!$K$12)^B276),"Error - Check Input")
+IFERROR(IF(OR(Inputs!$C$89=0,Inputs!$C$89="",ISERROR(Inputs!$C$89)),Inputs!$D$89,Inputs!$C$89*Inputs!$K$9*(1+Inputs!$K$12)^B276),"Error - Check Input")
+IFERROR(IF(OR(Inputs!$C$90=0,Inputs!$C$90="",ISERROR(Inputs!$C$90)),Inputs!$D$90,Inputs!$C$90*Inputs!$K$9*(1+Inputs!$K$12)^B276),"Error - Check Input")
+IFERROR(IF(OR(Inputs!$C$93=0,Inputs!$C$93="",ISERROR(Inputs!$C$93)),Inputs!$D$93,Inputs!$C$93*Inputs!$K$9*(1+Inputs!$K$12)^B276),"Error - Check Input")</f>
        <v>50699.643153301899</v>
      </c>
      <c r="D276" s="17"/>
    </row>
    <row r="277" spans="2:4" x14ac:dyDescent="0.35">
      <c r="B277" s="18">
        <v>86</v>
      </c>
      <c r="C277" s="6">
        <f>IFERROR(IF(OR(Inputs!$C$84=0,Inputs!$C$84="",ISERROR(Inputs!$C$84)),Inputs!$D$84,Inputs!$C$84*Inputs!$K$9*(1+Inputs!$K$12)^B277),"Error - Check Input")
+IFERROR(IF(OR(Inputs!$C$85=0,Inputs!$C$85="",ISERROR(Inputs!$C$85)),Inputs!$D$85,Inputs!$C$85*Inputs!$K$9*(1+Inputs!$K$12)^B277),"Error - Check Input")
+IFERROR(IF(OR(Inputs!$C$86=0,Inputs!$C$86="",ISERROR(Inputs!$C$86)),Inputs!$D$86,Inputs!$C$86*Inputs!$K$9*(1+Inputs!$K$12)^B277),"Error - Check Input")
+IFERROR(IF(OR(Inputs!$C$87=0,Inputs!$C$87="",ISERROR(Inputs!$C$87)),Inputs!$D$87,Inputs!$C$87*Inputs!$K$9*(1+Inputs!$K$12)^B277),"Error - Check Input")
+IFERROR(IF(OR(Inputs!$C$88=0,Inputs!$C$88="",ISERROR(Inputs!$C$88)),Inputs!$D$88,Inputs!$C$88*Inputs!$K$9*(1+Inputs!$K$12)^B277),"Error - Check Input")
+IFERROR(IF(OR(Inputs!$C$89=0,Inputs!$C$89="",ISERROR(Inputs!$C$89)),Inputs!$D$89,Inputs!$C$89*Inputs!$K$9*(1+Inputs!$K$12)^B277),"Error - Check Input")
+IFERROR(IF(OR(Inputs!$C$90=0,Inputs!$C$90="",ISERROR(Inputs!$C$90)),Inputs!$D$90,Inputs!$C$90*Inputs!$K$9*(1+Inputs!$K$12)^B277),"Error - Check Input")
+IFERROR(IF(OR(Inputs!$C$93=0,Inputs!$C$93="",ISERROR(Inputs!$C$93)),Inputs!$D$93,Inputs!$C$93*Inputs!$K$9*(1+Inputs!$K$12)^B277),"Error - Check Input")</f>
        <v>50887.866218268835</v>
      </c>
      <c r="D277" s="17"/>
    </row>
    <row r="278" spans="2:4" x14ac:dyDescent="0.35">
      <c r="B278" s="18">
        <v>87</v>
      </c>
      <c r="C278" s="6">
        <f>IFERROR(IF(OR(Inputs!$C$84=0,Inputs!$C$84="",ISERROR(Inputs!$C$84)),Inputs!$D$84,Inputs!$C$84*Inputs!$K$9*(1+Inputs!$K$12)^B278),"Error - Check Input")
+IFERROR(IF(OR(Inputs!$C$85=0,Inputs!$C$85="",ISERROR(Inputs!$C$85)),Inputs!$D$85,Inputs!$C$85*Inputs!$K$9*(1+Inputs!$K$12)^B278),"Error - Check Input")
+IFERROR(IF(OR(Inputs!$C$86=0,Inputs!$C$86="",ISERROR(Inputs!$C$86)),Inputs!$D$86,Inputs!$C$86*Inputs!$K$9*(1+Inputs!$K$12)^B278),"Error - Check Input")
+IFERROR(IF(OR(Inputs!$C$87=0,Inputs!$C$87="",ISERROR(Inputs!$C$87)),Inputs!$D$87,Inputs!$C$87*Inputs!$K$9*(1+Inputs!$K$12)^B278),"Error - Check Input")
+IFERROR(IF(OR(Inputs!$C$88=0,Inputs!$C$88="",ISERROR(Inputs!$C$88)),Inputs!$D$88,Inputs!$C$88*Inputs!$K$9*(1+Inputs!$K$12)^B278),"Error - Check Input")
+IFERROR(IF(OR(Inputs!$C$89=0,Inputs!$C$89="",ISERROR(Inputs!$C$89)),Inputs!$D$89,Inputs!$C$89*Inputs!$K$9*(1+Inputs!$K$12)^B278),"Error - Check Input")
+IFERROR(IF(OR(Inputs!$C$90=0,Inputs!$C$90="",ISERROR(Inputs!$C$90)),Inputs!$D$90,Inputs!$C$90*Inputs!$K$9*(1+Inputs!$K$12)^B278),"Error - Check Input")
+IFERROR(IF(OR(Inputs!$C$93=0,Inputs!$C$93="",ISERROR(Inputs!$C$93)),Inputs!$D$93,Inputs!$C$93*Inputs!$K$9*(1+Inputs!$K$12)^B278),"Error - Check Input")</f>
        <v>51076.856127301377</v>
      </c>
      <c r="D278" s="17"/>
    </row>
    <row r="279" spans="2:4" x14ac:dyDescent="0.35">
      <c r="B279" s="18">
        <v>88</v>
      </c>
      <c r="C279" s="6">
        <f>IFERROR(IF(OR(Inputs!$C$84=0,Inputs!$C$84="",ISERROR(Inputs!$C$84)),Inputs!$D$84,Inputs!$C$84*Inputs!$K$9*(1+Inputs!$K$12)^B279),"Error - Check Input")
+IFERROR(IF(OR(Inputs!$C$85=0,Inputs!$C$85="",ISERROR(Inputs!$C$85)),Inputs!$D$85,Inputs!$C$85*Inputs!$K$9*(1+Inputs!$K$12)^B279),"Error - Check Input")
+IFERROR(IF(OR(Inputs!$C$86=0,Inputs!$C$86="",ISERROR(Inputs!$C$86)),Inputs!$D$86,Inputs!$C$86*Inputs!$K$9*(1+Inputs!$K$12)^B279),"Error - Check Input")
+IFERROR(IF(OR(Inputs!$C$87=0,Inputs!$C$87="",ISERROR(Inputs!$C$87)),Inputs!$D$87,Inputs!$C$87*Inputs!$K$9*(1+Inputs!$K$12)^B279),"Error - Check Input")
+IFERROR(IF(OR(Inputs!$C$88=0,Inputs!$C$88="",ISERROR(Inputs!$C$88)),Inputs!$D$88,Inputs!$C$88*Inputs!$K$9*(1+Inputs!$K$12)^B279),"Error - Check Input")
+IFERROR(IF(OR(Inputs!$C$89=0,Inputs!$C$89="",ISERROR(Inputs!$C$89)),Inputs!$D$89,Inputs!$C$89*Inputs!$K$9*(1+Inputs!$K$12)^B279),"Error - Check Input")
+IFERROR(IF(OR(Inputs!$C$90=0,Inputs!$C$90="",ISERROR(Inputs!$C$90)),Inputs!$D$90,Inputs!$C$90*Inputs!$K$9*(1+Inputs!$K$12)^B279),"Error - Check Input")
+IFERROR(IF(OR(Inputs!$C$93=0,Inputs!$C$93="",ISERROR(Inputs!$C$93)),Inputs!$D$93,Inputs!$C$93*Inputs!$K$9*(1+Inputs!$K$12)^B279),"Error - Check Input")</f>
        <v>51266.616004617194</v>
      </c>
      <c r="D279" s="17"/>
    </row>
    <row r="280" spans="2:4" x14ac:dyDescent="0.35">
      <c r="B280" s="18">
        <v>89</v>
      </c>
      <c r="C280" s="6">
        <f>IFERROR(IF(OR(Inputs!$C$84=0,Inputs!$C$84="",ISERROR(Inputs!$C$84)),Inputs!$D$84,Inputs!$C$84*Inputs!$K$9*(1+Inputs!$K$12)^B280),"Error - Check Input")
+IFERROR(IF(OR(Inputs!$C$85=0,Inputs!$C$85="",ISERROR(Inputs!$C$85)),Inputs!$D$85,Inputs!$C$85*Inputs!$K$9*(1+Inputs!$K$12)^B280),"Error - Check Input")
+IFERROR(IF(OR(Inputs!$C$86=0,Inputs!$C$86="",ISERROR(Inputs!$C$86)),Inputs!$D$86,Inputs!$C$86*Inputs!$K$9*(1+Inputs!$K$12)^B280),"Error - Check Input")
+IFERROR(IF(OR(Inputs!$C$87=0,Inputs!$C$87="",ISERROR(Inputs!$C$87)),Inputs!$D$87,Inputs!$C$87*Inputs!$K$9*(1+Inputs!$K$12)^B280),"Error - Check Input")
+IFERROR(IF(OR(Inputs!$C$88=0,Inputs!$C$88="",ISERROR(Inputs!$C$88)),Inputs!$D$88,Inputs!$C$88*Inputs!$K$9*(1+Inputs!$K$12)^B280),"Error - Check Input")
+IFERROR(IF(OR(Inputs!$C$89=0,Inputs!$C$89="",ISERROR(Inputs!$C$89)),Inputs!$D$89,Inputs!$C$89*Inputs!$K$9*(1+Inputs!$K$12)^B280),"Error - Check Input")
+IFERROR(IF(OR(Inputs!$C$90=0,Inputs!$C$90="",ISERROR(Inputs!$C$90)),Inputs!$D$90,Inputs!$C$90*Inputs!$K$9*(1+Inputs!$K$12)^B280),"Error - Check Input")
+IFERROR(IF(OR(Inputs!$C$93=0,Inputs!$C$93="",ISERROR(Inputs!$C$93)),Inputs!$D$93,Inputs!$C$93*Inputs!$K$9*(1+Inputs!$K$12)^B280),"Error - Check Input")</f>
        <v>51457.148987162363</v>
      </c>
      <c r="D280" s="17"/>
    </row>
    <row r="281" spans="2:4" x14ac:dyDescent="0.35">
      <c r="B281" s="18">
        <v>90</v>
      </c>
      <c r="C281" s="6">
        <f>IFERROR(IF(OR(Inputs!$C$84=0,Inputs!$C$84="",ISERROR(Inputs!$C$84)),Inputs!$D$84,Inputs!$C$84*Inputs!$K$9*(1+Inputs!$K$12)^B281),"Error - Check Input")
+IFERROR(IF(OR(Inputs!$C$85=0,Inputs!$C$85="",ISERROR(Inputs!$C$85)),Inputs!$D$85,Inputs!$C$85*Inputs!$K$9*(1+Inputs!$K$12)^B281),"Error - Check Input")
+IFERROR(IF(OR(Inputs!$C$86=0,Inputs!$C$86="",ISERROR(Inputs!$C$86)),Inputs!$D$86,Inputs!$C$86*Inputs!$K$9*(1+Inputs!$K$12)^B281),"Error - Check Input")
+IFERROR(IF(OR(Inputs!$C$87=0,Inputs!$C$87="",ISERROR(Inputs!$C$87)),Inputs!$D$87,Inputs!$C$87*Inputs!$K$9*(1+Inputs!$K$12)^B281),"Error - Check Input")
+IFERROR(IF(OR(Inputs!$C$88=0,Inputs!$C$88="",ISERROR(Inputs!$C$88)),Inputs!$D$88,Inputs!$C$88*Inputs!$K$9*(1+Inputs!$K$12)^B281),"Error - Check Input")
+IFERROR(IF(OR(Inputs!$C$89=0,Inputs!$C$89="",ISERROR(Inputs!$C$89)),Inputs!$D$89,Inputs!$C$89*Inputs!$K$9*(1+Inputs!$K$12)^B281),"Error - Check Input")
+IFERROR(IF(OR(Inputs!$C$90=0,Inputs!$C$90="",ISERROR(Inputs!$C$90)),Inputs!$D$90,Inputs!$C$90*Inputs!$K$9*(1+Inputs!$K$12)^B281),"Error - Check Input")
+IFERROR(IF(OR(Inputs!$C$93=0,Inputs!$C$93="",ISERROR(Inputs!$C$93)),Inputs!$D$93,Inputs!$C$93*Inputs!$K$9*(1+Inputs!$K$12)^B281),"Error - Check Input")</f>
        <v>51648.458224663278</v>
      </c>
      <c r="D281" s="17"/>
    </row>
    <row r="282" spans="2:4" x14ac:dyDescent="0.35">
      <c r="B282" s="18">
        <v>91</v>
      </c>
      <c r="C282" s="6">
        <f>IFERROR(IF(OR(Inputs!$C$84=0,Inputs!$C$84="",ISERROR(Inputs!$C$84)),Inputs!$D$84,Inputs!$C$84*Inputs!$K$9*(1+Inputs!$K$12)^B282),"Error - Check Input")
+IFERROR(IF(OR(Inputs!$C$85=0,Inputs!$C$85="",ISERROR(Inputs!$C$85)),Inputs!$D$85,Inputs!$C$85*Inputs!$K$9*(1+Inputs!$K$12)^B282),"Error - Check Input")
+IFERROR(IF(OR(Inputs!$C$86=0,Inputs!$C$86="",ISERROR(Inputs!$C$86)),Inputs!$D$86,Inputs!$C$86*Inputs!$K$9*(1+Inputs!$K$12)^B282),"Error - Check Input")
+IFERROR(IF(OR(Inputs!$C$87=0,Inputs!$C$87="",ISERROR(Inputs!$C$87)),Inputs!$D$87,Inputs!$C$87*Inputs!$K$9*(1+Inputs!$K$12)^B282),"Error - Check Input")
+IFERROR(IF(OR(Inputs!$C$88=0,Inputs!$C$88="",ISERROR(Inputs!$C$88)),Inputs!$D$88,Inputs!$C$88*Inputs!$K$9*(1+Inputs!$K$12)^B282),"Error - Check Input")
+IFERROR(IF(OR(Inputs!$C$89=0,Inputs!$C$89="",ISERROR(Inputs!$C$89)),Inputs!$D$89,Inputs!$C$89*Inputs!$K$9*(1+Inputs!$K$12)^B282),"Error - Check Input")
+IFERROR(IF(OR(Inputs!$C$90=0,Inputs!$C$90="",ISERROR(Inputs!$C$90)),Inputs!$D$90,Inputs!$C$90*Inputs!$K$9*(1+Inputs!$K$12)^B282),"Error - Check Input")
+IFERROR(IF(OR(Inputs!$C$93=0,Inputs!$C$93="",ISERROR(Inputs!$C$93)),Inputs!$D$93,Inputs!$C$93*Inputs!$K$9*(1+Inputs!$K$12)^B282),"Error - Check Input")</f>
        <v>51840.546879678725</v>
      </c>
      <c r="D282" s="17"/>
    </row>
    <row r="283" spans="2:4" x14ac:dyDescent="0.35">
      <c r="B283" s="18">
        <v>92</v>
      </c>
      <c r="C283" s="6">
        <f>IFERROR(IF(OR(Inputs!$C$84=0,Inputs!$C$84="",ISERROR(Inputs!$C$84)),Inputs!$D$84,Inputs!$C$84*Inputs!$K$9*(1+Inputs!$K$12)^B283),"Error - Check Input")
+IFERROR(IF(OR(Inputs!$C$85=0,Inputs!$C$85="",ISERROR(Inputs!$C$85)),Inputs!$D$85,Inputs!$C$85*Inputs!$K$9*(1+Inputs!$K$12)^B283),"Error - Check Input")
+IFERROR(IF(OR(Inputs!$C$86=0,Inputs!$C$86="",ISERROR(Inputs!$C$86)),Inputs!$D$86,Inputs!$C$86*Inputs!$K$9*(1+Inputs!$K$12)^B283),"Error - Check Input")
+IFERROR(IF(OR(Inputs!$C$87=0,Inputs!$C$87="",ISERROR(Inputs!$C$87)),Inputs!$D$87,Inputs!$C$87*Inputs!$K$9*(1+Inputs!$K$12)^B283),"Error - Check Input")
+IFERROR(IF(OR(Inputs!$C$88=0,Inputs!$C$88="",ISERROR(Inputs!$C$88)),Inputs!$D$88,Inputs!$C$88*Inputs!$K$9*(1+Inputs!$K$12)^B283),"Error - Check Input")
+IFERROR(IF(OR(Inputs!$C$89=0,Inputs!$C$89="",ISERROR(Inputs!$C$89)),Inputs!$D$89,Inputs!$C$89*Inputs!$K$9*(1+Inputs!$K$12)^B283),"Error - Check Input")
+IFERROR(IF(OR(Inputs!$C$90=0,Inputs!$C$90="",ISERROR(Inputs!$C$90)),Inputs!$D$90,Inputs!$C$90*Inputs!$K$9*(1+Inputs!$K$12)^B283),"Error - Check Input")
+IFERROR(IF(OR(Inputs!$C$93=0,Inputs!$C$93="",ISERROR(Inputs!$C$93)),Inputs!$D$93,Inputs!$C$93*Inputs!$K$9*(1+Inputs!$K$12)^B283),"Error - Check Input")</f>
        <v>52033.418127652149</v>
      </c>
      <c r="D283" s="17"/>
    </row>
    <row r="284" spans="2:4" x14ac:dyDescent="0.35">
      <c r="B284" s="18">
        <v>93</v>
      </c>
      <c r="C284" s="6">
        <f>IFERROR(IF(OR(Inputs!$C$84=0,Inputs!$C$84="",ISERROR(Inputs!$C$84)),Inputs!$D$84,Inputs!$C$84*Inputs!$K$9*(1+Inputs!$K$12)^B284),"Error - Check Input")
+IFERROR(IF(OR(Inputs!$C$85=0,Inputs!$C$85="",ISERROR(Inputs!$C$85)),Inputs!$D$85,Inputs!$C$85*Inputs!$K$9*(1+Inputs!$K$12)^B284),"Error - Check Input")
+IFERROR(IF(OR(Inputs!$C$86=0,Inputs!$C$86="",ISERROR(Inputs!$C$86)),Inputs!$D$86,Inputs!$C$86*Inputs!$K$9*(1+Inputs!$K$12)^B284),"Error - Check Input")
+IFERROR(IF(OR(Inputs!$C$87=0,Inputs!$C$87="",ISERROR(Inputs!$C$87)),Inputs!$D$87,Inputs!$C$87*Inputs!$K$9*(1+Inputs!$K$12)^B284),"Error - Check Input")
+IFERROR(IF(OR(Inputs!$C$88=0,Inputs!$C$88="",ISERROR(Inputs!$C$88)),Inputs!$D$88,Inputs!$C$88*Inputs!$K$9*(1+Inputs!$K$12)^B284),"Error - Check Input")
+IFERROR(IF(OR(Inputs!$C$89=0,Inputs!$C$89="",ISERROR(Inputs!$C$89)),Inputs!$D$89,Inputs!$C$89*Inputs!$K$9*(1+Inputs!$K$12)^B284),"Error - Check Input")
+IFERROR(IF(OR(Inputs!$C$90=0,Inputs!$C$90="",ISERROR(Inputs!$C$90)),Inputs!$D$90,Inputs!$C$90*Inputs!$K$9*(1+Inputs!$K$12)^B284),"Error - Check Input")
+IFERROR(IF(OR(Inputs!$C$93=0,Inputs!$C$93="",ISERROR(Inputs!$C$93)),Inputs!$D$93,Inputs!$C$93*Inputs!$K$9*(1+Inputs!$K$12)^B284),"Error - Check Input")</f>
        <v>52227.075156964122</v>
      </c>
      <c r="D284" s="17"/>
    </row>
    <row r="285" spans="2:4" x14ac:dyDescent="0.35">
      <c r="B285" s="18">
        <v>94</v>
      </c>
      <c r="C285" s="6">
        <f>IFERROR(IF(OR(Inputs!$C$84=0,Inputs!$C$84="",ISERROR(Inputs!$C$84)),Inputs!$D$84,Inputs!$C$84*Inputs!$K$9*(1+Inputs!$K$12)^B285),"Error - Check Input")
+IFERROR(IF(OR(Inputs!$C$85=0,Inputs!$C$85="",ISERROR(Inputs!$C$85)),Inputs!$D$85,Inputs!$C$85*Inputs!$K$9*(1+Inputs!$K$12)^B285),"Error - Check Input")
+IFERROR(IF(OR(Inputs!$C$86=0,Inputs!$C$86="",ISERROR(Inputs!$C$86)),Inputs!$D$86,Inputs!$C$86*Inputs!$K$9*(1+Inputs!$K$12)^B285),"Error - Check Input")
+IFERROR(IF(OR(Inputs!$C$87=0,Inputs!$C$87="",ISERROR(Inputs!$C$87)),Inputs!$D$87,Inputs!$C$87*Inputs!$K$9*(1+Inputs!$K$12)^B285),"Error - Check Input")
+IFERROR(IF(OR(Inputs!$C$88=0,Inputs!$C$88="",ISERROR(Inputs!$C$88)),Inputs!$D$88,Inputs!$C$88*Inputs!$K$9*(1+Inputs!$K$12)^B285),"Error - Check Input")
+IFERROR(IF(OR(Inputs!$C$89=0,Inputs!$C$89="",ISERROR(Inputs!$C$89)),Inputs!$D$89,Inputs!$C$89*Inputs!$K$9*(1+Inputs!$K$12)^B285),"Error - Check Input")
+IFERROR(IF(OR(Inputs!$C$90=0,Inputs!$C$90="",ISERROR(Inputs!$C$90)),Inputs!$D$90,Inputs!$C$90*Inputs!$K$9*(1+Inputs!$K$12)^B285),"Error - Check Input")
+IFERROR(IF(OR(Inputs!$C$93=0,Inputs!$C$93="",ISERROR(Inputs!$C$93)),Inputs!$D$93,Inputs!$C$93*Inputs!$K$9*(1+Inputs!$K$12)^B285),"Error - Check Input")</f>
        <v>52421.521168985077</v>
      </c>
      <c r="D285" s="17"/>
    </row>
    <row r="286" spans="2:4" x14ac:dyDescent="0.35">
      <c r="B286" s="18">
        <v>95</v>
      </c>
      <c r="C286" s="6">
        <f>IFERROR(IF(OR(Inputs!$C$84=0,Inputs!$C$84="",ISERROR(Inputs!$C$84)),Inputs!$D$84,Inputs!$C$84*Inputs!$K$9*(1+Inputs!$K$12)^B286),"Error - Check Input")
+IFERROR(IF(OR(Inputs!$C$85=0,Inputs!$C$85="",ISERROR(Inputs!$C$85)),Inputs!$D$85,Inputs!$C$85*Inputs!$K$9*(1+Inputs!$K$12)^B286),"Error - Check Input")
+IFERROR(IF(OR(Inputs!$C$86=0,Inputs!$C$86="",ISERROR(Inputs!$C$86)),Inputs!$D$86,Inputs!$C$86*Inputs!$K$9*(1+Inputs!$K$12)^B286),"Error - Check Input")
+IFERROR(IF(OR(Inputs!$C$87=0,Inputs!$C$87="",ISERROR(Inputs!$C$87)),Inputs!$D$87,Inputs!$C$87*Inputs!$K$9*(1+Inputs!$K$12)^B286),"Error - Check Input")
+IFERROR(IF(OR(Inputs!$C$88=0,Inputs!$C$88="",ISERROR(Inputs!$C$88)),Inputs!$D$88,Inputs!$C$88*Inputs!$K$9*(1+Inputs!$K$12)^B286),"Error - Check Input")
+IFERROR(IF(OR(Inputs!$C$89=0,Inputs!$C$89="",ISERROR(Inputs!$C$89)),Inputs!$D$89,Inputs!$C$89*Inputs!$K$9*(1+Inputs!$K$12)^B286),"Error - Check Input")
+IFERROR(IF(OR(Inputs!$C$90=0,Inputs!$C$90="",ISERROR(Inputs!$C$90)),Inputs!$D$90,Inputs!$C$90*Inputs!$K$9*(1+Inputs!$K$12)^B286),"Error - Check Input")
+IFERROR(IF(OR(Inputs!$C$93=0,Inputs!$C$93="",ISERROR(Inputs!$C$93)),Inputs!$D$93,Inputs!$C$93*Inputs!$K$9*(1+Inputs!$K$12)^B286),"Error - Check Input")</f>
        <v>52616.759378128256</v>
      </c>
      <c r="D286" s="17"/>
    </row>
    <row r="287" spans="2:4" x14ac:dyDescent="0.35">
      <c r="B287" s="18">
        <v>96</v>
      </c>
      <c r="C287" s="6">
        <f>IFERROR(IF(OR(Inputs!$C$84=0,Inputs!$C$84="",ISERROR(Inputs!$C$84)),Inputs!$D$84,Inputs!$C$84*Inputs!$K$9*(1+Inputs!$K$12)^B287),"Error - Check Input")
+IFERROR(IF(OR(Inputs!$C$85=0,Inputs!$C$85="",ISERROR(Inputs!$C$85)),Inputs!$D$85,Inputs!$C$85*Inputs!$K$9*(1+Inputs!$K$12)^B287),"Error - Check Input")
+IFERROR(IF(OR(Inputs!$C$86=0,Inputs!$C$86="",ISERROR(Inputs!$C$86)),Inputs!$D$86,Inputs!$C$86*Inputs!$K$9*(1+Inputs!$K$12)^B287),"Error - Check Input")
+IFERROR(IF(OR(Inputs!$C$87=0,Inputs!$C$87="",ISERROR(Inputs!$C$87)),Inputs!$D$87,Inputs!$C$87*Inputs!$K$9*(1+Inputs!$K$12)^B287),"Error - Check Input")
+IFERROR(IF(OR(Inputs!$C$88=0,Inputs!$C$88="",ISERROR(Inputs!$C$88)),Inputs!$D$88,Inputs!$C$88*Inputs!$K$9*(1+Inputs!$K$12)^B287),"Error - Check Input")
+IFERROR(IF(OR(Inputs!$C$89=0,Inputs!$C$89="",ISERROR(Inputs!$C$89)),Inputs!$D$89,Inputs!$C$89*Inputs!$K$9*(1+Inputs!$K$12)^B287),"Error - Check Input")
+IFERROR(IF(OR(Inputs!$C$90=0,Inputs!$C$90="",ISERROR(Inputs!$C$90)),Inputs!$D$90,Inputs!$C$90*Inputs!$K$9*(1+Inputs!$K$12)^B287),"Error - Check Input")
+IFERROR(IF(OR(Inputs!$C$93=0,Inputs!$C$93="",ISERROR(Inputs!$C$93)),Inputs!$D$93,Inputs!$C$93*Inputs!$K$9*(1+Inputs!$K$12)^B287),"Error - Check Input")</f>
        <v>52812.793011902773</v>
      </c>
      <c r="D287" s="17"/>
    </row>
    <row r="288" spans="2:4" x14ac:dyDescent="0.35">
      <c r="B288" s="18">
        <v>97</v>
      </c>
      <c r="C288" s="6">
        <f>IFERROR(IF(OR(Inputs!$C$84=0,Inputs!$C$84="",ISERROR(Inputs!$C$84)),Inputs!$D$84,Inputs!$C$84*Inputs!$K$9*(1+Inputs!$K$12)^B288),"Error - Check Input")
+IFERROR(IF(OR(Inputs!$C$85=0,Inputs!$C$85="",ISERROR(Inputs!$C$85)),Inputs!$D$85,Inputs!$C$85*Inputs!$K$9*(1+Inputs!$K$12)^B288),"Error - Check Input")
+IFERROR(IF(OR(Inputs!$C$86=0,Inputs!$C$86="",ISERROR(Inputs!$C$86)),Inputs!$D$86,Inputs!$C$86*Inputs!$K$9*(1+Inputs!$K$12)^B288),"Error - Check Input")
+IFERROR(IF(OR(Inputs!$C$87=0,Inputs!$C$87="",ISERROR(Inputs!$C$87)),Inputs!$D$87,Inputs!$C$87*Inputs!$K$9*(1+Inputs!$K$12)^B288),"Error - Check Input")
+IFERROR(IF(OR(Inputs!$C$88=0,Inputs!$C$88="",ISERROR(Inputs!$C$88)),Inputs!$D$88,Inputs!$C$88*Inputs!$K$9*(1+Inputs!$K$12)^B288),"Error - Check Input")
+IFERROR(IF(OR(Inputs!$C$89=0,Inputs!$C$89="",ISERROR(Inputs!$C$89)),Inputs!$D$89,Inputs!$C$89*Inputs!$K$9*(1+Inputs!$K$12)^B288),"Error - Check Input")
+IFERROR(IF(OR(Inputs!$C$90=0,Inputs!$C$90="",ISERROR(Inputs!$C$90)),Inputs!$D$90,Inputs!$C$90*Inputs!$K$9*(1+Inputs!$K$12)^B288),"Error - Check Input")
+IFERROR(IF(OR(Inputs!$C$93=0,Inputs!$C$93="",ISERROR(Inputs!$C$93)),Inputs!$D$93,Inputs!$C$93*Inputs!$K$9*(1+Inputs!$K$12)^B288),"Error - Check Input")</f>
        <v>53009.625310967051</v>
      </c>
      <c r="D288" s="17"/>
    </row>
    <row r="289" spans="2:4" x14ac:dyDescent="0.35">
      <c r="B289" s="18">
        <v>98</v>
      </c>
      <c r="C289" s="6">
        <f>IFERROR(IF(OR(Inputs!$C$84=0,Inputs!$C$84="",ISERROR(Inputs!$C$84)),Inputs!$D$84,Inputs!$C$84*Inputs!$K$9*(1+Inputs!$K$12)^B289),"Error - Check Input")
+IFERROR(IF(OR(Inputs!$C$85=0,Inputs!$C$85="",ISERROR(Inputs!$C$85)),Inputs!$D$85,Inputs!$C$85*Inputs!$K$9*(1+Inputs!$K$12)^B289),"Error - Check Input")
+IFERROR(IF(OR(Inputs!$C$86=0,Inputs!$C$86="",ISERROR(Inputs!$C$86)),Inputs!$D$86,Inputs!$C$86*Inputs!$K$9*(1+Inputs!$K$12)^B289),"Error - Check Input")
+IFERROR(IF(OR(Inputs!$C$87=0,Inputs!$C$87="",ISERROR(Inputs!$C$87)),Inputs!$D$87,Inputs!$C$87*Inputs!$K$9*(1+Inputs!$K$12)^B289),"Error - Check Input")
+IFERROR(IF(OR(Inputs!$C$88=0,Inputs!$C$88="",ISERROR(Inputs!$C$88)),Inputs!$D$88,Inputs!$C$88*Inputs!$K$9*(1+Inputs!$K$12)^B289),"Error - Check Input")
+IFERROR(IF(OR(Inputs!$C$89=0,Inputs!$C$89="",ISERROR(Inputs!$C$89)),Inputs!$D$89,Inputs!$C$89*Inputs!$K$9*(1+Inputs!$K$12)^B289),"Error - Check Input")
+IFERROR(IF(OR(Inputs!$C$90=0,Inputs!$C$90="",ISERROR(Inputs!$C$90)),Inputs!$D$90,Inputs!$C$90*Inputs!$K$9*(1+Inputs!$K$12)^B289),"Error - Check Input")
+IFERROR(IF(OR(Inputs!$C$93=0,Inputs!$C$93="",ISERROR(Inputs!$C$93)),Inputs!$D$93,Inputs!$C$93*Inputs!$K$9*(1+Inputs!$K$12)^B289),"Error - Check Input")</f>
        <v>53207.259529182338</v>
      </c>
      <c r="D289" s="17"/>
    </row>
    <row r="290" spans="2:4" x14ac:dyDescent="0.35">
      <c r="B290" s="18">
        <v>99</v>
      </c>
      <c r="C290" s="6">
        <f>IFERROR(IF(OR(Inputs!$C$84=0,Inputs!$C$84="",ISERROR(Inputs!$C$84)),Inputs!$D$84,Inputs!$C$84*Inputs!$K$9*(1+Inputs!$K$12)^B290),"Error - Check Input")
+IFERROR(IF(OR(Inputs!$C$85=0,Inputs!$C$85="",ISERROR(Inputs!$C$85)),Inputs!$D$85,Inputs!$C$85*Inputs!$K$9*(1+Inputs!$K$12)^B290),"Error - Check Input")
+IFERROR(IF(OR(Inputs!$C$86=0,Inputs!$C$86="",ISERROR(Inputs!$C$86)),Inputs!$D$86,Inputs!$C$86*Inputs!$K$9*(1+Inputs!$K$12)^B290),"Error - Check Input")
+IFERROR(IF(OR(Inputs!$C$87=0,Inputs!$C$87="",ISERROR(Inputs!$C$87)),Inputs!$D$87,Inputs!$C$87*Inputs!$K$9*(1+Inputs!$K$12)^B290),"Error - Check Input")
+IFERROR(IF(OR(Inputs!$C$88=0,Inputs!$C$88="",ISERROR(Inputs!$C$88)),Inputs!$D$88,Inputs!$C$88*Inputs!$K$9*(1+Inputs!$K$12)^B290),"Error - Check Input")
+IFERROR(IF(OR(Inputs!$C$89=0,Inputs!$C$89="",ISERROR(Inputs!$C$89)),Inputs!$D$89,Inputs!$C$89*Inputs!$K$9*(1+Inputs!$K$12)^B290),"Error - Check Input")
+IFERROR(IF(OR(Inputs!$C$90=0,Inputs!$C$90="",ISERROR(Inputs!$C$90)),Inputs!$D$90,Inputs!$C$90*Inputs!$K$9*(1+Inputs!$K$12)^B290),"Error - Check Input")
+IFERROR(IF(OR(Inputs!$C$93=0,Inputs!$C$93="",ISERROR(Inputs!$C$93)),Inputs!$D$93,Inputs!$C$93*Inputs!$K$9*(1+Inputs!$K$12)^B290),"Error - Check Input")</f>
        <v>53405.698933666521</v>
      </c>
      <c r="D290" s="17"/>
    </row>
    <row r="291" spans="2:4" x14ac:dyDescent="0.35">
      <c r="B291" s="18">
        <v>100</v>
      </c>
      <c r="C291" s="6">
        <f>IFERROR(IF(OR(Inputs!$C$84=0,Inputs!$C$84="",ISERROR(Inputs!$C$84)),Inputs!$D$84,Inputs!$C$84*Inputs!$K$9*(1+Inputs!$K$12)^B291),"Error - Check Input")
+IFERROR(IF(OR(Inputs!$C$85=0,Inputs!$C$85="",ISERROR(Inputs!$C$85)),Inputs!$D$85,Inputs!$C$85*Inputs!$K$9*(1+Inputs!$K$12)^B291),"Error - Check Input")
+IFERROR(IF(OR(Inputs!$C$86=0,Inputs!$C$86="",ISERROR(Inputs!$C$86)),Inputs!$D$86,Inputs!$C$86*Inputs!$K$9*(1+Inputs!$K$12)^B291),"Error - Check Input")
+IFERROR(IF(OR(Inputs!$C$87=0,Inputs!$C$87="",ISERROR(Inputs!$C$87)),Inputs!$D$87,Inputs!$C$87*Inputs!$K$9*(1+Inputs!$K$12)^B291),"Error - Check Input")
+IFERROR(IF(OR(Inputs!$C$88=0,Inputs!$C$88="",ISERROR(Inputs!$C$88)),Inputs!$D$88,Inputs!$C$88*Inputs!$K$9*(1+Inputs!$K$12)^B291),"Error - Check Input")
+IFERROR(IF(OR(Inputs!$C$89=0,Inputs!$C$89="",ISERROR(Inputs!$C$89)),Inputs!$D$89,Inputs!$C$89*Inputs!$K$9*(1+Inputs!$K$12)^B291),"Error - Check Input")
+IFERROR(IF(OR(Inputs!$C$90=0,Inputs!$C$90="",ISERROR(Inputs!$C$90)),Inputs!$D$90,Inputs!$C$90*Inputs!$K$9*(1+Inputs!$K$12)^B291),"Error - Check Input")
+IFERROR(IF(OR(Inputs!$C$93=0,Inputs!$C$93="",ISERROR(Inputs!$C$93)),Inputs!$D$93,Inputs!$C$93*Inputs!$K$9*(1+Inputs!$K$12)^B291),"Error - Check Input")</f>
        <v>53604.946804848107</v>
      </c>
      <c r="D291" s="17"/>
    </row>
    <row r="292" spans="2:4" x14ac:dyDescent="0.35">
      <c r="B292" s="18">
        <v>101</v>
      </c>
      <c r="C292" s="6">
        <f>IFERROR(IF(OR(Inputs!$C$84=0,Inputs!$C$84="",ISERROR(Inputs!$C$84)),Inputs!$D$84,Inputs!$C$84*Inputs!$K$9*(1+Inputs!$K$12)^B292),"Error - Check Input")
+IFERROR(IF(OR(Inputs!$C$85=0,Inputs!$C$85="",ISERROR(Inputs!$C$85)),Inputs!$D$85,Inputs!$C$85*Inputs!$K$9*(1+Inputs!$K$12)^B292),"Error - Check Input")
+IFERROR(IF(OR(Inputs!$C$86=0,Inputs!$C$86="",ISERROR(Inputs!$C$86)),Inputs!$D$86,Inputs!$C$86*Inputs!$K$9*(1+Inputs!$K$12)^B292),"Error - Check Input")
+IFERROR(IF(OR(Inputs!$C$87=0,Inputs!$C$87="",ISERROR(Inputs!$C$87)),Inputs!$D$87,Inputs!$C$87*Inputs!$K$9*(1+Inputs!$K$12)^B292),"Error - Check Input")
+IFERROR(IF(OR(Inputs!$C$88=0,Inputs!$C$88="",ISERROR(Inputs!$C$88)),Inputs!$D$88,Inputs!$C$88*Inputs!$K$9*(1+Inputs!$K$12)^B292),"Error - Check Input")
+IFERROR(IF(OR(Inputs!$C$89=0,Inputs!$C$89="",ISERROR(Inputs!$C$89)),Inputs!$D$89,Inputs!$C$89*Inputs!$K$9*(1+Inputs!$K$12)^B292),"Error - Check Input")
+IFERROR(IF(OR(Inputs!$C$90=0,Inputs!$C$90="",ISERROR(Inputs!$C$90)),Inputs!$D$90,Inputs!$C$90*Inputs!$K$9*(1+Inputs!$K$12)^B292),"Error - Check Input")
+IFERROR(IF(OR(Inputs!$C$93=0,Inputs!$C$93="",ISERROR(Inputs!$C$93)),Inputs!$D$93,Inputs!$C$93*Inputs!$K$9*(1+Inputs!$K$12)^B292),"Error - Check Input")</f>
        <v>53805.006436520525</v>
      </c>
      <c r="D292" s="17"/>
    </row>
    <row r="293" spans="2:4" x14ac:dyDescent="0.35">
      <c r="B293" s="18">
        <v>102</v>
      </c>
      <c r="C293" s="6">
        <f>IFERROR(IF(OR(Inputs!$C$84=0,Inputs!$C$84="",ISERROR(Inputs!$C$84)),Inputs!$D$84,Inputs!$C$84*Inputs!$K$9*(1+Inputs!$K$12)^B293),"Error - Check Input")
+IFERROR(IF(OR(Inputs!$C$85=0,Inputs!$C$85="",ISERROR(Inputs!$C$85)),Inputs!$D$85,Inputs!$C$85*Inputs!$K$9*(1+Inputs!$K$12)^B293),"Error - Check Input")
+IFERROR(IF(OR(Inputs!$C$86=0,Inputs!$C$86="",ISERROR(Inputs!$C$86)),Inputs!$D$86,Inputs!$C$86*Inputs!$K$9*(1+Inputs!$K$12)^B293),"Error - Check Input")
+IFERROR(IF(OR(Inputs!$C$87=0,Inputs!$C$87="",ISERROR(Inputs!$C$87)),Inputs!$D$87,Inputs!$C$87*Inputs!$K$9*(1+Inputs!$K$12)^B293),"Error - Check Input")
+IFERROR(IF(OR(Inputs!$C$88=0,Inputs!$C$88="",ISERROR(Inputs!$C$88)),Inputs!$D$88,Inputs!$C$88*Inputs!$K$9*(1+Inputs!$K$12)^B293),"Error - Check Input")
+IFERROR(IF(OR(Inputs!$C$89=0,Inputs!$C$89="",ISERROR(Inputs!$C$89)),Inputs!$D$89,Inputs!$C$89*Inputs!$K$9*(1+Inputs!$K$12)^B293),"Error - Check Input")
+IFERROR(IF(OR(Inputs!$C$90=0,Inputs!$C$90="",ISERROR(Inputs!$C$90)),Inputs!$D$90,Inputs!$C$90*Inputs!$K$9*(1+Inputs!$K$12)^B293),"Error - Check Input")
+IFERROR(IF(OR(Inputs!$C$93=0,Inputs!$C$93="",ISERROR(Inputs!$C$93)),Inputs!$D$93,Inputs!$C$93*Inputs!$K$9*(1+Inputs!$K$12)^B293),"Error - Check Input")</f>
        <v>54005.881135896496</v>
      </c>
      <c r="D293" s="17"/>
    </row>
    <row r="294" spans="2:4" x14ac:dyDescent="0.35">
      <c r="B294" s="18">
        <v>103</v>
      </c>
      <c r="C294" s="6">
        <f>IFERROR(IF(OR(Inputs!$C$84=0,Inputs!$C$84="",ISERROR(Inputs!$C$84)),Inputs!$D$84,Inputs!$C$84*Inputs!$K$9*(1+Inputs!$K$12)^B294),"Error - Check Input")
+IFERROR(IF(OR(Inputs!$C$85=0,Inputs!$C$85="",ISERROR(Inputs!$C$85)),Inputs!$D$85,Inputs!$C$85*Inputs!$K$9*(1+Inputs!$K$12)^B294),"Error - Check Input")
+IFERROR(IF(OR(Inputs!$C$86=0,Inputs!$C$86="",ISERROR(Inputs!$C$86)),Inputs!$D$86,Inputs!$C$86*Inputs!$K$9*(1+Inputs!$K$12)^B294),"Error - Check Input")
+IFERROR(IF(OR(Inputs!$C$87=0,Inputs!$C$87="",ISERROR(Inputs!$C$87)),Inputs!$D$87,Inputs!$C$87*Inputs!$K$9*(1+Inputs!$K$12)^B294),"Error - Check Input")
+IFERROR(IF(OR(Inputs!$C$88=0,Inputs!$C$88="",ISERROR(Inputs!$C$88)),Inputs!$D$88,Inputs!$C$88*Inputs!$K$9*(1+Inputs!$K$12)^B294),"Error - Check Input")
+IFERROR(IF(OR(Inputs!$C$89=0,Inputs!$C$89="",ISERROR(Inputs!$C$89)),Inputs!$D$89,Inputs!$C$89*Inputs!$K$9*(1+Inputs!$K$12)^B294),"Error - Check Input")
+IFERROR(IF(OR(Inputs!$C$90=0,Inputs!$C$90="",ISERROR(Inputs!$C$90)),Inputs!$D$90,Inputs!$C$90*Inputs!$K$9*(1+Inputs!$K$12)^B294),"Error - Check Input")
+IFERROR(IF(OR(Inputs!$C$93=0,Inputs!$C$93="",ISERROR(Inputs!$C$93)),Inputs!$D$93,Inputs!$C$93*Inputs!$K$9*(1+Inputs!$K$12)^B294),"Error - Check Input")</f>
        <v>54207.574223662719</v>
      </c>
      <c r="D294" s="17"/>
    </row>
    <row r="295" spans="2:4" x14ac:dyDescent="0.35">
      <c r="B295" s="18">
        <v>104</v>
      </c>
      <c r="C295" s="6">
        <f>IFERROR(IF(OR(Inputs!$C$84=0,Inputs!$C$84="",ISERROR(Inputs!$C$84)),Inputs!$D$84,Inputs!$C$84*Inputs!$K$9*(1+Inputs!$K$12)^B295),"Error - Check Input")
+IFERROR(IF(OR(Inputs!$C$85=0,Inputs!$C$85="",ISERROR(Inputs!$C$85)),Inputs!$D$85,Inputs!$C$85*Inputs!$K$9*(1+Inputs!$K$12)^B295),"Error - Check Input")
+IFERROR(IF(OR(Inputs!$C$86=0,Inputs!$C$86="",ISERROR(Inputs!$C$86)),Inputs!$D$86,Inputs!$C$86*Inputs!$K$9*(1+Inputs!$K$12)^B295),"Error - Check Input")
+IFERROR(IF(OR(Inputs!$C$87=0,Inputs!$C$87="",ISERROR(Inputs!$C$87)),Inputs!$D$87,Inputs!$C$87*Inputs!$K$9*(1+Inputs!$K$12)^B295),"Error - Check Input")
+IFERROR(IF(OR(Inputs!$C$88=0,Inputs!$C$88="",ISERROR(Inputs!$C$88)),Inputs!$D$88,Inputs!$C$88*Inputs!$K$9*(1+Inputs!$K$12)^B295),"Error - Check Input")
+IFERROR(IF(OR(Inputs!$C$89=0,Inputs!$C$89="",ISERROR(Inputs!$C$89)),Inputs!$D$89,Inputs!$C$89*Inputs!$K$9*(1+Inputs!$K$12)^B295),"Error - Check Input")
+IFERROR(IF(OR(Inputs!$C$90=0,Inputs!$C$90="",ISERROR(Inputs!$C$90)),Inputs!$D$90,Inputs!$C$90*Inputs!$K$9*(1+Inputs!$K$12)^B295),"Error - Check Input")
+IFERROR(IF(OR(Inputs!$C$93=0,Inputs!$C$93="",ISERROR(Inputs!$C$93)),Inputs!$D$93,Inputs!$C$93*Inputs!$K$9*(1+Inputs!$K$12)^B295),"Error - Check Input")</f>
        <v>54410.089034034812</v>
      </c>
      <c r="D295" s="17"/>
    </row>
    <row r="296" spans="2:4" x14ac:dyDescent="0.35">
      <c r="B296" s="18">
        <v>105</v>
      </c>
      <c r="C296" s="6">
        <f>IFERROR(IF(OR(Inputs!$C$84=0,Inputs!$C$84="",ISERROR(Inputs!$C$84)),Inputs!$D$84,Inputs!$C$84*Inputs!$K$9*(1+Inputs!$K$12)^B296),"Error - Check Input")
+IFERROR(IF(OR(Inputs!$C$85=0,Inputs!$C$85="",ISERROR(Inputs!$C$85)),Inputs!$D$85,Inputs!$C$85*Inputs!$K$9*(1+Inputs!$K$12)^B296),"Error - Check Input")
+IFERROR(IF(OR(Inputs!$C$86=0,Inputs!$C$86="",ISERROR(Inputs!$C$86)),Inputs!$D$86,Inputs!$C$86*Inputs!$K$9*(1+Inputs!$K$12)^B296),"Error - Check Input")
+IFERROR(IF(OR(Inputs!$C$87=0,Inputs!$C$87="",ISERROR(Inputs!$C$87)),Inputs!$D$87,Inputs!$C$87*Inputs!$K$9*(1+Inputs!$K$12)^B296),"Error - Check Input")
+IFERROR(IF(OR(Inputs!$C$88=0,Inputs!$C$88="",ISERROR(Inputs!$C$88)),Inputs!$D$88,Inputs!$C$88*Inputs!$K$9*(1+Inputs!$K$12)^B296),"Error - Check Input")
+IFERROR(IF(OR(Inputs!$C$89=0,Inputs!$C$89="",ISERROR(Inputs!$C$89)),Inputs!$D$89,Inputs!$C$89*Inputs!$K$9*(1+Inputs!$K$12)^B296),"Error - Check Input")
+IFERROR(IF(OR(Inputs!$C$90=0,Inputs!$C$90="",ISERROR(Inputs!$C$90)),Inputs!$D$90,Inputs!$C$90*Inputs!$K$9*(1+Inputs!$K$12)^B296),"Error - Check Input")
+IFERROR(IF(OR(Inputs!$C$93=0,Inputs!$C$93="",ISERROR(Inputs!$C$93)),Inputs!$D$93,Inputs!$C$93*Inputs!$K$9*(1+Inputs!$K$12)^B296),"Error - Check Input")</f>
        <v>54613.428914812393</v>
      </c>
      <c r="D296" s="17"/>
    </row>
    <row r="297" spans="2:4" x14ac:dyDescent="0.35">
      <c r="B297" s="18">
        <v>106</v>
      </c>
      <c r="C297" s="6">
        <f>IFERROR(IF(OR(Inputs!$C$84=0,Inputs!$C$84="",ISERROR(Inputs!$C$84)),Inputs!$D$84,Inputs!$C$84*Inputs!$K$9*(1+Inputs!$K$12)^B297),"Error - Check Input")
+IFERROR(IF(OR(Inputs!$C$85=0,Inputs!$C$85="",ISERROR(Inputs!$C$85)),Inputs!$D$85,Inputs!$C$85*Inputs!$K$9*(1+Inputs!$K$12)^B297),"Error - Check Input")
+IFERROR(IF(OR(Inputs!$C$86=0,Inputs!$C$86="",ISERROR(Inputs!$C$86)),Inputs!$D$86,Inputs!$C$86*Inputs!$K$9*(1+Inputs!$K$12)^B297),"Error - Check Input")
+IFERROR(IF(OR(Inputs!$C$87=0,Inputs!$C$87="",ISERROR(Inputs!$C$87)),Inputs!$D$87,Inputs!$C$87*Inputs!$K$9*(1+Inputs!$K$12)^B297),"Error - Check Input")
+IFERROR(IF(OR(Inputs!$C$88=0,Inputs!$C$88="",ISERROR(Inputs!$C$88)),Inputs!$D$88,Inputs!$C$88*Inputs!$K$9*(1+Inputs!$K$12)^B297),"Error - Check Input")
+IFERROR(IF(OR(Inputs!$C$89=0,Inputs!$C$89="",ISERROR(Inputs!$C$89)),Inputs!$D$89,Inputs!$C$89*Inputs!$K$9*(1+Inputs!$K$12)^B297),"Error - Check Input")
+IFERROR(IF(OR(Inputs!$C$90=0,Inputs!$C$90="",ISERROR(Inputs!$C$90)),Inputs!$D$90,Inputs!$C$90*Inputs!$K$9*(1+Inputs!$K$12)^B297),"Error - Check Input")
+IFERROR(IF(OR(Inputs!$C$93=0,Inputs!$C$93="",ISERROR(Inputs!$C$93)),Inputs!$D$93,Inputs!$C$93*Inputs!$K$9*(1+Inputs!$K$12)^B297),"Error - Check Input")</f>
        <v>54817.597227434402</v>
      </c>
      <c r="D297" s="17"/>
    </row>
    <row r="298" spans="2:4" x14ac:dyDescent="0.35">
      <c r="B298" s="18">
        <v>107</v>
      </c>
      <c r="C298" s="6">
        <f>IFERROR(IF(OR(Inputs!$C$84=0,Inputs!$C$84="",ISERROR(Inputs!$C$84)),Inputs!$D$84,Inputs!$C$84*Inputs!$K$9*(1+Inputs!$K$12)^B298),"Error - Check Input")
+IFERROR(IF(OR(Inputs!$C$85=0,Inputs!$C$85="",ISERROR(Inputs!$C$85)),Inputs!$D$85,Inputs!$C$85*Inputs!$K$9*(1+Inputs!$K$12)^B298),"Error - Check Input")
+IFERROR(IF(OR(Inputs!$C$86=0,Inputs!$C$86="",ISERROR(Inputs!$C$86)),Inputs!$D$86,Inputs!$C$86*Inputs!$K$9*(1+Inputs!$K$12)^B298),"Error - Check Input")
+IFERROR(IF(OR(Inputs!$C$87=0,Inputs!$C$87="",ISERROR(Inputs!$C$87)),Inputs!$D$87,Inputs!$C$87*Inputs!$K$9*(1+Inputs!$K$12)^B298),"Error - Check Input")
+IFERROR(IF(OR(Inputs!$C$88=0,Inputs!$C$88="",ISERROR(Inputs!$C$88)),Inputs!$D$88,Inputs!$C$88*Inputs!$K$9*(1+Inputs!$K$12)^B298),"Error - Check Input")
+IFERROR(IF(OR(Inputs!$C$89=0,Inputs!$C$89="",ISERROR(Inputs!$C$89)),Inputs!$D$89,Inputs!$C$89*Inputs!$K$9*(1+Inputs!$K$12)^B298),"Error - Check Input")
+IFERROR(IF(OR(Inputs!$C$90=0,Inputs!$C$90="",ISERROR(Inputs!$C$90)),Inputs!$D$90,Inputs!$C$90*Inputs!$K$9*(1+Inputs!$K$12)^B298),"Error - Check Input")
+IFERROR(IF(OR(Inputs!$C$93=0,Inputs!$C$93="",ISERROR(Inputs!$C$93)),Inputs!$D$93,Inputs!$C$93*Inputs!$K$9*(1+Inputs!$K$12)^B298),"Error - Check Input")</f>
        <v>55022.597347034723</v>
      </c>
      <c r="D298" s="17"/>
    </row>
    <row r="299" spans="2:4" x14ac:dyDescent="0.35">
      <c r="B299" s="18">
        <v>108</v>
      </c>
      <c r="C299" s="6">
        <f>IFERROR(IF(OR(Inputs!$C$84=0,Inputs!$C$84="",ISERROR(Inputs!$C$84)),Inputs!$D$84,Inputs!$C$84*Inputs!$K$9*(1+Inputs!$K$12)^B299),"Error - Check Input")
+IFERROR(IF(OR(Inputs!$C$85=0,Inputs!$C$85="",ISERROR(Inputs!$C$85)),Inputs!$D$85,Inputs!$C$85*Inputs!$K$9*(1+Inputs!$K$12)^B299),"Error - Check Input")
+IFERROR(IF(OR(Inputs!$C$86=0,Inputs!$C$86="",ISERROR(Inputs!$C$86)),Inputs!$D$86,Inputs!$C$86*Inputs!$K$9*(1+Inputs!$K$12)^B299),"Error - Check Input")
+IFERROR(IF(OR(Inputs!$C$87=0,Inputs!$C$87="",ISERROR(Inputs!$C$87)),Inputs!$D$87,Inputs!$C$87*Inputs!$K$9*(1+Inputs!$K$12)^B299),"Error - Check Input")
+IFERROR(IF(OR(Inputs!$C$88=0,Inputs!$C$88="",ISERROR(Inputs!$C$88)),Inputs!$D$88,Inputs!$C$88*Inputs!$K$9*(1+Inputs!$K$12)^B299),"Error - Check Input")
+IFERROR(IF(OR(Inputs!$C$89=0,Inputs!$C$89="",ISERROR(Inputs!$C$89)),Inputs!$D$89,Inputs!$C$89*Inputs!$K$9*(1+Inputs!$K$12)^B299),"Error - Check Input")
+IFERROR(IF(OR(Inputs!$C$90=0,Inputs!$C$90="",ISERROR(Inputs!$C$90)),Inputs!$D$90,Inputs!$C$90*Inputs!$K$9*(1+Inputs!$K$12)^B299),"Error - Check Input")
+IFERROR(IF(OR(Inputs!$C$93=0,Inputs!$C$93="",ISERROR(Inputs!$C$93)),Inputs!$D$93,Inputs!$C$93*Inputs!$K$9*(1+Inputs!$K$12)^B299),"Error - Check Input")</f>
        <v>55228.432662497966</v>
      </c>
      <c r="D299" s="17"/>
    </row>
    <row r="300" spans="2:4" x14ac:dyDescent="0.35">
      <c r="B300" s="18">
        <v>109</v>
      </c>
      <c r="C300" s="6">
        <f>IFERROR(IF(OR(Inputs!$C$84=0,Inputs!$C$84="",ISERROR(Inputs!$C$84)),Inputs!$D$84,Inputs!$C$84*Inputs!$K$9*(1+Inputs!$K$12)^B300),"Error - Check Input")
+IFERROR(IF(OR(Inputs!$C$85=0,Inputs!$C$85="",ISERROR(Inputs!$C$85)),Inputs!$D$85,Inputs!$C$85*Inputs!$K$9*(1+Inputs!$K$12)^B300),"Error - Check Input")
+IFERROR(IF(OR(Inputs!$C$86=0,Inputs!$C$86="",ISERROR(Inputs!$C$86)),Inputs!$D$86,Inputs!$C$86*Inputs!$K$9*(1+Inputs!$K$12)^B300),"Error - Check Input")
+IFERROR(IF(OR(Inputs!$C$87=0,Inputs!$C$87="",ISERROR(Inputs!$C$87)),Inputs!$D$87,Inputs!$C$87*Inputs!$K$9*(1+Inputs!$K$12)^B300),"Error - Check Input")
+IFERROR(IF(OR(Inputs!$C$88=0,Inputs!$C$88="",ISERROR(Inputs!$C$88)),Inputs!$D$88,Inputs!$C$88*Inputs!$K$9*(1+Inputs!$K$12)^B300),"Error - Check Input")
+IFERROR(IF(OR(Inputs!$C$89=0,Inputs!$C$89="",ISERROR(Inputs!$C$89)),Inputs!$D$89,Inputs!$C$89*Inputs!$K$9*(1+Inputs!$K$12)^B300),"Error - Check Input")
+IFERROR(IF(OR(Inputs!$C$90=0,Inputs!$C$90="",ISERROR(Inputs!$C$90)),Inputs!$D$90,Inputs!$C$90*Inputs!$K$9*(1+Inputs!$K$12)^B300),"Error - Check Input")
+IFERROR(IF(OR(Inputs!$C$93=0,Inputs!$C$93="",ISERROR(Inputs!$C$93)),Inputs!$D$93,Inputs!$C$93*Inputs!$K$9*(1+Inputs!$K$12)^B300),"Error - Check Input")</f>
        <v>55435.106576515464</v>
      </c>
      <c r="D300" s="17"/>
    </row>
    <row r="301" spans="2:4" x14ac:dyDescent="0.35">
      <c r="B301" s="18">
        <v>110</v>
      </c>
      <c r="C301" s="6">
        <f>IFERROR(IF(OR(Inputs!$C$84=0,Inputs!$C$84="",ISERROR(Inputs!$C$84)),Inputs!$D$84,Inputs!$C$84*Inputs!$K$9*(1+Inputs!$K$12)^B301),"Error - Check Input")
+IFERROR(IF(OR(Inputs!$C$85=0,Inputs!$C$85="",ISERROR(Inputs!$C$85)),Inputs!$D$85,Inputs!$C$85*Inputs!$K$9*(1+Inputs!$K$12)^B301),"Error - Check Input")
+IFERROR(IF(OR(Inputs!$C$86=0,Inputs!$C$86="",ISERROR(Inputs!$C$86)),Inputs!$D$86,Inputs!$C$86*Inputs!$K$9*(1+Inputs!$K$12)^B301),"Error - Check Input")
+IFERROR(IF(OR(Inputs!$C$87=0,Inputs!$C$87="",ISERROR(Inputs!$C$87)),Inputs!$D$87,Inputs!$C$87*Inputs!$K$9*(1+Inputs!$K$12)^B301),"Error - Check Input")
+IFERROR(IF(OR(Inputs!$C$88=0,Inputs!$C$88="",ISERROR(Inputs!$C$88)),Inputs!$D$88,Inputs!$C$88*Inputs!$K$9*(1+Inputs!$K$12)^B301),"Error - Check Input")
+IFERROR(IF(OR(Inputs!$C$89=0,Inputs!$C$89="",ISERROR(Inputs!$C$89)),Inputs!$D$89,Inputs!$C$89*Inputs!$K$9*(1+Inputs!$K$12)^B301),"Error - Check Input")
+IFERROR(IF(OR(Inputs!$C$90=0,Inputs!$C$90="",ISERROR(Inputs!$C$90)),Inputs!$D$90,Inputs!$C$90*Inputs!$K$9*(1+Inputs!$K$12)^B301),"Error - Check Input")
+IFERROR(IF(OR(Inputs!$C$93=0,Inputs!$C$93="",ISERROR(Inputs!$C$93)),Inputs!$D$93,Inputs!$C$93*Inputs!$K$9*(1+Inputs!$K$12)^B301),"Error - Check Input")</f>
        <v>55642.622505641506</v>
      </c>
      <c r="D301" s="17"/>
    </row>
    <row r="302" spans="2:4" x14ac:dyDescent="0.35">
      <c r="B302" s="18">
        <v>111</v>
      </c>
      <c r="C302" s="6">
        <f>IFERROR(IF(OR(Inputs!$C$84=0,Inputs!$C$84="",ISERROR(Inputs!$C$84)),Inputs!$D$84,Inputs!$C$84*Inputs!$K$9*(1+Inputs!$K$12)^B302),"Error - Check Input")
+IFERROR(IF(OR(Inputs!$C$85=0,Inputs!$C$85="",ISERROR(Inputs!$C$85)),Inputs!$D$85,Inputs!$C$85*Inputs!$K$9*(1+Inputs!$K$12)^B302),"Error - Check Input")
+IFERROR(IF(OR(Inputs!$C$86=0,Inputs!$C$86="",ISERROR(Inputs!$C$86)),Inputs!$D$86,Inputs!$C$86*Inputs!$K$9*(1+Inputs!$K$12)^B302),"Error - Check Input")
+IFERROR(IF(OR(Inputs!$C$87=0,Inputs!$C$87="",ISERROR(Inputs!$C$87)),Inputs!$D$87,Inputs!$C$87*Inputs!$K$9*(1+Inputs!$K$12)^B302),"Error - Check Input")
+IFERROR(IF(OR(Inputs!$C$88=0,Inputs!$C$88="",ISERROR(Inputs!$C$88)),Inputs!$D$88,Inputs!$C$88*Inputs!$K$9*(1+Inputs!$K$12)^B302),"Error - Check Input")
+IFERROR(IF(OR(Inputs!$C$89=0,Inputs!$C$89="",ISERROR(Inputs!$C$89)),Inputs!$D$89,Inputs!$C$89*Inputs!$K$9*(1+Inputs!$K$12)^B302),"Error - Check Input")
+IFERROR(IF(OR(Inputs!$C$90=0,Inputs!$C$90="",ISERROR(Inputs!$C$90)),Inputs!$D$90,Inputs!$C$90*Inputs!$K$9*(1+Inputs!$K$12)^B302),"Error - Check Input")
+IFERROR(IF(OR(Inputs!$C$93=0,Inputs!$C$93="",ISERROR(Inputs!$C$93)),Inputs!$D$93,Inputs!$C$93*Inputs!$K$9*(1+Inputs!$K$12)^B302),"Error - Check Input")</f>
        <v>55850.983880349893</v>
      </c>
      <c r="D302" s="17"/>
    </row>
    <row r="303" spans="2:4" x14ac:dyDescent="0.35">
      <c r="B303" s="18">
        <v>112</v>
      </c>
      <c r="C303" s="6">
        <f>IFERROR(IF(OR(Inputs!$C$84=0,Inputs!$C$84="",ISERROR(Inputs!$C$84)),Inputs!$D$84,Inputs!$C$84*Inputs!$K$9*(1+Inputs!$K$12)^B303),"Error - Check Input")
+IFERROR(IF(OR(Inputs!$C$85=0,Inputs!$C$85="",ISERROR(Inputs!$C$85)),Inputs!$D$85,Inputs!$C$85*Inputs!$K$9*(1+Inputs!$K$12)^B303),"Error - Check Input")
+IFERROR(IF(OR(Inputs!$C$86=0,Inputs!$C$86="",ISERROR(Inputs!$C$86)),Inputs!$D$86,Inputs!$C$86*Inputs!$K$9*(1+Inputs!$K$12)^B303),"Error - Check Input")
+IFERROR(IF(OR(Inputs!$C$87=0,Inputs!$C$87="",ISERROR(Inputs!$C$87)),Inputs!$D$87,Inputs!$C$87*Inputs!$K$9*(1+Inputs!$K$12)^B303),"Error - Check Input")
+IFERROR(IF(OR(Inputs!$C$88=0,Inputs!$C$88="",ISERROR(Inputs!$C$88)),Inputs!$D$88,Inputs!$C$88*Inputs!$K$9*(1+Inputs!$K$12)^B303),"Error - Check Input")
+IFERROR(IF(OR(Inputs!$C$89=0,Inputs!$C$89="",ISERROR(Inputs!$C$89)),Inputs!$D$89,Inputs!$C$89*Inputs!$K$9*(1+Inputs!$K$12)^B303),"Error - Check Input")
+IFERROR(IF(OR(Inputs!$C$90=0,Inputs!$C$90="",ISERROR(Inputs!$C$90)),Inputs!$D$90,Inputs!$C$90*Inputs!$K$9*(1+Inputs!$K$12)^B303),"Error - Check Input")
+IFERROR(IF(OR(Inputs!$C$93=0,Inputs!$C$93="",ISERROR(Inputs!$C$93)),Inputs!$D$93,Inputs!$C$93*Inputs!$K$9*(1+Inputs!$K$12)^B303),"Error - Check Input")</f>
        <v>56060.19414509058</v>
      </c>
      <c r="D303" s="17"/>
    </row>
    <row r="304" spans="2:4" x14ac:dyDescent="0.35">
      <c r="B304" s="18">
        <v>113</v>
      </c>
      <c r="C304" s="6">
        <f>IFERROR(IF(OR(Inputs!$C$84=0,Inputs!$C$84="",ISERROR(Inputs!$C$84)),Inputs!$D$84,Inputs!$C$84*Inputs!$K$9*(1+Inputs!$K$12)^B304),"Error - Check Input")
+IFERROR(IF(OR(Inputs!$C$85=0,Inputs!$C$85="",ISERROR(Inputs!$C$85)),Inputs!$D$85,Inputs!$C$85*Inputs!$K$9*(1+Inputs!$K$12)^B304),"Error - Check Input")
+IFERROR(IF(OR(Inputs!$C$86=0,Inputs!$C$86="",ISERROR(Inputs!$C$86)),Inputs!$D$86,Inputs!$C$86*Inputs!$K$9*(1+Inputs!$K$12)^B304),"Error - Check Input")
+IFERROR(IF(OR(Inputs!$C$87=0,Inputs!$C$87="",ISERROR(Inputs!$C$87)),Inputs!$D$87,Inputs!$C$87*Inputs!$K$9*(1+Inputs!$K$12)^B304),"Error - Check Input")
+IFERROR(IF(OR(Inputs!$C$88=0,Inputs!$C$88="",ISERROR(Inputs!$C$88)),Inputs!$D$88,Inputs!$C$88*Inputs!$K$9*(1+Inputs!$K$12)^B304),"Error - Check Input")
+IFERROR(IF(OR(Inputs!$C$89=0,Inputs!$C$89="",ISERROR(Inputs!$C$89)),Inputs!$D$89,Inputs!$C$89*Inputs!$K$9*(1+Inputs!$K$12)^B304),"Error - Check Input")
+IFERROR(IF(OR(Inputs!$C$90=0,Inputs!$C$90="",ISERROR(Inputs!$C$90)),Inputs!$D$90,Inputs!$C$90*Inputs!$K$9*(1+Inputs!$K$12)^B304),"Error - Check Input")
+IFERROR(IF(OR(Inputs!$C$93=0,Inputs!$C$93="",ISERROR(Inputs!$C$93)),Inputs!$D$93,Inputs!$C$93*Inputs!$K$9*(1+Inputs!$K$12)^B304),"Error - Check Input")</f>
        <v>56270.256758346601</v>
      </c>
      <c r="D304" s="17"/>
    </row>
    <row r="305" spans="2:4" x14ac:dyDescent="0.35">
      <c r="B305" s="18">
        <v>114</v>
      </c>
      <c r="C305" s="6">
        <f>IFERROR(IF(OR(Inputs!$C$84=0,Inputs!$C$84="",ISERROR(Inputs!$C$84)),Inputs!$D$84,Inputs!$C$84*Inputs!$K$9*(1+Inputs!$K$12)^B305),"Error - Check Input")
+IFERROR(IF(OR(Inputs!$C$85=0,Inputs!$C$85="",ISERROR(Inputs!$C$85)),Inputs!$D$85,Inputs!$C$85*Inputs!$K$9*(1+Inputs!$K$12)^B305),"Error - Check Input")
+IFERROR(IF(OR(Inputs!$C$86=0,Inputs!$C$86="",ISERROR(Inputs!$C$86)),Inputs!$D$86,Inputs!$C$86*Inputs!$K$9*(1+Inputs!$K$12)^B305),"Error - Check Input")
+IFERROR(IF(OR(Inputs!$C$87=0,Inputs!$C$87="",ISERROR(Inputs!$C$87)),Inputs!$D$87,Inputs!$C$87*Inputs!$K$9*(1+Inputs!$K$12)^B305),"Error - Check Input")
+IFERROR(IF(OR(Inputs!$C$88=0,Inputs!$C$88="",ISERROR(Inputs!$C$88)),Inputs!$D$88,Inputs!$C$88*Inputs!$K$9*(1+Inputs!$K$12)^B305),"Error - Check Input")
+IFERROR(IF(OR(Inputs!$C$89=0,Inputs!$C$89="",ISERROR(Inputs!$C$89)),Inputs!$D$89,Inputs!$C$89*Inputs!$K$9*(1+Inputs!$K$12)^B305),"Error - Check Input")
+IFERROR(IF(OR(Inputs!$C$90=0,Inputs!$C$90="",ISERROR(Inputs!$C$90)),Inputs!$D$90,Inputs!$C$90*Inputs!$K$9*(1+Inputs!$K$12)^B305),"Error - Check Input")
+IFERROR(IF(OR(Inputs!$C$93=0,Inputs!$C$93="",ISERROR(Inputs!$C$93)),Inputs!$D$93,Inputs!$C$93*Inputs!$K$9*(1+Inputs!$K$12)^B305),"Error - Check Input")</f>
        <v>56481.175192691378</v>
      </c>
      <c r="D305" s="17"/>
    </row>
    <row r="306" spans="2:4" x14ac:dyDescent="0.35">
      <c r="B306" s="18">
        <v>115</v>
      </c>
      <c r="C306" s="6">
        <f>IFERROR(IF(OR(Inputs!$C$84=0,Inputs!$C$84="",ISERROR(Inputs!$C$84)),Inputs!$D$84,Inputs!$C$84*Inputs!$K$9*(1+Inputs!$K$12)^B306),"Error - Check Input")
+IFERROR(IF(OR(Inputs!$C$85=0,Inputs!$C$85="",ISERROR(Inputs!$C$85)),Inputs!$D$85,Inputs!$C$85*Inputs!$K$9*(1+Inputs!$K$12)^B306),"Error - Check Input")
+IFERROR(IF(OR(Inputs!$C$86=0,Inputs!$C$86="",ISERROR(Inputs!$C$86)),Inputs!$D$86,Inputs!$C$86*Inputs!$K$9*(1+Inputs!$K$12)^B306),"Error - Check Input")
+IFERROR(IF(OR(Inputs!$C$87=0,Inputs!$C$87="",ISERROR(Inputs!$C$87)),Inputs!$D$87,Inputs!$C$87*Inputs!$K$9*(1+Inputs!$K$12)^B306),"Error - Check Input")
+IFERROR(IF(OR(Inputs!$C$88=0,Inputs!$C$88="",ISERROR(Inputs!$C$88)),Inputs!$D$88,Inputs!$C$88*Inputs!$K$9*(1+Inputs!$K$12)^B306),"Error - Check Input")
+IFERROR(IF(OR(Inputs!$C$89=0,Inputs!$C$89="",ISERROR(Inputs!$C$89)),Inputs!$D$89,Inputs!$C$89*Inputs!$K$9*(1+Inputs!$K$12)^B306),"Error - Check Input")
+IFERROR(IF(OR(Inputs!$C$90=0,Inputs!$C$90="",ISERROR(Inputs!$C$90)),Inputs!$D$90,Inputs!$C$90*Inputs!$K$9*(1+Inputs!$K$12)^B306),"Error - Check Input")
+IFERROR(IF(OR(Inputs!$C$93=0,Inputs!$C$93="",ISERROR(Inputs!$C$93)),Inputs!$D$93,Inputs!$C$93*Inputs!$K$9*(1+Inputs!$K$12)^B306),"Error - Check Input")</f>
        <v>56692.952934845911</v>
      </c>
      <c r="D306" s="17"/>
    </row>
    <row r="307" spans="2:4" x14ac:dyDescent="0.35">
      <c r="B307" s="18">
        <v>116</v>
      </c>
      <c r="C307" s="6">
        <f>IFERROR(IF(OR(Inputs!$C$84=0,Inputs!$C$84="",ISERROR(Inputs!$C$84)),Inputs!$D$84,Inputs!$C$84*Inputs!$K$9*(1+Inputs!$K$12)^B307),"Error - Check Input")
+IFERROR(IF(OR(Inputs!$C$85=0,Inputs!$C$85="",ISERROR(Inputs!$C$85)),Inputs!$D$85,Inputs!$C$85*Inputs!$K$9*(1+Inputs!$K$12)^B307),"Error - Check Input")
+IFERROR(IF(OR(Inputs!$C$86=0,Inputs!$C$86="",ISERROR(Inputs!$C$86)),Inputs!$D$86,Inputs!$C$86*Inputs!$K$9*(1+Inputs!$K$12)^B307),"Error - Check Input")
+IFERROR(IF(OR(Inputs!$C$87=0,Inputs!$C$87="",ISERROR(Inputs!$C$87)),Inputs!$D$87,Inputs!$C$87*Inputs!$K$9*(1+Inputs!$K$12)^B307),"Error - Check Input")
+IFERROR(IF(OR(Inputs!$C$88=0,Inputs!$C$88="",ISERROR(Inputs!$C$88)),Inputs!$D$88,Inputs!$C$88*Inputs!$K$9*(1+Inputs!$K$12)^B307),"Error - Check Input")
+IFERROR(IF(OR(Inputs!$C$89=0,Inputs!$C$89="",ISERROR(Inputs!$C$89)),Inputs!$D$89,Inputs!$C$89*Inputs!$K$9*(1+Inputs!$K$12)^B307),"Error - Check Input")
+IFERROR(IF(OR(Inputs!$C$90=0,Inputs!$C$90="",ISERROR(Inputs!$C$90)),Inputs!$D$90,Inputs!$C$90*Inputs!$K$9*(1+Inputs!$K$12)^B307),"Error - Check Input")
+IFERROR(IF(OR(Inputs!$C$93=0,Inputs!$C$93="",ISERROR(Inputs!$C$93)),Inputs!$D$93,Inputs!$C$93*Inputs!$K$9*(1+Inputs!$K$12)^B307),"Error - Check Input")</f>
        <v>56905.593485736608</v>
      </c>
      <c r="D307" s="17"/>
    </row>
    <row r="308" spans="2:4" x14ac:dyDescent="0.35">
      <c r="B308" s="18">
        <v>117</v>
      </c>
      <c r="C308" s="6">
        <f>IFERROR(IF(OR(Inputs!$C$84=0,Inputs!$C$84="",ISERROR(Inputs!$C$84)),Inputs!$D$84,Inputs!$C$84*Inputs!$K$9*(1+Inputs!$K$12)^B308),"Error - Check Input")
+IFERROR(IF(OR(Inputs!$C$85=0,Inputs!$C$85="",ISERROR(Inputs!$C$85)),Inputs!$D$85,Inputs!$C$85*Inputs!$K$9*(1+Inputs!$K$12)^B308),"Error - Check Input")
+IFERROR(IF(OR(Inputs!$C$86=0,Inputs!$C$86="",ISERROR(Inputs!$C$86)),Inputs!$D$86,Inputs!$C$86*Inputs!$K$9*(1+Inputs!$K$12)^B308),"Error - Check Input")
+IFERROR(IF(OR(Inputs!$C$87=0,Inputs!$C$87="",ISERROR(Inputs!$C$87)),Inputs!$D$87,Inputs!$C$87*Inputs!$K$9*(1+Inputs!$K$12)^B308),"Error - Check Input")
+IFERROR(IF(OR(Inputs!$C$88=0,Inputs!$C$88="",ISERROR(Inputs!$C$88)),Inputs!$D$88,Inputs!$C$88*Inputs!$K$9*(1+Inputs!$K$12)^B308),"Error - Check Input")
+IFERROR(IF(OR(Inputs!$C$89=0,Inputs!$C$89="",ISERROR(Inputs!$C$89)),Inputs!$D$89,Inputs!$C$89*Inputs!$K$9*(1+Inputs!$K$12)^B308),"Error - Check Input")
+IFERROR(IF(OR(Inputs!$C$90=0,Inputs!$C$90="",ISERROR(Inputs!$C$90)),Inputs!$D$90,Inputs!$C$90*Inputs!$K$9*(1+Inputs!$K$12)^B308),"Error - Check Input")
+IFERROR(IF(OR(Inputs!$C$93=0,Inputs!$C$93="",ISERROR(Inputs!$C$93)),Inputs!$D$93,Inputs!$C$93*Inputs!$K$9*(1+Inputs!$K$12)^B308),"Error - Check Input")</f>
        <v>57119.10036055305</v>
      </c>
      <c r="D308" s="17"/>
    </row>
    <row r="309" spans="2:4" x14ac:dyDescent="0.35">
      <c r="B309" s="18">
        <v>118</v>
      </c>
      <c r="C309" s="6">
        <f>IFERROR(IF(OR(Inputs!$C$84=0,Inputs!$C$84="",ISERROR(Inputs!$C$84)),Inputs!$D$84,Inputs!$C$84*Inputs!$K$9*(1+Inputs!$K$12)^B309),"Error - Check Input")
+IFERROR(IF(OR(Inputs!$C$85=0,Inputs!$C$85="",ISERROR(Inputs!$C$85)),Inputs!$D$85,Inputs!$C$85*Inputs!$K$9*(1+Inputs!$K$12)^B309),"Error - Check Input")
+IFERROR(IF(OR(Inputs!$C$86=0,Inputs!$C$86="",ISERROR(Inputs!$C$86)),Inputs!$D$86,Inputs!$C$86*Inputs!$K$9*(1+Inputs!$K$12)^B309),"Error - Check Input")
+IFERROR(IF(OR(Inputs!$C$87=0,Inputs!$C$87="",ISERROR(Inputs!$C$87)),Inputs!$D$87,Inputs!$C$87*Inputs!$K$9*(1+Inputs!$K$12)^B309),"Error - Check Input")
+IFERROR(IF(OR(Inputs!$C$88=0,Inputs!$C$88="",ISERROR(Inputs!$C$88)),Inputs!$D$88,Inputs!$C$88*Inputs!$K$9*(1+Inputs!$K$12)^B309),"Error - Check Input")
+IFERROR(IF(OR(Inputs!$C$89=0,Inputs!$C$89="",ISERROR(Inputs!$C$89)),Inputs!$D$89,Inputs!$C$89*Inputs!$K$9*(1+Inputs!$K$12)^B309),"Error - Check Input")
+IFERROR(IF(OR(Inputs!$C$90=0,Inputs!$C$90="",ISERROR(Inputs!$C$90)),Inputs!$D$90,Inputs!$C$90*Inputs!$K$9*(1+Inputs!$K$12)^B309),"Error - Check Input")
+IFERROR(IF(OR(Inputs!$C$93=0,Inputs!$C$93="",ISERROR(Inputs!$C$93)),Inputs!$D$93,Inputs!$C$93*Inputs!$K$9*(1+Inputs!$K$12)^B309),"Error - Check Input")</f>
        <v>57333.477088806168</v>
      </c>
      <c r="D309" s="17"/>
    </row>
    <row r="310" spans="2:4" x14ac:dyDescent="0.35">
      <c r="B310" s="18">
        <v>119</v>
      </c>
      <c r="C310" s="6">
        <f>IFERROR(IF(OR(Inputs!$C$84=0,Inputs!$C$84="",ISERROR(Inputs!$C$84)),Inputs!$D$84,Inputs!$C$84*Inputs!$K$9*(1+Inputs!$K$12)^B310),"Error - Check Input")
+IFERROR(IF(OR(Inputs!$C$85=0,Inputs!$C$85="",ISERROR(Inputs!$C$85)),Inputs!$D$85,Inputs!$C$85*Inputs!$K$9*(1+Inputs!$K$12)^B310),"Error - Check Input")
+IFERROR(IF(OR(Inputs!$C$86=0,Inputs!$C$86="",ISERROR(Inputs!$C$86)),Inputs!$D$86,Inputs!$C$86*Inputs!$K$9*(1+Inputs!$K$12)^B310),"Error - Check Input")
+IFERROR(IF(OR(Inputs!$C$87=0,Inputs!$C$87="",ISERROR(Inputs!$C$87)),Inputs!$D$87,Inputs!$C$87*Inputs!$K$9*(1+Inputs!$K$12)^B310),"Error - Check Input")
+IFERROR(IF(OR(Inputs!$C$88=0,Inputs!$C$88="",ISERROR(Inputs!$C$88)),Inputs!$D$88,Inputs!$C$88*Inputs!$K$9*(1+Inputs!$K$12)^B310),"Error - Check Input")
+IFERROR(IF(OR(Inputs!$C$89=0,Inputs!$C$89="",ISERROR(Inputs!$C$89)),Inputs!$D$89,Inputs!$C$89*Inputs!$K$9*(1+Inputs!$K$12)^B310),"Error - Check Input")
+IFERROR(IF(OR(Inputs!$C$90=0,Inputs!$C$90="",ISERROR(Inputs!$C$90)),Inputs!$D$90,Inputs!$C$90*Inputs!$K$9*(1+Inputs!$K$12)^B310),"Error - Check Input")
+IFERROR(IF(OR(Inputs!$C$93=0,Inputs!$C$93="",ISERROR(Inputs!$C$93)),Inputs!$D$93,Inputs!$C$93*Inputs!$K$9*(1+Inputs!$K$12)^B310),"Error - Check Input")</f>
        <v>57548.727214386512</v>
      </c>
      <c r="D310" s="17"/>
    </row>
    <row r="311" spans="2:4" x14ac:dyDescent="0.35">
      <c r="B311" s="18">
        <v>120</v>
      </c>
      <c r="C311" s="6">
        <f>IFERROR(IF(OR(Inputs!$C$84=0,Inputs!$C$84="",ISERROR(Inputs!$C$84)),Inputs!$D$84,Inputs!$C$84*Inputs!$K$9*(1+Inputs!$K$12)^B311),"Error - Check Input")
+IFERROR(IF(OR(Inputs!$C$85=0,Inputs!$C$85="",ISERROR(Inputs!$C$85)),Inputs!$D$85,Inputs!$C$85*Inputs!$K$9*(1+Inputs!$K$12)^B311),"Error - Check Input")
+IFERROR(IF(OR(Inputs!$C$86=0,Inputs!$C$86="",ISERROR(Inputs!$C$86)),Inputs!$D$86,Inputs!$C$86*Inputs!$K$9*(1+Inputs!$K$12)^B311),"Error - Check Input")
+IFERROR(IF(OR(Inputs!$C$87=0,Inputs!$C$87="",ISERROR(Inputs!$C$87)),Inputs!$D$87,Inputs!$C$87*Inputs!$K$9*(1+Inputs!$K$12)^B311),"Error - Check Input")
+IFERROR(IF(OR(Inputs!$C$88=0,Inputs!$C$88="",ISERROR(Inputs!$C$88)),Inputs!$D$88,Inputs!$C$88*Inputs!$K$9*(1+Inputs!$K$12)^B311),"Error - Check Input")
+IFERROR(IF(OR(Inputs!$C$89=0,Inputs!$C$89="",ISERROR(Inputs!$C$89)),Inputs!$D$89,Inputs!$C$89*Inputs!$K$9*(1+Inputs!$K$12)^B311),"Error - Check Input")
+IFERROR(IF(OR(Inputs!$C$90=0,Inputs!$C$90="",ISERROR(Inputs!$C$90)),Inputs!$D$90,Inputs!$C$90*Inputs!$K$9*(1+Inputs!$K$12)^B311),"Error - Check Input")
+IFERROR(IF(OR(Inputs!$C$93=0,Inputs!$C$93="",ISERROR(Inputs!$C$93)),Inputs!$D$93,Inputs!$C$93*Inputs!$K$9*(1+Inputs!$K$12)^B311),"Error - Check Input")</f>
        <v>57764.854295622936</v>
      </c>
      <c r="D311" s="17"/>
    </row>
    <row r="312" spans="2:4" x14ac:dyDescent="0.35">
      <c r="B312" s="18">
        <v>121</v>
      </c>
      <c r="C312" s="6">
        <f>IFERROR(IF(OR(Inputs!$C$84=0,Inputs!$C$84="",ISERROR(Inputs!$C$84)),Inputs!$D$84,Inputs!$C$84*Inputs!$K$9*(1+Inputs!$K$12)^B312),"Error - Check Input")
+IFERROR(IF(OR(Inputs!$C$85=0,Inputs!$C$85="",ISERROR(Inputs!$C$85)),Inputs!$D$85,Inputs!$C$85*Inputs!$K$9*(1+Inputs!$K$12)^B312),"Error - Check Input")
+IFERROR(IF(OR(Inputs!$C$86=0,Inputs!$C$86="",ISERROR(Inputs!$C$86)),Inputs!$D$86,Inputs!$C$86*Inputs!$K$9*(1+Inputs!$K$12)^B312),"Error - Check Input")
+IFERROR(IF(OR(Inputs!$C$87=0,Inputs!$C$87="",ISERROR(Inputs!$C$87)),Inputs!$D$87,Inputs!$C$87*Inputs!$K$9*(1+Inputs!$K$12)^B312),"Error - Check Input")
+IFERROR(IF(OR(Inputs!$C$88=0,Inputs!$C$88="",ISERROR(Inputs!$C$88)),Inputs!$D$88,Inputs!$C$88*Inputs!$K$9*(1+Inputs!$K$12)^B312),"Error - Check Input")
+IFERROR(IF(OR(Inputs!$C$89=0,Inputs!$C$89="",ISERROR(Inputs!$C$89)),Inputs!$D$89,Inputs!$C$89*Inputs!$K$9*(1+Inputs!$K$12)^B312),"Error - Check Input")
+IFERROR(IF(OR(Inputs!$C$90=0,Inputs!$C$90="",ISERROR(Inputs!$C$90)),Inputs!$D$90,Inputs!$C$90*Inputs!$K$9*(1+Inputs!$K$12)^B312),"Error - Check Input")
+IFERROR(IF(OR(Inputs!$C$93=0,Inputs!$C$93="",ISERROR(Inputs!$C$93)),Inputs!$D$93,Inputs!$C$93*Inputs!$K$9*(1+Inputs!$K$12)^B312),"Error - Check Input")</f>
        <v>57981.861905341299</v>
      </c>
      <c r="D312" s="17"/>
    </row>
    <row r="313" spans="2:4" x14ac:dyDescent="0.35">
      <c r="B313" s="18">
        <v>122</v>
      </c>
      <c r="C313" s="6">
        <f>IFERROR(IF(OR(Inputs!$C$84=0,Inputs!$C$84="",ISERROR(Inputs!$C$84)),Inputs!$D$84,Inputs!$C$84*Inputs!$K$9*(1+Inputs!$K$12)^B313),"Error - Check Input")
+IFERROR(IF(OR(Inputs!$C$85=0,Inputs!$C$85="",ISERROR(Inputs!$C$85)),Inputs!$D$85,Inputs!$C$85*Inputs!$K$9*(1+Inputs!$K$12)^B313),"Error - Check Input")
+IFERROR(IF(OR(Inputs!$C$86=0,Inputs!$C$86="",ISERROR(Inputs!$C$86)),Inputs!$D$86,Inputs!$C$86*Inputs!$K$9*(1+Inputs!$K$12)^B313),"Error - Check Input")
+IFERROR(IF(OR(Inputs!$C$87=0,Inputs!$C$87="",ISERROR(Inputs!$C$87)),Inputs!$D$87,Inputs!$C$87*Inputs!$K$9*(1+Inputs!$K$12)^B313),"Error - Check Input")
+IFERROR(IF(OR(Inputs!$C$88=0,Inputs!$C$88="",ISERROR(Inputs!$C$88)),Inputs!$D$88,Inputs!$C$88*Inputs!$K$9*(1+Inputs!$K$12)^B313),"Error - Check Input")
+IFERROR(IF(OR(Inputs!$C$89=0,Inputs!$C$89="",ISERROR(Inputs!$C$89)),Inputs!$D$89,Inputs!$C$89*Inputs!$K$9*(1+Inputs!$K$12)^B313),"Error - Check Input")
+IFERROR(IF(OR(Inputs!$C$90=0,Inputs!$C$90="",ISERROR(Inputs!$C$90)),Inputs!$D$90,Inputs!$C$90*Inputs!$K$9*(1+Inputs!$K$12)^B313),"Error - Check Input")
+IFERROR(IF(OR(Inputs!$C$93=0,Inputs!$C$93="",ISERROR(Inputs!$C$93)),Inputs!$D$93,Inputs!$C$93*Inputs!$K$9*(1+Inputs!$K$12)^B313),"Error - Check Input")</f>
        <v>58199.753630923631</v>
      </c>
      <c r="D313" s="17"/>
    </row>
    <row r="314" spans="2:4" x14ac:dyDescent="0.35">
      <c r="B314" s="18">
        <v>123</v>
      </c>
      <c r="C314" s="6">
        <f>IFERROR(IF(OR(Inputs!$C$84=0,Inputs!$C$84="",ISERROR(Inputs!$C$84)),Inputs!$D$84,Inputs!$C$84*Inputs!$K$9*(1+Inputs!$K$12)^B314),"Error - Check Input")
+IFERROR(IF(OR(Inputs!$C$85=0,Inputs!$C$85="",ISERROR(Inputs!$C$85)),Inputs!$D$85,Inputs!$C$85*Inputs!$K$9*(1+Inputs!$K$12)^B314),"Error - Check Input")
+IFERROR(IF(OR(Inputs!$C$86=0,Inputs!$C$86="",ISERROR(Inputs!$C$86)),Inputs!$D$86,Inputs!$C$86*Inputs!$K$9*(1+Inputs!$K$12)^B314),"Error - Check Input")
+IFERROR(IF(OR(Inputs!$C$87=0,Inputs!$C$87="",ISERROR(Inputs!$C$87)),Inputs!$D$87,Inputs!$C$87*Inputs!$K$9*(1+Inputs!$K$12)^B314),"Error - Check Input")
+IFERROR(IF(OR(Inputs!$C$88=0,Inputs!$C$88="",ISERROR(Inputs!$C$88)),Inputs!$D$88,Inputs!$C$88*Inputs!$K$9*(1+Inputs!$K$12)^B314),"Error - Check Input")
+IFERROR(IF(OR(Inputs!$C$89=0,Inputs!$C$89="",ISERROR(Inputs!$C$89)),Inputs!$D$89,Inputs!$C$89*Inputs!$K$9*(1+Inputs!$K$12)^B314),"Error - Check Input")
+IFERROR(IF(OR(Inputs!$C$90=0,Inputs!$C$90="",ISERROR(Inputs!$C$90)),Inputs!$D$90,Inputs!$C$90*Inputs!$K$9*(1+Inputs!$K$12)^B314),"Error - Check Input")
+IFERROR(IF(OR(Inputs!$C$93=0,Inputs!$C$93="",ISERROR(Inputs!$C$93)),Inputs!$D$93,Inputs!$C$93*Inputs!$K$9*(1+Inputs!$K$12)^B314),"Error - Check Input")</f>
        <v>58418.533074367449</v>
      </c>
      <c r="D314" s="17"/>
    </row>
    <row r="315" spans="2:4" x14ac:dyDescent="0.35">
      <c r="B315" s="18">
        <v>124</v>
      </c>
      <c r="C315" s="6">
        <f>IFERROR(IF(OR(Inputs!$C$84=0,Inputs!$C$84="",ISERROR(Inputs!$C$84)),Inputs!$D$84,Inputs!$C$84*Inputs!$K$9*(1+Inputs!$K$12)^B315),"Error - Check Input")
+IFERROR(IF(OR(Inputs!$C$85=0,Inputs!$C$85="",ISERROR(Inputs!$C$85)),Inputs!$D$85,Inputs!$C$85*Inputs!$K$9*(1+Inputs!$K$12)^B315),"Error - Check Input")
+IFERROR(IF(OR(Inputs!$C$86=0,Inputs!$C$86="",ISERROR(Inputs!$C$86)),Inputs!$D$86,Inputs!$C$86*Inputs!$K$9*(1+Inputs!$K$12)^B315),"Error - Check Input")
+IFERROR(IF(OR(Inputs!$C$87=0,Inputs!$C$87="",ISERROR(Inputs!$C$87)),Inputs!$D$87,Inputs!$C$87*Inputs!$K$9*(1+Inputs!$K$12)^B315),"Error - Check Input")
+IFERROR(IF(OR(Inputs!$C$88=0,Inputs!$C$88="",ISERROR(Inputs!$C$88)),Inputs!$D$88,Inputs!$C$88*Inputs!$K$9*(1+Inputs!$K$12)^B315),"Error - Check Input")
+IFERROR(IF(OR(Inputs!$C$89=0,Inputs!$C$89="",ISERROR(Inputs!$C$89)),Inputs!$D$89,Inputs!$C$89*Inputs!$K$9*(1+Inputs!$K$12)^B315),"Error - Check Input")
+IFERROR(IF(OR(Inputs!$C$90=0,Inputs!$C$90="",ISERROR(Inputs!$C$90)),Inputs!$D$90,Inputs!$C$90*Inputs!$K$9*(1+Inputs!$K$12)^B315),"Error - Check Input")
+IFERROR(IF(OR(Inputs!$C$93=0,Inputs!$C$93="",ISERROR(Inputs!$C$93)),Inputs!$D$93,Inputs!$C$93*Inputs!$K$9*(1+Inputs!$K$12)^B315),"Error - Check Input")</f>
        <v>58638.203852345156</v>
      </c>
      <c r="D315" s="17"/>
    </row>
    <row r="316" spans="2:4" x14ac:dyDescent="0.35">
      <c r="B316" s="18">
        <v>125</v>
      </c>
      <c r="C316" s="6">
        <f>IFERROR(IF(OR(Inputs!$C$84=0,Inputs!$C$84="",ISERROR(Inputs!$C$84)),Inputs!$D$84,Inputs!$C$84*Inputs!$K$9*(1+Inputs!$K$12)^B316),"Error - Check Input")
+IFERROR(IF(OR(Inputs!$C$85=0,Inputs!$C$85="",ISERROR(Inputs!$C$85)),Inputs!$D$85,Inputs!$C$85*Inputs!$K$9*(1+Inputs!$K$12)^B316),"Error - Check Input")
+IFERROR(IF(OR(Inputs!$C$86=0,Inputs!$C$86="",ISERROR(Inputs!$C$86)),Inputs!$D$86,Inputs!$C$86*Inputs!$K$9*(1+Inputs!$K$12)^B316),"Error - Check Input")
+IFERROR(IF(OR(Inputs!$C$87=0,Inputs!$C$87="",ISERROR(Inputs!$C$87)),Inputs!$D$87,Inputs!$C$87*Inputs!$K$9*(1+Inputs!$K$12)^B316),"Error - Check Input")
+IFERROR(IF(OR(Inputs!$C$88=0,Inputs!$C$88="",ISERROR(Inputs!$C$88)),Inputs!$D$88,Inputs!$C$88*Inputs!$K$9*(1+Inputs!$K$12)^B316),"Error - Check Input")
+IFERROR(IF(OR(Inputs!$C$89=0,Inputs!$C$89="",ISERROR(Inputs!$C$89)),Inputs!$D$89,Inputs!$C$89*Inputs!$K$9*(1+Inputs!$K$12)^B316),"Error - Check Input")
+IFERROR(IF(OR(Inputs!$C$90=0,Inputs!$C$90="",ISERROR(Inputs!$C$90)),Inputs!$D$90,Inputs!$C$90*Inputs!$K$9*(1+Inputs!$K$12)^B316),"Error - Check Input")
+IFERROR(IF(OR(Inputs!$C$93=0,Inputs!$C$93="",ISERROR(Inputs!$C$93)),Inputs!$D$93,Inputs!$C$93*Inputs!$K$9*(1+Inputs!$K$12)^B316),"Error - Check Input")</f>
        <v>58858.769596264006</v>
      </c>
      <c r="D316" s="17"/>
    </row>
    <row r="317" spans="2:4" x14ac:dyDescent="0.35">
      <c r="B317" s="18">
        <v>126</v>
      </c>
      <c r="C317" s="6">
        <f>IFERROR(IF(OR(Inputs!$C$84=0,Inputs!$C$84="",ISERROR(Inputs!$C$84)),Inputs!$D$84,Inputs!$C$84*Inputs!$K$9*(1+Inputs!$K$12)^B317),"Error - Check Input")
+IFERROR(IF(OR(Inputs!$C$85=0,Inputs!$C$85="",ISERROR(Inputs!$C$85)),Inputs!$D$85,Inputs!$C$85*Inputs!$K$9*(1+Inputs!$K$12)^B317),"Error - Check Input")
+IFERROR(IF(OR(Inputs!$C$86=0,Inputs!$C$86="",ISERROR(Inputs!$C$86)),Inputs!$D$86,Inputs!$C$86*Inputs!$K$9*(1+Inputs!$K$12)^B317),"Error - Check Input")
+IFERROR(IF(OR(Inputs!$C$87=0,Inputs!$C$87="",ISERROR(Inputs!$C$87)),Inputs!$D$87,Inputs!$C$87*Inputs!$K$9*(1+Inputs!$K$12)^B317),"Error - Check Input")
+IFERROR(IF(OR(Inputs!$C$88=0,Inputs!$C$88="",ISERROR(Inputs!$C$88)),Inputs!$D$88,Inputs!$C$88*Inputs!$K$9*(1+Inputs!$K$12)^B317),"Error - Check Input")
+IFERROR(IF(OR(Inputs!$C$89=0,Inputs!$C$89="",ISERROR(Inputs!$C$89)),Inputs!$D$89,Inputs!$C$89*Inputs!$K$9*(1+Inputs!$K$12)^B317),"Error - Check Input")
+IFERROR(IF(OR(Inputs!$C$90=0,Inputs!$C$90="",ISERROR(Inputs!$C$90)),Inputs!$D$90,Inputs!$C$90*Inputs!$K$9*(1+Inputs!$K$12)^B317),"Error - Check Input")
+IFERROR(IF(OR(Inputs!$C$93=0,Inputs!$C$93="",ISERROR(Inputs!$C$93)),Inputs!$D$93,Inputs!$C$93*Inputs!$K$9*(1+Inputs!$K$12)^B317),"Error - Check Input")</f>
        <v>59080.233952326002</v>
      </c>
      <c r="D317" s="17"/>
    </row>
    <row r="318" spans="2:4" x14ac:dyDescent="0.35">
      <c r="B318" s="18">
        <v>127</v>
      </c>
      <c r="C318" s="6">
        <f>IFERROR(IF(OR(Inputs!$C$84=0,Inputs!$C$84="",ISERROR(Inputs!$C$84)),Inputs!$D$84,Inputs!$C$84*Inputs!$K$9*(1+Inputs!$K$12)^B318),"Error - Check Input")
+IFERROR(IF(OR(Inputs!$C$85=0,Inputs!$C$85="",ISERROR(Inputs!$C$85)),Inputs!$D$85,Inputs!$C$85*Inputs!$K$9*(1+Inputs!$K$12)^B318),"Error - Check Input")
+IFERROR(IF(OR(Inputs!$C$86=0,Inputs!$C$86="",ISERROR(Inputs!$C$86)),Inputs!$D$86,Inputs!$C$86*Inputs!$K$9*(1+Inputs!$K$12)^B318),"Error - Check Input")
+IFERROR(IF(OR(Inputs!$C$87=0,Inputs!$C$87="",ISERROR(Inputs!$C$87)),Inputs!$D$87,Inputs!$C$87*Inputs!$K$9*(1+Inputs!$K$12)^B318),"Error - Check Input")
+IFERROR(IF(OR(Inputs!$C$88=0,Inputs!$C$88="",ISERROR(Inputs!$C$88)),Inputs!$D$88,Inputs!$C$88*Inputs!$K$9*(1+Inputs!$K$12)^B318),"Error - Check Input")
+IFERROR(IF(OR(Inputs!$C$89=0,Inputs!$C$89="",ISERROR(Inputs!$C$89)),Inputs!$D$89,Inputs!$C$89*Inputs!$K$9*(1+Inputs!$K$12)^B318),"Error - Check Input")
+IFERROR(IF(OR(Inputs!$C$90=0,Inputs!$C$90="",ISERROR(Inputs!$C$90)),Inputs!$D$90,Inputs!$C$90*Inputs!$K$9*(1+Inputs!$K$12)^B318),"Error - Check Input")
+IFERROR(IF(OR(Inputs!$C$93=0,Inputs!$C$93="",ISERROR(Inputs!$C$93)),Inputs!$D$93,Inputs!$C$93*Inputs!$K$9*(1+Inputs!$K$12)^B318),"Error - Check Input")</f>
        <v>59302.600581588267</v>
      </c>
      <c r="D318" s="17"/>
    </row>
    <row r="319" spans="2:4" x14ac:dyDescent="0.35">
      <c r="B319" s="18">
        <v>128</v>
      </c>
      <c r="C319" s="6">
        <f>IFERROR(IF(OR(Inputs!$C$84=0,Inputs!$C$84="",ISERROR(Inputs!$C$84)),Inputs!$D$84,Inputs!$C$84*Inputs!$K$9*(1+Inputs!$K$12)^B319),"Error - Check Input")
+IFERROR(IF(OR(Inputs!$C$85=0,Inputs!$C$85="",ISERROR(Inputs!$C$85)),Inputs!$D$85,Inputs!$C$85*Inputs!$K$9*(1+Inputs!$K$12)^B319),"Error - Check Input")
+IFERROR(IF(OR(Inputs!$C$86=0,Inputs!$C$86="",ISERROR(Inputs!$C$86)),Inputs!$D$86,Inputs!$C$86*Inputs!$K$9*(1+Inputs!$K$12)^B319),"Error - Check Input")
+IFERROR(IF(OR(Inputs!$C$87=0,Inputs!$C$87="",ISERROR(Inputs!$C$87)),Inputs!$D$87,Inputs!$C$87*Inputs!$K$9*(1+Inputs!$K$12)^B319),"Error - Check Input")
+IFERROR(IF(OR(Inputs!$C$88=0,Inputs!$C$88="",ISERROR(Inputs!$C$88)),Inputs!$D$88,Inputs!$C$88*Inputs!$K$9*(1+Inputs!$K$12)^B319),"Error - Check Input")
+IFERROR(IF(OR(Inputs!$C$89=0,Inputs!$C$89="",ISERROR(Inputs!$C$89)),Inputs!$D$89,Inputs!$C$89*Inputs!$K$9*(1+Inputs!$K$12)^B319),"Error - Check Input")
+IFERROR(IF(OR(Inputs!$C$90=0,Inputs!$C$90="",ISERROR(Inputs!$C$90)),Inputs!$D$90,Inputs!$C$90*Inputs!$K$9*(1+Inputs!$K$12)^B319),"Error - Check Input")
+IFERROR(IF(OR(Inputs!$C$93=0,Inputs!$C$93="",ISERROR(Inputs!$C$93)),Inputs!$D$93,Inputs!$C$93*Inputs!$K$9*(1+Inputs!$K$12)^B319),"Error - Check Input")</f>
        <v>59525.873160023504</v>
      </c>
      <c r="D319" s="17"/>
    </row>
    <row r="320" spans="2:4" x14ac:dyDescent="0.35">
      <c r="B320" s="18">
        <v>129</v>
      </c>
      <c r="C320" s="6">
        <f>IFERROR(IF(OR(Inputs!$C$84=0,Inputs!$C$84="",ISERROR(Inputs!$C$84)),Inputs!$D$84,Inputs!$C$84*Inputs!$K$9*(1+Inputs!$K$12)^B320),"Error - Check Input")
+IFERROR(IF(OR(Inputs!$C$85=0,Inputs!$C$85="",ISERROR(Inputs!$C$85)),Inputs!$D$85,Inputs!$C$85*Inputs!$K$9*(1+Inputs!$K$12)^B320),"Error - Check Input")
+IFERROR(IF(OR(Inputs!$C$86=0,Inputs!$C$86="",ISERROR(Inputs!$C$86)),Inputs!$D$86,Inputs!$C$86*Inputs!$K$9*(1+Inputs!$K$12)^B320),"Error - Check Input")
+IFERROR(IF(OR(Inputs!$C$87=0,Inputs!$C$87="",ISERROR(Inputs!$C$87)),Inputs!$D$87,Inputs!$C$87*Inputs!$K$9*(1+Inputs!$K$12)^B320),"Error - Check Input")
+IFERROR(IF(OR(Inputs!$C$88=0,Inputs!$C$88="",ISERROR(Inputs!$C$88)),Inputs!$D$88,Inputs!$C$88*Inputs!$K$9*(1+Inputs!$K$12)^B320),"Error - Check Input")
+IFERROR(IF(OR(Inputs!$C$89=0,Inputs!$C$89="",ISERROR(Inputs!$C$89)),Inputs!$D$89,Inputs!$C$89*Inputs!$K$9*(1+Inputs!$K$12)^B320),"Error - Check Input")
+IFERROR(IF(OR(Inputs!$C$90=0,Inputs!$C$90="",ISERROR(Inputs!$C$90)),Inputs!$D$90,Inputs!$C$90*Inputs!$K$9*(1+Inputs!$K$12)^B320),"Error - Check Input")
+IFERROR(IF(OR(Inputs!$C$93=0,Inputs!$C$93="",ISERROR(Inputs!$C$93)),Inputs!$D$93,Inputs!$C$93*Inputs!$K$9*(1+Inputs!$K$12)^B320),"Error - Check Input")</f>
        <v>59750.055378580772</v>
      </c>
      <c r="D320" s="17"/>
    </row>
    <row r="321" spans="2:4" x14ac:dyDescent="0.35">
      <c r="B321" s="18">
        <v>130</v>
      </c>
      <c r="C321" s="6">
        <f>IFERROR(IF(OR(Inputs!$C$84=0,Inputs!$C$84="",ISERROR(Inputs!$C$84)),Inputs!$D$84,Inputs!$C$84*Inputs!$K$9*(1+Inputs!$K$12)^B321),"Error - Check Input")
+IFERROR(IF(OR(Inputs!$C$85=0,Inputs!$C$85="",ISERROR(Inputs!$C$85)),Inputs!$D$85,Inputs!$C$85*Inputs!$K$9*(1+Inputs!$K$12)^B321),"Error - Check Input")
+IFERROR(IF(OR(Inputs!$C$86=0,Inputs!$C$86="",ISERROR(Inputs!$C$86)),Inputs!$D$86,Inputs!$C$86*Inputs!$K$9*(1+Inputs!$K$12)^B321),"Error - Check Input")
+IFERROR(IF(OR(Inputs!$C$87=0,Inputs!$C$87="",ISERROR(Inputs!$C$87)),Inputs!$D$87,Inputs!$C$87*Inputs!$K$9*(1+Inputs!$K$12)^B321),"Error - Check Input")
+IFERROR(IF(OR(Inputs!$C$88=0,Inputs!$C$88="",ISERROR(Inputs!$C$88)),Inputs!$D$88,Inputs!$C$88*Inputs!$K$9*(1+Inputs!$K$12)^B321),"Error - Check Input")
+IFERROR(IF(OR(Inputs!$C$89=0,Inputs!$C$89="",ISERROR(Inputs!$C$89)),Inputs!$D$89,Inputs!$C$89*Inputs!$K$9*(1+Inputs!$K$12)^B321),"Error - Check Input")
+IFERROR(IF(OR(Inputs!$C$90=0,Inputs!$C$90="",ISERROR(Inputs!$C$90)),Inputs!$D$90,Inputs!$C$90*Inputs!$K$9*(1+Inputs!$K$12)^B321),"Error - Check Input")
+IFERROR(IF(OR(Inputs!$C$93=0,Inputs!$C$93="",ISERROR(Inputs!$C$93)),Inputs!$D$93,Inputs!$C$93*Inputs!$K$9*(1+Inputs!$K$12)^B321),"Error - Check Input")</f>
        <v>59975.150943246546</v>
      </c>
      <c r="D321" s="17"/>
    </row>
    <row r="322" spans="2:4" x14ac:dyDescent="0.35">
      <c r="B322" s="18">
        <v>131</v>
      </c>
      <c r="C322" s="6">
        <f>IFERROR(IF(OR(Inputs!$C$84=0,Inputs!$C$84="",ISERROR(Inputs!$C$84)),Inputs!$D$84,Inputs!$C$84*Inputs!$K$9*(1+Inputs!$K$12)^B322),"Error - Check Input")
+IFERROR(IF(OR(Inputs!$C$85=0,Inputs!$C$85="",ISERROR(Inputs!$C$85)),Inputs!$D$85,Inputs!$C$85*Inputs!$K$9*(1+Inputs!$K$12)^B322),"Error - Check Input")
+IFERROR(IF(OR(Inputs!$C$86=0,Inputs!$C$86="",ISERROR(Inputs!$C$86)),Inputs!$D$86,Inputs!$C$86*Inputs!$K$9*(1+Inputs!$K$12)^B322),"Error - Check Input")
+IFERROR(IF(OR(Inputs!$C$87=0,Inputs!$C$87="",ISERROR(Inputs!$C$87)),Inputs!$D$87,Inputs!$C$87*Inputs!$K$9*(1+Inputs!$K$12)^B322),"Error - Check Input")
+IFERROR(IF(OR(Inputs!$C$88=0,Inputs!$C$88="",ISERROR(Inputs!$C$88)),Inputs!$D$88,Inputs!$C$88*Inputs!$K$9*(1+Inputs!$K$12)^B322),"Error - Check Input")
+IFERROR(IF(OR(Inputs!$C$89=0,Inputs!$C$89="",ISERROR(Inputs!$C$89)),Inputs!$D$89,Inputs!$C$89*Inputs!$K$9*(1+Inputs!$K$12)^B322),"Error - Check Input")
+IFERROR(IF(OR(Inputs!$C$90=0,Inputs!$C$90="",ISERROR(Inputs!$C$90)),Inputs!$D$90,Inputs!$C$90*Inputs!$K$9*(1+Inputs!$K$12)^B322),"Error - Check Input")
+IFERROR(IF(OR(Inputs!$C$93=0,Inputs!$C$93="",ISERROR(Inputs!$C$93)),Inputs!$D$93,Inputs!$C$93*Inputs!$K$9*(1+Inputs!$K$12)^B322),"Error - Check Input")</f>
        <v>60201.163575105915</v>
      </c>
      <c r="D322" s="17"/>
    </row>
    <row r="323" spans="2:4" x14ac:dyDescent="0.35">
      <c r="B323" s="18">
        <v>132</v>
      </c>
      <c r="C323" s="6">
        <f>IFERROR(IF(OR(Inputs!$C$84=0,Inputs!$C$84="",ISERROR(Inputs!$C$84)),Inputs!$D$84,Inputs!$C$84*Inputs!$K$9*(1+Inputs!$K$12)^B323),"Error - Check Input")
+IFERROR(IF(OR(Inputs!$C$85=0,Inputs!$C$85="",ISERROR(Inputs!$C$85)),Inputs!$D$85,Inputs!$C$85*Inputs!$K$9*(1+Inputs!$K$12)^B323),"Error - Check Input")
+IFERROR(IF(OR(Inputs!$C$86=0,Inputs!$C$86="",ISERROR(Inputs!$C$86)),Inputs!$D$86,Inputs!$C$86*Inputs!$K$9*(1+Inputs!$K$12)^B323),"Error - Check Input")
+IFERROR(IF(OR(Inputs!$C$87=0,Inputs!$C$87="",ISERROR(Inputs!$C$87)),Inputs!$D$87,Inputs!$C$87*Inputs!$K$9*(1+Inputs!$K$12)^B323),"Error - Check Input")
+IFERROR(IF(OR(Inputs!$C$88=0,Inputs!$C$88="",ISERROR(Inputs!$C$88)),Inputs!$D$88,Inputs!$C$88*Inputs!$K$9*(1+Inputs!$K$12)^B323),"Error - Check Input")
+IFERROR(IF(OR(Inputs!$C$89=0,Inputs!$C$89="",ISERROR(Inputs!$C$89)),Inputs!$D$89,Inputs!$C$89*Inputs!$K$9*(1+Inputs!$K$12)^B323),"Error - Check Input")
+IFERROR(IF(OR(Inputs!$C$90=0,Inputs!$C$90="",ISERROR(Inputs!$C$90)),Inputs!$D$90,Inputs!$C$90*Inputs!$K$9*(1+Inputs!$K$12)^B323),"Error - Check Input")
+IFERROR(IF(OR(Inputs!$C$93=0,Inputs!$C$93="",ISERROR(Inputs!$C$93)),Inputs!$D$93,Inputs!$C$93*Inputs!$K$9*(1+Inputs!$K$12)^B323),"Error - Check Input")</f>
        <v>60428.097010404133</v>
      </c>
      <c r="D323" s="17"/>
    </row>
    <row r="324" spans="2:4" x14ac:dyDescent="0.35">
      <c r="B324" s="18">
        <v>133</v>
      </c>
      <c r="C324" s="6">
        <f>IFERROR(IF(OR(Inputs!$C$84=0,Inputs!$C$84="",ISERROR(Inputs!$C$84)),Inputs!$D$84,Inputs!$C$84*Inputs!$K$9*(1+Inputs!$K$12)^B324),"Error - Check Input")
+IFERROR(IF(OR(Inputs!$C$85=0,Inputs!$C$85="",ISERROR(Inputs!$C$85)),Inputs!$D$85,Inputs!$C$85*Inputs!$K$9*(1+Inputs!$K$12)^B324),"Error - Check Input")
+IFERROR(IF(OR(Inputs!$C$86=0,Inputs!$C$86="",ISERROR(Inputs!$C$86)),Inputs!$D$86,Inputs!$C$86*Inputs!$K$9*(1+Inputs!$K$12)^B324),"Error - Check Input")
+IFERROR(IF(OR(Inputs!$C$87=0,Inputs!$C$87="",ISERROR(Inputs!$C$87)),Inputs!$D$87,Inputs!$C$87*Inputs!$K$9*(1+Inputs!$K$12)^B324),"Error - Check Input")
+IFERROR(IF(OR(Inputs!$C$88=0,Inputs!$C$88="",ISERROR(Inputs!$C$88)),Inputs!$D$88,Inputs!$C$88*Inputs!$K$9*(1+Inputs!$K$12)^B324),"Error - Check Input")
+IFERROR(IF(OR(Inputs!$C$89=0,Inputs!$C$89="",ISERROR(Inputs!$C$89)),Inputs!$D$89,Inputs!$C$89*Inputs!$K$9*(1+Inputs!$K$12)^B324),"Error - Check Input")
+IFERROR(IF(OR(Inputs!$C$90=0,Inputs!$C$90="",ISERROR(Inputs!$C$90)),Inputs!$D$90,Inputs!$C$90*Inputs!$K$9*(1+Inputs!$K$12)^B324),"Error - Check Input")
+IFERROR(IF(OR(Inputs!$C$93=0,Inputs!$C$93="",ISERROR(Inputs!$C$93)),Inputs!$D$93,Inputs!$C$93*Inputs!$K$9*(1+Inputs!$K$12)^B324),"Error - Check Input")</f>
        <v>60655.955000608417</v>
      </c>
      <c r="D324" s="17"/>
    </row>
    <row r="325" spans="2:4" x14ac:dyDescent="0.35">
      <c r="B325" s="18">
        <v>134</v>
      </c>
      <c r="C325" s="6">
        <f>IFERROR(IF(OR(Inputs!$C$84=0,Inputs!$C$84="",ISERROR(Inputs!$C$84)),Inputs!$D$84,Inputs!$C$84*Inputs!$K$9*(1+Inputs!$K$12)^B325),"Error - Check Input")
+IFERROR(IF(OR(Inputs!$C$85=0,Inputs!$C$85="",ISERROR(Inputs!$C$85)),Inputs!$D$85,Inputs!$C$85*Inputs!$K$9*(1+Inputs!$K$12)^B325),"Error - Check Input")
+IFERROR(IF(OR(Inputs!$C$86=0,Inputs!$C$86="",ISERROR(Inputs!$C$86)),Inputs!$D$86,Inputs!$C$86*Inputs!$K$9*(1+Inputs!$K$12)^B325),"Error - Check Input")
+IFERROR(IF(OR(Inputs!$C$87=0,Inputs!$C$87="",ISERROR(Inputs!$C$87)),Inputs!$D$87,Inputs!$C$87*Inputs!$K$9*(1+Inputs!$K$12)^B325),"Error - Check Input")
+IFERROR(IF(OR(Inputs!$C$88=0,Inputs!$C$88="",ISERROR(Inputs!$C$88)),Inputs!$D$88,Inputs!$C$88*Inputs!$K$9*(1+Inputs!$K$12)^B325),"Error - Check Input")
+IFERROR(IF(OR(Inputs!$C$89=0,Inputs!$C$89="",ISERROR(Inputs!$C$89)),Inputs!$D$89,Inputs!$C$89*Inputs!$K$9*(1+Inputs!$K$12)^B325),"Error - Check Input")
+IFERROR(IF(OR(Inputs!$C$90=0,Inputs!$C$90="",ISERROR(Inputs!$C$90)),Inputs!$D$90,Inputs!$C$90*Inputs!$K$9*(1+Inputs!$K$12)^B325),"Error - Check Input")
+IFERROR(IF(OR(Inputs!$C$93=0,Inputs!$C$93="",ISERROR(Inputs!$C$93)),Inputs!$D$93,Inputs!$C$93*Inputs!$K$9*(1+Inputs!$K$12)^B325),"Error - Check Input")</f>
        <v>60884.74131246988</v>
      </c>
      <c r="D325" s="17"/>
    </row>
    <row r="326" spans="2:4" x14ac:dyDescent="0.35">
      <c r="B326" s="18">
        <v>135</v>
      </c>
      <c r="C326" s="6">
        <f>IFERROR(IF(OR(Inputs!$C$84=0,Inputs!$C$84="",ISERROR(Inputs!$C$84)),Inputs!$D$84,Inputs!$C$84*Inputs!$K$9*(1+Inputs!$K$12)^B326),"Error - Check Input")
+IFERROR(IF(OR(Inputs!$C$85=0,Inputs!$C$85="",ISERROR(Inputs!$C$85)),Inputs!$D$85,Inputs!$C$85*Inputs!$K$9*(1+Inputs!$K$12)^B326),"Error - Check Input")
+IFERROR(IF(OR(Inputs!$C$86=0,Inputs!$C$86="",ISERROR(Inputs!$C$86)),Inputs!$D$86,Inputs!$C$86*Inputs!$K$9*(1+Inputs!$K$12)^B326),"Error - Check Input")
+IFERROR(IF(OR(Inputs!$C$87=0,Inputs!$C$87="",ISERROR(Inputs!$C$87)),Inputs!$D$87,Inputs!$C$87*Inputs!$K$9*(1+Inputs!$K$12)^B326),"Error - Check Input")
+IFERROR(IF(OR(Inputs!$C$88=0,Inputs!$C$88="",ISERROR(Inputs!$C$88)),Inputs!$D$88,Inputs!$C$88*Inputs!$K$9*(1+Inputs!$K$12)^B326),"Error - Check Input")
+IFERROR(IF(OR(Inputs!$C$89=0,Inputs!$C$89="",ISERROR(Inputs!$C$89)),Inputs!$D$89,Inputs!$C$89*Inputs!$K$9*(1+Inputs!$K$12)^B326),"Error - Check Input")
+IFERROR(IF(OR(Inputs!$C$90=0,Inputs!$C$90="",ISERROR(Inputs!$C$90)),Inputs!$D$90,Inputs!$C$90*Inputs!$K$9*(1+Inputs!$K$12)^B326),"Error - Check Input")
+IFERROR(IF(OR(Inputs!$C$93=0,Inputs!$C$93="",ISERROR(Inputs!$C$93)),Inputs!$D$93,Inputs!$C$93*Inputs!$K$9*(1+Inputs!$K$12)^B326),"Error - Check Input")</f>
        <v>61114.45972808588</v>
      </c>
      <c r="D326" s="17"/>
    </row>
    <row r="327" spans="2:4" x14ac:dyDescent="0.35">
      <c r="B327" s="18">
        <v>136</v>
      </c>
      <c r="C327" s="6">
        <f>IFERROR(IF(OR(Inputs!$C$84=0,Inputs!$C$84="",ISERROR(Inputs!$C$84)),Inputs!$D$84,Inputs!$C$84*Inputs!$K$9*(1+Inputs!$K$12)^B327),"Error - Check Input")
+IFERROR(IF(OR(Inputs!$C$85=0,Inputs!$C$85="",ISERROR(Inputs!$C$85)),Inputs!$D$85,Inputs!$C$85*Inputs!$K$9*(1+Inputs!$K$12)^B327),"Error - Check Input")
+IFERROR(IF(OR(Inputs!$C$86=0,Inputs!$C$86="",ISERROR(Inputs!$C$86)),Inputs!$D$86,Inputs!$C$86*Inputs!$K$9*(1+Inputs!$K$12)^B327),"Error - Check Input")
+IFERROR(IF(OR(Inputs!$C$87=0,Inputs!$C$87="",ISERROR(Inputs!$C$87)),Inputs!$D$87,Inputs!$C$87*Inputs!$K$9*(1+Inputs!$K$12)^B327),"Error - Check Input")
+IFERROR(IF(OR(Inputs!$C$88=0,Inputs!$C$88="",ISERROR(Inputs!$C$88)),Inputs!$D$88,Inputs!$C$88*Inputs!$K$9*(1+Inputs!$K$12)^B327),"Error - Check Input")
+IFERROR(IF(OR(Inputs!$C$89=0,Inputs!$C$89="",ISERROR(Inputs!$C$89)),Inputs!$D$89,Inputs!$C$89*Inputs!$K$9*(1+Inputs!$K$12)^B327),"Error - Check Input")
+IFERROR(IF(OR(Inputs!$C$90=0,Inputs!$C$90="",ISERROR(Inputs!$C$90)),Inputs!$D$90,Inputs!$C$90*Inputs!$K$9*(1+Inputs!$K$12)^B327),"Error - Check Input")
+IFERROR(IF(OR(Inputs!$C$93=0,Inputs!$C$93="",ISERROR(Inputs!$C$93)),Inputs!$D$93,Inputs!$C$93*Inputs!$K$9*(1+Inputs!$K$12)^B327),"Error - Check Input")</f>
        <v>61345.11404496248</v>
      </c>
      <c r="D327" s="17"/>
    </row>
    <row r="328" spans="2:4" x14ac:dyDescent="0.35">
      <c r="B328" s="18">
        <v>137</v>
      </c>
      <c r="C328" s="6">
        <f>IFERROR(IF(OR(Inputs!$C$84=0,Inputs!$C$84="",ISERROR(Inputs!$C$84)),Inputs!$D$84,Inputs!$C$84*Inputs!$K$9*(1+Inputs!$K$12)^B328),"Error - Check Input")
+IFERROR(IF(OR(Inputs!$C$85=0,Inputs!$C$85="",ISERROR(Inputs!$C$85)),Inputs!$D$85,Inputs!$C$85*Inputs!$K$9*(1+Inputs!$K$12)^B328),"Error - Check Input")
+IFERROR(IF(OR(Inputs!$C$86=0,Inputs!$C$86="",ISERROR(Inputs!$C$86)),Inputs!$D$86,Inputs!$C$86*Inputs!$K$9*(1+Inputs!$K$12)^B328),"Error - Check Input")
+IFERROR(IF(OR(Inputs!$C$87=0,Inputs!$C$87="",ISERROR(Inputs!$C$87)),Inputs!$D$87,Inputs!$C$87*Inputs!$K$9*(1+Inputs!$K$12)^B328),"Error - Check Input")
+IFERROR(IF(OR(Inputs!$C$88=0,Inputs!$C$88="",ISERROR(Inputs!$C$88)),Inputs!$D$88,Inputs!$C$88*Inputs!$K$9*(1+Inputs!$K$12)^B328),"Error - Check Input")
+IFERROR(IF(OR(Inputs!$C$89=0,Inputs!$C$89="",ISERROR(Inputs!$C$89)),Inputs!$D$89,Inputs!$C$89*Inputs!$K$9*(1+Inputs!$K$12)^B328),"Error - Check Input")
+IFERROR(IF(OR(Inputs!$C$90=0,Inputs!$C$90="",ISERROR(Inputs!$C$90)),Inputs!$D$90,Inputs!$C$90*Inputs!$K$9*(1+Inputs!$K$12)^B328),"Error - Check Input")
+IFERROR(IF(OR(Inputs!$C$93=0,Inputs!$C$93="",ISERROR(Inputs!$C$93)),Inputs!$D$93,Inputs!$C$93*Inputs!$K$9*(1+Inputs!$K$12)^B328),"Error - Check Input")</f>
        <v>61576.708076077273</v>
      </c>
      <c r="D328" s="17"/>
    </row>
    <row r="329" spans="2:4" x14ac:dyDescent="0.35">
      <c r="B329" s="18">
        <v>138</v>
      </c>
      <c r="C329" s="6">
        <f>IFERROR(IF(OR(Inputs!$C$84=0,Inputs!$C$84="",ISERROR(Inputs!$C$84)),Inputs!$D$84,Inputs!$C$84*Inputs!$K$9*(1+Inputs!$K$12)^B329),"Error - Check Input")
+IFERROR(IF(OR(Inputs!$C$85=0,Inputs!$C$85="",ISERROR(Inputs!$C$85)),Inputs!$D$85,Inputs!$C$85*Inputs!$K$9*(1+Inputs!$K$12)^B329),"Error - Check Input")
+IFERROR(IF(OR(Inputs!$C$86=0,Inputs!$C$86="",ISERROR(Inputs!$C$86)),Inputs!$D$86,Inputs!$C$86*Inputs!$K$9*(1+Inputs!$K$12)^B329),"Error - Check Input")
+IFERROR(IF(OR(Inputs!$C$87=0,Inputs!$C$87="",ISERROR(Inputs!$C$87)),Inputs!$D$87,Inputs!$C$87*Inputs!$K$9*(1+Inputs!$K$12)^B329),"Error - Check Input")
+IFERROR(IF(OR(Inputs!$C$88=0,Inputs!$C$88="",ISERROR(Inputs!$C$88)),Inputs!$D$88,Inputs!$C$88*Inputs!$K$9*(1+Inputs!$K$12)^B329),"Error - Check Input")
+IFERROR(IF(OR(Inputs!$C$89=0,Inputs!$C$89="",ISERROR(Inputs!$C$89)),Inputs!$D$89,Inputs!$C$89*Inputs!$K$9*(1+Inputs!$K$12)^B329),"Error - Check Input")
+IFERROR(IF(OR(Inputs!$C$90=0,Inputs!$C$90="",ISERROR(Inputs!$C$90)),Inputs!$D$90,Inputs!$C$90*Inputs!$K$9*(1+Inputs!$K$12)^B329),"Error - Check Input")
+IFERROR(IF(OR(Inputs!$C$93=0,Inputs!$C$93="",ISERROR(Inputs!$C$93)),Inputs!$D$93,Inputs!$C$93*Inputs!$K$9*(1+Inputs!$K$12)^B329),"Error - Check Input")</f>
        <v>61809.245649942372</v>
      </c>
      <c r="D329" s="17"/>
    </row>
    <row r="330" spans="2:4" x14ac:dyDescent="0.35">
      <c r="B330" s="18">
        <v>139</v>
      </c>
      <c r="C330" s="6">
        <f>IFERROR(IF(OR(Inputs!$C$84=0,Inputs!$C$84="",ISERROR(Inputs!$C$84)),Inputs!$D$84,Inputs!$C$84*Inputs!$K$9*(1+Inputs!$K$12)^B330),"Error - Check Input")
+IFERROR(IF(OR(Inputs!$C$85=0,Inputs!$C$85="",ISERROR(Inputs!$C$85)),Inputs!$D$85,Inputs!$C$85*Inputs!$K$9*(1+Inputs!$K$12)^B330),"Error - Check Input")
+IFERROR(IF(OR(Inputs!$C$86=0,Inputs!$C$86="",ISERROR(Inputs!$C$86)),Inputs!$D$86,Inputs!$C$86*Inputs!$K$9*(1+Inputs!$K$12)^B330),"Error - Check Input")
+IFERROR(IF(OR(Inputs!$C$87=0,Inputs!$C$87="",ISERROR(Inputs!$C$87)),Inputs!$D$87,Inputs!$C$87*Inputs!$K$9*(1+Inputs!$K$12)^B330),"Error - Check Input")
+IFERROR(IF(OR(Inputs!$C$88=0,Inputs!$C$88="",ISERROR(Inputs!$C$88)),Inputs!$D$88,Inputs!$C$88*Inputs!$K$9*(1+Inputs!$K$12)^B330),"Error - Check Input")
+IFERROR(IF(OR(Inputs!$C$89=0,Inputs!$C$89="",ISERROR(Inputs!$C$89)),Inputs!$D$89,Inputs!$C$89*Inputs!$K$9*(1+Inputs!$K$12)^B330),"Error - Check Input")
+IFERROR(IF(OR(Inputs!$C$90=0,Inputs!$C$90="",ISERROR(Inputs!$C$90)),Inputs!$D$90,Inputs!$C$90*Inputs!$K$9*(1+Inputs!$K$12)^B330),"Error - Check Input")
+IFERROR(IF(OR(Inputs!$C$93=0,Inputs!$C$93="",ISERROR(Inputs!$C$93)),Inputs!$D$93,Inputs!$C$93*Inputs!$K$9*(1+Inputs!$K$12)^B330),"Error - Check Input")</f>
        <v>62042.73061066775</v>
      </c>
      <c r="D330" s="17"/>
    </row>
    <row r="331" spans="2:4" x14ac:dyDescent="0.35">
      <c r="B331" s="18">
        <v>140</v>
      </c>
      <c r="C331" s="6">
        <f>IFERROR(IF(OR(Inputs!$C$84=0,Inputs!$C$84="",ISERROR(Inputs!$C$84)),Inputs!$D$84,Inputs!$C$84*Inputs!$K$9*(1+Inputs!$K$12)^B331),"Error - Check Input")
+IFERROR(IF(OR(Inputs!$C$85=0,Inputs!$C$85="",ISERROR(Inputs!$C$85)),Inputs!$D$85,Inputs!$C$85*Inputs!$K$9*(1+Inputs!$K$12)^B331),"Error - Check Input")
+IFERROR(IF(OR(Inputs!$C$86=0,Inputs!$C$86="",ISERROR(Inputs!$C$86)),Inputs!$D$86,Inputs!$C$86*Inputs!$K$9*(1+Inputs!$K$12)^B331),"Error - Check Input")
+IFERROR(IF(OR(Inputs!$C$87=0,Inputs!$C$87="",ISERROR(Inputs!$C$87)),Inputs!$D$87,Inputs!$C$87*Inputs!$K$9*(1+Inputs!$K$12)^B331),"Error - Check Input")
+IFERROR(IF(OR(Inputs!$C$88=0,Inputs!$C$88="",ISERROR(Inputs!$C$88)),Inputs!$D$88,Inputs!$C$88*Inputs!$K$9*(1+Inputs!$K$12)^B331),"Error - Check Input")
+IFERROR(IF(OR(Inputs!$C$89=0,Inputs!$C$89="",ISERROR(Inputs!$C$89)),Inputs!$D$89,Inputs!$C$89*Inputs!$K$9*(1+Inputs!$K$12)^B331),"Error - Check Input")
+IFERROR(IF(OR(Inputs!$C$90=0,Inputs!$C$90="",ISERROR(Inputs!$C$90)),Inputs!$D$90,Inputs!$C$90*Inputs!$K$9*(1+Inputs!$K$12)^B331),"Error - Check Input")
+IFERROR(IF(OR(Inputs!$C$93=0,Inputs!$C$93="",ISERROR(Inputs!$C$93)),Inputs!$D$93,Inputs!$C$93*Inputs!$K$9*(1+Inputs!$K$12)^B331),"Error - Check Input")</f>
        <v>62277.166818024743</v>
      </c>
      <c r="D331" s="17"/>
    </row>
    <row r="332" spans="2:4" x14ac:dyDescent="0.35">
      <c r="B332" s="18">
        <v>141</v>
      </c>
      <c r="C332" s="6">
        <f>IFERROR(IF(OR(Inputs!$C$84=0,Inputs!$C$84="",ISERROR(Inputs!$C$84)),Inputs!$D$84,Inputs!$C$84*Inputs!$K$9*(1+Inputs!$K$12)^B332),"Error - Check Input")
+IFERROR(IF(OR(Inputs!$C$85=0,Inputs!$C$85="",ISERROR(Inputs!$C$85)),Inputs!$D$85,Inputs!$C$85*Inputs!$K$9*(1+Inputs!$K$12)^B332),"Error - Check Input")
+IFERROR(IF(OR(Inputs!$C$86=0,Inputs!$C$86="",ISERROR(Inputs!$C$86)),Inputs!$D$86,Inputs!$C$86*Inputs!$K$9*(1+Inputs!$K$12)^B332),"Error - Check Input")
+IFERROR(IF(OR(Inputs!$C$87=0,Inputs!$C$87="",ISERROR(Inputs!$C$87)),Inputs!$D$87,Inputs!$C$87*Inputs!$K$9*(1+Inputs!$K$12)^B332),"Error - Check Input")
+IFERROR(IF(OR(Inputs!$C$88=0,Inputs!$C$88="",ISERROR(Inputs!$C$88)),Inputs!$D$88,Inputs!$C$88*Inputs!$K$9*(1+Inputs!$K$12)^B332),"Error - Check Input")
+IFERROR(IF(OR(Inputs!$C$89=0,Inputs!$C$89="",ISERROR(Inputs!$C$89)),Inputs!$D$89,Inputs!$C$89*Inputs!$K$9*(1+Inputs!$K$12)^B332),"Error - Check Input")
+IFERROR(IF(OR(Inputs!$C$90=0,Inputs!$C$90="",ISERROR(Inputs!$C$90)),Inputs!$D$90,Inputs!$C$90*Inputs!$K$9*(1+Inputs!$K$12)^B332),"Error - Check Input")
+IFERROR(IF(OR(Inputs!$C$93=0,Inputs!$C$93="",ISERROR(Inputs!$C$93)),Inputs!$D$93,Inputs!$C$93*Inputs!$K$9*(1+Inputs!$K$12)^B332),"Error - Check Input")</f>
        <v>62512.558147509881</v>
      </c>
      <c r="D332" s="17"/>
    </row>
    <row r="333" spans="2:4" x14ac:dyDescent="0.35">
      <c r="B333" s="18">
        <v>142</v>
      </c>
      <c r="C333" s="6">
        <f>IFERROR(IF(OR(Inputs!$C$84=0,Inputs!$C$84="",ISERROR(Inputs!$C$84)),Inputs!$D$84,Inputs!$C$84*Inputs!$K$9*(1+Inputs!$K$12)^B333),"Error - Check Input")
+IFERROR(IF(OR(Inputs!$C$85=0,Inputs!$C$85="",ISERROR(Inputs!$C$85)),Inputs!$D$85,Inputs!$C$85*Inputs!$K$9*(1+Inputs!$K$12)^B333),"Error - Check Input")
+IFERROR(IF(OR(Inputs!$C$86=0,Inputs!$C$86="",ISERROR(Inputs!$C$86)),Inputs!$D$86,Inputs!$C$86*Inputs!$K$9*(1+Inputs!$K$12)^B333),"Error - Check Input")
+IFERROR(IF(OR(Inputs!$C$87=0,Inputs!$C$87="",ISERROR(Inputs!$C$87)),Inputs!$D$87,Inputs!$C$87*Inputs!$K$9*(1+Inputs!$K$12)^B333),"Error - Check Input")
+IFERROR(IF(OR(Inputs!$C$88=0,Inputs!$C$88="",ISERROR(Inputs!$C$88)),Inputs!$D$88,Inputs!$C$88*Inputs!$K$9*(1+Inputs!$K$12)^B333),"Error - Check Input")
+IFERROR(IF(OR(Inputs!$C$89=0,Inputs!$C$89="",ISERROR(Inputs!$C$89)),Inputs!$D$89,Inputs!$C$89*Inputs!$K$9*(1+Inputs!$K$12)^B333),"Error - Check Input")
+IFERROR(IF(OR(Inputs!$C$90=0,Inputs!$C$90="",ISERROR(Inputs!$C$90)),Inputs!$D$90,Inputs!$C$90*Inputs!$K$9*(1+Inputs!$K$12)^B333),"Error - Check Input")
+IFERROR(IF(OR(Inputs!$C$93=0,Inputs!$C$93="",ISERROR(Inputs!$C$93)),Inputs!$D$93,Inputs!$C$93*Inputs!$K$9*(1+Inputs!$K$12)^B333),"Error - Check Input")</f>
        <v>62748.908490408932</v>
      </c>
      <c r="D333" s="17"/>
    </row>
    <row r="334" spans="2:4" x14ac:dyDescent="0.35">
      <c r="B334" s="18">
        <v>143</v>
      </c>
      <c r="C334" s="6">
        <f>IFERROR(IF(OR(Inputs!$C$84=0,Inputs!$C$84="",ISERROR(Inputs!$C$84)),Inputs!$D$84,Inputs!$C$84*Inputs!$K$9*(1+Inputs!$K$12)^B334),"Error - Check Input")
+IFERROR(IF(OR(Inputs!$C$85=0,Inputs!$C$85="",ISERROR(Inputs!$C$85)),Inputs!$D$85,Inputs!$C$85*Inputs!$K$9*(1+Inputs!$K$12)^B334),"Error - Check Input")
+IFERROR(IF(OR(Inputs!$C$86=0,Inputs!$C$86="",ISERROR(Inputs!$C$86)),Inputs!$D$86,Inputs!$C$86*Inputs!$K$9*(1+Inputs!$K$12)^B334),"Error - Check Input")
+IFERROR(IF(OR(Inputs!$C$87=0,Inputs!$C$87="",ISERROR(Inputs!$C$87)),Inputs!$D$87,Inputs!$C$87*Inputs!$K$9*(1+Inputs!$K$12)^B334),"Error - Check Input")
+IFERROR(IF(OR(Inputs!$C$88=0,Inputs!$C$88="",ISERROR(Inputs!$C$88)),Inputs!$D$88,Inputs!$C$88*Inputs!$K$9*(1+Inputs!$K$12)^B334),"Error - Check Input")
+IFERROR(IF(OR(Inputs!$C$89=0,Inputs!$C$89="",ISERROR(Inputs!$C$89)),Inputs!$D$89,Inputs!$C$89*Inputs!$K$9*(1+Inputs!$K$12)^B334),"Error - Check Input")
+IFERROR(IF(OR(Inputs!$C$90=0,Inputs!$C$90="",ISERROR(Inputs!$C$90)),Inputs!$D$90,Inputs!$C$90*Inputs!$K$9*(1+Inputs!$K$12)^B334),"Error - Check Input")
+IFERROR(IF(OR(Inputs!$C$93=0,Inputs!$C$93="",ISERROR(Inputs!$C$93)),Inputs!$D$93,Inputs!$C$93*Inputs!$K$9*(1+Inputs!$K$12)^B334),"Error - Check Input")</f>
        <v>62986.221753861268</v>
      </c>
      <c r="D334" s="17"/>
    </row>
    <row r="335" spans="2:4" x14ac:dyDescent="0.35">
      <c r="B335" s="18">
        <v>144</v>
      </c>
      <c r="C335" s="6">
        <f>IFERROR(IF(OR(Inputs!$C$84=0,Inputs!$C$84="",ISERROR(Inputs!$C$84)),Inputs!$D$84,Inputs!$C$84*Inputs!$K$9*(1+Inputs!$K$12)^B335),"Error - Check Input")
+IFERROR(IF(OR(Inputs!$C$85=0,Inputs!$C$85="",ISERROR(Inputs!$C$85)),Inputs!$D$85,Inputs!$C$85*Inputs!$K$9*(1+Inputs!$K$12)^B335),"Error - Check Input")
+IFERROR(IF(OR(Inputs!$C$86=0,Inputs!$C$86="",ISERROR(Inputs!$C$86)),Inputs!$D$86,Inputs!$C$86*Inputs!$K$9*(1+Inputs!$K$12)^B335),"Error - Check Input")
+IFERROR(IF(OR(Inputs!$C$87=0,Inputs!$C$87="",ISERROR(Inputs!$C$87)),Inputs!$D$87,Inputs!$C$87*Inputs!$K$9*(1+Inputs!$K$12)^B335),"Error - Check Input")
+IFERROR(IF(OR(Inputs!$C$88=0,Inputs!$C$88="",ISERROR(Inputs!$C$88)),Inputs!$D$88,Inputs!$C$88*Inputs!$K$9*(1+Inputs!$K$12)^B335),"Error - Check Input")
+IFERROR(IF(OR(Inputs!$C$89=0,Inputs!$C$89="",ISERROR(Inputs!$C$89)),Inputs!$D$89,Inputs!$C$89*Inputs!$K$9*(1+Inputs!$K$12)^B335),"Error - Check Input")
+IFERROR(IF(OR(Inputs!$C$90=0,Inputs!$C$90="",ISERROR(Inputs!$C$90)),Inputs!$D$90,Inputs!$C$90*Inputs!$K$9*(1+Inputs!$K$12)^B335),"Error - Check Input")
+IFERROR(IF(OR(Inputs!$C$93=0,Inputs!$C$93="",ISERROR(Inputs!$C$93)),Inputs!$D$93,Inputs!$C$93*Inputs!$K$9*(1+Inputs!$K$12)^B335),"Error - Check Input")</f>
        <v>63224.501860924407</v>
      </c>
      <c r="D335" s="17"/>
    </row>
    <row r="336" spans="2:4" x14ac:dyDescent="0.35">
      <c r="B336" s="18">
        <v>145</v>
      </c>
      <c r="C336" s="6">
        <f>IFERROR(IF(OR(Inputs!$C$84=0,Inputs!$C$84="",ISERROR(Inputs!$C$84)),Inputs!$D$84,Inputs!$C$84*Inputs!$K$9*(1+Inputs!$K$12)^B336),"Error - Check Input")
+IFERROR(IF(OR(Inputs!$C$85=0,Inputs!$C$85="",ISERROR(Inputs!$C$85)),Inputs!$D$85,Inputs!$C$85*Inputs!$K$9*(1+Inputs!$K$12)^B336),"Error - Check Input")
+IFERROR(IF(OR(Inputs!$C$86=0,Inputs!$C$86="",ISERROR(Inputs!$C$86)),Inputs!$D$86,Inputs!$C$86*Inputs!$K$9*(1+Inputs!$K$12)^B336),"Error - Check Input")
+IFERROR(IF(OR(Inputs!$C$87=0,Inputs!$C$87="",ISERROR(Inputs!$C$87)),Inputs!$D$87,Inputs!$C$87*Inputs!$K$9*(1+Inputs!$K$12)^B336),"Error - Check Input")
+IFERROR(IF(OR(Inputs!$C$88=0,Inputs!$C$88="",ISERROR(Inputs!$C$88)),Inputs!$D$88,Inputs!$C$88*Inputs!$K$9*(1+Inputs!$K$12)^B336),"Error - Check Input")
+IFERROR(IF(OR(Inputs!$C$89=0,Inputs!$C$89="",ISERROR(Inputs!$C$89)),Inputs!$D$89,Inputs!$C$89*Inputs!$K$9*(1+Inputs!$K$12)^B336),"Error - Check Input")
+IFERROR(IF(OR(Inputs!$C$90=0,Inputs!$C$90="",ISERROR(Inputs!$C$90)),Inputs!$D$90,Inputs!$C$90*Inputs!$K$9*(1+Inputs!$K$12)^B336),"Error - Check Input")
+IFERROR(IF(OR(Inputs!$C$93=0,Inputs!$C$93="",ISERROR(Inputs!$C$93)),Inputs!$D$93,Inputs!$C$93*Inputs!$K$9*(1+Inputs!$K$12)^B336),"Error - Check Input")</f>
        <v>63463.752750638901</v>
      </c>
      <c r="D336" s="17"/>
    </row>
    <row r="337" spans="2:4" x14ac:dyDescent="0.35">
      <c r="B337" s="18">
        <v>146</v>
      </c>
      <c r="C337" s="6">
        <f>IFERROR(IF(OR(Inputs!$C$84=0,Inputs!$C$84="",ISERROR(Inputs!$C$84)),Inputs!$D$84,Inputs!$C$84*Inputs!$K$9*(1+Inputs!$K$12)^B337),"Error - Check Input")
+IFERROR(IF(OR(Inputs!$C$85=0,Inputs!$C$85="",ISERROR(Inputs!$C$85)),Inputs!$D$85,Inputs!$C$85*Inputs!$K$9*(1+Inputs!$K$12)^B337),"Error - Check Input")
+IFERROR(IF(OR(Inputs!$C$86=0,Inputs!$C$86="",ISERROR(Inputs!$C$86)),Inputs!$D$86,Inputs!$C$86*Inputs!$K$9*(1+Inputs!$K$12)^B337),"Error - Check Input")
+IFERROR(IF(OR(Inputs!$C$87=0,Inputs!$C$87="",ISERROR(Inputs!$C$87)),Inputs!$D$87,Inputs!$C$87*Inputs!$K$9*(1+Inputs!$K$12)^B337),"Error - Check Input")
+IFERROR(IF(OR(Inputs!$C$88=0,Inputs!$C$88="",ISERROR(Inputs!$C$88)),Inputs!$D$88,Inputs!$C$88*Inputs!$K$9*(1+Inputs!$K$12)^B337),"Error - Check Input")
+IFERROR(IF(OR(Inputs!$C$89=0,Inputs!$C$89="",ISERROR(Inputs!$C$89)),Inputs!$D$89,Inputs!$C$89*Inputs!$K$9*(1+Inputs!$K$12)^B337),"Error - Check Input")
+IFERROR(IF(OR(Inputs!$C$90=0,Inputs!$C$90="",ISERROR(Inputs!$C$90)),Inputs!$D$90,Inputs!$C$90*Inputs!$K$9*(1+Inputs!$K$12)^B337),"Error - Check Input")
+IFERROR(IF(OR(Inputs!$C$93=0,Inputs!$C$93="",ISERROR(Inputs!$C$93)),Inputs!$D$93,Inputs!$C$93*Inputs!$K$9*(1+Inputs!$K$12)^B337),"Error - Check Input")</f>
        <v>63703.978378093445</v>
      </c>
      <c r="D337" s="17"/>
    </row>
    <row r="338" spans="2:4" x14ac:dyDescent="0.35">
      <c r="B338" s="18">
        <v>147</v>
      </c>
      <c r="C338" s="6">
        <f>IFERROR(IF(OR(Inputs!$C$84=0,Inputs!$C$84="",ISERROR(Inputs!$C$84)),Inputs!$D$84,Inputs!$C$84*Inputs!$K$9*(1+Inputs!$K$12)^B338),"Error - Check Input")
+IFERROR(IF(OR(Inputs!$C$85=0,Inputs!$C$85="",ISERROR(Inputs!$C$85)),Inputs!$D$85,Inputs!$C$85*Inputs!$K$9*(1+Inputs!$K$12)^B338),"Error - Check Input")
+IFERROR(IF(OR(Inputs!$C$86=0,Inputs!$C$86="",ISERROR(Inputs!$C$86)),Inputs!$D$86,Inputs!$C$86*Inputs!$K$9*(1+Inputs!$K$12)^B338),"Error - Check Input")
+IFERROR(IF(OR(Inputs!$C$87=0,Inputs!$C$87="",ISERROR(Inputs!$C$87)),Inputs!$D$87,Inputs!$C$87*Inputs!$K$9*(1+Inputs!$K$12)^B338),"Error - Check Input")
+IFERROR(IF(OR(Inputs!$C$88=0,Inputs!$C$88="",ISERROR(Inputs!$C$88)),Inputs!$D$88,Inputs!$C$88*Inputs!$K$9*(1+Inputs!$K$12)^B338),"Error - Check Input")
+IFERROR(IF(OR(Inputs!$C$89=0,Inputs!$C$89="",ISERROR(Inputs!$C$89)),Inputs!$D$89,Inputs!$C$89*Inputs!$K$9*(1+Inputs!$K$12)^B338),"Error - Check Input")
+IFERROR(IF(OR(Inputs!$C$90=0,Inputs!$C$90="",ISERROR(Inputs!$C$90)),Inputs!$D$90,Inputs!$C$90*Inputs!$K$9*(1+Inputs!$K$12)^B338),"Error - Check Input")
+IFERROR(IF(OR(Inputs!$C$93=0,Inputs!$C$93="",ISERROR(Inputs!$C$93)),Inputs!$D$93,Inputs!$C$93*Inputs!$K$9*(1+Inputs!$K$12)^B338),"Error - Check Input")</f>
        <v>63945.182714490242</v>
      </c>
      <c r="D338" s="17"/>
    </row>
    <row r="339" spans="2:4" x14ac:dyDescent="0.35">
      <c r="B339" s="18">
        <v>148</v>
      </c>
      <c r="C339" s="6">
        <f>IFERROR(IF(OR(Inputs!$C$84=0,Inputs!$C$84="",ISERROR(Inputs!$C$84)),Inputs!$D$84,Inputs!$C$84*Inputs!$K$9*(1+Inputs!$K$12)^B339),"Error - Check Input")
+IFERROR(IF(OR(Inputs!$C$85=0,Inputs!$C$85="",ISERROR(Inputs!$C$85)),Inputs!$D$85,Inputs!$C$85*Inputs!$K$9*(1+Inputs!$K$12)^B339),"Error - Check Input")
+IFERROR(IF(OR(Inputs!$C$86=0,Inputs!$C$86="",ISERROR(Inputs!$C$86)),Inputs!$D$86,Inputs!$C$86*Inputs!$K$9*(1+Inputs!$K$12)^B339),"Error - Check Input")
+IFERROR(IF(OR(Inputs!$C$87=0,Inputs!$C$87="",ISERROR(Inputs!$C$87)),Inputs!$D$87,Inputs!$C$87*Inputs!$K$9*(1+Inputs!$K$12)^B339),"Error - Check Input")
+IFERROR(IF(OR(Inputs!$C$88=0,Inputs!$C$88="",ISERROR(Inputs!$C$88)),Inputs!$D$88,Inputs!$C$88*Inputs!$K$9*(1+Inputs!$K$12)^B339),"Error - Check Input")
+IFERROR(IF(OR(Inputs!$C$89=0,Inputs!$C$89="",ISERROR(Inputs!$C$89)),Inputs!$D$89,Inputs!$C$89*Inputs!$K$9*(1+Inputs!$K$12)^B339),"Error - Check Input")
+IFERROR(IF(OR(Inputs!$C$90=0,Inputs!$C$90="",ISERROR(Inputs!$C$90)),Inputs!$D$90,Inputs!$C$90*Inputs!$K$9*(1+Inputs!$K$12)^B339),"Error - Check Input")
+IFERROR(IF(OR(Inputs!$C$93=0,Inputs!$C$93="",ISERROR(Inputs!$C$93)),Inputs!$D$93,Inputs!$C$93*Inputs!$K$9*(1+Inputs!$K$12)^B339),"Error - Check Input")</f>
        <v>64187.369747210665</v>
      </c>
      <c r="D339" s="17"/>
    </row>
    <row r="340" spans="2:4" x14ac:dyDescent="0.35">
      <c r="B340" s="18">
        <v>149</v>
      </c>
      <c r="C340" s="6">
        <f>IFERROR(IF(OR(Inputs!$C$84=0,Inputs!$C$84="",ISERROR(Inputs!$C$84)),Inputs!$D$84,Inputs!$C$84*Inputs!$K$9*(1+Inputs!$K$12)^B340),"Error - Check Input")
+IFERROR(IF(OR(Inputs!$C$85=0,Inputs!$C$85="",ISERROR(Inputs!$C$85)),Inputs!$D$85,Inputs!$C$85*Inputs!$K$9*(1+Inputs!$K$12)^B340),"Error - Check Input")
+IFERROR(IF(OR(Inputs!$C$86=0,Inputs!$C$86="",ISERROR(Inputs!$C$86)),Inputs!$D$86,Inputs!$C$86*Inputs!$K$9*(1+Inputs!$K$12)^B340),"Error - Check Input")
+IFERROR(IF(OR(Inputs!$C$87=0,Inputs!$C$87="",ISERROR(Inputs!$C$87)),Inputs!$D$87,Inputs!$C$87*Inputs!$K$9*(1+Inputs!$K$12)^B340),"Error - Check Input")
+IFERROR(IF(OR(Inputs!$C$88=0,Inputs!$C$88="",ISERROR(Inputs!$C$88)),Inputs!$D$88,Inputs!$C$88*Inputs!$K$9*(1+Inputs!$K$12)^B340),"Error - Check Input")
+IFERROR(IF(OR(Inputs!$C$89=0,Inputs!$C$89="",ISERROR(Inputs!$C$89)),Inputs!$D$89,Inputs!$C$89*Inputs!$K$9*(1+Inputs!$K$12)^B340),"Error - Check Input")
+IFERROR(IF(OR(Inputs!$C$90=0,Inputs!$C$90="",ISERROR(Inputs!$C$90)),Inputs!$D$90,Inputs!$C$90*Inputs!$K$9*(1+Inputs!$K$12)^B340),"Error - Check Input")
+IFERROR(IF(OR(Inputs!$C$93=0,Inputs!$C$93="",ISERROR(Inputs!$C$93)),Inputs!$D$93,Inputs!$C$93*Inputs!$K$9*(1+Inputs!$K$12)^B340),"Error - Check Input")</f>
        <v>64430.543479881191</v>
      </c>
      <c r="D340" s="17"/>
    </row>
    <row r="341" spans="2:4" x14ac:dyDescent="0.35">
      <c r="B341" s="18">
        <v>150</v>
      </c>
      <c r="C341" s="6">
        <f>IFERROR(IF(OR(Inputs!$C$84=0,Inputs!$C$84="",ISERROR(Inputs!$C$84)),Inputs!$D$84,Inputs!$C$84*Inputs!$K$9*(1+Inputs!$K$12)^B341),"Error - Check Input")
+IFERROR(IF(OR(Inputs!$C$85=0,Inputs!$C$85="",ISERROR(Inputs!$C$85)),Inputs!$D$85,Inputs!$C$85*Inputs!$K$9*(1+Inputs!$K$12)^B341),"Error - Check Input")
+IFERROR(IF(OR(Inputs!$C$86=0,Inputs!$C$86="",ISERROR(Inputs!$C$86)),Inputs!$D$86,Inputs!$C$86*Inputs!$K$9*(1+Inputs!$K$12)^B341),"Error - Check Input")
+IFERROR(IF(OR(Inputs!$C$87=0,Inputs!$C$87="",ISERROR(Inputs!$C$87)),Inputs!$D$87,Inputs!$C$87*Inputs!$K$9*(1+Inputs!$K$12)^B341),"Error - Check Input")
+IFERROR(IF(OR(Inputs!$C$88=0,Inputs!$C$88="",ISERROR(Inputs!$C$88)),Inputs!$D$88,Inputs!$C$88*Inputs!$K$9*(1+Inputs!$K$12)^B341),"Error - Check Input")
+IFERROR(IF(OR(Inputs!$C$89=0,Inputs!$C$89="",ISERROR(Inputs!$C$89)),Inputs!$D$89,Inputs!$C$89*Inputs!$K$9*(1+Inputs!$K$12)^B341),"Error - Check Input")
+IFERROR(IF(OR(Inputs!$C$90=0,Inputs!$C$90="",ISERROR(Inputs!$C$90)),Inputs!$D$90,Inputs!$C$90*Inputs!$K$9*(1+Inputs!$K$12)^B341),"Error - Check Input")
+IFERROR(IF(OR(Inputs!$C$93=0,Inputs!$C$93="",ISERROR(Inputs!$C$93)),Inputs!$D$93,Inputs!$C$93*Inputs!$K$9*(1+Inputs!$K$12)^B341),"Error - Check Input")</f>
        <v>64674.707932439553</v>
      </c>
      <c r="D341" s="17"/>
    </row>
    <row r="342" spans="2:4" x14ac:dyDescent="0.35">
      <c r="B342" s="18">
        <v>151</v>
      </c>
      <c r="C342" s="6">
        <f>IFERROR(IF(OR(Inputs!$C$84=0,Inputs!$C$84="",ISERROR(Inputs!$C$84)),Inputs!$D$84,Inputs!$C$84*Inputs!$K$9*(1+Inputs!$K$12)^B342),"Error - Check Input")
+IFERROR(IF(OR(Inputs!$C$85=0,Inputs!$C$85="",ISERROR(Inputs!$C$85)),Inputs!$D$85,Inputs!$C$85*Inputs!$K$9*(1+Inputs!$K$12)^B342),"Error - Check Input")
+IFERROR(IF(OR(Inputs!$C$86=0,Inputs!$C$86="",ISERROR(Inputs!$C$86)),Inputs!$D$86,Inputs!$C$86*Inputs!$K$9*(1+Inputs!$K$12)^B342),"Error - Check Input")
+IFERROR(IF(OR(Inputs!$C$87=0,Inputs!$C$87="",ISERROR(Inputs!$C$87)),Inputs!$D$87,Inputs!$C$87*Inputs!$K$9*(1+Inputs!$K$12)^B342),"Error - Check Input")
+IFERROR(IF(OR(Inputs!$C$88=0,Inputs!$C$88="",ISERROR(Inputs!$C$88)),Inputs!$D$88,Inputs!$C$88*Inputs!$K$9*(1+Inputs!$K$12)^B342),"Error - Check Input")
+IFERROR(IF(OR(Inputs!$C$89=0,Inputs!$C$89="",ISERROR(Inputs!$C$89)),Inputs!$D$89,Inputs!$C$89*Inputs!$K$9*(1+Inputs!$K$12)^B342),"Error - Check Input")
+IFERROR(IF(OR(Inputs!$C$90=0,Inputs!$C$90="",ISERROR(Inputs!$C$90)),Inputs!$D$90,Inputs!$C$90*Inputs!$K$9*(1+Inputs!$K$12)^B342),"Error - Check Input")
+IFERROR(IF(OR(Inputs!$C$93=0,Inputs!$C$93="",ISERROR(Inputs!$C$93)),Inputs!$D$93,Inputs!$C$93*Inputs!$K$9*(1+Inputs!$K$12)^B342),"Error - Check Input")</f>
        <v>64919.867141201197</v>
      </c>
      <c r="D342" s="17"/>
    </row>
    <row r="343" spans="2:4" x14ac:dyDescent="0.35">
      <c r="B343" s="18">
        <v>152</v>
      </c>
      <c r="C343" s="6">
        <f>IFERROR(IF(OR(Inputs!$C$84=0,Inputs!$C$84="",ISERROR(Inputs!$C$84)),Inputs!$D$84,Inputs!$C$84*Inputs!$K$9*(1+Inputs!$K$12)^B343),"Error - Check Input")
+IFERROR(IF(OR(Inputs!$C$85=0,Inputs!$C$85="",ISERROR(Inputs!$C$85)),Inputs!$D$85,Inputs!$C$85*Inputs!$K$9*(1+Inputs!$K$12)^B343),"Error - Check Input")
+IFERROR(IF(OR(Inputs!$C$86=0,Inputs!$C$86="",ISERROR(Inputs!$C$86)),Inputs!$D$86,Inputs!$C$86*Inputs!$K$9*(1+Inputs!$K$12)^B343),"Error - Check Input")
+IFERROR(IF(OR(Inputs!$C$87=0,Inputs!$C$87="",ISERROR(Inputs!$C$87)),Inputs!$D$87,Inputs!$C$87*Inputs!$K$9*(1+Inputs!$K$12)^B343),"Error - Check Input")
+IFERROR(IF(OR(Inputs!$C$88=0,Inputs!$C$88="",ISERROR(Inputs!$C$88)),Inputs!$D$88,Inputs!$C$88*Inputs!$K$9*(1+Inputs!$K$12)^B343),"Error - Check Input")
+IFERROR(IF(OR(Inputs!$C$89=0,Inputs!$C$89="",ISERROR(Inputs!$C$89)),Inputs!$D$89,Inputs!$C$89*Inputs!$K$9*(1+Inputs!$K$12)^B343),"Error - Check Input")
+IFERROR(IF(OR(Inputs!$C$90=0,Inputs!$C$90="",ISERROR(Inputs!$C$90)),Inputs!$D$90,Inputs!$C$90*Inputs!$K$9*(1+Inputs!$K$12)^B343),"Error - Check Input")
+IFERROR(IF(OR(Inputs!$C$93=0,Inputs!$C$93="",ISERROR(Inputs!$C$93)),Inputs!$D$93,Inputs!$C$93*Inputs!$K$9*(1+Inputs!$K$12)^B343),"Error - Check Input")</f>
        <v>65166.025158926052</v>
      </c>
      <c r="D343" s="17"/>
    </row>
    <row r="344" spans="2:4" x14ac:dyDescent="0.35">
      <c r="B344" s="18">
        <v>153</v>
      </c>
      <c r="C344" s="6">
        <f>IFERROR(IF(OR(Inputs!$C$84=0,Inputs!$C$84="",ISERROR(Inputs!$C$84)),Inputs!$D$84,Inputs!$C$84*Inputs!$K$9*(1+Inputs!$K$12)^B344),"Error - Check Input")
+IFERROR(IF(OR(Inputs!$C$85=0,Inputs!$C$85="",ISERROR(Inputs!$C$85)),Inputs!$D$85,Inputs!$C$85*Inputs!$K$9*(1+Inputs!$K$12)^B344),"Error - Check Input")
+IFERROR(IF(OR(Inputs!$C$86=0,Inputs!$C$86="",ISERROR(Inputs!$C$86)),Inputs!$D$86,Inputs!$C$86*Inputs!$K$9*(1+Inputs!$K$12)^B344),"Error - Check Input")
+IFERROR(IF(OR(Inputs!$C$87=0,Inputs!$C$87="",ISERROR(Inputs!$C$87)),Inputs!$D$87,Inputs!$C$87*Inputs!$K$9*(1+Inputs!$K$12)^B344),"Error - Check Input")
+IFERROR(IF(OR(Inputs!$C$88=0,Inputs!$C$88="",ISERROR(Inputs!$C$88)),Inputs!$D$88,Inputs!$C$88*Inputs!$K$9*(1+Inputs!$K$12)^B344),"Error - Check Input")
+IFERROR(IF(OR(Inputs!$C$89=0,Inputs!$C$89="",ISERROR(Inputs!$C$89)),Inputs!$D$89,Inputs!$C$89*Inputs!$K$9*(1+Inputs!$K$12)^B344),"Error - Check Input")
+IFERROR(IF(OR(Inputs!$C$90=0,Inputs!$C$90="",ISERROR(Inputs!$C$90)),Inputs!$D$90,Inputs!$C$90*Inputs!$K$9*(1+Inputs!$K$12)^B344),"Error - Check Input")
+IFERROR(IF(OR(Inputs!$C$93=0,Inputs!$C$93="",ISERROR(Inputs!$C$93)),Inputs!$D$93,Inputs!$C$93*Inputs!$K$9*(1+Inputs!$K$12)^B344),"Error - Check Input")</f>
        <v>65413.186054885446</v>
      </c>
      <c r="D344" s="17"/>
    </row>
    <row r="345" spans="2:4" x14ac:dyDescent="0.35">
      <c r="B345" s="18">
        <v>154</v>
      </c>
      <c r="C345" s="6">
        <f>IFERROR(IF(OR(Inputs!$C$84=0,Inputs!$C$84="",ISERROR(Inputs!$C$84)),Inputs!$D$84,Inputs!$C$84*Inputs!$K$9*(1+Inputs!$K$12)^B345),"Error - Check Input")
+IFERROR(IF(OR(Inputs!$C$85=0,Inputs!$C$85="",ISERROR(Inputs!$C$85)),Inputs!$D$85,Inputs!$C$85*Inputs!$K$9*(1+Inputs!$K$12)^B345),"Error - Check Input")
+IFERROR(IF(OR(Inputs!$C$86=0,Inputs!$C$86="",ISERROR(Inputs!$C$86)),Inputs!$D$86,Inputs!$C$86*Inputs!$K$9*(1+Inputs!$K$12)^B345),"Error - Check Input")
+IFERROR(IF(OR(Inputs!$C$87=0,Inputs!$C$87="",ISERROR(Inputs!$C$87)),Inputs!$D$87,Inputs!$C$87*Inputs!$K$9*(1+Inputs!$K$12)^B345),"Error - Check Input")
+IFERROR(IF(OR(Inputs!$C$88=0,Inputs!$C$88="",ISERROR(Inputs!$C$88)),Inputs!$D$88,Inputs!$C$88*Inputs!$K$9*(1+Inputs!$K$12)^B345),"Error - Check Input")
+IFERROR(IF(OR(Inputs!$C$89=0,Inputs!$C$89="",ISERROR(Inputs!$C$89)),Inputs!$D$89,Inputs!$C$89*Inputs!$K$9*(1+Inputs!$K$12)^B345),"Error - Check Input")
+IFERROR(IF(OR(Inputs!$C$90=0,Inputs!$C$90="",ISERROR(Inputs!$C$90)),Inputs!$D$90,Inputs!$C$90*Inputs!$K$9*(1+Inputs!$K$12)^B345),"Error - Check Input")
+IFERROR(IF(OR(Inputs!$C$93=0,Inputs!$C$93="",ISERROR(Inputs!$C$93)),Inputs!$D$93,Inputs!$C$93*Inputs!$K$9*(1+Inputs!$K$12)^B345),"Error - Check Input")</f>
        <v>65661.353914929437</v>
      </c>
      <c r="D345" s="17"/>
    </row>
    <row r="346" spans="2:4" x14ac:dyDescent="0.35">
      <c r="B346" s="18">
        <v>155</v>
      </c>
      <c r="C346" s="6">
        <f>IFERROR(IF(OR(Inputs!$C$84=0,Inputs!$C$84="",ISERROR(Inputs!$C$84)),Inputs!$D$84,Inputs!$C$84*Inputs!$K$9*(1+Inputs!$K$12)^B346),"Error - Check Input")
+IFERROR(IF(OR(Inputs!$C$85=0,Inputs!$C$85="",ISERROR(Inputs!$C$85)),Inputs!$D$85,Inputs!$C$85*Inputs!$K$9*(1+Inputs!$K$12)^B346),"Error - Check Input")
+IFERROR(IF(OR(Inputs!$C$86=0,Inputs!$C$86="",ISERROR(Inputs!$C$86)),Inputs!$D$86,Inputs!$C$86*Inputs!$K$9*(1+Inputs!$K$12)^B346),"Error - Check Input")
+IFERROR(IF(OR(Inputs!$C$87=0,Inputs!$C$87="",ISERROR(Inputs!$C$87)),Inputs!$D$87,Inputs!$C$87*Inputs!$K$9*(1+Inputs!$K$12)^B346),"Error - Check Input")
+IFERROR(IF(OR(Inputs!$C$88=0,Inputs!$C$88="",ISERROR(Inputs!$C$88)),Inputs!$D$88,Inputs!$C$88*Inputs!$K$9*(1+Inputs!$K$12)^B346),"Error - Check Input")
+IFERROR(IF(OR(Inputs!$C$89=0,Inputs!$C$89="",ISERROR(Inputs!$C$89)),Inputs!$D$89,Inputs!$C$89*Inputs!$K$9*(1+Inputs!$K$12)^B346),"Error - Check Input")
+IFERROR(IF(OR(Inputs!$C$90=0,Inputs!$C$90="",ISERROR(Inputs!$C$90)),Inputs!$D$90,Inputs!$C$90*Inputs!$K$9*(1+Inputs!$K$12)^B346),"Error - Check Input")
+IFERROR(IF(OR(Inputs!$C$93=0,Inputs!$C$93="",ISERROR(Inputs!$C$93)),Inputs!$D$93,Inputs!$C$93*Inputs!$K$9*(1+Inputs!$K$12)^B346),"Error - Check Input")</f>
        <v>65910.532841554392</v>
      </c>
      <c r="D346" s="17"/>
    </row>
    <row r="347" spans="2:4" x14ac:dyDescent="0.35">
      <c r="B347" s="18">
        <v>156</v>
      </c>
      <c r="C347" s="6">
        <f>IFERROR(IF(OR(Inputs!$C$84=0,Inputs!$C$84="",ISERROR(Inputs!$C$84)),Inputs!$D$84,Inputs!$C$84*Inputs!$K$9*(1+Inputs!$K$12)^B347),"Error - Check Input")
+IFERROR(IF(OR(Inputs!$C$85=0,Inputs!$C$85="",ISERROR(Inputs!$C$85)),Inputs!$D$85,Inputs!$C$85*Inputs!$K$9*(1+Inputs!$K$12)^B347),"Error - Check Input")
+IFERROR(IF(OR(Inputs!$C$86=0,Inputs!$C$86="",ISERROR(Inputs!$C$86)),Inputs!$D$86,Inputs!$C$86*Inputs!$K$9*(1+Inputs!$K$12)^B347),"Error - Check Input")
+IFERROR(IF(OR(Inputs!$C$87=0,Inputs!$C$87="",ISERROR(Inputs!$C$87)),Inputs!$D$87,Inputs!$C$87*Inputs!$K$9*(1+Inputs!$K$12)^B347),"Error - Check Input")
+IFERROR(IF(OR(Inputs!$C$88=0,Inputs!$C$88="",ISERROR(Inputs!$C$88)),Inputs!$D$88,Inputs!$C$88*Inputs!$K$9*(1+Inputs!$K$12)^B347),"Error - Check Input")
+IFERROR(IF(OR(Inputs!$C$89=0,Inputs!$C$89="",ISERROR(Inputs!$C$89)),Inputs!$D$89,Inputs!$C$89*Inputs!$K$9*(1+Inputs!$K$12)^B347),"Error - Check Input")
+IFERROR(IF(OR(Inputs!$C$90=0,Inputs!$C$90="",ISERROR(Inputs!$C$90)),Inputs!$D$90,Inputs!$C$90*Inputs!$K$9*(1+Inputs!$K$12)^B347),"Error - Check Input")
+IFERROR(IF(OR(Inputs!$C$93=0,Inputs!$C$93="",ISERROR(Inputs!$C$93)),Inputs!$D$93,Inputs!$C$93*Inputs!$K$9*(1+Inputs!$K$12)^B347),"Error - Check Input")</f>
        <v>66160.726953970705</v>
      </c>
      <c r="D347" s="17"/>
    </row>
    <row r="348" spans="2:4" x14ac:dyDescent="0.35">
      <c r="B348" s="18">
        <v>157</v>
      </c>
      <c r="C348" s="6">
        <f>IFERROR(IF(OR(Inputs!$C$84=0,Inputs!$C$84="",ISERROR(Inputs!$C$84)),Inputs!$D$84,Inputs!$C$84*Inputs!$K$9*(1+Inputs!$K$12)^B348),"Error - Check Input")
+IFERROR(IF(OR(Inputs!$C$85=0,Inputs!$C$85="",ISERROR(Inputs!$C$85)),Inputs!$D$85,Inputs!$C$85*Inputs!$K$9*(1+Inputs!$K$12)^B348),"Error - Check Input")
+IFERROR(IF(OR(Inputs!$C$86=0,Inputs!$C$86="",ISERROR(Inputs!$C$86)),Inputs!$D$86,Inputs!$C$86*Inputs!$K$9*(1+Inputs!$K$12)^B348),"Error - Check Input")
+IFERROR(IF(OR(Inputs!$C$87=0,Inputs!$C$87="",ISERROR(Inputs!$C$87)),Inputs!$D$87,Inputs!$C$87*Inputs!$K$9*(1+Inputs!$K$12)^B348),"Error - Check Input")
+IFERROR(IF(OR(Inputs!$C$88=0,Inputs!$C$88="",ISERROR(Inputs!$C$88)),Inputs!$D$88,Inputs!$C$88*Inputs!$K$9*(1+Inputs!$K$12)^B348),"Error - Check Input")
+IFERROR(IF(OR(Inputs!$C$89=0,Inputs!$C$89="",ISERROR(Inputs!$C$89)),Inputs!$D$89,Inputs!$C$89*Inputs!$K$9*(1+Inputs!$K$12)^B348),"Error - Check Input")
+IFERROR(IF(OR(Inputs!$C$90=0,Inputs!$C$90="",ISERROR(Inputs!$C$90)),Inputs!$D$90,Inputs!$C$90*Inputs!$K$9*(1+Inputs!$K$12)^B348),"Error - Check Input")
+IFERROR(IF(OR(Inputs!$C$93=0,Inputs!$C$93="",ISERROR(Inputs!$C$93)),Inputs!$D$93,Inputs!$C$93*Inputs!$K$9*(1+Inputs!$K$12)^B348),"Error - Check Input")</f>
        <v>66411.940388170915</v>
      </c>
      <c r="D348" s="17"/>
    </row>
    <row r="349" spans="2:4" x14ac:dyDescent="0.35">
      <c r="B349" s="18">
        <v>158</v>
      </c>
      <c r="C349" s="6">
        <f>IFERROR(IF(OR(Inputs!$C$84=0,Inputs!$C$84="",ISERROR(Inputs!$C$84)),Inputs!$D$84,Inputs!$C$84*Inputs!$K$9*(1+Inputs!$K$12)^B349),"Error - Check Input")
+IFERROR(IF(OR(Inputs!$C$85=0,Inputs!$C$85="",ISERROR(Inputs!$C$85)),Inputs!$D$85,Inputs!$C$85*Inputs!$K$9*(1+Inputs!$K$12)^B349),"Error - Check Input")
+IFERROR(IF(OR(Inputs!$C$86=0,Inputs!$C$86="",ISERROR(Inputs!$C$86)),Inputs!$D$86,Inputs!$C$86*Inputs!$K$9*(1+Inputs!$K$12)^B349),"Error - Check Input")
+IFERROR(IF(OR(Inputs!$C$87=0,Inputs!$C$87="",ISERROR(Inputs!$C$87)),Inputs!$D$87,Inputs!$C$87*Inputs!$K$9*(1+Inputs!$K$12)^B349),"Error - Check Input")
+IFERROR(IF(OR(Inputs!$C$88=0,Inputs!$C$88="",ISERROR(Inputs!$C$88)),Inputs!$D$88,Inputs!$C$88*Inputs!$K$9*(1+Inputs!$K$12)^B349),"Error - Check Input")
+IFERROR(IF(OR(Inputs!$C$89=0,Inputs!$C$89="",ISERROR(Inputs!$C$89)),Inputs!$D$89,Inputs!$C$89*Inputs!$K$9*(1+Inputs!$K$12)^B349),"Error - Check Input")
+IFERROR(IF(OR(Inputs!$C$90=0,Inputs!$C$90="",ISERROR(Inputs!$C$90)),Inputs!$D$90,Inputs!$C$90*Inputs!$K$9*(1+Inputs!$K$12)^B349),"Error - Check Input")
+IFERROR(IF(OR(Inputs!$C$93=0,Inputs!$C$93="",ISERROR(Inputs!$C$93)),Inputs!$D$93,Inputs!$C$93*Inputs!$K$9*(1+Inputs!$K$12)^B349),"Error - Check Input")</f>
        <v>66664.177296998183</v>
      </c>
      <c r="D349" s="17"/>
    </row>
    <row r="350" spans="2:4" x14ac:dyDescent="0.35">
      <c r="B350" s="18">
        <v>159</v>
      </c>
      <c r="C350" s="6">
        <f>IFERROR(IF(OR(Inputs!$C$84=0,Inputs!$C$84="",ISERROR(Inputs!$C$84)),Inputs!$D$84,Inputs!$C$84*Inputs!$K$9*(1+Inputs!$K$12)^B350),"Error - Check Input")
+IFERROR(IF(OR(Inputs!$C$85=0,Inputs!$C$85="",ISERROR(Inputs!$C$85)),Inputs!$D$85,Inputs!$C$85*Inputs!$K$9*(1+Inputs!$K$12)^B350),"Error - Check Input")
+IFERROR(IF(OR(Inputs!$C$86=0,Inputs!$C$86="",ISERROR(Inputs!$C$86)),Inputs!$D$86,Inputs!$C$86*Inputs!$K$9*(1+Inputs!$K$12)^B350),"Error - Check Input")
+IFERROR(IF(OR(Inputs!$C$87=0,Inputs!$C$87="",ISERROR(Inputs!$C$87)),Inputs!$D$87,Inputs!$C$87*Inputs!$K$9*(1+Inputs!$K$12)^B350),"Error - Check Input")
+IFERROR(IF(OR(Inputs!$C$88=0,Inputs!$C$88="",ISERROR(Inputs!$C$88)),Inputs!$D$88,Inputs!$C$88*Inputs!$K$9*(1+Inputs!$K$12)^B350),"Error - Check Input")
+IFERROR(IF(OR(Inputs!$C$89=0,Inputs!$C$89="",ISERROR(Inputs!$C$89)),Inputs!$D$89,Inputs!$C$89*Inputs!$K$9*(1+Inputs!$K$12)^B350),"Error - Check Input")
+IFERROR(IF(OR(Inputs!$C$90=0,Inputs!$C$90="",ISERROR(Inputs!$C$90)),Inputs!$D$90,Inputs!$C$90*Inputs!$K$9*(1+Inputs!$K$12)^B350),"Error - Check Input")
+IFERROR(IF(OR(Inputs!$C$93=0,Inputs!$C$93="",ISERROR(Inputs!$C$93)),Inputs!$D$93,Inputs!$C$93*Inputs!$K$9*(1+Inputs!$K$12)^B350),"Error - Check Input")</f>
        <v>66917.441850214818</v>
      </c>
      <c r="D350" s="17"/>
    </row>
    <row r="351" spans="2:4" x14ac:dyDescent="0.35">
      <c r="B351" s="18">
        <v>160</v>
      </c>
      <c r="C351" s="6">
        <f>IFERROR(IF(OR(Inputs!$C$84=0,Inputs!$C$84="",ISERROR(Inputs!$C$84)),Inputs!$D$84,Inputs!$C$84*Inputs!$K$9*(1+Inputs!$K$12)^B351),"Error - Check Input")
+IFERROR(IF(OR(Inputs!$C$85=0,Inputs!$C$85="",ISERROR(Inputs!$C$85)),Inputs!$D$85,Inputs!$C$85*Inputs!$K$9*(1+Inputs!$K$12)^B351),"Error - Check Input")
+IFERROR(IF(OR(Inputs!$C$86=0,Inputs!$C$86="",ISERROR(Inputs!$C$86)),Inputs!$D$86,Inputs!$C$86*Inputs!$K$9*(1+Inputs!$K$12)^B351),"Error - Check Input")
+IFERROR(IF(OR(Inputs!$C$87=0,Inputs!$C$87="",ISERROR(Inputs!$C$87)),Inputs!$D$87,Inputs!$C$87*Inputs!$K$9*(1+Inputs!$K$12)^B351),"Error - Check Input")
+IFERROR(IF(OR(Inputs!$C$88=0,Inputs!$C$88="",ISERROR(Inputs!$C$88)),Inputs!$D$88,Inputs!$C$88*Inputs!$K$9*(1+Inputs!$K$12)^B351),"Error - Check Input")
+IFERROR(IF(OR(Inputs!$C$89=0,Inputs!$C$89="",ISERROR(Inputs!$C$89)),Inputs!$D$89,Inputs!$C$89*Inputs!$K$9*(1+Inputs!$K$12)^B351),"Error - Check Input")
+IFERROR(IF(OR(Inputs!$C$90=0,Inputs!$C$90="",ISERROR(Inputs!$C$90)),Inputs!$D$90,Inputs!$C$90*Inputs!$K$9*(1+Inputs!$K$12)^B351),"Error - Check Input")
+IFERROR(IF(OR(Inputs!$C$93=0,Inputs!$C$93="",ISERROR(Inputs!$C$93)),Inputs!$D$93,Inputs!$C$93*Inputs!$K$9*(1+Inputs!$K$12)^B351),"Error - Check Input")</f>
        <v>67171.738234571269</v>
      </c>
      <c r="D351" s="17"/>
    </row>
    <row r="352" spans="2:4" x14ac:dyDescent="0.35">
      <c r="B352" s="18">
        <v>161</v>
      </c>
      <c r="C352" s="6">
        <f>IFERROR(IF(OR(Inputs!$C$84=0,Inputs!$C$84="",ISERROR(Inputs!$C$84)),Inputs!$D$84,Inputs!$C$84*Inputs!$K$9*(1+Inputs!$K$12)^B352),"Error - Check Input")
+IFERROR(IF(OR(Inputs!$C$85=0,Inputs!$C$85="",ISERROR(Inputs!$C$85)),Inputs!$D$85,Inputs!$C$85*Inputs!$K$9*(1+Inputs!$K$12)^B352),"Error - Check Input")
+IFERROR(IF(OR(Inputs!$C$86=0,Inputs!$C$86="",ISERROR(Inputs!$C$86)),Inputs!$D$86,Inputs!$C$86*Inputs!$K$9*(1+Inputs!$K$12)^B352),"Error - Check Input")
+IFERROR(IF(OR(Inputs!$C$87=0,Inputs!$C$87="",ISERROR(Inputs!$C$87)),Inputs!$D$87,Inputs!$C$87*Inputs!$K$9*(1+Inputs!$K$12)^B352),"Error - Check Input")
+IFERROR(IF(OR(Inputs!$C$88=0,Inputs!$C$88="",ISERROR(Inputs!$C$88)),Inputs!$D$88,Inputs!$C$88*Inputs!$K$9*(1+Inputs!$K$12)^B352),"Error - Check Input")
+IFERROR(IF(OR(Inputs!$C$89=0,Inputs!$C$89="",ISERROR(Inputs!$C$89)),Inputs!$D$89,Inputs!$C$89*Inputs!$K$9*(1+Inputs!$K$12)^B352),"Error - Check Input")
+IFERROR(IF(OR(Inputs!$C$90=0,Inputs!$C$90="",ISERROR(Inputs!$C$90)),Inputs!$D$90,Inputs!$C$90*Inputs!$K$9*(1+Inputs!$K$12)^B352),"Error - Check Input")
+IFERROR(IF(OR(Inputs!$C$93=0,Inputs!$C$93="",ISERROR(Inputs!$C$93)),Inputs!$D$93,Inputs!$C$93*Inputs!$K$9*(1+Inputs!$K$12)^B352),"Error - Check Input")</f>
        <v>67427.070653875329</v>
      </c>
      <c r="D352" s="17"/>
    </row>
    <row r="353" spans="2:4" x14ac:dyDescent="0.35">
      <c r="B353" s="18">
        <v>162</v>
      </c>
      <c r="C353" s="6">
        <f>IFERROR(IF(OR(Inputs!$C$84=0,Inputs!$C$84="",ISERROR(Inputs!$C$84)),Inputs!$D$84,Inputs!$C$84*Inputs!$K$9*(1+Inputs!$K$12)^B353),"Error - Check Input")
+IFERROR(IF(OR(Inputs!$C$85=0,Inputs!$C$85="",ISERROR(Inputs!$C$85)),Inputs!$D$85,Inputs!$C$85*Inputs!$K$9*(1+Inputs!$K$12)^B353),"Error - Check Input")
+IFERROR(IF(OR(Inputs!$C$86=0,Inputs!$C$86="",ISERROR(Inputs!$C$86)),Inputs!$D$86,Inputs!$C$86*Inputs!$K$9*(1+Inputs!$K$12)^B353),"Error - Check Input")
+IFERROR(IF(OR(Inputs!$C$87=0,Inputs!$C$87="",ISERROR(Inputs!$C$87)),Inputs!$D$87,Inputs!$C$87*Inputs!$K$9*(1+Inputs!$K$12)^B353),"Error - Check Input")
+IFERROR(IF(OR(Inputs!$C$88=0,Inputs!$C$88="",ISERROR(Inputs!$C$88)),Inputs!$D$88,Inputs!$C$88*Inputs!$K$9*(1+Inputs!$K$12)^B353),"Error - Check Input")
+IFERROR(IF(OR(Inputs!$C$89=0,Inputs!$C$89="",ISERROR(Inputs!$C$89)),Inputs!$D$89,Inputs!$C$89*Inputs!$K$9*(1+Inputs!$K$12)^B353),"Error - Check Input")
+IFERROR(IF(OR(Inputs!$C$90=0,Inputs!$C$90="",ISERROR(Inputs!$C$90)),Inputs!$D$90,Inputs!$C$90*Inputs!$K$9*(1+Inputs!$K$12)^B353),"Error - Check Input")
+IFERROR(IF(OR(Inputs!$C$93=0,Inputs!$C$93="",ISERROR(Inputs!$C$93)),Inputs!$D$93,Inputs!$C$93*Inputs!$K$9*(1+Inputs!$K$12)^B353),"Error - Check Input")</f>
        <v>67683.443329061614</v>
      </c>
      <c r="D353" s="17"/>
    </row>
    <row r="354" spans="2:4" x14ac:dyDescent="0.35">
      <c r="B354" s="18">
        <v>163</v>
      </c>
      <c r="C354" s="6">
        <f>IFERROR(IF(OR(Inputs!$C$84=0,Inputs!$C$84="",ISERROR(Inputs!$C$84)),Inputs!$D$84,Inputs!$C$84*Inputs!$K$9*(1+Inputs!$K$12)^B354),"Error - Check Input")
+IFERROR(IF(OR(Inputs!$C$85=0,Inputs!$C$85="",ISERROR(Inputs!$C$85)),Inputs!$D$85,Inputs!$C$85*Inputs!$K$9*(1+Inputs!$K$12)^B354),"Error - Check Input")
+IFERROR(IF(OR(Inputs!$C$86=0,Inputs!$C$86="",ISERROR(Inputs!$C$86)),Inputs!$D$86,Inputs!$C$86*Inputs!$K$9*(1+Inputs!$K$12)^B354),"Error - Check Input")
+IFERROR(IF(OR(Inputs!$C$87=0,Inputs!$C$87="",ISERROR(Inputs!$C$87)),Inputs!$D$87,Inputs!$C$87*Inputs!$K$9*(1+Inputs!$K$12)^B354),"Error - Check Input")
+IFERROR(IF(OR(Inputs!$C$88=0,Inputs!$C$88="",ISERROR(Inputs!$C$88)),Inputs!$D$88,Inputs!$C$88*Inputs!$K$9*(1+Inputs!$K$12)^B354),"Error - Check Input")
+IFERROR(IF(OR(Inputs!$C$89=0,Inputs!$C$89="",ISERROR(Inputs!$C$89)),Inputs!$D$89,Inputs!$C$89*Inputs!$K$9*(1+Inputs!$K$12)^B354),"Error - Check Input")
+IFERROR(IF(OR(Inputs!$C$90=0,Inputs!$C$90="",ISERROR(Inputs!$C$90)),Inputs!$D$90,Inputs!$C$90*Inputs!$K$9*(1+Inputs!$K$12)^B354),"Error - Check Input")
+IFERROR(IF(OR(Inputs!$C$93=0,Inputs!$C$93="",ISERROR(Inputs!$C$93)),Inputs!$D$93,Inputs!$C$93*Inputs!$K$9*(1+Inputs!$K$12)^B354),"Error - Check Input")</f>
        <v>67940.860498261347</v>
      </c>
      <c r="D354" s="17"/>
    </row>
    <row r="355" spans="2:4" x14ac:dyDescent="0.35">
      <c r="B355" s="18">
        <v>164</v>
      </c>
      <c r="C355" s="6">
        <f>IFERROR(IF(OR(Inputs!$C$84=0,Inputs!$C$84="",ISERROR(Inputs!$C$84)),Inputs!$D$84,Inputs!$C$84*Inputs!$K$9*(1+Inputs!$K$12)^B355),"Error - Check Input")
+IFERROR(IF(OR(Inputs!$C$85=0,Inputs!$C$85="",ISERROR(Inputs!$C$85)),Inputs!$D$85,Inputs!$C$85*Inputs!$K$9*(1+Inputs!$K$12)^B355),"Error - Check Input")
+IFERROR(IF(OR(Inputs!$C$86=0,Inputs!$C$86="",ISERROR(Inputs!$C$86)),Inputs!$D$86,Inputs!$C$86*Inputs!$K$9*(1+Inputs!$K$12)^B355),"Error - Check Input")
+IFERROR(IF(OR(Inputs!$C$87=0,Inputs!$C$87="",ISERROR(Inputs!$C$87)),Inputs!$D$87,Inputs!$C$87*Inputs!$K$9*(1+Inputs!$K$12)^B355),"Error - Check Input")
+IFERROR(IF(OR(Inputs!$C$88=0,Inputs!$C$88="",ISERROR(Inputs!$C$88)),Inputs!$D$88,Inputs!$C$88*Inputs!$K$9*(1+Inputs!$K$12)^B355),"Error - Check Input")
+IFERROR(IF(OR(Inputs!$C$89=0,Inputs!$C$89="",ISERROR(Inputs!$C$89)),Inputs!$D$89,Inputs!$C$89*Inputs!$K$9*(1+Inputs!$K$12)^B355),"Error - Check Input")
+IFERROR(IF(OR(Inputs!$C$90=0,Inputs!$C$90="",ISERROR(Inputs!$C$90)),Inputs!$D$90,Inputs!$C$90*Inputs!$K$9*(1+Inputs!$K$12)^B355),"Error - Check Input")
+IFERROR(IF(OR(Inputs!$C$93=0,Inputs!$C$93="",ISERROR(Inputs!$C$93)),Inputs!$D$93,Inputs!$C$93*Inputs!$K$9*(1+Inputs!$K$12)^B355),"Error - Check Input")</f>
        <v>68199.326416872427</v>
      </c>
      <c r="D355" s="17"/>
    </row>
    <row r="356" spans="2:4" x14ac:dyDescent="0.35">
      <c r="B356" s="18">
        <v>165</v>
      </c>
      <c r="C356" s="6">
        <f>IFERROR(IF(OR(Inputs!$C$84=0,Inputs!$C$84="",ISERROR(Inputs!$C$84)),Inputs!$D$84,Inputs!$C$84*Inputs!$K$9*(1+Inputs!$K$12)^B356),"Error - Check Input")
+IFERROR(IF(OR(Inputs!$C$85=0,Inputs!$C$85="",ISERROR(Inputs!$C$85)),Inputs!$D$85,Inputs!$C$85*Inputs!$K$9*(1+Inputs!$K$12)^B356),"Error - Check Input")
+IFERROR(IF(OR(Inputs!$C$86=0,Inputs!$C$86="",ISERROR(Inputs!$C$86)),Inputs!$D$86,Inputs!$C$86*Inputs!$K$9*(1+Inputs!$K$12)^B356),"Error - Check Input")
+IFERROR(IF(OR(Inputs!$C$87=0,Inputs!$C$87="",ISERROR(Inputs!$C$87)),Inputs!$D$87,Inputs!$C$87*Inputs!$K$9*(1+Inputs!$K$12)^B356),"Error - Check Input")
+IFERROR(IF(OR(Inputs!$C$88=0,Inputs!$C$88="",ISERROR(Inputs!$C$88)),Inputs!$D$88,Inputs!$C$88*Inputs!$K$9*(1+Inputs!$K$12)^B356),"Error - Check Input")
+IFERROR(IF(OR(Inputs!$C$89=0,Inputs!$C$89="",ISERROR(Inputs!$C$89)),Inputs!$D$89,Inputs!$C$89*Inputs!$K$9*(1+Inputs!$K$12)^B356),"Error - Check Input")
+IFERROR(IF(OR(Inputs!$C$90=0,Inputs!$C$90="",ISERROR(Inputs!$C$90)),Inputs!$D$90,Inputs!$C$90*Inputs!$K$9*(1+Inputs!$K$12)^B356),"Error - Check Input")
+IFERROR(IF(OR(Inputs!$C$93=0,Inputs!$C$93="",ISERROR(Inputs!$C$93)),Inputs!$D$93,Inputs!$C$93*Inputs!$K$9*(1+Inputs!$K$12)^B356),"Error - Check Input")</f>
        <v>68458.845357629776</v>
      </c>
      <c r="D356" s="17"/>
    </row>
    <row r="357" spans="2:4" x14ac:dyDescent="0.35">
      <c r="B357" s="18">
        <v>166</v>
      </c>
      <c r="C357" s="6">
        <f>IFERROR(IF(OR(Inputs!$C$84=0,Inputs!$C$84="",ISERROR(Inputs!$C$84)),Inputs!$D$84,Inputs!$C$84*Inputs!$K$9*(1+Inputs!$K$12)^B357),"Error - Check Input")
+IFERROR(IF(OR(Inputs!$C$85=0,Inputs!$C$85="",ISERROR(Inputs!$C$85)),Inputs!$D$85,Inputs!$C$85*Inputs!$K$9*(1+Inputs!$K$12)^B357),"Error - Check Input")
+IFERROR(IF(OR(Inputs!$C$86=0,Inputs!$C$86="",ISERROR(Inputs!$C$86)),Inputs!$D$86,Inputs!$C$86*Inputs!$K$9*(1+Inputs!$K$12)^B357),"Error - Check Input")
+IFERROR(IF(OR(Inputs!$C$87=0,Inputs!$C$87="",ISERROR(Inputs!$C$87)),Inputs!$D$87,Inputs!$C$87*Inputs!$K$9*(1+Inputs!$K$12)^B357),"Error - Check Input")
+IFERROR(IF(OR(Inputs!$C$88=0,Inputs!$C$88="",ISERROR(Inputs!$C$88)),Inputs!$D$88,Inputs!$C$88*Inputs!$K$9*(1+Inputs!$K$12)^B357),"Error - Check Input")
+IFERROR(IF(OR(Inputs!$C$89=0,Inputs!$C$89="",ISERROR(Inputs!$C$89)),Inputs!$D$89,Inputs!$C$89*Inputs!$K$9*(1+Inputs!$K$12)^B357),"Error - Check Input")
+IFERROR(IF(OR(Inputs!$C$90=0,Inputs!$C$90="",ISERROR(Inputs!$C$90)),Inputs!$D$90,Inputs!$C$90*Inputs!$K$9*(1+Inputs!$K$12)^B357),"Error - Check Input")
+IFERROR(IF(OR(Inputs!$C$93=0,Inputs!$C$93="",ISERROR(Inputs!$C$93)),Inputs!$D$93,Inputs!$C$93*Inputs!$K$9*(1+Inputs!$K$12)^B357),"Error - Check Input")</f>
        <v>68719.421610675985</v>
      </c>
      <c r="D357" s="17"/>
    </row>
    <row r="358" spans="2:4" x14ac:dyDescent="0.35">
      <c r="B358" s="18">
        <v>167</v>
      </c>
      <c r="C358" s="6">
        <f>IFERROR(IF(OR(Inputs!$C$84=0,Inputs!$C$84="",ISERROR(Inputs!$C$84)),Inputs!$D$84,Inputs!$C$84*Inputs!$K$9*(1+Inputs!$K$12)^B358),"Error - Check Input")
+IFERROR(IF(OR(Inputs!$C$85=0,Inputs!$C$85="",ISERROR(Inputs!$C$85)),Inputs!$D$85,Inputs!$C$85*Inputs!$K$9*(1+Inputs!$K$12)^B358),"Error - Check Input")
+IFERROR(IF(OR(Inputs!$C$86=0,Inputs!$C$86="",ISERROR(Inputs!$C$86)),Inputs!$D$86,Inputs!$C$86*Inputs!$K$9*(1+Inputs!$K$12)^B358),"Error - Check Input")
+IFERROR(IF(OR(Inputs!$C$87=0,Inputs!$C$87="",ISERROR(Inputs!$C$87)),Inputs!$D$87,Inputs!$C$87*Inputs!$K$9*(1+Inputs!$K$12)^B358),"Error - Check Input")
+IFERROR(IF(OR(Inputs!$C$88=0,Inputs!$C$88="",ISERROR(Inputs!$C$88)),Inputs!$D$88,Inputs!$C$88*Inputs!$K$9*(1+Inputs!$K$12)^B358),"Error - Check Input")
+IFERROR(IF(OR(Inputs!$C$89=0,Inputs!$C$89="",ISERROR(Inputs!$C$89)),Inputs!$D$89,Inputs!$C$89*Inputs!$K$9*(1+Inputs!$K$12)^B358),"Error - Check Input")
+IFERROR(IF(OR(Inputs!$C$90=0,Inputs!$C$90="",ISERROR(Inputs!$C$90)),Inputs!$D$90,Inputs!$C$90*Inputs!$K$9*(1+Inputs!$K$12)^B358),"Error - Check Input")
+IFERROR(IF(OR(Inputs!$C$93=0,Inputs!$C$93="",ISERROR(Inputs!$C$93)),Inputs!$D$93,Inputs!$C$93*Inputs!$K$9*(1+Inputs!$K$12)^B358),"Error - Check Input")</f>
        <v>68981.059483632183</v>
      </c>
      <c r="D358" s="17"/>
    </row>
    <row r="359" spans="2:4" x14ac:dyDescent="0.35">
      <c r="B359" s="18">
        <v>168</v>
      </c>
      <c r="C359" s="6">
        <f>IFERROR(IF(OR(Inputs!$C$84=0,Inputs!$C$84="",ISERROR(Inputs!$C$84)),Inputs!$D$84,Inputs!$C$84*Inputs!$K$9*(1+Inputs!$K$12)^B359),"Error - Check Input")
+IFERROR(IF(OR(Inputs!$C$85=0,Inputs!$C$85="",ISERROR(Inputs!$C$85)),Inputs!$D$85,Inputs!$C$85*Inputs!$K$9*(1+Inputs!$K$12)^B359),"Error - Check Input")
+IFERROR(IF(OR(Inputs!$C$86=0,Inputs!$C$86="",ISERROR(Inputs!$C$86)),Inputs!$D$86,Inputs!$C$86*Inputs!$K$9*(1+Inputs!$K$12)^B359),"Error - Check Input")
+IFERROR(IF(OR(Inputs!$C$87=0,Inputs!$C$87="",ISERROR(Inputs!$C$87)),Inputs!$D$87,Inputs!$C$87*Inputs!$K$9*(1+Inputs!$K$12)^B359),"Error - Check Input")
+IFERROR(IF(OR(Inputs!$C$88=0,Inputs!$C$88="",ISERROR(Inputs!$C$88)),Inputs!$D$88,Inputs!$C$88*Inputs!$K$9*(1+Inputs!$K$12)^B359),"Error - Check Input")
+IFERROR(IF(OR(Inputs!$C$89=0,Inputs!$C$89="",ISERROR(Inputs!$C$89)),Inputs!$D$89,Inputs!$C$89*Inputs!$K$9*(1+Inputs!$K$12)^B359),"Error - Check Input")
+IFERROR(IF(OR(Inputs!$C$90=0,Inputs!$C$90="",ISERROR(Inputs!$C$90)),Inputs!$D$90,Inputs!$C$90*Inputs!$K$9*(1+Inputs!$K$12)^B359),"Error - Check Input")
+IFERROR(IF(OR(Inputs!$C$93=0,Inputs!$C$93="",ISERROR(Inputs!$C$93)),Inputs!$D$93,Inputs!$C$93*Inputs!$K$9*(1+Inputs!$K$12)^B359),"Error - Check Input")</f>
        <v>69243.7633016693</v>
      </c>
      <c r="D359" s="17"/>
    </row>
    <row r="360" spans="2:4" x14ac:dyDescent="0.35">
      <c r="B360" s="18">
        <v>169</v>
      </c>
      <c r="C360" s="6">
        <f>IFERROR(IF(OR(Inputs!$C$84=0,Inputs!$C$84="",ISERROR(Inputs!$C$84)),Inputs!$D$84,Inputs!$C$84*Inputs!$K$9*(1+Inputs!$K$12)^B360),"Error - Check Input")
+IFERROR(IF(OR(Inputs!$C$85=0,Inputs!$C$85="",ISERROR(Inputs!$C$85)),Inputs!$D$85,Inputs!$C$85*Inputs!$K$9*(1+Inputs!$K$12)^B360),"Error - Check Input")
+IFERROR(IF(OR(Inputs!$C$86=0,Inputs!$C$86="",ISERROR(Inputs!$C$86)),Inputs!$D$86,Inputs!$C$86*Inputs!$K$9*(1+Inputs!$K$12)^B360),"Error - Check Input")
+IFERROR(IF(OR(Inputs!$C$87=0,Inputs!$C$87="",ISERROR(Inputs!$C$87)),Inputs!$D$87,Inputs!$C$87*Inputs!$K$9*(1+Inputs!$K$12)^B360),"Error - Check Input")
+IFERROR(IF(OR(Inputs!$C$88=0,Inputs!$C$88="",ISERROR(Inputs!$C$88)),Inputs!$D$88,Inputs!$C$88*Inputs!$K$9*(1+Inputs!$K$12)^B360),"Error - Check Input")
+IFERROR(IF(OR(Inputs!$C$89=0,Inputs!$C$89="",ISERROR(Inputs!$C$89)),Inputs!$D$89,Inputs!$C$89*Inputs!$K$9*(1+Inputs!$K$12)^B360),"Error - Check Input")
+IFERROR(IF(OR(Inputs!$C$90=0,Inputs!$C$90="",ISERROR(Inputs!$C$90)),Inputs!$D$90,Inputs!$C$90*Inputs!$K$9*(1+Inputs!$K$12)^B360),"Error - Check Input")
+IFERROR(IF(OR(Inputs!$C$93=0,Inputs!$C$93="",ISERROR(Inputs!$C$93)),Inputs!$D$93,Inputs!$C$93*Inputs!$K$9*(1+Inputs!$K$12)^B360),"Error - Check Input")</f>
        <v>69507.537407579541</v>
      </c>
      <c r="D360" s="17"/>
    </row>
    <row r="361" spans="2:4" x14ac:dyDescent="0.35">
      <c r="B361" s="18">
        <v>170</v>
      </c>
      <c r="C361" s="6">
        <f>IFERROR(IF(OR(Inputs!$C$84=0,Inputs!$C$84="",ISERROR(Inputs!$C$84)),Inputs!$D$84,Inputs!$C$84*Inputs!$K$9*(1+Inputs!$K$12)^B361),"Error - Check Input")
+IFERROR(IF(OR(Inputs!$C$85=0,Inputs!$C$85="",ISERROR(Inputs!$C$85)),Inputs!$D$85,Inputs!$C$85*Inputs!$K$9*(1+Inputs!$K$12)^B361),"Error - Check Input")
+IFERROR(IF(OR(Inputs!$C$86=0,Inputs!$C$86="",ISERROR(Inputs!$C$86)),Inputs!$D$86,Inputs!$C$86*Inputs!$K$9*(1+Inputs!$K$12)^B361),"Error - Check Input")
+IFERROR(IF(OR(Inputs!$C$87=0,Inputs!$C$87="",ISERROR(Inputs!$C$87)),Inputs!$D$87,Inputs!$C$87*Inputs!$K$9*(1+Inputs!$K$12)^B361),"Error - Check Input")
+IFERROR(IF(OR(Inputs!$C$88=0,Inputs!$C$88="",ISERROR(Inputs!$C$88)),Inputs!$D$88,Inputs!$C$88*Inputs!$K$9*(1+Inputs!$K$12)^B361),"Error - Check Input")
+IFERROR(IF(OR(Inputs!$C$89=0,Inputs!$C$89="",ISERROR(Inputs!$C$89)),Inputs!$D$89,Inputs!$C$89*Inputs!$K$9*(1+Inputs!$K$12)^B361),"Error - Check Input")
+IFERROR(IF(OR(Inputs!$C$90=0,Inputs!$C$90="",ISERROR(Inputs!$C$90)),Inputs!$D$90,Inputs!$C$90*Inputs!$K$9*(1+Inputs!$K$12)^B361),"Error - Check Input")
+IFERROR(IF(OR(Inputs!$C$93=0,Inputs!$C$93="",ISERROR(Inputs!$C$93)),Inputs!$D$93,Inputs!$C$93*Inputs!$K$9*(1+Inputs!$K$12)^B361),"Error - Check Input")</f>
        <v>69772.386161848175</v>
      </c>
      <c r="D361" s="17"/>
    </row>
    <row r="362" spans="2:4" x14ac:dyDescent="0.35">
      <c r="B362" s="18">
        <v>171</v>
      </c>
      <c r="C362" s="6">
        <f>IFERROR(IF(OR(Inputs!$C$84=0,Inputs!$C$84="",ISERROR(Inputs!$C$84)),Inputs!$D$84,Inputs!$C$84*Inputs!$K$9*(1+Inputs!$K$12)^B362),"Error - Check Input")
+IFERROR(IF(OR(Inputs!$C$85=0,Inputs!$C$85="",ISERROR(Inputs!$C$85)),Inputs!$D$85,Inputs!$C$85*Inputs!$K$9*(1+Inputs!$K$12)^B362),"Error - Check Input")
+IFERROR(IF(OR(Inputs!$C$86=0,Inputs!$C$86="",ISERROR(Inputs!$C$86)),Inputs!$D$86,Inputs!$C$86*Inputs!$K$9*(1+Inputs!$K$12)^B362),"Error - Check Input")
+IFERROR(IF(OR(Inputs!$C$87=0,Inputs!$C$87="",ISERROR(Inputs!$C$87)),Inputs!$D$87,Inputs!$C$87*Inputs!$K$9*(1+Inputs!$K$12)^B362),"Error - Check Input")
+IFERROR(IF(OR(Inputs!$C$88=0,Inputs!$C$88="",ISERROR(Inputs!$C$88)),Inputs!$D$88,Inputs!$C$88*Inputs!$K$9*(1+Inputs!$K$12)^B362),"Error - Check Input")
+IFERROR(IF(OR(Inputs!$C$89=0,Inputs!$C$89="",ISERROR(Inputs!$C$89)),Inputs!$D$89,Inputs!$C$89*Inputs!$K$9*(1+Inputs!$K$12)^B362),"Error - Check Input")
+IFERROR(IF(OR(Inputs!$C$90=0,Inputs!$C$90="",ISERROR(Inputs!$C$90)),Inputs!$D$90,Inputs!$C$90*Inputs!$K$9*(1+Inputs!$K$12)^B362),"Error - Check Input")
+IFERROR(IF(OR(Inputs!$C$93=0,Inputs!$C$93="",ISERROR(Inputs!$C$93)),Inputs!$D$93,Inputs!$C$93*Inputs!$K$9*(1+Inputs!$K$12)^B362),"Error - Check Input")</f>
        <v>70038.313942725654</v>
      </c>
      <c r="D362" s="17"/>
    </row>
    <row r="363" spans="2:4" x14ac:dyDescent="0.35">
      <c r="B363" s="18">
        <v>172</v>
      </c>
      <c r="C363" s="6">
        <f>IFERROR(IF(OR(Inputs!$C$84=0,Inputs!$C$84="",ISERROR(Inputs!$C$84)),Inputs!$D$84,Inputs!$C$84*Inputs!$K$9*(1+Inputs!$K$12)^B363),"Error - Check Input")
+IFERROR(IF(OR(Inputs!$C$85=0,Inputs!$C$85="",ISERROR(Inputs!$C$85)),Inputs!$D$85,Inputs!$C$85*Inputs!$K$9*(1+Inputs!$K$12)^B363),"Error - Check Input")
+IFERROR(IF(OR(Inputs!$C$86=0,Inputs!$C$86="",ISERROR(Inputs!$C$86)),Inputs!$D$86,Inputs!$C$86*Inputs!$K$9*(1+Inputs!$K$12)^B363),"Error - Check Input")
+IFERROR(IF(OR(Inputs!$C$87=0,Inputs!$C$87="",ISERROR(Inputs!$C$87)),Inputs!$D$87,Inputs!$C$87*Inputs!$K$9*(1+Inputs!$K$12)^B363),"Error - Check Input")
+IFERROR(IF(OR(Inputs!$C$88=0,Inputs!$C$88="",ISERROR(Inputs!$C$88)),Inputs!$D$88,Inputs!$C$88*Inputs!$K$9*(1+Inputs!$K$12)^B363),"Error - Check Input")
+IFERROR(IF(OR(Inputs!$C$89=0,Inputs!$C$89="",ISERROR(Inputs!$C$89)),Inputs!$D$89,Inputs!$C$89*Inputs!$K$9*(1+Inputs!$K$12)^B363),"Error - Check Input")
+IFERROR(IF(OR(Inputs!$C$90=0,Inputs!$C$90="",ISERROR(Inputs!$C$90)),Inputs!$D$90,Inputs!$C$90*Inputs!$K$9*(1+Inputs!$K$12)^B363),"Error - Check Input")
+IFERROR(IF(OR(Inputs!$C$93=0,Inputs!$C$93="",ISERROR(Inputs!$C$93)),Inputs!$D$93,Inputs!$C$93*Inputs!$K$9*(1+Inputs!$K$12)^B363),"Error - Check Input")</f>
        <v>70305.325146299903</v>
      </c>
      <c r="D363" s="17"/>
    </row>
    <row r="364" spans="2:4" x14ac:dyDescent="0.35">
      <c r="B364" s="18">
        <v>173</v>
      </c>
      <c r="C364" s="6">
        <f>IFERROR(IF(OR(Inputs!$C$84=0,Inputs!$C$84="",ISERROR(Inputs!$C$84)),Inputs!$D$84,Inputs!$C$84*Inputs!$K$9*(1+Inputs!$K$12)^B364),"Error - Check Input")
+IFERROR(IF(OR(Inputs!$C$85=0,Inputs!$C$85="",ISERROR(Inputs!$C$85)),Inputs!$D$85,Inputs!$C$85*Inputs!$K$9*(1+Inputs!$K$12)^B364),"Error - Check Input")
+IFERROR(IF(OR(Inputs!$C$86=0,Inputs!$C$86="",ISERROR(Inputs!$C$86)),Inputs!$D$86,Inputs!$C$86*Inputs!$K$9*(1+Inputs!$K$12)^B364),"Error - Check Input")
+IFERROR(IF(OR(Inputs!$C$87=0,Inputs!$C$87="",ISERROR(Inputs!$C$87)),Inputs!$D$87,Inputs!$C$87*Inputs!$K$9*(1+Inputs!$K$12)^B364),"Error - Check Input")
+IFERROR(IF(OR(Inputs!$C$88=0,Inputs!$C$88="",ISERROR(Inputs!$C$88)),Inputs!$D$88,Inputs!$C$88*Inputs!$K$9*(1+Inputs!$K$12)^B364),"Error - Check Input")
+IFERROR(IF(OR(Inputs!$C$89=0,Inputs!$C$89="",ISERROR(Inputs!$C$89)),Inputs!$D$89,Inputs!$C$89*Inputs!$K$9*(1+Inputs!$K$12)^B364),"Error - Check Input")
+IFERROR(IF(OR(Inputs!$C$90=0,Inputs!$C$90="",ISERROR(Inputs!$C$90)),Inputs!$D$90,Inputs!$C$90*Inputs!$K$9*(1+Inputs!$K$12)^B364),"Error - Check Input")
+IFERROR(IF(OR(Inputs!$C$93=0,Inputs!$C$93="",ISERROR(Inputs!$C$93)),Inputs!$D$93,Inputs!$C$93*Inputs!$K$9*(1+Inputs!$K$12)^B364),"Error - Check Input")</f>
        <v>70573.424186569173</v>
      </c>
      <c r="D364" s="17"/>
    </row>
    <row r="365" spans="2:4" x14ac:dyDescent="0.35">
      <c r="B365" s="18">
        <v>174</v>
      </c>
      <c r="C365" s="6">
        <f>IFERROR(IF(OR(Inputs!$C$84=0,Inputs!$C$84="",ISERROR(Inputs!$C$84)),Inputs!$D$84,Inputs!$C$84*Inputs!$K$9*(1+Inputs!$K$12)^B365),"Error - Check Input")
+IFERROR(IF(OR(Inputs!$C$85=0,Inputs!$C$85="",ISERROR(Inputs!$C$85)),Inputs!$D$85,Inputs!$C$85*Inputs!$K$9*(1+Inputs!$K$12)^B365),"Error - Check Input")
+IFERROR(IF(OR(Inputs!$C$86=0,Inputs!$C$86="",ISERROR(Inputs!$C$86)),Inputs!$D$86,Inputs!$C$86*Inputs!$K$9*(1+Inputs!$K$12)^B365),"Error - Check Input")
+IFERROR(IF(OR(Inputs!$C$87=0,Inputs!$C$87="",ISERROR(Inputs!$C$87)),Inputs!$D$87,Inputs!$C$87*Inputs!$K$9*(1+Inputs!$K$12)^B365),"Error - Check Input")
+IFERROR(IF(OR(Inputs!$C$88=0,Inputs!$C$88="",ISERROR(Inputs!$C$88)),Inputs!$D$88,Inputs!$C$88*Inputs!$K$9*(1+Inputs!$K$12)^B365),"Error - Check Input")
+IFERROR(IF(OR(Inputs!$C$89=0,Inputs!$C$89="",ISERROR(Inputs!$C$89)),Inputs!$D$89,Inputs!$C$89*Inputs!$K$9*(1+Inputs!$K$12)^B365),"Error - Check Input")
+IFERROR(IF(OR(Inputs!$C$90=0,Inputs!$C$90="",ISERROR(Inputs!$C$90)),Inputs!$D$90,Inputs!$C$90*Inputs!$K$9*(1+Inputs!$K$12)^B365),"Error - Check Input")
+IFERROR(IF(OR(Inputs!$C$93=0,Inputs!$C$93="",ISERROR(Inputs!$C$93)),Inputs!$D$93,Inputs!$C$93*Inputs!$K$9*(1+Inputs!$K$12)^B365),"Error - Check Input")</f>
        <v>70842.61549551475</v>
      </c>
      <c r="D365" s="17"/>
    </row>
    <row r="366" spans="2:4" x14ac:dyDescent="0.35">
      <c r="B366" s="18">
        <v>175</v>
      </c>
      <c r="C366" s="6">
        <f>IFERROR(IF(OR(Inputs!$C$84=0,Inputs!$C$84="",ISERROR(Inputs!$C$84)),Inputs!$D$84,Inputs!$C$84*Inputs!$K$9*(1+Inputs!$K$12)^B366),"Error - Check Input")
+IFERROR(IF(OR(Inputs!$C$85=0,Inputs!$C$85="",ISERROR(Inputs!$C$85)),Inputs!$D$85,Inputs!$C$85*Inputs!$K$9*(1+Inputs!$K$12)^B366),"Error - Check Input")
+IFERROR(IF(OR(Inputs!$C$86=0,Inputs!$C$86="",ISERROR(Inputs!$C$86)),Inputs!$D$86,Inputs!$C$86*Inputs!$K$9*(1+Inputs!$K$12)^B366),"Error - Check Input")
+IFERROR(IF(OR(Inputs!$C$87=0,Inputs!$C$87="",ISERROR(Inputs!$C$87)),Inputs!$D$87,Inputs!$C$87*Inputs!$K$9*(1+Inputs!$K$12)^B366),"Error - Check Input")
+IFERROR(IF(OR(Inputs!$C$88=0,Inputs!$C$88="",ISERROR(Inputs!$C$88)),Inputs!$D$88,Inputs!$C$88*Inputs!$K$9*(1+Inputs!$K$12)^B366),"Error - Check Input")
+IFERROR(IF(OR(Inputs!$C$89=0,Inputs!$C$89="",ISERROR(Inputs!$C$89)),Inputs!$D$89,Inputs!$C$89*Inputs!$K$9*(1+Inputs!$K$12)^B366),"Error - Check Input")
+IFERROR(IF(OR(Inputs!$C$90=0,Inputs!$C$90="",ISERROR(Inputs!$C$90)),Inputs!$D$90,Inputs!$C$90*Inputs!$K$9*(1+Inputs!$K$12)^B366),"Error - Check Input")
+IFERROR(IF(OR(Inputs!$C$93=0,Inputs!$C$93="",ISERROR(Inputs!$C$93)),Inputs!$D$93,Inputs!$C$93*Inputs!$K$9*(1+Inputs!$K$12)^B366),"Error - Check Input")</f>
        <v>71112.903523174478</v>
      </c>
      <c r="D366" s="17"/>
    </row>
    <row r="367" spans="2:4" x14ac:dyDescent="0.35">
      <c r="B367" s="18">
        <v>176</v>
      </c>
      <c r="C367" s="6">
        <f>IFERROR(IF(OR(Inputs!$C$84=0,Inputs!$C$84="",ISERROR(Inputs!$C$84)),Inputs!$D$84,Inputs!$C$84*Inputs!$K$9*(1+Inputs!$K$12)^B367),"Error - Check Input")
+IFERROR(IF(OR(Inputs!$C$85=0,Inputs!$C$85="",ISERROR(Inputs!$C$85)),Inputs!$D$85,Inputs!$C$85*Inputs!$K$9*(1+Inputs!$K$12)^B367),"Error - Check Input")
+IFERROR(IF(OR(Inputs!$C$86=0,Inputs!$C$86="",ISERROR(Inputs!$C$86)),Inputs!$D$86,Inputs!$C$86*Inputs!$K$9*(1+Inputs!$K$12)^B367),"Error - Check Input")
+IFERROR(IF(OR(Inputs!$C$87=0,Inputs!$C$87="",ISERROR(Inputs!$C$87)),Inputs!$D$87,Inputs!$C$87*Inputs!$K$9*(1+Inputs!$K$12)^B367),"Error - Check Input")
+IFERROR(IF(OR(Inputs!$C$88=0,Inputs!$C$88="",ISERROR(Inputs!$C$88)),Inputs!$D$88,Inputs!$C$88*Inputs!$K$9*(1+Inputs!$K$12)^B367),"Error - Check Input")
+IFERROR(IF(OR(Inputs!$C$89=0,Inputs!$C$89="",ISERROR(Inputs!$C$89)),Inputs!$D$89,Inputs!$C$89*Inputs!$K$9*(1+Inputs!$K$12)^B367),"Error - Check Input")
+IFERROR(IF(OR(Inputs!$C$90=0,Inputs!$C$90="",ISERROR(Inputs!$C$90)),Inputs!$D$90,Inputs!$C$90*Inputs!$K$9*(1+Inputs!$K$12)^B367),"Error - Check Input")
+IFERROR(IF(OR(Inputs!$C$93=0,Inputs!$C$93="",ISERROR(Inputs!$C$93)),Inputs!$D$93,Inputs!$C$93*Inputs!$K$9*(1+Inputs!$K$12)^B367),"Error - Check Input")</f>
        <v>71384.292737716125</v>
      </c>
      <c r="D367" s="17"/>
    </row>
    <row r="368" spans="2:4" x14ac:dyDescent="0.35">
      <c r="B368" s="18">
        <v>177</v>
      </c>
      <c r="C368" s="6">
        <f>IFERROR(IF(OR(Inputs!$C$84=0,Inputs!$C$84="",ISERROR(Inputs!$C$84)),Inputs!$D$84,Inputs!$C$84*Inputs!$K$9*(1+Inputs!$K$12)^B368),"Error - Check Input")
+IFERROR(IF(OR(Inputs!$C$85=0,Inputs!$C$85="",ISERROR(Inputs!$C$85)),Inputs!$D$85,Inputs!$C$85*Inputs!$K$9*(1+Inputs!$K$12)^B368),"Error - Check Input")
+IFERROR(IF(OR(Inputs!$C$86=0,Inputs!$C$86="",ISERROR(Inputs!$C$86)),Inputs!$D$86,Inputs!$C$86*Inputs!$K$9*(1+Inputs!$K$12)^B368),"Error - Check Input")
+IFERROR(IF(OR(Inputs!$C$87=0,Inputs!$C$87="",ISERROR(Inputs!$C$87)),Inputs!$D$87,Inputs!$C$87*Inputs!$K$9*(1+Inputs!$K$12)^B368),"Error - Check Input")
+IFERROR(IF(OR(Inputs!$C$88=0,Inputs!$C$88="",ISERROR(Inputs!$C$88)),Inputs!$D$88,Inputs!$C$88*Inputs!$K$9*(1+Inputs!$K$12)^B368),"Error - Check Input")
+IFERROR(IF(OR(Inputs!$C$89=0,Inputs!$C$89="",ISERROR(Inputs!$C$89)),Inputs!$D$89,Inputs!$C$89*Inputs!$K$9*(1+Inputs!$K$12)^B368),"Error - Check Input")
+IFERROR(IF(OR(Inputs!$C$90=0,Inputs!$C$90="",ISERROR(Inputs!$C$90)),Inputs!$D$90,Inputs!$C$90*Inputs!$K$9*(1+Inputs!$K$12)^B368),"Error - Check Input")
+IFERROR(IF(OR(Inputs!$C$93=0,Inputs!$C$93="",ISERROR(Inputs!$C$93)),Inputs!$D$93,Inputs!$C$93*Inputs!$K$9*(1+Inputs!$K$12)^B368),"Error - Check Input")</f>
        <v>71656.787625511337</v>
      </c>
      <c r="D368" s="17"/>
    </row>
    <row r="369" spans="2:4" x14ac:dyDescent="0.35">
      <c r="B369" s="18">
        <v>178</v>
      </c>
      <c r="C369" s="6">
        <f>IFERROR(IF(OR(Inputs!$C$84=0,Inputs!$C$84="",ISERROR(Inputs!$C$84)),Inputs!$D$84,Inputs!$C$84*Inputs!$K$9*(1+Inputs!$K$12)^B369),"Error - Check Input")
+IFERROR(IF(OR(Inputs!$C$85=0,Inputs!$C$85="",ISERROR(Inputs!$C$85)),Inputs!$D$85,Inputs!$C$85*Inputs!$K$9*(1+Inputs!$K$12)^B369),"Error - Check Input")
+IFERROR(IF(OR(Inputs!$C$86=0,Inputs!$C$86="",ISERROR(Inputs!$C$86)),Inputs!$D$86,Inputs!$C$86*Inputs!$K$9*(1+Inputs!$K$12)^B369),"Error - Check Input")
+IFERROR(IF(OR(Inputs!$C$87=0,Inputs!$C$87="",ISERROR(Inputs!$C$87)),Inputs!$D$87,Inputs!$C$87*Inputs!$K$9*(1+Inputs!$K$12)^B369),"Error - Check Input")
+IFERROR(IF(OR(Inputs!$C$88=0,Inputs!$C$88="",ISERROR(Inputs!$C$88)),Inputs!$D$88,Inputs!$C$88*Inputs!$K$9*(1+Inputs!$K$12)^B369),"Error - Check Input")
+IFERROR(IF(OR(Inputs!$C$89=0,Inputs!$C$89="",ISERROR(Inputs!$C$89)),Inputs!$D$89,Inputs!$C$89*Inputs!$K$9*(1+Inputs!$K$12)^B369),"Error - Check Input")
+IFERROR(IF(OR(Inputs!$C$90=0,Inputs!$C$90="",ISERROR(Inputs!$C$90)),Inputs!$D$90,Inputs!$C$90*Inputs!$K$9*(1+Inputs!$K$12)^B369),"Error - Check Input")
+IFERROR(IF(OR(Inputs!$C$93=0,Inputs!$C$93="",ISERROR(Inputs!$C$93)),Inputs!$D$93,Inputs!$C$93*Inputs!$K$9*(1+Inputs!$K$12)^B369),"Error - Check Input")</f>
        <v>71930.392691209869</v>
      </c>
      <c r="D369" s="17"/>
    </row>
    <row r="370" spans="2:4" x14ac:dyDescent="0.35">
      <c r="B370" s="18">
        <v>179</v>
      </c>
      <c r="C370" s="6">
        <f>IFERROR(IF(OR(Inputs!$C$84=0,Inputs!$C$84="",ISERROR(Inputs!$C$84)),Inputs!$D$84,Inputs!$C$84*Inputs!$K$9*(1+Inputs!$K$12)^B370),"Error - Check Input")
+IFERROR(IF(OR(Inputs!$C$85=0,Inputs!$C$85="",ISERROR(Inputs!$C$85)),Inputs!$D$85,Inputs!$C$85*Inputs!$K$9*(1+Inputs!$K$12)^B370),"Error - Check Input")
+IFERROR(IF(OR(Inputs!$C$86=0,Inputs!$C$86="",ISERROR(Inputs!$C$86)),Inputs!$D$86,Inputs!$C$86*Inputs!$K$9*(1+Inputs!$K$12)^B370),"Error - Check Input")
+IFERROR(IF(OR(Inputs!$C$87=0,Inputs!$C$87="",ISERROR(Inputs!$C$87)),Inputs!$D$87,Inputs!$C$87*Inputs!$K$9*(1+Inputs!$K$12)^B370),"Error - Check Input")
+IFERROR(IF(OR(Inputs!$C$88=0,Inputs!$C$88="",ISERROR(Inputs!$C$88)),Inputs!$D$88,Inputs!$C$88*Inputs!$K$9*(1+Inputs!$K$12)^B370),"Error - Check Input")
+IFERROR(IF(OR(Inputs!$C$89=0,Inputs!$C$89="",ISERROR(Inputs!$C$89)),Inputs!$D$89,Inputs!$C$89*Inputs!$K$9*(1+Inputs!$K$12)^B370),"Error - Check Input")
+IFERROR(IF(OR(Inputs!$C$90=0,Inputs!$C$90="",ISERROR(Inputs!$C$90)),Inputs!$D$90,Inputs!$C$90*Inputs!$K$9*(1+Inputs!$K$12)^B370),"Error - Check Input")
+IFERROR(IF(OR(Inputs!$C$93=0,Inputs!$C$93="",ISERROR(Inputs!$C$93)),Inputs!$D$93,Inputs!$C$93*Inputs!$K$9*(1+Inputs!$K$12)^B370),"Error - Check Input")</f>
        <v>72205.112457813884</v>
      </c>
      <c r="D370" s="17"/>
    </row>
    <row r="371" spans="2:4" x14ac:dyDescent="0.35">
      <c r="B371" s="18">
        <v>180</v>
      </c>
      <c r="C371" s="6">
        <f>IFERROR(IF(OR(Inputs!$C$84=0,Inputs!$C$84="",ISERROR(Inputs!$C$84)),Inputs!$D$84,Inputs!$C$84*Inputs!$K$9*(1+Inputs!$K$12)^B371),"Error - Check Input")
+IFERROR(IF(OR(Inputs!$C$85=0,Inputs!$C$85="",ISERROR(Inputs!$C$85)),Inputs!$D$85,Inputs!$C$85*Inputs!$K$9*(1+Inputs!$K$12)^B371),"Error - Check Input")
+IFERROR(IF(OR(Inputs!$C$86=0,Inputs!$C$86="",ISERROR(Inputs!$C$86)),Inputs!$D$86,Inputs!$C$86*Inputs!$K$9*(1+Inputs!$K$12)^B371),"Error - Check Input")
+IFERROR(IF(OR(Inputs!$C$87=0,Inputs!$C$87="",ISERROR(Inputs!$C$87)),Inputs!$D$87,Inputs!$C$87*Inputs!$K$9*(1+Inputs!$K$12)^B371),"Error - Check Input")
+IFERROR(IF(OR(Inputs!$C$88=0,Inputs!$C$88="",ISERROR(Inputs!$C$88)),Inputs!$D$88,Inputs!$C$88*Inputs!$K$9*(1+Inputs!$K$12)^B371),"Error - Check Input")
+IFERROR(IF(OR(Inputs!$C$89=0,Inputs!$C$89="",ISERROR(Inputs!$C$89)),Inputs!$D$89,Inputs!$C$89*Inputs!$K$9*(1+Inputs!$K$12)^B371),"Error - Check Input")
+IFERROR(IF(OR(Inputs!$C$90=0,Inputs!$C$90="",ISERROR(Inputs!$C$90)),Inputs!$D$90,Inputs!$C$90*Inputs!$K$9*(1+Inputs!$K$12)^B371),"Error - Check Input")
+IFERROR(IF(OR(Inputs!$C$93=0,Inputs!$C$93="",ISERROR(Inputs!$C$93)),Inputs!$D$93,Inputs!$C$93*Inputs!$K$9*(1+Inputs!$K$12)^B371),"Error - Check Input")</f>
        <v>72480.951466752842</v>
      </c>
      <c r="D371" s="17"/>
    </row>
    <row r="372" spans="2:4" x14ac:dyDescent="0.35">
      <c r="B372" s="18">
        <v>181</v>
      </c>
      <c r="C372" s="6">
        <f>IFERROR(IF(OR(Inputs!$C$84=0,Inputs!$C$84="",ISERROR(Inputs!$C$84)),Inputs!$D$84,Inputs!$C$84*Inputs!$K$9*(1+Inputs!$K$12)^B372),"Error - Check Input")
+IFERROR(IF(OR(Inputs!$C$85=0,Inputs!$C$85="",ISERROR(Inputs!$C$85)),Inputs!$D$85,Inputs!$C$85*Inputs!$K$9*(1+Inputs!$K$12)^B372),"Error - Check Input")
+IFERROR(IF(OR(Inputs!$C$86=0,Inputs!$C$86="",ISERROR(Inputs!$C$86)),Inputs!$D$86,Inputs!$C$86*Inputs!$K$9*(1+Inputs!$K$12)^B372),"Error - Check Input")
+IFERROR(IF(OR(Inputs!$C$87=0,Inputs!$C$87="",ISERROR(Inputs!$C$87)),Inputs!$D$87,Inputs!$C$87*Inputs!$K$9*(1+Inputs!$K$12)^B372),"Error - Check Input")
+IFERROR(IF(OR(Inputs!$C$88=0,Inputs!$C$88="",ISERROR(Inputs!$C$88)),Inputs!$D$88,Inputs!$C$88*Inputs!$K$9*(1+Inputs!$K$12)^B372),"Error - Check Input")
+IFERROR(IF(OR(Inputs!$C$89=0,Inputs!$C$89="",ISERROR(Inputs!$C$89)),Inputs!$D$89,Inputs!$C$89*Inputs!$K$9*(1+Inputs!$K$12)^B372),"Error - Check Input")
+IFERROR(IF(OR(Inputs!$C$90=0,Inputs!$C$90="",ISERROR(Inputs!$C$90)),Inputs!$D$90,Inputs!$C$90*Inputs!$K$9*(1+Inputs!$K$12)^B372),"Error - Check Input")
+IFERROR(IF(OR(Inputs!$C$93=0,Inputs!$C$93="",ISERROR(Inputs!$C$93)),Inputs!$D$93,Inputs!$C$93*Inputs!$K$9*(1+Inputs!$K$12)^B372),"Error - Check Input")</f>
        <v>72757.914277958582</v>
      </c>
      <c r="D372" s="17"/>
    </row>
    <row r="373" spans="2:4" x14ac:dyDescent="0.35">
      <c r="B373" s="18">
        <v>182</v>
      </c>
      <c r="C373" s="6">
        <f>IFERROR(IF(OR(Inputs!$C$84=0,Inputs!$C$84="",ISERROR(Inputs!$C$84)),Inputs!$D$84,Inputs!$C$84*Inputs!$K$9*(1+Inputs!$K$12)^B373),"Error - Check Input")
+IFERROR(IF(OR(Inputs!$C$85=0,Inputs!$C$85="",ISERROR(Inputs!$C$85)),Inputs!$D$85,Inputs!$C$85*Inputs!$K$9*(1+Inputs!$K$12)^B373),"Error - Check Input")
+IFERROR(IF(OR(Inputs!$C$86=0,Inputs!$C$86="",ISERROR(Inputs!$C$86)),Inputs!$D$86,Inputs!$C$86*Inputs!$K$9*(1+Inputs!$K$12)^B373),"Error - Check Input")
+IFERROR(IF(OR(Inputs!$C$87=0,Inputs!$C$87="",ISERROR(Inputs!$C$87)),Inputs!$D$87,Inputs!$C$87*Inputs!$K$9*(1+Inputs!$K$12)^B373),"Error - Check Input")
+IFERROR(IF(OR(Inputs!$C$88=0,Inputs!$C$88="",ISERROR(Inputs!$C$88)),Inputs!$D$88,Inputs!$C$88*Inputs!$K$9*(1+Inputs!$K$12)^B373),"Error - Check Input")
+IFERROR(IF(OR(Inputs!$C$89=0,Inputs!$C$89="",ISERROR(Inputs!$C$89)),Inputs!$D$89,Inputs!$C$89*Inputs!$K$9*(1+Inputs!$K$12)^B373),"Error - Check Input")
+IFERROR(IF(OR(Inputs!$C$90=0,Inputs!$C$90="",ISERROR(Inputs!$C$90)),Inputs!$D$90,Inputs!$C$90*Inputs!$K$9*(1+Inputs!$K$12)^B373),"Error - Check Input")
+IFERROR(IF(OR(Inputs!$C$93=0,Inputs!$C$93="",ISERROR(Inputs!$C$93)),Inputs!$D$93,Inputs!$C$93*Inputs!$K$9*(1+Inputs!$K$12)^B373),"Error - Check Input")</f>
        <v>73036.005469940661</v>
      </c>
      <c r="D373" s="17"/>
    </row>
    <row r="374" spans="2:4" x14ac:dyDescent="0.35">
      <c r="B374" s="18">
        <v>183</v>
      </c>
      <c r="C374" s="6">
        <f>IFERROR(IF(OR(Inputs!$C$84=0,Inputs!$C$84="",ISERROR(Inputs!$C$84)),Inputs!$D$84,Inputs!$C$84*Inputs!$K$9*(1+Inputs!$K$12)^B374),"Error - Check Input")
+IFERROR(IF(OR(Inputs!$C$85=0,Inputs!$C$85="",ISERROR(Inputs!$C$85)),Inputs!$D$85,Inputs!$C$85*Inputs!$K$9*(1+Inputs!$K$12)^B374),"Error - Check Input")
+IFERROR(IF(OR(Inputs!$C$86=0,Inputs!$C$86="",ISERROR(Inputs!$C$86)),Inputs!$D$86,Inputs!$C$86*Inputs!$K$9*(1+Inputs!$K$12)^B374),"Error - Check Input")
+IFERROR(IF(OR(Inputs!$C$87=0,Inputs!$C$87="",ISERROR(Inputs!$C$87)),Inputs!$D$87,Inputs!$C$87*Inputs!$K$9*(1+Inputs!$K$12)^B374),"Error - Check Input")
+IFERROR(IF(OR(Inputs!$C$88=0,Inputs!$C$88="",ISERROR(Inputs!$C$88)),Inputs!$D$88,Inputs!$C$88*Inputs!$K$9*(1+Inputs!$K$12)^B374),"Error - Check Input")
+IFERROR(IF(OR(Inputs!$C$89=0,Inputs!$C$89="",ISERROR(Inputs!$C$89)),Inputs!$D$89,Inputs!$C$89*Inputs!$K$9*(1+Inputs!$K$12)^B374),"Error - Check Input")
+IFERROR(IF(OR(Inputs!$C$90=0,Inputs!$C$90="",ISERROR(Inputs!$C$90)),Inputs!$D$90,Inputs!$C$90*Inputs!$K$9*(1+Inputs!$K$12)^B374),"Error - Check Input")
+IFERROR(IF(OR(Inputs!$C$93=0,Inputs!$C$93="",ISERROR(Inputs!$C$93)),Inputs!$D$93,Inputs!$C$93*Inputs!$K$9*(1+Inputs!$K$12)^B374),"Error - Check Input")</f>
        <v>73315.229639861995</v>
      </c>
      <c r="D374" s="17"/>
    </row>
    <row r="375" spans="2:4" x14ac:dyDescent="0.35">
      <c r="B375" s="18">
        <v>184</v>
      </c>
      <c r="C375" s="6">
        <f>IFERROR(IF(OR(Inputs!$C$84=0,Inputs!$C$84="",ISERROR(Inputs!$C$84)),Inputs!$D$84,Inputs!$C$84*Inputs!$K$9*(1+Inputs!$K$12)^B375),"Error - Check Input")
+IFERROR(IF(OR(Inputs!$C$85=0,Inputs!$C$85="",ISERROR(Inputs!$C$85)),Inputs!$D$85,Inputs!$C$85*Inputs!$K$9*(1+Inputs!$K$12)^B375),"Error - Check Input")
+IFERROR(IF(OR(Inputs!$C$86=0,Inputs!$C$86="",ISERROR(Inputs!$C$86)),Inputs!$D$86,Inputs!$C$86*Inputs!$K$9*(1+Inputs!$K$12)^B375),"Error - Check Input")
+IFERROR(IF(OR(Inputs!$C$87=0,Inputs!$C$87="",ISERROR(Inputs!$C$87)),Inputs!$D$87,Inputs!$C$87*Inputs!$K$9*(1+Inputs!$K$12)^B375),"Error - Check Input")
+IFERROR(IF(OR(Inputs!$C$88=0,Inputs!$C$88="",ISERROR(Inputs!$C$88)),Inputs!$D$88,Inputs!$C$88*Inputs!$K$9*(1+Inputs!$K$12)^B375),"Error - Check Input")
+IFERROR(IF(OR(Inputs!$C$89=0,Inputs!$C$89="",ISERROR(Inputs!$C$89)),Inputs!$D$89,Inputs!$C$89*Inputs!$K$9*(1+Inputs!$K$12)^B375),"Error - Check Input")
+IFERROR(IF(OR(Inputs!$C$90=0,Inputs!$C$90="",ISERROR(Inputs!$C$90)),Inputs!$D$90,Inputs!$C$90*Inputs!$K$9*(1+Inputs!$K$12)^B375),"Error - Check Input")
+IFERROR(IF(OR(Inputs!$C$93=0,Inputs!$C$93="",ISERROR(Inputs!$C$93)),Inputs!$D$93,Inputs!$C$93*Inputs!$K$9*(1+Inputs!$K$12)^B375),"Error - Check Input")</f>
        <v>73595.591403614992</v>
      </c>
      <c r="D375" s="17"/>
    </row>
    <row r="376" spans="2:4" x14ac:dyDescent="0.35">
      <c r="B376" s="18">
        <v>185</v>
      </c>
      <c r="C376" s="6">
        <f>IFERROR(IF(OR(Inputs!$C$84=0,Inputs!$C$84="",ISERROR(Inputs!$C$84)),Inputs!$D$84,Inputs!$C$84*Inputs!$K$9*(1+Inputs!$K$12)^B376),"Error - Check Input")
+IFERROR(IF(OR(Inputs!$C$85=0,Inputs!$C$85="",ISERROR(Inputs!$C$85)),Inputs!$D$85,Inputs!$C$85*Inputs!$K$9*(1+Inputs!$K$12)^B376),"Error - Check Input")
+IFERROR(IF(OR(Inputs!$C$86=0,Inputs!$C$86="",ISERROR(Inputs!$C$86)),Inputs!$D$86,Inputs!$C$86*Inputs!$K$9*(1+Inputs!$K$12)^B376),"Error - Check Input")
+IFERROR(IF(OR(Inputs!$C$87=0,Inputs!$C$87="",ISERROR(Inputs!$C$87)),Inputs!$D$87,Inputs!$C$87*Inputs!$K$9*(1+Inputs!$K$12)^B376),"Error - Check Input")
+IFERROR(IF(OR(Inputs!$C$88=0,Inputs!$C$88="",ISERROR(Inputs!$C$88)),Inputs!$D$88,Inputs!$C$88*Inputs!$K$9*(1+Inputs!$K$12)^B376),"Error - Check Input")
+IFERROR(IF(OR(Inputs!$C$89=0,Inputs!$C$89="",ISERROR(Inputs!$C$89)),Inputs!$D$89,Inputs!$C$89*Inputs!$K$9*(1+Inputs!$K$12)^B376),"Error - Check Input")
+IFERROR(IF(OR(Inputs!$C$90=0,Inputs!$C$90="",ISERROR(Inputs!$C$90)),Inputs!$D$90,Inputs!$C$90*Inputs!$K$9*(1+Inputs!$K$12)^B376),"Error - Check Input")
+IFERROR(IF(OR(Inputs!$C$93=0,Inputs!$C$93="",ISERROR(Inputs!$C$93)),Inputs!$D$93,Inputs!$C$93*Inputs!$K$9*(1+Inputs!$K$12)^B376),"Error - Check Input")</f>
        <v>73877.095395897719</v>
      </c>
      <c r="D376" s="17"/>
    </row>
    <row r="377" spans="2:4" x14ac:dyDescent="0.35">
      <c r="B377" s="18">
        <v>186</v>
      </c>
      <c r="C377" s="6">
        <f>IFERROR(IF(OR(Inputs!$C$84=0,Inputs!$C$84="",ISERROR(Inputs!$C$84)),Inputs!$D$84,Inputs!$C$84*Inputs!$K$9*(1+Inputs!$K$12)^B377),"Error - Check Input")
+IFERROR(IF(OR(Inputs!$C$85=0,Inputs!$C$85="",ISERROR(Inputs!$C$85)),Inputs!$D$85,Inputs!$C$85*Inputs!$K$9*(1+Inputs!$K$12)^B377),"Error - Check Input")
+IFERROR(IF(OR(Inputs!$C$86=0,Inputs!$C$86="",ISERROR(Inputs!$C$86)),Inputs!$D$86,Inputs!$C$86*Inputs!$K$9*(1+Inputs!$K$12)^B377),"Error - Check Input")
+IFERROR(IF(OR(Inputs!$C$87=0,Inputs!$C$87="",ISERROR(Inputs!$C$87)),Inputs!$D$87,Inputs!$C$87*Inputs!$K$9*(1+Inputs!$K$12)^B377),"Error - Check Input")
+IFERROR(IF(OR(Inputs!$C$88=0,Inputs!$C$88="",ISERROR(Inputs!$C$88)),Inputs!$D$88,Inputs!$C$88*Inputs!$K$9*(1+Inputs!$K$12)^B377),"Error - Check Input")
+IFERROR(IF(OR(Inputs!$C$89=0,Inputs!$C$89="",ISERROR(Inputs!$C$89)),Inputs!$D$89,Inputs!$C$89*Inputs!$K$9*(1+Inputs!$K$12)^B377),"Error - Check Input")
+IFERROR(IF(OR(Inputs!$C$90=0,Inputs!$C$90="",ISERROR(Inputs!$C$90)),Inputs!$D$90,Inputs!$C$90*Inputs!$K$9*(1+Inputs!$K$12)^B377),"Error - Check Input")
+IFERROR(IF(OR(Inputs!$C$93=0,Inputs!$C$93="",ISERROR(Inputs!$C$93)),Inputs!$D$93,Inputs!$C$93*Inputs!$K$9*(1+Inputs!$K$12)^B377),"Error - Check Input")</f>
        <v>74159.746270290561</v>
      </c>
      <c r="D377" s="17"/>
    </row>
    <row r="378" spans="2:4" x14ac:dyDescent="0.35">
      <c r="B378" s="18">
        <v>187</v>
      </c>
      <c r="C378" s="6">
        <f>IFERROR(IF(OR(Inputs!$C$84=0,Inputs!$C$84="",ISERROR(Inputs!$C$84)),Inputs!$D$84,Inputs!$C$84*Inputs!$K$9*(1+Inputs!$K$12)^B378),"Error - Check Input")
+IFERROR(IF(OR(Inputs!$C$85=0,Inputs!$C$85="",ISERROR(Inputs!$C$85)),Inputs!$D$85,Inputs!$C$85*Inputs!$K$9*(1+Inputs!$K$12)^B378),"Error - Check Input")
+IFERROR(IF(OR(Inputs!$C$86=0,Inputs!$C$86="",ISERROR(Inputs!$C$86)),Inputs!$D$86,Inputs!$C$86*Inputs!$K$9*(1+Inputs!$K$12)^B378),"Error - Check Input")
+IFERROR(IF(OR(Inputs!$C$87=0,Inputs!$C$87="",ISERROR(Inputs!$C$87)),Inputs!$D$87,Inputs!$C$87*Inputs!$K$9*(1+Inputs!$K$12)^B378),"Error - Check Input")
+IFERROR(IF(OR(Inputs!$C$88=0,Inputs!$C$88="",ISERROR(Inputs!$C$88)),Inputs!$D$88,Inputs!$C$88*Inputs!$K$9*(1+Inputs!$K$12)^B378),"Error - Check Input")
+IFERROR(IF(OR(Inputs!$C$89=0,Inputs!$C$89="",ISERROR(Inputs!$C$89)),Inputs!$D$89,Inputs!$C$89*Inputs!$K$9*(1+Inputs!$K$12)^B378),"Error - Check Input")
+IFERROR(IF(OR(Inputs!$C$90=0,Inputs!$C$90="",ISERROR(Inputs!$C$90)),Inputs!$D$90,Inputs!$C$90*Inputs!$K$9*(1+Inputs!$K$12)^B378),"Error - Check Input")
+IFERROR(IF(OR(Inputs!$C$93=0,Inputs!$C$93="",ISERROR(Inputs!$C$93)),Inputs!$D$93,Inputs!$C$93*Inputs!$K$9*(1+Inputs!$K$12)^B378),"Error - Check Input")</f>
        <v>74443.548699333274</v>
      </c>
      <c r="D378" s="17"/>
    </row>
    <row r="379" spans="2:4" x14ac:dyDescent="0.35">
      <c r="B379" s="18">
        <v>188</v>
      </c>
      <c r="C379" s="6">
        <f>IFERROR(IF(OR(Inputs!$C$84=0,Inputs!$C$84="",ISERROR(Inputs!$C$84)),Inputs!$D$84,Inputs!$C$84*Inputs!$K$9*(1+Inputs!$K$12)^B379),"Error - Check Input")
+IFERROR(IF(OR(Inputs!$C$85=0,Inputs!$C$85="",ISERROR(Inputs!$C$85)),Inputs!$D$85,Inputs!$C$85*Inputs!$K$9*(1+Inputs!$K$12)^B379),"Error - Check Input")
+IFERROR(IF(OR(Inputs!$C$86=0,Inputs!$C$86="",ISERROR(Inputs!$C$86)),Inputs!$D$86,Inputs!$C$86*Inputs!$K$9*(1+Inputs!$K$12)^B379),"Error - Check Input")
+IFERROR(IF(OR(Inputs!$C$87=0,Inputs!$C$87="",ISERROR(Inputs!$C$87)),Inputs!$D$87,Inputs!$C$87*Inputs!$K$9*(1+Inputs!$K$12)^B379),"Error - Check Input")
+IFERROR(IF(OR(Inputs!$C$88=0,Inputs!$C$88="",ISERROR(Inputs!$C$88)),Inputs!$D$88,Inputs!$C$88*Inputs!$K$9*(1+Inputs!$K$12)^B379),"Error - Check Input")
+IFERROR(IF(OR(Inputs!$C$89=0,Inputs!$C$89="",ISERROR(Inputs!$C$89)),Inputs!$D$89,Inputs!$C$89*Inputs!$K$9*(1+Inputs!$K$12)^B379),"Error - Check Input")
+IFERROR(IF(OR(Inputs!$C$90=0,Inputs!$C$90="",ISERROR(Inputs!$C$90)),Inputs!$D$90,Inputs!$C$90*Inputs!$K$9*(1+Inputs!$K$12)^B379),"Error - Check Input")
+IFERROR(IF(OR(Inputs!$C$93=0,Inputs!$C$93="",ISERROR(Inputs!$C$93)),Inputs!$D$93,Inputs!$C$93*Inputs!$K$9*(1+Inputs!$K$12)^B379),"Error - Check Input")</f>
        <v>74728.507374601992</v>
      </c>
      <c r="D379" s="17"/>
    </row>
    <row r="380" spans="2:4" x14ac:dyDescent="0.35">
      <c r="B380" s="18">
        <v>189</v>
      </c>
      <c r="C380" s="6">
        <f>IFERROR(IF(OR(Inputs!$C$84=0,Inputs!$C$84="",ISERROR(Inputs!$C$84)),Inputs!$D$84,Inputs!$C$84*Inputs!$K$9*(1+Inputs!$K$12)^B380),"Error - Check Input")
+IFERROR(IF(OR(Inputs!$C$85=0,Inputs!$C$85="",ISERROR(Inputs!$C$85)),Inputs!$D$85,Inputs!$C$85*Inputs!$K$9*(1+Inputs!$K$12)^B380),"Error - Check Input")
+IFERROR(IF(OR(Inputs!$C$86=0,Inputs!$C$86="",ISERROR(Inputs!$C$86)),Inputs!$D$86,Inputs!$C$86*Inputs!$K$9*(1+Inputs!$K$12)^B380),"Error - Check Input")
+IFERROR(IF(OR(Inputs!$C$87=0,Inputs!$C$87="",ISERROR(Inputs!$C$87)),Inputs!$D$87,Inputs!$C$87*Inputs!$K$9*(1+Inputs!$K$12)^B380),"Error - Check Input")
+IFERROR(IF(OR(Inputs!$C$88=0,Inputs!$C$88="",ISERROR(Inputs!$C$88)),Inputs!$D$88,Inputs!$C$88*Inputs!$K$9*(1+Inputs!$K$12)^B380),"Error - Check Input")
+IFERROR(IF(OR(Inputs!$C$89=0,Inputs!$C$89="",ISERROR(Inputs!$C$89)),Inputs!$D$89,Inputs!$C$89*Inputs!$K$9*(1+Inputs!$K$12)^B380),"Error - Check Input")
+IFERROR(IF(OR(Inputs!$C$90=0,Inputs!$C$90="",ISERROR(Inputs!$C$90)),Inputs!$D$90,Inputs!$C$90*Inputs!$K$9*(1+Inputs!$K$12)^B380),"Error - Check Input")
+IFERROR(IF(OR(Inputs!$C$93=0,Inputs!$C$93="",ISERROR(Inputs!$C$93)),Inputs!$D$93,Inputs!$C$93*Inputs!$K$9*(1+Inputs!$K$12)^B380),"Error - Check Input")</f>
        <v>75014.627006786992</v>
      </c>
      <c r="D380" s="17"/>
    </row>
    <row r="381" spans="2:4" x14ac:dyDescent="0.35">
      <c r="B381" s="18">
        <v>190</v>
      </c>
      <c r="C381" s="6">
        <f>IFERROR(IF(OR(Inputs!$C$84=0,Inputs!$C$84="",ISERROR(Inputs!$C$84)),Inputs!$D$84,Inputs!$C$84*Inputs!$K$9*(1+Inputs!$K$12)^B381),"Error - Check Input")
+IFERROR(IF(OR(Inputs!$C$85=0,Inputs!$C$85="",ISERROR(Inputs!$C$85)),Inputs!$D$85,Inputs!$C$85*Inputs!$K$9*(1+Inputs!$K$12)^B381),"Error - Check Input")
+IFERROR(IF(OR(Inputs!$C$86=0,Inputs!$C$86="",ISERROR(Inputs!$C$86)),Inputs!$D$86,Inputs!$C$86*Inputs!$K$9*(1+Inputs!$K$12)^B381),"Error - Check Input")
+IFERROR(IF(OR(Inputs!$C$87=0,Inputs!$C$87="",ISERROR(Inputs!$C$87)),Inputs!$D$87,Inputs!$C$87*Inputs!$K$9*(1+Inputs!$K$12)^B381),"Error - Check Input")
+IFERROR(IF(OR(Inputs!$C$88=0,Inputs!$C$88="",ISERROR(Inputs!$C$88)),Inputs!$D$88,Inputs!$C$88*Inputs!$K$9*(1+Inputs!$K$12)^B381),"Error - Check Input")
+IFERROR(IF(OR(Inputs!$C$89=0,Inputs!$C$89="",ISERROR(Inputs!$C$89)),Inputs!$D$89,Inputs!$C$89*Inputs!$K$9*(1+Inputs!$K$12)^B381),"Error - Check Input")
+IFERROR(IF(OR(Inputs!$C$90=0,Inputs!$C$90="",ISERROR(Inputs!$C$90)),Inputs!$D$90,Inputs!$C$90*Inputs!$K$9*(1+Inputs!$K$12)^B381),"Error - Check Input")
+IFERROR(IF(OR(Inputs!$C$93=0,Inputs!$C$93="",ISERROR(Inputs!$C$93)),Inputs!$D$93,Inputs!$C$93*Inputs!$K$9*(1+Inputs!$K$12)^B381),"Error - Check Input")</f>
        <v>75301.912325770449</v>
      </c>
      <c r="D381" s="17"/>
    </row>
    <row r="382" spans="2:4" x14ac:dyDescent="0.35">
      <c r="B382" s="18">
        <v>191</v>
      </c>
      <c r="C382" s="6">
        <f>IFERROR(IF(OR(Inputs!$C$84=0,Inputs!$C$84="",ISERROR(Inputs!$C$84)),Inputs!$D$84,Inputs!$C$84*Inputs!$K$9*(1+Inputs!$K$12)^B382),"Error - Check Input")
+IFERROR(IF(OR(Inputs!$C$85=0,Inputs!$C$85="",ISERROR(Inputs!$C$85)),Inputs!$D$85,Inputs!$C$85*Inputs!$K$9*(1+Inputs!$K$12)^B382),"Error - Check Input")
+IFERROR(IF(OR(Inputs!$C$86=0,Inputs!$C$86="",ISERROR(Inputs!$C$86)),Inputs!$D$86,Inputs!$C$86*Inputs!$K$9*(1+Inputs!$K$12)^B382),"Error - Check Input")
+IFERROR(IF(OR(Inputs!$C$87=0,Inputs!$C$87="",ISERROR(Inputs!$C$87)),Inputs!$D$87,Inputs!$C$87*Inputs!$K$9*(1+Inputs!$K$12)^B382),"Error - Check Input")
+IFERROR(IF(OR(Inputs!$C$88=0,Inputs!$C$88="",ISERROR(Inputs!$C$88)),Inputs!$D$88,Inputs!$C$88*Inputs!$K$9*(1+Inputs!$K$12)^B382),"Error - Check Input")
+IFERROR(IF(OR(Inputs!$C$89=0,Inputs!$C$89="",ISERROR(Inputs!$C$89)),Inputs!$D$89,Inputs!$C$89*Inputs!$K$9*(1+Inputs!$K$12)^B382),"Error - Check Input")
+IFERROR(IF(OR(Inputs!$C$90=0,Inputs!$C$90="",ISERROR(Inputs!$C$90)),Inputs!$D$90,Inputs!$C$90*Inputs!$K$9*(1+Inputs!$K$12)^B382),"Error - Check Input")
+IFERROR(IF(OR(Inputs!$C$93=0,Inputs!$C$93="",ISERROR(Inputs!$C$93)),Inputs!$D$93,Inputs!$C$93*Inputs!$K$9*(1+Inputs!$K$12)^B382),"Error - Check Input")</f>
        <v>75590.368080704648</v>
      </c>
      <c r="D382" s="17"/>
    </row>
    <row r="383" spans="2:4" x14ac:dyDescent="0.35">
      <c r="B383" s="18">
        <v>192</v>
      </c>
      <c r="C383" s="6">
        <f>IFERROR(IF(OR(Inputs!$C$84=0,Inputs!$C$84="",ISERROR(Inputs!$C$84)),Inputs!$D$84,Inputs!$C$84*Inputs!$K$9*(1+Inputs!$K$12)^B383),"Error - Check Input")
+IFERROR(IF(OR(Inputs!$C$85=0,Inputs!$C$85="",ISERROR(Inputs!$C$85)),Inputs!$D$85,Inputs!$C$85*Inputs!$K$9*(1+Inputs!$K$12)^B383),"Error - Check Input")
+IFERROR(IF(OR(Inputs!$C$86=0,Inputs!$C$86="",ISERROR(Inputs!$C$86)),Inputs!$D$86,Inputs!$C$86*Inputs!$K$9*(1+Inputs!$K$12)^B383),"Error - Check Input")
+IFERROR(IF(OR(Inputs!$C$87=0,Inputs!$C$87="",ISERROR(Inputs!$C$87)),Inputs!$D$87,Inputs!$C$87*Inputs!$K$9*(1+Inputs!$K$12)^B383),"Error - Check Input")
+IFERROR(IF(OR(Inputs!$C$88=0,Inputs!$C$88="",ISERROR(Inputs!$C$88)),Inputs!$D$88,Inputs!$C$88*Inputs!$K$9*(1+Inputs!$K$12)^B383),"Error - Check Input")
+IFERROR(IF(OR(Inputs!$C$89=0,Inputs!$C$89="",ISERROR(Inputs!$C$89)),Inputs!$D$89,Inputs!$C$89*Inputs!$K$9*(1+Inputs!$K$12)^B383),"Error - Check Input")
+IFERROR(IF(OR(Inputs!$C$90=0,Inputs!$C$90="",ISERROR(Inputs!$C$90)),Inputs!$D$90,Inputs!$C$90*Inputs!$K$9*(1+Inputs!$K$12)^B383),"Error - Check Input")
+IFERROR(IF(OR(Inputs!$C$93=0,Inputs!$C$93="",ISERROR(Inputs!$C$93)),Inputs!$D$93,Inputs!$C$93*Inputs!$K$9*(1+Inputs!$K$12)^B383),"Error - Check Input")</f>
        <v>75879.999040090566</v>
      </c>
      <c r="D383" s="17"/>
    </row>
    <row r="384" spans="2:4" x14ac:dyDescent="0.35">
      <c r="B384" s="18">
        <v>193</v>
      </c>
      <c r="C384" s="6">
        <f>IFERROR(IF(OR(Inputs!$C$84=0,Inputs!$C$84="",ISERROR(Inputs!$C$84)),Inputs!$D$84,Inputs!$C$84*Inputs!$K$9*(1+Inputs!$K$12)^B384),"Error - Check Input")
+IFERROR(IF(OR(Inputs!$C$85=0,Inputs!$C$85="",ISERROR(Inputs!$C$85)),Inputs!$D$85,Inputs!$C$85*Inputs!$K$9*(1+Inputs!$K$12)^B384),"Error - Check Input")
+IFERROR(IF(OR(Inputs!$C$86=0,Inputs!$C$86="",ISERROR(Inputs!$C$86)),Inputs!$D$86,Inputs!$C$86*Inputs!$K$9*(1+Inputs!$K$12)^B384),"Error - Check Input")
+IFERROR(IF(OR(Inputs!$C$87=0,Inputs!$C$87="",ISERROR(Inputs!$C$87)),Inputs!$D$87,Inputs!$C$87*Inputs!$K$9*(1+Inputs!$K$12)^B384),"Error - Check Input")
+IFERROR(IF(OR(Inputs!$C$88=0,Inputs!$C$88="",ISERROR(Inputs!$C$88)),Inputs!$D$88,Inputs!$C$88*Inputs!$K$9*(1+Inputs!$K$12)^B384),"Error - Check Input")
+IFERROR(IF(OR(Inputs!$C$89=0,Inputs!$C$89="",ISERROR(Inputs!$C$89)),Inputs!$D$89,Inputs!$C$89*Inputs!$K$9*(1+Inputs!$K$12)^B384),"Error - Check Input")
+IFERROR(IF(OR(Inputs!$C$90=0,Inputs!$C$90="",ISERROR(Inputs!$C$90)),Inputs!$D$90,Inputs!$C$90*Inputs!$K$9*(1+Inputs!$K$12)^B384),"Error - Check Input")
+IFERROR(IF(OR(Inputs!$C$93=0,Inputs!$C$93="",ISERROR(Inputs!$C$93)),Inputs!$D$93,Inputs!$C$93*Inputs!$K$9*(1+Inputs!$K$12)^B384),"Error - Check Input")</f>
        <v>76170.8099918566</v>
      </c>
      <c r="D384" s="17"/>
    </row>
    <row r="385" spans="2:4" x14ac:dyDescent="0.35">
      <c r="B385" s="18">
        <v>194</v>
      </c>
      <c r="C385" s="6">
        <f>IFERROR(IF(OR(Inputs!$C$84=0,Inputs!$C$84="",ISERROR(Inputs!$C$84)),Inputs!$D$84,Inputs!$C$84*Inputs!$K$9*(1+Inputs!$K$12)^B385),"Error - Check Input")
+IFERROR(IF(OR(Inputs!$C$85=0,Inputs!$C$85="",ISERROR(Inputs!$C$85)),Inputs!$D$85,Inputs!$C$85*Inputs!$K$9*(1+Inputs!$K$12)^B385),"Error - Check Input")
+IFERROR(IF(OR(Inputs!$C$86=0,Inputs!$C$86="",ISERROR(Inputs!$C$86)),Inputs!$D$86,Inputs!$C$86*Inputs!$K$9*(1+Inputs!$K$12)^B385),"Error - Check Input")
+IFERROR(IF(OR(Inputs!$C$87=0,Inputs!$C$87="",ISERROR(Inputs!$C$87)),Inputs!$D$87,Inputs!$C$87*Inputs!$K$9*(1+Inputs!$K$12)^B385),"Error - Check Input")
+IFERROR(IF(OR(Inputs!$C$88=0,Inputs!$C$88="",ISERROR(Inputs!$C$88)),Inputs!$D$88,Inputs!$C$88*Inputs!$K$9*(1+Inputs!$K$12)^B385),"Error - Check Input")
+IFERROR(IF(OR(Inputs!$C$89=0,Inputs!$C$89="",ISERROR(Inputs!$C$89)),Inputs!$D$89,Inputs!$C$89*Inputs!$K$9*(1+Inputs!$K$12)^B385),"Error - Check Input")
+IFERROR(IF(OR(Inputs!$C$90=0,Inputs!$C$90="",ISERROR(Inputs!$C$90)),Inputs!$D$90,Inputs!$C$90*Inputs!$K$9*(1+Inputs!$K$12)^B385),"Error - Check Input")
+IFERROR(IF(OR(Inputs!$C$93=0,Inputs!$C$93="",ISERROR(Inputs!$C$93)),Inputs!$D$93,Inputs!$C$93*Inputs!$K$9*(1+Inputs!$K$12)^B385),"Error - Check Input")</f>
        <v>76462.80574343777</v>
      </c>
      <c r="D385" s="17"/>
    </row>
    <row r="386" spans="2:4" x14ac:dyDescent="0.35">
      <c r="B386" s="18">
        <v>195</v>
      </c>
      <c r="C386" s="6">
        <f>IFERROR(IF(OR(Inputs!$C$84=0,Inputs!$C$84="",ISERROR(Inputs!$C$84)),Inputs!$D$84,Inputs!$C$84*Inputs!$K$9*(1+Inputs!$K$12)^B386),"Error - Check Input")
+IFERROR(IF(OR(Inputs!$C$85=0,Inputs!$C$85="",ISERROR(Inputs!$C$85)),Inputs!$D$85,Inputs!$C$85*Inputs!$K$9*(1+Inputs!$K$12)^B386),"Error - Check Input")
+IFERROR(IF(OR(Inputs!$C$86=0,Inputs!$C$86="",ISERROR(Inputs!$C$86)),Inputs!$D$86,Inputs!$C$86*Inputs!$K$9*(1+Inputs!$K$12)^B386),"Error - Check Input")
+IFERROR(IF(OR(Inputs!$C$87=0,Inputs!$C$87="",ISERROR(Inputs!$C$87)),Inputs!$D$87,Inputs!$C$87*Inputs!$K$9*(1+Inputs!$K$12)^B386),"Error - Check Input")
+IFERROR(IF(OR(Inputs!$C$88=0,Inputs!$C$88="",ISERROR(Inputs!$C$88)),Inputs!$D$88,Inputs!$C$88*Inputs!$K$9*(1+Inputs!$K$12)^B386),"Error - Check Input")
+IFERROR(IF(OR(Inputs!$C$89=0,Inputs!$C$89="",ISERROR(Inputs!$C$89)),Inputs!$D$89,Inputs!$C$89*Inputs!$K$9*(1+Inputs!$K$12)^B386),"Error - Check Input")
+IFERROR(IF(OR(Inputs!$C$90=0,Inputs!$C$90="",ISERROR(Inputs!$C$90)),Inputs!$D$90,Inputs!$C$90*Inputs!$K$9*(1+Inputs!$K$12)^B386),"Error - Check Input")
+IFERROR(IF(OR(Inputs!$C$93=0,Inputs!$C$93="",ISERROR(Inputs!$C$93)),Inputs!$D$93,Inputs!$C$93*Inputs!$K$9*(1+Inputs!$K$12)^B386),"Error - Check Input")</f>
        <v>76755.991121855186</v>
      </c>
      <c r="D386" s="17"/>
    </row>
    <row r="387" spans="2:4" x14ac:dyDescent="0.35">
      <c r="B387" s="18">
        <v>196</v>
      </c>
      <c r="C387" s="6">
        <f>IFERROR(IF(OR(Inputs!$C$84=0,Inputs!$C$84="",ISERROR(Inputs!$C$84)),Inputs!$D$84,Inputs!$C$84*Inputs!$K$9*(1+Inputs!$K$12)^B387),"Error - Check Input")
+IFERROR(IF(OR(Inputs!$C$85=0,Inputs!$C$85="",ISERROR(Inputs!$C$85)),Inputs!$D$85,Inputs!$C$85*Inputs!$K$9*(1+Inputs!$K$12)^B387),"Error - Check Input")
+IFERROR(IF(OR(Inputs!$C$86=0,Inputs!$C$86="",ISERROR(Inputs!$C$86)),Inputs!$D$86,Inputs!$C$86*Inputs!$K$9*(1+Inputs!$K$12)^B387),"Error - Check Input")
+IFERROR(IF(OR(Inputs!$C$87=0,Inputs!$C$87="",ISERROR(Inputs!$C$87)),Inputs!$D$87,Inputs!$C$87*Inputs!$K$9*(1+Inputs!$K$12)^B387),"Error - Check Input")
+IFERROR(IF(OR(Inputs!$C$88=0,Inputs!$C$88="",ISERROR(Inputs!$C$88)),Inputs!$D$88,Inputs!$C$88*Inputs!$K$9*(1+Inputs!$K$12)^B387),"Error - Check Input")
+IFERROR(IF(OR(Inputs!$C$89=0,Inputs!$C$89="",ISERROR(Inputs!$C$89)),Inputs!$D$89,Inputs!$C$89*Inputs!$K$9*(1+Inputs!$K$12)^B387),"Error - Check Input")
+IFERROR(IF(OR(Inputs!$C$90=0,Inputs!$C$90="",ISERROR(Inputs!$C$90)),Inputs!$D$90,Inputs!$C$90*Inputs!$K$9*(1+Inputs!$K$12)^B387),"Error - Check Input")
+IFERROR(IF(OR(Inputs!$C$93=0,Inputs!$C$93="",ISERROR(Inputs!$C$93)),Inputs!$D$93,Inputs!$C$93*Inputs!$K$9*(1+Inputs!$K$12)^B387),"Error - Check Input")</f>
        <v>77050.370973795827</v>
      </c>
      <c r="D387" s="17"/>
    </row>
    <row r="388" spans="2:4" x14ac:dyDescent="0.35">
      <c r="B388" s="18">
        <v>197</v>
      </c>
      <c r="C388" s="6">
        <f>IFERROR(IF(OR(Inputs!$C$84=0,Inputs!$C$84="",ISERROR(Inputs!$C$84)),Inputs!$D$84,Inputs!$C$84*Inputs!$K$9*(1+Inputs!$K$12)^B388),"Error - Check Input")
+IFERROR(IF(OR(Inputs!$C$85=0,Inputs!$C$85="",ISERROR(Inputs!$C$85)),Inputs!$D$85,Inputs!$C$85*Inputs!$K$9*(1+Inputs!$K$12)^B388),"Error - Check Input")
+IFERROR(IF(OR(Inputs!$C$86=0,Inputs!$C$86="",ISERROR(Inputs!$C$86)),Inputs!$D$86,Inputs!$C$86*Inputs!$K$9*(1+Inputs!$K$12)^B388),"Error - Check Input")
+IFERROR(IF(OR(Inputs!$C$87=0,Inputs!$C$87="",ISERROR(Inputs!$C$87)),Inputs!$D$87,Inputs!$C$87*Inputs!$K$9*(1+Inputs!$K$12)^B388),"Error - Check Input")
+IFERROR(IF(OR(Inputs!$C$88=0,Inputs!$C$88="",ISERROR(Inputs!$C$88)),Inputs!$D$88,Inputs!$C$88*Inputs!$K$9*(1+Inputs!$K$12)^B388),"Error - Check Input")
+IFERROR(IF(OR(Inputs!$C$89=0,Inputs!$C$89="",ISERROR(Inputs!$C$89)),Inputs!$D$89,Inputs!$C$89*Inputs!$K$9*(1+Inputs!$K$12)^B388),"Error - Check Input")
+IFERROR(IF(OR(Inputs!$C$90=0,Inputs!$C$90="",ISERROR(Inputs!$C$90)),Inputs!$D$90,Inputs!$C$90*Inputs!$K$9*(1+Inputs!$K$12)^B388),"Error - Check Input")
+IFERROR(IF(OR(Inputs!$C$93=0,Inputs!$C$93="",ISERROR(Inputs!$C$93)),Inputs!$D$93,Inputs!$C$93*Inputs!$K$9*(1+Inputs!$K$12)^B388),"Error - Check Input")</f>
        <v>77345.950165692673</v>
      </c>
      <c r="D388" s="17"/>
    </row>
    <row r="389" spans="2:4" x14ac:dyDescent="0.35">
      <c r="B389" s="18">
        <v>198</v>
      </c>
      <c r="C389" s="6">
        <f>IFERROR(IF(OR(Inputs!$C$84=0,Inputs!$C$84="",ISERROR(Inputs!$C$84)),Inputs!$D$84,Inputs!$C$84*Inputs!$K$9*(1+Inputs!$K$12)^B389),"Error - Check Input")
+IFERROR(IF(OR(Inputs!$C$85=0,Inputs!$C$85="",ISERROR(Inputs!$C$85)),Inputs!$D$85,Inputs!$C$85*Inputs!$K$9*(1+Inputs!$K$12)^B389),"Error - Check Input")
+IFERROR(IF(OR(Inputs!$C$86=0,Inputs!$C$86="",ISERROR(Inputs!$C$86)),Inputs!$D$86,Inputs!$C$86*Inputs!$K$9*(1+Inputs!$K$12)^B389),"Error - Check Input")
+IFERROR(IF(OR(Inputs!$C$87=0,Inputs!$C$87="",ISERROR(Inputs!$C$87)),Inputs!$D$87,Inputs!$C$87*Inputs!$K$9*(1+Inputs!$K$12)^B389),"Error - Check Input")
+IFERROR(IF(OR(Inputs!$C$88=0,Inputs!$C$88="",ISERROR(Inputs!$C$88)),Inputs!$D$88,Inputs!$C$88*Inputs!$K$9*(1+Inputs!$K$12)^B389),"Error - Check Input")
+IFERROR(IF(OR(Inputs!$C$89=0,Inputs!$C$89="",ISERROR(Inputs!$C$89)),Inputs!$D$89,Inputs!$C$89*Inputs!$K$9*(1+Inputs!$K$12)^B389),"Error - Check Input")
+IFERROR(IF(OR(Inputs!$C$90=0,Inputs!$C$90="",ISERROR(Inputs!$C$90)),Inputs!$D$90,Inputs!$C$90*Inputs!$K$9*(1+Inputs!$K$12)^B389),"Error - Check Input")
+IFERROR(IF(OR(Inputs!$C$93=0,Inputs!$C$93="",ISERROR(Inputs!$C$93)),Inputs!$D$93,Inputs!$C$93*Inputs!$K$9*(1+Inputs!$K$12)^B389),"Error - Check Input")</f>
        <v>77642.73358380518</v>
      </c>
      <c r="D389" s="17"/>
    </row>
    <row r="390" spans="2:4" x14ac:dyDescent="0.35">
      <c r="B390" s="18">
        <v>199</v>
      </c>
      <c r="C390" s="6">
        <f>IFERROR(IF(OR(Inputs!$C$84=0,Inputs!$C$84="",ISERROR(Inputs!$C$84)),Inputs!$D$84,Inputs!$C$84*Inputs!$K$9*(1+Inputs!$K$12)^B390),"Error - Check Input")
+IFERROR(IF(OR(Inputs!$C$85=0,Inputs!$C$85="",ISERROR(Inputs!$C$85)),Inputs!$D$85,Inputs!$C$85*Inputs!$K$9*(1+Inputs!$K$12)^B390),"Error - Check Input")
+IFERROR(IF(OR(Inputs!$C$86=0,Inputs!$C$86="",ISERROR(Inputs!$C$86)),Inputs!$D$86,Inputs!$C$86*Inputs!$K$9*(1+Inputs!$K$12)^B390),"Error - Check Input")
+IFERROR(IF(OR(Inputs!$C$87=0,Inputs!$C$87="",ISERROR(Inputs!$C$87)),Inputs!$D$87,Inputs!$C$87*Inputs!$K$9*(1+Inputs!$K$12)^B390),"Error - Check Input")
+IFERROR(IF(OR(Inputs!$C$88=0,Inputs!$C$88="",ISERROR(Inputs!$C$88)),Inputs!$D$88,Inputs!$C$88*Inputs!$K$9*(1+Inputs!$K$12)^B390),"Error - Check Input")
+IFERROR(IF(OR(Inputs!$C$89=0,Inputs!$C$89="",ISERROR(Inputs!$C$89)),Inputs!$D$89,Inputs!$C$89*Inputs!$K$9*(1+Inputs!$K$12)^B390),"Error - Check Input")
+IFERROR(IF(OR(Inputs!$C$90=0,Inputs!$C$90="",ISERROR(Inputs!$C$90)),Inputs!$D$90,Inputs!$C$90*Inputs!$K$9*(1+Inputs!$K$12)^B390),"Error - Check Input")
+IFERROR(IF(OR(Inputs!$C$93=0,Inputs!$C$93="",ISERROR(Inputs!$C$93)),Inputs!$D$93,Inputs!$C$93*Inputs!$K$9*(1+Inputs!$K$12)^B390),"Error - Check Input")</f>
        <v>77940.726134300014</v>
      </c>
      <c r="D390" s="17"/>
    </row>
    <row r="391" spans="2:4" x14ac:dyDescent="0.35">
      <c r="B391" s="18">
        <v>200</v>
      </c>
      <c r="C391" s="6">
        <f>IFERROR(IF(OR(Inputs!$C$84=0,Inputs!$C$84="",ISERROR(Inputs!$C$84)),Inputs!$D$84,Inputs!$C$84*Inputs!$K$9*(1+Inputs!$K$12)^B391),"Error - Check Input")
+IFERROR(IF(OR(Inputs!$C$85=0,Inputs!$C$85="",ISERROR(Inputs!$C$85)),Inputs!$D$85,Inputs!$C$85*Inputs!$K$9*(1+Inputs!$K$12)^B391),"Error - Check Input")
+IFERROR(IF(OR(Inputs!$C$86=0,Inputs!$C$86="",ISERROR(Inputs!$C$86)),Inputs!$D$86,Inputs!$C$86*Inputs!$K$9*(1+Inputs!$K$12)^B391),"Error - Check Input")
+IFERROR(IF(OR(Inputs!$C$87=0,Inputs!$C$87="",ISERROR(Inputs!$C$87)),Inputs!$D$87,Inputs!$C$87*Inputs!$K$9*(1+Inputs!$K$12)^B391),"Error - Check Input")
+IFERROR(IF(OR(Inputs!$C$88=0,Inputs!$C$88="",ISERROR(Inputs!$C$88)),Inputs!$D$88,Inputs!$C$88*Inputs!$K$9*(1+Inputs!$K$12)^B391),"Error - Check Input")
+IFERROR(IF(OR(Inputs!$C$89=0,Inputs!$C$89="",ISERROR(Inputs!$C$89)),Inputs!$D$89,Inputs!$C$89*Inputs!$K$9*(1+Inputs!$K$12)^B391),"Error - Check Input")
+IFERROR(IF(OR(Inputs!$C$90=0,Inputs!$C$90="",ISERROR(Inputs!$C$90)),Inputs!$D$90,Inputs!$C$90*Inputs!$K$9*(1+Inputs!$K$12)^B391),"Error - Check Input")
+IFERROR(IF(OR(Inputs!$C$93=0,Inputs!$C$93="",ISERROR(Inputs!$C$93)),Inputs!$D$93,Inputs!$C$93*Inputs!$K$9*(1+Inputs!$K$12)^B391),"Error - Check Input")</f>
        <v>78239.932743332189</v>
      </c>
      <c r="D391" s="17"/>
    </row>
    <row r="392" spans="2:4" x14ac:dyDescent="0.35">
      <c r="B392" s="18">
        <v>201</v>
      </c>
      <c r="C392" s="6">
        <f>IFERROR(IF(OR(Inputs!$C$84=0,Inputs!$C$84="",ISERROR(Inputs!$C$84)),Inputs!$D$84,Inputs!$C$84*Inputs!$K$9*(1+Inputs!$K$12)^B392),"Error - Check Input")
+IFERROR(IF(OR(Inputs!$C$85=0,Inputs!$C$85="",ISERROR(Inputs!$C$85)),Inputs!$D$85,Inputs!$C$85*Inputs!$K$9*(1+Inputs!$K$12)^B392),"Error - Check Input")
+IFERROR(IF(OR(Inputs!$C$86=0,Inputs!$C$86="",ISERROR(Inputs!$C$86)),Inputs!$D$86,Inputs!$C$86*Inputs!$K$9*(1+Inputs!$K$12)^B392),"Error - Check Input")
+IFERROR(IF(OR(Inputs!$C$87=0,Inputs!$C$87="",ISERROR(Inputs!$C$87)),Inputs!$D$87,Inputs!$C$87*Inputs!$K$9*(1+Inputs!$K$12)^B392),"Error - Check Input")
+IFERROR(IF(OR(Inputs!$C$88=0,Inputs!$C$88="",ISERROR(Inputs!$C$88)),Inputs!$D$88,Inputs!$C$88*Inputs!$K$9*(1+Inputs!$K$12)^B392),"Error - Check Input")
+IFERROR(IF(OR(Inputs!$C$89=0,Inputs!$C$89="",ISERROR(Inputs!$C$89)),Inputs!$D$89,Inputs!$C$89*Inputs!$K$9*(1+Inputs!$K$12)^B392),"Error - Check Input")
+IFERROR(IF(OR(Inputs!$C$90=0,Inputs!$C$90="",ISERROR(Inputs!$C$90)),Inputs!$D$90,Inputs!$C$90*Inputs!$K$9*(1+Inputs!$K$12)^B392),"Error - Check Input")
+IFERROR(IF(OR(Inputs!$C$93=0,Inputs!$C$93="",ISERROR(Inputs!$C$93)),Inputs!$D$93,Inputs!$C$93*Inputs!$K$9*(1+Inputs!$K$12)^B392),"Error - Check Input")</f>
        <v>78540.358357126432</v>
      </c>
      <c r="D392" s="17"/>
    </row>
    <row r="393" spans="2:4" x14ac:dyDescent="0.35">
      <c r="B393" s="18">
        <v>202</v>
      </c>
      <c r="C393" s="6">
        <f>IFERROR(IF(OR(Inputs!$C$84=0,Inputs!$C$84="",ISERROR(Inputs!$C$84)),Inputs!$D$84,Inputs!$C$84*Inputs!$K$9*(1+Inputs!$K$12)^B393),"Error - Check Input")
+IFERROR(IF(OR(Inputs!$C$85=0,Inputs!$C$85="",ISERROR(Inputs!$C$85)),Inputs!$D$85,Inputs!$C$85*Inputs!$K$9*(1+Inputs!$K$12)^B393),"Error - Check Input")
+IFERROR(IF(OR(Inputs!$C$86=0,Inputs!$C$86="",ISERROR(Inputs!$C$86)),Inputs!$D$86,Inputs!$C$86*Inputs!$K$9*(1+Inputs!$K$12)^B393),"Error - Check Input")
+IFERROR(IF(OR(Inputs!$C$87=0,Inputs!$C$87="",ISERROR(Inputs!$C$87)),Inputs!$D$87,Inputs!$C$87*Inputs!$K$9*(1+Inputs!$K$12)^B393),"Error - Check Input")
+IFERROR(IF(OR(Inputs!$C$88=0,Inputs!$C$88="",ISERROR(Inputs!$C$88)),Inputs!$D$88,Inputs!$C$88*Inputs!$K$9*(1+Inputs!$K$12)^B393),"Error - Check Input")
+IFERROR(IF(OR(Inputs!$C$89=0,Inputs!$C$89="",ISERROR(Inputs!$C$89)),Inputs!$D$89,Inputs!$C$89*Inputs!$K$9*(1+Inputs!$K$12)^B393),"Error - Check Input")
+IFERROR(IF(OR(Inputs!$C$90=0,Inputs!$C$90="",ISERROR(Inputs!$C$90)),Inputs!$D$90,Inputs!$C$90*Inputs!$K$9*(1+Inputs!$K$12)^B393),"Error - Check Input")
+IFERROR(IF(OR(Inputs!$C$93=0,Inputs!$C$93="",ISERROR(Inputs!$C$93)),Inputs!$D$93,Inputs!$C$93*Inputs!$K$9*(1+Inputs!$K$12)^B393),"Error - Check Input")</f>
        <v>78842.007942059034</v>
      </c>
      <c r="D393" s="17"/>
    </row>
    <row r="394" spans="2:4" x14ac:dyDescent="0.35">
      <c r="B394" s="18">
        <v>203</v>
      </c>
      <c r="C394" s="6">
        <f>IFERROR(IF(OR(Inputs!$C$84=0,Inputs!$C$84="",ISERROR(Inputs!$C$84)),Inputs!$D$84,Inputs!$C$84*Inputs!$K$9*(1+Inputs!$K$12)^B394),"Error - Check Input")
+IFERROR(IF(OR(Inputs!$C$85=0,Inputs!$C$85="",ISERROR(Inputs!$C$85)),Inputs!$D$85,Inputs!$C$85*Inputs!$K$9*(1+Inputs!$K$12)^B394),"Error - Check Input")
+IFERROR(IF(OR(Inputs!$C$86=0,Inputs!$C$86="",ISERROR(Inputs!$C$86)),Inputs!$D$86,Inputs!$C$86*Inputs!$K$9*(1+Inputs!$K$12)^B394),"Error - Check Input")
+IFERROR(IF(OR(Inputs!$C$87=0,Inputs!$C$87="",ISERROR(Inputs!$C$87)),Inputs!$D$87,Inputs!$C$87*Inputs!$K$9*(1+Inputs!$K$12)^B394),"Error - Check Input")
+IFERROR(IF(OR(Inputs!$C$88=0,Inputs!$C$88="",ISERROR(Inputs!$C$88)),Inputs!$D$88,Inputs!$C$88*Inputs!$K$9*(1+Inputs!$K$12)^B394),"Error - Check Input")
+IFERROR(IF(OR(Inputs!$C$89=0,Inputs!$C$89="",ISERROR(Inputs!$C$89)),Inputs!$D$89,Inputs!$C$89*Inputs!$K$9*(1+Inputs!$K$12)^B394),"Error - Check Input")
+IFERROR(IF(OR(Inputs!$C$90=0,Inputs!$C$90="",ISERROR(Inputs!$C$90)),Inputs!$D$90,Inputs!$C$90*Inputs!$K$9*(1+Inputs!$K$12)^B394),"Error - Check Input")
+IFERROR(IF(OR(Inputs!$C$93=0,Inputs!$C$93="",ISERROR(Inputs!$C$93)),Inputs!$D$93,Inputs!$C$93*Inputs!$K$9*(1+Inputs!$K$12)^B394),"Error - Check Input")</f>
        <v>79144.886484739953</v>
      </c>
      <c r="D394" s="17"/>
    </row>
    <row r="395" spans="2:4" x14ac:dyDescent="0.35">
      <c r="B395" s="18">
        <v>204</v>
      </c>
      <c r="C395" s="6">
        <f>IFERROR(IF(OR(Inputs!$C$84=0,Inputs!$C$84="",ISERROR(Inputs!$C$84)),Inputs!$D$84,Inputs!$C$84*Inputs!$K$9*(1+Inputs!$K$12)^B395),"Error - Check Input")
+IFERROR(IF(OR(Inputs!$C$85=0,Inputs!$C$85="",ISERROR(Inputs!$C$85)),Inputs!$D$85,Inputs!$C$85*Inputs!$K$9*(1+Inputs!$K$12)^B395),"Error - Check Input")
+IFERROR(IF(OR(Inputs!$C$86=0,Inputs!$C$86="",ISERROR(Inputs!$C$86)),Inputs!$D$86,Inputs!$C$86*Inputs!$K$9*(1+Inputs!$K$12)^B395),"Error - Check Input")
+IFERROR(IF(OR(Inputs!$C$87=0,Inputs!$C$87="",ISERROR(Inputs!$C$87)),Inputs!$D$87,Inputs!$C$87*Inputs!$K$9*(1+Inputs!$K$12)^B395),"Error - Check Input")
+IFERROR(IF(OR(Inputs!$C$88=0,Inputs!$C$88="",ISERROR(Inputs!$C$88)),Inputs!$D$88,Inputs!$C$88*Inputs!$K$9*(1+Inputs!$K$12)^B395),"Error - Check Input")
+IFERROR(IF(OR(Inputs!$C$89=0,Inputs!$C$89="",ISERROR(Inputs!$C$89)),Inputs!$D$89,Inputs!$C$89*Inputs!$K$9*(1+Inputs!$K$12)^B395),"Error - Check Input")
+IFERROR(IF(OR(Inputs!$C$90=0,Inputs!$C$90="",ISERROR(Inputs!$C$90)),Inputs!$D$90,Inputs!$C$90*Inputs!$K$9*(1+Inputs!$K$12)^B395),"Error - Check Input")
+IFERROR(IF(OR(Inputs!$C$93=0,Inputs!$C$93="",ISERROR(Inputs!$C$93)),Inputs!$D$93,Inputs!$C$93*Inputs!$K$9*(1+Inputs!$K$12)^B395),"Error - Check Input")</f>
        <v>79448.998992095178</v>
      </c>
      <c r="D395" s="17"/>
    </row>
    <row r="396" spans="2:4" x14ac:dyDescent="0.35">
      <c r="B396" s="18">
        <v>205</v>
      </c>
      <c r="C396" s="6">
        <f>IFERROR(IF(OR(Inputs!$C$84=0,Inputs!$C$84="",ISERROR(Inputs!$C$84)),Inputs!$D$84,Inputs!$C$84*Inputs!$K$9*(1+Inputs!$K$12)^B396),"Error - Check Input")
+IFERROR(IF(OR(Inputs!$C$85=0,Inputs!$C$85="",ISERROR(Inputs!$C$85)),Inputs!$D$85,Inputs!$C$85*Inputs!$K$9*(1+Inputs!$K$12)^B396),"Error - Check Input")
+IFERROR(IF(OR(Inputs!$C$86=0,Inputs!$C$86="",ISERROR(Inputs!$C$86)),Inputs!$D$86,Inputs!$C$86*Inputs!$K$9*(1+Inputs!$K$12)^B396),"Error - Check Input")
+IFERROR(IF(OR(Inputs!$C$87=0,Inputs!$C$87="",ISERROR(Inputs!$C$87)),Inputs!$D$87,Inputs!$C$87*Inputs!$K$9*(1+Inputs!$K$12)^B396),"Error - Check Input")
+IFERROR(IF(OR(Inputs!$C$88=0,Inputs!$C$88="",ISERROR(Inputs!$C$88)),Inputs!$D$88,Inputs!$C$88*Inputs!$K$9*(1+Inputs!$K$12)^B396),"Error - Check Input")
+IFERROR(IF(OR(Inputs!$C$89=0,Inputs!$C$89="",ISERROR(Inputs!$C$89)),Inputs!$D$89,Inputs!$C$89*Inputs!$K$9*(1+Inputs!$K$12)^B396),"Error - Check Input")
+IFERROR(IF(OR(Inputs!$C$90=0,Inputs!$C$90="",ISERROR(Inputs!$C$90)),Inputs!$D$90,Inputs!$C$90*Inputs!$K$9*(1+Inputs!$K$12)^B396),"Error - Check Input")
+IFERROR(IF(OR(Inputs!$C$93=0,Inputs!$C$93="",ISERROR(Inputs!$C$93)),Inputs!$D$93,Inputs!$C$93*Inputs!$K$9*(1+Inputs!$K$12)^B396),"Error - Check Input")</f>
        <v>79754.350491449513</v>
      </c>
      <c r="D396" s="17"/>
    </row>
    <row r="397" spans="2:4" x14ac:dyDescent="0.35">
      <c r="B397" s="18">
        <v>206</v>
      </c>
      <c r="C397" s="6">
        <f>IFERROR(IF(OR(Inputs!$C$84=0,Inputs!$C$84="",ISERROR(Inputs!$C$84)),Inputs!$D$84,Inputs!$C$84*Inputs!$K$9*(1+Inputs!$K$12)^B397),"Error - Check Input")
+IFERROR(IF(OR(Inputs!$C$85=0,Inputs!$C$85="",ISERROR(Inputs!$C$85)),Inputs!$D$85,Inputs!$C$85*Inputs!$K$9*(1+Inputs!$K$12)^B397),"Error - Check Input")
+IFERROR(IF(OR(Inputs!$C$86=0,Inputs!$C$86="",ISERROR(Inputs!$C$86)),Inputs!$D$86,Inputs!$C$86*Inputs!$K$9*(1+Inputs!$K$12)^B397),"Error - Check Input")
+IFERROR(IF(OR(Inputs!$C$87=0,Inputs!$C$87="",ISERROR(Inputs!$C$87)),Inputs!$D$87,Inputs!$C$87*Inputs!$K$9*(1+Inputs!$K$12)^B397),"Error - Check Input")
+IFERROR(IF(OR(Inputs!$C$88=0,Inputs!$C$88="",ISERROR(Inputs!$C$88)),Inputs!$D$88,Inputs!$C$88*Inputs!$K$9*(1+Inputs!$K$12)^B397),"Error - Check Input")
+IFERROR(IF(OR(Inputs!$C$89=0,Inputs!$C$89="",ISERROR(Inputs!$C$89)),Inputs!$D$89,Inputs!$C$89*Inputs!$K$9*(1+Inputs!$K$12)^B397),"Error - Check Input")
+IFERROR(IF(OR(Inputs!$C$90=0,Inputs!$C$90="",ISERROR(Inputs!$C$90)),Inputs!$D$90,Inputs!$C$90*Inputs!$K$9*(1+Inputs!$K$12)^B397),"Error - Check Input")
+IFERROR(IF(OR(Inputs!$C$93=0,Inputs!$C$93="",ISERROR(Inputs!$C$93)),Inputs!$D$93,Inputs!$C$93*Inputs!$K$9*(1+Inputs!$K$12)^B397),"Error - Check Input")</f>
        <v>80060.946030609732</v>
      </c>
      <c r="D397" s="17"/>
    </row>
    <row r="398" spans="2:4" x14ac:dyDescent="0.35">
      <c r="B398" s="18">
        <v>207</v>
      </c>
      <c r="C398" s="6">
        <f>IFERROR(IF(OR(Inputs!$C$84=0,Inputs!$C$84="",ISERROR(Inputs!$C$84)),Inputs!$D$84,Inputs!$C$84*Inputs!$K$9*(1+Inputs!$K$12)^B398),"Error - Check Input")
+IFERROR(IF(OR(Inputs!$C$85=0,Inputs!$C$85="",ISERROR(Inputs!$C$85)),Inputs!$D$85,Inputs!$C$85*Inputs!$K$9*(1+Inputs!$K$12)^B398),"Error - Check Input")
+IFERROR(IF(OR(Inputs!$C$86=0,Inputs!$C$86="",ISERROR(Inputs!$C$86)),Inputs!$D$86,Inputs!$C$86*Inputs!$K$9*(1+Inputs!$K$12)^B398),"Error - Check Input")
+IFERROR(IF(OR(Inputs!$C$87=0,Inputs!$C$87="",ISERROR(Inputs!$C$87)),Inputs!$D$87,Inputs!$C$87*Inputs!$K$9*(1+Inputs!$K$12)^B398),"Error - Check Input")
+IFERROR(IF(OR(Inputs!$C$88=0,Inputs!$C$88="",ISERROR(Inputs!$C$88)),Inputs!$D$88,Inputs!$C$88*Inputs!$K$9*(1+Inputs!$K$12)^B398),"Error - Check Input")
+IFERROR(IF(OR(Inputs!$C$89=0,Inputs!$C$89="",ISERROR(Inputs!$C$89)),Inputs!$D$89,Inputs!$C$89*Inputs!$K$9*(1+Inputs!$K$12)^B398),"Error - Check Input")
+IFERROR(IF(OR(Inputs!$C$90=0,Inputs!$C$90="",ISERROR(Inputs!$C$90)),Inputs!$D$90,Inputs!$C$90*Inputs!$K$9*(1+Inputs!$K$12)^B398),"Error - Check Input")
+IFERROR(IF(OR(Inputs!$C$93=0,Inputs!$C$93="",ISERROR(Inputs!$C$93)),Inputs!$D$93,Inputs!$C$93*Inputs!$K$9*(1+Inputs!$K$12)^B398),"Error - Check Input")</f>
        <v>80368.790677948011</v>
      </c>
      <c r="D398" s="17"/>
    </row>
    <row r="399" spans="2:4" x14ac:dyDescent="0.35">
      <c r="B399" s="18">
        <v>208</v>
      </c>
      <c r="C399" s="6">
        <f>IFERROR(IF(OR(Inputs!$C$84=0,Inputs!$C$84="",ISERROR(Inputs!$C$84)),Inputs!$D$84,Inputs!$C$84*Inputs!$K$9*(1+Inputs!$K$12)^B399),"Error - Check Input")
+IFERROR(IF(OR(Inputs!$C$85=0,Inputs!$C$85="",ISERROR(Inputs!$C$85)),Inputs!$D$85,Inputs!$C$85*Inputs!$K$9*(1+Inputs!$K$12)^B399),"Error - Check Input")
+IFERROR(IF(OR(Inputs!$C$86=0,Inputs!$C$86="",ISERROR(Inputs!$C$86)),Inputs!$D$86,Inputs!$C$86*Inputs!$K$9*(1+Inputs!$K$12)^B399),"Error - Check Input")
+IFERROR(IF(OR(Inputs!$C$87=0,Inputs!$C$87="",ISERROR(Inputs!$C$87)),Inputs!$D$87,Inputs!$C$87*Inputs!$K$9*(1+Inputs!$K$12)^B399),"Error - Check Input")
+IFERROR(IF(OR(Inputs!$C$88=0,Inputs!$C$88="",ISERROR(Inputs!$C$88)),Inputs!$D$88,Inputs!$C$88*Inputs!$K$9*(1+Inputs!$K$12)^B399),"Error - Check Input")
+IFERROR(IF(OR(Inputs!$C$89=0,Inputs!$C$89="",ISERROR(Inputs!$C$89)),Inputs!$D$89,Inputs!$C$89*Inputs!$K$9*(1+Inputs!$K$12)^B399),"Error - Check Input")
+IFERROR(IF(OR(Inputs!$C$90=0,Inputs!$C$90="",ISERROR(Inputs!$C$90)),Inputs!$D$90,Inputs!$C$90*Inputs!$K$9*(1+Inputs!$K$12)^B399),"Error - Check Input")
+IFERROR(IF(OR(Inputs!$C$93=0,Inputs!$C$93="",ISERROR(Inputs!$C$93)),Inputs!$D$93,Inputs!$C$93*Inputs!$K$9*(1+Inputs!$K$12)^B399),"Error - Check Input")</f>
        <v>80677.889522485682</v>
      </c>
      <c r="D399" s="17"/>
    </row>
    <row r="400" spans="2:4" x14ac:dyDescent="0.35">
      <c r="B400" s="18">
        <v>209</v>
      </c>
      <c r="C400" s="6">
        <f>IFERROR(IF(OR(Inputs!$C$84=0,Inputs!$C$84="",ISERROR(Inputs!$C$84)),Inputs!$D$84,Inputs!$C$84*Inputs!$K$9*(1+Inputs!$K$12)^B400),"Error - Check Input")
+IFERROR(IF(OR(Inputs!$C$85=0,Inputs!$C$85="",ISERROR(Inputs!$C$85)),Inputs!$D$85,Inputs!$C$85*Inputs!$K$9*(1+Inputs!$K$12)^B400),"Error - Check Input")
+IFERROR(IF(OR(Inputs!$C$86=0,Inputs!$C$86="",ISERROR(Inputs!$C$86)),Inputs!$D$86,Inputs!$C$86*Inputs!$K$9*(1+Inputs!$K$12)^B400),"Error - Check Input")
+IFERROR(IF(OR(Inputs!$C$87=0,Inputs!$C$87="",ISERROR(Inputs!$C$87)),Inputs!$D$87,Inputs!$C$87*Inputs!$K$9*(1+Inputs!$K$12)^B400),"Error - Check Input")
+IFERROR(IF(OR(Inputs!$C$88=0,Inputs!$C$88="",ISERROR(Inputs!$C$88)),Inputs!$D$88,Inputs!$C$88*Inputs!$K$9*(1+Inputs!$K$12)^B400),"Error - Check Input")
+IFERROR(IF(OR(Inputs!$C$89=0,Inputs!$C$89="",ISERROR(Inputs!$C$89)),Inputs!$D$89,Inputs!$C$89*Inputs!$K$9*(1+Inputs!$K$12)^B400),"Error - Check Input")
+IFERROR(IF(OR(Inputs!$C$90=0,Inputs!$C$90="",ISERROR(Inputs!$C$90)),Inputs!$D$90,Inputs!$C$90*Inputs!$K$9*(1+Inputs!$K$12)^B400),"Error - Check Input")
+IFERROR(IF(OR(Inputs!$C$93=0,Inputs!$C$93="",ISERROR(Inputs!$C$93)),Inputs!$D$93,Inputs!$C$93*Inputs!$K$9*(1+Inputs!$K$12)^B400),"Error - Check Input")</f>
        <v>80988.247673977385</v>
      </c>
      <c r="D400" s="17"/>
    </row>
    <row r="401" spans="2:4" x14ac:dyDescent="0.35">
      <c r="B401" s="18">
        <v>210</v>
      </c>
      <c r="C401" s="6">
        <f>IFERROR(IF(OR(Inputs!$C$84=0,Inputs!$C$84="",ISERROR(Inputs!$C$84)),Inputs!$D$84,Inputs!$C$84*Inputs!$K$9*(1+Inputs!$K$12)^B401),"Error - Check Input")
+IFERROR(IF(OR(Inputs!$C$85=0,Inputs!$C$85="",ISERROR(Inputs!$C$85)),Inputs!$D$85,Inputs!$C$85*Inputs!$K$9*(1+Inputs!$K$12)^B401),"Error - Check Input")
+IFERROR(IF(OR(Inputs!$C$86=0,Inputs!$C$86="",ISERROR(Inputs!$C$86)),Inputs!$D$86,Inputs!$C$86*Inputs!$K$9*(1+Inputs!$K$12)^B401),"Error - Check Input")
+IFERROR(IF(OR(Inputs!$C$87=0,Inputs!$C$87="",ISERROR(Inputs!$C$87)),Inputs!$D$87,Inputs!$C$87*Inputs!$K$9*(1+Inputs!$K$12)^B401),"Error - Check Input")
+IFERROR(IF(OR(Inputs!$C$88=0,Inputs!$C$88="",ISERROR(Inputs!$C$88)),Inputs!$D$88,Inputs!$C$88*Inputs!$K$9*(1+Inputs!$K$12)^B401),"Error - Check Input")
+IFERROR(IF(OR(Inputs!$C$89=0,Inputs!$C$89="",ISERROR(Inputs!$C$89)),Inputs!$D$89,Inputs!$C$89*Inputs!$K$9*(1+Inputs!$K$12)^B401),"Error - Check Input")
+IFERROR(IF(OR(Inputs!$C$90=0,Inputs!$C$90="",ISERROR(Inputs!$C$90)),Inputs!$D$90,Inputs!$C$90*Inputs!$K$9*(1+Inputs!$K$12)^B401),"Error - Check Input")
+IFERROR(IF(OR(Inputs!$C$93=0,Inputs!$C$93="",ISERROR(Inputs!$C$93)),Inputs!$D$93,Inputs!$C$93*Inputs!$K$9*(1+Inputs!$K$12)^B401),"Error - Check Input")</f>
        <v>81299.870262995537</v>
      </c>
      <c r="D401" s="17"/>
    </row>
    <row r="402" spans="2:4" x14ac:dyDescent="0.35">
      <c r="B402" s="18">
        <v>211</v>
      </c>
      <c r="C402" s="6">
        <f>IFERROR(IF(OR(Inputs!$C$84=0,Inputs!$C$84="",ISERROR(Inputs!$C$84)),Inputs!$D$84,Inputs!$C$84*Inputs!$K$9*(1+Inputs!$K$12)^B402),"Error - Check Input")
+IFERROR(IF(OR(Inputs!$C$85=0,Inputs!$C$85="",ISERROR(Inputs!$C$85)),Inputs!$D$85,Inputs!$C$85*Inputs!$K$9*(1+Inputs!$K$12)^B402),"Error - Check Input")
+IFERROR(IF(OR(Inputs!$C$86=0,Inputs!$C$86="",ISERROR(Inputs!$C$86)),Inputs!$D$86,Inputs!$C$86*Inputs!$K$9*(1+Inputs!$K$12)^B402),"Error - Check Input")
+IFERROR(IF(OR(Inputs!$C$87=0,Inputs!$C$87="",ISERROR(Inputs!$C$87)),Inputs!$D$87,Inputs!$C$87*Inputs!$K$9*(1+Inputs!$K$12)^B402),"Error - Check Input")
+IFERROR(IF(OR(Inputs!$C$88=0,Inputs!$C$88="",ISERROR(Inputs!$C$88)),Inputs!$D$88,Inputs!$C$88*Inputs!$K$9*(1+Inputs!$K$12)^B402),"Error - Check Input")
+IFERROR(IF(OR(Inputs!$C$89=0,Inputs!$C$89="",ISERROR(Inputs!$C$89)),Inputs!$D$89,Inputs!$C$89*Inputs!$K$9*(1+Inputs!$K$12)^B402),"Error - Check Input")
+IFERROR(IF(OR(Inputs!$C$90=0,Inputs!$C$90="",ISERROR(Inputs!$C$90)),Inputs!$D$90,Inputs!$C$90*Inputs!$K$9*(1+Inputs!$K$12)^B402),"Error - Check Input")
+IFERROR(IF(OR(Inputs!$C$93=0,Inputs!$C$93="",ISERROR(Inputs!$C$93)),Inputs!$D$93,Inputs!$C$93*Inputs!$K$9*(1+Inputs!$K$12)^B402),"Error - Check Input")</f>
        <v>81612.762441015104</v>
      </c>
      <c r="D402" s="17"/>
    </row>
    <row r="403" spans="2:4" x14ac:dyDescent="0.35">
      <c r="B403" s="18">
        <v>212</v>
      </c>
      <c r="C403" s="6">
        <f>IFERROR(IF(OR(Inputs!$C$84=0,Inputs!$C$84="",ISERROR(Inputs!$C$84)),Inputs!$D$84,Inputs!$C$84*Inputs!$K$9*(1+Inputs!$K$12)^B403),"Error - Check Input")
+IFERROR(IF(OR(Inputs!$C$85=0,Inputs!$C$85="",ISERROR(Inputs!$C$85)),Inputs!$D$85,Inputs!$C$85*Inputs!$K$9*(1+Inputs!$K$12)^B403),"Error - Check Input")
+IFERROR(IF(OR(Inputs!$C$86=0,Inputs!$C$86="",ISERROR(Inputs!$C$86)),Inputs!$D$86,Inputs!$C$86*Inputs!$K$9*(1+Inputs!$K$12)^B403),"Error - Check Input")
+IFERROR(IF(OR(Inputs!$C$87=0,Inputs!$C$87="",ISERROR(Inputs!$C$87)),Inputs!$D$87,Inputs!$C$87*Inputs!$K$9*(1+Inputs!$K$12)^B403),"Error - Check Input")
+IFERROR(IF(OR(Inputs!$C$88=0,Inputs!$C$88="",ISERROR(Inputs!$C$88)),Inputs!$D$88,Inputs!$C$88*Inputs!$K$9*(1+Inputs!$K$12)^B403),"Error - Check Input")
+IFERROR(IF(OR(Inputs!$C$89=0,Inputs!$C$89="",ISERROR(Inputs!$C$89)),Inputs!$D$89,Inputs!$C$89*Inputs!$K$9*(1+Inputs!$K$12)^B403),"Error - Check Input")
+IFERROR(IF(OR(Inputs!$C$90=0,Inputs!$C$90="",ISERROR(Inputs!$C$90)),Inputs!$D$90,Inputs!$C$90*Inputs!$K$9*(1+Inputs!$K$12)^B403),"Error - Check Input")
+IFERROR(IF(OR(Inputs!$C$93=0,Inputs!$C$93="",ISERROR(Inputs!$C$93)),Inputs!$D$93,Inputs!$C$93*Inputs!$K$9*(1+Inputs!$K$12)^B403),"Error - Check Input")</f>
        <v>81926.929380498885</v>
      </c>
      <c r="D403" s="17"/>
    </row>
    <row r="404" spans="2:4" x14ac:dyDescent="0.35">
      <c r="B404" s="18">
        <v>213</v>
      </c>
      <c r="C404" s="6">
        <f>IFERROR(IF(OR(Inputs!$C$84=0,Inputs!$C$84="",ISERROR(Inputs!$C$84)),Inputs!$D$84,Inputs!$C$84*Inputs!$K$9*(1+Inputs!$K$12)^B404),"Error - Check Input")
+IFERROR(IF(OR(Inputs!$C$85=0,Inputs!$C$85="",ISERROR(Inputs!$C$85)),Inputs!$D$85,Inputs!$C$85*Inputs!$K$9*(1+Inputs!$K$12)^B404),"Error - Check Input")
+IFERROR(IF(OR(Inputs!$C$86=0,Inputs!$C$86="",ISERROR(Inputs!$C$86)),Inputs!$D$86,Inputs!$C$86*Inputs!$K$9*(1+Inputs!$K$12)^B404),"Error - Check Input")
+IFERROR(IF(OR(Inputs!$C$87=0,Inputs!$C$87="",ISERROR(Inputs!$C$87)),Inputs!$D$87,Inputs!$C$87*Inputs!$K$9*(1+Inputs!$K$12)^B404),"Error - Check Input")
+IFERROR(IF(OR(Inputs!$C$88=0,Inputs!$C$88="",ISERROR(Inputs!$C$88)),Inputs!$D$88,Inputs!$C$88*Inputs!$K$9*(1+Inputs!$K$12)^B404),"Error - Check Input")
+IFERROR(IF(OR(Inputs!$C$89=0,Inputs!$C$89="",ISERROR(Inputs!$C$89)),Inputs!$D$89,Inputs!$C$89*Inputs!$K$9*(1+Inputs!$K$12)^B404),"Error - Check Input")
+IFERROR(IF(OR(Inputs!$C$90=0,Inputs!$C$90="",ISERROR(Inputs!$C$90)),Inputs!$D$90,Inputs!$C$90*Inputs!$K$9*(1+Inputs!$K$12)^B404),"Error - Check Input")
+IFERROR(IF(OR(Inputs!$C$93=0,Inputs!$C$93="",ISERROR(Inputs!$C$93)),Inputs!$D$93,Inputs!$C$93*Inputs!$K$9*(1+Inputs!$K$12)^B404),"Error - Check Input")</f>
        <v>82242.376274982831</v>
      </c>
      <c r="D404" s="17"/>
    </row>
    <row r="405" spans="2:4" x14ac:dyDescent="0.35">
      <c r="B405" s="18">
        <v>214</v>
      </c>
      <c r="C405" s="6">
        <f>IFERROR(IF(OR(Inputs!$C$84=0,Inputs!$C$84="",ISERROR(Inputs!$C$84)),Inputs!$D$84,Inputs!$C$84*Inputs!$K$9*(1+Inputs!$K$12)^B405),"Error - Check Input")
+IFERROR(IF(OR(Inputs!$C$85=0,Inputs!$C$85="",ISERROR(Inputs!$C$85)),Inputs!$D$85,Inputs!$C$85*Inputs!$K$9*(1+Inputs!$K$12)^B405),"Error - Check Input")
+IFERROR(IF(OR(Inputs!$C$86=0,Inputs!$C$86="",ISERROR(Inputs!$C$86)),Inputs!$D$86,Inputs!$C$86*Inputs!$K$9*(1+Inputs!$K$12)^B405),"Error - Check Input")
+IFERROR(IF(OR(Inputs!$C$87=0,Inputs!$C$87="",ISERROR(Inputs!$C$87)),Inputs!$D$87,Inputs!$C$87*Inputs!$K$9*(1+Inputs!$K$12)^B405),"Error - Check Input")
+IFERROR(IF(OR(Inputs!$C$88=0,Inputs!$C$88="",ISERROR(Inputs!$C$88)),Inputs!$D$88,Inputs!$C$88*Inputs!$K$9*(1+Inputs!$K$12)^B405),"Error - Check Input")
+IFERROR(IF(OR(Inputs!$C$89=0,Inputs!$C$89="",ISERROR(Inputs!$C$89)),Inputs!$D$89,Inputs!$C$89*Inputs!$K$9*(1+Inputs!$K$12)^B405),"Error - Check Input")
+IFERROR(IF(OR(Inputs!$C$90=0,Inputs!$C$90="",ISERROR(Inputs!$C$90)),Inputs!$D$90,Inputs!$C$90*Inputs!$K$9*(1+Inputs!$K$12)^B405),"Error - Check Input")
+IFERROR(IF(OR(Inputs!$C$93=0,Inputs!$C$93="",ISERROR(Inputs!$C$93)),Inputs!$D$93,Inputs!$C$93*Inputs!$K$9*(1+Inputs!$K$12)^B405),"Error - Check Input")</f>
        <v>82559.108339162078</v>
      </c>
      <c r="D405" s="17"/>
    </row>
    <row r="406" spans="2:4" x14ac:dyDescent="0.35">
      <c r="B406" s="18">
        <v>215</v>
      </c>
      <c r="C406" s="6">
        <f>IFERROR(IF(OR(Inputs!$C$84=0,Inputs!$C$84="",ISERROR(Inputs!$C$84)),Inputs!$D$84,Inputs!$C$84*Inputs!$K$9*(1+Inputs!$K$12)^B406),"Error - Check Input")
+IFERROR(IF(OR(Inputs!$C$85=0,Inputs!$C$85="",ISERROR(Inputs!$C$85)),Inputs!$D$85,Inputs!$C$85*Inputs!$K$9*(1+Inputs!$K$12)^B406),"Error - Check Input")
+IFERROR(IF(OR(Inputs!$C$86=0,Inputs!$C$86="",ISERROR(Inputs!$C$86)),Inputs!$D$86,Inputs!$C$86*Inputs!$K$9*(1+Inputs!$K$12)^B406),"Error - Check Input")
+IFERROR(IF(OR(Inputs!$C$87=0,Inputs!$C$87="",ISERROR(Inputs!$C$87)),Inputs!$D$87,Inputs!$C$87*Inputs!$K$9*(1+Inputs!$K$12)^B406),"Error - Check Input")
+IFERROR(IF(OR(Inputs!$C$88=0,Inputs!$C$88="",ISERROR(Inputs!$C$88)),Inputs!$D$88,Inputs!$C$88*Inputs!$K$9*(1+Inputs!$K$12)^B406),"Error - Check Input")
+IFERROR(IF(OR(Inputs!$C$89=0,Inputs!$C$89="",ISERROR(Inputs!$C$89)),Inputs!$D$89,Inputs!$C$89*Inputs!$K$9*(1+Inputs!$K$12)^B406),"Error - Check Input")
+IFERROR(IF(OR(Inputs!$C$90=0,Inputs!$C$90="",ISERROR(Inputs!$C$90)),Inputs!$D$90,Inputs!$C$90*Inputs!$K$9*(1+Inputs!$K$12)^B406),"Error - Check Input")
+IFERROR(IF(OR(Inputs!$C$93=0,Inputs!$C$93="",ISERROR(Inputs!$C$93)),Inputs!$D$93,Inputs!$C$93*Inputs!$K$9*(1+Inputs!$K$12)^B406),"Error - Check Input")</f>
        <v>82877.130808977046</v>
      </c>
      <c r="D406" s="17"/>
    </row>
    <row r="407" spans="2:4" x14ac:dyDescent="0.35">
      <c r="B407" s="18">
        <v>216</v>
      </c>
      <c r="C407" s="6">
        <f>IFERROR(IF(OR(Inputs!$C$84=0,Inputs!$C$84="",ISERROR(Inputs!$C$84)),Inputs!$D$84,Inputs!$C$84*Inputs!$K$9*(1+Inputs!$K$12)^B407),"Error - Check Input")
+IFERROR(IF(OR(Inputs!$C$85=0,Inputs!$C$85="",ISERROR(Inputs!$C$85)),Inputs!$D$85,Inputs!$C$85*Inputs!$K$9*(1+Inputs!$K$12)^B407),"Error - Check Input")
+IFERROR(IF(OR(Inputs!$C$86=0,Inputs!$C$86="",ISERROR(Inputs!$C$86)),Inputs!$D$86,Inputs!$C$86*Inputs!$K$9*(1+Inputs!$K$12)^B407),"Error - Check Input")
+IFERROR(IF(OR(Inputs!$C$87=0,Inputs!$C$87="",ISERROR(Inputs!$C$87)),Inputs!$D$87,Inputs!$C$87*Inputs!$K$9*(1+Inputs!$K$12)^B407),"Error - Check Input")
+IFERROR(IF(OR(Inputs!$C$88=0,Inputs!$C$88="",ISERROR(Inputs!$C$88)),Inputs!$D$88,Inputs!$C$88*Inputs!$K$9*(1+Inputs!$K$12)^B407),"Error - Check Input")
+IFERROR(IF(OR(Inputs!$C$89=0,Inputs!$C$89="",ISERROR(Inputs!$C$89)),Inputs!$D$89,Inputs!$C$89*Inputs!$K$9*(1+Inputs!$K$12)^B407),"Error - Check Input")
+IFERROR(IF(OR(Inputs!$C$90=0,Inputs!$C$90="",ISERROR(Inputs!$C$90)),Inputs!$D$90,Inputs!$C$90*Inputs!$K$9*(1+Inputs!$K$12)^B407),"Error - Check Input")
+IFERROR(IF(OR(Inputs!$C$93=0,Inputs!$C$93="",ISERROR(Inputs!$C$93)),Inputs!$D$93,Inputs!$C$93*Inputs!$K$9*(1+Inputs!$K$12)^B407),"Error - Check Input")</f>
        <v>83196.44894170003</v>
      </c>
      <c r="D407" s="17"/>
    </row>
    <row r="408" spans="2:4" x14ac:dyDescent="0.35">
      <c r="B408" s="18">
        <v>217</v>
      </c>
      <c r="C408" s="6">
        <f>IFERROR(IF(OR(Inputs!$C$84=0,Inputs!$C$84="",ISERROR(Inputs!$C$84)),Inputs!$D$84,Inputs!$C$84*Inputs!$K$9*(1+Inputs!$K$12)^B408),"Error - Check Input")
+IFERROR(IF(OR(Inputs!$C$85=0,Inputs!$C$85="",ISERROR(Inputs!$C$85)),Inputs!$D$85,Inputs!$C$85*Inputs!$K$9*(1+Inputs!$K$12)^B408),"Error - Check Input")
+IFERROR(IF(OR(Inputs!$C$86=0,Inputs!$C$86="",ISERROR(Inputs!$C$86)),Inputs!$D$86,Inputs!$C$86*Inputs!$K$9*(1+Inputs!$K$12)^B408),"Error - Check Input")
+IFERROR(IF(OR(Inputs!$C$87=0,Inputs!$C$87="",ISERROR(Inputs!$C$87)),Inputs!$D$87,Inputs!$C$87*Inputs!$K$9*(1+Inputs!$K$12)^B408),"Error - Check Input")
+IFERROR(IF(OR(Inputs!$C$88=0,Inputs!$C$88="",ISERROR(Inputs!$C$88)),Inputs!$D$88,Inputs!$C$88*Inputs!$K$9*(1+Inputs!$K$12)^B408),"Error - Check Input")
+IFERROR(IF(OR(Inputs!$C$89=0,Inputs!$C$89="",ISERROR(Inputs!$C$89)),Inputs!$D$89,Inputs!$C$89*Inputs!$K$9*(1+Inputs!$K$12)^B408),"Error - Check Input")
+IFERROR(IF(OR(Inputs!$C$90=0,Inputs!$C$90="",ISERROR(Inputs!$C$90)),Inputs!$D$90,Inputs!$C$90*Inputs!$K$9*(1+Inputs!$K$12)^B408),"Error - Check Input")
+IFERROR(IF(OR(Inputs!$C$93=0,Inputs!$C$93="",ISERROR(Inputs!$C$93)),Inputs!$D$93,Inputs!$C$93*Inputs!$K$9*(1+Inputs!$K$12)^B408),"Error - Check Input")</f>
        <v>83517.068016022095</v>
      </c>
      <c r="D408" s="17"/>
    </row>
    <row r="409" spans="2:4" x14ac:dyDescent="0.35">
      <c r="B409" s="18">
        <v>218</v>
      </c>
      <c r="C409" s="6">
        <f>IFERROR(IF(OR(Inputs!$C$84=0,Inputs!$C$84="",ISERROR(Inputs!$C$84)),Inputs!$D$84,Inputs!$C$84*Inputs!$K$9*(1+Inputs!$K$12)^B409),"Error - Check Input")
+IFERROR(IF(OR(Inputs!$C$85=0,Inputs!$C$85="",ISERROR(Inputs!$C$85)),Inputs!$D$85,Inputs!$C$85*Inputs!$K$9*(1+Inputs!$K$12)^B409),"Error - Check Input")
+IFERROR(IF(OR(Inputs!$C$86=0,Inputs!$C$86="",ISERROR(Inputs!$C$86)),Inputs!$D$86,Inputs!$C$86*Inputs!$K$9*(1+Inputs!$K$12)^B409),"Error - Check Input")
+IFERROR(IF(OR(Inputs!$C$87=0,Inputs!$C$87="",ISERROR(Inputs!$C$87)),Inputs!$D$87,Inputs!$C$87*Inputs!$K$9*(1+Inputs!$K$12)^B409),"Error - Check Input")
+IFERROR(IF(OR(Inputs!$C$88=0,Inputs!$C$88="",ISERROR(Inputs!$C$88)),Inputs!$D$88,Inputs!$C$88*Inputs!$K$9*(1+Inputs!$K$12)^B409),"Error - Check Input")
+IFERROR(IF(OR(Inputs!$C$89=0,Inputs!$C$89="",ISERROR(Inputs!$C$89)),Inputs!$D$89,Inputs!$C$89*Inputs!$K$9*(1+Inputs!$K$12)^B409),"Error - Check Input")
+IFERROR(IF(OR(Inputs!$C$90=0,Inputs!$C$90="",ISERROR(Inputs!$C$90)),Inputs!$D$90,Inputs!$C$90*Inputs!$K$9*(1+Inputs!$K$12)^B409),"Error - Check Input")
+IFERROR(IF(OR(Inputs!$C$93=0,Inputs!$C$93="",ISERROR(Inputs!$C$93)),Inputs!$D$93,Inputs!$C$93*Inputs!$K$9*(1+Inputs!$K$12)^B409),"Error - Check Input")</f>
        <v>83838.993332140322</v>
      </c>
      <c r="D409" s="17"/>
    </row>
    <row r="410" spans="2:4" x14ac:dyDescent="0.35">
      <c r="B410" s="18">
        <v>219</v>
      </c>
      <c r="C410" s="6">
        <f>IFERROR(IF(OR(Inputs!$C$84=0,Inputs!$C$84="",ISERROR(Inputs!$C$84)),Inputs!$D$84,Inputs!$C$84*Inputs!$K$9*(1+Inputs!$K$12)^B410),"Error - Check Input")
+IFERROR(IF(OR(Inputs!$C$85=0,Inputs!$C$85="",ISERROR(Inputs!$C$85)),Inputs!$D$85,Inputs!$C$85*Inputs!$K$9*(1+Inputs!$K$12)^B410),"Error - Check Input")
+IFERROR(IF(OR(Inputs!$C$86=0,Inputs!$C$86="",ISERROR(Inputs!$C$86)),Inputs!$D$86,Inputs!$C$86*Inputs!$K$9*(1+Inputs!$K$12)^B410),"Error - Check Input")
+IFERROR(IF(OR(Inputs!$C$87=0,Inputs!$C$87="",ISERROR(Inputs!$C$87)),Inputs!$D$87,Inputs!$C$87*Inputs!$K$9*(1+Inputs!$K$12)^B410),"Error - Check Input")
+IFERROR(IF(OR(Inputs!$C$88=0,Inputs!$C$88="",ISERROR(Inputs!$C$88)),Inputs!$D$88,Inputs!$C$88*Inputs!$K$9*(1+Inputs!$K$12)^B410),"Error - Check Input")
+IFERROR(IF(OR(Inputs!$C$89=0,Inputs!$C$89="",ISERROR(Inputs!$C$89)),Inputs!$D$89,Inputs!$C$89*Inputs!$K$9*(1+Inputs!$K$12)^B410),"Error - Check Input")
+IFERROR(IF(OR(Inputs!$C$90=0,Inputs!$C$90="",ISERROR(Inputs!$C$90)),Inputs!$D$90,Inputs!$C$90*Inputs!$K$9*(1+Inputs!$K$12)^B410),"Error - Check Input")
+IFERROR(IF(OR(Inputs!$C$93=0,Inputs!$C$93="",ISERROR(Inputs!$C$93)),Inputs!$D$93,Inputs!$C$93*Inputs!$K$9*(1+Inputs!$K$12)^B410),"Error - Check Input")</f>
        <v>84162.230211845497</v>
      </c>
      <c r="D410" s="17"/>
    </row>
    <row r="411" spans="2:4" x14ac:dyDescent="0.35">
      <c r="B411" s="18">
        <v>220</v>
      </c>
      <c r="C411" s="6">
        <f>IFERROR(IF(OR(Inputs!$C$84=0,Inputs!$C$84="",ISERROR(Inputs!$C$84)),Inputs!$D$84,Inputs!$C$84*Inputs!$K$9*(1+Inputs!$K$12)^B411),"Error - Check Input")
+IFERROR(IF(OR(Inputs!$C$85=0,Inputs!$C$85="",ISERROR(Inputs!$C$85)),Inputs!$D$85,Inputs!$C$85*Inputs!$K$9*(1+Inputs!$K$12)^B411),"Error - Check Input")
+IFERROR(IF(OR(Inputs!$C$86=0,Inputs!$C$86="",ISERROR(Inputs!$C$86)),Inputs!$D$86,Inputs!$C$86*Inputs!$K$9*(1+Inputs!$K$12)^B411),"Error - Check Input")
+IFERROR(IF(OR(Inputs!$C$87=0,Inputs!$C$87="",ISERROR(Inputs!$C$87)),Inputs!$D$87,Inputs!$C$87*Inputs!$K$9*(1+Inputs!$K$12)^B411),"Error - Check Input")
+IFERROR(IF(OR(Inputs!$C$88=0,Inputs!$C$88="",ISERROR(Inputs!$C$88)),Inputs!$D$88,Inputs!$C$88*Inputs!$K$9*(1+Inputs!$K$12)^B411),"Error - Check Input")
+IFERROR(IF(OR(Inputs!$C$89=0,Inputs!$C$89="",ISERROR(Inputs!$C$89)),Inputs!$D$89,Inputs!$C$89*Inputs!$K$9*(1+Inputs!$K$12)^B411),"Error - Check Input")
+IFERROR(IF(OR(Inputs!$C$90=0,Inputs!$C$90="",ISERROR(Inputs!$C$90)),Inputs!$D$90,Inputs!$C$90*Inputs!$K$9*(1+Inputs!$K$12)^B411),"Error - Check Input")
+IFERROR(IF(OR(Inputs!$C$93=0,Inputs!$C$93="",ISERROR(Inputs!$C$93)),Inputs!$D$93,Inputs!$C$93*Inputs!$K$9*(1+Inputs!$K$12)^B411),"Error - Check Input")</f>
        <v>84486.783998610059</v>
      </c>
      <c r="D411" s="17"/>
    </row>
    <row r="412" spans="2:4" x14ac:dyDescent="0.35">
      <c r="B412" s="18">
        <v>221</v>
      </c>
      <c r="C412" s="6">
        <f>IFERROR(IF(OR(Inputs!$C$84=0,Inputs!$C$84="",ISERROR(Inputs!$C$84)),Inputs!$D$84,Inputs!$C$84*Inputs!$K$9*(1+Inputs!$K$12)^B412),"Error - Check Input")
+IFERROR(IF(OR(Inputs!$C$85=0,Inputs!$C$85="",ISERROR(Inputs!$C$85)),Inputs!$D$85,Inputs!$C$85*Inputs!$K$9*(1+Inputs!$K$12)^B412),"Error - Check Input")
+IFERROR(IF(OR(Inputs!$C$86=0,Inputs!$C$86="",ISERROR(Inputs!$C$86)),Inputs!$D$86,Inputs!$C$86*Inputs!$K$9*(1+Inputs!$K$12)^B412),"Error - Check Input")
+IFERROR(IF(OR(Inputs!$C$87=0,Inputs!$C$87="",ISERROR(Inputs!$C$87)),Inputs!$D$87,Inputs!$C$87*Inputs!$K$9*(1+Inputs!$K$12)^B412),"Error - Check Input")
+IFERROR(IF(OR(Inputs!$C$88=0,Inputs!$C$88="",ISERROR(Inputs!$C$88)),Inputs!$D$88,Inputs!$C$88*Inputs!$K$9*(1+Inputs!$K$12)^B412),"Error - Check Input")
+IFERROR(IF(OR(Inputs!$C$89=0,Inputs!$C$89="",ISERROR(Inputs!$C$89)),Inputs!$D$89,Inputs!$C$89*Inputs!$K$9*(1+Inputs!$K$12)^B412),"Error - Check Input")
+IFERROR(IF(OR(Inputs!$C$90=0,Inputs!$C$90="",ISERROR(Inputs!$C$90)),Inputs!$D$90,Inputs!$C$90*Inputs!$K$9*(1+Inputs!$K$12)^B412),"Error - Check Input")
+IFERROR(IF(OR(Inputs!$C$93=0,Inputs!$C$93="",ISERROR(Inputs!$C$93)),Inputs!$D$93,Inputs!$C$93*Inputs!$K$9*(1+Inputs!$K$12)^B412),"Error - Check Input")</f>
        <v>84812.660057676345</v>
      </c>
      <c r="D412" s="17"/>
    </row>
    <row r="413" spans="2:4" x14ac:dyDescent="0.35">
      <c r="B413" s="18">
        <v>222</v>
      </c>
      <c r="C413" s="6">
        <f>IFERROR(IF(OR(Inputs!$C$84=0,Inputs!$C$84="",ISERROR(Inputs!$C$84)),Inputs!$D$84,Inputs!$C$84*Inputs!$K$9*(1+Inputs!$K$12)^B413),"Error - Check Input")
+IFERROR(IF(OR(Inputs!$C$85=0,Inputs!$C$85="",ISERROR(Inputs!$C$85)),Inputs!$D$85,Inputs!$C$85*Inputs!$K$9*(1+Inputs!$K$12)^B413),"Error - Check Input")
+IFERROR(IF(OR(Inputs!$C$86=0,Inputs!$C$86="",ISERROR(Inputs!$C$86)),Inputs!$D$86,Inputs!$C$86*Inputs!$K$9*(1+Inputs!$K$12)^B413),"Error - Check Input")
+IFERROR(IF(OR(Inputs!$C$87=0,Inputs!$C$87="",ISERROR(Inputs!$C$87)),Inputs!$D$87,Inputs!$C$87*Inputs!$K$9*(1+Inputs!$K$12)^B413),"Error - Check Input")
+IFERROR(IF(OR(Inputs!$C$88=0,Inputs!$C$88="",ISERROR(Inputs!$C$88)),Inputs!$D$88,Inputs!$C$88*Inputs!$K$9*(1+Inputs!$K$12)^B413),"Error - Check Input")
+IFERROR(IF(OR(Inputs!$C$89=0,Inputs!$C$89="",ISERROR(Inputs!$C$89)),Inputs!$D$89,Inputs!$C$89*Inputs!$K$9*(1+Inputs!$K$12)^B413),"Error - Check Input")
+IFERROR(IF(OR(Inputs!$C$90=0,Inputs!$C$90="",ISERROR(Inputs!$C$90)),Inputs!$D$90,Inputs!$C$90*Inputs!$K$9*(1+Inputs!$K$12)^B413),"Error - Check Input")
+IFERROR(IF(OR(Inputs!$C$93=0,Inputs!$C$93="",ISERROR(Inputs!$C$93)),Inputs!$D$93,Inputs!$C$93*Inputs!$K$9*(1+Inputs!$K$12)^B413),"Error - Check Input")</f>
        <v>85139.863776145387</v>
      </c>
      <c r="D413" s="17"/>
    </row>
    <row r="414" spans="2:4" x14ac:dyDescent="0.35">
      <c r="B414" s="18">
        <v>223</v>
      </c>
      <c r="C414" s="6">
        <f>IFERROR(IF(OR(Inputs!$C$84=0,Inputs!$C$84="",ISERROR(Inputs!$C$84)),Inputs!$D$84,Inputs!$C$84*Inputs!$K$9*(1+Inputs!$K$12)^B414),"Error - Check Input")
+IFERROR(IF(OR(Inputs!$C$85=0,Inputs!$C$85="",ISERROR(Inputs!$C$85)),Inputs!$D$85,Inputs!$C$85*Inputs!$K$9*(1+Inputs!$K$12)^B414),"Error - Check Input")
+IFERROR(IF(OR(Inputs!$C$86=0,Inputs!$C$86="",ISERROR(Inputs!$C$86)),Inputs!$D$86,Inputs!$C$86*Inputs!$K$9*(1+Inputs!$K$12)^B414),"Error - Check Input")
+IFERROR(IF(OR(Inputs!$C$87=0,Inputs!$C$87="",ISERROR(Inputs!$C$87)),Inputs!$D$87,Inputs!$C$87*Inputs!$K$9*(1+Inputs!$K$12)^B414),"Error - Check Input")
+IFERROR(IF(OR(Inputs!$C$88=0,Inputs!$C$88="",ISERROR(Inputs!$C$88)),Inputs!$D$88,Inputs!$C$88*Inputs!$K$9*(1+Inputs!$K$12)^B414),"Error - Check Input")
+IFERROR(IF(OR(Inputs!$C$89=0,Inputs!$C$89="",ISERROR(Inputs!$C$89)),Inputs!$D$89,Inputs!$C$89*Inputs!$K$9*(1+Inputs!$K$12)^B414),"Error - Check Input")
+IFERROR(IF(OR(Inputs!$C$90=0,Inputs!$C$90="",ISERROR(Inputs!$C$90)),Inputs!$D$90,Inputs!$C$90*Inputs!$K$9*(1+Inputs!$K$12)^B414),"Error - Check Input")
+IFERROR(IF(OR(Inputs!$C$93=0,Inputs!$C$93="",ISERROR(Inputs!$C$93)),Inputs!$D$93,Inputs!$C$93*Inputs!$K$9*(1+Inputs!$K$12)^B414),"Error - Check Input")</f>
        <v>85468.400563065967</v>
      </c>
      <c r="D414" s="17"/>
    </row>
    <row r="415" spans="2:4" x14ac:dyDescent="0.35">
      <c r="B415" s="18">
        <v>224</v>
      </c>
      <c r="C415" s="6">
        <f>IFERROR(IF(OR(Inputs!$C$84=0,Inputs!$C$84="",ISERROR(Inputs!$C$84)),Inputs!$D$84,Inputs!$C$84*Inputs!$K$9*(1+Inputs!$K$12)^B415),"Error - Check Input")
+IFERROR(IF(OR(Inputs!$C$85=0,Inputs!$C$85="",ISERROR(Inputs!$C$85)),Inputs!$D$85,Inputs!$C$85*Inputs!$K$9*(1+Inputs!$K$12)^B415),"Error - Check Input")
+IFERROR(IF(OR(Inputs!$C$86=0,Inputs!$C$86="",ISERROR(Inputs!$C$86)),Inputs!$D$86,Inputs!$C$86*Inputs!$K$9*(1+Inputs!$K$12)^B415),"Error - Check Input")
+IFERROR(IF(OR(Inputs!$C$87=0,Inputs!$C$87="",ISERROR(Inputs!$C$87)),Inputs!$D$87,Inputs!$C$87*Inputs!$K$9*(1+Inputs!$K$12)^B415),"Error - Check Input")
+IFERROR(IF(OR(Inputs!$C$88=0,Inputs!$C$88="",ISERROR(Inputs!$C$88)),Inputs!$D$88,Inputs!$C$88*Inputs!$K$9*(1+Inputs!$K$12)^B415),"Error - Check Input")
+IFERROR(IF(OR(Inputs!$C$89=0,Inputs!$C$89="",ISERROR(Inputs!$C$89)),Inputs!$D$89,Inputs!$C$89*Inputs!$K$9*(1+Inputs!$K$12)^B415),"Error - Check Input")
+IFERROR(IF(OR(Inputs!$C$90=0,Inputs!$C$90="",ISERROR(Inputs!$C$90)),Inputs!$D$90,Inputs!$C$90*Inputs!$K$9*(1+Inputs!$K$12)^B415),"Error - Check Input")
+IFERROR(IF(OR(Inputs!$C$93=0,Inputs!$C$93="",ISERROR(Inputs!$C$93)),Inputs!$D$93,Inputs!$C$93*Inputs!$K$9*(1+Inputs!$K$12)^B415),"Error - Check Input")</f>
        <v>85798.27584952391</v>
      </c>
      <c r="D415" s="17"/>
    </row>
    <row r="416" spans="2:4" x14ac:dyDescent="0.35">
      <c r="B416" s="18">
        <v>225</v>
      </c>
      <c r="C416" s="6">
        <f>IFERROR(IF(OR(Inputs!$C$84=0,Inputs!$C$84="",ISERROR(Inputs!$C$84)),Inputs!$D$84,Inputs!$C$84*Inputs!$K$9*(1+Inputs!$K$12)^B416),"Error - Check Input")
+IFERROR(IF(OR(Inputs!$C$85=0,Inputs!$C$85="",ISERROR(Inputs!$C$85)),Inputs!$D$85,Inputs!$C$85*Inputs!$K$9*(1+Inputs!$K$12)^B416),"Error - Check Input")
+IFERROR(IF(OR(Inputs!$C$86=0,Inputs!$C$86="",ISERROR(Inputs!$C$86)),Inputs!$D$86,Inputs!$C$86*Inputs!$K$9*(1+Inputs!$K$12)^B416),"Error - Check Input")
+IFERROR(IF(OR(Inputs!$C$87=0,Inputs!$C$87="",ISERROR(Inputs!$C$87)),Inputs!$D$87,Inputs!$C$87*Inputs!$K$9*(1+Inputs!$K$12)^B416),"Error - Check Input")
+IFERROR(IF(OR(Inputs!$C$88=0,Inputs!$C$88="",ISERROR(Inputs!$C$88)),Inputs!$D$88,Inputs!$C$88*Inputs!$K$9*(1+Inputs!$K$12)^B416),"Error - Check Input")
+IFERROR(IF(OR(Inputs!$C$89=0,Inputs!$C$89="",ISERROR(Inputs!$C$89)),Inputs!$D$89,Inputs!$C$89*Inputs!$K$9*(1+Inputs!$K$12)^B416),"Error - Check Input")
+IFERROR(IF(OR(Inputs!$C$90=0,Inputs!$C$90="",ISERROR(Inputs!$C$90)),Inputs!$D$90,Inputs!$C$90*Inputs!$K$9*(1+Inputs!$K$12)^B416),"Error - Check Input")
+IFERROR(IF(OR(Inputs!$C$93=0,Inputs!$C$93="",ISERROR(Inputs!$C$93)),Inputs!$D$93,Inputs!$C$93*Inputs!$K$9*(1+Inputs!$K$12)^B416),"Error - Check Input")</f>
        <v>86129.495088732059</v>
      </c>
      <c r="D416" s="17"/>
    </row>
    <row r="417" spans="2:4" x14ac:dyDescent="0.35">
      <c r="B417" s="18">
        <v>226</v>
      </c>
      <c r="C417" s="6">
        <f>IFERROR(IF(OR(Inputs!$C$84=0,Inputs!$C$84="",ISERROR(Inputs!$C$84)),Inputs!$D$84,Inputs!$C$84*Inputs!$K$9*(1+Inputs!$K$12)^B417),"Error - Check Input")
+IFERROR(IF(OR(Inputs!$C$85=0,Inputs!$C$85="",ISERROR(Inputs!$C$85)),Inputs!$D$85,Inputs!$C$85*Inputs!$K$9*(1+Inputs!$K$12)^B417),"Error - Check Input")
+IFERROR(IF(OR(Inputs!$C$86=0,Inputs!$C$86="",ISERROR(Inputs!$C$86)),Inputs!$D$86,Inputs!$C$86*Inputs!$K$9*(1+Inputs!$K$12)^B417),"Error - Check Input")
+IFERROR(IF(OR(Inputs!$C$87=0,Inputs!$C$87="",ISERROR(Inputs!$C$87)),Inputs!$D$87,Inputs!$C$87*Inputs!$K$9*(1+Inputs!$K$12)^B417),"Error - Check Input")
+IFERROR(IF(OR(Inputs!$C$88=0,Inputs!$C$88="",ISERROR(Inputs!$C$88)),Inputs!$D$88,Inputs!$C$88*Inputs!$K$9*(1+Inputs!$K$12)^B417),"Error - Check Input")
+IFERROR(IF(OR(Inputs!$C$89=0,Inputs!$C$89="",ISERROR(Inputs!$C$89)),Inputs!$D$89,Inputs!$C$89*Inputs!$K$9*(1+Inputs!$K$12)^B417),"Error - Check Input")
+IFERROR(IF(OR(Inputs!$C$90=0,Inputs!$C$90="",ISERROR(Inputs!$C$90)),Inputs!$D$90,Inputs!$C$90*Inputs!$K$9*(1+Inputs!$K$12)^B417),"Error - Check Input")
+IFERROR(IF(OR(Inputs!$C$93=0,Inputs!$C$93="",ISERROR(Inputs!$C$93)),Inputs!$D$93,Inputs!$C$93*Inputs!$K$9*(1+Inputs!$K$12)^B417),"Error - Check Input")</f>
        <v>86462.063756120289</v>
      </c>
      <c r="D417" s="17"/>
    </row>
    <row r="418" spans="2:4" x14ac:dyDescent="0.35">
      <c r="B418" s="18">
        <v>227</v>
      </c>
      <c r="C418" s="6">
        <f>IFERROR(IF(OR(Inputs!$C$84=0,Inputs!$C$84="",ISERROR(Inputs!$C$84)),Inputs!$D$84,Inputs!$C$84*Inputs!$K$9*(1+Inputs!$K$12)^B418),"Error - Check Input")
+IFERROR(IF(OR(Inputs!$C$85=0,Inputs!$C$85="",ISERROR(Inputs!$C$85)),Inputs!$D$85,Inputs!$C$85*Inputs!$K$9*(1+Inputs!$K$12)^B418),"Error - Check Input")
+IFERROR(IF(OR(Inputs!$C$86=0,Inputs!$C$86="",ISERROR(Inputs!$C$86)),Inputs!$D$86,Inputs!$C$86*Inputs!$K$9*(1+Inputs!$K$12)^B418),"Error - Check Input")
+IFERROR(IF(OR(Inputs!$C$87=0,Inputs!$C$87="",ISERROR(Inputs!$C$87)),Inputs!$D$87,Inputs!$C$87*Inputs!$K$9*(1+Inputs!$K$12)^B418),"Error - Check Input")
+IFERROR(IF(OR(Inputs!$C$88=0,Inputs!$C$88="",ISERROR(Inputs!$C$88)),Inputs!$D$88,Inputs!$C$88*Inputs!$K$9*(1+Inputs!$K$12)^B418),"Error - Check Input")
+IFERROR(IF(OR(Inputs!$C$89=0,Inputs!$C$89="",ISERROR(Inputs!$C$89)),Inputs!$D$89,Inputs!$C$89*Inputs!$K$9*(1+Inputs!$K$12)^B418),"Error - Check Input")
+IFERROR(IF(OR(Inputs!$C$90=0,Inputs!$C$90="",ISERROR(Inputs!$C$90)),Inputs!$D$90,Inputs!$C$90*Inputs!$K$9*(1+Inputs!$K$12)^B418),"Error - Check Input")
+IFERROR(IF(OR(Inputs!$C$93=0,Inputs!$C$93="",ISERROR(Inputs!$C$93)),Inputs!$D$93,Inputs!$C$93*Inputs!$K$9*(1+Inputs!$K$12)^B418),"Error - Check Input")</f>
        <v>86795.98734942601</v>
      </c>
      <c r="D418" s="17"/>
    </row>
    <row r="419" spans="2:4" x14ac:dyDescent="0.35">
      <c r="B419" s="18">
        <v>228</v>
      </c>
      <c r="C419" s="6">
        <f>IFERROR(IF(OR(Inputs!$C$84=0,Inputs!$C$84="",ISERROR(Inputs!$C$84)),Inputs!$D$84,Inputs!$C$84*Inputs!$K$9*(1+Inputs!$K$12)^B419),"Error - Check Input")
+IFERROR(IF(OR(Inputs!$C$85=0,Inputs!$C$85="",ISERROR(Inputs!$C$85)),Inputs!$D$85,Inputs!$C$85*Inputs!$K$9*(1+Inputs!$K$12)^B419),"Error - Check Input")
+IFERROR(IF(OR(Inputs!$C$86=0,Inputs!$C$86="",ISERROR(Inputs!$C$86)),Inputs!$D$86,Inputs!$C$86*Inputs!$K$9*(1+Inputs!$K$12)^B419),"Error - Check Input")
+IFERROR(IF(OR(Inputs!$C$87=0,Inputs!$C$87="",ISERROR(Inputs!$C$87)),Inputs!$D$87,Inputs!$C$87*Inputs!$K$9*(1+Inputs!$K$12)^B419),"Error - Check Input")
+IFERROR(IF(OR(Inputs!$C$88=0,Inputs!$C$88="",ISERROR(Inputs!$C$88)),Inputs!$D$88,Inputs!$C$88*Inputs!$K$9*(1+Inputs!$K$12)^B419),"Error - Check Input")
+IFERROR(IF(OR(Inputs!$C$89=0,Inputs!$C$89="",ISERROR(Inputs!$C$89)),Inputs!$D$89,Inputs!$C$89*Inputs!$K$9*(1+Inputs!$K$12)^B419),"Error - Check Input")
+IFERROR(IF(OR(Inputs!$C$90=0,Inputs!$C$90="",ISERROR(Inputs!$C$90)),Inputs!$D$90,Inputs!$C$90*Inputs!$K$9*(1+Inputs!$K$12)^B419),"Error - Check Input")
+IFERROR(IF(OR(Inputs!$C$93=0,Inputs!$C$93="",ISERROR(Inputs!$C$93)),Inputs!$D$93,Inputs!$C$93*Inputs!$K$9*(1+Inputs!$K$12)^B419),"Error - Check Input")</f>
        <v>87131.271388785128</v>
      </c>
      <c r="D419" s="17"/>
    </row>
    <row r="420" spans="2:4" x14ac:dyDescent="0.35">
      <c r="B420" s="18">
        <v>229</v>
      </c>
      <c r="C420" s="6">
        <f>IFERROR(IF(OR(Inputs!$C$84=0,Inputs!$C$84="",ISERROR(Inputs!$C$84)),Inputs!$D$84,Inputs!$C$84*Inputs!$K$9*(1+Inputs!$K$12)^B420),"Error - Check Input")
+IFERROR(IF(OR(Inputs!$C$85=0,Inputs!$C$85="",ISERROR(Inputs!$C$85)),Inputs!$D$85,Inputs!$C$85*Inputs!$K$9*(1+Inputs!$K$12)^B420),"Error - Check Input")
+IFERROR(IF(OR(Inputs!$C$86=0,Inputs!$C$86="",ISERROR(Inputs!$C$86)),Inputs!$D$86,Inputs!$C$86*Inputs!$K$9*(1+Inputs!$K$12)^B420),"Error - Check Input")
+IFERROR(IF(OR(Inputs!$C$87=0,Inputs!$C$87="",ISERROR(Inputs!$C$87)),Inputs!$D$87,Inputs!$C$87*Inputs!$K$9*(1+Inputs!$K$12)^B420),"Error - Check Input")
+IFERROR(IF(OR(Inputs!$C$88=0,Inputs!$C$88="",ISERROR(Inputs!$C$88)),Inputs!$D$88,Inputs!$C$88*Inputs!$K$9*(1+Inputs!$K$12)^B420),"Error - Check Input")
+IFERROR(IF(OR(Inputs!$C$89=0,Inputs!$C$89="",ISERROR(Inputs!$C$89)),Inputs!$D$89,Inputs!$C$89*Inputs!$K$9*(1+Inputs!$K$12)^B420),"Error - Check Input")
+IFERROR(IF(OR(Inputs!$C$90=0,Inputs!$C$90="",ISERROR(Inputs!$C$90)),Inputs!$D$90,Inputs!$C$90*Inputs!$K$9*(1+Inputs!$K$12)^B420),"Error - Check Input")
+IFERROR(IF(OR(Inputs!$C$93=0,Inputs!$C$93="",ISERROR(Inputs!$C$93)),Inputs!$D$93,Inputs!$C$93*Inputs!$K$9*(1+Inputs!$K$12)^B420),"Error - Check Input")</f>
        <v>87467.921416823272</v>
      </c>
      <c r="D420" s="17"/>
    </row>
    <row r="421" spans="2:4" x14ac:dyDescent="0.35">
      <c r="B421" s="18">
        <v>230</v>
      </c>
      <c r="C421" s="6">
        <f>IFERROR(IF(OR(Inputs!$C$84=0,Inputs!$C$84="",ISERROR(Inputs!$C$84)),Inputs!$D$84,Inputs!$C$84*Inputs!$K$9*(1+Inputs!$K$12)^B421),"Error - Check Input")
+IFERROR(IF(OR(Inputs!$C$85=0,Inputs!$C$85="",ISERROR(Inputs!$C$85)),Inputs!$D$85,Inputs!$C$85*Inputs!$K$9*(1+Inputs!$K$12)^B421),"Error - Check Input")
+IFERROR(IF(OR(Inputs!$C$86=0,Inputs!$C$86="",ISERROR(Inputs!$C$86)),Inputs!$D$86,Inputs!$C$86*Inputs!$K$9*(1+Inputs!$K$12)^B421),"Error - Check Input")
+IFERROR(IF(OR(Inputs!$C$87=0,Inputs!$C$87="",ISERROR(Inputs!$C$87)),Inputs!$D$87,Inputs!$C$87*Inputs!$K$9*(1+Inputs!$K$12)^B421),"Error - Check Input")
+IFERROR(IF(OR(Inputs!$C$88=0,Inputs!$C$88="",ISERROR(Inputs!$C$88)),Inputs!$D$88,Inputs!$C$88*Inputs!$K$9*(1+Inputs!$K$12)^B421),"Error - Check Input")
+IFERROR(IF(OR(Inputs!$C$89=0,Inputs!$C$89="",ISERROR(Inputs!$C$89)),Inputs!$D$89,Inputs!$C$89*Inputs!$K$9*(1+Inputs!$K$12)^B421),"Error - Check Input")
+IFERROR(IF(OR(Inputs!$C$90=0,Inputs!$C$90="",ISERROR(Inputs!$C$90)),Inputs!$D$90,Inputs!$C$90*Inputs!$K$9*(1+Inputs!$K$12)^B421),"Error - Check Input")
+IFERROR(IF(OR(Inputs!$C$93=0,Inputs!$C$93="",ISERROR(Inputs!$C$93)),Inputs!$D$93,Inputs!$C$93*Inputs!$K$9*(1+Inputs!$K$12)^B421),"Error - Check Input")</f>
        <v>87805.942998747429</v>
      </c>
      <c r="D421" s="17"/>
    </row>
    <row r="422" spans="2:4" x14ac:dyDescent="0.35">
      <c r="B422" s="18">
        <v>231</v>
      </c>
      <c r="C422" s="6">
        <f>IFERROR(IF(OR(Inputs!$C$84=0,Inputs!$C$84="",ISERROR(Inputs!$C$84)),Inputs!$D$84,Inputs!$C$84*Inputs!$K$9*(1+Inputs!$K$12)^B422),"Error - Check Input")
+IFERROR(IF(OR(Inputs!$C$85=0,Inputs!$C$85="",ISERROR(Inputs!$C$85)),Inputs!$D$85,Inputs!$C$85*Inputs!$K$9*(1+Inputs!$K$12)^B422),"Error - Check Input")
+IFERROR(IF(OR(Inputs!$C$86=0,Inputs!$C$86="",ISERROR(Inputs!$C$86)),Inputs!$D$86,Inputs!$C$86*Inputs!$K$9*(1+Inputs!$K$12)^B422),"Error - Check Input")
+IFERROR(IF(OR(Inputs!$C$87=0,Inputs!$C$87="",ISERROR(Inputs!$C$87)),Inputs!$D$87,Inputs!$C$87*Inputs!$K$9*(1+Inputs!$K$12)^B422),"Error - Check Input")
+IFERROR(IF(OR(Inputs!$C$88=0,Inputs!$C$88="",ISERROR(Inputs!$C$88)),Inputs!$D$88,Inputs!$C$88*Inputs!$K$9*(1+Inputs!$K$12)^B422),"Error - Check Input")
+IFERROR(IF(OR(Inputs!$C$89=0,Inputs!$C$89="",ISERROR(Inputs!$C$89)),Inputs!$D$89,Inputs!$C$89*Inputs!$K$9*(1+Inputs!$K$12)^B422),"Error - Check Input")
+IFERROR(IF(OR(Inputs!$C$90=0,Inputs!$C$90="",ISERROR(Inputs!$C$90)),Inputs!$D$90,Inputs!$C$90*Inputs!$K$9*(1+Inputs!$K$12)^B422),"Error - Check Input")
+IFERROR(IF(OR(Inputs!$C$93=0,Inputs!$C$93="",ISERROR(Inputs!$C$93)),Inputs!$D$93,Inputs!$C$93*Inputs!$K$9*(1+Inputs!$K$12)^B422),"Error - Check Input")</f>
        <v>88145.341722437879</v>
      </c>
      <c r="D422" s="17"/>
    </row>
    <row r="423" spans="2:4" x14ac:dyDescent="0.35">
      <c r="B423" s="18">
        <v>232</v>
      </c>
      <c r="C423" s="6">
        <f>IFERROR(IF(OR(Inputs!$C$84=0,Inputs!$C$84="",ISERROR(Inputs!$C$84)),Inputs!$D$84,Inputs!$C$84*Inputs!$K$9*(1+Inputs!$K$12)^B423),"Error - Check Input")
+IFERROR(IF(OR(Inputs!$C$85=0,Inputs!$C$85="",ISERROR(Inputs!$C$85)),Inputs!$D$85,Inputs!$C$85*Inputs!$K$9*(1+Inputs!$K$12)^B423),"Error - Check Input")
+IFERROR(IF(OR(Inputs!$C$86=0,Inputs!$C$86="",ISERROR(Inputs!$C$86)),Inputs!$D$86,Inputs!$C$86*Inputs!$K$9*(1+Inputs!$K$12)^B423),"Error - Check Input")
+IFERROR(IF(OR(Inputs!$C$87=0,Inputs!$C$87="",ISERROR(Inputs!$C$87)),Inputs!$D$87,Inputs!$C$87*Inputs!$K$9*(1+Inputs!$K$12)^B423),"Error - Check Input")
+IFERROR(IF(OR(Inputs!$C$88=0,Inputs!$C$88="",ISERROR(Inputs!$C$88)),Inputs!$D$88,Inputs!$C$88*Inputs!$K$9*(1+Inputs!$K$12)^B423),"Error - Check Input")
+IFERROR(IF(OR(Inputs!$C$89=0,Inputs!$C$89="",ISERROR(Inputs!$C$89)),Inputs!$D$89,Inputs!$C$89*Inputs!$K$9*(1+Inputs!$K$12)^B423),"Error - Check Input")
+IFERROR(IF(OR(Inputs!$C$90=0,Inputs!$C$90="",ISERROR(Inputs!$C$90)),Inputs!$D$90,Inputs!$C$90*Inputs!$K$9*(1+Inputs!$K$12)^B423),"Error - Check Input")
+IFERROR(IF(OR(Inputs!$C$93=0,Inputs!$C$93="",ISERROR(Inputs!$C$93)),Inputs!$D$93,Inputs!$C$93*Inputs!$K$9*(1+Inputs!$K$12)^B423),"Error - Check Input")</f>
        <v>88486.123198540663</v>
      </c>
      <c r="D423" s="17"/>
    </row>
    <row r="424" spans="2:4" x14ac:dyDescent="0.35">
      <c r="B424" s="18">
        <v>233</v>
      </c>
      <c r="C424" s="6">
        <f>IFERROR(IF(OR(Inputs!$C$84=0,Inputs!$C$84="",ISERROR(Inputs!$C$84)),Inputs!$D$84,Inputs!$C$84*Inputs!$K$9*(1+Inputs!$K$12)^B424),"Error - Check Input")
+IFERROR(IF(OR(Inputs!$C$85=0,Inputs!$C$85="",ISERROR(Inputs!$C$85)),Inputs!$D$85,Inputs!$C$85*Inputs!$K$9*(1+Inputs!$K$12)^B424),"Error - Check Input")
+IFERROR(IF(OR(Inputs!$C$86=0,Inputs!$C$86="",ISERROR(Inputs!$C$86)),Inputs!$D$86,Inputs!$C$86*Inputs!$K$9*(1+Inputs!$K$12)^B424),"Error - Check Input")
+IFERROR(IF(OR(Inputs!$C$87=0,Inputs!$C$87="",ISERROR(Inputs!$C$87)),Inputs!$D$87,Inputs!$C$87*Inputs!$K$9*(1+Inputs!$K$12)^B424),"Error - Check Input")
+IFERROR(IF(OR(Inputs!$C$88=0,Inputs!$C$88="",ISERROR(Inputs!$C$88)),Inputs!$D$88,Inputs!$C$88*Inputs!$K$9*(1+Inputs!$K$12)^B424),"Error - Check Input")
+IFERROR(IF(OR(Inputs!$C$89=0,Inputs!$C$89="",ISERROR(Inputs!$C$89)),Inputs!$D$89,Inputs!$C$89*Inputs!$K$9*(1+Inputs!$K$12)^B424),"Error - Check Input")
+IFERROR(IF(OR(Inputs!$C$90=0,Inputs!$C$90="",ISERROR(Inputs!$C$90)),Inputs!$D$90,Inputs!$C$90*Inputs!$K$9*(1+Inputs!$K$12)^B424),"Error - Check Input")
+IFERROR(IF(OR(Inputs!$C$93=0,Inputs!$C$93="",ISERROR(Inputs!$C$93)),Inputs!$D$93,Inputs!$C$93*Inputs!$K$9*(1+Inputs!$K$12)^B424),"Error - Check Input")</f>
        <v>88828.293060560274</v>
      </c>
      <c r="D424" s="17"/>
    </row>
    <row r="425" spans="2:4" x14ac:dyDescent="0.35">
      <c r="B425" s="18">
        <v>234</v>
      </c>
      <c r="C425" s="6">
        <f>IFERROR(IF(OR(Inputs!$C$84=0,Inputs!$C$84="",ISERROR(Inputs!$C$84)),Inputs!$D$84,Inputs!$C$84*Inputs!$K$9*(1+Inputs!$K$12)^B425),"Error - Check Input")
+IFERROR(IF(OR(Inputs!$C$85=0,Inputs!$C$85="",ISERROR(Inputs!$C$85)),Inputs!$D$85,Inputs!$C$85*Inputs!$K$9*(1+Inputs!$K$12)^B425),"Error - Check Input")
+IFERROR(IF(OR(Inputs!$C$86=0,Inputs!$C$86="",ISERROR(Inputs!$C$86)),Inputs!$D$86,Inputs!$C$86*Inputs!$K$9*(1+Inputs!$K$12)^B425),"Error - Check Input")
+IFERROR(IF(OR(Inputs!$C$87=0,Inputs!$C$87="",ISERROR(Inputs!$C$87)),Inputs!$D$87,Inputs!$C$87*Inputs!$K$9*(1+Inputs!$K$12)^B425),"Error - Check Input")
+IFERROR(IF(OR(Inputs!$C$88=0,Inputs!$C$88="",ISERROR(Inputs!$C$88)),Inputs!$D$88,Inputs!$C$88*Inputs!$K$9*(1+Inputs!$K$12)^B425),"Error - Check Input")
+IFERROR(IF(OR(Inputs!$C$89=0,Inputs!$C$89="",ISERROR(Inputs!$C$89)),Inputs!$D$89,Inputs!$C$89*Inputs!$K$9*(1+Inputs!$K$12)^B425),"Error - Check Input")
+IFERROR(IF(OR(Inputs!$C$90=0,Inputs!$C$90="",ISERROR(Inputs!$C$90)),Inputs!$D$90,Inputs!$C$90*Inputs!$K$9*(1+Inputs!$K$12)^B425),"Error - Check Input")
+IFERROR(IF(OR(Inputs!$C$93=0,Inputs!$C$93="",ISERROR(Inputs!$C$93)),Inputs!$D$93,Inputs!$C$93*Inputs!$K$9*(1+Inputs!$K$12)^B425),"Error - Check Input")</f>
        <v>89171.856964952764</v>
      </c>
      <c r="D425" s="17"/>
    </row>
    <row r="426" spans="2:4" x14ac:dyDescent="0.35">
      <c r="B426" s="18">
        <v>235</v>
      </c>
      <c r="C426" s="6">
        <f>IFERROR(IF(OR(Inputs!$C$84=0,Inputs!$C$84="",ISERROR(Inputs!$C$84)),Inputs!$D$84,Inputs!$C$84*Inputs!$K$9*(1+Inputs!$K$12)^B426),"Error - Check Input")
+IFERROR(IF(OR(Inputs!$C$85=0,Inputs!$C$85="",ISERROR(Inputs!$C$85)),Inputs!$D$85,Inputs!$C$85*Inputs!$K$9*(1+Inputs!$K$12)^B426),"Error - Check Input")
+IFERROR(IF(OR(Inputs!$C$86=0,Inputs!$C$86="",ISERROR(Inputs!$C$86)),Inputs!$D$86,Inputs!$C$86*Inputs!$K$9*(1+Inputs!$K$12)^B426),"Error - Check Input")
+IFERROR(IF(OR(Inputs!$C$87=0,Inputs!$C$87="",ISERROR(Inputs!$C$87)),Inputs!$D$87,Inputs!$C$87*Inputs!$K$9*(1+Inputs!$K$12)^B426),"Error - Check Input")
+IFERROR(IF(OR(Inputs!$C$88=0,Inputs!$C$88="",ISERROR(Inputs!$C$88)),Inputs!$D$88,Inputs!$C$88*Inputs!$K$9*(1+Inputs!$K$12)^B426),"Error - Check Input")
+IFERROR(IF(OR(Inputs!$C$89=0,Inputs!$C$89="",ISERROR(Inputs!$C$89)),Inputs!$D$89,Inputs!$C$89*Inputs!$K$9*(1+Inputs!$K$12)^B426),"Error - Check Input")
+IFERROR(IF(OR(Inputs!$C$90=0,Inputs!$C$90="",ISERROR(Inputs!$C$90)),Inputs!$D$90,Inputs!$C$90*Inputs!$K$9*(1+Inputs!$K$12)^B426),"Error - Check Input")
+IFERROR(IF(OR(Inputs!$C$93=0,Inputs!$C$93="",ISERROR(Inputs!$C$93)),Inputs!$D$93,Inputs!$C$93*Inputs!$K$9*(1+Inputs!$K$12)^B426),"Error - Check Input")</f>
        <v>89516.820591219352</v>
      </c>
      <c r="D426" s="17"/>
    </row>
    <row r="427" spans="2:4" x14ac:dyDescent="0.35">
      <c r="B427" s="18">
        <v>236</v>
      </c>
      <c r="C427" s="6">
        <f>IFERROR(IF(OR(Inputs!$C$84=0,Inputs!$C$84="",ISERROR(Inputs!$C$84)),Inputs!$D$84,Inputs!$C$84*Inputs!$K$9*(1+Inputs!$K$12)^B427),"Error - Check Input")
+IFERROR(IF(OR(Inputs!$C$85=0,Inputs!$C$85="",ISERROR(Inputs!$C$85)),Inputs!$D$85,Inputs!$C$85*Inputs!$K$9*(1+Inputs!$K$12)^B427),"Error - Check Input")
+IFERROR(IF(OR(Inputs!$C$86=0,Inputs!$C$86="",ISERROR(Inputs!$C$86)),Inputs!$D$86,Inputs!$C$86*Inputs!$K$9*(1+Inputs!$K$12)^B427),"Error - Check Input")
+IFERROR(IF(OR(Inputs!$C$87=0,Inputs!$C$87="",ISERROR(Inputs!$C$87)),Inputs!$D$87,Inputs!$C$87*Inputs!$K$9*(1+Inputs!$K$12)^B427),"Error - Check Input")
+IFERROR(IF(OR(Inputs!$C$88=0,Inputs!$C$88="",ISERROR(Inputs!$C$88)),Inputs!$D$88,Inputs!$C$88*Inputs!$K$9*(1+Inputs!$K$12)^B427),"Error - Check Input")
+IFERROR(IF(OR(Inputs!$C$89=0,Inputs!$C$89="",ISERROR(Inputs!$C$89)),Inputs!$D$89,Inputs!$C$89*Inputs!$K$9*(1+Inputs!$K$12)^B427),"Error - Check Input")
+IFERROR(IF(OR(Inputs!$C$90=0,Inputs!$C$90="",ISERROR(Inputs!$C$90)),Inputs!$D$90,Inputs!$C$90*Inputs!$K$9*(1+Inputs!$K$12)^B427),"Error - Check Input")
+IFERROR(IF(OR(Inputs!$C$93=0,Inputs!$C$93="",ISERROR(Inputs!$C$93)),Inputs!$D$93,Inputs!$C$93*Inputs!$K$9*(1+Inputs!$K$12)^B427),"Error - Check Input")</f>
        <v>89863.189642000201</v>
      </c>
      <c r="D427" s="17"/>
    </row>
    <row r="428" spans="2:4" x14ac:dyDescent="0.35">
      <c r="B428" s="18">
        <v>237</v>
      </c>
      <c r="C428" s="6">
        <f>IFERROR(IF(OR(Inputs!$C$84=0,Inputs!$C$84="",ISERROR(Inputs!$C$84)),Inputs!$D$84,Inputs!$C$84*Inputs!$K$9*(1+Inputs!$K$12)^B428),"Error - Check Input")
+IFERROR(IF(OR(Inputs!$C$85=0,Inputs!$C$85="",ISERROR(Inputs!$C$85)),Inputs!$D$85,Inputs!$C$85*Inputs!$K$9*(1+Inputs!$K$12)^B428),"Error - Check Input")
+IFERROR(IF(OR(Inputs!$C$86=0,Inputs!$C$86="",ISERROR(Inputs!$C$86)),Inputs!$D$86,Inputs!$C$86*Inputs!$K$9*(1+Inputs!$K$12)^B428),"Error - Check Input")
+IFERROR(IF(OR(Inputs!$C$87=0,Inputs!$C$87="",ISERROR(Inputs!$C$87)),Inputs!$D$87,Inputs!$C$87*Inputs!$K$9*(1+Inputs!$K$12)^B428),"Error - Check Input")
+IFERROR(IF(OR(Inputs!$C$88=0,Inputs!$C$88="",ISERROR(Inputs!$C$88)),Inputs!$D$88,Inputs!$C$88*Inputs!$K$9*(1+Inputs!$K$12)^B428),"Error - Check Input")
+IFERROR(IF(OR(Inputs!$C$89=0,Inputs!$C$89="",ISERROR(Inputs!$C$89)),Inputs!$D$89,Inputs!$C$89*Inputs!$K$9*(1+Inputs!$K$12)^B428),"Error - Check Input")
+IFERROR(IF(OR(Inputs!$C$90=0,Inputs!$C$90="",ISERROR(Inputs!$C$90)),Inputs!$D$90,Inputs!$C$90*Inputs!$K$9*(1+Inputs!$K$12)^B428),"Error - Check Input")
+IFERROR(IF(OR(Inputs!$C$93=0,Inputs!$C$93="",ISERROR(Inputs!$C$93)),Inputs!$D$93,Inputs!$C$93*Inputs!$K$9*(1+Inputs!$K$12)^B428),"Error - Check Input")</f>
        <v>90210.969843168772</v>
      </c>
      <c r="D428" s="17"/>
    </row>
    <row r="429" spans="2:4" x14ac:dyDescent="0.35">
      <c r="B429" s="18">
        <v>238</v>
      </c>
      <c r="C429" s="6">
        <f>IFERROR(IF(OR(Inputs!$C$84=0,Inputs!$C$84="",ISERROR(Inputs!$C$84)),Inputs!$D$84,Inputs!$C$84*Inputs!$K$9*(1+Inputs!$K$12)^B429),"Error - Check Input")
+IFERROR(IF(OR(Inputs!$C$85=0,Inputs!$C$85="",ISERROR(Inputs!$C$85)),Inputs!$D$85,Inputs!$C$85*Inputs!$K$9*(1+Inputs!$K$12)^B429),"Error - Check Input")
+IFERROR(IF(OR(Inputs!$C$86=0,Inputs!$C$86="",ISERROR(Inputs!$C$86)),Inputs!$D$86,Inputs!$C$86*Inputs!$K$9*(1+Inputs!$K$12)^B429),"Error - Check Input")
+IFERROR(IF(OR(Inputs!$C$87=0,Inputs!$C$87="",ISERROR(Inputs!$C$87)),Inputs!$D$87,Inputs!$C$87*Inputs!$K$9*(1+Inputs!$K$12)^B429),"Error - Check Input")
+IFERROR(IF(OR(Inputs!$C$88=0,Inputs!$C$88="",ISERROR(Inputs!$C$88)),Inputs!$D$88,Inputs!$C$88*Inputs!$K$9*(1+Inputs!$K$12)^B429),"Error - Check Input")
+IFERROR(IF(OR(Inputs!$C$89=0,Inputs!$C$89="",ISERROR(Inputs!$C$89)),Inputs!$D$89,Inputs!$C$89*Inputs!$K$9*(1+Inputs!$K$12)^B429),"Error - Check Input")
+IFERROR(IF(OR(Inputs!$C$90=0,Inputs!$C$90="",ISERROR(Inputs!$C$90)),Inputs!$D$90,Inputs!$C$90*Inputs!$K$9*(1+Inputs!$K$12)^B429),"Error - Check Input")
+IFERROR(IF(OR(Inputs!$C$93=0,Inputs!$C$93="",ISERROR(Inputs!$C$93)),Inputs!$D$93,Inputs!$C$93*Inputs!$K$9*(1+Inputs!$K$12)^B429),"Error - Check Input")</f>
        <v>90560.166943926393</v>
      </c>
      <c r="D429" s="17"/>
    </row>
    <row r="430" spans="2:4" x14ac:dyDescent="0.35">
      <c r="B430" s="18">
        <v>239</v>
      </c>
      <c r="C430" s="6">
        <f>IFERROR(IF(OR(Inputs!$C$84=0,Inputs!$C$84="",ISERROR(Inputs!$C$84)),Inputs!$D$84,Inputs!$C$84*Inputs!$K$9*(1+Inputs!$K$12)^B430),"Error - Check Input")
+IFERROR(IF(OR(Inputs!$C$85=0,Inputs!$C$85="",ISERROR(Inputs!$C$85)),Inputs!$D$85,Inputs!$C$85*Inputs!$K$9*(1+Inputs!$K$12)^B430),"Error - Check Input")
+IFERROR(IF(OR(Inputs!$C$86=0,Inputs!$C$86="",ISERROR(Inputs!$C$86)),Inputs!$D$86,Inputs!$C$86*Inputs!$K$9*(1+Inputs!$K$12)^B430),"Error - Check Input")
+IFERROR(IF(OR(Inputs!$C$87=0,Inputs!$C$87="",ISERROR(Inputs!$C$87)),Inputs!$D$87,Inputs!$C$87*Inputs!$K$9*(1+Inputs!$K$12)^B430),"Error - Check Input")
+IFERROR(IF(OR(Inputs!$C$88=0,Inputs!$C$88="",ISERROR(Inputs!$C$88)),Inputs!$D$88,Inputs!$C$88*Inputs!$K$9*(1+Inputs!$K$12)^B430),"Error - Check Input")
+IFERROR(IF(OR(Inputs!$C$89=0,Inputs!$C$89="",ISERROR(Inputs!$C$89)),Inputs!$D$89,Inputs!$C$89*Inputs!$K$9*(1+Inputs!$K$12)^B430),"Error - Check Input")
+IFERROR(IF(OR(Inputs!$C$90=0,Inputs!$C$90="",ISERROR(Inputs!$C$90)),Inputs!$D$90,Inputs!$C$90*Inputs!$K$9*(1+Inputs!$K$12)^B430),"Error - Check Input")
+IFERROR(IF(OR(Inputs!$C$93=0,Inputs!$C$93="",ISERROR(Inputs!$C$93)),Inputs!$D$93,Inputs!$C$93*Inputs!$K$9*(1+Inputs!$K$12)^B430),"Error - Check Input")</f>
        <v>90910.78671689739</v>
      </c>
      <c r="D430" s="17"/>
    </row>
    <row r="431" spans="2:4" x14ac:dyDescent="0.35">
      <c r="B431" s="18">
        <v>240</v>
      </c>
      <c r="C431" s="6">
        <f>IFERROR(IF(OR(Inputs!$C$84=0,Inputs!$C$84="",ISERROR(Inputs!$C$84)),Inputs!$D$84,Inputs!$C$84*Inputs!$K$9*(1+Inputs!$K$12)^B431),"Error - Check Input")
+IFERROR(IF(OR(Inputs!$C$85=0,Inputs!$C$85="",ISERROR(Inputs!$C$85)),Inputs!$D$85,Inputs!$C$85*Inputs!$K$9*(1+Inputs!$K$12)^B431),"Error - Check Input")
+IFERROR(IF(OR(Inputs!$C$86=0,Inputs!$C$86="",ISERROR(Inputs!$C$86)),Inputs!$D$86,Inputs!$C$86*Inputs!$K$9*(1+Inputs!$K$12)^B431),"Error - Check Input")
+IFERROR(IF(OR(Inputs!$C$87=0,Inputs!$C$87="",ISERROR(Inputs!$C$87)),Inputs!$D$87,Inputs!$C$87*Inputs!$K$9*(1+Inputs!$K$12)^B431),"Error - Check Input")
+IFERROR(IF(OR(Inputs!$C$88=0,Inputs!$C$88="",ISERROR(Inputs!$C$88)),Inputs!$D$88,Inputs!$C$88*Inputs!$K$9*(1+Inputs!$K$12)^B431),"Error - Check Input")
+IFERROR(IF(OR(Inputs!$C$89=0,Inputs!$C$89="",ISERROR(Inputs!$C$89)),Inputs!$D$89,Inputs!$C$89*Inputs!$K$9*(1+Inputs!$K$12)^B431),"Error - Check Input")
+IFERROR(IF(OR(Inputs!$C$90=0,Inputs!$C$90="",ISERROR(Inputs!$C$90)),Inputs!$D$90,Inputs!$C$90*Inputs!$K$9*(1+Inputs!$K$12)^B431),"Error - Check Input")
+IFERROR(IF(OR(Inputs!$C$93=0,Inputs!$C$93="",ISERROR(Inputs!$C$93)),Inputs!$D$93,Inputs!$C$93*Inputs!$K$9*(1+Inputs!$K$12)^B431),"Error - Check Input")</f>
        <v>91262.834958224485</v>
      </c>
      <c r="D431" s="17"/>
    </row>
    <row r="432" spans="2:4" x14ac:dyDescent="0.35">
      <c r="B432" s="18">
        <v>241</v>
      </c>
      <c r="C432" s="6">
        <f>IFERROR(IF(OR(Inputs!$C$84=0,Inputs!$C$84="",ISERROR(Inputs!$C$84)),Inputs!$D$84,Inputs!$C$84*Inputs!$K$9*(1+Inputs!$K$12)^B432),"Error - Check Input")
+IFERROR(IF(OR(Inputs!$C$85=0,Inputs!$C$85="",ISERROR(Inputs!$C$85)),Inputs!$D$85,Inputs!$C$85*Inputs!$K$9*(1+Inputs!$K$12)^B432),"Error - Check Input")
+IFERROR(IF(OR(Inputs!$C$86=0,Inputs!$C$86="",ISERROR(Inputs!$C$86)),Inputs!$D$86,Inputs!$C$86*Inputs!$K$9*(1+Inputs!$K$12)^B432),"Error - Check Input")
+IFERROR(IF(OR(Inputs!$C$87=0,Inputs!$C$87="",ISERROR(Inputs!$C$87)),Inputs!$D$87,Inputs!$C$87*Inputs!$K$9*(1+Inputs!$K$12)^B432),"Error - Check Input")
+IFERROR(IF(OR(Inputs!$C$88=0,Inputs!$C$88="",ISERROR(Inputs!$C$88)),Inputs!$D$88,Inputs!$C$88*Inputs!$K$9*(1+Inputs!$K$12)^B432),"Error - Check Input")
+IFERROR(IF(OR(Inputs!$C$89=0,Inputs!$C$89="",ISERROR(Inputs!$C$89)),Inputs!$D$89,Inputs!$C$89*Inputs!$K$9*(1+Inputs!$K$12)^B432),"Error - Check Input")
+IFERROR(IF(OR(Inputs!$C$90=0,Inputs!$C$90="",ISERROR(Inputs!$C$90)),Inputs!$D$90,Inputs!$C$90*Inputs!$K$9*(1+Inputs!$K$12)^B432),"Error - Check Input")
+IFERROR(IF(OR(Inputs!$C$93=0,Inputs!$C$93="",ISERROR(Inputs!$C$93)),Inputs!$D$93,Inputs!$C$93*Inputs!$K$9*(1+Inputs!$K$12)^B432),"Error - Check Input")</f>
        <v>91616.317487664521</v>
      </c>
      <c r="D432" s="17"/>
    </row>
    <row r="433" spans="2:4" x14ac:dyDescent="0.35">
      <c r="B433" s="18">
        <v>242</v>
      </c>
      <c r="C433" s="6">
        <f>IFERROR(IF(OR(Inputs!$C$84=0,Inputs!$C$84="",ISERROR(Inputs!$C$84)),Inputs!$D$84,Inputs!$C$84*Inputs!$K$9*(1+Inputs!$K$12)^B433),"Error - Check Input")
+IFERROR(IF(OR(Inputs!$C$85=0,Inputs!$C$85="",ISERROR(Inputs!$C$85)),Inputs!$D$85,Inputs!$C$85*Inputs!$K$9*(1+Inputs!$K$12)^B433),"Error - Check Input")
+IFERROR(IF(OR(Inputs!$C$86=0,Inputs!$C$86="",ISERROR(Inputs!$C$86)),Inputs!$D$86,Inputs!$C$86*Inputs!$K$9*(1+Inputs!$K$12)^B433),"Error - Check Input")
+IFERROR(IF(OR(Inputs!$C$87=0,Inputs!$C$87="",ISERROR(Inputs!$C$87)),Inputs!$D$87,Inputs!$C$87*Inputs!$K$9*(1+Inputs!$K$12)^B433),"Error - Check Input")
+IFERROR(IF(OR(Inputs!$C$88=0,Inputs!$C$88="",ISERROR(Inputs!$C$88)),Inputs!$D$88,Inputs!$C$88*Inputs!$K$9*(1+Inputs!$K$12)^B433),"Error - Check Input")
+IFERROR(IF(OR(Inputs!$C$89=0,Inputs!$C$89="",ISERROR(Inputs!$C$89)),Inputs!$D$89,Inputs!$C$89*Inputs!$K$9*(1+Inputs!$K$12)^B433),"Error - Check Input")
+IFERROR(IF(OR(Inputs!$C$90=0,Inputs!$C$90="",ISERROR(Inputs!$C$90)),Inputs!$D$90,Inputs!$C$90*Inputs!$K$9*(1+Inputs!$K$12)^B433),"Error - Check Input")
+IFERROR(IF(OR(Inputs!$C$93=0,Inputs!$C$93="",ISERROR(Inputs!$C$93)),Inputs!$D$93,Inputs!$C$93*Inputs!$K$9*(1+Inputs!$K$12)^B433),"Error - Check Input")</f>
        <v>91971.240148684898</v>
      </c>
      <c r="D433" s="17"/>
    </row>
    <row r="434" spans="2:4" x14ac:dyDescent="0.35">
      <c r="B434" s="18">
        <v>243</v>
      </c>
      <c r="C434" s="6">
        <f>IFERROR(IF(OR(Inputs!$C$84=0,Inputs!$C$84="",ISERROR(Inputs!$C$84)),Inputs!$D$84,Inputs!$C$84*Inputs!$K$9*(1+Inputs!$K$12)^B434),"Error - Check Input")
+IFERROR(IF(OR(Inputs!$C$85=0,Inputs!$C$85="",ISERROR(Inputs!$C$85)),Inputs!$D$85,Inputs!$C$85*Inputs!$K$9*(1+Inputs!$K$12)^B434),"Error - Check Input")
+IFERROR(IF(OR(Inputs!$C$86=0,Inputs!$C$86="",ISERROR(Inputs!$C$86)),Inputs!$D$86,Inputs!$C$86*Inputs!$K$9*(1+Inputs!$K$12)^B434),"Error - Check Input")
+IFERROR(IF(OR(Inputs!$C$87=0,Inputs!$C$87="",ISERROR(Inputs!$C$87)),Inputs!$D$87,Inputs!$C$87*Inputs!$K$9*(1+Inputs!$K$12)^B434),"Error - Check Input")
+IFERROR(IF(OR(Inputs!$C$88=0,Inputs!$C$88="",ISERROR(Inputs!$C$88)),Inputs!$D$88,Inputs!$C$88*Inputs!$K$9*(1+Inputs!$K$12)^B434),"Error - Check Input")
+IFERROR(IF(OR(Inputs!$C$89=0,Inputs!$C$89="",ISERROR(Inputs!$C$89)),Inputs!$D$89,Inputs!$C$89*Inputs!$K$9*(1+Inputs!$K$12)^B434),"Error - Check Input")
+IFERROR(IF(OR(Inputs!$C$90=0,Inputs!$C$90="",ISERROR(Inputs!$C$90)),Inputs!$D$90,Inputs!$C$90*Inputs!$K$9*(1+Inputs!$K$12)^B434),"Error - Check Input")
+IFERROR(IF(OR(Inputs!$C$93=0,Inputs!$C$93="",ISERROR(Inputs!$C$93)),Inputs!$D$93,Inputs!$C$93*Inputs!$K$9*(1+Inputs!$K$12)^B434),"Error - Check Input")</f>
        <v>92327.60880855986</v>
      </c>
      <c r="D434" s="17"/>
    </row>
    <row r="435" spans="2:4" x14ac:dyDescent="0.35">
      <c r="B435" s="18">
        <v>244</v>
      </c>
      <c r="C435" s="6">
        <f>IFERROR(IF(OR(Inputs!$C$84=0,Inputs!$C$84="",ISERROR(Inputs!$C$84)),Inputs!$D$84,Inputs!$C$84*Inputs!$K$9*(1+Inputs!$K$12)^B435),"Error - Check Input")
+IFERROR(IF(OR(Inputs!$C$85=0,Inputs!$C$85="",ISERROR(Inputs!$C$85)),Inputs!$D$85,Inputs!$C$85*Inputs!$K$9*(1+Inputs!$K$12)^B435),"Error - Check Input")
+IFERROR(IF(OR(Inputs!$C$86=0,Inputs!$C$86="",ISERROR(Inputs!$C$86)),Inputs!$D$86,Inputs!$C$86*Inputs!$K$9*(1+Inputs!$K$12)^B435),"Error - Check Input")
+IFERROR(IF(OR(Inputs!$C$87=0,Inputs!$C$87="",ISERROR(Inputs!$C$87)),Inputs!$D$87,Inputs!$C$87*Inputs!$K$9*(1+Inputs!$K$12)^B435),"Error - Check Input")
+IFERROR(IF(OR(Inputs!$C$88=0,Inputs!$C$88="",ISERROR(Inputs!$C$88)),Inputs!$D$88,Inputs!$C$88*Inputs!$K$9*(1+Inputs!$K$12)^B435),"Error - Check Input")
+IFERROR(IF(OR(Inputs!$C$89=0,Inputs!$C$89="",ISERROR(Inputs!$C$89)),Inputs!$D$89,Inputs!$C$89*Inputs!$K$9*(1+Inputs!$K$12)^B435),"Error - Check Input")
+IFERROR(IF(OR(Inputs!$C$90=0,Inputs!$C$90="",ISERROR(Inputs!$C$90)),Inputs!$D$90,Inputs!$C$90*Inputs!$K$9*(1+Inputs!$K$12)^B435),"Error - Check Input")
+IFERROR(IF(OR(Inputs!$C$93=0,Inputs!$C$93="",ISERROR(Inputs!$C$93)),Inputs!$D$93,Inputs!$C$93*Inputs!$K$9*(1+Inputs!$K$12)^B435),"Error - Check Input")</f>
        <v>92685.429358467794</v>
      </c>
      <c r="D435" s="17"/>
    </row>
    <row r="436" spans="2:4" x14ac:dyDescent="0.35">
      <c r="B436" s="18">
        <v>245</v>
      </c>
      <c r="C436" s="6">
        <f>IFERROR(IF(OR(Inputs!$C$84=0,Inputs!$C$84="",ISERROR(Inputs!$C$84)),Inputs!$D$84,Inputs!$C$84*Inputs!$K$9*(1+Inputs!$K$12)^B436),"Error - Check Input")
+IFERROR(IF(OR(Inputs!$C$85=0,Inputs!$C$85="",ISERROR(Inputs!$C$85)),Inputs!$D$85,Inputs!$C$85*Inputs!$K$9*(1+Inputs!$K$12)^B436),"Error - Check Input")
+IFERROR(IF(OR(Inputs!$C$86=0,Inputs!$C$86="",ISERROR(Inputs!$C$86)),Inputs!$D$86,Inputs!$C$86*Inputs!$K$9*(1+Inputs!$K$12)^B436),"Error - Check Input")
+IFERROR(IF(OR(Inputs!$C$87=0,Inputs!$C$87="",ISERROR(Inputs!$C$87)),Inputs!$D$87,Inputs!$C$87*Inputs!$K$9*(1+Inputs!$K$12)^B436),"Error - Check Input")
+IFERROR(IF(OR(Inputs!$C$88=0,Inputs!$C$88="",ISERROR(Inputs!$C$88)),Inputs!$D$88,Inputs!$C$88*Inputs!$K$9*(1+Inputs!$K$12)^B436),"Error - Check Input")
+IFERROR(IF(OR(Inputs!$C$89=0,Inputs!$C$89="",ISERROR(Inputs!$C$89)),Inputs!$D$89,Inputs!$C$89*Inputs!$K$9*(1+Inputs!$K$12)^B436),"Error - Check Input")
+IFERROR(IF(OR(Inputs!$C$90=0,Inputs!$C$90="",ISERROR(Inputs!$C$90)),Inputs!$D$90,Inputs!$C$90*Inputs!$K$9*(1+Inputs!$K$12)^B436),"Error - Check Input")
+IFERROR(IF(OR(Inputs!$C$93=0,Inputs!$C$93="",ISERROR(Inputs!$C$93)),Inputs!$D$93,Inputs!$C$93*Inputs!$K$9*(1+Inputs!$K$12)^B436),"Error - Check Input")</f>
        <v>93044.707713588359</v>
      </c>
      <c r="D436" s="17"/>
    </row>
    <row r="437" spans="2:4" x14ac:dyDescent="0.35">
      <c r="B437" s="18">
        <v>246</v>
      </c>
      <c r="C437" s="6">
        <f>IFERROR(IF(OR(Inputs!$C$84=0,Inputs!$C$84="",ISERROR(Inputs!$C$84)),Inputs!$D$84,Inputs!$C$84*Inputs!$K$9*(1+Inputs!$K$12)^B437),"Error - Check Input")
+IFERROR(IF(OR(Inputs!$C$85=0,Inputs!$C$85="",ISERROR(Inputs!$C$85)),Inputs!$D$85,Inputs!$C$85*Inputs!$K$9*(1+Inputs!$K$12)^B437),"Error - Check Input")
+IFERROR(IF(OR(Inputs!$C$86=0,Inputs!$C$86="",ISERROR(Inputs!$C$86)),Inputs!$D$86,Inputs!$C$86*Inputs!$K$9*(1+Inputs!$K$12)^B437),"Error - Check Input")
+IFERROR(IF(OR(Inputs!$C$87=0,Inputs!$C$87="",ISERROR(Inputs!$C$87)),Inputs!$D$87,Inputs!$C$87*Inputs!$K$9*(1+Inputs!$K$12)^B437),"Error - Check Input")
+IFERROR(IF(OR(Inputs!$C$88=0,Inputs!$C$88="",ISERROR(Inputs!$C$88)),Inputs!$D$88,Inputs!$C$88*Inputs!$K$9*(1+Inputs!$K$12)^B437),"Error - Check Input")
+IFERROR(IF(OR(Inputs!$C$89=0,Inputs!$C$89="",ISERROR(Inputs!$C$89)),Inputs!$D$89,Inputs!$C$89*Inputs!$K$9*(1+Inputs!$K$12)^B437),"Error - Check Input")
+IFERROR(IF(OR(Inputs!$C$90=0,Inputs!$C$90="",ISERROR(Inputs!$C$90)),Inputs!$D$90,Inputs!$C$90*Inputs!$K$9*(1+Inputs!$K$12)^B437),"Error - Check Input")
+IFERROR(IF(OR(Inputs!$C$93=0,Inputs!$C$93="",ISERROR(Inputs!$C$93)),Inputs!$D$93,Inputs!$C$93*Inputs!$K$9*(1+Inputs!$K$12)^B437),"Error - Check Input")</f>
        <v>93405.449813200496</v>
      </c>
      <c r="D437" s="17"/>
    </row>
    <row r="438" spans="2:4" x14ac:dyDescent="0.35">
      <c r="B438" s="18">
        <v>247</v>
      </c>
      <c r="C438" s="6">
        <f>IFERROR(IF(OR(Inputs!$C$84=0,Inputs!$C$84="",ISERROR(Inputs!$C$84)),Inputs!$D$84,Inputs!$C$84*Inputs!$K$9*(1+Inputs!$K$12)^B438),"Error - Check Input")
+IFERROR(IF(OR(Inputs!$C$85=0,Inputs!$C$85="",ISERROR(Inputs!$C$85)),Inputs!$D$85,Inputs!$C$85*Inputs!$K$9*(1+Inputs!$K$12)^B438),"Error - Check Input")
+IFERROR(IF(OR(Inputs!$C$86=0,Inputs!$C$86="",ISERROR(Inputs!$C$86)),Inputs!$D$86,Inputs!$C$86*Inputs!$K$9*(1+Inputs!$K$12)^B438),"Error - Check Input")
+IFERROR(IF(OR(Inputs!$C$87=0,Inputs!$C$87="",ISERROR(Inputs!$C$87)),Inputs!$D$87,Inputs!$C$87*Inputs!$K$9*(1+Inputs!$K$12)^B438),"Error - Check Input")
+IFERROR(IF(OR(Inputs!$C$88=0,Inputs!$C$88="",ISERROR(Inputs!$C$88)),Inputs!$D$88,Inputs!$C$88*Inputs!$K$9*(1+Inputs!$K$12)^B438),"Error - Check Input")
+IFERROR(IF(OR(Inputs!$C$89=0,Inputs!$C$89="",ISERROR(Inputs!$C$89)),Inputs!$D$89,Inputs!$C$89*Inputs!$K$9*(1+Inputs!$K$12)^B438),"Error - Check Input")
+IFERROR(IF(OR(Inputs!$C$90=0,Inputs!$C$90="",ISERROR(Inputs!$C$90)),Inputs!$D$90,Inputs!$C$90*Inputs!$K$9*(1+Inputs!$K$12)^B438),"Error - Check Input")
+IFERROR(IF(OR(Inputs!$C$93=0,Inputs!$C$93="",ISERROR(Inputs!$C$93)),Inputs!$D$93,Inputs!$C$93*Inputs!$K$9*(1+Inputs!$K$12)^B438),"Error - Check Input")</f>
        <v>93767.661620780404</v>
      </c>
      <c r="D438" s="17"/>
    </row>
    <row r="439" spans="2:4" x14ac:dyDescent="0.35">
      <c r="B439" s="18">
        <v>248</v>
      </c>
      <c r="C439" s="6">
        <f>IFERROR(IF(OR(Inputs!$C$84=0,Inputs!$C$84="",ISERROR(Inputs!$C$84)),Inputs!$D$84,Inputs!$C$84*Inputs!$K$9*(1+Inputs!$K$12)^B439),"Error - Check Input")
+IFERROR(IF(OR(Inputs!$C$85=0,Inputs!$C$85="",ISERROR(Inputs!$C$85)),Inputs!$D$85,Inputs!$C$85*Inputs!$K$9*(1+Inputs!$K$12)^B439),"Error - Check Input")
+IFERROR(IF(OR(Inputs!$C$86=0,Inputs!$C$86="",ISERROR(Inputs!$C$86)),Inputs!$D$86,Inputs!$C$86*Inputs!$K$9*(1+Inputs!$K$12)^B439),"Error - Check Input")
+IFERROR(IF(OR(Inputs!$C$87=0,Inputs!$C$87="",ISERROR(Inputs!$C$87)),Inputs!$D$87,Inputs!$C$87*Inputs!$K$9*(1+Inputs!$K$12)^B439),"Error - Check Input")
+IFERROR(IF(OR(Inputs!$C$88=0,Inputs!$C$88="",ISERROR(Inputs!$C$88)),Inputs!$D$88,Inputs!$C$88*Inputs!$K$9*(1+Inputs!$K$12)^B439),"Error - Check Input")
+IFERROR(IF(OR(Inputs!$C$89=0,Inputs!$C$89="",ISERROR(Inputs!$C$89)),Inputs!$D$89,Inputs!$C$89*Inputs!$K$9*(1+Inputs!$K$12)^B439),"Error - Check Input")
+IFERROR(IF(OR(Inputs!$C$90=0,Inputs!$C$90="",ISERROR(Inputs!$C$90)),Inputs!$D$90,Inputs!$C$90*Inputs!$K$9*(1+Inputs!$K$12)^B439),"Error - Check Input")
+IFERROR(IF(OR(Inputs!$C$93=0,Inputs!$C$93="",ISERROR(Inputs!$C$93)),Inputs!$D$93,Inputs!$C$93*Inputs!$K$9*(1+Inputs!$K$12)^B439),"Error - Check Input")</f>
        <v>94131.349124100321</v>
      </c>
      <c r="D439" s="17"/>
    </row>
    <row r="440" spans="2:4" x14ac:dyDescent="0.35">
      <c r="B440" s="18">
        <v>249</v>
      </c>
      <c r="C440" s="6">
        <f>IFERROR(IF(OR(Inputs!$C$84=0,Inputs!$C$84="",ISERROR(Inputs!$C$84)),Inputs!$D$84,Inputs!$C$84*Inputs!$K$9*(1+Inputs!$K$12)^B440),"Error - Check Input")
+IFERROR(IF(OR(Inputs!$C$85=0,Inputs!$C$85="",ISERROR(Inputs!$C$85)),Inputs!$D$85,Inputs!$C$85*Inputs!$K$9*(1+Inputs!$K$12)^B440),"Error - Check Input")
+IFERROR(IF(OR(Inputs!$C$86=0,Inputs!$C$86="",ISERROR(Inputs!$C$86)),Inputs!$D$86,Inputs!$C$86*Inputs!$K$9*(1+Inputs!$K$12)^B440),"Error - Check Input")
+IFERROR(IF(OR(Inputs!$C$87=0,Inputs!$C$87="",ISERROR(Inputs!$C$87)),Inputs!$D$87,Inputs!$C$87*Inputs!$K$9*(1+Inputs!$K$12)^B440),"Error - Check Input")
+IFERROR(IF(OR(Inputs!$C$88=0,Inputs!$C$88="",ISERROR(Inputs!$C$88)),Inputs!$D$88,Inputs!$C$88*Inputs!$K$9*(1+Inputs!$K$12)^B440),"Error - Check Input")
+IFERROR(IF(OR(Inputs!$C$89=0,Inputs!$C$89="",ISERROR(Inputs!$C$89)),Inputs!$D$89,Inputs!$C$89*Inputs!$K$9*(1+Inputs!$K$12)^B440),"Error - Check Input")
+IFERROR(IF(OR(Inputs!$C$90=0,Inputs!$C$90="",ISERROR(Inputs!$C$90)),Inputs!$D$90,Inputs!$C$90*Inputs!$K$9*(1+Inputs!$K$12)^B440),"Error - Check Input")
+IFERROR(IF(OR(Inputs!$C$93=0,Inputs!$C$93="",ISERROR(Inputs!$C$93)),Inputs!$D$93,Inputs!$C$93*Inputs!$K$9*(1+Inputs!$K$12)^B440),"Error - Check Input")</f>
        <v>94496.518335327317</v>
      </c>
      <c r="D440" s="17"/>
    </row>
    <row r="441" spans="2:4" x14ac:dyDescent="0.35">
      <c r="B441" s="18">
        <v>250</v>
      </c>
      <c r="C441" s="6">
        <f>IFERROR(IF(OR(Inputs!$C$84=0,Inputs!$C$84="",ISERROR(Inputs!$C$84)),Inputs!$D$84,Inputs!$C$84*Inputs!$K$9*(1+Inputs!$K$12)^B441),"Error - Check Input")
+IFERROR(IF(OR(Inputs!$C$85=0,Inputs!$C$85="",ISERROR(Inputs!$C$85)),Inputs!$D$85,Inputs!$C$85*Inputs!$K$9*(1+Inputs!$K$12)^B441),"Error - Check Input")
+IFERROR(IF(OR(Inputs!$C$86=0,Inputs!$C$86="",ISERROR(Inputs!$C$86)),Inputs!$D$86,Inputs!$C$86*Inputs!$K$9*(1+Inputs!$K$12)^B441),"Error - Check Input")
+IFERROR(IF(OR(Inputs!$C$87=0,Inputs!$C$87="",ISERROR(Inputs!$C$87)),Inputs!$D$87,Inputs!$C$87*Inputs!$K$9*(1+Inputs!$K$12)^B441),"Error - Check Input")
+IFERROR(IF(OR(Inputs!$C$88=0,Inputs!$C$88="",ISERROR(Inputs!$C$88)),Inputs!$D$88,Inputs!$C$88*Inputs!$K$9*(1+Inputs!$K$12)^B441),"Error - Check Input")
+IFERROR(IF(OR(Inputs!$C$89=0,Inputs!$C$89="",ISERROR(Inputs!$C$89)),Inputs!$D$89,Inputs!$C$89*Inputs!$K$9*(1+Inputs!$K$12)^B441),"Error - Check Input")
+IFERROR(IF(OR(Inputs!$C$90=0,Inputs!$C$90="",ISERROR(Inputs!$C$90)),Inputs!$D$90,Inputs!$C$90*Inputs!$K$9*(1+Inputs!$K$12)^B441),"Error - Check Input")
+IFERROR(IF(OR(Inputs!$C$93=0,Inputs!$C$93="",ISERROR(Inputs!$C$93)),Inputs!$D$93,Inputs!$C$93*Inputs!$K$9*(1+Inputs!$K$12)^B441),"Error - Check Input")</f>
        <v>94863.175291122796</v>
      </c>
      <c r="D441" s="17"/>
    </row>
    <row r="442" spans="2:4" x14ac:dyDescent="0.35">
      <c r="B442" s="18">
        <v>251</v>
      </c>
      <c r="C442" s="6">
        <f>IFERROR(IF(OR(Inputs!$C$84=0,Inputs!$C$84="",ISERROR(Inputs!$C$84)),Inputs!$D$84,Inputs!$C$84*Inputs!$K$9*(1+Inputs!$K$12)^B442),"Error - Check Input")
+IFERROR(IF(OR(Inputs!$C$85=0,Inputs!$C$85="",ISERROR(Inputs!$C$85)),Inputs!$D$85,Inputs!$C$85*Inputs!$K$9*(1+Inputs!$K$12)^B442),"Error - Check Input")
+IFERROR(IF(OR(Inputs!$C$86=0,Inputs!$C$86="",ISERROR(Inputs!$C$86)),Inputs!$D$86,Inputs!$C$86*Inputs!$K$9*(1+Inputs!$K$12)^B442),"Error - Check Input")
+IFERROR(IF(OR(Inputs!$C$87=0,Inputs!$C$87="",ISERROR(Inputs!$C$87)),Inputs!$D$87,Inputs!$C$87*Inputs!$K$9*(1+Inputs!$K$12)^B442),"Error - Check Input")
+IFERROR(IF(OR(Inputs!$C$88=0,Inputs!$C$88="",ISERROR(Inputs!$C$88)),Inputs!$D$88,Inputs!$C$88*Inputs!$K$9*(1+Inputs!$K$12)^B442),"Error - Check Input")
+IFERROR(IF(OR(Inputs!$C$89=0,Inputs!$C$89="",ISERROR(Inputs!$C$89)),Inputs!$D$89,Inputs!$C$89*Inputs!$K$9*(1+Inputs!$K$12)^B442),"Error - Check Input")
+IFERROR(IF(OR(Inputs!$C$90=0,Inputs!$C$90="",ISERROR(Inputs!$C$90)),Inputs!$D$90,Inputs!$C$90*Inputs!$K$9*(1+Inputs!$K$12)^B442),"Error - Check Input")
+IFERROR(IF(OR(Inputs!$C$93=0,Inputs!$C$93="",ISERROR(Inputs!$C$93)),Inputs!$D$93,Inputs!$C$93*Inputs!$K$9*(1+Inputs!$K$12)^B442),"Error - Check Input")</f>
        <v>95231.32605274237</v>
      </c>
      <c r="D442" s="17"/>
    </row>
    <row r="443" spans="2:4" x14ac:dyDescent="0.35">
      <c r="B443" s="18">
        <v>252</v>
      </c>
      <c r="C443" s="6">
        <f>IFERROR(IF(OR(Inputs!$C$84=0,Inputs!$C$84="",ISERROR(Inputs!$C$84)),Inputs!$D$84,Inputs!$C$84*Inputs!$K$9*(1+Inputs!$K$12)^B443),"Error - Check Input")
+IFERROR(IF(OR(Inputs!$C$85=0,Inputs!$C$85="",ISERROR(Inputs!$C$85)),Inputs!$D$85,Inputs!$C$85*Inputs!$K$9*(1+Inputs!$K$12)^B443),"Error - Check Input")
+IFERROR(IF(OR(Inputs!$C$86=0,Inputs!$C$86="",ISERROR(Inputs!$C$86)),Inputs!$D$86,Inputs!$C$86*Inputs!$K$9*(1+Inputs!$K$12)^B443),"Error - Check Input")
+IFERROR(IF(OR(Inputs!$C$87=0,Inputs!$C$87="",ISERROR(Inputs!$C$87)),Inputs!$D$87,Inputs!$C$87*Inputs!$K$9*(1+Inputs!$K$12)^B443),"Error - Check Input")
+IFERROR(IF(OR(Inputs!$C$88=0,Inputs!$C$88="",ISERROR(Inputs!$C$88)),Inputs!$D$88,Inputs!$C$88*Inputs!$K$9*(1+Inputs!$K$12)^B443),"Error - Check Input")
+IFERROR(IF(OR(Inputs!$C$89=0,Inputs!$C$89="",ISERROR(Inputs!$C$89)),Inputs!$D$89,Inputs!$C$89*Inputs!$K$9*(1+Inputs!$K$12)^B443),"Error - Check Input")
+IFERROR(IF(OR(Inputs!$C$90=0,Inputs!$C$90="",ISERROR(Inputs!$C$90)),Inputs!$D$90,Inputs!$C$90*Inputs!$K$9*(1+Inputs!$K$12)^B443),"Error - Check Input")
+IFERROR(IF(OR(Inputs!$C$93=0,Inputs!$C$93="",ISERROR(Inputs!$C$93)),Inputs!$D$93,Inputs!$C$93*Inputs!$K$9*(1+Inputs!$K$12)^B443),"Error - Check Input")</f>
        <v>95600.9767061358</v>
      </c>
      <c r="D443" s="17"/>
    </row>
    <row r="444" spans="2:4" x14ac:dyDescent="0.35">
      <c r="B444" s="18">
        <v>253</v>
      </c>
      <c r="C444" s="6">
        <f>IFERROR(IF(OR(Inputs!$C$84=0,Inputs!$C$84="",ISERROR(Inputs!$C$84)),Inputs!$D$84,Inputs!$C$84*Inputs!$K$9*(1+Inputs!$K$12)^B444),"Error - Check Input")
+IFERROR(IF(OR(Inputs!$C$85=0,Inputs!$C$85="",ISERROR(Inputs!$C$85)),Inputs!$D$85,Inputs!$C$85*Inputs!$K$9*(1+Inputs!$K$12)^B444),"Error - Check Input")
+IFERROR(IF(OR(Inputs!$C$86=0,Inputs!$C$86="",ISERROR(Inputs!$C$86)),Inputs!$D$86,Inputs!$C$86*Inputs!$K$9*(1+Inputs!$K$12)^B444),"Error - Check Input")
+IFERROR(IF(OR(Inputs!$C$87=0,Inputs!$C$87="",ISERROR(Inputs!$C$87)),Inputs!$D$87,Inputs!$C$87*Inputs!$K$9*(1+Inputs!$K$12)^B444),"Error - Check Input")
+IFERROR(IF(OR(Inputs!$C$88=0,Inputs!$C$88="",ISERROR(Inputs!$C$88)),Inputs!$D$88,Inputs!$C$88*Inputs!$K$9*(1+Inputs!$K$12)^B444),"Error - Check Input")
+IFERROR(IF(OR(Inputs!$C$89=0,Inputs!$C$89="",ISERROR(Inputs!$C$89)),Inputs!$D$89,Inputs!$C$89*Inputs!$K$9*(1+Inputs!$K$12)^B444),"Error - Check Input")
+IFERROR(IF(OR(Inputs!$C$90=0,Inputs!$C$90="",ISERROR(Inputs!$C$90)),Inputs!$D$90,Inputs!$C$90*Inputs!$K$9*(1+Inputs!$K$12)^B444),"Error - Check Input")
+IFERROR(IF(OR(Inputs!$C$93=0,Inputs!$C$93="",ISERROR(Inputs!$C$93)),Inputs!$D$93,Inputs!$C$93*Inputs!$K$9*(1+Inputs!$K$12)^B444),"Error - Check Input")</f>
        <v>95972.133362047869</v>
      </c>
      <c r="D444" s="17"/>
    </row>
    <row r="445" spans="2:4" x14ac:dyDescent="0.35">
      <c r="B445" s="18">
        <v>254</v>
      </c>
      <c r="C445" s="6">
        <f>IFERROR(IF(OR(Inputs!$C$84=0,Inputs!$C$84="",ISERROR(Inputs!$C$84)),Inputs!$D$84,Inputs!$C$84*Inputs!$K$9*(1+Inputs!$K$12)^B445),"Error - Check Input")
+IFERROR(IF(OR(Inputs!$C$85=0,Inputs!$C$85="",ISERROR(Inputs!$C$85)),Inputs!$D$85,Inputs!$C$85*Inputs!$K$9*(1+Inputs!$K$12)^B445),"Error - Check Input")
+IFERROR(IF(OR(Inputs!$C$86=0,Inputs!$C$86="",ISERROR(Inputs!$C$86)),Inputs!$D$86,Inputs!$C$86*Inputs!$K$9*(1+Inputs!$K$12)^B445),"Error - Check Input")
+IFERROR(IF(OR(Inputs!$C$87=0,Inputs!$C$87="",ISERROR(Inputs!$C$87)),Inputs!$D$87,Inputs!$C$87*Inputs!$K$9*(1+Inputs!$K$12)^B445),"Error - Check Input")
+IFERROR(IF(OR(Inputs!$C$88=0,Inputs!$C$88="",ISERROR(Inputs!$C$88)),Inputs!$D$88,Inputs!$C$88*Inputs!$K$9*(1+Inputs!$K$12)^B445),"Error - Check Input")
+IFERROR(IF(OR(Inputs!$C$89=0,Inputs!$C$89="",ISERROR(Inputs!$C$89)),Inputs!$D$89,Inputs!$C$89*Inputs!$K$9*(1+Inputs!$K$12)^B445),"Error - Check Input")
+IFERROR(IF(OR(Inputs!$C$90=0,Inputs!$C$90="",ISERROR(Inputs!$C$90)),Inputs!$D$90,Inputs!$C$90*Inputs!$K$9*(1+Inputs!$K$12)^B445),"Error - Check Input")
+IFERROR(IF(OR(Inputs!$C$93=0,Inputs!$C$93="",ISERROR(Inputs!$C$93)),Inputs!$D$93,Inputs!$C$93*Inputs!$K$9*(1+Inputs!$K$12)^B445),"Error - Check Input")</f>
        <v>96344.802156119244</v>
      </c>
      <c r="D445" s="17"/>
    </row>
    <row r="446" spans="2:4" x14ac:dyDescent="0.35">
      <c r="B446" s="18">
        <v>255</v>
      </c>
      <c r="C446" s="6">
        <f>IFERROR(IF(OR(Inputs!$C$84=0,Inputs!$C$84="",ISERROR(Inputs!$C$84)),Inputs!$D$84,Inputs!$C$84*Inputs!$K$9*(1+Inputs!$K$12)^B446),"Error - Check Input")
+IFERROR(IF(OR(Inputs!$C$85=0,Inputs!$C$85="",ISERROR(Inputs!$C$85)),Inputs!$D$85,Inputs!$C$85*Inputs!$K$9*(1+Inputs!$K$12)^B446),"Error - Check Input")
+IFERROR(IF(OR(Inputs!$C$86=0,Inputs!$C$86="",ISERROR(Inputs!$C$86)),Inputs!$D$86,Inputs!$C$86*Inputs!$K$9*(1+Inputs!$K$12)^B446),"Error - Check Input")
+IFERROR(IF(OR(Inputs!$C$87=0,Inputs!$C$87="",ISERROR(Inputs!$C$87)),Inputs!$D$87,Inputs!$C$87*Inputs!$K$9*(1+Inputs!$K$12)^B446),"Error - Check Input")
+IFERROR(IF(OR(Inputs!$C$88=0,Inputs!$C$88="",ISERROR(Inputs!$C$88)),Inputs!$D$88,Inputs!$C$88*Inputs!$K$9*(1+Inputs!$K$12)^B446),"Error - Check Input")
+IFERROR(IF(OR(Inputs!$C$89=0,Inputs!$C$89="",ISERROR(Inputs!$C$89)),Inputs!$D$89,Inputs!$C$89*Inputs!$K$9*(1+Inputs!$K$12)^B446),"Error - Check Input")
+IFERROR(IF(OR(Inputs!$C$90=0,Inputs!$C$90="",ISERROR(Inputs!$C$90)),Inputs!$D$90,Inputs!$C$90*Inputs!$K$9*(1+Inputs!$K$12)^B446),"Error - Check Input")
+IFERROR(IF(OR(Inputs!$C$93=0,Inputs!$C$93="",ISERROR(Inputs!$C$93)),Inputs!$D$93,Inputs!$C$93*Inputs!$K$9*(1+Inputs!$K$12)^B446),"Error - Check Input")</f>
        <v>96718.989248987957</v>
      </c>
      <c r="D446" s="17"/>
    </row>
    <row r="447" spans="2:4" x14ac:dyDescent="0.35">
      <c r="B447" s="18">
        <v>256</v>
      </c>
      <c r="C447" s="6">
        <f>IFERROR(IF(OR(Inputs!$C$84=0,Inputs!$C$84="",ISERROR(Inputs!$C$84)),Inputs!$D$84,Inputs!$C$84*Inputs!$K$9*(1+Inputs!$K$12)^B447),"Error - Check Input")
+IFERROR(IF(OR(Inputs!$C$85=0,Inputs!$C$85="",ISERROR(Inputs!$C$85)),Inputs!$D$85,Inputs!$C$85*Inputs!$K$9*(1+Inputs!$K$12)^B447),"Error - Check Input")
+IFERROR(IF(OR(Inputs!$C$86=0,Inputs!$C$86="",ISERROR(Inputs!$C$86)),Inputs!$D$86,Inputs!$C$86*Inputs!$K$9*(1+Inputs!$K$12)^B447),"Error - Check Input")
+IFERROR(IF(OR(Inputs!$C$87=0,Inputs!$C$87="",ISERROR(Inputs!$C$87)),Inputs!$D$87,Inputs!$C$87*Inputs!$K$9*(1+Inputs!$K$12)^B447),"Error - Check Input")
+IFERROR(IF(OR(Inputs!$C$88=0,Inputs!$C$88="",ISERROR(Inputs!$C$88)),Inputs!$D$88,Inputs!$C$88*Inputs!$K$9*(1+Inputs!$K$12)^B447),"Error - Check Input")
+IFERROR(IF(OR(Inputs!$C$89=0,Inputs!$C$89="",ISERROR(Inputs!$C$89)),Inputs!$D$89,Inputs!$C$89*Inputs!$K$9*(1+Inputs!$K$12)^B447),"Error - Check Input")
+IFERROR(IF(OR(Inputs!$C$90=0,Inputs!$C$90="",ISERROR(Inputs!$C$90)),Inputs!$D$90,Inputs!$C$90*Inputs!$K$9*(1+Inputs!$K$12)^B447),"Error - Check Input")
+IFERROR(IF(OR(Inputs!$C$93=0,Inputs!$C$93="",ISERROR(Inputs!$C$93)),Inputs!$D$93,Inputs!$C$93*Inputs!$K$9*(1+Inputs!$K$12)^B447),"Error - Check Input")</f>
        <v>97094.700826391287</v>
      </c>
      <c r="D447" s="17"/>
    </row>
    <row r="448" spans="2:4" x14ac:dyDescent="0.35">
      <c r="B448" s="18">
        <v>257</v>
      </c>
      <c r="C448" s="6">
        <f>IFERROR(IF(OR(Inputs!$C$84=0,Inputs!$C$84="",ISERROR(Inputs!$C$84)),Inputs!$D$84,Inputs!$C$84*Inputs!$K$9*(1+Inputs!$K$12)^B448),"Error - Check Input")
+IFERROR(IF(OR(Inputs!$C$85=0,Inputs!$C$85="",ISERROR(Inputs!$C$85)),Inputs!$D$85,Inputs!$C$85*Inputs!$K$9*(1+Inputs!$K$12)^B448),"Error - Check Input")
+IFERROR(IF(OR(Inputs!$C$86=0,Inputs!$C$86="",ISERROR(Inputs!$C$86)),Inputs!$D$86,Inputs!$C$86*Inputs!$K$9*(1+Inputs!$K$12)^B448),"Error - Check Input")
+IFERROR(IF(OR(Inputs!$C$87=0,Inputs!$C$87="",ISERROR(Inputs!$C$87)),Inputs!$D$87,Inputs!$C$87*Inputs!$K$9*(1+Inputs!$K$12)^B448),"Error - Check Input")
+IFERROR(IF(OR(Inputs!$C$88=0,Inputs!$C$88="",ISERROR(Inputs!$C$88)),Inputs!$D$88,Inputs!$C$88*Inputs!$K$9*(1+Inputs!$K$12)^B448),"Error - Check Input")
+IFERROR(IF(OR(Inputs!$C$89=0,Inputs!$C$89="",ISERROR(Inputs!$C$89)),Inputs!$D$89,Inputs!$C$89*Inputs!$K$9*(1+Inputs!$K$12)^B448),"Error - Check Input")
+IFERROR(IF(OR(Inputs!$C$90=0,Inputs!$C$90="",ISERROR(Inputs!$C$90)),Inputs!$D$90,Inputs!$C$90*Inputs!$K$9*(1+Inputs!$K$12)^B448),"Error - Check Input")
+IFERROR(IF(OR(Inputs!$C$93=0,Inputs!$C$93="",ISERROR(Inputs!$C$93)),Inputs!$D$93,Inputs!$C$93*Inputs!$K$9*(1+Inputs!$K$12)^B448),"Error - Check Input")</f>
        <v>97471.943099267897</v>
      </c>
      <c r="D448" s="17"/>
    </row>
    <row r="449" spans="2:4" x14ac:dyDescent="0.35">
      <c r="B449" s="18">
        <v>258</v>
      </c>
      <c r="C449" s="6">
        <f>IFERROR(IF(OR(Inputs!$C$84=0,Inputs!$C$84="",ISERROR(Inputs!$C$84)),Inputs!$D$84,Inputs!$C$84*Inputs!$K$9*(1+Inputs!$K$12)^B449),"Error - Check Input")
+IFERROR(IF(OR(Inputs!$C$85=0,Inputs!$C$85="",ISERROR(Inputs!$C$85)),Inputs!$D$85,Inputs!$C$85*Inputs!$K$9*(1+Inputs!$K$12)^B449),"Error - Check Input")
+IFERROR(IF(OR(Inputs!$C$86=0,Inputs!$C$86="",ISERROR(Inputs!$C$86)),Inputs!$D$86,Inputs!$C$86*Inputs!$K$9*(1+Inputs!$K$12)^B449),"Error - Check Input")
+IFERROR(IF(OR(Inputs!$C$87=0,Inputs!$C$87="",ISERROR(Inputs!$C$87)),Inputs!$D$87,Inputs!$C$87*Inputs!$K$9*(1+Inputs!$K$12)^B449),"Error - Check Input")
+IFERROR(IF(OR(Inputs!$C$88=0,Inputs!$C$88="",ISERROR(Inputs!$C$88)),Inputs!$D$88,Inputs!$C$88*Inputs!$K$9*(1+Inputs!$K$12)^B449),"Error - Check Input")
+IFERROR(IF(OR(Inputs!$C$89=0,Inputs!$C$89="",ISERROR(Inputs!$C$89)),Inputs!$D$89,Inputs!$C$89*Inputs!$K$9*(1+Inputs!$K$12)^B449),"Error - Check Input")
+IFERROR(IF(OR(Inputs!$C$90=0,Inputs!$C$90="",ISERROR(Inputs!$C$90)),Inputs!$D$90,Inputs!$C$90*Inputs!$K$9*(1+Inputs!$K$12)^B449),"Error - Check Input")
+IFERROR(IF(OR(Inputs!$C$93=0,Inputs!$C$93="",ISERROR(Inputs!$C$93)),Inputs!$D$93,Inputs!$C$93*Inputs!$K$9*(1+Inputs!$K$12)^B449),"Error - Check Input")</f>
        <v>97850.722303860632</v>
      </c>
      <c r="D449" s="17"/>
    </row>
    <row r="450" spans="2:4" x14ac:dyDescent="0.35">
      <c r="B450" s="18">
        <v>259</v>
      </c>
      <c r="C450" s="6">
        <f>IFERROR(IF(OR(Inputs!$C$84=0,Inputs!$C$84="",ISERROR(Inputs!$C$84)),Inputs!$D$84,Inputs!$C$84*Inputs!$K$9*(1+Inputs!$K$12)^B450),"Error - Check Input")
+IFERROR(IF(OR(Inputs!$C$85=0,Inputs!$C$85="",ISERROR(Inputs!$C$85)),Inputs!$D$85,Inputs!$C$85*Inputs!$K$9*(1+Inputs!$K$12)^B450),"Error - Check Input")
+IFERROR(IF(OR(Inputs!$C$86=0,Inputs!$C$86="",ISERROR(Inputs!$C$86)),Inputs!$D$86,Inputs!$C$86*Inputs!$K$9*(1+Inputs!$K$12)^B450),"Error - Check Input")
+IFERROR(IF(OR(Inputs!$C$87=0,Inputs!$C$87="",ISERROR(Inputs!$C$87)),Inputs!$D$87,Inputs!$C$87*Inputs!$K$9*(1+Inputs!$K$12)^B450),"Error - Check Input")
+IFERROR(IF(OR(Inputs!$C$88=0,Inputs!$C$88="",ISERROR(Inputs!$C$88)),Inputs!$D$88,Inputs!$C$88*Inputs!$K$9*(1+Inputs!$K$12)^B450),"Error - Check Input")
+IFERROR(IF(OR(Inputs!$C$89=0,Inputs!$C$89="",ISERROR(Inputs!$C$89)),Inputs!$D$89,Inputs!$C$89*Inputs!$K$9*(1+Inputs!$K$12)^B450),"Error - Check Input")
+IFERROR(IF(OR(Inputs!$C$90=0,Inputs!$C$90="",ISERROR(Inputs!$C$90)),Inputs!$D$90,Inputs!$C$90*Inputs!$K$9*(1+Inputs!$K$12)^B450),"Error - Check Input")
+IFERROR(IF(OR(Inputs!$C$93=0,Inputs!$C$93="",ISERROR(Inputs!$C$93)),Inputs!$D$93,Inputs!$C$93*Inputs!$K$9*(1+Inputs!$K$12)^B450),"Error - Check Input")</f>
        <v>98231.044701819555</v>
      </c>
      <c r="D450" s="17"/>
    </row>
    <row r="451" spans="2:4" x14ac:dyDescent="0.35">
      <c r="B451" s="18">
        <v>260</v>
      </c>
      <c r="C451" s="6">
        <f>IFERROR(IF(OR(Inputs!$C$84=0,Inputs!$C$84="",ISERROR(Inputs!$C$84)),Inputs!$D$84,Inputs!$C$84*Inputs!$K$9*(1+Inputs!$K$12)^B451),"Error - Check Input")
+IFERROR(IF(OR(Inputs!$C$85=0,Inputs!$C$85="",ISERROR(Inputs!$C$85)),Inputs!$D$85,Inputs!$C$85*Inputs!$K$9*(1+Inputs!$K$12)^B451),"Error - Check Input")
+IFERROR(IF(OR(Inputs!$C$86=0,Inputs!$C$86="",ISERROR(Inputs!$C$86)),Inputs!$D$86,Inputs!$C$86*Inputs!$K$9*(1+Inputs!$K$12)^B451),"Error - Check Input")
+IFERROR(IF(OR(Inputs!$C$87=0,Inputs!$C$87="",ISERROR(Inputs!$C$87)),Inputs!$D$87,Inputs!$C$87*Inputs!$K$9*(1+Inputs!$K$12)^B451),"Error - Check Input")
+IFERROR(IF(OR(Inputs!$C$88=0,Inputs!$C$88="",ISERROR(Inputs!$C$88)),Inputs!$D$88,Inputs!$C$88*Inputs!$K$9*(1+Inputs!$K$12)^B451),"Error - Check Input")
+IFERROR(IF(OR(Inputs!$C$89=0,Inputs!$C$89="",ISERROR(Inputs!$C$89)),Inputs!$D$89,Inputs!$C$89*Inputs!$K$9*(1+Inputs!$K$12)^B451),"Error - Check Input")
+IFERROR(IF(OR(Inputs!$C$90=0,Inputs!$C$90="",ISERROR(Inputs!$C$90)),Inputs!$D$90,Inputs!$C$90*Inputs!$K$9*(1+Inputs!$K$12)^B451),"Error - Check Input")
+IFERROR(IF(OR(Inputs!$C$93=0,Inputs!$C$93="",ISERROR(Inputs!$C$93)),Inputs!$D$93,Inputs!$C$93*Inputs!$K$9*(1+Inputs!$K$12)^B451),"Error - Check Input")</f>
        <v>98612.91658030542</v>
      </c>
      <c r="D451" s="17"/>
    </row>
    <row r="452" spans="2:4" x14ac:dyDescent="0.35">
      <c r="B452" s="18">
        <v>261</v>
      </c>
      <c r="C452" s="6">
        <f>IFERROR(IF(OR(Inputs!$C$84=0,Inputs!$C$84="",ISERROR(Inputs!$C$84)),Inputs!$D$84,Inputs!$C$84*Inputs!$K$9*(1+Inputs!$K$12)^B452),"Error - Check Input")
+IFERROR(IF(OR(Inputs!$C$85=0,Inputs!$C$85="",ISERROR(Inputs!$C$85)),Inputs!$D$85,Inputs!$C$85*Inputs!$K$9*(1+Inputs!$K$12)^B452),"Error - Check Input")
+IFERROR(IF(OR(Inputs!$C$86=0,Inputs!$C$86="",ISERROR(Inputs!$C$86)),Inputs!$D$86,Inputs!$C$86*Inputs!$K$9*(1+Inputs!$K$12)^B452),"Error - Check Input")
+IFERROR(IF(OR(Inputs!$C$87=0,Inputs!$C$87="",ISERROR(Inputs!$C$87)),Inputs!$D$87,Inputs!$C$87*Inputs!$K$9*(1+Inputs!$K$12)^B452),"Error - Check Input")
+IFERROR(IF(OR(Inputs!$C$88=0,Inputs!$C$88="",ISERROR(Inputs!$C$88)),Inputs!$D$88,Inputs!$C$88*Inputs!$K$9*(1+Inputs!$K$12)^B452),"Error - Check Input")
+IFERROR(IF(OR(Inputs!$C$89=0,Inputs!$C$89="",ISERROR(Inputs!$C$89)),Inputs!$D$89,Inputs!$C$89*Inputs!$K$9*(1+Inputs!$K$12)^B452),"Error - Check Input")
+IFERROR(IF(OR(Inputs!$C$90=0,Inputs!$C$90="",ISERROR(Inputs!$C$90)),Inputs!$D$90,Inputs!$C$90*Inputs!$K$9*(1+Inputs!$K$12)^B452),"Error - Check Input")
+IFERROR(IF(OR(Inputs!$C$93=0,Inputs!$C$93="",ISERROR(Inputs!$C$93)),Inputs!$D$93,Inputs!$C$93*Inputs!$K$9*(1+Inputs!$K$12)^B452),"Error - Check Input")</f>
        <v>98996.344252093768</v>
      </c>
      <c r="D452" s="17"/>
    </row>
    <row r="453" spans="2:4" x14ac:dyDescent="0.35">
      <c r="B453" s="18">
        <v>262</v>
      </c>
      <c r="C453" s="6">
        <f>IFERROR(IF(OR(Inputs!$C$84=0,Inputs!$C$84="",ISERROR(Inputs!$C$84)),Inputs!$D$84,Inputs!$C$84*Inputs!$K$9*(1+Inputs!$K$12)^B453),"Error - Check Input")
+IFERROR(IF(OR(Inputs!$C$85=0,Inputs!$C$85="",ISERROR(Inputs!$C$85)),Inputs!$D$85,Inputs!$C$85*Inputs!$K$9*(1+Inputs!$K$12)^B453),"Error - Check Input")
+IFERROR(IF(OR(Inputs!$C$86=0,Inputs!$C$86="",ISERROR(Inputs!$C$86)),Inputs!$D$86,Inputs!$C$86*Inputs!$K$9*(1+Inputs!$K$12)^B453),"Error - Check Input")
+IFERROR(IF(OR(Inputs!$C$87=0,Inputs!$C$87="",ISERROR(Inputs!$C$87)),Inputs!$D$87,Inputs!$C$87*Inputs!$K$9*(1+Inputs!$K$12)^B453),"Error - Check Input")
+IFERROR(IF(OR(Inputs!$C$88=0,Inputs!$C$88="",ISERROR(Inputs!$C$88)),Inputs!$D$88,Inputs!$C$88*Inputs!$K$9*(1+Inputs!$K$12)^B453),"Error - Check Input")
+IFERROR(IF(OR(Inputs!$C$89=0,Inputs!$C$89="",ISERROR(Inputs!$C$89)),Inputs!$D$89,Inputs!$C$89*Inputs!$K$9*(1+Inputs!$K$12)^B453),"Error - Check Input")
+IFERROR(IF(OR(Inputs!$C$90=0,Inputs!$C$90="",ISERROR(Inputs!$C$90)),Inputs!$D$90,Inputs!$C$90*Inputs!$K$9*(1+Inputs!$K$12)^B453),"Error - Check Input")
+IFERROR(IF(OR(Inputs!$C$93=0,Inputs!$C$93="",ISERROR(Inputs!$C$93)),Inputs!$D$93,Inputs!$C$93*Inputs!$K$9*(1+Inputs!$K$12)^B453),"Error - Check Input")</f>
        <v>99381.33405567905</v>
      </c>
      <c r="D453" s="17"/>
    </row>
    <row r="454" spans="2:4" x14ac:dyDescent="0.35">
      <c r="B454" s="18">
        <v>263</v>
      </c>
      <c r="C454" s="6">
        <f>IFERROR(IF(OR(Inputs!$C$84=0,Inputs!$C$84="",ISERROR(Inputs!$C$84)),Inputs!$D$84,Inputs!$C$84*Inputs!$K$9*(1+Inputs!$K$12)^B454),"Error - Check Input")
+IFERROR(IF(OR(Inputs!$C$85=0,Inputs!$C$85="",ISERROR(Inputs!$C$85)),Inputs!$D$85,Inputs!$C$85*Inputs!$K$9*(1+Inputs!$K$12)^B454),"Error - Check Input")
+IFERROR(IF(OR(Inputs!$C$86=0,Inputs!$C$86="",ISERROR(Inputs!$C$86)),Inputs!$D$86,Inputs!$C$86*Inputs!$K$9*(1+Inputs!$K$12)^B454),"Error - Check Input")
+IFERROR(IF(OR(Inputs!$C$87=0,Inputs!$C$87="",ISERROR(Inputs!$C$87)),Inputs!$D$87,Inputs!$C$87*Inputs!$K$9*(1+Inputs!$K$12)^B454),"Error - Check Input")
+IFERROR(IF(OR(Inputs!$C$88=0,Inputs!$C$88="",ISERROR(Inputs!$C$88)),Inputs!$D$88,Inputs!$C$88*Inputs!$K$9*(1+Inputs!$K$12)^B454),"Error - Check Input")
+IFERROR(IF(OR(Inputs!$C$89=0,Inputs!$C$89="",ISERROR(Inputs!$C$89)),Inputs!$D$89,Inputs!$C$89*Inputs!$K$9*(1+Inputs!$K$12)^B454),"Error - Check Input")
+IFERROR(IF(OR(Inputs!$C$90=0,Inputs!$C$90="",ISERROR(Inputs!$C$90)),Inputs!$D$90,Inputs!$C$90*Inputs!$K$9*(1+Inputs!$K$12)^B454),"Error - Check Input")
+IFERROR(IF(OR(Inputs!$C$93=0,Inputs!$C$93="",ISERROR(Inputs!$C$93)),Inputs!$D$93,Inputs!$C$93*Inputs!$K$9*(1+Inputs!$K$12)^B454),"Error - Check Input")</f>
        <v>99767.892355379576</v>
      </c>
      <c r="D454" s="17"/>
    </row>
    <row r="455" spans="2:4" x14ac:dyDescent="0.35">
      <c r="B455" s="18">
        <v>264</v>
      </c>
      <c r="C455" s="6">
        <f>IFERROR(IF(OR(Inputs!$C$84=0,Inputs!$C$84="",ISERROR(Inputs!$C$84)),Inputs!$D$84,Inputs!$C$84*Inputs!$K$9*(1+Inputs!$K$12)^B455),"Error - Check Input")
+IFERROR(IF(OR(Inputs!$C$85=0,Inputs!$C$85="",ISERROR(Inputs!$C$85)),Inputs!$D$85,Inputs!$C$85*Inputs!$K$9*(1+Inputs!$K$12)^B455),"Error - Check Input")
+IFERROR(IF(OR(Inputs!$C$86=0,Inputs!$C$86="",ISERROR(Inputs!$C$86)),Inputs!$D$86,Inputs!$C$86*Inputs!$K$9*(1+Inputs!$K$12)^B455),"Error - Check Input")
+IFERROR(IF(OR(Inputs!$C$87=0,Inputs!$C$87="",ISERROR(Inputs!$C$87)),Inputs!$D$87,Inputs!$C$87*Inputs!$K$9*(1+Inputs!$K$12)^B455),"Error - Check Input")
+IFERROR(IF(OR(Inputs!$C$88=0,Inputs!$C$88="",ISERROR(Inputs!$C$88)),Inputs!$D$88,Inputs!$C$88*Inputs!$K$9*(1+Inputs!$K$12)^B455),"Error - Check Input")
+IFERROR(IF(OR(Inputs!$C$89=0,Inputs!$C$89="",ISERROR(Inputs!$C$89)),Inputs!$D$89,Inputs!$C$89*Inputs!$K$9*(1+Inputs!$K$12)^B455),"Error - Check Input")
+IFERROR(IF(OR(Inputs!$C$90=0,Inputs!$C$90="",ISERROR(Inputs!$C$90)),Inputs!$D$90,Inputs!$C$90*Inputs!$K$9*(1+Inputs!$K$12)^B455),"Error - Check Input")
+IFERROR(IF(OR(Inputs!$C$93=0,Inputs!$C$93="",ISERROR(Inputs!$C$93)),Inputs!$D$93,Inputs!$C$93*Inputs!$K$9*(1+Inputs!$K$12)^B455),"Error - Check Input")</f>
        <v>100156.02554144269</v>
      </c>
      <c r="D455" s="17"/>
    </row>
    <row r="456" spans="2:4" x14ac:dyDescent="0.35">
      <c r="B456" s="18">
        <v>265</v>
      </c>
      <c r="C456" s="6">
        <f>IFERROR(IF(OR(Inputs!$C$84=0,Inputs!$C$84="",ISERROR(Inputs!$C$84)),Inputs!$D$84,Inputs!$C$84*Inputs!$K$9*(1+Inputs!$K$12)^B456),"Error - Check Input")
+IFERROR(IF(OR(Inputs!$C$85=0,Inputs!$C$85="",ISERROR(Inputs!$C$85)),Inputs!$D$85,Inputs!$C$85*Inputs!$K$9*(1+Inputs!$K$12)^B456),"Error - Check Input")
+IFERROR(IF(OR(Inputs!$C$86=0,Inputs!$C$86="",ISERROR(Inputs!$C$86)),Inputs!$D$86,Inputs!$C$86*Inputs!$K$9*(1+Inputs!$K$12)^B456),"Error - Check Input")
+IFERROR(IF(OR(Inputs!$C$87=0,Inputs!$C$87="",ISERROR(Inputs!$C$87)),Inputs!$D$87,Inputs!$C$87*Inputs!$K$9*(1+Inputs!$K$12)^B456),"Error - Check Input")
+IFERROR(IF(OR(Inputs!$C$88=0,Inputs!$C$88="",ISERROR(Inputs!$C$88)),Inputs!$D$88,Inputs!$C$88*Inputs!$K$9*(1+Inputs!$K$12)^B456),"Error - Check Input")
+IFERROR(IF(OR(Inputs!$C$89=0,Inputs!$C$89="",ISERROR(Inputs!$C$89)),Inputs!$D$89,Inputs!$C$89*Inputs!$K$9*(1+Inputs!$K$12)^B456),"Error - Check Input")
+IFERROR(IF(OR(Inputs!$C$90=0,Inputs!$C$90="",ISERROR(Inputs!$C$90)),Inputs!$D$90,Inputs!$C$90*Inputs!$K$9*(1+Inputs!$K$12)^B456),"Error - Check Input")
+IFERROR(IF(OR(Inputs!$C$93=0,Inputs!$C$93="",ISERROR(Inputs!$C$93)),Inputs!$D$93,Inputs!$C$93*Inputs!$K$9*(1+Inputs!$K$12)^B456),"Error - Check Input")</f>
        <v>100545.74003015037</v>
      </c>
      <c r="D456" s="17"/>
    </row>
    <row r="457" spans="2:4" x14ac:dyDescent="0.35">
      <c r="B457" s="18">
        <v>266</v>
      </c>
      <c r="C457" s="6">
        <f>IFERROR(IF(OR(Inputs!$C$84=0,Inputs!$C$84="",ISERROR(Inputs!$C$84)),Inputs!$D$84,Inputs!$C$84*Inputs!$K$9*(1+Inputs!$K$12)^B457),"Error - Check Input")
+IFERROR(IF(OR(Inputs!$C$85=0,Inputs!$C$85="",ISERROR(Inputs!$C$85)),Inputs!$D$85,Inputs!$C$85*Inputs!$K$9*(1+Inputs!$K$12)^B457),"Error - Check Input")
+IFERROR(IF(OR(Inputs!$C$86=0,Inputs!$C$86="",ISERROR(Inputs!$C$86)),Inputs!$D$86,Inputs!$C$86*Inputs!$K$9*(1+Inputs!$K$12)^B457),"Error - Check Input")
+IFERROR(IF(OR(Inputs!$C$87=0,Inputs!$C$87="",ISERROR(Inputs!$C$87)),Inputs!$D$87,Inputs!$C$87*Inputs!$K$9*(1+Inputs!$K$12)^B457),"Error - Check Input")
+IFERROR(IF(OR(Inputs!$C$88=0,Inputs!$C$88="",ISERROR(Inputs!$C$88)),Inputs!$D$88,Inputs!$C$88*Inputs!$K$9*(1+Inputs!$K$12)^B457),"Error - Check Input")
+IFERROR(IF(OR(Inputs!$C$89=0,Inputs!$C$89="",ISERROR(Inputs!$C$89)),Inputs!$D$89,Inputs!$C$89*Inputs!$K$9*(1+Inputs!$K$12)^B457),"Error - Check Input")
+IFERROR(IF(OR(Inputs!$C$90=0,Inputs!$C$90="",ISERROR(Inputs!$C$90)),Inputs!$D$90,Inputs!$C$90*Inputs!$K$9*(1+Inputs!$K$12)^B457),"Error - Check Input")
+IFERROR(IF(OR(Inputs!$C$93=0,Inputs!$C$93="",ISERROR(Inputs!$C$93)),Inputs!$D$93,Inputs!$C$93*Inputs!$K$9*(1+Inputs!$K$12)^B457),"Error - Check Input")</f>
        <v>100937.04226392532</v>
      </c>
      <c r="D457" s="17"/>
    </row>
    <row r="458" spans="2:4" x14ac:dyDescent="0.35">
      <c r="B458" s="18">
        <v>267</v>
      </c>
      <c r="C458" s="6">
        <f>IFERROR(IF(OR(Inputs!$C$84=0,Inputs!$C$84="",ISERROR(Inputs!$C$84)),Inputs!$D$84,Inputs!$C$84*Inputs!$K$9*(1+Inputs!$K$12)^B458),"Error - Check Input")
+IFERROR(IF(OR(Inputs!$C$85=0,Inputs!$C$85="",ISERROR(Inputs!$C$85)),Inputs!$D$85,Inputs!$C$85*Inputs!$K$9*(1+Inputs!$K$12)^B458),"Error - Check Input")
+IFERROR(IF(OR(Inputs!$C$86=0,Inputs!$C$86="",ISERROR(Inputs!$C$86)),Inputs!$D$86,Inputs!$C$86*Inputs!$K$9*(1+Inputs!$K$12)^B458),"Error - Check Input")
+IFERROR(IF(OR(Inputs!$C$87=0,Inputs!$C$87="",ISERROR(Inputs!$C$87)),Inputs!$D$87,Inputs!$C$87*Inputs!$K$9*(1+Inputs!$K$12)^B458),"Error - Check Input")
+IFERROR(IF(OR(Inputs!$C$88=0,Inputs!$C$88="",ISERROR(Inputs!$C$88)),Inputs!$D$88,Inputs!$C$88*Inputs!$K$9*(1+Inputs!$K$12)^B458),"Error - Check Input")
+IFERROR(IF(OR(Inputs!$C$89=0,Inputs!$C$89="",ISERROR(Inputs!$C$89)),Inputs!$D$89,Inputs!$C$89*Inputs!$K$9*(1+Inputs!$K$12)^B458),"Error - Check Input")
+IFERROR(IF(OR(Inputs!$C$90=0,Inputs!$C$90="",ISERROR(Inputs!$C$90)),Inputs!$D$90,Inputs!$C$90*Inputs!$K$9*(1+Inputs!$K$12)^B458),"Error - Check Input")
+IFERROR(IF(OR(Inputs!$C$93=0,Inputs!$C$93="",ISERROR(Inputs!$C$93)),Inputs!$D$93,Inputs!$C$93*Inputs!$K$9*(1+Inputs!$K$12)^B458),"Error - Check Input")</f>
        <v>101329.93871143747</v>
      </c>
      <c r="D458" s="17"/>
    </row>
    <row r="459" spans="2:4" x14ac:dyDescent="0.35">
      <c r="B459" s="18">
        <v>268</v>
      </c>
      <c r="C459" s="6">
        <f>IFERROR(IF(OR(Inputs!$C$84=0,Inputs!$C$84="",ISERROR(Inputs!$C$84)),Inputs!$D$84,Inputs!$C$84*Inputs!$K$9*(1+Inputs!$K$12)^B459),"Error - Check Input")
+IFERROR(IF(OR(Inputs!$C$85=0,Inputs!$C$85="",ISERROR(Inputs!$C$85)),Inputs!$D$85,Inputs!$C$85*Inputs!$K$9*(1+Inputs!$K$12)^B459),"Error - Check Input")
+IFERROR(IF(OR(Inputs!$C$86=0,Inputs!$C$86="",ISERROR(Inputs!$C$86)),Inputs!$D$86,Inputs!$C$86*Inputs!$K$9*(1+Inputs!$K$12)^B459),"Error - Check Input")
+IFERROR(IF(OR(Inputs!$C$87=0,Inputs!$C$87="",ISERROR(Inputs!$C$87)),Inputs!$D$87,Inputs!$C$87*Inputs!$K$9*(1+Inputs!$K$12)^B459),"Error - Check Input")
+IFERROR(IF(OR(Inputs!$C$88=0,Inputs!$C$88="",ISERROR(Inputs!$C$88)),Inputs!$D$88,Inputs!$C$88*Inputs!$K$9*(1+Inputs!$K$12)^B459),"Error - Check Input")
+IFERROR(IF(OR(Inputs!$C$89=0,Inputs!$C$89="",ISERROR(Inputs!$C$89)),Inputs!$D$89,Inputs!$C$89*Inputs!$K$9*(1+Inputs!$K$12)^B459),"Error - Check Input")
+IFERROR(IF(OR(Inputs!$C$90=0,Inputs!$C$90="",ISERROR(Inputs!$C$90)),Inputs!$D$90,Inputs!$C$90*Inputs!$K$9*(1+Inputs!$K$12)^B459),"Error - Check Input")
+IFERROR(IF(OR(Inputs!$C$93=0,Inputs!$C$93="",ISERROR(Inputs!$C$93)),Inputs!$D$93,Inputs!$C$93*Inputs!$K$9*(1+Inputs!$K$12)^B459),"Error - Check Input")</f>
        <v>101724.43586771096</v>
      </c>
      <c r="D459" s="17"/>
    </row>
    <row r="460" spans="2:4" x14ac:dyDescent="0.35">
      <c r="B460" s="18">
        <v>269</v>
      </c>
      <c r="C460" s="6">
        <f>IFERROR(IF(OR(Inputs!$C$84=0,Inputs!$C$84="",ISERROR(Inputs!$C$84)),Inputs!$D$84,Inputs!$C$84*Inputs!$K$9*(1+Inputs!$K$12)^B460),"Error - Check Input")
+IFERROR(IF(OR(Inputs!$C$85=0,Inputs!$C$85="",ISERROR(Inputs!$C$85)),Inputs!$D$85,Inputs!$C$85*Inputs!$K$9*(1+Inputs!$K$12)^B460),"Error - Check Input")
+IFERROR(IF(OR(Inputs!$C$86=0,Inputs!$C$86="",ISERROR(Inputs!$C$86)),Inputs!$D$86,Inputs!$C$86*Inputs!$K$9*(1+Inputs!$K$12)^B460),"Error - Check Input")
+IFERROR(IF(OR(Inputs!$C$87=0,Inputs!$C$87="",ISERROR(Inputs!$C$87)),Inputs!$D$87,Inputs!$C$87*Inputs!$K$9*(1+Inputs!$K$12)^B460),"Error - Check Input")
+IFERROR(IF(OR(Inputs!$C$88=0,Inputs!$C$88="",ISERROR(Inputs!$C$88)),Inputs!$D$88,Inputs!$C$88*Inputs!$K$9*(1+Inputs!$K$12)^B460),"Error - Check Input")
+IFERROR(IF(OR(Inputs!$C$89=0,Inputs!$C$89="",ISERROR(Inputs!$C$89)),Inputs!$D$89,Inputs!$C$89*Inputs!$K$9*(1+Inputs!$K$12)^B460),"Error - Check Input")
+IFERROR(IF(OR(Inputs!$C$90=0,Inputs!$C$90="",ISERROR(Inputs!$C$90)),Inputs!$D$90,Inputs!$C$90*Inputs!$K$9*(1+Inputs!$K$12)^B460),"Error - Check Input")
+IFERROR(IF(OR(Inputs!$C$93=0,Inputs!$C$93="",ISERROR(Inputs!$C$93)),Inputs!$D$93,Inputs!$C$93*Inputs!$K$9*(1+Inputs!$K$12)^B460),"Error - Check Input")</f>
        <v>102120.54025423138</v>
      </c>
      <c r="D460" s="17"/>
    </row>
    <row r="461" spans="2:4" x14ac:dyDescent="0.35">
      <c r="B461" s="18">
        <v>270</v>
      </c>
      <c r="C461" s="6">
        <f>IFERROR(IF(OR(Inputs!$C$84=0,Inputs!$C$84="",ISERROR(Inputs!$C$84)),Inputs!$D$84,Inputs!$C$84*Inputs!$K$9*(1+Inputs!$K$12)^B461),"Error - Check Input")
+IFERROR(IF(OR(Inputs!$C$85=0,Inputs!$C$85="",ISERROR(Inputs!$C$85)),Inputs!$D$85,Inputs!$C$85*Inputs!$K$9*(1+Inputs!$K$12)^B461),"Error - Check Input")
+IFERROR(IF(OR(Inputs!$C$86=0,Inputs!$C$86="",ISERROR(Inputs!$C$86)),Inputs!$D$86,Inputs!$C$86*Inputs!$K$9*(1+Inputs!$K$12)^B461),"Error - Check Input")
+IFERROR(IF(OR(Inputs!$C$87=0,Inputs!$C$87="",ISERROR(Inputs!$C$87)),Inputs!$D$87,Inputs!$C$87*Inputs!$K$9*(1+Inputs!$K$12)^B461),"Error - Check Input")
+IFERROR(IF(OR(Inputs!$C$88=0,Inputs!$C$88="",ISERROR(Inputs!$C$88)),Inputs!$D$88,Inputs!$C$88*Inputs!$K$9*(1+Inputs!$K$12)^B461),"Error - Check Input")
+IFERROR(IF(OR(Inputs!$C$89=0,Inputs!$C$89="",ISERROR(Inputs!$C$89)),Inputs!$D$89,Inputs!$C$89*Inputs!$K$9*(1+Inputs!$K$12)^B461),"Error - Check Input")
+IFERROR(IF(OR(Inputs!$C$90=0,Inputs!$C$90="",ISERROR(Inputs!$C$90)),Inputs!$D$90,Inputs!$C$90*Inputs!$K$9*(1+Inputs!$K$12)^B461),"Error - Check Input")
+IFERROR(IF(OR(Inputs!$C$93=0,Inputs!$C$93="",ISERROR(Inputs!$C$93)),Inputs!$D$93,Inputs!$C$93*Inputs!$K$9*(1+Inputs!$K$12)^B461),"Error - Check Input")</f>
        <v>102518.25841905376</v>
      </c>
      <c r="D461" s="17"/>
    </row>
    <row r="462" spans="2:4" x14ac:dyDescent="0.35">
      <c r="B462" s="18">
        <v>271</v>
      </c>
      <c r="C462" s="6">
        <f>IFERROR(IF(OR(Inputs!$C$84=0,Inputs!$C$84="",ISERROR(Inputs!$C$84)),Inputs!$D$84,Inputs!$C$84*Inputs!$K$9*(1+Inputs!$K$12)^B462),"Error - Check Input")
+IFERROR(IF(OR(Inputs!$C$85=0,Inputs!$C$85="",ISERROR(Inputs!$C$85)),Inputs!$D$85,Inputs!$C$85*Inputs!$K$9*(1+Inputs!$K$12)^B462),"Error - Check Input")
+IFERROR(IF(OR(Inputs!$C$86=0,Inputs!$C$86="",ISERROR(Inputs!$C$86)),Inputs!$D$86,Inputs!$C$86*Inputs!$K$9*(1+Inputs!$K$12)^B462),"Error - Check Input")
+IFERROR(IF(OR(Inputs!$C$87=0,Inputs!$C$87="",ISERROR(Inputs!$C$87)),Inputs!$D$87,Inputs!$C$87*Inputs!$K$9*(1+Inputs!$K$12)^B462),"Error - Check Input")
+IFERROR(IF(OR(Inputs!$C$88=0,Inputs!$C$88="",ISERROR(Inputs!$C$88)),Inputs!$D$88,Inputs!$C$88*Inputs!$K$9*(1+Inputs!$K$12)^B462),"Error - Check Input")
+IFERROR(IF(OR(Inputs!$C$89=0,Inputs!$C$89="",ISERROR(Inputs!$C$89)),Inputs!$D$89,Inputs!$C$89*Inputs!$K$9*(1+Inputs!$K$12)^B462),"Error - Check Input")
+IFERROR(IF(OR(Inputs!$C$90=0,Inputs!$C$90="",ISERROR(Inputs!$C$90)),Inputs!$D$90,Inputs!$C$90*Inputs!$K$9*(1+Inputs!$K$12)^B462),"Error - Check Input")
+IFERROR(IF(OR(Inputs!$C$93=0,Inputs!$C$93="",ISERROR(Inputs!$C$93)),Inputs!$D$93,Inputs!$C$93*Inputs!$K$9*(1+Inputs!$K$12)^B462),"Error - Check Input")</f>
        <v>102917.59693691062</v>
      </c>
      <c r="D462" s="17"/>
    </row>
    <row r="463" spans="2:4" x14ac:dyDescent="0.35">
      <c r="B463" s="18">
        <v>272</v>
      </c>
      <c r="C463" s="6">
        <f>IFERROR(IF(OR(Inputs!$C$84=0,Inputs!$C$84="",ISERROR(Inputs!$C$84)),Inputs!$D$84,Inputs!$C$84*Inputs!$K$9*(1+Inputs!$K$12)^B463),"Error - Check Input")
+IFERROR(IF(OR(Inputs!$C$85=0,Inputs!$C$85="",ISERROR(Inputs!$C$85)),Inputs!$D$85,Inputs!$C$85*Inputs!$K$9*(1+Inputs!$K$12)^B463),"Error - Check Input")
+IFERROR(IF(OR(Inputs!$C$86=0,Inputs!$C$86="",ISERROR(Inputs!$C$86)),Inputs!$D$86,Inputs!$C$86*Inputs!$K$9*(1+Inputs!$K$12)^B463),"Error - Check Input")
+IFERROR(IF(OR(Inputs!$C$87=0,Inputs!$C$87="",ISERROR(Inputs!$C$87)),Inputs!$D$87,Inputs!$C$87*Inputs!$K$9*(1+Inputs!$K$12)^B463),"Error - Check Input")
+IFERROR(IF(OR(Inputs!$C$88=0,Inputs!$C$88="",ISERROR(Inputs!$C$88)),Inputs!$D$88,Inputs!$C$88*Inputs!$K$9*(1+Inputs!$K$12)^B463),"Error - Check Input")
+IFERROR(IF(OR(Inputs!$C$89=0,Inputs!$C$89="",ISERROR(Inputs!$C$89)),Inputs!$D$89,Inputs!$C$89*Inputs!$K$9*(1+Inputs!$K$12)^B463),"Error - Check Input")
+IFERROR(IF(OR(Inputs!$C$90=0,Inputs!$C$90="",ISERROR(Inputs!$C$90)),Inputs!$D$90,Inputs!$C$90*Inputs!$K$9*(1+Inputs!$K$12)^B463),"Error - Check Input")
+IFERROR(IF(OR(Inputs!$C$93=0,Inputs!$C$93="",ISERROR(Inputs!$C$93)),Inputs!$D$93,Inputs!$C$93*Inputs!$K$9*(1+Inputs!$K$12)^B463),"Error - Check Input")</f>
        <v>103318.56240932082</v>
      </c>
      <c r="D463" s="17"/>
    </row>
    <row r="464" spans="2:4" x14ac:dyDescent="0.35">
      <c r="B464" s="18">
        <v>273</v>
      </c>
      <c r="C464" s="6">
        <f>IFERROR(IF(OR(Inputs!$C$84=0,Inputs!$C$84="",ISERROR(Inputs!$C$84)),Inputs!$D$84,Inputs!$C$84*Inputs!$K$9*(1+Inputs!$K$12)^B464),"Error - Check Input")
+IFERROR(IF(OR(Inputs!$C$85=0,Inputs!$C$85="",ISERROR(Inputs!$C$85)),Inputs!$D$85,Inputs!$C$85*Inputs!$K$9*(1+Inputs!$K$12)^B464),"Error - Check Input")
+IFERROR(IF(OR(Inputs!$C$86=0,Inputs!$C$86="",ISERROR(Inputs!$C$86)),Inputs!$D$86,Inputs!$C$86*Inputs!$K$9*(1+Inputs!$K$12)^B464),"Error - Check Input")
+IFERROR(IF(OR(Inputs!$C$87=0,Inputs!$C$87="",ISERROR(Inputs!$C$87)),Inputs!$D$87,Inputs!$C$87*Inputs!$K$9*(1+Inputs!$K$12)^B464),"Error - Check Input")
+IFERROR(IF(OR(Inputs!$C$88=0,Inputs!$C$88="",ISERROR(Inputs!$C$88)),Inputs!$D$88,Inputs!$C$88*Inputs!$K$9*(1+Inputs!$K$12)^B464),"Error - Check Input")
+IFERROR(IF(OR(Inputs!$C$89=0,Inputs!$C$89="",ISERROR(Inputs!$C$89)),Inputs!$D$89,Inputs!$C$89*Inputs!$K$9*(1+Inputs!$K$12)^B464),"Error - Check Input")
+IFERROR(IF(OR(Inputs!$C$90=0,Inputs!$C$90="",ISERROR(Inputs!$C$90)),Inputs!$D$90,Inputs!$C$90*Inputs!$K$9*(1+Inputs!$K$12)^B464),"Error - Check Input")
+IFERROR(IF(OR(Inputs!$C$93=0,Inputs!$C$93="",ISERROR(Inputs!$C$93)),Inputs!$D$93,Inputs!$C$93*Inputs!$K$9*(1+Inputs!$K$12)^B464),"Error - Check Input")</f>
        <v>103721.16146469857</v>
      </c>
      <c r="D464" s="17"/>
    </row>
    <row r="465" spans="2:4" x14ac:dyDescent="0.35">
      <c r="B465" s="18">
        <v>274</v>
      </c>
      <c r="C465" s="6">
        <f>IFERROR(IF(OR(Inputs!$C$84=0,Inputs!$C$84="",ISERROR(Inputs!$C$84)),Inputs!$D$84,Inputs!$C$84*Inputs!$K$9*(1+Inputs!$K$12)^B465),"Error - Check Input")
+IFERROR(IF(OR(Inputs!$C$85=0,Inputs!$C$85="",ISERROR(Inputs!$C$85)),Inputs!$D$85,Inputs!$C$85*Inputs!$K$9*(1+Inputs!$K$12)^B465),"Error - Check Input")
+IFERROR(IF(OR(Inputs!$C$86=0,Inputs!$C$86="",ISERROR(Inputs!$C$86)),Inputs!$D$86,Inputs!$C$86*Inputs!$K$9*(1+Inputs!$K$12)^B465),"Error - Check Input")
+IFERROR(IF(OR(Inputs!$C$87=0,Inputs!$C$87="",ISERROR(Inputs!$C$87)),Inputs!$D$87,Inputs!$C$87*Inputs!$K$9*(1+Inputs!$K$12)^B465),"Error - Check Input")
+IFERROR(IF(OR(Inputs!$C$88=0,Inputs!$C$88="",ISERROR(Inputs!$C$88)),Inputs!$D$88,Inputs!$C$88*Inputs!$K$9*(1+Inputs!$K$12)^B465),"Error - Check Input")
+IFERROR(IF(OR(Inputs!$C$89=0,Inputs!$C$89="",ISERROR(Inputs!$C$89)),Inputs!$D$89,Inputs!$C$89*Inputs!$K$9*(1+Inputs!$K$12)^B465),"Error - Check Input")
+IFERROR(IF(OR(Inputs!$C$90=0,Inputs!$C$90="",ISERROR(Inputs!$C$90)),Inputs!$D$90,Inputs!$C$90*Inputs!$K$9*(1+Inputs!$K$12)^B465),"Error - Check Input")
+IFERROR(IF(OR(Inputs!$C$93=0,Inputs!$C$93="",ISERROR(Inputs!$C$93)),Inputs!$D$93,Inputs!$C$93*Inputs!$K$9*(1+Inputs!$K$12)^B465),"Error - Check Input")</f>
        <v>104125.40075846312</v>
      </c>
      <c r="D465" s="17"/>
    </row>
    <row r="466" spans="2:4" x14ac:dyDescent="0.35">
      <c r="B466" s="18">
        <v>275</v>
      </c>
      <c r="C466" s="6">
        <f>IFERROR(IF(OR(Inputs!$C$84=0,Inputs!$C$84="",ISERROR(Inputs!$C$84)),Inputs!$D$84,Inputs!$C$84*Inputs!$K$9*(1+Inputs!$K$12)^B466),"Error - Check Input")
+IFERROR(IF(OR(Inputs!$C$85=0,Inputs!$C$85="",ISERROR(Inputs!$C$85)),Inputs!$D$85,Inputs!$C$85*Inputs!$K$9*(1+Inputs!$K$12)^B466),"Error - Check Input")
+IFERROR(IF(OR(Inputs!$C$86=0,Inputs!$C$86="",ISERROR(Inputs!$C$86)),Inputs!$D$86,Inputs!$C$86*Inputs!$K$9*(1+Inputs!$K$12)^B466),"Error - Check Input")
+IFERROR(IF(OR(Inputs!$C$87=0,Inputs!$C$87="",ISERROR(Inputs!$C$87)),Inputs!$D$87,Inputs!$C$87*Inputs!$K$9*(1+Inputs!$K$12)^B466),"Error - Check Input")
+IFERROR(IF(OR(Inputs!$C$88=0,Inputs!$C$88="",ISERROR(Inputs!$C$88)),Inputs!$D$88,Inputs!$C$88*Inputs!$K$9*(1+Inputs!$K$12)^B466),"Error - Check Input")
+IFERROR(IF(OR(Inputs!$C$89=0,Inputs!$C$89="",ISERROR(Inputs!$C$89)),Inputs!$D$89,Inputs!$C$89*Inputs!$K$9*(1+Inputs!$K$12)^B466),"Error - Check Input")
+IFERROR(IF(OR(Inputs!$C$90=0,Inputs!$C$90="",ISERROR(Inputs!$C$90)),Inputs!$D$90,Inputs!$C$90*Inputs!$K$9*(1+Inputs!$K$12)^B466),"Error - Check Input")
+IFERROR(IF(OR(Inputs!$C$93=0,Inputs!$C$93="",ISERROR(Inputs!$C$93)),Inputs!$D$93,Inputs!$C$93*Inputs!$K$9*(1+Inputs!$K$12)^B466),"Error - Check Input")</f>
        <v>104531.28697314869</v>
      </c>
      <c r="D466" s="17"/>
    </row>
    <row r="467" spans="2:4" x14ac:dyDescent="0.35">
      <c r="B467" s="18">
        <v>276</v>
      </c>
      <c r="C467" s="6">
        <f>IFERROR(IF(OR(Inputs!$C$84=0,Inputs!$C$84="",ISERROR(Inputs!$C$84)),Inputs!$D$84,Inputs!$C$84*Inputs!$K$9*(1+Inputs!$K$12)^B467),"Error - Check Input")
+IFERROR(IF(OR(Inputs!$C$85=0,Inputs!$C$85="",ISERROR(Inputs!$C$85)),Inputs!$D$85,Inputs!$C$85*Inputs!$K$9*(1+Inputs!$K$12)^B467),"Error - Check Input")
+IFERROR(IF(OR(Inputs!$C$86=0,Inputs!$C$86="",ISERROR(Inputs!$C$86)),Inputs!$D$86,Inputs!$C$86*Inputs!$K$9*(1+Inputs!$K$12)^B467),"Error - Check Input")
+IFERROR(IF(OR(Inputs!$C$87=0,Inputs!$C$87="",ISERROR(Inputs!$C$87)),Inputs!$D$87,Inputs!$C$87*Inputs!$K$9*(1+Inputs!$K$12)^B467),"Error - Check Input")
+IFERROR(IF(OR(Inputs!$C$88=0,Inputs!$C$88="",ISERROR(Inputs!$C$88)),Inputs!$D$88,Inputs!$C$88*Inputs!$K$9*(1+Inputs!$K$12)^B467),"Error - Check Input")
+IFERROR(IF(OR(Inputs!$C$89=0,Inputs!$C$89="",ISERROR(Inputs!$C$89)),Inputs!$D$89,Inputs!$C$89*Inputs!$K$9*(1+Inputs!$K$12)^B467),"Error - Check Input")
+IFERROR(IF(OR(Inputs!$C$90=0,Inputs!$C$90="",ISERROR(Inputs!$C$90)),Inputs!$D$90,Inputs!$C$90*Inputs!$K$9*(1+Inputs!$K$12)^B467),"Error - Check Input")
+IFERROR(IF(OR(Inputs!$C$93=0,Inputs!$C$93="",ISERROR(Inputs!$C$93)),Inputs!$D$93,Inputs!$C$93*Inputs!$K$9*(1+Inputs!$K$12)^B467),"Error - Check Input")</f>
        <v>104938.82681851494</v>
      </c>
      <c r="D467" s="17"/>
    </row>
    <row r="468" spans="2:4" x14ac:dyDescent="0.35">
      <c r="B468" s="18">
        <v>277</v>
      </c>
      <c r="C468" s="6">
        <f>IFERROR(IF(OR(Inputs!$C$84=0,Inputs!$C$84="",ISERROR(Inputs!$C$84)),Inputs!$D$84,Inputs!$C$84*Inputs!$K$9*(1+Inputs!$K$12)^B468),"Error - Check Input")
+IFERROR(IF(OR(Inputs!$C$85=0,Inputs!$C$85="",ISERROR(Inputs!$C$85)),Inputs!$D$85,Inputs!$C$85*Inputs!$K$9*(1+Inputs!$K$12)^B468),"Error - Check Input")
+IFERROR(IF(OR(Inputs!$C$86=0,Inputs!$C$86="",ISERROR(Inputs!$C$86)),Inputs!$D$86,Inputs!$C$86*Inputs!$K$9*(1+Inputs!$K$12)^B468),"Error - Check Input")
+IFERROR(IF(OR(Inputs!$C$87=0,Inputs!$C$87="",ISERROR(Inputs!$C$87)),Inputs!$D$87,Inputs!$C$87*Inputs!$K$9*(1+Inputs!$K$12)^B468),"Error - Check Input")
+IFERROR(IF(OR(Inputs!$C$88=0,Inputs!$C$88="",ISERROR(Inputs!$C$88)),Inputs!$D$88,Inputs!$C$88*Inputs!$K$9*(1+Inputs!$K$12)^B468),"Error - Check Input")
+IFERROR(IF(OR(Inputs!$C$89=0,Inputs!$C$89="",ISERROR(Inputs!$C$89)),Inputs!$D$89,Inputs!$C$89*Inputs!$K$9*(1+Inputs!$K$12)^B468),"Error - Check Input")
+IFERROR(IF(OR(Inputs!$C$90=0,Inputs!$C$90="",ISERROR(Inputs!$C$90)),Inputs!$D$90,Inputs!$C$90*Inputs!$K$9*(1+Inputs!$K$12)^B468),"Error - Check Input")
+IFERROR(IF(OR(Inputs!$C$93=0,Inputs!$C$93="",ISERROR(Inputs!$C$93)),Inputs!$D$93,Inputs!$C$93*Inputs!$K$9*(1+Inputs!$K$12)^B468),"Error - Check Input")</f>
        <v>105348.02703165798</v>
      </c>
      <c r="D468" s="17"/>
    </row>
    <row r="469" spans="2:4" x14ac:dyDescent="0.35">
      <c r="B469" s="18">
        <v>278</v>
      </c>
      <c r="C469" s="6">
        <f>IFERROR(IF(OR(Inputs!$C$84=0,Inputs!$C$84="",ISERROR(Inputs!$C$84)),Inputs!$D$84,Inputs!$C$84*Inputs!$K$9*(1+Inputs!$K$12)^B469),"Error - Check Input")
+IFERROR(IF(OR(Inputs!$C$85=0,Inputs!$C$85="",ISERROR(Inputs!$C$85)),Inputs!$D$85,Inputs!$C$85*Inputs!$K$9*(1+Inputs!$K$12)^B469),"Error - Check Input")
+IFERROR(IF(OR(Inputs!$C$86=0,Inputs!$C$86="",ISERROR(Inputs!$C$86)),Inputs!$D$86,Inputs!$C$86*Inputs!$K$9*(1+Inputs!$K$12)^B469),"Error - Check Input")
+IFERROR(IF(OR(Inputs!$C$87=0,Inputs!$C$87="",ISERROR(Inputs!$C$87)),Inputs!$D$87,Inputs!$C$87*Inputs!$K$9*(1+Inputs!$K$12)^B469),"Error - Check Input")
+IFERROR(IF(OR(Inputs!$C$88=0,Inputs!$C$88="",ISERROR(Inputs!$C$88)),Inputs!$D$88,Inputs!$C$88*Inputs!$K$9*(1+Inputs!$K$12)^B469),"Error - Check Input")
+IFERROR(IF(OR(Inputs!$C$89=0,Inputs!$C$89="",ISERROR(Inputs!$C$89)),Inputs!$D$89,Inputs!$C$89*Inputs!$K$9*(1+Inputs!$K$12)^B469),"Error - Check Input")
+IFERROR(IF(OR(Inputs!$C$90=0,Inputs!$C$90="",ISERROR(Inputs!$C$90)),Inputs!$D$90,Inputs!$C$90*Inputs!$K$9*(1+Inputs!$K$12)^B469),"Error - Check Input")
+IFERROR(IF(OR(Inputs!$C$93=0,Inputs!$C$93="",ISERROR(Inputs!$C$93)),Inputs!$D$93,Inputs!$C$93*Inputs!$K$9*(1+Inputs!$K$12)^B469),"Error - Check Input")</f>
        <v>105758.89437712167</v>
      </c>
      <c r="D469" s="17"/>
    </row>
    <row r="470" spans="2:4" x14ac:dyDescent="0.35">
      <c r="B470" s="18">
        <v>279</v>
      </c>
      <c r="C470" s="6">
        <f>IFERROR(IF(OR(Inputs!$C$84=0,Inputs!$C$84="",ISERROR(Inputs!$C$84)),Inputs!$D$84,Inputs!$C$84*Inputs!$K$9*(1+Inputs!$K$12)^B470),"Error - Check Input")
+IFERROR(IF(OR(Inputs!$C$85=0,Inputs!$C$85="",ISERROR(Inputs!$C$85)),Inputs!$D$85,Inputs!$C$85*Inputs!$K$9*(1+Inputs!$K$12)^B470),"Error - Check Input")
+IFERROR(IF(OR(Inputs!$C$86=0,Inputs!$C$86="",ISERROR(Inputs!$C$86)),Inputs!$D$86,Inputs!$C$86*Inputs!$K$9*(1+Inputs!$K$12)^B470),"Error - Check Input")
+IFERROR(IF(OR(Inputs!$C$87=0,Inputs!$C$87="",ISERROR(Inputs!$C$87)),Inputs!$D$87,Inputs!$C$87*Inputs!$K$9*(1+Inputs!$K$12)^B470),"Error - Check Input")
+IFERROR(IF(OR(Inputs!$C$88=0,Inputs!$C$88="",ISERROR(Inputs!$C$88)),Inputs!$D$88,Inputs!$C$88*Inputs!$K$9*(1+Inputs!$K$12)^B470),"Error - Check Input")
+IFERROR(IF(OR(Inputs!$C$89=0,Inputs!$C$89="",ISERROR(Inputs!$C$89)),Inputs!$D$89,Inputs!$C$89*Inputs!$K$9*(1+Inputs!$K$12)^B470),"Error - Check Input")
+IFERROR(IF(OR(Inputs!$C$90=0,Inputs!$C$90="",ISERROR(Inputs!$C$90)),Inputs!$D$90,Inputs!$C$90*Inputs!$K$9*(1+Inputs!$K$12)^B470),"Error - Check Input")
+IFERROR(IF(OR(Inputs!$C$93=0,Inputs!$C$93="",ISERROR(Inputs!$C$93)),Inputs!$D$93,Inputs!$C$93*Inputs!$K$9*(1+Inputs!$K$12)^B470),"Error - Check Input")</f>
        <v>106171.43564700945</v>
      </c>
      <c r="D470" s="17"/>
    </row>
    <row r="471" spans="2:4" x14ac:dyDescent="0.35">
      <c r="B471" s="18">
        <v>280</v>
      </c>
      <c r="C471" s="6">
        <f>IFERROR(IF(OR(Inputs!$C$84=0,Inputs!$C$84="",ISERROR(Inputs!$C$84)),Inputs!$D$84,Inputs!$C$84*Inputs!$K$9*(1+Inputs!$K$12)^B471),"Error - Check Input")
+IFERROR(IF(OR(Inputs!$C$85=0,Inputs!$C$85="",ISERROR(Inputs!$C$85)),Inputs!$D$85,Inputs!$C$85*Inputs!$K$9*(1+Inputs!$K$12)^B471),"Error - Check Input")
+IFERROR(IF(OR(Inputs!$C$86=0,Inputs!$C$86="",ISERROR(Inputs!$C$86)),Inputs!$D$86,Inputs!$C$86*Inputs!$K$9*(1+Inputs!$K$12)^B471),"Error - Check Input")
+IFERROR(IF(OR(Inputs!$C$87=0,Inputs!$C$87="",ISERROR(Inputs!$C$87)),Inputs!$D$87,Inputs!$C$87*Inputs!$K$9*(1+Inputs!$K$12)^B471),"Error - Check Input")
+IFERROR(IF(OR(Inputs!$C$88=0,Inputs!$C$88="",ISERROR(Inputs!$C$88)),Inputs!$D$88,Inputs!$C$88*Inputs!$K$9*(1+Inputs!$K$12)^B471),"Error - Check Input")
+IFERROR(IF(OR(Inputs!$C$89=0,Inputs!$C$89="",ISERROR(Inputs!$C$89)),Inputs!$D$89,Inputs!$C$89*Inputs!$K$9*(1+Inputs!$K$12)^B471),"Error - Check Input")
+IFERROR(IF(OR(Inputs!$C$90=0,Inputs!$C$90="",ISERROR(Inputs!$C$90)),Inputs!$D$90,Inputs!$C$90*Inputs!$K$9*(1+Inputs!$K$12)^B471),"Error - Check Input")
+IFERROR(IF(OR(Inputs!$C$93=0,Inputs!$C$93="",ISERROR(Inputs!$C$93)),Inputs!$D$93,Inputs!$C$93*Inputs!$K$9*(1+Inputs!$K$12)^B471),"Error - Check Input")</f>
        <v>106585.65766109661</v>
      </c>
      <c r="D471" s="17"/>
    </row>
    <row r="472" spans="2:4" x14ac:dyDescent="0.35">
      <c r="B472" s="18">
        <v>281</v>
      </c>
      <c r="C472" s="6">
        <f>IFERROR(IF(OR(Inputs!$C$84=0,Inputs!$C$84="",ISERROR(Inputs!$C$84)),Inputs!$D$84,Inputs!$C$84*Inputs!$K$9*(1+Inputs!$K$12)^B472),"Error - Check Input")
+IFERROR(IF(OR(Inputs!$C$85=0,Inputs!$C$85="",ISERROR(Inputs!$C$85)),Inputs!$D$85,Inputs!$C$85*Inputs!$K$9*(1+Inputs!$K$12)^B472),"Error - Check Input")
+IFERROR(IF(OR(Inputs!$C$86=0,Inputs!$C$86="",ISERROR(Inputs!$C$86)),Inputs!$D$86,Inputs!$C$86*Inputs!$K$9*(1+Inputs!$K$12)^B472),"Error - Check Input")
+IFERROR(IF(OR(Inputs!$C$87=0,Inputs!$C$87="",ISERROR(Inputs!$C$87)),Inputs!$D$87,Inputs!$C$87*Inputs!$K$9*(1+Inputs!$K$12)^B472),"Error - Check Input")
+IFERROR(IF(OR(Inputs!$C$88=0,Inputs!$C$88="",ISERROR(Inputs!$C$88)),Inputs!$D$88,Inputs!$C$88*Inputs!$K$9*(1+Inputs!$K$12)^B472),"Error - Check Input")
+IFERROR(IF(OR(Inputs!$C$89=0,Inputs!$C$89="",ISERROR(Inputs!$C$89)),Inputs!$D$89,Inputs!$C$89*Inputs!$K$9*(1+Inputs!$K$12)^B472),"Error - Check Input")
+IFERROR(IF(OR(Inputs!$C$90=0,Inputs!$C$90="",ISERROR(Inputs!$C$90)),Inputs!$D$90,Inputs!$C$90*Inputs!$K$9*(1+Inputs!$K$12)^B472),"Error - Check Input")
+IFERROR(IF(OR(Inputs!$C$93=0,Inputs!$C$93="",ISERROR(Inputs!$C$93)),Inputs!$D$93,Inputs!$C$93*Inputs!$K$9*(1+Inputs!$K$12)^B472),"Error - Check Input")</f>
        <v>107001.56726694308</v>
      </c>
      <c r="D472" s="17"/>
    </row>
    <row r="473" spans="2:4" x14ac:dyDescent="0.35">
      <c r="B473" s="18">
        <v>282</v>
      </c>
      <c r="C473" s="6">
        <f>IFERROR(IF(OR(Inputs!$C$84=0,Inputs!$C$84="",ISERROR(Inputs!$C$84)),Inputs!$D$84,Inputs!$C$84*Inputs!$K$9*(1+Inputs!$K$12)^B473),"Error - Check Input")
+IFERROR(IF(OR(Inputs!$C$85=0,Inputs!$C$85="",ISERROR(Inputs!$C$85)),Inputs!$D$85,Inputs!$C$85*Inputs!$K$9*(1+Inputs!$K$12)^B473),"Error - Check Input")
+IFERROR(IF(OR(Inputs!$C$86=0,Inputs!$C$86="",ISERROR(Inputs!$C$86)),Inputs!$D$86,Inputs!$C$86*Inputs!$K$9*(1+Inputs!$K$12)^B473),"Error - Check Input")
+IFERROR(IF(OR(Inputs!$C$87=0,Inputs!$C$87="",ISERROR(Inputs!$C$87)),Inputs!$D$87,Inputs!$C$87*Inputs!$K$9*(1+Inputs!$K$12)^B473),"Error - Check Input")
+IFERROR(IF(OR(Inputs!$C$88=0,Inputs!$C$88="",ISERROR(Inputs!$C$88)),Inputs!$D$88,Inputs!$C$88*Inputs!$K$9*(1+Inputs!$K$12)^B473),"Error - Check Input")
+IFERROR(IF(OR(Inputs!$C$89=0,Inputs!$C$89="",ISERROR(Inputs!$C$89)),Inputs!$D$89,Inputs!$C$89*Inputs!$K$9*(1+Inputs!$K$12)^B473),"Error - Check Input")
+IFERROR(IF(OR(Inputs!$C$90=0,Inputs!$C$90="",ISERROR(Inputs!$C$90)),Inputs!$D$90,Inputs!$C$90*Inputs!$K$9*(1+Inputs!$K$12)^B473),"Error - Check Input")
+IFERROR(IF(OR(Inputs!$C$93=0,Inputs!$C$93="",ISERROR(Inputs!$C$93)),Inputs!$D$93,Inputs!$C$93*Inputs!$K$9*(1+Inputs!$K$12)^B473),"Error - Check Input")</f>
        <v>107419.17134000656</v>
      </c>
      <c r="D473" s="17"/>
    </row>
    <row r="474" spans="2:4" x14ac:dyDescent="0.35">
      <c r="B474" s="18">
        <v>283</v>
      </c>
      <c r="C474" s="6">
        <f>IFERROR(IF(OR(Inputs!$C$84=0,Inputs!$C$84="",ISERROR(Inputs!$C$84)),Inputs!$D$84,Inputs!$C$84*Inputs!$K$9*(1+Inputs!$K$12)^B474),"Error - Check Input")
+IFERROR(IF(OR(Inputs!$C$85=0,Inputs!$C$85="",ISERROR(Inputs!$C$85)),Inputs!$D$85,Inputs!$C$85*Inputs!$K$9*(1+Inputs!$K$12)^B474),"Error - Check Input")
+IFERROR(IF(OR(Inputs!$C$86=0,Inputs!$C$86="",ISERROR(Inputs!$C$86)),Inputs!$D$86,Inputs!$C$86*Inputs!$K$9*(1+Inputs!$K$12)^B474),"Error - Check Input")
+IFERROR(IF(OR(Inputs!$C$87=0,Inputs!$C$87="",ISERROR(Inputs!$C$87)),Inputs!$D$87,Inputs!$C$87*Inputs!$K$9*(1+Inputs!$K$12)^B474),"Error - Check Input")
+IFERROR(IF(OR(Inputs!$C$88=0,Inputs!$C$88="",ISERROR(Inputs!$C$88)),Inputs!$D$88,Inputs!$C$88*Inputs!$K$9*(1+Inputs!$K$12)^B474),"Error - Check Input")
+IFERROR(IF(OR(Inputs!$C$89=0,Inputs!$C$89="",ISERROR(Inputs!$C$89)),Inputs!$D$89,Inputs!$C$89*Inputs!$K$9*(1+Inputs!$K$12)^B474),"Error - Check Input")
+IFERROR(IF(OR(Inputs!$C$90=0,Inputs!$C$90="",ISERROR(Inputs!$C$90)),Inputs!$D$90,Inputs!$C$90*Inputs!$K$9*(1+Inputs!$K$12)^B474),"Error - Check Input")
+IFERROR(IF(OR(Inputs!$C$93=0,Inputs!$C$93="",ISERROR(Inputs!$C$93)),Inputs!$D$93,Inputs!$C$93*Inputs!$K$9*(1+Inputs!$K$12)^B474),"Error - Check Input")</f>
        <v>107838.47678375625</v>
      </c>
      <c r="D474" s="17"/>
    </row>
    <row r="475" spans="2:4" x14ac:dyDescent="0.35">
      <c r="B475" s="18">
        <v>284</v>
      </c>
      <c r="C475" s="6">
        <f>IFERROR(IF(OR(Inputs!$C$84=0,Inputs!$C$84="",ISERROR(Inputs!$C$84)),Inputs!$D$84,Inputs!$C$84*Inputs!$K$9*(1+Inputs!$K$12)^B475),"Error - Check Input")
+IFERROR(IF(OR(Inputs!$C$85=0,Inputs!$C$85="",ISERROR(Inputs!$C$85)),Inputs!$D$85,Inputs!$C$85*Inputs!$K$9*(1+Inputs!$K$12)^B475),"Error - Check Input")
+IFERROR(IF(OR(Inputs!$C$86=0,Inputs!$C$86="",ISERROR(Inputs!$C$86)),Inputs!$D$86,Inputs!$C$86*Inputs!$K$9*(1+Inputs!$K$12)^B475),"Error - Check Input")
+IFERROR(IF(OR(Inputs!$C$87=0,Inputs!$C$87="",ISERROR(Inputs!$C$87)),Inputs!$D$87,Inputs!$C$87*Inputs!$K$9*(1+Inputs!$K$12)^B475),"Error - Check Input")
+IFERROR(IF(OR(Inputs!$C$88=0,Inputs!$C$88="",ISERROR(Inputs!$C$88)),Inputs!$D$88,Inputs!$C$88*Inputs!$K$9*(1+Inputs!$K$12)^B475),"Error - Check Input")
+IFERROR(IF(OR(Inputs!$C$89=0,Inputs!$C$89="",ISERROR(Inputs!$C$89)),Inputs!$D$89,Inputs!$C$89*Inputs!$K$9*(1+Inputs!$K$12)^B475),"Error - Check Input")
+IFERROR(IF(OR(Inputs!$C$90=0,Inputs!$C$90="",ISERROR(Inputs!$C$90)),Inputs!$D$90,Inputs!$C$90*Inputs!$K$9*(1+Inputs!$K$12)^B475),"Error - Check Input")
+IFERROR(IF(OR(Inputs!$C$93=0,Inputs!$C$93="",ISERROR(Inputs!$C$93)),Inputs!$D$93,Inputs!$C$93*Inputs!$K$9*(1+Inputs!$K$12)^B475),"Error - Check Input")</f>
        <v>108259.49052978697</v>
      </c>
      <c r="D475" s="17"/>
    </row>
    <row r="476" spans="2:4" x14ac:dyDescent="0.35">
      <c r="B476" s="18">
        <v>285</v>
      </c>
      <c r="C476" s="6">
        <f>IFERROR(IF(OR(Inputs!$C$84=0,Inputs!$C$84="",ISERROR(Inputs!$C$84)),Inputs!$D$84,Inputs!$C$84*Inputs!$K$9*(1+Inputs!$K$12)^B476),"Error - Check Input")
+IFERROR(IF(OR(Inputs!$C$85=0,Inputs!$C$85="",ISERROR(Inputs!$C$85)),Inputs!$D$85,Inputs!$C$85*Inputs!$K$9*(1+Inputs!$K$12)^B476),"Error - Check Input")
+IFERROR(IF(OR(Inputs!$C$86=0,Inputs!$C$86="",ISERROR(Inputs!$C$86)),Inputs!$D$86,Inputs!$C$86*Inputs!$K$9*(1+Inputs!$K$12)^B476),"Error - Check Input")
+IFERROR(IF(OR(Inputs!$C$87=0,Inputs!$C$87="",ISERROR(Inputs!$C$87)),Inputs!$D$87,Inputs!$C$87*Inputs!$K$9*(1+Inputs!$K$12)^B476),"Error - Check Input")
+IFERROR(IF(OR(Inputs!$C$88=0,Inputs!$C$88="",ISERROR(Inputs!$C$88)),Inputs!$D$88,Inputs!$C$88*Inputs!$K$9*(1+Inputs!$K$12)^B476),"Error - Check Input")
+IFERROR(IF(OR(Inputs!$C$89=0,Inputs!$C$89="",ISERROR(Inputs!$C$89)),Inputs!$D$89,Inputs!$C$89*Inputs!$K$9*(1+Inputs!$K$12)^B476),"Error - Check Input")
+IFERROR(IF(OR(Inputs!$C$90=0,Inputs!$C$90="",ISERROR(Inputs!$C$90)),Inputs!$D$90,Inputs!$C$90*Inputs!$K$9*(1+Inputs!$K$12)^B476),"Error - Check Input")
+IFERROR(IF(OR(Inputs!$C$93=0,Inputs!$C$93="",ISERROR(Inputs!$C$93)),Inputs!$D$93,Inputs!$C$93*Inputs!$K$9*(1+Inputs!$K$12)^B476),"Error - Check Input")</f>
        <v>108682.21953793362</v>
      </c>
      <c r="D476" s="17"/>
    </row>
    <row r="477" spans="2:4" x14ac:dyDescent="0.35">
      <c r="B477" s="18">
        <v>286</v>
      </c>
      <c r="C477" s="6">
        <f>IFERROR(IF(OR(Inputs!$C$84=0,Inputs!$C$84="",ISERROR(Inputs!$C$84)),Inputs!$D$84,Inputs!$C$84*Inputs!$K$9*(1+Inputs!$K$12)^B477),"Error - Check Input")
+IFERROR(IF(OR(Inputs!$C$85=0,Inputs!$C$85="",ISERROR(Inputs!$C$85)),Inputs!$D$85,Inputs!$C$85*Inputs!$K$9*(1+Inputs!$K$12)^B477),"Error - Check Input")
+IFERROR(IF(OR(Inputs!$C$86=0,Inputs!$C$86="",ISERROR(Inputs!$C$86)),Inputs!$D$86,Inputs!$C$86*Inputs!$K$9*(1+Inputs!$K$12)^B477),"Error - Check Input")
+IFERROR(IF(OR(Inputs!$C$87=0,Inputs!$C$87="",ISERROR(Inputs!$C$87)),Inputs!$D$87,Inputs!$C$87*Inputs!$K$9*(1+Inputs!$K$12)^B477),"Error - Check Input")
+IFERROR(IF(OR(Inputs!$C$88=0,Inputs!$C$88="",ISERROR(Inputs!$C$88)),Inputs!$D$88,Inputs!$C$88*Inputs!$K$9*(1+Inputs!$K$12)^B477),"Error - Check Input")
+IFERROR(IF(OR(Inputs!$C$89=0,Inputs!$C$89="",ISERROR(Inputs!$C$89)),Inputs!$D$89,Inputs!$C$89*Inputs!$K$9*(1+Inputs!$K$12)^B477),"Error - Check Input")
+IFERROR(IF(OR(Inputs!$C$90=0,Inputs!$C$90="",ISERROR(Inputs!$C$90)),Inputs!$D$90,Inputs!$C$90*Inputs!$K$9*(1+Inputs!$K$12)^B477),"Error - Check Input")
+IFERROR(IF(OR(Inputs!$C$93=0,Inputs!$C$93="",ISERROR(Inputs!$C$93)),Inputs!$D$93,Inputs!$C$93*Inputs!$K$9*(1+Inputs!$K$12)^B477),"Error - Check Input")</f>
        <v>109106.67079638639</v>
      </c>
      <c r="D477" s="17"/>
    </row>
    <row r="478" spans="2:4" x14ac:dyDescent="0.35">
      <c r="B478" s="18">
        <v>287</v>
      </c>
      <c r="C478" s="6">
        <f>IFERROR(IF(OR(Inputs!$C$84=0,Inputs!$C$84="",ISERROR(Inputs!$C$84)),Inputs!$D$84,Inputs!$C$84*Inputs!$K$9*(1+Inputs!$K$12)^B478),"Error - Check Input")
+IFERROR(IF(OR(Inputs!$C$85=0,Inputs!$C$85="",ISERROR(Inputs!$C$85)),Inputs!$D$85,Inputs!$C$85*Inputs!$K$9*(1+Inputs!$K$12)^B478),"Error - Check Input")
+IFERROR(IF(OR(Inputs!$C$86=0,Inputs!$C$86="",ISERROR(Inputs!$C$86)),Inputs!$D$86,Inputs!$C$86*Inputs!$K$9*(1+Inputs!$K$12)^B478),"Error - Check Input")
+IFERROR(IF(OR(Inputs!$C$87=0,Inputs!$C$87="",ISERROR(Inputs!$C$87)),Inputs!$D$87,Inputs!$C$87*Inputs!$K$9*(1+Inputs!$K$12)^B478),"Error - Check Input")
+IFERROR(IF(OR(Inputs!$C$88=0,Inputs!$C$88="",ISERROR(Inputs!$C$88)),Inputs!$D$88,Inputs!$C$88*Inputs!$K$9*(1+Inputs!$K$12)^B478),"Error - Check Input")
+IFERROR(IF(OR(Inputs!$C$89=0,Inputs!$C$89="",ISERROR(Inputs!$C$89)),Inputs!$D$89,Inputs!$C$89*Inputs!$K$9*(1+Inputs!$K$12)^B478),"Error - Check Input")
+IFERROR(IF(OR(Inputs!$C$90=0,Inputs!$C$90="",ISERROR(Inputs!$C$90)),Inputs!$D$90,Inputs!$C$90*Inputs!$K$9*(1+Inputs!$K$12)^B478),"Error - Check Input")
+IFERROR(IF(OR(Inputs!$C$93=0,Inputs!$C$93="",ISERROR(Inputs!$C$93)),Inputs!$D$93,Inputs!$C$93*Inputs!$K$9*(1+Inputs!$K$12)^B478),"Error - Check Input")</f>
        <v>109532.85132180623</v>
      </c>
      <c r="D478" s="17"/>
    </row>
    <row r="479" spans="2:4" x14ac:dyDescent="0.35">
      <c r="B479" s="18">
        <v>288</v>
      </c>
      <c r="C479" s="6">
        <f>IFERROR(IF(OR(Inputs!$C$84=0,Inputs!$C$84="",ISERROR(Inputs!$C$84)),Inputs!$D$84,Inputs!$C$84*Inputs!$K$9*(1+Inputs!$K$12)^B479),"Error - Check Input")
+IFERROR(IF(OR(Inputs!$C$85=0,Inputs!$C$85="",ISERROR(Inputs!$C$85)),Inputs!$D$85,Inputs!$C$85*Inputs!$K$9*(1+Inputs!$K$12)^B479),"Error - Check Input")
+IFERROR(IF(OR(Inputs!$C$86=0,Inputs!$C$86="",ISERROR(Inputs!$C$86)),Inputs!$D$86,Inputs!$C$86*Inputs!$K$9*(1+Inputs!$K$12)^B479),"Error - Check Input")
+IFERROR(IF(OR(Inputs!$C$87=0,Inputs!$C$87="",ISERROR(Inputs!$C$87)),Inputs!$D$87,Inputs!$C$87*Inputs!$K$9*(1+Inputs!$K$12)^B479),"Error - Check Input")
+IFERROR(IF(OR(Inputs!$C$88=0,Inputs!$C$88="",ISERROR(Inputs!$C$88)),Inputs!$D$88,Inputs!$C$88*Inputs!$K$9*(1+Inputs!$K$12)^B479),"Error - Check Input")
+IFERROR(IF(OR(Inputs!$C$89=0,Inputs!$C$89="",ISERROR(Inputs!$C$89)),Inputs!$D$89,Inputs!$C$89*Inputs!$K$9*(1+Inputs!$K$12)^B479),"Error - Check Input")
+IFERROR(IF(OR(Inputs!$C$90=0,Inputs!$C$90="",ISERROR(Inputs!$C$90)),Inputs!$D$90,Inputs!$C$90*Inputs!$K$9*(1+Inputs!$K$12)^B479),"Error - Check Input")
+IFERROR(IF(OR(Inputs!$C$93=0,Inputs!$C$93="",ISERROR(Inputs!$C$93)),Inputs!$D$93,Inputs!$C$93*Inputs!$K$9*(1+Inputs!$K$12)^B479),"Error - Check Input")</f>
        <v>109960.76815944082</v>
      </c>
      <c r="D479" s="17"/>
    </row>
    <row r="480" spans="2:4" x14ac:dyDescent="0.35">
      <c r="B480" s="18">
        <v>289</v>
      </c>
      <c r="C480" s="6">
        <f>IFERROR(IF(OR(Inputs!$C$84=0,Inputs!$C$84="",ISERROR(Inputs!$C$84)),Inputs!$D$84,Inputs!$C$84*Inputs!$K$9*(1+Inputs!$K$12)^B480),"Error - Check Input")
+IFERROR(IF(OR(Inputs!$C$85=0,Inputs!$C$85="",ISERROR(Inputs!$C$85)),Inputs!$D$85,Inputs!$C$85*Inputs!$K$9*(1+Inputs!$K$12)^B480),"Error - Check Input")
+IFERROR(IF(OR(Inputs!$C$86=0,Inputs!$C$86="",ISERROR(Inputs!$C$86)),Inputs!$D$86,Inputs!$C$86*Inputs!$K$9*(1+Inputs!$K$12)^B480),"Error - Check Input")
+IFERROR(IF(OR(Inputs!$C$87=0,Inputs!$C$87="",ISERROR(Inputs!$C$87)),Inputs!$D$87,Inputs!$C$87*Inputs!$K$9*(1+Inputs!$K$12)^B480),"Error - Check Input")
+IFERROR(IF(OR(Inputs!$C$88=0,Inputs!$C$88="",ISERROR(Inputs!$C$88)),Inputs!$D$88,Inputs!$C$88*Inputs!$K$9*(1+Inputs!$K$12)^B480),"Error - Check Input")
+IFERROR(IF(OR(Inputs!$C$89=0,Inputs!$C$89="",ISERROR(Inputs!$C$89)),Inputs!$D$89,Inputs!$C$89*Inputs!$K$9*(1+Inputs!$K$12)^B480),"Error - Check Input")
+IFERROR(IF(OR(Inputs!$C$90=0,Inputs!$C$90="",ISERROR(Inputs!$C$90)),Inputs!$D$90,Inputs!$C$90*Inputs!$K$9*(1+Inputs!$K$12)^B480),"Error - Check Input")
+IFERROR(IF(OR(Inputs!$C$93=0,Inputs!$C$93="",ISERROR(Inputs!$C$93)),Inputs!$D$93,Inputs!$C$93*Inputs!$K$9*(1+Inputs!$K$12)^B480),"Error - Check Input")</f>
        <v>110390.42838324101</v>
      </c>
      <c r="D480" s="17"/>
    </row>
    <row r="481" spans="2:4" x14ac:dyDescent="0.35">
      <c r="B481" s="18">
        <v>290</v>
      </c>
      <c r="C481" s="6">
        <f>IFERROR(IF(OR(Inputs!$C$84=0,Inputs!$C$84="",ISERROR(Inputs!$C$84)),Inputs!$D$84,Inputs!$C$84*Inputs!$K$9*(1+Inputs!$K$12)^B481),"Error - Check Input")
+IFERROR(IF(OR(Inputs!$C$85=0,Inputs!$C$85="",ISERROR(Inputs!$C$85)),Inputs!$D$85,Inputs!$C$85*Inputs!$K$9*(1+Inputs!$K$12)^B481),"Error - Check Input")
+IFERROR(IF(OR(Inputs!$C$86=0,Inputs!$C$86="",ISERROR(Inputs!$C$86)),Inputs!$D$86,Inputs!$C$86*Inputs!$K$9*(1+Inputs!$K$12)^B481),"Error - Check Input")
+IFERROR(IF(OR(Inputs!$C$87=0,Inputs!$C$87="",ISERROR(Inputs!$C$87)),Inputs!$D$87,Inputs!$C$87*Inputs!$K$9*(1+Inputs!$K$12)^B481),"Error - Check Input")
+IFERROR(IF(OR(Inputs!$C$88=0,Inputs!$C$88="",ISERROR(Inputs!$C$88)),Inputs!$D$88,Inputs!$C$88*Inputs!$K$9*(1+Inputs!$K$12)^B481),"Error - Check Input")
+IFERROR(IF(OR(Inputs!$C$89=0,Inputs!$C$89="",ISERROR(Inputs!$C$89)),Inputs!$D$89,Inputs!$C$89*Inputs!$K$9*(1+Inputs!$K$12)^B481),"Error - Check Input")
+IFERROR(IF(OR(Inputs!$C$90=0,Inputs!$C$90="",ISERROR(Inputs!$C$90)),Inputs!$D$90,Inputs!$C$90*Inputs!$K$9*(1+Inputs!$K$12)^B481),"Error - Check Input")
+IFERROR(IF(OR(Inputs!$C$93=0,Inputs!$C$93="",ISERROR(Inputs!$C$93)),Inputs!$D$93,Inputs!$C$93*Inputs!$K$9*(1+Inputs!$K$12)^B481),"Error - Check Input")</f>
        <v>110821.83909597789</v>
      </c>
      <c r="D481" s="17"/>
    </row>
    <row r="482" spans="2:4" x14ac:dyDescent="0.35">
      <c r="B482" s="18">
        <v>291</v>
      </c>
      <c r="C482" s="6">
        <f>IFERROR(IF(OR(Inputs!$C$84=0,Inputs!$C$84="",ISERROR(Inputs!$C$84)),Inputs!$D$84,Inputs!$C$84*Inputs!$K$9*(1+Inputs!$K$12)^B482),"Error - Check Input")
+IFERROR(IF(OR(Inputs!$C$85=0,Inputs!$C$85="",ISERROR(Inputs!$C$85)),Inputs!$D$85,Inputs!$C$85*Inputs!$K$9*(1+Inputs!$K$12)^B482),"Error - Check Input")
+IFERROR(IF(OR(Inputs!$C$86=0,Inputs!$C$86="",ISERROR(Inputs!$C$86)),Inputs!$D$86,Inputs!$C$86*Inputs!$K$9*(1+Inputs!$K$12)^B482),"Error - Check Input")
+IFERROR(IF(OR(Inputs!$C$87=0,Inputs!$C$87="",ISERROR(Inputs!$C$87)),Inputs!$D$87,Inputs!$C$87*Inputs!$K$9*(1+Inputs!$K$12)^B482),"Error - Check Input")
+IFERROR(IF(OR(Inputs!$C$88=0,Inputs!$C$88="",ISERROR(Inputs!$C$88)),Inputs!$D$88,Inputs!$C$88*Inputs!$K$9*(1+Inputs!$K$12)^B482),"Error - Check Input")
+IFERROR(IF(OR(Inputs!$C$89=0,Inputs!$C$89="",ISERROR(Inputs!$C$89)),Inputs!$D$89,Inputs!$C$89*Inputs!$K$9*(1+Inputs!$K$12)^B482),"Error - Check Input")
+IFERROR(IF(OR(Inputs!$C$90=0,Inputs!$C$90="",ISERROR(Inputs!$C$90)),Inputs!$D$90,Inputs!$C$90*Inputs!$K$9*(1+Inputs!$K$12)^B482),"Error - Check Input")
+IFERROR(IF(OR(Inputs!$C$93=0,Inputs!$C$93="",ISERROR(Inputs!$C$93)),Inputs!$D$93,Inputs!$C$93*Inputs!$K$9*(1+Inputs!$K$12)^B482),"Error - Check Input")</f>
        <v>111255.00742936006</v>
      </c>
      <c r="D482" s="17"/>
    </row>
    <row r="483" spans="2:4" x14ac:dyDescent="0.35">
      <c r="B483" s="18">
        <v>292</v>
      </c>
      <c r="C483" s="6">
        <f>IFERROR(IF(OR(Inputs!$C$84=0,Inputs!$C$84="",ISERROR(Inputs!$C$84)),Inputs!$D$84,Inputs!$C$84*Inputs!$K$9*(1+Inputs!$K$12)^B483),"Error - Check Input")
+IFERROR(IF(OR(Inputs!$C$85=0,Inputs!$C$85="",ISERROR(Inputs!$C$85)),Inputs!$D$85,Inputs!$C$85*Inputs!$K$9*(1+Inputs!$K$12)^B483),"Error - Check Input")
+IFERROR(IF(OR(Inputs!$C$86=0,Inputs!$C$86="",ISERROR(Inputs!$C$86)),Inputs!$D$86,Inputs!$C$86*Inputs!$K$9*(1+Inputs!$K$12)^B483),"Error - Check Input")
+IFERROR(IF(OR(Inputs!$C$87=0,Inputs!$C$87="",ISERROR(Inputs!$C$87)),Inputs!$D$87,Inputs!$C$87*Inputs!$K$9*(1+Inputs!$K$12)^B483),"Error - Check Input")
+IFERROR(IF(OR(Inputs!$C$88=0,Inputs!$C$88="",ISERROR(Inputs!$C$88)),Inputs!$D$88,Inputs!$C$88*Inputs!$K$9*(1+Inputs!$K$12)^B483),"Error - Check Input")
+IFERROR(IF(OR(Inputs!$C$89=0,Inputs!$C$89="",ISERROR(Inputs!$C$89)),Inputs!$D$89,Inputs!$C$89*Inputs!$K$9*(1+Inputs!$K$12)^B483),"Error - Check Input")
+IFERROR(IF(OR(Inputs!$C$90=0,Inputs!$C$90="",ISERROR(Inputs!$C$90)),Inputs!$D$90,Inputs!$C$90*Inputs!$K$9*(1+Inputs!$K$12)^B483),"Error - Check Input")
+IFERROR(IF(OR(Inputs!$C$93=0,Inputs!$C$93="",ISERROR(Inputs!$C$93)),Inputs!$D$93,Inputs!$C$93*Inputs!$K$9*(1+Inputs!$K$12)^B483),"Error - Check Input")</f>
        <v>111689.94054415158</v>
      </c>
      <c r="D483" s="17"/>
    </row>
    <row r="484" spans="2:4" x14ac:dyDescent="0.35">
      <c r="B484" s="18">
        <v>293</v>
      </c>
      <c r="C484" s="6">
        <f>IFERROR(IF(OR(Inputs!$C$84=0,Inputs!$C$84="",ISERROR(Inputs!$C$84)),Inputs!$D$84,Inputs!$C$84*Inputs!$K$9*(1+Inputs!$K$12)^B484),"Error - Check Input")
+IFERROR(IF(OR(Inputs!$C$85=0,Inputs!$C$85="",ISERROR(Inputs!$C$85)),Inputs!$D$85,Inputs!$C$85*Inputs!$K$9*(1+Inputs!$K$12)^B484),"Error - Check Input")
+IFERROR(IF(OR(Inputs!$C$86=0,Inputs!$C$86="",ISERROR(Inputs!$C$86)),Inputs!$D$86,Inputs!$C$86*Inputs!$K$9*(1+Inputs!$K$12)^B484),"Error - Check Input")
+IFERROR(IF(OR(Inputs!$C$87=0,Inputs!$C$87="",ISERROR(Inputs!$C$87)),Inputs!$D$87,Inputs!$C$87*Inputs!$K$9*(1+Inputs!$K$12)^B484),"Error - Check Input")
+IFERROR(IF(OR(Inputs!$C$88=0,Inputs!$C$88="",ISERROR(Inputs!$C$88)),Inputs!$D$88,Inputs!$C$88*Inputs!$K$9*(1+Inputs!$K$12)^B484),"Error - Check Input")
+IFERROR(IF(OR(Inputs!$C$89=0,Inputs!$C$89="",ISERROR(Inputs!$C$89)),Inputs!$D$89,Inputs!$C$89*Inputs!$K$9*(1+Inputs!$K$12)^B484),"Error - Check Input")
+IFERROR(IF(OR(Inputs!$C$90=0,Inputs!$C$90="",ISERROR(Inputs!$C$90)),Inputs!$D$90,Inputs!$C$90*Inputs!$K$9*(1+Inputs!$K$12)^B484),"Error - Check Input")
+IFERROR(IF(OR(Inputs!$C$93=0,Inputs!$C$93="",ISERROR(Inputs!$C$93)),Inputs!$D$93,Inputs!$C$93*Inputs!$K$9*(1+Inputs!$K$12)^B484),"Error - Check Input")</f>
        <v>112126.64563029034</v>
      </c>
      <c r="D484" s="17"/>
    </row>
    <row r="485" spans="2:4" x14ac:dyDescent="0.35">
      <c r="B485" s="18">
        <v>294</v>
      </c>
      <c r="C485" s="6">
        <f>IFERROR(IF(OR(Inputs!$C$84=0,Inputs!$C$84="",ISERROR(Inputs!$C$84)),Inputs!$D$84,Inputs!$C$84*Inputs!$K$9*(1+Inputs!$K$12)^B485),"Error - Check Input")
+IFERROR(IF(OR(Inputs!$C$85=0,Inputs!$C$85="",ISERROR(Inputs!$C$85)),Inputs!$D$85,Inputs!$C$85*Inputs!$K$9*(1+Inputs!$K$12)^B485),"Error - Check Input")
+IFERROR(IF(OR(Inputs!$C$86=0,Inputs!$C$86="",ISERROR(Inputs!$C$86)),Inputs!$D$86,Inputs!$C$86*Inputs!$K$9*(1+Inputs!$K$12)^B485),"Error - Check Input")
+IFERROR(IF(OR(Inputs!$C$87=0,Inputs!$C$87="",ISERROR(Inputs!$C$87)),Inputs!$D$87,Inputs!$C$87*Inputs!$K$9*(1+Inputs!$K$12)^B485),"Error - Check Input")
+IFERROR(IF(OR(Inputs!$C$88=0,Inputs!$C$88="",ISERROR(Inputs!$C$88)),Inputs!$D$88,Inputs!$C$88*Inputs!$K$9*(1+Inputs!$K$12)^B485),"Error - Check Input")
+IFERROR(IF(OR(Inputs!$C$89=0,Inputs!$C$89="",ISERROR(Inputs!$C$89)),Inputs!$D$89,Inputs!$C$89*Inputs!$K$9*(1+Inputs!$K$12)^B485),"Error - Check Input")
+IFERROR(IF(OR(Inputs!$C$90=0,Inputs!$C$90="",ISERROR(Inputs!$C$90)),Inputs!$D$90,Inputs!$C$90*Inputs!$K$9*(1+Inputs!$K$12)^B485),"Error - Check Input")
+IFERROR(IF(OR(Inputs!$C$93=0,Inputs!$C$93="",ISERROR(Inputs!$C$93)),Inputs!$D$93,Inputs!$C$93*Inputs!$K$9*(1+Inputs!$K$12)^B485),"Error - Check Input")</f>
        <v>112565.12990700701</v>
      </c>
      <c r="D485" s="17"/>
    </row>
    <row r="486" spans="2:4" x14ac:dyDescent="0.35">
      <c r="B486" s="18">
        <v>295</v>
      </c>
      <c r="C486" s="6">
        <f>IFERROR(IF(OR(Inputs!$C$84=0,Inputs!$C$84="",ISERROR(Inputs!$C$84)),Inputs!$D$84,Inputs!$C$84*Inputs!$K$9*(1+Inputs!$K$12)^B486),"Error - Check Input")
+IFERROR(IF(OR(Inputs!$C$85=0,Inputs!$C$85="",ISERROR(Inputs!$C$85)),Inputs!$D$85,Inputs!$C$85*Inputs!$K$9*(1+Inputs!$K$12)^B486),"Error - Check Input")
+IFERROR(IF(OR(Inputs!$C$86=0,Inputs!$C$86="",ISERROR(Inputs!$C$86)),Inputs!$D$86,Inputs!$C$86*Inputs!$K$9*(1+Inputs!$K$12)^B486),"Error - Check Input")
+IFERROR(IF(OR(Inputs!$C$87=0,Inputs!$C$87="",ISERROR(Inputs!$C$87)),Inputs!$D$87,Inputs!$C$87*Inputs!$K$9*(1+Inputs!$K$12)^B486),"Error - Check Input")
+IFERROR(IF(OR(Inputs!$C$88=0,Inputs!$C$88="",ISERROR(Inputs!$C$88)),Inputs!$D$88,Inputs!$C$88*Inputs!$K$9*(1+Inputs!$K$12)^B486),"Error - Check Input")
+IFERROR(IF(OR(Inputs!$C$89=0,Inputs!$C$89="",ISERROR(Inputs!$C$89)),Inputs!$D$89,Inputs!$C$89*Inputs!$K$9*(1+Inputs!$K$12)^B486),"Error - Check Input")
+IFERROR(IF(OR(Inputs!$C$90=0,Inputs!$C$90="",ISERROR(Inputs!$C$90)),Inputs!$D$90,Inputs!$C$90*Inputs!$K$9*(1+Inputs!$K$12)^B486),"Error - Check Input")
+IFERROR(IF(OR(Inputs!$C$93=0,Inputs!$C$93="",ISERROR(Inputs!$C$93)),Inputs!$D$93,Inputs!$C$93*Inputs!$K$9*(1+Inputs!$K$12)^B486),"Error - Check Input")</f>
        <v>113005.4006229442</v>
      </c>
      <c r="D486" s="17"/>
    </row>
    <row r="487" spans="2:4" x14ac:dyDescent="0.35">
      <c r="B487" s="18">
        <v>296</v>
      </c>
      <c r="C487" s="6">
        <f>IFERROR(IF(OR(Inputs!$C$84=0,Inputs!$C$84="",ISERROR(Inputs!$C$84)),Inputs!$D$84,Inputs!$C$84*Inputs!$K$9*(1+Inputs!$K$12)^B487),"Error - Check Input")
+IFERROR(IF(OR(Inputs!$C$85=0,Inputs!$C$85="",ISERROR(Inputs!$C$85)),Inputs!$D$85,Inputs!$C$85*Inputs!$K$9*(1+Inputs!$K$12)^B487),"Error - Check Input")
+IFERROR(IF(OR(Inputs!$C$86=0,Inputs!$C$86="",ISERROR(Inputs!$C$86)),Inputs!$D$86,Inputs!$C$86*Inputs!$K$9*(1+Inputs!$K$12)^B487),"Error - Check Input")
+IFERROR(IF(OR(Inputs!$C$87=0,Inputs!$C$87="",ISERROR(Inputs!$C$87)),Inputs!$D$87,Inputs!$C$87*Inputs!$K$9*(1+Inputs!$K$12)^B487),"Error - Check Input")
+IFERROR(IF(OR(Inputs!$C$88=0,Inputs!$C$88="",ISERROR(Inputs!$C$88)),Inputs!$D$88,Inputs!$C$88*Inputs!$K$9*(1+Inputs!$K$12)^B487),"Error - Check Input")
+IFERROR(IF(OR(Inputs!$C$89=0,Inputs!$C$89="",ISERROR(Inputs!$C$89)),Inputs!$D$89,Inputs!$C$89*Inputs!$K$9*(1+Inputs!$K$12)^B487),"Error - Check Input")
+IFERROR(IF(OR(Inputs!$C$90=0,Inputs!$C$90="",ISERROR(Inputs!$C$90)),Inputs!$D$90,Inputs!$C$90*Inputs!$K$9*(1+Inputs!$K$12)^B487),"Error - Check Input")
+IFERROR(IF(OR(Inputs!$C$93=0,Inputs!$C$93="",ISERROR(Inputs!$C$93)),Inputs!$D$93,Inputs!$C$93*Inputs!$K$9*(1+Inputs!$K$12)^B487),"Error - Check Input")</f>
        <v>113447.46505627644</v>
      </c>
      <c r="D487" s="17"/>
    </row>
    <row r="488" spans="2:4" x14ac:dyDescent="0.35">
      <c r="B488" s="18">
        <v>297</v>
      </c>
      <c r="C488" s="6">
        <f>IFERROR(IF(OR(Inputs!$C$84=0,Inputs!$C$84="",ISERROR(Inputs!$C$84)),Inputs!$D$84,Inputs!$C$84*Inputs!$K$9*(1+Inputs!$K$12)^B488),"Error - Check Input")
+IFERROR(IF(OR(Inputs!$C$85=0,Inputs!$C$85="",ISERROR(Inputs!$C$85)),Inputs!$D$85,Inputs!$C$85*Inputs!$K$9*(1+Inputs!$K$12)^B488),"Error - Check Input")
+IFERROR(IF(OR(Inputs!$C$86=0,Inputs!$C$86="",ISERROR(Inputs!$C$86)),Inputs!$D$86,Inputs!$C$86*Inputs!$K$9*(1+Inputs!$K$12)^B488),"Error - Check Input")
+IFERROR(IF(OR(Inputs!$C$87=0,Inputs!$C$87="",ISERROR(Inputs!$C$87)),Inputs!$D$87,Inputs!$C$87*Inputs!$K$9*(1+Inputs!$K$12)^B488),"Error - Check Input")
+IFERROR(IF(OR(Inputs!$C$88=0,Inputs!$C$88="",ISERROR(Inputs!$C$88)),Inputs!$D$88,Inputs!$C$88*Inputs!$K$9*(1+Inputs!$K$12)^B488),"Error - Check Input")
+IFERROR(IF(OR(Inputs!$C$89=0,Inputs!$C$89="",ISERROR(Inputs!$C$89)),Inputs!$D$89,Inputs!$C$89*Inputs!$K$9*(1+Inputs!$K$12)^B488),"Error - Check Input")
+IFERROR(IF(OR(Inputs!$C$90=0,Inputs!$C$90="",ISERROR(Inputs!$C$90)),Inputs!$D$90,Inputs!$C$90*Inputs!$K$9*(1+Inputs!$K$12)^B488),"Error - Check Input")
+IFERROR(IF(OR(Inputs!$C$93=0,Inputs!$C$93="",ISERROR(Inputs!$C$93)),Inputs!$D$93,Inputs!$C$93*Inputs!$K$9*(1+Inputs!$K$12)^B488),"Error - Check Input")</f>
        <v>113891.33051483044</v>
      </c>
      <c r="D488" s="17"/>
    </row>
    <row r="489" spans="2:4" x14ac:dyDescent="0.35">
      <c r="B489" s="18">
        <v>298</v>
      </c>
      <c r="C489" s="6">
        <f>IFERROR(IF(OR(Inputs!$C$84=0,Inputs!$C$84="",ISERROR(Inputs!$C$84)),Inputs!$D$84,Inputs!$C$84*Inputs!$K$9*(1+Inputs!$K$12)^B489),"Error - Check Input")
+IFERROR(IF(OR(Inputs!$C$85=0,Inputs!$C$85="",ISERROR(Inputs!$C$85)),Inputs!$D$85,Inputs!$C$85*Inputs!$K$9*(1+Inputs!$K$12)^B489),"Error - Check Input")
+IFERROR(IF(OR(Inputs!$C$86=0,Inputs!$C$86="",ISERROR(Inputs!$C$86)),Inputs!$D$86,Inputs!$C$86*Inputs!$K$9*(1+Inputs!$K$12)^B489),"Error - Check Input")
+IFERROR(IF(OR(Inputs!$C$87=0,Inputs!$C$87="",ISERROR(Inputs!$C$87)),Inputs!$D$87,Inputs!$C$87*Inputs!$K$9*(1+Inputs!$K$12)^B489),"Error - Check Input")
+IFERROR(IF(OR(Inputs!$C$88=0,Inputs!$C$88="",ISERROR(Inputs!$C$88)),Inputs!$D$88,Inputs!$C$88*Inputs!$K$9*(1+Inputs!$K$12)^B489),"Error - Check Input")
+IFERROR(IF(OR(Inputs!$C$89=0,Inputs!$C$89="",ISERROR(Inputs!$C$89)),Inputs!$D$89,Inputs!$C$89*Inputs!$K$9*(1+Inputs!$K$12)^B489),"Error - Check Input")
+IFERROR(IF(OR(Inputs!$C$90=0,Inputs!$C$90="",ISERROR(Inputs!$C$90)),Inputs!$D$90,Inputs!$C$90*Inputs!$K$9*(1+Inputs!$K$12)^B489),"Error - Check Input")
+IFERROR(IF(OR(Inputs!$C$93=0,Inputs!$C$93="",ISERROR(Inputs!$C$93)),Inputs!$D$93,Inputs!$C$93*Inputs!$K$9*(1+Inputs!$K$12)^B489),"Error - Check Input")</f>
        <v>114337.00433620583</v>
      </c>
      <c r="D489" s="17"/>
    </row>
    <row r="490" spans="2:4" x14ac:dyDescent="0.35">
      <c r="B490" s="18">
        <v>299</v>
      </c>
      <c r="C490" s="6">
        <f>IFERROR(IF(OR(Inputs!$C$84=0,Inputs!$C$84="",ISERROR(Inputs!$C$84)),Inputs!$D$84,Inputs!$C$84*Inputs!$K$9*(1+Inputs!$K$12)^B490),"Error - Check Input")
+IFERROR(IF(OR(Inputs!$C$85=0,Inputs!$C$85="",ISERROR(Inputs!$C$85)),Inputs!$D$85,Inputs!$C$85*Inputs!$K$9*(1+Inputs!$K$12)^B490),"Error - Check Input")
+IFERROR(IF(OR(Inputs!$C$86=0,Inputs!$C$86="",ISERROR(Inputs!$C$86)),Inputs!$D$86,Inputs!$C$86*Inputs!$K$9*(1+Inputs!$K$12)^B490),"Error - Check Input")
+IFERROR(IF(OR(Inputs!$C$87=0,Inputs!$C$87="",ISERROR(Inputs!$C$87)),Inputs!$D$87,Inputs!$C$87*Inputs!$K$9*(1+Inputs!$K$12)^B490),"Error - Check Input")
+IFERROR(IF(OR(Inputs!$C$88=0,Inputs!$C$88="",ISERROR(Inputs!$C$88)),Inputs!$D$88,Inputs!$C$88*Inputs!$K$9*(1+Inputs!$K$12)^B490),"Error - Check Input")
+IFERROR(IF(OR(Inputs!$C$89=0,Inputs!$C$89="",ISERROR(Inputs!$C$89)),Inputs!$D$89,Inputs!$C$89*Inputs!$K$9*(1+Inputs!$K$12)^B490),"Error - Check Input")
+IFERROR(IF(OR(Inputs!$C$90=0,Inputs!$C$90="",ISERROR(Inputs!$C$90)),Inputs!$D$90,Inputs!$C$90*Inputs!$K$9*(1+Inputs!$K$12)^B490),"Error - Check Input")
+IFERROR(IF(OR(Inputs!$C$93=0,Inputs!$C$93="",ISERROR(Inputs!$C$93)),Inputs!$D$93,Inputs!$C$93*Inputs!$K$9*(1+Inputs!$K$12)^B490),"Error - Check Input")</f>
        <v>114784.49388789666</v>
      </c>
      <c r="D490" s="17"/>
    </row>
    <row r="491" spans="2:4" x14ac:dyDescent="0.35">
      <c r="B491" s="18">
        <v>300</v>
      </c>
      <c r="C491" s="6">
        <f>IFERROR(IF(OR(Inputs!$C$84=0,Inputs!$C$84="",ISERROR(Inputs!$C$84)),Inputs!$D$84,Inputs!$C$84*Inputs!$K$9*(1+Inputs!$K$12)^B491),"Error - Check Input")
+IFERROR(IF(OR(Inputs!$C$85=0,Inputs!$C$85="",ISERROR(Inputs!$C$85)),Inputs!$D$85,Inputs!$C$85*Inputs!$K$9*(1+Inputs!$K$12)^B491),"Error - Check Input")
+IFERROR(IF(OR(Inputs!$C$86=0,Inputs!$C$86="",ISERROR(Inputs!$C$86)),Inputs!$D$86,Inputs!$C$86*Inputs!$K$9*(1+Inputs!$K$12)^B491),"Error - Check Input")
+IFERROR(IF(OR(Inputs!$C$87=0,Inputs!$C$87="",ISERROR(Inputs!$C$87)),Inputs!$D$87,Inputs!$C$87*Inputs!$K$9*(1+Inputs!$K$12)^B491),"Error - Check Input")
+IFERROR(IF(OR(Inputs!$C$88=0,Inputs!$C$88="",ISERROR(Inputs!$C$88)),Inputs!$D$88,Inputs!$C$88*Inputs!$K$9*(1+Inputs!$K$12)^B491),"Error - Check Input")
+IFERROR(IF(OR(Inputs!$C$89=0,Inputs!$C$89="",ISERROR(Inputs!$C$89)),Inputs!$D$89,Inputs!$C$89*Inputs!$K$9*(1+Inputs!$K$12)^B491),"Error - Check Input")
+IFERROR(IF(OR(Inputs!$C$90=0,Inputs!$C$90="",ISERROR(Inputs!$C$90)),Inputs!$D$90,Inputs!$C$90*Inputs!$K$9*(1+Inputs!$K$12)^B491),"Error - Check Input")
+IFERROR(IF(OR(Inputs!$C$93=0,Inputs!$C$93="",ISERROR(Inputs!$C$93)),Inputs!$D$93,Inputs!$C$93*Inputs!$K$9*(1+Inputs!$K$12)^B491),"Error - Check Input")</f>
        <v>115233.80656741296</v>
      </c>
      <c r="D491" s="17"/>
    </row>
    <row r="492" spans="2:4" x14ac:dyDescent="0.35">
      <c r="B492" s="18">
        <v>301</v>
      </c>
      <c r="C492" s="6">
        <f>IFERROR(IF(OR(Inputs!$C$84=0,Inputs!$C$84="",ISERROR(Inputs!$C$84)),Inputs!$D$84,Inputs!$C$84*Inputs!$K$9*(1+Inputs!$K$12)^B492),"Error - Check Input")
+IFERROR(IF(OR(Inputs!$C$85=0,Inputs!$C$85="",ISERROR(Inputs!$C$85)),Inputs!$D$85,Inputs!$C$85*Inputs!$K$9*(1+Inputs!$K$12)^B492),"Error - Check Input")
+IFERROR(IF(OR(Inputs!$C$86=0,Inputs!$C$86="",ISERROR(Inputs!$C$86)),Inputs!$D$86,Inputs!$C$86*Inputs!$K$9*(1+Inputs!$K$12)^B492),"Error - Check Input")
+IFERROR(IF(OR(Inputs!$C$87=0,Inputs!$C$87="",ISERROR(Inputs!$C$87)),Inputs!$D$87,Inputs!$C$87*Inputs!$K$9*(1+Inputs!$K$12)^B492),"Error - Check Input")
+IFERROR(IF(OR(Inputs!$C$88=0,Inputs!$C$88="",ISERROR(Inputs!$C$88)),Inputs!$D$88,Inputs!$C$88*Inputs!$K$9*(1+Inputs!$K$12)^B492),"Error - Check Input")
+IFERROR(IF(OR(Inputs!$C$89=0,Inputs!$C$89="",ISERROR(Inputs!$C$89)),Inputs!$D$89,Inputs!$C$89*Inputs!$K$9*(1+Inputs!$K$12)^B492),"Error - Check Input")
+IFERROR(IF(OR(Inputs!$C$90=0,Inputs!$C$90="",ISERROR(Inputs!$C$90)),Inputs!$D$90,Inputs!$C$90*Inputs!$K$9*(1+Inputs!$K$12)^B492),"Error - Check Input")
+IFERROR(IF(OR(Inputs!$C$93=0,Inputs!$C$93="",ISERROR(Inputs!$C$93)),Inputs!$D$93,Inputs!$C$93*Inputs!$K$9*(1+Inputs!$K$12)^B492),"Error - Check Input")</f>
        <v>115684.94980240318</v>
      </c>
      <c r="D492" s="17"/>
    </row>
    <row r="493" spans="2:4" x14ac:dyDescent="0.35">
      <c r="B493" s="18">
        <v>302</v>
      </c>
      <c r="C493" s="6">
        <f>IFERROR(IF(OR(Inputs!$C$84=0,Inputs!$C$84="",ISERROR(Inputs!$C$84)),Inputs!$D$84,Inputs!$C$84*Inputs!$K$9*(1+Inputs!$K$12)^B493),"Error - Check Input")
+IFERROR(IF(OR(Inputs!$C$85=0,Inputs!$C$85="",ISERROR(Inputs!$C$85)),Inputs!$D$85,Inputs!$C$85*Inputs!$K$9*(1+Inputs!$K$12)^B493),"Error - Check Input")
+IFERROR(IF(OR(Inputs!$C$86=0,Inputs!$C$86="",ISERROR(Inputs!$C$86)),Inputs!$D$86,Inputs!$C$86*Inputs!$K$9*(1+Inputs!$K$12)^B493),"Error - Check Input")
+IFERROR(IF(OR(Inputs!$C$87=0,Inputs!$C$87="",ISERROR(Inputs!$C$87)),Inputs!$D$87,Inputs!$C$87*Inputs!$K$9*(1+Inputs!$K$12)^B493),"Error - Check Input")
+IFERROR(IF(OR(Inputs!$C$88=0,Inputs!$C$88="",ISERROR(Inputs!$C$88)),Inputs!$D$88,Inputs!$C$88*Inputs!$K$9*(1+Inputs!$K$12)^B493),"Error - Check Input")
+IFERROR(IF(OR(Inputs!$C$89=0,Inputs!$C$89="",ISERROR(Inputs!$C$89)),Inputs!$D$89,Inputs!$C$89*Inputs!$K$9*(1+Inputs!$K$12)^B493),"Error - Check Input")
+IFERROR(IF(OR(Inputs!$C$90=0,Inputs!$C$90="",ISERROR(Inputs!$C$90)),Inputs!$D$90,Inputs!$C$90*Inputs!$K$9*(1+Inputs!$K$12)^B493),"Error - Check Input")
+IFERROR(IF(OR(Inputs!$C$93=0,Inputs!$C$93="",ISERROR(Inputs!$C$93)),Inputs!$D$93,Inputs!$C$93*Inputs!$K$9*(1+Inputs!$K$12)^B493),"Error - Check Input")</f>
        <v>116137.93105077691</v>
      </c>
      <c r="D493" s="17"/>
    </row>
    <row r="494" spans="2:4" x14ac:dyDescent="0.35">
      <c r="B494" s="18">
        <v>303</v>
      </c>
      <c r="C494" s="6">
        <f>IFERROR(IF(OR(Inputs!$C$84=0,Inputs!$C$84="",ISERROR(Inputs!$C$84)),Inputs!$D$84,Inputs!$C$84*Inputs!$K$9*(1+Inputs!$K$12)^B494),"Error - Check Input")
+IFERROR(IF(OR(Inputs!$C$85=0,Inputs!$C$85="",ISERROR(Inputs!$C$85)),Inputs!$D$85,Inputs!$C$85*Inputs!$K$9*(1+Inputs!$K$12)^B494),"Error - Check Input")
+IFERROR(IF(OR(Inputs!$C$86=0,Inputs!$C$86="",ISERROR(Inputs!$C$86)),Inputs!$D$86,Inputs!$C$86*Inputs!$K$9*(1+Inputs!$K$12)^B494),"Error - Check Input")
+IFERROR(IF(OR(Inputs!$C$87=0,Inputs!$C$87="",ISERROR(Inputs!$C$87)),Inputs!$D$87,Inputs!$C$87*Inputs!$K$9*(1+Inputs!$K$12)^B494),"Error - Check Input")
+IFERROR(IF(OR(Inputs!$C$88=0,Inputs!$C$88="",ISERROR(Inputs!$C$88)),Inputs!$D$88,Inputs!$C$88*Inputs!$K$9*(1+Inputs!$K$12)^B494),"Error - Check Input")
+IFERROR(IF(OR(Inputs!$C$89=0,Inputs!$C$89="",ISERROR(Inputs!$C$89)),Inputs!$D$89,Inputs!$C$89*Inputs!$K$9*(1+Inputs!$K$12)^B494),"Error - Check Input")
+IFERROR(IF(OR(Inputs!$C$90=0,Inputs!$C$90="",ISERROR(Inputs!$C$90)),Inputs!$D$90,Inputs!$C$90*Inputs!$K$9*(1+Inputs!$K$12)^B494),"Error - Check Input")
+IFERROR(IF(OR(Inputs!$C$93=0,Inputs!$C$93="",ISERROR(Inputs!$C$93)),Inputs!$D$93,Inputs!$C$93*Inputs!$K$9*(1+Inputs!$K$12)^B494),"Error - Check Input")</f>
        <v>116592.75780082819</v>
      </c>
      <c r="D494" s="17"/>
    </row>
    <row r="495" spans="2:4" x14ac:dyDescent="0.35">
      <c r="B495" s="18">
        <v>304</v>
      </c>
      <c r="C495" s="6">
        <f>IFERROR(IF(OR(Inputs!$C$84=0,Inputs!$C$84="",ISERROR(Inputs!$C$84)),Inputs!$D$84,Inputs!$C$84*Inputs!$K$9*(1+Inputs!$K$12)^B495),"Error - Check Input")
+IFERROR(IF(OR(Inputs!$C$85=0,Inputs!$C$85="",ISERROR(Inputs!$C$85)),Inputs!$D$85,Inputs!$C$85*Inputs!$K$9*(1+Inputs!$K$12)^B495),"Error - Check Input")
+IFERROR(IF(OR(Inputs!$C$86=0,Inputs!$C$86="",ISERROR(Inputs!$C$86)),Inputs!$D$86,Inputs!$C$86*Inputs!$K$9*(1+Inputs!$K$12)^B495),"Error - Check Input")
+IFERROR(IF(OR(Inputs!$C$87=0,Inputs!$C$87="",ISERROR(Inputs!$C$87)),Inputs!$D$87,Inputs!$C$87*Inputs!$K$9*(1+Inputs!$K$12)^B495),"Error - Check Input")
+IFERROR(IF(OR(Inputs!$C$88=0,Inputs!$C$88="",ISERROR(Inputs!$C$88)),Inputs!$D$88,Inputs!$C$88*Inputs!$K$9*(1+Inputs!$K$12)^B495),"Error - Check Input")
+IFERROR(IF(OR(Inputs!$C$89=0,Inputs!$C$89="",ISERROR(Inputs!$C$89)),Inputs!$D$89,Inputs!$C$89*Inputs!$K$9*(1+Inputs!$K$12)^B495),"Error - Check Input")
+IFERROR(IF(OR(Inputs!$C$90=0,Inputs!$C$90="",ISERROR(Inputs!$C$90)),Inputs!$D$90,Inputs!$C$90*Inputs!$K$9*(1+Inputs!$K$12)^B495),"Error - Check Input")
+IFERROR(IF(OR(Inputs!$C$93=0,Inputs!$C$93="",ISERROR(Inputs!$C$93)),Inputs!$D$93,Inputs!$C$93*Inputs!$K$9*(1+Inputs!$K$12)^B495),"Error - Check Input")</f>
        <v>117049.43757135929</v>
      </c>
      <c r="D495" s="17"/>
    </row>
    <row r="496" spans="2:4" x14ac:dyDescent="0.35">
      <c r="B496" s="18">
        <v>305</v>
      </c>
      <c r="C496" s="6">
        <f>IFERROR(IF(OR(Inputs!$C$84=0,Inputs!$C$84="",ISERROR(Inputs!$C$84)),Inputs!$D$84,Inputs!$C$84*Inputs!$K$9*(1+Inputs!$K$12)^B496),"Error - Check Input")
+IFERROR(IF(OR(Inputs!$C$85=0,Inputs!$C$85="",ISERROR(Inputs!$C$85)),Inputs!$D$85,Inputs!$C$85*Inputs!$K$9*(1+Inputs!$K$12)^B496),"Error - Check Input")
+IFERROR(IF(OR(Inputs!$C$86=0,Inputs!$C$86="",ISERROR(Inputs!$C$86)),Inputs!$D$86,Inputs!$C$86*Inputs!$K$9*(1+Inputs!$K$12)^B496),"Error - Check Input")
+IFERROR(IF(OR(Inputs!$C$87=0,Inputs!$C$87="",ISERROR(Inputs!$C$87)),Inputs!$D$87,Inputs!$C$87*Inputs!$K$9*(1+Inputs!$K$12)^B496),"Error - Check Input")
+IFERROR(IF(OR(Inputs!$C$88=0,Inputs!$C$88="",ISERROR(Inputs!$C$88)),Inputs!$D$88,Inputs!$C$88*Inputs!$K$9*(1+Inputs!$K$12)^B496),"Error - Check Input")
+IFERROR(IF(OR(Inputs!$C$89=0,Inputs!$C$89="",ISERROR(Inputs!$C$89)),Inputs!$D$89,Inputs!$C$89*Inputs!$K$9*(1+Inputs!$K$12)^B496),"Error - Check Input")
+IFERROR(IF(OR(Inputs!$C$90=0,Inputs!$C$90="",ISERROR(Inputs!$C$90)),Inputs!$D$90,Inputs!$C$90*Inputs!$K$9*(1+Inputs!$K$12)^B496),"Error - Check Input")
+IFERROR(IF(OR(Inputs!$C$93=0,Inputs!$C$93="",ISERROR(Inputs!$C$93)),Inputs!$D$93,Inputs!$C$93*Inputs!$K$9*(1+Inputs!$K$12)^B496),"Error - Check Input")</f>
        <v>117507.97791180499</v>
      </c>
      <c r="D496" s="17"/>
    </row>
    <row r="497" spans="2:4" x14ac:dyDescent="0.35">
      <c r="B497" s="18">
        <v>306</v>
      </c>
      <c r="C497" s="6">
        <f>IFERROR(IF(OR(Inputs!$C$84=0,Inputs!$C$84="",ISERROR(Inputs!$C$84)),Inputs!$D$84,Inputs!$C$84*Inputs!$K$9*(1+Inputs!$K$12)^B497),"Error - Check Input")
+IFERROR(IF(OR(Inputs!$C$85=0,Inputs!$C$85="",ISERROR(Inputs!$C$85)),Inputs!$D$85,Inputs!$C$85*Inputs!$K$9*(1+Inputs!$K$12)^B497),"Error - Check Input")
+IFERROR(IF(OR(Inputs!$C$86=0,Inputs!$C$86="",ISERROR(Inputs!$C$86)),Inputs!$D$86,Inputs!$C$86*Inputs!$K$9*(1+Inputs!$K$12)^B497),"Error - Check Input")
+IFERROR(IF(OR(Inputs!$C$87=0,Inputs!$C$87="",ISERROR(Inputs!$C$87)),Inputs!$D$87,Inputs!$C$87*Inputs!$K$9*(1+Inputs!$K$12)^B497),"Error - Check Input")
+IFERROR(IF(OR(Inputs!$C$88=0,Inputs!$C$88="",ISERROR(Inputs!$C$88)),Inputs!$D$88,Inputs!$C$88*Inputs!$K$9*(1+Inputs!$K$12)^B497),"Error - Check Input")
+IFERROR(IF(OR(Inputs!$C$89=0,Inputs!$C$89="",ISERROR(Inputs!$C$89)),Inputs!$D$89,Inputs!$C$89*Inputs!$K$9*(1+Inputs!$K$12)^B497),"Error - Check Input")
+IFERROR(IF(OR(Inputs!$C$90=0,Inputs!$C$90="",ISERROR(Inputs!$C$90)),Inputs!$D$90,Inputs!$C$90*Inputs!$K$9*(1+Inputs!$K$12)^B497),"Error - Check Input")
+IFERROR(IF(OR(Inputs!$C$93=0,Inputs!$C$93="",ISERROR(Inputs!$C$93)),Inputs!$D$93,Inputs!$C$93*Inputs!$K$9*(1+Inputs!$K$12)^B497),"Error - Check Input")</f>
        <v>117968.3864023575</v>
      </c>
      <c r="D497" s="17"/>
    </row>
    <row r="498" spans="2:4" x14ac:dyDescent="0.35">
      <c r="B498" s="18">
        <v>307</v>
      </c>
      <c r="C498" s="6">
        <f>IFERROR(IF(OR(Inputs!$C$84=0,Inputs!$C$84="",ISERROR(Inputs!$C$84)),Inputs!$D$84,Inputs!$C$84*Inputs!$K$9*(1+Inputs!$K$12)^B498),"Error - Check Input")
+IFERROR(IF(OR(Inputs!$C$85=0,Inputs!$C$85="",ISERROR(Inputs!$C$85)),Inputs!$D$85,Inputs!$C$85*Inputs!$K$9*(1+Inputs!$K$12)^B498),"Error - Check Input")
+IFERROR(IF(OR(Inputs!$C$86=0,Inputs!$C$86="",ISERROR(Inputs!$C$86)),Inputs!$D$86,Inputs!$C$86*Inputs!$K$9*(1+Inputs!$K$12)^B498),"Error - Check Input")
+IFERROR(IF(OR(Inputs!$C$87=0,Inputs!$C$87="",ISERROR(Inputs!$C$87)),Inputs!$D$87,Inputs!$C$87*Inputs!$K$9*(1+Inputs!$K$12)^B498),"Error - Check Input")
+IFERROR(IF(OR(Inputs!$C$88=0,Inputs!$C$88="",ISERROR(Inputs!$C$88)),Inputs!$D$88,Inputs!$C$88*Inputs!$K$9*(1+Inputs!$K$12)^B498),"Error - Check Input")
+IFERROR(IF(OR(Inputs!$C$89=0,Inputs!$C$89="",ISERROR(Inputs!$C$89)),Inputs!$D$89,Inputs!$C$89*Inputs!$K$9*(1+Inputs!$K$12)^B498),"Error - Check Input")
+IFERROR(IF(OR(Inputs!$C$90=0,Inputs!$C$90="",ISERROR(Inputs!$C$90)),Inputs!$D$90,Inputs!$C$90*Inputs!$K$9*(1+Inputs!$K$12)^B498),"Error - Check Input")
+IFERROR(IF(OR(Inputs!$C$93=0,Inputs!$C$93="",ISERROR(Inputs!$C$93)),Inputs!$D$93,Inputs!$C$93*Inputs!$K$9*(1+Inputs!$K$12)^B498),"Error - Check Input")</f>
        <v>118430.67065409155</v>
      </c>
      <c r="D498" s="17"/>
    </row>
    <row r="499" spans="2:4" x14ac:dyDescent="0.35">
      <c r="B499" s="18">
        <v>308</v>
      </c>
      <c r="C499" s="6">
        <f>IFERROR(IF(OR(Inputs!$C$84=0,Inputs!$C$84="",ISERROR(Inputs!$C$84)),Inputs!$D$84,Inputs!$C$84*Inputs!$K$9*(1+Inputs!$K$12)^B499),"Error - Check Input")
+IFERROR(IF(OR(Inputs!$C$85=0,Inputs!$C$85="",ISERROR(Inputs!$C$85)),Inputs!$D$85,Inputs!$C$85*Inputs!$K$9*(1+Inputs!$K$12)^B499),"Error - Check Input")
+IFERROR(IF(OR(Inputs!$C$86=0,Inputs!$C$86="",ISERROR(Inputs!$C$86)),Inputs!$D$86,Inputs!$C$86*Inputs!$K$9*(1+Inputs!$K$12)^B499),"Error - Check Input")
+IFERROR(IF(OR(Inputs!$C$87=0,Inputs!$C$87="",ISERROR(Inputs!$C$87)),Inputs!$D$87,Inputs!$C$87*Inputs!$K$9*(1+Inputs!$K$12)^B499),"Error - Check Input")
+IFERROR(IF(OR(Inputs!$C$88=0,Inputs!$C$88="",ISERROR(Inputs!$C$88)),Inputs!$D$88,Inputs!$C$88*Inputs!$K$9*(1+Inputs!$K$12)^B499),"Error - Check Input")
+IFERROR(IF(OR(Inputs!$C$89=0,Inputs!$C$89="",ISERROR(Inputs!$C$89)),Inputs!$D$89,Inputs!$C$89*Inputs!$K$9*(1+Inputs!$K$12)^B499),"Error - Check Input")
+IFERROR(IF(OR(Inputs!$C$90=0,Inputs!$C$90="",ISERROR(Inputs!$C$90)),Inputs!$D$90,Inputs!$C$90*Inputs!$K$9*(1+Inputs!$K$12)^B499),"Error - Check Input")
+IFERROR(IF(OR(Inputs!$C$93=0,Inputs!$C$93="",ISERROR(Inputs!$C$93)),Inputs!$D$93,Inputs!$C$93*Inputs!$K$9*(1+Inputs!$K$12)^B499),"Error - Check Input")</f>
        <v>118894.8383090904</v>
      </c>
      <c r="D499" s="17"/>
    </row>
    <row r="500" spans="2:4" x14ac:dyDescent="0.35">
      <c r="B500" s="18">
        <v>309</v>
      </c>
      <c r="C500" s="6">
        <f>IFERROR(IF(OR(Inputs!$C$84=0,Inputs!$C$84="",ISERROR(Inputs!$C$84)),Inputs!$D$84,Inputs!$C$84*Inputs!$K$9*(1+Inputs!$K$12)^B500),"Error - Check Input")
+IFERROR(IF(OR(Inputs!$C$85=0,Inputs!$C$85="",ISERROR(Inputs!$C$85)),Inputs!$D$85,Inputs!$C$85*Inputs!$K$9*(1+Inputs!$K$12)^B500),"Error - Check Input")
+IFERROR(IF(OR(Inputs!$C$86=0,Inputs!$C$86="",ISERROR(Inputs!$C$86)),Inputs!$D$86,Inputs!$C$86*Inputs!$K$9*(1+Inputs!$K$12)^B500),"Error - Check Input")
+IFERROR(IF(OR(Inputs!$C$87=0,Inputs!$C$87="",ISERROR(Inputs!$C$87)),Inputs!$D$87,Inputs!$C$87*Inputs!$K$9*(1+Inputs!$K$12)^B500),"Error - Check Input")
+IFERROR(IF(OR(Inputs!$C$88=0,Inputs!$C$88="",ISERROR(Inputs!$C$88)),Inputs!$D$88,Inputs!$C$88*Inputs!$K$9*(1+Inputs!$K$12)^B500),"Error - Check Input")
+IFERROR(IF(OR(Inputs!$C$89=0,Inputs!$C$89="",ISERROR(Inputs!$C$89)),Inputs!$D$89,Inputs!$C$89*Inputs!$K$9*(1+Inputs!$K$12)^B500),"Error - Check Input")
+IFERROR(IF(OR(Inputs!$C$90=0,Inputs!$C$90="",ISERROR(Inputs!$C$90)),Inputs!$D$90,Inputs!$C$90*Inputs!$K$9*(1+Inputs!$K$12)^B500),"Error - Check Input")
+IFERROR(IF(OR(Inputs!$C$93=0,Inputs!$C$93="",ISERROR(Inputs!$C$93)),Inputs!$D$93,Inputs!$C$93*Inputs!$K$9*(1+Inputs!$K$12)^B500),"Error - Check Input")</f>
        <v>119360.89704057205</v>
      </c>
      <c r="D500" s="17"/>
    </row>
    <row r="501" spans="2:4" x14ac:dyDescent="0.35">
      <c r="B501" s="18">
        <v>310</v>
      </c>
      <c r="C501" s="6">
        <f>IFERROR(IF(OR(Inputs!$C$84=0,Inputs!$C$84="",ISERROR(Inputs!$C$84)),Inputs!$D$84,Inputs!$C$84*Inputs!$K$9*(1+Inputs!$K$12)^B501),"Error - Check Input")
+IFERROR(IF(OR(Inputs!$C$85=0,Inputs!$C$85="",ISERROR(Inputs!$C$85)),Inputs!$D$85,Inputs!$C$85*Inputs!$K$9*(1+Inputs!$K$12)^B501),"Error - Check Input")
+IFERROR(IF(OR(Inputs!$C$86=0,Inputs!$C$86="",ISERROR(Inputs!$C$86)),Inputs!$D$86,Inputs!$C$86*Inputs!$K$9*(1+Inputs!$K$12)^B501),"Error - Check Input")
+IFERROR(IF(OR(Inputs!$C$87=0,Inputs!$C$87="",ISERROR(Inputs!$C$87)),Inputs!$D$87,Inputs!$C$87*Inputs!$K$9*(1+Inputs!$K$12)^B501),"Error - Check Input")
+IFERROR(IF(OR(Inputs!$C$88=0,Inputs!$C$88="",ISERROR(Inputs!$C$88)),Inputs!$D$88,Inputs!$C$88*Inputs!$K$9*(1+Inputs!$K$12)^B501),"Error - Check Input")
+IFERROR(IF(OR(Inputs!$C$89=0,Inputs!$C$89="",ISERROR(Inputs!$C$89)),Inputs!$D$89,Inputs!$C$89*Inputs!$K$9*(1+Inputs!$K$12)^B501),"Error - Check Input")
+IFERROR(IF(OR(Inputs!$C$90=0,Inputs!$C$90="",ISERROR(Inputs!$C$90)),Inputs!$D$90,Inputs!$C$90*Inputs!$K$9*(1+Inputs!$K$12)^B501),"Error - Check Input")
+IFERROR(IF(OR(Inputs!$C$93=0,Inputs!$C$93="",ISERROR(Inputs!$C$93)),Inputs!$D$93,Inputs!$C$93*Inputs!$K$9*(1+Inputs!$K$12)^B501),"Error - Check Input")</f>
        <v>119828.85455301625</v>
      </c>
      <c r="D501" s="17"/>
    </row>
    <row r="502" spans="2:4" x14ac:dyDescent="0.35">
      <c r="B502" s="18">
        <v>311</v>
      </c>
      <c r="C502" s="6">
        <f>IFERROR(IF(OR(Inputs!$C$84=0,Inputs!$C$84="",ISERROR(Inputs!$C$84)),Inputs!$D$84,Inputs!$C$84*Inputs!$K$9*(1+Inputs!$K$12)^B502),"Error - Check Input")
+IFERROR(IF(OR(Inputs!$C$85=0,Inputs!$C$85="",ISERROR(Inputs!$C$85)),Inputs!$D$85,Inputs!$C$85*Inputs!$K$9*(1+Inputs!$K$12)^B502),"Error - Check Input")
+IFERROR(IF(OR(Inputs!$C$86=0,Inputs!$C$86="",ISERROR(Inputs!$C$86)),Inputs!$D$86,Inputs!$C$86*Inputs!$K$9*(1+Inputs!$K$12)^B502),"Error - Check Input")
+IFERROR(IF(OR(Inputs!$C$87=0,Inputs!$C$87="",ISERROR(Inputs!$C$87)),Inputs!$D$87,Inputs!$C$87*Inputs!$K$9*(1+Inputs!$K$12)^B502),"Error - Check Input")
+IFERROR(IF(OR(Inputs!$C$88=0,Inputs!$C$88="",ISERROR(Inputs!$C$88)),Inputs!$D$88,Inputs!$C$88*Inputs!$K$9*(1+Inputs!$K$12)^B502),"Error - Check Input")
+IFERROR(IF(OR(Inputs!$C$89=0,Inputs!$C$89="",ISERROR(Inputs!$C$89)),Inputs!$D$89,Inputs!$C$89*Inputs!$K$9*(1+Inputs!$K$12)^B502),"Error - Check Input")
+IFERROR(IF(OR(Inputs!$C$90=0,Inputs!$C$90="",ISERROR(Inputs!$C$90)),Inputs!$D$90,Inputs!$C$90*Inputs!$K$9*(1+Inputs!$K$12)^B502),"Error - Check Input")
+IFERROR(IF(OR(Inputs!$C$93=0,Inputs!$C$93="",ISERROR(Inputs!$C$93)),Inputs!$D$93,Inputs!$C$93*Inputs!$K$9*(1+Inputs!$K$12)^B502),"Error - Check Input")</f>
        <v>120298.71858229162</v>
      </c>
      <c r="D502" s="17"/>
    </row>
    <row r="503" spans="2:4" x14ac:dyDescent="0.35">
      <c r="B503" s="18">
        <v>312</v>
      </c>
      <c r="C503" s="6">
        <f>IFERROR(IF(OR(Inputs!$C$84=0,Inputs!$C$84="",ISERROR(Inputs!$C$84)),Inputs!$D$84,Inputs!$C$84*Inputs!$K$9*(1+Inputs!$K$12)^B503),"Error - Check Input")
+IFERROR(IF(OR(Inputs!$C$85=0,Inputs!$C$85="",ISERROR(Inputs!$C$85)),Inputs!$D$85,Inputs!$C$85*Inputs!$K$9*(1+Inputs!$K$12)^B503),"Error - Check Input")
+IFERROR(IF(OR(Inputs!$C$86=0,Inputs!$C$86="",ISERROR(Inputs!$C$86)),Inputs!$D$86,Inputs!$C$86*Inputs!$K$9*(1+Inputs!$K$12)^B503),"Error - Check Input")
+IFERROR(IF(OR(Inputs!$C$87=0,Inputs!$C$87="",ISERROR(Inputs!$C$87)),Inputs!$D$87,Inputs!$C$87*Inputs!$K$9*(1+Inputs!$K$12)^B503),"Error - Check Input")
+IFERROR(IF(OR(Inputs!$C$88=0,Inputs!$C$88="",ISERROR(Inputs!$C$88)),Inputs!$D$88,Inputs!$C$88*Inputs!$K$9*(1+Inputs!$K$12)^B503),"Error - Check Input")
+IFERROR(IF(OR(Inputs!$C$89=0,Inputs!$C$89="",ISERROR(Inputs!$C$89)),Inputs!$D$89,Inputs!$C$89*Inputs!$K$9*(1+Inputs!$K$12)^B503),"Error - Check Input")
+IFERROR(IF(OR(Inputs!$C$90=0,Inputs!$C$90="",ISERROR(Inputs!$C$90)),Inputs!$D$90,Inputs!$C$90*Inputs!$K$9*(1+Inputs!$K$12)^B503),"Error - Check Input")
+IFERROR(IF(OR(Inputs!$C$93=0,Inputs!$C$93="",ISERROR(Inputs!$C$93)),Inputs!$D$93,Inputs!$C$93*Inputs!$K$9*(1+Inputs!$K$12)^B503),"Error - Check Input")</f>
        <v>120770.49689578376</v>
      </c>
      <c r="D503" s="17"/>
    </row>
    <row r="504" spans="2:4" x14ac:dyDescent="0.35">
      <c r="B504" s="18">
        <v>313</v>
      </c>
      <c r="C504" s="6">
        <f>IFERROR(IF(OR(Inputs!$C$84=0,Inputs!$C$84="",ISERROR(Inputs!$C$84)),Inputs!$D$84,Inputs!$C$84*Inputs!$K$9*(1+Inputs!$K$12)^B504),"Error - Check Input")
+IFERROR(IF(OR(Inputs!$C$85=0,Inputs!$C$85="",ISERROR(Inputs!$C$85)),Inputs!$D$85,Inputs!$C$85*Inputs!$K$9*(1+Inputs!$K$12)^B504),"Error - Check Input")
+IFERROR(IF(OR(Inputs!$C$86=0,Inputs!$C$86="",ISERROR(Inputs!$C$86)),Inputs!$D$86,Inputs!$C$86*Inputs!$K$9*(1+Inputs!$K$12)^B504),"Error - Check Input")
+IFERROR(IF(OR(Inputs!$C$87=0,Inputs!$C$87="",ISERROR(Inputs!$C$87)),Inputs!$D$87,Inputs!$C$87*Inputs!$K$9*(1+Inputs!$K$12)^B504),"Error - Check Input")
+IFERROR(IF(OR(Inputs!$C$88=0,Inputs!$C$88="",ISERROR(Inputs!$C$88)),Inputs!$D$88,Inputs!$C$88*Inputs!$K$9*(1+Inputs!$K$12)^B504),"Error - Check Input")
+IFERROR(IF(OR(Inputs!$C$89=0,Inputs!$C$89="",ISERROR(Inputs!$C$89)),Inputs!$D$89,Inputs!$C$89*Inputs!$K$9*(1+Inputs!$K$12)^B504),"Error - Check Input")
+IFERROR(IF(OR(Inputs!$C$90=0,Inputs!$C$90="",ISERROR(Inputs!$C$90)),Inputs!$D$90,Inputs!$C$90*Inputs!$K$9*(1+Inputs!$K$12)^B504),"Error - Check Input")
+IFERROR(IF(OR(Inputs!$C$93=0,Inputs!$C$93="",ISERROR(Inputs!$C$93)),Inputs!$D$93,Inputs!$C$93*Inputs!$K$9*(1+Inputs!$K$12)^B504),"Error - Check Input")</f>
        <v>121244.19729252347</v>
      </c>
      <c r="D504" s="17"/>
    </row>
    <row r="505" spans="2:4" x14ac:dyDescent="0.35">
      <c r="B505" s="18">
        <v>314</v>
      </c>
      <c r="C505" s="6">
        <f>IFERROR(IF(OR(Inputs!$C$84=0,Inputs!$C$84="",ISERROR(Inputs!$C$84)),Inputs!$D$84,Inputs!$C$84*Inputs!$K$9*(1+Inputs!$K$12)^B505),"Error - Check Input")
+IFERROR(IF(OR(Inputs!$C$85=0,Inputs!$C$85="",ISERROR(Inputs!$C$85)),Inputs!$D$85,Inputs!$C$85*Inputs!$K$9*(1+Inputs!$K$12)^B505),"Error - Check Input")
+IFERROR(IF(OR(Inputs!$C$86=0,Inputs!$C$86="",ISERROR(Inputs!$C$86)),Inputs!$D$86,Inputs!$C$86*Inputs!$K$9*(1+Inputs!$K$12)^B505),"Error - Check Input")
+IFERROR(IF(OR(Inputs!$C$87=0,Inputs!$C$87="",ISERROR(Inputs!$C$87)),Inputs!$D$87,Inputs!$C$87*Inputs!$K$9*(1+Inputs!$K$12)^B505),"Error - Check Input")
+IFERROR(IF(OR(Inputs!$C$88=0,Inputs!$C$88="",ISERROR(Inputs!$C$88)),Inputs!$D$88,Inputs!$C$88*Inputs!$K$9*(1+Inputs!$K$12)^B505),"Error - Check Input")
+IFERROR(IF(OR(Inputs!$C$89=0,Inputs!$C$89="",ISERROR(Inputs!$C$89)),Inputs!$D$89,Inputs!$C$89*Inputs!$K$9*(1+Inputs!$K$12)^B505),"Error - Check Input")
+IFERROR(IF(OR(Inputs!$C$90=0,Inputs!$C$90="",ISERROR(Inputs!$C$90)),Inputs!$D$90,Inputs!$C$90*Inputs!$K$9*(1+Inputs!$K$12)^B505),"Error - Check Input")
+IFERROR(IF(OR(Inputs!$C$93=0,Inputs!$C$93="",ISERROR(Inputs!$C$93)),Inputs!$D$93,Inputs!$C$93*Inputs!$K$9*(1+Inputs!$K$12)^B505),"Error - Check Input")</f>
        <v>121719.82760331588</v>
      </c>
      <c r="D505" s="17"/>
    </row>
    <row r="506" spans="2:4" x14ac:dyDescent="0.35">
      <c r="B506" s="18">
        <v>315</v>
      </c>
      <c r="C506" s="6">
        <f>IFERROR(IF(OR(Inputs!$C$84=0,Inputs!$C$84="",ISERROR(Inputs!$C$84)),Inputs!$D$84,Inputs!$C$84*Inputs!$K$9*(1+Inputs!$K$12)^B506),"Error - Check Input")
+IFERROR(IF(OR(Inputs!$C$85=0,Inputs!$C$85="",ISERROR(Inputs!$C$85)),Inputs!$D$85,Inputs!$C$85*Inputs!$K$9*(1+Inputs!$K$12)^B506),"Error - Check Input")
+IFERROR(IF(OR(Inputs!$C$86=0,Inputs!$C$86="",ISERROR(Inputs!$C$86)),Inputs!$D$86,Inputs!$C$86*Inputs!$K$9*(1+Inputs!$K$12)^B506),"Error - Check Input")
+IFERROR(IF(OR(Inputs!$C$87=0,Inputs!$C$87="",ISERROR(Inputs!$C$87)),Inputs!$D$87,Inputs!$C$87*Inputs!$K$9*(1+Inputs!$K$12)^B506),"Error - Check Input")
+IFERROR(IF(OR(Inputs!$C$88=0,Inputs!$C$88="",ISERROR(Inputs!$C$88)),Inputs!$D$88,Inputs!$C$88*Inputs!$K$9*(1+Inputs!$K$12)^B506),"Error - Check Input")
+IFERROR(IF(OR(Inputs!$C$89=0,Inputs!$C$89="",ISERROR(Inputs!$C$89)),Inputs!$D$89,Inputs!$C$89*Inputs!$K$9*(1+Inputs!$K$12)^B506),"Error - Check Input")
+IFERROR(IF(OR(Inputs!$C$90=0,Inputs!$C$90="",ISERROR(Inputs!$C$90)),Inputs!$D$90,Inputs!$C$90*Inputs!$K$9*(1+Inputs!$K$12)^B506),"Error - Check Input")
+IFERROR(IF(OR(Inputs!$C$93=0,Inputs!$C$93="",ISERROR(Inputs!$C$93)),Inputs!$D$93,Inputs!$C$93*Inputs!$K$9*(1+Inputs!$K$12)^B506),"Error - Check Input")</f>
        <v>122197.39569086973</v>
      </c>
      <c r="D506" s="17"/>
    </row>
    <row r="507" spans="2:4" x14ac:dyDescent="0.35">
      <c r="B507" s="18">
        <v>316</v>
      </c>
      <c r="C507" s="6">
        <f>IFERROR(IF(OR(Inputs!$C$84=0,Inputs!$C$84="",ISERROR(Inputs!$C$84)),Inputs!$D$84,Inputs!$C$84*Inputs!$K$9*(1+Inputs!$K$12)^B507),"Error - Check Input")
+IFERROR(IF(OR(Inputs!$C$85=0,Inputs!$C$85="",ISERROR(Inputs!$C$85)),Inputs!$D$85,Inputs!$C$85*Inputs!$K$9*(1+Inputs!$K$12)^B507),"Error - Check Input")
+IFERROR(IF(OR(Inputs!$C$86=0,Inputs!$C$86="",ISERROR(Inputs!$C$86)),Inputs!$D$86,Inputs!$C$86*Inputs!$K$9*(1+Inputs!$K$12)^B507),"Error - Check Input")
+IFERROR(IF(OR(Inputs!$C$87=0,Inputs!$C$87="",ISERROR(Inputs!$C$87)),Inputs!$D$87,Inputs!$C$87*Inputs!$K$9*(1+Inputs!$K$12)^B507),"Error - Check Input")
+IFERROR(IF(OR(Inputs!$C$88=0,Inputs!$C$88="",ISERROR(Inputs!$C$88)),Inputs!$D$88,Inputs!$C$88*Inputs!$K$9*(1+Inputs!$K$12)^B507),"Error - Check Input")
+IFERROR(IF(OR(Inputs!$C$89=0,Inputs!$C$89="",ISERROR(Inputs!$C$89)),Inputs!$D$89,Inputs!$C$89*Inputs!$K$9*(1+Inputs!$K$12)^B507),"Error - Check Input")
+IFERROR(IF(OR(Inputs!$C$90=0,Inputs!$C$90="",ISERROR(Inputs!$C$90)),Inputs!$D$90,Inputs!$C$90*Inputs!$K$9*(1+Inputs!$K$12)^B507),"Error - Check Input")
+IFERROR(IF(OR(Inputs!$C$93=0,Inputs!$C$93="",ISERROR(Inputs!$C$93)),Inputs!$D$93,Inputs!$C$93*Inputs!$K$9*(1+Inputs!$K$12)^B507),"Error - Check Input")</f>
        <v>122676.90944992736</v>
      </c>
      <c r="D507" s="17"/>
    </row>
    <row r="508" spans="2:4" x14ac:dyDescent="0.35">
      <c r="B508" s="18">
        <v>317</v>
      </c>
      <c r="C508" s="6">
        <f>IFERROR(IF(OR(Inputs!$C$84=0,Inputs!$C$84="",ISERROR(Inputs!$C$84)),Inputs!$D$84,Inputs!$C$84*Inputs!$K$9*(1+Inputs!$K$12)^B508),"Error - Check Input")
+IFERROR(IF(OR(Inputs!$C$85=0,Inputs!$C$85="",ISERROR(Inputs!$C$85)),Inputs!$D$85,Inputs!$C$85*Inputs!$K$9*(1+Inputs!$K$12)^B508),"Error - Check Input")
+IFERROR(IF(OR(Inputs!$C$86=0,Inputs!$C$86="",ISERROR(Inputs!$C$86)),Inputs!$D$86,Inputs!$C$86*Inputs!$K$9*(1+Inputs!$K$12)^B508),"Error - Check Input")
+IFERROR(IF(OR(Inputs!$C$87=0,Inputs!$C$87="",ISERROR(Inputs!$C$87)),Inputs!$D$87,Inputs!$C$87*Inputs!$K$9*(1+Inputs!$K$12)^B508),"Error - Check Input")
+IFERROR(IF(OR(Inputs!$C$88=0,Inputs!$C$88="",ISERROR(Inputs!$C$88)),Inputs!$D$88,Inputs!$C$88*Inputs!$K$9*(1+Inputs!$K$12)^B508),"Error - Check Input")
+IFERROR(IF(OR(Inputs!$C$89=0,Inputs!$C$89="",ISERROR(Inputs!$C$89)),Inputs!$D$89,Inputs!$C$89*Inputs!$K$9*(1+Inputs!$K$12)^B508),"Error - Check Input")
+IFERROR(IF(OR(Inputs!$C$90=0,Inputs!$C$90="",ISERROR(Inputs!$C$90)),Inputs!$D$90,Inputs!$C$90*Inputs!$K$9*(1+Inputs!$K$12)^B508),"Error - Check Input")
+IFERROR(IF(OR(Inputs!$C$93=0,Inputs!$C$93="",ISERROR(Inputs!$C$93)),Inputs!$D$93,Inputs!$C$93*Inputs!$K$9*(1+Inputs!$K$12)^B508),"Error - Check Input")</f>
        <v>123158.37680739538</v>
      </c>
      <c r="D508" s="17"/>
    </row>
    <row r="509" spans="2:4" x14ac:dyDescent="0.35">
      <c r="B509" s="18">
        <v>318</v>
      </c>
      <c r="C509" s="6">
        <f>IFERROR(IF(OR(Inputs!$C$84=0,Inputs!$C$84="",ISERROR(Inputs!$C$84)),Inputs!$D$84,Inputs!$C$84*Inputs!$K$9*(1+Inputs!$K$12)^B509),"Error - Check Input")
+IFERROR(IF(OR(Inputs!$C$85=0,Inputs!$C$85="",ISERROR(Inputs!$C$85)),Inputs!$D$85,Inputs!$C$85*Inputs!$K$9*(1+Inputs!$K$12)^B509),"Error - Check Input")
+IFERROR(IF(OR(Inputs!$C$86=0,Inputs!$C$86="",ISERROR(Inputs!$C$86)),Inputs!$D$86,Inputs!$C$86*Inputs!$K$9*(1+Inputs!$K$12)^B509),"Error - Check Input")
+IFERROR(IF(OR(Inputs!$C$87=0,Inputs!$C$87="",ISERROR(Inputs!$C$87)),Inputs!$D$87,Inputs!$C$87*Inputs!$K$9*(1+Inputs!$K$12)^B509),"Error - Check Input")
+IFERROR(IF(OR(Inputs!$C$88=0,Inputs!$C$88="",ISERROR(Inputs!$C$88)),Inputs!$D$88,Inputs!$C$88*Inputs!$K$9*(1+Inputs!$K$12)^B509),"Error - Check Input")
+IFERROR(IF(OR(Inputs!$C$89=0,Inputs!$C$89="",ISERROR(Inputs!$C$89)),Inputs!$D$89,Inputs!$C$89*Inputs!$K$9*(1+Inputs!$K$12)^B509),"Error - Check Input")
+IFERROR(IF(OR(Inputs!$C$90=0,Inputs!$C$90="",ISERROR(Inputs!$C$90)),Inputs!$D$90,Inputs!$C$90*Inputs!$K$9*(1+Inputs!$K$12)^B509),"Error - Check Input")
+IFERROR(IF(OR(Inputs!$C$93=0,Inputs!$C$93="",ISERROR(Inputs!$C$93)),Inputs!$D$93,Inputs!$C$93*Inputs!$K$9*(1+Inputs!$K$12)^B509),"Error - Check Input")</f>
        <v>123641.8057224755</v>
      </c>
      <c r="D509" s="17"/>
    </row>
    <row r="510" spans="2:4" x14ac:dyDescent="0.35">
      <c r="B510" s="18">
        <v>319</v>
      </c>
      <c r="C510" s="6">
        <f>IFERROR(IF(OR(Inputs!$C$84=0,Inputs!$C$84="",ISERROR(Inputs!$C$84)),Inputs!$D$84,Inputs!$C$84*Inputs!$K$9*(1+Inputs!$K$12)^B510),"Error - Check Input")
+IFERROR(IF(OR(Inputs!$C$85=0,Inputs!$C$85="",ISERROR(Inputs!$C$85)),Inputs!$D$85,Inputs!$C$85*Inputs!$K$9*(1+Inputs!$K$12)^B510),"Error - Check Input")
+IFERROR(IF(OR(Inputs!$C$86=0,Inputs!$C$86="",ISERROR(Inputs!$C$86)),Inputs!$D$86,Inputs!$C$86*Inputs!$K$9*(1+Inputs!$K$12)^B510),"Error - Check Input")
+IFERROR(IF(OR(Inputs!$C$87=0,Inputs!$C$87="",ISERROR(Inputs!$C$87)),Inputs!$D$87,Inputs!$C$87*Inputs!$K$9*(1+Inputs!$K$12)^B510),"Error - Check Input")
+IFERROR(IF(OR(Inputs!$C$88=0,Inputs!$C$88="",ISERROR(Inputs!$C$88)),Inputs!$D$88,Inputs!$C$88*Inputs!$K$9*(1+Inputs!$K$12)^B510),"Error - Check Input")
+IFERROR(IF(OR(Inputs!$C$89=0,Inputs!$C$89="",ISERROR(Inputs!$C$89)),Inputs!$D$89,Inputs!$C$89*Inputs!$K$9*(1+Inputs!$K$12)^B510),"Error - Check Input")
+IFERROR(IF(OR(Inputs!$C$90=0,Inputs!$C$90="",ISERROR(Inputs!$C$90)),Inputs!$D$90,Inputs!$C$90*Inputs!$K$9*(1+Inputs!$K$12)^B510),"Error - Check Input")
+IFERROR(IF(OR(Inputs!$C$93=0,Inputs!$C$93="",ISERROR(Inputs!$C$93)),Inputs!$D$93,Inputs!$C$93*Inputs!$K$9*(1+Inputs!$K$12)^B510),"Error - Check Input")</f>
        <v>124127.20418679625</v>
      </c>
      <c r="D510" s="17"/>
    </row>
    <row r="511" spans="2:4" x14ac:dyDescent="0.35">
      <c r="B511" s="18">
        <v>320</v>
      </c>
      <c r="C511" s="6">
        <f>IFERROR(IF(OR(Inputs!$C$84=0,Inputs!$C$84="",ISERROR(Inputs!$C$84)),Inputs!$D$84,Inputs!$C$84*Inputs!$K$9*(1+Inputs!$K$12)^B511),"Error - Check Input")
+IFERROR(IF(OR(Inputs!$C$85=0,Inputs!$C$85="",ISERROR(Inputs!$C$85)),Inputs!$D$85,Inputs!$C$85*Inputs!$K$9*(1+Inputs!$K$12)^B511),"Error - Check Input")
+IFERROR(IF(OR(Inputs!$C$86=0,Inputs!$C$86="",ISERROR(Inputs!$C$86)),Inputs!$D$86,Inputs!$C$86*Inputs!$K$9*(1+Inputs!$K$12)^B511),"Error - Check Input")
+IFERROR(IF(OR(Inputs!$C$87=0,Inputs!$C$87="",ISERROR(Inputs!$C$87)),Inputs!$D$87,Inputs!$C$87*Inputs!$K$9*(1+Inputs!$K$12)^B511),"Error - Check Input")
+IFERROR(IF(OR(Inputs!$C$88=0,Inputs!$C$88="",ISERROR(Inputs!$C$88)),Inputs!$D$88,Inputs!$C$88*Inputs!$K$9*(1+Inputs!$K$12)^B511),"Error - Check Input")
+IFERROR(IF(OR(Inputs!$C$89=0,Inputs!$C$89="",ISERROR(Inputs!$C$89)),Inputs!$D$89,Inputs!$C$89*Inputs!$K$9*(1+Inputs!$K$12)^B511),"Error - Check Input")
+IFERROR(IF(OR(Inputs!$C$90=0,Inputs!$C$90="",ISERROR(Inputs!$C$90)),Inputs!$D$90,Inputs!$C$90*Inputs!$K$9*(1+Inputs!$K$12)^B511),"Error - Check Input")
+IFERROR(IF(OR(Inputs!$C$93=0,Inputs!$C$93="",ISERROR(Inputs!$C$93)),Inputs!$D$93,Inputs!$C$93*Inputs!$K$9*(1+Inputs!$K$12)^B511),"Error - Check Input")</f>
        <v>124614.58022454505</v>
      </c>
      <c r="D511" s="17"/>
    </row>
    <row r="512" spans="2:4" x14ac:dyDescent="0.35">
      <c r="B512" s="18">
        <v>321</v>
      </c>
      <c r="C512" s="6">
        <f>IFERROR(IF(OR(Inputs!$C$84=0,Inputs!$C$84="",ISERROR(Inputs!$C$84)),Inputs!$D$84,Inputs!$C$84*Inputs!$K$9*(1+Inputs!$K$12)^B512),"Error - Check Input")
+IFERROR(IF(OR(Inputs!$C$85=0,Inputs!$C$85="",ISERROR(Inputs!$C$85)),Inputs!$D$85,Inputs!$C$85*Inputs!$K$9*(1+Inputs!$K$12)^B512),"Error - Check Input")
+IFERROR(IF(OR(Inputs!$C$86=0,Inputs!$C$86="",ISERROR(Inputs!$C$86)),Inputs!$D$86,Inputs!$C$86*Inputs!$K$9*(1+Inputs!$K$12)^B512),"Error - Check Input")
+IFERROR(IF(OR(Inputs!$C$87=0,Inputs!$C$87="",ISERROR(Inputs!$C$87)),Inputs!$D$87,Inputs!$C$87*Inputs!$K$9*(1+Inputs!$K$12)^B512),"Error - Check Input")
+IFERROR(IF(OR(Inputs!$C$88=0,Inputs!$C$88="",ISERROR(Inputs!$C$88)),Inputs!$D$88,Inputs!$C$88*Inputs!$K$9*(1+Inputs!$K$12)^B512),"Error - Check Input")
+IFERROR(IF(OR(Inputs!$C$89=0,Inputs!$C$89="",ISERROR(Inputs!$C$89)),Inputs!$D$89,Inputs!$C$89*Inputs!$K$9*(1+Inputs!$K$12)^B512),"Error - Check Input")
+IFERROR(IF(OR(Inputs!$C$90=0,Inputs!$C$90="",ISERROR(Inputs!$C$90)),Inputs!$D$90,Inputs!$C$90*Inputs!$K$9*(1+Inputs!$K$12)^B512),"Error - Check Input")
+IFERROR(IF(OR(Inputs!$C$93=0,Inputs!$C$93="",ISERROR(Inputs!$C$93)),Inputs!$D$93,Inputs!$C$93*Inputs!$K$9*(1+Inputs!$K$12)^B512),"Error - Check Input")</f>
        <v>125103.94189260081</v>
      </c>
      <c r="D512" s="17"/>
    </row>
    <row r="513" spans="2:4" x14ac:dyDescent="0.35">
      <c r="B513" s="18">
        <v>322</v>
      </c>
      <c r="C513" s="6">
        <f>IFERROR(IF(OR(Inputs!$C$84=0,Inputs!$C$84="",ISERROR(Inputs!$C$84)),Inputs!$D$84,Inputs!$C$84*Inputs!$K$9*(1+Inputs!$K$12)^B513),"Error - Check Input")
+IFERROR(IF(OR(Inputs!$C$85=0,Inputs!$C$85="",ISERROR(Inputs!$C$85)),Inputs!$D$85,Inputs!$C$85*Inputs!$K$9*(1+Inputs!$K$12)^B513),"Error - Check Input")
+IFERROR(IF(OR(Inputs!$C$86=0,Inputs!$C$86="",ISERROR(Inputs!$C$86)),Inputs!$D$86,Inputs!$C$86*Inputs!$K$9*(1+Inputs!$K$12)^B513),"Error - Check Input")
+IFERROR(IF(OR(Inputs!$C$87=0,Inputs!$C$87="",ISERROR(Inputs!$C$87)),Inputs!$D$87,Inputs!$C$87*Inputs!$K$9*(1+Inputs!$K$12)^B513),"Error - Check Input")
+IFERROR(IF(OR(Inputs!$C$88=0,Inputs!$C$88="",ISERROR(Inputs!$C$88)),Inputs!$D$88,Inputs!$C$88*Inputs!$K$9*(1+Inputs!$K$12)^B513),"Error - Check Input")
+IFERROR(IF(OR(Inputs!$C$89=0,Inputs!$C$89="",ISERROR(Inputs!$C$89)),Inputs!$D$89,Inputs!$C$89*Inputs!$K$9*(1+Inputs!$K$12)^B513),"Error - Check Input")
+IFERROR(IF(OR(Inputs!$C$90=0,Inputs!$C$90="",ISERROR(Inputs!$C$90)),Inputs!$D$90,Inputs!$C$90*Inputs!$K$9*(1+Inputs!$K$12)^B513),"Error - Check Input")
+IFERROR(IF(OR(Inputs!$C$93=0,Inputs!$C$93="",ISERROR(Inputs!$C$93)),Inputs!$D$93,Inputs!$C$93*Inputs!$K$9*(1+Inputs!$K$12)^B513),"Error - Check Input")</f>
        <v>125595.2972806672</v>
      </c>
      <c r="D513" s="17"/>
    </row>
    <row r="514" spans="2:4" x14ac:dyDescent="0.35">
      <c r="B514" s="18">
        <v>323</v>
      </c>
      <c r="C514" s="6">
        <f>IFERROR(IF(OR(Inputs!$C$84=0,Inputs!$C$84="",ISERROR(Inputs!$C$84)),Inputs!$D$84,Inputs!$C$84*Inputs!$K$9*(1+Inputs!$K$12)^B514),"Error - Check Input")
+IFERROR(IF(OR(Inputs!$C$85=0,Inputs!$C$85="",ISERROR(Inputs!$C$85)),Inputs!$D$85,Inputs!$C$85*Inputs!$K$9*(1+Inputs!$K$12)^B514),"Error - Check Input")
+IFERROR(IF(OR(Inputs!$C$86=0,Inputs!$C$86="",ISERROR(Inputs!$C$86)),Inputs!$D$86,Inputs!$C$86*Inputs!$K$9*(1+Inputs!$K$12)^B514),"Error - Check Input")
+IFERROR(IF(OR(Inputs!$C$87=0,Inputs!$C$87="",ISERROR(Inputs!$C$87)),Inputs!$D$87,Inputs!$C$87*Inputs!$K$9*(1+Inputs!$K$12)^B514),"Error - Check Input")
+IFERROR(IF(OR(Inputs!$C$88=0,Inputs!$C$88="",ISERROR(Inputs!$C$88)),Inputs!$D$88,Inputs!$C$88*Inputs!$K$9*(1+Inputs!$K$12)^B514),"Error - Check Input")
+IFERROR(IF(OR(Inputs!$C$89=0,Inputs!$C$89="",ISERROR(Inputs!$C$89)),Inputs!$D$89,Inputs!$C$89*Inputs!$K$9*(1+Inputs!$K$12)^B514),"Error - Check Input")
+IFERROR(IF(OR(Inputs!$C$90=0,Inputs!$C$90="",ISERROR(Inputs!$C$90)),Inputs!$D$90,Inputs!$C$90*Inputs!$K$9*(1+Inputs!$K$12)^B514),"Error - Check Input")
+IFERROR(IF(OR(Inputs!$C$93=0,Inputs!$C$93="",ISERROR(Inputs!$C$93)),Inputs!$D$93,Inputs!$C$93*Inputs!$K$9*(1+Inputs!$K$12)^B514),"Error - Check Input")</f>
        <v>126088.65451140633</v>
      </c>
      <c r="D514" s="17"/>
    </row>
    <row r="515" spans="2:4" x14ac:dyDescent="0.35">
      <c r="B515" s="18">
        <v>324</v>
      </c>
      <c r="C515" s="6">
        <f>IFERROR(IF(OR(Inputs!$C$84=0,Inputs!$C$84="",ISERROR(Inputs!$C$84)),Inputs!$D$84,Inputs!$C$84*Inputs!$K$9*(1+Inputs!$K$12)^B515),"Error - Check Input")
+IFERROR(IF(OR(Inputs!$C$85=0,Inputs!$C$85="",ISERROR(Inputs!$C$85)),Inputs!$D$85,Inputs!$C$85*Inputs!$K$9*(1+Inputs!$K$12)^B515),"Error - Check Input")
+IFERROR(IF(OR(Inputs!$C$86=0,Inputs!$C$86="",ISERROR(Inputs!$C$86)),Inputs!$D$86,Inputs!$C$86*Inputs!$K$9*(1+Inputs!$K$12)^B515),"Error - Check Input")
+IFERROR(IF(OR(Inputs!$C$87=0,Inputs!$C$87="",ISERROR(Inputs!$C$87)),Inputs!$D$87,Inputs!$C$87*Inputs!$K$9*(1+Inputs!$K$12)^B515),"Error - Check Input")
+IFERROR(IF(OR(Inputs!$C$88=0,Inputs!$C$88="",ISERROR(Inputs!$C$88)),Inputs!$D$88,Inputs!$C$88*Inputs!$K$9*(1+Inputs!$K$12)^B515),"Error - Check Input")
+IFERROR(IF(OR(Inputs!$C$89=0,Inputs!$C$89="",ISERROR(Inputs!$C$89)),Inputs!$D$89,Inputs!$C$89*Inputs!$K$9*(1+Inputs!$K$12)^B515),"Error - Check Input")
+IFERROR(IF(OR(Inputs!$C$90=0,Inputs!$C$90="",ISERROR(Inputs!$C$90)),Inputs!$D$90,Inputs!$C$90*Inputs!$K$9*(1+Inputs!$K$12)^B515),"Error - Check Input")
+IFERROR(IF(OR(Inputs!$C$93=0,Inputs!$C$93="",ISERROR(Inputs!$C$93)),Inputs!$D$93,Inputs!$C$93*Inputs!$K$9*(1+Inputs!$K$12)^B515),"Error - Check Input")</f>
        <v>126584.02174057307</v>
      </c>
      <c r="D515" s="17"/>
    </row>
    <row r="516" spans="2:4" x14ac:dyDescent="0.35">
      <c r="B516" s="18">
        <v>325</v>
      </c>
      <c r="C516" s="6">
        <f>IFERROR(IF(OR(Inputs!$C$84=0,Inputs!$C$84="",ISERROR(Inputs!$C$84)),Inputs!$D$84,Inputs!$C$84*Inputs!$K$9*(1+Inputs!$K$12)^B516),"Error - Check Input")
+IFERROR(IF(OR(Inputs!$C$85=0,Inputs!$C$85="",ISERROR(Inputs!$C$85)),Inputs!$D$85,Inputs!$C$85*Inputs!$K$9*(1+Inputs!$K$12)^B516),"Error - Check Input")
+IFERROR(IF(OR(Inputs!$C$86=0,Inputs!$C$86="",ISERROR(Inputs!$C$86)),Inputs!$D$86,Inputs!$C$86*Inputs!$K$9*(1+Inputs!$K$12)^B516),"Error - Check Input")
+IFERROR(IF(OR(Inputs!$C$87=0,Inputs!$C$87="",ISERROR(Inputs!$C$87)),Inputs!$D$87,Inputs!$C$87*Inputs!$K$9*(1+Inputs!$K$12)^B516),"Error - Check Input")
+IFERROR(IF(OR(Inputs!$C$88=0,Inputs!$C$88="",ISERROR(Inputs!$C$88)),Inputs!$D$88,Inputs!$C$88*Inputs!$K$9*(1+Inputs!$K$12)^B516),"Error - Check Input")
+IFERROR(IF(OR(Inputs!$C$89=0,Inputs!$C$89="",ISERROR(Inputs!$C$89)),Inputs!$D$89,Inputs!$C$89*Inputs!$K$9*(1+Inputs!$K$12)^B516),"Error - Check Input")
+IFERROR(IF(OR(Inputs!$C$90=0,Inputs!$C$90="",ISERROR(Inputs!$C$90)),Inputs!$D$90,Inputs!$C$90*Inputs!$K$9*(1+Inputs!$K$12)^B516),"Error - Check Input")
+IFERROR(IF(OR(Inputs!$C$93=0,Inputs!$C$93="",ISERROR(Inputs!$C$93)),Inputs!$D$93,Inputs!$C$93*Inputs!$K$9*(1+Inputs!$K$12)^B516),"Error - Check Input")</f>
        <v>127081.40715714978</v>
      </c>
      <c r="D516" s="17"/>
    </row>
    <row r="517" spans="2:4" x14ac:dyDescent="0.35">
      <c r="B517" s="18">
        <v>326</v>
      </c>
      <c r="C517" s="6">
        <f>IFERROR(IF(OR(Inputs!$C$84=0,Inputs!$C$84="",ISERROR(Inputs!$C$84)),Inputs!$D$84,Inputs!$C$84*Inputs!$K$9*(1+Inputs!$K$12)^B517),"Error - Check Input")
+IFERROR(IF(OR(Inputs!$C$85=0,Inputs!$C$85="",ISERROR(Inputs!$C$85)),Inputs!$D$85,Inputs!$C$85*Inputs!$K$9*(1+Inputs!$K$12)^B517),"Error - Check Input")
+IFERROR(IF(OR(Inputs!$C$86=0,Inputs!$C$86="",ISERROR(Inputs!$C$86)),Inputs!$D$86,Inputs!$C$86*Inputs!$K$9*(1+Inputs!$K$12)^B517),"Error - Check Input")
+IFERROR(IF(OR(Inputs!$C$87=0,Inputs!$C$87="",ISERROR(Inputs!$C$87)),Inputs!$D$87,Inputs!$C$87*Inputs!$K$9*(1+Inputs!$K$12)^B517),"Error - Check Input")
+IFERROR(IF(OR(Inputs!$C$88=0,Inputs!$C$88="",ISERROR(Inputs!$C$88)),Inputs!$D$88,Inputs!$C$88*Inputs!$K$9*(1+Inputs!$K$12)^B517),"Error - Check Input")
+IFERROR(IF(OR(Inputs!$C$89=0,Inputs!$C$89="",ISERROR(Inputs!$C$89)),Inputs!$D$89,Inputs!$C$89*Inputs!$K$9*(1+Inputs!$K$12)^B517),"Error - Check Input")
+IFERROR(IF(OR(Inputs!$C$90=0,Inputs!$C$90="",ISERROR(Inputs!$C$90)),Inputs!$D$90,Inputs!$C$90*Inputs!$K$9*(1+Inputs!$K$12)^B517),"Error - Check Input")
+IFERROR(IF(OR(Inputs!$C$93=0,Inputs!$C$93="",ISERROR(Inputs!$C$93)),Inputs!$D$93,Inputs!$C$93*Inputs!$K$9*(1+Inputs!$K$12)^B517),"Error - Check Input")</f>
        <v>127580.81898348182</v>
      </c>
      <c r="D517" s="17"/>
    </row>
    <row r="518" spans="2:4" x14ac:dyDescent="0.35">
      <c r="B518" s="18">
        <v>327</v>
      </c>
      <c r="C518" s="6">
        <f>IFERROR(IF(OR(Inputs!$C$84=0,Inputs!$C$84="",ISERROR(Inputs!$C$84)),Inputs!$D$84,Inputs!$C$84*Inputs!$K$9*(1+Inputs!$K$12)^B518),"Error - Check Input")
+IFERROR(IF(OR(Inputs!$C$85=0,Inputs!$C$85="",ISERROR(Inputs!$C$85)),Inputs!$D$85,Inputs!$C$85*Inputs!$K$9*(1+Inputs!$K$12)^B518),"Error - Check Input")
+IFERROR(IF(OR(Inputs!$C$86=0,Inputs!$C$86="",ISERROR(Inputs!$C$86)),Inputs!$D$86,Inputs!$C$86*Inputs!$K$9*(1+Inputs!$K$12)^B518),"Error - Check Input")
+IFERROR(IF(OR(Inputs!$C$87=0,Inputs!$C$87="",ISERROR(Inputs!$C$87)),Inputs!$D$87,Inputs!$C$87*Inputs!$K$9*(1+Inputs!$K$12)^B518),"Error - Check Input")
+IFERROR(IF(OR(Inputs!$C$88=0,Inputs!$C$88="",ISERROR(Inputs!$C$88)),Inputs!$D$88,Inputs!$C$88*Inputs!$K$9*(1+Inputs!$K$12)^B518),"Error - Check Input")
+IFERROR(IF(OR(Inputs!$C$89=0,Inputs!$C$89="",ISERROR(Inputs!$C$89)),Inputs!$D$89,Inputs!$C$89*Inputs!$K$9*(1+Inputs!$K$12)^B518),"Error - Check Input")
+IFERROR(IF(OR(Inputs!$C$90=0,Inputs!$C$90="",ISERROR(Inputs!$C$90)),Inputs!$D$90,Inputs!$C$90*Inputs!$K$9*(1+Inputs!$K$12)^B518),"Error - Check Input")
+IFERROR(IF(OR(Inputs!$C$93=0,Inputs!$C$93="",ISERROR(Inputs!$C$93)),Inputs!$D$93,Inputs!$C$93*Inputs!$K$9*(1+Inputs!$K$12)^B518),"Error - Check Input")</f>
        <v>128082.26547541333</v>
      </c>
      <c r="D518" s="17"/>
    </row>
    <row r="519" spans="2:4" x14ac:dyDescent="0.35">
      <c r="B519" s="18">
        <v>328</v>
      </c>
      <c r="C519" s="6">
        <f>IFERROR(IF(OR(Inputs!$C$84=0,Inputs!$C$84="",ISERROR(Inputs!$C$84)),Inputs!$D$84,Inputs!$C$84*Inputs!$K$9*(1+Inputs!$K$12)^B519),"Error - Check Input")
+IFERROR(IF(OR(Inputs!$C$85=0,Inputs!$C$85="",ISERROR(Inputs!$C$85)),Inputs!$D$85,Inputs!$C$85*Inputs!$K$9*(1+Inputs!$K$12)^B519),"Error - Check Input")
+IFERROR(IF(OR(Inputs!$C$86=0,Inputs!$C$86="",ISERROR(Inputs!$C$86)),Inputs!$D$86,Inputs!$C$86*Inputs!$K$9*(1+Inputs!$K$12)^B519),"Error - Check Input")
+IFERROR(IF(OR(Inputs!$C$87=0,Inputs!$C$87="",ISERROR(Inputs!$C$87)),Inputs!$D$87,Inputs!$C$87*Inputs!$K$9*(1+Inputs!$K$12)^B519),"Error - Check Input")
+IFERROR(IF(OR(Inputs!$C$88=0,Inputs!$C$88="",ISERROR(Inputs!$C$88)),Inputs!$D$88,Inputs!$C$88*Inputs!$K$9*(1+Inputs!$K$12)^B519),"Error - Check Input")
+IFERROR(IF(OR(Inputs!$C$89=0,Inputs!$C$89="",ISERROR(Inputs!$C$89)),Inputs!$D$89,Inputs!$C$89*Inputs!$K$9*(1+Inputs!$K$12)^B519),"Error - Check Input")
+IFERROR(IF(OR(Inputs!$C$90=0,Inputs!$C$90="",ISERROR(Inputs!$C$90)),Inputs!$D$90,Inputs!$C$90*Inputs!$K$9*(1+Inputs!$K$12)^B519),"Error - Check Input")
+IFERROR(IF(OR(Inputs!$C$93=0,Inputs!$C$93="",ISERROR(Inputs!$C$93)),Inputs!$D$93,Inputs!$C$93*Inputs!$K$9*(1+Inputs!$K$12)^B519),"Error - Check Input")</f>
        <v>128585.75492242388</v>
      </c>
      <c r="D519" s="17"/>
    </row>
    <row r="520" spans="2:4" x14ac:dyDescent="0.35">
      <c r="B520" s="18">
        <v>329</v>
      </c>
      <c r="C520" s="6">
        <f>IFERROR(IF(OR(Inputs!$C$84=0,Inputs!$C$84="",ISERROR(Inputs!$C$84)),Inputs!$D$84,Inputs!$C$84*Inputs!$K$9*(1+Inputs!$K$12)^B520),"Error - Check Input")
+IFERROR(IF(OR(Inputs!$C$85=0,Inputs!$C$85="",ISERROR(Inputs!$C$85)),Inputs!$D$85,Inputs!$C$85*Inputs!$K$9*(1+Inputs!$K$12)^B520),"Error - Check Input")
+IFERROR(IF(OR(Inputs!$C$86=0,Inputs!$C$86="",ISERROR(Inputs!$C$86)),Inputs!$D$86,Inputs!$C$86*Inputs!$K$9*(1+Inputs!$K$12)^B520),"Error - Check Input")
+IFERROR(IF(OR(Inputs!$C$87=0,Inputs!$C$87="",ISERROR(Inputs!$C$87)),Inputs!$D$87,Inputs!$C$87*Inputs!$K$9*(1+Inputs!$K$12)^B520),"Error - Check Input")
+IFERROR(IF(OR(Inputs!$C$88=0,Inputs!$C$88="",ISERROR(Inputs!$C$88)),Inputs!$D$88,Inputs!$C$88*Inputs!$K$9*(1+Inputs!$K$12)^B520),"Error - Check Input")
+IFERROR(IF(OR(Inputs!$C$89=0,Inputs!$C$89="",ISERROR(Inputs!$C$89)),Inputs!$D$89,Inputs!$C$89*Inputs!$K$9*(1+Inputs!$K$12)^B520),"Error - Check Input")
+IFERROR(IF(OR(Inputs!$C$90=0,Inputs!$C$90="",ISERROR(Inputs!$C$90)),Inputs!$D$90,Inputs!$C$90*Inputs!$K$9*(1+Inputs!$K$12)^B520),"Error - Check Input")
+IFERROR(IF(OR(Inputs!$C$93=0,Inputs!$C$93="",ISERROR(Inputs!$C$93)),Inputs!$D$93,Inputs!$C$93*Inputs!$K$9*(1+Inputs!$K$12)^B520),"Error - Check Input")</f>
        <v>129091.29564776529</v>
      </c>
      <c r="D520" s="17"/>
    </row>
    <row r="521" spans="2:4" x14ac:dyDescent="0.35">
      <c r="B521" s="18">
        <v>330</v>
      </c>
      <c r="C521" s="6">
        <f>IFERROR(IF(OR(Inputs!$C$84=0,Inputs!$C$84="",ISERROR(Inputs!$C$84)),Inputs!$D$84,Inputs!$C$84*Inputs!$K$9*(1+Inputs!$K$12)^B521),"Error - Check Input")
+IFERROR(IF(OR(Inputs!$C$85=0,Inputs!$C$85="",ISERROR(Inputs!$C$85)),Inputs!$D$85,Inputs!$C$85*Inputs!$K$9*(1+Inputs!$K$12)^B521),"Error - Check Input")
+IFERROR(IF(OR(Inputs!$C$86=0,Inputs!$C$86="",ISERROR(Inputs!$C$86)),Inputs!$D$86,Inputs!$C$86*Inputs!$K$9*(1+Inputs!$K$12)^B521),"Error - Check Input")
+IFERROR(IF(OR(Inputs!$C$87=0,Inputs!$C$87="",ISERROR(Inputs!$C$87)),Inputs!$D$87,Inputs!$C$87*Inputs!$K$9*(1+Inputs!$K$12)^B521),"Error - Check Input")
+IFERROR(IF(OR(Inputs!$C$88=0,Inputs!$C$88="",ISERROR(Inputs!$C$88)),Inputs!$D$88,Inputs!$C$88*Inputs!$K$9*(1+Inputs!$K$12)^B521),"Error - Check Input")
+IFERROR(IF(OR(Inputs!$C$89=0,Inputs!$C$89="",ISERROR(Inputs!$C$89)),Inputs!$D$89,Inputs!$C$89*Inputs!$K$9*(1+Inputs!$K$12)^B521),"Error - Check Input")
+IFERROR(IF(OR(Inputs!$C$90=0,Inputs!$C$90="",ISERROR(Inputs!$C$90)),Inputs!$D$90,Inputs!$C$90*Inputs!$K$9*(1+Inputs!$K$12)^B521),"Error - Check Input")
+IFERROR(IF(OR(Inputs!$C$93=0,Inputs!$C$93="",ISERROR(Inputs!$C$93)),Inputs!$D$93,Inputs!$C$93*Inputs!$K$9*(1+Inputs!$K$12)^B521),"Error - Check Input")</f>
        <v>129598.89600859942</v>
      </c>
      <c r="D521" s="17"/>
    </row>
    <row r="522" spans="2:4" x14ac:dyDescent="0.35">
      <c r="B522" s="18">
        <v>331</v>
      </c>
      <c r="C522" s="6">
        <f>IFERROR(IF(OR(Inputs!$C$84=0,Inputs!$C$84="",ISERROR(Inputs!$C$84)),Inputs!$D$84,Inputs!$C$84*Inputs!$K$9*(1+Inputs!$K$12)^B522),"Error - Check Input")
+IFERROR(IF(OR(Inputs!$C$85=0,Inputs!$C$85="",ISERROR(Inputs!$C$85)),Inputs!$D$85,Inputs!$C$85*Inputs!$K$9*(1+Inputs!$K$12)^B522),"Error - Check Input")
+IFERROR(IF(OR(Inputs!$C$86=0,Inputs!$C$86="",ISERROR(Inputs!$C$86)),Inputs!$D$86,Inputs!$C$86*Inputs!$K$9*(1+Inputs!$K$12)^B522),"Error - Check Input")
+IFERROR(IF(OR(Inputs!$C$87=0,Inputs!$C$87="",ISERROR(Inputs!$C$87)),Inputs!$D$87,Inputs!$C$87*Inputs!$K$9*(1+Inputs!$K$12)^B522),"Error - Check Input")
+IFERROR(IF(OR(Inputs!$C$88=0,Inputs!$C$88="",ISERROR(Inputs!$C$88)),Inputs!$D$88,Inputs!$C$88*Inputs!$K$9*(1+Inputs!$K$12)^B522),"Error - Check Input")
+IFERROR(IF(OR(Inputs!$C$89=0,Inputs!$C$89="",ISERROR(Inputs!$C$89)),Inputs!$D$89,Inputs!$C$89*Inputs!$K$9*(1+Inputs!$K$12)^B522),"Error - Check Input")
+IFERROR(IF(OR(Inputs!$C$90=0,Inputs!$C$90="",ISERROR(Inputs!$C$90)),Inputs!$D$90,Inputs!$C$90*Inputs!$K$9*(1+Inputs!$K$12)^B522),"Error - Check Input")
+IFERROR(IF(OR(Inputs!$C$93=0,Inputs!$C$93="",ISERROR(Inputs!$C$93)),Inputs!$D$93,Inputs!$C$93*Inputs!$K$9*(1+Inputs!$K$12)^B522),"Error - Check Input")</f>
        <v>130108.56439613619</v>
      </c>
      <c r="D522" s="17"/>
    </row>
    <row r="523" spans="2:4" x14ac:dyDescent="0.35">
      <c r="B523" s="18">
        <v>332</v>
      </c>
      <c r="C523" s="6">
        <f>IFERROR(IF(OR(Inputs!$C$84=0,Inputs!$C$84="",ISERROR(Inputs!$C$84)),Inputs!$D$84,Inputs!$C$84*Inputs!$K$9*(1+Inputs!$K$12)^B523),"Error - Check Input")
+IFERROR(IF(OR(Inputs!$C$85=0,Inputs!$C$85="",ISERROR(Inputs!$C$85)),Inputs!$D$85,Inputs!$C$85*Inputs!$K$9*(1+Inputs!$K$12)^B523),"Error - Check Input")
+IFERROR(IF(OR(Inputs!$C$86=0,Inputs!$C$86="",ISERROR(Inputs!$C$86)),Inputs!$D$86,Inputs!$C$86*Inputs!$K$9*(1+Inputs!$K$12)^B523),"Error - Check Input")
+IFERROR(IF(OR(Inputs!$C$87=0,Inputs!$C$87="",ISERROR(Inputs!$C$87)),Inputs!$D$87,Inputs!$C$87*Inputs!$K$9*(1+Inputs!$K$12)^B523),"Error - Check Input")
+IFERROR(IF(OR(Inputs!$C$88=0,Inputs!$C$88="",ISERROR(Inputs!$C$88)),Inputs!$D$88,Inputs!$C$88*Inputs!$K$9*(1+Inputs!$K$12)^B523),"Error - Check Input")
+IFERROR(IF(OR(Inputs!$C$89=0,Inputs!$C$89="",ISERROR(Inputs!$C$89)),Inputs!$D$89,Inputs!$C$89*Inputs!$K$9*(1+Inputs!$K$12)^B523),"Error - Check Input")
+IFERROR(IF(OR(Inputs!$C$90=0,Inputs!$C$90="",ISERROR(Inputs!$C$90)),Inputs!$D$90,Inputs!$C$90*Inputs!$K$9*(1+Inputs!$K$12)^B523),"Error - Check Input")
+IFERROR(IF(OR(Inputs!$C$93=0,Inputs!$C$93="",ISERROR(Inputs!$C$93)),Inputs!$D$93,Inputs!$C$93*Inputs!$K$9*(1+Inputs!$K$12)^B523),"Error - Check Input")</f>
        <v>130620.30923577244</v>
      </c>
      <c r="D523" s="17"/>
    </row>
    <row r="524" spans="2:4" x14ac:dyDescent="0.35">
      <c r="B524" s="18">
        <v>333</v>
      </c>
      <c r="C524" s="6">
        <f>IFERROR(IF(OR(Inputs!$C$84=0,Inputs!$C$84="",ISERROR(Inputs!$C$84)),Inputs!$D$84,Inputs!$C$84*Inputs!$K$9*(1+Inputs!$K$12)^B524),"Error - Check Input")
+IFERROR(IF(OR(Inputs!$C$85=0,Inputs!$C$85="",ISERROR(Inputs!$C$85)),Inputs!$D$85,Inputs!$C$85*Inputs!$K$9*(1+Inputs!$K$12)^B524),"Error - Check Input")
+IFERROR(IF(OR(Inputs!$C$86=0,Inputs!$C$86="",ISERROR(Inputs!$C$86)),Inputs!$D$86,Inputs!$C$86*Inputs!$K$9*(1+Inputs!$K$12)^B524),"Error - Check Input")
+IFERROR(IF(OR(Inputs!$C$87=0,Inputs!$C$87="",ISERROR(Inputs!$C$87)),Inputs!$D$87,Inputs!$C$87*Inputs!$K$9*(1+Inputs!$K$12)^B524),"Error - Check Input")
+IFERROR(IF(OR(Inputs!$C$88=0,Inputs!$C$88="",ISERROR(Inputs!$C$88)),Inputs!$D$88,Inputs!$C$88*Inputs!$K$9*(1+Inputs!$K$12)^B524),"Error - Check Input")
+IFERROR(IF(OR(Inputs!$C$89=0,Inputs!$C$89="",ISERROR(Inputs!$C$89)),Inputs!$D$89,Inputs!$C$89*Inputs!$K$9*(1+Inputs!$K$12)^B524),"Error - Check Input")
+IFERROR(IF(OR(Inputs!$C$90=0,Inputs!$C$90="",ISERROR(Inputs!$C$90)),Inputs!$D$90,Inputs!$C$90*Inputs!$K$9*(1+Inputs!$K$12)^B524),"Error - Check Input")
+IFERROR(IF(OR(Inputs!$C$93=0,Inputs!$C$93="",ISERROR(Inputs!$C$93)),Inputs!$D$93,Inputs!$C$93*Inputs!$K$9*(1+Inputs!$K$12)^B524),"Error - Check Input")</f>
        <v>131134.13898723098</v>
      </c>
      <c r="D524" s="17"/>
    </row>
    <row r="525" spans="2:4" x14ac:dyDescent="0.35">
      <c r="B525" s="18">
        <v>334</v>
      </c>
      <c r="C525" s="6">
        <f>IFERROR(IF(OR(Inputs!$C$84=0,Inputs!$C$84="",ISERROR(Inputs!$C$84)),Inputs!$D$84,Inputs!$C$84*Inputs!$K$9*(1+Inputs!$K$12)^B525),"Error - Check Input")
+IFERROR(IF(OR(Inputs!$C$85=0,Inputs!$C$85="",ISERROR(Inputs!$C$85)),Inputs!$D$85,Inputs!$C$85*Inputs!$K$9*(1+Inputs!$K$12)^B525),"Error - Check Input")
+IFERROR(IF(OR(Inputs!$C$86=0,Inputs!$C$86="",ISERROR(Inputs!$C$86)),Inputs!$D$86,Inputs!$C$86*Inputs!$K$9*(1+Inputs!$K$12)^B525),"Error - Check Input")
+IFERROR(IF(OR(Inputs!$C$87=0,Inputs!$C$87="",ISERROR(Inputs!$C$87)),Inputs!$D$87,Inputs!$C$87*Inputs!$K$9*(1+Inputs!$K$12)^B525),"Error - Check Input")
+IFERROR(IF(OR(Inputs!$C$88=0,Inputs!$C$88="",ISERROR(Inputs!$C$88)),Inputs!$D$88,Inputs!$C$88*Inputs!$K$9*(1+Inputs!$K$12)^B525),"Error - Check Input")
+IFERROR(IF(OR(Inputs!$C$89=0,Inputs!$C$89="",ISERROR(Inputs!$C$89)),Inputs!$D$89,Inputs!$C$89*Inputs!$K$9*(1+Inputs!$K$12)^B525),"Error - Check Input")
+IFERROR(IF(OR(Inputs!$C$90=0,Inputs!$C$90="",ISERROR(Inputs!$C$90)),Inputs!$D$90,Inputs!$C$90*Inputs!$K$9*(1+Inputs!$K$12)^B525),"Error - Check Input")
+IFERROR(IF(OR(Inputs!$C$93=0,Inputs!$C$93="",ISERROR(Inputs!$C$93)),Inputs!$D$93,Inputs!$C$93*Inputs!$K$9*(1+Inputs!$K$12)^B525),"Error - Check Input")</f>
        <v>131650.0621447007</v>
      </c>
      <c r="D525" s="17"/>
    </row>
    <row r="526" spans="2:4" x14ac:dyDescent="0.35">
      <c r="B526" s="18">
        <v>335</v>
      </c>
      <c r="C526" s="6">
        <f>IFERROR(IF(OR(Inputs!$C$84=0,Inputs!$C$84="",ISERROR(Inputs!$C$84)),Inputs!$D$84,Inputs!$C$84*Inputs!$K$9*(1+Inputs!$K$12)^B526),"Error - Check Input")
+IFERROR(IF(OR(Inputs!$C$85=0,Inputs!$C$85="",ISERROR(Inputs!$C$85)),Inputs!$D$85,Inputs!$C$85*Inputs!$K$9*(1+Inputs!$K$12)^B526),"Error - Check Input")
+IFERROR(IF(OR(Inputs!$C$86=0,Inputs!$C$86="",ISERROR(Inputs!$C$86)),Inputs!$D$86,Inputs!$C$86*Inputs!$K$9*(1+Inputs!$K$12)^B526),"Error - Check Input")
+IFERROR(IF(OR(Inputs!$C$87=0,Inputs!$C$87="",ISERROR(Inputs!$C$87)),Inputs!$D$87,Inputs!$C$87*Inputs!$K$9*(1+Inputs!$K$12)^B526),"Error - Check Input")
+IFERROR(IF(OR(Inputs!$C$88=0,Inputs!$C$88="",ISERROR(Inputs!$C$88)),Inputs!$D$88,Inputs!$C$88*Inputs!$K$9*(1+Inputs!$K$12)^B526),"Error - Check Input")
+IFERROR(IF(OR(Inputs!$C$89=0,Inputs!$C$89="",ISERROR(Inputs!$C$89)),Inputs!$D$89,Inputs!$C$89*Inputs!$K$9*(1+Inputs!$K$12)^B526),"Error - Check Input")
+IFERROR(IF(OR(Inputs!$C$90=0,Inputs!$C$90="",ISERROR(Inputs!$C$90)),Inputs!$D$90,Inputs!$C$90*Inputs!$K$9*(1+Inputs!$K$12)^B526),"Error - Check Input")
+IFERROR(IF(OR(Inputs!$C$93=0,Inputs!$C$93="",ISERROR(Inputs!$C$93)),Inputs!$D$93,Inputs!$C$93*Inputs!$K$9*(1+Inputs!$K$12)^B526),"Error - Check Input")</f>
        <v>132168.08723697677</v>
      </c>
      <c r="D526" s="17"/>
    </row>
    <row r="527" spans="2:4" x14ac:dyDescent="0.35">
      <c r="B527" s="18">
        <v>336</v>
      </c>
      <c r="C527" s="6">
        <f>IFERROR(IF(OR(Inputs!$C$84=0,Inputs!$C$84="",ISERROR(Inputs!$C$84)),Inputs!$D$84,Inputs!$C$84*Inputs!$K$9*(1+Inputs!$K$12)^B527),"Error - Check Input")
+IFERROR(IF(OR(Inputs!$C$85=0,Inputs!$C$85="",ISERROR(Inputs!$C$85)),Inputs!$D$85,Inputs!$C$85*Inputs!$K$9*(1+Inputs!$K$12)^B527),"Error - Check Input")
+IFERROR(IF(OR(Inputs!$C$86=0,Inputs!$C$86="",ISERROR(Inputs!$C$86)),Inputs!$D$86,Inputs!$C$86*Inputs!$K$9*(1+Inputs!$K$12)^B527),"Error - Check Input")
+IFERROR(IF(OR(Inputs!$C$87=0,Inputs!$C$87="",ISERROR(Inputs!$C$87)),Inputs!$D$87,Inputs!$C$87*Inputs!$K$9*(1+Inputs!$K$12)^B527),"Error - Check Input")
+IFERROR(IF(OR(Inputs!$C$88=0,Inputs!$C$88="",ISERROR(Inputs!$C$88)),Inputs!$D$88,Inputs!$C$88*Inputs!$K$9*(1+Inputs!$K$12)^B527),"Error - Check Input")
+IFERROR(IF(OR(Inputs!$C$89=0,Inputs!$C$89="",ISERROR(Inputs!$C$89)),Inputs!$D$89,Inputs!$C$89*Inputs!$K$9*(1+Inputs!$K$12)^B527),"Error - Check Input")
+IFERROR(IF(OR(Inputs!$C$90=0,Inputs!$C$90="",ISERROR(Inputs!$C$90)),Inputs!$D$90,Inputs!$C$90*Inputs!$K$9*(1+Inputs!$K$12)^B527),"Error - Check Input")
+IFERROR(IF(OR(Inputs!$C$93=0,Inputs!$C$93="",ISERROR(Inputs!$C$93)),Inputs!$D$93,Inputs!$C$93*Inputs!$K$9*(1+Inputs!$K$12)^B527),"Error - Check Input")</f>
        <v>132688.22282760189</v>
      </c>
      <c r="D527" s="17"/>
    </row>
    <row r="528" spans="2:4" x14ac:dyDescent="0.35">
      <c r="B528" s="18">
        <v>337</v>
      </c>
      <c r="C528" s="6">
        <f>IFERROR(IF(OR(Inputs!$C$84=0,Inputs!$C$84="",ISERROR(Inputs!$C$84)),Inputs!$D$84,Inputs!$C$84*Inputs!$K$9*(1+Inputs!$K$12)^B528),"Error - Check Input")
+IFERROR(IF(OR(Inputs!$C$85=0,Inputs!$C$85="",ISERROR(Inputs!$C$85)),Inputs!$D$85,Inputs!$C$85*Inputs!$K$9*(1+Inputs!$K$12)^B528),"Error - Check Input")
+IFERROR(IF(OR(Inputs!$C$86=0,Inputs!$C$86="",ISERROR(Inputs!$C$86)),Inputs!$D$86,Inputs!$C$86*Inputs!$K$9*(1+Inputs!$K$12)^B528),"Error - Check Input")
+IFERROR(IF(OR(Inputs!$C$87=0,Inputs!$C$87="",ISERROR(Inputs!$C$87)),Inputs!$D$87,Inputs!$C$87*Inputs!$K$9*(1+Inputs!$K$12)^B528),"Error - Check Input")
+IFERROR(IF(OR(Inputs!$C$88=0,Inputs!$C$88="",ISERROR(Inputs!$C$88)),Inputs!$D$88,Inputs!$C$88*Inputs!$K$9*(1+Inputs!$K$12)^B528),"Error - Check Input")
+IFERROR(IF(OR(Inputs!$C$89=0,Inputs!$C$89="",ISERROR(Inputs!$C$89)),Inputs!$D$89,Inputs!$C$89*Inputs!$K$9*(1+Inputs!$K$12)^B528),"Error - Check Input")
+IFERROR(IF(OR(Inputs!$C$90=0,Inputs!$C$90="",ISERROR(Inputs!$C$90)),Inputs!$D$90,Inputs!$C$90*Inputs!$K$9*(1+Inputs!$K$12)^B528),"Error - Check Input")
+IFERROR(IF(OR(Inputs!$C$93=0,Inputs!$C$93="",ISERROR(Inputs!$C$93)),Inputs!$D$93,Inputs!$C$93*Inputs!$K$9*(1+Inputs!$K$12)^B528),"Error - Check Input")</f>
        <v>133210.47751500743</v>
      </c>
      <c r="D528" s="17"/>
    </row>
    <row r="529" spans="2:4" x14ac:dyDescent="0.35">
      <c r="B529" s="18">
        <v>338</v>
      </c>
      <c r="C529" s="6">
        <f>IFERROR(IF(OR(Inputs!$C$84=0,Inputs!$C$84="",ISERROR(Inputs!$C$84)),Inputs!$D$84,Inputs!$C$84*Inputs!$K$9*(1+Inputs!$K$12)^B529),"Error - Check Input")
+IFERROR(IF(OR(Inputs!$C$85=0,Inputs!$C$85="",ISERROR(Inputs!$C$85)),Inputs!$D$85,Inputs!$C$85*Inputs!$K$9*(1+Inputs!$K$12)^B529),"Error - Check Input")
+IFERROR(IF(OR(Inputs!$C$86=0,Inputs!$C$86="",ISERROR(Inputs!$C$86)),Inputs!$D$86,Inputs!$C$86*Inputs!$K$9*(1+Inputs!$K$12)^B529),"Error - Check Input")
+IFERROR(IF(OR(Inputs!$C$87=0,Inputs!$C$87="",ISERROR(Inputs!$C$87)),Inputs!$D$87,Inputs!$C$87*Inputs!$K$9*(1+Inputs!$K$12)^B529),"Error - Check Input")
+IFERROR(IF(OR(Inputs!$C$88=0,Inputs!$C$88="",ISERROR(Inputs!$C$88)),Inputs!$D$88,Inputs!$C$88*Inputs!$K$9*(1+Inputs!$K$12)^B529),"Error - Check Input")
+IFERROR(IF(OR(Inputs!$C$89=0,Inputs!$C$89="",ISERROR(Inputs!$C$89)),Inputs!$D$89,Inputs!$C$89*Inputs!$K$9*(1+Inputs!$K$12)^B529),"Error - Check Input")
+IFERROR(IF(OR(Inputs!$C$90=0,Inputs!$C$90="",ISERROR(Inputs!$C$90)),Inputs!$D$90,Inputs!$C$90*Inputs!$K$9*(1+Inputs!$K$12)^B529),"Error - Check Input")
+IFERROR(IF(OR(Inputs!$C$93=0,Inputs!$C$93="",ISERROR(Inputs!$C$93)),Inputs!$D$93,Inputs!$C$93*Inputs!$K$9*(1+Inputs!$K$12)^B529),"Error - Check Input")</f>
        <v>133734.85993265605</v>
      </c>
      <c r="D529" s="17"/>
    </row>
    <row r="530" spans="2:4" x14ac:dyDescent="0.35">
      <c r="B530" s="18">
        <v>339</v>
      </c>
      <c r="C530" s="6">
        <f>IFERROR(IF(OR(Inputs!$C$84=0,Inputs!$C$84="",ISERROR(Inputs!$C$84)),Inputs!$D$84,Inputs!$C$84*Inputs!$K$9*(1+Inputs!$K$12)^B530),"Error - Check Input")
+IFERROR(IF(OR(Inputs!$C$85=0,Inputs!$C$85="",ISERROR(Inputs!$C$85)),Inputs!$D$85,Inputs!$C$85*Inputs!$K$9*(1+Inputs!$K$12)^B530),"Error - Check Input")
+IFERROR(IF(OR(Inputs!$C$86=0,Inputs!$C$86="",ISERROR(Inputs!$C$86)),Inputs!$D$86,Inputs!$C$86*Inputs!$K$9*(1+Inputs!$K$12)^B530),"Error - Check Input")
+IFERROR(IF(OR(Inputs!$C$87=0,Inputs!$C$87="",ISERROR(Inputs!$C$87)),Inputs!$D$87,Inputs!$C$87*Inputs!$K$9*(1+Inputs!$K$12)^B530),"Error - Check Input")
+IFERROR(IF(OR(Inputs!$C$88=0,Inputs!$C$88="",ISERROR(Inputs!$C$88)),Inputs!$D$88,Inputs!$C$88*Inputs!$K$9*(1+Inputs!$K$12)^B530),"Error - Check Input")
+IFERROR(IF(OR(Inputs!$C$89=0,Inputs!$C$89="",ISERROR(Inputs!$C$89)),Inputs!$D$89,Inputs!$C$89*Inputs!$K$9*(1+Inputs!$K$12)^B530),"Error - Check Input")
+IFERROR(IF(OR(Inputs!$C$90=0,Inputs!$C$90="",ISERROR(Inputs!$C$90)),Inputs!$D$90,Inputs!$C$90*Inputs!$K$9*(1+Inputs!$K$12)^B530),"Error - Check Input")
+IFERROR(IF(OR(Inputs!$C$93=0,Inputs!$C$93="",ISERROR(Inputs!$C$93)),Inputs!$D$93,Inputs!$C$93*Inputs!$K$9*(1+Inputs!$K$12)^B530),"Error - Check Input")</f>
        <v>134261.37874918416</v>
      </c>
      <c r="D530" s="17"/>
    </row>
    <row r="531" spans="2:4" x14ac:dyDescent="0.35">
      <c r="B531" s="18">
        <v>340</v>
      </c>
      <c r="C531" s="6">
        <f>IFERROR(IF(OR(Inputs!$C$84=0,Inputs!$C$84="",ISERROR(Inputs!$C$84)),Inputs!$D$84,Inputs!$C$84*Inputs!$K$9*(1+Inputs!$K$12)^B531),"Error - Check Input")
+IFERROR(IF(OR(Inputs!$C$85=0,Inputs!$C$85="",ISERROR(Inputs!$C$85)),Inputs!$D$85,Inputs!$C$85*Inputs!$K$9*(1+Inputs!$K$12)^B531),"Error - Check Input")
+IFERROR(IF(OR(Inputs!$C$86=0,Inputs!$C$86="",ISERROR(Inputs!$C$86)),Inputs!$D$86,Inputs!$C$86*Inputs!$K$9*(1+Inputs!$K$12)^B531),"Error - Check Input")
+IFERROR(IF(OR(Inputs!$C$87=0,Inputs!$C$87="",ISERROR(Inputs!$C$87)),Inputs!$D$87,Inputs!$C$87*Inputs!$K$9*(1+Inputs!$K$12)^B531),"Error - Check Input")
+IFERROR(IF(OR(Inputs!$C$88=0,Inputs!$C$88="",ISERROR(Inputs!$C$88)),Inputs!$D$88,Inputs!$C$88*Inputs!$K$9*(1+Inputs!$K$12)^B531),"Error - Check Input")
+IFERROR(IF(OR(Inputs!$C$89=0,Inputs!$C$89="",ISERROR(Inputs!$C$89)),Inputs!$D$89,Inputs!$C$89*Inputs!$K$9*(1+Inputs!$K$12)^B531),"Error - Check Input")
+IFERROR(IF(OR(Inputs!$C$90=0,Inputs!$C$90="",ISERROR(Inputs!$C$90)),Inputs!$D$90,Inputs!$C$90*Inputs!$K$9*(1+Inputs!$K$12)^B531),"Error - Check Input")
+IFERROR(IF(OR(Inputs!$C$93=0,Inputs!$C$93="",ISERROR(Inputs!$C$93)),Inputs!$D$93,Inputs!$C$93*Inputs!$K$9*(1+Inputs!$K$12)^B531),"Error - Check Input")</f>
        <v>134790.04266854521</v>
      </c>
      <c r="D531" s="17"/>
    </row>
    <row r="532" spans="2:4" x14ac:dyDescent="0.35">
      <c r="B532" s="18">
        <v>341</v>
      </c>
      <c r="C532" s="6">
        <f>IFERROR(IF(OR(Inputs!$C$84=0,Inputs!$C$84="",ISERROR(Inputs!$C$84)),Inputs!$D$84,Inputs!$C$84*Inputs!$K$9*(1+Inputs!$K$12)^B532),"Error - Check Input")
+IFERROR(IF(OR(Inputs!$C$85=0,Inputs!$C$85="",ISERROR(Inputs!$C$85)),Inputs!$D$85,Inputs!$C$85*Inputs!$K$9*(1+Inputs!$K$12)^B532),"Error - Check Input")
+IFERROR(IF(OR(Inputs!$C$86=0,Inputs!$C$86="",ISERROR(Inputs!$C$86)),Inputs!$D$86,Inputs!$C$86*Inputs!$K$9*(1+Inputs!$K$12)^B532),"Error - Check Input")
+IFERROR(IF(OR(Inputs!$C$87=0,Inputs!$C$87="",ISERROR(Inputs!$C$87)),Inputs!$D$87,Inputs!$C$87*Inputs!$K$9*(1+Inputs!$K$12)^B532),"Error - Check Input")
+IFERROR(IF(OR(Inputs!$C$88=0,Inputs!$C$88="",ISERROR(Inputs!$C$88)),Inputs!$D$88,Inputs!$C$88*Inputs!$K$9*(1+Inputs!$K$12)^B532),"Error - Check Input")
+IFERROR(IF(OR(Inputs!$C$89=0,Inputs!$C$89="",ISERROR(Inputs!$C$89)),Inputs!$D$89,Inputs!$C$89*Inputs!$K$9*(1+Inputs!$K$12)^B532),"Error - Check Input")
+IFERROR(IF(OR(Inputs!$C$90=0,Inputs!$C$90="",ISERROR(Inputs!$C$90)),Inputs!$D$90,Inputs!$C$90*Inputs!$K$9*(1+Inputs!$K$12)^B532),"Error - Check Input")
+IFERROR(IF(OR(Inputs!$C$93=0,Inputs!$C$93="",ISERROR(Inputs!$C$93)),Inputs!$D$93,Inputs!$C$93*Inputs!$K$9*(1+Inputs!$K$12)^B532),"Error - Check Input")</f>
        <v>135320.86043015373</v>
      </c>
      <c r="D532" s="17"/>
    </row>
    <row r="533" spans="2:4" x14ac:dyDescent="0.35">
      <c r="B533" s="18">
        <v>342</v>
      </c>
      <c r="C533" s="6">
        <f>IFERROR(IF(OR(Inputs!$C$84=0,Inputs!$C$84="",ISERROR(Inputs!$C$84)),Inputs!$D$84,Inputs!$C$84*Inputs!$K$9*(1+Inputs!$K$12)^B533),"Error - Check Input")
+IFERROR(IF(OR(Inputs!$C$85=0,Inputs!$C$85="",ISERROR(Inputs!$C$85)),Inputs!$D$85,Inputs!$C$85*Inputs!$K$9*(1+Inputs!$K$12)^B533),"Error - Check Input")
+IFERROR(IF(OR(Inputs!$C$86=0,Inputs!$C$86="",ISERROR(Inputs!$C$86)),Inputs!$D$86,Inputs!$C$86*Inputs!$K$9*(1+Inputs!$K$12)^B533),"Error - Check Input")
+IFERROR(IF(OR(Inputs!$C$87=0,Inputs!$C$87="",ISERROR(Inputs!$C$87)),Inputs!$D$87,Inputs!$C$87*Inputs!$K$9*(1+Inputs!$K$12)^B533),"Error - Check Input")
+IFERROR(IF(OR(Inputs!$C$88=0,Inputs!$C$88="",ISERROR(Inputs!$C$88)),Inputs!$D$88,Inputs!$C$88*Inputs!$K$9*(1+Inputs!$K$12)^B533),"Error - Check Input")
+IFERROR(IF(OR(Inputs!$C$89=0,Inputs!$C$89="",ISERROR(Inputs!$C$89)),Inputs!$D$89,Inputs!$C$89*Inputs!$K$9*(1+Inputs!$K$12)^B533),"Error - Check Input")
+IFERROR(IF(OR(Inputs!$C$90=0,Inputs!$C$90="",ISERROR(Inputs!$C$90)),Inputs!$D$90,Inputs!$C$90*Inputs!$K$9*(1+Inputs!$K$12)^B533),"Error - Check Input")
+IFERROR(IF(OR(Inputs!$C$93=0,Inputs!$C$93="",ISERROR(Inputs!$C$93)),Inputs!$D$93,Inputs!$C$93*Inputs!$K$9*(1+Inputs!$K$12)^B533),"Error - Check Input")</f>
        <v>135853.84080902953</v>
      </c>
      <c r="D533" s="17"/>
    </row>
    <row r="534" spans="2:4" x14ac:dyDescent="0.35">
      <c r="B534" s="18">
        <v>343</v>
      </c>
      <c r="C534" s="6">
        <f>IFERROR(IF(OR(Inputs!$C$84=0,Inputs!$C$84="",ISERROR(Inputs!$C$84)),Inputs!$D$84,Inputs!$C$84*Inputs!$K$9*(1+Inputs!$K$12)^B534),"Error - Check Input")
+IFERROR(IF(OR(Inputs!$C$85=0,Inputs!$C$85="",ISERROR(Inputs!$C$85)),Inputs!$D$85,Inputs!$C$85*Inputs!$K$9*(1+Inputs!$K$12)^B534),"Error - Check Input")
+IFERROR(IF(OR(Inputs!$C$86=0,Inputs!$C$86="",ISERROR(Inputs!$C$86)),Inputs!$D$86,Inputs!$C$86*Inputs!$K$9*(1+Inputs!$K$12)^B534),"Error - Check Input")
+IFERROR(IF(OR(Inputs!$C$87=0,Inputs!$C$87="",ISERROR(Inputs!$C$87)),Inputs!$D$87,Inputs!$C$87*Inputs!$K$9*(1+Inputs!$K$12)^B534),"Error - Check Input")
+IFERROR(IF(OR(Inputs!$C$88=0,Inputs!$C$88="",ISERROR(Inputs!$C$88)),Inputs!$D$88,Inputs!$C$88*Inputs!$K$9*(1+Inputs!$K$12)^B534),"Error - Check Input")
+IFERROR(IF(OR(Inputs!$C$89=0,Inputs!$C$89="",ISERROR(Inputs!$C$89)),Inputs!$D$89,Inputs!$C$89*Inputs!$K$9*(1+Inputs!$K$12)^B534),"Error - Check Input")
+IFERROR(IF(OR(Inputs!$C$90=0,Inputs!$C$90="",ISERROR(Inputs!$C$90)),Inputs!$D$90,Inputs!$C$90*Inputs!$K$9*(1+Inputs!$K$12)^B534),"Error - Check Input")
+IFERROR(IF(OR(Inputs!$C$93=0,Inputs!$C$93="",ISERROR(Inputs!$C$93)),Inputs!$D$93,Inputs!$C$93*Inputs!$K$9*(1+Inputs!$K$12)^B534),"Error - Check Input")</f>
        <v>136388.99261594313</v>
      </c>
      <c r="D534" s="17"/>
    </row>
    <row r="535" spans="2:4" x14ac:dyDescent="0.35">
      <c r="B535" s="18">
        <v>344</v>
      </c>
      <c r="C535" s="6">
        <f>IFERROR(IF(OR(Inputs!$C$84=0,Inputs!$C$84="",ISERROR(Inputs!$C$84)),Inputs!$D$84,Inputs!$C$84*Inputs!$K$9*(1+Inputs!$K$12)^B535),"Error - Check Input")
+IFERROR(IF(OR(Inputs!$C$85=0,Inputs!$C$85="",ISERROR(Inputs!$C$85)),Inputs!$D$85,Inputs!$C$85*Inputs!$K$9*(1+Inputs!$K$12)^B535),"Error - Check Input")
+IFERROR(IF(OR(Inputs!$C$86=0,Inputs!$C$86="",ISERROR(Inputs!$C$86)),Inputs!$D$86,Inputs!$C$86*Inputs!$K$9*(1+Inputs!$K$12)^B535),"Error - Check Input")
+IFERROR(IF(OR(Inputs!$C$87=0,Inputs!$C$87="",ISERROR(Inputs!$C$87)),Inputs!$D$87,Inputs!$C$87*Inputs!$K$9*(1+Inputs!$K$12)^B535),"Error - Check Input")
+IFERROR(IF(OR(Inputs!$C$88=0,Inputs!$C$88="",ISERROR(Inputs!$C$88)),Inputs!$D$88,Inputs!$C$88*Inputs!$K$9*(1+Inputs!$K$12)^B535),"Error - Check Input")
+IFERROR(IF(OR(Inputs!$C$89=0,Inputs!$C$89="",ISERROR(Inputs!$C$89)),Inputs!$D$89,Inputs!$C$89*Inputs!$K$9*(1+Inputs!$K$12)^B535),"Error - Check Input")
+IFERROR(IF(OR(Inputs!$C$90=0,Inputs!$C$90="",ISERROR(Inputs!$C$90)),Inputs!$D$90,Inputs!$C$90*Inputs!$K$9*(1+Inputs!$K$12)^B535),"Error - Check Input")
+IFERROR(IF(OR(Inputs!$C$93=0,Inputs!$C$93="",ISERROR(Inputs!$C$93)),Inputs!$D$93,Inputs!$C$93*Inputs!$K$9*(1+Inputs!$K$12)^B535),"Error - Check Input")</f>
        <v>136926.32469756121</v>
      </c>
      <c r="D535" s="17"/>
    </row>
    <row r="536" spans="2:4" x14ac:dyDescent="0.35">
      <c r="B536" s="18">
        <v>345</v>
      </c>
      <c r="C536" s="6">
        <f>IFERROR(IF(OR(Inputs!$C$84=0,Inputs!$C$84="",ISERROR(Inputs!$C$84)),Inputs!$D$84,Inputs!$C$84*Inputs!$K$9*(1+Inputs!$K$12)^B536),"Error - Check Input")
+IFERROR(IF(OR(Inputs!$C$85=0,Inputs!$C$85="",ISERROR(Inputs!$C$85)),Inputs!$D$85,Inputs!$C$85*Inputs!$K$9*(1+Inputs!$K$12)^B536),"Error - Check Input")
+IFERROR(IF(OR(Inputs!$C$86=0,Inputs!$C$86="",ISERROR(Inputs!$C$86)),Inputs!$D$86,Inputs!$C$86*Inputs!$K$9*(1+Inputs!$K$12)^B536),"Error - Check Input")
+IFERROR(IF(OR(Inputs!$C$87=0,Inputs!$C$87="",ISERROR(Inputs!$C$87)),Inputs!$D$87,Inputs!$C$87*Inputs!$K$9*(1+Inputs!$K$12)^B536),"Error - Check Input")
+IFERROR(IF(OR(Inputs!$C$88=0,Inputs!$C$88="",ISERROR(Inputs!$C$88)),Inputs!$D$88,Inputs!$C$88*Inputs!$K$9*(1+Inputs!$K$12)^B536),"Error - Check Input")
+IFERROR(IF(OR(Inputs!$C$89=0,Inputs!$C$89="",ISERROR(Inputs!$C$89)),Inputs!$D$89,Inputs!$C$89*Inputs!$K$9*(1+Inputs!$K$12)^B536),"Error - Check Input")
+IFERROR(IF(OR(Inputs!$C$90=0,Inputs!$C$90="",ISERROR(Inputs!$C$90)),Inputs!$D$90,Inputs!$C$90*Inputs!$K$9*(1+Inputs!$K$12)^B536),"Error - Check Input")
+IFERROR(IF(OR(Inputs!$C$93=0,Inputs!$C$93="",ISERROR(Inputs!$C$93)),Inputs!$D$93,Inputs!$C$93*Inputs!$K$9*(1+Inputs!$K$12)^B536),"Error - Check Input")</f>
        <v>137465.8459365927</v>
      </c>
      <c r="D536" s="17"/>
    </row>
    <row r="537" spans="2:4" x14ac:dyDescent="0.35">
      <c r="B537" s="18">
        <v>346</v>
      </c>
      <c r="C537" s="6">
        <f>IFERROR(IF(OR(Inputs!$C$84=0,Inputs!$C$84="",ISERROR(Inputs!$C$84)),Inputs!$D$84,Inputs!$C$84*Inputs!$K$9*(1+Inputs!$K$12)^B537),"Error - Check Input")
+IFERROR(IF(OR(Inputs!$C$85=0,Inputs!$C$85="",ISERROR(Inputs!$C$85)),Inputs!$D$85,Inputs!$C$85*Inputs!$K$9*(1+Inputs!$K$12)^B537),"Error - Check Input")
+IFERROR(IF(OR(Inputs!$C$86=0,Inputs!$C$86="",ISERROR(Inputs!$C$86)),Inputs!$D$86,Inputs!$C$86*Inputs!$K$9*(1+Inputs!$K$12)^B537),"Error - Check Input")
+IFERROR(IF(OR(Inputs!$C$87=0,Inputs!$C$87="",ISERROR(Inputs!$C$87)),Inputs!$D$87,Inputs!$C$87*Inputs!$K$9*(1+Inputs!$K$12)^B537),"Error - Check Input")
+IFERROR(IF(OR(Inputs!$C$88=0,Inputs!$C$88="",ISERROR(Inputs!$C$88)),Inputs!$D$88,Inputs!$C$88*Inputs!$K$9*(1+Inputs!$K$12)^B537),"Error - Check Input")
+IFERROR(IF(OR(Inputs!$C$89=0,Inputs!$C$89="",ISERROR(Inputs!$C$89)),Inputs!$D$89,Inputs!$C$89*Inputs!$K$9*(1+Inputs!$K$12)^B537),"Error - Check Input")
+IFERROR(IF(OR(Inputs!$C$90=0,Inputs!$C$90="",ISERROR(Inputs!$C$90)),Inputs!$D$90,Inputs!$C$90*Inputs!$K$9*(1+Inputs!$K$12)^B537),"Error - Check Input")
+IFERROR(IF(OR(Inputs!$C$93=0,Inputs!$C$93="",ISERROR(Inputs!$C$93)),Inputs!$D$93,Inputs!$C$93*Inputs!$K$9*(1+Inputs!$K$12)^B537),"Error - Check Input")</f>
        <v>138007.56525193588</v>
      </c>
      <c r="D537" s="17"/>
    </row>
    <row r="538" spans="2:4" x14ac:dyDescent="0.35">
      <c r="B538" s="18">
        <v>347</v>
      </c>
      <c r="C538" s="6">
        <f>IFERROR(IF(OR(Inputs!$C$84=0,Inputs!$C$84="",ISERROR(Inputs!$C$84)),Inputs!$D$84,Inputs!$C$84*Inputs!$K$9*(1+Inputs!$K$12)^B538),"Error - Check Input")
+IFERROR(IF(OR(Inputs!$C$85=0,Inputs!$C$85="",ISERROR(Inputs!$C$85)),Inputs!$D$85,Inputs!$C$85*Inputs!$K$9*(1+Inputs!$K$12)^B538),"Error - Check Input")
+IFERROR(IF(OR(Inputs!$C$86=0,Inputs!$C$86="",ISERROR(Inputs!$C$86)),Inputs!$D$86,Inputs!$C$86*Inputs!$K$9*(1+Inputs!$K$12)^B538),"Error - Check Input")
+IFERROR(IF(OR(Inputs!$C$87=0,Inputs!$C$87="",ISERROR(Inputs!$C$87)),Inputs!$D$87,Inputs!$C$87*Inputs!$K$9*(1+Inputs!$K$12)^B538),"Error - Check Input")
+IFERROR(IF(OR(Inputs!$C$88=0,Inputs!$C$88="",ISERROR(Inputs!$C$88)),Inputs!$D$88,Inputs!$C$88*Inputs!$K$9*(1+Inputs!$K$12)^B538),"Error - Check Input")
+IFERROR(IF(OR(Inputs!$C$89=0,Inputs!$C$89="",ISERROR(Inputs!$C$89)),Inputs!$D$89,Inputs!$C$89*Inputs!$K$9*(1+Inputs!$K$12)^B538),"Error - Check Input")
+IFERROR(IF(OR(Inputs!$C$90=0,Inputs!$C$90="",ISERROR(Inputs!$C$90)),Inputs!$D$90,Inputs!$C$90*Inputs!$K$9*(1+Inputs!$K$12)^B538),"Error - Check Input")
+IFERROR(IF(OR(Inputs!$C$93=0,Inputs!$C$93="",ISERROR(Inputs!$C$93)),Inputs!$D$93,Inputs!$C$93*Inputs!$K$9*(1+Inputs!$K$12)^B538),"Error - Check Input")</f>
        <v>138551.49159882579</v>
      </c>
      <c r="D538" s="17"/>
    </row>
    <row r="539" spans="2:4" x14ac:dyDescent="0.35">
      <c r="B539" s="18">
        <v>348</v>
      </c>
      <c r="C539" s="6">
        <f>IFERROR(IF(OR(Inputs!$C$84=0,Inputs!$C$84="",ISERROR(Inputs!$C$84)),Inputs!$D$84,Inputs!$C$84*Inputs!$K$9*(1+Inputs!$K$12)^B539),"Error - Check Input")
+IFERROR(IF(OR(Inputs!$C$85=0,Inputs!$C$85="",ISERROR(Inputs!$C$85)),Inputs!$D$85,Inputs!$C$85*Inputs!$K$9*(1+Inputs!$K$12)^B539),"Error - Check Input")
+IFERROR(IF(OR(Inputs!$C$86=0,Inputs!$C$86="",ISERROR(Inputs!$C$86)),Inputs!$D$86,Inputs!$C$86*Inputs!$K$9*(1+Inputs!$K$12)^B539),"Error - Check Input")
+IFERROR(IF(OR(Inputs!$C$87=0,Inputs!$C$87="",ISERROR(Inputs!$C$87)),Inputs!$D$87,Inputs!$C$87*Inputs!$K$9*(1+Inputs!$K$12)^B539),"Error - Check Input")
+IFERROR(IF(OR(Inputs!$C$88=0,Inputs!$C$88="",ISERROR(Inputs!$C$88)),Inputs!$D$88,Inputs!$C$88*Inputs!$K$9*(1+Inputs!$K$12)^B539),"Error - Check Input")
+IFERROR(IF(OR(Inputs!$C$89=0,Inputs!$C$89="",ISERROR(Inputs!$C$89)),Inputs!$D$89,Inputs!$C$89*Inputs!$K$9*(1+Inputs!$K$12)^B539),"Error - Check Input")
+IFERROR(IF(OR(Inputs!$C$90=0,Inputs!$C$90="",ISERROR(Inputs!$C$90)),Inputs!$D$90,Inputs!$C$90*Inputs!$K$9*(1+Inputs!$K$12)^B539),"Error - Check Input")
+IFERROR(IF(OR(Inputs!$C$93=0,Inputs!$C$93="",ISERROR(Inputs!$C$93)),Inputs!$D$93,Inputs!$C$93*Inputs!$K$9*(1+Inputs!$K$12)^B539),"Error - Check Input")</f>
        <v>139097.63396898212</v>
      </c>
      <c r="D539" s="17"/>
    </row>
    <row r="540" spans="2:4" x14ac:dyDescent="0.35">
      <c r="B540" s="18">
        <v>349</v>
      </c>
      <c r="C540" s="6">
        <f>IFERROR(IF(OR(Inputs!$C$84=0,Inputs!$C$84="",ISERROR(Inputs!$C$84)),Inputs!$D$84,Inputs!$C$84*Inputs!$K$9*(1+Inputs!$K$12)^B540),"Error - Check Input")
+IFERROR(IF(OR(Inputs!$C$85=0,Inputs!$C$85="",ISERROR(Inputs!$C$85)),Inputs!$D$85,Inputs!$C$85*Inputs!$K$9*(1+Inputs!$K$12)^B540),"Error - Check Input")
+IFERROR(IF(OR(Inputs!$C$86=0,Inputs!$C$86="",ISERROR(Inputs!$C$86)),Inputs!$D$86,Inputs!$C$86*Inputs!$K$9*(1+Inputs!$K$12)^B540),"Error - Check Input")
+IFERROR(IF(OR(Inputs!$C$87=0,Inputs!$C$87="",ISERROR(Inputs!$C$87)),Inputs!$D$87,Inputs!$C$87*Inputs!$K$9*(1+Inputs!$K$12)^B540),"Error - Check Input")
+IFERROR(IF(OR(Inputs!$C$88=0,Inputs!$C$88="",ISERROR(Inputs!$C$88)),Inputs!$D$88,Inputs!$C$88*Inputs!$K$9*(1+Inputs!$K$12)^B540),"Error - Check Input")
+IFERROR(IF(OR(Inputs!$C$89=0,Inputs!$C$89="",ISERROR(Inputs!$C$89)),Inputs!$D$89,Inputs!$C$89*Inputs!$K$9*(1+Inputs!$K$12)^B540),"Error - Check Input")
+IFERROR(IF(OR(Inputs!$C$90=0,Inputs!$C$90="",ISERROR(Inputs!$C$90)),Inputs!$D$90,Inputs!$C$90*Inputs!$K$9*(1+Inputs!$K$12)^B540),"Error - Check Input")
+IFERROR(IF(OR(Inputs!$C$93=0,Inputs!$C$93="",ISERROR(Inputs!$C$93)),Inputs!$D$93,Inputs!$C$93*Inputs!$K$9*(1+Inputs!$K$12)^B540),"Error - Check Input")</f>
        <v>139646.00139075794</v>
      </c>
      <c r="D540" s="17"/>
    </row>
    <row r="541" spans="2:4" x14ac:dyDescent="0.35">
      <c r="B541" s="18">
        <v>350</v>
      </c>
      <c r="C541" s="6">
        <f>IFERROR(IF(OR(Inputs!$C$84=0,Inputs!$C$84="",ISERROR(Inputs!$C$84)),Inputs!$D$84,Inputs!$C$84*Inputs!$K$9*(1+Inputs!$K$12)^B541),"Error - Check Input")
+IFERROR(IF(OR(Inputs!$C$85=0,Inputs!$C$85="",ISERROR(Inputs!$C$85)),Inputs!$D$85,Inputs!$C$85*Inputs!$K$9*(1+Inputs!$K$12)^B541),"Error - Check Input")
+IFERROR(IF(OR(Inputs!$C$86=0,Inputs!$C$86="",ISERROR(Inputs!$C$86)),Inputs!$D$86,Inputs!$C$86*Inputs!$K$9*(1+Inputs!$K$12)^B541),"Error - Check Input")
+IFERROR(IF(OR(Inputs!$C$87=0,Inputs!$C$87="",ISERROR(Inputs!$C$87)),Inputs!$D$87,Inputs!$C$87*Inputs!$K$9*(1+Inputs!$K$12)^B541),"Error - Check Input")
+IFERROR(IF(OR(Inputs!$C$88=0,Inputs!$C$88="",ISERROR(Inputs!$C$88)),Inputs!$D$88,Inputs!$C$88*Inputs!$K$9*(1+Inputs!$K$12)^B541),"Error - Check Input")
+IFERROR(IF(OR(Inputs!$C$89=0,Inputs!$C$89="",ISERROR(Inputs!$C$89)),Inputs!$D$89,Inputs!$C$89*Inputs!$K$9*(1+Inputs!$K$12)^B541),"Error - Check Input")
+IFERROR(IF(OR(Inputs!$C$90=0,Inputs!$C$90="",ISERROR(Inputs!$C$90)),Inputs!$D$90,Inputs!$C$90*Inputs!$K$9*(1+Inputs!$K$12)^B541),"Error - Check Input")
+IFERROR(IF(OR(Inputs!$C$93=0,Inputs!$C$93="",ISERROR(Inputs!$C$93)),Inputs!$D$93,Inputs!$C$93*Inputs!$K$9*(1+Inputs!$K$12)^B541),"Error - Check Input")</f>
        <v>140196.60292928902</v>
      </c>
      <c r="D541" s="17"/>
    </row>
    <row r="542" spans="2:4" x14ac:dyDescent="0.35">
      <c r="B542" s="18">
        <v>351</v>
      </c>
      <c r="C542" s="6">
        <f>IFERROR(IF(OR(Inputs!$C$84=0,Inputs!$C$84="",ISERROR(Inputs!$C$84)),Inputs!$D$84,Inputs!$C$84*Inputs!$K$9*(1+Inputs!$K$12)^B542),"Error - Check Input")
+IFERROR(IF(OR(Inputs!$C$85=0,Inputs!$C$85="",ISERROR(Inputs!$C$85)),Inputs!$D$85,Inputs!$C$85*Inputs!$K$9*(1+Inputs!$K$12)^B542),"Error - Check Input")
+IFERROR(IF(OR(Inputs!$C$86=0,Inputs!$C$86="",ISERROR(Inputs!$C$86)),Inputs!$D$86,Inputs!$C$86*Inputs!$K$9*(1+Inputs!$K$12)^B542),"Error - Check Input")
+IFERROR(IF(OR(Inputs!$C$87=0,Inputs!$C$87="",ISERROR(Inputs!$C$87)),Inputs!$D$87,Inputs!$C$87*Inputs!$K$9*(1+Inputs!$K$12)^B542),"Error - Check Input")
+IFERROR(IF(OR(Inputs!$C$88=0,Inputs!$C$88="",ISERROR(Inputs!$C$88)),Inputs!$D$88,Inputs!$C$88*Inputs!$K$9*(1+Inputs!$K$12)^B542),"Error - Check Input")
+IFERROR(IF(OR(Inputs!$C$89=0,Inputs!$C$89="",ISERROR(Inputs!$C$89)),Inputs!$D$89,Inputs!$C$89*Inputs!$K$9*(1+Inputs!$K$12)^B542),"Error - Check Input")
+IFERROR(IF(OR(Inputs!$C$90=0,Inputs!$C$90="",ISERROR(Inputs!$C$90)),Inputs!$D$90,Inputs!$C$90*Inputs!$K$9*(1+Inputs!$K$12)^B542),"Error - Check Input")
+IFERROR(IF(OR(Inputs!$C$93=0,Inputs!$C$93="",ISERROR(Inputs!$C$93)),Inputs!$D$93,Inputs!$C$93*Inputs!$K$9*(1+Inputs!$K$12)^B542),"Error - Check Input")</f>
        <v>140749.44768664351</v>
      </c>
      <c r="D542" s="17"/>
    </row>
    <row r="543" spans="2:4" x14ac:dyDescent="0.35">
      <c r="B543" s="18">
        <v>352</v>
      </c>
      <c r="C543" s="6">
        <f>IFERROR(IF(OR(Inputs!$C$84=0,Inputs!$C$84="",ISERROR(Inputs!$C$84)),Inputs!$D$84,Inputs!$C$84*Inputs!$K$9*(1+Inputs!$K$12)^B543),"Error - Check Input")
+IFERROR(IF(OR(Inputs!$C$85=0,Inputs!$C$85="",ISERROR(Inputs!$C$85)),Inputs!$D$85,Inputs!$C$85*Inputs!$K$9*(1+Inputs!$K$12)^B543),"Error - Check Input")
+IFERROR(IF(OR(Inputs!$C$86=0,Inputs!$C$86="",ISERROR(Inputs!$C$86)),Inputs!$D$86,Inputs!$C$86*Inputs!$K$9*(1+Inputs!$K$12)^B543),"Error - Check Input")
+IFERROR(IF(OR(Inputs!$C$87=0,Inputs!$C$87="",ISERROR(Inputs!$C$87)),Inputs!$D$87,Inputs!$C$87*Inputs!$K$9*(1+Inputs!$K$12)^B543),"Error - Check Input")
+IFERROR(IF(OR(Inputs!$C$88=0,Inputs!$C$88="",ISERROR(Inputs!$C$88)),Inputs!$D$88,Inputs!$C$88*Inputs!$K$9*(1+Inputs!$K$12)^B543),"Error - Check Input")
+IFERROR(IF(OR(Inputs!$C$89=0,Inputs!$C$89="",ISERROR(Inputs!$C$89)),Inputs!$D$89,Inputs!$C$89*Inputs!$K$9*(1+Inputs!$K$12)^B543),"Error - Check Input")
+IFERROR(IF(OR(Inputs!$C$90=0,Inputs!$C$90="",ISERROR(Inputs!$C$90)),Inputs!$D$90,Inputs!$C$90*Inputs!$K$9*(1+Inputs!$K$12)^B543),"Error - Check Input")
+IFERROR(IF(OR(Inputs!$C$93=0,Inputs!$C$93="",ISERROR(Inputs!$C$93)),Inputs!$D$93,Inputs!$C$93*Inputs!$K$9*(1+Inputs!$K$12)^B543),"Error - Check Input")</f>
        <v>141304.5448019726</v>
      </c>
      <c r="D543" s="17"/>
    </row>
    <row r="544" spans="2:4" x14ac:dyDescent="0.35">
      <c r="B544" s="18">
        <v>353</v>
      </c>
      <c r="C544" s="6">
        <f>IFERROR(IF(OR(Inputs!$C$84=0,Inputs!$C$84="",ISERROR(Inputs!$C$84)),Inputs!$D$84,Inputs!$C$84*Inputs!$K$9*(1+Inputs!$K$12)^B544),"Error - Check Input")
+IFERROR(IF(OR(Inputs!$C$85=0,Inputs!$C$85="",ISERROR(Inputs!$C$85)),Inputs!$D$85,Inputs!$C$85*Inputs!$K$9*(1+Inputs!$K$12)^B544),"Error - Check Input")
+IFERROR(IF(OR(Inputs!$C$86=0,Inputs!$C$86="",ISERROR(Inputs!$C$86)),Inputs!$D$86,Inputs!$C$86*Inputs!$K$9*(1+Inputs!$K$12)^B544),"Error - Check Input")
+IFERROR(IF(OR(Inputs!$C$87=0,Inputs!$C$87="",ISERROR(Inputs!$C$87)),Inputs!$D$87,Inputs!$C$87*Inputs!$K$9*(1+Inputs!$K$12)^B544),"Error - Check Input")
+IFERROR(IF(OR(Inputs!$C$88=0,Inputs!$C$88="",ISERROR(Inputs!$C$88)),Inputs!$D$88,Inputs!$C$88*Inputs!$K$9*(1+Inputs!$K$12)^B544),"Error - Check Input")
+IFERROR(IF(OR(Inputs!$C$89=0,Inputs!$C$89="",ISERROR(Inputs!$C$89)),Inputs!$D$89,Inputs!$C$89*Inputs!$K$9*(1+Inputs!$K$12)^B544),"Error - Check Input")
+IFERROR(IF(OR(Inputs!$C$90=0,Inputs!$C$90="",ISERROR(Inputs!$C$90)),Inputs!$D$90,Inputs!$C$90*Inputs!$K$9*(1+Inputs!$K$12)^B544),"Error - Check Input")
+IFERROR(IF(OR(Inputs!$C$93=0,Inputs!$C$93="",ISERROR(Inputs!$C$93)),Inputs!$D$93,Inputs!$C$93*Inputs!$K$9*(1+Inputs!$K$12)^B544),"Error - Check Input")</f>
        <v>141861.90345166152</v>
      </c>
      <c r="D544" s="17"/>
    </row>
    <row r="545" spans="2:4" x14ac:dyDescent="0.35">
      <c r="B545" s="18">
        <v>354</v>
      </c>
      <c r="C545" s="6">
        <f>IFERROR(IF(OR(Inputs!$C$84=0,Inputs!$C$84="",ISERROR(Inputs!$C$84)),Inputs!$D$84,Inputs!$C$84*Inputs!$K$9*(1+Inputs!$K$12)^B545),"Error - Check Input")
+IFERROR(IF(OR(Inputs!$C$85=0,Inputs!$C$85="",ISERROR(Inputs!$C$85)),Inputs!$D$85,Inputs!$C$85*Inputs!$K$9*(1+Inputs!$K$12)^B545),"Error - Check Input")
+IFERROR(IF(OR(Inputs!$C$86=0,Inputs!$C$86="",ISERROR(Inputs!$C$86)),Inputs!$D$86,Inputs!$C$86*Inputs!$K$9*(1+Inputs!$K$12)^B545),"Error - Check Input")
+IFERROR(IF(OR(Inputs!$C$87=0,Inputs!$C$87="",ISERROR(Inputs!$C$87)),Inputs!$D$87,Inputs!$C$87*Inputs!$K$9*(1+Inputs!$K$12)^B545),"Error - Check Input")
+IFERROR(IF(OR(Inputs!$C$88=0,Inputs!$C$88="",ISERROR(Inputs!$C$88)),Inputs!$D$88,Inputs!$C$88*Inputs!$K$9*(1+Inputs!$K$12)^B545),"Error - Check Input")
+IFERROR(IF(OR(Inputs!$C$89=0,Inputs!$C$89="",ISERROR(Inputs!$C$89)),Inputs!$D$89,Inputs!$C$89*Inputs!$K$9*(1+Inputs!$K$12)^B545),"Error - Check Input")
+IFERROR(IF(OR(Inputs!$C$90=0,Inputs!$C$90="",ISERROR(Inputs!$C$90)),Inputs!$D$90,Inputs!$C$90*Inputs!$K$9*(1+Inputs!$K$12)^B545),"Error - Check Input")
+IFERROR(IF(OR(Inputs!$C$93=0,Inputs!$C$93="",ISERROR(Inputs!$C$93)),Inputs!$D$93,Inputs!$C$93*Inputs!$K$9*(1+Inputs!$K$12)^B545),"Error - Check Input")</f>
        <v>142421.53284948118</v>
      </c>
      <c r="D545" s="17"/>
    </row>
    <row r="546" spans="2:4" x14ac:dyDescent="0.35">
      <c r="B546" s="18">
        <v>355</v>
      </c>
      <c r="C546" s="6">
        <f>IFERROR(IF(OR(Inputs!$C$84=0,Inputs!$C$84="",ISERROR(Inputs!$C$84)),Inputs!$D$84,Inputs!$C$84*Inputs!$K$9*(1+Inputs!$K$12)^B546),"Error - Check Input")
+IFERROR(IF(OR(Inputs!$C$85=0,Inputs!$C$85="",ISERROR(Inputs!$C$85)),Inputs!$D$85,Inputs!$C$85*Inputs!$K$9*(1+Inputs!$K$12)^B546),"Error - Check Input")
+IFERROR(IF(OR(Inputs!$C$86=0,Inputs!$C$86="",ISERROR(Inputs!$C$86)),Inputs!$D$86,Inputs!$C$86*Inputs!$K$9*(1+Inputs!$K$12)^B546),"Error - Check Input")
+IFERROR(IF(OR(Inputs!$C$87=0,Inputs!$C$87="",ISERROR(Inputs!$C$87)),Inputs!$D$87,Inputs!$C$87*Inputs!$K$9*(1+Inputs!$K$12)^B546),"Error - Check Input")
+IFERROR(IF(OR(Inputs!$C$88=0,Inputs!$C$88="",ISERROR(Inputs!$C$88)),Inputs!$D$88,Inputs!$C$88*Inputs!$K$9*(1+Inputs!$K$12)^B546),"Error - Check Input")
+IFERROR(IF(OR(Inputs!$C$89=0,Inputs!$C$89="",ISERROR(Inputs!$C$89)),Inputs!$D$89,Inputs!$C$89*Inputs!$K$9*(1+Inputs!$K$12)^B546),"Error - Check Input")
+IFERROR(IF(OR(Inputs!$C$90=0,Inputs!$C$90="",ISERROR(Inputs!$C$90)),Inputs!$D$90,Inputs!$C$90*Inputs!$K$9*(1+Inputs!$K$12)^B546),"Error - Check Input")
+IFERROR(IF(OR(Inputs!$C$93=0,Inputs!$C$93="",ISERROR(Inputs!$C$93)),Inputs!$D$93,Inputs!$C$93*Inputs!$K$9*(1+Inputs!$K$12)^B546),"Error - Check Input")</f>
        <v>142983.44224674051</v>
      </c>
      <c r="D546" s="17"/>
    </row>
    <row r="547" spans="2:4" x14ac:dyDescent="0.35">
      <c r="B547" s="18">
        <v>356</v>
      </c>
      <c r="C547" s="6">
        <f>IFERROR(IF(OR(Inputs!$C$84=0,Inputs!$C$84="",ISERROR(Inputs!$C$84)),Inputs!$D$84,Inputs!$C$84*Inputs!$K$9*(1+Inputs!$K$12)^B547),"Error - Check Input")
+IFERROR(IF(OR(Inputs!$C$85=0,Inputs!$C$85="",ISERROR(Inputs!$C$85)),Inputs!$D$85,Inputs!$C$85*Inputs!$K$9*(1+Inputs!$K$12)^B547),"Error - Check Input")
+IFERROR(IF(OR(Inputs!$C$86=0,Inputs!$C$86="",ISERROR(Inputs!$C$86)),Inputs!$D$86,Inputs!$C$86*Inputs!$K$9*(1+Inputs!$K$12)^B547),"Error - Check Input")
+IFERROR(IF(OR(Inputs!$C$87=0,Inputs!$C$87="",ISERROR(Inputs!$C$87)),Inputs!$D$87,Inputs!$C$87*Inputs!$K$9*(1+Inputs!$K$12)^B547),"Error - Check Input")
+IFERROR(IF(OR(Inputs!$C$88=0,Inputs!$C$88="",ISERROR(Inputs!$C$88)),Inputs!$D$88,Inputs!$C$88*Inputs!$K$9*(1+Inputs!$K$12)^B547),"Error - Check Input")
+IFERROR(IF(OR(Inputs!$C$89=0,Inputs!$C$89="",ISERROR(Inputs!$C$89)),Inputs!$D$89,Inputs!$C$89*Inputs!$K$9*(1+Inputs!$K$12)^B547),"Error - Check Input")
+IFERROR(IF(OR(Inputs!$C$90=0,Inputs!$C$90="",ISERROR(Inputs!$C$90)),Inputs!$D$90,Inputs!$C$90*Inputs!$K$9*(1+Inputs!$K$12)^B547),"Error - Check Input")
+IFERROR(IF(OR(Inputs!$C$93=0,Inputs!$C$93="",ISERROR(Inputs!$C$93)),Inputs!$D$93,Inputs!$C$93*Inputs!$K$9*(1+Inputs!$K$12)^B547),"Error - Check Input")</f>
        <v>143547.64093243942</v>
      </c>
      <c r="D547" s="17"/>
    </row>
    <row r="548" spans="2:4" x14ac:dyDescent="0.35">
      <c r="B548" s="18">
        <v>357</v>
      </c>
      <c r="C548" s="6">
        <f>IFERROR(IF(OR(Inputs!$C$84=0,Inputs!$C$84="",ISERROR(Inputs!$C$84)),Inputs!$D$84,Inputs!$C$84*Inputs!$K$9*(1+Inputs!$K$12)^B548),"Error - Check Input")
+IFERROR(IF(OR(Inputs!$C$85=0,Inputs!$C$85="",ISERROR(Inputs!$C$85)),Inputs!$D$85,Inputs!$C$85*Inputs!$K$9*(1+Inputs!$K$12)^B548),"Error - Check Input")
+IFERROR(IF(OR(Inputs!$C$86=0,Inputs!$C$86="",ISERROR(Inputs!$C$86)),Inputs!$D$86,Inputs!$C$86*Inputs!$K$9*(1+Inputs!$K$12)^B548),"Error - Check Input")
+IFERROR(IF(OR(Inputs!$C$87=0,Inputs!$C$87="",ISERROR(Inputs!$C$87)),Inputs!$D$87,Inputs!$C$87*Inputs!$K$9*(1+Inputs!$K$12)^B548),"Error - Check Input")
+IFERROR(IF(OR(Inputs!$C$88=0,Inputs!$C$88="",ISERROR(Inputs!$C$88)),Inputs!$D$88,Inputs!$C$88*Inputs!$K$9*(1+Inputs!$K$12)^B548),"Error - Check Input")
+IFERROR(IF(OR(Inputs!$C$89=0,Inputs!$C$89="",ISERROR(Inputs!$C$89)),Inputs!$D$89,Inputs!$C$89*Inputs!$K$9*(1+Inputs!$K$12)^B548),"Error - Check Input")
+IFERROR(IF(OR(Inputs!$C$90=0,Inputs!$C$90="",ISERROR(Inputs!$C$90)),Inputs!$D$90,Inputs!$C$90*Inputs!$K$9*(1+Inputs!$K$12)^B548),"Error - Check Input")
+IFERROR(IF(OR(Inputs!$C$93=0,Inputs!$C$93="",ISERROR(Inputs!$C$93)),Inputs!$D$93,Inputs!$C$93*Inputs!$K$9*(1+Inputs!$K$12)^B548),"Error - Check Input")</f>
        <v>144114.13823342245</v>
      </c>
      <c r="D548" s="17"/>
    </row>
    <row r="549" spans="2:4" x14ac:dyDescent="0.35">
      <c r="B549" s="18">
        <v>358</v>
      </c>
      <c r="C549" s="6">
        <f>IFERROR(IF(OR(Inputs!$C$84=0,Inputs!$C$84="",ISERROR(Inputs!$C$84)),Inputs!$D$84,Inputs!$C$84*Inputs!$K$9*(1+Inputs!$K$12)^B549),"Error - Check Input")
+IFERROR(IF(OR(Inputs!$C$85=0,Inputs!$C$85="",ISERROR(Inputs!$C$85)),Inputs!$D$85,Inputs!$C$85*Inputs!$K$9*(1+Inputs!$K$12)^B549),"Error - Check Input")
+IFERROR(IF(OR(Inputs!$C$86=0,Inputs!$C$86="",ISERROR(Inputs!$C$86)),Inputs!$D$86,Inputs!$C$86*Inputs!$K$9*(1+Inputs!$K$12)^B549),"Error - Check Input")
+IFERROR(IF(OR(Inputs!$C$87=0,Inputs!$C$87="",ISERROR(Inputs!$C$87)),Inputs!$D$87,Inputs!$C$87*Inputs!$K$9*(1+Inputs!$K$12)^B549),"Error - Check Input")
+IFERROR(IF(OR(Inputs!$C$88=0,Inputs!$C$88="",ISERROR(Inputs!$C$88)),Inputs!$D$88,Inputs!$C$88*Inputs!$K$9*(1+Inputs!$K$12)^B549),"Error - Check Input")
+IFERROR(IF(OR(Inputs!$C$89=0,Inputs!$C$89="",ISERROR(Inputs!$C$89)),Inputs!$D$89,Inputs!$C$89*Inputs!$K$9*(1+Inputs!$K$12)^B549),"Error - Check Input")
+IFERROR(IF(OR(Inputs!$C$90=0,Inputs!$C$90="",ISERROR(Inputs!$C$90)),Inputs!$D$90,Inputs!$C$90*Inputs!$K$9*(1+Inputs!$K$12)^B549),"Error - Check Input")
+IFERROR(IF(OR(Inputs!$C$93=0,Inputs!$C$93="",ISERROR(Inputs!$C$93)),Inputs!$D$93,Inputs!$C$93*Inputs!$K$9*(1+Inputs!$K$12)^B549),"Error - Check Input")</f>
        <v>144682.94351453282</v>
      </c>
      <c r="D549" s="17"/>
    </row>
    <row r="550" spans="2:4" x14ac:dyDescent="0.35">
      <c r="B550" s="18">
        <v>359</v>
      </c>
      <c r="C550" s="6">
        <f>IFERROR(IF(OR(Inputs!$C$84=0,Inputs!$C$84="",ISERROR(Inputs!$C$84)),Inputs!$D$84,Inputs!$C$84*Inputs!$K$9*(1+Inputs!$K$12)^B550),"Error - Check Input")
+IFERROR(IF(OR(Inputs!$C$85=0,Inputs!$C$85="",ISERROR(Inputs!$C$85)),Inputs!$D$85,Inputs!$C$85*Inputs!$K$9*(1+Inputs!$K$12)^B550),"Error - Check Input")
+IFERROR(IF(OR(Inputs!$C$86=0,Inputs!$C$86="",ISERROR(Inputs!$C$86)),Inputs!$D$86,Inputs!$C$86*Inputs!$K$9*(1+Inputs!$K$12)^B550),"Error - Check Input")
+IFERROR(IF(OR(Inputs!$C$87=0,Inputs!$C$87="",ISERROR(Inputs!$C$87)),Inputs!$D$87,Inputs!$C$87*Inputs!$K$9*(1+Inputs!$K$12)^B550),"Error - Check Input")
+IFERROR(IF(OR(Inputs!$C$88=0,Inputs!$C$88="",ISERROR(Inputs!$C$88)),Inputs!$D$88,Inputs!$C$88*Inputs!$K$9*(1+Inputs!$K$12)^B550),"Error - Check Input")
+IFERROR(IF(OR(Inputs!$C$89=0,Inputs!$C$89="",ISERROR(Inputs!$C$89)),Inputs!$D$89,Inputs!$C$89*Inputs!$K$9*(1+Inputs!$K$12)^B550),"Error - Check Input")
+IFERROR(IF(OR(Inputs!$C$90=0,Inputs!$C$90="",ISERROR(Inputs!$C$90)),Inputs!$D$90,Inputs!$C$90*Inputs!$K$9*(1+Inputs!$K$12)^B550),"Error - Check Input")
+IFERROR(IF(OR(Inputs!$C$93=0,Inputs!$C$93="",ISERROR(Inputs!$C$93)),Inputs!$D$93,Inputs!$C$93*Inputs!$K$9*(1+Inputs!$K$12)^B550),"Error - Check Input")</f>
        <v>145254.06617876721</v>
      </c>
      <c r="D550" s="17"/>
    </row>
    <row r="551" spans="2:4" x14ac:dyDescent="0.35">
      <c r="B551" s="18">
        <v>360</v>
      </c>
      <c r="C551" s="6">
        <f>IFERROR(IF(OR(Inputs!$C$84=0,Inputs!$C$84="",ISERROR(Inputs!$C$84)),Inputs!$D$84,Inputs!$C$84*Inputs!$K$9*(1+Inputs!$K$12)^B551),"Error - Check Input")
+IFERROR(IF(OR(Inputs!$C$85=0,Inputs!$C$85="",ISERROR(Inputs!$C$85)),Inputs!$D$85,Inputs!$C$85*Inputs!$K$9*(1+Inputs!$K$12)^B551),"Error - Check Input")
+IFERROR(IF(OR(Inputs!$C$86=0,Inputs!$C$86="",ISERROR(Inputs!$C$86)),Inputs!$D$86,Inputs!$C$86*Inputs!$K$9*(1+Inputs!$K$12)^B551),"Error - Check Input")
+IFERROR(IF(OR(Inputs!$C$87=0,Inputs!$C$87="",ISERROR(Inputs!$C$87)),Inputs!$D$87,Inputs!$C$87*Inputs!$K$9*(1+Inputs!$K$12)^B551),"Error - Check Input")
+IFERROR(IF(OR(Inputs!$C$88=0,Inputs!$C$88="",ISERROR(Inputs!$C$88)),Inputs!$D$88,Inputs!$C$88*Inputs!$K$9*(1+Inputs!$K$12)^B551),"Error - Check Input")
+IFERROR(IF(OR(Inputs!$C$89=0,Inputs!$C$89="",ISERROR(Inputs!$C$89)),Inputs!$D$89,Inputs!$C$89*Inputs!$K$9*(1+Inputs!$K$12)^B551),"Error - Check Input")
+IFERROR(IF(OR(Inputs!$C$90=0,Inputs!$C$90="",ISERROR(Inputs!$C$90)),Inputs!$D$90,Inputs!$C$90*Inputs!$K$9*(1+Inputs!$K$12)^B551),"Error - Check Input")
+IFERROR(IF(OR(Inputs!$C$93=0,Inputs!$C$93="",ISERROR(Inputs!$C$93)),Inputs!$D$93,Inputs!$C$93*Inputs!$K$9*(1+Inputs!$K$12)^B551),"Error - Check Input")</f>
        <v>145827.51566743138</v>
      </c>
      <c r="D551" s="17"/>
    </row>
    <row r="552" spans="2:4" x14ac:dyDescent="0.35">
      <c r="B552" s="18">
        <v>361</v>
      </c>
      <c r="C552" s="6">
        <f>IFERROR(IF(OR(Inputs!$C$84=0,Inputs!$C$84="",ISERROR(Inputs!$C$84)),Inputs!$D$84,Inputs!$C$84*Inputs!$K$9*(1+Inputs!$K$12)^B552),"Error - Check Input")
+IFERROR(IF(OR(Inputs!$C$85=0,Inputs!$C$85="",ISERROR(Inputs!$C$85)),Inputs!$D$85,Inputs!$C$85*Inputs!$K$9*(1+Inputs!$K$12)^B552),"Error - Check Input")
+IFERROR(IF(OR(Inputs!$C$86=0,Inputs!$C$86="",ISERROR(Inputs!$C$86)),Inputs!$D$86,Inputs!$C$86*Inputs!$K$9*(1+Inputs!$K$12)^B552),"Error - Check Input")
+IFERROR(IF(OR(Inputs!$C$87=0,Inputs!$C$87="",ISERROR(Inputs!$C$87)),Inputs!$D$87,Inputs!$C$87*Inputs!$K$9*(1+Inputs!$K$12)^B552),"Error - Check Input")
+IFERROR(IF(OR(Inputs!$C$88=0,Inputs!$C$88="",ISERROR(Inputs!$C$88)),Inputs!$D$88,Inputs!$C$88*Inputs!$K$9*(1+Inputs!$K$12)^B552),"Error - Check Input")
+IFERROR(IF(OR(Inputs!$C$89=0,Inputs!$C$89="",ISERROR(Inputs!$C$89)),Inputs!$D$89,Inputs!$C$89*Inputs!$K$9*(1+Inputs!$K$12)^B552),"Error - Check Input")
+IFERROR(IF(OR(Inputs!$C$90=0,Inputs!$C$90="",ISERROR(Inputs!$C$90)),Inputs!$D$90,Inputs!$C$90*Inputs!$K$9*(1+Inputs!$K$12)^B552),"Error - Check Input")
+IFERROR(IF(OR(Inputs!$C$93=0,Inputs!$C$93="",ISERROR(Inputs!$C$93)),Inputs!$D$93,Inputs!$C$93*Inputs!$K$9*(1+Inputs!$K$12)^B552),"Error - Check Input")</f>
        <v>146403.30146029603</v>
      </c>
      <c r="D552" s="17"/>
    </row>
    <row r="553" spans="2:4" x14ac:dyDescent="0.35">
      <c r="B553" s="18">
        <v>362</v>
      </c>
      <c r="C553" s="6">
        <f>IFERROR(IF(OR(Inputs!$C$84=0,Inputs!$C$84="",ISERROR(Inputs!$C$84)),Inputs!$D$84,Inputs!$C$84*Inputs!$K$9*(1+Inputs!$K$12)^B553),"Error - Check Input")
+IFERROR(IF(OR(Inputs!$C$85=0,Inputs!$C$85="",ISERROR(Inputs!$C$85)),Inputs!$D$85,Inputs!$C$85*Inputs!$K$9*(1+Inputs!$K$12)^B553),"Error - Check Input")
+IFERROR(IF(OR(Inputs!$C$86=0,Inputs!$C$86="",ISERROR(Inputs!$C$86)),Inputs!$D$86,Inputs!$C$86*Inputs!$K$9*(1+Inputs!$K$12)^B553),"Error - Check Input")
+IFERROR(IF(OR(Inputs!$C$87=0,Inputs!$C$87="",ISERROR(Inputs!$C$87)),Inputs!$D$87,Inputs!$C$87*Inputs!$K$9*(1+Inputs!$K$12)^B553),"Error - Check Input")
+IFERROR(IF(OR(Inputs!$C$88=0,Inputs!$C$88="",ISERROR(Inputs!$C$88)),Inputs!$D$88,Inputs!$C$88*Inputs!$K$9*(1+Inputs!$K$12)^B553),"Error - Check Input")
+IFERROR(IF(OR(Inputs!$C$89=0,Inputs!$C$89="",ISERROR(Inputs!$C$89)),Inputs!$D$89,Inputs!$C$89*Inputs!$K$9*(1+Inputs!$K$12)^B553),"Error - Check Input")
+IFERROR(IF(OR(Inputs!$C$90=0,Inputs!$C$90="",ISERROR(Inputs!$C$90)),Inputs!$D$90,Inputs!$C$90*Inputs!$K$9*(1+Inputs!$K$12)^B553),"Error - Check Input")
+IFERROR(IF(OR(Inputs!$C$93=0,Inputs!$C$93="",ISERROR(Inputs!$C$93)),Inputs!$D$93,Inputs!$C$93*Inputs!$K$9*(1+Inputs!$K$12)^B553),"Error - Check Input")</f>
        <v>146981.43307575362</v>
      </c>
      <c r="D553" s="17"/>
    </row>
    <row r="554" spans="2:4" x14ac:dyDescent="0.35">
      <c r="B554" s="18">
        <v>363</v>
      </c>
      <c r="C554" s="6">
        <f>IFERROR(IF(OR(Inputs!$C$84=0,Inputs!$C$84="",ISERROR(Inputs!$C$84)),Inputs!$D$84,Inputs!$C$84*Inputs!$K$9*(1+Inputs!$K$12)^B554),"Error - Check Input")
+IFERROR(IF(OR(Inputs!$C$85=0,Inputs!$C$85="",ISERROR(Inputs!$C$85)),Inputs!$D$85,Inputs!$C$85*Inputs!$K$9*(1+Inputs!$K$12)^B554),"Error - Check Input")
+IFERROR(IF(OR(Inputs!$C$86=0,Inputs!$C$86="",ISERROR(Inputs!$C$86)),Inputs!$D$86,Inputs!$C$86*Inputs!$K$9*(1+Inputs!$K$12)^B554),"Error - Check Input")
+IFERROR(IF(OR(Inputs!$C$87=0,Inputs!$C$87="",ISERROR(Inputs!$C$87)),Inputs!$D$87,Inputs!$C$87*Inputs!$K$9*(1+Inputs!$K$12)^B554),"Error - Check Input")
+IFERROR(IF(OR(Inputs!$C$88=0,Inputs!$C$88="",ISERROR(Inputs!$C$88)),Inputs!$D$88,Inputs!$C$88*Inputs!$K$9*(1+Inputs!$K$12)^B554),"Error - Check Input")
+IFERROR(IF(OR(Inputs!$C$89=0,Inputs!$C$89="",ISERROR(Inputs!$C$89)),Inputs!$D$89,Inputs!$C$89*Inputs!$K$9*(1+Inputs!$K$12)^B554),"Error - Check Input")
+IFERROR(IF(OR(Inputs!$C$90=0,Inputs!$C$90="",ISERROR(Inputs!$C$90)),Inputs!$D$90,Inputs!$C$90*Inputs!$K$9*(1+Inputs!$K$12)^B554),"Error - Check Input")
+IFERROR(IF(OR(Inputs!$C$93=0,Inputs!$C$93="",ISERROR(Inputs!$C$93)),Inputs!$D$93,Inputs!$C$93*Inputs!$K$9*(1+Inputs!$K$12)^B554),"Error - Check Input")</f>
        <v>147561.92007097584</v>
      </c>
      <c r="D554" s="17"/>
    </row>
    <row r="555" spans="2:4" x14ac:dyDescent="0.35">
      <c r="B555" s="18">
        <v>364</v>
      </c>
      <c r="C555" s="6">
        <f>IFERROR(IF(OR(Inputs!$C$84=0,Inputs!$C$84="",ISERROR(Inputs!$C$84)),Inputs!$D$84,Inputs!$C$84*Inputs!$K$9*(1+Inputs!$K$12)^B555),"Error - Check Input")
+IFERROR(IF(OR(Inputs!$C$85=0,Inputs!$C$85="",ISERROR(Inputs!$C$85)),Inputs!$D$85,Inputs!$C$85*Inputs!$K$9*(1+Inputs!$K$12)^B555),"Error - Check Input")
+IFERROR(IF(OR(Inputs!$C$86=0,Inputs!$C$86="",ISERROR(Inputs!$C$86)),Inputs!$D$86,Inputs!$C$86*Inputs!$K$9*(1+Inputs!$K$12)^B555),"Error - Check Input")
+IFERROR(IF(OR(Inputs!$C$87=0,Inputs!$C$87="",ISERROR(Inputs!$C$87)),Inputs!$D$87,Inputs!$C$87*Inputs!$K$9*(1+Inputs!$K$12)^B555),"Error - Check Input")
+IFERROR(IF(OR(Inputs!$C$88=0,Inputs!$C$88="",ISERROR(Inputs!$C$88)),Inputs!$D$88,Inputs!$C$88*Inputs!$K$9*(1+Inputs!$K$12)^B555),"Error - Check Input")
+IFERROR(IF(OR(Inputs!$C$89=0,Inputs!$C$89="",ISERROR(Inputs!$C$89)),Inputs!$D$89,Inputs!$C$89*Inputs!$K$9*(1+Inputs!$K$12)^B555),"Error - Check Input")
+IFERROR(IF(OR(Inputs!$C$90=0,Inputs!$C$90="",ISERROR(Inputs!$C$90)),Inputs!$D$90,Inputs!$C$90*Inputs!$K$9*(1+Inputs!$K$12)^B555),"Error - Check Input")
+IFERROR(IF(OR(Inputs!$C$93=0,Inputs!$C$93="",ISERROR(Inputs!$C$93)),Inputs!$D$93,Inputs!$C$93*Inputs!$K$9*(1+Inputs!$K$12)^B555),"Error - Check Input")</f>
        <v>148144.77204207142</v>
      </c>
      <c r="D555" s="17"/>
    </row>
    <row r="556" spans="2:4" x14ac:dyDescent="0.35">
      <c r="B556" s="18">
        <v>365</v>
      </c>
      <c r="C556" s="6">
        <f>IFERROR(IF(OR(Inputs!$C$84=0,Inputs!$C$84="",ISERROR(Inputs!$C$84)),Inputs!$D$84,Inputs!$C$84*Inputs!$K$9*(1+Inputs!$K$12)^B556),"Error - Check Input")
+IFERROR(IF(OR(Inputs!$C$85=0,Inputs!$C$85="",ISERROR(Inputs!$C$85)),Inputs!$D$85,Inputs!$C$85*Inputs!$K$9*(1+Inputs!$K$12)^B556),"Error - Check Input")
+IFERROR(IF(OR(Inputs!$C$86=0,Inputs!$C$86="",ISERROR(Inputs!$C$86)),Inputs!$D$86,Inputs!$C$86*Inputs!$K$9*(1+Inputs!$K$12)^B556),"Error - Check Input")
+IFERROR(IF(OR(Inputs!$C$87=0,Inputs!$C$87="",ISERROR(Inputs!$C$87)),Inputs!$D$87,Inputs!$C$87*Inputs!$K$9*(1+Inputs!$K$12)^B556),"Error - Check Input")
+IFERROR(IF(OR(Inputs!$C$88=0,Inputs!$C$88="",ISERROR(Inputs!$C$88)),Inputs!$D$88,Inputs!$C$88*Inputs!$K$9*(1+Inputs!$K$12)^B556),"Error - Check Input")
+IFERROR(IF(OR(Inputs!$C$89=0,Inputs!$C$89="",ISERROR(Inputs!$C$89)),Inputs!$D$89,Inputs!$C$89*Inputs!$K$9*(1+Inputs!$K$12)^B556),"Error - Check Input")
+IFERROR(IF(OR(Inputs!$C$90=0,Inputs!$C$90="",ISERROR(Inputs!$C$90)),Inputs!$D$90,Inputs!$C$90*Inputs!$K$9*(1+Inputs!$K$12)^B556),"Error - Check Input")
+IFERROR(IF(OR(Inputs!$C$93=0,Inputs!$C$93="",ISERROR(Inputs!$C$93)),Inputs!$D$93,Inputs!$C$93*Inputs!$K$9*(1+Inputs!$K$12)^B556),"Error - Check Input")</f>
        <v>148729.99862424479</v>
      </c>
      <c r="D556" s="17"/>
    </row>
    <row r="557" spans="2:4" x14ac:dyDescent="0.35">
      <c r="B557" s="18">
        <v>366</v>
      </c>
      <c r="C557" s="6">
        <f>IFERROR(IF(OR(Inputs!$C$84=0,Inputs!$C$84="",ISERROR(Inputs!$C$84)),Inputs!$D$84,Inputs!$C$84*Inputs!$K$9*(1+Inputs!$K$12)^B557),"Error - Check Input")
+IFERROR(IF(OR(Inputs!$C$85=0,Inputs!$C$85="",ISERROR(Inputs!$C$85)),Inputs!$D$85,Inputs!$C$85*Inputs!$K$9*(1+Inputs!$K$12)^B557),"Error - Check Input")
+IFERROR(IF(OR(Inputs!$C$86=0,Inputs!$C$86="",ISERROR(Inputs!$C$86)),Inputs!$D$86,Inputs!$C$86*Inputs!$K$9*(1+Inputs!$K$12)^B557),"Error - Check Input")
+IFERROR(IF(OR(Inputs!$C$87=0,Inputs!$C$87="",ISERROR(Inputs!$C$87)),Inputs!$D$87,Inputs!$C$87*Inputs!$K$9*(1+Inputs!$K$12)^B557),"Error - Check Input")
+IFERROR(IF(OR(Inputs!$C$88=0,Inputs!$C$88="",ISERROR(Inputs!$C$88)),Inputs!$D$88,Inputs!$C$88*Inputs!$K$9*(1+Inputs!$K$12)^B557),"Error - Check Input")
+IFERROR(IF(OR(Inputs!$C$89=0,Inputs!$C$89="",ISERROR(Inputs!$C$89)),Inputs!$D$89,Inputs!$C$89*Inputs!$K$9*(1+Inputs!$K$12)^B557),"Error - Check Input")
+IFERROR(IF(OR(Inputs!$C$90=0,Inputs!$C$90="",ISERROR(Inputs!$C$90)),Inputs!$D$90,Inputs!$C$90*Inputs!$K$9*(1+Inputs!$K$12)^B557),"Error - Check Input")
+IFERROR(IF(OR(Inputs!$C$93=0,Inputs!$C$93="",ISERROR(Inputs!$C$93)),Inputs!$D$93,Inputs!$C$93*Inputs!$K$9*(1+Inputs!$K$12)^B557),"Error - Check Input")</f>
        <v>149317.60949195537</v>
      </c>
      <c r="D557" s="17"/>
    </row>
    <row r="558" spans="2:4" x14ac:dyDescent="0.35">
      <c r="B558" s="18">
        <v>367</v>
      </c>
      <c r="C558" s="6">
        <f>IFERROR(IF(OR(Inputs!$C$84=0,Inputs!$C$84="",ISERROR(Inputs!$C$84)),Inputs!$D$84,Inputs!$C$84*Inputs!$K$9*(1+Inputs!$K$12)^B558),"Error - Check Input")
+IFERROR(IF(OR(Inputs!$C$85=0,Inputs!$C$85="",ISERROR(Inputs!$C$85)),Inputs!$D$85,Inputs!$C$85*Inputs!$K$9*(1+Inputs!$K$12)^B558),"Error - Check Input")
+IFERROR(IF(OR(Inputs!$C$86=0,Inputs!$C$86="",ISERROR(Inputs!$C$86)),Inputs!$D$86,Inputs!$C$86*Inputs!$K$9*(1+Inputs!$K$12)^B558),"Error - Check Input")
+IFERROR(IF(OR(Inputs!$C$87=0,Inputs!$C$87="",ISERROR(Inputs!$C$87)),Inputs!$D$87,Inputs!$C$87*Inputs!$K$9*(1+Inputs!$K$12)^B558),"Error - Check Input")
+IFERROR(IF(OR(Inputs!$C$88=0,Inputs!$C$88="",ISERROR(Inputs!$C$88)),Inputs!$D$88,Inputs!$C$88*Inputs!$K$9*(1+Inputs!$K$12)^B558),"Error - Check Input")
+IFERROR(IF(OR(Inputs!$C$89=0,Inputs!$C$89="",ISERROR(Inputs!$C$89)),Inputs!$D$89,Inputs!$C$89*Inputs!$K$9*(1+Inputs!$K$12)^B558),"Error - Check Input")
+IFERROR(IF(OR(Inputs!$C$90=0,Inputs!$C$90="",ISERROR(Inputs!$C$90)),Inputs!$D$90,Inputs!$C$90*Inputs!$K$9*(1+Inputs!$K$12)^B558),"Error - Check Input")
+IFERROR(IF(OR(Inputs!$C$93=0,Inputs!$C$93="",ISERROR(Inputs!$C$93)),Inputs!$D$93,Inputs!$C$93*Inputs!$K$9*(1+Inputs!$K$12)^B558),"Error - Check Input")</f>
        <v>149907.61435907768</v>
      </c>
      <c r="D558" s="17"/>
    </row>
    <row r="559" spans="2:4" x14ac:dyDescent="0.35">
      <c r="B559" s="18">
        <v>368</v>
      </c>
      <c r="C559" s="6">
        <f>IFERROR(IF(OR(Inputs!$C$84=0,Inputs!$C$84="",ISERROR(Inputs!$C$84)),Inputs!$D$84,Inputs!$C$84*Inputs!$K$9*(1+Inputs!$K$12)^B559),"Error - Check Input")
+IFERROR(IF(OR(Inputs!$C$85=0,Inputs!$C$85="",ISERROR(Inputs!$C$85)),Inputs!$D$85,Inputs!$C$85*Inputs!$K$9*(1+Inputs!$K$12)^B559),"Error - Check Input")
+IFERROR(IF(OR(Inputs!$C$86=0,Inputs!$C$86="",ISERROR(Inputs!$C$86)),Inputs!$D$86,Inputs!$C$86*Inputs!$K$9*(1+Inputs!$K$12)^B559),"Error - Check Input")
+IFERROR(IF(OR(Inputs!$C$87=0,Inputs!$C$87="",ISERROR(Inputs!$C$87)),Inputs!$D$87,Inputs!$C$87*Inputs!$K$9*(1+Inputs!$K$12)^B559),"Error - Check Input")
+IFERROR(IF(OR(Inputs!$C$88=0,Inputs!$C$88="",ISERROR(Inputs!$C$88)),Inputs!$D$88,Inputs!$C$88*Inputs!$K$9*(1+Inputs!$K$12)^B559),"Error - Check Input")
+IFERROR(IF(OR(Inputs!$C$89=0,Inputs!$C$89="",ISERROR(Inputs!$C$89)),Inputs!$D$89,Inputs!$C$89*Inputs!$K$9*(1+Inputs!$K$12)^B559),"Error - Check Input")
+IFERROR(IF(OR(Inputs!$C$90=0,Inputs!$C$90="",ISERROR(Inputs!$C$90)),Inputs!$D$90,Inputs!$C$90*Inputs!$K$9*(1+Inputs!$K$12)^B559),"Error - Check Input")
+IFERROR(IF(OR(Inputs!$C$93=0,Inputs!$C$93="",ISERROR(Inputs!$C$93)),Inputs!$D$93,Inputs!$C$93*Inputs!$K$9*(1+Inputs!$K$12)^B559),"Error - Check Input")</f>
        <v>150500.02297906158</v>
      </c>
      <c r="D559" s="17"/>
    </row>
    <row r="560" spans="2:4" x14ac:dyDescent="0.35">
      <c r="B560" s="18">
        <v>369</v>
      </c>
      <c r="C560" s="6">
        <f>IFERROR(IF(OR(Inputs!$C$84=0,Inputs!$C$84="",ISERROR(Inputs!$C$84)),Inputs!$D$84,Inputs!$C$84*Inputs!$K$9*(1+Inputs!$K$12)^B560),"Error - Check Input")
+IFERROR(IF(OR(Inputs!$C$85=0,Inputs!$C$85="",ISERROR(Inputs!$C$85)),Inputs!$D$85,Inputs!$C$85*Inputs!$K$9*(1+Inputs!$K$12)^B560),"Error - Check Input")
+IFERROR(IF(OR(Inputs!$C$86=0,Inputs!$C$86="",ISERROR(Inputs!$C$86)),Inputs!$D$86,Inputs!$C$86*Inputs!$K$9*(1+Inputs!$K$12)^B560),"Error - Check Input")
+IFERROR(IF(OR(Inputs!$C$87=0,Inputs!$C$87="",ISERROR(Inputs!$C$87)),Inputs!$D$87,Inputs!$C$87*Inputs!$K$9*(1+Inputs!$K$12)^B560),"Error - Check Input")
+IFERROR(IF(OR(Inputs!$C$88=0,Inputs!$C$88="",ISERROR(Inputs!$C$88)),Inputs!$D$88,Inputs!$C$88*Inputs!$K$9*(1+Inputs!$K$12)^B560),"Error - Check Input")
+IFERROR(IF(OR(Inputs!$C$89=0,Inputs!$C$89="",ISERROR(Inputs!$C$89)),Inputs!$D$89,Inputs!$C$89*Inputs!$K$9*(1+Inputs!$K$12)^B560),"Error - Check Input")
+IFERROR(IF(OR(Inputs!$C$90=0,Inputs!$C$90="",ISERROR(Inputs!$C$90)),Inputs!$D$90,Inputs!$C$90*Inputs!$K$9*(1+Inputs!$K$12)^B560),"Error - Check Input")
+IFERROR(IF(OR(Inputs!$C$93=0,Inputs!$C$93="",ISERROR(Inputs!$C$93)),Inputs!$D$93,Inputs!$C$93*Inputs!$K$9*(1+Inputs!$K$12)^B560),"Error - Check Input")</f>
        <v>151094.84514509374</v>
      </c>
      <c r="D560" s="17"/>
    </row>
    <row r="561" spans="2:4" x14ac:dyDescent="0.35">
      <c r="B561" s="18">
        <v>370</v>
      </c>
      <c r="C561" s="6">
        <f>IFERROR(IF(OR(Inputs!$C$84=0,Inputs!$C$84="",ISERROR(Inputs!$C$84)),Inputs!$D$84,Inputs!$C$84*Inputs!$K$9*(1+Inputs!$K$12)^B561),"Error - Check Input")
+IFERROR(IF(OR(Inputs!$C$85=0,Inputs!$C$85="",ISERROR(Inputs!$C$85)),Inputs!$D$85,Inputs!$C$85*Inputs!$K$9*(1+Inputs!$K$12)^B561),"Error - Check Input")
+IFERROR(IF(OR(Inputs!$C$86=0,Inputs!$C$86="",ISERROR(Inputs!$C$86)),Inputs!$D$86,Inputs!$C$86*Inputs!$K$9*(1+Inputs!$K$12)^B561),"Error - Check Input")
+IFERROR(IF(OR(Inputs!$C$87=0,Inputs!$C$87="",ISERROR(Inputs!$C$87)),Inputs!$D$87,Inputs!$C$87*Inputs!$K$9*(1+Inputs!$K$12)^B561),"Error - Check Input")
+IFERROR(IF(OR(Inputs!$C$88=0,Inputs!$C$88="",ISERROR(Inputs!$C$88)),Inputs!$D$88,Inputs!$C$88*Inputs!$K$9*(1+Inputs!$K$12)^B561),"Error - Check Input")
+IFERROR(IF(OR(Inputs!$C$89=0,Inputs!$C$89="",ISERROR(Inputs!$C$89)),Inputs!$D$89,Inputs!$C$89*Inputs!$K$9*(1+Inputs!$K$12)^B561),"Error - Check Input")
+IFERROR(IF(OR(Inputs!$C$90=0,Inputs!$C$90="",ISERROR(Inputs!$C$90)),Inputs!$D$90,Inputs!$C$90*Inputs!$K$9*(1+Inputs!$K$12)^B561),"Error - Check Input")
+IFERROR(IF(OR(Inputs!$C$93=0,Inputs!$C$93="",ISERROR(Inputs!$C$93)),Inputs!$D$93,Inputs!$C$93*Inputs!$K$9*(1+Inputs!$K$12)^B561),"Error - Check Input")</f>
        <v>151692.09069025968</v>
      </c>
      <c r="D561" s="17"/>
    </row>
    <row r="562" spans="2:4" x14ac:dyDescent="0.35">
      <c r="B562" s="18">
        <v>371</v>
      </c>
      <c r="C562" s="6">
        <f>IFERROR(IF(OR(Inputs!$C$84=0,Inputs!$C$84="",ISERROR(Inputs!$C$84)),Inputs!$D$84,Inputs!$C$84*Inputs!$K$9*(1+Inputs!$K$12)^B562),"Error - Check Input")
+IFERROR(IF(OR(Inputs!$C$85=0,Inputs!$C$85="",ISERROR(Inputs!$C$85)),Inputs!$D$85,Inputs!$C$85*Inputs!$K$9*(1+Inputs!$K$12)^B562),"Error - Check Input")
+IFERROR(IF(OR(Inputs!$C$86=0,Inputs!$C$86="",ISERROR(Inputs!$C$86)),Inputs!$D$86,Inputs!$C$86*Inputs!$K$9*(1+Inputs!$K$12)^B562),"Error - Check Input")
+IFERROR(IF(OR(Inputs!$C$87=0,Inputs!$C$87="",ISERROR(Inputs!$C$87)),Inputs!$D$87,Inputs!$C$87*Inputs!$K$9*(1+Inputs!$K$12)^B562),"Error - Check Input")
+IFERROR(IF(OR(Inputs!$C$88=0,Inputs!$C$88="",ISERROR(Inputs!$C$88)),Inputs!$D$88,Inputs!$C$88*Inputs!$K$9*(1+Inputs!$K$12)^B562),"Error - Check Input")
+IFERROR(IF(OR(Inputs!$C$89=0,Inputs!$C$89="",ISERROR(Inputs!$C$89)),Inputs!$D$89,Inputs!$C$89*Inputs!$K$9*(1+Inputs!$K$12)^B562),"Error - Check Input")
+IFERROR(IF(OR(Inputs!$C$90=0,Inputs!$C$90="",ISERROR(Inputs!$C$90)),Inputs!$D$90,Inputs!$C$90*Inputs!$K$9*(1+Inputs!$K$12)^B562),"Error - Check Input")
+IFERROR(IF(OR(Inputs!$C$93=0,Inputs!$C$93="",ISERROR(Inputs!$C$93)),Inputs!$D$93,Inputs!$C$93*Inputs!$K$9*(1+Inputs!$K$12)^B562),"Error - Check Input")</f>
        <v>152291.76948770575</v>
      </c>
      <c r="D562" s="17"/>
    </row>
    <row r="563" spans="2:4" x14ac:dyDescent="0.35">
      <c r="B563" s="18">
        <v>372</v>
      </c>
      <c r="C563" s="6">
        <f>IFERROR(IF(OR(Inputs!$C$84=0,Inputs!$C$84="",ISERROR(Inputs!$C$84)),Inputs!$D$84,Inputs!$C$84*Inputs!$K$9*(1+Inputs!$K$12)^B563),"Error - Check Input")
+IFERROR(IF(OR(Inputs!$C$85=0,Inputs!$C$85="",ISERROR(Inputs!$C$85)),Inputs!$D$85,Inputs!$C$85*Inputs!$K$9*(1+Inputs!$K$12)^B563),"Error - Check Input")
+IFERROR(IF(OR(Inputs!$C$86=0,Inputs!$C$86="",ISERROR(Inputs!$C$86)),Inputs!$D$86,Inputs!$C$86*Inputs!$K$9*(1+Inputs!$K$12)^B563),"Error - Check Input")
+IFERROR(IF(OR(Inputs!$C$87=0,Inputs!$C$87="",ISERROR(Inputs!$C$87)),Inputs!$D$87,Inputs!$C$87*Inputs!$K$9*(1+Inputs!$K$12)^B563),"Error - Check Input")
+IFERROR(IF(OR(Inputs!$C$88=0,Inputs!$C$88="",ISERROR(Inputs!$C$88)),Inputs!$D$88,Inputs!$C$88*Inputs!$K$9*(1+Inputs!$K$12)^B563),"Error - Check Input")
+IFERROR(IF(OR(Inputs!$C$89=0,Inputs!$C$89="",ISERROR(Inputs!$C$89)),Inputs!$D$89,Inputs!$C$89*Inputs!$K$9*(1+Inputs!$K$12)^B563),"Error - Check Input")
+IFERROR(IF(OR(Inputs!$C$90=0,Inputs!$C$90="",ISERROR(Inputs!$C$90)),Inputs!$D$90,Inputs!$C$90*Inputs!$K$9*(1+Inputs!$K$12)^B563),"Error - Check Input")
+IFERROR(IF(OR(Inputs!$C$93=0,Inputs!$C$93="",ISERROR(Inputs!$C$93)),Inputs!$D$93,Inputs!$C$93*Inputs!$K$9*(1+Inputs!$K$12)^B563),"Error - Check Input")</f>
        <v>152893.89145080312</v>
      </c>
      <c r="D563" s="17"/>
    </row>
    <row r="564" spans="2:4" x14ac:dyDescent="0.35">
      <c r="B564" s="18">
        <v>373</v>
      </c>
      <c r="C564" s="6">
        <f>IFERROR(IF(OR(Inputs!$C$84=0,Inputs!$C$84="",ISERROR(Inputs!$C$84)),Inputs!$D$84,Inputs!$C$84*Inputs!$K$9*(1+Inputs!$K$12)^B564),"Error - Check Input")
+IFERROR(IF(OR(Inputs!$C$85=0,Inputs!$C$85="",ISERROR(Inputs!$C$85)),Inputs!$D$85,Inputs!$C$85*Inputs!$K$9*(1+Inputs!$K$12)^B564),"Error - Check Input")
+IFERROR(IF(OR(Inputs!$C$86=0,Inputs!$C$86="",ISERROR(Inputs!$C$86)),Inputs!$D$86,Inputs!$C$86*Inputs!$K$9*(1+Inputs!$K$12)^B564),"Error - Check Input")
+IFERROR(IF(OR(Inputs!$C$87=0,Inputs!$C$87="",ISERROR(Inputs!$C$87)),Inputs!$D$87,Inputs!$C$87*Inputs!$K$9*(1+Inputs!$K$12)^B564),"Error - Check Input")
+IFERROR(IF(OR(Inputs!$C$88=0,Inputs!$C$88="",ISERROR(Inputs!$C$88)),Inputs!$D$88,Inputs!$C$88*Inputs!$K$9*(1+Inputs!$K$12)^B564),"Error - Check Input")
+IFERROR(IF(OR(Inputs!$C$89=0,Inputs!$C$89="",ISERROR(Inputs!$C$89)),Inputs!$D$89,Inputs!$C$89*Inputs!$K$9*(1+Inputs!$K$12)^B564),"Error - Check Input")
+IFERROR(IF(OR(Inputs!$C$90=0,Inputs!$C$90="",ISERROR(Inputs!$C$90)),Inputs!$D$90,Inputs!$C$90*Inputs!$K$9*(1+Inputs!$K$12)^B564),"Error - Check Input")
+IFERROR(IF(OR(Inputs!$C$93=0,Inputs!$C$93="",ISERROR(Inputs!$C$93)),Inputs!$D$93,Inputs!$C$93*Inputs!$K$9*(1+Inputs!$K$12)^B564),"Error - Check Input")</f>
        <v>153498.46653331094</v>
      </c>
      <c r="D564" s="17"/>
    </row>
    <row r="565" spans="2:4" x14ac:dyDescent="0.35">
      <c r="B565" s="18">
        <v>374</v>
      </c>
      <c r="C565" s="6">
        <f>IFERROR(IF(OR(Inputs!$C$84=0,Inputs!$C$84="",ISERROR(Inputs!$C$84)),Inputs!$D$84,Inputs!$C$84*Inputs!$K$9*(1+Inputs!$K$12)^B565),"Error - Check Input")
+IFERROR(IF(OR(Inputs!$C$85=0,Inputs!$C$85="",ISERROR(Inputs!$C$85)),Inputs!$D$85,Inputs!$C$85*Inputs!$K$9*(1+Inputs!$K$12)^B565),"Error - Check Input")
+IFERROR(IF(OR(Inputs!$C$86=0,Inputs!$C$86="",ISERROR(Inputs!$C$86)),Inputs!$D$86,Inputs!$C$86*Inputs!$K$9*(1+Inputs!$K$12)^B565),"Error - Check Input")
+IFERROR(IF(OR(Inputs!$C$87=0,Inputs!$C$87="",ISERROR(Inputs!$C$87)),Inputs!$D$87,Inputs!$C$87*Inputs!$K$9*(1+Inputs!$K$12)^B565),"Error - Check Input")
+IFERROR(IF(OR(Inputs!$C$88=0,Inputs!$C$88="",ISERROR(Inputs!$C$88)),Inputs!$D$88,Inputs!$C$88*Inputs!$K$9*(1+Inputs!$K$12)^B565),"Error - Check Input")
+IFERROR(IF(OR(Inputs!$C$89=0,Inputs!$C$89="",ISERROR(Inputs!$C$89)),Inputs!$D$89,Inputs!$C$89*Inputs!$K$9*(1+Inputs!$K$12)^B565),"Error - Check Input")
+IFERROR(IF(OR(Inputs!$C$90=0,Inputs!$C$90="",ISERROR(Inputs!$C$90)),Inputs!$D$90,Inputs!$C$90*Inputs!$K$9*(1+Inputs!$K$12)^B565),"Error - Check Input")
+IFERROR(IF(OR(Inputs!$C$93=0,Inputs!$C$93="",ISERROR(Inputs!$C$93)),Inputs!$D$93,Inputs!$C$93*Inputs!$K$9*(1+Inputs!$K$12)^B565),"Error - Check Input")</f>
        <v>154105.50472954146</v>
      </c>
      <c r="D565" s="17"/>
    </row>
    <row r="566" spans="2:4" x14ac:dyDescent="0.35">
      <c r="B566" s="18">
        <v>375</v>
      </c>
      <c r="C566" s="6">
        <f>IFERROR(IF(OR(Inputs!$C$84=0,Inputs!$C$84="",ISERROR(Inputs!$C$84)),Inputs!$D$84,Inputs!$C$84*Inputs!$K$9*(1+Inputs!$K$12)^B566),"Error - Check Input")
+IFERROR(IF(OR(Inputs!$C$85=0,Inputs!$C$85="",ISERROR(Inputs!$C$85)),Inputs!$D$85,Inputs!$C$85*Inputs!$K$9*(1+Inputs!$K$12)^B566),"Error - Check Input")
+IFERROR(IF(OR(Inputs!$C$86=0,Inputs!$C$86="",ISERROR(Inputs!$C$86)),Inputs!$D$86,Inputs!$C$86*Inputs!$K$9*(1+Inputs!$K$12)^B566),"Error - Check Input")
+IFERROR(IF(OR(Inputs!$C$87=0,Inputs!$C$87="",ISERROR(Inputs!$C$87)),Inputs!$D$87,Inputs!$C$87*Inputs!$K$9*(1+Inputs!$K$12)^B566),"Error - Check Input")
+IFERROR(IF(OR(Inputs!$C$88=0,Inputs!$C$88="",ISERROR(Inputs!$C$88)),Inputs!$D$88,Inputs!$C$88*Inputs!$K$9*(1+Inputs!$K$12)^B566),"Error - Check Input")
+IFERROR(IF(OR(Inputs!$C$89=0,Inputs!$C$89="",ISERROR(Inputs!$C$89)),Inputs!$D$89,Inputs!$C$89*Inputs!$K$9*(1+Inputs!$K$12)^B566),"Error - Check Input")
+IFERROR(IF(OR(Inputs!$C$90=0,Inputs!$C$90="",ISERROR(Inputs!$C$90)),Inputs!$D$90,Inputs!$C$90*Inputs!$K$9*(1+Inputs!$K$12)^B566),"Error - Check Input")
+IFERROR(IF(OR(Inputs!$C$93=0,Inputs!$C$93="",ISERROR(Inputs!$C$93)),Inputs!$D$93,Inputs!$C$93*Inputs!$K$9*(1+Inputs!$K$12)^B566),"Error - Check Input")</f>
        <v>154715.01607452478</v>
      </c>
      <c r="D566" s="17"/>
    </row>
    <row r="567" spans="2:4" x14ac:dyDescent="0.35">
      <c r="B567" s="18">
        <v>376</v>
      </c>
      <c r="C567" s="6">
        <f>IFERROR(IF(OR(Inputs!$C$84=0,Inputs!$C$84="",ISERROR(Inputs!$C$84)),Inputs!$D$84,Inputs!$C$84*Inputs!$K$9*(1+Inputs!$K$12)^B567),"Error - Check Input")
+IFERROR(IF(OR(Inputs!$C$85=0,Inputs!$C$85="",ISERROR(Inputs!$C$85)),Inputs!$D$85,Inputs!$C$85*Inputs!$K$9*(1+Inputs!$K$12)^B567),"Error - Check Input")
+IFERROR(IF(OR(Inputs!$C$86=0,Inputs!$C$86="",ISERROR(Inputs!$C$86)),Inputs!$D$86,Inputs!$C$86*Inputs!$K$9*(1+Inputs!$K$12)^B567),"Error - Check Input")
+IFERROR(IF(OR(Inputs!$C$87=0,Inputs!$C$87="",ISERROR(Inputs!$C$87)),Inputs!$D$87,Inputs!$C$87*Inputs!$K$9*(1+Inputs!$K$12)^B567),"Error - Check Input")
+IFERROR(IF(OR(Inputs!$C$88=0,Inputs!$C$88="",ISERROR(Inputs!$C$88)),Inputs!$D$88,Inputs!$C$88*Inputs!$K$9*(1+Inputs!$K$12)^B567),"Error - Check Input")
+IFERROR(IF(OR(Inputs!$C$89=0,Inputs!$C$89="",ISERROR(Inputs!$C$89)),Inputs!$D$89,Inputs!$C$89*Inputs!$K$9*(1+Inputs!$K$12)^B567),"Error - Check Input")
+IFERROR(IF(OR(Inputs!$C$90=0,Inputs!$C$90="",ISERROR(Inputs!$C$90)),Inputs!$D$90,Inputs!$C$90*Inputs!$K$9*(1+Inputs!$K$12)^B567),"Error - Check Input")
+IFERROR(IF(OR(Inputs!$C$93=0,Inputs!$C$93="",ISERROR(Inputs!$C$93)),Inputs!$D$93,Inputs!$C$93*Inputs!$K$9*(1+Inputs!$K$12)^B567),"Error - Check Input")</f>
        <v>155327.0106441752</v>
      </c>
      <c r="D567" s="17"/>
    </row>
    <row r="568" spans="2:4" x14ac:dyDescent="0.35">
      <c r="B568" s="18">
        <v>377</v>
      </c>
      <c r="C568" s="6">
        <f>IFERROR(IF(OR(Inputs!$C$84=0,Inputs!$C$84="",ISERROR(Inputs!$C$84)),Inputs!$D$84,Inputs!$C$84*Inputs!$K$9*(1+Inputs!$K$12)^B568),"Error - Check Input")
+IFERROR(IF(OR(Inputs!$C$85=0,Inputs!$C$85="",ISERROR(Inputs!$C$85)),Inputs!$D$85,Inputs!$C$85*Inputs!$K$9*(1+Inputs!$K$12)^B568),"Error - Check Input")
+IFERROR(IF(OR(Inputs!$C$86=0,Inputs!$C$86="",ISERROR(Inputs!$C$86)),Inputs!$D$86,Inputs!$C$86*Inputs!$K$9*(1+Inputs!$K$12)^B568),"Error - Check Input")
+IFERROR(IF(OR(Inputs!$C$87=0,Inputs!$C$87="",ISERROR(Inputs!$C$87)),Inputs!$D$87,Inputs!$C$87*Inputs!$K$9*(1+Inputs!$K$12)^B568),"Error - Check Input")
+IFERROR(IF(OR(Inputs!$C$88=0,Inputs!$C$88="",ISERROR(Inputs!$C$88)),Inputs!$D$88,Inputs!$C$88*Inputs!$K$9*(1+Inputs!$K$12)^B568),"Error - Check Input")
+IFERROR(IF(OR(Inputs!$C$89=0,Inputs!$C$89="",ISERROR(Inputs!$C$89)),Inputs!$D$89,Inputs!$C$89*Inputs!$K$9*(1+Inputs!$K$12)^B568),"Error - Check Input")
+IFERROR(IF(OR(Inputs!$C$90=0,Inputs!$C$90="",ISERROR(Inputs!$C$90)),Inputs!$D$90,Inputs!$C$90*Inputs!$K$9*(1+Inputs!$K$12)^B568),"Error - Check Input")
+IFERROR(IF(OR(Inputs!$C$93=0,Inputs!$C$93="",ISERROR(Inputs!$C$93)),Inputs!$D$93,Inputs!$C$93*Inputs!$K$9*(1+Inputs!$K$12)^B568),"Error - Check Input")</f>
        <v>155941.49855545722</v>
      </c>
      <c r="D568" s="17"/>
    </row>
    <row r="569" spans="2:4" x14ac:dyDescent="0.35">
      <c r="B569" s="18">
        <v>378</v>
      </c>
      <c r="C569" s="6">
        <f>IFERROR(IF(OR(Inputs!$C$84=0,Inputs!$C$84="",ISERROR(Inputs!$C$84)),Inputs!$D$84,Inputs!$C$84*Inputs!$K$9*(1+Inputs!$K$12)^B569),"Error - Check Input")
+IFERROR(IF(OR(Inputs!$C$85=0,Inputs!$C$85="",ISERROR(Inputs!$C$85)),Inputs!$D$85,Inputs!$C$85*Inputs!$K$9*(1+Inputs!$K$12)^B569),"Error - Check Input")
+IFERROR(IF(OR(Inputs!$C$86=0,Inputs!$C$86="",ISERROR(Inputs!$C$86)),Inputs!$D$86,Inputs!$C$86*Inputs!$K$9*(1+Inputs!$K$12)^B569),"Error - Check Input")
+IFERROR(IF(OR(Inputs!$C$87=0,Inputs!$C$87="",ISERROR(Inputs!$C$87)),Inputs!$D$87,Inputs!$C$87*Inputs!$K$9*(1+Inputs!$K$12)^B569),"Error - Check Input")
+IFERROR(IF(OR(Inputs!$C$88=0,Inputs!$C$88="",ISERROR(Inputs!$C$88)),Inputs!$D$88,Inputs!$C$88*Inputs!$K$9*(1+Inputs!$K$12)^B569),"Error - Check Input")
+IFERROR(IF(OR(Inputs!$C$89=0,Inputs!$C$89="",ISERROR(Inputs!$C$89)),Inputs!$D$89,Inputs!$C$89*Inputs!$K$9*(1+Inputs!$K$12)^B569),"Error - Check Input")
+IFERROR(IF(OR(Inputs!$C$90=0,Inputs!$C$90="",ISERROR(Inputs!$C$90)),Inputs!$D$90,Inputs!$C$90*Inputs!$K$9*(1+Inputs!$K$12)^B569),"Error - Check Input")
+IFERROR(IF(OR(Inputs!$C$93=0,Inputs!$C$93="",ISERROR(Inputs!$C$93)),Inputs!$D$93,Inputs!$C$93*Inputs!$K$9*(1+Inputs!$K$12)^B569),"Error - Check Input")</f>
        <v>156558.48996655332</v>
      </c>
      <c r="D569" s="17"/>
    </row>
    <row r="570" spans="2:4" x14ac:dyDescent="0.35">
      <c r="B570" s="18">
        <v>379</v>
      </c>
      <c r="C570" s="6">
        <f>IFERROR(IF(OR(Inputs!$C$84=0,Inputs!$C$84="",ISERROR(Inputs!$C$84)),Inputs!$D$84,Inputs!$C$84*Inputs!$K$9*(1+Inputs!$K$12)^B570),"Error - Check Input")
+IFERROR(IF(OR(Inputs!$C$85=0,Inputs!$C$85="",ISERROR(Inputs!$C$85)),Inputs!$D$85,Inputs!$C$85*Inputs!$K$9*(1+Inputs!$K$12)^B570),"Error - Check Input")
+IFERROR(IF(OR(Inputs!$C$86=0,Inputs!$C$86="",ISERROR(Inputs!$C$86)),Inputs!$D$86,Inputs!$C$86*Inputs!$K$9*(1+Inputs!$K$12)^B570),"Error - Check Input")
+IFERROR(IF(OR(Inputs!$C$87=0,Inputs!$C$87="",ISERROR(Inputs!$C$87)),Inputs!$D$87,Inputs!$C$87*Inputs!$K$9*(1+Inputs!$K$12)^B570),"Error - Check Input")
+IFERROR(IF(OR(Inputs!$C$88=0,Inputs!$C$88="",ISERROR(Inputs!$C$88)),Inputs!$D$88,Inputs!$C$88*Inputs!$K$9*(1+Inputs!$K$12)^B570),"Error - Check Input")
+IFERROR(IF(OR(Inputs!$C$89=0,Inputs!$C$89="",ISERROR(Inputs!$C$89)),Inputs!$D$89,Inputs!$C$89*Inputs!$K$9*(1+Inputs!$K$12)^B570),"Error - Check Input")
+IFERROR(IF(OR(Inputs!$C$90=0,Inputs!$C$90="",ISERROR(Inputs!$C$90)),Inputs!$D$90,Inputs!$C$90*Inputs!$K$9*(1+Inputs!$K$12)^B570),"Error - Check Input")
+IFERROR(IF(OR(Inputs!$C$93=0,Inputs!$C$93="",ISERROR(Inputs!$C$93)),Inputs!$D$93,Inputs!$C$93*Inputs!$K$9*(1+Inputs!$K$12)^B570),"Error - Check Input")</f>
        <v>157177.99507703172</v>
      </c>
      <c r="D570" s="17"/>
    </row>
    <row r="571" spans="2:4" x14ac:dyDescent="0.35">
      <c r="B571" s="18">
        <v>380</v>
      </c>
      <c r="C571" s="6">
        <f>IFERROR(IF(OR(Inputs!$C$84=0,Inputs!$C$84="",ISERROR(Inputs!$C$84)),Inputs!$D$84,Inputs!$C$84*Inputs!$K$9*(1+Inputs!$K$12)^B571),"Error - Check Input")
+IFERROR(IF(OR(Inputs!$C$85=0,Inputs!$C$85="",ISERROR(Inputs!$C$85)),Inputs!$D$85,Inputs!$C$85*Inputs!$K$9*(1+Inputs!$K$12)^B571),"Error - Check Input")
+IFERROR(IF(OR(Inputs!$C$86=0,Inputs!$C$86="",ISERROR(Inputs!$C$86)),Inputs!$D$86,Inputs!$C$86*Inputs!$K$9*(1+Inputs!$K$12)^B571),"Error - Check Input")
+IFERROR(IF(OR(Inputs!$C$87=0,Inputs!$C$87="",ISERROR(Inputs!$C$87)),Inputs!$D$87,Inputs!$C$87*Inputs!$K$9*(1+Inputs!$K$12)^B571),"Error - Check Input")
+IFERROR(IF(OR(Inputs!$C$88=0,Inputs!$C$88="",ISERROR(Inputs!$C$88)),Inputs!$D$88,Inputs!$C$88*Inputs!$K$9*(1+Inputs!$K$12)^B571),"Error - Check Input")
+IFERROR(IF(OR(Inputs!$C$89=0,Inputs!$C$89="",ISERROR(Inputs!$C$89)),Inputs!$D$89,Inputs!$C$89*Inputs!$K$9*(1+Inputs!$K$12)^B571),"Error - Check Input")
+IFERROR(IF(OR(Inputs!$C$90=0,Inputs!$C$90="",ISERROR(Inputs!$C$90)),Inputs!$D$90,Inputs!$C$90*Inputs!$K$9*(1+Inputs!$K$12)^B571),"Error - Check Input")
+IFERROR(IF(OR(Inputs!$C$93=0,Inputs!$C$93="",ISERROR(Inputs!$C$93)),Inputs!$D$93,Inputs!$C$93*Inputs!$K$9*(1+Inputs!$K$12)^B571),"Error - Check Input")</f>
        <v>157800.0241280148</v>
      </c>
      <c r="D571" s="17"/>
    </row>
    <row r="572" spans="2:4" x14ac:dyDescent="0.35">
      <c r="B572" s="18">
        <v>381</v>
      </c>
      <c r="C572" s="6">
        <f>IFERROR(IF(OR(Inputs!$C$84=0,Inputs!$C$84="",ISERROR(Inputs!$C$84)),Inputs!$D$84,Inputs!$C$84*Inputs!$K$9*(1+Inputs!$K$12)^B572),"Error - Check Input")
+IFERROR(IF(OR(Inputs!$C$85=0,Inputs!$C$85="",ISERROR(Inputs!$C$85)),Inputs!$D$85,Inputs!$C$85*Inputs!$K$9*(1+Inputs!$K$12)^B572),"Error - Check Input")
+IFERROR(IF(OR(Inputs!$C$86=0,Inputs!$C$86="",ISERROR(Inputs!$C$86)),Inputs!$D$86,Inputs!$C$86*Inputs!$K$9*(1+Inputs!$K$12)^B572),"Error - Check Input")
+IFERROR(IF(OR(Inputs!$C$87=0,Inputs!$C$87="",ISERROR(Inputs!$C$87)),Inputs!$D$87,Inputs!$C$87*Inputs!$K$9*(1+Inputs!$K$12)^B572),"Error - Check Input")
+IFERROR(IF(OR(Inputs!$C$88=0,Inputs!$C$88="",ISERROR(Inputs!$C$88)),Inputs!$D$88,Inputs!$C$88*Inputs!$K$9*(1+Inputs!$K$12)^B572),"Error - Check Input")
+IFERROR(IF(OR(Inputs!$C$89=0,Inputs!$C$89="",ISERROR(Inputs!$C$89)),Inputs!$D$89,Inputs!$C$89*Inputs!$K$9*(1+Inputs!$K$12)^B572),"Error - Check Input")
+IFERROR(IF(OR(Inputs!$C$90=0,Inputs!$C$90="",ISERROR(Inputs!$C$90)),Inputs!$D$90,Inputs!$C$90*Inputs!$K$9*(1+Inputs!$K$12)^B572),"Error - Check Input")
+IFERROR(IF(OR(Inputs!$C$93=0,Inputs!$C$93="",ISERROR(Inputs!$C$93)),Inputs!$D$93,Inputs!$C$93*Inputs!$K$9*(1+Inputs!$K$12)^B572),"Error - Check Input")</f>
        <v>158424.58740234861</v>
      </c>
      <c r="D572" s="17"/>
    </row>
    <row r="573" spans="2:4" x14ac:dyDescent="0.35">
      <c r="B573" s="18">
        <v>382</v>
      </c>
      <c r="C573" s="6">
        <f>IFERROR(IF(OR(Inputs!$C$84=0,Inputs!$C$84="",ISERROR(Inputs!$C$84)),Inputs!$D$84,Inputs!$C$84*Inputs!$K$9*(1+Inputs!$K$12)^B573),"Error - Check Input")
+IFERROR(IF(OR(Inputs!$C$85=0,Inputs!$C$85="",ISERROR(Inputs!$C$85)),Inputs!$D$85,Inputs!$C$85*Inputs!$K$9*(1+Inputs!$K$12)^B573),"Error - Check Input")
+IFERROR(IF(OR(Inputs!$C$86=0,Inputs!$C$86="",ISERROR(Inputs!$C$86)),Inputs!$D$86,Inputs!$C$86*Inputs!$K$9*(1+Inputs!$K$12)^B573),"Error - Check Input")
+IFERROR(IF(OR(Inputs!$C$87=0,Inputs!$C$87="",ISERROR(Inputs!$C$87)),Inputs!$D$87,Inputs!$C$87*Inputs!$K$9*(1+Inputs!$K$12)^B573),"Error - Check Input")
+IFERROR(IF(OR(Inputs!$C$88=0,Inputs!$C$88="",ISERROR(Inputs!$C$88)),Inputs!$D$88,Inputs!$C$88*Inputs!$K$9*(1+Inputs!$K$12)^B573),"Error - Check Input")
+IFERROR(IF(OR(Inputs!$C$89=0,Inputs!$C$89="",ISERROR(Inputs!$C$89)),Inputs!$D$89,Inputs!$C$89*Inputs!$K$9*(1+Inputs!$K$12)^B573),"Error - Check Input")
+IFERROR(IF(OR(Inputs!$C$90=0,Inputs!$C$90="",ISERROR(Inputs!$C$90)),Inputs!$D$90,Inputs!$C$90*Inputs!$K$9*(1+Inputs!$K$12)^B573),"Error - Check Input")
+IFERROR(IF(OR(Inputs!$C$93=0,Inputs!$C$93="",ISERROR(Inputs!$C$93)),Inputs!$D$93,Inputs!$C$93*Inputs!$K$9*(1+Inputs!$K$12)^B573),"Error - Check Input")</f>
        <v>159051.69522477279</v>
      </c>
      <c r="D573" s="17"/>
    </row>
    <row r="574" spans="2:4" x14ac:dyDescent="0.35">
      <c r="B574" s="18">
        <v>383</v>
      </c>
      <c r="C574" s="6">
        <f>IFERROR(IF(OR(Inputs!$C$84=0,Inputs!$C$84="",ISERROR(Inputs!$C$84)),Inputs!$D$84,Inputs!$C$84*Inputs!$K$9*(1+Inputs!$K$12)^B574),"Error - Check Input")
+IFERROR(IF(OR(Inputs!$C$85=0,Inputs!$C$85="",ISERROR(Inputs!$C$85)),Inputs!$D$85,Inputs!$C$85*Inputs!$K$9*(1+Inputs!$K$12)^B574),"Error - Check Input")
+IFERROR(IF(OR(Inputs!$C$86=0,Inputs!$C$86="",ISERROR(Inputs!$C$86)),Inputs!$D$86,Inputs!$C$86*Inputs!$K$9*(1+Inputs!$K$12)^B574),"Error - Check Input")
+IFERROR(IF(OR(Inputs!$C$87=0,Inputs!$C$87="",ISERROR(Inputs!$C$87)),Inputs!$D$87,Inputs!$C$87*Inputs!$K$9*(1+Inputs!$K$12)^B574),"Error - Check Input")
+IFERROR(IF(OR(Inputs!$C$88=0,Inputs!$C$88="",ISERROR(Inputs!$C$88)),Inputs!$D$88,Inputs!$C$88*Inputs!$K$9*(1+Inputs!$K$12)^B574),"Error - Check Input")
+IFERROR(IF(OR(Inputs!$C$89=0,Inputs!$C$89="",ISERROR(Inputs!$C$89)),Inputs!$D$89,Inputs!$C$89*Inputs!$K$9*(1+Inputs!$K$12)^B574),"Error - Check Input")
+IFERROR(IF(OR(Inputs!$C$90=0,Inputs!$C$90="",ISERROR(Inputs!$C$90)),Inputs!$D$90,Inputs!$C$90*Inputs!$K$9*(1+Inputs!$K$12)^B574),"Error - Check Input")
+IFERROR(IF(OR(Inputs!$C$93=0,Inputs!$C$93="",ISERROR(Inputs!$C$93)),Inputs!$D$93,Inputs!$C$93*Inputs!$K$9*(1+Inputs!$K$12)^B574),"Error - Check Input")</f>
        <v>159681.35796209122</v>
      </c>
      <c r="D574" s="17"/>
    </row>
    <row r="575" spans="2:4" x14ac:dyDescent="0.35">
      <c r="B575" s="18">
        <v>384</v>
      </c>
      <c r="C575" s="6">
        <f>IFERROR(IF(OR(Inputs!$C$84=0,Inputs!$C$84="",ISERROR(Inputs!$C$84)),Inputs!$D$84,Inputs!$C$84*Inputs!$K$9*(1+Inputs!$K$12)^B575),"Error - Check Input")
+IFERROR(IF(OR(Inputs!$C$85=0,Inputs!$C$85="",ISERROR(Inputs!$C$85)),Inputs!$D$85,Inputs!$C$85*Inputs!$K$9*(1+Inputs!$K$12)^B575),"Error - Check Input")
+IFERROR(IF(OR(Inputs!$C$86=0,Inputs!$C$86="",ISERROR(Inputs!$C$86)),Inputs!$D$86,Inputs!$C$86*Inputs!$K$9*(1+Inputs!$K$12)^B575),"Error - Check Input")
+IFERROR(IF(OR(Inputs!$C$87=0,Inputs!$C$87="",ISERROR(Inputs!$C$87)),Inputs!$D$87,Inputs!$C$87*Inputs!$K$9*(1+Inputs!$K$12)^B575),"Error - Check Input")
+IFERROR(IF(OR(Inputs!$C$88=0,Inputs!$C$88="",ISERROR(Inputs!$C$88)),Inputs!$D$88,Inputs!$C$88*Inputs!$K$9*(1+Inputs!$K$12)^B575),"Error - Check Input")
+IFERROR(IF(OR(Inputs!$C$89=0,Inputs!$C$89="",ISERROR(Inputs!$C$89)),Inputs!$D$89,Inputs!$C$89*Inputs!$K$9*(1+Inputs!$K$12)^B575),"Error - Check Input")
+IFERROR(IF(OR(Inputs!$C$90=0,Inputs!$C$90="",ISERROR(Inputs!$C$90)),Inputs!$D$90,Inputs!$C$90*Inputs!$K$9*(1+Inputs!$K$12)^B575),"Error - Check Input")
+IFERROR(IF(OR(Inputs!$C$93=0,Inputs!$C$93="",ISERROR(Inputs!$C$93)),Inputs!$D$93,Inputs!$C$93*Inputs!$K$9*(1+Inputs!$K$12)^B575),"Error - Check Input")</f>
        <v>160313.58602334344</v>
      </c>
      <c r="D575" s="17"/>
    </row>
    <row r="576" spans="2:4" x14ac:dyDescent="0.35">
      <c r="B576" s="18">
        <v>385</v>
      </c>
      <c r="C576" s="6">
        <f>IFERROR(IF(OR(Inputs!$C$84=0,Inputs!$C$84="",ISERROR(Inputs!$C$84)),Inputs!$D$84,Inputs!$C$84*Inputs!$K$9*(1+Inputs!$K$12)^B576),"Error - Check Input")
+IFERROR(IF(OR(Inputs!$C$85=0,Inputs!$C$85="",ISERROR(Inputs!$C$85)),Inputs!$D$85,Inputs!$C$85*Inputs!$K$9*(1+Inputs!$K$12)^B576),"Error - Check Input")
+IFERROR(IF(OR(Inputs!$C$86=0,Inputs!$C$86="",ISERROR(Inputs!$C$86)),Inputs!$D$86,Inputs!$C$86*Inputs!$K$9*(1+Inputs!$K$12)^B576),"Error - Check Input")
+IFERROR(IF(OR(Inputs!$C$87=0,Inputs!$C$87="",ISERROR(Inputs!$C$87)),Inputs!$D$87,Inputs!$C$87*Inputs!$K$9*(1+Inputs!$K$12)^B576),"Error - Check Input")
+IFERROR(IF(OR(Inputs!$C$88=0,Inputs!$C$88="",ISERROR(Inputs!$C$88)),Inputs!$D$88,Inputs!$C$88*Inputs!$K$9*(1+Inputs!$K$12)^B576),"Error - Check Input")
+IFERROR(IF(OR(Inputs!$C$89=0,Inputs!$C$89="",ISERROR(Inputs!$C$89)),Inputs!$D$89,Inputs!$C$89*Inputs!$K$9*(1+Inputs!$K$12)^B576),"Error - Check Input")
+IFERROR(IF(OR(Inputs!$C$90=0,Inputs!$C$90="",ISERROR(Inputs!$C$90)),Inputs!$D$90,Inputs!$C$90*Inputs!$K$9*(1+Inputs!$K$12)^B576),"Error - Check Input")
+IFERROR(IF(OR(Inputs!$C$93=0,Inputs!$C$93="",ISERROR(Inputs!$C$93)),Inputs!$D$93,Inputs!$C$93*Inputs!$K$9*(1+Inputs!$K$12)^B576),"Error - Check Input")</f>
        <v>160948.38985997668</v>
      </c>
      <c r="D576" s="17"/>
    </row>
    <row r="577" spans="2:4" x14ac:dyDescent="0.35">
      <c r="B577" s="18">
        <v>386</v>
      </c>
      <c r="C577" s="6">
        <f>IFERROR(IF(OR(Inputs!$C$84=0,Inputs!$C$84="",ISERROR(Inputs!$C$84)),Inputs!$D$84,Inputs!$C$84*Inputs!$K$9*(1+Inputs!$K$12)^B577),"Error - Check Input")
+IFERROR(IF(OR(Inputs!$C$85=0,Inputs!$C$85="",ISERROR(Inputs!$C$85)),Inputs!$D$85,Inputs!$C$85*Inputs!$K$9*(1+Inputs!$K$12)^B577),"Error - Check Input")
+IFERROR(IF(OR(Inputs!$C$86=0,Inputs!$C$86="",ISERROR(Inputs!$C$86)),Inputs!$D$86,Inputs!$C$86*Inputs!$K$9*(1+Inputs!$K$12)^B577),"Error - Check Input")
+IFERROR(IF(OR(Inputs!$C$87=0,Inputs!$C$87="",ISERROR(Inputs!$C$87)),Inputs!$D$87,Inputs!$C$87*Inputs!$K$9*(1+Inputs!$K$12)^B577),"Error - Check Input")
+IFERROR(IF(OR(Inputs!$C$88=0,Inputs!$C$88="",ISERROR(Inputs!$C$88)),Inputs!$D$88,Inputs!$C$88*Inputs!$K$9*(1+Inputs!$K$12)^B577),"Error - Check Input")
+IFERROR(IF(OR(Inputs!$C$89=0,Inputs!$C$89="",ISERROR(Inputs!$C$89)),Inputs!$D$89,Inputs!$C$89*Inputs!$K$9*(1+Inputs!$K$12)^B577),"Error - Check Input")
+IFERROR(IF(OR(Inputs!$C$90=0,Inputs!$C$90="",ISERROR(Inputs!$C$90)),Inputs!$D$90,Inputs!$C$90*Inputs!$K$9*(1+Inputs!$K$12)^B577),"Error - Check Input")
+IFERROR(IF(OR(Inputs!$C$93=0,Inputs!$C$93="",ISERROR(Inputs!$C$93)),Inputs!$D$93,Inputs!$C$93*Inputs!$K$9*(1+Inputs!$K$12)^B577),"Error - Check Input")</f>
        <v>161585.77996601872</v>
      </c>
      <c r="D577" s="17"/>
    </row>
    <row r="578" spans="2:4" x14ac:dyDescent="0.35">
      <c r="B578" s="18">
        <v>387</v>
      </c>
      <c r="C578" s="6">
        <f>IFERROR(IF(OR(Inputs!$C$84=0,Inputs!$C$84="",ISERROR(Inputs!$C$84)),Inputs!$D$84,Inputs!$C$84*Inputs!$K$9*(1+Inputs!$K$12)^B578),"Error - Check Input")
+IFERROR(IF(OR(Inputs!$C$85=0,Inputs!$C$85="",ISERROR(Inputs!$C$85)),Inputs!$D$85,Inputs!$C$85*Inputs!$K$9*(1+Inputs!$K$12)^B578),"Error - Check Input")
+IFERROR(IF(OR(Inputs!$C$86=0,Inputs!$C$86="",ISERROR(Inputs!$C$86)),Inputs!$D$86,Inputs!$C$86*Inputs!$K$9*(1+Inputs!$K$12)^B578),"Error - Check Input")
+IFERROR(IF(OR(Inputs!$C$87=0,Inputs!$C$87="",ISERROR(Inputs!$C$87)),Inputs!$D$87,Inputs!$C$87*Inputs!$K$9*(1+Inputs!$K$12)^B578),"Error - Check Input")
+IFERROR(IF(OR(Inputs!$C$88=0,Inputs!$C$88="",ISERROR(Inputs!$C$88)),Inputs!$D$88,Inputs!$C$88*Inputs!$K$9*(1+Inputs!$K$12)^B578),"Error - Check Input")
+IFERROR(IF(OR(Inputs!$C$89=0,Inputs!$C$89="",ISERROR(Inputs!$C$89)),Inputs!$D$89,Inputs!$C$89*Inputs!$K$9*(1+Inputs!$K$12)^B578),"Error - Check Input")
+IFERROR(IF(OR(Inputs!$C$90=0,Inputs!$C$90="",ISERROR(Inputs!$C$90)),Inputs!$D$90,Inputs!$C$90*Inputs!$K$9*(1+Inputs!$K$12)^B578),"Error - Check Input")
+IFERROR(IF(OR(Inputs!$C$93=0,Inputs!$C$93="",ISERROR(Inputs!$C$93)),Inputs!$D$93,Inputs!$C$93*Inputs!$K$9*(1+Inputs!$K$12)^B578),"Error - Check Input")</f>
        <v>162225.76687825122</v>
      </c>
      <c r="D578" s="17"/>
    </row>
    <row r="579" spans="2:4" x14ac:dyDescent="0.35">
      <c r="B579" s="18">
        <v>388</v>
      </c>
      <c r="C579" s="6">
        <f>IFERROR(IF(OR(Inputs!$C$84=0,Inputs!$C$84="",ISERROR(Inputs!$C$84)),Inputs!$D$84,Inputs!$C$84*Inputs!$K$9*(1+Inputs!$K$12)^B579),"Error - Check Input")
+IFERROR(IF(OR(Inputs!$C$85=0,Inputs!$C$85="",ISERROR(Inputs!$C$85)),Inputs!$D$85,Inputs!$C$85*Inputs!$K$9*(1+Inputs!$K$12)^B579),"Error - Check Input")
+IFERROR(IF(OR(Inputs!$C$86=0,Inputs!$C$86="",ISERROR(Inputs!$C$86)),Inputs!$D$86,Inputs!$C$86*Inputs!$K$9*(1+Inputs!$K$12)^B579),"Error - Check Input")
+IFERROR(IF(OR(Inputs!$C$87=0,Inputs!$C$87="",ISERROR(Inputs!$C$87)),Inputs!$D$87,Inputs!$C$87*Inputs!$K$9*(1+Inputs!$K$12)^B579),"Error - Check Input")
+IFERROR(IF(OR(Inputs!$C$88=0,Inputs!$C$88="",ISERROR(Inputs!$C$88)),Inputs!$D$88,Inputs!$C$88*Inputs!$K$9*(1+Inputs!$K$12)^B579),"Error - Check Input")
+IFERROR(IF(OR(Inputs!$C$89=0,Inputs!$C$89="",ISERROR(Inputs!$C$89)),Inputs!$D$89,Inputs!$C$89*Inputs!$K$9*(1+Inputs!$K$12)^B579),"Error - Check Input")
+IFERROR(IF(OR(Inputs!$C$90=0,Inputs!$C$90="",ISERROR(Inputs!$C$90)),Inputs!$D$90,Inputs!$C$90*Inputs!$K$9*(1+Inputs!$K$12)^B579),"Error - Check Input")
+IFERROR(IF(OR(Inputs!$C$93=0,Inputs!$C$93="",ISERROR(Inputs!$C$93)),Inputs!$D$93,Inputs!$C$93*Inputs!$K$9*(1+Inputs!$K$12)^B579),"Error - Check Input")</f>
        <v>162868.36117638409</v>
      </c>
      <c r="D579" s="17"/>
    </row>
    <row r="580" spans="2:4" x14ac:dyDescent="0.35">
      <c r="B580" s="18">
        <v>389</v>
      </c>
      <c r="C580" s="6">
        <f>IFERROR(IF(OR(Inputs!$C$84=0,Inputs!$C$84="",ISERROR(Inputs!$C$84)),Inputs!$D$84,Inputs!$C$84*Inputs!$K$9*(1+Inputs!$K$12)^B580),"Error - Check Input")
+IFERROR(IF(OR(Inputs!$C$85=0,Inputs!$C$85="",ISERROR(Inputs!$C$85)),Inputs!$D$85,Inputs!$C$85*Inputs!$K$9*(1+Inputs!$K$12)^B580),"Error - Check Input")
+IFERROR(IF(OR(Inputs!$C$86=0,Inputs!$C$86="",ISERROR(Inputs!$C$86)),Inputs!$D$86,Inputs!$C$86*Inputs!$K$9*(1+Inputs!$K$12)^B580),"Error - Check Input")
+IFERROR(IF(OR(Inputs!$C$87=0,Inputs!$C$87="",ISERROR(Inputs!$C$87)),Inputs!$D$87,Inputs!$C$87*Inputs!$K$9*(1+Inputs!$K$12)^B580),"Error - Check Input")
+IFERROR(IF(OR(Inputs!$C$88=0,Inputs!$C$88="",ISERROR(Inputs!$C$88)),Inputs!$D$88,Inputs!$C$88*Inputs!$K$9*(1+Inputs!$K$12)^B580),"Error - Check Input")
+IFERROR(IF(OR(Inputs!$C$89=0,Inputs!$C$89="",ISERROR(Inputs!$C$89)),Inputs!$D$89,Inputs!$C$89*Inputs!$K$9*(1+Inputs!$K$12)^B580),"Error - Check Input")
+IFERROR(IF(OR(Inputs!$C$90=0,Inputs!$C$90="",ISERROR(Inputs!$C$90)),Inputs!$D$90,Inputs!$C$90*Inputs!$K$9*(1+Inputs!$K$12)^B580),"Error - Check Input")
+IFERROR(IF(OR(Inputs!$C$93=0,Inputs!$C$93="",ISERROR(Inputs!$C$93)),Inputs!$D$93,Inputs!$C$93*Inputs!$K$9*(1+Inputs!$K$12)^B580),"Error - Check Input")</f>
        <v>163513.57348323023</v>
      </c>
      <c r="D580" s="17"/>
    </row>
    <row r="581" spans="2:4" x14ac:dyDescent="0.35">
      <c r="B581" s="18">
        <v>390</v>
      </c>
      <c r="C581" s="6">
        <f>IFERROR(IF(OR(Inputs!$C$84=0,Inputs!$C$84="",ISERROR(Inputs!$C$84)),Inputs!$D$84,Inputs!$C$84*Inputs!$K$9*(1+Inputs!$K$12)^B581),"Error - Check Input")
+IFERROR(IF(OR(Inputs!$C$85=0,Inputs!$C$85="",ISERROR(Inputs!$C$85)),Inputs!$D$85,Inputs!$C$85*Inputs!$K$9*(1+Inputs!$K$12)^B581),"Error - Check Input")
+IFERROR(IF(OR(Inputs!$C$86=0,Inputs!$C$86="",ISERROR(Inputs!$C$86)),Inputs!$D$86,Inputs!$C$86*Inputs!$K$9*(1+Inputs!$K$12)^B581),"Error - Check Input")
+IFERROR(IF(OR(Inputs!$C$87=0,Inputs!$C$87="",ISERROR(Inputs!$C$87)),Inputs!$D$87,Inputs!$C$87*Inputs!$K$9*(1+Inputs!$K$12)^B581),"Error - Check Input")
+IFERROR(IF(OR(Inputs!$C$88=0,Inputs!$C$88="",ISERROR(Inputs!$C$88)),Inputs!$D$88,Inputs!$C$88*Inputs!$K$9*(1+Inputs!$K$12)^B581),"Error - Check Input")
+IFERROR(IF(OR(Inputs!$C$89=0,Inputs!$C$89="",ISERROR(Inputs!$C$89)),Inputs!$D$89,Inputs!$C$89*Inputs!$K$9*(1+Inputs!$K$12)^B581),"Error - Check Input")
+IFERROR(IF(OR(Inputs!$C$90=0,Inputs!$C$90="",ISERROR(Inputs!$C$90)),Inputs!$D$90,Inputs!$C$90*Inputs!$K$9*(1+Inputs!$K$12)^B581),"Error - Check Input")
+IFERROR(IF(OR(Inputs!$C$93=0,Inputs!$C$93="",ISERROR(Inputs!$C$93)),Inputs!$D$93,Inputs!$C$93*Inputs!$K$9*(1+Inputs!$K$12)^B581),"Error - Check Input")</f>
        <v>164161.41446488115</v>
      </c>
      <c r="D581" s="17"/>
    </row>
    <row r="582" spans="2:4" x14ac:dyDescent="0.35">
      <c r="B582" s="18">
        <v>391</v>
      </c>
      <c r="C582" s="6">
        <f>IFERROR(IF(OR(Inputs!$C$84=0,Inputs!$C$84="",ISERROR(Inputs!$C$84)),Inputs!$D$84,Inputs!$C$84*Inputs!$K$9*(1+Inputs!$K$12)^B582),"Error - Check Input")
+IFERROR(IF(OR(Inputs!$C$85=0,Inputs!$C$85="",ISERROR(Inputs!$C$85)),Inputs!$D$85,Inputs!$C$85*Inputs!$K$9*(1+Inputs!$K$12)^B582),"Error - Check Input")
+IFERROR(IF(OR(Inputs!$C$86=0,Inputs!$C$86="",ISERROR(Inputs!$C$86)),Inputs!$D$86,Inputs!$C$86*Inputs!$K$9*(1+Inputs!$K$12)^B582),"Error - Check Input")
+IFERROR(IF(OR(Inputs!$C$87=0,Inputs!$C$87="",ISERROR(Inputs!$C$87)),Inputs!$D$87,Inputs!$C$87*Inputs!$K$9*(1+Inputs!$K$12)^B582),"Error - Check Input")
+IFERROR(IF(OR(Inputs!$C$88=0,Inputs!$C$88="",ISERROR(Inputs!$C$88)),Inputs!$D$88,Inputs!$C$88*Inputs!$K$9*(1+Inputs!$K$12)^B582),"Error - Check Input")
+IFERROR(IF(OR(Inputs!$C$89=0,Inputs!$C$89="",ISERROR(Inputs!$C$89)),Inputs!$D$89,Inputs!$C$89*Inputs!$K$9*(1+Inputs!$K$12)^B582),"Error - Check Input")
+IFERROR(IF(OR(Inputs!$C$90=0,Inputs!$C$90="",ISERROR(Inputs!$C$90)),Inputs!$D$90,Inputs!$C$90*Inputs!$K$9*(1+Inputs!$K$12)^B582),"Error - Check Input")
+IFERROR(IF(OR(Inputs!$C$93=0,Inputs!$C$93="",ISERROR(Inputs!$C$93)),Inputs!$D$93,Inputs!$C$93*Inputs!$K$9*(1+Inputs!$K$12)^B582),"Error - Check Input")</f>
        <v>164811.89483088348</v>
      </c>
      <c r="D582" s="17"/>
    </row>
    <row r="583" spans="2:4" x14ac:dyDescent="0.35">
      <c r="B583" s="18">
        <v>392</v>
      </c>
      <c r="C583" s="6">
        <f>IFERROR(IF(OR(Inputs!$C$84=0,Inputs!$C$84="",ISERROR(Inputs!$C$84)),Inputs!$D$84,Inputs!$C$84*Inputs!$K$9*(1+Inputs!$K$12)^B583),"Error - Check Input")
+IFERROR(IF(OR(Inputs!$C$85=0,Inputs!$C$85="",ISERROR(Inputs!$C$85)),Inputs!$D$85,Inputs!$C$85*Inputs!$K$9*(1+Inputs!$K$12)^B583),"Error - Check Input")
+IFERROR(IF(OR(Inputs!$C$86=0,Inputs!$C$86="",ISERROR(Inputs!$C$86)),Inputs!$D$86,Inputs!$C$86*Inputs!$K$9*(1+Inputs!$K$12)^B583),"Error - Check Input")
+IFERROR(IF(OR(Inputs!$C$87=0,Inputs!$C$87="",ISERROR(Inputs!$C$87)),Inputs!$D$87,Inputs!$C$87*Inputs!$K$9*(1+Inputs!$K$12)^B583),"Error - Check Input")
+IFERROR(IF(OR(Inputs!$C$88=0,Inputs!$C$88="",ISERROR(Inputs!$C$88)),Inputs!$D$88,Inputs!$C$88*Inputs!$K$9*(1+Inputs!$K$12)^B583),"Error - Check Input")
+IFERROR(IF(OR(Inputs!$C$89=0,Inputs!$C$89="",ISERROR(Inputs!$C$89)),Inputs!$D$89,Inputs!$C$89*Inputs!$K$9*(1+Inputs!$K$12)^B583),"Error - Check Input")
+IFERROR(IF(OR(Inputs!$C$90=0,Inputs!$C$90="",ISERROR(Inputs!$C$90)),Inputs!$D$90,Inputs!$C$90*Inputs!$K$9*(1+Inputs!$K$12)^B583),"Error - Check Input")
+IFERROR(IF(OR(Inputs!$C$93=0,Inputs!$C$93="",ISERROR(Inputs!$C$93)),Inputs!$D$93,Inputs!$C$93*Inputs!$K$9*(1+Inputs!$K$12)^B583),"Error - Check Input")</f>
        <v>165465.02533441572</v>
      </c>
      <c r="D583" s="17"/>
    </row>
    <row r="584" spans="2:4" x14ac:dyDescent="0.35">
      <c r="B584" s="18">
        <v>393</v>
      </c>
      <c r="C584" s="6">
        <f>IFERROR(IF(OR(Inputs!$C$84=0,Inputs!$C$84="",ISERROR(Inputs!$C$84)),Inputs!$D$84,Inputs!$C$84*Inputs!$K$9*(1+Inputs!$K$12)^B584),"Error - Check Input")
+IFERROR(IF(OR(Inputs!$C$85=0,Inputs!$C$85="",ISERROR(Inputs!$C$85)),Inputs!$D$85,Inputs!$C$85*Inputs!$K$9*(1+Inputs!$K$12)^B584),"Error - Check Input")
+IFERROR(IF(OR(Inputs!$C$86=0,Inputs!$C$86="",ISERROR(Inputs!$C$86)),Inputs!$D$86,Inputs!$C$86*Inputs!$K$9*(1+Inputs!$K$12)^B584),"Error - Check Input")
+IFERROR(IF(OR(Inputs!$C$87=0,Inputs!$C$87="",ISERROR(Inputs!$C$87)),Inputs!$D$87,Inputs!$C$87*Inputs!$K$9*(1+Inputs!$K$12)^B584),"Error - Check Input")
+IFERROR(IF(OR(Inputs!$C$88=0,Inputs!$C$88="",ISERROR(Inputs!$C$88)),Inputs!$D$88,Inputs!$C$88*Inputs!$K$9*(1+Inputs!$K$12)^B584),"Error - Check Input")
+IFERROR(IF(OR(Inputs!$C$89=0,Inputs!$C$89="",ISERROR(Inputs!$C$89)),Inputs!$D$89,Inputs!$C$89*Inputs!$K$9*(1+Inputs!$K$12)^B584),"Error - Check Input")
+IFERROR(IF(OR(Inputs!$C$90=0,Inputs!$C$90="",ISERROR(Inputs!$C$90)),Inputs!$D$90,Inputs!$C$90*Inputs!$K$9*(1+Inputs!$K$12)^B584),"Error - Check Input")
+IFERROR(IF(OR(Inputs!$C$93=0,Inputs!$C$93="",ISERROR(Inputs!$C$93)),Inputs!$D$93,Inputs!$C$93*Inputs!$K$9*(1+Inputs!$K$12)^B584),"Error - Check Input")</f>
        <v>166120.81677246626</v>
      </c>
      <c r="D584" s="17"/>
    </row>
    <row r="585" spans="2:4" x14ac:dyDescent="0.35">
      <c r="B585" s="18">
        <v>394</v>
      </c>
      <c r="C585" s="6">
        <f>IFERROR(IF(OR(Inputs!$C$84=0,Inputs!$C$84="",ISERROR(Inputs!$C$84)),Inputs!$D$84,Inputs!$C$84*Inputs!$K$9*(1+Inputs!$K$12)^B585),"Error - Check Input")
+IFERROR(IF(OR(Inputs!$C$85=0,Inputs!$C$85="",ISERROR(Inputs!$C$85)),Inputs!$D$85,Inputs!$C$85*Inputs!$K$9*(1+Inputs!$K$12)^B585),"Error - Check Input")
+IFERROR(IF(OR(Inputs!$C$86=0,Inputs!$C$86="",ISERROR(Inputs!$C$86)),Inputs!$D$86,Inputs!$C$86*Inputs!$K$9*(1+Inputs!$K$12)^B585),"Error - Check Input")
+IFERROR(IF(OR(Inputs!$C$87=0,Inputs!$C$87="",ISERROR(Inputs!$C$87)),Inputs!$D$87,Inputs!$C$87*Inputs!$K$9*(1+Inputs!$K$12)^B585),"Error - Check Input")
+IFERROR(IF(OR(Inputs!$C$88=0,Inputs!$C$88="",ISERROR(Inputs!$C$88)),Inputs!$D$88,Inputs!$C$88*Inputs!$K$9*(1+Inputs!$K$12)^B585),"Error - Check Input")
+IFERROR(IF(OR(Inputs!$C$89=0,Inputs!$C$89="",ISERROR(Inputs!$C$89)),Inputs!$D$89,Inputs!$C$89*Inputs!$K$9*(1+Inputs!$K$12)^B585),"Error - Check Input")
+IFERROR(IF(OR(Inputs!$C$90=0,Inputs!$C$90="",ISERROR(Inputs!$C$90)),Inputs!$D$90,Inputs!$C$90*Inputs!$K$9*(1+Inputs!$K$12)^B585),"Error - Check Input")
+IFERROR(IF(OR(Inputs!$C$93=0,Inputs!$C$93="",ISERROR(Inputs!$C$93)),Inputs!$D$93,Inputs!$C$93*Inputs!$K$9*(1+Inputs!$K$12)^B585),"Error - Check Input")</f>
        <v>166779.27998601162</v>
      </c>
      <c r="D585" s="17"/>
    </row>
    <row r="586" spans="2:4" x14ac:dyDescent="0.35">
      <c r="B586" s="18">
        <v>395</v>
      </c>
      <c r="C586" s="6">
        <f>IFERROR(IF(OR(Inputs!$C$84=0,Inputs!$C$84="",ISERROR(Inputs!$C$84)),Inputs!$D$84,Inputs!$C$84*Inputs!$K$9*(1+Inputs!$K$12)^B586),"Error - Check Input")
+IFERROR(IF(OR(Inputs!$C$85=0,Inputs!$C$85="",ISERROR(Inputs!$C$85)),Inputs!$D$85,Inputs!$C$85*Inputs!$K$9*(1+Inputs!$K$12)^B586),"Error - Check Input")
+IFERROR(IF(OR(Inputs!$C$86=0,Inputs!$C$86="",ISERROR(Inputs!$C$86)),Inputs!$D$86,Inputs!$C$86*Inputs!$K$9*(1+Inputs!$K$12)^B586),"Error - Check Input")
+IFERROR(IF(OR(Inputs!$C$87=0,Inputs!$C$87="",ISERROR(Inputs!$C$87)),Inputs!$D$87,Inputs!$C$87*Inputs!$K$9*(1+Inputs!$K$12)^B586),"Error - Check Input")
+IFERROR(IF(OR(Inputs!$C$88=0,Inputs!$C$88="",ISERROR(Inputs!$C$88)),Inputs!$D$88,Inputs!$C$88*Inputs!$K$9*(1+Inputs!$K$12)^B586),"Error - Check Input")
+IFERROR(IF(OR(Inputs!$C$89=0,Inputs!$C$89="",ISERROR(Inputs!$C$89)),Inputs!$D$89,Inputs!$C$89*Inputs!$K$9*(1+Inputs!$K$12)^B586),"Error - Check Input")
+IFERROR(IF(OR(Inputs!$C$90=0,Inputs!$C$90="",ISERROR(Inputs!$C$90)),Inputs!$D$90,Inputs!$C$90*Inputs!$K$9*(1+Inputs!$K$12)^B586),"Error - Check Input")
+IFERROR(IF(OR(Inputs!$C$93=0,Inputs!$C$93="",ISERROR(Inputs!$C$93)),Inputs!$D$93,Inputs!$C$93*Inputs!$K$9*(1+Inputs!$K$12)^B586),"Error - Check Input")</f>
        <v>167440.42586019597</v>
      </c>
      <c r="D586" s="17"/>
    </row>
    <row r="587" spans="2:4" x14ac:dyDescent="0.35">
      <c r="B587" s="18">
        <v>396</v>
      </c>
      <c r="C587" s="6">
        <f>IFERROR(IF(OR(Inputs!$C$84=0,Inputs!$C$84="",ISERROR(Inputs!$C$84)),Inputs!$D$84,Inputs!$C$84*Inputs!$K$9*(1+Inputs!$K$12)^B587),"Error - Check Input")
+IFERROR(IF(OR(Inputs!$C$85=0,Inputs!$C$85="",ISERROR(Inputs!$C$85)),Inputs!$D$85,Inputs!$C$85*Inputs!$K$9*(1+Inputs!$K$12)^B587),"Error - Check Input")
+IFERROR(IF(OR(Inputs!$C$86=0,Inputs!$C$86="",ISERROR(Inputs!$C$86)),Inputs!$D$86,Inputs!$C$86*Inputs!$K$9*(1+Inputs!$K$12)^B587),"Error - Check Input")
+IFERROR(IF(OR(Inputs!$C$87=0,Inputs!$C$87="",ISERROR(Inputs!$C$87)),Inputs!$D$87,Inputs!$C$87*Inputs!$K$9*(1+Inputs!$K$12)^B587),"Error - Check Input")
+IFERROR(IF(OR(Inputs!$C$88=0,Inputs!$C$88="",ISERROR(Inputs!$C$88)),Inputs!$D$88,Inputs!$C$88*Inputs!$K$9*(1+Inputs!$K$12)^B587),"Error - Check Input")
+IFERROR(IF(OR(Inputs!$C$89=0,Inputs!$C$89="",ISERROR(Inputs!$C$89)),Inputs!$D$89,Inputs!$C$89*Inputs!$K$9*(1+Inputs!$K$12)^B587),"Error - Check Input")
+IFERROR(IF(OR(Inputs!$C$90=0,Inputs!$C$90="",ISERROR(Inputs!$C$90)),Inputs!$D$90,Inputs!$C$90*Inputs!$K$9*(1+Inputs!$K$12)^B587),"Error - Check Input")
+IFERROR(IF(OR(Inputs!$C$93=0,Inputs!$C$93="",ISERROR(Inputs!$C$93)),Inputs!$D$93,Inputs!$C$93*Inputs!$K$9*(1+Inputs!$K$12)^B587),"Error - Check Input")</f>
        <v>168104.26532451081</v>
      </c>
      <c r="D587" s="17"/>
    </row>
    <row r="588" spans="2:4" x14ac:dyDescent="0.35">
      <c r="B588" s="18">
        <v>397</v>
      </c>
      <c r="C588" s="6">
        <f>IFERROR(IF(OR(Inputs!$C$84=0,Inputs!$C$84="",ISERROR(Inputs!$C$84)),Inputs!$D$84,Inputs!$C$84*Inputs!$K$9*(1+Inputs!$K$12)^B588),"Error - Check Input")
+IFERROR(IF(OR(Inputs!$C$85=0,Inputs!$C$85="",ISERROR(Inputs!$C$85)),Inputs!$D$85,Inputs!$C$85*Inputs!$K$9*(1+Inputs!$K$12)^B588),"Error - Check Input")
+IFERROR(IF(OR(Inputs!$C$86=0,Inputs!$C$86="",ISERROR(Inputs!$C$86)),Inputs!$D$86,Inputs!$C$86*Inputs!$K$9*(1+Inputs!$K$12)^B588),"Error - Check Input")
+IFERROR(IF(OR(Inputs!$C$87=0,Inputs!$C$87="",ISERROR(Inputs!$C$87)),Inputs!$D$87,Inputs!$C$87*Inputs!$K$9*(1+Inputs!$K$12)^B588),"Error - Check Input")
+IFERROR(IF(OR(Inputs!$C$88=0,Inputs!$C$88="",ISERROR(Inputs!$C$88)),Inputs!$D$88,Inputs!$C$88*Inputs!$K$9*(1+Inputs!$K$12)^B588),"Error - Check Input")
+IFERROR(IF(OR(Inputs!$C$89=0,Inputs!$C$89="",ISERROR(Inputs!$C$89)),Inputs!$D$89,Inputs!$C$89*Inputs!$K$9*(1+Inputs!$K$12)^B588),"Error - Check Input")
+IFERROR(IF(OR(Inputs!$C$90=0,Inputs!$C$90="",ISERROR(Inputs!$C$90)),Inputs!$D$90,Inputs!$C$90*Inputs!$K$9*(1+Inputs!$K$12)^B588),"Error - Check Input")
+IFERROR(IF(OR(Inputs!$C$93=0,Inputs!$C$93="",ISERROR(Inputs!$C$93)),Inputs!$D$93,Inputs!$C$93*Inputs!$K$9*(1+Inputs!$K$12)^B588),"Error - Check Input")</f>
        <v>168770.80935297572</v>
      </c>
      <c r="D588" s="17"/>
    </row>
    <row r="589" spans="2:4" x14ac:dyDescent="0.35">
      <c r="B589" s="18">
        <v>398</v>
      </c>
      <c r="C589" s="6">
        <f>IFERROR(IF(OR(Inputs!$C$84=0,Inputs!$C$84="",ISERROR(Inputs!$C$84)),Inputs!$D$84,Inputs!$C$84*Inputs!$K$9*(1+Inputs!$K$12)^B589),"Error - Check Input")
+IFERROR(IF(OR(Inputs!$C$85=0,Inputs!$C$85="",ISERROR(Inputs!$C$85)),Inputs!$D$85,Inputs!$C$85*Inputs!$K$9*(1+Inputs!$K$12)^B589),"Error - Check Input")
+IFERROR(IF(OR(Inputs!$C$86=0,Inputs!$C$86="",ISERROR(Inputs!$C$86)),Inputs!$D$86,Inputs!$C$86*Inputs!$K$9*(1+Inputs!$K$12)^B589),"Error - Check Input")
+IFERROR(IF(OR(Inputs!$C$87=0,Inputs!$C$87="",ISERROR(Inputs!$C$87)),Inputs!$D$87,Inputs!$C$87*Inputs!$K$9*(1+Inputs!$K$12)^B589),"Error - Check Input")
+IFERROR(IF(OR(Inputs!$C$88=0,Inputs!$C$88="",ISERROR(Inputs!$C$88)),Inputs!$D$88,Inputs!$C$88*Inputs!$K$9*(1+Inputs!$K$12)^B589),"Error - Check Input")
+IFERROR(IF(OR(Inputs!$C$89=0,Inputs!$C$89="",ISERROR(Inputs!$C$89)),Inputs!$D$89,Inputs!$C$89*Inputs!$K$9*(1+Inputs!$K$12)^B589),"Error - Check Input")
+IFERROR(IF(OR(Inputs!$C$90=0,Inputs!$C$90="",ISERROR(Inputs!$C$90)),Inputs!$D$90,Inputs!$C$90*Inputs!$K$9*(1+Inputs!$K$12)^B589),"Error - Check Input")
+IFERROR(IF(OR(Inputs!$C$93=0,Inputs!$C$93="",ISERROR(Inputs!$C$93)),Inputs!$D$93,Inputs!$C$93*Inputs!$K$9*(1+Inputs!$K$12)^B589),"Error - Check Input")</f>
        <v>169440.06896431983</v>
      </c>
      <c r="D589" s="17"/>
    </row>
    <row r="590" spans="2:4" x14ac:dyDescent="0.35">
      <c r="B590" s="18">
        <v>399</v>
      </c>
      <c r="C590" s="6">
        <f>IFERROR(IF(OR(Inputs!$C$84=0,Inputs!$C$84="",ISERROR(Inputs!$C$84)),Inputs!$D$84,Inputs!$C$84*Inputs!$K$9*(1+Inputs!$K$12)^B590),"Error - Check Input")
+IFERROR(IF(OR(Inputs!$C$85=0,Inputs!$C$85="",ISERROR(Inputs!$C$85)),Inputs!$D$85,Inputs!$C$85*Inputs!$K$9*(1+Inputs!$K$12)^B590),"Error - Check Input")
+IFERROR(IF(OR(Inputs!$C$86=0,Inputs!$C$86="",ISERROR(Inputs!$C$86)),Inputs!$D$86,Inputs!$C$86*Inputs!$K$9*(1+Inputs!$K$12)^B590),"Error - Check Input")
+IFERROR(IF(OR(Inputs!$C$87=0,Inputs!$C$87="",ISERROR(Inputs!$C$87)),Inputs!$D$87,Inputs!$C$87*Inputs!$K$9*(1+Inputs!$K$12)^B590),"Error - Check Input")
+IFERROR(IF(OR(Inputs!$C$88=0,Inputs!$C$88="",ISERROR(Inputs!$C$88)),Inputs!$D$88,Inputs!$C$88*Inputs!$K$9*(1+Inputs!$K$12)^B590),"Error - Check Input")
+IFERROR(IF(OR(Inputs!$C$89=0,Inputs!$C$89="",ISERROR(Inputs!$C$89)),Inputs!$D$89,Inputs!$C$89*Inputs!$K$9*(1+Inputs!$K$12)^B590),"Error - Check Input")
+IFERROR(IF(OR(Inputs!$C$90=0,Inputs!$C$90="",ISERROR(Inputs!$C$90)),Inputs!$D$90,Inputs!$C$90*Inputs!$K$9*(1+Inputs!$K$12)^B590),"Error - Check Input")
+IFERROR(IF(OR(Inputs!$C$93=0,Inputs!$C$93="",ISERROR(Inputs!$C$93)),Inputs!$D$93,Inputs!$C$93*Inputs!$K$9*(1+Inputs!$K$12)^B590),"Error - Check Input")</f>
        <v>170112.05522216397</v>
      </c>
      <c r="D590" s="17"/>
    </row>
    <row r="591" spans="2:4" x14ac:dyDescent="0.35">
      <c r="B591" s="18">
        <v>400</v>
      </c>
      <c r="C591" s="6">
        <f>IFERROR(IF(OR(Inputs!$C$84=0,Inputs!$C$84="",ISERROR(Inputs!$C$84)),Inputs!$D$84,Inputs!$C$84*Inputs!$K$9*(1+Inputs!$K$12)^B591),"Error - Check Input")
+IFERROR(IF(OR(Inputs!$C$85=0,Inputs!$C$85="",ISERROR(Inputs!$C$85)),Inputs!$D$85,Inputs!$C$85*Inputs!$K$9*(1+Inputs!$K$12)^B591),"Error - Check Input")
+IFERROR(IF(OR(Inputs!$C$86=0,Inputs!$C$86="",ISERROR(Inputs!$C$86)),Inputs!$D$86,Inputs!$C$86*Inputs!$K$9*(1+Inputs!$K$12)^B591),"Error - Check Input")
+IFERROR(IF(OR(Inputs!$C$87=0,Inputs!$C$87="",ISERROR(Inputs!$C$87)),Inputs!$D$87,Inputs!$C$87*Inputs!$K$9*(1+Inputs!$K$12)^B591),"Error - Check Input")
+IFERROR(IF(OR(Inputs!$C$88=0,Inputs!$C$88="",ISERROR(Inputs!$C$88)),Inputs!$D$88,Inputs!$C$88*Inputs!$K$9*(1+Inputs!$K$12)^B591),"Error - Check Input")
+IFERROR(IF(OR(Inputs!$C$89=0,Inputs!$C$89="",ISERROR(Inputs!$C$89)),Inputs!$D$89,Inputs!$C$89*Inputs!$K$9*(1+Inputs!$K$12)^B591),"Error - Check Input")
+IFERROR(IF(OR(Inputs!$C$90=0,Inputs!$C$90="",ISERROR(Inputs!$C$90)),Inputs!$D$90,Inputs!$C$90*Inputs!$K$9*(1+Inputs!$K$12)^B591),"Error - Check Input")
+IFERROR(IF(OR(Inputs!$C$93=0,Inputs!$C$93="",ISERROR(Inputs!$C$93)),Inputs!$D$93,Inputs!$C$93*Inputs!$K$9*(1+Inputs!$K$12)^B591),"Error - Check Input")</f>
        <v>170786.77923520349</v>
      </c>
      <c r="D591" s="17"/>
    </row>
    <row r="592" spans="2:4" x14ac:dyDescent="0.35">
      <c r="B592" s="18">
        <v>401</v>
      </c>
      <c r="C592" s="6">
        <f>IFERROR(IF(OR(Inputs!$C$84=0,Inputs!$C$84="",ISERROR(Inputs!$C$84)),Inputs!$D$84,Inputs!$C$84*Inputs!$K$9*(1+Inputs!$K$12)^B592),"Error - Check Input")
+IFERROR(IF(OR(Inputs!$C$85=0,Inputs!$C$85="",ISERROR(Inputs!$C$85)),Inputs!$D$85,Inputs!$C$85*Inputs!$K$9*(1+Inputs!$K$12)^B592),"Error - Check Input")
+IFERROR(IF(OR(Inputs!$C$86=0,Inputs!$C$86="",ISERROR(Inputs!$C$86)),Inputs!$D$86,Inputs!$C$86*Inputs!$K$9*(1+Inputs!$K$12)^B592),"Error - Check Input")
+IFERROR(IF(OR(Inputs!$C$87=0,Inputs!$C$87="",ISERROR(Inputs!$C$87)),Inputs!$D$87,Inputs!$C$87*Inputs!$K$9*(1+Inputs!$K$12)^B592),"Error - Check Input")
+IFERROR(IF(OR(Inputs!$C$88=0,Inputs!$C$88="",ISERROR(Inputs!$C$88)),Inputs!$D$88,Inputs!$C$88*Inputs!$K$9*(1+Inputs!$K$12)^B592),"Error - Check Input")
+IFERROR(IF(OR(Inputs!$C$89=0,Inputs!$C$89="",ISERROR(Inputs!$C$89)),Inputs!$D$89,Inputs!$C$89*Inputs!$K$9*(1+Inputs!$K$12)^B592),"Error - Check Input")
+IFERROR(IF(OR(Inputs!$C$90=0,Inputs!$C$90="",ISERROR(Inputs!$C$90)),Inputs!$D$90,Inputs!$C$90*Inputs!$K$9*(1+Inputs!$K$12)^B592),"Error - Check Input")
+IFERROR(IF(OR(Inputs!$C$93=0,Inputs!$C$93="",ISERROR(Inputs!$C$93)),Inputs!$D$93,Inputs!$C$93*Inputs!$K$9*(1+Inputs!$K$12)^B592),"Error - Check Input")</f>
        <v>171464.25215739189</v>
      </c>
      <c r="D592" s="17"/>
    </row>
    <row r="593" spans="2:4" x14ac:dyDescent="0.35">
      <c r="B593" s="18">
        <v>402</v>
      </c>
      <c r="C593" s="6">
        <f>IFERROR(IF(OR(Inputs!$C$84=0,Inputs!$C$84="",ISERROR(Inputs!$C$84)),Inputs!$D$84,Inputs!$C$84*Inputs!$K$9*(1+Inputs!$K$12)^B593),"Error - Check Input")
+IFERROR(IF(OR(Inputs!$C$85=0,Inputs!$C$85="",ISERROR(Inputs!$C$85)),Inputs!$D$85,Inputs!$C$85*Inputs!$K$9*(1+Inputs!$K$12)^B593),"Error - Check Input")
+IFERROR(IF(OR(Inputs!$C$86=0,Inputs!$C$86="",ISERROR(Inputs!$C$86)),Inputs!$D$86,Inputs!$C$86*Inputs!$K$9*(1+Inputs!$K$12)^B593),"Error - Check Input")
+IFERROR(IF(OR(Inputs!$C$87=0,Inputs!$C$87="",ISERROR(Inputs!$C$87)),Inputs!$D$87,Inputs!$C$87*Inputs!$K$9*(1+Inputs!$K$12)^B593),"Error - Check Input")
+IFERROR(IF(OR(Inputs!$C$88=0,Inputs!$C$88="",ISERROR(Inputs!$C$88)),Inputs!$D$88,Inputs!$C$88*Inputs!$K$9*(1+Inputs!$K$12)^B593),"Error - Check Input")
+IFERROR(IF(OR(Inputs!$C$89=0,Inputs!$C$89="",ISERROR(Inputs!$C$89)),Inputs!$D$89,Inputs!$C$89*Inputs!$K$9*(1+Inputs!$K$12)^B593),"Error - Check Input")
+IFERROR(IF(OR(Inputs!$C$90=0,Inputs!$C$90="",ISERROR(Inputs!$C$90)),Inputs!$D$90,Inputs!$C$90*Inputs!$K$9*(1+Inputs!$K$12)^B593),"Error - Check Input")
+IFERROR(IF(OR(Inputs!$C$93=0,Inputs!$C$93="",ISERROR(Inputs!$C$93)),Inputs!$D$93,Inputs!$C$93*Inputs!$K$9*(1+Inputs!$K$12)^B593),"Error - Check Input")</f>
        <v>172144.48518812543</v>
      </c>
      <c r="D593" s="17"/>
    </row>
    <row r="594" spans="2:4" x14ac:dyDescent="0.35">
      <c r="B594" s="18">
        <v>403</v>
      </c>
      <c r="C594" s="6">
        <f>IFERROR(IF(OR(Inputs!$C$84=0,Inputs!$C$84="",ISERROR(Inputs!$C$84)),Inputs!$D$84,Inputs!$C$84*Inputs!$K$9*(1+Inputs!$K$12)^B594),"Error - Check Input")
+IFERROR(IF(OR(Inputs!$C$85=0,Inputs!$C$85="",ISERROR(Inputs!$C$85)),Inputs!$D$85,Inputs!$C$85*Inputs!$K$9*(1+Inputs!$K$12)^B594),"Error - Check Input")
+IFERROR(IF(OR(Inputs!$C$86=0,Inputs!$C$86="",ISERROR(Inputs!$C$86)),Inputs!$D$86,Inputs!$C$86*Inputs!$K$9*(1+Inputs!$K$12)^B594),"Error - Check Input")
+IFERROR(IF(OR(Inputs!$C$87=0,Inputs!$C$87="",ISERROR(Inputs!$C$87)),Inputs!$D$87,Inputs!$C$87*Inputs!$K$9*(1+Inputs!$K$12)^B594),"Error - Check Input")
+IFERROR(IF(OR(Inputs!$C$88=0,Inputs!$C$88="",ISERROR(Inputs!$C$88)),Inputs!$D$88,Inputs!$C$88*Inputs!$K$9*(1+Inputs!$K$12)^B594),"Error - Check Input")
+IFERROR(IF(OR(Inputs!$C$89=0,Inputs!$C$89="",ISERROR(Inputs!$C$89)),Inputs!$D$89,Inputs!$C$89*Inputs!$K$9*(1+Inputs!$K$12)^B594),"Error - Check Input")
+IFERROR(IF(OR(Inputs!$C$90=0,Inputs!$C$90="",ISERROR(Inputs!$C$90)),Inputs!$D$90,Inputs!$C$90*Inputs!$K$9*(1+Inputs!$K$12)^B594),"Error - Check Input")
+IFERROR(IF(OR(Inputs!$C$93=0,Inputs!$C$93="",ISERROR(Inputs!$C$93)),Inputs!$D$93,Inputs!$C$93*Inputs!$K$9*(1+Inputs!$K$12)^B594),"Error - Check Input")</f>
        <v>172827.48957242785</v>
      </c>
      <c r="D594" s="17"/>
    </row>
    <row r="595" spans="2:4" x14ac:dyDescent="0.35">
      <c r="B595" s="18">
        <v>404</v>
      </c>
      <c r="C595" s="6">
        <f>IFERROR(IF(OR(Inputs!$C$84=0,Inputs!$C$84="",ISERROR(Inputs!$C$84)),Inputs!$D$84,Inputs!$C$84*Inputs!$K$9*(1+Inputs!$K$12)^B595),"Error - Check Input")
+IFERROR(IF(OR(Inputs!$C$85=0,Inputs!$C$85="",ISERROR(Inputs!$C$85)),Inputs!$D$85,Inputs!$C$85*Inputs!$K$9*(1+Inputs!$K$12)^B595),"Error - Check Input")
+IFERROR(IF(OR(Inputs!$C$86=0,Inputs!$C$86="",ISERROR(Inputs!$C$86)),Inputs!$D$86,Inputs!$C$86*Inputs!$K$9*(1+Inputs!$K$12)^B595),"Error - Check Input")
+IFERROR(IF(OR(Inputs!$C$87=0,Inputs!$C$87="",ISERROR(Inputs!$C$87)),Inputs!$D$87,Inputs!$C$87*Inputs!$K$9*(1+Inputs!$K$12)^B595),"Error - Check Input")
+IFERROR(IF(OR(Inputs!$C$88=0,Inputs!$C$88="",ISERROR(Inputs!$C$88)),Inputs!$D$88,Inputs!$C$88*Inputs!$K$9*(1+Inputs!$K$12)^B595),"Error - Check Input")
+IFERROR(IF(OR(Inputs!$C$89=0,Inputs!$C$89="",ISERROR(Inputs!$C$89)),Inputs!$D$89,Inputs!$C$89*Inputs!$K$9*(1+Inputs!$K$12)^B595),"Error - Check Input")
+IFERROR(IF(OR(Inputs!$C$90=0,Inputs!$C$90="",ISERROR(Inputs!$C$90)),Inputs!$D$90,Inputs!$C$90*Inputs!$K$9*(1+Inputs!$K$12)^B595),"Error - Check Input")
+IFERROR(IF(OR(Inputs!$C$93=0,Inputs!$C$93="",ISERROR(Inputs!$C$93)),Inputs!$D$93,Inputs!$C$93*Inputs!$K$9*(1+Inputs!$K$12)^B595),"Error - Check Input")</f>
        <v>173513.27660113669</v>
      </c>
      <c r="D595" s="17"/>
    </row>
    <row r="596" spans="2:4" x14ac:dyDescent="0.35">
      <c r="B596" s="18">
        <v>405</v>
      </c>
      <c r="C596" s="6">
        <f>IFERROR(IF(OR(Inputs!$C$84=0,Inputs!$C$84="",ISERROR(Inputs!$C$84)),Inputs!$D$84,Inputs!$C$84*Inputs!$K$9*(1+Inputs!$K$12)^B596),"Error - Check Input")
+IFERROR(IF(OR(Inputs!$C$85=0,Inputs!$C$85="",ISERROR(Inputs!$C$85)),Inputs!$D$85,Inputs!$C$85*Inputs!$K$9*(1+Inputs!$K$12)^B596),"Error - Check Input")
+IFERROR(IF(OR(Inputs!$C$86=0,Inputs!$C$86="",ISERROR(Inputs!$C$86)),Inputs!$D$86,Inputs!$C$86*Inputs!$K$9*(1+Inputs!$K$12)^B596),"Error - Check Input")
+IFERROR(IF(OR(Inputs!$C$87=0,Inputs!$C$87="",ISERROR(Inputs!$C$87)),Inputs!$D$87,Inputs!$C$87*Inputs!$K$9*(1+Inputs!$K$12)^B596),"Error - Check Input")
+IFERROR(IF(OR(Inputs!$C$88=0,Inputs!$C$88="",ISERROR(Inputs!$C$88)),Inputs!$D$88,Inputs!$C$88*Inputs!$K$9*(1+Inputs!$K$12)^B596),"Error - Check Input")
+IFERROR(IF(OR(Inputs!$C$89=0,Inputs!$C$89="",ISERROR(Inputs!$C$89)),Inputs!$D$89,Inputs!$C$89*Inputs!$K$9*(1+Inputs!$K$12)^B596),"Error - Check Input")
+IFERROR(IF(OR(Inputs!$C$90=0,Inputs!$C$90="",ISERROR(Inputs!$C$90)),Inputs!$D$90,Inputs!$C$90*Inputs!$K$9*(1+Inputs!$K$12)^B596),"Error - Check Input")
+IFERROR(IF(OR(Inputs!$C$93=0,Inputs!$C$93="",ISERROR(Inputs!$C$93)),Inputs!$D$93,Inputs!$C$93*Inputs!$K$9*(1+Inputs!$K$12)^B596),"Error - Check Input")</f>
        <v>174201.85761108971</v>
      </c>
      <c r="D596" s="17"/>
    </row>
    <row r="597" spans="2:4" x14ac:dyDescent="0.35">
      <c r="B597" s="18">
        <v>406</v>
      </c>
      <c r="C597" s="6">
        <f>IFERROR(IF(OR(Inputs!$C$84=0,Inputs!$C$84="",ISERROR(Inputs!$C$84)),Inputs!$D$84,Inputs!$C$84*Inputs!$K$9*(1+Inputs!$K$12)^B597),"Error - Check Input")
+IFERROR(IF(OR(Inputs!$C$85=0,Inputs!$C$85="",ISERROR(Inputs!$C$85)),Inputs!$D$85,Inputs!$C$85*Inputs!$K$9*(1+Inputs!$K$12)^B597),"Error - Check Input")
+IFERROR(IF(OR(Inputs!$C$86=0,Inputs!$C$86="",ISERROR(Inputs!$C$86)),Inputs!$D$86,Inputs!$C$86*Inputs!$K$9*(1+Inputs!$K$12)^B597),"Error - Check Input")
+IFERROR(IF(OR(Inputs!$C$87=0,Inputs!$C$87="",ISERROR(Inputs!$C$87)),Inputs!$D$87,Inputs!$C$87*Inputs!$K$9*(1+Inputs!$K$12)^B597),"Error - Check Input")
+IFERROR(IF(OR(Inputs!$C$88=0,Inputs!$C$88="",ISERROR(Inputs!$C$88)),Inputs!$D$88,Inputs!$C$88*Inputs!$K$9*(1+Inputs!$K$12)^B597),"Error - Check Input")
+IFERROR(IF(OR(Inputs!$C$89=0,Inputs!$C$89="",ISERROR(Inputs!$C$89)),Inputs!$D$89,Inputs!$C$89*Inputs!$K$9*(1+Inputs!$K$12)^B597),"Error - Check Input")
+IFERROR(IF(OR(Inputs!$C$90=0,Inputs!$C$90="",ISERROR(Inputs!$C$90)),Inputs!$D$90,Inputs!$C$90*Inputs!$K$9*(1+Inputs!$K$12)^B597),"Error - Check Input")
+IFERROR(IF(OR(Inputs!$C$93=0,Inputs!$C$93="",ISERROR(Inputs!$C$93)),Inputs!$D$93,Inputs!$C$93*Inputs!$K$9*(1+Inputs!$K$12)^B597),"Error - Check Input")</f>
        <v>174893.24398531238</v>
      </c>
      <c r="D597" s="17"/>
    </row>
    <row r="598" spans="2:4" x14ac:dyDescent="0.35">
      <c r="B598" s="18">
        <v>407</v>
      </c>
      <c r="C598" s="6">
        <f>IFERROR(IF(OR(Inputs!$C$84=0,Inputs!$C$84="",ISERROR(Inputs!$C$84)),Inputs!$D$84,Inputs!$C$84*Inputs!$K$9*(1+Inputs!$K$12)^B598),"Error - Check Input")
+IFERROR(IF(OR(Inputs!$C$85=0,Inputs!$C$85="",ISERROR(Inputs!$C$85)),Inputs!$D$85,Inputs!$C$85*Inputs!$K$9*(1+Inputs!$K$12)^B598),"Error - Check Input")
+IFERROR(IF(OR(Inputs!$C$86=0,Inputs!$C$86="",ISERROR(Inputs!$C$86)),Inputs!$D$86,Inputs!$C$86*Inputs!$K$9*(1+Inputs!$K$12)^B598),"Error - Check Input")
+IFERROR(IF(OR(Inputs!$C$87=0,Inputs!$C$87="",ISERROR(Inputs!$C$87)),Inputs!$D$87,Inputs!$C$87*Inputs!$K$9*(1+Inputs!$K$12)^B598),"Error - Check Input")
+IFERROR(IF(OR(Inputs!$C$88=0,Inputs!$C$88="",ISERROR(Inputs!$C$88)),Inputs!$D$88,Inputs!$C$88*Inputs!$K$9*(1+Inputs!$K$12)^B598),"Error - Check Input")
+IFERROR(IF(OR(Inputs!$C$89=0,Inputs!$C$89="",ISERROR(Inputs!$C$89)),Inputs!$D$89,Inputs!$C$89*Inputs!$K$9*(1+Inputs!$K$12)^B598),"Error - Check Input")
+IFERROR(IF(OR(Inputs!$C$90=0,Inputs!$C$90="",ISERROR(Inputs!$C$90)),Inputs!$D$90,Inputs!$C$90*Inputs!$K$9*(1+Inputs!$K$12)^B598),"Error - Check Input")
+IFERROR(IF(OR(Inputs!$C$93=0,Inputs!$C$93="",ISERROR(Inputs!$C$93)),Inputs!$D$93,Inputs!$C$93*Inputs!$K$9*(1+Inputs!$K$12)^B598),"Error - Check Input")</f>
        <v>175587.44715320593</v>
      </c>
      <c r="D598" s="17"/>
    </row>
    <row r="599" spans="2:4" x14ac:dyDescent="0.35">
      <c r="B599" s="18">
        <v>408</v>
      </c>
      <c r="C599" s="6">
        <f>IFERROR(IF(OR(Inputs!$C$84=0,Inputs!$C$84="",ISERROR(Inputs!$C$84)),Inputs!$D$84,Inputs!$C$84*Inputs!$K$9*(1+Inputs!$K$12)^B599),"Error - Check Input")
+IFERROR(IF(OR(Inputs!$C$85=0,Inputs!$C$85="",ISERROR(Inputs!$C$85)),Inputs!$D$85,Inputs!$C$85*Inputs!$K$9*(1+Inputs!$K$12)^B599),"Error - Check Input")
+IFERROR(IF(OR(Inputs!$C$86=0,Inputs!$C$86="",ISERROR(Inputs!$C$86)),Inputs!$D$86,Inputs!$C$86*Inputs!$K$9*(1+Inputs!$K$12)^B599),"Error - Check Input")
+IFERROR(IF(OR(Inputs!$C$87=0,Inputs!$C$87="",ISERROR(Inputs!$C$87)),Inputs!$D$87,Inputs!$C$87*Inputs!$K$9*(1+Inputs!$K$12)^B599),"Error - Check Input")
+IFERROR(IF(OR(Inputs!$C$88=0,Inputs!$C$88="",ISERROR(Inputs!$C$88)),Inputs!$D$88,Inputs!$C$88*Inputs!$K$9*(1+Inputs!$K$12)^B599),"Error - Check Input")
+IFERROR(IF(OR(Inputs!$C$89=0,Inputs!$C$89="",ISERROR(Inputs!$C$89)),Inputs!$D$89,Inputs!$C$89*Inputs!$K$9*(1+Inputs!$K$12)^B599),"Error - Check Input")
+IFERROR(IF(OR(Inputs!$C$90=0,Inputs!$C$90="",ISERROR(Inputs!$C$90)),Inputs!$D$90,Inputs!$C$90*Inputs!$K$9*(1+Inputs!$K$12)^B599),"Error - Check Input")
+IFERROR(IF(OR(Inputs!$C$93=0,Inputs!$C$93="",ISERROR(Inputs!$C$93)),Inputs!$D$93,Inputs!$C$93*Inputs!$K$9*(1+Inputs!$K$12)^B599),"Error - Check Input")</f>
        <v>176284.47859073654</v>
      </c>
      <c r="D599" s="17"/>
    </row>
    <row r="600" spans="2:4" x14ac:dyDescent="0.35">
      <c r="B600" s="18">
        <v>409</v>
      </c>
      <c r="C600" s="6">
        <f>IFERROR(IF(OR(Inputs!$C$84=0,Inputs!$C$84="",ISERROR(Inputs!$C$84)),Inputs!$D$84,Inputs!$C$84*Inputs!$K$9*(1+Inputs!$K$12)^B600),"Error - Check Input")
+IFERROR(IF(OR(Inputs!$C$85=0,Inputs!$C$85="",ISERROR(Inputs!$C$85)),Inputs!$D$85,Inputs!$C$85*Inputs!$K$9*(1+Inputs!$K$12)^B600),"Error - Check Input")
+IFERROR(IF(OR(Inputs!$C$86=0,Inputs!$C$86="",ISERROR(Inputs!$C$86)),Inputs!$D$86,Inputs!$C$86*Inputs!$K$9*(1+Inputs!$K$12)^B600),"Error - Check Input")
+IFERROR(IF(OR(Inputs!$C$87=0,Inputs!$C$87="",ISERROR(Inputs!$C$87)),Inputs!$D$87,Inputs!$C$87*Inputs!$K$9*(1+Inputs!$K$12)^B600),"Error - Check Input")
+IFERROR(IF(OR(Inputs!$C$88=0,Inputs!$C$88="",ISERROR(Inputs!$C$88)),Inputs!$D$88,Inputs!$C$88*Inputs!$K$9*(1+Inputs!$K$12)^B600),"Error - Check Input")
+IFERROR(IF(OR(Inputs!$C$89=0,Inputs!$C$89="",ISERROR(Inputs!$C$89)),Inputs!$D$89,Inputs!$C$89*Inputs!$K$9*(1+Inputs!$K$12)^B600),"Error - Check Input")
+IFERROR(IF(OR(Inputs!$C$90=0,Inputs!$C$90="",ISERROR(Inputs!$C$90)),Inputs!$D$90,Inputs!$C$90*Inputs!$K$9*(1+Inputs!$K$12)^B600),"Error - Check Input")
+IFERROR(IF(OR(Inputs!$C$93=0,Inputs!$C$93="",ISERROR(Inputs!$C$93)),Inputs!$D$93,Inputs!$C$93*Inputs!$K$9*(1+Inputs!$K$12)^B600),"Error - Check Input")</f>
        <v>176984.34982062469</v>
      </c>
      <c r="D600" s="17"/>
    </row>
    <row r="601" spans="2:4" x14ac:dyDescent="0.35">
      <c r="B601" s="18">
        <v>410</v>
      </c>
      <c r="C601" s="6">
        <f>IFERROR(IF(OR(Inputs!$C$84=0,Inputs!$C$84="",ISERROR(Inputs!$C$84)),Inputs!$D$84,Inputs!$C$84*Inputs!$K$9*(1+Inputs!$K$12)^B601),"Error - Check Input")
+IFERROR(IF(OR(Inputs!$C$85=0,Inputs!$C$85="",ISERROR(Inputs!$C$85)),Inputs!$D$85,Inputs!$C$85*Inputs!$K$9*(1+Inputs!$K$12)^B601),"Error - Check Input")
+IFERROR(IF(OR(Inputs!$C$86=0,Inputs!$C$86="",ISERROR(Inputs!$C$86)),Inputs!$D$86,Inputs!$C$86*Inputs!$K$9*(1+Inputs!$K$12)^B601),"Error - Check Input")
+IFERROR(IF(OR(Inputs!$C$87=0,Inputs!$C$87="",ISERROR(Inputs!$C$87)),Inputs!$D$87,Inputs!$C$87*Inputs!$K$9*(1+Inputs!$K$12)^B601),"Error - Check Input")
+IFERROR(IF(OR(Inputs!$C$88=0,Inputs!$C$88="",ISERROR(Inputs!$C$88)),Inputs!$D$88,Inputs!$C$88*Inputs!$K$9*(1+Inputs!$K$12)^B601),"Error - Check Input")
+IFERROR(IF(OR(Inputs!$C$89=0,Inputs!$C$89="",ISERROR(Inputs!$C$89)),Inputs!$D$89,Inputs!$C$89*Inputs!$K$9*(1+Inputs!$K$12)^B601),"Error - Check Input")
+IFERROR(IF(OR(Inputs!$C$90=0,Inputs!$C$90="",ISERROR(Inputs!$C$90)),Inputs!$D$90,Inputs!$C$90*Inputs!$K$9*(1+Inputs!$K$12)^B601),"Error - Check Input")
+IFERROR(IF(OR(Inputs!$C$93=0,Inputs!$C$93="",ISERROR(Inputs!$C$93)),Inputs!$D$93,Inputs!$C$93*Inputs!$K$9*(1+Inputs!$K$12)^B601),"Error - Check Input")</f>
        <v>177687.07241253601</v>
      </c>
      <c r="D601" s="17"/>
    </row>
    <row r="602" spans="2:4" x14ac:dyDescent="0.35">
      <c r="B602" s="18">
        <v>411</v>
      </c>
      <c r="C602" s="6">
        <f>IFERROR(IF(OR(Inputs!$C$84=0,Inputs!$C$84="",ISERROR(Inputs!$C$84)),Inputs!$D$84,Inputs!$C$84*Inputs!$K$9*(1+Inputs!$K$12)^B602),"Error - Check Input")
+IFERROR(IF(OR(Inputs!$C$85=0,Inputs!$C$85="",ISERROR(Inputs!$C$85)),Inputs!$D$85,Inputs!$C$85*Inputs!$K$9*(1+Inputs!$K$12)^B602),"Error - Check Input")
+IFERROR(IF(OR(Inputs!$C$86=0,Inputs!$C$86="",ISERROR(Inputs!$C$86)),Inputs!$D$86,Inputs!$C$86*Inputs!$K$9*(1+Inputs!$K$12)^B602),"Error - Check Input")
+IFERROR(IF(OR(Inputs!$C$87=0,Inputs!$C$87="",ISERROR(Inputs!$C$87)),Inputs!$D$87,Inputs!$C$87*Inputs!$K$9*(1+Inputs!$K$12)^B602),"Error - Check Input")
+IFERROR(IF(OR(Inputs!$C$88=0,Inputs!$C$88="",ISERROR(Inputs!$C$88)),Inputs!$D$88,Inputs!$C$88*Inputs!$K$9*(1+Inputs!$K$12)^B602),"Error - Check Input")
+IFERROR(IF(OR(Inputs!$C$89=0,Inputs!$C$89="",ISERROR(Inputs!$C$89)),Inputs!$D$89,Inputs!$C$89*Inputs!$K$9*(1+Inputs!$K$12)^B602),"Error - Check Input")
+IFERROR(IF(OR(Inputs!$C$90=0,Inputs!$C$90="",ISERROR(Inputs!$C$90)),Inputs!$D$90,Inputs!$C$90*Inputs!$K$9*(1+Inputs!$K$12)^B602),"Error - Check Input")
+IFERROR(IF(OR(Inputs!$C$93=0,Inputs!$C$93="",ISERROR(Inputs!$C$93)),Inputs!$D$93,Inputs!$C$93*Inputs!$K$9*(1+Inputs!$K$12)^B602),"Error - Check Input")</f>
        <v>178392.65798327234</v>
      </c>
      <c r="D602" s="17"/>
    </row>
    <row r="603" spans="2:4" x14ac:dyDescent="0.35">
      <c r="B603" s="18">
        <v>412</v>
      </c>
      <c r="C603" s="6">
        <f>IFERROR(IF(OR(Inputs!$C$84=0,Inputs!$C$84="",ISERROR(Inputs!$C$84)),Inputs!$D$84,Inputs!$C$84*Inputs!$K$9*(1+Inputs!$K$12)^B603),"Error - Check Input")
+IFERROR(IF(OR(Inputs!$C$85=0,Inputs!$C$85="",ISERROR(Inputs!$C$85)),Inputs!$D$85,Inputs!$C$85*Inputs!$K$9*(1+Inputs!$K$12)^B603),"Error - Check Input")
+IFERROR(IF(OR(Inputs!$C$86=0,Inputs!$C$86="",ISERROR(Inputs!$C$86)),Inputs!$D$86,Inputs!$C$86*Inputs!$K$9*(1+Inputs!$K$12)^B603),"Error - Check Input")
+IFERROR(IF(OR(Inputs!$C$87=0,Inputs!$C$87="",ISERROR(Inputs!$C$87)),Inputs!$D$87,Inputs!$C$87*Inputs!$K$9*(1+Inputs!$K$12)^B603),"Error - Check Input")
+IFERROR(IF(OR(Inputs!$C$88=0,Inputs!$C$88="",ISERROR(Inputs!$C$88)),Inputs!$D$88,Inputs!$C$88*Inputs!$K$9*(1+Inputs!$K$12)^B603),"Error - Check Input")
+IFERROR(IF(OR(Inputs!$C$89=0,Inputs!$C$89="",ISERROR(Inputs!$C$89)),Inputs!$D$89,Inputs!$C$89*Inputs!$K$9*(1+Inputs!$K$12)^B603),"Error - Check Input")
+IFERROR(IF(OR(Inputs!$C$90=0,Inputs!$C$90="",ISERROR(Inputs!$C$90)),Inputs!$D$90,Inputs!$C$90*Inputs!$K$9*(1+Inputs!$K$12)^B603),"Error - Check Input")
+IFERROR(IF(OR(Inputs!$C$93=0,Inputs!$C$93="",ISERROR(Inputs!$C$93)),Inputs!$D$93,Inputs!$C$93*Inputs!$K$9*(1+Inputs!$K$12)^B603),"Error - Check Input")</f>
        <v>179101.11819696386</v>
      </c>
      <c r="D603" s="17"/>
    </row>
    <row r="604" spans="2:4" x14ac:dyDescent="0.35">
      <c r="B604" s="18">
        <v>413</v>
      </c>
      <c r="C604" s="6">
        <f>IFERROR(IF(OR(Inputs!$C$84=0,Inputs!$C$84="",ISERROR(Inputs!$C$84)),Inputs!$D$84,Inputs!$C$84*Inputs!$K$9*(1+Inputs!$K$12)^B604),"Error - Check Input")
+IFERROR(IF(OR(Inputs!$C$85=0,Inputs!$C$85="",ISERROR(Inputs!$C$85)),Inputs!$D$85,Inputs!$C$85*Inputs!$K$9*(1+Inputs!$K$12)^B604),"Error - Check Input")
+IFERROR(IF(OR(Inputs!$C$86=0,Inputs!$C$86="",ISERROR(Inputs!$C$86)),Inputs!$D$86,Inputs!$C$86*Inputs!$K$9*(1+Inputs!$K$12)^B604),"Error - Check Input")
+IFERROR(IF(OR(Inputs!$C$87=0,Inputs!$C$87="",ISERROR(Inputs!$C$87)),Inputs!$D$87,Inputs!$C$87*Inputs!$K$9*(1+Inputs!$K$12)^B604),"Error - Check Input")
+IFERROR(IF(OR(Inputs!$C$88=0,Inputs!$C$88="",ISERROR(Inputs!$C$88)),Inputs!$D$88,Inputs!$C$88*Inputs!$K$9*(1+Inputs!$K$12)^B604),"Error - Check Input")
+IFERROR(IF(OR(Inputs!$C$89=0,Inputs!$C$89="",ISERROR(Inputs!$C$89)),Inputs!$D$89,Inputs!$C$89*Inputs!$K$9*(1+Inputs!$K$12)^B604),"Error - Check Input")
+IFERROR(IF(OR(Inputs!$C$90=0,Inputs!$C$90="",ISERROR(Inputs!$C$90)),Inputs!$D$90,Inputs!$C$90*Inputs!$K$9*(1+Inputs!$K$12)^B604),"Error - Check Input")
+IFERROR(IF(OR(Inputs!$C$93=0,Inputs!$C$93="",ISERROR(Inputs!$C$93)),Inputs!$D$93,Inputs!$C$93*Inputs!$K$9*(1+Inputs!$K$12)^B604),"Error - Check Input")</f>
        <v>179812.46476526171</v>
      </c>
      <c r="D604" s="17"/>
    </row>
    <row r="605" spans="2:4" x14ac:dyDescent="0.35">
      <c r="B605" s="18">
        <v>414</v>
      </c>
      <c r="C605" s="6">
        <f>IFERROR(IF(OR(Inputs!$C$84=0,Inputs!$C$84="",ISERROR(Inputs!$C$84)),Inputs!$D$84,Inputs!$C$84*Inputs!$K$9*(1+Inputs!$K$12)^B605),"Error - Check Input")
+IFERROR(IF(OR(Inputs!$C$85=0,Inputs!$C$85="",ISERROR(Inputs!$C$85)),Inputs!$D$85,Inputs!$C$85*Inputs!$K$9*(1+Inputs!$K$12)^B605),"Error - Check Input")
+IFERROR(IF(OR(Inputs!$C$86=0,Inputs!$C$86="",ISERROR(Inputs!$C$86)),Inputs!$D$86,Inputs!$C$86*Inputs!$K$9*(1+Inputs!$K$12)^B605),"Error - Check Input")
+IFERROR(IF(OR(Inputs!$C$87=0,Inputs!$C$87="",ISERROR(Inputs!$C$87)),Inputs!$D$87,Inputs!$C$87*Inputs!$K$9*(1+Inputs!$K$12)^B605),"Error - Check Input")
+IFERROR(IF(OR(Inputs!$C$88=0,Inputs!$C$88="",ISERROR(Inputs!$C$88)),Inputs!$D$88,Inputs!$C$88*Inputs!$K$9*(1+Inputs!$K$12)^B605),"Error - Check Input")
+IFERROR(IF(OR(Inputs!$C$89=0,Inputs!$C$89="",ISERROR(Inputs!$C$89)),Inputs!$D$89,Inputs!$C$89*Inputs!$K$9*(1+Inputs!$K$12)^B605),"Error - Check Input")
+IFERROR(IF(OR(Inputs!$C$90=0,Inputs!$C$90="",ISERROR(Inputs!$C$90)),Inputs!$D$90,Inputs!$C$90*Inputs!$K$9*(1+Inputs!$K$12)^B605),"Error - Check Input")
+IFERROR(IF(OR(Inputs!$C$93=0,Inputs!$C$93="",ISERROR(Inputs!$C$93)),Inputs!$D$93,Inputs!$C$93*Inputs!$K$9*(1+Inputs!$K$12)^B605),"Error - Check Input")</f>
        <v>180526.70944753187</v>
      </c>
      <c r="D605" s="17"/>
    </row>
    <row r="606" spans="2:4" x14ac:dyDescent="0.35">
      <c r="B606" s="18">
        <v>415</v>
      </c>
      <c r="C606" s="6">
        <f>IFERROR(IF(OR(Inputs!$C$84=0,Inputs!$C$84="",ISERROR(Inputs!$C$84)),Inputs!$D$84,Inputs!$C$84*Inputs!$K$9*(1+Inputs!$K$12)^B606),"Error - Check Input")
+IFERROR(IF(OR(Inputs!$C$85=0,Inputs!$C$85="",ISERROR(Inputs!$C$85)),Inputs!$D$85,Inputs!$C$85*Inputs!$K$9*(1+Inputs!$K$12)^B606),"Error - Check Input")
+IFERROR(IF(OR(Inputs!$C$86=0,Inputs!$C$86="",ISERROR(Inputs!$C$86)),Inputs!$D$86,Inputs!$C$86*Inputs!$K$9*(1+Inputs!$K$12)^B606),"Error - Check Input")
+IFERROR(IF(OR(Inputs!$C$87=0,Inputs!$C$87="",ISERROR(Inputs!$C$87)),Inputs!$D$87,Inputs!$C$87*Inputs!$K$9*(1+Inputs!$K$12)^B606),"Error - Check Input")
+IFERROR(IF(OR(Inputs!$C$88=0,Inputs!$C$88="",ISERROR(Inputs!$C$88)),Inputs!$D$88,Inputs!$C$88*Inputs!$K$9*(1+Inputs!$K$12)^B606),"Error - Check Input")
+IFERROR(IF(OR(Inputs!$C$89=0,Inputs!$C$89="",ISERROR(Inputs!$C$89)),Inputs!$D$89,Inputs!$C$89*Inputs!$K$9*(1+Inputs!$K$12)^B606),"Error - Check Input")
+IFERROR(IF(OR(Inputs!$C$90=0,Inputs!$C$90="",ISERROR(Inputs!$C$90)),Inputs!$D$90,Inputs!$C$90*Inputs!$K$9*(1+Inputs!$K$12)^B606),"Error - Check Input")
+IFERROR(IF(OR(Inputs!$C$93=0,Inputs!$C$93="",ISERROR(Inputs!$C$93)),Inputs!$D$93,Inputs!$C$93*Inputs!$K$9*(1+Inputs!$K$12)^B606),"Error - Check Input")</f>
        <v>181243.8640510494</v>
      </c>
      <c r="D606" s="17"/>
    </row>
    <row r="607" spans="2:4" x14ac:dyDescent="0.35">
      <c r="B607" s="18">
        <v>416</v>
      </c>
      <c r="C607" s="6">
        <f>IFERROR(IF(OR(Inputs!$C$84=0,Inputs!$C$84="",ISERROR(Inputs!$C$84)),Inputs!$D$84,Inputs!$C$84*Inputs!$K$9*(1+Inputs!$K$12)^B607),"Error - Check Input")
+IFERROR(IF(OR(Inputs!$C$85=0,Inputs!$C$85="",ISERROR(Inputs!$C$85)),Inputs!$D$85,Inputs!$C$85*Inputs!$K$9*(1+Inputs!$K$12)^B607),"Error - Check Input")
+IFERROR(IF(OR(Inputs!$C$86=0,Inputs!$C$86="",ISERROR(Inputs!$C$86)),Inputs!$D$86,Inputs!$C$86*Inputs!$K$9*(1+Inputs!$K$12)^B607),"Error - Check Input")
+IFERROR(IF(OR(Inputs!$C$87=0,Inputs!$C$87="",ISERROR(Inputs!$C$87)),Inputs!$D$87,Inputs!$C$87*Inputs!$K$9*(1+Inputs!$K$12)^B607),"Error - Check Input")
+IFERROR(IF(OR(Inputs!$C$88=0,Inputs!$C$88="",ISERROR(Inputs!$C$88)),Inputs!$D$88,Inputs!$C$88*Inputs!$K$9*(1+Inputs!$K$12)^B607),"Error - Check Input")
+IFERROR(IF(OR(Inputs!$C$89=0,Inputs!$C$89="",ISERROR(Inputs!$C$89)),Inputs!$D$89,Inputs!$C$89*Inputs!$K$9*(1+Inputs!$K$12)^B607),"Error - Check Input")
+IFERROR(IF(OR(Inputs!$C$90=0,Inputs!$C$90="",ISERROR(Inputs!$C$90)),Inputs!$D$90,Inputs!$C$90*Inputs!$K$9*(1+Inputs!$K$12)^B607),"Error - Check Input")
+IFERROR(IF(OR(Inputs!$C$93=0,Inputs!$C$93="",ISERROR(Inputs!$C$93)),Inputs!$D$93,Inputs!$C$93*Inputs!$K$9*(1+Inputs!$K$12)^B607),"Error - Check Input")</f>
        <v>181963.94043119374</v>
      </c>
      <c r="D607" s="17"/>
    </row>
    <row r="608" spans="2:4" x14ac:dyDescent="0.35">
      <c r="B608" s="18">
        <v>417</v>
      </c>
      <c r="C608" s="6">
        <f>IFERROR(IF(OR(Inputs!$C$84=0,Inputs!$C$84="",ISERROR(Inputs!$C$84)),Inputs!$D$84,Inputs!$C$84*Inputs!$K$9*(1+Inputs!$K$12)^B608),"Error - Check Input")
+IFERROR(IF(OR(Inputs!$C$85=0,Inputs!$C$85="",ISERROR(Inputs!$C$85)),Inputs!$D$85,Inputs!$C$85*Inputs!$K$9*(1+Inputs!$K$12)^B608),"Error - Check Input")
+IFERROR(IF(OR(Inputs!$C$86=0,Inputs!$C$86="",ISERROR(Inputs!$C$86)),Inputs!$D$86,Inputs!$C$86*Inputs!$K$9*(1+Inputs!$K$12)^B608),"Error - Check Input")
+IFERROR(IF(OR(Inputs!$C$87=0,Inputs!$C$87="",ISERROR(Inputs!$C$87)),Inputs!$D$87,Inputs!$C$87*Inputs!$K$9*(1+Inputs!$K$12)^B608),"Error - Check Input")
+IFERROR(IF(OR(Inputs!$C$88=0,Inputs!$C$88="",ISERROR(Inputs!$C$88)),Inputs!$D$88,Inputs!$C$88*Inputs!$K$9*(1+Inputs!$K$12)^B608),"Error - Check Input")
+IFERROR(IF(OR(Inputs!$C$89=0,Inputs!$C$89="",ISERROR(Inputs!$C$89)),Inputs!$D$89,Inputs!$C$89*Inputs!$K$9*(1+Inputs!$K$12)^B608),"Error - Check Input")
+IFERROR(IF(OR(Inputs!$C$90=0,Inputs!$C$90="",ISERROR(Inputs!$C$90)),Inputs!$D$90,Inputs!$C$90*Inputs!$K$9*(1+Inputs!$K$12)^B608),"Error - Check Input")
+IFERROR(IF(OR(Inputs!$C$93=0,Inputs!$C$93="",ISERROR(Inputs!$C$93)),Inputs!$D$93,Inputs!$C$93*Inputs!$K$9*(1+Inputs!$K$12)^B608),"Error - Check Input")</f>
        <v>182686.95049164441</v>
      </c>
      <c r="D608" s="17"/>
    </row>
    <row r="609" spans="2:4" x14ac:dyDescent="0.35">
      <c r="B609" s="18">
        <v>418</v>
      </c>
      <c r="C609" s="6">
        <f>IFERROR(IF(OR(Inputs!$C$84=0,Inputs!$C$84="",ISERROR(Inputs!$C$84)),Inputs!$D$84,Inputs!$C$84*Inputs!$K$9*(1+Inputs!$K$12)^B609),"Error - Check Input")
+IFERROR(IF(OR(Inputs!$C$85=0,Inputs!$C$85="",ISERROR(Inputs!$C$85)),Inputs!$D$85,Inputs!$C$85*Inputs!$K$9*(1+Inputs!$K$12)^B609),"Error - Check Input")
+IFERROR(IF(OR(Inputs!$C$86=0,Inputs!$C$86="",ISERROR(Inputs!$C$86)),Inputs!$D$86,Inputs!$C$86*Inputs!$K$9*(1+Inputs!$K$12)^B609),"Error - Check Input")
+IFERROR(IF(OR(Inputs!$C$87=0,Inputs!$C$87="",ISERROR(Inputs!$C$87)),Inputs!$D$87,Inputs!$C$87*Inputs!$K$9*(1+Inputs!$K$12)^B609),"Error - Check Input")
+IFERROR(IF(OR(Inputs!$C$88=0,Inputs!$C$88="",ISERROR(Inputs!$C$88)),Inputs!$D$88,Inputs!$C$88*Inputs!$K$9*(1+Inputs!$K$12)^B609),"Error - Check Input")
+IFERROR(IF(OR(Inputs!$C$89=0,Inputs!$C$89="",ISERROR(Inputs!$C$89)),Inputs!$D$89,Inputs!$C$89*Inputs!$K$9*(1+Inputs!$K$12)^B609),"Error - Check Input")
+IFERROR(IF(OR(Inputs!$C$90=0,Inputs!$C$90="",ISERROR(Inputs!$C$90)),Inputs!$D$90,Inputs!$C$90*Inputs!$K$9*(1+Inputs!$K$12)^B609),"Error - Check Input")
+IFERROR(IF(OR(Inputs!$C$93=0,Inputs!$C$93="",ISERROR(Inputs!$C$93)),Inputs!$D$93,Inputs!$C$93*Inputs!$K$9*(1+Inputs!$K$12)^B609),"Error - Check Input")</f>
        <v>183412.90618457823</v>
      </c>
      <c r="D609" s="17"/>
    </row>
    <row r="610" spans="2:4" x14ac:dyDescent="0.35">
      <c r="B610" s="18">
        <v>419</v>
      </c>
      <c r="C610" s="6">
        <f>IFERROR(IF(OR(Inputs!$C$84=0,Inputs!$C$84="",ISERROR(Inputs!$C$84)),Inputs!$D$84,Inputs!$C$84*Inputs!$K$9*(1+Inputs!$K$12)^B610),"Error - Check Input")
+IFERROR(IF(OR(Inputs!$C$85=0,Inputs!$C$85="",ISERROR(Inputs!$C$85)),Inputs!$D$85,Inputs!$C$85*Inputs!$K$9*(1+Inputs!$K$12)^B610),"Error - Check Input")
+IFERROR(IF(OR(Inputs!$C$86=0,Inputs!$C$86="",ISERROR(Inputs!$C$86)),Inputs!$D$86,Inputs!$C$86*Inputs!$K$9*(1+Inputs!$K$12)^B610),"Error - Check Input")
+IFERROR(IF(OR(Inputs!$C$87=0,Inputs!$C$87="",ISERROR(Inputs!$C$87)),Inputs!$D$87,Inputs!$C$87*Inputs!$K$9*(1+Inputs!$K$12)^B610),"Error - Check Input")
+IFERROR(IF(OR(Inputs!$C$88=0,Inputs!$C$88="",ISERROR(Inputs!$C$88)),Inputs!$D$88,Inputs!$C$88*Inputs!$K$9*(1+Inputs!$K$12)^B610),"Error - Check Input")
+IFERROR(IF(OR(Inputs!$C$89=0,Inputs!$C$89="",ISERROR(Inputs!$C$89)),Inputs!$D$89,Inputs!$C$89*Inputs!$K$9*(1+Inputs!$K$12)^B610),"Error - Check Input")
+IFERROR(IF(OR(Inputs!$C$90=0,Inputs!$C$90="",ISERROR(Inputs!$C$90)),Inputs!$D$90,Inputs!$C$90*Inputs!$K$9*(1+Inputs!$K$12)^B610),"Error - Check Input")
+IFERROR(IF(OR(Inputs!$C$93=0,Inputs!$C$93="",ISERROR(Inputs!$C$93)),Inputs!$D$93,Inputs!$C$93*Inputs!$K$9*(1+Inputs!$K$12)^B610),"Error - Check Input")</f>
        <v>184141.81951086648</v>
      </c>
      <c r="D610" s="17"/>
    </row>
    <row r="611" spans="2:4" x14ac:dyDescent="0.35">
      <c r="B611" s="18">
        <v>420</v>
      </c>
      <c r="C611" s="6">
        <f>IFERROR(IF(OR(Inputs!$C$84=0,Inputs!$C$84="",ISERROR(Inputs!$C$84)),Inputs!$D$84,Inputs!$C$84*Inputs!$K$9*(1+Inputs!$K$12)^B611),"Error - Check Input")
+IFERROR(IF(OR(Inputs!$C$85=0,Inputs!$C$85="",ISERROR(Inputs!$C$85)),Inputs!$D$85,Inputs!$C$85*Inputs!$K$9*(1+Inputs!$K$12)^B611),"Error - Check Input")
+IFERROR(IF(OR(Inputs!$C$86=0,Inputs!$C$86="",ISERROR(Inputs!$C$86)),Inputs!$D$86,Inputs!$C$86*Inputs!$K$9*(1+Inputs!$K$12)^B611),"Error - Check Input")
+IFERROR(IF(OR(Inputs!$C$87=0,Inputs!$C$87="",ISERROR(Inputs!$C$87)),Inputs!$D$87,Inputs!$C$87*Inputs!$K$9*(1+Inputs!$K$12)^B611),"Error - Check Input")
+IFERROR(IF(OR(Inputs!$C$88=0,Inputs!$C$88="",ISERROR(Inputs!$C$88)),Inputs!$D$88,Inputs!$C$88*Inputs!$K$9*(1+Inputs!$K$12)^B611),"Error - Check Input")
+IFERROR(IF(OR(Inputs!$C$89=0,Inputs!$C$89="",ISERROR(Inputs!$C$89)),Inputs!$D$89,Inputs!$C$89*Inputs!$K$9*(1+Inputs!$K$12)^B611),"Error - Check Input")
+IFERROR(IF(OR(Inputs!$C$90=0,Inputs!$C$90="",ISERROR(Inputs!$C$90)),Inputs!$D$90,Inputs!$C$90*Inputs!$K$9*(1+Inputs!$K$12)^B611),"Error - Check Input")
+IFERROR(IF(OR(Inputs!$C$93=0,Inputs!$C$93="",ISERROR(Inputs!$C$93)),Inputs!$D$93,Inputs!$C$93*Inputs!$K$9*(1+Inputs!$K$12)^B611),"Error - Check Input")</f>
        <v>184873.70252027357</v>
      </c>
      <c r="D611" s="17"/>
    </row>
    <row r="612" spans="2:4" x14ac:dyDescent="0.35">
      <c r="B612" s="18">
        <v>421</v>
      </c>
      <c r="C612" s="6">
        <f>IFERROR(IF(OR(Inputs!$C$84=0,Inputs!$C$84="",ISERROR(Inputs!$C$84)),Inputs!$D$84,Inputs!$C$84*Inputs!$K$9*(1+Inputs!$K$12)^B612),"Error - Check Input")
+IFERROR(IF(OR(Inputs!$C$85=0,Inputs!$C$85="",ISERROR(Inputs!$C$85)),Inputs!$D$85,Inputs!$C$85*Inputs!$K$9*(1+Inputs!$K$12)^B612),"Error - Check Input")
+IFERROR(IF(OR(Inputs!$C$86=0,Inputs!$C$86="",ISERROR(Inputs!$C$86)),Inputs!$D$86,Inputs!$C$86*Inputs!$K$9*(1+Inputs!$K$12)^B612),"Error - Check Input")
+IFERROR(IF(OR(Inputs!$C$87=0,Inputs!$C$87="",ISERROR(Inputs!$C$87)),Inputs!$D$87,Inputs!$C$87*Inputs!$K$9*(1+Inputs!$K$12)^B612),"Error - Check Input")
+IFERROR(IF(OR(Inputs!$C$88=0,Inputs!$C$88="",ISERROR(Inputs!$C$88)),Inputs!$D$88,Inputs!$C$88*Inputs!$K$9*(1+Inputs!$K$12)^B612),"Error - Check Input")
+IFERROR(IF(OR(Inputs!$C$89=0,Inputs!$C$89="",ISERROR(Inputs!$C$89)),Inputs!$D$89,Inputs!$C$89*Inputs!$K$9*(1+Inputs!$K$12)^B612),"Error - Check Input")
+IFERROR(IF(OR(Inputs!$C$90=0,Inputs!$C$90="",ISERROR(Inputs!$C$90)),Inputs!$D$90,Inputs!$C$90*Inputs!$K$9*(1+Inputs!$K$12)^B612),"Error - Check Input")
+IFERROR(IF(OR(Inputs!$C$93=0,Inputs!$C$93="",ISERROR(Inputs!$C$93)),Inputs!$D$93,Inputs!$C$93*Inputs!$K$9*(1+Inputs!$K$12)^B612),"Error - Check Input")</f>
        <v>185608.56731165608</v>
      </c>
      <c r="D612" s="17"/>
    </row>
    <row r="613" spans="2:4" x14ac:dyDescent="0.35">
      <c r="B613" s="18">
        <v>422</v>
      </c>
      <c r="C613" s="6">
        <f>IFERROR(IF(OR(Inputs!$C$84=0,Inputs!$C$84="",ISERROR(Inputs!$C$84)),Inputs!$D$84,Inputs!$C$84*Inputs!$K$9*(1+Inputs!$K$12)^B613),"Error - Check Input")
+IFERROR(IF(OR(Inputs!$C$85=0,Inputs!$C$85="",ISERROR(Inputs!$C$85)),Inputs!$D$85,Inputs!$C$85*Inputs!$K$9*(1+Inputs!$K$12)^B613),"Error - Check Input")
+IFERROR(IF(OR(Inputs!$C$86=0,Inputs!$C$86="",ISERROR(Inputs!$C$86)),Inputs!$D$86,Inputs!$C$86*Inputs!$K$9*(1+Inputs!$K$12)^B613),"Error - Check Input")
+IFERROR(IF(OR(Inputs!$C$87=0,Inputs!$C$87="",ISERROR(Inputs!$C$87)),Inputs!$D$87,Inputs!$C$87*Inputs!$K$9*(1+Inputs!$K$12)^B613),"Error - Check Input")
+IFERROR(IF(OR(Inputs!$C$88=0,Inputs!$C$88="",ISERROR(Inputs!$C$88)),Inputs!$D$88,Inputs!$C$88*Inputs!$K$9*(1+Inputs!$K$12)^B613),"Error - Check Input")
+IFERROR(IF(OR(Inputs!$C$89=0,Inputs!$C$89="",ISERROR(Inputs!$C$89)),Inputs!$D$89,Inputs!$C$89*Inputs!$K$9*(1+Inputs!$K$12)^B613),"Error - Check Input")
+IFERROR(IF(OR(Inputs!$C$90=0,Inputs!$C$90="",ISERROR(Inputs!$C$90)),Inputs!$D$90,Inputs!$C$90*Inputs!$K$9*(1+Inputs!$K$12)^B613),"Error - Check Input")
+IFERROR(IF(OR(Inputs!$C$93=0,Inputs!$C$93="",ISERROR(Inputs!$C$93)),Inputs!$D$93,Inputs!$C$93*Inputs!$K$9*(1+Inputs!$K$12)^B613),"Error - Check Input")</f>
        <v>186346.42603316301</v>
      </c>
      <c r="D613" s="17"/>
    </row>
    <row r="614" spans="2:4" x14ac:dyDescent="0.35">
      <c r="B614" s="18">
        <v>423</v>
      </c>
      <c r="C614" s="6">
        <f>IFERROR(IF(OR(Inputs!$C$84=0,Inputs!$C$84="",ISERROR(Inputs!$C$84)),Inputs!$D$84,Inputs!$C$84*Inputs!$K$9*(1+Inputs!$K$12)^B614),"Error - Check Input")
+IFERROR(IF(OR(Inputs!$C$85=0,Inputs!$C$85="",ISERROR(Inputs!$C$85)),Inputs!$D$85,Inputs!$C$85*Inputs!$K$9*(1+Inputs!$K$12)^B614),"Error - Check Input")
+IFERROR(IF(OR(Inputs!$C$86=0,Inputs!$C$86="",ISERROR(Inputs!$C$86)),Inputs!$D$86,Inputs!$C$86*Inputs!$K$9*(1+Inputs!$K$12)^B614),"Error - Check Input")
+IFERROR(IF(OR(Inputs!$C$87=0,Inputs!$C$87="",ISERROR(Inputs!$C$87)),Inputs!$D$87,Inputs!$C$87*Inputs!$K$9*(1+Inputs!$K$12)^B614),"Error - Check Input")
+IFERROR(IF(OR(Inputs!$C$88=0,Inputs!$C$88="",ISERROR(Inputs!$C$88)),Inputs!$D$88,Inputs!$C$88*Inputs!$K$9*(1+Inputs!$K$12)^B614),"Error - Check Input")
+IFERROR(IF(OR(Inputs!$C$89=0,Inputs!$C$89="",ISERROR(Inputs!$C$89)),Inputs!$D$89,Inputs!$C$89*Inputs!$K$9*(1+Inputs!$K$12)^B614),"Error - Check Input")
+IFERROR(IF(OR(Inputs!$C$90=0,Inputs!$C$90="",ISERROR(Inputs!$C$90)),Inputs!$D$90,Inputs!$C$90*Inputs!$K$9*(1+Inputs!$K$12)^B614),"Error - Check Input")
+IFERROR(IF(OR(Inputs!$C$93=0,Inputs!$C$93="",ISERROR(Inputs!$C$93)),Inputs!$D$93,Inputs!$C$93*Inputs!$K$9*(1+Inputs!$K$12)^B614),"Error - Check Input")</f>
        <v>187087.29088243618</v>
      </c>
      <c r="D614" s="17"/>
    </row>
    <row r="615" spans="2:4" x14ac:dyDescent="0.35">
      <c r="B615" s="18">
        <v>424</v>
      </c>
      <c r="C615" s="6">
        <f>IFERROR(IF(OR(Inputs!$C$84=0,Inputs!$C$84="",ISERROR(Inputs!$C$84)),Inputs!$D$84,Inputs!$C$84*Inputs!$K$9*(1+Inputs!$K$12)^B615),"Error - Check Input")
+IFERROR(IF(OR(Inputs!$C$85=0,Inputs!$C$85="",ISERROR(Inputs!$C$85)),Inputs!$D$85,Inputs!$C$85*Inputs!$K$9*(1+Inputs!$K$12)^B615),"Error - Check Input")
+IFERROR(IF(OR(Inputs!$C$86=0,Inputs!$C$86="",ISERROR(Inputs!$C$86)),Inputs!$D$86,Inputs!$C$86*Inputs!$K$9*(1+Inputs!$K$12)^B615),"Error - Check Input")
+IFERROR(IF(OR(Inputs!$C$87=0,Inputs!$C$87="",ISERROR(Inputs!$C$87)),Inputs!$D$87,Inputs!$C$87*Inputs!$K$9*(1+Inputs!$K$12)^B615),"Error - Check Input")
+IFERROR(IF(OR(Inputs!$C$88=0,Inputs!$C$88="",ISERROR(Inputs!$C$88)),Inputs!$D$88,Inputs!$C$88*Inputs!$K$9*(1+Inputs!$K$12)^B615),"Error - Check Input")
+IFERROR(IF(OR(Inputs!$C$89=0,Inputs!$C$89="",ISERROR(Inputs!$C$89)),Inputs!$D$89,Inputs!$C$89*Inputs!$K$9*(1+Inputs!$K$12)^B615),"Error - Check Input")
+IFERROR(IF(OR(Inputs!$C$90=0,Inputs!$C$90="",ISERROR(Inputs!$C$90)),Inputs!$D$90,Inputs!$C$90*Inputs!$K$9*(1+Inputs!$K$12)^B615),"Error - Check Input")
+IFERROR(IF(OR(Inputs!$C$93=0,Inputs!$C$93="",ISERROR(Inputs!$C$93)),Inputs!$D$93,Inputs!$C$93*Inputs!$K$9*(1+Inputs!$K$12)^B615),"Error - Check Input")</f>
        <v>187831.17410681225</v>
      </c>
      <c r="D615" s="17"/>
    </row>
    <row r="616" spans="2:4" x14ac:dyDescent="0.35">
      <c r="B616" s="18">
        <v>425</v>
      </c>
      <c r="C616" s="6">
        <f>IFERROR(IF(OR(Inputs!$C$84=0,Inputs!$C$84="",ISERROR(Inputs!$C$84)),Inputs!$D$84,Inputs!$C$84*Inputs!$K$9*(1+Inputs!$K$12)^B616),"Error - Check Input")
+IFERROR(IF(OR(Inputs!$C$85=0,Inputs!$C$85="",ISERROR(Inputs!$C$85)),Inputs!$D$85,Inputs!$C$85*Inputs!$K$9*(1+Inputs!$K$12)^B616),"Error - Check Input")
+IFERROR(IF(OR(Inputs!$C$86=0,Inputs!$C$86="",ISERROR(Inputs!$C$86)),Inputs!$D$86,Inputs!$C$86*Inputs!$K$9*(1+Inputs!$K$12)^B616),"Error - Check Input")
+IFERROR(IF(OR(Inputs!$C$87=0,Inputs!$C$87="",ISERROR(Inputs!$C$87)),Inputs!$D$87,Inputs!$C$87*Inputs!$K$9*(1+Inputs!$K$12)^B616),"Error - Check Input")
+IFERROR(IF(OR(Inputs!$C$88=0,Inputs!$C$88="",ISERROR(Inputs!$C$88)),Inputs!$D$88,Inputs!$C$88*Inputs!$K$9*(1+Inputs!$K$12)^B616),"Error - Check Input")
+IFERROR(IF(OR(Inputs!$C$89=0,Inputs!$C$89="",ISERROR(Inputs!$C$89)),Inputs!$D$89,Inputs!$C$89*Inputs!$K$9*(1+Inputs!$K$12)^B616),"Error - Check Input")
+IFERROR(IF(OR(Inputs!$C$90=0,Inputs!$C$90="",ISERROR(Inputs!$C$90)),Inputs!$D$90,Inputs!$C$90*Inputs!$K$9*(1+Inputs!$K$12)^B616),"Error - Check Input")
+IFERROR(IF(OR(Inputs!$C$93=0,Inputs!$C$93="",ISERROR(Inputs!$C$93)),Inputs!$D$93,Inputs!$C$93*Inputs!$K$9*(1+Inputs!$K$12)^B616),"Error - Check Input")</f>
        <v>188578.08800352502</v>
      </c>
      <c r="D616" s="17"/>
    </row>
    <row r="617" spans="2:4" x14ac:dyDescent="0.35">
      <c r="B617" s="18">
        <v>426</v>
      </c>
      <c r="C617" s="6">
        <f>IFERROR(IF(OR(Inputs!$C$84=0,Inputs!$C$84="",ISERROR(Inputs!$C$84)),Inputs!$D$84,Inputs!$C$84*Inputs!$K$9*(1+Inputs!$K$12)^B617),"Error - Check Input")
+IFERROR(IF(OR(Inputs!$C$85=0,Inputs!$C$85="",ISERROR(Inputs!$C$85)),Inputs!$D$85,Inputs!$C$85*Inputs!$K$9*(1+Inputs!$K$12)^B617),"Error - Check Input")
+IFERROR(IF(OR(Inputs!$C$86=0,Inputs!$C$86="",ISERROR(Inputs!$C$86)),Inputs!$D$86,Inputs!$C$86*Inputs!$K$9*(1+Inputs!$K$12)^B617),"Error - Check Input")
+IFERROR(IF(OR(Inputs!$C$87=0,Inputs!$C$87="",ISERROR(Inputs!$C$87)),Inputs!$D$87,Inputs!$C$87*Inputs!$K$9*(1+Inputs!$K$12)^B617),"Error - Check Input")
+IFERROR(IF(OR(Inputs!$C$88=0,Inputs!$C$88="",ISERROR(Inputs!$C$88)),Inputs!$D$88,Inputs!$C$88*Inputs!$K$9*(1+Inputs!$K$12)^B617),"Error - Check Input")
+IFERROR(IF(OR(Inputs!$C$89=0,Inputs!$C$89="",ISERROR(Inputs!$C$89)),Inputs!$D$89,Inputs!$C$89*Inputs!$K$9*(1+Inputs!$K$12)^B617),"Error - Check Input")
+IFERROR(IF(OR(Inputs!$C$90=0,Inputs!$C$90="",ISERROR(Inputs!$C$90)),Inputs!$D$90,Inputs!$C$90*Inputs!$K$9*(1+Inputs!$K$12)^B617),"Error - Check Input")
+IFERROR(IF(OR(Inputs!$C$93=0,Inputs!$C$93="",ISERROR(Inputs!$C$93)),Inputs!$D$93,Inputs!$C$93*Inputs!$K$9*(1+Inputs!$K$12)^B617),"Error - Check Input")</f>
        <v>189328.04491990869</v>
      </c>
      <c r="D617" s="17"/>
    </row>
    <row r="618" spans="2:4" x14ac:dyDescent="0.35">
      <c r="B618" s="18">
        <v>427</v>
      </c>
      <c r="C618" s="6">
        <f>IFERROR(IF(OR(Inputs!$C$84=0,Inputs!$C$84="",ISERROR(Inputs!$C$84)),Inputs!$D$84,Inputs!$C$84*Inputs!$K$9*(1+Inputs!$K$12)^B618),"Error - Check Input")
+IFERROR(IF(OR(Inputs!$C$85=0,Inputs!$C$85="",ISERROR(Inputs!$C$85)),Inputs!$D$85,Inputs!$C$85*Inputs!$K$9*(1+Inputs!$K$12)^B618),"Error - Check Input")
+IFERROR(IF(OR(Inputs!$C$86=0,Inputs!$C$86="",ISERROR(Inputs!$C$86)),Inputs!$D$86,Inputs!$C$86*Inputs!$K$9*(1+Inputs!$K$12)^B618),"Error - Check Input")
+IFERROR(IF(OR(Inputs!$C$87=0,Inputs!$C$87="",ISERROR(Inputs!$C$87)),Inputs!$D$87,Inputs!$C$87*Inputs!$K$9*(1+Inputs!$K$12)^B618),"Error - Check Input")
+IFERROR(IF(OR(Inputs!$C$88=0,Inputs!$C$88="",ISERROR(Inputs!$C$88)),Inputs!$D$88,Inputs!$C$88*Inputs!$K$9*(1+Inputs!$K$12)^B618),"Error - Check Input")
+IFERROR(IF(OR(Inputs!$C$89=0,Inputs!$C$89="",ISERROR(Inputs!$C$89)),Inputs!$D$89,Inputs!$C$89*Inputs!$K$9*(1+Inputs!$K$12)^B618),"Error - Check Input")
+IFERROR(IF(OR(Inputs!$C$90=0,Inputs!$C$90="",ISERROR(Inputs!$C$90)),Inputs!$D$90,Inputs!$C$90*Inputs!$K$9*(1+Inputs!$K$12)^B618),"Error - Check Input")
+IFERROR(IF(OR(Inputs!$C$93=0,Inputs!$C$93="",ISERROR(Inputs!$C$93)),Inputs!$D$93,Inputs!$C$93*Inputs!$K$9*(1+Inputs!$K$12)^B618),"Error - Check Input")</f>
        <v>190081.05725360214</v>
      </c>
      <c r="D618" s="17"/>
    </row>
    <row r="619" spans="2:4" x14ac:dyDescent="0.35">
      <c r="B619" s="18">
        <v>428</v>
      </c>
      <c r="C619" s="6">
        <f>IFERROR(IF(OR(Inputs!$C$84=0,Inputs!$C$84="",ISERROR(Inputs!$C$84)),Inputs!$D$84,Inputs!$C$84*Inputs!$K$9*(1+Inputs!$K$12)^B619),"Error - Check Input")
+IFERROR(IF(OR(Inputs!$C$85=0,Inputs!$C$85="",ISERROR(Inputs!$C$85)),Inputs!$D$85,Inputs!$C$85*Inputs!$K$9*(1+Inputs!$K$12)^B619),"Error - Check Input")
+IFERROR(IF(OR(Inputs!$C$86=0,Inputs!$C$86="",ISERROR(Inputs!$C$86)),Inputs!$D$86,Inputs!$C$86*Inputs!$K$9*(1+Inputs!$K$12)^B619),"Error - Check Input")
+IFERROR(IF(OR(Inputs!$C$87=0,Inputs!$C$87="",ISERROR(Inputs!$C$87)),Inputs!$D$87,Inputs!$C$87*Inputs!$K$9*(1+Inputs!$K$12)^B619),"Error - Check Input")
+IFERROR(IF(OR(Inputs!$C$88=0,Inputs!$C$88="",ISERROR(Inputs!$C$88)),Inputs!$D$88,Inputs!$C$88*Inputs!$K$9*(1+Inputs!$K$12)^B619),"Error - Check Input")
+IFERROR(IF(OR(Inputs!$C$89=0,Inputs!$C$89="",ISERROR(Inputs!$C$89)),Inputs!$D$89,Inputs!$C$89*Inputs!$K$9*(1+Inputs!$K$12)^B619),"Error - Check Input")
+IFERROR(IF(OR(Inputs!$C$90=0,Inputs!$C$90="",ISERROR(Inputs!$C$90)),Inputs!$D$90,Inputs!$C$90*Inputs!$K$9*(1+Inputs!$K$12)^B619),"Error - Check Input")
+IFERROR(IF(OR(Inputs!$C$93=0,Inputs!$C$93="",ISERROR(Inputs!$C$93)),Inputs!$D$93,Inputs!$C$93*Inputs!$K$9*(1+Inputs!$K$12)^B619),"Error - Check Input")</f>
        <v>190837.13745275361</v>
      </c>
      <c r="D619" s="17"/>
    </row>
    <row r="620" spans="2:4" x14ac:dyDescent="0.35">
      <c r="B620" s="18">
        <v>429</v>
      </c>
      <c r="C620" s="6">
        <f>IFERROR(IF(OR(Inputs!$C$84=0,Inputs!$C$84="",ISERROR(Inputs!$C$84)),Inputs!$D$84,Inputs!$C$84*Inputs!$K$9*(1+Inputs!$K$12)^B620),"Error - Check Input")
+IFERROR(IF(OR(Inputs!$C$85=0,Inputs!$C$85="",ISERROR(Inputs!$C$85)),Inputs!$D$85,Inputs!$C$85*Inputs!$K$9*(1+Inputs!$K$12)^B620),"Error - Check Input")
+IFERROR(IF(OR(Inputs!$C$86=0,Inputs!$C$86="",ISERROR(Inputs!$C$86)),Inputs!$D$86,Inputs!$C$86*Inputs!$K$9*(1+Inputs!$K$12)^B620),"Error - Check Input")
+IFERROR(IF(OR(Inputs!$C$87=0,Inputs!$C$87="",ISERROR(Inputs!$C$87)),Inputs!$D$87,Inputs!$C$87*Inputs!$K$9*(1+Inputs!$K$12)^B620),"Error - Check Input")
+IFERROR(IF(OR(Inputs!$C$88=0,Inputs!$C$88="",ISERROR(Inputs!$C$88)),Inputs!$D$88,Inputs!$C$88*Inputs!$K$9*(1+Inputs!$K$12)^B620),"Error - Check Input")
+IFERROR(IF(OR(Inputs!$C$89=0,Inputs!$C$89="",ISERROR(Inputs!$C$89)),Inputs!$D$89,Inputs!$C$89*Inputs!$K$9*(1+Inputs!$K$12)^B620),"Error - Check Input")
+IFERROR(IF(OR(Inputs!$C$90=0,Inputs!$C$90="",ISERROR(Inputs!$C$90)),Inputs!$D$90,Inputs!$C$90*Inputs!$K$9*(1+Inputs!$K$12)^B620),"Error - Check Input")
+IFERROR(IF(OR(Inputs!$C$93=0,Inputs!$C$93="",ISERROR(Inputs!$C$93)),Inputs!$D$93,Inputs!$C$93*Inputs!$K$9*(1+Inputs!$K$12)^B620),"Error - Check Input")</f>
        <v>191596.29801622688</v>
      </c>
      <c r="D620" s="17"/>
    </row>
    <row r="621" spans="2:4" x14ac:dyDescent="0.35">
      <c r="B621" s="18">
        <v>430</v>
      </c>
      <c r="C621" s="6">
        <f>IFERROR(IF(OR(Inputs!$C$84=0,Inputs!$C$84="",ISERROR(Inputs!$C$84)),Inputs!$D$84,Inputs!$C$84*Inputs!$K$9*(1+Inputs!$K$12)^B621),"Error - Check Input")
+IFERROR(IF(OR(Inputs!$C$85=0,Inputs!$C$85="",ISERROR(Inputs!$C$85)),Inputs!$D$85,Inputs!$C$85*Inputs!$K$9*(1+Inputs!$K$12)^B621),"Error - Check Input")
+IFERROR(IF(OR(Inputs!$C$86=0,Inputs!$C$86="",ISERROR(Inputs!$C$86)),Inputs!$D$86,Inputs!$C$86*Inputs!$K$9*(1+Inputs!$K$12)^B621),"Error - Check Input")
+IFERROR(IF(OR(Inputs!$C$87=0,Inputs!$C$87="",ISERROR(Inputs!$C$87)),Inputs!$D$87,Inputs!$C$87*Inputs!$K$9*(1+Inputs!$K$12)^B621),"Error - Check Input")
+IFERROR(IF(OR(Inputs!$C$88=0,Inputs!$C$88="",ISERROR(Inputs!$C$88)),Inputs!$D$88,Inputs!$C$88*Inputs!$K$9*(1+Inputs!$K$12)^B621),"Error - Check Input")
+IFERROR(IF(OR(Inputs!$C$89=0,Inputs!$C$89="",ISERROR(Inputs!$C$89)),Inputs!$D$89,Inputs!$C$89*Inputs!$K$9*(1+Inputs!$K$12)^B621),"Error - Check Input")
+IFERROR(IF(OR(Inputs!$C$90=0,Inputs!$C$90="",ISERROR(Inputs!$C$90)),Inputs!$D$90,Inputs!$C$90*Inputs!$K$9*(1+Inputs!$K$12)^B621),"Error - Check Input")
+IFERROR(IF(OR(Inputs!$C$93=0,Inputs!$C$93="",ISERROR(Inputs!$C$93)),Inputs!$D$93,Inputs!$C$93*Inputs!$K$9*(1+Inputs!$K$12)^B621),"Error - Check Input")</f>
        <v>192358.55149380729</v>
      </c>
      <c r="D621" s="17"/>
    </row>
    <row r="622" spans="2:4" x14ac:dyDescent="0.35">
      <c r="B622" s="18">
        <v>431</v>
      </c>
      <c r="C622" s="6">
        <f>IFERROR(IF(OR(Inputs!$C$84=0,Inputs!$C$84="",ISERROR(Inputs!$C$84)),Inputs!$D$84,Inputs!$C$84*Inputs!$K$9*(1+Inputs!$K$12)^B622),"Error - Check Input")
+IFERROR(IF(OR(Inputs!$C$85=0,Inputs!$C$85="",ISERROR(Inputs!$C$85)),Inputs!$D$85,Inputs!$C$85*Inputs!$K$9*(1+Inputs!$K$12)^B622),"Error - Check Input")
+IFERROR(IF(OR(Inputs!$C$86=0,Inputs!$C$86="",ISERROR(Inputs!$C$86)),Inputs!$D$86,Inputs!$C$86*Inputs!$K$9*(1+Inputs!$K$12)^B622),"Error - Check Input")
+IFERROR(IF(OR(Inputs!$C$87=0,Inputs!$C$87="",ISERROR(Inputs!$C$87)),Inputs!$D$87,Inputs!$C$87*Inputs!$K$9*(1+Inputs!$K$12)^B622),"Error - Check Input")
+IFERROR(IF(OR(Inputs!$C$88=0,Inputs!$C$88="",ISERROR(Inputs!$C$88)),Inputs!$D$88,Inputs!$C$88*Inputs!$K$9*(1+Inputs!$K$12)^B622),"Error - Check Input")
+IFERROR(IF(OR(Inputs!$C$89=0,Inputs!$C$89="",ISERROR(Inputs!$C$89)),Inputs!$D$89,Inputs!$C$89*Inputs!$K$9*(1+Inputs!$K$12)^B622),"Error - Check Input")
+IFERROR(IF(OR(Inputs!$C$90=0,Inputs!$C$90="",ISERROR(Inputs!$C$90)),Inputs!$D$90,Inputs!$C$90*Inputs!$K$9*(1+Inputs!$K$12)^B622),"Error - Check Input")
+IFERROR(IF(OR(Inputs!$C$93=0,Inputs!$C$93="",ISERROR(Inputs!$C$93)),Inputs!$D$93,Inputs!$C$93*Inputs!$K$9*(1+Inputs!$K$12)^B622),"Error - Check Input")</f>
        <v>193123.91048640999</v>
      </c>
      <c r="D622" s="17"/>
    </row>
    <row r="623" spans="2:4" x14ac:dyDescent="0.35">
      <c r="B623" s="18">
        <v>432</v>
      </c>
      <c r="C623" s="6">
        <f>IFERROR(IF(OR(Inputs!$C$84=0,Inputs!$C$84="",ISERROR(Inputs!$C$84)),Inputs!$D$84,Inputs!$C$84*Inputs!$K$9*(1+Inputs!$K$12)^B623),"Error - Check Input")
+IFERROR(IF(OR(Inputs!$C$85=0,Inputs!$C$85="",ISERROR(Inputs!$C$85)),Inputs!$D$85,Inputs!$C$85*Inputs!$K$9*(1+Inputs!$K$12)^B623),"Error - Check Input")
+IFERROR(IF(OR(Inputs!$C$86=0,Inputs!$C$86="",ISERROR(Inputs!$C$86)),Inputs!$D$86,Inputs!$C$86*Inputs!$K$9*(1+Inputs!$K$12)^B623),"Error - Check Input")
+IFERROR(IF(OR(Inputs!$C$87=0,Inputs!$C$87="",ISERROR(Inputs!$C$87)),Inputs!$D$87,Inputs!$C$87*Inputs!$K$9*(1+Inputs!$K$12)^B623),"Error - Check Input")
+IFERROR(IF(OR(Inputs!$C$88=0,Inputs!$C$88="",ISERROR(Inputs!$C$88)),Inputs!$D$88,Inputs!$C$88*Inputs!$K$9*(1+Inputs!$K$12)^B623),"Error - Check Input")
+IFERROR(IF(OR(Inputs!$C$89=0,Inputs!$C$89="",ISERROR(Inputs!$C$89)),Inputs!$D$89,Inputs!$C$89*Inputs!$K$9*(1+Inputs!$K$12)^B623),"Error - Check Input")
+IFERROR(IF(OR(Inputs!$C$90=0,Inputs!$C$90="",ISERROR(Inputs!$C$90)),Inputs!$D$90,Inputs!$C$90*Inputs!$K$9*(1+Inputs!$K$12)^B623),"Error - Check Input")
+IFERROR(IF(OR(Inputs!$C$93=0,Inputs!$C$93="",ISERROR(Inputs!$C$93)),Inputs!$D$93,Inputs!$C$93*Inputs!$K$9*(1+Inputs!$K$12)^B623),"Error - Check Input")</f>
        <v>193892.38764628748</v>
      </c>
      <c r="D623" s="17"/>
    </row>
    <row r="624" spans="2:4" x14ac:dyDescent="0.35">
      <c r="B624" s="18">
        <v>433</v>
      </c>
      <c r="C624" s="6">
        <f>IFERROR(IF(OR(Inputs!$C$84=0,Inputs!$C$84="",ISERROR(Inputs!$C$84)),Inputs!$D$84,Inputs!$C$84*Inputs!$K$9*(1+Inputs!$K$12)^B624),"Error - Check Input")
+IFERROR(IF(OR(Inputs!$C$85=0,Inputs!$C$85="",ISERROR(Inputs!$C$85)),Inputs!$D$85,Inputs!$C$85*Inputs!$K$9*(1+Inputs!$K$12)^B624),"Error - Check Input")
+IFERROR(IF(OR(Inputs!$C$86=0,Inputs!$C$86="",ISERROR(Inputs!$C$86)),Inputs!$D$86,Inputs!$C$86*Inputs!$K$9*(1+Inputs!$K$12)^B624),"Error - Check Input")
+IFERROR(IF(OR(Inputs!$C$87=0,Inputs!$C$87="",ISERROR(Inputs!$C$87)),Inputs!$D$87,Inputs!$C$87*Inputs!$K$9*(1+Inputs!$K$12)^B624),"Error - Check Input")
+IFERROR(IF(OR(Inputs!$C$88=0,Inputs!$C$88="",ISERROR(Inputs!$C$88)),Inputs!$D$88,Inputs!$C$88*Inputs!$K$9*(1+Inputs!$K$12)^B624),"Error - Check Input")
+IFERROR(IF(OR(Inputs!$C$89=0,Inputs!$C$89="",ISERROR(Inputs!$C$89)),Inputs!$D$89,Inputs!$C$89*Inputs!$K$9*(1+Inputs!$K$12)^B624),"Error - Check Input")
+IFERROR(IF(OR(Inputs!$C$90=0,Inputs!$C$90="",ISERROR(Inputs!$C$90)),Inputs!$D$90,Inputs!$C$90*Inputs!$K$9*(1+Inputs!$K$12)^B624),"Error - Check Input")
+IFERROR(IF(OR(Inputs!$C$93=0,Inputs!$C$93="",ISERROR(Inputs!$C$93)),Inputs!$D$93,Inputs!$C$93*Inputs!$K$9*(1+Inputs!$K$12)^B624),"Error - Check Input")</f>
        <v>194663.99567723912</v>
      </c>
      <c r="D624" s="17"/>
    </row>
    <row r="625" spans="2:4" x14ac:dyDescent="0.35">
      <c r="B625" s="18">
        <v>434</v>
      </c>
      <c r="C625" s="6">
        <f>IFERROR(IF(OR(Inputs!$C$84=0,Inputs!$C$84="",ISERROR(Inputs!$C$84)),Inputs!$D$84,Inputs!$C$84*Inputs!$K$9*(1+Inputs!$K$12)^B625),"Error - Check Input")
+IFERROR(IF(OR(Inputs!$C$85=0,Inputs!$C$85="",ISERROR(Inputs!$C$85)),Inputs!$D$85,Inputs!$C$85*Inputs!$K$9*(1+Inputs!$K$12)^B625),"Error - Check Input")
+IFERROR(IF(OR(Inputs!$C$86=0,Inputs!$C$86="",ISERROR(Inputs!$C$86)),Inputs!$D$86,Inputs!$C$86*Inputs!$K$9*(1+Inputs!$K$12)^B625),"Error - Check Input")
+IFERROR(IF(OR(Inputs!$C$87=0,Inputs!$C$87="",ISERROR(Inputs!$C$87)),Inputs!$D$87,Inputs!$C$87*Inputs!$K$9*(1+Inputs!$K$12)^B625),"Error - Check Input")
+IFERROR(IF(OR(Inputs!$C$88=0,Inputs!$C$88="",ISERROR(Inputs!$C$88)),Inputs!$D$88,Inputs!$C$88*Inputs!$K$9*(1+Inputs!$K$12)^B625),"Error - Check Input")
+IFERROR(IF(OR(Inputs!$C$89=0,Inputs!$C$89="",ISERROR(Inputs!$C$89)),Inputs!$D$89,Inputs!$C$89*Inputs!$K$9*(1+Inputs!$K$12)^B625),"Error - Check Input")
+IFERROR(IF(OR(Inputs!$C$90=0,Inputs!$C$90="",ISERROR(Inputs!$C$90)),Inputs!$D$90,Inputs!$C$90*Inputs!$K$9*(1+Inputs!$K$12)^B625),"Error - Check Input")
+IFERROR(IF(OR(Inputs!$C$93=0,Inputs!$C$93="",ISERROR(Inputs!$C$93)),Inputs!$D$93,Inputs!$C$93*Inputs!$K$9*(1+Inputs!$K$12)^B625),"Error - Check Input")</f>
        <v>195438.74733482138</v>
      </c>
      <c r="D625" s="17"/>
    </row>
    <row r="626" spans="2:4" x14ac:dyDescent="0.35">
      <c r="B626" s="18">
        <v>435</v>
      </c>
      <c r="C626" s="6">
        <f>IFERROR(IF(OR(Inputs!$C$84=0,Inputs!$C$84="",ISERROR(Inputs!$C$84)),Inputs!$D$84,Inputs!$C$84*Inputs!$K$9*(1+Inputs!$K$12)^B626),"Error - Check Input")
+IFERROR(IF(OR(Inputs!$C$85=0,Inputs!$C$85="",ISERROR(Inputs!$C$85)),Inputs!$D$85,Inputs!$C$85*Inputs!$K$9*(1+Inputs!$K$12)^B626),"Error - Check Input")
+IFERROR(IF(OR(Inputs!$C$86=0,Inputs!$C$86="",ISERROR(Inputs!$C$86)),Inputs!$D$86,Inputs!$C$86*Inputs!$K$9*(1+Inputs!$K$12)^B626),"Error - Check Input")
+IFERROR(IF(OR(Inputs!$C$87=0,Inputs!$C$87="",ISERROR(Inputs!$C$87)),Inputs!$D$87,Inputs!$C$87*Inputs!$K$9*(1+Inputs!$K$12)^B626),"Error - Check Input")
+IFERROR(IF(OR(Inputs!$C$88=0,Inputs!$C$88="",ISERROR(Inputs!$C$88)),Inputs!$D$88,Inputs!$C$88*Inputs!$K$9*(1+Inputs!$K$12)^B626),"Error - Check Input")
+IFERROR(IF(OR(Inputs!$C$89=0,Inputs!$C$89="",ISERROR(Inputs!$C$89)),Inputs!$D$89,Inputs!$C$89*Inputs!$K$9*(1+Inputs!$K$12)^B626),"Error - Check Input")
+IFERROR(IF(OR(Inputs!$C$90=0,Inputs!$C$90="",ISERROR(Inputs!$C$90)),Inputs!$D$90,Inputs!$C$90*Inputs!$K$9*(1+Inputs!$K$12)^B626),"Error - Check Input")
+IFERROR(IF(OR(Inputs!$C$93=0,Inputs!$C$93="",ISERROR(Inputs!$C$93)),Inputs!$D$93,Inputs!$C$93*Inputs!$K$9*(1+Inputs!$K$12)^B626),"Error - Check Input")</f>
        <v>196216.65542655825</v>
      </c>
      <c r="D626" s="17"/>
    </row>
    <row r="627" spans="2:4" x14ac:dyDescent="0.35">
      <c r="B627" s="18">
        <v>436</v>
      </c>
      <c r="C627" s="6">
        <f>IFERROR(IF(OR(Inputs!$C$84=0,Inputs!$C$84="",ISERROR(Inputs!$C$84)),Inputs!$D$84,Inputs!$C$84*Inputs!$K$9*(1+Inputs!$K$12)^B627),"Error - Check Input")
+IFERROR(IF(OR(Inputs!$C$85=0,Inputs!$C$85="",ISERROR(Inputs!$C$85)),Inputs!$D$85,Inputs!$C$85*Inputs!$K$9*(1+Inputs!$K$12)^B627),"Error - Check Input")
+IFERROR(IF(OR(Inputs!$C$86=0,Inputs!$C$86="",ISERROR(Inputs!$C$86)),Inputs!$D$86,Inputs!$C$86*Inputs!$K$9*(1+Inputs!$K$12)^B627),"Error - Check Input")
+IFERROR(IF(OR(Inputs!$C$87=0,Inputs!$C$87="",ISERROR(Inputs!$C$87)),Inputs!$D$87,Inputs!$C$87*Inputs!$K$9*(1+Inputs!$K$12)^B627),"Error - Check Input")
+IFERROR(IF(OR(Inputs!$C$88=0,Inputs!$C$88="",ISERROR(Inputs!$C$88)),Inputs!$D$88,Inputs!$C$88*Inputs!$K$9*(1+Inputs!$K$12)^B627),"Error - Check Input")
+IFERROR(IF(OR(Inputs!$C$89=0,Inputs!$C$89="",ISERROR(Inputs!$C$89)),Inputs!$D$89,Inputs!$C$89*Inputs!$K$9*(1+Inputs!$K$12)^B627),"Error - Check Input")
+IFERROR(IF(OR(Inputs!$C$90=0,Inputs!$C$90="",ISERROR(Inputs!$C$90)),Inputs!$D$90,Inputs!$C$90*Inputs!$K$9*(1+Inputs!$K$12)^B627),"Error - Check Input")
+IFERROR(IF(OR(Inputs!$C$93=0,Inputs!$C$93="",ISERROR(Inputs!$C$93)),Inputs!$D$93,Inputs!$C$93*Inputs!$K$9*(1+Inputs!$K$12)^B627),"Error - Check Input")</f>
        <v>196997.73281215309</v>
      </c>
      <c r="D627" s="17"/>
    </row>
    <row r="628" spans="2:4" x14ac:dyDescent="0.35">
      <c r="B628" s="18">
        <v>437</v>
      </c>
      <c r="C628" s="6">
        <f>IFERROR(IF(OR(Inputs!$C$84=0,Inputs!$C$84="",ISERROR(Inputs!$C$84)),Inputs!$D$84,Inputs!$C$84*Inputs!$K$9*(1+Inputs!$K$12)^B628),"Error - Check Input")
+IFERROR(IF(OR(Inputs!$C$85=0,Inputs!$C$85="",ISERROR(Inputs!$C$85)),Inputs!$D$85,Inputs!$C$85*Inputs!$K$9*(1+Inputs!$K$12)^B628),"Error - Check Input")
+IFERROR(IF(OR(Inputs!$C$86=0,Inputs!$C$86="",ISERROR(Inputs!$C$86)),Inputs!$D$86,Inputs!$C$86*Inputs!$K$9*(1+Inputs!$K$12)^B628),"Error - Check Input")
+IFERROR(IF(OR(Inputs!$C$87=0,Inputs!$C$87="",ISERROR(Inputs!$C$87)),Inputs!$D$87,Inputs!$C$87*Inputs!$K$9*(1+Inputs!$K$12)^B628),"Error - Check Input")
+IFERROR(IF(OR(Inputs!$C$88=0,Inputs!$C$88="",ISERROR(Inputs!$C$88)),Inputs!$D$88,Inputs!$C$88*Inputs!$K$9*(1+Inputs!$K$12)^B628),"Error - Check Input")
+IFERROR(IF(OR(Inputs!$C$89=0,Inputs!$C$89="",ISERROR(Inputs!$C$89)),Inputs!$D$89,Inputs!$C$89*Inputs!$K$9*(1+Inputs!$K$12)^B628),"Error - Check Input")
+IFERROR(IF(OR(Inputs!$C$90=0,Inputs!$C$90="",ISERROR(Inputs!$C$90)),Inputs!$D$90,Inputs!$C$90*Inputs!$K$9*(1+Inputs!$K$12)^B628),"Error - Check Input")
+IFERROR(IF(OR(Inputs!$C$93=0,Inputs!$C$93="",ISERROR(Inputs!$C$93)),Inputs!$D$93,Inputs!$C$93*Inputs!$K$9*(1+Inputs!$K$12)^B628),"Error - Check Input")</f>
        <v>197781.99240370144</v>
      </c>
      <c r="D628" s="17"/>
    </row>
    <row r="629" spans="2:4" x14ac:dyDescent="0.35">
      <c r="B629" s="18">
        <v>438</v>
      </c>
      <c r="C629" s="6">
        <f>IFERROR(IF(OR(Inputs!$C$84=0,Inputs!$C$84="",ISERROR(Inputs!$C$84)),Inputs!$D$84,Inputs!$C$84*Inputs!$K$9*(1+Inputs!$K$12)^B629),"Error - Check Input")
+IFERROR(IF(OR(Inputs!$C$85=0,Inputs!$C$85="",ISERROR(Inputs!$C$85)),Inputs!$D$85,Inputs!$C$85*Inputs!$K$9*(1+Inputs!$K$12)^B629),"Error - Check Input")
+IFERROR(IF(OR(Inputs!$C$86=0,Inputs!$C$86="",ISERROR(Inputs!$C$86)),Inputs!$D$86,Inputs!$C$86*Inputs!$K$9*(1+Inputs!$K$12)^B629),"Error - Check Input")
+IFERROR(IF(OR(Inputs!$C$87=0,Inputs!$C$87="",ISERROR(Inputs!$C$87)),Inputs!$D$87,Inputs!$C$87*Inputs!$K$9*(1+Inputs!$K$12)^B629),"Error - Check Input")
+IFERROR(IF(OR(Inputs!$C$88=0,Inputs!$C$88="",ISERROR(Inputs!$C$88)),Inputs!$D$88,Inputs!$C$88*Inputs!$K$9*(1+Inputs!$K$12)^B629),"Error - Check Input")
+IFERROR(IF(OR(Inputs!$C$89=0,Inputs!$C$89="",ISERROR(Inputs!$C$89)),Inputs!$D$89,Inputs!$C$89*Inputs!$K$9*(1+Inputs!$K$12)^B629),"Error - Check Input")
+IFERROR(IF(OR(Inputs!$C$90=0,Inputs!$C$90="",ISERROR(Inputs!$C$90)),Inputs!$D$90,Inputs!$C$90*Inputs!$K$9*(1+Inputs!$K$12)^B629),"Error - Check Input")
+IFERROR(IF(OR(Inputs!$C$93=0,Inputs!$C$93="",ISERROR(Inputs!$C$93)),Inputs!$D$93,Inputs!$C$93*Inputs!$K$9*(1+Inputs!$K$12)^B629),"Error - Check Input")</f>
        <v>198569.44716590433</v>
      </c>
      <c r="D629" s="17"/>
    </row>
    <row r="630" spans="2:4" x14ac:dyDescent="0.35">
      <c r="B630" s="18">
        <v>439</v>
      </c>
      <c r="C630" s="6">
        <f>IFERROR(IF(OR(Inputs!$C$84=0,Inputs!$C$84="",ISERROR(Inputs!$C$84)),Inputs!$D$84,Inputs!$C$84*Inputs!$K$9*(1+Inputs!$K$12)^B630),"Error - Check Input")
+IFERROR(IF(OR(Inputs!$C$85=0,Inputs!$C$85="",ISERROR(Inputs!$C$85)),Inputs!$D$85,Inputs!$C$85*Inputs!$K$9*(1+Inputs!$K$12)^B630),"Error - Check Input")
+IFERROR(IF(OR(Inputs!$C$86=0,Inputs!$C$86="",ISERROR(Inputs!$C$86)),Inputs!$D$86,Inputs!$C$86*Inputs!$K$9*(1+Inputs!$K$12)^B630),"Error - Check Input")
+IFERROR(IF(OR(Inputs!$C$87=0,Inputs!$C$87="",ISERROR(Inputs!$C$87)),Inputs!$D$87,Inputs!$C$87*Inputs!$K$9*(1+Inputs!$K$12)^B630),"Error - Check Input")
+IFERROR(IF(OR(Inputs!$C$88=0,Inputs!$C$88="",ISERROR(Inputs!$C$88)),Inputs!$D$88,Inputs!$C$88*Inputs!$K$9*(1+Inputs!$K$12)^B630),"Error - Check Input")
+IFERROR(IF(OR(Inputs!$C$89=0,Inputs!$C$89="",ISERROR(Inputs!$C$89)),Inputs!$D$89,Inputs!$C$89*Inputs!$K$9*(1+Inputs!$K$12)^B630),"Error - Check Input")
+IFERROR(IF(OR(Inputs!$C$90=0,Inputs!$C$90="",ISERROR(Inputs!$C$90)),Inputs!$D$90,Inputs!$C$90*Inputs!$K$9*(1+Inputs!$K$12)^B630),"Error - Check Input")
+IFERROR(IF(OR(Inputs!$C$93=0,Inputs!$C$93="",ISERROR(Inputs!$C$93)),Inputs!$D$93,Inputs!$C$93*Inputs!$K$9*(1+Inputs!$K$12)^B630),"Error - Check Input")</f>
        <v>199360.11011628242</v>
      </c>
      <c r="D630" s="17"/>
    </row>
    <row r="631" spans="2:4" x14ac:dyDescent="0.35">
      <c r="B631" s="18">
        <v>440</v>
      </c>
      <c r="C631" s="6">
        <f>IFERROR(IF(OR(Inputs!$C$84=0,Inputs!$C$84="",ISERROR(Inputs!$C$84)),Inputs!$D$84,Inputs!$C$84*Inputs!$K$9*(1+Inputs!$K$12)^B631),"Error - Check Input")
+IFERROR(IF(OR(Inputs!$C$85=0,Inputs!$C$85="",ISERROR(Inputs!$C$85)),Inputs!$D$85,Inputs!$C$85*Inputs!$K$9*(1+Inputs!$K$12)^B631),"Error - Check Input")
+IFERROR(IF(OR(Inputs!$C$86=0,Inputs!$C$86="",ISERROR(Inputs!$C$86)),Inputs!$D$86,Inputs!$C$86*Inputs!$K$9*(1+Inputs!$K$12)^B631),"Error - Check Input")
+IFERROR(IF(OR(Inputs!$C$87=0,Inputs!$C$87="",ISERROR(Inputs!$C$87)),Inputs!$D$87,Inputs!$C$87*Inputs!$K$9*(1+Inputs!$K$12)^B631),"Error - Check Input")
+IFERROR(IF(OR(Inputs!$C$88=0,Inputs!$C$88="",ISERROR(Inputs!$C$88)),Inputs!$D$88,Inputs!$C$88*Inputs!$K$9*(1+Inputs!$K$12)^B631),"Error - Check Input")
+IFERROR(IF(OR(Inputs!$C$89=0,Inputs!$C$89="",ISERROR(Inputs!$C$89)),Inputs!$D$89,Inputs!$C$89*Inputs!$K$9*(1+Inputs!$K$12)^B631),"Error - Check Input")
+IFERROR(IF(OR(Inputs!$C$90=0,Inputs!$C$90="",ISERROR(Inputs!$C$90)),Inputs!$D$90,Inputs!$C$90*Inputs!$K$9*(1+Inputs!$K$12)^B631),"Error - Check Input")
+IFERROR(IF(OR(Inputs!$C$93=0,Inputs!$C$93="",ISERROR(Inputs!$C$93)),Inputs!$D$93,Inputs!$C$93*Inputs!$K$9*(1+Inputs!$K$12)^B631),"Error - Check Input")</f>
        <v>200153.99432539157</v>
      </c>
      <c r="D631" s="17"/>
    </row>
    <row r="632" spans="2:4" x14ac:dyDescent="0.35">
      <c r="B632" s="18">
        <v>441</v>
      </c>
      <c r="C632" s="6">
        <f>IFERROR(IF(OR(Inputs!$C$84=0,Inputs!$C$84="",ISERROR(Inputs!$C$84)),Inputs!$D$84,Inputs!$C$84*Inputs!$K$9*(1+Inputs!$K$12)^B632),"Error - Check Input")
+IFERROR(IF(OR(Inputs!$C$85=0,Inputs!$C$85="",ISERROR(Inputs!$C$85)),Inputs!$D$85,Inputs!$C$85*Inputs!$K$9*(1+Inputs!$K$12)^B632),"Error - Check Input")
+IFERROR(IF(OR(Inputs!$C$86=0,Inputs!$C$86="",ISERROR(Inputs!$C$86)),Inputs!$D$86,Inputs!$C$86*Inputs!$K$9*(1+Inputs!$K$12)^B632),"Error - Check Input")
+IFERROR(IF(OR(Inputs!$C$87=0,Inputs!$C$87="",ISERROR(Inputs!$C$87)),Inputs!$D$87,Inputs!$C$87*Inputs!$K$9*(1+Inputs!$K$12)^B632),"Error - Check Input")
+IFERROR(IF(OR(Inputs!$C$88=0,Inputs!$C$88="",ISERROR(Inputs!$C$88)),Inputs!$D$88,Inputs!$C$88*Inputs!$K$9*(1+Inputs!$K$12)^B632),"Error - Check Input")
+IFERROR(IF(OR(Inputs!$C$89=0,Inputs!$C$89="",ISERROR(Inputs!$C$89)),Inputs!$D$89,Inputs!$C$89*Inputs!$K$9*(1+Inputs!$K$12)^B632),"Error - Check Input")
+IFERROR(IF(OR(Inputs!$C$90=0,Inputs!$C$90="",ISERROR(Inputs!$C$90)),Inputs!$D$90,Inputs!$C$90*Inputs!$K$9*(1+Inputs!$K$12)^B632),"Error - Check Input")
+IFERROR(IF(OR(Inputs!$C$93=0,Inputs!$C$93="",ISERROR(Inputs!$C$93)),Inputs!$D$93,Inputs!$C$93*Inputs!$K$9*(1+Inputs!$K$12)^B632),"Error - Check Input")</f>
        <v>200951.11291703847</v>
      </c>
      <c r="D632" s="17"/>
    </row>
    <row r="633" spans="2:4" x14ac:dyDescent="0.35">
      <c r="B633" s="18">
        <v>442</v>
      </c>
      <c r="C633" s="6">
        <f>IFERROR(IF(OR(Inputs!$C$84=0,Inputs!$C$84="",ISERROR(Inputs!$C$84)),Inputs!$D$84,Inputs!$C$84*Inputs!$K$9*(1+Inputs!$K$12)^B633),"Error - Check Input")
+IFERROR(IF(OR(Inputs!$C$85=0,Inputs!$C$85="",ISERROR(Inputs!$C$85)),Inputs!$D$85,Inputs!$C$85*Inputs!$K$9*(1+Inputs!$K$12)^B633),"Error - Check Input")
+IFERROR(IF(OR(Inputs!$C$86=0,Inputs!$C$86="",ISERROR(Inputs!$C$86)),Inputs!$D$86,Inputs!$C$86*Inputs!$K$9*(1+Inputs!$K$12)^B633),"Error - Check Input")
+IFERROR(IF(OR(Inputs!$C$87=0,Inputs!$C$87="",ISERROR(Inputs!$C$87)),Inputs!$D$87,Inputs!$C$87*Inputs!$K$9*(1+Inputs!$K$12)^B633),"Error - Check Input")
+IFERROR(IF(OR(Inputs!$C$88=0,Inputs!$C$88="",ISERROR(Inputs!$C$88)),Inputs!$D$88,Inputs!$C$88*Inputs!$K$9*(1+Inputs!$K$12)^B633),"Error - Check Input")
+IFERROR(IF(OR(Inputs!$C$89=0,Inputs!$C$89="",ISERROR(Inputs!$C$89)),Inputs!$D$89,Inputs!$C$89*Inputs!$K$9*(1+Inputs!$K$12)^B633),"Error - Check Input")
+IFERROR(IF(OR(Inputs!$C$90=0,Inputs!$C$90="",ISERROR(Inputs!$C$90)),Inputs!$D$90,Inputs!$C$90*Inputs!$K$9*(1+Inputs!$K$12)^B633),"Error - Check Input")
+IFERROR(IF(OR(Inputs!$C$93=0,Inputs!$C$93="",ISERROR(Inputs!$C$93)),Inputs!$D$93,Inputs!$C$93*Inputs!$K$9*(1+Inputs!$K$12)^B633),"Error - Check Input")</f>
        <v>201751.47906849789</v>
      </c>
      <c r="D633" s="17"/>
    </row>
    <row r="634" spans="2:4" x14ac:dyDescent="0.35">
      <c r="B634" s="18">
        <v>443</v>
      </c>
      <c r="C634" s="6">
        <f>IFERROR(IF(OR(Inputs!$C$84=0,Inputs!$C$84="",ISERROR(Inputs!$C$84)),Inputs!$D$84,Inputs!$C$84*Inputs!$K$9*(1+Inputs!$K$12)^B634),"Error - Check Input")
+IFERROR(IF(OR(Inputs!$C$85=0,Inputs!$C$85="",ISERROR(Inputs!$C$85)),Inputs!$D$85,Inputs!$C$85*Inputs!$K$9*(1+Inputs!$K$12)^B634),"Error - Check Input")
+IFERROR(IF(OR(Inputs!$C$86=0,Inputs!$C$86="",ISERROR(Inputs!$C$86)),Inputs!$D$86,Inputs!$C$86*Inputs!$K$9*(1+Inputs!$K$12)^B634),"Error - Check Input")
+IFERROR(IF(OR(Inputs!$C$87=0,Inputs!$C$87="",ISERROR(Inputs!$C$87)),Inputs!$D$87,Inputs!$C$87*Inputs!$K$9*(1+Inputs!$K$12)^B634),"Error - Check Input")
+IFERROR(IF(OR(Inputs!$C$88=0,Inputs!$C$88="",ISERROR(Inputs!$C$88)),Inputs!$D$88,Inputs!$C$88*Inputs!$K$9*(1+Inputs!$K$12)^B634),"Error - Check Input")
+IFERROR(IF(OR(Inputs!$C$89=0,Inputs!$C$89="",ISERROR(Inputs!$C$89)),Inputs!$D$89,Inputs!$C$89*Inputs!$K$9*(1+Inputs!$K$12)^B634),"Error - Check Input")
+IFERROR(IF(OR(Inputs!$C$90=0,Inputs!$C$90="",ISERROR(Inputs!$C$90)),Inputs!$D$90,Inputs!$C$90*Inputs!$K$9*(1+Inputs!$K$12)^B634),"Error - Check Input")
+IFERROR(IF(OR(Inputs!$C$93=0,Inputs!$C$93="",ISERROR(Inputs!$C$93)),Inputs!$D$93,Inputs!$C$93*Inputs!$K$9*(1+Inputs!$K$12)^B634),"Error - Check Input")</f>
        <v>202555.10601073073</v>
      </c>
      <c r="D634" s="17"/>
    </row>
    <row r="635" spans="2:4" x14ac:dyDescent="0.35">
      <c r="B635" s="18">
        <v>444</v>
      </c>
      <c r="C635" s="6">
        <f>IFERROR(IF(OR(Inputs!$C$84=0,Inputs!$C$84="",ISERROR(Inputs!$C$84)),Inputs!$D$84,Inputs!$C$84*Inputs!$K$9*(1+Inputs!$K$12)^B635),"Error - Check Input")
+IFERROR(IF(OR(Inputs!$C$85=0,Inputs!$C$85="",ISERROR(Inputs!$C$85)),Inputs!$D$85,Inputs!$C$85*Inputs!$K$9*(1+Inputs!$K$12)^B635),"Error - Check Input")
+IFERROR(IF(OR(Inputs!$C$86=0,Inputs!$C$86="",ISERROR(Inputs!$C$86)),Inputs!$D$86,Inputs!$C$86*Inputs!$K$9*(1+Inputs!$K$12)^B635),"Error - Check Input")
+IFERROR(IF(OR(Inputs!$C$87=0,Inputs!$C$87="",ISERROR(Inputs!$C$87)),Inputs!$D$87,Inputs!$C$87*Inputs!$K$9*(1+Inputs!$K$12)^B635),"Error - Check Input")
+IFERROR(IF(OR(Inputs!$C$88=0,Inputs!$C$88="",ISERROR(Inputs!$C$88)),Inputs!$D$88,Inputs!$C$88*Inputs!$K$9*(1+Inputs!$K$12)^B635),"Error - Check Input")
+IFERROR(IF(OR(Inputs!$C$89=0,Inputs!$C$89="",ISERROR(Inputs!$C$89)),Inputs!$D$89,Inputs!$C$89*Inputs!$K$9*(1+Inputs!$K$12)^B635),"Error - Check Input")
+IFERROR(IF(OR(Inputs!$C$90=0,Inputs!$C$90="",ISERROR(Inputs!$C$90)),Inputs!$D$90,Inputs!$C$90*Inputs!$K$9*(1+Inputs!$K$12)^B635),"Error - Check Input")
+IFERROR(IF(OR(Inputs!$C$93=0,Inputs!$C$93="",ISERROR(Inputs!$C$93)),Inputs!$D$93,Inputs!$C$93*Inputs!$K$9*(1+Inputs!$K$12)^B635),"Error - Check Input")</f>
        <v>203362.00702860201</v>
      </c>
      <c r="D635" s="17"/>
    </row>
    <row r="636" spans="2:4" x14ac:dyDescent="0.35">
      <c r="B636" s="18">
        <v>445</v>
      </c>
      <c r="C636" s="6">
        <f>IFERROR(IF(OR(Inputs!$C$84=0,Inputs!$C$84="",ISERROR(Inputs!$C$84)),Inputs!$D$84,Inputs!$C$84*Inputs!$K$9*(1+Inputs!$K$12)^B636),"Error - Check Input")
+IFERROR(IF(OR(Inputs!$C$85=0,Inputs!$C$85="",ISERROR(Inputs!$C$85)),Inputs!$D$85,Inputs!$C$85*Inputs!$K$9*(1+Inputs!$K$12)^B636),"Error - Check Input")
+IFERROR(IF(OR(Inputs!$C$86=0,Inputs!$C$86="",ISERROR(Inputs!$C$86)),Inputs!$D$86,Inputs!$C$86*Inputs!$K$9*(1+Inputs!$K$12)^B636),"Error - Check Input")
+IFERROR(IF(OR(Inputs!$C$87=0,Inputs!$C$87="",ISERROR(Inputs!$C$87)),Inputs!$D$87,Inputs!$C$87*Inputs!$K$9*(1+Inputs!$K$12)^B636),"Error - Check Input")
+IFERROR(IF(OR(Inputs!$C$88=0,Inputs!$C$88="",ISERROR(Inputs!$C$88)),Inputs!$D$88,Inputs!$C$88*Inputs!$K$9*(1+Inputs!$K$12)^B636),"Error - Check Input")
+IFERROR(IF(OR(Inputs!$C$89=0,Inputs!$C$89="",ISERROR(Inputs!$C$89)),Inputs!$D$89,Inputs!$C$89*Inputs!$K$9*(1+Inputs!$K$12)^B636),"Error - Check Input")
+IFERROR(IF(OR(Inputs!$C$90=0,Inputs!$C$90="",ISERROR(Inputs!$C$90)),Inputs!$D$90,Inputs!$C$90*Inputs!$K$9*(1+Inputs!$K$12)^B636),"Error - Check Input")
+IFERROR(IF(OR(Inputs!$C$93=0,Inputs!$C$93="",ISERROR(Inputs!$C$93)),Inputs!$D$93,Inputs!$C$93*Inputs!$K$9*(1+Inputs!$K$12)^B636),"Error - Check Input")</f>
        <v>204172.19546110134</v>
      </c>
      <c r="D636" s="17"/>
    </row>
    <row r="637" spans="2:4" x14ac:dyDescent="0.35">
      <c r="B637" s="18">
        <v>446</v>
      </c>
      <c r="C637" s="6">
        <f>IFERROR(IF(OR(Inputs!$C$84=0,Inputs!$C$84="",ISERROR(Inputs!$C$84)),Inputs!$D$84,Inputs!$C$84*Inputs!$K$9*(1+Inputs!$K$12)^B637),"Error - Check Input")
+IFERROR(IF(OR(Inputs!$C$85=0,Inputs!$C$85="",ISERROR(Inputs!$C$85)),Inputs!$D$85,Inputs!$C$85*Inputs!$K$9*(1+Inputs!$K$12)^B637),"Error - Check Input")
+IFERROR(IF(OR(Inputs!$C$86=0,Inputs!$C$86="",ISERROR(Inputs!$C$86)),Inputs!$D$86,Inputs!$C$86*Inputs!$K$9*(1+Inputs!$K$12)^B637),"Error - Check Input")
+IFERROR(IF(OR(Inputs!$C$87=0,Inputs!$C$87="",ISERROR(Inputs!$C$87)),Inputs!$D$87,Inputs!$C$87*Inputs!$K$9*(1+Inputs!$K$12)^B637),"Error - Check Input")
+IFERROR(IF(OR(Inputs!$C$88=0,Inputs!$C$88="",ISERROR(Inputs!$C$88)),Inputs!$D$88,Inputs!$C$88*Inputs!$K$9*(1+Inputs!$K$12)^B637),"Error - Check Input")
+IFERROR(IF(OR(Inputs!$C$89=0,Inputs!$C$89="",ISERROR(Inputs!$C$89)),Inputs!$D$89,Inputs!$C$89*Inputs!$K$9*(1+Inputs!$K$12)^B637),"Error - Check Input")
+IFERROR(IF(OR(Inputs!$C$90=0,Inputs!$C$90="",ISERROR(Inputs!$C$90)),Inputs!$D$90,Inputs!$C$90*Inputs!$K$9*(1+Inputs!$K$12)^B637),"Error - Check Input")
+IFERROR(IF(OR(Inputs!$C$93=0,Inputs!$C$93="",ISERROR(Inputs!$C$93)),Inputs!$D$93,Inputs!$C$93*Inputs!$K$9*(1+Inputs!$K$12)^B637),"Error - Check Input")</f>
        <v>204985.68470156268</v>
      </c>
      <c r="D637" s="17"/>
    </row>
    <row r="638" spans="2:4" x14ac:dyDescent="0.35">
      <c r="B638" s="18">
        <v>447</v>
      </c>
      <c r="C638" s="6">
        <f>IFERROR(IF(OR(Inputs!$C$84=0,Inputs!$C$84="",ISERROR(Inputs!$C$84)),Inputs!$D$84,Inputs!$C$84*Inputs!$K$9*(1+Inputs!$K$12)^B638),"Error - Check Input")
+IFERROR(IF(OR(Inputs!$C$85=0,Inputs!$C$85="",ISERROR(Inputs!$C$85)),Inputs!$D$85,Inputs!$C$85*Inputs!$K$9*(1+Inputs!$K$12)^B638),"Error - Check Input")
+IFERROR(IF(OR(Inputs!$C$86=0,Inputs!$C$86="",ISERROR(Inputs!$C$86)),Inputs!$D$86,Inputs!$C$86*Inputs!$K$9*(1+Inputs!$K$12)^B638),"Error - Check Input")
+IFERROR(IF(OR(Inputs!$C$87=0,Inputs!$C$87="",ISERROR(Inputs!$C$87)),Inputs!$D$87,Inputs!$C$87*Inputs!$K$9*(1+Inputs!$K$12)^B638),"Error - Check Input")
+IFERROR(IF(OR(Inputs!$C$88=0,Inputs!$C$88="",ISERROR(Inputs!$C$88)),Inputs!$D$88,Inputs!$C$88*Inputs!$K$9*(1+Inputs!$K$12)^B638),"Error - Check Input")
+IFERROR(IF(OR(Inputs!$C$89=0,Inputs!$C$89="",ISERROR(Inputs!$C$89)),Inputs!$D$89,Inputs!$C$89*Inputs!$K$9*(1+Inputs!$K$12)^B638),"Error - Check Input")
+IFERROR(IF(OR(Inputs!$C$90=0,Inputs!$C$90="",ISERROR(Inputs!$C$90)),Inputs!$D$90,Inputs!$C$90*Inputs!$K$9*(1+Inputs!$K$12)^B638),"Error - Check Input")
+IFERROR(IF(OR(Inputs!$C$93=0,Inputs!$C$93="",ISERROR(Inputs!$C$93)),Inputs!$D$93,Inputs!$C$93*Inputs!$K$9*(1+Inputs!$K$12)^B638),"Error - Check Input")</f>
        <v>205802.48819788636</v>
      </c>
      <c r="D638" s="17"/>
    </row>
    <row r="639" spans="2:4" x14ac:dyDescent="0.35">
      <c r="B639" s="18">
        <v>448</v>
      </c>
      <c r="C639" s="6">
        <f>IFERROR(IF(OR(Inputs!$C$84=0,Inputs!$C$84="",ISERROR(Inputs!$C$84)),Inputs!$D$84,Inputs!$C$84*Inputs!$K$9*(1+Inputs!$K$12)^B639),"Error - Check Input")
+IFERROR(IF(OR(Inputs!$C$85=0,Inputs!$C$85="",ISERROR(Inputs!$C$85)),Inputs!$D$85,Inputs!$C$85*Inputs!$K$9*(1+Inputs!$K$12)^B639),"Error - Check Input")
+IFERROR(IF(OR(Inputs!$C$86=0,Inputs!$C$86="",ISERROR(Inputs!$C$86)),Inputs!$D$86,Inputs!$C$86*Inputs!$K$9*(1+Inputs!$K$12)^B639),"Error - Check Input")
+IFERROR(IF(OR(Inputs!$C$87=0,Inputs!$C$87="",ISERROR(Inputs!$C$87)),Inputs!$D$87,Inputs!$C$87*Inputs!$K$9*(1+Inputs!$K$12)^B639),"Error - Check Input")
+IFERROR(IF(OR(Inputs!$C$88=0,Inputs!$C$88="",ISERROR(Inputs!$C$88)),Inputs!$D$88,Inputs!$C$88*Inputs!$K$9*(1+Inputs!$K$12)^B639),"Error - Check Input")
+IFERROR(IF(OR(Inputs!$C$89=0,Inputs!$C$89="",ISERROR(Inputs!$C$89)),Inputs!$D$89,Inputs!$C$89*Inputs!$K$9*(1+Inputs!$K$12)^B639),"Error - Check Input")
+IFERROR(IF(OR(Inputs!$C$90=0,Inputs!$C$90="",ISERROR(Inputs!$C$90)),Inputs!$D$90,Inputs!$C$90*Inputs!$K$9*(1+Inputs!$K$12)^B639),"Error - Check Input")
+IFERROR(IF(OR(Inputs!$C$93=0,Inputs!$C$93="",ISERROR(Inputs!$C$93)),Inputs!$D$93,Inputs!$C$93*Inputs!$K$9*(1+Inputs!$K$12)^B639),"Error - Check Input")</f>
        <v>206622.61945276096</v>
      </c>
      <c r="D639" s="17"/>
    </row>
    <row r="640" spans="2:4" x14ac:dyDescent="0.35">
      <c r="B640" s="18">
        <v>449</v>
      </c>
      <c r="C640" s="6">
        <f>IFERROR(IF(OR(Inputs!$C$84=0,Inputs!$C$84="",ISERROR(Inputs!$C$84)),Inputs!$D$84,Inputs!$C$84*Inputs!$K$9*(1+Inputs!$K$12)^B640),"Error - Check Input")
+IFERROR(IF(OR(Inputs!$C$85=0,Inputs!$C$85="",ISERROR(Inputs!$C$85)),Inputs!$D$85,Inputs!$C$85*Inputs!$K$9*(1+Inputs!$K$12)^B640),"Error - Check Input")
+IFERROR(IF(OR(Inputs!$C$86=0,Inputs!$C$86="",ISERROR(Inputs!$C$86)),Inputs!$D$86,Inputs!$C$86*Inputs!$K$9*(1+Inputs!$K$12)^B640),"Error - Check Input")
+IFERROR(IF(OR(Inputs!$C$87=0,Inputs!$C$87="",ISERROR(Inputs!$C$87)),Inputs!$D$87,Inputs!$C$87*Inputs!$K$9*(1+Inputs!$K$12)^B640),"Error - Check Input")
+IFERROR(IF(OR(Inputs!$C$88=0,Inputs!$C$88="",ISERROR(Inputs!$C$88)),Inputs!$D$88,Inputs!$C$88*Inputs!$K$9*(1+Inputs!$K$12)^B640),"Error - Check Input")
+IFERROR(IF(OR(Inputs!$C$89=0,Inputs!$C$89="",ISERROR(Inputs!$C$89)),Inputs!$D$89,Inputs!$C$89*Inputs!$K$9*(1+Inputs!$K$12)^B640),"Error - Check Input")
+IFERROR(IF(OR(Inputs!$C$90=0,Inputs!$C$90="",ISERROR(Inputs!$C$90)),Inputs!$D$90,Inputs!$C$90*Inputs!$K$9*(1+Inputs!$K$12)^B640),"Error - Check Input")
+IFERROR(IF(OR(Inputs!$C$93=0,Inputs!$C$93="",ISERROR(Inputs!$C$93)),Inputs!$D$93,Inputs!$C$93*Inputs!$K$9*(1+Inputs!$K$12)^B640),"Error - Check Input")</f>
        <v>207446.09202388674</v>
      </c>
      <c r="D640" s="17"/>
    </row>
    <row r="641" spans="2:4" x14ac:dyDescent="0.35">
      <c r="B641" s="18">
        <v>450</v>
      </c>
      <c r="C641" s="6">
        <f>IFERROR(IF(OR(Inputs!$C$84=0,Inputs!$C$84="",ISERROR(Inputs!$C$84)),Inputs!$D$84,Inputs!$C$84*Inputs!$K$9*(1+Inputs!$K$12)^B641),"Error - Check Input")
+IFERROR(IF(OR(Inputs!$C$85=0,Inputs!$C$85="",ISERROR(Inputs!$C$85)),Inputs!$D$85,Inputs!$C$85*Inputs!$K$9*(1+Inputs!$K$12)^B641),"Error - Check Input")
+IFERROR(IF(OR(Inputs!$C$86=0,Inputs!$C$86="",ISERROR(Inputs!$C$86)),Inputs!$D$86,Inputs!$C$86*Inputs!$K$9*(1+Inputs!$K$12)^B641),"Error - Check Input")
+IFERROR(IF(OR(Inputs!$C$87=0,Inputs!$C$87="",ISERROR(Inputs!$C$87)),Inputs!$D$87,Inputs!$C$87*Inputs!$K$9*(1+Inputs!$K$12)^B641),"Error - Check Input")
+IFERROR(IF(OR(Inputs!$C$88=0,Inputs!$C$88="",ISERROR(Inputs!$C$88)),Inputs!$D$88,Inputs!$C$88*Inputs!$K$9*(1+Inputs!$K$12)^B641),"Error - Check Input")
+IFERROR(IF(OR(Inputs!$C$89=0,Inputs!$C$89="",ISERROR(Inputs!$C$89)),Inputs!$D$89,Inputs!$C$89*Inputs!$K$9*(1+Inputs!$K$12)^B641),"Error - Check Input")
+IFERROR(IF(OR(Inputs!$C$90=0,Inputs!$C$90="",ISERROR(Inputs!$C$90)),Inputs!$D$90,Inputs!$C$90*Inputs!$K$9*(1+Inputs!$K$12)^B641),"Error - Check Input")
+IFERROR(IF(OR(Inputs!$C$93=0,Inputs!$C$93="",ISERROR(Inputs!$C$93)),Inputs!$D$93,Inputs!$C$93*Inputs!$K$9*(1+Inputs!$K$12)^B641),"Error - Check Input")</f>
        <v>208272.91952419977</v>
      </c>
      <c r="D641" s="17"/>
    </row>
    <row r="642" spans="2:4" x14ac:dyDescent="0.35">
      <c r="B642" s="18">
        <v>451</v>
      </c>
      <c r="C642" s="6">
        <f>IFERROR(IF(OR(Inputs!$C$84=0,Inputs!$C$84="",ISERROR(Inputs!$C$84)),Inputs!$D$84,Inputs!$C$84*Inputs!$K$9*(1+Inputs!$K$12)^B642),"Error - Check Input")
+IFERROR(IF(OR(Inputs!$C$85=0,Inputs!$C$85="",ISERROR(Inputs!$C$85)),Inputs!$D$85,Inputs!$C$85*Inputs!$K$9*(1+Inputs!$K$12)^B642),"Error - Check Input")
+IFERROR(IF(OR(Inputs!$C$86=0,Inputs!$C$86="",ISERROR(Inputs!$C$86)),Inputs!$D$86,Inputs!$C$86*Inputs!$K$9*(1+Inputs!$K$12)^B642),"Error - Check Input")
+IFERROR(IF(OR(Inputs!$C$87=0,Inputs!$C$87="",ISERROR(Inputs!$C$87)),Inputs!$D$87,Inputs!$C$87*Inputs!$K$9*(1+Inputs!$K$12)^B642),"Error - Check Input")
+IFERROR(IF(OR(Inputs!$C$88=0,Inputs!$C$88="",ISERROR(Inputs!$C$88)),Inputs!$D$88,Inputs!$C$88*Inputs!$K$9*(1+Inputs!$K$12)^B642),"Error - Check Input")
+IFERROR(IF(OR(Inputs!$C$89=0,Inputs!$C$89="",ISERROR(Inputs!$C$89)),Inputs!$D$89,Inputs!$C$89*Inputs!$K$9*(1+Inputs!$K$12)^B642),"Error - Check Input")
+IFERROR(IF(OR(Inputs!$C$90=0,Inputs!$C$90="",ISERROR(Inputs!$C$90)),Inputs!$D$90,Inputs!$C$90*Inputs!$K$9*(1+Inputs!$K$12)^B642),"Error - Check Input")
+IFERROR(IF(OR(Inputs!$C$93=0,Inputs!$C$93="",ISERROR(Inputs!$C$93)),Inputs!$D$93,Inputs!$C$93*Inputs!$K$9*(1+Inputs!$K$12)^B642),"Error - Check Input")</f>
        <v>209103.11562209681</v>
      </c>
      <c r="D642" s="17"/>
    </row>
    <row r="643" spans="2:4" x14ac:dyDescent="0.35">
      <c r="B643" s="18">
        <v>452</v>
      </c>
      <c r="C643" s="6">
        <f>IFERROR(IF(OR(Inputs!$C$84=0,Inputs!$C$84="",ISERROR(Inputs!$C$84)),Inputs!$D$84,Inputs!$C$84*Inputs!$K$9*(1+Inputs!$K$12)^B643),"Error - Check Input")
+IFERROR(IF(OR(Inputs!$C$85=0,Inputs!$C$85="",ISERROR(Inputs!$C$85)),Inputs!$D$85,Inputs!$C$85*Inputs!$K$9*(1+Inputs!$K$12)^B643),"Error - Check Input")
+IFERROR(IF(OR(Inputs!$C$86=0,Inputs!$C$86="",ISERROR(Inputs!$C$86)),Inputs!$D$86,Inputs!$C$86*Inputs!$K$9*(1+Inputs!$K$12)^B643),"Error - Check Input")
+IFERROR(IF(OR(Inputs!$C$87=0,Inputs!$C$87="",ISERROR(Inputs!$C$87)),Inputs!$D$87,Inputs!$C$87*Inputs!$K$9*(1+Inputs!$K$12)^B643),"Error - Check Input")
+IFERROR(IF(OR(Inputs!$C$88=0,Inputs!$C$88="",ISERROR(Inputs!$C$88)),Inputs!$D$88,Inputs!$C$88*Inputs!$K$9*(1+Inputs!$K$12)^B643),"Error - Check Input")
+IFERROR(IF(OR(Inputs!$C$89=0,Inputs!$C$89="",ISERROR(Inputs!$C$89)),Inputs!$D$89,Inputs!$C$89*Inputs!$K$9*(1+Inputs!$K$12)^B643),"Error - Check Input")
+IFERROR(IF(OR(Inputs!$C$90=0,Inputs!$C$90="",ISERROR(Inputs!$C$90)),Inputs!$D$90,Inputs!$C$90*Inputs!$K$9*(1+Inputs!$K$12)^B643),"Error - Check Input")
+IFERROR(IF(OR(Inputs!$C$93=0,Inputs!$C$93="",ISERROR(Inputs!$C$93)),Inputs!$D$93,Inputs!$C$93*Inputs!$K$9*(1+Inputs!$K$12)^B643),"Error - Check Input")</f>
        <v>209936.69404166137</v>
      </c>
      <c r="D643" s="17"/>
    </row>
    <row r="644" spans="2:4" x14ac:dyDescent="0.35">
      <c r="B644" s="18">
        <v>453</v>
      </c>
      <c r="C644" s="6">
        <f>IFERROR(IF(OR(Inputs!$C$84=0,Inputs!$C$84="",ISERROR(Inputs!$C$84)),Inputs!$D$84,Inputs!$C$84*Inputs!$K$9*(1+Inputs!$K$12)^B644),"Error - Check Input")
+IFERROR(IF(OR(Inputs!$C$85=0,Inputs!$C$85="",ISERROR(Inputs!$C$85)),Inputs!$D$85,Inputs!$C$85*Inputs!$K$9*(1+Inputs!$K$12)^B644),"Error - Check Input")
+IFERROR(IF(OR(Inputs!$C$86=0,Inputs!$C$86="",ISERROR(Inputs!$C$86)),Inputs!$D$86,Inputs!$C$86*Inputs!$K$9*(1+Inputs!$K$12)^B644),"Error - Check Input")
+IFERROR(IF(OR(Inputs!$C$87=0,Inputs!$C$87="",ISERROR(Inputs!$C$87)),Inputs!$D$87,Inputs!$C$87*Inputs!$K$9*(1+Inputs!$K$12)^B644),"Error - Check Input")
+IFERROR(IF(OR(Inputs!$C$88=0,Inputs!$C$88="",ISERROR(Inputs!$C$88)),Inputs!$D$88,Inputs!$C$88*Inputs!$K$9*(1+Inputs!$K$12)^B644),"Error - Check Input")
+IFERROR(IF(OR(Inputs!$C$89=0,Inputs!$C$89="",ISERROR(Inputs!$C$89)),Inputs!$D$89,Inputs!$C$89*Inputs!$K$9*(1+Inputs!$K$12)^B644),"Error - Check Input")
+IFERROR(IF(OR(Inputs!$C$90=0,Inputs!$C$90="",ISERROR(Inputs!$C$90)),Inputs!$D$90,Inputs!$C$90*Inputs!$K$9*(1+Inputs!$K$12)^B644),"Error - Check Input")
+IFERROR(IF(OR(Inputs!$C$93=0,Inputs!$C$93="",ISERROR(Inputs!$C$93)),Inputs!$D$93,Inputs!$C$93*Inputs!$K$9*(1+Inputs!$K$12)^B644),"Error - Check Input")</f>
        <v>210773.66856289055</v>
      </c>
      <c r="D644" s="17"/>
    </row>
    <row r="645" spans="2:4" x14ac:dyDescent="0.35">
      <c r="B645" s="18">
        <v>454</v>
      </c>
      <c r="C645" s="6">
        <f>IFERROR(IF(OR(Inputs!$C$84=0,Inputs!$C$84="",ISERROR(Inputs!$C$84)),Inputs!$D$84,Inputs!$C$84*Inputs!$K$9*(1+Inputs!$K$12)^B645),"Error - Check Input")
+IFERROR(IF(OR(Inputs!$C$85=0,Inputs!$C$85="",ISERROR(Inputs!$C$85)),Inputs!$D$85,Inputs!$C$85*Inputs!$K$9*(1+Inputs!$K$12)^B645),"Error - Check Input")
+IFERROR(IF(OR(Inputs!$C$86=0,Inputs!$C$86="",ISERROR(Inputs!$C$86)),Inputs!$D$86,Inputs!$C$86*Inputs!$K$9*(1+Inputs!$K$12)^B645),"Error - Check Input")
+IFERROR(IF(OR(Inputs!$C$87=0,Inputs!$C$87="",ISERROR(Inputs!$C$87)),Inputs!$D$87,Inputs!$C$87*Inputs!$K$9*(1+Inputs!$K$12)^B645),"Error - Check Input")
+IFERROR(IF(OR(Inputs!$C$88=0,Inputs!$C$88="",ISERROR(Inputs!$C$88)),Inputs!$D$88,Inputs!$C$88*Inputs!$K$9*(1+Inputs!$K$12)^B645),"Error - Check Input")
+IFERROR(IF(OR(Inputs!$C$89=0,Inputs!$C$89="",ISERROR(Inputs!$C$89)),Inputs!$D$89,Inputs!$C$89*Inputs!$K$9*(1+Inputs!$K$12)^B645),"Error - Check Input")
+IFERROR(IF(OR(Inputs!$C$90=0,Inputs!$C$90="",ISERROR(Inputs!$C$90)),Inputs!$D$90,Inputs!$C$90*Inputs!$K$9*(1+Inputs!$K$12)^B645),"Error - Check Input")
+IFERROR(IF(OR(Inputs!$C$93=0,Inputs!$C$93="",ISERROR(Inputs!$C$93)),Inputs!$D$93,Inputs!$C$93*Inputs!$K$9*(1+Inputs!$K$12)^B645),"Error - Check Input")</f>
        <v>211614.05302192306</v>
      </c>
      <c r="D645" s="17"/>
    </row>
    <row r="646" spans="2:4" x14ac:dyDescent="0.35">
      <c r="B646" s="18">
        <v>455</v>
      </c>
      <c r="C646" s="6">
        <f>IFERROR(IF(OR(Inputs!$C$84=0,Inputs!$C$84="",ISERROR(Inputs!$C$84)),Inputs!$D$84,Inputs!$C$84*Inputs!$K$9*(1+Inputs!$K$12)^B646),"Error - Check Input")
+IFERROR(IF(OR(Inputs!$C$85=0,Inputs!$C$85="",ISERROR(Inputs!$C$85)),Inputs!$D$85,Inputs!$C$85*Inputs!$K$9*(1+Inputs!$K$12)^B646),"Error - Check Input")
+IFERROR(IF(OR(Inputs!$C$86=0,Inputs!$C$86="",ISERROR(Inputs!$C$86)),Inputs!$D$86,Inputs!$C$86*Inputs!$K$9*(1+Inputs!$K$12)^B646),"Error - Check Input")
+IFERROR(IF(OR(Inputs!$C$87=0,Inputs!$C$87="",ISERROR(Inputs!$C$87)),Inputs!$D$87,Inputs!$C$87*Inputs!$K$9*(1+Inputs!$K$12)^B646),"Error - Check Input")
+IFERROR(IF(OR(Inputs!$C$88=0,Inputs!$C$88="",ISERROR(Inputs!$C$88)),Inputs!$D$88,Inputs!$C$88*Inputs!$K$9*(1+Inputs!$K$12)^B646),"Error - Check Input")
+IFERROR(IF(OR(Inputs!$C$89=0,Inputs!$C$89="",ISERROR(Inputs!$C$89)),Inputs!$D$89,Inputs!$C$89*Inputs!$K$9*(1+Inputs!$K$12)^B646),"Error - Check Input")
+IFERROR(IF(OR(Inputs!$C$90=0,Inputs!$C$90="",ISERROR(Inputs!$C$90)),Inputs!$D$90,Inputs!$C$90*Inputs!$K$9*(1+Inputs!$K$12)^B646),"Error - Check Input")
+IFERROR(IF(OR(Inputs!$C$93=0,Inputs!$C$93="",ISERROR(Inputs!$C$93)),Inputs!$D$93,Inputs!$C$93*Inputs!$K$9*(1+Inputs!$K$12)^B646),"Error - Check Input")</f>
        <v>212457.86131126745</v>
      </c>
      <c r="D646" s="17"/>
    </row>
    <row r="647" spans="2:4" x14ac:dyDescent="0.35">
      <c r="B647" s="18">
        <v>456</v>
      </c>
      <c r="C647" s="6">
        <f>IFERROR(IF(OR(Inputs!$C$84=0,Inputs!$C$84="",ISERROR(Inputs!$C$84)),Inputs!$D$84,Inputs!$C$84*Inputs!$K$9*(1+Inputs!$K$12)^B647),"Error - Check Input")
+IFERROR(IF(OR(Inputs!$C$85=0,Inputs!$C$85="",ISERROR(Inputs!$C$85)),Inputs!$D$85,Inputs!$C$85*Inputs!$K$9*(1+Inputs!$K$12)^B647),"Error - Check Input")
+IFERROR(IF(OR(Inputs!$C$86=0,Inputs!$C$86="",ISERROR(Inputs!$C$86)),Inputs!$D$86,Inputs!$C$86*Inputs!$K$9*(1+Inputs!$K$12)^B647),"Error - Check Input")
+IFERROR(IF(OR(Inputs!$C$87=0,Inputs!$C$87="",ISERROR(Inputs!$C$87)),Inputs!$D$87,Inputs!$C$87*Inputs!$K$9*(1+Inputs!$K$12)^B647),"Error - Check Input")
+IFERROR(IF(OR(Inputs!$C$88=0,Inputs!$C$88="",ISERROR(Inputs!$C$88)),Inputs!$D$88,Inputs!$C$88*Inputs!$K$9*(1+Inputs!$K$12)^B647),"Error - Check Input")
+IFERROR(IF(OR(Inputs!$C$89=0,Inputs!$C$89="",ISERROR(Inputs!$C$89)),Inputs!$D$89,Inputs!$C$89*Inputs!$K$9*(1+Inputs!$K$12)^B647),"Error - Check Input")
+IFERROR(IF(OR(Inputs!$C$90=0,Inputs!$C$90="",ISERROR(Inputs!$C$90)),Inputs!$D$90,Inputs!$C$90*Inputs!$K$9*(1+Inputs!$K$12)^B647),"Error - Check Input")
+IFERROR(IF(OR(Inputs!$C$93=0,Inputs!$C$93="",ISERROR(Inputs!$C$93)),Inputs!$D$93,Inputs!$C$93*Inputs!$K$9*(1+Inputs!$K$12)^B647),"Error - Check Input")</f>
        <v>213305.10738003236</v>
      </c>
      <c r="D647" s="17"/>
    </row>
    <row r="648" spans="2:4" x14ac:dyDescent="0.35">
      <c r="B648" s="18">
        <v>457</v>
      </c>
      <c r="C648" s="6">
        <f>IFERROR(IF(OR(Inputs!$C$84=0,Inputs!$C$84="",ISERROR(Inputs!$C$84)),Inputs!$D$84,Inputs!$C$84*Inputs!$K$9*(1+Inputs!$K$12)^B648),"Error - Check Input")
+IFERROR(IF(OR(Inputs!$C$85=0,Inputs!$C$85="",ISERROR(Inputs!$C$85)),Inputs!$D$85,Inputs!$C$85*Inputs!$K$9*(1+Inputs!$K$12)^B648),"Error - Check Input")
+IFERROR(IF(OR(Inputs!$C$86=0,Inputs!$C$86="",ISERROR(Inputs!$C$86)),Inputs!$D$86,Inputs!$C$86*Inputs!$K$9*(1+Inputs!$K$12)^B648),"Error - Check Input")
+IFERROR(IF(OR(Inputs!$C$87=0,Inputs!$C$87="",ISERROR(Inputs!$C$87)),Inputs!$D$87,Inputs!$C$87*Inputs!$K$9*(1+Inputs!$K$12)^B648),"Error - Check Input")
+IFERROR(IF(OR(Inputs!$C$88=0,Inputs!$C$88="",ISERROR(Inputs!$C$88)),Inputs!$D$88,Inputs!$C$88*Inputs!$K$9*(1+Inputs!$K$12)^B648),"Error - Check Input")
+IFERROR(IF(OR(Inputs!$C$89=0,Inputs!$C$89="",ISERROR(Inputs!$C$89)),Inputs!$D$89,Inputs!$C$89*Inputs!$K$9*(1+Inputs!$K$12)^B648),"Error - Check Input")
+IFERROR(IF(OR(Inputs!$C$90=0,Inputs!$C$90="",ISERROR(Inputs!$C$90)),Inputs!$D$90,Inputs!$C$90*Inputs!$K$9*(1+Inputs!$K$12)^B648),"Error - Check Input")
+IFERROR(IF(OR(Inputs!$C$93=0,Inputs!$C$93="",ISERROR(Inputs!$C$93)),Inputs!$D$93,Inputs!$C$93*Inputs!$K$9*(1+Inputs!$K$12)^B648),"Error - Check Input")</f>
        <v>214155.80523415664</v>
      </c>
      <c r="D648" s="17"/>
    </row>
    <row r="649" spans="2:4" x14ac:dyDescent="0.35">
      <c r="B649" s="18">
        <v>458</v>
      </c>
      <c r="C649" s="6">
        <f>IFERROR(IF(OR(Inputs!$C$84=0,Inputs!$C$84="",ISERROR(Inputs!$C$84)),Inputs!$D$84,Inputs!$C$84*Inputs!$K$9*(1+Inputs!$K$12)^B649),"Error - Check Input")
+IFERROR(IF(OR(Inputs!$C$85=0,Inputs!$C$85="",ISERROR(Inputs!$C$85)),Inputs!$D$85,Inputs!$C$85*Inputs!$K$9*(1+Inputs!$K$12)^B649),"Error - Check Input")
+IFERROR(IF(OR(Inputs!$C$86=0,Inputs!$C$86="",ISERROR(Inputs!$C$86)),Inputs!$D$86,Inputs!$C$86*Inputs!$K$9*(1+Inputs!$K$12)^B649),"Error - Check Input")
+IFERROR(IF(OR(Inputs!$C$87=0,Inputs!$C$87="",ISERROR(Inputs!$C$87)),Inputs!$D$87,Inputs!$C$87*Inputs!$K$9*(1+Inputs!$K$12)^B649),"Error - Check Input")
+IFERROR(IF(OR(Inputs!$C$88=0,Inputs!$C$88="",ISERROR(Inputs!$C$88)),Inputs!$D$88,Inputs!$C$88*Inputs!$K$9*(1+Inputs!$K$12)^B649),"Error - Check Input")
+IFERROR(IF(OR(Inputs!$C$89=0,Inputs!$C$89="",ISERROR(Inputs!$C$89)),Inputs!$D$89,Inputs!$C$89*Inputs!$K$9*(1+Inputs!$K$12)^B649),"Error - Check Input")
+IFERROR(IF(OR(Inputs!$C$90=0,Inputs!$C$90="",ISERROR(Inputs!$C$90)),Inputs!$D$90,Inputs!$C$90*Inputs!$K$9*(1+Inputs!$K$12)^B649),"Error - Check Input")
+IFERROR(IF(OR(Inputs!$C$93=0,Inputs!$C$93="",ISERROR(Inputs!$C$93)),Inputs!$D$93,Inputs!$C$93*Inputs!$K$9*(1+Inputs!$K$12)^B649),"Error - Check Input")</f>
        <v>215009.96893664103</v>
      </c>
      <c r="D649" s="17"/>
    </row>
    <row r="650" spans="2:4" x14ac:dyDescent="0.35">
      <c r="B650" s="18">
        <v>459</v>
      </c>
      <c r="C650" s="6">
        <f>IFERROR(IF(OR(Inputs!$C$84=0,Inputs!$C$84="",ISERROR(Inputs!$C$84)),Inputs!$D$84,Inputs!$C$84*Inputs!$K$9*(1+Inputs!$K$12)^B650),"Error - Check Input")
+IFERROR(IF(OR(Inputs!$C$85=0,Inputs!$C$85="",ISERROR(Inputs!$C$85)),Inputs!$D$85,Inputs!$C$85*Inputs!$K$9*(1+Inputs!$K$12)^B650),"Error - Check Input")
+IFERROR(IF(OR(Inputs!$C$86=0,Inputs!$C$86="",ISERROR(Inputs!$C$86)),Inputs!$D$86,Inputs!$C$86*Inputs!$K$9*(1+Inputs!$K$12)^B650),"Error - Check Input")
+IFERROR(IF(OR(Inputs!$C$87=0,Inputs!$C$87="",ISERROR(Inputs!$C$87)),Inputs!$D$87,Inputs!$C$87*Inputs!$K$9*(1+Inputs!$K$12)^B650),"Error - Check Input")
+IFERROR(IF(OR(Inputs!$C$88=0,Inputs!$C$88="",ISERROR(Inputs!$C$88)),Inputs!$D$88,Inputs!$C$88*Inputs!$K$9*(1+Inputs!$K$12)^B650),"Error - Check Input")
+IFERROR(IF(OR(Inputs!$C$89=0,Inputs!$C$89="",ISERROR(Inputs!$C$89)),Inputs!$D$89,Inputs!$C$89*Inputs!$K$9*(1+Inputs!$K$12)^B650),"Error - Check Input")
+IFERROR(IF(OR(Inputs!$C$90=0,Inputs!$C$90="",ISERROR(Inputs!$C$90)),Inputs!$D$90,Inputs!$C$90*Inputs!$K$9*(1+Inputs!$K$12)^B650),"Error - Check Input")
+IFERROR(IF(OR(Inputs!$C$93=0,Inputs!$C$93="",ISERROR(Inputs!$C$93)),Inputs!$D$93,Inputs!$C$93*Inputs!$K$9*(1+Inputs!$K$12)^B650),"Error - Check Input")</f>
        <v>215867.61260778087</v>
      </c>
      <c r="D650" s="17"/>
    </row>
    <row r="651" spans="2:4" x14ac:dyDescent="0.35">
      <c r="B651" s="18">
        <v>460</v>
      </c>
      <c r="C651" s="6">
        <f>IFERROR(IF(OR(Inputs!$C$84=0,Inputs!$C$84="",ISERROR(Inputs!$C$84)),Inputs!$D$84,Inputs!$C$84*Inputs!$K$9*(1+Inputs!$K$12)^B651),"Error - Check Input")
+IFERROR(IF(OR(Inputs!$C$85=0,Inputs!$C$85="",ISERROR(Inputs!$C$85)),Inputs!$D$85,Inputs!$C$85*Inputs!$K$9*(1+Inputs!$K$12)^B651),"Error - Check Input")
+IFERROR(IF(OR(Inputs!$C$86=0,Inputs!$C$86="",ISERROR(Inputs!$C$86)),Inputs!$D$86,Inputs!$C$86*Inputs!$K$9*(1+Inputs!$K$12)^B651),"Error - Check Input")
+IFERROR(IF(OR(Inputs!$C$87=0,Inputs!$C$87="",ISERROR(Inputs!$C$87)),Inputs!$D$87,Inputs!$C$87*Inputs!$K$9*(1+Inputs!$K$12)^B651),"Error - Check Input")
+IFERROR(IF(OR(Inputs!$C$88=0,Inputs!$C$88="",ISERROR(Inputs!$C$88)),Inputs!$D$88,Inputs!$C$88*Inputs!$K$9*(1+Inputs!$K$12)^B651),"Error - Check Input")
+IFERROR(IF(OR(Inputs!$C$89=0,Inputs!$C$89="",ISERROR(Inputs!$C$89)),Inputs!$D$89,Inputs!$C$89*Inputs!$K$9*(1+Inputs!$K$12)^B651),"Error - Check Input")
+IFERROR(IF(OR(Inputs!$C$90=0,Inputs!$C$90="",ISERROR(Inputs!$C$90)),Inputs!$D$90,Inputs!$C$90*Inputs!$K$9*(1+Inputs!$K$12)^B651),"Error - Check Input")
+IFERROR(IF(OR(Inputs!$C$93=0,Inputs!$C$93="",ISERROR(Inputs!$C$93)),Inputs!$D$93,Inputs!$C$93*Inputs!$K$9*(1+Inputs!$K$12)^B651),"Error - Check Input")</f>
        <v>216728.75042539925</v>
      </c>
      <c r="D651" s="17"/>
    </row>
    <row r="652" spans="2:4" x14ac:dyDescent="0.35">
      <c r="B652" s="18">
        <v>461</v>
      </c>
      <c r="C652" s="6">
        <f>IFERROR(IF(OR(Inputs!$C$84=0,Inputs!$C$84="",ISERROR(Inputs!$C$84)),Inputs!$D$84,Inputs!$C$84*Inputs!$K$9*(1+Inputs!$K$12)^B652),"Error - Check Input")
+IFERROR(IF(OR(Inputs!$C$85=0,Inputs!$C$85="",ISERROR(Inputs!$C$85)),Inputs!$D$85,Inputs!$C$85*Inputs!$K$9*(1+Inputs!$K$12)^B652),"Error - Check Input")
+IFERROR(IF(OR(Inputs!$C$86=0,Inputs!$C$86="",ISERROR(Inputs!$C$86)),Inputs!$D$86,Inputs!$C$86*Inputs!$K$9*(1+Inputs!$K$12)^B652),"Error - Check Input")
+IFERROR(IF(OR(Inputs!$C$87=0,Inputs!$C$87="",ISERROR(Inputs!$C$87)),Inputs!$D$87,Inputs!$C$87*Inputs!$K$9*(1+Inputs!$K$12)^B652),"Error - Check Input")
+IFERROR(IF(OR(Inputs!$C$88=0,Inputs!$C$88="",ISERROR(Inputs!$C$88)),Inputs!$D$88,Inputs!$C$88*Inputs!$K$9*(1+Inputs!$K$12)^B652),"Error - Check Input")
+IFERROR(IF(OR(Inputs!$C$89=0,Inputs!$C$89="",ISERROR(Inputs!$C$89)),Inputs!$D$89,Inputs!$C$89*Inputs!$K$9*(1+Inputs!$K$12)^B652),"Error - Check Input")
+IFERROR(IF(OR(Inputs!$C$90=0,Inputs!$C$90="",ISERROR(Inputs!$C$90)),Inputs!$D$90,Inputs!$C$90*Inputs!$K$9*(1+Inputs!$K$12)^B652),"Error - Check Input")
+IFERROR(IF(OR(Inputs!$C$93=0,Inputs!$C$93="",ISERROR(Inputs!$C$93)),Inputs!$D$93,Inputs!$C$93*Inputs!$K$9*(1+Inputs!$K$12)^B652),"Error - Check Input")</f>
        <v>217593.39662508134</v>
      </c>
      <c r="D652" s="17"/>
    </row>
    <row r="653" spans="2:4" x14ac:dyDescent="0.35">
      <c r="B653" s="18">
        <v>462</v>
      </c>
      <c r="C653" s="6">
        <f>IFERROR(IF(OR(Inputs!$C$84=0,Inputs!$C$84="",ISERROR(Inputs!$C$84)),Inputs!$D$84,Inputs!$C$84*Inputs!$K$9*(1+Inputs!$K$12)^B653),"Error - Check Input")
+IFERROR(IF(OR(Inputs!$C$85=0,Inputs!$C$85="",ISERROR(Inputs!$C$85)),Inputs!$D$85,Inputs!$C$85*Inputs!$K$9*(1+Inputs!$K$12)^B653),"Error - Check Input")
+IFERROR(IF(OR(Inputs!$C$86=0,Inputs!$C$86="",ISERROR(Inputs!$C$86)),Inputs!$D$86,Inputs!$C$86*Inputs!$K$9*(1+Inputs!$K$12)^B653),"Error - Check Input")
+IFERROR(IF(OR(Inputs!$C$87=0,Inputs!$C$87="",ISERROR(Inputs!$C$87)),Inputs!$D$87,Inputs!$C$87*Inputs!$K$9*(1+Inputs!$K$12)^B653),"Error - Check Input")
+IFERROR(IF(OR(Inputs!$C$88=0,Inputs!$C$88="",ISERROR(Inputs!$C$88)),Inputs!$D$88,Inputs!$C$88*Inputs!$K$9*(1+Inputs!$K$12)^B653),"Error - Check Input")
+IFERROR(IF(OR(Inputs!$C$89=0,Inputs!$C$89="",ISERROR(Inputs!$C$89)),Inputs!$D$89,Inputs!$C$89*Inputs!$K$9*(1+Inputs!$K$12)^B653),"Error - Check Input")
+IFERROR(IF(OR(Inputs!$C$90=0,Inputs!$C$90="",ISERROR(Inputs!$C$90)),Inputs!$D$90,Inputs!$C$90*Inputs!$K$9*(1+Inputs!$K$12)^B653),"Error - Check Input")
+IFERROR(IF(OR(Inputs!$C$93=0,Inputs!$C$93="",ISERROR(Inputs!$C$93)),Inputs!$D$93,Inputs!$C$93*Inputs!$K$9*(1+Inputs!$K$12)^B653),"Error - Check Input")</f>
        <v>218461.56550040998</v>
      </c>
      <c r="D653" s="17"/>
    </row>
    <row r="654" spans="2:4" x14ac:dyDescent="0.35">
      <c r="B654" s="18">
        <v>463</v>
      </c>
      <c r="C654" s="6">
        <f>IFERROR(IF(OR(Inputs!$C$84=0,Inputs!$C$84="",ISERROR(Inputs!$C$84)),Inputs!$D$84,Inputs!$C$84*Inputs!$K$9*(1+Inputs!$K$12)^B654),"Error - Check Input")
+IFERROR(IF(OR(Inputs!$C$85=0,Inputs!$C$85="",ISERROR(Inputs!$C$85)),Inputs!$D$85,Inputs!$C$85*Inputs!$K$9*(1+Inputs!$K$12)^B654),"Error - Check Input")
+IFERROR(IF(OR(Inputs!$C$86=0,Inputs!$C$86="",ISERROR(Inputs!$C$86)),Inputs!$D$86,Inputs!$C$86*Inputs!$K$9*(1+Inputs!$K$12)^B654),"Error - Check Input")
+IFERROR(IF(OR(Inputs!$C$87=0,Inputs!$C$87="",ISERROR(Inputs!$C$87)),Inputs!$D$87,Inputs!$C$87*Inputs!$K$9*(1+Inputs!$K$12)^B654),"Error - Check Input")
+IFERROR(IF(OR(Inputs!$C$88=0,Inputs!$C$88="",ISERROR(Inputs!$C$88)),Inputs!$D$88,Inputs!$C$88*Inputs!$K$9*(1+Inputs!$K$12)^B654),"Error - Check Input")
+IFERROR(IF(OR(Inputs!$C$89=0,Inputs!$C$89="",ISERROR(Inputs!$C$89)),Inputs!$D$89,Inputs!$C$89*Inputs!$K$9*(1+Inputs!$K$12)^B654),"Error - Check Input")
+IFERROR(IF(OR(Inputs!$C$90=0,Inputs!$C$90="",ISERROR(Inputs!$C$90)),Inputs!$D$90,Inputs!$C$90*Inputs!$K$9*(1+Inputs!$K$12)^B654),"Error - Check Input")
+IFERROR(IF(OR(Inputs!$C$93=0,Inputs!$C$93="",ISERROR(Inputs!$C$93)),Inputs!$D$93,Inputs!$C$93*Inputs!$K$9*(1+Inputs!$K$12)^B654),"Error - Check Input")</f>
        <v>219333.27140320186</v>
      </c>
      <c r="D654" s="17"/>
    </row>
    <row r="655" spans="2:4" x14ac:dyDescent="0.35">
      <c r="B655" s="18">
        <v>464</v>
      </c>
      <c r="C655" s="6">
        <f>IFERROR(IF(OR(Inputs!$C$84=0,Inputs!$C$84="",ISERROR(Inputs!$C$84)),Inputs!$D$84,Inputs!$C$84*Inputs!$K$9*(1+Inputs!$K$12)^B655),"Error - Check Input")
+IFERROR(IF(OR(Inputs!$C$85=0,Inputs!$C$85="",ISERROR(Inputs!$C$85)),Inputs!$D$85,Inputs!$C$85*Inputs!$K$9*(1+Inputs!$K$12)^B655),"Error - Check Input")
+IFERROR(IF(OR(Inputs!$C$86=0,Inputs!$C$86="",ISERROR(Inputs!$C$86)),Inputs!$D$86,Inputs!$C$86*Inputs!$K$9*(1+Inputs!$K$12)^B655),"Error - Check Input")
+IFERROR(IF(OR(Inputs!$C$87=0,Inputs!$C$87="",ISERROR(Inputs!$C$87)),Inputs!$D$87,Inputs!$C$87*Inputs!$K$9*(1+Inputs!$K$12)^B655),"Error - Check Input")
+IFERROR(IF(OR(Inputs!$C$88=0,Inputs!$C$88="",ISERROR(Inputs!$C$88)),Inputs!$D$88,Inputs!$C$88*Inputs!$K$9*(1+Inputs!$K$12)^B655),"Error - Check Input")
+IFERROR(IF(OR(Inputs!$C$89=0,Inputs!$C$89="",ISERROR(Inputs!$C$89)),Inputs!$D$89,Inputs!$C$89*Inputs!$K$9*(1+Inputs!$K$12)^B655),"Error - Check Input")
+IFERROR(IF(OR(Inputs!$C$90=0,Inputs!$C$90="",ISERROR(Inputs!$C$90)),Inputs!$D$90,Inputs!$C$90*Inputs!$K$9*(1+Inputs!$K$12)^B655),"Error - Check Input")
+IFERROR(IF(OR(Inputs!$C$93=0,Inputs!$C$93="",ISERROR(Inputs!$C$93)),Inputs!$D$93,Inputs!$C$93*Inputs!$K$9*(1+Inputs!$K$12)^B655),"Error - Check Input")</f>
        <v>220208.52874374462</v>
      </c>
      <c r="D655" s="17"/>
    </row>
    <row r="656" spans="2:4" x14ac:dyDescent="0.35">
      <c r="B656" s="18">
        <v>465</v>
      </c>
      <c r="C656" s="6">
        <f>IFERROR(IF(OR(Inputs!$C$84=0,Inputs!$C$84="",ISERROR(Inputs!$C$84)),Inputs!$D$84,Inputs!$C$84*Inputs!$K$9*(1+Inputs!$K$12)^B656),"Error - Check Input")
+IFERROR(IF(OR(Inputs!$C$85=0,Inputs!$C$85="",ISERROR(Inputs!$C$85)),Inputs!$D$85,Inputs!$C$85*Inputs!$K$9*(1+Inputs!$K$12)^B656),"Error - Check Input")
+IFERROR(IF(OR(Inputs!$C$86=0,Inputs!$C$86="",ISERROR(Inputs!$C$86)),Inputs!$D$86,Inputs!$C$86*Inputs!$K$9*(1+Inputs!$K$12)^B656),"Error - Check Input")
+IFERROR(IF(OR(Inputs!$C$87=0,Inputs!$C$87="",ISERROR(Inputs!$C$87)),Inputs!$D$87,Inputs!$C$87*Inputs!$K$9*(1+Inputs!$K$12)^B656),"Error - Check Input")
+IFERROR(IF(OR(Inputs!$C$88=0,Inputs!$C$88="",ISERROR(Inputs!$C$88)),Inputs!$D$88,Inputs!$C$88*Inputs!$K$9*(1+Inputs!$K$12)^B656),"Error - Check Input")
+IFERROR(IF(OR(Inputs!$C$89=0,Inputs!$C$89="",ISERROR(Inputs!$C$89)),Inputs!$D$89,Inputs!$C$89*Inputs!$K$9*(1+Inputs!$K$12)^B656),"Error - Check Input")
+IFERROR(IF(OR(Inputs!$C$90=0,Inputs!$C$90="",ISERROR(Inputs!$C$90)),Inputs!$D$90,Inputs!$C$90*Inputs!$K$9*(1+Inputs!$K$12)^B656),"Error - Check Input")
+IFERROR(IF(OR(Inputs!$C$93=0,Inputs!$C$93="",ISERROR(Inputs!$C$93)),Inputs!$D$93,Inputs!$C$93*Inputs!$K$9*(1+Inputs!$K$12)^B656),"Error - Check Input")</f>
        <v>221087.35199103534</v>
      </c>
      <c r="D656" s="17"/>
    </row>
    <row r="657" spans="2:4" x14ac:dyDescent="0.35">
      <c r="B657" s="18">
        <v>466</v>
      </c>
      <c r="C657" s="6">
        <f>IFERROR(IF(OR(Inputs!$C$84=0,Inputs!$C$84="",ISERROR(Inputs!$C$84)),Inputs!$D$84,Inputs!$C$84*Inputs!$K$9*(1+Inputs!$K$12)^B657),"Error - Check Input")
+IFERROR(IF(OR(Inputs!$C$85=0,Inputs!$C$85="",ISERROR(Inputs!$C$85)),Inputs!$D$85,Inputs!$C$85*Inputs!$K$9*(1+Inputs!$K$12)^B657),"Error - Check Input")
+IFERROR(IF(OR(Inputs!$C$86=0,Inputs!$C$86="",ISERROR(Inputs!$C$86)),Inputs!$D$86,Inputs!$C$86*Inputs!$K$9*(1+Inputs!$K$12)^B657),"Error - Check Input")
+IFERROR(IF(OR(Inputs!$C$87=0,Inputs!$C$87="",ISERROR(Inputs!$C$87)),Inputs!$D$87,Inputs!$C$87*Inputs!$K$9*(1+Inputs!$K$12)^B657),"Error - Check Input")
+IFERROR(IF(OR(Inputs!$C$88=0,Inputs!$C$88="",ISERROR(Inputs!$C$88)),Inputs!$D$88,Inputs!$C$88*Inputs!$K$9*(1+Inputs!$K$12)^B657),"Error - Check Input")
+IFERROR(IF(OR(Inputs!$C$89=0,Inputs!$C$89="",ISERROR(Inputs!$C$89)),Inputs!$D$89,Inputs!$C$89*Inputs!$K$9*(1+Inputs!$K$12)^B657),"Error - Check Input")
+IFERROR(IF(OR(Inputs!$C$90=0,Inputs!$C$90="",ISERROR(Inputs!$C$90)),Inputs!$D$90,Inputs!$C$90*Inputs!$K$9*(1+Inputs!$K$12)^B657),"Error - Check Input")
+IFERROR(IF(OR(Inputs!$C$93=0,Inputs!$C$93="",ISERROR(Inputs!$C$93)),Inputs!$D$93,Inputs!$C$93*Inputs!$K$9*(1+Inputs!$K$12)^B657),"Error - Check Input")</f>
        <v>221969.75567301945</v>
      </c>
      <c r="D657" s="17"/>
    </row>
    <row r="658" spans="2:4" x14ac:dyDescent="0.35">
      <c r="B658" s="18">
        <v>467</v>
      </c>
      <c r="C658" s="6">
        <f>IFERROR(IF(OR(Inputs!$C$84=0,Inputs!$C$84="",ISERROR(Inputs!$C$84)),Inputs!$D$84,Inputs!$C$84*Inputs!$K$9*(1+Inputs!$K$12)^B658),"Error - Check Input")
+IFERROR(IF(OR(Inputs!$C$85=0,Inputs!$C$85="",ISERROR(Inputs!$C$85)),Inputs!$D$85,Inputs!$C$85*Inputs!$K$9*(1+Inputs!$K$12)^B658),"Error - Check Input")
+IFERROR(IF(OR(Inputs!$C$86=0,Inputs!$C$86="",ISERROR(Inputs!$C$86)),Inputs!$D$86,Inputs!$C$86*Inputs!$K$9*(1+Inputs!$K$12)^B658),"Error - Check Input")
+IFERROR(IF(OR(Inputs!$C$87=0,Inputs!$C$87="",ISERROR(Inputs!$C$87)),Inputs!$D$87,Inputs!$C$87*Inputs!$K$9*(1+Inputs!$K$12)^B658),"Error - Check Input")
+IFERROR(IF(OR(Inputs!$C$88=0,Inputs!$C$88="",ISERROR(Inputs!$C$88)),Inputs!$D$88,Inputs!$C$88*Inputs!$K$9*(1+Inputs!$K$12)^B658),"Error - Check Input")
+IFERROR(IF(OR(Inputs!$C$89=0,Inputs!$C$89="",ISERROR(Inputs!$C$89)),Inputs!$D$89,Inputs!$C$89*Inputs!$K$9*(1+Inputs!$K$12)^B658),"Error - Check Input")
+IFERROR(IF(OR(Inputs!$C$90=0,Inputs!$C$90="",ISERROR(Inputs!$C$90)),Inputs!$D$90,Inputs!$C$90*Inputs!$K$9*(1+Inputs!$K$12)^B658),"Error - Check Input")
+IFERROR(IF(OR(Inputs!$C$93=0,Inputs!$C$93="",ISERROR(Inputs!$C$93)),Inputs!$D$93,Inputs!$C$93*Inputs!$K$9*(1+Inputs!$K$12)^B658),"Error - Check Input")</f>
        <v>222855.75437683109</v>
      </c>
      <c r="D658" s="17"/>
    </row>
    <row r="659" spans="2:4" x14ac:dyDescent="0.35">
      <c r="B659" s="18">
        <v>468</v>
      </c>
      <c r="C659" s="6">
        <f>IFERROR(IF(OR(Inputs!$C$84=0,Inputs!$C$84="",ISERROR(Inputs!$C$84)),Inputs!$D$84,Inputs!$C$84*Inputs!$K$9*(1+Inputs!$K$12)^B659),"Error - Check Input")
+IFERROR(IF(OR(Inputs!$C$85=0,Inputs!$C$85="",ISERROR(Inputs!$C$85)),Inputs!$D$85,Inputs!$C$85*Inputs!$K$9*(1+Inputs!$K$12)^B659),"Error - Check Input")
+IFERROR(IF(OR(Inputs!$C$86=0,Inputs!$C$86="",ISERROR(Inputs!$C$86)),Inputs!$D$86,Inputs!$C$86*Inputs!$K$9*(1+Inputs!$K$12)^B659),"Error - Check Input")
+IFERROR(IF(OR(Inputs!$C$87=0,Inputs!$C$87="",ISERROR(Inputs!$C$87)),Inputs!$D$87,Inputs!$C$87*Inputs!$K$9*(1+Inputs!$K$12)^B659),"Error - Check Input")
+IFERROR(IF(OR(Inputs!$C$88=0,Inputs!$C$88="",ISERROR(Inputs!$C$88)),Inputs!$D$88,Inputs!$C$88*Inputs!$K$9*(1+Inputs!$K$12)^B659),"Error - Check Input")
+IFERROR(IF(OR(Inputs!$C$89=0,Inputs!$C$89="",ISERROR(Inputs!$C$89)),Inputs!$D$89,Inputs!$C$89*Inputs!$K$9*(1+Inputs!$K$12)^B659),"Error - Check Input")
+IFERROR(IF(OR(Inputs!$C$90=0,Inputs!$C$90="",ISERROR(Inputs!$C$90)),Inputs!$D$90,Inputs!$C$90*Inputs!$K$9*(1+Inputs!$K$12)^B659),"Error - Check Input")
+IFERROR(IF(OR(Inputs!$C$93=0,Inputs!$C$93="",ISERROR(Inputs!$C$93)),Inputs!$D$93,Inputs!$C$93*Inputs!$K$9*(1+Inputs!$K$12)^B659),"Error - Check Input")</f>
        <v>223745.36274903422</v>
      </c>
      <c r="D659" s="17"/>
    </row>
    <row r="660" spans="2:4" x14ac:dyDescent="0.35">
      <c r="B660" s="18">
        <v>469</v>
      </c>
      <c r="C660" s="6">
        <f>IFERROR(IF(OR(Inputs!$C$84=0,Inputs!$C$84="",ISERROR(Inputs!$C$84)),Inputs!$D$84,Inputs!$C$84*Inputs!$K$9*(1+Inputs!$K$12)^B660),"Error - Check Input")
+IFERROR(IF(OR(Inputs!$C$85=0,Inputs!$C$85="",ISERROR(Inputs!$C$85)),Inputs!$D$85,Inputs!$C$85*Inputs!$K$9*(1+Inputs!$K$12)^B660),"Error - Check Input")
+IFERROR(IF(OR(Inputs!$C$86=0,Inputs!$C$86="",ISERROR(Inputs!$C$86)),Inputs!$D$86,Inputs!$C$86*Inputs!$K$9*(1+Inputs!$K$12)^B660),"Error - Check Input")
+IFERROR(IF(OR(Inputs!$C$87=0,Inputs!$C$87="",ISERROR(Inputs!$C$87)),Inputs!$D$87,Inputs!$C$87*Inputs!$K$9*(1+Inputs!$K$12)^B660),"Error - Check Input")
+IFERROR(IF(OR(Inputs!$C$88=0,Inputs!$C$88="",ISERROR(Inputs!$C$88)),Inputs!$D$88,Inputs!$C$88*Inputs!$K$9*(1+Inputs!$K$12)^B660),"Error - Check Input")
+IFERROR(IF(OR(Inputs!$C$89=0,Inputs!$C$89="",ISERROR(Inputs!$C$89)),Inputs!$D$89,Inputs!$C$89*Inputs!$K$9*(1+Inputs!$K$12)^B660),"Error - Check Input")
+IFERROR(IF(OR(Inputs!$C$90=0,Inputs!$C$90="",ISERROR(Inputs!$C$90)),Inputs!$D$90,Inputs!$C$90*Inputs!$K$9*(1+Inputs!$K$12)^B660),"Error - Check Input")
+IFERROR(IF(OR(Inputs!$C$93=0,Inputs!$C$93="",ISERROR(Inputs!$C$93)),Inputs!$D$93,Inputs!$C$93*Inputs!$K$9*(1+Inputs!$K$12)^B660),"Error - Check Input")</f>
        <v>224638.59549586466</v>
      </c>
      <c r="D660" s="17"/>
    </row>
    <row r="661" spans="2:4" x14ac:dyDescent="0.35">
      <c r="B661" s="18">
        <v>470</v>
      </c>
      <c r="C661" s="6">
        <f>IFERROR(IF(OR(Inputs!$C$84=0,Inputs!$C$84="",ISERROR(Inputs!$C$84)),Inputs!$D$84,Inputs!$C$84*Inputs!$K$9*(1+Inputs!$K$12)^B661),"Error - Check Input")
+IFERROR(IF(OR(Inputs!$C$85=0,Inputs!$C$85="",ISERROR(Inputs!$C$85)),Inputs!$D$85,Inputs!$C$85*Inputs!$K$9*(1+Inputs!$K$12)^B661),"Error - Check Input")
+IFERROR(IF(OR(Inputs!$C$86=0,Inputs!$C$86="",ISERROR(Inputs!$C$86)),Inputs!$D$86,Inputs!$C$86*Inputs!$K$9*(1+Inputs!$K$12)^B661),"Error - Check Input")
+IFERROR(IF(OR(Inputs!$C$87=0,Inputs!$C$87="",ISERROR(Inputs!$C$87)),Inputs!$D$87,Inputs!$C$87*Inputs!$K$9*(1+Inputs!$K$12)^B661),"Error - Check Input")
+IFERROR(IF(OR(Inputs!$C$88=0,Inputs!$C$88="",ISERROR(Inputs!$C$88)),Inputs!$D$88,Inputs!$C$88*Inputs!$K$9*(1+Inputs!$K$12)^B661),"Error - Check Input")
+IFERROR(IF(OR(Inputs!$C$89=0,Inputs!$C$89="",ISERROR(Inputs!$C$89)),Inputs!$D$89,Inputs!$C$89*Inputs!$K$9*(1+Inputs!$K$12)^B661),"Error - Check Input")
+IFERROR(IF(OR(Inputs!$C$90=0,Inputs!$C$90="",ISERROR(Inputs!$C$90)),Inputs!$D$90,Inputs!$C$90*Inputs!$K$9*(1+Inputs!$K$12)^B661),"Error - Check Input")
+IFERROR(IF(OR(Inputs!$C$93=0,Inputs!$C$93="",ISERROR(Inputs!$C$93)),Inputs!$D$93,Inputs!$C$93*Inputs!$K$9*(1+Inputs!$K$12)^B661),"Error - Check Input")</f>
        <v>225535.46738347333</v>
      </c>
      <c r="D661" s="17"/>
    </row>
    <row r="662" spans="2:4" x14ac:dyDescent="0.35">
      <c r="B662" s="18">
        <v>471</v>
      </c>
      <c r="C662" s="6">
        <f>IFERROR(IF(OR(Inputs!$C$84=0,Inputs!$C$84="",ISERROR(Inputs!$C$84)),Inputs!$D$84,Inputs!$C$84*Inputs!$K$9*(1+Inputs!$K$12)^B662),"Error - Check Input")
+IFERROR(IF(OR(Inputs!$C$85=0,Inputs!$C$85="",ISERROR(Inputs!$C$85)),Inputs!$D$85,Inputs!$C$85*Inputs!$K$9*(1+Inputs!$K$12)^B662),"Error - Check Input")
+IFERROR(IF(OR(Inputs!$C$86=0,Inputs!$C$86="",ISERROR(Inputs!$C$86)),Inputs!$D$86,Inputs!$C$86*Inputs!$K$9*(1+Inputs!$K$12)^B662),"Error - Check Input")
+IFERROR(IF(OR(Inputs!$C$87=0,Inputs!$C$87="",ISERROR(Inputs!$C$87)),Inputs!$D$87,Inputs!$C$87*Inputs!$K$9*(1+Inputs!$K$12)^B662),"Error - Check Input")
+IFERROR(IF(OR(Inputs!$C$88=0,Inputs!$C$88="",ISERROR(Inputs!$C$88)),Inputs!$D$88,Inputs!$C$88*Inputs!$K$9*(1+Inputs!$K$12)^B662),"Error - Check Input")
+IFERROR(IF(OR(Inputs!$C$89=0,Inputs!$C$89="",ISERROR(Inputs!$C$89)),Inputs!$D$89,Inputs!$C$89*Inputs!$K$9*(1+Inputs!$K$12)^B662),"Error - Check Input")
+IFERROR(IF(OR(Inputs!$C$90=0,Inputs!$C$90="",ISERROR(Inputs!$C$90)),Inputs!$D$90,Inputs!$C$90*Inputs!$K$9*(1+Inputs!$K$12)^B662),"Error - Check Input")
+IFERROR(IF(OR(Inputs!$C$93=0,Inputs!$C$93="",ISERROR(Inputs!$C$93)),Inputs!$D$93,Inputs!$C$93*Inputs!$K$9*(1+Inputs!$K$12)^B662),"Error - Check Input")</f>
        <v>226435.99323817017</v>
      </c>
      <c r="D662" s="17"/>
    </row>
    <row r="663" spans="2:4" x14ac:dyDescent="0.35">
      <c r="B663" s="18">
        <v>472</v>
      </c>
      <c r="C663" s="6">
        <f>IFERROR(IF(OR(Inputs!$C$84=0,Inputs!$C$84="",ISERROR(Inputs!$C$84)),Inputs!$D$84,Inputs!$C$84*Inputs!$K$9*(1+Inputs!$K$12)^B663),"Error - Check Input")
+IFERROR(IF(OR(Inputs!$C$85=0,Inputs!$C$85="",ISERROR(Inputs!$C$85)),Inputs!$D$85,Inputs!$C$85*Inputs!$K$9*(1+Inputs!$K$12)^B663),"Error - Check Input")
+IFERROR(IF(OR(Inputs!$C$86=0,Inputs!$C$86="",ISERROR(Inputs!$C$86)),Inputs!$D$86,Inputs!$C$86*Inputs!$K$9*(1+Inputs!$K$12)^B663),"Error - Check Input")
+IFERROR(IF(OR(Inputs!$C$87=0,Inputs!$C$87="",ISERROR(Inputs!$C$87)),Inputs!$D$87,Inputs!$C$87*Inputs!$K$9*(1+Inputs!$K$12)^B663),"Error - Check Input")
+IFERROR(IF(OR(Inputs!$C$88=0,Inputs!$C$88="",ISERROR(Inputs!$C$88)),Inputs!$D$88,Inputs!$C$88*Inputs!$K$9*(1+Inputs!$K$12)^B663),"Error - Check Input")
+IFERROR(IF(OR(Inputs!$C$89=0,Inputs!$C$89="",ISERROR(Inputs!$C$89)),Inputs!$D$89,Inputs!$C$89*Inputs!$K$9*(1+Inputs!$K$12)^B663),"Error - Check Input")
+IFERROR(IF(OR(Inputs!$C$90=0,Inputs!$C$90="",ISERROR(Inputs!$C$90)),Inputs!$D$90,Inputs!$C$90*Inputs!$K$9*(1+Inputs!$K$12)^B663),"Error - Check Input")
+IFERROR(IF(OR(Inputs!$C$93=0,Inputs!$C$93="",ISERROR(Inputs!$C$93)),Inputs!$D$93,Inputs!$C$93*Inputs!$K$9*(1+Inputs!$K$12)^B663),"Error - Check Input")</f>
        <v>227340.18794666944</v>
      </c>
      <c r="D663" s="17"/>
    </row>
    <row r="664" spans="2:4" x14ac:dyDescent="0.35">
      <c r="B664" s="18">
        <v>473</v>
      </c>
      <c r="C664" s="6">
        <f>IFERROR(IF(OR(Inputs!$C$84=0,Inputs!$C$84="",ISERROR(Inputs!$C$84)),Inputs!$D$84,Inputs!$C$84*Inputs!$K$9*(1+Inputs!$K$12)^B664),"Error - Check Input")
+IFERROR(IF(OR(Inputs!$C$85=0,Inputs!$C$85="",ISERROR(Inputs!$C$85)),Inputs!$D$85,Inputs!$C$85*Inputs!$K$9*(1+Inputs!$K$12)^B664),"Error - Check Input")
+IFERROR(IF(OR(Inputs!$C$86=0,Inputs!$C$86="",ISERROR(Inputs!$C$86)),Inputs!$D$86,Inputs!$C$86*Inputs!$K$9*(1+Inputs!$K$12)^B664),"Error - Check Input")
+IFERROR(IF(OR(Inputs!$C$87=0,Inputs!$C$87="",ISERROR(Inputs!$C$87)),Inputs!$D$87,Inputs!$C$87*Inputs!$K$9*(1+Inputs!$K$12)^B664),"Error - Check Input")
+IFERROR(IF(OR(Inputs!$C$88=0,Inputs!$C$88="",ISERROR(Inputs!$C$88)),Inputs!$D$88,Inputs!$C$88*Inputs!$K$9*(1+Inputs!$K$12)^B664),"Error - Check Input")
+IFERROR(IF(OR(Inputs!$C$89=0,Inputs!$C$89="",ISERROR(Inputs!$C$89)),Inputs!$D$89,Inputs!$C$89*Inputs!$K$9*(1+Inputs!$K$12)^B664),"Error - Check Input")
+IFERROR(IF(OR(Inputs!$C$90=0,Inputs!$C$90="",ISERROR(Inputs!$C$90)),Inputs!$D$90,Inputs!$C$90*Inputs!$K$9*(1+Inputs!$K$12)^B664),"Error - Check Input")
+IFERROR(IF(OR(Inputs!$C$93=0,Inputs!$C$93="",ISERROR(Inputs!$C$93)),Inputs!$D$93,Inputs!$C$93*Inputs!$K$9*(1+Inputs!$K$12)^B664),"Error - Check Input")</f>
        <v>228248.06645633571</v>
      </c>
      <c r="D664" s="17"/>
    </row>
    <row r="665" spans="2:4" x14ac:dyDescent="0.35">
      <c r="B665" s="18">
        <v>474</v>
      </c>
      <c r="C665" s="6">
        <f>IFERROR(IF(OR(Inputs!$C$84=0,Inputs!$C$84="",ISERROR(Inputs!$C$84)),Inputs!$D$84,Inputs!$C$84*Inputs!$K$9*(1+Inputs!$K$12)^B665),"Error - Check Input")
+IFERROR(IF(OR(Inputs!$C$85=0,Inputs!$C$85="",ISERROR(Inputs!$C$85)),Inputs!$D$85,Inputs!$C$85*Inputs!$K$9*(1+Inputs!$K$12)^B665),"Error - Check Input")
+IFERROR(IF(OR(Inputs!$C$86=0,Inputs!$C$86="",ISERROR(Inputs!$C$86)),Inputs!$D$86,Inputs!$C$86*Inputs!$K$9*(1+Inputs!$K$12)^B665),"Error - Check Input")
+IFERROR(IF(OR(Inputs!$C$87=0,Inputs!$C$87="",ISERROR(Inputs!$C$87)),Inputs!$D$87,Inputs!$C$87*Inputs!$K$9*(1+Inputs!$K$12)^B665),"Error - Check Input")
+IFERROR(IF(OR(Inputs!$C$88=0,Inputs!$C$88="",ISERROR(Inputs!$C$88)),Inputs!$D$88,Inputs!$C$88*Inputs!$K$9*(1+Inputs!$K$12)^B665),"Error - Check Input")
+IFERROR(IF(OR(Inputs!$C$89=0,Inputs!$C$89="",ISERROR(Inputs!$C$89)),Inputs!$D$89,Inputs!$C$89*Inputs!$K$9*(1+Inputs!$K$12)^B665),"Error - Check Input")
+IFERROR(IF(OR(Inputs!$C$90=0,Inputs!$C$90="",ISERROR(Inputs!$C$90)),Inputs!$D$90,Inputs!$C$90*Inputs!$K$9*(1+Inputs!$K$12)^B665),"Error - Check Input")
+IFERROR(IF(OR(Inputs!$C$93=0,Inputs!$C$93="",ISERROR(Inputs!$C$93)),Inputs!$D$93,Inputs!$C$93*Inputs!$K$9*(1+Inputs!$K$12)^B665),"Error - Check Input")</f>
        <v>229159.64377543077</v>
      </c>
      <c r="D665" s="17"/>
    </row>
    <row r="666" spans="2:4" x14ac:dyDescent="0.35">
      <c r="B666" s="18">
        <v>475</v>
      </c>
      <c r="C666" s="6">
        <f>IFERROR(IF(OR(Inputs!$C$84=0,Inputs!$C$84="",ISERROR(Inputs!$C$84)),Inputs!$D$84,Inputs!$C$84*Inputs!$K$9*(1+Inputs!$K$12)^B666),"Error - Check Input")
+IFERROR(IF(OR(Inputs!$C$85=0,Inputs!$C$85="",ISERROR(Inputs!$C$85)),Inputs!$D$85,Inputs!$C$85*Inputs!$K$9*(1+Inputs!$K$12)^B666),"Error - Check Input")
+IFERROR(IF(OR(Inputs!$C$86=0,Inputs!$C$86="",ISERROR(Inputs!$C$86)),Inputs!$D$86,Inputs!$C$86*Inputs!$K$9*(1+Inputs!$K$12)^B666),"Error - Check Input")
+IFERROR(IF(OR(Inputs!$C$87=0,Inputs!$C$87="",ISERROR(Inputs!$C$87)),Inputs!$D$87,Inputs!$C$87*Inputs!$K$9*(1+Inputs!$K$12)^B666),"Error - Check Input")
+IFERROR(IF(OR(Inputs!$C$88=0,Inputs!$C$88="",ISERROR(Inputs!$C$88)),Inputs!$D$88,Inputs!$C$88*Inputs!$K$9*(1+Inputs!$K$12)^B666),"Error - Check Input")
+IFERROR(IF(OR(Inputs!$C$89=0,Inputs!$C$89="",ISERROR(Inputs!$C$89)),Inputs!$D$89,Inputs!$C$89*Inputs!$K$9*(1+Inputs!$K$12)^B666),"Error - Check Input")
+IFERROR(IF(OR(Inputs!$C$90=0,Inputs!$C$90="",ISERROR(Inputs!$C$90)),Inputs!$D$90,Inputs!$C$90*Inputs!$K$9*(1+Inputs!$K$12)^B666),"Error - Check Input")
+IFERROR(IF(OR(Inputs!$C$93=0,Inputs!$C$93="",ISERROR(Inputs!$C$93)),Inputs!$D$93,Inputs!$C$93*Inputs!$K$9*(1+Inputs!$K$12)^B666),"Error - Check Input")</f>
        <v>230074.93497336216</v>
      </c>
      <c r="D666" s="17"/>
    </row>
    <row r="667" spans="2:4" x14ac:dyDescent="0.35">
      <c r="B667" s="18">
        <v>476</v>
      </c>
      <c r="C667" s="6">
        <f>IFERROR(IF(OR(Inputs!$C$84=0,Inputs!$C$84="",ISERROR(Inputs!$C$84)),Inputs!$D$84,Inputs!$C$84*Inputs!$K$9*(1+Inputs!$K$12)^B667),"Error - Check Input")
+IFERROR(IF(OR(Inputs!$C$85=0,Inputs!$C$85="",ISERROR(Inputs!$C$85)),Inputs!$D$85,Inputs!$C$85*Inputs!$K$9*(1+Inputs!$K$12)^B667),"Error - Check Input")
+IFERROR(IF(OR(Inputs!$C$86=0,Inputs!$C$86="",ISERROR(Inputs!$C$86)),Inputs!$D$86,Inputs!$C$86*Inputs!$K$9*(1+Inputs!$K$12)^B667),"Error - Check Input")
+IFERROR(IF(OR(Inputs!$C$87=0,Inputs!$C$87="",ISERROR(Inputs!$C$87)),Inputs!$D$87,Inputs!$C$87*Inputs!$K$9*(1+Inputs!$K$12)^B667),"Error - Check Input")
+IFERROR(IF(OR(Inputs!$C$88=0,Inputs!$C$88="",ISERROR(Inputs!$C$88)),Inputs!$D$88,Inputs!$C$88*Inputs!$K$9*(1+Inputs!$K$12)^B667),"Error - Check Input")
+IFERROR(IF(OR(Inputs!$C$89=0,Inputs!$C$89="",ISERROR(Inputs!$C$89)),Inputs!$D$89,Inputs!$C$89*Inputs!$K$9*(1+Inputs!$K$12)^B667),"Error - Check Input")
+IFERROR(IF(OR(Inputs!$C$90=0,Inputs!$C$90="",ISERROR(Inputs!$C$90)),Inputs!$D$90,Inputs!$C$90*Inputs!$K$9*(1+Inputs!$K$12)^B667),"Error - Check Input")
+IFERROR(IF(OR(Inputs!$C$93=0,Inputs!$C$93="",ISERROR(Inputs!$C$93)),Inputs!$D$93,Inputs!$C$93*Inputs!$K$9*(1+Inputs!$K$12)^B667),"Error - Check Input")</f>
        <v>230993.95518093213</v>
      </c>
      <c r="D667" s="17"/>
    </row>
    <row r="668" spans="2:4" x14ac:dyDescent="0.35">
      <c r="B668" s="18">
        <v>477</v>
      </c>
      <c r="C668" s="6">
        <f>IFERROR(IF(OR(Inputs!$C$84=0,Inputs!$C$84="",ISERROR(Inputs!$C$84)),Inputs!$D$84,Inputs!$C$84*Inputs!$K$9*(1+Inputs!$K$12)^B668),"Error - Check Input")
+IFERROR(IF(OR(Inputs!$C$85=0,Inputs!$C$85="",ISERROR(Inputs!$C$85)),Inputs!$D$85,Inputs!$C$85*Inputs!$K$9*(1+Inputs!$K$12)^B668),"Error - Check Input")
+IFERROR(IF(OR(Inputs!$C$86=0,Inputs!$C$86="",ISERROR(Inputs!$C$86)),Inputs!$D$86,Inputs!$C$86*Inputs!$K$9*(1+Inputs!$K$12)^B668),"Error - Check Input")
+IFERROR(IF(OR(Inputs!$C$87=0,Inputs!$C$87="",ISERROR(Inputs!$C$87)),Inputs!$D$87,Inputs!$C$87*Inputs!$K$9*(1+Inputs!$K$12)^B668),"Error - Check Input")
+IFERROR(IF(OR(Inputs!$C$88=0,Inputs!$C$88="",ISERROR(Inputs!$C$88)),Inputs!$D$88,Inputs!$C$88*Inputs!$K$9*(1+Inputs!$K$12)^B668),"Error - Check Input")
+IFERROR(IF(OR(Inputs!$C$89=0,Inputs!$C$89="",ISERROR(Inputs!$C$89)),Inputs!$D$89,Inputs!$C$89*Inputs!$K$9*(1+Inputs!$K$12)^B668),"Error - Check Input")
+IFERROR(IF(OR(Inputs!$C$90=0,Inputs!$C$90="",ISERROR(Inputs!$C$90)),Inputs!$D$90,Inputs!$C$90*Inputs!$K$9*(1+Inputs!$K$12)^B668),"Error - Check Input")
+IFERROR(IF(OR(Inputs!$C$93=0,Inputs!$C$93="",ISERROR(Inputs!$C$93)),Inputs!$D$93,Inputs!$C$93*Inputs!$K$9*(1+Inputs!$K$12)^B668),"Error - Check Input")</f>
        <v>231916.71959058737</v>
      </c>
      <c r="D668" s="17"/>
    </row>
    <row r="669" spans="2:4" x14ac:dyDescent="0.35">
      <c r="B669" s="18">
        <v>478</v>
      </c>
      <c r="C669" s="6">
        <f>IFERROR(IF(OR(Inputs!$C$84=0,Inputs!$C$84="",ISERROR(Inputs!$C$84)),Inputs!$D$84,Inputs!$C$84*Inputs!$K$9*(1+Inputs!$K$12)^B669),"Error - Check Input")
+IFERROR(IF(OR(Inputs!$C$85=0,Inputs!$C$85="",ISERROR(Inputs!$C$85)),Inputs!$D$85,Inputs!$C$85*Inputs!$K$9*(1+Inputs!$K$12)^B669),"Error - Check Input")
+IFERROR(IF(OR(Inputs!$C$86=0,Inputs!$C$86="",ISERROR(Inputs!$C$86)),Inputs!$D$86,Inputs!$C$86*Inputs!$K$9*(1+Inputs!$K$12)^B669),"Error - Check Input")
+IFERROR(IF(OR(Inputs!$C$87=0,Inputs!$C$87="",ISERROR(Inputs!$C$87)),Inputs!$D$87,Inputs!$C$87*Inputs!$K$9*(1+Inputs!$K$12)^B669),"Error - Check Input")
+IFERROR(IF(OR(Inputs!$C$88=0,Inputs!$C$88="",ISERROR(Inputs!$C$88)),Inputs!$D$88,Inputs!$C$88*Inputs!$K$9*(1+Inputs!$K$12)^B669),"Error - Check Input")
+IFERROR(IF(OR(Inputs!$C$89=0,Inputs!$C$89="",ISERROR(Inputs!$C$89)),Inputs!$D$89,Inputs!$C$89*Inputs!$K$9*(1+Inputs!$K$12)^B669),"Error - Check Input")
+IFERROR(IF(OR(Inputs!$C$90=0,Inputs!$C$90="",ISERROR(Inputs!$C$90)),Inputs!$D$90,Inputs!$C$90*Inputs!$K$9*(1+Inputs!$K$12)^B669),"Error - Check Input")
+IFERROR(IF(OR(Inputs!$C$93=0,Inputs!$C$93="",ISERROR(Inputs!$C$93)),Inputs!$D$93,Inputs!$C$93*Inputs!$K$9*(1+Inputs!$K$12)^B669),"Error - Check Input")</f>
        <v>232843.24345667067</v>
      </c>
      <c r="D669" s="17"/>
    </row>
    <row r="670" spans="2:4" x14ac:dyDescent="0.35">
      <c r="B670" s="18">
        <v>479</v>
      </c>
      <c r="C670" s="6">
        <f>IFERROR(IF(OR(Inputs!$C$84=0,Inputs!$C$84="",ISERROR(Inputs!$C$84)),Inputs!$D$84,Inputs!$C$84*Inputs!$K$9*(1+Inputs!$K$12)^B670),"Error - Check Input")
+IFERROR(IF(OR(Inputs!$C$85=0,Inputs!$C$85="",ISERROR(Inputs!$C$85)),Inputs!$D$85,Inputs!$C$85*Inputs!$K$9*(1+Inputs!$K$12)^B670),"Error - Check Input")
+IFERROR(IF(OR(Inputs!$C$86=0,Inputs!$C$86="",ISERROR(Inputs!$C$86)),Inputs!$D$86,Inputs!$C$86*Inputs!$K$9*(1+Inputs!$K$12)^B670),"Error - Check Input")
+IFERROR(IF(OR(Inputs!$C$87=0,Inputs!$C$87="",ISERROR(Inputs!$C$87)),Inputs!$D$87,Inputs!$C$87*Inputs!$K$9*(1+Inputs!$K$12)^B670),"Error - Check Input")
+IFERROR(IF(OR(Inputs!$C$88=0,Inputs!$C$88="",ISERROR(Inputs!$C$88)),Inputs!$D$88,Inputs!$C$88*Inputs!$K$9*(1+Inputs!$K$12)^B670),"Error - Check Input")
+IFERROR(IF(OR(Inputs!$C$89=0,Inputs!$C$89="",ISERROR(Inputs!$C$89)),Inputs!$D$89,Inputs!$C$89*Inputs!$K$9*(1+Inputs!$K$12)^B670),"Error - Check Input")
+IFERROR(IF(OR(Inputs!$C$90=0,Inputs!$C$90="",ISERROR(Inputs!$C$90)),Inputs!$D$90,Inputs!$C$90*Inputs!$K$9*(1+Inputs!$K$12)^B670),"Error - Check Input")
+IFERROR(IF(OR(Inputs!$C$93=0,Inputs!$C$93="",ISERROR(Inputs!$C$93)),Inputs!$D$93,Inputs!$C$93*Inputs!$K$9*(1+Inputs!$K$12)^B670),"Error - Check Input")</f>
        <v>233773.54209567292</v>
      </c>
      <c r="D670" s="17"/>
    </row>
    <row r="671" spans="2:4" x14ac:dyDescent="0.35">
      <c r="B671" s="18">
        <v>480</v>
      </c>
      <c r="C671" s="6">
        <f>IFERROR(IF(OR(Inputs!$C$84=0,Inputs!$C$84="",ISERROR(Inputs!$C$84)),Inputs!$D$84,Inputs!$C$84*Inputs!$K$9*(1+Inputs!$K$12)^B671),"Error - Check Input")
+IFERROR(IF(OR(Inputs!$C$85=0,Inputs!$C$85="",ISERROR(Inputs!$C$85)),Inputs!$D$85,Inputs!$C$85*Inputs!$K$9*(1+Inputs!$K$12)^B671),"Error - Check Input")
+IFERROR(IF(OR(Inputs!$C$86=0,Inputs!$C$86="",ISERROR(Inputs!$C$86)),Inputs!$D$86,Inputs!$C$86*Inputs!$K$9*(1+Inputs!$K$12)^B671),"Error - Check Input")
+IFERROR(IF(OR(Inputs!$C$87=0,Inputs!$C$87="",ISERROR(Inputs!$C$87)),Inputs!$D$87,Inputs!$C$87*Inputs!$K$9*(1+Inputs!$K$12)^B671),"Error - Check Input")
+IFERROR(IF(OR(Inputs!$C$88=0,Inputs!$C$88="",ISERROR(Inputs!$C$88)),Inputs!$D$88,Inputs!$C$88*Inputs!$K$9*(1+Inputs!$K$12)^B671),"Error - Check Input")
+IFERROR(IF(OR(Inputs!$C$89=0,Inputs!$C$89="",ISERROR(Inputs!$C$89)),Inputs!$D$89,Inputs!$C$89*Inputs!$K$9*(1+Inputs!$K$12)^B671),"Error - Check Input")
+IFERROR(IF(OR(Inputs!$C$90=0,Inputs!$C$90="",ISERROR(Inputs!$C$90)),Inputs!$D$90,Inputs!$C$90*Inputs!$K$9*(1+Inputs!$K$12)^B671),"Error - Check Input")
+IFERROR(IF(OR(Inputs!$C$93=0,Inputs!$C$93="",ISERROR(Inputs!$C$93)),Inputs!$D$93,Inputs!$C$93*Inputs!$K$9*(1+Inputs!$K$12)^B671),"Error - Check Input")</f>
        <v>234707.63088648618</v>
      </c>
      <c r="D671" s="17"/>
    </row>
    <row r="672" spans="2:4" x14ac:dyDescent="0.35">
      <c r="B672" s="18">
        <v>481</v>
      </c>
      <c r="C672" s="6">
        <f>IFERROR(IF(OR(Inputs!$C$84=0,Inputs!$C$84="",ISERROR(Inputs!$C$84)),Inputs!$D$84,Inputs!$C$84*Inputs!$K$9*(1+Inputs!$K$12)^B672),"Error - Check Input")
+IFERROR(IF(OR(Inputs!$C$85=0,Inputs!$C$85="",ISERROR(Inputs!$C$85)),Inputs!$D$85,Inputs!$C$85*Inputs!$K$9*(1+Inputs!$K$12)^B672),"Error - Check Input")
+IFERROR(IF(OR(Inputs!$C$86=0,Inputs!$C$86="",ISERROR(Inputs!$C$86)),Inputs!$D$86,Inputs!$C$86*Inputs!$K$9*(1+Inputs!$K$12)^B672),"Error - Check Input")
+IFERROR(IF(OR(Inputs!$C$87=0,Inputs!$C$87="",ISERROR(Inputs!$C$87)),Inputs!$D$87,Inputs!$C$87*Inputs!$K$9*(1+Inputs!$K$12)^B672),"Error - Check Input")
+IFERROR(IF(OR(Inputs!$C$88=0,Inputs!$C$88="",ISERROR(Inputs!$C$88)),Inputs!$D$88,Inputs!$C$88*Inputs!$K$9*(1+Inputs!$K$12)^B672),"Error - Check Input")
+IFERROR(IF(OR(Inputs!$C$89=0,Inputs!$C$89="",ISERROR(Inputs!$C$89)),Inputs!$D$89,Inputs!$C$89*Inputs!$K$9*(1+Inputs!$K$12)^B672),"Error - Check Input")
+IFERROR(IF(OR(Inputs!$C$90=0,Inputs!$C$90="",ISERROR(Inputs!$C$90)),Inputs!$D$90,Inputs!$C$90*Inputs!$K$9*(1+Inputs!$K$12)^B672),"Error - Check Input")
+IFERROR(IF(OR(Inputs!$C$93=0,Inputs!$C$93="",ISERROR(Inputs!$C$93)),Inputs!$D$93,Inputs!$C$93*Inputs!$K$9*(1+Inputs!$K$12)^B672),"Error - Check Input")</f>
        <v>235645.52527065817</v>
      </c>
      <c r="D672" s="17"/>
    </row>
    <row r="673" spans="2:4" x14ac:dyDescent="0.35">
      <c r="B673" s="18">
        <v>482</v>
      </c>
      <c r="C673" s="6">
        <f>IFERROR(IF(OR(Inputs!$C$84=0,Inputs!$C$84="",ISERROR(Inputs!$C$84)),Inputs!$D$84,Inputs!$C$84*Inputs!$K$9*(1+Inputs!$K$12)^B673),"Error - Check Input")
+IFERROR(IF(OR(Inputs!$C$85=0,Inputs!$C$85="",ISERROR(Inputs!$C$85)),Inputs!$D$85,Inputs!$C$85*Inputs!$K$9*(1+Inputs!$K$12)^B673),"Error - Check Input")
+IFERROR(IF(OR(Inputs!$C$86=0,Inputs!$C$86="",ISERROR(Inputs!$C$86)),Inputs!$D$86,Inputs!$C$86*Inputs!$K$9*(1+Inputs!$K$12)^B673),"Error - Check Input")
+IFERROR(IF(OR(Inputs!$C$87=0,Inputs!$C$87="",ISERROR(Inputs!$C$87)),Inputs!$D$87,Inputs!$C$87*Inputs!$K$9*(1+Inputs!$K$12)^B673),"Error - Check Input")
+IFERROR(IF(OR(Inputs!$C$88=0,Inputs!$C$88="",ISERROR(Inputs!$C$88)),Inputs!$D$88,Inputs!$C$88*Inputs!$K$9*(1+Inputs!$K$12)^B673),"Error - Check Input")
+IFERROR(IF(OR(Inputs!$C$89=0,Inputs!$C$89="",ISERROR(Inputs!$C$89)),Inputs!$D$89,Inputs!$C$89*Inputs!$K$9*(1+Inputs!$K$12)^B673),"Error - Check Input")
+IFERROR(IF(OR(Inputs!$C$90=0,Inputs!$C$90="",ISERROR(Inputs!$C$90)),Inputs!$D$90,Inputs!$C$90*Inputs!$K$9*(1+Inputs!$K$12)^B673),"Error - Check Input")
+IFERROR(IF(OR(Inputs!$C$93=0,Inputs!$C$93="",ISERROR(Inputs!$C$93)),Inputs!$D$93,Inputs!$C$93*Inputs!$K$9*(1+Inputs!$K$12)^B673),"Error - Check Input")</f>
        <v>236587.24075264731</v>
      </c>
      <c r="D673" s="17"/>
    </row>
    <row r="674" spans="2:4" x14ac:dyDescent="0.35">
      <c r="B674" s="18">
        <v>483</v>
      </c>
      <c r="C674" s="6">
        <f>IFERROR(IF(OR(Inputs!$C$84=0,Inputs!$C$84="",ISERROR(Inputs!$C$84)),Inputs!$D$84,Inputs!$C$84*Inputs!$K$9*(1+Inputs!$K$12)^B674),"Error - Check Input")
+IFERROR(IF(OR(Inputs!$C$85=0,Inputs!$C$85="",ISERROR(Inputs!$C$85)),Inputs!$D$85,Inputs!$C$85*Inputs!$K$9*(1+Inputs!$K$12)^B674),"Error - Check Input")
+IFERROR(IF(OR(Inputs!$C$86=0,Inputs!$C$86="",ISERROR(Inputs!$C$86)),Inputs!$D$86,Inputs!$C$86*Inputs!$K$9*(1+Inputs!$K$12)^B674),"Error - Check Input")
+IFERROR(IF(OR(Inputs!$C$87=0,Inputs!$C$87="",ISERROR(Inputs!$C$87)),Inputs!$D$87,Inputs!$C$87*Inputs!$K$9*(1+Inputs!$K$12)^B674),"Error - Check Input")
+IFERROR(IF(OR(Inputs!$C$88=0,Inputs!$C$88="",ISERROR(Inputs!$C$88)),Inputs!$D$88,Inputs!$C$88*Inputs!$K$9*(1+Inputs!$K$12)^B674),"Error - Check Input")
+IFERROR(IF(OR(Inputs!$C$89=0,Inputs!$C$89="",ISERROR(Inputs!$C$89)),Inputs!$D$89,Inputs!$C$89*Inputs!$K$9*(1+Inputs!$K$12)^B674),"Error - Check Input")
+IFERROR(IF(OR(Inputs!$C$90=0,Inputs!$C$90="",ISERROR(Inputs!$C$90)),Inputs!$D$90,Inputs!$C$90*Inputs!$K$9*(1+Inputs!$K$12)^B674),"Error - Check Input")
+IFERROR(IF(OR(Inputs!$C$93=0,Inputs!$C$93="",ISERROR(Inputs!$C$93)),Inputs!$D$93,Inputs!$C$93*Inputs!$K$9*(1+Inputs!$K$12)^B674),"Error - Check Input")</f>
        <v>237532.79290007902</v>
      </c>
      <c r="D674" s="17"/>
    </row>
    <row r="675" spans="2:4" x14ac:dyDescent="0.35">
      <c r="B675" s="18">
        <v>484</v>
      </c>
      <c r="C675" s="6">
        <f>IFERROR(IF(OR(Inputs!$C$84=0,Inputs!$C$84="",ISERROR(Inputs!$C$84)),Inputs!$D$84,Inputs!$C$84*Inputs!$K$9*(1+Inputs!$K$12)^B675),"Error - Check Input")
+IFERROR(IF(OR(Inputs!$C$85=0,Inputs!$C$85="",ISERROR(Inputs!$C$85)),Inputs!$D$85,Inputs!$C$85*Inputs!$K$9*(1+Inputs!$K$12)^B675),"Error - Check Input")
+IFERROR(IF(OR(Inputs!$C$86=0,Inputs!$C$86="",ISERROR(Inputs!$C$86)),Inputs!$D$86,Inputs!$C$86*Inputs!$K$9*(1+Inputs!$K$12)^B675),"Error - Check Input")
+IFERROR(IF(OR(Inputs!$C$87=0,Inputs!$C$87="",ISERROR(Inputs!$C$87)),Inputs!$D$87,Inputs!$C$87*Inputs!$K$9*(1+Inputs!$K$12)^B675),"Error - Check Input")
+IFERROR(IF(OR(Inputs!$C$88=0,Inputs!$C$88="",ISERROR(Inputs!$C$88)),Inputs!$D$88,Inputs!$C$88*Inputs!$K$9*(1+Inputs!$K$12)^B675),"Error - Check Input")
+IFERROR(IF(OR(Inputs!$C$89=0,Inputs!$C$89="",ISERROR(Inputs!$C$89)),Inputs!$D$89,Inputs!$C$89*Inputs!$K$9*(1+Inputs!$K$12)^B675),"Error - Check Input")
+IFERROR(IF(OR(Inputs!$C$90=0,Inputs!$C$90="",ISERROR(Inputs!$C$90)),Inputs!$D$90,Inputs!$C$90*Inputs!$K$9*(1+Inputs!$K$12)^B675),"Error - Check Input")
+IFERROR(IF(OR(Inputs!$C$93=0,Inputs!$C$93="",ISERROR(Inputs!$C$93)),Inputs!$D$93,Inputs!$C$93*Inputs!$K$9*(1+Inputs!$K$12)^B675),"Error - Check Input")</f>
        <v>238482.19734400319</v>
      </c>
      <c r="D675" s="17"/>
    </row>
    <row r="676" spans="2:4" x14ac:dyDescent="0.35">
      <c r="B676" s="18">
        <v>485</v>
      </c>
      <c r="C676" s="6">
        <f>IFERROR(IF(OR(Inputs!$C$84=0,Inputs!$C$84="",ISERROR(Inputs!$C$84)),Inputs!$D$84,Inputs!$C$84*Inputs!$K$9*(1+Inputs!$K$12)^B676),"Error - Check Input")
+IFERROR(IF(OR(Inputs!$C$85=0,Inputs!$C$85="",ISERROR(Inputs!$C$85)),Inputs!$D$85,Inputs!$C$85*Inputs!$K$9*(1+Inputs!$K$12)^B676),"Error - Check Input")
+IFERROR(IF(OR(Inputs!$C$86=0,Inputs!$C$86="",ISERROR(Inputs!$C$86)),Inputs!$D$86,Inputs!$C$86*Inputs!$K$9*(1+Inputs!$K$12)^B676),"Error - Check Input")
+IFERROR(IF(OR(Inputs!$C$87=0,Inputs!$C$87="",ISERROR(Inputs!$C$87)),Inputs!$D$87,Inputs!$C$87*Inputs!$K$9*(1+Inputs!$K$12)^B676),"Error - Check Input")
+IFERROR(IF(OR(Inputs!$C$88=0,Inputs!$C$88="",ISERROR(Inputs!$C$88)),Inputs!$D$88,Inputs!$C$88*Inputs!$K$9*(1+Inputs!$K$12)^B676),"Error - Check Input")
+IFERROR(IF(OR(Inputs!$C$89=0,Inputs!$C$89="",ISERROR(Inputs!$C$89)),Inputs!$D$89,Inputs!$C$89*Inputs!$K$9*(1+Inputs!$K$12)^B676),"Error - Check Input")
+IFERROR(IF(OR(Inputs!$C$90=0,Inputs!$C$90="",ISERROR(Inputs!$C$90)),Inputs!$D$90,Inputs!$C$90*Inputs!$K$9*(1+Inputs!$K$12)^B676),"Error - Check Input")
+IFERROR(IF(OR(Inputs!$C$93=0,Inputs!$C$93="",ISERROR(Inputs!$C$93)),Inputs!$D$93,Inputs!$C$93*Inputs!$K$9*(1+Inputs!$K$12)^B676),"Error - Check Input")</f>
        <v>239435.46977915271</v>
      </c>
      <c r="D676" s="17"/>
    </row>
    <row r="677" spans="2:4" x14ac:dyDescent="0.35">
      <c r="B677" s="18">
        <v>486</v>
      </c>
      <c r="C677" s="6">
        <f>IFERROR(IF(OR(Inputs!$C$84=0,Inputs!$C$84="",ISERROR(Inputs!$C$84)),Inputs!$D$84,Inputs!$C$84*Inputs!$K$9*(1+Inputs!$K$12)^B677),"Error - Check Input")
+IFERROR(IF(OR(Inputs!$C$85=0,Inputs!$C$85="",ISERROR(Inputs!$C$85)),Inputs!$D$85,Inputs!$C$85*Inputs!$K$9*(1+Inputs!$K$12)^B677),"Error - Check Input")
+IFERROR(IF(OR(Inputs!$C$86=0,Inputs!$C$86="",ISERROR(Inputs!$C$86)),Inputs!$D$86,Inputs!$C$86*Inputs!$K$9*(1+Inputs!$K$12)^B677),"Error - Check Input")
+IFERROR(IF(OR(Inputs!$C$87=0,Inputs!$C$87="",ISERROR(Inputs!$C$87)),Inputs!$D$87,Inputs!$C$87*Inputs!$K$9*(1+Inputs!$K$12)^B677),"Error - Check Input")
+IFERROR(IF(OR(Inputs!$C$88=0,Inputs!$C$88="",ISERROR(Inputs!$C$88)),Inputs!$D$88,Inputs!$C$88*Inputs!$K$9*(1+Inputs!$K$12)^B677),"Error - Check Input")
+IFERROR(IF(OR(Inputs!$C$89=0,Inputs!$C$89="",ISERROR(Inputs!$C$89)),Inputs!$D$89,Inputs!$C$89*Inputs!$K$9*(1+Inputs!$K$12)^B677),"Error - Check Input")
+IFERROR(IF(OR(Inputs!$C$90=0,Inputs!$C$90="",ISERROR(Inputs!$C$90)),Inputs!$D$90,Inputs!$C$90*Inputs!$K$9*(1+Inputs!$K$12)^B677),"Error - Check Input")
+IFERROR(IF(OR(Inputs!$C$93=0,Inputs!$C$93="",ISERROR(Inputs!$C$93)),Inputs!$D$93,Inputs!$C$93*Inputs!$K$9*(1+Inputs!$K$12)^B677),"Error - Check Input")</f>
        <v>240392.62596420254</v>
      </c>
      <c r="D677" s="17"/>
    </row>
    <row r="678" spans="2:4" x14ac:dyDescent="0.35">
      <c r="B678" s="18">
        <v>487</v>
      </c>
      <c r="C678" s="6">
        <f>IFERROR(IF(OR(Inputs!$C$84=0,Inputs!$C$84="",ISERROR(Inputs!$C$84)),Inputs!$D$84,Inputs!$C$84*Inputs!$K$9*(1+Inputs!$K$12)^B678),"Error - Check Input")
+IFERROR(IF(OR(Inputs!$C$85=0,Inputs!$C$85="",ISERROR(Inputs!$C$85)),Inputs!$D$85,Inputs!$C$85*Inputs!$K$9*(1+Inputs!$K$12)^B678),"Error - Check Input")
+IFERROR(IF(OR(Inputs!$C$86=0,Inputs!$C$86="",ISERROR(Inputs!$C$86)),Inputs!$D$86,Inputs!$C$86*Inputs!$K$9*(1+Inputs!$K$12)^B678),"Error - Check Input")
+IFERROR(IF(OR(Inputs!$C$87=0,Inputs!$C$87="",ISERROR(Inputs!$C$87)),Inputs!$D$87,Inputs!$C$87*Inputs!$K$9*(1+Inputs!$K$12)^B678),"Error - Check Input")
+IFERROR(IF(OR(Inputs!$C$88=0,Inputs!$C$88="",ISERROR(Inputs!$C$88)),Inputs!$D$88,Inputs!$C$88*Inputs!$K$9*(1+Inputs!$K$12)^B678),"Error - Check Input")
+IFERROR(IF(OR(Inputs!$C$89=0,Inputs!$C$89="",ISERROR(Inputs!$C$89)),Inputs!$D$89,Inputs!$C$89*Inputs!$K$9*(1+Inputs!$K$12)^B678),"Error - Check Input")
+IFERROR(IF(OR(Inputs!$C$90=0,Inputs!$C$90="",ISERROR(Inputs!$C$90)),Inputs!$D$90,Inputs!$C$90*Inputs!$K$9*(1+Inputs!$K$12)^B678),"Error - Check Input")
+IFERROR(IF(OR(Inputs!$C$93=0,Inputs!$C$93="",ISERROR(Inputs!$C$93)),Inputs!$D$93,Inputs!$C$93*Inputs!$K$9*(1+Inputs!$K$12)^B678),"Error - Check Input")</f>
        <v>241353.68172203057</v>
      </c>
      <c r="D678" s="17"/>
    </row>
    <row r="679" spans="2:4" x14ac:dyDescent="0.35">
      <c r="B679" s="18">
        <v>488</v>
      </c>
      <c r="C679" s="6">
        <f>IFERROR(IF(OR(Inputs!$C$84=0,Inputs!$C$84="",ISERROR(Inputs!$C$84)),Inputs!$D$84,Inputs!$C$84*Inputs!$K$9*(1+Inputs!$K$12)^B679),"Error - Check Input")
+IFERROR(IF(OR(Inputs!$C$85=0,Inputs!$C$85="",ISERROR(Inputs!$C$85)),Inputs!$D$85,Inputs!$C$85*Inputs!$K$9*(1+Inputs!$K$12)^B679),"Error - Check Input")
+IFERROR(IF(OR(Inputs!$C$86=0,Inputs!$C$86="",ISERROR(Inputs!$C$86)),Inputs!$D$86,Inputs!$C$86*Inputs!$K$9*(1+Inputs!$K$12)^B679),"Error - Check Input")
+IFERROR(IF(OR(Inputs!$C$87=0,Inputs!$C$87="",ISERROR(Inputs!$C$87)),Inputs!$D$87,Inputs!$C$87*Inputs!$K$9*(1+Inputs!$K$12)^B679),"Error - Check Input")
+IFERROR(IF(OR(Inputs!$C$88=0,Inputs!$C$88="",ISERROR(Inputs!$C$88)),Inputs!$D$88,Inputs!$C$88*Inputs!$K$9*(1+Inputs!$K$12)^B679),"Error - Check Input")
+IFERROR(IF(OR(Inputs!$C$89=0,Inputs!$C$89="",ISERROR(Inputs!$C$89)),Inputs!$D$89,Inputs!$C$89*Inputs!$K$9*(1+Inputs!$K$12)^B679),"Error - Check Input")
+IFERROR(IF(OR(Inputs!$C$90=0,Inputs!$C$90="",ISERROR(Inputs!$C$90)),Inputs!$D$90,Inputs!$C$90*Inputs!$K$9*(1+Inputs!$K$12)^B679),"Error - Check Input")
+IFERROR(IF(OR(Inputs!$C$93=0,Inputs!$C$93="",ISERROR(Inputs!$C$93)),Inputs!$D$93,Inputs!$C$93*Inputs!$K$9*(1+Inputs!$K$12)^B679),"Error - Check Input")</f>
        <v>242318.65293997899</v>
      </c>
      <c r="D679" s="17"/>
    </row>
    <row r="680" spans="2:4" x14ac:dyDescent="0.35">
      <c r="B680" s="18">
        <v>489</v>
      </c>
      <c r="C680" s="6">
        <f>IFERROR(IF(OR(Inputs!$C$84=0,Inputs!$C$84="",ISERROR(Inputs!$C$84)),Inputs!$D$84,Inputs!$C$84*Inputs!$K$9*(1+Inputs!$K$12)^B680),"Error - Check Input")
+IFERROR(IF(OR(Inputs!$C$85=0,Inputs!$C$85="",ISERROR(Inputs!$C$85)),Inputs!$D$85,Inputs!$C$85*Inputs!$K$9*(1+Inputs!$K$12)^B680),"Error - Check Input")
+IFERROR(IF(OR(Inputs!$C$86=0,Inputs!$C$86="",ISERROR(Inputs!$C$86)),Inputs!$D$86,Inputs!$C$86*Inputs!$K$9*(1+Inputs!$K$12)^B680),"Error - Check Input")
+IFERROR(IF(OR(Inputs!$C$87=0,Inputs!$C$87="",ISERROR(Inputs!$C$87)),Inputs!$D$87,Inputs!$C$87*Inputs!$K$9*(1+Inputs!$K$12)^B680),"Error - Check Input")
+IFERROR(IF(OR(Inputs!$C$88=0,Inputs!$C$88="",ISERROR(Inputs!$C$88)),Inputs!$D$88,Inputs!$C$88*Inputs!$K$9*(1+Inputs!$K$12)^B680),"Error - Check Input")
+IFERROR(IF(OR(Inputs!$C$89=0,Inputs!$C$89="",ISERROR(Inputs!$C$89)),Inputs!$D$89,Inputs!$C$89*Inputs!$K$9*(1+Inputs!$K$12)^B680),"Error - Check Input")
+IFERROR(IF(OR(Inputs!$C$90=0,Inputs!$C$90="",ISERROR(Inputs!$C$90)),Inputs!$D$90,Inputs!$C$90*Inputs!$K$9*(1+Inputs!$K$12)^B680),"Error - Check Input")
+IFERROR(IF(OR(Inputs!$C$93=0,Inputs!$C$93="",ISERROR(Inputs!$C$93)),Inputs!$D$93,Inputs!$C$93*Inputs!$K$9*(1+Inputs!$K$12)^B680),"Error - Check Input")</f>
        <v>243287.55557011705</v>
      </c>
      <c r="D680" s="17"/>
    </row>
    <row r="681" spans="2:4" x14ac:dyDescent="0.35">
      <c r="B681" s="18">
        <v>490</v>
      </c>
      <c r="C681" s="6">
        <f>IFERROR(IF(OR(Inputs!$C$84=0,Inputs!$C$84="",ISERROR(Inputs!$C$84)),Inputs!$D$84,Inputs!$C$84*Inputs!$K$9*(1+Inputs!$K$12)^B681),"Error - Check Input")
+IFERROR(IF(OR(Inputs!$C$85=0,Inputs!$C$85="",ISERROR(Inputs!$C$85)),Inputs!$D$85,Inputs!$C$85*Inputs!$K$9*(1+Inputs!$K$12)^B681),"Error - Check Input")
+IFERROR(IF(OR(Inputs!$C$86=0,Inputs!$C$86="",ISERROR(Inputs!$C$86)),Inputs!$D$86,Inputs!$C$86*Inputs!$K$9*(1+Inputs!$K$12)^B681),"Error - Check Input")
+IFERROR(IF(OR(Inputs!$C$87=0,Inputs!$C$87="",ISERROR(Inputs!$C$87)),Inputs!$D$87,Inputs!$C$87*Inputs!$K$9*(1+Inputs!$K$12)^B681),"Error - Check Input")
+IFERROR(IF(OR(Inputs!$C$88=0,Inputs!$C$88="",ISERROR(Inputs!$C$88)),Inputs!$D$88,Inputs!$C$88*Inputs!$K$9*(1+Inputs!$K$12)^B681),"Error - Check Input")
+IFERROR(IF(OR(Inputs!$C$89=0,Inputs!$C$89="",ISERROR(Inputs!$C$89)),Inputs!$D$89,Inputs!$C$89*Inputs!$K$9*(1+Inputs!$K$12)^B681),"Error - Check Input")
+IFERROR(IF(OR(Inputs!$C$90=0,Inputs!$C$90="",ISERROR(Inputs!$C$90)),Inputs!$D$90,Inputs!$C$90*Inputs!$K$9*(1+Inputs!$K$12)^B681),"Error - Check Input")
+IFERROR(IF(OR(Inputs!$C$93=0,Inputs!$C$93="",ISERROR(Inputs!$C$93)),Inputs!$D$93,Inputs!$C$93*Inputs!$K$9*(1+Inputs!$K$12)^B681),"Error - Check Input")</f>
        <v>244260.4056295045</v>
      </c>
      <c r="D681" s="17"/>
    </row>
    <row r="682" spans="2:4" x14ac:dyDescent="0.35">
      <c r="B682" s="18">
        <v>491</v>
      </c>
      <c r="C682" s="6">
        <f>IFERROR(IF(OR(Inputs!$C$84=0,Inputs!$C$84="",ISERROR(Inputs!$C$84)),Inputs!$D$84,Inputs!$C$84*Inputs!$K$9*(1+Inputs!$K$12)^B682),"Error - Check Input")
+IFERROR(IF(OR(Inputs!$C$85=0,Inputs!$C$85="",ISERROR(Inputs!$C$85)),Inputs!$D$85,Inputs!$C$85*Inputs!$K$9*(1+Inputs!$K$12)^B682),"Error - Check Input")
+IFERROR(IF(OR(Inputs!$C$86=0,Inputs!$C$86="",ISERROR(Inputs!$C$86)),Inputs!$D$86,Inputs!$C$86*Inputs!$K$9*(1+Inputs!$K$12)^B682),"Error - Check Input")
+IFERROR(IF(OR(Inputs!$C$87=0,Inputs!$C$87="",ISERROR(Inputs!$C$87)),Inputs!$D$87,Inputs!$C$87*Inputs!$K$9*(1+Inputs!$K$12)^B682),"Error - Check Input")
+IFERROR(IF(OR(Inputs!$C$88=0,Inputs!$C$88="",ISERROR(Inputs!$C$88)),Inputs!$D$88,Inputs!$C$88*Inputs!$K$9*(1+Inputs!$K$12)^B682),"Error - Check Input")
+IFERROR(IF(OR(Inputs!$C$89=0,Inputs!$C$89="",ISERROR(Inputs!$C$89)),Inputs!$D$89,Inputs!$C$89*Inputs!$K$9*(1+Inputs!$K$12)^B682),"Error - Check Input")
+IFERROR(IF(OR(Inputs!$C$90=0,Inputs!$C$90="",ISERROR(Inputs!$C$90)),Inputs!$D$90,Inputs!$C$90*Inputs!$K$9*(1+Inputs!$K$12)^B682),"Error - Check Input")
+IFERROR(IF(OR(Inputs!$C$93=0,Inputs!$C$93="",ISERROR(Inputs!$C$93)),Inputs!$D$93,Inputs!$C$93*Inputs!$K$9*(1+Inputs!$K$12)^B682),"Error - Check Input")</f>
        <v>245237.21920045684</v>
      </c>
      <c r="D682" s="17"/>
    </row>
    <row r="683" spans="2:4" x14ac:dyDescent="0.35">
      <c r="B683" s="18">
        <v>492</v>
      </c>
      <c r="C683" s="6">
        <f>IFERROR(IF(OR(Inputs!$C$84=0,Inputs!$C$84="",ISERROR(Inputs!$C$84)),Inputs!$D$84,Inputs!$C$84*Inputs!$K$9*(1+Inputs!$K$12)^B683),"Error - Check Input")
+IFERROR(IF(OR(Inputs!$C$85=0,Inputs!$C$85="",ISERROR(Inputs!$C$85)),Inputs!$D$85,Inputs!$C$85*Inputs!$K$9*(1+Inputs!$K$12)^B683),"Error - Check Input")
+IFERROR(IF(OR(Inputs!$C$86=0,Inputs!$C$86="",ISERROR(Inputs!$C$86)),Inputs!$D$86,Inputs!$C$86*Inputs!$K$9*(1+Inputs!$K$12)^B683),"Error - Check Input")
+IFERROR(IF(OR(Inputs!$C$87=0,Inputs!$C$87="",ISERROR(Inputs!$C$87)),Inputs!$D$87,Inputs!$C$87*Inputs!$K$9*(1+Inputs!$K$12)^B683),"Error - Check Input")
+IFERROR(IF(OR(Inputs!$C$88=0,Inputs!$C$88="",ISERROR(Inputs!$C$88)),Inputs!$D$88,Inputs!$C$88*Inputs!$K$9*(1+Inputs!$K$12)^B683),"Error - Check Input")
+IFERROR(IF(OR(Inputs!$C$89=0,Inputs!$C$89="",ISERROR(Inputs!$C$89)),Inputs!$D$89,Inputs!$C$89*Inputs!$K$9*(1+Inputs!$K$12)^B683),"Error - Check Input")
+IFERROR(IF(OR(Inputs!$C$90=0,Inputs!$C$90="",ISERROR(Inputs!$C$90)),Inputs!$D$90,Inputs!$C$90*Inputs!$K$9*(1+Inputs!$K$12)^B683),"Error - Check Input")
+IFERROR(IF(OR(Inputs!$C$93=0,Inputs!$C$93="",ISERROR(Inputs!$C$93)),Inputs!$D$93,Inputs!$C$93*Inputs!$K$9*(1+Inputs!$K$12)^B683),"Error - Check Input")</f>
        <v>246218.01243081078</v>
      </c>
      <c r="D683" s="17"/>
    </row>
    <row r="684" spans="2:4" x14ac:dyDescent="0.35">
      <c r="B684" s="18">
        <v>493</v>
      </c>
      <c r="C684" s="6">
        <f>IFERROR(IF(OR(Inputs!$C$84=0,Inputs!$C$84="",ISERROR(Inputs!$C$84)),Inputs!$D$84,Inputs!$C$84*Inputs!$K$9*(1+Inputs!$K$12)^B684),"Error - Check Input")
+IFERROR(IF(OR(Inputs!$C$85=0,Inputs!$C$85="",ISERROR(Inputs!$C$85)),Inputs!$D$85,Inputs!$C$85*Inputs!$K$9*(1+Inputs!$K$12)^B684),"Error - Check Input")
+IFERROR(IF(OR(Inputs!$C$86=0,Inputs!$C$86="",ISERROR(Inputs!$C$86)),Inputs!$D$86,Inputs!$C$86*Inputs!$K$9*(1+Inputs!$K$12)^B684),"Error - Check Input")
+IFERROR(IF(OR(Inputs!$C$87=0,Inputs!$C$87="",ISERROR(Inputs!$C$87)),Inputs!$D$87,Inputs!$C$87*Inputs!$K$9*(1+Inputs!$K$12)^B684),"Error - Check Input")
+IFERROR(IF(OR(Inputs!$C$88=0,Inputs!$C$88="",ISERROR(Inputs!$C$88)),Inputs!$D$88,Inputs!$C$88*Inputs!$K$9*(1+Inputs!$K$12)^B684),"Error - Check Input")
+IFERROR(IF(OR(Inputs!$C$89=0,Inputs!$C$89="",ISERROR(Inputs!$C$89)),Inputs!$D$89,Inputs!$C$89*Inputs!$K$9*(1+Inputs!$K$12)^B684),"Error - Check Input")
+IFERROR(IF(OR(Inputs!$C$90=0,Inputs!$C$90="",ISERROR(Inputs!$C$90)),Inputs!$D$90,Inputs!$C$90*Inputs!$K$9*(1+Inputs!$K$12)^B684),"Error - Check Input")
+IFERROR(IF(OR(Inputs!$C$93=0,Inputs!$C$93="",ISERROR(Inputs!$C$93)),Inputs!$D$93,Inputs!$C$93*Inputs!$K$9*(1+Inputs!$K$12)^B684),"Error - Check Input")</f>
        <v>247202.80153419136</v>
      </c>
      <c r="D684" s="17"/>
    </row>
    <row r="685" spans="2:4" x14ac:dyDescent="0.35">
      <c r="B685" s="18">
        <v>494</v>
      </c>
      <c r="C685" s="6">
        <f>IFERROR(IF(OR(Inputs!$C$84=0,Inputs!$C$84="",ISERROR(Inputs!$C$84)),Inputs!$D$84,Inputs!$C$84*Inputs!$K$9*(1+Inputs!$K$12)^B685),"Error - Check Input")
+IFERROR(IF(OR(Inputs!$C$85=0,Inputs!$C$85="",ISERROR(Inputs!$C$85)),Inputs!$D$85,Inputs!$C$85*Inputs!$K$9*(1+Inputs!$K$12)^B685),"Error - Check Input")
+IFERROR(IF(OR(Inputs!$C$86=0,Inputs!$C$86="",ISERROR(Inputs!$C$86)),Inputs!$D$86,Inputs!$C$86*Inputs!$K$9*(1+Inputs!$K$12)^B685),"Error - Check Input")
+IFERROR(IF(OR(Inputs!$C$87=0,Inputs!$C$87="",ISERROR(Inputs!$C$87)),Inputs!$D$87,Inputs!$C$87*Inputs!$K$9*(1+Inputs!$K$12)^B685),"Error - Check Input")
+IFERROR(IF(OR(Inputs!$C$88=0,Inputs!$C$88="",ISERROR(Inputs!$C$88)),Inputs!$D$88,Inputs!$C$88*Inputs!$K$9*(1+Inputs!$K$12)^B685),"Error - Check Input")
+IFERROR(IF(OR(Inputs!$C$89=0,Inputs!$C$89="",ISERROR(Inputs!$C$89)),Inputs!$D$89,Inputs!$C$89*Inputs!$K$9*(1+Inputs!$K$12)^B685),"Error - Check Input")
+IFERROR(IF(OR(Inputs!$C$90=0,Inputs!$C$90="",ISERROR(Inputs!$C$90)),Inputs!$D$90,Inputs!$C$90*Inputs!$K$9*(1+Inputs!$K$12)^B685),"Error - Check Input")
+IFERROR(IF(OR(Inputs!$C$93=0,Inputs!$C$93="",ISERROR(Inputs!$C$93)),Inputs!$D$93,Inputs!$C$93*Inputs!$K$9*(1+Inputs!$K$12)^B685),"Error - Check Input")</f>
        <v>248191.6027902799</v>
      </c>
      <c r="D685" s="17"/>
    </row>
    <row r="686" spans="2:4" x14ac:dyDescent="0.35">
      <c r="B686" s="18">
        <v>495</v>
      </c>
      <c r="C686" s="6">
        <f>IFERROR(IF(OR(Inputs!$C$84=0,Inputs!$C$84="",ISERROR(Inputs!$C$84)),Inputs!$D$84,Inputs!$C$84*Inputs!$K$9*(1+Inputs!$K$12)^B686),"Error - Check Input")
+IFERROR(IF(OR(Inputs!$C$85=0,Inputs!$C$85="",ISERROR(Inputs!$C$85)),Inputs!$D$85,Inputs!$C$85*Inputs!$K$9*(1+Inputs!$K$12)^B686),"Error - Check Input")
+IFERROR(IF(OR(Inputs!$C$86=0,Inputs!$C$86="",ISERROR(Inputs!$C$86)),Inputs!$D$86,Inputs!$C$86*Inputs!$K$9*(1+Inputs!$K$12)^B686),"Error - Check Input")
+IFERROR(IF(OR(Inputs!$C$87=0,Inputs!$C$87="",ISERROR(Inputs!$C$87)),Inputs!$D$87,Inputs!$C$87*Inputs!$K$9*(1+Inputs!$K$12)^B686),"Error - Check Input")
+IFERROR(IF(OR(Inputs!$C$88=0,Inputs!$C$88="",ISERROR(Inputs!$C$88)),Inputs!$D$88,Inputs!$C$88*Inputs!$K$9*(1+Inputs!$K$12)^B686),"Error - Check Input")
+IFERROR(IF(OR(Inputs!$C$89=0,Inputs!$C$89="",ISERROR(Inputs!$C$89)),Inputs!$D$89,Inputs!$C$89*Inputs!$K$9*(1+Inputs!$K$12)^B686),"Error - Check Input")
+IFERROR(IF(OR(Inputs!$C$90=0,Inputs!$C$90="",ISERROR(Inputs!$C$90)),Inputs!$D$90,Inputs!$C$90*Inputs!$K$9*(1+Inputs!$K$12)^B686),"Error - Check Input")
+IFERROR(IF(OR(Inputs!$C$93=0,Inputs!$C$93="",ISERROR(Inputs!$C$93)),Inputs!$D$93,Inputs!$C$93*Inputs!$K$9*(1+Inputs!$K$12)^B686),"Error - Check Input")</f>
        <v>249184.43254508317</v>
      </c>
      <c r="D686" s="17"/>
    </row>
    <row r="687" spans="2:4" x14ac:dyDescent="0.35">
      <c r="B687" s="18">
        <v>496</v>
      </c>
      <c r="C687" s="6">
        <f>IFERROR(IF(OR(Inputs!$C$84=0,Inputs!$C$84="",ISERROR(Inputs!$C$84)),Inputs!$D$84,Inputs!$C$84*Inputs!$K$9*(1+Inputs!$K$12)^B687),"Error - Check Input")
+IFERROR(IF(OR(Inputs!$C$85=0,Inputs!$C$85="",ISERROR(Inputs!$C$85)),Inputs!$D$85,Inputs!$C$85*Inputs!$K$9*(1+Inputs!$K$12)^B687),"Error - Check Input")
+IFERROR(IF(OR(Inputs!$C$86=0,Inputs!$C$86="",ISERROR(Inputs!$C$86)),Inputs!$D$86,Inputs!$C$86*Inputs!$K$9*(1+Inputs!$K$12)^B687),"Error - Check Input")
+IFERROR(IF(OR(Inputs!$C$87=0,Inputs!$C$87="",ISERROR(Inputs!$C$87)),Inputs!$D$87,Inputs!$C$87*Inputs!$K$9*(1+Inputs!$K$12)^B687),"Error - Check Input")
+IFERROR(IF(OR(Inputs!$C$88=0,Inputs!$C$88="",ISERROR(Inputs!$C$88)),Inputs!$D$88,Inputs!$C$88*Inputs!$K$9*(1+Inputs!$K$12)^B687),"Error - Check Input")
+IFERROR(IF(OR(Inputs!$C$89=0,Inputs!$C$89="",ISERROR(Inputs!$C$89)),Inputs!$D$89,Inputs!$C$89*Inputs!$K$9*(1+Inputs!$K$12)^B687),"Error - Check Input")
+IFERROR(IF(OR(Inputs!$C$90=0,Inputs!$C$90="",ISERROR(Inputs!$C$90)),Inputs!$D$90,Inputs!$C$90*Inputs!$K$9*(1+Inputs!$K$12)^B687),"Error - Check Input")
+IFERROR(IF(OR(Inputs!$C$93=0,Inputs!$C$93="",ISERROR(Inputs!$C$93)),Inputs!$D$93,Inputs!$C$93*Inputs!$K$9*(1+Inputs!$K$12)^B687),"Error - Check Input")</f>
        <v>250181.30721120365</v>
      </c>
      <c r="D687" s="17"/>
    </row>
    <row r="688" spans="2:4" x14ac:dyDescent="0.35">
      <c r="B688" s="18">
        <v>497</v>
      </c>
      <c r="C688" s="6">
        <f>IFERROR(IF(OR(Inputs!$C$84=0,Inputs!$C$84="",ISERROR(Inputs!$C$84)),Inputs!$D$84,Inputs!$C$84*Inputs!$K$9*(1+Inputs!$K$12)^B688),"Error - Check Input")
+IFERROR(IF(OR(Inputs!$C$85=0,Inputs!$C$85="",ISERROR(Inputs!$C$85)),Inputs!$D$85,Inputs!$C$85*Inputs!$K$9*(1+Inputs!$K$12)^B688),"Error - Check Input")
+IFERROR(IF(OR(Inputs!$C$86=0,Inputs!$C$86="",ISERROR(Inputs!$C$86)),Inputs!$D$86,Inputs!$C$86*Inputs!$K$9*(1+Inputs!$K$12)^B688),"Error - Check Input")
+IFERROR(IF(OR(Inputs!$C$87=0,Inputs!$C$87="",ISERROR(Inputs!$C$87)),Inputs!$D$87,Inputs!$C$87*Inputs!$K$9*(1+Inputs!$K$12)^B688),"Error - Check Input")
+IFERROR(IF(OR(Inputs!$C$88=0,Inputs!$C$88="",ISERROR(Inputs!$C$88)),Inputs!$D$88,Inputs!$C$88*Inputs!$K$9*(1+Inputs!$K$12)^B688),"Error - Check Input")
+IFERROR(IF(OR(Inputs!$C$89=0,Inputs!$C$89="",ISERROR(Inputs!$C$89)),Inputs!$D$89,Inputs!$C$89*Inputs!$K$9*(1+Inputs!$K$12)^B688),"Error - Check Input")
+IFERROR(IF(OR(Inputs!$C$90=0,Inputs!$C$90="",ISERROR(Inputs!$C$90)),Inputs!$D$90,Inputs!$C$90*Inputs!$K$9*(1+Inputs!$K$12)^B688),"Error - Check Input")
+IFERROR(IF(OR(Inputs!$C$93=0,Inputs!$C$93="",ISERROR(Inputs!$C$93)),Inputs!$D$93,Inputs!$C$93*Inputs!$K$9*(1+Inputs!$K$12)^B688),"Error - Check Input")</f>
        <v>251182.24326811059</v>
      </c>
      <c r="D688" s="17"/>
    </row>
    <row r="689" spans="2:4" x14ac:dyDescent="0.35">
      <c r="B689" s="18">
        <v>498</v>
      </c>
      <c r="C689" s="6">
        <f>IFERROR(IF(OR(Inputs!$C$84=0,Inputs!$C$84="",ISERROR(Inputs!$C$84)),Inputs!$D$84,Inputs!$C$84*Inputs!$K$9*(1+Inputs!$K$12)^B689),"Error - Check Input")
+IFERROR(IF(OR(Inputs!$C$85=0,Inputs!$C$85="",ISERROR(Inputs!$C$85)),Inputs!$D$85,Inputs!$C$85*Inputs!$K$9*(1+Inputs!$K$12)^B689),"Error - Check Input")
+IFERROR(IF(OR(Inputs!$C$86=0,Inputs!$C$86="",ISERROR(Inputs!$C$86)),Inputs!$D$86,Inputs!$C$86*Inputs!$K$9*(1+Inputs!$K$12)^B689),"Error - Check Input")
+IFERROR(IF(OR(Inputs!$C$87=0,Inputs!$C$87="",ISERROR(Inputs!$C$87)),Inputs!$D$87,Inputs!$C$87*Inputs!$K$9*(1+Inputs!$K$12)^B689),"Error - Check Input")
+IFERROR(IF(OR(Inputs!$C$88=0,Inputs!$C$88="",ISERROR(Inputs!$C$88)),Inputs!$D$88,Inputs!$C$88*Inputs!$K$9*(1+Inputs!$K$12)^B689),"Error - Check Input")
+IFERROR(IF(OR(Inputs!$C$89=0,Inputs!$C$89="",ISERROR(Inputs!$C$89)),Inputs!$D$89,Inputs!$C$89*Inputs!$K$9*(1+Inputs!$K$12)^B689),"Error - Check Input")
+IFERROR(IF(OR(Inputs!$C$90=0,Inputs!$C$90="",ISERROR(Inputs!$C$90)),Inputs!$D$90,Inputs!$C$90*Inputs!$K$9*(1+Inputs!$K$12)^B689),"Error - Check Input")
+IFERROR(IF(OR(Inputs!$C$93=0,Inputs!$C$93="",ISERROR(Inputs!$C$93)),Inputs!$D$93,Inputs!$C$93*Inputs!$K$9*(1+Inputs!$K$12)^B689),"Error - Check Input")</f>
        <v>252187.25726241298</v>
      </c>
      <c r="D689" s="17"/>
    </row>
    <row r="690" spans="2:4" x14ac:dyDescent="0.35">
      <c r="B690" s="18">
        <v>499</v>
      </c>
      <c r="C690" s="6">
        <f>IFERROR(IF(OR(Inputs!$C$84=0,Inputs!$C$84="",ISERROR(Inputs!$C$84)),Inputs!$D$84,Inputs!$C$84*Inputs!$K$9*(1+Inputs!$K$12)^B690),"Error - Check Input")
+IFERROR(IF(OR(Inputs!$C$85=0,Inputs!$C$85="",ISERROR(Inputs!$C$85)),Inputs!$D$85,Inputs!$C$85*Inputs!$K$9*(1+Inputs!$K$12)^B690),"Error - Check Input")
+IFERROR(IF(OR(Inputs!$C$86=0,Inputs!$C$86="",ISERROR(Inputs!$C$86)),Inputs!$D$86,Inputs!$C$86*Inputs!$K$9*(1+Inputs!$K$12)^B690),"Error - Check Input")
+IFERROR(IF(OR(Inputs!$C$87=0,Inputs!$C$87="",ISERROR(Inputs!$C$87)),Inputs!$D$87,Inputs!$C$87*Inputs!$K$9*(1+Inputs!$K$12)^B690),"Error - Check Input")
+IFERROR(IF(OR(Inputs!$C$88=0,Inputs!$C$88="",ISERROR(Inputs!$C$88)),Inputs!$D$88,Inputs!$C$88*Inputs!$K$9*(1+Inputs!$K$12)^B690),"Error - Check Input")
+IFERROR(IF(OR(Inputs!$C$89=0,Inputs!$C$89="",ISERROR(Inputs!$C$89)),Inputs!$D$89,Inputs!$C$89*Inputs!$K$9*(1+Inputs!$K$12)^B690),"Error - Check Input")
+IFERROR(IF(OR(Inputs!$C$90=0,Inputs!$C$90="",ISERROR(Inputs!$C$90)),Inputs!$D$90,Inputs!$C$90*Inputs!$K$9*(1+Inputs!$K$12)^B690),"Error - Check Input")
+IFERROR(IF(OR(Inputs!$C$93=0,Inputs!$C$93="",ISERROR(Inputs!$C$93)),Inputs!$D$93,Inputs!$C$93*Inputs!$K$9*(1+Inputs!$K$12)^B690),"Error - Check Input")</f>
        <v>253196.3658081324</v>
      </c>
      <c r="D690" s="17"/>
    </row>
    <row r="691" spans="2:4" x14ac:dyDescent="0.35">
      <c r="B691" s="18">
        <v>500</v>
      </c>
      <c r="C691" s="6">
        <f>IFERROR(IF(OR(Inputs!$C$84=0,Inputs!$C$84="",ISERROR(Inputs!$C$84)),Inputs!$D$84,Inputs!$C$84*Inputs!$K$9*(1+Inputs!$K$12)^B691),"Error - Check Input")
+IFERROR(IF(OR(Inputs!$C$85=0,Inputs!$C$85="",ISERROR(Inputs!$C$85)),Inputs!$D$85,Inputs!$C$85*Inputs!$K$9*(1+Inputs!$K$12)^B691),"Error - Check Input")
+IFERROR(IF(OR(Inputs!$C$86=0,Inputs!$C$86="",ISERROR(Inputs!$C$86)),Inputs!$D$86,Inputs!$C$86*Inputs!$K$9*(1+Inputs!$K$12)^B691),"Error - Check Input")
+IFERROR(IF(OR(Inputs!$C$87=0,Inputs!$C$87="",ISERROR(Inputs!$C$87)),Inputs!$D$87,Inputs!$C$87*Inputs!$K$9*(1+Inputs!$K$12)^B691),"Error - Check Input")
+IFERROR(IF(OR(Inputs!$C$88=0,Inputs!$C$88="",ISERROR(Inputs!$C$88)),Inputs!$D$88,Inputs!$C$88*Inputs!$K$9*(1+Inputs!$K$12)^B691),"Error - Check Input")
+IFERROR(IF(OR(Inputs!$C$89=0,Inputs!$C$89="",ISERROR(Inputs!$C$89)),Inputs!$D$89,Inputs!$C$89*Inputs!$K$9*(1+Inputs!$K$12)^B691),"Error - Check Input")
+IFERROR(IF(OR(Inputs!$C$90=0,Inputs!$C$90="",ISERROR(Inputs!$C$90)),Inputs!$D$90,Inputs!$C$90*Inputs!$K$9*(1+Inputs!$K$12)^B691),"Error - Check Input")
+IFERROR(IF(OR(Inputs!$C$93=0,Inputs!$C$93="",ISERROR(Inputs!$C$93)),Inputs!$D$93,Inputs!$C$93*Inputs!$K$9*(1+Inputs!$K$12)^B691),"Error - Check Input")</f>
        <v>254209.58558697824</v>
      </c>
      <c r="D691" s="17"/>
    </row>
    <row r="692" spans="2:4" x14ac:dyDescent="0.35">
      <c r="B692" s="18">
        <v>501</v>
      </c>
      <c r="C692" s="6">
        <f>IFERROR(IF(OR(Inputs!$C$84=0,Inputs!$C$84="",ISERROR(Inputs!$C$84)),Inputs!$D$84,Inputs!$C$84*Inputs!$K$9*(1+Inputs!$K$12)^B692),"Error - Check Input")
+IFERROR(IF(OR(Inputs!$C$85=0,Inputs!$C$85="",ISERROR(Inputs!$C$85)),Inputs!$D$85,Inputs!$C$85*Inputs!$K$9*(1+Inputs!$K$12)^B692),"Error - Check Input")
+IFERROR(IF(OR(Inputs!$C$86=0,Inputs!$C$86="",ISERROR(Inputs!$C$86)),Inputs!$D$86,Inputs!$C$86*Inputs!$K$9*(1+Inputs!$K$12)^B692),"Error - Check Input")
+IFERROR(IF(OR(Inputs!$C$87=0,Inputs!$C$87="",ISERROR(Inputs!$C$87)),Inputs!$D$87,Inputs!$C$87*Inputs!$K$9*(1+Inputs!$K$12)^B692),"Error - Check Input")
+IFERROR(IF(OR(Inputs!$C$88=0,Inputs!$C$88="",ISERROR(Inputs!$C$88)),Inputs!$D$88,Inputs!$C$88*Inputs!$K$9*(1+Inputs!$K$12)^B692),"Error - Check Input")
+IFERROR(IF(OR(Inputs!$C$89=0,Inputs!$C$89="",ISERROR(Inputs!$C$89)),Inputs!$D$89,Inputs!$C$89*Inputs!$K$9*(1+Inputs!$K$12)^B692),"Error - Check Input")
+IFERROR(IF(OR(Inputs!$C$90=0,Inputs!$C$90="",ISERROR(Inputs!$C$90)),Inputs!$D$90,Inputs!$C$90*Inputs!$K$9*(1+Inputs!$K$12)^B692),"Error - Check Input")
+IFERROR(IF(OR(Inputs!$C$93=0,Inputs!$C$93="",ISERROR(Inputs!$C$93)),Inputs!$D$93,Inputs!$C$93*Inputs!$K$9*(1+Inputs!$K$12)^B692),"Error - Check Input")</f>
        <v>255226.9333486231</v>
      </c>
      <c r="D692" s="17"/>
    </row>
    <row r="693" spans="2:4" x14ac:dyDescent="0.35">
      <c r="B693" s="18">
        <v>502</v>
      </c>
      <c r="C693" s="6">
        <f>IFERROR(IF(OR(Inputs!$C$84=0,Inputs!$C$84="",ISERROR(Inputs!$C$84)),Inputs!$D$84,Inputs!$C$84*Inputs!$K$9*(1+Inputs!$K$12)^B693),"Error - Check Input")
+IFERROR(IF(OR(Inputs!$C$85=0,Inputs!$C$85="",ISERROR(Inputs!$C$85)),Inputs!$D$85,Inputs!$C$85*Inputs!$K$9*(1+Inputs!$K$12)^B693),"Error - Check Input")
+IFERROR(IF(OR(Inputs!$C$86=0,Inputs!$C$86="",ISERROR(Inputs!$C$86)),Inputs!$D$86,Inputs!$C$86*Inputs!$K$9*(1+Inputs!$K$12)^B693),"Error - Check Input")
+IFERROR(IF(OR(Inputs!$C$87=0,Inputs!$C$87="",ISERROR(Inputs!$C$87)),Inputs!$D$87,Inputs!$C$87*Inputs!$K$9*(1+Inputs!$K$12)^B693),"Error - Check Input")
+IFERROR(IF(OR(Inputs!$C$88=0,Inputs!$C$88="",ISERROR(Inputs!$C$88)),Inputs!$D$88,Inputs!$C$88*Inputs!$K$9*(1+Inputs!$K$12)^B693),"Error - Check Input")
+IFERROR(IF(OR(Inputs!$C$89=0,Inputs!$C$89="",ISERROR(Inputs!$C$89)),Inputs!$D$89,Inputs!$C$89*Inputs!$K$9*(1+Inputs!$K$12)^B693),"Error - Check Input")
+IFERROR(IF(OR(Inputs!$C$90=0,Inputs!$C$90="",ISERROR(Inputs!$C$90)),Inputs!$D$90,Inputs!$C$90*Inputs!$K$9*(1+Inputs!$K$12)^B693),"Error - Check Input")
+IFERROR(IF(OR(Inputs!$C$93=0,Inputs!$C$93="",ISERROR(Inputs!$C$93)),Inputs!$D$93,Inputs!$C$93*Inputs!$K$9*(1+Inputs!$K$12)^B693),"Error - Check Input")</f>
        <v>256248.42591097995</v>
      </c>
      <c r="D693" s="17"/>
    </row>
    <row r="694" spans="2:4" x14ac:dyDescent="0.35">
      <c r="B694" s="18">
        <v>503</v>
      </c>
      <c r="C694" s="6">
        <f>IFERROR(IF(OR(Inputs!$C$84=0,Inputs!$C$84="",ISERROR(Inputs!$C$84)),Inputs!$D$84,Inputs!$C$84*Inputs!$K$9*(1+Inputs!$K$12)^B694),"Error - Check Input")
+IFERROR(IF(OR(Inputs!$C$85=0,Inputs!$C$85="",ISERROR(Inputs!$C$85)),Inputs!$D$85,Inputs!$C$85*Inputs!$K$9*(1+Inputs!$K$12)^B694),"Error - Check Input")
+IFERROR(IF(OR(Inputs!$C$86=0,Inputs!$C$86="",ISERROR(Inputs!$C$86)),Inputs!$D$86,Inputs!$C$86*Inputs!$K$9*(1+Inputs!$K$12)^B694),"Error - Check Input")
+IFERROR(IF(OR(Inputs!$C$87=0,Inputs!$C$87="",ISERROR(Inputs!$C$87)),Inputs!$D$87,Inputs!$C$87*Inputs!$K$9*(1+Inputs!$K$12)^B694),"Error - Check Input")
+IFERROR(IF(OR(Inputs!$C$88=0,Inputs!$C$88="",ISERROR(Inputs!$C$88)),Inputs!$D$88,Inputs!$C$88*Inputs!$K$9*(1+Inputs!$K$12)^B694),"Error - Check Input")
+IFERROR(IF(OR(Inputs!$C$89=0,Inputs!$C$89="",ISERROR(Inputs!$C$89)),Inputs!$D$89,Inputs!$C$89*Inputs!$K$9*(1+Inputs!$K$12)^B694),"Error - Check Input")
+IFERROR(IF(OR(Inputs!$C$90=0,Inputs!$C$90="",ISERROR(Inputs!$C$90)),Inputs!$D$90,Inputs!$C$90*Inputs!$K$9*(1+Inputs!$K$12)^B694),"Error - Check Input")
+IFERROR(IF(OR(Inputs!$C$93=0,Inputs!$C$93="",ISERROR(Inputs!$C$93)),Inputs!$D$93,Inputs!$C$93*Inputs!$K$9*(1+Inputs!$K$12)^B694),"Error - Check Input")</f>
        <v>257274.08016047988</v>
      </c>
      <c r="D694" s="17"/>
    </row>
    <row r="695" spans="2:4" x14ac:dyDescent="0.35">
      <c r="B695" s="18">
        <v>504</v>
      </c>
      <c r="C695" s="6">
        <f>IFERROR(IF(OR(Inputs!$C$84=0,Inputs!$C$84="",ISERROR(Inputs!$C$84)),Inputs!$D$84,Inputs!$C$84*Inputs!$K$9*(1+Inputs!$K$12)^B695),"Error - Check Input")
+IFERROR(IF(OR(Inputs!$C$85=0,Inputs!$C$85="",ISERROR(Inputs!$C$85)),Inputs!$D$85,Inputs!$C$85*Inputs!$K$9*(1+Inputs!$K$12)^B695),"Error - Check Input")
+IFERROR(IF(OR(Inputs!$C$86=0,Inputs!$C$86="",ISERROR(Inputs!$C$86)),Inputs!$D$86,Inputs!$C$86*Inputs!$K$9*(1+Inputs!$K$12)^B695),"Error - Check Input")
+IFERROR(IF(OR(Inputs!$C$87=0,Inputs!$C$87="",ISERROR(Inputs!$C$87)),Inputs!$D$87,Inputs!$C$87*Inputs!$K$9*(1+Inputs!$K$12)^B695),"Error - Check Input")
+IFERROR(IF(OR(Inputs!$C$88=0,Inputs!$C$88="",ISERROR(Inputs!$C$88)),Inputs!$D$88,Inputs!$C$88*Inputs!$K$9*(1+Inputs!$K$12)^B695),"Error - Check Input")
+IFERROR(IF(OR(Inputs!$C$89=0,Inputs!$C$89="",ISERROR(Inputs!$C$89)),Inputs!$D$89,Inputs!$C$89*Inputs!$K$9*(1+Inputs!$K$12)^B695),"Error - Check Input")
+IFERROR(IF(OR(Inputs!$C$90=0,Inputs!$C$90="",ISERROR(Inputs!$C$90)),Inputs!$D$90,Inputs!$C$90*Inputs!$K$9*(1+Inputs!$K$12)^B695),"Error - Check Input")
+IFERROR(IF(OR(Inputs!$C$93=0,Inputs!$C$93="",ISERROR(Inputs!$C$93)),Inputs!$D$93,Inputs!$C$93*Inputs!$K$9*(1+Inputs!$K$12)^B695),"Error - Check Input")</f>
        <v>258303.91305235162</v>
      </c>
      <c r="D695" s="17"/>
    </row>
    <row r="696" spans="2:4" x14ac:dyDescent="0.35">
      <c r="B696" s="18">
        <v>505</v>
      </c>
      <c r="C696" s="6">
        <f>IFERROR(IF(OR(Inputs!$C$84=0,Inputs!$C$84="",ISERROR(Inputs!$C$84)),Inputs!$D$84,Inputs!$C$84*Inputs!$K$9*(1+Inputs!$K$12)^B696),"Error - Check Input")
+IFERROR(IF(OR(Inputs!$C$85=0,Inputs!$C$85="",ISERROR(Inputs!$C$85)),Inputs!$D$85,Inputs!$C$85*Inputs!$K$9*(1+Inputs!$K$12)^B696),"Error - Check Input")
+IFERROR(IF(OR(Inputs!$C$86=0,Inputs!$C$86="",ISERROR(Inputs!$C$86)),Inputs!$D$86,Inputs!$C$86*Inputs!$K$9*(1+Inputs!$K$12)^B696),"Error - Check Input")
+IFERROR(IF(OR(Inputs!$C$87=0,Inputs!$C$87="",ISERROR(Inputs!$C$87)),Inputs!$D$87,Inputs!$C$87*Inputs!$K$9*(1+Inputs!$K$12)^B696),"Error - Check Input")
+IFERROR(IF(OR(Inputs!$C$88=0,Inputs!$C$88="",ISERROR(Inputs!$C$88)),Inputs!$D$88,Inputs!$C$88*Inputs!$K$9*(1+Inputs!$K$12)^B696),"Error - Check Input")
+IFERROR(IF(OR(Inputs!$C$89=0,Inputs!$C$89="",ISERROR(Inputs!$C$89)),Inputs!$D$89,Inputs!$C$89*Inputs!$K$9*(1+Inputs!$K$12)^B696),"Error - Check Input")
+IFERROR(IF(OR(Inputs!$C$90=0,Inputs!$C$90="",ISERROR(Inputs!$C$90)),Inputs!$D$90,Inputs!$C$90*Inputs!$K$9*(1+Inputs!$K$12)^B696),"Error - Check Input")
+IFERROR(IF(OR(Inputs!$C$93=0,Inputs!$C$93="",ISERROR(Inputs!$C$93)),Inputs!$D$93,Inputs!$C$93*Inputs!$K$9*(1+Inputs!$K$12)^B696),"Error - Check Input")</f>
        <v>259337.94161090124</v>
      </c>
      <c r="D696" s="17"/>
    </row>
    <row r="697" spans="2:4" x14ac:dyDescent="0.35">
      <c r="B697" s="18">
        <v>506</v>
      </c>
      <c r="C697" s="6">
        <f>IFERROR(IF(OR(Inputs!$C$84=0,Inputs!$C$84="",ISERROR(Inputs!$C$84)),Inputs!$D$84,Inputs!$C$84*Inputs!$K$9*(1+Inputs!$K$12)^B697),"Error - Check Input")
+IFERROR(IF(OR(Inputs!$C$85=0,Inputs!$C$85="",ISERROR(Inputs!$C$85)),Inputs!$D$85,Inputs!$C$85*Inputs!$K$9*(1+Inputs!$K$12)^B697),"Error - Check Input")
+IFERROR(IF(OR(Inputs!$C$86=0,Inputs!$C$86="",ISERROR(Inputs!$C$86)),Inputs!$D$86,Inputs!$C$86*Inputs!$K$9*(1+Inputs!$K$12)^B697),"Error - Check Input")
+IFERROR(IF(OR(Inputs!$C$87=0,Inputs!$C$87="",ISERROR(Inputs!$C$87)),Inputs!$D$87,Inputs!$C$87*Inputs!$K$9*(1+Inputs!$K$12)^B697),"Error - Check Input")
+IFERROR(IF(OR(Inputs!$C$88=0,Inputs!$C$88="",ISERROR(Inputs!$C$88)),Inputs!$D$88,Inputs!$C$88*Inputs!$K$9*(1+Inputs!$K$12)^B697),"Error - Check Input")
+IFERROR(IF(OR(Inputs!$C$89=0,Inputs!$C$89="",ISERROR(Inputs!$C$89)),Inputs!$D$89,Inputs!$C$89*Inputs!$K$9*(1+Inputs!$K$12)^B697),"Error - Check Input")
+IFERROR(IF(OR(Inputs!$C$90=0,Inputs!$C$90="",ISERROR(Inputs!$C$90)),Inputs!$D$90,Inputs!$C$90*Inputs!$K$9*(1+Inputs!$K$12)^B697),"Error - Check Input")
+IFERROR(IF(OR(Inputs!$C$93=0,Inputs!$C$93="",ISERROR(Inputs!$C$93)),Inputs!$D$93,Inputs!$C$93*Inputs!$K$9*(1+Inputs!$K$12)^B697),"Error - Check Input")</f>
        <v>260376.18292979416</v>
      </c>
      <c r="D697" s="17"/>
    </row>
    <row r="698" spans="2:4" x14ac:dyDescent="0.35">
      <c r="B698" s="18">
        <v>507</v>
      </c>
      <c r="C698" s="6">
        <f>IFERROR(IF(OR(Inputs!$C$84=0,Inputs!$C$84="",ISERROR(Inputs!$C$84)),Inputs!$D$84,Inputs!$C$84*Inputs!$K$9*(1+Inputs!$K$12)^B698),"Error - Check Input")
+IFERROR(IF(OR(Inputs!$C$85=0,Inputs!$C$85="",ISERROR(Inputs!$C$85)),Inputs!$D$85,Inputs!$C$85*Inputs!$K$9*(1+Inputs!$K$12)^B698),"Error - Check Input")
+IFERROR(IF(OR(Inputs!$C$86=0,Inputs!$C$86="",ISERROR(Inputs!$C$86)),Inputs!$D$86,Inputs!$C$86*Inputs!$K$9*(1+Inputs!$K$12)^B698),"Error - Check Input")
+IFERROR(IF(OR(Inputs!$C$87=0,Inputs!$C$87="",ISERROR(Inputs!$C$87)),Inputs!$D$87,Inputs!$C$87*Inputs!$K$9*(1+Inputs!$K$12)^B698),"Error - Check Input")
+IFERROR(IF(OR(Inputs!$C$88=0,Inputs!$C$88="",ISERROR(Inputs!$C$88)),Inputs!$D$88,Inputs!$C$88*Inputs!$K$9*(1+Inputs!$K$12)^B698),"Error - Check Input")
+IFERROR(IF(OR(Inputs!$C$89=0,Inputs!$C$89="",ISERROR(Inputs!$C$89)),Inputs!$D$89,Inputs!$C$89*Inputs!$K$9*(1+Inputs!$K$12)^B698),"Error - Check Input")
+IFERROR(IF(OR(Inputs!$C$90=0,Inputs!$C$90="",ISERROR(Inputs!$C$90)),Inputs!$D$90,Inputs!$C$90*Inputs!$K$9*(1+Inputs!$K$12)^B698),"Error - Check Input")
+IFERROR(IF(OR(Inputs!$C$93=0,Inputs!$C$93="",ISERROR(Inputs!$C$93)),Inputs!$D$93,Inputs!$C$93*Inputs!$K$9*(1+Inputs!$K$12)^B698),"Error - Check Input")</f>
        <v>261418.65417233761</v>
      </c>
      <c r="D698" s="17"/>
    </row>
    <row r="699" spans="2:4" x14ac:dyDescent="0.35">
      <c r="B699" s="18">
        <v>508</v>
      </c>
      <c r="C699" s="6">
        <f>IFERROR(IF(OR(Inputs!$C$84=0,Inputs!$C$84="",ISERROR(Inputs!$C$84)),Inputs!$D$84,Inputs!$C$84*Inputs!$K$9*(1+Inputs!$K$12)^B699),"Error - Check Input")
+IFERROR(IF(OR(Inputs!$C$85=0,Inputs!$C$85="",ISERROR(Inputs!$C$85)),Inputs!$D$85,Inputs!$C$85*Inputs!$K$9*(1+Inputs!$K$12)^B699),"Error - Check Input")
+IFERROR(IF(OR(Inputs!$C$86=0,Inputs!$C$86="",ISERROR(Inputs!$C$86)),Inputs!$D$86,Inputs!$C$86*Inputs!$K$9*(1+Inputs!$K$12)^B699),"Error - Check Input")
+IFERROR(IF(OR(Inputs!$C$87=0,Inputs!$C$87="",ISERROR(Inputs!$C$87)),Inputs!$D$87,Inputs!$C$87*Inputs!$K$9*(1+Inputs!$K$12)^B699),"Error - Check Input")
+IFERROR(IF(OR(Inputs!$C$88=0,Inputs!$C$88="",ISERROR(Inputs!$C$88)),Inputs!$D$88,Inputs!$C$88*Inputs!$K$9*(1+Inputs!$K$12)^B699),"Error - Check Input")
+IFERROR(IF(OR(Inputs!$C$89=0,Inputs!$C$89="",ISERROR(Inputs!$C$89)),Inputs!$D$89,Inputs!$C$89*Inputs!$K$9*(1+Inputs!$K$12)^B699),"Error - Check Input")
+IFERROR(IF(OR(Inputs!$C$90=0,Inputs!$C$90="",ISERROR(Inputs!$C$90)),Inputs!$D$90,Inputs!$C$90*Inputs!$K$9*(1+Inputs!$K$12)^B699),"Error - Check Input")
+IFERROR(IF(OR(Inputs!$C$93=0,Inputs!$C$93="",ISERROR(Inputs!$C$93)),Inputs!$D$93,Inputs!$C$93*Inputs!$K$9*(1+Inputs!$K$12)^B699),"Error - Check Input")</f>
        <v>262465.37257176405</v>
      </c>
      <c r="D699" s="17"/>
    </row>
    <row r="700" spans="2:4" x14ac:dyDescent="0.35">
      <c r="B700" s="18">
        <v>509</v>
      </c>
      <c r="C700" s="6">
        <f>IFERROR(IF(OR(Inputs!$C$84=0,Inputs!$C$84="",ISERROR(Inputs!$C$84)),Inputs!$D$84,Inputs!$C$84*Inputs!$K$9*(1+Inputs!$K$12)^B700),"Error - Check Input")
+IFERROR(IF(OR(Inputs!$C$85=0,Inputs!$C$85="",ISERROR(Inputs!$C$85)),Inputs!$D$85,Inputs!$C$85*Inputs!$K$9*(1+Inputs!$K$12)^B700),"Error - Check Input")
+IFERROR(IF(OR(Inputs!$C$86=0,Inputs!$C$86="",ISERROR(Inputs!$C$86)),Inputs!$D$86,Inputs!$C$86*Inputs!$K$9*(1+Inputs!$K$12)^B700),"Error - Check Input")
+IFERROR(IF(OR(Inputs!$C$87=0,Inputs!$C$87="",ISERROR(Inputs!$C$87)),Inputs!$D$87,Inputs!$C$87*Inputs!$K$9*(1+Inputs!$K$12)^B700),"Error - Check Input")
+IFERROR(IF(OR(Inputs!$C$88=0,Inputs!$C$88="",ISERROR(Inputs!$C$88)),Inputs!$D$88,Inputs!$C$88*Inputs!$K$9*(1+Inputs!$K$12)^B700),"Error - Check Input")
+IFERROR(IF(OR(Inputs!$C$89=0,Inputs!$C$89="",ISERROR(Inputs!$C$89)),Inputs!$D$89,Inputs!$C$89*Inputs!$K$9*(1+Inputs!$K$12)^B700),"Error - Check Input")
+IFERROR(IF(OR(Inputs!$C$90=0,Inputs!$C$90="",ISERROR(Inputs!$C$90)),Inputs!$D$90,Inputs!$C$90*Inputs!$K$9*(1+Inputs!$K$12)^B700),"Error - Check Input")
+IFERROR(IF(OR(Inputs!$C$93=0,Inputs!$C$93="",ISERROR(Inputs!$C$93)),Inputs!$D$93,Inputs!$C$93*Inputs!$K$9*(1+Inputs!$K$12)^B700),"Error - Check Input")</f>
        <v>263516.35543151642</v>
      </c>
      <c r="D700" s="17"/>
    </row>
    <row r="701" spans="2:4" x14ac:dyDescent="0.35">
      <c r="B701" s="18">
        <v>510</v>
      </c>
      <c r="C701" s="6">
        <f>IFERROR(IF(OR(Inputs!$C$84=0,Inputs!$C$84="",ISERROR(Inputs!$C$84)),Inputs!$D$84,Inputs!$C$84*Inputs!$K$9*(1+Inputs!$K$12)^B701),"Error - Check Input")
+IFERROR(IF(OR(Inputs!$C$85=0,Inputs!$C$85="",ISERROR(Inputs!$C$85)),Inputs!$D$85,Inputs!$C$85*Inputs!$K$9*(1+Inputs!$K$12)^B701),"Error - Check Input")
+IFERROR(IF(OR(Inputs!$C$86=0,Inputs!$C$86="",ISERROR(Inputs!$C$86)),Inputs!$D$86,Inputs!$C$86*Inputs!$K$9*(1+Inputs!$K$12)^B701),"Error - Check Input")
+IFERROR(IF(OR(Inputs!$C$87=0,Inputs!$C$87="",ISERROR(Inputs!$C$87)),Inputs!$D$87,Inputs!$C$87*Inputs!$K$9*(1+Inputs!$K$12)^B701),"Error - Check Input")
+IFERROR(IF(OR(Inputs!$C$88=0,Inputs!$C$88="",ISERROR(Inputs!$C$88)),Inputs!$D$88,Inputs!$C$88*Inputs!$K$9*(1+Inputs!$K$12)^B701),"Error - Check Input")
+IFERROR(IF(OR(Inputs!$C$89=0,Inputs!$C$89="",ISERROR(Inputs!$C$89)),Inputs!$D$89,Inputs!$C$89*Inputs!$K$9*(1+Inputs!$K$12)^B701),"Error - Check Input")
+IFERROR(IF(OR(Inputs!$C$90=0,Inputs!$C$90="",ISERROR(Inputs!$C$90)),Inputs!$D$90,Inputs!$C$90*Inputs!$K$9*(1+Inputs!$K$12)^B701),"Error - Check Input")
+IFERROR(IF(OR(Inputs!$C$93=0,Inputs!$C$93="",ISERROR(Inputs!$C$93)),Inputs!$D$93,Inputs!$C$93*Inputs!$K$9*(1+Inputs!$K$12)^B701),"Error - Check Input")</f>
        <v>264571.6201255339</v>
      </c>
      <c r="D701" s="17"/>
    </row>
    <row r="702" spans="2:4" x14ac:dyDescent="0.35">
      <c r="B702" s="18">
        <v>511</v>
      </c>
      <c r="C702" s="6">
        <f>IFERROR(IF(OR(Inputs!$C$84=0,Inputs!$C$84="",ISERROR(Inputs!$C$84)),Inputs!$D$84,Inputs!$C$84*Inputs!$K$9*(1+Inputs!$K$12)^B702),"Error - Check Input")
+IFERROR(IF(OR(Inputs!$C$85=0,Inputs!$C$85="",ISERROR(Inputs!$C$85)),Inputs!$D$85,Inputs!$C$85*Inputs!$K$9*(1+Inputs!$K$12)^B702),"Error - Check Input")
+IFERROR(IF(OR(Inputs!$C$86=0,Inputs!$C$86="",ISERROR(Inputs!$C$86)),Inputs!$D$86,Inputs!$C$86*Inputs!$K$9*(1+Inputs!$K$12)^B702),"Error - Check Input")
+IFERROR(IF(OR(Inputs!$C$87=0,Inputs!$C$87="",ISERROR(Inputs!$C$87)),Inputs!$D$87,Inputs!$C$87*Inputs!$K$9*(1+Inputs!$K$12)^B702),"Error - Check Input")
+IFERROR(IF(OR(Inputs!$C$88=0,Inputs!$C$88="",ISERROR(Inputs!$C$88)),Inputs!$D$88,Inputs!$C$88*Inputs!$K$9*(1+Inputs!$K$12)^B702),"Error - Check Input")
+IFERROR(IF(OR(Inputs!$C$89=0,Inputs!$C$89="",ISERROR(Inputs!$C$89)),Inputs!$D$89,Inputs!$C$89*Inputs!$K$9*(1+Inputs!$K$12)^B702),"Error - Check Input")
+IFERROR(IF(OR(Inputs!$C$90=0,Inputs!$C$90="",ISERROR(Inputs!$C$90)),Inputs!$D$90,Inputs!$C$90*Inputs!$K$9*(1+Inputs!$K$12)^B702),"Error - Check Input")
+IFERROR(IF(OR(Inputs!$C$93=0,Inputs!$C$93="",ISERROR(Inputs!$C$93)),Inputs!$D$93,Inputs!$C$93*Inputs!$K$9*(1+Inputs!$K$12)^B702),"Error - Check Input")</f>
        <v>265631.18409853929</v>
      </c>
      <c r="D702" s="17"/>
    </row>
    <row r="703" spans="2:4" x14ac:dyDescent="0.35">
      <c r="B703" s="18">
        <v>512</v>
      </c>
      <c r="C703" s="6">
        <f>IFERROR(IF(OR(Inputs!$C$84=0,Inputs!$C$84="",ISERROR(Inputs!$C$84)),Inputs!$D$84,Inputs!$C$84*Inputs!$K$9*(1+Inputs!$K$12)^B703),"Error - Check Input")
+IFERROR(IF(OR(Inputs!$C$85=0,Inputs!$C$85="",ISERROR(Inputs!$C$85)),Inputs!$D$85,Inputs!$C$85*Inputs!$K$9*(1+Inputs!$K$12)^B703),"Error - Check Input")
+IFERROR(IF(OR(Inputs!$C$86=0,Inputs!$C$86="",ISERROR(Inputs!$C$86)),Inputs!$D$86,Inputs!$C$86*Inputs!$K$9*(1+Inputs!$K$12)^B703),"Error - Check Input")
+IFERROR(IF(OR(Inputs!$C$87=0,Inputs!$C$87="",ISERROR(Inputs!$C$87)),Inputs!$D$87,Inputs!$C$87*Inputs!$K$9*(1+Inputs!$K$12)^B703),"Error - Check Input")
+IFERROR(IF(OR(Inputs!$C$88=0,Inputs!$C$88="",ISERROR(Inputs!$C$88)),Inputs!$D$88,Inputs!$C$88*Inputs!$K$9*(1+Inputs!$K$12)^B703),"Error - Check Input")
+IFERROR(IF(OR(Inputs!$C$89=0,Inputs!$C$89="",ISERROR(Inputs!$C$89)),Inputs!$D$89,Inputs!$C$89*Inputs!$K$9*(1+Inputs!$K$12)^B703),"Error - Check Input")
+IFERROR(IF(OR(Inputs!$C$90=0,Inputs!$C$90="",ISERROR(Inputs!$C$90)),Inputs!$D$90,Inputs!$C$90*Inputs!$K$9*(1+Inputs!$K$12)^B703),"Error - Check Input")
+IFERROR(IF(OR(Inputs!$C$93=0,Inputs!$C$93="",ISERROR(Inputs!$C$93)),Inputs!$D$93,Inputs!$C$93*Inputs!$K$9*(1+Inputs!$K$12)^B703),"Error - Check Input")</f>
        <v>266695.06486632745</v>
      </c>
      <c r="D703" s="17"/>
    </row>
    <row r="704" spans="2:4" x14ac:dyDescent="0.35">
      <c r="B704" s="18">
        <v>513</v>
      </c>
      <c r="C704" s="6">
        <f>IFERROR(IF(OR(Inputs!$C$84=0,Inputs!$C$84="",ISERROR(Inputs!$C$84)),Inputs!$D$84,Inputs!$C$84*Inputs!$K$9*(1+Inputs!$K$12)^B704),"Error - Check Input")
+IFERROR(IF(OR(Inputs!$C$85=0,Inputs!$C$85="",ISERROR(Inputs!$C$85)),Inputs!$D$85,Inputs!$C$85*Inputs!$K$9*(1+Inputs!$K$12)^B704),"Error - Check Input")
+IFERROR(IF(OR(Inputs!$C$86=0,Inputs!$C$86="",ISERROR(Inputs!$C$86)),Inputs!$D$86,Inputs!$C$86*Inputs!$K$9*(1+Inputs!$K$12)^B704),"Error - Check Input")
+IFERROR(IF(OR(Inputs!$C$87=0,Inputs!$C$87="",ISERROR(Inputs!$C$87)),Inputs!$D$87,Inputs!$C$87*Inputs!$K$9*(1+Inputs!$K$12)^B704),"Error - Check Input")
+IFERROR(IF(OR(Inputs!$C$88=0,Inputs!$C$88="",ISERROR(Inputs!$C$88)),Inputs!$D$88,Inputs!$C$88*Inputs!$K$9*(1+Inputs!$K$12)^B704),"Error - Check Input")
+IFERROR(IF(OR(Inputs!$C$89=0,Inputs!$C$89="",ISERROR(Inputs!$C$89)),Inputs!$D$89,Inputs!$C$89*Inputs!$K$9*(1+Inputs!$K$12)^B704),"Error - Check Input")
+IFERROR(IF(OR(Inputs!$C$90=0,Inputs!$C$90="",ISERROR(Inputs!$C$90)),Inputs!$D$90,Inputs!$C$90*Inputs!$K$9*(1+Inputs!$K$12)^B704),"Error - Check Input")
+IFERROR(IF(OR(Inputs!$C$93=0,Inputs!$C$93="",ISERROR(Inputs!$C$93)),Inputs!$D$93,Inputs!$C$93*Inputs!$K$9*(1+Inputs!$K$12)^B704),"Error - Check Input")</f>
        <v>267763.28001605457</v>
      </c>
      <c r="D704" s="17"/>
    </row>
    <row r="705" spans="2:4" x14ac:dyDescent="0.35">
      <c r="B705" s="18">
        <v>514</v>
      </c>
      <c r="C705" s="6">
        <f>IFERROR(IF(OR(Inputs!$C$84=0,Inputs!$C$84="",ISERROR(Inputs!$C$84)),Inputs!$D$84,Inputs!$C$84*Inputs!$K$9*(1+Inputs!$K$12)^B705),"Error - Check Input")
+IFERROR(IF(OR(Inputs!$C$85=0,Inputs!$C$85="",ISERROR(Inputs!$C$85)),Inputs!$D$85,Inputs!$C$85*Inputs!$K$9*(1+Inputs!$K$12)^B705),"Error - Check Input")
+IFERROR(IF(OR(Inputs!$C$86=0,Inputs!$C$86="",ISERROR(Inputs!$C$86)),Inputs!$D$86,Inputs!$C$86*Inputs!$K$9*(1+Inputs!$K$12)^B705),"Error - Check Input")
+IFERROR(IF(OR(Inputs!$C$87=0,Inputs!$C$87="",ISERROR(Inputs!$C$87)),Inputs!$D$87,Inputs!$C$87*Inputs!$K$9*(1+Inputs!$K$12)^B705),"Error - Check Input")
+IFERROR(IF(OR(Inputs!$C$88=0,Inputs!$C$88="",ISERROR(Inputs!$C$88)),Inputs!$D$88,Inputs!$C$88*Inputs!$K$9*(1+Inputs!$K$12)^B705),"Error - Check Input")
+IFERROR(IF(OR(Inputs!$C$89=0,Inputs!$C$89="",ISERROR(Inputs!$C$89)),Inputs!$D$89,Inputs!$C$89*Inputs!$K$9*(1+Inputs!$K$12)^B705),"Error - Check Input")
+IFERROR(IF(OR(Inputs!$C$90=0,Inputs!$C$90="",ISERROR(Inputs!$C$90)),Inputs!$D$90,Inputs!$C$90*Inputs!$K$9*(1+Inputs!$K$12)^B705),"Error - Check Input")
+IFERROR(IF(OR(Inputs!$C$93=0,Inputs!$C$93="",ISERROR(Inputs!$C$93)),Inputs!$D$93,Inputs!$C$93*Inputs!$K$9*(1+Inputs!$K$12)^B705),"Error - Check Input")</f>
        <v>268835.84720652923</v>
      </c>
      <c r="D705" s="17"/>
    </row>
    <row r="706" spans="2:4" x14ac:dyDescent="0.35">
      <c r="B706" s="18">
        <v>515</v>
      </c>
      <c r="C706" s="6">
        <f>IFERROR(IF(OR(Inputs!$C$84=0,Inputs!$C$84="",ISERROR(Inputs!$C$84)),Inputs!$D$84,Inputs!$C$84*Inputs!$K$9*(1+Inputs!$K$12)^B706),"Error - Check Input")
+IFERROR(IF(OR(Inputs!$C$85=0,Inputs!$C$85="",ISERROR(Inputs!$C$85)),Inputs!$D$85,Inputs!$C$85*Inputs!$K$9*(1+Inputs!$K$12)^B706),"Error - Check Input")
+IFERROR(IF(OR(Inputs!$C$86=0,Inputs!$C$86="",ISERROR(Inputs!$C$86)),Inputs!$D$86,Inputs!$C$86*Inputs!$K$9*(1+Inputs!$K$12)^B706),"Error - Check Input")
+IFERROR(IF(OR(Inputs!$C$87=0,Inputs!$C$87="",ISERROR(Inputs!$C$87)),Inputs!$D$87,Inputs!$C$87*Inputs!$K$9*(1+Inputs!$K$12)^B706),"Error - Check Input")
+IFERROR(IF(OR(Inputs!$C$88=0,Inputs!$C$88="",ISERROR(Inputs!$C$88)),Inputs!$D$88,Inputs!$C$88*Inputs!$K$9*(1+Inputs!$K$12)^B706),"Error - Check Input")
+IFERROR(IF(OR(Inputs!$C$89=0,Inputs!$C$89="",ISERROR(Inputs!$C$89)),Inputs!$D$89,Inputs!$C$89*Inputs!$K$9*(1+Inputs!$K$12)^B706),"Error - Check Input")
+IFERROR(IF(OR(Inputs!$C$90=0,Inputs!$C$90="",ISERROR(Inputs!$C$90)),Inputs!$D$90,Inputs!$C$90*Inputs!$K$9*(1+Inputs!$K$12)^B706),"Error - Check Input")
+IFERROR(IF(OR(Inputs!$C$93=0,Inputs!$C$93="",ISERROR(Inputs!$C$93)),Inputs!$D$93,Inputs!$C$93*Inputs!$K$9*(1+Inputs!$K$12)^B706),"Error - Check Input")</f>
        <v>269912.78416850424</v>
      </c>
      <c r="D706" s="17"/>
    </row>
    <row r="707" spans="2:4" x14ac:dyDescent="0.35">
      <c r="B707" s="18">
        <v>516</v>
      </c>
      <c r="C707" s="6">
        <f>IFERROR(IF(OR(Inputs!$C$84=0,Inputs!$C$84="",ISERROR(Inputs!$C$84)),Inputs!$D$84,Inputs!$C$84*Inputs!$K$9*(1+Inputs!$K$12)^B707),"Error - Check Input")
+IFERROR(IF(OR(Inputs!$C$85=0,Inputs!$C$85="",ISERROR(Inputs!$C$85)),Inputs!$D$85,Inputs!$C$85*Inputs!$K$9*(1+Inputs!$K$12)^B707),"Error - Check Input")
+IFERROR(IF(OR(Inputs!$C$86=0,Inputs!$C$86="",ISERROR(Inputs!$C$86)),Inputs!$D$86,Inputs!$C$86*Inputs!$K$9*(1+Inputs!$K$12)^B707),"Error - Check Input")
+IFERROR(IF(OR(Inputs!$C$87=0,Inputs!$C$87="",ISERROR(Inputs!$C$87)),Inputs!$D$87,Inputs!$C$87*Inputs!$K$9*(1+Inputs!$K$12)^B707),"Error - Check Input")
+IFERROR(IF(OR(Inputs!$C$88=0,Inputs!$C$88="",ISERROR(Inputs!$C$88)),Inputs!$D$88,Inputs!$C$88*Inputs!$K$9*(1+Inputs!$K$12)^B707),"Error - Check Input")
+IFERROR(IF(OR(Inputs!$C$89=0,Inputs!$C$89="",ISERROR(Inputs!$C$89)),Inputs!$D$89,Inputs!$C$89*Inputs!$K$9*(1+Inputs!$K$12)^B707),"Error - Check Input")
+IFERROR(IF(OR(Inputs!$C$90=0,Inputs!$C$90="",ISERROR(Inputs!$C$90)),Inputs!$D$90,Inputs!$C$90*Inputs!$K$9*(1+Inputs!$K$12)^B707),"Error - Check Input")
+IFERROR(IF(OR(Inputs!$C$93=0,Inputs!$C$93="",ISERROR(Inputs!$C$93)),Inputs!$D$93,Inputs!$C$93*Inputs!$K$9*(1+Inputs!$K$12)^B707),"Error - Check Input")</f>
        <v>270994.10870496946</v>
      </c>
      <c r="D707" s="17"/>
    </row>
    <row r="708" spans="2:4" x14ac:dyDescent="0.35">
      <c r="B708" s="18">
        <v>517</v>
      </c>
      <c r="C708" s="6">
        <f>IFERROR(IF(OR(Inputs!$C$84=0,Inputs!$C$84="",ISERROR(Inputs!$C$84)),Inputs!$D$84,Inputs!$C$84*Inputs!$K$9*(1+Inputs!$K$12)^B708),"Error - Check Input")
+IFERROR(IF(OR(Inputs!$C$85=0,Inputs!$C$85="",ISERROR(Inputs!$C$85)),Inputs!$D$85,Inputs!$C$85*Inputs!$K$9*(1+Inputs!$K$12)^B708),"Error - Check Input")
+IFERROR(IF(OR(Inputs!$C$86=0,Inputs!$C$86="",ISERROR(Inputs!$C$86)),Inputs!$D$86,Inputs!$C$86*Inputs!$K$9*(1+Inputs!$K$12)^B708),"Error - Check Input")
+IFERROR(IF(OR(Inputs!$C$87=0,Inputs!$C$87="",ISERROR(Inputs!$C$87)),Inputs!$D$87,Inputs!$C$87*Inputs!$K$9*(1+Inputs!$K$12)^B708),"Error - Check Input")
+IFERROR(IF(OR(Inputs!$C$88=0,Inputs!$C$88="",ISERROR(Inputs!$C$88)),Inputs!$D$88,Inputs!$C$88*Inputs!$K$9*(1+Inputs!$K$12)^B708),"Error - Check Input")
+IFERROR(IF(OR(Inputs!$C$89=0,Inputs!$C$89="",ISERROR(Inputs!$C$89)),Inputs!$D$89,Inputs!$C$89*Inputs!$K$9*(1+Inputs!$K$12)^B708),"Error - Check Input")
+IFERROR(IF(OR(Inputs!$C$90=0,Inputs!$C$90="",ISERROR(Inputs!$C$90)),Inputs!$D$90,Inputs!$C$90*Inputs!$K$9*(1+Inputs!$K$12)^B708),"Error - Check Input")
+IFERROR(IF(OR(Inputs!$C$93=0,Inputs!$C$93="",ISERROR(Inputs!$C$93)),Inputs!$D$93,Inputs!$C$93*Inputs!$K$9*(1+Inputs!$K$12)^B708),"Error - Check Input")</f>
        <v>272079.83869144652</v>
      </c>
      <c r="D708" s="17"/>
    </row>
    <row r="709" spans="2:4" x14ac:dyDescent="0.35">
      <c r="B709" s="18">
        <v>518</v>
      </c>
      <c r="C709" s="6">
        <f>IFERROR(IF(OR(Inputs!$C$84=0,Inputs!$C$84="",ISERROR(Inputs!$C$84)),Inputs!$D$84,Inputs!$C$84*Inputs!$K$9*(1+Inputs!$K$12)^B709),"Error - Check Input")
+IFERROR(IF(OR(Inputs!$C$85=0,Inputs!$C$85="",ISERROR(Inputs!$C$85)),Inputs!$D$85,Inputs!$C$85*Inputs!$K$9*(1+Inputs!$K$12)^B709),"Error - Check Input")
+IFERROR(IF(OR(Inputs!$C$86=0,Inputs!$C$86="",ISERROR(Inputs!$C$86)),Inputs!$D$86,Inputs!$C$86*Inputs!$K$9*(1+Inputs!$K$12)^B709),"Error - Check Input")
+IFERROR(IF(OR(Inputs!$C$87=0,Inputs!$C$87="",ISERROR(Inputs!$C$87)),Inputs!$D$87,Inputs!$C$87*Inputs!$K$9*(1+Inputs!$K$12)^B709),"Error - Check Input")
+IFERROR(IF(OR(Inputs!$C$88=0,Inputs!$C$88="",ISERROR(Inputs!$C$88)),Inputs!$D$88,Inputs!$C$88*Inputs!$K$9*(1+Inputs!$K$12)^B709),"Error - Check Input")
+IFERROR(IF(OR(Inputs!$C$89=0,Inputs!$C$89="",ISERROR(Inputs!$C$89)),Inputs!$D$89,Inputs!$C$89*Inputs!$K$9*(1+Inputs!$K$12)^B709),"Error - Check Input")
+IFERROR(IF(OR(Inputs!$C$90=0,Inputs!$C$90="",ISERROR(Inputs!$C$90)),Inputs!$D$90,Inputs!$C$90*Inputs!$K$9*(1+Inputs!$K$12)^B709),"Error - Check Input")
+IFERROR(IF(OR(Inputs!$C$93=0,Inputs!$C$93="",ISERROR(Inputs!$C$93)),Inputs!$D$93,Inputs!$C$93*Inputs!$K$9*(1+Inputs!$K$12)^B709),"Error - Check Input")</f>
        <v>273169.99207628414</v>
      </c>
      <c r="D709" s="17"/>
    </row>
    <row r="710" spans="2:4" x14ac:dyDescent="0.35">
      <c r="B710" s="18">
        <v>519</v>
      </c>
      <c r="C710" s="6">
        <f>IFERROR(IF(OR(Inputs!$C$84=0,Inputs!$C$84="",ISERROR(Inputs!$C$84)),Inputs!$D$84,Inputs!$C$84*Inputs!$K$9*(1+Inputs!$K$12)^B710),"Error - Check Input")
+IFERROR(IF(OR(Inputs!$C$85=0,Inputs!$C$85="",ISERROR(Inputs!$C$85)),Inputs!$D$85,Inputs!$C$85*Inputs!$K$9*(1+Inputs!$K$12)^B710),"Error - Check Input")
+IFERROR(IF(OR(Inputs!$C$86=0,Inputs!$C$86="",ISERROR(Inputs!$C$86)),Inputs!$D$86,Inputs!$C$86*Inputs!$K$9*(1+Inputs!$K$12)^B710),"Error - Check Input")
+IFERROR(IF(OR(Inputs!$C$87=0,Inputs!$C$87="",ISERROR(Inputs!$C$87)),Inputs!$D$87,Inputs!$C$87*Inputs!$K$9*(1+Inputs!$K$12)^B710),"Error - Check Input")
+IFERROR(IF(OR(Inputs!$C$88=0,Inputs!$C$88="",ISERROR(Inputs!$C$88)),Inputs!$D$88,Inputs!$C$88*Inputs!$K$9*(1+Inputs!$K$12)^B710),"Error - Check Input")
+IFERROR(IF(OR(Inputs!$C$89=0,Inputs!$C$89="",ISERROR(Inputs!$C$89)),Inputs!$D$89,Inputs!$C$89*Inputs!$K$9*(1+Inputs!$K$12)^B710),"Error - Check Input")
+IFERROR(IF(OR(Inputs!$C$90=0,Inputs!$C$90="",ISERROR(Inputs!$C$90)),Inputs!$D$90,Inputs!$C$90*Inputs!$K$9*(1+Inputs!$K$12)^B710),"Error - Check Input")
+IFERROR(IF(OR(Inputs!$C$93=0,Inputs!$C$93="",ISERROR(Inputs!$C$93)),Inputs!$D$93,Inputs!$C$93*Inputs!$K$9*(1+Inputs!$K$12)^B710),"Error - Check Input")</f>
        <v>274264.5868809548</v>
      </c>
      <c r="D710" s="17"/>
    </row>
    <row r="711" spans="2:4" x14ac:dyDescent="0.35">
      <c r="B711" s="18">
        <v>520</v>
      </c>
      <c r="C711" s="6">
        <f>IFERROR(IF(OR(Inputs!$C$84=0,Inputs!$C$84="",ISERROR(Inputs!$C$84)),Inputs!$D$84,Inputs!$C$84*Inputs!$K$9*(1+Inputs!$K$12)^B711),"Error - Check Input")
+IFERROR(IF(OR(Inputs!$C$85=0,Inputs!$C$85="",ISERROR(Inputs!$C$85)),Inputs!$D$85,Inputs!$C$85*Inputs!$K$9*(1+Inputs!$K$12)^B711),"Error - Check Input")
+IFERROR(IF(OR(Inputs!$C$86=0,Inputs!$C$86="",ISERROR(Inputs!$C$86)),Inputs!$D$86,Inputs!$C$86*Inputs!$K$9*(1+Inputs!$K$12)^B711),"Error - Check Input")
+IFERROR(IF(OR(Inputs!$C$87=0,Inputs!$C$87="",ISERROR(Inputs!$C$87)),Inputs!$D$87,Inputs!$C$87*Inputs!$K$9*(1+Inputs!$K$12)^B711),"Error - Check Input")
+IFERROR(IF(OR(Inputs!$C$88=0,Inputs!$C$88="",ISERROR(Inputs!$C$88)),Inputs!$D$88,Inputs!$C$88*Inputs!$K$9*(1+Inputs!$K$12)^B711),"Error - Check Input")
+IFERROR(IF(OR(Inputs!$C$89=0,Inputs!$C$89="",ISERROR(Inputs!$C$89)),Inputs!$D$89,Inputs!$C$89*Inputs!$K$9*(1+Inputs!$K$12)^B711),"Error - Check Input")
+IFERROR(IF(OR(Inputs!$C$90=0,Inputs!$C$90="",ISERROR(Inputs!$C$90)),Inputs!$D$90,Inputs!$C$90*Inputs!$K$9*(1+Inputs!$K$12)^B711),"Error - Check Input")
+IFERROR(IF(OR(Inputs!$C$93=0,Inputs!$C$93="",ISERROR(Inputs!$C$93)),Inputs!$D$93,Inputs!$C$93*Inputs!$K$9*(1+Inputs!$K$12)^B711),"Error - Check Input")</f>
        <v>275363.64120035258</v>
      </c>
      <c r="D711" s="17"/>
    </row>
    <row r="712" spans="2:4" x14ac:dyDescent="0.35">
      <c r="B712" s="18">
        <v>521</v>
      </c>
      <c r="C712" s="6">
        <f>IFERROR(IF(OR(Inputs!$C$84=0,Inputs!$C$84="",ISERROR(Inputs!$C$84)),Inputs!$D$84,Inputs!$C$84*Inputs!$K$9*(1+Inputs!$K$12)^B712),"Error - Check Input")
+IFERROR(IF(OR(Inputs!$C$85=0,Inputs!$C$85="",ISERROR(Inputs!$C$85)),Inputs!$D$85,Inputs!$C$85*Inputs!$K$9*(1+Inputs!$K$12)^B712),"Error - Check Input")
+IFERROR(IF(OR(Inputs!$C$86=0,Inputs!$C$86="",ISERROR(Inputs!$C$86)),Inputs!$D$86,Inputs!$C$86*Inputs!$K$9*(1+Inputs!$K$12)^B712),"Error - Check Input")
+IFERROR(IF(OR(Inputs!$C$87=0,Inputs!$C$87="",ISERROR(Inputs!$C$87)),Inputs!$D$87,Inputs!$C$87*Inputs!$K$9*(1+Inputs!$K$12)^B712),"Error - Check Input")
+IFERROR(IF(OR(Inputs!$C$88=0,Inputs!$C$88="",ISERROR(Inputs!$C$88)),Inputs!$D$88,Inputs!$C$88*Inputs!$K$9*(1+Inputs!$K$12)^B712),"Error - Check Input")
+IFERROR(IF(OR(Inputs!$C$89=0,Inputs!$C$89="",ISERROR(Inputs!$C$89)),Inputs!$D$89,Inputs!$C$89*Inputs!$K$9*(1+Inputs!$K$12)^B712),"Error - Check Input")
+IFERROR(IF(OR(Inputs!$C$90=0,Inputs!$C$90="",ISERROR(Inputs!$C$90)),Inputs!$D$90,Inputs!$C$90*Inputs!$K$9*(1+Inputs!$K$12)^B712),"Error - Check Input")
+IFERROR(IF(OR(Inputs!$C$93=0,Inputs!$C$93="",ISERROR(Inputs!$C$93)),Inputs!$D$93,Inputs!$C$93*Inputs!$K$9*(1+Inputs!$K$12)^B712),"Error - Check Input")</f>
        <v>276467.17320309253</v>
      </c>
      <c r="D712" s="17"/>
    </row>
    <row r="713" spans="2:4" x14ac:dyDescent="0.35">
      <c r="B713" s="18">
        <v>522</v>
      </c>
      <c r="C713" s="6">
        <f>IFERROR(IF(OR(Inputs!$C$84=0,Inputs!$C$84="",ISERROR(Inputs!$C$84)),Inputs!$D$84,Inputs!$C$84*Inputs!$K$9*(1+Inputs!$K$12)^B713),"Error - Check Input")
+IFERROR(IF(OR(Inputs!$C$85=0,Inputs!$C$85="",ISERROR(Inputs!$C$85)),Inputs!$D$85,Inputs!$C$85*Inputs!$K$9*(1+Inputs!$K$12)^B713),"Error - Check Input")
+IFERROR(IF(OR(Inputs!$C$86=0,Inputs!$C$86="",ISERROR(Inputs!$C$86)),Inputs!$D$86,Inputs!$C$86*Inputs!$K$9*(1+Inputs!$K$12)^B713),"Error - Check Input")
+IFERROR(IF(OR(Inputs!$C$87=0,Inputs!$C$87="",ISERROR(Inputs!$C$87)),Inputs!$D$87,Inputs!$C$87*Inputs!$K$9*(1+Inputs!$K$12)^B713),"Error - Check Input")
+IFERROR(IF(OR(Inputs!$C$88=0,Inputs!$C$88="",ISERROR(Inputs!$C$88)),Inputs!$D$88,Inputs!$C$88*Inputs!$K$9*(1+Inputs!$K$12)^B713),"Error - Check Input")
+IFERROR(IF(OR(Inputs!$C$89=0,Inputs!$C$89="",ISERROR(Inputs!$C$89)),Inputs!$D$89,Inputs!$C$89*Inputs!$K$9*(1+Inputs!$K$12)^B713),"Error - Check Input")
+IFERROR(IF(OR(Inputs!$C$90=0,Inputs!$C$90="",ISERROR(Inputs!$C$90)),Inputs!$D$90,Inputs!$C$90*Inputs!$K$9*(1+Inputs!$K$12)^B713),"Error - Check Input")
+IFERROR(IF(OR(Inputs!$C$93=0,Inputs!$C$93="",ISERROR(Inputs!$C$93)),Inputs!$D$93,Inputs!$C$93*Inputs!$K$9*(1+Inputs!$K$12)^B713),"Error - Check Input")</f>
        <v>277575.2011318109</v>
      </c>
      <c r="D713" s="17"/>
    </row>
    <row r="714" spans="2:4" x14ac:dyDescent="0.35">
      <c r="B714" s="18">
        <v>523</v>
      </c>
      <c r="C714" s="6">
        <f>IFERROR(IF(OR(Inputs!$C$84=0,Inputs!$C$84="",ISERROR(Inputs!$C$84)),Inputs!$D$84,Inputs!$C$84*Inputs!$K$9*(1+Inputs!$K$12)^B714),"Error - Check Input")
+IFERROR(IF(OR(Inputs!$C$85=0,Inputs!$C$85="",ISERROR(Inputs!$C$85)),Inputs!$D$85,Inputs!$C$85*Inputs!$K$9*(1+Inputs!$K$12)^B714),"Error - Check Input")
+IFERROR(IF(OR(Inputs!$C$86=0,Inputs!$C$86="",ISERROR(Inputs!$C$86)),Inputs!$D$86,Inputs!$C$86*Inputs!$K$9*(1+Inputs!$K$12)^B714),"Error - Check Input")
+IFERROR(IF(OR(Inputs!$C$87=0,Inputs!$C$87="",ISERROR(Inputs!$C$87)),Inputs!$D$87,Inputs!$C$87*Inputs!$K$9*(1+Inputs!$K$12)^B714),"Error - Check Input")
+IFERROR(IF(OR(Inputs!$C$88=0,Inputs!$C$88="",ISERROR(Inputs!$C$88)),Inputs!$D$88,Inputs!$C$88*Inputs!$K$9*(1+Inputs!$K$12)^B714),"Error - Check Input")
+IFERROR(IF(OR(Inputs!$C$89=0,Inputs!$C$89="",ISERROR(Inputs!$C$89)),Inputs!$D$89,Inputs!$C$89*Inputs!$K$9*(1+Inputs!$K$12)^B714),"Error - Check Input")
+IFERROR(IF(OR(Inputs!$C$90=0,Inputs!$C$90="",ISERROR(Inputs!$C$90)),Inputs!$D$90,Inputs!$C$90*Inputs!$K$9*(1+Inputs!$K$12)^B714),"Error - Check Input")
+IFERROR(IF(OR(Inputs!$C$93=0,Inputs!$C$93="",ISERROR(Inputs!$C$93)),Inputs!$D$93,Inputs!$C$93*Inputs!$K$9*(1+Inputs!$K$12)^B714),"Error - Check Input")</f>
        <v>278687.74330346659</v>
      </c>
      <c r="D714" s="17"/>
    </row>
    <row r="715" spans="2:4" x14ac:dyDescent="0.35">
      <c r="B715" s="18">
        <v>524</v>
      </c>
      <c r="C715" s="6">
        <f>IFERROR(IF(OR(Inputs!$C$84=0,Inputs!$C$84="",ISERROR(Inputs!$C$84)),Inputs!$D$84,Inputs!$C$84*Inputs!$K$9*(1+Inputs!$K$12)^B715),"Error - Check Input")
+IFERROR(IF(OR(Inputs!$C$85=0,Inputs!$C$85="",ISERROR(Inputs!$C$85)),Inputs!$D$85,Inputs!$C$85*Inputs!$K$9*(1+Inputs!$K$12)^B715),"Error - Check Input")
+IFERROR(IF(OR(Inputs!$C$86=0,Inputs!$C$86="",ISERROR(Inputs!$C$86)),Inputs!$D$86,Inputs!$C$86*Inputs!$K$9*(1+Inputs!$K$12)^B715),"Error - Check Input")
+IFERROR(IF(OR(Inputs!$C$87=0,Inputs!$C$87="",ISERROR(Inputs!$C$87)),Inputs!$D$87,Inputs!$C$87*Inputs!$K$9*(1+Inputs!$K$12)^B715),"Error - Check Input")
+IFERROR(IF(OR(Inputs!$C$88=0,Inputs!$C$88="",ISERROR(Inputs!$C$88)),Inputs!$D$88,Inputs!$C$88*Inputs!$K$9*(1+Inputs!$K$12)^B715),"Error - Check Input")
+IFERROR(IF(OR(Inputs!$C$89=0,Inputs!$C$89="",ISERROR(Inputs!$C$89)),Inputs!$D$89,Inputs!$C$89*Inputs!$K$9*(1+Inputs!$K$12)^B715),"Error - Check Input")
+IFERROR(IF(OR(Inputs!$C$90=0,Inputs!$C$90="",ISERROR(Inputs!$C$90)),Inputs!$D$90,Inputs!$C$90*Inputs!$K$9*(1+Inputs!$K$12)^B715),"Error - Check Input")
+IFERROR(IF(OR(Inputs!$C$93=0,Inputs!$C$93="",ISERROR(Inputs!$C$93)),Inputs!$D$93,Inputs!$C$93*Inputs!$K$9*(1+Inputs!$K$12)^B715),"Error - Check Input")</f>
        <v>279804.81810964411</v>
      </c>
      <c r="D715" s="17"/>
    </row>
    <row r="716" spans="2:4" x14ac:dyDescent="0.35">
      <c r="B716" s="18">
        <v>525</v>
      </c>
      <c r="C716" s="6">
        <f>IFERROR(IF(OR(Inputs!$C$84=0,Inputs!$C$84="",ISERROR(Inputs!$C$84)),Inputs!$D$84,Inputs!$C$84*Inputs!$K$9*(1+Inputs!$K$12)^B716),"Error - Check Input")
+IFERROR(IF(OR(Inputs!$C$85=0,Inputs!$C$85="",ISERROR(Inputs!$C$85)),Inputs!$D$85,Inputs!$C$85*Inputs!$K$9*(1+Inputs!$K$12)^B716),"Error - Check Input")
+IFERROR(IF(OR(Inputs!$C$86=0,Inputs!$C$86="",ISERROR(Inputs!$C$86)),Inputs!$D$86,Inputs!$C$86*Inputs!$K$9*(1+Inputs!$K$12)^B716),"Error - Check Input")
+IFERROR(IF(OR(Inputs!$C$87=0,Inputs!$C$87="",ISERROR(Inputs!$C$87)),Inputs!$D$87,Inputs!$C$87*Inputs!$K$9*(1+Inputs!$K$12)^B716),"Error - Check Input")
+IFERROR(IF(OR(Inputs!$C$88=0,Inputs!$C$88="",ISERROR(Inputs!$C$88)),Inputs!$D$88,Inputs!$C$88*Inputs!$K$9*(1+Inputs!$K$12)^B716),"Error - Check Input")
+IFERROR(IF(OR(Inputs!$C$89=0,Inputs!$C$89="",ISERROR(Inputs!$C$89)),Inputs!$D$89,Inputs!$C$89*Inputs!$K$9*(1+Inputs!$K$12)^B716),"Error - Check Input")
+IFERROR(IF(OR(Inputs!$C$90=0,Inputs!$C$90="",ISERROR(Inputs!$C$90)),Inputs!$D$90,Inputs!$C$90*Inputs!$K$9*(1+Inputs!$K$12)^B716),"Error - Check Input")
+IFERROR(IF(OR(Inputs!$C$93=0,Inputs!$C$93="",ISERROR(Inputs!$C$93)),Inputs!$D$93,Inputs!$C$93*Inputs!$K$9*(1+Inputs!$K$12)^B716),"Error - Check Input")</f>
        <v>280926.44401685754</v>
      </c>
      <c r="D716" s="17"/>
    </row>
    <row r="717" spans="2:4" x14ac:dyDescent="0.35">
      <c r="B717" s="18">
        <v>526</v>
      </c>
      <c r="C717" s="6">
        <f>IFERROR(IF(OR(Inputs!$C$84=0,Inputs!$C$84="",ISERROR(Inputs!$C$84)),Inputs!$D$84,Inputs!$C$84*Inputs!$K$9*(1+Inputs!$K$12)^B717),"Error - Check Input")
+IFERROR(IF(OR(Inputs!$C$85=0,Inputs!$C$85="",ISERROR(Inputs!$C$85)),Inputs!$D$85,Inputs!$C$85*Inputs!$K$9*(1+Inputs!$K$12)^B717),"Error - Check Input")
+IFERROR(IF(OR(Inputs!$C$86=0,Inputs!$C$86="",ISERROR(Inputs!$C$86)),Inputs!$D$86,Inputs!$C$86*Inputs!$K$9*(1+Inputs!$K$12)^B717),"Error - Check Input")
+IFERROR(IF(OR(Inputs!$C$87=0,Inputs!$C$87="",ISERROR(Inputs!$C$87)),Inputs!$D$87,Inputs!$C$87*Inputs!$K$9*(1+Inputs!$K$12)^B717),"Error - Check Input")
+IFERROR(IF(OR(Inputs!$C$88=0,Inputs!$C$88="",ISERROR(Inputs!$C$88)),Inputs!$D$88,Inputs!$C$88*Inputs!$K$9*(1+Inputs!$K$12)^B717),"Error - Check Input")
+IFERROR(IF(OR(Inputs!$C$89=0,Inputs!$C$89="",ISERROR(Inputs!$C$89)),Inputs!$D$89,Inputs!$C$89*Inputs!$K$9*(1+Inputs!$K$12)^B717),"Error - Check Input")
+IFERROR(IF(OR(Inputs!$C$90=0,Inputs!$C$90="",ISERROR(Inputs!$C$90)),Inputs!$D$90,Inputs!$C$90*Inputs!$K$9*(1+Inputs!$K$12)^B717),"Error - Check Input")
+IFERROR(IF(OR(Inputs!$C$93=0,Inputs!$C$93="",ISERROR(Inputs!$C$93)),Inputs!$D$93,Inputs!$C$93*Inputs!$K$9*(1+Inputs!$K$12)^B717),"Error - Check Input")</f>
        <v>282052.63956685603</v>
      </c>
      <c r="D717" s="17"/>
    </row>
    <row r="718" spans="2:4" x14ac:dyDescent="0.35">
      <c r="B718" s="18">
        <v>527</v>
      </c>
      <c r="C718" s="6">
        <f>IFERROR(IF(OR(Inputs!$C$84=0,Inputs!$C$84="",ISERROR(Inputs!$C$84)),Inputs!$D$84,Inputs!$C$84*Inputs!$K$9*(1+Inputs!$K$12)^B718),"Error - Check Input")
+IFERROR(IF(OR(Inputs!$C$85=0,Inputs!$C$85="",ISERROR(Inputs!$C$85)),Inputs!$D$85,Inputs!$C$85*Inputs!$K$9*(1+Inputs!$K$12)^B718),"Error - Check Input")
+IFERROR(IF(OR(Inputs!$C$86=0,Inputs!$C$86="",ISERROR(Inputs!$C$86)),Inputs!$D$86,Inputs!$C$86*Inputs!$K$9*(1+Inputs!$K$12)^B718),"Error - Check Input")
+IFERROR(IF(OR(Inputs!$C$87=0,Inputs!$C$87="",ISERROR(Inputs!$C$87)),Inputs!$D$87,Inputs!$C$87*Inputs!$K$9*(1+Inputs!$K$12)^B718),"Error - Check Input")
+IFERROR(IF(OR(Inputs!$C$88=0,Inputs!$C$88="",ISERROR(Inputs!$C$88)),Inputs!$D$88,Inputs!$C$88*Inputs!$K$9*(1+Inputs!$K$12)^B718),"Error - Check Input")
+IFERROR(IF(OR(Inputs!$C$89=0,Inputs!$C$89="",ISERROR(Inputs!$C$89)),Inputs!$D$89,Inputs!$C$89*Inputs!$K$9*(1+Inputs!$K$12)^B718),"Error - Check Input")
+IFERROR(IF(OR(Inputs!$C$90=0,Inputs!$C$90="",ISERROR(Inputs!$C$90)),Inputs!$D$90,Inputs!$C$90*Inputs!$K$9*(1+Inputs!$K$12)^B718),"Error - Check Input")
+IFERROR(IF(OR(Inputs!$C$93=0,Inputs!$C$93="",ISERROR(Inputs!$C$93)),Inputs!$D$93,Inputs!$C$93*Inputs!$K$9*(1+Inputs!$K$12)^B718),"Error - Check Input")</f>
        <v>283183.42337692971</v>
      </c>
      <c r="D718" s="17"/>
    </row>
    <row r="719" spans="2:4" x14ac:dyDescent="0.35">
      <c r="B719" s="18">
        <v>528</v>
      </c>
      <c r="C719" s="6">
        <f>IFERROR(IF(OR(Inputs!$C$84=0,Inputs!$C$84="",ISERROR(Inputs!$C$84)),Inputs!$D$84,Inputs!$C$84*Inputs!$K$9*(1+Inputs!$K$12)^B719),"Error - Check Input")
+IFERROR(IF(OR(Inputs!$C$85=0,Inputs!$C$85="",ISERROR(Inputs!$C$85)),Inputs!$D$85,Inputs!$C$85*Inputs!$K$9*(1+Inputs!$K$12)^B719),"Error - Check Input")
+IFERROR(IF(OR(Inputs!$C$86=0,Inputs!$C$86="",ISERROR(Inputs!$C$86)),Inputs!$D$86,Inputs!$C$86*Inputs!$K$9*(1+Inputs!$K$12)^B719),"Error - Check Input")
+IFERROR(IF(OR(Inputs!$C$87=0,Inputs!$C$87="",ISERROR(Inputs!$C$87)),Inputs!$D$87,Inputs!$C$87*Inputs!$K$9*(1+Inputs!$K$12)^B719),"Error - Check Input")
+IFERROR(IF(OR(Inputs!$C$88=0,Inputs!$C$88="",ISERROR(Inputs!$C$88)),Inputs!$D$88,Inputs!$C$88*Inputs!$K$9*(1+Inputs!$K$12)^B719),"Error - Check Input")
+IFERROR(IF(OR(Inputs!$C$89=0,Inputs!$C$89="",ISERROR(Inputs!$C$89)),Inputs!$D$89,Inputs!$C$89*Inputs!$K$9*(1+Inputs!$K$12)^B719),"Error - Check Input")
+IFERROR(IF(OR(Inputs!$C$90=0,Inputs!$C$90="",ISERROR(Inputs!$C$90)),Inputs!$D$90,Inputs!$C$90*Inputs!$K$9*(1+Inputs!$K$12)^B719),"Error - Check Input")
+IFERROR(IF(OR(Inputs!$C$93=0,Inputs!$C$93="",ISERROR(Inputs!$C$93)),Inputs!$D$93,Inputs!$C$93*Inputs!$K$9*(1+Inputs!$K$12)^B719),"Error - Check Input")</f>
        <v>284318.81414021825</v>
      </c>
      <c r="D719" s="17"/>
    </row>
    <row r="720" spans="2:4" x14ac:dyDescent="0.35">
      <c r="B720" s="18">
        <v>529</v>
      </c>
      <c r="C720" s="6">
        <f>IFERROR(IF(OR(Inputs!$C$84=0,Inputs!$C$84="",ISERROR(Inputs!$C$84)),Inputs!$D$84,Inputs!$C$84*Inputs!$K$9*(1+Inputs!$K$12)^B720),"Error - Check Input")
+IFERROR(IF(OR(Inputs!$C$85=0,Inputs!$C$85="",ISERROR(Inputs!$C$85)),Inputs!$D$85,Inputs!$C$85*Inputs!$K$9*(1+Inputs!$K$12)^B720),"Error - Check Input")
+IFERROR(IF(OR(Inputs!$C$86=0,Inputs!$C$86="",ISERROR(Inputs!$C$86)),Inputs!$D$86,Inputs!$C$86*Inputs!$K$9*(1+Inputs!$K$12)^B720),"Error - Check Input")
+IFERROR(IF(OR(Inputs!$C$87=0,Inputs!$C$87="",ISERROR(Inputs!$C$87)),Inputs!$D$87,Inputs!$C$87*Inputs!$K$9*(1+Inputs!$K$12)^B720),"Error - Check Input")
+IFERROR(IF(OR(Inputs!$C$88=0,Inputs!$C$88="",ISERROR(Inputs!$C$88)),Inputs!$D$88,Inputs!$C$88*Inputs!$K$9*(1+Inputs!$K$12)^B720),"Error - Check Input")
+IFERROR(IF(OR(Inputs!$C$89=0,Inputs!$C$89="",ISERROR(Inputs!$C$89)),Inputs!$D$89,Inputs!$C$89*Inputs!$K$9*(1+Inputs!$K$12)^B720),"Error - Check Input")
+IFERROR(IF(OR(Inputs!$C$90=0,Inputs!$C$90="",ISERROR(Inputs!$C$90)),Inputs!$D$90,Inputs!$C$90*Inputs!$K$9*(1+Inputs!$K$12)^B720),"Error - Check Input")
+IFERROR(IF(OR(Inputs!$C$93=0,Inputs!$C$93="",ISERROR(Inputs!$C$93)),Inputs!$D$93,Inputs!$C$93*Inputs!$K$9*(1+Inputs!$K$12)^B720),"Error - Check Input")</f>
        <v>285458.83062601922</v>
      </c>
      <c r="D720" s="17"/>
    </row>
    <row r="721" spans="2:4" x14ac:dyDescent="0.35">
      <c r="B721" s="18">
        <v>530</v>
      </c>
      <c r="C721" s="6">
        <f>IFERROR(IF(OR(Inputs!$C$84=0,Inputs!$C$84="",ISERROR(Inputs!$C$84)),Inputs!$D$84,Inputs!$C$84*Inputs!$K$9*(1+Inputs!$K$12)^B721),"Error - Check Input")
+IFERROR(IF(OR(Inputs!$C$85=0,Inputs!$C$85="",ISERROR(Inputs!$C$85)),Inputs!$D$85,Inputs!$C$85*Inputs!$K$9*(1+Inputs!$K$12)^B721),"Error - Check Input")
+IFERROR(IF(OR(Inputs!$C$86=0,Inputs!$C$86="",ISERROR(Inputs!$C$86)),Inputs!$D$86,Inputs!$C$86*Inputs!$K$9*(1+Inputs!$K$12)^B721),"Error - Check Input")
+IFERROR(IF(OR(Inputs!$C$87=0,Inputs!$C$87="",ISERROR(Inputs!$C$87)),Inputs!$D$87,Inputs!$C$87*Inputs!$K$9*(1+Inputs!$K$12)^B721),"Error - Check Input")
+IFERROR(IF(OR(Inputs!$C$88=0,Inputs!$C$88="",ISERROR(Inputs!$C$88)),Inputs!$D$88,Inputs!$C$88*Inputs!$K$9*(1+Inputs!$K$12)^B721),"Error - Check Input")
+IFERROR(IF(OR(Inputs!$C$89=0,Inputs!$C$89="",ISERROR(Inputs!$C$89)),Inputs!$D$89,Inputs!$C$89*Inputs!$K$9*(1+Inputs!$K$12)^B721),"Error - Check Input")
+IFERROR(IF(OR(Inputs!$C$90=0,Inputs!$C$90="",ISERROR(Inputs!$C$90)),Inputs!$D$90,Inputs!$C$90*Inputs!$K$9*(1+Inputs!$K$12)^B721),"Error - Check Input")
+IFERROR(IF(OR(Inputs!$C$93=0,Inputs!$C$93="",ISERROR(Inputs!$C$93)),Inputs!$D$93,Inputs!$C$93*Inputs!$K$9*(1+Inputs!$K$12)^B721),"Error - Check Input")</f>
        <v>286603.4916800987</v>
      </c>
      <c r="D721" s="17"/>
    </row>
    <row r="722" spans="2:4" x14ac:dyDescent="0.35">
      <c r="B722" s="18">
        <v>531</v>
      </c>
      <c r="C722" s="6">
        <f>IFERROR(IF(OR(Inputs!$C$84=0,Inputs!$C$84="",ISERROR(Inputs!$C$84)),Inputs!$D$84,Inputs!$C$84*Inputs!$K$9*(1+Inputs!$K$12)^B722),"Error - Check Input")
+IFERROR(IF(OR(Inputs!$C$85=0,Inputs!$C$85="",ISERROR(Inputs!$C$85)),Inputs!$D$85,Inputs!$C$85*Inputs!$K$9*(1+Inputs!$K$12)^B722),"Error - Check Input")
+IFERROR(IF(OR(Inputs!$C$86=0,Inputs!$C$86="",ISERROR(Inputs!$C$86)),Inputs!$D$86,Inputs!$C$86*Inputs!$K$9*(1+Inputs!$K$12)^B722),"Error - Check Input")
+IFERROR(IF(OR(Inputs!$C$87=0,Inputs!$C$87="",ISERROR(Inputs!$C$87)),Inputs!$D$87,Inputs!$C$87*Inputs!$K$9*(1+Inputs!$K$12)^B722),"Error - Check Input")
+IFERROR(IF(OR(Inputs!$C$88=0,Inputs!$C$88="",ISERROR(Inputs!$C$88)),Inputs!$D$88,Inputs!$C$88*Inputs!$K$9*(1+Inputs!$K$12)^B722),"Error - Check Input")
+IFERROR(IF(OR(Inputs!$C$89=0,Inputs!$C$89="",ISERROR(Inputs!$C$89)),Inputs!$D$89,Inputs!$C$89*Inputs!$K$9*(1+Inputs!$K$12)^B722),"Error - Check Input")
+IFERROR(IF(OR(Inputs!$C$90=0,Inputs!$C$90="",ISERROR(Inputs!$C$90)),Inputs!$D$90,Inputs!$C$90*Inputs!$K$9*(1+Inputs!$K$12)^B722),"Error - Check Input")
+IFERROR(IF(OR(Inputs!$C$93=0,Inputs!$C$93="",ISERROR(Inputs!$C$93)),Inputs!$D$93,Inputs!$C$93*Inputs!$K$9*(1+Inputs!$K$12)^B722),"Error - Check Input")</f>
        <v>287752.81622500287</v>
      </c>
      <c r="D722" s="17"/>
    </row>
    <row r="723" spans="2:4" x14ac:dyDescent="0.35">
      <c r="B723" s="18">
        <v>532</v>
      </c>
      <c r="C723" s="6">
        <f>IFERROR(IF(OR(Inputs!$C$84=0,Inputs!$C$84="",ISERROR(Inputs!$C$84)),Inputs!$D$84,Inputs!$C$84*Inputs!$K$9*(1+Inputs!$K$12)^B723),"Error - Check Input")
+IFERROR(IF(OR(Inputs!$C$85=0,Inputs!$C$85="",ISERROR(Inputs!$C$85)),Inputs!$D$85,Inputs!$C$85*Inputs!$K$9*(1+Inputs!$K$12)^B723),"Error - Check Input")
+IFERROR(IF(OR(Inputs!$C$86=0,Inputs!$C$86="",ISERROR(Inputs!$C$86)),Inputs!$D$86,Inputs!$C$86*Inputs!$K$9*(1+Inputs!$K$12)^B723),"Error - Check Input")
+IFERROR(IF(OR(Inputs!$C$87=0,Inputs!$C$87="",ISERROR(Inputs!$C$87)),Inputs!$D$87,Inputs!$C$87*Inputs!$K$9*(1+Inputs!$K$12)^B723),"Error - Check Input")
+IFERROR(IF(OR(Inputs!$C$88=0,Inputs!$C$88="",ISERROR(Inputs!$C$88)),Inputs!$D$88,Inputs!$C$88*Inputs!$K$9*(1+Inputs!$K$12)^B723),"Error - Check Input")
+IFERROR(IF(OR(Inputs!$C$89=0,Inputs!$C$89="",ISERROR(Inputs!$C$89)),Inputs!$D$89,Inputs!$C$89*Inputs!$K$9*(1+Inputs!$K$12)^B723),"Error - Check Input")
+IFERROR(IF(OR(Inputs!$C$90=0,Inputs!$C$90="",ISERROR(Inputs!$C$90)),Inputs!$D$90,Inputs!$C$90*Inputs!$K$9*(1+Inputs!$K$12)^B723),"Error - Check Input")
+IFERROR(IF(OR(Inputs!$C$93=0,Inputs!$C$93="",ISERROR(Inputs!$C$93)),Inputs!$D$93,Inputs!$C$93*Inputs!$K$9*(1+Inputs!$K$12)^B723),"Error - Check Input")</f>
        <v>288906.82326037053</v>
      </c>
      <c r="D723" s="17"/>
    </row>
    <row r="724" spans="2:4" x14ac:dyDescent="0.35">
      <c r="B724" s="18">
        <v>533</v>
      </c>
      <c r="C724" s="6">
        <f>IFERROR(IF(OR(Inputs!$C$84=0,Inputs!$C$84="",ISERROR(Inputs!$C$84)),Inputs!$D$84,Inputs!$C$84*Inputs!$K$9*(1+Inputs!$K$12)^B724),"Error - Check Input")
+IFERROR(IF(OR(Inputs!$C$85=0,Inputs!$C$85="",ISERROR(Inputs!$C$85)),Inputs!$D$85,Inputs!$C$85*Inputs!$K$9*(1+Inputs!$K$12)^B724),"Error - Check Input")
+IFERROR(IF(OR(Inputs!$C$86=0,Inputs!$C$86="",ISERROR(Inputs!$C$86)),Inputs!$D$86,Inputs!$C$86*Inputs!$K$9*(1+Inputs!$K$12)^B724),"Error - Check Input")
+IFERROR(IF(OR(Inputs!$C$87=0,Inputs!$C$87="",ISERROR(Inputs!$C$87)),Inputs!$D$87,Inputs!$C$87*Inputs!$K$9*(1+Inputs!$K$12)^B724),"Error - Check Input")
+IFERROR(IF(OR(Inputs!$C$88=0,Inputs!$C$88="",ISERROR(Inputs!$C$88)),Inputs!$D$88,Inputs!$C$88*Inputs!$K$9*(1+Inputs!$K$12)^B724),"Error - Check Input")
+IFERROR(IF(OR(Inputs!$C$89=0,Inputs!$C$89="",ISERROR(Inputs!$C$89)),Inputs!$D$89,Inputs!$C$89*Inputs!$K$9*(1+Inputs!$K$12)^B724),"Error - Check Input")
+IFERROR(IF(OR(Inputs!$C$90=0,Inputs!$C$90="",ISERROR(Inputs!$C$90)),Inputs!$D$90,Inputs!$C$90*Inputs!$K$9*(1+Inputs!$K$12)^B724),"Error - Check Input")
+IFERROR(IF(OR(Inputs!$C$93=0,Inputs!$C$93="",ISERROR(Inputs!$C$93)),Inputs!$D$93,Inputs!$C$93*Inputs!$K$9*(1+Inputs!$K$12)^B724),"Error - Check Input")</f>
        <v>290065.53186324745</v>
      </c>
      <c r="D724" s="17"/>
    </row>
    <row r="725" spans="2:4" x14ac:dyDescent="0.35">
      <c r="B725" s="18">
        <v>534</v>
      </c>
      <c r="C725" s="6">
        <f>IFERROR(IF(OR(Inputs!$C$84=0,Inputs!$C$84="",ISERROR(Inputs!$C$84)),Inputs!$D$84,Inputs!$C$84*Inputs!$K$9*(1+Inputs!$K$12)^B725),"Error - Check Input")
+IFERROR(IF(OR(Inputs!$C$85=0,Inputs!$C$85="",ISERROR(Inputs!$C$85)),Inputs!$D$85,Inputs!$C$85*Inputs!$K$9*(1+Inputs!$K$12)^B725),"Error - Check Input")
+IFERROR(IF(OR(Inputs!$C$86=0,Inputs!$C$86="",ISERROR(Inputs!$C$86)),Inputs!$D$86,Inputs!$C$86*Inputs!$K$9*(1+Inputs!$K$12)^B725),"Error - Check Input")
+IFERROR(IF(OR(Inputs!$C$87=0,Inputs!$C$87="",ISERROR(Inputs!$C$87)),Inputs!$D$87,Inputs!$C$87*Inputs!$K$9*(1+Inputs!$K$12)^B725),"Error - Check Input")
+IFERROR(IF(OR(Inputs!$C$88=0,Inputs!$C$88="",ISERROR(Inputs!$C$88)),Inputs!$D$88,Inputs!$C$88*Inputs!$K$9*(1+Inputs!$K$12)^B725),"Error - Check Input")
+IFERROR(IF(OR(Inputs!$C$89=0,Inputs!$C$89="",ISERROR(Inputs!$C$89)),Inputs!$D$89,Inputs!$C$89*Inputs!$K$9*(1+Inputs!$K$12)^B725),"Error - Check Input")
+IFERROR(IF(OR(Inputs!$C$90=0,Inputs!$C$90="",ISERROR(Inputs!$C$90)),Inputs!$D$90,Inputs!$C$90*Inputs!$K$9*(1+Inputs!$K$12)^B725),"Error - Check Input")
+IFERROR(IF(OR(Inputs!$C$93=0,Inputs!$C$93="",ISERROR(Inputs!$C$93)),Inputs!$D$93,Inputs!$C$93*Inputs!$K$9*(1+Inputs!$K$12)^B725),"Error - Check Input")</f>
        <v>291228.96118840174</v>
      </c>
      <c r="D725" s="17"/>
    </row>
    <row r="726" spans="2:4" x14ac:dyDescent="0.35">
      <c r="B726" s="18">
        <v>535</v>
      </c>
      <c r="C726" s="6">
        <f>IFERROR(IF(OR(Inputs!$C$84=0,Inputs!$C$84="",ISERROR(Inputs!$C$84)),Inputs!$D$84,Inputs!$C$84*Inputs!$K$9*(1+Inputs!$K$12)^B726),"Error - Check Input")
+IFERROR(IF(OR(Inputs!$C$85=0,Inputs!$C$85="",ISERROR(Inputs!$C$85)),Inputs!$D$85,Inputs!$C$85*Inputs!$K$9*(1+Inputs!$K$12)^B726),"Error - Check Input")
+IFERROR(IF(OR(Inputs!$C$86=0,Inputs!$C$86="",ISERROR(Inputs!$C$86)),Inputs!$D$86,Inputs!$C$86*Inputs!$K$9*(1+Inputs!$K$12)^B726),"Error - Check Input")
+IFERROR(IF(OR(Inputs!$C$87=0,Inputs!$C$87="",ISERROR(Inputs!$C$87)),Inputs!$D$87,Inputs!$C$87*Inputs!$K$9*(1+Inputs!$K$12)^B726),"Error - Check Input")
+IFERROR(IF(OR(Inputs!$C$88=0,Inputs!$C$88="",ISERROR(Inputs!$C$88)),Inputs!$D$88,Inputs!$C$88*Inputs!$K$9*(1+Inputs!$K$12)^B726),"Error - Check Input")
+IFERROR(IF(OR(Inputs!$C$89=0,Inputs!$C$89="",ISERROR(Inputs!$C$89)),Inputs!$D$89,Inputs!$C$89*Inputs!$K$9*(1+Inputs!$K$12)^B726),"Error - Check Input")
+IFERROR(IF(OR(Inputs!$C$90=0,Inputs!$C$90="",ISERROR(Inputs!$C$90)),Inputs!$D$90,Inputs!$C$90*Inputs!$K$9*(1+Inputs!$K$12)^B726),"Error - Check Input")
+IFERROR(IF(OR(Inputs!$C$93=0,Inputs!$C$93="",ISERROR(Inputs!$C$93)),Inputs!$D$93,Inputs!$C$93*Inputs!$K$9*(1+Inputs!$K$12)^B726),"Error - Check Input")</f>
        <v>292397.13046864019</v>
      </c>
      <c r="D726" s="17"/>
    </row>
    <row r="727" spans="2:4" x14ac:dyDescent="0.35">
      <c r="B727" s="18">
        <v>536</v>
      </c>
      <c r="C727" s="6">
        <f>IFERROR(IF(OR(Inputs!$C$84=0,Inputs!$C$84="",ISERROR(Inputs!$C$84)),Inputs!$D$84,Inputs!$C$84*Inputs!$K$9*(1+Inputs!$K$12)^B727),"Error - Check Input")
+IFERROR(IF(OR(Inputs!$C$85=0,Inputs!$C$85="",ISERROR(Inputs!$C$85)),Inputs!$D$85,Inputs!$C$85*Inputs!$K$9*(1+Inputs!$K$12)^B727),"Error - Check Input")
+IFERROR(IF(OR(Inputs!$C$86=0,Inputs!$C$86="",ISERROR(Inputs!$C$86)),Inputs!$D$86,Inputs!$C$86*Inputs!$K$9*(1+Inputs!$K$12)^B727),"Error - Check Input")
+IFERROR(IF(OR(Inputs!$C$87=0,Inputs!$C$87="",ISERROR(Inputs!$C$87)),Inputs!$D$87,Inputs!$C$87*Inputs!$K$9*(1+Inputs!$K$12)^B727),"Error - Check Input")
+IFERROR(IF(OR(Inputs!$C$88=0,Inputs!$C$88="",ISERROR(Inputs!$C$88)),Inputs!$D$88,Inputs!$C$88*Inputs!$K$9*(1+Inputs!$K$12)^B727),"Error - Check Input")
+IFERROR(IF(OR(Inputs!$C$89=0,Inputs!$C$89="",ISERROR(Inputs!$C$89)),Inputs!$D$89,Inputs!$C$89*Inputs!$K$9*(1+Inputs!$K$12)^B727),"Error - Check Input")
+IFERROR(IF(OR(Inputs!$C$90=0,Inputs!$C$90="",ISERROR(Inputs!$C$90)),Inputs!$D$90,Inputs!$C$90*Inputs!$K$9*(1+Inputs!$K$12)^B727),"Error - Check Input")
+IFERROR(IF(OR(Inputs!$C$93=0,Inputs!$C$93="",ISERROR(Inputs!$C$93)),Inputs!$D$93,Inputs!$C$93*Inputs!$K$9*(1+Inputs!$K$12)^B727),"Error - Check Input")</f>
        <v>293570.05901512661</v>
      </c>
      <c r="D727" s="17"/>
    </row>
    <row r="728" spans="2:4" x14ac:dyDescent="0.35">
      <c r="B728" s="18">
        <v>537</v>
      </c>
      <c r="C728" s="6">
        <f>IFERROR(IF(OR(Inputs!$C$84=0,Inputs!$C$84="",ISERROR(Inputs!$C$84)),Inputs!$D$84,Inputs!$C$84*Inputs!$K$9*(1+Inputs!$K$12)^B728),"Error - Check Input")
+IFERROR(IF(OR(Inputs!$C$85=0,Inputs!$C$85="",ISERROR(Inputs!$C$85)),Inputs!$D$85,Inputs!$C$85*Inputs!$K$9*(1+Inputs!$K$12)^B728),"Error - Check Input")
+IFERROR(IF(OR(Inputs!$C$86=0,Inputs!$C$86="",ISERROR(Inputs!$C$86)),Inputs!$D$86,Inputs!$C$86*Inputs!$K$9*(1+Inputs!$K$12)^B728),"Error - Check Input")
+IFERROR(IF(OR(Inputs!$C$87=0,Inputs!$C$87="",ISERROR(Inputs!$C$87)),Inputs!$D$87,Inputs!$C$87*Inputs!$K$9*(1+Inputs!$K$12)^B728),"Error - Check Input")
+IFERROR(IF(OR(Inputs!$C$88=0,Inputs!$C$88="",ISERROR(Inputs!$C$88)),Inputs!$D$88,Inputs!$C$88*Inputs!$K$9*(1+Inputs!$K$12)^B728),"Error - Check Input")
+IFERROR(IF(OR(Inputs!$C$89=0,Inputs!$C$89="",ISERROR(Inputs!$C$89)),Inputs!$D$89,Inputs!$C$89*Inputs!$K$9*(1+Inputs!$K$12)^B728),"Error - Check Input")
+IFERROR(IF(OR(Inputs!$C$90=0,Inputs!$C$90="",ISERROR(Inputs!$C$90)),Inputs!$D$90,Inputs!$C$90*Inputs!$K$9*(1+Inputs!$K$12)^B728),"Error - Check Input")
+IFERROR(IF(OR(Inputs!$C$93=0,Inputs!$C$93="",ISERROR(Inputs!$C$93)),Inputs!$D$93,Inputs!$C$93*Inputs!$K$9*(1+Inputs!$K$12)^B728),"Error - Check Input")</f>
        <v>294747.76621770085</v>
      </c>
      <c r="D728" s="17"/>
    </row>
    <row r="729" spans="2:4" x14ac:dyDescent="0.35">
      <c r="B729" s="18">
        <v>538</v>
      </c>
      <c r="C729" s="6">
        <f>IFERROR(IF(OR(Inputs!$C$84=0,Inputs!$C$84="",ISERROR(Inputs!$C$84)),Inputs!$D$84,Inputs!$C$84*Inputs!$K$9*(1+Inputs!$K$12)^B729),"Error - Check Input")
+IFERROR(IF(OR(Inputs!$C$85=0,Inputs!$C$85="",ISERROR(Inputs!$C$85)),Inputs!$D$85,Inputs!$C$85*Inputs!$K$9*(1+Inputs!$K$12)^B729),"Error - Check Input")
+IFERROR(IF(OR(Inputs!$C$86=0,Inputs!$C$86="",ISERROR(Inputs!$C$86)),Inputs!$D$86,Inputs!$C$86*Inputs!$K$9*(1+Inputs!$K$12)^B729),"Error - Check Input")
+IFERROR(IF(OR(Inputs!$C$87=0,Inputs!$C$87="",ISERROR(Inputs!$C$87)),Inputs!$D$87,Inputs!$C$87*Inputs!$K$9*(1+Inputs!$K$12)^B729),"Error - Check Input")
+IFERROR(IF(OR(Inputs!$C$88=0,Inputs!$C$88="",ISERROR(Inputs!$C$88)),Inputs!$D$88,Inputs!$C$88*Inputs!$K$9*(1+Inputs!$K$12)^B729),"Error - Check Input")
+IFERROR(IF(OR(Inputs!$C$89=0,Inputs!$C$89="",ISERROR(Inputs!$C$89)),Inputs!$D$89,Inputs!$C$89*Inputs!$K$9*(1+Inputs!$K$12)^B729),"Error - Check Input")
+IFERROR(IF(OR(Inputs!$C$90=0,Inputs!$C$90="",ISERROR(Inputs!$C$90)),Inputs!$D$90,Inputs!$C$90*Inputs!$K$9*(1+Inputs!$K$12)^B729),"Error - Check Input")
+IFERROR(IF(OR(Inputs!$C$93=0,Inputs!$C$93="",ISERROR(Inputs!$C$93)),Inputs!$D$93,Inputs!$C$93*Inputs!$K$9*(1+Inputs!$K$12)^B729),"Error - Check Input")</f>
        <v>295930.27154519915</v>
      </c>
      <c r="D729" s="17"/>
    </row>
    <row r="730" spans="2:4" x14ac:dyDescent="0.35">
      <c r="B730" s="18">
        <v>539</v>
      </c>
      <c r="C730" s="6">
        <f>IFERROR(IF(OR(Inputs!$C$84=0,Inputs!$C$84="",ISERROR(Inputs!$C$84)),Inputs!$D$84,Inputs!$C$84*Inputs!$K$9*(1+Inputs!$K$12)^B730),"Error - Check Input")
+IFERROR(IF(OR(Inputs!$C$85=0,Inputs!$C$85="",ISERROR(Inputs!$C$85)),Inputs!$D$85,Inputs!$C$85*Inputs!$K$9*(1+Inputs!$K$12)^B730),"Error - Check Input")
+IFERROR(IF(OR(Inputs!$C$86=0,Inputs!$C$86="",ISERROR(Inputs!$C$86)),Inputs!$D$86,Inputs!$C$86*Inputs!$K$9*(1+Inputs!$K$12)^B730),"Error - Check Input")
+IFERROR(IF(OR(Inputs!$C$87=0,Inputs!$C$87="",ISERROR(Inputs!$C$87)),Inputs!$D$87,Inputs!$C$87*Inputs!$K$9*(1+Inputs!$K$12)^B730),"Error - Check Input")
+IFERROR(IF(OR(Inputs!$C$88=0,Inputs!$C$88="",ISERROR(Inputs!$C$88)),Inputs!$D$88,Inputs!$C$88*Inputs!$K$9*(1+Inputs!$K$12)^B730),"Error - Check Input")
+IFERROR(IF(OR(Inputs!$C$89=0,Inputs!$C$89="",ISERROR(Inputs!$C$89)),Inputs!$D$89,Inputs!$C$89*Inputs!$K$9*(1+Inputs!$K$12)^B730),"Error - Check Input")
+IFERROR(IF(OR(Inputs!$C$90=0,Inputs!$C$90="",ISERROR(Inputs!$C$90)),Inputs!$D$90,Inputs!$C$90*Inputs!$K$9*(1+Inputs!$K$12)^B730),"Error - Check Input")
+IFERROR(IF(OR(Inputs!$C$93=0,Inputs!$C$93="",ISERROR(Inputs!$C$93)),Inputs!$D$93,Inputs!$C$93*Inputs!$K$9*(1+Inputs!$K$12)^B730),"Error - Check Input")</f>
        <v>297117.59454577649</v>
      </c>
      <c r="D730" s="17"/>
    </row>
    <row r="731" spans="2:4" x14ac:dyDescent="0.35">
      <c r="B731" s="18">
        <v>540</v>
      </c>
      <c r="C731" s="6">
        <f>IFERROR(IF(OR(Inputs!$C$84=0,Inputs!$C$84="",ISERROR(Inputs!$C$84)),Inputs!$D$84,Inputs!$C$84*Inputs!$K$9*(1+Inputs!$K$12)^B731),"Error - Check Input")
+IFERROR(IF(OR(Inputs!$C$85=0,Inputs!$C$85="",ISERROR(Inputs!$C$85)),Inputs!$D$85,Inputs!$C$85*Inputs!$K$9*(1+Inputs!$K$12)^B731),"Error - Check Input")
+IFERROR(IF(OR(Inputs!$C$86=0,Inputs!$C$86="",ISERROR(Inputs!$C$86)),Inputs!$D$86,Inputs!$C$86*Inputs!$K$9*(1+Inputs!$K$12)^B731),"Error - Check Input")
+IFERROR(IF(OR(Inputs!$C$87=0,Inputs!$C$87="",ISERROR(Inputs!$C$87)),Inputs!$D$87,Inputs!$C$87*Inputs!$K$9*(1+Inputs!$K$12)^B731),"Error - Check Input")
+IFERROR(IF(OR(Inputs!$C$88=0,Inputs!$C$88="",ISERROR(Inputs!$C$88)),Inputs!$D$88,Inputs!$C$88*Inputs!$K$9*(1+Inputs!$K$12)^B731),"Error - Check Input")
+IFERROR(IF(OR(Inputs!$C$89=0,Inputs!$C$89="",ISERROR(Inputs!$C$89)),Inputs!$D$89,Inputs!$C$89*Inputs!$K$9*(1+Inputs!$K$12)^B731),"Error - Check Input")
+IFERROR(IF(OR(Inputs!$C$90=0,Inputs!$C$90="",ISERROR(Inputs!$C$90)),Inputs!$D$90,Inputs!$C$90*Inputs!$K$9*(1+Inputs!$K$12)^B731),"Error - Check Input")
+IFERROR(IF(OR(Inputs!$C$93=0,Inputs!$C$93="",ISERROR(Inputs!$C$93)),Inputs!$D$93,Inputs!$C$93*Inputs!$K$9*(1+Inputs!$K$12)^B731),"Error - Check Input")</f>
        <v>298309.75484722946</v>
      </c>
      <c r="D731" s="17"/>
    </row>
    <row r="732" spans="2:4" x14ac:dyDescent="0.35">
      <c r="B732" s="18">
        <v>541</v>
      </c>
      <c r="C732" s="6">
        <f>IFERROR(IF(OR(Inputs!$C$84=0,Inputs!$C$84="",ISERROR(Inputs!$C$84)),Inputs!$D$84,Inputs!$C$84*Inputs!$K$9*(1+Inputs!$K$12)^B732),"Error - Check Input")
+IFERROR(IF(OR(Inputs!$C$85=0,Inputs!$C$85="",ISERROR(Inputs!$C$85)),Inputs!$D$85,Inputs!$C$85*Inputs!$K$9*(1+Inputs!$K$12)^B732),"Error - Check Input")
+IFERROR(IF(OR(Inputs!$C$86=0,Inputs!$C$86="",ISERROR(Inputs!$C$86)),Inputs!$D$86,Inputs!$C$86*Inputs!$K$9*(1+Inputs!$K$12)^B732),"Error - Check Input")
+IFERROR(IF(OR(Inputs!$C$87=0,Inputs!$C$87="",ISERROR(Inputs!$C$87)),Inputs!$D$87,Inputs!$C$87*Inputs!$K$9*(1+Inputs!$K$12)^B732),"Error - Check Input")
+IFERROR(IF(OR(Inputs!$C$88=0,Inputs!$C$88="",ISERROR(Inputs!$C$88)),Inputs!$D$88,Inputs!$C$88*Inputs!$K$9*(1+Inputs!$K$12)^B732),"Error - Check Input")
+IFERROR(IF(OR(Inputs!$C$89=0,Inputs!$C$89="",ISERROR(Inputs!$C$89)),Inputs!$D$89,Inputs!$C$89*Inputs!$K$9*(1+Inputs!$K$12)^B732),"Error - Check Input")
+IFERROR(IF(OR(Inputs!$C$90=0,Inputs!$C$90="",ISERROR(Inputs!$C$90)),Inputs!$D$90,Inputs!$C$90*Inputs!$K$9*(1+Inputs!$K$12)^B732),"Error - Check Input")
+IFERROR(IF(OR(Inputs!$C$93=0,Inputs!$C$93="",ISERROR(Inputs!$C$93)),Inputs!$D$93,Inputs!$C$93*Inputs!$K$9*(1+Inputs!$K$12)^B732),"Error - Check Input")</f>
        <v>299506.77215732052</v>
      </c>
      <c r="D732" s="17"/>
    </row>
    <row r="733" spans="2:4" x14ac:dyDescent="0.35">
      <c r="B733" s="18">
        <v>542</v>
      </c>
      <c r="C733" s="6">
        <f>IFERROR(IF(OR(Inputs!$C$84=0,Inputs!$C$84="",ISERROR(Inputs!$C$84)),Inputs!$D$84,Inputs!$C$84*Inputs!$K$9*(1+Inputs!$K$12)^B733),"Error - Check Input")
+IFERROR(IF(OR(Inputs!$C$85=0,Inputs!$C$85="",ISERROR(Inputs!$C$85)),Inputs!$D$85,Inputs!$C$85*Inputs!$K$9*(1+Inputs!$K$12)^B733),"Error - Check Input")
+IFERROR(IF(OR(Inputs!$C$86=0,Inputs!$C$86="",ISERROR(Inputs!$C$86)),Inputs!$D$86,Inputs!$C$86*Inputs!$K$9*(1+Inputs!$K$12)^B733),"Error - Check Input")
+IFERROR(IF(OR(Inputs!$C$87=0,Inputs!$C$87="",ISERROR(Inputs!$C$87)),Inputs!$D$87,Inputs!$C$87*Inputs!$K$9*(1+Inputs!$K$12)^B733),"Error - Check Input")
+IFERROR(IF(OR(Inputs!$C$88=0,Inputs!$C$88="",ISERROR(Inputs!$C$88)),Inputs!$D$88,Inputs!$C$88*Inputs!$K$9*(1+Inputs!$K$12)^B733),"Error - Check Input")
+IFERROR(IF(OR(Inputs!$C$89=0,Inputs!$C$89="",ISERROR(Inputs!$C$89)),Inputs!$D$89,Inputs!$C$89*Inputs!$K$9*(1+Inputs!$K$12)^B733),"Error - Check Input")
+IFERROR(IF(OR(Inputs!$C$90=0,Inputs!$C$90="",ISERROR(Inputs!$C$90)),Inputs!$D$90,Inputs!$C$90*Inputs!$K$9*(1+Inputs!$K$12)^B733),"Error - Check Input")
+IFERROR(IF(OR(Inputs!$C$93=0,Inputs!$C$93="",ISERROR(Inputs!$C$93)),Inputs!$D$93,Inputs!$C$93*Inputs!$K$9*(1+Inputs!$K$12)^B733),"Error - Check Input")</f>
        <v>300708.66626410396</v>
      </c>
      <c r="D733" s="17"/>
    </row>
    <row r="734" spans="2:4" x14ac:dyDescent="0.35">
      <c r="B734" s="18">
        <v>543</v>
      </c>
      <c r="C734" s="6">
        <f>IFERROR(IF(OR(Inputs!$C$84=0,Inputs!$C$84="",ISERROR(Inputs!$C$84)),Inputs!$D$84,Inputs!$C$84*Inputs!$K$9*(1+Inputs!$K$12)^B734),"Error - Check Input")
+IFERROR(IF(OR(Inputs!$C$85=0,Inputs!$C$85="",ISERROR(Inputs!$C$85)),Inputs!$D$85,Inputs!$C$85*Inputs!$K$9*(1+Inputs!$K$12)^B734),"Error - Check Input")
+IFERROR(IF(OR(Inputs!$C$86=0,Inputs!$C$86="",ISERROR(Inputs!$C$86)),Inputs!$D$86,Inputs!$C$86*Inputs!$K$9*(1+Inputs!$K$12)^B734),"Error - Check Input")
+IFERROR(IF(OR(Inputs!$C$87=0,Inputs!$C$87="",ISERROR(Inputs!$C$87)),Inputs!$D$87,Inputs!$C$87*Inputs!$K$9*(1+Inputs!$K$12)^B734),"Error - Check Input")
+IFERROR(IF(OR(Inputs!$C$88=0,Inputs!$C$88="",ISERROR(Inputs!$C$88)),Inputs!$D$88,Inputs!$C$88*Inputs!$K$9*(1+Inputs!$K$12)^B734),"Error - Check Input")
+IFERROR(IF(OR(Inputs!$C$89=0,Inputs!$C$89="",ISERROR(Inputs!$C$89)),Inputs!$D$89,Inputs!$C$89*Inputs!$K$9*(1+Inputs!$K$12)^B734),"Error - Check Input")
+IFERROR(IF(OR(Inputs!$C$90=0,Inputs!$C$90="",ISERROR(Inputs!$C$90)),Inputs!$D$90,Inputs!$C$90*Inputs!$K$9*(1+Inputs!$K$12)^B734),"Error - Check Input")
+IFERROR(IF(OR(Inputs!$C$93=0,Inputs!$C$93="",ISERROR(Inputs!$C$93)),Inputs!$D$93,Inputs!$C$93*Inputs!$K$9*(1+Inputs!$K$12)^B734),"Error - Check Input")</f>
        <v>301915.4570362533</v>
      </c>
      <c r="D734" s="17"/>
    </row>
    <row r="735" spans="2:4" x14ac:dyDescent="0.35">
      <c r="B735" s="18">
        <v>544</v>
      </c>
      <c r="C735" s="6">
        <f>IFERROR(IF(OR(Inputs!$C$84=0,Inputs!$C$84="",ISERROR(Inputs!$C$84)),Inputs!$D$84,Inputs!$C$84*Inputs!$K$9*(1+Inputs!$K$12)^B735),"Error - Check Input")
+IFERROR(IF(OR(Inputs!$C$85=0,Inputs!$C$85="",ISERROR(Inputs!$C$85)),Inputs!$D$85,Inputs!$C$85*Inputs!$K$9*(1+Inputs!$K$12)^B735),"Error - Check Input")
+IFERROR(IF(OR(Inputs!$C$86=0,Inputs!$C$86="",ISERROR(Inputs!$C$86)),Inputs!$D$86,Inputs!$C$86*Inputs!$K$9*(1+Inputs!$K$12)^B735),"Error - Check Input")
+IFERROR(IF(OR(Inputs!$C$87=0,Inputs!$C$87="",ISERROR(Inputs!$C$87)),Inputs!$D$87,Inputs!$C$87*Inputs!$K$9*(1+Inputs!$K$12)^B735),"Error - Check Input")
+IFERROR(IF(OR(Inputs!$C$88=0,Inputs!$C$88="",ISERROR(Inputs!$C$88)),Inputs!$D$88,Inputs!$C$88*Inputs!$K$9*(1+Inputs!$K$12)^B735),"Error - Check Input")
+IFERROR(IF(OR(Inputs!$C$89=0,Inputs!$C$89="",ISERROR(Inputs!$C$89)),Inputs!$D$89,Inputs!$C$89*Inputs!$K$9*(1+Inputs!$K$12)^B735),"Error - Check Input")
+IFERROR(IF(OR(Inputs!$C$90=0,Inputs!$C$90="",ISERROR(Inputs!$C$90)),Inputs!$D$90,Inputs!$C$90*Inputs!$K$9*(1+Inputs!$K$12)^B735),"Error - Check Input")
+IFERROR(IF(OR(Inputs!$C$93=0,Inputs!$C$93="",ISERROR(Inputs!$C$93)),Inputs!$D$93,Inputs!$C$93*Inputs!$K$9*(1+Inputs!$K$12)^B735),"Error - Check Input")</f>
        <v>303127.16442338942</v>
      </c>
      <c r="D735" s="17"/>
    </row>
    <row r="736" spans="2:4" x14ac:dyDescent="0.35">
      <c r="B736" s="18">
        <v>545</v>
      </c>
      <c r="C736" s="6">
        <f>IFERROR(IF(OR(Inputs!$C$84=0,Inputs!$C$84="",ISERROR(Inputs!$C$84)),Inputs!$D$84,Inputs!$C$84*Inputs!$K$9*(1+Inputs!$K$12)^B736),"Error - Check Input")
+IFERROR(IF(OR(Inputs!$C$85=0,Inputs!$C$85="",ISERROR(Inputs!$C$85)),Inputs!$D$85,Inputs!$C$85*Inputs!$K$9*(1+Inputs!$K$12)^B736),"Error - Check Input")
+IFERROR(IF(OR(Inputs!$C$86=0,Inputs!$C$86="",ISERROR(Inputs!$C$86)),Inputs!$D$86,Inputs!$C$86*Inputs!$K$9*(1+Inputs!$K$12)^B736),"Error - Check Input")
+IFERROR(IF(OR(Inputs!$C$87=0,Inputs!$C$87="",ISERROR(Inputs!$C$87)),Inputs!$D$87,Inputs!$C$87*Inputs!$K$9*(1+Inputs!$K$12)^B736),"Error - Check Input")
+IFERROR(IF(OR(Inputs!$C$88=0,Inputs!$C$88="",ISERROR(Inputs!$C$88)),Inputs!$D$88,Inputs!$C$88*Inputs!$K$9*(1+Inputs!$K$12)^B736),"Error - Check Input")
+IFERROR(IF(OR(Inputs!$C$89=0,Inputs!$C$89="",ISERROR(Inputs!$C$89)),Inputs!$D$89,Inputs!$C$89*Inputs!$K$9*(1+Inputs!$K$12)^B736),"Error - Check Input")
+IFERROR(IF(OR(Inputs!$C$90=0,Inputs!$C$90="",ISERROR(Inputs!$C$90)),Inputs!$D$90,Inputs!$C$90*Inputs!$K$9*(1+Inputs!$K$12)^B736),"Error - Check Input")
+IFERROR(IF(OR(Inputs!$C$93=0,Inputs!$C$93="",ISERROR(Inputs!$C$93)),Inputs!$D$93,Inputs!$C$93*Inputs!$K$9*(1+Inputs!$K$12)^B736),"Error - Check Input")</f>
        <v>304343.80845641019</v>
      </c>
      <c r="D736" s="17"/>
    </row>
    <row r="737" spans="2:4" x14ac:dyDescent="0.35">
      <c r="B737" s="18">
        <v>546</v>
      </c>
      <c r="C737" s="6">
        <f>IFERROR(IF(OR(Inputs!$C$84=0,Inputs!$C$84="",ISERROR(Inputs!$C$84)),Inputs!$D$84,Inputs!$C$84*Inputs!$K$9*(1+Inputs!$K$12)^B737),"Error - Check Input")
+IFERROR(IF(OR(Inputs!$C$85=0,Inputs!$C$85="",ISERROR(Inputs!$C$85)),Inputs!$D$85,Inputs!$C$85*Inputs!$K$9*(1+Inputs!$K$12)^B737),"Error - Check Input")
+IFERROR(IF(OR(Inputs!$C$86=0,Inputs!$C$86="",ISERROR(Inputs!$C$86)),Inputs!$D$86,Inputs!$C$86*Inputs!$K$9*(1+Inputs!$K$12)^B737),"Error - Check Input")
+IFERROR(IF(OR(Inputs!$C$87=0,Inputs!$C$87="",ISERROR(Inputs!$C$87)),Inputs!$D$87,Inputs!$C$87*Inputs!$K$9*(1+Inputs!$K$12)^B737),"Error - Check Input")
+IFERROR(IF(OR(Inputs!$C$88=0,Inputs!$C$88="",ISERROR(Inputs!$C$88)),Inputs!$D$88,Inputs!$C$88*Inputs!$K$9*(1+Inputs!$K$12)^B737),"Error - Check Input")
+IFERROR(IF(OR(Inputs!$C$89=0,Inputs!$C$89="",ISERROR(Inputs!$C$89)),Inputs!$D$89,Inputs!$C$89*Inputs!$K$9*(1+Inputs!$K$12)^B737),"Error - Check Input")
+IFERROR(IF(OR(Inputs!$C$90=0,Inputs!$C$90="",ISERROR(Inputs!$C$90)),Inputs!$D$90,Inputs!$C$90*Inputs!$K$9*(1+Inputs!$K$12)^B737),"Error - Check Input")
+IFERROR(IF(OR(Inputs!$C$93=0,Inputs!$C$93="",ISERROR(Inputs!$C$93)),Inputs!$D$93,Inputs!$C$93*Inputs!$K$9*(1+Inputs!$K$12)^B737),"Error - Check Input")</f>
        <v>305565.40924782219</v>
      </c>
      <c r="D737" s="17"/>
    </row>
    <row r="738" spans="2:4" x14ac:dyDescent="0.35">
      <c r="B738" s="18">
        <v>547</v>
      </c>
      <c r="C738" s="6">
        <f>IFERROR(IF(OR(Inputs!$C$84=0,Inputs!$C$84="",ISERROR(Inputs!$C$84)),Inputs!$D$84,Inputs!$C$84*Inputs!$K$9*(1+Inputs!$K$12)^B738),"Error - Check Input")
+IFERROR(IF(OR(Inputs!$C$85=0,Inputs!$C$85="",ISERROR(Inputs!$C$85)),Inputs!$D$85,Inputs!$C$85*Inputs!$K$9*(1+Inputs!$K$12)^B738),"Error - Check Input")
+IFERROR(IF(OR(Inputs!$C$86=0,Inputs!$C$86="",ISERROR(Inputs!$C$86)),Inputs!$D$86,Inputs!$C$86*Inputs!$K$9*(1+Inputs!$K$12)^B738),"Error - Check Input")
+IFERROR(IF(OR(Inputs!$C$87=0,Inputs!$C$87="",ISERROR(Inputs!$C$87)),Inputs!$D$87,Inputs!$C$87*Inputs!$K$9*(1+Inputs!$K$12)^B738),"Error - Check Input")
+IFERROR(IF(OR(Inputs!$C$88=0,Inputs!$C$88="",ISERROR(Inputs!$C$88)),Inputs!$D$88,Inputs!$C$88*Inputs!$K$9*(1+Inputs!$K$12)^B738),"Error - Check Input")
+IFERROR(IF(OR(Inputs!$C$89=0,Inputs!$C$89="",ISERROR(Inputs!$C$89)),Inputs!$D$89,Inputs!$C$89*Inputs!$K$9*(1+Inputs!$K$12)^B738),"Error - Check Input")
+IFERROR(IF(OR(Inputs!$C$90=0,Inputs!$C$90="",ISERROR(Inputs!$C$90)),Inputs!$D$90,Inputs!$C$90*Inputs!$K$9*(1+Inputs!$K$12)^B738),"Error - Check Input")
+IFERROR(IF(OR(Inputs!$C$93=0,Inputs!$C$93="",ISERROR(Inputs!$C$93)),Inputs!$D$93,Inputs!$C$93*Inputs!$K$9*(1+Inputs!$K$12)^B738),"Error - Check Input")</f>
        <v>306791.98699207261</v>
      </c>
      <c r="D738" s="17"/>
    </row>
    <row r="739" spans="2:4" x14ac:dyDescent="0.35">
      <c r="B739" s="18">
        <v>548</v>
      </c>
      <c r="C739" s="6">
        <f>IFERROR(IF(OR(Inputs!$C$84=0,Inputs!$C$84="",ISERROR(Inputs!$C$84)),Inputs!$D$84,Inputs!$C$84*Inputs!$K$9*(1+Inputs!$K$12)^B739),"Error - Check Input")
+IFERROR(IF(OR(Inputs!$C$85=0,Inputs!$C$85="",ISERROR(Inputs!$C$85)),Inputs!$D$85,Inputs!$C$85*Inputs!$K$9*(1+Inputs!$K$12)^B739),"Error - Check Input")
+IFERROR(IF(OR(Inputs!$C$86=0,Inputs!$C$86="",ISERROR(Inputs!$C$86)),Inputs!$D$86,Inputs!$C$86*Inputs!$K$9*(1+Inputs!$K$12)^B739),"Error - Check Input")
+IFERROR(IF(OR(Inputs!$C$87=0,Inputs!$C$87="",ISERROR(Inputs!$C$87)),Inputs!$D$87,Inputs!$C$87*Inputs!$K$9*(1+Inputs!$K$12)^B739),"Error - Check Input")
+IFERROR(IF(OR(Inputs!$C$88=0,Inputs!$C$88="",ISERROR(Inputs!$C$88)),Inputs!$D$88,Inputs!$C$88*Inputs!$K$9*(1+Inputs!$K$12)^B739),"Error - Check Input")
+IFERROR(IF(OR(Inputs!$C$89=0,Inputs!$C$89="",ISERROR(Inputs!$C$89)),Inputs!$D$89,Inputs!$C$89*Inputs!$K$9*(1+Inputs!$K$12)^B739),"Error - Check Input")
+IFERROR(IF(OR(Inputs!$C$90=0,Inputs!$C$90="",ISERROR(Inputs!$C$90)),Inputs!$D$90,Inputs!$C$90*Inputs!$K$9*(1+Inputs!$K$12)^B739),"Error - Check Input")
+IFERROR(IF(OR(Inputs!$C$93=0,Inputs!$C$93="",ISERROR(Inputs!$C$93)),Inputs!$D$93,Inputs!$C$93*Inputs!$K$9*(1+Inputs!$K$12)^B739),"Error - Check Input")</f>
        <v>308023.5619658833</v>
      </c>
      <c r="D739" s="17"/>
    </row>
    <row r="740" spans="2:4" x14ac:dyDescent="0.35">
      <c r="B740" s="18">
        <v>549</v>
      </c>
      <c r="C740" s="6">
        <f>IFERROR(IF(OR(Inputs!$C$84=0,Inputs!$C$84="",ISERROR(Inputs!$C$84)),Inputs!$D$84,Inputs!$C$84*Inputs!$K$9*(1+Inputs!$K$12)^B740),"Error - Check Input")
+IFERROR(IF(OR(Inputs!$C$85=0,Inputs!$C$85="",ISERROR(Inputs!$C$85)),Inputs!$D$85,Inputs!$C$85*Inputs!$K$9*(1+Inputs!$K$12)^B740),"Error - Check Input")
+IFERROR(IF(OR(Inputs!$C$86=0,Inputs!$C$86="",ISERROR(Inputs!$C$86)),Inputs!$D$86,Inputs!$C$86*Inputs!$K$9*(1+Inputs!$K$12)^B740),"Error - Check Input")
+IFERROR(IF(OR(Inputs!$C$87=0,Inputs!$C$87="",ISERROR(Inputs!$C$87)),Inputs!$D$87,Inputs!$C$87*Inputs!$K$9*(1+Inputs!$K$12)^B740),"Error - Check Input")
+IFERROR(IF(OR(Inputs!$C$88=0,Inputs!$C$88="",ISERROR(Inputs!$C$88)),Inputs!$D$88,Inputs!$C$88*Inputs!$K$9*(1+Inputs!$K$12)^B740),"Error - Check Input")
+IFERROR(IF(OR(Inputs!$C$89=0,Inputs!$C$89="",ISERROR(Inputs!$C$89)),Inputs!$D$89,Inputs!$C$89*Inputs!$K$9*(1+Inputs!$K$12)^B740),"Error - Check Input")
+IFERROR(IF(OR(Inputs!$C$90=0,Inputs!$C$90="",ISERROR(Inputs!$C$90)),Inputs!$D$90,Inputs!$C$90*Inputs!$K$9*(1+Inputs!$K$12)^B740),"Error - Check Input")
+IFERROR(IF(OR(Inputs!$C$93=0,Inputs!$C$93="",ISERROR(Inputs!$C$93)),Inputs!$D$93,Inputs!$C$93*Inputs!$K$9*(1+Inputs!$K$12)^B740),"Error - Check Input")</f>
        <v>309260.15452858614</v>
      </c>
      <c r="D740" s="17"/>
    </row>
    <row r="741" spans="2:4" x14ac:dyDescent="0.35">
      <c r="B741" s="18">
        <v>550</v>
      </c>
      <c r="C741" s="6">
        <f>IFERROR(IF(OR(Inputs!$C$84=0,Inputs!$C$84="",ISERROR(Inputs!$C$84)),Inputs!$D$84,Inputs!$C$84*Inputs!$K$9*(1+Inputs!$K$12)^B741),"Error - Check Input")
+IFERROR(IF(OR(Inputs!$C$85=0,Inputs!$C$85="",ISERROR(Inputs!$C$85)),Inputs!$D$85,Inputs!$C$85*Inputs!$K$9*(1+Inputs!$K$12)^B741),"Error - Check Input")
+IFERROR(IF(OR(Inputs!$C$86=0,Inputs!$C$86="",ISERROR(Inputs!$C$86)),Inputs!$D$86,Inputs!$C$86*Inputs!$K$9*(1+Inputs!$K$12)^B741),"Error - Check Input")
+IFERROR(IF(OR(Inputs!$C$87=0,Inputs!$C$87="",ISERROR(Inputs!$C$87)),Inputs!$D$87,Inputs!$C$87*Inputs!$K$9*(1+Inputs!$K$12)^B741),"Error - Check Input")
+IFERROR(IF(OR(Inputs!$C$88=0,Inputs!$C$88="",ISERROR(Inputs!$C$88)),Inputs!$D$88,Inputs!$C$88*Inputs!$K$9*(1+Inputs!$K$12)^B741),"Error - Check Input")
+IFERROR(IF(OR(Inputs!$C$89=0,Inputs!$C$89="",ISERROR(Inputs!$C$89)),Inputs!$D$89,Inputs!$C$89*Inputs!$K$9*(1+Inputs!$K$12)^B741),"Error - Check Input")
+IFERROR(IF(OR(Inputs!$C$90=0,Inputs!$C$90="",ISERROR(Inputs!$C$90)),Inputs!$D$90,Inputs!$C$90*Inputs!$K$9*(1+Inputs!$K$12)^B741),"Error - Check Input")
+IFERROR(IF(OR(Inputs!$C$93=0,Inputs!$C$93="",ISERROR(Inputs!$C$93)),Inputs!$D$93,Inputs!$C$93*Inputs!$K$9*(1+Inputs!$K$12)^B741),"Error - Check Input")</f>
        <v>310501.78512245941</v>
      </c>
      <c r="D741" s="17"/>
    </row>
    <row r="742" spans="2:4" x14ac:dyDescent="0.35">
      <c r="B742" s="18">
        <v>551</v>
      </c>
      <c r="C742" s="6">
        <f>IFERROR(IF(OR(Inputs!$C$84=0,Inputs!$C$84="",ISERROR(Inputs!$C$84)),Inputs!$D$84,Inputs!$C$84*Inputs!$K$9*(1+Inputs!$K$12)^B742),"Error - Check Input")
+IFERROR(IF(OR(Inputs!$C$85=0,Inputs!$C$85="",ISERROR(Inputs!$C$85)),Inputs!$D$85,Inputs!$C$85*Inputs!$K$9*(1+Inputs!$K$12)^B742),"Error - Check Input")
+IFERROR(IF(OR(Inputs!$C$86=0,Inputs!$C$86="",ISERROR(Inputs!$C$86)),Inputs!$D$86,Inputs!$C$86*Inputs!$K$9*(1+Inputs!$K$12)^B742),"Error - Check Input")
+IFERROR(IF(OR(Inputs!$C$87=0,Inputs!$C$87="",ISERROR(Inputs!$C$87)),Inputs!$D$87,Inputs!$C$87*Inputs!$K$9*(1+Inputs!$K$12)^B742),"Error - Check Input")
+IFERROR(IF(OR(Inputs!$C$88=0,Inputs!$C$88="",ISERROR(Inputs!$C$88)),Inputs!$D$88,Inputs!$C$88*Inputs!$K$9*(1+Inputs!$K$12)^B742),"Error - Check Input")
+IFERROR(IF(OR(Inputs!$C$89=0,Inputs!$C$89="",ISERROR(Inputs!$C$89)),Inputs!$D$89,Inputs!$C$89*Inputs!$K$9*(1+Inputs!$K$12)^B742),"Error - Check Input")
+IFERROR(IF(OR(Inputs!$C$90=0,Inputs!$C$90="",ISERROR(Inputs!$C$90)),Inputs!$D$90,Inputs!$C$90*Inputs!$K$9*(1+Inputs!$K$12)^B742),"Error - Check Input")
+IFERROR(IF(OR(Inputs!$C$93=0,Inputs!$C$93="",ISERROR(Inputs!$C$93)),Inputs!$D$93,Inputs!$C$93*Inputs!$K$9*(1+Inputs!$K$12)^B742),"Error - Check Input")</f>
        <v>311748.47427306575</v>
      </c>
      <c r="D742" s="17"/>
    </row>
    <row r="743" spans="2:4" x14ac:dyDescent="0.35">
      <c r="B743" s="18">
        <v>552</v>
      </c>
      <c r="C743" s="6">
        <f>IFERROR(IF(OR(Inputs!$C$84=0,Inputs!$C$84="",ISERROR(Inputs!$C$84)),Inputs!$D$84,Inputs!$C$84*Inputs!$K$9*(1+Inputs!$K$12)^B743),"Error - Check Input")
+IFERROR(IF(OR(Inputs!$C$85=0,Inputs!$C$85="",ISERROR(Inputs!$C$85)),Inputs!$D$85,Inputs!$C$85*Inputs!$K$9*(1+Inputs!$K$12)^B743),"Error - Check Input")
+IFERROR(IF(OR(Inputs!$C$86=0,Inputs!$C$86="",ISERROR(Inputs!$C$86)),Inputs!$D$86,Inputs!$C$86*Inputs!$K$9*(1+Inputs!$K$12)^B743),"Error - Check Input")
+IFERROR(IF(OR(Inputs!$C$87=0,Inputs!$C$87="",ISERROR(Inputs!$C$87)),Inputs!$D$87,Inputs!$C$87*Inputs!$K$9*(1+Inputs!$K$12)^B743),"Error - Check Input")
+IFERROR(IF(OR(Inputs!$C$88=0,Inputs!$C$88="",ISERROR(Inputs!$C$88)),Inputs!$D$88,Inputs!$C$88*Inputs!$K$9*(1+Inputs!$K$12)^B743),"Error - Check Input")
+IFERROR(IF(OR(Inputs!$C$89=0,Inputs!$C$89="",ISERROR(Inputs!$C$89)),Inputs!$D$89,Inputs!$C$89*Inputs!$K$9*(1+Inputs!$K$12)^B743),"Error - Check Input")
+IFERROR(IF(OR(Inputs!$C$90=0,Inputs!$C$90="",ISERROR(Inputs!$C$90)),Inputs!$D$90,Inputs!$C$90*Inputs!$K$9*(1+Inputs!$K$12)^B743),"Error - Check Input")
+IFERROR(IF(OR(Inputs!$C$93=0,Inputs!$C$93="",ISERROR(Inputs!$C$93)),Inputs!$D$93,Inputs!$C$93*Inputs!$K$9*(1+Inputs!$K$12)^B743),"Error - Check Input")</f>
        <v>313000.2425895913</v>
      </c>
      <c r="D743" s="17"/>
    </row>
    <row r="744" spans="2:4" x14ac:dyDescent="0.35">
      <c r="B744" s="18">
        <v>553</v>
      </c>
      <c r="C744" s="6">
        <f>IFERROR(IF(OR(Inputs!$C$84=0,Inputs!$C$84="",ISERROR(Inputs!$C$84)),Inputs!$D$84,Inputs!$C$84*Inputs!$K$9*(1+Inputs!$K$12)^B744),"Error - Check Input")
+IFERROR(IF(OR(Inputs!$C$85=0,Inputs!$C$85="",ISERROR(Inputs!$C$85)),Inputs!$D$85,Inputs!$C$85*Inputs!$K$9*(1+Inputs!$K$12)^B744),"Error - Check Input")
+IFERROR(IF(OR(Inputs!$C$86=0,Inputs!$C$86="",ISERROR(Inputs!$C$86)),Inputs!$D$86,Inputs!$C$86*Inputs!$K$9*(1+Inputs!$K$12)^B744),"Error - Check Input")
+IFERROR(IF(OR(Inputs!$C$87=0,Inputs!$C$87="",ISERROR(Inputs!$C$87)),Inputs!$D$87,Inputs!$C$87*Inputs!$K$9*(1+Inputs!$K$12)^B744),"Error - Check Input")
+IFERROR(IF(OR(Inputs!$C$88=0,Inputs!$C$88="",ISERROR(Inputs!$C$88)),Inputs!$D$88,Inputs!$C$88*Inputs!$K$9*(1+Inputs!$K$12)^B744),"Error - Check Input")
+IFERROR(IF(OR(Inputs!$C$89=0,Inputs!$C$89="",ISERROR(Inputs!$C$89)),Inputs!$D$89,Inputs!$C$89*Inputs!$K$9*(1+Inputs!$K$12)^B744),"Error - Check Input")
+IFERROR(IF(OR(Inputs!$C$90=0,Inputs!$C$90="",ISERROR(Inputs!$C$90)),Inputs!$D$90,Inputs!$C$90*Inputs!$K$9*(1+Inputs!$K$12)^B744),"Error - Check Input")
+IFERROR(IF(OR(Inputs!$C$93=0,Inputs!$C$93="",ISERROR(Inputs!$C$93)),Inputs!$D$93,Inputs!$C$93*Inputs!$K$9*(1+Inputs!$K$12)^B744),"Error - Check Input")</f>
        <v>314257.1107651869</v>
      </c>
      <c r="D744" s="17"/>
    </row>
    <row r="745" spans="2:4" x14ac:dyDescent="0.35">
      <c r="B745" s="18">
        <v>554</v>
      </c>
      <c r="C745" s="6">
        <f>IFERROR(IF(OR(Inputs!$C$84=0,Inputs!$C$84="",ISERROR(Inputs!$C$84)),Inputs!$D$84,Inputs!$C$84*Inputs!$K$9*(1+Inputs!$K$12)^B745),"Error - Check Input")
+IFERROR(IF(OR(Inputs!$C$85=0,Inputs!$C$85="",ISERROR(Inputs!$C$85)),Inputs!$D$85,Inputs!$C$85*Inputs!$K$9*(1+Inputs!$K$12)^B745),"Error - Check Input")
+IFERROR(IF(OR(Inputs!$C$86=0,Inputs!$C$86="",ISERROR(Inputs!$C$86)),Inputs!$D$86,Inputs!$C$86*Inputs!$K$9*(1+Inputs!$K$12)^B745),"Error - Check Input")
+IFERROR(IF(OR(Inputs!$C$87=0,Inputs!$C$87="",ISERROR(Inputs!$C$87)),Inputs!$D$87,Inputs!$C$87*Inputs!$K$9*(1+Inputs!$K$12)^B745),"Error - Check Input")
+IFERROR(IF(OR(Inputs!$C$88=0,Inputs!$C$88="",ISERROR(Inputs!$C$88)),Inputs!$D$88,Inputs!$C$88*Inputs!$K$9*(1+Inputs!$K$12)^B745),"Error - Check Input")
+IFERROR(IF(OR(Inputs!$C$89=0,Inputs!$C$89="",ISERROR(Inputs!$C$89)),Inputs!$D$89,Inputs!$C$89*Inputs!$K$9*(1+Inputs!$K$12)^B745),"Error - Check Input")
+IFERROR(IF(OR(Inputs!$C$90=0,Inputs!$C$90="",ISERROR(Inputs!$C$90)),Inputs!$D$90,Inputs!$C$90*Inputs!$K$9*(1+Inputs!$K$12)^B745),"Error - Check Input")
+IFERROR(IF(OR(Inputs!$C$93=0,Inputs!$C$93="",ISERROR(Inputs!$C$93)),Inputs!$D$93,Inputs!$C$93*Inputs!$K$9*(1+Inputs!$K$12)^B745),"Error - Check Input")</f>
        <v>315519.09957730956</v>
      </c>
      <c r="D745" s="17"/>
    </row>
    <row r="746" spans="2:4" x14ac:dyDescent="0.35">
      <c r="B746" s="18">
        <v>555</v>
      </c>
      <c r="C746" s="6">
        <f>IFERROR(IF(OR(Inputs!$C$84=0,Inputs!$C$84="",ISERROR(Inputs!$C$84)),Inputs!$D$84,Inputs!$C$84*Inputs!$K$9*(1+Inputs!$K$12)^B746),"Error - Check Input")
+IFERROR(IF(OR(Inputs!$C$85=0,Inputs!$C$85="",ISERROR(Inputs!$C$85)),Inputs!$D$85,Inputs!$C$85*Inputs!$K$9*(1+Inputs!$K$12)^B746),"Error - Check Input")
+IFERROR(IF(OR(Inputs!$C$86=0,Inputs!$C$86="",ISERROR(Inputs!$C$86)),Inputs!$D$86,Inputs!$C$86*Inputs!$K$9*(1+Inputs!$K$12)^B746),"Error - Check Input")
+IFERROR(IF(OR(Inputs!$C$87=0,Inputs!$C$87="",ISERROR(Inputs!$C$87)),Inputs!$D$87,Inputs!$C$87*Inputs!$K$9*(1+Inputs!$K$12)^B746),"Error - Check Input")
+IFERROR(IF(OR(Inputs!$C$88=0,Inputs!$C$88="",ISERROR(Inputs!$C$88)),Inputs!$D$88,Inputs!$C$88*Inputs!$K$9*(1+Inputs!$K$12)^B746),"Error - Check Input")
+IFERROR(IF(OR(Inputs!$C$89=0,Inputs!$C$89="",ISERROR(Inputs!$C$89)),Inputs!$D$89,Inputs!$C$89*Inputs!$K$9*(1+Inputs!$K$12)^B746),"Error - Check Input")
+IFERROR(IF(OR(Inputs!$C$90=0,Inputs!$C$90="",ISERROR(Inputs!$C$90)),Inputs!$D$90,Inputs!$C$90*Inputs!$K$9*(1+Inputs!$K$12)^B746),"Error - Check Input")
+IFERROR(IF(OR(Inputs!$C$93=0,Inputs!$C$93="",ISERROR(Inputs!$C$93)),Inputs!$D$93,Inputs!$C$93*Inputs!$K$9*(1+Inputs!$K$12)^B746),"Error - Check Input")</f>
        <v>316786.2298880663</v>
      </c>
      <c r="D746" s="17"/>
    </row>
    <row r="747" spans="2:4" x14ac:dyDescent="0.35">
      <c r="B747" s="18">
        <v>556</v>
      </c>
      <c r="C747" s="6">
        <f>IFERROR(IF(OR(Inputs!$C$84=0,Inputs!$C$84="",ISERROR(Inputs!$C$84)),Inputs!$D$84,Inputs!$C$84*Inputs!$K$9*(1+Inputs!$K$12)^B747),"Error - Check Input")
+IFERROR(IF(OR(Inputs!$C$85=0,Inputs!$C$85="",ISERROR(Inputs!$C$85)),Inputs!$D$85,Inputs!$C$85*Inputs!$K$9*(1+Inputs!$K$12)^B747),"Error - Check Input")
+IFERROR(IF(OR(Inputs!$C$86=0,Inputs!$C$86="",ISERROR(Inputs!$C$86)),Inputs!$D$86,Inputs!$C$86*Inputs!$K$9*(1+Inputs!$K$12)^B747),"Error - Check Input")
+IFERROR(IF(OR(Inputs!$C$87=0,Inputs!$C$87="",ISERROR(Inputs!$C$87)),Inputs!$D$87,Inputs!$C$87*Inputs!$K$9*(1+Inputs!$K$12)^B747),"Error - Check Input")
+IFERROR(IF(OR(Inputs!$C$88=0,Inputs!$C$88="",ISERROR(Inputs!$C$88)),Inputs!$D$88,Inputs!$C$88*Inputs!$K$9*(1+Inputs!$K$12)^B747),"Error - Check Input")
+IFERROR(IF(OR(Inputs!$C$89=0,Inputs!$C$89="",ISERROR(Inputs!$C$89)),Inputs!$D$89,Inputs!$C$89*Inputs!$K$9*(1+Inputs!$K$12)^B747),"Error - Check Input")
+IFERROR(IF(OR(Inputs!$C$90=0,Inputs!$C$90="",ISERROR(Inputs!$C$90)),Inputs!$D$90,Inputs!$C$90*Inputs!$K$9*(1+Inputs!$K$12)^B747),"Error - Check Input")
+IFERROR(IF(OR(Inputs!$C$93=0,Inputs!$C$93="",ISERROR(Inputs!$C$93)),Inputs!$D$93,Inputs!$C$93*Inputs!$K$9*(1+Inputs!$K$12)^B747),"Error - Check Input")</f>
        <v>318058.52264455921</v>
      </c>
      <c r="D747" s="17"/>
    </row>
    <row r="748" spans="2:4" x14ac:dyDescent="0.35">
      <c r="B748" s="18">
        <v>557</v>
      </c>
      <c r="C748" s="6">
        <f>IFERROR(IF(OR(Inputs!$C$84=0,Inputs!$C$84="",ISERROR(Inputs!$C$84)),Inputs!$D$84,Inputs!$C$84*Inputs!$K$9*(1+Inputs!$K$12)^B748),"Error - Check Input")
+IFERROR(IF(OR(Inputs!$C$85=0,Inputs!$C$85="",ISERROR(Inputs!$C$85)),Inputs!$D$85,Inputs!$C$85*Inputs!$K$9*(1+Inputs!$K$12)^B748),"Error - Check Input")
+IFERROR(IF(OR(Inputs!$C$86=0,Inputs!$C$86="",ISERROR(Inputs!$C$86)),Inputs!$D$86,Inputs!$C$86*Inputs!$K$9*(1+Inputs!$K$12)^B748),"Error - Check Input")
+IFERROR(IF(OR(Inputs!$C$87=0,Inputs!$C$87="",ISERROR(Inputs!$C$87)),Inputs!$D$87,Inputs!$C$87*Inputs!$K$9*(1+Inputs!$K$12)^B748),"Error - Check Input")
+IFERROR(IF(OR(Inputs!$C$88=0,Inputs!$C$88="",ISERROR(Inputs!$C$88)),Inputs!$D$88,Inputs!$C$88*Inputs!$K$9*(1+Inputs!$K$12)^B748),"Error - Check Input")
+IFERROR(IF(OR(Inputs!$C$89=0,Inputs!$C$89="",ISERROR(Inputs!$C$89)),Inputs!$D$89,Inputs!$C$89*Inputs!$K$9*(1+Inputs!$K$12)^B748),"Error - Check Input")
+IFERROR(IF(OR(Inputs!$C$90=0,Inputs!$C$90="",ISERROR(Inputs!$C$90)),Inputs!$D$90,Inputs!$C$90*Inputs!$K$9*(1+Inputs!$K$12)^B748),"Error - Check Input")
+IFERROR(IF(OR(Inputs!$C$93=0,Inputs!$C$93="",ISERROR(Inputs!$C$93)),Inputs!$D$93,Inputs!$C$93*Inputs!$K$9*(1+Inputs!$K$12)^B748),"Error - Check Input")</f>
        <v>319335.99887923105</v>
      </c>
      <c r="D748" s="17"/>
    </row>
    <row r="749" spans="2:4" x14ac:dyDescent="0.35">
      <c r="B749" s="18">
        <v>558</v>
      </c>
      <c r="C749" s="6">
        <f>IFERROR(IF(OR(Inputs!$C$84=0,Inputs!$C$84="",ISERROR(Inputs!$C$84)),Inputs!$D$84,Inputs!$C$84*Inputs!$K$9*(1+Inputs!$K$12)^B749),"Error - Check Input")
+IFERROR(IF(OR(Inputs!$C$85=0,Inputs!$C$85="",ISERROR(Inputs!$C$85)),Inputs!$D$85,Inputs!$C$85*Inputs!$K$9*(1+Inputs!$K$12)^B749),"Error - Check Input")
+IFERROR(IF(OR(Inputs!$C$86=0,Inputs!$C$86="",ISERROR(Inputs!$C$86)),Inputs!$D$86,Inputs!$C$86*Inputs!$K$9*(1+Inputs!$K$12)^B749),"Error - Check Input")
+IFERROR(IF(OR(Inputs!$C$87=0,Inputs!$C$87="",ISERROR(Inputs!$C$87)),Inputs!$D$87,Inputs!$C$87*Inputs!$K$9*(1+Inputs!$K$12)^B749),"Error - Check Input")
+IFERROR(IF(OR(Inputs!$C$88=0,Inputs!$C$88="",ISERROR(Inputs!$C$88)),Inputs!$D$88,Inputs!$C$88*Inputs!$K$9*(1+Inputs!$K$12)^B749),"Error - Check Input")
+IFERROR(IF(OR(Inputs!$C$89=0,Inputs!$C$89="",ISERROR(Inputs!$C$89)),Inputs!$D$89,Inputs!$C$89*Inputs!$K$9*(1+Inputs!$K$12)^B749),"Error - Check Input")
+IFERROR(IF(OR(Inputs!$C$90=0,Inputs!$C$90="",ISERROR(Inputs!$C$90)),Inputs!$D$90,Inputs!$C$90*Inputs!$K$9*(1+Inputs!$K$12)^B749),"Error - Check Input")
+IFERROR(IF(OR(Inputs!$C$93=0,Inputs!$C$93="",ISERROR(Inputs!$C$93)),Inputs!$D$93,Inputs!$C$93*Inputs!$K$9*(1+Inputs!$K$12)^B749),"Error - Check Input")</f>
        <v>320618.67971021356</v>
      </c>
      <c r="D749" s="17"/>
    </row>
    <row r="750" spans="2:4" x14ac:dyDescent="0.35">
      <c r="B750" s="18">
        <v>559</v>
      </c>
      <c r="C750" s="6">
        <f>IFERROR(IF(OR(Inputs!$C$84=0,Inputs!$C$84="",ISERROR(Inputs!$C$84)),Inputs!$D$84,Inputs!$C$84*Inputs!$K$9*(1+Inputs!$K$12)^B750),"Error - Check Input")
+IFERROR(IF(OR(Inputs!$C$85=0,Inputs!$C$85="",ISERROR(Inputs!$C$85)),Inputs!$D$85,Inputs!$C$85*Inputs!$K$9*(1+Inputs!$K$12)^B750),"Error - Check Input")
+IFERROR(IF(OR(Inputs!$C$86=0,Inputs!$C$86="",ISERROR(Inputs!$C$86)),Inputs!$D$86,Inputs!$C$86*Inputs!$K$9*(1+Inputs!$K$12)^B750),"Error - Check Input")
+IFERROR(IF(OR(Inputs!$C$87=0,Inputs!$C$87="",ISERROR(Inputs!$C$87)),Inputs!$D$87,Inputs!$C$87*Inputs!$K$9*(1+Inputs!$K$12)^B750),"Error - Check Input")
+IFERROR(IF(OR(Inputs!$C$88=0,Inputs!$C$88="",ISERROR(Inputs!$C$88)),Inputs!$D$88,Inputs!$C$88*Inputs!$K$9*(1+Inputs!$K$12)^B750),"Error - Check Input")
+IFERROR(IF(OR(Inputs!$C$89=0,Inputs!$C$89="",ISERROR(Inputs!$C$89)),Inputs!$D$89,Inputs!$C$89*Inputs!$K$9*(1+Inputs!$K$12)^B750),"Error - Check Input")
+IFERROR(IF(OR(Inputs!$C$90=0,Inputs!$C$90="",ISERROR(Inputs!$C$90)),Inputs!$D$90,Inputs!$C$90*Inputs!$K$9*(1+Inputs!$K$12)^B750),"Error - Check Input")
+IFERROR(IF(OR(Inputs!$C$93=0,Inputs!$C$93="",ISERROR(Inputs!$C$93)),Inputs!$D$93,Inputs!$C$93*Inputs!$K$9*(1+Inputs!$K$12)^B750),"Error - Check Input")</f>
        <v>321906.58634167654</v>
      </c>
      <c r="D750" s="17"/>
    </row>
    <row r="751" spans="2:4" x14ac:dyDescent="0.35">
      <c r="B751" s="18">
        <v>560</v>
      </c>
      <c r="C751" s="6">
        <f>IFERROR(IF(OR(Inputs!$C$84=0,Inputs!$C$84="",ISERROR(Inputs!$C$84)),Inputs!$D$84,Inputs!$C$84*Inputs!$K$9*(1+Inputs!$K$12)^B751),"Error - Check Input")
+IFERROR(IF(OR(Inputs!$C$85=0,Inputs!$C$85="",ISERROR(Inputs!$C$85)),Inputs!$D$85,Inputs!$C$85*Inputs!$K$9*(1+Inputs!$K$12)^B751),"Error - Check Input")
+IFERROR(IF(OR(Inputs!$C$86=0,Inputs!$C$86="",ISERROR(Inputs!$C$86)),Inputs!$D$86,Inputs!$C$86*Inputs!$K$9*(1+Inputs!$K$12)^B751),"Error - Check Input")
+IFERROR(IF(OR(Inputs!$C$87=0,Inputs!$C$87="",ISERROR(Inputs!$C$87)),Inputs!$D$87,Inputs!$C$87*Inputs!$K$9*(1+Inputs!$K$12)^B751),"Error - Check Input")
+IFERROR(IF(OR(Inputs!$C$88=0,Inputs!$C$88="",ISERROR(Inputs!$C$88)),Inputs!$D$88,Inputs!$C$88*Inputs!$K$9*(1+Inputs!$K$12)^B751),"Error - Check Input")
+IFERROR(IF(OR(Inputs!$C$89=0,Inputs!$C$89="",ISERROR(Inputs!$C$89)),Inputs!$D$89,Inputs!$C$89*Inputs!$K$9*(1+Inputs!$K$12)^B751),"Error - Check Input")
+IFERROR(IF(OR(Inputs!$C$90=0,Inputs!$C$90="",ISERROR(Inputs!$C$90)),Inputs!$D$90,Inputs!$C$90*Inputs!$K$9*(1+Inputs!$K$12)^B751),"Error - Check Input")
+IFERROR(IF(OR(Inputs!$C$93=0,Inputs!$C$93="",ISERROR(Inputs!$C$93)),Inputs!$D$93,Inputs!$C$93*Inputs!$K$9*(1+Inputs!$K$12)^B751),"Error - Check Input")</f>
        <v>323199.74006417784</v>
      </c>
      <c r="D751" s="17"/>
    </row>
    <row r="752" spans="2:4" x14ac:dyDescent="0.35">
      <c r="B752" s="18">
        <v>561</v>
      </c>
      <c r="C752" s="6">
        <f>IFERROR(IF(OR(Inputs!$C$84=0,Inputs!$C$84="",ISERROR(Inputs!$C$84)),Inputs!$D$84,Inputs!$C$84*Inputs!$K$9*(1+Inputs!$K$12)^B752),"Error - Check Input")
+IFERROR(IF(OR(Inputs!$C$85=0,Inputs!$C$85="",ISERROR(Inputs!$C$85)),Inputs!$D$85,Inputs!$C$85*Inputs!$K$9*(1+Inputs!$K$12)^B752),"Error - Check Input")
+IFERROR(IF(OR(Inputs!$C$86=0,Inputs!$C$86="",ISERROR(Inputs!$C$86)),Inputs!$D$86,Inputs!$C$86*Inputs!$K$9*(1+Inputs!$K$12)^B752),"Error - Check Input")
+IFERROR(IF(OR(Inputs!$C$87=0,Inputs!$C$87="",ISERROR(Inputs!$C$87)),Inputs!$D$87,Inputs!$C$87*Inputs!$K$9*(1+Inputs!$K$12)^B752),"Error - Check Input")
+IFERROR(IF(OR(Inputs!$C$88=0,Inputs!$C$88="",ISERROR(Inputs!$C$88)),Inputs!$D$88,Inputs!$C$88*Inputs!$K$9*(1+Inputs!$K$12)^B752),"Error - Check Input")
+IFERROR(IF(OR(Inputs!$C$89=0,Inputs!$C$89="",ISERROR(Inputs!$C$89)),Inputs!$D$89,Inputs!$C$89*Inputs!$K$9*(1+Inputs!$K$12)^B752),"Error - Check Input")
+IFERROR(IF(OR(Inputs!$C$90=0,Inputs!$C$90="",ISERROR(Inputs!$C$90)),Inputs!$D$90,Inputs!$C$90*Inputs!$K$9*(1+Inputs!$K$12)^B752),"Error - Check Input")
+IFERROR(IF(OR(Inputs!$C$93=0,Inputs!$C$93="",ISERROR(Inputs!$C$93)),Inputs!$D$93,Inputs!$C$93*Inputs!$K$9*(1+Inputs!$K$12)^B752),"Error - Check Input")</f>
        <v>324498.16225501581</v>
      </c>
      <c r="D752" s="17"/>
    </row>
    <row r="753" spans="2:4" x14ac:dyDescent="0.35">
      <c r="B753" s="18">
        <v>562</v>
      </c>
      <c r="C753" s="6">
        <f>IFERROR(IF(OR(Inputs!$C$84=0,Inputs!$C$84="",ISERROR(Inputs!$C$84)),Inputs!$D$84,Inputs!$C$84*Inputs!$K$9*(1+Inputs!$K$12)^B753),"Error - Check Input")
+IFERROR(IF(OR(Inputs!$C$85=0,Inputs!$C$85="",ISERROR(Inputs!$C$85)),Inputs!$D$85,Inputs!$C$85*Inputs!$K$9*(1+Inputs!$K$12)^B753),"Error - Check Input")
+IFERROR(IF(OR(Inputs!$C$86=0,Inputs!$C$86="",ISERROR(Inputs!$C$86)),Inputs!$D$86,Inputs!$C$86*Inputs!$K$9*(1+Inputs!$K$12)^B753),"Error - Check Input")
+IFERROR(IF(OR(Inputs!$C$87=0,Inputs!$C$87="",ISERROR(Inputs!$C$87)),Inputs!$D$87,Inputs!$C$87*Inputs!$K$9*(1+Inputs!$K$12)^B753),"Error - Check Input")
+IFERROR(IF(OR(Inputs!$C$88=0,Inputs!$C$88="",ISERROR(Inputs!$C$88)),Inputs!$D$88,Inputs!$C$88*Inputs!$K$9*(1+Inputs!$K$12)^B753),"Error - Check Input")
+IFERROR(IF(OR(Inputs!$C$89=0,Inputs!$C$89="",ISERROR(Inputs!$C$89)),Inputs!$D$89,Inputs!$C$89*Inputs!$K$9*(1+Inputs!$K$12)^B753),"Error - Check Input")
+IFERROR(IF(OR(Inputs!$C$90=0,Inputs!$C$90="",ISERROR(Inputs!$C$90)),Inputs!$D$90,Inputs!$C$90*Inputs!$K$9*(1+Inputs!$K$12)^B753),"Error - Check Input")
+IFERROR(IF(OR(Inputs!$C$93=0,Inputs!$C$93="",ISERROR(Inputs!$C$93)),Inputs!$D$93,Inputs!$C$93*Inputs!$K$9*(1+Inputs!$K$12)^B753),"Error - Check Input")</f>
        <v>325801.87437858281</v>
      </c>
      <c r="D753" s="17"/>
    </row>
    <row r="754" spans="2:4" x14ac:dyDescent="0.35">
      <c r="B754" s="18">
        <v>563</v>
      </c>
      <c r="C754" s="6">
        <f>IFERROR(IF(OR(Inputs!$C$84=0,Inputs!$C$84="",ISERROR(Inputs!$C$84)),Inputs!$D$84,Inputs!$C$84*Inputs!$K$9*(1+Inputs!$K$12)^B754),"Error - Check Input")
+IFERROR(IF(OR(Inputs!$C$85=0,Inputs!$C$85="",ISERROR(Inputs!$C$85)),Inputs!$D$85,Inputs!$C$85*Inputs!$K$9*(1+Inputs!$K$12)^B754),"Error - Check Input")
+IFERROR(IF(OR(Inputs!$C$86=0,Inputs!$C$86="",ISERROR(Inputs!$C$86)),Inputs!$D$86,Inputs!$C$86*Inputs!$K$9*(1+Inputs!$K$12)^B754),"Error - Check Input")
+IFERROR(IF(OR(Inputs!$C$87=0,Inputs!$C$87="",ISERROR(Inputs!$C$87)),Inputs!$D$87,Inputs!$C$87*Inputs!$K$9*(1+Inputs!$K$12)^B754),"Error - Check Input")
+IFERROR(IF(OR(Inputs!$C$88=0,Inputs!$C$88="",ISERROR(Inputs!$C$88)),Inputs!$D$88,Inputs!$C$88*Inputs!$K$9*(1+Inputs!$K$12)^B754),"Error - Check Input")
+IFERROR(IF(OR(Inputs!$C$89=0,Inputs!$C$89="",ISERROR(Inputs!$C$89)),Inputs!$D$89,Inputs!$C$89*Inputs!$K$9*(1+Inputs!$K$12)^B754),"Error - Check Input")
+IFERROR(IF(OR(Inputs!$C$90=0,Inputs!$C$90="",ISERROR(Inputs!$C$90)),Inputs!$D$90,Inputs!$C$90*Inputs!$K$9*(1+Inputs!$K$12)^B754),"Error - Check Input")
+IFERROR(IF(OR(Inputs!$C$93=0,Inputs!$C$93="",ISERROR(Inputs!$C$93)),Inputs!$D$93,Inputs!$C$93*Inputs!$K$9*(1+Inputs!$K$12)^B754),"Error - Check Input")</f>
        <v>327110.89798671938</v>
      </c>
      <c r="D754" s="17"/>
    </row>
    <row r="755" spans="2:4" x14ac:dyDescent="0.35">
      <c r="B755" s="18">
        <v>564</v>
      </c>
      <c r="C755" s="6">
        <f>IFERROR(IF(OR(Inputs!$C$84=0,Inputs!$C$84="",ISERROR(Inputs!$C$84)),Inputs!$D$84,Inputs!$C$84*Inputs!$K$9*(1+Inputs!$K$12)^B755),"Error - Check Input")
+IFERROR(IF(OR(Inputs!$C$85=0,Inputs!$C$85="",ISERROR(Inputs!$C$85)),Inputs!$D$85,Inputs!$C$85*Inputs!$K$9*(1+Inputs!$K$12)^B755),"Error - Check Input")
+IFERROR(IF(OR(Inputs!$C$86=0,Inputs!$C$86="",ISERROR(Inputs!$C$86)),Inputs!$D$86,Inputs!$C$86*Inputs!$K$9*(1+Inputs!$K$12)^B755),"Error - Check Input")
+IFERROR(IF(OR(Inputs!$C$87=0,Inputs!$C$87="",ISERROR(Inputs!$C$87)),Inputs!$D$87,Inputs!$C$87*Inputs!$K$9*(1+Inputs!$K$12)^B755),"Error - Check Input")
+IFERROR(IF(OR(Inputs!$C$88=0,Inputs!$C$88="",ISERROR(Inputs!$C$88)),Inputs!$D$88,Inputs!$C$88*Inputs!$K$9*(1+Inputs!$K$12)^B755),"Error - Check Input")
+IFERROR(IF(OR(Inputs!$C$89=0,Inputs!$C$89="",ISERROR(Inputs!$C$89)),Inputs!$D$89,Inputs!$C$89*Inputs!$K$9*(1+Inputs!$K$12)^B755),"Error - Check Input")
+IFERROR(IF(OR(Inputs!$C$90=0,Inputs!$C$90="",ISERROR(Inputs!$C$90)),Inputs!$D$90,Inputs!$C$90*Inputs!$K$9*(1+Inputs!$K$12)^B755),"Error - Check Input")
+IFERROR(IF(OR(Inputs!$C$93=0,Inputs!$C$93="",ISERROR(Inputs!$C$93)),Inputs!$D$93,Inputs!$C$93*Inputs!$K$9*(1+Inputs!$K$12)^B755),"Error - Check Input")</f>
        <v>328425.25471907126</v>
      </c>
      <c r="D755" s="17"/>
    </row>
    <row r="756" spans="2:4" x14ac:dyDescent="0.35">
      <c r="B756" s="18">
        <v>565</v>
      </c>
      <c r="C756" s="6">
        <f>IFERROR(IF(OR(Inputs!$C$84=0,Inputs!$C$84="",ISERROR(Inputs!$C$84)),Inputs!$D$84,Inputs!$C$84*Inputs!$K$9*(1+Inputs!$K$12)^B756),"Error - Check Input")
+IFERROR(IF(OR(Inputs!$C$85=0,Inputs!$C$85="",ISERROR(Inputs!$C$85)),Inputs!$D$85,Inputs!$C$85*Inputs!$K$9*(1+Inputs!$K$12)^B756),"Error - Check Input")
+IFERROR(IF(OR(Inputs!$C$86=0,Inputs!$C$86="",ISERROR(Inputs!$C$86)),Inputs!$D$86,Inputs!$C$86*Inputs!$K$9*(1+Inputs!$K$12)^B756),"Error - Check Input")
+IFERROR(IF(OR(Inputs!$C$87=0,Inputs!$C$87="",ISERROR(Inputs!$C$87)),Inputs!$D$87,Inputs!$C$87*Inputs!$K$9*(1+Inputs!$K$12)^B756),"Error - Check Input")
+IFERROR(IF(OR(Inputs!$C$88=0,Inputs!$C$88="",ISERROR(Inputs!$C$88)),Inputs!$D$88,Inputs!$C$88*Inputs!$K$9*(1+Inputs!$K$12)^B756),"Error - Check Input")
+IFERROR(IF(OR(Inputs!$C$89=0,Inputs!$C$89="",ISERROR(Inputs!$C$89)),Inputs!$D$89,Inputs!$C$89*Inputs!$K$9*(1+Inputs!$K$12)^B756),"Error - Check Input")
+IFERROR(IF(OR(Inputs!$C$90=0,Inputs!$C$90="",ISERROR(Inputs!$C$90)),Inputs!$D$90,Inputs!$C$90*Inputs!$K$9*(1+Inputs!$K$12)^B756),"Error - Check Input")
+IFERROR(IF(OR(Inputs!$C$93=0,Inputs!$C$93="",ISERROR(Inputs!$C$93)),Inputs!$D$93,Inputs!$C$93*Inputs!$K$9*(1+Inputs!$K$12)^B756),"Error - Check Input")</f>
        <v>329744.9663034465</v>
      </c>
      <c r="D756" s="17"/>
    </row>
    <row r="757" spans="2:4" x14ac:dyDescent="0.35">
      <c r="B757" s="18">
        <v>566</v>
      </c>
      <c r="C757" s="6">
        <f>IFERROR(IF(OR(Inputs!$C$84=0,Inputs!$C$84="",ISERROR(Inputs!$C$84)),Inputs!$D$84,Inputs!$C$84*Inputs!$K$9*(1+Inputs!$K$12)^B757),"Error - Check Input")
+IFERROR(IF(OR(Inputs!$C$85=0,Inputs!$C$85="",ISERROR(Inputs!$C$85)),Inputs!$D$85,Inputs!$C$85*Inputs!$K$9*(1+Inputs!$K$12)^B757),"Error - Check Input")
+IFERROR(IF(OR(Inputs!$C$86=0,Inputs!$C$86="",ISERROR(Inputs!$C$86)),Inputs!$D$86,Inputs!$C$86*Inputs!$K$9*(1+Inputs!$K$12)^B757),"Error - Check Input")
+IFERROR(IF(OR(Inputs!$C$87=0,Inputs!$C$87="",ISERROR(Inputs!$C$87)),Inputs!$D$87,Inputs!$C$87*Inputs!$K$9*(1+Inputs!$K$12)^B757),"Error - Check Input")
+IFERROR(IF(OR(Inputs!$C$88=0,Inputs!$C$88="",ISERROR(Inputs!$C$88)),Inputs!$D$88,Inputs!$C$88*Inputs!$K$9*(1+Inputs!$K$12)^B757),"Error - Check Input")
+IFERROR(IF(OR(Inputs!$C$89=0,Inputs!$C$89="",ISERROR(Inputs!$C$89)),Inputs!$D$89,Inputs!$C$89*Inputs!$K$9*(1+Inputs!$K$12)^B757),"Error - Check Input")
+IFERROR(IF(OR(Inputs!$C$90=0,Inputs!$C$90="",ISERROR(Inputs!$C$90)),Inputs!$D$90,Inputs!$C$90*Inputs!$K$9*(1+Inputs!$K$12)^B757),"Error - Check Input")
+IFERROR(IF(OR(Inputs!$C$93=0,Inputs!$C$93="",ISERROR(Inputs!$C$93)),Inputs!$D$93,Inputs!$C$93*Inputs!$K$9*(1+Inputs!$K$12)^B757),"Error - Check Input")</f>
        <v>331070.05455617537</v>
      </c>
      <c r="D757" s="17"/>
    </row>
    <row r="758" spans="2:4" x14ac:dyDescent="0.35">
      <c r="B758" s="18">
        <v>567</v>
      </c>
      <c r="C758" s="6">
        <f>IFERROR(IF(OR(Inputs!$C$84=0,Inputs!$C$84="",ISERROR(Inputs!$C$84)),Inputs!$D$84,Inputs!$C$84*Inputs!$K$9*(1+Inputs!$K$12)^B758),"Error - Check Input")
+IFERROR(IF(OR(Inputs!$C$85=0,Inputs!$C$85="",ISERROR(Inputs!$C$85)),Inputs!$D$85,Inputs!$C$85*Inputs!$K$9*(1+Inputs!$K$12)^B758),"Error - Check Input")
+IFERROR(IF(OR(Inputs!$C$86=0,Inputs!$C$86="",ISERROR(Inputs!$C$86)),Inputs!$D$86,Inputs!$C$86*Inputs!$K$9*(1+Inputs!$K$12)^B758),"Error - Check Input")
+IFERROR(IF(OR(Inputs!$C$87=0,Inputs!$C$87="",ISERROR(Inputs!$C$87)),Inputs!$D$87,Inputs!$C$87*Inputs!$K$9*(1+Inputs!$K$12)^B758),"Error - Check Input")
+IFERROR(IF(OR(Inputs!$C$88=0,Inputs!$C$88="",ISERROR(Inputs!$C$88)),Inputs!$D$88,Inputs!$C$88*Inputs!$K$9*(1+Inputs!$K$12)^B758),"Error - Check Input")
+IFERROR(IF(OR(Inputs!$C$89=0,Inputs!$C$89="",ISERROR(Inputs!$C$89)),Inputs!$D$89,Inputs!$C$89*Inputs!$K$9*(1+Inputs!$K$12)^B758),"Error - Check Input")
+IFERROR(IF(OR(Inputs!$C$90=0,Inputs!$C$90="",ISERROR(Inputs!$C$90)),Inputs!$D$90,Inputs!$C$90*Inputs!$K$9*(1+Inputs!$K$12)^B758),"Error - Check Input")
+IFERROR(IF(OR(Inputs!$C$93=0,Inputs!$C$93="",ISERROR(Inputs!$C$93)),Inputs!$D$93,Inputs!$C$93*Inputs!$K$9*(1+Inputs!$K$12)^B758),"Error - Check Input")</f>
        <v>332400.54138246999</v>
      </c>
      <c r="D758" s="17"/>
    </row>
    <row r="759" spans="2:4" x14ac:dyDescent="0.35">
      <c r="B759" s="18">
        <v>568</v>
      </c>
      <c r="C759" s="6">
        <f>IFERROR(IF(OR(Inputs!$C$84=0,Inputs!$C$84="",ISERROR(Inputs!$C$84)),Inputs!$D$84,Inputs!$C$84*Inputs!$K$9*(1+Inputs!$K$12)^B759),"Error - Check Input")
+IFERROR(IF(OR(Inputs!$C$85=0,Inputs!$C$85="",ISERROR(Inputs!$C$85)),Inputs!$D$85,Inputs!$C$85*Inputs!$K$9*(1+Inputs!$K$12)^B759),"Error - Check Input")
+IFERROR(IF(OR(Inputs!$C$86=0,Inputs!$C$86="",ISERROR(Inputs!$C$86)),Inputs!$D$86,Inputs!$C$86*Inputs!$K$9*(1+Inputs!$K$12)^B759),"Error - Check Input")
+IFERROR(IF(OR(Inputs!$C$87=0,Inputs!$C$87="",ISERROR(Inputs!$C$87)),Inputs!$D$87,Inputs!$C$87*Inputs!$K$9*(1+Inputs!$K$12)^B759),"Error - Check Input")
+IFERROR(IF(OR(Inputs!$C$88=0,Inputs!$C$88="",ISERROR(Inputs!$C$88)),Inputs!$D$88,Inputs!$C$88*Inputs!$K$9*(1+Inputs!$K$12)^B759),"Error - Check Input")
+IFERROR(IF(OR(Inputs!$C$89=0,Inputs!$C$89="",ISERROR(Inputs!$C$89)),Inputs!$D$89,Inputs!$C$89*Inputs!$K$9*(1+Inputs!$K$12)^B759),"Error - Check Input")
+IFERROR(IF(OR(Inputs!$C$90=0,Inputs!$C$90="",ISERROR(Inputs!$C$90)),Inputs!$D$90,Inputs!$C$90*Inputs!$K$9*(1+Inputs!$K$12)^B759),"Error - Check Input")
+IFERROR(IF(OR(Inputs!$C$93=0,Inputs!$C$93="",ISERROR(Inputs!$C$93)),Inputs!$D$93,Inputs!$C$93*Inputs!$K$9*(1+Inputs!$K$12)^B759),"Error - Check Input")</f>
        <v>333736.44877678755</v>
      </c>
      <c r="D759" s="17"/>
    </row>
    <row r="760" spans="2:4" x14ac:dyDescent="0.35">
      <c r="B760" s="18">
        <v>569</v>
      </c>
      <c r="C760" s="6">
        <f>IFERROR(IF(OR(Inputs!$C$84=0,Inputs!$C$84="",ISERROR(Inputs!$C$84)),Inputs!$D$84,Inputs!$C$84*Inputs!$K$9*(1+Inputs!$K$12)^B760),"Error - Check Input")
+IFERROR(IF(OR(Inputs!$C$85=0,Inputs!$C$85="",ISERROR(Inputs!$C$85)),Inputs!$D$85,Inputs!$C$85*Inputs!$K$9*(1+Inputs!$K$12)^B760),"Error - Check Input")
+IFERROR(IF(OR(Inputs!$C$86=0,Inputs!$C$86="",ISERROR(Inputs!$C$86)),Inputs!$D$86,Inputs!$C$86*Inputs!$K$9*(1+Inputs!$K$12)^B760),"Error - Check Input")
+IFERROR(IF(OR(Inputs!$C$87=0,Inputs!$C$87="",ISERROR(Inputs!$C$87)),Inputs!$D$87,Inputs!$C$87*Inputs!$K$9*(1+Inputs!$K$12)^B760),"Error - Check Input")
+IFERROR(IF(OR(Inputs!$C$88=0,Inputs!$C$88="",ISERROR(Inputs!$C$88)),Inputs!$D$88,Inputs!$C$88*Inputs!$K$9*(1+Inputs!$K$12)^B760),"Error - Check Input")
+IFERROR(IF(OR(Inputs!$C$89=0,Inputs!$C$89="",ISERROR(Inputs!$C$89)),Inputs!$D$89,Inputs!$C$89*Inputs!$K$9*(1+Inputs!$K$12)^B760),"Error - Check Input")
+IFERROR(IF(OR(Inputs!$C$90=0,Inputs!$C$90="",ISERROR(Inputs!$C$90)),Inputs!$D$90,Inputs!$C$90*Inputs!$K$9*(1+Inputs!$K$12)^B760),"Error - Check Input")
+IFERROR(IF(OR(Inputs!$C$93=0,Inputs!$C$93="",ISERROR(Inputs!$C$93)),Inputs!$D$93,Inputs!$C$93*Inputs!$K$9*(1+Inputs!$K$12)^B760),"Error - Check Input")</f>
        <v>335077.79882319295</v>
      </c>
      <c r="D760" s="17"/>
    </row>
    <row r="761" spans="2:4" x14ac:dyDescent="0.35">
      <c r="B761" s="18">
        <v>570</v>
      </c>
      <c r="C761" s="6">
        <f>IFERROR(IF(OR(Inputs!$C$84=0,Inputs!$C$84="",ISERROR(Inputs!$C$84)),Inputs!$D$84,Inputs!$C$84*Inputs!$K$9*(1+Inputs!$K$12)^B761),"Error - Check Input")
+IFERROR(IF(OR(Inputs!$C$85=0,Inputs!$C$85="",ISERROR(Inputs!$C$85)),Inputs!$D$85,Inputs!$C$85*Inputs!$K$9*(1+Inputs!$K$12)^B761),"Error - Check Input")
+IFERROR(IF(OR(Inputs!$C$86=0,Inputs!$C$86="",ISERROR(Inputs!$C$86)),Inputs!$D$86,Inputs!$C$86*Inputs!$K$9*(1+Inputs!$K$12)^B761),"Error - Check Input")
+IFERROR(IF(OR(Inputs!$C$87=0,Inputs!$C$87="",ISERROR(Inputs!$C$87)),Inputs!$D$87,Inputs!$C$87*Inputs!$K$9*(1+Inputs!$K$12)^B761),"Error - Check Input")
+IFERROR(IF(OR(Inputs!$C$88=0,Inputs!$C$88="",ISERROR(Inputs!$C$88)),Inputs!$D$88,Inputs!$C$88*Inputs!$K$9*(1+Inputs!$K$12)^B761),"Error - Check Input")
+IFERROR(IF(OR(Inputs!$C$89=0,Inputs!$C$89="",ISERROR(Inputs!$C$89)),Inputs!$D$89,Inputs!$C$89*Inputs!$K$9*(1+Inputs!$K$12)^B761),"Error - Check Input")
+IFERROR(IF(OR(Inputs!$C$90=0,Inputs!$C$90="",ISERROR(Inputs!$C$90)),Inputs!$D$90,Inputs!$C$90*Inputs!$K$9*(1+Inputs!$K$12)^B761),"Error - Check Input")
+IFERROR(IF(OR(Inputs!$C$93=0,Inputs!$C$93="",ISERROR(Inputs!$C$93)),Inputs!$D$93,Inputs!$C$93*Inputs!$K$9*(1+Inputs!$K$12)^B761),"Error - Check Input")</f>
        <v>336424.61369572463</v>
      </c>
      <c r="D761" s="17"/>
    </row>
    <row r="762" spans="2:4" x14ac:dyDescent="0.35">
      <c r="B762" s="18">
        <v>571</v>
      </c>
      <c r="C762" s="6">
        <f>IFERROR(IF(OR(Inputs!$C$84=0,Inputs!$C$84="",ISERROR(Inputs!$C$84)),Inputs!$D$84,Inputs!$C$84*Inputs!$K$9*(1+Inputs!$K$12)^B762),"Error - Check Input")
+IFERROR(IF(OR(Inputs!$C$85=0,Inputs!$C$85="",ISERROR(Inputs!$C$85)),Inputs!$D$85,Inputs!$C$85*Inputs!$K$9*(1+Inputs!$K$12)^B762),"Error - Check Input")
+IFERROR(IF(OR(Inputs!$C$86=0,Inputs!$C$86="",ISERROR(Inputs!$C$86)),Inputs!$D$86,Inputs!$C$86*Inputs!$K$9*(1+Inputs!$K$12)^B762),"Error - Check Input")
+IFERROR(IF(OR(Inputs!$C$87=0,Inputs!$C$87="",ISERROR(Inputs!$C$87)),Inputs!$D$87,Inputs!$C$87*Inputs!$K$9*(1+Inputs!$K$12)^B762),"Error - Check Input")
+IFERROR(IF(OR(Inputs!$C$88=0,Inputs!$C$88="",ISERROR(Inputs!$C$88)),Inputs!$D$88,Inputs!$C$88*Inputs!$K$9*(1+Inputs!$K$12)^B762),"Error - Check Input")
+IFERROR(IF(OR(Inputs!$C$89=0,Inputs!$C$89="",ISERROR(Inputs!$C$89)),Inputs!$D$89,Inputs!$C$89*Inputs!$K$9*(1+Inputs!$K$12)^B762),"Error - Check Input")
+IFERROR(IF(OR(Inputs!$C$90=0,Inputs!$C$90="",ISERROR(Inputs!$C$90)),Inputs!$D$90,Inputs!$C$90*Inputs!$K$9*(1+Inputs!$K$12)^B762),"Error - Check Input")
+IFERROR(IF(OR(Inputs!$C$93=0,Inputs!$C$93="",ISERROR(Inputs!$C$93)),Inputs!$D$93,Inputs!$C$93*Inputs!$K$9*(1+Inputs!$K$12)^B762),"Error - Check Input")</f>
        <v>337776.91565876076</v>
      </c>
      <c r="D762" s="17"/>
    </row>
    <row r="763" spans="2:4" x14ac:dyDescent="0.35">
      <c r="B763" s="18">
        <v>572</v>
      </c>
      <c r="C763" s="6">
        <f>IFERROR(IF(OR(Inputs!$C$84=0,Inputs!$C$84="",ISERROR(Inputs!$C$84)),Inputs!$D$84,Inputs!$C$84*Inputs!$K$9*(1+Inputs!$K$12)^B763),"Error - Check Input")
+IFERROR(IF(OR(Inputs!$C$85=0,Inputs!$C$85="",ISERROR(Inputs!$C$85)),Inputs!$D$85,Inputs!$C$85*Inputs!$K$9*(1+Inputs!$K$12)^B763),"Error - Check Input")
+IFERROR(IF(OR(Inputs!$C$86=0,Inputs!$C$86="",ISERROR(Inputs!$C$86)),Inputs!$D$86,Inputs!$C$86*Inputs!$K$9*(1+Inputs!$K$12)^B763),"Error - Check Input")
+IFERROR(IF(OR(Inputs!$C$87=0,Inputs!$C$87="",ISERROR(Inputs!$C$87)),Inputs!$D$87,Inputs!$C$87*Inputs!$K$9*(1+Inputs!$K$12)^B763),"Error - Check Input")
+IFERROR(IF(OR(Inputs!$C$88=0,Inputs!$C$88="",ISERROR(Inputs!$C$88)),Inputs!$D$88,Inputs!$C$88*Inputs!$K$9*(1+Inputs!$K$12)^B763),"Error - Check Input")
+IFERROR(IF(OR(Inputs!$C$89=0,Inputs!$C$89="",ISERROR(Inputs!$C$89)),Inputs!$D$89,Inputs!$C$89*Inputs!$K$9*(1+Inputs!$K$12)^B763),"Error - Check Input")
+IFERROR(IF(OR(Inputs!$C$90=0,Inputs!$C$90="",ISERROR(Inputs!$C$90)),Inputs!$D$90,Inputs!$C$90*Inputs!$K$9*(1+Inputs!$K$12)^B763),"Error - Check Input")
+IFERROR(IF(OR(Inputs!$C$93=0,Inputs!$C$93="",ISERROR(Inputs!$C$93)),Inputs!$D$93,Inputs!$C$93*Inputs!$K$9*(1+Inputs!$K$12)^B763),"Error - Check Input")</f>
        <v>339134.72706738708</v>
      </c>
      <c r="D763" s="17"/>
    </row>
    <row r="764" spans="2:4" x14ac:dyDescent="0.35">
      <c r="B764" s="18">
        <v>573</v>
      </c>
      <c r="C764" s="6">
        <f>IFERROR(IF(OR(Inputs!$C$84=0,Inputs!$C$84="",ISERROR(Inputs!$C$84)),Inputs!$D$84,Inputs!$C$84*Inputs!$K$9*(1+Inputs!$K$12)^B764),"Error - Check Input")
+IFERROR(IF(OR(Inputs!$C$85=0,Inputs!$C$85="",ISERROR(Inputs!$C$85)),Inputs!$D$85,Inputs!$C$85*Inputs!$K$9*(1+Inputs!$K$12)^B764),"Error - Check Input")
+IFERROR(IF(OR(Inputs!$C$86=0,Inputs!$C$86="",ISERROR(Inputs!$C$86)),Inputs!$D$86,Inputs!$C$86*Inputs!$K$9*(1+Inputs!$K$12)^B764),"Error - Check Input")
+IFERROR(IF(OR(Inputs!$C$87=0,Inputs!$C$87="",ISERROR(Inputs!$C$87)),Inputs!$D$87,Inputs!$C$87*Inputs!$K$9*(1+Inputs!$K$12)^B764),"Error - Check Input")
+IFERROR(IF(OR(Inputs!$C$88=0,Inputs!$C$88="",ISERROR(Inputs!$C$88)),Inputs!$D$88,Inputs!$C$88*Inputs!$K$9*(1+Inputs!$K$12)^B764),"Error - Check Input")
+IFERROR(IF(OR(Inputs!$C$89=0,Inputs!$C$89="",ISERROR(Inputs!$C$89)),Inputs!$D$89,Inputs!$C$89*Inputs!$K$9*(1+Inputs!$K$12)^B764),"Error - Check Input")
+IFERROR(IF(OR(Inputs!$C$90=0,Inputs!$C$90="",ISERROR(Inputs!$C$90)),Inputs!$D$90,Inputs!$C$90*Inputs!$K$9*(1+Inputs!$K$12)^B764),"Error - Check Input")
+IFERROR(IF(OR(Inputs!$C$93=0,Inputs!$C$93="",ISERROR(Inputs!$C$93)),Inputs!$D$93,Inputs!$C$93*Inputs!$K$9*(1+Inputs!$K$12)^B764),"Error - Check Input")</f>
        <v>340498.07036776707</v>
      </c>
      <c r="D764" s="17"/>
    </row>
    <row r="765" spans="2:4" x14ac:dyDescent="0.35">
      <c r="B765" s="18">
        <v>574</v>
      </c>
      <c r="C765" s="6">
        <f>IFERROR(IF(OR(Inputs!$C$84=0,Inputs!$C$84="",ISERROR(Inputs!$C$84)),Inputs!$D$84,Inputs!$C$84*Inputs!$K$9*(1+Inputs!$K$12)^B765),"Error - Check Input")
+IFERROR(IF(OR(Inputs!$C$85=0,Inputs!$C$85="",ISERROR(Inputs!$C$85)),Inputs!$D$85,Inputs!$C$85*Inputs!$K$9*(1+Inputs!$K$12)^B765),"Error - Check Input")
+IFERROR(IF(OR(Inputs!$C$86=0,Inputs!$C$86="",ISERROR(Inputs!$C$86)),Inputs!$D$86,Inputs!$C$86*Inputs!$K$9*(1+Inputs!$K$12)^B765),"Error - Check Input")
+IFERROR(IF(OR(Inputs!$C$87=0,Inputs!$C$87="",ISERROR(Inputs!$C$87)),Inputs!$D$87,Inputs!$C$87*Inputs!$K$9*(1+Inputs!$K$12)^B765),"Error - Check Input")
+IFERROR(IF(OR(Inputs!$C$88=0,Inputs!$C$88="",ISERROR(Inputs!$C$88)),Inputs!$D$88,Inputs!$C$88*Inputs!$K$9*(1+Inputs!$K$12)^B765),"Error - Check Input")
+IFERROR(IF(OR(Inputs!$C$89=0,Inputs!$C$89="",ISERROR(Inputs!$C$89)),Inputs!$D$89,Inputs!$C$89*Inputs!$K$9*(1+Inputs!$K$12)^B765),"Error - Check Input")
+IFERROR(IF(OR(Inputs!$C$90=0,Inputs!$C$90="",ISERROR(Inputs!$C$90)),Inputs!$D$90,Inputs!$C$90*Inputs!$K$9*(1+Inputs!$K$12)^B765),"Error - Check Input")
+IFERROR(IF(OR(Inputs!$C$93=0,Inputs!$C$93="",ISERROR(Inputs!$C$93)),Inputs!$D$93,Inputs!$C$93*Inputs!$K$9*(1+Inputs!$K$12)^B765),"Error - Check Input")</f>
        <v>341866.96809751226</v>
      </c>
      <c r="D765" s="17"/>
    </row>
    <row r="766" spans="2:4" x14ac:dyDescent="0.35">
      <c r="B766" s="18">
        <v>575</v>
      </c>
      <c r="C766" s="6">
        <f>IFERROR(IF(OR(Inputs!$C$84=0,Inputs!$C$84="",ISERROR(Inputs!$C$84)),Inputs!$D$84,Inputs!$C$84*Inputs!$K$9*(1+Inputs!$K$12)^B766),"Error - Check Input")
+IFERROR(IF(OR(Inputs!$C$85=0,Inputs!$C$85="",ISERROR(Inputs!$C$85)),Inputs!$D$85,Inputs!$C$85*Inputs!$K$9*(1+Inputs!$K$12)^B766),"Error - Check Input")
+IFERROR(IF(OR(Inputs!$C$86=0,Inputs!$C$86="",ISERROR(Inputs!$C$86)),Inputs!$D$86,Inputs!$C$86*Inputs!$K$9*(1+Inputs!$K$12)^B766),"Error - Check Input")
+IFERROR(IF(OR(Inputs!$C$87=0,Inputs!$C$87="",ISERROR(Inputs!$C$87)),Inputs!$D$87,Inputs!$C$87*Inputs!$K$9*(1+Inputs!$K$12)^B766),"Error - Check Input")
+IFERROR(IF(OR(Inputs!$C$88=0,Inputs!$C$88="",ISERROR(Inputs!$C$88)),Inputs!$D$88,Inputs!$C$88*Inputs!$K$9*(1+Inputs!$K$12)^B766),"Error - Check Input")
+IFERROR(IF(OR(Inputs!$C$89=0,Inputs!$C$89="",ISERROR(Inputs!$C$89)),Inputs!$D$89,Inputs!$C$89*Inputs!$K$9*(1+Inputs!$K$12)^B766),"Error - Check Input")
+IFERROR(IF(OR(Inputs!$C$90=0,Inputs!$C$90="",ISERROR(Inputs!$C$90)),Inputs!$D$90,Inputs!$C$90*Inputs!$K$9*(1+Inputs!$K$12)^B766),"Error - Check Input")
+IFERROR(IF(OR(Inputs!$C$93=0,Inputs!$C$93="",ISERROR(Inputs!$C$93)),Inputs!$D$93,Inputs!$C$93*Inputs!$K$9*(1+Inputs!$K$12)^B766),"Error - Check Input")</f>
        <v>343241.44288605568</v>
      </c>
      <c r="D766" s="17"/>
    </row>
    <row r="767" spans="2:4" x14ac:dyDescent="0.35">
      <c r="B767" s="18">
        <v>576</v>
      </c>
      <c r="C767" s="6">
        <f>IFERROR(IF(OR(Inputs!$C$84=0,Inputs!$C$84="",ISERROR(Inputs!$C$84)),Inputs!$D$84,Inputs!$C$84*Inputs!$K$9*(1+Inputs!$K$12)^B767),"Error - Check Input")
+IFERROR(IF(OR(Inputs!$C$85=0,Inputs!$C$85="",ISERROR(Inputs!$C$85)),Inputs!$D$85,Inputs!$C$85*Inputs!$K$9*(1+Inputs!$K$12)^B767),"Error - Check Input")
+IFERROR(IF(OR(Inputs!$C$86=0,Inputs!$C$86="",ISERROR(Inputs!$C$86)),Inputs!$D$86,Inputs!$C$86*Inputs!$K$9*(1+Inputs!$K$12)^B767),"Error - Check Input")
+IFERROR(IF(OR(Inputs!$C$87=0,Inputs!$C$87="",ISERROR(Inputs!$C$87)),Inputs!$D$87,Inputs!$C$87*Inputs!$K$9*(1+Inputs!$K$12)^B767),"Error - Check Input")
+IFERROR(IF(OR(Inputs!$C$88=0,Inputs!$C$88="",ISERROR(Inputs!$C$88)),Inputs!$D$88,Inputs!$C$88*Inputs!$K$9*(1+Inputs!$K$12)^B767),"Error - Check Input")
+IFERROR(IF(OR(Inputs!$C$89=0,Inputs!$C$89="",ISERROR(Inputs!$C$89)),Inputs!$D$89,Inputs!$C$89*Inputs!$K$9*(1+Inputs!$K$12)^B767),"Error - Check Input")
+IFERROR(IF(OR(Inputs!$C$90=0,Inputs!$C$90="",ISERROR(Inputs!$C$90)),Inputs!$D$90,Inputs!$C$90*Inputs!$K$9*(1+Inputs!$K$12)^B767),"Error - Check Input")
+IFERROR(IF(OR(Inputs!$C$93=0,Inputs!$C$93="",ISERROR(Inputs!$C$93)),Inputs!$D$93,Inputs!$C$93*Inputs!$K$9*(1+Inputs!$K$12)^B767),"Error - Check Input")</f>
        <v>344621.51745502517</v>
      </c>
      <c r="D767" s="17"/>
    </row>
    <row r="768" spans="2:4" x14ac:dyDescent="0.35">
      <c r="B768" s="18">
        <v>577</v>
      </c>
      <c r="C768" s="6">
        <f>IFERROR(IF(OR(Inputs!$C$84=0,Inputs!$C$84="",ISERROR(Inputs!$C$84)),Inputs!$D$84,Inputs!$C$84*Inputs!$K$9*(1+Inputs!$K$12)^B768),"Error - Check Input")
+IFERROR(IF(OR(Inputs!$C$85=0,Inputs!$C$85="",ISERROR(Inputs!$C$85)),Inputs!$D$85,Inputs!$C$85*Inputs!$K$9*(1+Inputs!$K$12)^B768),"Error - Check Input")
+IFERROR(IF(OR(Inputs!$C$86=0,Inputs!$C$86="",ISERROR(Inputs!$C$86)),Inputs!$D$86,Inputs!$C$86*Inputs!$K$9*(1+Inputs!$K$12)^B768),"Error - Check Input")
+IFERROR(IF(OR(Inputs!$C$87=0,Inputs!$C$87="",ISERROR(Inputs!$C$87)),Inputs!$D$87,Inputs!$C$87*Inputs!$K$9*(1+Inputs!$K$12)^B768),"Error - Check Input")
+IFERROR(IF(OR(Inputs!$C$88=0,Inputs!$C$88="",ISERROR(Inputs!$C$88)),Inputs!$D$88,Inputs!$C$88*Inputs!$K$9*(1+Inputs!$K$12)^B768),"Error - Check Input")
+IFERROR(IF(OR(Inputs!$C$89=0,Inputs!$C$89="",ISERROR(Inputs!$C$89)),Inputs!$D$89,Inputs!$C$89*Inputs!$K$9*(1+Inputs!$K$12)^B768),"Error - Check Input")
+IFERROR(IF(OR(Inputs!$C$90=0,Inputs!$C$90="",ISERROR(Inputs!$C$90)),Inputs!$D$90,Inputs!$C$90*Inputs!$K$9*(1+Inputs!$K$12)^B768),"Error - Check Input")
+IFERROR(IF(OR(Inputs!$C$93=0,Inputs!$C$93="",ISERROR(Inputs!$C$93)),Inputs!$D$93,Inputs!$C$93*Inputs!$K$9*(1+Inputs!$K$12)^B768),"Error - Check Input")</f>
        <v>346007.21461861924</v>
      </c>
      <c r="D768" s="17"/>
    </row>
    <row r="769" spans="2:4" x14ac:dyDescent="0.35">
      <c r="B769" s="18">
        <v>578</v>
      </c>
      <c r="C769" s="6">
        <f>IFERROR(IF(OR(Inputs!$C$84=0,Inputs!$C$84="",ISERROR(Inputs!$C$84)),Inputs!$D$84,Inputs!$C$84*Inputs!$K$9*(1+Inputs!$K$12)^B769),"Error - Check Input")
+IFERROR(IF(OR(Inputs!$C$85=0,Inputs!$C$85="",ISERROR(Inputs!$C$85)),Inputs!$D$85,Inputs!$C$85*Inputs!$K$9*(1+Inputs!$K$12)^B769),"Error - Check Input")
+IFERROR(IF(OR(Inputs!$C$86=0,Inputs!$C$86="",ISERROR(Inputs!$C$86)),Inputs!$D$86,Inputs!$C$86*Inputs!$K$9*(1+Inputs!$K$12)^B769),"Error - Check Input")
+IFERROR(IF(OR(Inputs!$C$87=0,Inputs!$C$87="",ISERROR(Inputs!$C$87)),Inputs!$D$87,Inputs!$C$87*Inputs!$K$9*(1+Inputs!$K$12)^B769),"Error - Check Input")
+IFERROR(IF(OR(Inputs!$C$88=0,Inputs!$C$88="",ISERROR(Inputs!$C$88)),Inputs!$D$88,Inputs!$C$88*Inputs!$K$9*(1+Inputs!$K$12)^B769),"Error - Check Input")
+IFERROR(IF(OR(Inputs!$C$89=0,Inputs!$C$89="",ISERROR(Inputs!$C$89)),Inputs!$D$89,Inputs!$C$89*Inputs!$K$9*(1+Inputs!$K$12)^B769),"Error - Check Input")
+IFERROR(IF(OR(Inputs!$C$90=0,Inputs!$C$90="",ISERROR(Inputs!$C$90)),Inputs!$D$90,Inputs!$C$90*Inputs!$K$9*(1+Inputs!$K$12)^B769),"Error - Check Input")
+IFERROR(IF(OR(Inputs!$C$93=0,Inputs!$C$93="",ISERROR(Inputs!$C$93)),Inputs!$D$93,Inputs!$C$93*Inputs!$K$9*(1+Inputs!$K$12)^B769),"Error - Check Input")</f>
        <v>347398.55728398456</v>
      </c>
      <c r="D769" s="17"/>
    </row>
    <row r="770" spans="2:4" x14ac:dyDescent="0.35">
      <c r="B770" s="18">
        <v>579</v>
      </c>
      <c r="C770" s="6">
        <f>IFERROR(IF(OR(Inputs!$C$84=0,Inputs!$C$84="",ISERROR(Inputs!$C$84)),Inputs!$D$84,Inputs!$C$84*Inputs!$K$9*(1+Inputs!$K$12)^B770),"Error - Check Input")
+IFERROR(IF(OR(Inputs!$C$85=0,Inputs!$C$85="",ISERROR(Inputs!$C$85)),Inputs!$D$85,Inputs!$C$85*Inputs!$K$9*(1+Inputs!$K$12)^B770),"Error - Check Input")
+IFERROR(IF(OR(Inputs!$C$86=0,Inputs!$C$86="",ISERROR(Inputs!$C$86)),Inputs!$D$86,Inputs!$C$86*Inputs!$K$9*(1+Inputs!$K$12)^B770),"Error - Check Input")
+IFERROR(IF(OR(Inputs!$C$87=0,Inputs!$C$87="",ISERROR(Inputs!$C$87)),Inputs!$D$87,Inputs!$C$87*Inputs!$K$9*(1+Inputs!$K$12)^B770),"Error - Check Input")
+IFERROR(IF(OR(Inputs!$C$88=0,Inputs!$C$88="",ISERROR(Inputs!$C$88)),Inputs!$D$88,Inputs!$C$88*Inputs!$K$9*(1+Inputs!$K$12)^B770),"Error - Check Input")
+IFERROR(IF(OR(Inputs!$C$89=0,Inputs!$C$89="",ISERROR(Inputs!$C$89)),Inputs!$D$89,Inputs!$C$89*Inputs!$K$9*(1+Inputs!$K$12)^B770),"Error - Check Input")
+IFERROR(IF(OR(Inputs!$C$90=0,Inputs!$C$90="",ISERROR(Inputs!$C$90)),Inputs!$D$90,Inputs!$C$90*Inputs!$K$9*(1+Inputs!$K$12)^B770),"Error - Check Input")
+IFERROR(IF(OR(Inputs!$C$93=0,Inputs!$C$93="",ISERROR(Inputs!$C$93)),Inputs!$D$93,Inputs!$C$93*Inputs!$K$9*(1+Inputs!$K$12)^B770),"Error - Check Input")</f>
        <v>348795.56845159392</v>
      </c>
      <c r="D770" s="17"/>
    </row>
    <row r="771" spans="2:4" x14ac:dyDescent="0.35">
      <c r="B771" s="18">
        <v>580</v>
      </c>
      <c r="C771" s="6">
        <f>IFERROR(IF(OR(Inputs!$C$84=0,Inputs!$C$84="",ISERROR(Inputs!$C$84)),Inputs!$D$84,Inputs!$C$84*Inputs!$K$9*(1+Inputs!$K$12)^B771),"Error - Check Input")
+IFERROR(IF(OR(Inputs!$C$85=0,Inputs!$C$85="",ISERROR(Inputs!$C$85)),Inputs!$D$85,Inputs!$C$85*Inputs!$K$9*(1+Inputs!$K$12)^B771),"Error - Check Input")
+IFERROR(IF(OR(Inputs!$C$86=0,Inputs!$C$86="",ISERROR(Inputs!$C$86)),Inputs!$D$86,Inputs!$C$86*Inputs!$K$9*(1+Inputs!$K$12)^B771),"Error - Check Input")
+IFERROR(IF(OR(Inputs!$C$87=0,Inputs!$C$87="",ISERROR(Inputs!$C$87)),Inputs!$D$87,Inputs!$C$87*Inputs!$K$9*(1+Inputs!$K$12)^B771),"Error - Check Input")
+IFERROR(IF(OR(Inputs!$C$88=0,Inputs!$C$88="",ISERROR(Inputs!$C$88)),Inputs!$D$88,Inputs!$C$88*Inputs!$K$9*(1+Inputs!$K$12)^B771),"Error - Check Input")
+IFERROR(IF(OR(Inputs!$C$89=0,Inputs!$C$89="",ISERROR(Inputs!$C$89)),Inputs!$D$89,Inputs!$C$89*Inputs!$K$9*(1+Inputs!$K$12)^B771),"Error - Check Input")
+IFERROR(IF(OR(Inputs!$C$90=0,Inputs!$C$90="",ISERROR(Inputs!$C$90)),Inputs!$D$90,Inputs!$C$90*Inputs!$K$9*(1+Inputs!$K$12)^B771),"Error - Check Input")
+IFERROR(IF(OR(Inputs!$C$93=0,Inputs!$C$93="",ISERROR(Inputs!$C$93)),Inputs!$D$93,Inputs!$C$93*Inputs!$K$9*(1+Inputs!$K$12)^B771),"Error - Check Input")</f>
        <v>350198.27121562726</v>
      </c>
      <c r="D771" s="17"/>
    </row>
    <row r="772" spans="2:4" x14ac:dyDescent="0.35">
      <c r="B772" s="18">
        <v>581</v>
      </c>
      <c r="C772" s="6">
        <f>IFERROR(IF(OR(Inputs!$C$84=0,Inputs!$C$84="",ISERROR(Inputs!$C$84)),Inputs!$D$84,Inputs!$C$84*Inputs!$K$9*(1+Inputs!$K$12)^B772),"Error - Check Input")
+IFERROR(IF(OR(Inputs!$C$85=0,Inputs!$C$85="",ISERROR(Inputs!$C$85)),Inputs!$D$85,Inputs!$C$85*Inputs!$K$9*(1+Inputs!$K$12)^B772),"Error - Check Input")
+IFERROR(IF(OR(Inputs!$C$86=0,Inputs!$C$86="",ISERROR(Inputs!$C$86)),Inputs!$D$86,Inputs!$C$86*Inputs!$K$9*(1+Inputs!$K$12)^B772),"Error - Check Input")
+IFERROR(IF(OR(Inputs!$C$87=0,Inputs!$C$87="",ISERROR(Inputs!$C$87)),Inputs!$D$87,Inputs!$C$87*Inputs!$K$9*(1+Inputs!$K$12)^B772),"Error - Check Input")
+IFERROR(IF(OR(Inputs!$C$88=0,Inputs!$C$88="",ISERROR(Inputs!$C$88)),Inputs!$D$88,Inputs!$C$88*Inputs!$K$9*(1+Inputs!$K$12)^B772),"Error - Check Input")
+IFERROR(IF(OR(Inputs!$C$89=0,Inputs!$C$89="",ISERROR(Inputs!$C$89)),Inputs!$D$89,Inputs!$C$89*Inputs!$K$9*(1+Inputs!$K$12)^B772),"Error - Check Input")
+IFERROR(IF(OR(Inputs!$C$90=0,Inputs!$C$90="",ISERROR(Inputs!$C$90)),Inputs!$D$90,Inputs!$C$90*Inputs!$K$9*(1+Inputs!$K$12)^B772),"Error - Check Input")
+IFERROR(IF(OR(Inputs!$C$93=0,Inputs!$C$93="",ISERROR(Inputs!$C$93)),Inputs!$D$93,Inputs!$C$93*Inputs!$K$9*(1+Inputs!$K$12)^B772),"Error - Check Input")</f>
        <v>351606.68876435299</v>
      </c>
      <c r="D772" s="17"/>
    </row>
    <row r="773" spans="2:4" x14ac:dyDescent="0.35">
      <c r="B773" s="18">
        <v>582</v>
      </c>
      <c r="C773" s="6">
        <f>IFERROR(IF(OR(Inputs!$C$84=0,Inputs!$C$84="",ISERROR(Inputs!$C$84)),Inputs!$D$84,Inputs!$C$84*Inputs!$K$9*(1+Inputs!$K$12)^B773),"Error - Check Input")
+IFERROR(IF(OR(Inputs!$C$85=0,Inputs!$C$85="",ISERROR(Inputs!$C$85)),Inputs!$D$85,Inputs!$C$85*Inputs!$K$9*(1+Inputs!$K$12)^B773),"Error - Check Input")
+IFERROR(IF(OR(Inputs!$C$86=0,Inputs!$C$86="",ISERROR(Inputs!$C$86)),Inputs!$D$86,Inputs!$C$86*Inputs!$K$9*(1+Inputs!$K$12)^B773),"Error - Check Input")
+IFERROR(IF(OR(Inputs!$C$87=0,Inputs!$C$87="",ISERROR(Inputs!$C$87)),Inputs!$D$87,Inputs!$C$87*Inputs!$K$9*(1+Inputs!$K$12)^B773),"Error - Check Input")
+IFERROR(IF(OR(Inputs!$C$88=0,Inputs!$C$88="",ISERROR(Inputs!$C$88)),Inputs!$D$88,Inputs!$C$88*Inputs!$K$9*(1+Inputs!$K$12)^B773),"Error - Check Input")
+IFERROR(IF(OR(Inputs!$C$89=0,Inputs!$C$89="",ISERROR(Inputs!$C$89)),Inputs!$D$89,Inputs!$C$89*Inputs!$K$9*(1+Inputs!$K$12)^B773),"Error - Check Input")
+IFERROR(IF(OR(Inputs!$C$90=0,Inputs!$C$90="",ISERROR(Inputs!$C$90)),Inputs!$D$90,Inputs!$C$90*Inputs!$K$9*(1+Inputs!$K$12)^B773),"Error - Check Input")
+IFERROR(IF(OR(Inputs!$C$93=0,Inputs!$C$93="",ISERROR(Inputs!$C$93)),Inputs!$D$93,Inputs!$C$93*Inputs!$K$9*(1+Inputs!$K$12)^B773),"Error - Check Input")</f>
        <v>353020.84438051132</v>
      </c>
      <c r="D773" s="17"/>
    </row>
    <row r="774" spans="2:4" x14ac:dyDescent="0.35">
      <c r="B774" s="18">
        <v>583</v>
      </c>
      <c r="C774" s="6">
        <f>IFERROR(IF(OR(Inputs!$C$84=0,Inputs!$C$84="",ISERROR(Inputs!$C$84)),Inputs!$D$84,Inputs!$C$84*Inputs!$K$9*(1+Inputs!$K$12)^B774),"Error - Check Input")
+IFERROR(IF(OR(Inputs!$C$85=0,Inputs!$C$85="",ISERROR(Inputs!$C$85)),Inputs!$D$85,Inputs!$C$85*Inputs!$K$9*(1+Inputs!$K$12)^B774),"Error - Check Input")
+IFERROR(IF(OR(Inputs!$C$86=0,Inputs!$C$86="",ISERROR(Inputs!$C$86)),Inputs!$D$86,Inputs!$C$86*Inputs!$K$9*(1+Inputs!$K$12)^B774),"Error - Check Input")
+IFERROR(IF(OR(Inputs!$C$87=0,Inputs!$C$87="",ISERROR(Inputs!$C$87)),Inputs!$D$87,Inputs!$C$87*Inputs!$K$9*(1+Inputs!$K$12)^B774),"Error - Check Input")
+IFERROR(IF(OR(Inputs!$C$88=0,Inputs!$C$88="",ISERROR(Inputs!$C$88)),Inputs!$D$88,Inputs!$C$88*Inputs!$K$9*(1+Inputs!$K$12)^B774),"Error - Check Input")
+IFERROR(IF(OR(Inputs!$C$89=0,Inputs!$C$89="",ISERROR(Inputs!$C$89)),Inputs!$D$89,Inputs!$C$89*Inputs!$K$9*(1+Inputs!$K$12)^B774),"Error - Check Input")
+IFERROR(IF(OR(Inputs!$C$90=0,Inputs!$C$90="",ISERROR(Inputs!$C$90)),Inputs!$D$90,Inputs!$C$90*Inputs!$K$9*(1+Inputs!$K$12)^B774),"Error - Check Input")
+IFERROR(IF(OR(Inputs!$C$93=0,Inputs!$C$93="",ISERROR(Inputs!$C$93)),Inputs!$D$93,Inputs!$C$93*Inputs!$K$9*(1+Inputs!$K$12)^B774),"Error - Check Input")</f>
        <v>354440.76144169911</v>
      </c>
      <c r="D774" s="17"/>
    </row>
    <row r="775" spans="2:4" x14ac:dyDescent="0.35">
      <c r="B775" s="18">
        <v>584</v>
      </c>
      <c r="C775" s="6">
        <f>IFERROR(IF(OR(Inputs!$C$84=0,Inputs!$C$84="",ISERROR(Inputs!$C$84)),Inputs!$D$84,Inputs!$C$84*Inputs!$K$9*(1+Inputs!$K$12)^B775),"Error - Check Input")
+IFERROR(IF(OR(Inputs!$C$85=0,Inputs!$C$85="",ISERROR(Inputs!$C$85)),Inputs!$D$85,Inputs!$C$85*Inputs!$K$9*(1+Inputs!$K$12)^B775),"Error - Check Input")
+IFERROR(IF(OR(Inputs!$C$86=0,Inputs!$C$86="",ISERROR(Inputs!$C$86)),Inputs!$D$86,Inputs!$C$86*Inputs!$K$9*(1+Inputs!$K$12)^B775),"Error - Check Input")
+IFERROR(IF(OR(Inputs!$C$87=0,Inputs!$C$87="",ISERROR(Inputs!$C$87)),Inputs!$D$87,Inputs!$C$87*Inputs!$K$9*(1+Inputs!$K$12)^B775),"Error - Check Input")
+IFERROR(IF(OR(Inputs!$C$88=0,Inputs!$C$88="",ISERROR(Inputs!$C$88)),Inputs!$D$88,Inputs!$C$88*Inputs!$K$9*(1+Inputs!$K$12)^B775),"Error - Check Input")
+IFERROR(IF(OR(Inputs!$C$89=0,Inputs!$C$89="",ISERROR(Inputs!$C$89)),Inputs!$D$89,Inputs!$C$89*Inputs!$K$9*(1+Inputs!$K$12)^B775),"Error - Check Input")
+IFERROR(IF(OR(Inputs!$C$90=0,Inputs!$C$90="",ISERROR(Inputs!$C$90)),Inputs!$D$90,Inputs!$C$90*Inputs!$K$9*(1+Inputs!$K$12)^B775),"Error - Check Input")
+IFERROR(IF(OR(Inputs!$C$93=0,Inputs!$C$93="",ISERROR(Inputs!$C$93)),Inputs!$D$93,Inputs!$C$93*Inputs!$K$9*(1+Inputs!$K$12)^B775),"Error - Check Input")</f>
        <v>355866.4634207568</v>
      </c>
      <c r="D775" s="17"/>
    </row>
    <row r="776" spans="2:4" x14ac:dyDescent="0.35">
      <c r="B776" s="18">
        <v>585</v>
      </c>
      <c r="C776" s="6">
        <f>IFERROR(IF(OR(Inputs!$C$84=0,Inputs!$C$84="",ISERROR(Inputs!$C$84)),Inputs!$D$84,Inputs!$C$84*Inputs!$K$9*(1+Inputs!$K$12)^B776),"Error - Check Input")
+IFERROR(IF(OR(Inputs!$C$85=0,Inputs!$C$85="",ISERROR(Inputs!$C$85)),Inputs!$D$85,Inputs!$C$85*Inputs!$K$9*(1+Inputs!$K$12)^B776),"Error - Check Input")
+IFERROR(IF(OR(Inputs!$C$86=0,Inputs!$C$86="",ISERROR(Inputs!$C$86)),Inputs!$D$86,Inputs!$C$86*Inputs!$K$9*(1+Inputs!$K$12)^B776),"Error - Check Input")
+IFERROR(IF(OR(Inputs!$C$87=0,Inputs!$C$87="",ISERROR(Inputs!$C$87)),Inputs!$D$87,Inputs!$C$87*Inputs!$K$9*(1+Inputs!$K$12)^B776),"Error - Check Input")
+IFERROR(IF(OR(Inputs!$C$88=0,Inputs!$C$88="",ISERROR(Inputs!$C$88)),Inputs!$D$88,Inputs!$C$88*Inputs!$K$9*(1+Inputs!$K$12)^B776),"Error - Check Input")
+IFERROR(IF(OR(Inputs!$C$89=0,Inputs!$C$89="",ISERROR(Inputs!$C$89)),Inputs!$D$89,Inputs!$C$89*Inputs!$K$9*(1+Inputs!$K$12)^B776),"Error - Check Input")
+IFERROR(IF(OR(Inputs!$C$90=0,Inputs!$C$90="",ISERROR(Inputs!$C$90)),Inputs!$D$90,Inputs!$C$90*Inputs!$K$9*(1+Inputs!$K$12)^B776),"Error - Check Input")
+IFERROR(IF(OR(Inputs!$C$93=0,Inputs!$C$93="",ISERROR(Inputs!$C$93)),Inputs!$D$93,Inputs!$C$93*Inputs!$K$9*(1+Inputs!$K$12)^B776),"Error - Check Input")</f>
        <v>357297.97388615576</v>
      </c>
      <c r="D776" s="17"/>
    </row>
    <row r="777" spans="2:4" x14ac:dyDescent="0.35">
      <c r="B777" s="18">
        <v>586</v>
      </c>
      <c r="C777" s="6">
        <f>IFERROR(IF(OR(Inputs!$C$84=0,Inputs!$C$84="",ISERROR(Inputs!$C$84)),Inputs!$D$84,Inputs!$C$84*Inputs!$K$9*(1+Inputs!$K$12)^B777),"Error - Check Input")
+IFERROR(IF(OR(Inputs!$C$85=0,Inputs!$C$85="",ISERROR(Inputs!$C$85)),Inputs!$D$85,Inputs!$C$85*Inputs!$K$9*(1+Inputs!$K$12)^B777),"Error - Check Input")
+IFERROR(IF(OR(Inputs!$C$86=0,Inputs!$C$86="",ISERROR(Inputs!$C$86)),Inputs!$D$86,Inputs!$C$86*Inputs!$K$9*(1+Inputs!$K$12)^B777),"Error - Check Input")
+IFERROR(IF(OR(Inputs!$C$87=0,Inputs!$C$87="",ISERROR(Inputs!$C$87)),Inputs!$D$87,Inputs!$C$87*Inputs!$K$9*(1+Inputs!$K$12)^B777),"Error - Check Input")
+IFERROR(IF(OR(Inputs!$C$88=0,Inputs!$C$88="",ISERROR(Inputs!$C$88)),Inputs!$D$88,Inputs!$C$88*Inputs!$K$9*(1+Inputs!$K$12)^B777),"Error - Check Input")
+IFERROR(IF(OR(Inputs!$C$89=0,Inputs!$C$89="",ISERROR(Inputs!$C$89)),Inputs!$D$89,Inputs!$C$89*Inputs!$K$9*(1+Inputs!$K$12)^B777),"Error - Check Input")
+IFERROR(IF(OR(Inputs!$C$90=0,Inputs!$C$90="",ISERROR(Inputs!$C$90)),Inputs!$D$90,Inputs!$C$90*Inputs!$K$9*(1+Inputs!$K$12)^B777),"Error - Check Input")
+IFERROR(IF(OR(Inputs!$C$93=0,Inputs!$C$93="",ISERROR(Inputs!$C$93)),Inputs!$D$93,Inputs!$C$93*Inputs!$K$9*(1+Inputs!$K$12)^B777),"Error - Check Input")</f>
        <v>358735.31650238833</v>
      </c>
      <c r="D777" s="17"/>
    </row>
    <row r="778" spans="2:4" x14ac:dyDescent="0.35">
      <c r="B778" s="18">
        <v>587</v>
      </c>
      <c r="C778" s="6">
        <f>IFERROR(IF(OR(Inputs!$C$84=0,Inputs!$C$84="",ISERROR(Inputs!$C$84)),Inputs!$D$84,Inputs!$C$84*Inputs!$K$9*(1+Inputs!$K$12)^B778),"Error - Check Input")
+IFERROR(IF(OR(Inputs!$C$85=0,Inputs!$C$85="",ISERROR(Inputs!$C$85)),Inputs!$D$85,Inputs!$C$85*Inputs!$K$9*(1+Inputs!$K$12)^B778),"Error - Check Input")
+IFERROR(IF(OR(Inputs!$C$86=0,Inputs!$C$86="",ISERROR(Inputs!$C$86)),Inputs!$D$86,Inputs!$C$86*Inputs!$K$9*(1+Inputs!$K$12)^B778),"Error - Check Input")
+IFERROR(IF(OR(Inputs!$C$87=0,Inputs!$C$87="",ISERROR(Inputs!$C$87)),Inputs!$D$87,Inputs!$C$87*Inputs!$K$9*(1+Inputs!$K$12)^B778),"Error - Check Input")
+IFERROR(IF(OR(Inputs!$C$88=0,Inputs!$C$88="",ISERROR(Inputs!$C$88)),Inputs!$D$88,Inputs!$C$88*Inputs!$K$9*(1+Inputs!$K$12)^B778),"Error - Check Input")
+IFERROR(IF(OR(Inputs!$C$89=0,Inputs!$C$89="",ISERROR(Inputs!$C$89)),Inputs!$D$89,Inputs!$C$89*Inputs!$K$9*(1+Inputs!$K$12)^B778),"Error - Check Input")
+IFERROR(IF(OR(Inputs!$C$90=0,Inputs!$C$90="",ISERROR(Inputs!$C$90)),Inputs!$D$90,Inputs!$C$90*Inputs!$K$9*(1+Inputs!$K$12)^B778),"Error - Check Input")
+IFERROR(IF(OR(Inputs!$C$93=0,Inputs!$C$93="",ISERROR(Inputs!$C$93)),Inputs!$D$93,Inputs!$C$93*Inputs!$K$9*(1+Inputs!$K$12)^B778),"Error - Check Input")</f>
        <v>360178.51503035886</v>
      </c>
      <c r="D778" s="17"/>
    </row>
    <row r="779" spans="2:4" x14ac:dyDescent="0.35">
      <c r="B779" s="18">
        <v>588</v>
      </c>
      <c r="C779" s="6">
        <f>IFERROR(IF(OR(Inputs!$C$84=0,Inputs!$C$84="",ISERROR(Inputs!$C$84)),Inputs!$D$84,Inputs!$C$84*Inputs!$K$9*(1+Inputs!$K$12)^B779),"Error - Check Input")
+IFERROR(IF(OR(Inputs!$C$85=0,Inputs!$C$85="",ISERROR(Inputs!$C$85)),Inputs!$D$85,Inputs!$C$85*Inputs!$K$9*(1+Inputs!$K$12)^B779),"Error - Check Input")
+IFERROR(IF(OR(Inputs!$C$86=0,Inputs!$C$86="",ISERROR(Inputs!$C$86)),Inputs!$D$86,Inputs!$C$86*Inputs!$K$9*(1+Inputs!$K$12)^B779),"Error - Check Input")
+IFERROR(IF(OR(Inputs!$C$87=0,Inputs!$C$87="",ISERROR(Inputs!$C$87)),Inputs!$D$87,Inputs!$C$87*Inputs!$K$9*(1+Inputs!$K$12)^B779),"Error - Check Input")
+IFERROR(IF(OR(Inputs!$C$88=0,Inputs!$C$88="",ISERROR(Inputs!$C$88)),Inputs!$D$88,Inputs!$C$88*Inputs!$K$9*(1+Inputs!$K$12)^B779),"Error - Check Input")
+IFERROR(IF(OR(Inputs!$C$89=0,Inputs!$C$89="",ISERROR(Inputs!$C$89)),Inputs!$D$89,Inputs!$C$89*Inputs!$K$9*(1+Inputs!$K$12)^B779),"Error - Check Input")
+IFERROR(IF(OR(Inputs!$C$90=0,Inputs!$C$90="",ISERROR(Inputs!$C$90)),Inputs!$D$90,Inputs!$C$90*Inputs!$K$9*(1+Inputs!$K$12)^B779),"Error - Check Input")
+IFERROR(IF(OR(Inputs!$C$93=0,Inputs!$C$93="",ISERROR(Inputs!$C$93)),Inputs!$D$93,Inputs!$C$93*Inputs!$K$9*(1+Inputs!$K$12)^B779),"Error - Check Input")</f>
        <v>361627.59332777682</v>
      </c>
      <c r="D779" s="17"/>
    </row>
    <row r="780" spans="2:4" x14ac:dyDescent="0.35">
      <c r="B780" s="18">
        <v>589</v>
      </c>
      <c r="C780" s="6">
        <f>IFERROR(IF(OR(Inputs!$C$84=0,Inputs!$C$84="",ISERROR(Inputs!$C$84)),Inputs!$D$84,Inputs!$C$84*Inputs!$K$9*(1+Inputs!$K$12)^B780),"Error - Check Input")
+IFERROR(IF(OR(Inputs!$C$85=0,Inputs!$C$85="",ISERROR(Inputs!$C$85)),Inputs!$D$85,Inputs!$C$85*Inputs!$K$9*(1+Inputs!$K$12)^B780),"Error - Check Input")
+IFERROR(IF(OR(Inputs!$C$86=0,Inputs!$C$86="",ISERROR(Inputs!$C$86)),Inputs!$D$86,Inputs!$C$86*Inputs!$K$9*(1+Inputs!$K$12)^B780),"Error - Check Input")
+IFERROR(IF(OR(Inputs!$C$87=0,Inputs!$C$87="",ISERROR(Inputs!$C$87)),Inputs!$D$87,Inputs!$C$87*Inputs!$K$9*(1+Inputs!$K$12)^B780),"Error - Check Input")
+IFERROR(IF(OR(Inputs!$C$88=0,Inputs!$C$88="",ISERROR(Inputs!$C$88)),Inputs!$D$88,Inputs!$C$88*Inputs!$K$9*(1+Inputs!$K$12)^B780),"Error - Check Input")
+IFERROR(IF(OR(Inputs!$C$89=0,Inputs!$C$89="",ISERROR(Inputs!$C$89)),Inputs!$D$89,Inputs!$C$89*Inputs!$K$9*(1+Inputs!$K$12)^B780),"Error - Check Input")
+IFERROR(IF(OR(Inputs!$C$90=0,Inputs!$C$90="",ISERROR(Inputs!$C$90)),Inputs!$D$90,Inputs!$C$90*Inputs!$K$9*(1+Inputs!$K$12)^B780),"Error - Check Input")
+IFERROR(IF(OR(Inputs!$C$93=0,Inputs!$C$93="",ISERROR(Inputs!$C$93)),Inputs!$D$93,Inputs!$C$93*Inputs!$K$9*(1+Inputs!$K$12)^B780),"Error - Check Input")</f>
        <v>363082.57534955064</v>
      </c>
      <c r="D780" s="17"/>
    </row>
    <row r="781" spans="2:4" x14ac:dyDescent="0.35">
      <c r="B781" s="18">
        <v>590</v>
      </c>
      <c r="C781" s="6">
        <f>IFERROR(IF(OR(Inputs!$C$84=0,Inputs!$C$84="",ISERROR(Inputs!$C$84)),Inputs!$D$84,Inputs!$C$84*Inputs!$K$9*(1+Inputs!$K$12)^B781),"Error - Check Input")
+IFERROR(IF(OR(Inputs!$C$85=0,Inputs!$C$85="",ISERROR(Inputs!$C$85)),Inputs!$D$85,Inputs!$C$85*Inputs!$K$9*(1+Inputs!$K$12)^B781),"Error - Check Input")
+IFERROR(IF(OR(Inputs!$C$86=0,Inputs!$C$86="",ISERROR(Inputs!$C$86)),Inputs!$D$86,Inputs!$C$86*Inputs!$K$9*(1+Inputs!$K$12)^B781),"Error - Check Input")
+IFERROR(IF(OR(Inputs!$C$87=0,Inputs!$C$87="",ISERROR(Inputs!$C$87)),Inputs!$D$87,Inputs!$C$87*Inputs!$K$9*(1+Inputs!$K$12)^B781),"Error - Check Input")
+IFERROR(IF(OR(Inputs!$C$88=0,Inputs!$C$88="",ISERROR(Inputs!$C$88)),Inputs!$D$88,Inputs!$C$88*Inputs!$K$9*(1+Inputs!$K$12)^B781),"Error - Check Input")
+IFERROR(IF(OR(Inputs!$C$89=0,Inputs!$C$89="",ISERROR(Inputs!$C$89)),Inputs!$D$89,Inputs!$C$89*Inputs!$K$9*(1+Inputs!$K$12)^B781),"Error - Check Input")
+IFERROR(IF(OR(Inputs!$C$90=0,Inputs!$C$90="",ISERROR(Inputs!$C$90)),Inputs!$D$90,Inputs!$C$90*Inputs!$K$9*(1+Inputs!$K$12)^B781),"Error - Check Input")
+IFERROR(IF(OR(Inputs!$C$93=0,Inputs!$C$93="",ISERROR(Inputs!$C$93)),Inputs!$D$93,Inputs!$C$93*Inputs!$K$9*(1+Inputs!$K$12)^B781),"Error - Check Input")</f>
        <v>364543.48514818412</v>
      </c>
      <c r="D781" s="17"/>
    </row>
    <row r="782" spans="2:4" x14ac:dyDescent="0.35">
      <c r="B782" s="18">
        <v>591</v>
      </c>
      <c r="C782" s="6">
        <f>IFERROR(IF(OR(Inputs!$C$84=0,Inputs!$C$84="",ISERROR(Inputs!$C$84)),Inputs!$D$84,Inputs!$C$84*Inputs!$K$9*(1+Inputs!$K$12)^B782),"Error - Check Input")
+IFERROR(IF(OR(Inputs!$C$85=0,Inputs!$C$85="",ISERROR(Inputs!$C$85)),Inputs!$D$85,Inputs!$C$85*Inputs!$K$9*(1+Inputs!$K$12)^B782),"Error - Check Input")
+IFERROR(IF(OR(Inputs!$C$86=0,Inputs!$C$86="",ISERROR(Inputs!$C$86)),Inputs!$D$86,Inputs!$C$86*Inputs!$K$9*(1+Inputs!$K$12)^B782),"Error - Check Input")
+IFERROR(IF(OR(Inputs!$C$87=0,Inputs!$C$87="",ISERROR(Inputs!$C$87)),Inputs!$D$87,Inputs!$C$87*Inputs!$K$9*(1+Inputs!$K$12)^B782),"Error - Check Input")
+IFERROR(IF(OR(Inputs!$C$88=0,Inputs!$C$88="",ISERROR(Inputs!$C$88)),Inputs!$D$88,Inputs!$C$88*Inputs!$K$9*(1+Inputs!$K$12)^B782),"Error - Check Input")
+IFERROR(IF(OR(Inputs!$C$89=0,Inputs!$C$89="",ISERROR(Inputs!$C$89)),Inputs!$D$89,Inputs!$C$89*Inputs!$K$9*(1+Inputs!$K$12)^B782),"Error - Check Input")
+IFERROR(IF(OR(Inputs!$C$90=0,Inputs!$C$90="",ISERROR(Inputs!$C$90)),Inputs!$D$90,Inputs!$C$90*Inputs!$K$9*(1+Inputs!$K$12)^B782),"Error - Check Input")
+IFERROR(IF(OR(Inputs!$C$93=0,Inputs!$C$93="",ISERROR(Inputs!$C$93)),Inputs!$D$93,Inputs!$C$93*Inputs!$K$9*(1+Inputs!$K$12)^B782),"Error - Check Input")</f>
        <v>366010.34687417396</v>
      </c>
      <c r="D782" s="17"/>
    </row>
    <row r="783" spans="2:4" x14ac:dyDescent="0.35">
      <c r="B783" s="18">
        <v>592</v>
      </c>
      <c r="C783" s="6">
        <f>IFERROR(IF(OR(Inputs!$C$84=0,Inputs!$C$84="",ISERROR(Inputs!$C$84)),Inputs!$D$84,Inputs!$C$84*Inputs!$K$9*(1+Inputs!$K$12)^B783),"Error - Check Input")
+IFERROR(IF(OR(Inputs!$C$85=0,Inputs!$C$85="",ISERROR(Inputs!$C$85)),Inputs!$D$85,Inputs!$C$85*Inputs!$K$9*(1+Inputs!$K$12)^B783),"Error - Check Input")
+IFERROR(IF(OR(Inputs!$C$86=0,Inputs!$C$86="",ISERROR(Inputs!$C$86)),Inputs!$D$86,Inputs!$C$86*Inputs!$K$9*(1+Inputs!$K$12)^B783),"Error - Check Input")
+IFERROR(IF(OR(Inputs!$C$87=0,Inputs!$C$87="",ISERROR(Inputs!$C$87)),Inputs!$D$87,Inputs!$C$87*Inputs!$K$9*(1+Inputs!$K$12)^B783),"Error - Check Input")
+IFERROR(IF(OR(Inputs!$C$88=0,Inputs!$C$88="",ISERROR(Inputs!$C$88)),Inputs!$D$88,Inputs!$C$88*Inputs!$K$9*(1+Inputs!$K$12)^B783),"Error - Check Input")
+IFERROR(IF(OR(Inputs!$C$89=0,Inputs!$C$89="",ISERROR(Inputs!$C$89)),Inputs!$D$89,Inputs!$C$89*Inputs!$K$9*(1+Inputs!$K$12)^B783),"Error - Check Input")
+IFERROR(IF(OR(Inputs!$C$90=0,Inputs!$C$90="",ISERROR(Inputs!$C$90)),Inputs!$D$90,Inputs!$C$90*Inputs!$K$9*(1+Inputs!$K$12)^B783),"Error - Check Input")
+IFERROR(IF(OR(Inputs!$C$93=0,Inputs!$C$93="",ISERROR(Inputs!$C$93)),Inputs!$D$93,Inputs!$C$93*Inputs!$K$9*(1+Inputs!$K$12)^B783),"Error - Check Input")</f>
        <v>367483.18477640906</v>
      </c>
      <c r="D783" s="17"/>
    </row>
    <row r="784" spans="2:4" x14ac:dyDescent="0.35">
      <c r="B784" s="18">
        <v>593</v>
      </c>
      <c r="C784" s="6">
        <f>IFERROR(IF(OR(Inputs!$C$84=0,Inputs!$C$84="",ISERROR(Inputs!$C$84)),Inputs!$D$84,Inputs!$C$84*Inputs!$K$9*(1+Inputs!$K$12)^B784),"Error - Check Input")
+IFERROR(IF(OR(Inputs!$C$85=0,Inputs!$C$85="",ISERROR(Inputs!$C$85)),Inputs!$D$85,Inputs!$C$85*Inputs!$K$9*(1+Inputs!$K$12)^B784),"Error - Check Input")
+IFERROR(IF(OR(Inputs!$C$86=0,Inputs!$C$86="",ISERROR(Inputs!$C$86)),Inputs!$D$86,Inputs!$C$86*Inputs!$K$9*(1+Inputs!$K$12)^B784),"Error - Check Input")
+IFERROR(IF(OR(Inputs!$C$87=0,Inputs!$C$87="",ISERROR(Inputs!$C$87)),Inputs!$D$87,Inputs!$C$87*Inputs!$K$9*(1+Inputs!$K$12)^B784),"Error - Check Input")
+IFERROR(IF(OR(Inputs!$C$88=0,Inputs!$C$88="",ISERROR(Inputs!$C$88)),Inputs!$D$88,Inputs!$C$88*Inputs!$K$9*(1+Inputs!$K$12)^B784),"Error - Check Input")
+IFERROR(IF(OR(Inputs!$C$89=0,Inputs!$C$89="",ISERROR(Inputs!$C$89)),Inputs!$D$89,Inputs!$C$89*Inputs!$K$9*(1+Inputs!$K$12)^B784),"Error - Check Input")
+IFERROR(IF(OR(Inputs!$C$90=0,Inputs!$C$90="",ISERROR(Inputs!$C$90)),Inputs!$D$90,Inputs!$C$90*Inputs!$K$9*(1+Inputs!$K$12)^B784),"Error - Check Input")
+IFERROR(IF(OR(Inputs!$C$93=0,Inputs!$C$93="",ISERROR(Inputs!$C$93)),Inputs!$D$93,Inputs!$C$93*Inputs!$K$9*(1+Inputs!$K$12)^B784),"Error - Check Input")</f>
        <v>368962.02320257103</v>
      </c>
      <c r="D784" s="17"/>
    </row>
    <row r="785" spans="2:4" x14ac:dyDescent="0.35">
      <c r="B785" s="18">
        <v>594</v>
      </c>
      <c r="C785" s="6">
        <f>IFERROR(IF(OR(Inputs!$C$84=0,Inputs!$C$84="",ISERROR(Inputs!$C$84)),Inputs!$D$84,Inputs!$C$84*Inputs!$K$9*(1+Inputs!$K$12)^B785),"Error - Check Input")
+IFERROR(IF(OR(Inputs!$C$85=0,Inputs!$C$85="",ISERROR(Inputs!$C$85)),Inputs!$D$85,Inputs!$C$85*Inputs!$K$9*(1+Inputs!$K$12)^B785),"Error - Check Input")
+IFERROR(IF(OR(Inputs!$C$86=0,Inputs!$C$86="",ISERROR(Inputs!$C$86)),Inputs!$D$86,Inputs!$C$86*Inputs!$K$9*(1+Inputs!$K$12)^B785),"Error - Check Input")
+IFERROR(IF(OR(Inputs!$C$87=0,Inputs!$C$87="",ISERROR(Inputs!$C$87)),Inputs!$D$87,Inputs!$C$87*Inputs!$K$9*(1+Inputs!$K$12)^B785),"Error - Check Input")
+IFERROR(IF(OR(Inputs!$C$88=0,Inputs!$C$88="",ISERROR(Inputs!$C$88)),Inputs!$D$88,Inputs!$C$88*Inputs!$K$9*(1+Inputs!$K$12)^B785),"Error - Check Input")
+IFERROR(IF(OR(Inputs!$C$89=0,Inputs!$C$89="",ISERROR(Inputs!$C$89)),Inputs!$D$89,Inputs!$C$89*Inputs!$K$9*(1+Inputs!$K$12)^B785),"Error - Check Input")
+IFERROR(IF(OR(Inputs!$C$90=0,Inputs!$C$90="",ISERROR(Inputs!$C$90)),Inputs!$D$90,Inputs!$C$90*Inputs!$K$9*(1+Inputs!$K$12)^B785),"Error - Check Input")
+IFERROR(IF(OR(Inputs!$C$93=0,Inputs!$C$93="",ISERROR(Inputs!$C$93)),Inputs!$D$93,Inputs!$C$93*Inputs!$K$9*(1+Inputs!$K$12)^B785),"Error - Check Input")</f>
        <v>370446.88659953728</v>
      </c>
      <c r="D785" s="17"/>
    </row>
    <row r="786" spans="2:4" x14ac:dyDescent="0.35">
      <c r="B786" s="18">
        <v>595</v>
      </c>
      <c r="C786" s="6">
        <f>IFERROR(IF(OR(Inputs!$C$84=0,Inputs!$C$84="",ISERROR(Inputs!$C$84)),Inputs!$D$84,Inputs!$C$84*Inputs!$K$9*(1+Inputs!$K$12)^B786),"Error - Check Input")
+IFERROR(IF(OR(Inputs!$C$85=0,Inputs!$C$85="",ISERROR(Inputs!$C$85)),Inputs!$D$85,Inputs!$C$85*Inputs!$K$9*(1+Inputs!$K$12)^B786),"Error - Check Input")
+IFERROR(IF(OR(Inputs!$C$86=0,Inputs!$C$86="",ISERROR(Inputs!$C$86)),Inputs!$D$86,Inputs!$C$86*Inputs!$K$9*(1+Inputs!$K$12)^B786),"Error - Check Input")
+IFERROR(IF(OR(Inputs!$C$87=0,Inputs!$C$87="",ISERROR(Inputs!$C$87)),Inputs!$D$87,Inputs!$C$87*Inputs!$K$9*(1+Inputs!$K$12)^B786),"Error - Check Input")
+IFERROR(IF(OR(Inputs!$C$88=0,Inputs!$C$88="",ISERROR(Inputs!$C$88)),Inputs!$D$88,Inputs!$C$88*Inputs!$K$9*(1+Inputs!$K$12)^B786),"Error - Check Input")
+IFERROR(IF(OR(Inputs!$C$89=0,Inputs!$C$89="",ISERROR(Inputs!$C$89)),Inputs!$D$89,Inputs!$C$89*Inputs!$K$9*(1+Inputs!$K$12)^B786),"Error - Check Input")
+IFERROR(IF(OR(Inputs!$C$90=0,Inputs!$C$90="",ISERROR(Inputs!$C$90)),Inputs!$D$90,Inputs!$C$90*Inputs!$K$9*(1+Inputs!$K$12)^B786),"Error - Check Input")
+IFERROR(IF(OR(Inputs!$C$93=0,Inputs!$C$93="",ISERROR(Inputs!$C$93)),Inputs!$D$93,Inputs!$C$93*Inputs!$K$9*(1+Inputs!$K$12)^B786),"Error - Check Input")</f>
        <v>371937.79951378453</v>
      </c>
      <c r="D786" s="17"/>
    </row>
    <row r="787" spans="2:4" x14ac:dyDescent="0.35">
      <c r="B787" s="18">
        <v>596</v>
      </c>
      <c r="C787" s="6">
        <f>IFERROR(IF(OR(Inputs!$C$84=0,Inputs!$C$84="",ISERROR(Inputs!$C$84)),Inputs!$D$84,Inputs!$C$84*Inputs!$K$9*(1+Inputs!$K$12)^B787),"Error - Check Input")
+IFERROR(IF(OR(Inputs!$C$85=0,Inputs!$C$85="",ISERROR(Inputs!$C$85)),Inputs!$D$85,Inputs!$C$85*Inputs!$K$9*(1+Inputs!$K$12)^B787),"Error - Check Input")
+IFERROR(IF(OR(Inputs!$C$86=0,Inputs!$C$86="",ISERROR(Inputs!$C$86)),Inputs!$D$86,Inputs!$C$86*Inputs!$K$9*(1+Inputs!$K$12)^B787),"Error - Check Input")
+IFERROR(IF(OR(Inputs!$C$87=0,Inputs!$C$87="",ISERROR(Inputs!$C$87)),Inputs!$D$87,Inputs!$C$87*Inputs!$K$9*(1+Inputs!$K$12)^B787),"Error - Check Input")
+IFERROR(IF(OR(Inputs!$C$88=0,Inputs!$C$88="",ISERROR(Inputs!$C$88)),Inputs!$D$88,Inputs!$C$88*Inputs!$K$9*(1+Inputs!$K$12)^B787),"Error - Check Input")
+IFERROR(IF(OR(Inputs!$C$89=0,Inputs!$C$89="",ISERROR(Inputs!$C$89)),Inputs!$D$89,Inputs!$C$89*Inputs!$K$9*(1+Inputs!$K$12)^B787),"Error - Check Input")
+IFERROR(IF(OR(Inputs!$C$90=0,Inputs!$C$90="",ISERROR(Inputs!$C$90)),Inputs!$D$90,Inputs!$C$90*Inputs!$K$9*(1+Inputs!$K$12)^B787),"Error - Check Input")
+IFERROR(IF(OR(Inputs!$C$93=0,Inputs!$C$93="",ISERROR(Inputs!$C$93)),Inputs!$D$93,Inputs!$C$93*Inputs!$K$9*(1+Inputs!$K$12)^B787),"Error - Check Input")</f>
        <v>373434.7865917951</v>
      </c>
      <c r="D787" s="17"/>
    </row>
    <row r="788" spans="2:4" x14ac:dyDescent="0.35">
      <c r="B788" s="18">
        <v>597</v>
      </c>
      <c r="C788" s="6">
        <f>IFERROR(IF(OR(Inputs!$C$84=0,Inputs!$C$84="",ISERROR(Inputs!$C$84)),Inputs!$D$84,Inputs!$C$84*Inputs!$K$9*(1+Inputs!$K$12)^B788),"Error - Check Input")
+IFERROR(IF(OR(Inputs!$C$85=0,Inputs!$C$85="",ISERROR(Inputs!$C$85)),Inputs!$D$85,Inputs!$C$85*Inputs!$K$9*(1+Inputs!$K$12)^B788),"Error - Check Input")
+IFERROR(IF(OR(Inputs!$C$86=0,Inputs!$C$86="",ISERROR(Inputs!$C$86)),Inputs!$D$86,Inputs!$C$86*Inputs!$K$9*(1+Inputs!$K$12)^B788),"Error - Check Input")
+IFERROR(IF(OR(Inputs!$C$87=0,Inputs!$C$87="",ISERROR(Inputs!$C$87)),Inputs!$D$87,Inputs!$C$87*Inputs!$K$9*(1+Inputs!$K$12)^B788),"Error - Check Input")
+IFERROR(IF(OR(Inputs!$C$88=0,Inputs!$C$88="",ISERROR(Inputs!$C$88)),Inputs!$D$88,Inputs!$C$88*Inputs!$K$9*(1+Inputs!$K$12)^B788),"Error - Check Input")
+IFERROR(IF(OR(Inputs!$C$89=0,Inputs!$C$89="",ISERROR(Inputs!$C$89)),Inputs!$D$89,Inputs!$C$89*Inputs!$K$9*(1+Inputs!$K$12)^B788),"Error - Check Input")
+IFERROR(IF(OR(Inputs!$C$90=0,Inputs!$C$90="",ISERROR(Inputs!$C$90)),Inputs!$D$90,Inputs!$C$90*Inputs!$K$9*(1+Inputs!$K$12)^B788),"Error - Check Input")
+IFERROR(IF(OR(Inputs!$C$93=0,Inputs!$C$93="",ISERROR(Inputs!$C$93)),Inputs!$D$93,Inputs!$C$93*Inputs!$K$9*(1+Inputs!$K$12)^B788),"Error - Check Input")</f>
        <v>374937.87258046394</v>
      </c>
      <c r="D788" s="17"/>
    </row>
    <row r="789" spans="2:4" x14ac:dyDescent="0.35">
      <c r="B789" s="18">
        <v>598</v>
      </c>
      <c r="C789" s="6">
        <f>IFERROR(IF(OR(Inputs!$C$84=0,Inputs!$C$84="",ISERROR(Inputs!$C$84)),Inputs!$D$84,Inputs!$C$84*Inputs!$K$9*(1+Inputs!$K$12)^B789),"Error - Check Input")
+IFERROR(IF(OR(Inputs!$C$85=0,Inputs!$C$85="",ISERROR(Inputs!$C$85)),Inputs!$D$85,Inputs!$C$85*Inputs!$K$9*(1+Inputs!$K$12)^B789),"Error - Check Input")
+IFERROR(IF(OR(Inputs!$C$86=0,Inputs!$C$86="",ISERROR(Inputs!$C$86)),Inputs!$D$86,Inputs!$C$86*Inputs!$K$9*(1+Inputs!$K$12)^B789),"Error - Check Input")
+IFERROR(IF(OR(Inputs!$C$87=0,Inputs!$C$87="",ISERROR(Inputs!$C$87)),Inputs!$D$87,Inputs!$C$87*Inputs!$K$9*(1+Inputs!$K$12)^B789),"Error - Check Input")
+IFERROR(IF(OR(Inputs!$C$88=0,Inputs!$C$88="",ISERROR(Inputs!$C$88)),Inputs!$D$88,Inputs!$C$88*Inputs!$K$9*(1+Inputs!$K$12)^B789),"Error - Check Input")
+IFERROR(IF(OR(Inputs!$C$89=0,Inputs!$C$89="",ISERROR(Inputs!$C$89)),Inputs!$D$89,Inputs!$C$89*Inputs!$K$9*(1+Inputs!$K$12)^B789),"Error - Check Input")
+IFERROR(IF(OR(Inputs!$C$90=0,Inputs!$C$90="",ISERROR(Inputs!$C$90)),Inputs!$D$90,Inputs!$C$90*Inputs!$K$9*(1+Inputs!$K$12)^B789),"Error - Check Input")
+IFERROR(IF(OR(Inputs!$C$93=0,Inputs!$C$93="",ISERROR(Inputs!$C$93)),Inputs!$D$93,Inputs!$C$93*Inputs!$K$9*(1+Inputs!$K$12)^B789),"Error - Check Input")</f>
        <v>376447.08232750813</v>
      </c>
      <c r="D789" s="17"/>
    </row>
    <row r="790" spans="2:4" x14ac:dyDescent="0.35">
      <c r="B790" s="18">
        <v>599</v>
      </c>
      <c r="C790" s="6">
        <f>IFERROR(IF(OR(Inputs!$C$84=0,Inputs!$C$84="",ISERROR(Inputs!$C$84)),Inputs!$D$84,Inputs!$C$84*Inputs!$K$9*(1+Inputs!$K$12)^B790),"Error - Check Input")
+IFERROR(IF(OR(Inputs!$C$85=0,Inputs!$C$85="",ISERROR(Inputs!$C$85)),Inputs!$D$85,Inputs!$C$85*Inputs!$K$9*(1+Inputs!$K$12)^B790),"Error - Check Input")
+IFERROR(IF(OR(Inputs!$C$86=0,Inputs!$C$86="",ISERROR(Inputs!$C$86)),Inputs!$D$86,Inputs!$C$86*Inputs!$K$9*(1+Inputs!$K$12)^B790),"Error - Check Input")
+IFERROR(IF(OR(Inputs!$C$87=0,Inputs!$C$87="",ISERROR(Inputs!$C$87)),Inputs!$D$87,Inputs!$C$87*Inputs!$K$9*(1+Inputs!$K$12)^B790),"Error - Check Input")
+IFERROR(IF(OR(Inputs!$C$88=0,Inputs!$C$88="",ISERROR(Inputs!$C$88)),Inputs!$D$88,Inputs!$C$88*Inputs!$K$9*(1+Inputs!$K$12)^B790),"Error - Check Input")
+IFERROR(IF(OR(Inputs!$C$89=0,Inputs!$C$89="",ISERROR(Inputs!$C$89)),Inputs!$D$89,Inputs!$C$89*Inputs!$K$9*(1+Inputs!$K$12)^B790),"Error - Check Input")
+IFERROR(IF(OR(Inputs!$C$90=0,Inputs!$C$90="",ISERROR(Inputs!$C$90)),Inputs!$D$90,Inputs!$C$90*Inputs!$K$9*(1+Inputs!$K$12)^B790),"Error - Check Input")
+IFERROR(IF(OR(Inputs!$C$93=0,Inputs!$C$93="",ISERROR(Inputs!$C$93)),Inputs!$D$93,Inputs!$C$93*Inputs!$K$9*(1+Inputs!$K$12)^B790),"Error - Check Input")</f>
        <v>377962.44078187714</v>
      </c>
      <c r="D790" s="17"/>
    </row>
    <row r="791" spans="2:4" x14ac:dyDescent="0.35">
      <c r="B791" s="18">
        <v>600</v>
      </c>
      <c r="C791" s="6">
        <f>IFERROR(IF(OR(Inputs!$C$84=0,Inputs!$C$84="",ISERROR(Inputs!$C$84)),Inputs!$D$84,Inputs!$C$84*Inputs!$K$9*(1+Inputs!$K$12)^B791),"Error - Check Input")
+IFERROR(IF(OR(Inputs!$C$85=0,Inputs!$C$85="",ISERROR(Inputs!$C$85)),Inputs!$D$85,Inputs!$C$85*Inputs!$K$9*(1+Inputs!$K$12)^B791),"Error - Check Input")
+IFERROR(IF(OR(Inputs!$C$86=0,Inputs!$C$86="",ISERROR(Inputs!$C$86)),Inputs!$D$86,Inputs!$C$86*Inputs!$K$9*(1+Inputs!$K$12)^B791),"Error - Check Input")
+IFERROR(IF(OR(Inputs!$C$87=0,Inputs!$C$87="",ISERROR(Inputs!$C$87)),Inputs!$D$87,Inputs!$C$87*Inputs!$K$9*(1+Inputs!$K$12)^B791),"Error - Check Input")
+IFERROR(IF(OR(Inputs!$C$88=0,Inputs!$C$88="",ISERROR(Inputs!$C$88)),Inputs!$D$88,Inputs!$C$88*Inputs!$K$9*(1+Inputs!$K$12)^B791),"Error - Check Input")
+IFERROR(IF(OR(Inputs!$C$89=0,Inputs!$C$89="",ISERROR(Inputs!$C$89)),Inputs!$D$89,Inputs!$C$89*Inputs!$K$9*(1+Inputs!$K$12)^B791),"Error - Check Input")
+IFERROR(IF(OR(Inputs!$C$90=0,Inputs!$C$90="",ISERROR(Inputs!$C$90)),Inputs!$D$90,Inputs!$C$90*Inputs!$K$9*(1+Inputs!$K$12)^B791),"Error - Check Input")
+IFERROR(IF(OR(Inputs!$C$93=0,Inputs!$C$93="",ISERROR(Inputs!$C$93)),Inputs!$D$93,Inputs!$C$93*Inputs!$K$9*(1+Inputs!$K$12)^B791),"Error - Check Input")</f>
        <v>379483.97299416614</v>
      </c>
      <c r="D791" s="17"/>
    </row>
    <row r="792" spans="2:4" ht="15" thickBot="1" x14ac:dyDescent="0.4">
      <c r="B792" s="19">
        <v>601</v>
      </c>
      <c r="C792" s="20">
        <f>IFERROR(IF(OR(Inputs!$C$84=0,Inputs!$C$84="",ISERROR(Inputs!$C$84)),Inputs!$D$84,Inputs!$C$84*Inputs!$K$9*(1+Inputs!$K$12)^B792),"Error - Check Input")
+IFERROR(IF(OR(Inputs!$C$85=0,Inputs!$C$85="",ISERROR(Inputs!$C$85)),Inputs!$D$85,Inputs!$C$85*Inputs!$K$9*(1+Inputs!$K$12)^B792),"Error - Check Input")
+IFERROR(IF(OR(Inputs!$C$86=0,Inputs!$C$86="",ISERROR(Inputs!$C$86)),Inputs!$D$86,Inputs!$C$86*Inputs!$K$9*(1+Inputs!$K$12)^B792),"Error - Check Input")
+IFERROR(IF(OR(Inputs!$C$87=0,Inputs!$C$87="",ISERROR(Inputs!$C$87)),Inputs!$D$87,Inputs!$C$87*Inputs!$K$9*(1+Inputs!$K$12)^B792),"Error - Check Input")
+IFERROR(IF(OR(Inputs!$C$88=0,Inputs!$C$88="",ISERROR(Inputs!$C$88)),Inputs!$D$88,Inputs!$C$88*Inputs!$K$9*(1+Inputs!$K$12)^B792),"Error - Check Input")
+IFERROR(IF(OR(Inputs!$C$89=0,Inputs!$C$89="",ISERROR(Inputs!$C$89)),Inputs!$D$89,Inputs!$C$89*Inputs!$K$9*(1+Inputs!$K$12)^B792),"Error - Check Input")
+IFERROR(IF(OR(Inputs!$C$90=0,Inputs!$C$90="",ISERROR(Inputs!$C$90)),Inputs!$D$90,Inputs!$C$90*Inputs!$K$9*(1+Inputs!$K$12)^B792),"Error - Check Input")
+IFERROR(IF(OR(Inputs!$C$93=0,Inputs!$C$93="",ISERROR(Inputs!$C$93)),Inputs!$D$93,Inputs!$C$93*Inputs!$K$9*(1+Inputs!$K$12)^B792),"Error - Check Input")</f>
        <v>381011.70411702862</v>
      </c>
      <c r="D792" s="22"/>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21B18-03F8-47EE-ABC0-39544C3B2DE8}">
  <sheetPr>
    <tabColor theme="4"/>
  </sheetPr>
  <dimension ref="B2:AA623"/>
  <sheetViews>
    <sheetView showGridLines="0" topLeftCell="I1" zoomScaleNormal="100" workbookViewId="0">
      <selection activeCell="C13" activeCellId="3" sqref="C5 C10 C12 C13"/>
    </sheetView>
  </sheetViews>
  <sheetFormatPr defaultRowHeight="14.5" x14ac:dyDescent="0.35"/>
  <cols>
    <col min="1" max="1" width="2.81640625" customWidth="1"/>
    <col min="2" max="2" width="35.54296875" bestFit="1" customWidth="1"/>
    <col min="3" max="4" width="12.81640625" customWidth="1"/>
    <col min="5" max="5" width="14.1796875" bestFit="1" customWidth="1"/>
    <col min="6" max="6" width="12.81640625" customWidth="1"/>
    <col min="7" max="8" width="5.1796875" customWidth="1"/>
    <col min="9" max="9" width="34.7265625" bestFit="1" customWidth="1"/>
    <col min="10" max="11" width="12.81640625" customWidth="1"/>
    <col min="12" max="12" width="14.1796875" bestFit="1" customWidth="1"/>
    <col min="13" max="13" width="12.81640625" customWidth="1"/>
    <col min="14" max="15" width="5.1796875" customWidth="1"/>
    <col min="16" max="16" width="35.54296875" bestFit="1" customWidth="1"/>
    <col min="17" max="18" width="12.81640625" customWidth="1"/>
    <col min="19" max="19" width="14.1796875" bestFit="1" customWidth="1"/>
    <col min="20" max="20" width="12.81640625" customWidth="1"/>
    <col min="21" max="22" width="5.1796875" customWidth="1"/>
    <col min="23" max="23" width="34.7265625" bestFit="1" customWidth="1"/>
    <col min="24" max="25" width="12.81640625" customWidth="1"/>
    <col min="26" max="26" width="14.1796875" bestFit="1" customWidth="1"/>
    <col min="27" max="27" width="12.81640625" customWidth="1"/>
  </cols>
  <sheetData>
    <row r="2" spans="2:27" ht="15.5" x14ac:dyDescent="0.35">
      <c r="B2" s="64" t="s">
        <v>148</v>
      </c>
      <c r="C2" s="54"/>
      <c r="D2" s="54"/>
      <c r="E2" s="54"/>
      <c r="F2" s="54"/>
      <c r="I2" s="64" t="s">
        <v>149</v>
      </c>
      <c r="J2" s="54"/>
      <c r="K2" s="54"/>
      <c r="L2" s="54"/>
      <c r="M2" s="54"/>
      <c r="P2" s="64" t="s">
        <v>53</v>
      </c>
      <c r="Q2" s="54"/>
      <c r="R2" s="54"/>
      <c r="S2" s="54"/>
      <c r="T2" s="54"/>
      <c r="W2" s="64" t="s">
        <v>54</v>
      </c>
      <c r="X2" s="54"/>
      <c r="Y2" s="54"/>
      <c r="Z2" s="54"/>
      <c r="AA2" s="54"/>
    </row>
    <row r="3" spans="2:27" x14ac:dyDescent="0.35">
      <c r="B3" t="s">
        <v>6</v>
      </c>
      <c r="C3" s="132">
        <f>Inputs!K5</f>
        <v>1499950</v>
      </c>
      <c r="I3" t="s">
        <v>6</v>
      </c>
      <c r="J3" s="142">
        <f>C3</f>
        <v>1499950</v>
      </c>
      <c r="P3" t="s">
        <v>6</v>
      </c>
      <c r="Q3" s="144">
        <f>C3</f>
        <v>1499950</v>
      </c>
      <c r="W3" t="s">
        <v>6</v>
      </c>
      <c r="X3" s="130">
        <f>J3</f>
        <v>1499950</v>
      </c>
    </row>
    <row r="4" spans="2:27" x14ac:dyDescent="0.35">
      <c r="B4" t="s">
        <v>0</v>
      </c>
      <c r="C4" s="4">
        <f>Inputs!K6</f>
        <v>1</v>
      </c>
      <c r="I4" t="s">
        <v>0</v>
      </c>
      <c r="J4" s="4">
        <f>C4</f>
        <v>1</v>
      </c>
      <c r="P4" t="s">
        <v>0</v>
      </c>
      <c r="Q4" s="45">
        <f>C4</f>
        <v>1</v>
      </c>
      <c r="W4" t="s">
        <v>0</v>
      </c>
      <c r="X4" s="45">
        <f>J4</f>
        <v>1</v>
      </c>
    </row>
    <row r="5" spans="2:27" x14ac:dyDescent="0.35">
      <c r="B5" t="s">
        <v>1</v>
      </c>
      <c r="C5" s="142">
        <f>C4*C3</f>
        <v>1499950</v>
      </c>
      <c r="I5" t="s">
        <v>1</v>
      </c>
      <c r="J5" s="142">
        <f>J4*J3</f>
        <v>1499950</v>
      </c>
      <c r="P5" t="s">
        <v>1</v>
      </c>
      <c r="Q5" s="142">
        <f>Q4*Q3</f>
        <v>1499950</v>
      </c>
      <c r="W5" t="s">
        <v>1</v>
      </c>
      <c r="X5" s="132">
        <f>X4*X3</f>
        <v>1499950</v>
      </c>
    </row>
    <row r="6" spans="2:27" x14ac:dyDescent="0.35">
      <c r="B6" t="s">
        <v>8</v>
      </c>
      <c r="C6" s="8">
        <f>C3-C5</f>
        <v>0</v>
      </c>
      <c r="I6" t="s">
        <v>8</v>
      </c>
      <c r="J6" s="142">
        <f>J3-J5</f>
        <v>0</v>
      </c>
      <c r="P6" t="s">
        <v>8</v>
      </c>
      <c r="Q6" s="8">
        <f>Q3-Q5</f>
        <v>0</v>
      </c>
      <c r="W6" t="s">
        <v>8</v>
      </c>
      <c r="X6" s="8">
        <f>X3-X5</f>
        <v>0</v>
      </c>
    </row>
    <row r="7" spans="2:27" x14ac:dyDescent="0.35">
      <c r="B7" t="s">
        <v>11</v>
      </c>
      <c r="C7" s="4">
        <f>Inputs!K35</f>
        <v>4.4999999999999998E-2</v>
      </c>
      <c r="I7" t="s">
        <v>11</v>
      </c>
      <c r="J7" s="4">
        <f>Inputs!K42</f>
        <v>4.7500000000000001E-2</v>
      </c>
      <c r="P7" t="s">
        <v>11</v>
      </c>
      <c r="Q7" s="45">
        <v>0.06</v>
      </c>
      <c r="W7" t="s">
        <v>11</v>
      </c>
      <c r="X7" s="45">
        <v>6.2E-2</v>
      </c>
    </row>
    <row r="8" spans="2:27" x14ac:dyDescent="0.35">
      <c r="B8" t="s">
        <v>133</v>
      </c>
      <c r="C8" s="9">
        <f>C7/12</f>
        <v>3.7499999999999999E-3</v>
      </c>
      <c r="I8" t="s">
        <v>133</v>
      </c>
      <c r="J8" s="9">
        <f>J7/12</f>
        <v>3.9583333333333337E-3</v>
      </c>
      <c r="P8" t="s">
        <v>133</v>
      </c>
      <c r="Q8" s="9">
        <f>Q7/12</f>
        <v>5.0000000000000001E-3</v>
      </c>
      <c r="W8" t="s">
        <v>133</v>
      </c>
      <c r="X8" s="9">
        <f>X7/12</f>
        <v>5.1666666666666666E-3</v>
      </c>
    </row>
    <row r="9" spans="2:27" x14ac:dyDescent="0.35">
      <c r="B9" t="s">
        <v>16</v>
      </c>
      <c r="C9">
        <f>Inputs!K37</f>
        <v>30</v>
      </c>
      <c r="I9" t="s">
        <v>49</v>
      </c>
      <c r="J9">
        <f>Inputs!K44</f>
        <v>5</v>
      </c>
      <c r="P9" t="s">
        <v>16</v>
      </c>
      <c r="Q9" s="43">
        <f>C9</f>
        <v>30</v>
      </c>
      <c r="W9" t="s">
        <v>49</v>
      </c>
      <c r="X9" s="43">
        <f>J9</f>
        <v>5</v>
      </c>
    </row>
    <row r="10" spans="2:27" x14ac:dyDescent="0.35">
      <c r="B10" t="s">
        <v>48</v>
      </c>
      <c r="C10" s="142">
        <f>Inputs!C21</f>
        <v>100</v>
      </c>
      <c r="D10" t="str">
        <f>Inputs!D21</f>
        <v>per annum</v>
      </c>
      <c r="I10" t="s">
        <v>150</v>
      </c>
      <c r="J10" s="4">
        <f>Inputs!K45</f>
        <v>4.4999999999999998E-2</v>
      </c>
      <c r="P10" t="s">
        <v>48</v>
      </c>
      <c r="Q10" s="144">
        <f>C10</f>
        <v>100</v>
      </c>
      <c r="R10" s="43" t="str">
        <f>D10</f>
        <v>per annum</v>
      </c>
      <c r="W10" t="s">
        <v>150</v>
      </c>
      <c r="X10" s="45">
        <v>0.06</v>
      </c>
    </row>
    <row r="11" spans="2:27" x14ac:dyDescent="0.35">
      <c r="I11" t="s">
        <v>133</v>
      </c>
      <c r="J11" s="9">
        <f>J10/12</f>
        <v>3.7499999999999999E-3</v>
      </c>
      <c r="W11" t="s">
        <v>133</v>
      </c>
      <c r="X11" s="52">
        <f>X10/12</f>
        <v>5.0000000000000001E-3</v>
      </c>
    </row>
    <row r="12" spans="2:27" x14ac:dyDescent="0.35">
      <c r="B12" t="s">
        <v>52</v>
      </c>
      <c r="C12" s="142">
        <f>-PMT(C8,C9*12,C6)+$C$10*_xlfn.XLOOKUP($D$10,'RE Calculations'!$B$12:$B$16,'RE Calculations'!$C$12:$C$16,"ERROR - Check Input")/12</f>
        <v>8.3333333333333339</v>
      </c>
      <c r="I12" t="s">
        <v>50</v>
      </c>
      <c r="J12">
        <f>Inputs!K47</f>
        <v>30</v>
      </c>
      <c r="P12" t="s">
        <v>52</v>
      </c>
      <c r="Q12" s="142">
        <f>-PMT(Q8,Q9*12,Q6)+$Q$10*_xlfn.XLOOKUP($R$10,'RE Calculations'!$B$12:$B$16,'RE Calculations'!$C$12:$C$16,"ERROR - Check Input")/12</f>
        <v>8.3333333333333339</v>
      </c>
      <c r="W12" t="s">
        <v>50</v>
      </c>
      <c r="X12" s="43">
        <f>J12</f>
        <v>30</v>
      </c>
    </row>
    <row r="13" spans="2:27" x14ac:dyDescent="0.35">
      <c r="B13" t="s">
        <v>18</v>
      </c>
      <c r="C13" s="142">
        <f>C6*((C8*((1+C8)^(C9*12)))/(((1+C8)^(C9*12))-1))+$C$10*_xlfn.XLOOKUP($D$10,'RE Calculations'!$B$12:$B$16,'RE Calculations'!$C$12:$C$16,"ERROR - Check Input")/12</f>
        <v>8.3333333333333339</v>
      </c>
      <c r="I13" t="s">
        <v>48</v>
      </c>
      <c r="J13" s="142">
        <f>Inputs!C28</f>
        <v>120</v>
      </c>
      <c r="K13" t="str">
        <f>Inputs!D28</f>
        <v>per annum</v>
      </c>
      <c r="P13" t="s">
        <v>18</v>
      </c>
      <c r="Q13" s="142">
        <f>Q6*((Q8*((1+Q8)^(Q9*12)))/(((1+Q8)^(Q9*12))-1))+$Q$10*_xlfn.XLOOKUP($R$10,'RE Calculations'!$B$12:$B$16,'RE Calculations'!$C$12:$C$16,"ERROR - Check Input")/12</f>
        <v>8.3333333333333339</v>
      </c>
      <c r="W13" t="s">
        <v>48</v>
      </c>
      <c r="X13" s="130">
        <f>J13</f>
        <v>120</v>
      </c>
      <c r="Y13" s="43" t="str">
        <f>K13</f>
        <v>per annum</v>
      </c>
    </row>
    <row r="15" spans="2:27" x14ac:dyDescent="0.35">
      <c r="I15" t="str">
        <f>"Montly Loan Payment (First "&amp;J9&amp;" Years)"</f>
        <v>Montly Loan Payment (First 5 Years)</v>
      </c>
      <c r="J15" s="142">
        <f>J7*J6/12+$J$13*_xlfn.XLOOKUP($K$13,'RE Calculations'!$B$12:$B$16,'RE Calculations'!$C$12:$C$16,"ERROR - Check Input")/12</f>
        <v>10</v>
      </c>
      <c r="W15" t="str">
        <f>"Montly Loan Payment (First "&amp;X9&amp;" Years)"</f>
        <v>Montly Loan Payment (First 5 Years)</v>
      </c>
      <c r="X15" s="140">
        <f>X7*X6/12+$X$13*_xlfn.XLOOKUP($Y$13,'RE Calculations'!$B$12:$B$16,'RE Calculations'!$C$12:$C$16,"ERROR - Check Input")/12</f>
        <v>10</v>
      </c>
    </row>
    <row r="16" spans="2:27" x14ac:dyDescent="0.35">
      <c r="I16" t="str">
        <f>"Montly Loan Payment (After "&amp;J9&amp;" Years)"</f>
        <v>Montly Loan Payment (After 5 Years)</v>
      </c>
      <c r="J16" s="142">
        <f>-PMT(J11,(J12-J9)*12,J6)+$J$13*_xlfn.XLOOKUP($K$13,'RE Calculations'!$B$12:$B$16,'RE Calculations'!$C$12:$C$16,"ERROR - Check Input")/12</f>
        <v>10</v>
      </c>
      <c r="W16" t="str">
        <f>"Montly Loan Payment (After "&amp;X9&amp;" Years)"</f>
        <v>Montly Loan Payment (After 5 Years)</v>
      </c>
      <c r="X16" s="140">
        <f>-PMT(X11,(X12-X9)*12,X6)+$X$13*_xlfn.XLOOKUP($Y$13,'RE Calculations'!$B$12:$B$16,'RE Calculations'!$C$12:$C$16,"ERROR - Check Input")/12</f>
        <v>10</v>
      </c>
    </row>
    <row r="17" spans="2:27" x14ac:dyDescent="0.35">
      <c r="I17" t="s">
        <v>18</v>
      </c>
      <c r="J17" s="142">
        <f>J6*((J11*((1+J11)^((J12-J9)*12)))/(((1+J11)^((J12-J9)*12))-1))+$J$13*_xlfn.XLOOKUP($K$13,'RE Calculations'!$B$12:$B$16,'RE Calculations'!$C$12:$C$16,"ERROR - Check Input")/12</f>
        <v>10</v>
      </c>
      <c r="W17" t="s">
        <v>18</v>
      </c>
      <c r="X17" s="140">
        <f>X6*((X11*((1+X11)^((X12-X9)*12)))/(((1+X11)^((X12-X9)*12))-1))+$X$13*_xlfn.XLOOKUP($Y$13,'RE Calculations'!$B$12:$B$16,'RE Calculations'!$C$12:$C$16,"ERROR - Check Input")/12</f>
        <v>10</v>
      </c>
    </row>
    <row r="19" spans="2:27" x14ac:dyDescent="0.35">
      <c r="B19" s="46" t="s">
        <v>307</v>
      </c>
      <c r="C19" s="53" t="s">
        <v>24</v>
      </c>
      <c r="D19" s="53" t="s">
        <v>24</v>
      </c>
      <c r="E19" s="53" t="s">
        <v>24</v>
      </c>
      <c r="F19" s="54"/>
      <c r="I19" s="46" t="s">
        <v>307</v>
      </c>
      <c r="J19" s="53" t="s">
        <v>24</v>
      </c>
      <c r="K19" s="53" t="s">
        <v>24</v>
      </c>
      <c r="L19" s="53" t="s">
        <v>24</v>
      </c>
      <c r="M19" s="46"/>
      <c r="P19" s="46" t="s">
        <v>307</v>
      </c>
      <c r="Q19" s="53" t="s">
        <v>24</v>
      </c>
      <c r="R19" s="53" t="s">
        <v>24</v>
      </c>
      <c r="S19" s="53" t="s">
        <v>24</v>
      </c>
      <c r="T19" s="46"/>
      <c r="W19" s="46" t="s">
        <v>307</v>
      </c>
      <c r="X19" s="53" t="s">
        <v>24</v>
      </c>
      <c r="Y19" s="53" t="s">
        <v>24</v>
      </c>
      <c r="Z19" s="53" t="s">
        <v>24</v>
      </c>
      <c r="AA19" s="46"/>
    </row>
    <row r="20" spans="2:27" x14ac:dyDescent="0.35">
      <c r="B20" s="46"/>
      <c r="C20" s="143">
        <f>SUMIF(C23:C623,"&gt;0")</f>
        <v>0</v>
      </c>
      <c r="D20" s="143">
        <f>SUMIF(D23:D623,"&gt;0")</f>
        <v>0</v>
      </c>
      <c r="E20" s="143">
        <f>SUMIF(E23:E623,"&gt;0")</f>
        <v>3000.00000000001</v>
      </c>
      <c r="F20" s="54"/>
      <c r="I20" s="46"/>
      <c r="J20" s="143">
        <f>SUMIF(J23:J623,"&gt;0")</f>
        <v>10</v>
      </c>
      <c r="K20" s="143">
        <f>SUMIF(K23:K623,"&gt;0")</f>
        <v>0</v>
      </c>
      <c r="L20" s="143">
        <f>SUMIF(L23:L623,"&gt;0")</f>
        <v>3600</v>
      </c>
      <c r="M20" s="55"/>
      <c r="P20" s="46"/>
      <c r="Q20" s="143">
        <f>SUMIF(Q23:Q623,"&gt;0")</f>
        <v>8.3333333333333339</v>
      </c>
      <c r="R20" s="143">
        <f>SUMIF(R23:R623,"&gt;0")</f>
        <v>0</v>
      </c>
      <c r="S20" s="143">
        <f>SUMIF(S23:S623,"&gt;0")</f>
        <v>3000.00000000001</v>
      </c>
      <c r="T20" s="46"/>
      <c r="W20" s="46"/>
      <c r="X20" s="143">
        <f>SUMIF(X23:X623,"&gt;0")</f>
        <v>10</v>
      </c>
      <c r="Y20" s="143">
        <f>SUMIF(Y23:Y623,"&gt;0")</f>
        <v>0</v>
      </c>
      <c r="Z20" s="143">
        <f>SUMIF(Z23:Z623,"&gt;0")</f>
        <v>3600</v>
      </c>
      <c r="AA20" s="55"/>
    </row>
    <row r="21" spans="2:27" ht="24.75" customHeight="1" x14ac:dyDescent="0.35">
      <c r="B21" s="53" t="s">
        <v>51</v>
      </c>
      <c r="C21" s="53" t="s">
        <v>26</v>
      </c>
      <c r="D21" s="53" t="s">
        <v>27</v>
      </c>
      <c r="E21" s="53" t="str">
        <f>IF($C$10=0,"Interest","Interest + Fees")</f>
        <v>Interest + Fees</v>
      </c>
      <c r="F21" s="53" t="s">
        <v>28</v>
      </c>
      <c r="I21" s="53" t="s">
        <v>51</v>
      </c>
      <c r="J21" s="53" t="s">
        <v>26</v>
      </c>
      <c r="K21" s="53" t="s">
        <v>27</v>
      </c>
      <c r="L21" s="53" t="str">
        <f>IF($J$13=0,"Interest","Interest + Fees")</f>
        <v>Interest + Fees</v>
      </c>
      <c r="M21" s="53" t="s">
        <v>28</v>
      </c>
      <c r="P21" s="53" t="s">
        <v>51</v>
      </c>
      <c r="Q21" s="53" t="s">
        <v>26</v>
      </c>
      <c r="R21" s="53" t="s">
        <v>27</v>
      </c>
      <c r="S21" s="53" t="str">
        <f>IF($Q$10=0,"Interest","Interest + Fees")</f>
        <v>Interest + Fees</v>
      </c>
      <c r="T21" s="53" t="s">
        <v>28</v>
      </c>
      <c r="W21" s="53" t="s">
        <v>51</v>
      </c>
      <c r="X21" s="53" t="s">
        <v>26</v>
      </c>
      <c r="Y21" s="53" t="s">
        <v>27</v>
      </c>
      <c r="Z21" s="53" t="str">
        <f>IF($X$13=0,"Interest","Interest + Fees")</f>
        <v>Interest + Fees</v>
      </c>
      <c r="AA21" s="53" t="s">
        <v>28</v>
      </c>
    </row>
    <row r="22" spans="2:27" x14ac:dyDescent="0.35">
      <c r="B22" s="12">
        <v>0</v>
      </c>
      <c r="C22" s="142">
        <v>0</v>
      </c>
      <c r="D22" s="142">
        <v>0</v>
      </c>
      <c r="E22" s="142">
        <v>0</v>
      </c>
      <c r="F22" s="142">
        <f>C6-D22</f>
        <v>0</v>
      </c>
      <c r="I22" s="12">
        <v>0</v>
      </c>
      <c r="J22" s="142">
        <v>0</v>
      </c>
      <c r="K22" s="142">
        <v>0</v>
      </c>
      <c r="L22" s="142">
        <v>0</v>
      </c>
      <c r="M22" s="142">
        <f>J6-K22</f>
        <v>0</v>
      </c>
      <c r="P22" s="12">
        <v>0</v>
      </c>
      <c r="Q22" s="142">
        <v>0</v>
      </c>
      <c r="R22" s="142">
        <v>0</v>
      </c>
      <c r="S22" s="142">
        <v>0</v>
      </c>
      <c r="T22" s="142">
        <f>Q6-R22</f>
        <v>0</v>
      </c>
      <c r="W22" s="12">
        <v>0</v>
      </c>
      <c r="X22" s="142">
        <v>0</v>
      </c>
      <c r="Y22" s="142">
        <v>0</v>
      </c>
      <c r="Z22" s="142">
        <v>0</v>
      </c>
      <c r="AA22" s="142">
        <f>X6-Y22</f>
        <v>0</v>
      </c>
    </row>
    <row r="23" spans="2:27" x14ac:dyDescent="0.35">
      <c r="B23" s="12">
        <v>1</v>
      </c>
      <c r="C23" s="142">
        <f>IF(F22&gt;0.01,-PMT($C$8,$C$9*12,$C$6)+$C$10*_xlfn.XLOOKUP($D$10,'RE Calculations'!$B$12:$B$16,'RE Calculations'!$C$12:$C$16,"ERROR - Check Input")/12,0)</f>
        <v>0</v>
      </c>
      <c r="D23" s="142">
        <f>IFERROR(-PPMT($C$8,B23,$C$9*12,$C$6),0)</f>
        <v>0</v>
      </c>
      <c r="E23" s="142">
        <f>IFERROR(-IPMT($C$8,B23,$C$9*12,$C$6)+$C$10*_xlfn.XLOOKUP($D$10,'RE Calculations'!$B$12:$B$16,'RE Calculations'!$C$12:$C$16,"ERROR - Check Input")/12,0)</f>
        <v>8.3333333333333339</v>
      </c>
      <c r="F23" s="142">
        <f>IFERROR(F22-D23,0)</f>
        <v>0</v>
      </c>
      <c r="I23" s="12">
        <v>1</v>
      </c>
      <c r="J23" s="142">
        <f>IF(I23&lt;=($J$9*12),$J$15,-PMT($J$11,($J$12-$J$9)*12,$J$6)+$J$13*_xlfn.XLOOKUP($K$13,'RE Calculations'!$B$12:$B$16,'RE Calculations'!$C$12:$C$16,"ERROR - Check Input")/12)</f>
        <v>10</v>
      </c>
      <c r="K23" s="142">
        <f t="shared" ref="K23:K86" si="0">IF(I23&lt;=($J$9*12),0,IFERROR(-PPMT($J$11,I23-$J$9*12,($J$12-$J$9)*12,$J$6),0))</f>
        <v>0</v>
      </c>
      <c r="L23" s="142">
        <f>IF(I23&lt;=($J$9*12),$J$15,IFERROR(-IPMT($J$11,I23-$J$9*12,($J$12-$J$9)*12,$J$6)+$J$13*_xlfn.XLOOKUP($K$13,'RE Calculations'!$B$12:$B$16,'RE Calculations'!$C$12:$C$16,"ERROR - Check Input")/12,0))</f>
        <v>10</v>
      </c>
      <c r="M23" s="142">
        <f t="shared" ref="M23:M86" si="1">IFERROR(M22-K23,0)</f>
        <v>0</v>
      </c>
      <c r="P23" s="12">
        <v>1</v>
      </c>
      <c r="Q23" s="142">
        <f>-PMT($Q$8,$Q$9*12,$Q$6)+$Q$10*_xlfn.XLOOKUP($R$10,'RE Calculations'!$B$12:$B$16,'RE Calculations'!$C$12:$C$16,"ERROR - Check Input")/12</f>
        <v>8.3333333333333339</v>
      </c>
      <c r="R23" s="142">
        <f t="shared" ref="R23:R86" si="2">IFERROR(-PPMT($Q$8,P23,$Q$9*12,$Q$6),0)</f>
        <v>0</v>
      </c>
      <c r="S23" s="142">
        <f>IFERROR(-IPMT($Q$8,P23,$Q$9*12,$Q$6)+$Q$10*_xlfn.XLOOKUP($R$10,'RE Calculations'!$B$12:$B$16,'RE Calculations'!$C$12:$C$16,"ERROR - Check Input")/12,0)</f>
        <v>8.3333333333333339</v>
      </c>
      <c r="T23" s="142">
        <f t="shared" ref="T23:T86" si="3">IFERROR(T22-R23,0)</f>
        <v>0</v>
      </c>
      <c r="W23" s="12">
        <v>1</v>
      </c>
      <c r="X23" s="142">
        <f>IF(W23&lt;=($X$9*12),$X$15,-PMT($X$11,($X$12-$X$9)*12,$X$6)+$X$13*_xlfn.XLOOKUP($Y$13,'RE Calculations'!$B$12:$B$16,'RE Calculations'!$C$12:$C$16,"ERROR - Check Input")/12)</f>
        <v>10</v>
      </c>
      <c r="Y23" s="142">
        <f t="shared" ref="Y23:Y86" si="4">IF(W23&lt;=($X$9*12),0,IFERROR(-PPMT($X$11,W23-$X$9*12,($X$12-$X$9)*12,$X$6),0))</f>
        <v>0</v>
      </c>
      <c r="Z23" s="142">
        <f>IF(W23&lt;=($X$9*12),$X$15,IFERROR(-IPMT($X$11,W23-$X$9*12,($X$12-$X$9)*12,$X$6)+$X$13*_xlfn.XLOOKUP($Y$13,'RE Calculations'!$B$12:$B$16,'RE Calculations'!$C$12:$C$16,"ERROR - Check Input")/12,0))</f>
        <v>10</v>
      </c>
      <c r="AA23" s="142">
        <f t="shared" ref="AA23:AA86" si="5">IFERROR(AA22-Y23,0)</f>
        <v>0</v>
      </c>
    </row>
    <row r="24" spans="2:27" x14ac:dyDescent="0.35">
      <c r="B24" s="12">
        <v>2</v>
      </c>
      <c r="C24" s="142">
        <f>IF(F23&gt;0.01,-PMT($C$8,$C$9*12,$C$6)+$C$10*_xlfn.XLOOKUP($D$10,'RE Calculations'!$B$12:$B$16,'RE Calculations'!$C$12:$C$16,"ERROR - Check Input")/12,0)</f>
        <v>0</v>
      </c>
      <c r="D24" s="142">
        <f t="shared" ref="D24:D87" si="6">IFERROR(-PPMT($C$8,B24,$C$9*12,$C$6),0)</f>
        <v>0</v>
      </c>
      <c r="E24" s="142">
        <f>IFERROR(-IPMT($C$8,B24,$C$9*12,$C$6)+$C$10*_xlfn.XLOOKUP($D$10,'RE Calculations'!$B$12:$B$16,'RE Calculations'!$C$12:$C$16,"ERROR - Check Input")/12,0)</f>
        <v>8.3333333333333339</v>
      </c>
      <c r="F24" s="142">
        <f t="shared" ref="F24:F87" si="7">IFERROR(F23-D24,0)</f>
        <v>0</v>
      </c>
      <c r="I24" s="12">
        <v>2</v>
      </c>
      <c r="J24" s="142">
        <f>IF(M23&gt;0.01,IF(I24&lt;=($J$9*12),$J$15,-PMT($J$11,($J$12-$J$9)*12,$J$6)+$J$13*_xlfn.XLOOKUP($K$13,'RE Calculations'!$B$12:$B$16,'RE Calculations'!$C$12:$C$16,"ERROR - Check Input")/12),0)</f>
        <v>0</v>
      </c>
      <c r="K24" s="142">
        <f t="shared" si="0"/>
        <v>0</v>
      </c>
      <c r="L24" s="142">
        <f>IF(I24&lt;=($J$9*12),$J$15,IFERROR(-IPMT($J$11,I24-$J$9*12,($J$12-$J$9)*12,$J$6)+$J$13*_xlfn.XLOOKUP($K$13,'RE Calculations'!$B$12:$B$16,'RE Calculations'!$C$12:$C$16,"ERROR - Check Input")/12,0))</f>
        <v>10</v>
      </c>
      <c r="M24" s="142">
        <f t="shared" si="1"/>
        <v>0</v>
      </c>
      <c r="P24" s="12">
        <v>2</v>
      </c>
      <c r="Q24" s="142">
        <f>IF(T23&gt;0.01,-PMT($Q$8,$Q$9*12,$Q$6)+$Q$10*_xlfn.XLOOKUP($R$10,'RE Calculations'!$B$12:$B$16,'RE Calculations'!$C$12:$C$16,"ERROR - Check Input")/12,0)</f>
        <v>0</v>
      </c>
      <c r="R24" s="142">
        <f t="shared" si="2"/>
        <v>0</v>
      </c>
      <c r="S24" s="142">
        <f>IFERROR(-IPMT($Q$8,P24,$Q$9*12,$Q$6)+$Q$10*_xlfn.XLOOKUP($R$10,'RE Calculations'!$B$12:$B$16,'RE Calculations'!$C$12:$C$16,"ERROR - Check Input")/12,0)</f>
        <v>8.3333333333333339</v>
      </c>
      <c r="T24" s="142">
        <f t="shared" si="3"/>
        <v>0</v>
      </c>
      <c r="W24" s="12">
        <v>2</v>
      </c>
      <c r="X24" s="142">
        <f>IF(AA23&gt;0.01,IF(W24&lt;=($X$9*12),$X$15,-PMT($X$11,($X$12-$X$9)*12,$X$6)+$X$13*_xlfn.XLOOKUP($Y$13,'RE Calculations'!$B$12:$B$16,'RE Calculations'!$C$12:$C$16,"ERROR - Check Input")/12),0)</f>
        <v>0</v>
      </c>
      <c r="Y24" s="142">
        <f t="shared" si="4"/>
        <v>0</v>
      </c>
      <c r="Z24" s="142">
        <f>IF(W24&lt;=($X$9*12),$X$15,IFERROR(-IPMT($X$11,W24-$X$9*12,($X$12-$X$9)*12,$X$6)+$X$13*_xlfn.XLOOKUP($Y$13,'RE Calculations'!$B$12:$B$16,'RE Calculations'!$C$12:$C$16,"ERROR - Check Input")/12,0))</f>
        <v>10</v>
      </c>
      <c r="AA24" s="142">
        <f t="shared" si="5"/>
        <v>0</v>
      </c>
    </row>
    <row r="25" spans="2:27" x14ac:dyDescent="0.35">
      <c r="B25" s="12">
        <v>3</v>
      </c>
      <c r="C25" s="142">
        <f>IF(F24&gt;0.01,-PMT($C$8,$C$9*12,$C$6)+$C$10*_xlfn.XLOOKUP($D$10,'RE Calculations'!$B$12:$B$16,'RE Calculations'!$C$12:$C$16,"ERROR - Check Input")/12,0)</f>
        <v>0</v>
      </c>
      <c r="D25" s="142">
        <f t="shared" si="6"/>
        <v>0</v>
      </c>
      <c r="E25" s="142">
        <f>IFERROR(-IPMT($C$8,B25,$C$9*12,$C$6)+$C$10*_xlfn.XLOOKUP($D$10,'RE Calculations'!$B$12:$B$16,'RE Calculations'!$C$12:$C$16,"ERROR - Check Input")/12,0)</f>
        <v>8.3333333333333339</v>
      </c>
      <c r="F25" s="142">
        <f t="shared" si="7"/>
        <v>0</v>
      </c>
      <c r="I25" s="12">
        <v>3</v>
      </c>
      <c r="J25" s="142">
        <f>IF(M24&gt;0.01,IF(I25&lt;=($J$9*12),$J$15,-PMT($J$11,($J$12-$J$9)*12,$J$6)+$J$13*_xlfn.XLOOKUP($K$13,'RE Calculations'!$B$12:$B$16,'RE Calculations'!$C$12:$C$16,"ERROR - Check Input")/12),0)</f>
        <v>0</v>
      </c>
      <c r="K25" s="142">
        <f t="shared" si="0"/>
        <v>0</v>
      </c>
      <c r="L25" s="142">
        <f>IF(I25&lt;=($J$9*12),$J$15,IFERROR(-IPMT($J$11,I25-$J$9*12,($J$12-$J$9)*12,$J$6)+$J$13*_xlfn.XLOOKUP($K$13,'RE Calculations'!$B$12:$B$16,'RE Calculations'!$C$12:$C$16,"ERROR - Check Input")/12,0))</f>
        <v>10</v>
      </c>
      <c r="M25" s="142">
        <f t="shared" si="1"/>
        <v>0</v>
      </c>
      <c r="P25" s="12">
        <v>3</v>
      </c>
      <c r="Q25" s="142">
        <f>IF(T24&gt;0.01,-PMT($Q$8,$Q$9*12,$Q$6)+$Q$10*_xlfn.XLOOKUP($R$10,'RE Calculations'!$B$12:$B$16,'RE Calculations'!$C$12:$C$16,"ERROR - Check Input")/12,0)</f>
        <v>0</v>
      </c>
      <c r="R25" s="142">
        <f t="shared" si="2"/>
        <v>0</v>
      </c>
      <c r="S25" s="142">
        <f>IFERROR(-IPMT($Q$8,P25,$Q$9*12,$Q$6)+$Q$10*_xlfn.XLOOKUP($R$10,'RE Calculations'!$B$12:$B$16,'RE Calculations'!$C$12:$C$16,"ERROR - Check Input")/12,0)</f>
        <v>8.3333333333333339</v>
      </c>
      <c r="T25" s="142">
        <f t="shared" si="3"/>
        <v>0</v>
      </c>
      <c r="W25" s="12">
        <v>3</v>
      </c>
      <c r="X25" s="142">
        <f>IF(AA24&gt;0.01,IF(W25&lt;=($X$9*12),$X$15,-PMT($X$11,($X$12-$X$9)*12,$X$6)+$X$13*_xlfn.XLOOKUP($Y$13,'RE Calculations'!$B$12:$B$16,'RE Calculations'!$C$12:$C$16,"ERROR - Check Input")/12),0)</f>
        <v>0</v>
      </c>
      <c r="Y25" s="142">
        <f t="shared" si="4"/>
        <v>0</v>
      </c>
      <c r="Z25" s="142">
        <f>IF(W25&lt;=($X$9*12),$X$15,IFERROR(-IPMT($X$11,W25-$X$9*12,($X$12-$X$9)*12,$X$6)+$X$13*_xlfn.XLOOKUP($Y$13,'RE Calculations'!$B$12:$B$16,'RE Calculations'!$C$12:$C$16,"ERROR - Check Input")/12,0))</f>
        <v>10</v>
      </c>
      <c r="AA25" s="142">
        <f t="shared" si="5"/>
        <v>0</v>
      </c>
    </row>
    <row r="26" spans="2:27" x14ac:dyDescent="0.35">
      <c r="B26" s="12">
        <v>4</v>
      </c>
      <c r="C26" s="142">
        <f>IF(F25&gt;0.01,-PMT($C$8,$C$9*12,$C$6)+$C$10*_xlfn.XLOOKUP($D$10,'RE Calculations'!$B$12:$B$16,'RE Calculations'!$C$12:$C$16,"ERROR - Check Input")/12,0)</f>
        <v>0</v>
      </c>
      <c r="D26" s="142">
        <f t="shared" si="6"/>
        <v>0</v>
      </c>
      <c r="E26" s="142">
        <f>IFERROR(-IPMT($C$8,B26,$C$9*12,$C$6)+$C$10*_xlfn.XLOOKUP($D$10,'RE Calculations'!$B$12:$B$16,'RE Calculations'!$C$12:$C$16,"ERROR - Check Input")/12,0)</f>
        <v>8.3333333333333339</v>
      </c>
      <c r="F26" s="142">
        <f t="shared" si="7"/>
        <v>0</v>
      </c>
      <c r="I26" s="12">
        <v>4</v>
      </c>
      <c r="J26" s="142">
        <f>IF(M25&gt;0.01,IF(I26&lt;=($J$9*12),$J$15,-PMT($J$11,($J$12-$J$9)*12,$J$6)+$J$13*_xlfn.XLOOKUP($K$13,'RE Calculations'!$B$12:$B$16,'RE Calculations'!$C$12:$C$16,"ERROR - Check Input")/12),0)</f>
        <v>0</v>
      </c>
      <c r="K26" s="142">
        <f t="shared" si="0"/>
        <v>0</v>
      </c>
      <c r="L26" s="142">
        <f>IF(I26&lt;=($J$9*12),$J$15,IFERROR(-IPMT($J$11,I26-$J$9*12,($J$12-$J$9)*12,$J$6)+$J$13*_xlfn.XLOOKUP($K$13,'RE Calculations'!$B$12:$B$16,'RE Calculations'!$C$12:$C$16,"ERROR - Check Input")/12,0))</f>
        <v>10</v>
      </c>
      <c r="M26" s="142">
        <f t="shared" si="1"/>
        <v>0</v>
      </c>
      <c r="P26" s="12">
        <v>4</v>
      </c>
      <c r="Q26" s="142">
        <f>IF(T25&gt;0.01,-PMT($Q$8,$Q$9*12,$Q$6)+$Q$10*_xlfn.XLOOKUP($R$10,'RE Calculations'!$B$12:$B$16,'RE Calculations'!$C$12:$C$16,"ERROR - Check Input")/12,0)</f>
        <v>0</v>
      </c>
      <c r="R26" s="142">
        <f t="shared" si="2"/>
        <v>0</v>
      </c>
      <c r="S26" s="142">
        <f>IFERROR(-IPMT($Q$8,P26,$Q$9*12,$Q$6)+$Q$10*_xlfn.XLOOKUP($R$10,'RE Calculations'!$B$12:$B$16,'RE Calculations'!$C$12:$C$16,"ERROR - Check Input")/12,0)</f>
        <v>8.3333333333333339</v>
      </c>
      <c r="T26" s="142">
        <f t="shared" si="3"/>
        <v>0</v>
      </c>
      <c r="W26" s="12">
        <v>4</v>
      </c>
      <c r="X26" s="142">
        <f>IF(AA25&gt;0.01,IF(W26&lt;=($X$9*12),$X$15,-PMT($X$11,($X$12-$X$9)*12,$X$6)+$X$13*_xlfn.XLOOKUP($Y$13,'RE Calculations'!$B$12:$B$16,'RE Calculations'!$C$12:$C$16,"ERROR - Check Input")/12),0)</f>
        <v>0</v>
      </c>
      <c r="Y26" s="142">
        <f t="shared" si="4"/>
        <v>0</v>
      </c>
      <c r="Z26" s="142">
        <f>IF(W26&lt;=($X$9*12),$X$15,IFERROR(-IPMT($X$11,W26-$X$9*12,($X$12-$X$9)*12,$X$6)+$X$13*_xlfn.XLOOKUP($Y$13,'RE Calculations'!$B$12:$B$16,'RE Calculations'!$C$12:$C$16,"ERROR - Check Input")/12,0))</f>
        <v>10</v>
      </c>
      <c r="AA26" s="142">
        <f t="shared" si="5"/>
        <v>0</v>
      </c>
    </row>
    <row r="27" spans="2:27" x14ac:dyDescent="0.35">
      <c r="B27" s="12">
        <v>5</v>
      </c>
      <c r="C27" s="142">
        <f>IF(F26&gt;0.01,-PMT($C$8,$C$9*12,$C$6)+$C$10*_xlfn.XLOOKUP($D$10,'RE Calculations'!$B$12:$B$16,'RE Calculations'!$C$12:$C$16,"ERROR - Check Input")/12,0)</f>
        <v>0</v>
      </c>
      <c r="D27" s="142">
        <f t="shared" si="6"/>
        <v>0</v>
      </c>
      <c r="E27" s="142">
        <f>IFERROR(-IPMT($C$8,B27,$C$9*12,$C$6)+$C$10*_xlfn.XLOOKUP($D$10,'RE Calculations'!$B$12:$B$16,'RE Calculations'!$C$12:$C$16,"ERROR - Check Input")/12,0)</f>
        <v>8.3333333333333339</v>
      </c>
      <c r="F27" s="142">
        <f t="shared" si="7"/>
        <v>0</v>
      </c>
      <c r="I27" s="12">
        <v>5</v>
      </c>
      <c r="J27" s="142">
        <f>IF(M26&gt;0.01,IF(I27&lt;=($J$9*12),$J$15,-PMT($J$11,($J$12-$J$9)*12,$J$6)+$J$13*_xlfn.XLOOKUP($K$13,'RE Calculations'!$B$12:$B$16,'RE Calculations'!$C$12:$C$16,"ERROR - Check Input")/12),0)</f>
        <v>0</v>
      </c>
      <c r="K27" s="142">
        <f t="shared" si="0"/>
        <v>0</v>
      </c>
      <c r="L27" s="142">
        <f>IF(I27&lt;=($J$9*12),$J$15,IFERROR(-IPMT($J$11,I27-$J$9*12,($J$12-$J$9)*12,$J$6)+$J$13*_xlfn.XLOOKUP($K$13,'RE Calculations'!$B$12:$B$16,'RE Calculations'!$C$12:$C$16,"ERROR - Check Input")/12,0))</f>
        <v>10</v>
      </c>
      <c r="M27" s="142">
        <f t="shared" si="1"/>
        <v>0</v>
      </c>
      <c r="P27" s="12">
        <v>5</v>
      </c>
      <c r="Q27" s="142">
        <f>IF(T26&gt;0.01,-PMT($Q$8,$Q$9*12,$Q$6)+$Q$10*_xlfn.XLOOKUP($R$10,'RE Calculations'!$B$12:$B$16,'RE Calculations'!$C$12:$C$16,"ERROR - Check Input")/12,0)</f>
        <v>0</v>
      </c>
      <c r="R27" s="142">
        <f t="shared" si="2"/>
        <v>0</v>
      </c>
      <c r="S27" s="142">
        <f>IFERROR(-IPMT($Q$8,P27,$Q$9*12,$Q$6)+$Q$10*_xlfn.XLOOKUP($R$10,'RE Calculations'!$B$12:$B$16,'RE Calculations'!$C$12:$C$16,"ERROR - Check Input")/12,0)</f>
        <v>8.3333333333333339</v>
      </c>
      <c r="T27" s="142">
        <f t="shared" si="3"/>
        <v>0</v>
      </c>
      <c r="W27" s="12">
        <v>5</v>
      </c>
      <c r="X27" s="142">
        <f>IF(AA26&gt;0.01,IF(W27&lt;=($X$9*12),$X$15,-PMT($X$11,($X$12-$X$9)*12,$X$6)+$X$13*_xlfn.XLOOKUP($Y$13,'RE Calculations'!$B$12:$B$16,'RE Calculations'!$C$12:$C$16,"ERROR - Check Input")/12),0)</f>
        <v>0</v>
      </c>
      <c r="Y27" s="142">
        <f t="shared" si="4"/>
        <v>0</v>
      </c>
      <c r="Z27" s="142">
        <f>IF(W27&lt;=($X$9*12),$X$15,IFERROR(-IPMT($X$11,W27-$X$9*12,($X$12-$X$9)*12,$X$6)+$X$13*_xlfn.XLOOKUP($Y$13,'RE Calculations'!$B$12:$B$16,'RE Calculations'!$C$12:$C$16,"ERROR - Check Input")/12,0))</f>
        <v>10</v>
      </c>
      <c r="AA27" s="142">
        <f t="shared" si="5"/>
        <v>0</v>
      </c>
    </row>
    <row r="28" spans="2:27" x14ac:dyDescent="0.35">
      <c r="B28" s="12">
        <v>6</v>
      </c>
      <c r="C28" s="142">
        <f>IF(F27&gt;0.01,-PMT($C$8,$C$9*12,$C$6)+$C$10*_xlfn.XLOOKUP($D$10,'RE Calculations'!$B$12:$B$16,'RE Calculations'!$C$12:$C$16,"ERROR - Check Input")/12,0)</f>
        <v>0</v>
      </c>
      <c r="D28" s="142">
        <f t="shared" si="6"/>
        <v>0</v>
      </c>
      <c r="E28" s="142">
        <f>IFERROR(-IPMT($C$8,B28,$C$9*12,$C$6)+$C$10*_xlfn.XLOOKUP($D$10,'RE Calculations'!$B$12:$B$16,'RE Calculations'!$C$12:$C$16,"ERROR - Check Input")/12,0)</f>
        <v>8.3333333333333339</v>
      </c>
      <c r="F28" s="142">
        <f t="shared" si="7"/>
        <v>0</v>
      </c>
      <c r="I28" s="12">
        <v>6</v>
      </c>
      <c r="J28" s="142">
        <f>IF(M27&gt;0.01,IF(I28&lt;=($J$9*12),$J$15,-PMT($J$11,($J$12-$J$9)*12,$J$6)+$J$13*_xlfn.XLOOKUP($K$13,'RE Calculations'!$B$12:$B$16,'RE Calculations'!$C$12:$C$16,"ERROR - Check Input")/12),0)</f>
        <v>0</v>
      </c>
      <c r="K28" s="142">
        <f t="shared" si="0"/>
        <v>0</v>
      </c>
      <c r="L28" s="142">
        <f>IF(I28&lt;=($J$9*12),$J$15,IFERROR(-IPMT($J$11,I28-$J$9*12,($J$12-$J$9)*12,$J$6)+$J$13*_xlfn.XLOOKUP($K$13,'RE Calculations'!$B$12:$B$16,'RE Calculations'!$C$12:$C$16,"ERROR - Check Input")/12,0))</f>
        <v>10</v>
      </c>
      <c r="M28" s="142">
        <f t="shared" si="1"/>
        <v>0</v>
      </c>
      <c r="P28" s="12">
        <v>6</v>
      </c>
      <c r="Q28" s="142">
        <f>IF(T27&gt;0.01,-PMT($Q$8,$Q$9*12,$Q$6)+$Q$10*_xlfn.XLOOKUP($R$10,'RE Calculations'!$B$12:$B$16,'RE Calculations'!$C$12:$C$16,"ERROR - Check Input")/12,0)</f>
        <v>0</v>
      </c>
      <c r="R28" s="142">
        <f t="shared" si="2"/>
        <v>0</v>
      </c>
      <c r="S28" s="142">
        <f>IFERROR(-IPMT($Q$8,P28,$Q$9*12,$Q$6)+$Q$10*_xlfn.XLOOKUP($R$10,'RE Calculations'!$B$12:$B$16,'RE Calculations'!$C$12:$C$16,"ERROR - Check Input")/12,0)</f>
        <v>8.3333333333333339</v>
      </c>
      <c r="T28" s="142">
        <f t="shared" si="3"/>
        <v>0</v>
      </c>
      <c r="W28" s="12">
        <v>6</v>
      </c>
      <c r="X28" s="142">
        <f>IF(AA27&gt;0.01,IF(W28&lt;=($X$9*12),$X$15,-PMT($X$11,($X$12-$X$9)*12,$X$6)+$X$13*_xlfn.XLOOKUP($Y$13,'RE Calculations'!$B$12:$B$16,'RE Calculations'!$C$12:$C$16,"ERROR - Check Input")/12),0)</f>
        <v>0</v>
      </c>
      <c r="Y28" s="142">
        <f t="shared" si="4"/>
        <v>0</v>
      </c>
      <c r="Z28" s="142">
        <f>IF(W28&lt;=($X$9*12),$X$15,IFERROR(-IPMT($X$11,W28-$X$9*12,($X$12-$X$9)*12,$X$6)+$X$13*_xlfn.XLOOKUP($Y$13,'RE Calculations'!$B$12:$B$16,'RE Calculations'!$C$12:$C$16,"ERROR - Check Input")/12,0))</f>
        <v>10</v>
      </c>
      <c r="AA28" s="142">
        <f t="shared" si="5"/>
        <v>0</v>
      </c>
    </row>
    <row r="29" spans="2:27" x14ac:dyDescent="0.35">
      <c r="B29" s="12">
        <v>7</v>
      </c>
      <c r="C29" s="142">
        <f>IF(F28&gt;0.01,-PMT($C$8,$C$9*12,$C$6)+$C$10*_xlfn.XLOOKUP($D$10,'RE Calculations'!$B$12:$B$16,'RE Calculations'!$C$12:$C$16,"ERROR - Check Input")/12,0)</f>
        <v>0</v>
      </c>
      <c r="D29" s="142">
        <f t="shared" si="6"/>
        <v>0</v>
      </c>
      <c r="E29" s="142">
        <f>IFERROR(-IPMT($C$8,B29,$C$9*12,$C$6)+$C$10*_xlfn.XLOOKUP($D$10,'RE Calculations'!$B$12:$B$16,'RE Calculations'!$C$12:$C$16,"ERROR - Check Input")/12,0)</f>
        <v>8.3333333333333339</v>
      </c>
      <c r="F29" s="142">
        <f t="shared" si="7"/>
        <v>0</v>
      </c>
      <c r="I29" s="12">
        <v>7</v>
      </c>
      <c r="J29" s="142">
        <f>IF(M28&gt;0.01,IF(I29&lt;=($J$9*12),$J$15,-PMT($J$11,($J$12-$J$9)*12,$J$6)+$J$13*_xlfn.XLOOKUP($K$13,'RE Calculations'!$B$12:$B$16,'RE Calculations'!$C$12:$C$16,"ERROR - Check Input")/12),0)</f>
        <v>0</v>
      </c>
      <c r="K29" s="142">
        <f t="shared" si="0"/>
        <v>0</v>
      </c>
      <c r="L29" s="142">
        <f>IF(I29&lt;=($J$9*12),$J$15,IFERROR(-IPMT($J$11,I29-$J$9*12,($J$12-$J$9)*12,$J$6)+$J$13*_xlfn.XLOOKUP($K$13,'RE Calculations'!$B$12:$B$16,'RE Calculations'!$C$12:$C$16,"ERROR - Check Input")/12,0))</f>
        <v>10</v>
      </c>
      <c r="M29" s="142">
        <f t="shared" si="1"/>
        <v>0</v>
      </c>
      <c r="P29" s="12">
        <v>7</v>
      </c>
      <c r="Q29" s="142">
        <f>IF(T28&gt;0.01,-PMT($Q$8,$Q$9*12,$Q$6)+$Q$10*_xlfn.XLOOKUP($R$10,'RE Calculations'!$B$12:$B$16,'RE Calculations'!$C$12:$C$16,"ERROR - Check Input")/12,0)</f>
        <v>0</v>
      </c>
      <c r="R29" s="142">
        <f t="shared" si="2"/>
        <v>0</v>
      </c>
      <c r="S29" s="142">
        <f>IFERROR(-IPMT($Q$8,P29,$Q$9*12,$Q$6)+$Q$10*_xlfn.XLOOKUP($R$10,'RE Calculations'!$B$12:$B$16,'RE Calculations'!$C$12:$C$16,"ERROR - Check Input")/12,0)</f>
        <v>8.3333333333333339</v>
      </c>
      <c r="T29" s="142">
        <f t="shared" si="3"/>
        <v>0</v>
      </c>
      <c r="W29" s="12">
        <v>7</v>
      </c>
      <c r="X29" s="142">
        <f>IF(AA28&gt;0.01,IF(W29&lt;=($X$9*12),$X$15,-PMT($X$11,($X$12-$X$9)*12,$X$6)+$X$13*_xlfn.XLOOKUP($Y$13,'RE Calculations'!$B$12:$B$16,'RE Calculations'!$C$12:$C$16,"ERROR - Check Input")/12),0)</f>
        <v>0</v>
      </c>
      <c r="Y29" s="142">
        <f t="shared" si="4"/>
        <v>0</v>
      </c>
      <c r="Z29" s="142">
        <f>IF(W29&lt;=($X$9*12),$X$15,IFERROR(-IPMT($X$11,W29-$X$9*12,($X$12-$X$9)*12,$X$6)+$X$13*_xlfn.XLOOKUP($Y$13,'RE Calculations'!$B$12:$B$16,'RE Calculations'!$C$12:$C$16,"ERROR - Check Input")/12,0))</f>
        <v>10</v>
      </c>
      <c r="AA29" s="142">
        <f t="shared" si="5"/>
        <v>0</v>
      </c>
    </row>
    <row r="30" spans="2:27" x14ac:dyDescent="0.35">
      <c r="B30" s="12">
        <v>8</v>
      </c>
      <c r="C30" s="142">
        <f>IF(F29&gt;0.01,-PMT($C$8,$C$9*12,$C$6)+$C$10*_xlfn.XLOOKUP($D$10,'RE Calculations'!$B$12:$B$16,'RE Calculations'!$C$12:$C$16,"ERROR - Check Input")/12,0)</f>
        <v>0</v>
      </c>
      <c r="D30" s="142">
        <f t="shared" si="6"/>
        <v>0</v>
      </c>
      <c r="E30" s="142">
        <f>IFERROR(-IPMT($C$8,B30,$C$9*12,$C$6)+$C$10*_xlfn.XLOOKUP($D$10,'RE Calculations'!$B$12:$B$16,'RE Calculations'!$C$12:$C$16,"ERROR - Check Input")/12,0)</f>
        <v>8.3333333333333339</v>
      </c>
      <c r="F30" s="142">
        <f t="shared" si="7"/>
        <v>0</v>
      </c>
      <c r="I30" s="12">
        <v>8</v>
      </c>
      <c r="J30" s="142">
        <f>IF(M29&gt;0.01,IF(I30&lt;=($J$9*12),$J$15,-PMT($J$11,($J$12-$J$9)*12,$J$6)+$J$13*_xlfn.XLOOKUP($K$13,'RE Calculations'!$B$12:$B$16,'RE Calculations'!$C$12:$C$16,"ERROR - Check Input")/12),0)</f>
        <v>0</v>
      </c>
      <c r="K30" s="142">
        <f t="shared" si="0"/>
        <v>0</v>
      </c>
      <c r="L30" s="142">
        <f>IF(I30&lt;=($J$9*12),$J$15,IFERROR(-IPMT($J$11,I30-$J$9*12,($J$12-$J$9)*12,$J$6)+$J$13*_xlfn.XLOOKUP($K$13,'RE Calculations'!$B$12:$B$16,'RE Calculations'!$C$12:$C$16,"ERROR - Check Input")/12,0))</f>
        <v>10</v>
      </c>
      <c r="M30" s="142">
        <f t="shared" si="1"/>
        <v>0</v>
      </c>
      <c r="P30" s="12">
        <v>8</v>
      </c>
      <c r="Q30" s="142">
        <f>IF(T29&gt;0.01,-PMT($Q$8,$Q$9*12,$Q$6)+$Q$10*_xlfn.XLOOKUP($R$10,'RE Calculations'!$B$12:$B$16,'RE Calculations'!$C$12:$C$16,"ERROR - Check Input")/12,0)</f>
        <v>0</v>
      </c>
      <c r="R30" s="142">
        <f t="shared" si="2"/>
        <v>0</v>
      </c>
      <c r="S30" s="142">
        <f>IFERROR(-IPMT($Q$8,P30,$Q$9*12,$Q$6)+$Q$10*_xlfn.XLOOKUP($R$10,'RE Calculations'!$B$12:$B$16,'RE Calculations'!$C$12:$C$16,"ERROR - Check Input")/12,0)</f>
        <v>8.3333333333333339</v>
      </c>
      <c r="T30" s="142">
        <f t="shared" si="3"/>
        <v>0</v>
      </c>
      <c r="W30" s="12">
        <v>8</v>
      </c>
      <c r="X30" s="142">
        <f>IF(AA29&gt;0.01,IF(W30&lt;=($X$9*12),$X$15,-PMT($X$11,($X$12-$X$9)*12,$X$6)+$X$13*_xlfn.XLOOKUP($Y$13,'RE Calculations'!$B$12:$B$16,'RE Calculations'!$C$12:$C$16,"ERROR - Check Input")/12),0)</f>
        <v>0</v>
      </c>
      <c r="Y30" s="142">
        <f t="shared" si="4"/>
        <v>0</v>
      </c>
      <c r="Z30" s="142">
        <f>IF(W30&lt;=($X$9*12),$X$15,IFERROR(-IPMT($X$11,W30-$X$9*12,($X$12-$X$9)*12,$X$6)+$X$13*_xlfn.XLOOKUP($Y$13,'RE Calculations'!$B$12:$B$16,'RE Calculations'!$C$12:$C$16,"ERROR - Check Input")/12,0))</f>
        <v>10</v>
      </c>
      <c r="AA30" s="142">
        <f t="shared" si="5"/>
        <v>0</v>
      </c>
    </row>
    <row r="31" spans="2:27" x14ac:dyDescent="0.35">
      <c r="B31" s="12">
        <v>9</v>
      </c>
      <c r="C31" s="142">
        <f>IF(F30&gt;0.01,-PMT($C$8,$C$9*12,$C$6)+$C$10*_xlfn.XLOOKUP($D$10,'RE Calculations'!$B$12:$B$16,'RE Calculations'!$C$12:$C$16,"ERROR - Check Input")/12,0)</f>
        <v>0</v>
      </c>
      <c r="D31" s="142">
        <f t="shared" si="6"/>
        <v>0</v>
      </c>
      <c r="E31" s="142">
        <f>IFERROR(-IPMT($C$8,B31,$C$9*12,$C$6)+$C$10*_xlfn.XLOOKUP($D$10,'RE Calculations'!$B$12:$B$16,'RE Calculations'!$C$12:$C$16,"ERROR - Check Input")/12,0)</f>
        <v>8.3333333333333339</v>
      </c>
      <c r="F31" s="142">
        <f t="shared" si="7"/>
        <v>0</v>
      </c>
      <c r="I31" s="12">
        <v>9</v>
      </c>
      <c r="J31" s="142">
        <f>IF(M30&gt;0.01,IF(I31&lt;=($J$9*12),$J$15,-PMT($J$11,($J$12-$J$9)*12,$J$6)+$J$13*_xlfn.XLOOKUP($K$13,'RE Calculations'!$B$12:$B$16,'RE Calculations'!$C$12:$C$16,"ERROR - Check Input")/12),0)</f>
        <v>0</v>
      </c>
      <c r="K31" s="142">
        <f t="shared" si="0"/>
        <v>0</v>
      </c>
      <c r="L31" s="142">
        <f>IF(I31&lt;=($J$9*12),$J$15,IFERROR(-IPMT($J$11,I31-$J$9*12,($J$12-$J$9)*12,$J$6)+$J$13*_xlfn.XLOOKUP($K$13,'RE Calculations'!$B$12:$B$16,'RE Calculations'!$C$12:$C$16,"ERROR - Check Input")/12,0))</f>
        <v>10</v>
      </c>
      <c r="M31" s="142">
        <f t="shared" si="1"/>
        <v>0</v>
      </c>
      <c r="P31" s="12">
        <v>9</v>
      </c>
      <c r="Q31" s="142">
        <f>IF(T30&gt;0.01,-PMT($Q$8,$Q$9*12,$Q$6)+$Q$10*_xlfn.XLOOKUP($R$10,'RE Calculations'!$B$12:$B$16,'RE Calculations'!$C$12:$C$16,"ERROR - Check Input")/12,0)</f>
        <v>0</v>
      </c>
      <c r="R31" s="142">
        <f t="shared" si="2"/>
        <v>0</v>
      </c>
      <c r="S31" s="142">
        <f>IFERROR(-IPMT($Q$8,P31,$Q$9*12,$Q$6)+$Q$10*_xlfn.XLOOKUP($R$10,'RE Calculations'!$B$12:$B$16,'RE Calculations'!$C$12:$C$16,"ERROR - Check Input")/12,0)</f>
        <v>8.3333333333333339</v>
      </c>
      <c r="T31" s="142">
        <f t="shared" si="3"/>
        <v>0</v>
      </c>
      <c r="W31" s="12">
        <v>9</v>
      </c>
      <c r="X31" s="142">
        <f>IF(AA30&gt;0.01,IF(W31&lt;=($X$9*12),$X$15,-PMT($X$11,($X$12-$X$9)*12,$X$6)+$X$13*_xlfn.XLOOKUP($Y$13,'RE Calculations'!$B$12:$B$16,'RE Calculations'!$C$12:$C$16,"ERROR - Check Input")/12),0)</f>
        <v>0</v>
      </c>
      <c r="Y31" s="142">
        <f t="shared" si="4"/>
        <v>0</v>
      </c>
      <c r="Z31" s="142">
        <f>IF(W31&lt;=($X$9*12),$X$15,IFERROR(-IPMT($X$11,W31-$X$9*12,($X$12-$X$9)*12,$X$6)+$X$13*_xlfn.XLOOKUP($Y$13,'RE Calculations'!$B$12:$B$16,'RE Calculations'!$C$12:$C$16,"ERROR - Check Input")/12,0))</f>
        <v>10</v>
      </c>
      <c r="AA31" s="142">
        <f t="shared" si="5"/>
        <v>0</v>
      </c>
    </row>
    <row r="32" spans="2:27" x14ac:dyDescent="0.35">
      <c r="B32" s="12">
        <v>10</v>
      </c>
      <c r="C32" s="142">
        <f>IF(F31&gt;0.01,-PMT($C$8,$C$9*12,$C$6)+$C$10*_xlfn.XLOOKUP($D$10,'RE Calculations'!$B$12:$B$16,'RE Calculations'!$C$12:$C$16,"ERROR - Check Input")/12,0)</f>
        <v>0</v>
      </c>
      <c r="D32" s="142">
        <f t="shared" si="6"/>
        <v>0</v>
      </c>
      <c r="E32" s="142">
        <f>IFERROR(-IPMT($C$8,B32,$C$9*12,$C$6)+$C$10*_xlfn.XLOOKUP($D$10,'RE Calculations'!$B$12:$B$16,'RE Calculations'!$C$12:$C$16,"ERROR - Check Input")/12,0)</f>
        <v>8.3333333333333339</v>
      </c>
      <c r="F32" s="142">
        <f t="shared" si="7"/>
        <v>0</v>
      </c>
      <c r="I32" s="12">
        <v>10</v>
      </c>
      <c r="J32" s="142">
        <f>IF(M31&gt;0.01,IF(I32&lt;=($J$9*12),$J$15,-PMT($J$11,($J$12-$J$9)*12,$J$6)+$J$13*_xlfn.XLOOKUP($K$13,'RE Calculations'!$B$12:$B$16,'RE Calculations'!$C$12:$C$16,"ERROR - Check Input")/12),0)</f>
        <v>0</v>
      </c>
      <c r="K32" s="142">
        <f t="shared" si="0"/>
        <v>0</v>
      </c>
      <c r="L32" s="142">
        <f>IF(I32&lt;=($J$9*12),$J$15,IFERROR(-IPMT($J$11,I32-$J$9*12,($J$12-$J$9)*12,$J$6)+$J$13*_xlfn.XLOOKUP($K$13,'RE Calculations'!$B$12:$B$16,'RE Calculations'!$C$12:$C$16,"ERROR - Check Input")/12,0))</f>
        <v>10</v>
      </c>
      <c r="M32" s="142">
        <f t="shared" si="1"/>
        <v>0</v>
      </c>
      <c r="P32" s="12">
        <v>10</v>
      </c>
      <c r="Q32" s="142">
        <f>IF(T31&gt;0.01,-PMT($Q$8,$Q$9*12,$Q$6)+$Q$10*_xlfn.XLOOKUP($R$10,'RE Calculations'!$B$12:$B$16,'RE Calculations'!$C$12:$C$16,"ERROR - Check Input")/12,0)</f>
        <v>0</v>
      </c>
      <c r="R32" s="142">
        <f t="shared" si="2"/>
        <v>0</v>
      </c>
      <c r="S32" s="142">
        <f>IFERROR(-IPMT($Q$8,P32,$Q$9*12,$Q$6)+$Q$10*_xlfn.XLOOKUP($R$10,'RE Calculations'!$B$12:$B$16,'RE Calculations'!$C$12:$C$16,"ERROR - Check Input")/12,0)</f>
        <v>8.3333333333333339</v>
      </c>
      <c r="T32" s="142">
        <f t="shared" si="3"/>
        <v>0</v>
      </c>
      <c r="W32" s="12">
        <v>10</v>
      </c>
      <c r="X32" s="142">
        <f>IF(AA31&gt;0.01,IF(W32&lt;=($X$9*12),$X$15,-PMT($X$11,($X$12-$X$9)*12,$X$6)+$X$13*_xlfn.XLOOKUP($Y$13,'RE Calculations'!$B$12:$B$16,'RE Calculations'!$C$12:$C$16,"ERROR - Check Input")/12),0)</f>
        <v>0</v>
      </c>
      <c r="Y32" s="142">
        <f t="shared" si="4"/>
        <v>0</v>
      </c>
      <c r="Z32" s="142">
        <f>IF(W32&lt;=($X$9*12),$X$15,IFERROR(-IPMT($X$11,W32-$X$9*12,($X$12-$X$9)*12,$X$6)+$X$13*_xlfn.XLOOKUP($Y$13,'RE Calculations'!$B$12:$B$16,'RE Calculations'!$C$12:$C$16,"ERROR - Check Input")/12,0))</f>
        <v>10</v>
      </c>
      <c r="AA32" s="142">
        <f t="shared" si="5"/>
        <v>0</v>
      </c>
    </row>
    <row r="33" spans="2:27" x14ac:dyDescent="0.35">
      <c r="B33" s="12">
        <v>11</v>
      </c>
      <c r="C33" s="142">
        <f>IF(F32&gt;0.01,-PMT($C$8,$C$9*12,$C$6)+$C$10*_xlfn.XLOOKUP($D$10,'RE Calculations'!$B$12:$B$16,'RE Calculations'!$C$12:$C$16,"ERROR - Check Input")/12,0)</f>
        <v>0</v>
      </c>
      <c r="D33" s="142">
        <f t="shared" si="6"/>
        <v>0</v>
      </c>
      <c r="E33" s="142">
        <f>IFERROR(-IPMT($C$8,B33,$C$9*12,$C$6)+$C$10*_xlfn.XLOOKUP($D$10,'RE Calculations'!$B$12:$B$16,'RE Calculations'!$C$12:$C$16,"ERROR - Check Input")/12,0)</f>
        <v>8.3333333333333339</v>
      </c>
      <c r="F33" s="142">
        <f t="shared" si="7"/>
        <v>0</v>
      </c>
      <c r="I33" s="12">
        <v>11</v>
      </c>
      <c r="J33" s="142">
        <f>IF(M32&gt;0.01,IF(I33&lt;=($J$9*12),$J$15,-PMT($J$11,($J$12-$J$9)*12,$J$6)+$J$13*_xlfn.XLOOKUP($K$13,'RE Calculations'!$B$12:$B$16,'RE Calculations'!$C$12:$C$16,"ERROR - Check Input")/12),0)</f>
        <v>0</v>
      </c>
      <c r="K33" s="142">
        <f t="shared" si="0"/>
        <v>0</v>
      </c>
      <c r="L33" s="142">
        <f>IF(I33&lt;=($J$9*12),$J$15,IFERROR(-IPMT($J$11,I33-$J$9*12,($J$12-$J$9)*12,$J$6)+$J$13*_xlfn.XLOOKUP($K$13,'RE Calculations'!$B$12:$B$16,'RE Calculations'!$C$12:$C$16,"ERROR - Check Input")/12,0))</f>
        <v>10</v>
      </c>
      <c r="M33" s="142">
        <f t="shared" si="1"/>
        <v>0</v>
      </c>
      <c r="P33" s="12">
        <v>11</v>
      </c>
      <c r="Q33" s="142">
        <f>IF(T32&gt;0.01,-PMT($Q$8,$Q$9*12,$Q$6)+$Q$10*_xlfn.XLOOKUP($R$10,'RE Calculations'!$B$12:$B$16,'RE Calculations'!$C$12:$C$16,"ERROR - Check Input")/12,0)</f>
        <v>0</v>
      </c>
      <c r="R33" s="142">
        <f t="shared" si="2"/>
        <v>0</v>
      </c>
      <c r="S33" s="142">
        <f>IFERROR(-IPMT($Q$8,P33,$Q$9*12,$Q$6)+$Q$10*_xlfn.XLOOKUP($R$10,'RE Calculations'!$B$12:$B$16,'RE Calculations'!$C$12:$C$16,"ERROR - Check Input")/12,0)</f>
        <v>8.3333333333333339</v>
      </c>
      <c r="T33" s="142">
        <f t="shared" si="3"/>
        <v>0</v>
      </c>
      <c r="W33" s="12">
        <v>11</v>
      </c>
      <c r="X33" s="142">
        <f>IF(AA32&gt;0.01,IF(W33&lt;=($X$9*12),$X$15,-PMT($X$11,($X$12-$X$9)*12,$X$6)+$X$13*_xlfn.XLOOKUP($Y$13,'RE Calculations'!$B$12:$B$16,'RE Calculations'!$C$12:$C$16,"ERROR - Check Input")/12),0)</f>
        <v>0</v>
      </c>
      <c r="Y33" s="142">
        <f t="shared" si="4"/>
        <v>0</v>
      </c>
      <c r="Z33" s="142">
        <f>IF(W33&lt;=($X$9*12),$X$15,IFERROR(-IPMT($X$11,W33-$X$9*12,($X$12-$X$9)*12,$X$6)+$X$13*_xlfn.XLOOKUP($Y$13,'RE Calculations'!$B$12:$B$16,'RE Calculations'!$C$12:$C$16,"ERROR - Check Input")/12,0))</f>
        <v>10</v>
      </c>
      <c r="AA33" s="142">
        <f t="shared" si="5"/>
        <v>0</v>
      </c>
    </row>
    <row r="34" spans="2:27" x14ac:dyDescent="0.35">
      <c r="B34" s="12">
        <v>12</v>
      </c>
      <c r="C34" s="142">
        <f>IF(F33&gt;0.01,-PMT($C$8,$C$9*12,$C$6)+$C$10*_xlfn.XLOOKUP($D$10,'RE Calculations'!$B$12:$B$16,'RE Calculations'!$C$12:$C$16,"ERROR - Check Input")/12,0)</f>
        <v>0</v>
      </c>
      <c r="D34" s="142">
        <f t="shared" si="6"/>
        <v>0</v>
      </c>
      <c r="E34" s="142">
        <f>IFERROR(-IPMT($C$8,B34,$C$9*12,$C$6)+$C$10*_xlfn.XLOOKUP($D$10,'RE Calculations'!$B$12:$B$16,'RE Calculations'!$C$12:$C$16,"ERROR - Check Input")/12,0)</f>
        <v>8.3333333333333339</v>
      </c>
      <c r="F34" s="142">
        <f t="shared" si="7"/>
        <v>0</v>
      </c>
      <c r="I34" s="12">
        <v>12</v>
      </c>
      <c r="J34" s="142">
        <f>IF(M33&gt;0.01,IF(I34&lt;=($J$9*12),$J$15,-PMT($J$11,($J$12-$J$9)*12,$J$6)+$J$13*_xlfn.XLOOKUP($K$13,'RE Calculations'!$B$12:$B$16,'RE Calculations'!$C$12:$C$16,"ERROR - Check Input")/12),0)</f>
        <v>0</v>
      </c>
      <c r="K34" s="142">
        <f t="shared" si="0"/>
        <v>0</v>
      </c>
      <c r="L34" s="142">
        <f>IF(I34&lt;=($J$9*12),$J$15,IFERROR(-IPMT($J$11,I34-$J$9*12,($J$12-$J$9)*12,$J$6)+$J$13*_xlfn.XLOOKUP($K$13,'RE Calculations'!$B$12:$B$16,'RE Calculations'!$C$12:$C$16,"ERROR - Check Input")/12,0))</f>
        <v>10</v>
      </c>
      <c r="M34" s="142">
        <f t="shared" si="1"/>
        <v>0</v>
      </c>
      <c r="P34" s="12">
        <v>12</v>
      </c>
      <c r="Q34" s="142">
        <f>IF(T33&gt;0.01,-PMT($Q$8,$Q$9*12,$Q$6)+$Q$10*_xlfn.XLOOKUP($R$10,'RE Calculations'!$B$12:$B$16,'RE Calculations'!$C$12:$C$16,"ERROR - Check Input")/12,0)</f>
        <v>0</v>
      </c>
      <c r="R34" s="142">
        <f t="shared" si="2"/>
        <v>0</v>
      </c>
      <c r="S34" s="142">
        <f>IFERROR(-IPMT($Q$8,P34,$Q$9*12,$Q$6)+$Q$10*_xlfn.XLOOKUP($R$10,'RE Calculations'!$B$12:$B$16,'RE Calculations'!$C$12:$C$16,"ERROR - Check Input")/12,0)</f>
        <v>8.3333333333333339</v>
      </c>
      <c r="T34" s="142">
        <f t="shared" si="3"/>
        <v>0</v>
      </c>
      <c r="W34" s="12">
        <v>12</v>
      </c>
      <c r="X34" s="142">
        <f>IF(AA33&gt;0.01,IF(W34&lt;=($X$9*12),$X$15,-PMT($X$11,($X$12-$X$9)*12,$X$6)+$X$13*_xlfn.XLOOKUP($Y$13,'RE Calculations'!$B$12:$B$16,'RE Calculations'!$C$12:$C$16,"ERROR - Check Input")/12),0)</f>
        <v>0</v>
      </c>
      <c r="Y34" s="142">
        <f t="shared" si="4"/>
        <v>0</v>
      </c>
      <c r="Z34" s="142">
        <f>IF(W34&lt;=($X$9*12),$X$15,IFERROR(-IPMT($X$11,W34-$X$9*12,($X$12-$X$9)*12,$X$6)+$X$13*_xlfn.XLOOKUP($Y$13,'RE Calculations'!$B$12:$B$16,'RE Calculations'!$C$12:$C$16,"ERROR - Check Input")/12,0))</f>
        <v>10</v>
      </c>
      <c r="AA34" s="142">
        <f t="shared" si="5"/>
        <v>0</v>
      </c>
    </row>
    <row r="35" spans="2:27" x14ac:dyDescent="0.35">
      <c r="B35" s="12">
        <v>13</v>
      </c>
      <c r="C35" s="142">
        <f>IF(F34&gt;0.01,-PMT($C$8,$C$9*12,$C$6)+$C$10*_xlfn.XLOOKUP($D$10,'RE Calculations'!$B$12:$B$16,'RE Calculations'!$C$12:$C$16,"ERROR - Check Input")/12,0)</f>
        <v>0</v>
      </c>
      <c r="D35" s="142">
        <f t="shared" si="6"/>
        <v>0</v>
      </c>
      <c r="E35" s="142">
        <f>IFERROR(-IPMT($C$8,B35,$C$9*12,$C$6)+$C$10*_xlfn.XLOOKUP($D$10,'RE Calculations'!$B$12:$B$16,'RE Calculations'!$C$12:$C$16,"ERROR - Check Input")/12,0)</f>
        <v>8.3333333333333339</v>
      </c>
      <c r="F35" s="142">
        <f t="shared" si="7"/>
        <v>0</v>
      </c>
      <c r="I35" s="12">
        <v>13</v>
      </c>
      <c r="J35" s="142">
        <f>IF(M34&gt;0.01,IF(I35&lt;=($J$9*12),$J$15,-PMT($J$11,($J$12-$J$9)*12,$J$6)+$J$13*_xlfn.XLOOKUP($K$13,'RE Calculations'!$B$12:$B$16,'RE Calculations'!$C$12:$C$16,"ERROR - Check Input")/12),0)</f>
        <v>0</v>
      </c>
      <c r="K35" s="142">
        <f t="shared" si="0"/>
        <v>0</v>
      </c>
      <c r="L35" s="142">
        <f>IF(I35&lt;=($J$9*12),$J$15,IFERROR(-IPMT($J$11,I35-$J$9*12,($J$12-$J$9)*12,$J$6)+$J$13*_xlfn.XLOOKUP($K$13,'RE Calculations'!$B$12:$B$16,'RE Calculations'!$C$12:$C$16,"ERROR - Check Input")/12,0))</f>
        <v>10</v>
      </c>
      <c r="M35" s="142">
        <f t="shared" si="1"/>
        <v>0</v>
      </c>
      <c r="P35" s="12">
        <v>13</v>
      </c>
      <c r="Q35" s="142">
        <f>IF(T34&gt;0.01,-PMT($Q$8,$Q$9*12,$Q$6)+$Q$10*_xlfn.XLOOKUP($R$10,'RE Calculations'!$B$12:$B$16,'RE Calculations'!$C$12:$C$16,"ERROR - Check Input")/12,0)</f>
        <v>0</v>
      </c>
      <c r="R35" s="142">
        <f t="shared" si="2"/>
        <v>0</v>
      </c>
      <c r="S35" s="142">
        <f>IFERROR(-IPMT($Q$8,P35,$Q$9*12,$Q$6)+$Q$10*_xlfn.XLOOKUP($R$10,'RE Calculations'!$B$12:$B$16,'RE Calculations'!$C$12:$C$16,"ERROR - Check Input")/12,0)</f>
        <v>8.3333333333333339</v>
      </c>
      <c r="T35" s="142">
        <f t="shared" si="3"/>
        <v>0</v>
      </c>
      <c r="W35" s="12">
        <v>13</v>
      </c>
      <c r="X35" s="142">
        <f>IF(AA34&gt;0.01,IF(W35&lt;=($X$9*12),$X$15,-PMT($X$11,($X$12-$X$9)*12,$X$6)+$X$13*_xlfn.XLOOKUP($Y$13,'RE Calculations'!$B$12:$B$16,'RE Calculations'!$C$12:$C$16,"ERROR - Check Input")/12),0)</f>
        <v>0</v>
      </c>
      <c r="Y35" s="142">
        <f t="shared" si="4"/>
        <v>0</v>
      </c>
      <c r="Z35" s="142">
        <f>IF(W35&lt;=($X$9*12),$X$15,IFERROR(-IPMT($X$11,W35-$X$9*12,($X$12-$X$9)*12,$X$6)+$X$13*_xlfn.XLOOKUP($Y$13,'RE Calculations'!$B$12:$B$16,'RE Calculations'!$C$12:$C$16,"ERROR - Check Input")/12,0))</f>
        <v>10</v>
      </c>
      <c r="AA35" s="142">
        <f t="shared" si="5"/>
        <v>0</v>
      </c>
    </row>
    <row r="36" spans="2:27" x14ac:dyDescent="0.35">
      <c r="B36" s="12">
        <v>14</v>
      </c>
      <c r="C36" s="142">
        <f>IF(F35&gt;0.01,-PMT($C$8,$C$9*12,$C$6)+$C$10*_xlfn.XLOOKUP($D$10,'RE Calculations'!$B$12:$B$16,'RE Calculations'!$C$12:$C$16,"ERROR - Check Input")/12,0)</f>
        <v>0</v>
      </c>
      <c r="D36" s="142">
        <f t="shared" si="6"/>
        <v>0</v>
      </c>
      <c r="E36" s="142">
        <f>IFERROR(-IPMT($C$8,B36,$C$9*12,$C$6)+$C$10*_xlfn.XLOOKUP($D$10,'RE Calculations'!$B$12:$B$16,'RE Calculations'!$C$12:$C$16,"ERROR - Check Input")/12,0)</f>
        <v>8.3333333333333339</v>
      </c>
      <c r="F36" s="142">
        <f t="shared" si="7"/>
        <v>0</v>
      </c>
      <c r="I36" s="12">
        <v>14</v>
      </c>
      <c r="J36" s="142">
        <f>IF(M35&gt;0.01,IF(I36&lt;=($J$9*12),$J$15,-PMT($J$11,($J$12-$J$9)*12,$J$6)+$J$13*_xlfn.XLOOKUP($K$13,'RE Calculations'!$B$12:$B$16,'RE Calculations'!$C$12:$C$16,"ERROR - Check Input")/12),0)</f>
        <v>0</v>
      </c>
      <c r="K36" s="142">
        <f t="shared" si="0"/>
        <v>0</v>
      </c>
      <c r="L36" s="142">
        <f>IF(I36&lt;=($J$9*12),$J$15,IFERROR(-IPMT($J$11,I36-$J$9*12,($J$12-$J$9)*12,$J$6)+$J$13*_xlfn.XLOOKUP($K$13,'RE Calculations'!$B$12:$B$16,'RE Calculations'!$C$12:$C$16,"ERROR - Check Input")/12,0))</f>
        <v>10</v>
      </c>
      <c r="M36" s="142">
        <f t="shared" si="1"/>
        <v>0</v>
      </c>
      <c r="P36" s="12">
        <v>14</v>
      </c>
      <c r="Q36" s="142">
        <f>IF(T35&gt;0.01,-PMT($Q$8,$Q$9*12,$Q$6)+$Q$10*_xlfn.XLOOKUP($R$10,'RE Calculations'!$B$12:$B$16,'RE Calculations'!$C$12:$C$16,"ERROR - Check Input")/12,0)</f>
        <v>0</v>
      </c>
      <c r="R36" s="142">
        <f t="shared" si="2"/>
        <v>0</v>
      </c>
      <c r="S36" s="142">
        <f>IFERROR(-IPMT($Q$8,P36,$Q$9*12,$Q$6)+$Q$10*_xlfn.XLOOKUP($R$10,'RE Calculations'!$B$12:$B$16,'RE Calculations'!$C$12:$C$16,"ERROR - Check Input")/12,0)</f>
        <v>8.3333333333333339</v>
      </c>
      <c r="T36" s="142">
        <f t="shared" si="3"/>
        <v>0</v>
      </c>
      <c r="W36" s="12">
        <v>14</v>
      </c>
      <c r="X36" s="142">
        <f>IF(AA35&gt;0.01,IF(W36&lt;=($X$9*12),$X$15,-PMT($X$11,($X$12-$X$9)*12,$X$6)+$X$13*_xlfn.XLOOKUP($Y$13,'RE Calculations'!$B$12:$B$16,'RE Calculations'!$C$12:$C$16,"ERROR - Check Input")/12),0)</f>
        <v>0</v>
      </c>
      <c r="Y36" s="142">
        <f t="shared" si="4"/>
        <v>0</v>
      </c>
      <c r="Z36" s="142">
        <f>IF(W36&lt;=($X$9*12),$X$15,IFERROR(-IPMT($X$11,W36-$X$9*12,($X$12-$X$9)*12,$X$6)+$X$13*_xlfn.XLOOKUP($Y$13,'RE Calculations'!$B$12:$B$16,'RE Calculations'!$C$12:$C$16,"ERROR - Check Input")/12,0))</f>
        <v>10</v>
      </c>
      <c r="AA36" s="142">
        <f t="shared" si="5"/>
        <v>0</v>
      </c>
    </row>
    <row r="37" spans="2:27" x14ac:dyDescent="0.35">
      <c r="B37" s="12">
        <v>15</v>
      </c>
      <c r="C37" s="142">
        <f>IF(F36&gt;0.01,-PMT($C$8,$C$9*12,$C$6)+$C$10*_xlfn.XLOOKUP($D$10,'RE Calculations'!$B$12:$B$16,'RE Calculations'!$C$12:$C$16,"ERROR - Check Input")/12,0)</f>
        <v>0</v>
      </c>
      <c r="D37" s="142">
        <f t="shared" si="6"/>
        <v>0</v>
      </c>
      <c r="E37" s="142">
        <f>IFERROR(-IPMT($C$8,B37,$C$9*12,$C$6)+$C$10*_xlfn.XLOOKUP($D$10,'RE Calculations'!$B$12:$B$16,'RE Calculations'!$C$12:$C$16,"ERROR - Check Input")/12,0)</f>
        <v>8.3333333333333339</v>
      </c>
      <c r="F37" s="142">
        <f t="shared" si="7"/>
        <v>0</v>
      </c>
      <c r="I37" s="12">
        <v>15</v>
      </c>
      <c r="J37" s="142">
        <f>IF(M36&gt;0.01,IF(I37&lt;=($J$9*12),$J$15,-PMT($J$11,($J$12-$J$9)*12,$J$6)+$J$13*_xlfn.XLOOKUP($K$13,'RE Calculations'!$B$12:$B$16,'RE Calculations'!$C$12:$C$16,"ERROR - Check Input")/12),0)</f>
        <v>0</v>
      </c>
      <c r="K37" s="142">
        <f t="shared" si="0"/>
        <v>0</v>
      </c>
      <c r="L37" s="142">
        <f>IF(I37&lt;=($J$9*12),$J$15,IFERROR(-IPMT($J$11,I37-$J$9*12,($J$12-$J$9)*12,$J$6)+$J$13*_xlfn.XLOOKUP($K$13,'RE Calculations'!$B$12:$B$16,'RE Calculations'!$C$12:$C$16,"ERROR - Check Input")/12,0))</f>
        <v>10</v>
      </c>
      <c r="M37" s="142">
        <f t="shared" si="1"/>
        <v>0</v>
      </c>
      <c r="P37" s="12">
        <v>15</v>
      </c>
      <c r="Q37" s="142">
        <f>IF(T36&gt;0.01,-PMT($Q$8,$Q$9*12,$Q$6)+$Q$10*_xlfn.XLOOKUP($R$10,'RE Calculations'!$B$12:$B$16,'RE Calculations'!$C$12:$C$16,"ERROR - Check Input")/12,0)</f>
        <v>0</v>
      </c>
      <c r="R37" s="142">
        <f t="shared" si="2"/>
        <v>0</v>
      </c>
      <c r="S37" s="142">
        <f>IFERROR(-IPMT($Q$8,P37,$Q$9*12,$Q$6)+$Q$10*_xlfn.XLOOKUP($R$10,'RE Calculations'!$B$12:$B$16,'RE Calculations'!$C$12:$C$16,"ERROR - Check Input")/12,0)</f>
        <v>8.3333333333333339</v>
      </c>
      <c r="T37" s="142">
        <f t="shared" si="3"/>
        <v>0</v>
      </c>
      <c r="W37" s="12">
        <v>15</v>
      </c>
      <c r="X37" s="142">
        <f>IF(AA36&gt;0.01,IF(W37&lt;=($X$9*12),$X$15,-PMT($X$11,($X$12-$X$9)*12,$X$6)+$X$13*_xlfn.XLOOKUP($Y$13,'RE Calculations'!$B$12:$B$16,'RE Calculations'!$C$12:$C$16,"ERROR - Check Input")/12),0)</f>
        <v>0</v>
      </c>
      <c r="Y37" s="142">
        <f t="shared" si="4"/>
        <v>0</v>
      </c>
      <c r="Z37" s="142">
        <f>IF(W37&lt;=($X$9*12),$X$15,IFERROR(-IPMT($X$11,W37-$X$9*12,($X$12-$X$9)*12,$X$6)+$X$13*_xlfn.XLOOKUP($Y$13,'RE Calculations'!$B$12:$B$16,'RE Calculations'!$C$12:$C$16,"ERROR - Check Input")/12,0))</f>
        <v>10</v>
      </c>
      <c r="AA37" s="142">
        <f t="shared" si="5"/>
        <v>0</v>
      </c>
    </row>
    <row r="38" spans="2:27" x14ac:dyDescent="0.35">
      <c r="B38" s="12">
        <v>16</v>
      </c>
      <c r="C38" s="142">
        <f>IF(F37&gt;0.01,-PMT($C$8,$C$9*12,$C$6)+$C$10*_xlfn.XLOOKUP($D$10,'RE Calculations'!$B$12:$B$16,'RE Calculations'!$C$12:$C$16,"ERROR - Check Input")/12,0)</f>
        <v>0</v>
      </c>
      <c r="D38" s="142">
        <f t="shared" si="6"/>
        <v>0</v>
      </c>
      <c r="E38" s="142">
        <f>IFERROR(-IPMT($C$8,B38,$C$9*12,$C$6)+$C$10*_xlfn.XLOOKUP($D$10,'RE Calculations'!$B$12:$B$16,'RE Calculations'!$C$12:$C$16,"ERROR - Check Input")/12,0)</f>
        <v>8.3333333333333339</v>
      </c>
      <c r="F38" s="142">
        <f t="shared" si="7"/>
        <v>0</v>
      </c>
      <c r="I38" s="12">
        <v>16</v>
      </c>
      <c r="J38" s="142">
        <f>IF(M37&gt;0.01,IF(I38&lt;=($J$9*12),$J$15,-PMT($J$11,($J$12-$J$9)*12,$J$6)+$J$13*_xlfn.XLOOKUP($K$13,'RE Calculations'!$B$12:$B$16,'RE Calculations'!$C$12:$C$16,"ERROR - Check Input")/12),0)</f>
        <v>0</v>
      </c>
      <c r="K38" s="142">
        <f t="shared" si="0"/>
        <v>0</v>
      </c>
      <c r="L38" s="142">
        <f>IF(I38&lt;=($J$9*12),$J$15,IFERROR(-IPMT($J$11,I38-$J$9*12,($J$12-$J$9)*12,$J$6)+$J$13*_xlfn.XLOOKUP($K$13,'RE Calculations'!$B$12:$B$16,'RE Calculations'!$C$12:$C$16,"ERROR - Check Input")/12,0))</f>
        <v>10</v>
      </c>
      <c r="M38" s="142">
        <f t="shared" si="1"/>
        <v>0</v>
      </c>
      <c r="P38" s="12">
        <v>16</v>
      </c>
      <c r="Q38" s="142">
        <f>IF(T37&gt;0.01,-PMT($Q$8,$Q$9*12,$Q$6)+$Q$10*_xlfn.XLOOKUP($R$10,'RE Calculations'!$B$12:$B$16,'RE Calculations'!$C$12:$C$16,"ERROR - Check Input")/12,0)</f>
        <v>0</v>
      </c>
      <c r="R38" s="142">
        <f t="shared" si="2"/>
        <v>0</v>
      </c>
      <c r="S38" s="142">
        <f>IFERROR(-IPMT($Q$8,P38,$Q$9*12,$Q$6)+$Q$10*_xlfn.XLOOKUP($R$10,'RE Calculations'!$B$12:$B$16,'RE Calculations'!$C$12:$C$16,"ERROR - Check Input")/12,0)</f>
        <v>8.3333333333333339</v>
      </c>
      <c r="T38" s="142">
        <f t="shared" si="3"/>
        <v>0</v>
      </c>
      <c r="W38" s="12">
        <v>16</v>
      </c>
      <c r="X38" s="142">
        <f>IF(AA37&gt;0.01,IF(W38&lt;=($X$9*12),$X$15,-PMT($X$11,($X$12-$X$9)*12,$X$6)+$X$13*_xlfn.XLOOKUP($Y$13,'RE Calculations'!$B$12:$B$16,'RE Calculations'!$C$12:$C$16,"ERROR - Check Input")/12),0)</f>
        <v>0</v>
      </c>
      <c r="Y38" s="142">
        <f t="shared" si="4"/>
        <v>0</v>
      </c>
      <c r="Z38" s="142">
        <f>IF(W38&lt;=($X$9*12),$X$15,IFERROR(-IPMT($X$11,W38-$X$9*12,($X$12-$X$9)*12,$X$6)+$X$13*_xlfn.XLOOKUP($Y$13,'RE Calculations'!$B$12:$B$16,'RE Calculations'!$C$12:$C$16,"ERROR - Check Input")/12,0))</f>
        <v>10</v>
      </c>
      <c r="AA38" s="142">
        <f t="shared" si="5"/>
        <v>0</v>
      </c>
    </row>
    <row r="39" spans="2:27" x14ac:dyDescent="0.35">
      <c r="B39" s="12">
        <v>17</v>
      </c>
      <c r="C39" s="142">
        <f>IF(F38&gt;0.01,-PMT($C$8,$C$9*12,$C$6)+$C$10*_xlfn.XLOOKUP($D$10,'RE Calculations'!$B$12:$B$16,'RE Calculations'!$C$12:$C$16,"ERROR - Check Input")/12,0)</f>
        <v>0</v>
      </c>
      <c r="D39" s="142">
        <f t="shared" si="6"/>
        <v>0</v>
      </c>
      <c r="E39" s="142">
        <f>IFERROR(-IPMT($C$8,B39,$C$9*12,$C$6)+$C$10*_xlfn.XLOOKUP($D$10,'RE Calculations'!$B$12:$B$16,'RE Calculations'!$C$12:$C$16,"ERROR - Check Input")/12,0)</f>
        <v>8.3333333333333339</v>
      </c>
      <c r="F39" s="142">
        <f t="shared" si="7"/>
        <v>0</v>
      </c>
      <c r="I39" s="12">
        <v>17</v>
      </c>
      <c r="J39" s="142">
        <f>IF(M38&gt;0.01,IF(I39&lt;=($J$9*12),$J$15,-PMT($J$11,($J$12-$J$9)*12,$J$6)+$J$13*_xlfn.XLOOKUP($K$13,'RE Calculations'!$B$12:$B$16,'RE Calculations'!$C$12:$C$16,"ERROR - Check Input")/12),0)</f>
        <v>0</v>
      </c>
      <c r="K39" s="142">
        <f t="shared" si="0"/>
        <v>0</v>
      </c>
      <c r="L39" s="142">
        <f>IF(I39&lt;=($J$9*12),$J$15,IFERROR(-IPMT($J$11,I39-$J$9*12,($J$12-$J$9)*12,$J$6)+$J$13*_xlfn.XLOOKUP($K$13,'RE Calculations'!$B$12:$B$16,'RE Calculations'!$C$12:$C$16,"ERROR - Check Input")/12,0))</f>
        <v>10</v>
      </c>
      <c r="M39" s="142">
        <f t="shared" si="1"/>
        <v>0</v>
      </c>
      <c r="P39" s="12">
        <v>17</v>
      </c>
      <c r="Q39" s="142">
        <f>IF(T38&gt;0.01,-PMT($Q$8,$Q$9*12,$Q$6)+$Q$10*_xlfn.XLOOKUP($R$10,'RE Calculations'!$B$12:$B$16,'RE Calculations'!$C$12:$C$16,"ERROR - Check Input")/12,0)</f>
        <v>0</v>
      </c>
      <c r="R39" s="142">
        <f t="shared" si="2"/>
        <v>0</v>
      </c>
      <c r="S39" s="142">
        <f>IFERROR(-IPMT($Q$8,P39,$Q$9*12,$Q$6)+$Q$10*_xlfn.XLOOKUP($R$10,'RE Calculations'!$B$12:$B$16,'RE Calculations'!$C$12:$C$16,"ERROR - Check Input")/12,0)</f>
        <v>8.3333333333333339</v>
      </c>
      <c r="T39" s="142">
        <f t="shared" si="3"/>
        <v>0</v>
      </c>
      <c r="W39" s="12">
        <v>17</v>
      </c>
      <c r="X39" s="142">
        <f>IF(AA38&gt;0.01,IF(W39&lt;=($X$9*12),$X$15,-PMT($X$11,($X$12-$X$9)*12,$X$6)+$X$13*_xlfn.XLOOKUP($Y$13,'RE Calculations'!$B$12:$B$16,'RE Calculations'!$C$12:$C$16,"ERROR - Check Input")/12),0)</f>
        <v>0</v>
      </c>
      <c r="Y39" s="142">
        <f t="shared" si="4"/>
        <v>0</v>
      </c>
      <c r="Z39" s="142">
        <f>IF(W39&lt;=($X$9*12),$X$15,IFERROR(-IPMT($X$11,W39-$X$9*12,($X$12-$X$9)*12,$X$6)+$X$13*_xlfn.XLOOKUP($Y$13,'RE Calculations'!$B$12:$B$16,'RE Calculations'!$C$12:$C$16,"ERROR - Check Input")/12,0))</f>
        <v>10</v>
      </c>
      <c r="AA39" s="142">
        <f t="shared" si="5"/>
        <v>0</v>
      </c>
    </row>
    <row r="40" spans="2:27" x14ac:dyDescent="0.35">
      <c r="B40" s="12">
        <v>18</v>
      </c>
      <c r="C40" s="142">
        <f>IF(F39&gt;0.01,-PMT($C$8,$C$9*12,$C$6)+$C$10*_xlfn.XLOOKUP($D$10,'RE Calculations'!$B$12:$B$16,'RE Calculations'!$C$12:$C$16,"ERROR - Check Input")/12,0)</f>
        <v>0</v>
      </c>
      <c r="D40" s="142">
        <f t="shared" si="6"/>
        <v>0</v>
      </c>
      <c r="E40" s="142">
        <f>IFERROR(-IPMT($C$8,B40,$C$9*12,$C$6)+$C$10*_xlfn.XLOOKUP($D$10,'RE Calculations'!$B$12:$B$16,'RE Calculations'!$C$12:$C$16,"ERROR - Check Input")/12,0)</f>
        <v>8.3333333333333339</v>
      </c>
      <c r="F40" s="142">
        <f t="shared" si="7"/>
        <v>0</v>
      </c>
      <c r="I40" s="12">
        <v>18</v>
      </c>
      <c r="J40" s="142">
        <f>IF(M39&gt;0.01,IF(I40&lt;=($J$9*12),$J$15,-PMT($J$11,($J$12-$J$9)*12,$J$6)+$J$13*_xlfn.XLOOKUP($K$13,'RE Calculations'!$B$12:$B$16,'RE Calculations'!$C$12:$C$16,"ERROR - Check Input")/12),0)</f>
        <v>0</v>
      </c>
      <c r="K40" s="142">
        <f t="shared" si="0"/>
        <v>0</v>
      </c>
      <c r="L40" s="142">
        <f>IF(I40&lt;=($J$9*12),$J$15,IFERROR(-IPMT($J$11,I40-$J$9*12,($J$12-$J$9)*12,$J$6)+$J$13*_xlfn.XLOOKUP($K$13,'RE Calculations'!$B$12:$B$16,'RE Calculations'!$C$12:$C$16,"ERROR - Check Input")/12,0))</f>
        <v>10</v>
      </c>
      <c r="M40" s="142">
        <f t="shared" si="1"/>
        <v>0</v>
      </c>
      <c r="P40" s="12">
        <v>18</v>
      </c>
      <c r="Q40" s="142">
        <f>IF(T39&gt;0.01,-PMT($Q$8,$Q$9*12,$Q$6)+$Q$10*_xlfn.XLOOKUP($R$10,'RE Calculations'!$B$12:$B$16,'RE Calculations'!$C$12:$C$16,"ERROR - Check Input")/12,0)</f>
        <v>0</v>
      </c>
      <c r="R40" s="142">
        <f t="shared" si="2"/>
        <v>0</v>
      </c>
      <c r="S40" s="142">
        <f>IFERROR(-IPMT($Q$8,P40,$Q$9*12,$Q$6)+$Q$10*_xlfn.XLOOKUP($R$10,'RE Calculations'!$B$12:$B$16,'RE Calculations'!$C$12:$C$16,"ERROR - Check Input")/12,0)</f>
        <v>8.3333333333333339</v>
      </c>
      <c r="T40" s="142">
        <f t="shared" si="3"/>
        <v>0</v>
      </c>
      <c r="W40" s="12">
        <v>18</v>
      </c>
      <c r="X40" s="142">
        <f>IF(AA39&gt;0.01,IF(W40&lt;=($X$9*12),$X$15,-PMT($X$11,($X$12-$X$9)*12,$X$6)+$X$13*_xlfn.XLOOKUP($Y$13,'RE Calculations'!$B$12:$B$16,'RE Calculations'!$C$12:$C$16,"ERROR - Check Input")/12),0)</f>
        <v>0</v>
      </c>
      <c r="Y40" s="142">
        <f t="shared" si="4"/>
        <v>0</v>
      </c>
      <c r="Z40" s="142">
        <f>IF(W40&lt;=($X$9*12),$X$15,IFERROR(-IPMT($X$11,W40-$X$9*12,($X$12-$X$9)*12,$X$6)+$X$13*_xlfn.XLOOKUP($Y$13,'RE Calculations'!$B$12:$B$16,'RE Calculations'!$C$12:$C$16,"ERROR - Check Input")/12,0))</f>
        <v>10</v>
      </c>
      <c r="AA40" s="142">
        <f t="shared" si="5"/>
        <v>0</v>
      </c>
    </row>
    <row r="41" spans="2:27" x14ac:dyDescent="0.35">
      <c r="B41" s="12">
        <v>19</v>
      </c>
      <c r="C41" s="142">
        <f>IF(F40&gt;0.01,-PMT($C$8,$C$9*12,$C$6)+$C$10*_xlfn.XLOOKUP($D$10,'RE Calculations'!$B$12:$B$16,'RE Calculations'!$C$12:$C$16,"ERROR - Check Input")/12,0)</f>
        <v>0</v>
      </c>
      <c r="D41" s="142">
        <f t="shared" si="6"/>
        <v>0</v>
      </c>
      <c r="E41" s="142">
        <f>IFERROR(-IPMT($C$8,B41,$C$9*12,$C$6)+$C$10*_xlfn.XLOOKUP($D$10,'RE Calculations'!$B$12:$B$16,'RE Calculations'!$C$12:$C$16,"ERROR - Check Input")/12,0)</f>
        <v>8.3333333333333339</v>
      </c>
      <c r="F41" s="142">
        <f t="shared" si="7"/>
        <v>0</v>
      </c>
      <c r="I41" s="12">
        <v>19</v>
      </c>
      <c r="J41" s="142">
        <f>IF(M40&gt;0.01,IF(I41&lt;=($J$9*12),$J$15,-PMT($J$11,($J$12-$J$9)*12,$J$6)+$J$13*_xlfn.XLOOKUP($K$13,'RE Calculations'!$B$12:$B$16,'RE Calculations'!$C$12:$C$16,"ERROR - Check Input")/12),0)</f>
        <v>0</v>
      </c>
      <c r="K41" s="142">
        <f t="shared" si="0"/>
        <v>0</v>
      </c>
      <c r="L41" s="142">
        <f>IF(I41&lt;=($J$9*12),$J$15,IFERROR(-IPMT($J$11,I41-$J$9*12,($J$12-$J$9)*12,$J$6)+$J$13*_xlfn.XLOOKUP($K$13,'RE Calculations'!$B$12:$B$16,'RE Calculations'!$C$12:$C$16,"ERROR - Check Input")/12,0))</f>
        <v>10</v>
      </c>
      <c r="M41" s="142">
        <f t="shared" si="1"/>
        <v>0</v>
      </c>
      <c r="P41" s="12">
        <v>19</v>
      </c>
      <c r="Q41" s="142">
        <f>IF(T40&gt;0.01,-PMT($Q$8,$Q$9*12,$Q$6)+$Q$10*_xlfn.XLOOKUP($R$10,'RE Calculations'!$B$12:$B$16,'RE Calculations'!$C$12:$C$16,"ERROR - Check Input")/12,0)</f>
        <v>0</v>
      </c>
      <c r="R41" s="142">
        <f t="shared" si="2"/>
        <v>0</v>
      </c>
      <c r="S41" s="142">
        <f>IFERROR(-IPMT($Q$8,P41,$Q$9*12,$Q$6)+$Q$10*_xlfn.XLOOKUP($R$10,'RE Calculations'!$B$12:$B$16,'RE Calculations'!$C$12:$C$16,"ERROR - Check Input")/12,0)</f>
        <v>8.3333333333333339</v>
      </c>
      <c r="T41" s="142">
        <f t="shared" si="3"/>
        <v>0</v>
      </c>
      <c r="W41" s="12">
        <v>19</v>
      </c>
      <c r="X41" s="142">
        <f>IF(AA40&gt;0.01,IF(W41&lt;=($X$9*12),$X$15,-PMT($X$11,($X$12-$X$9)*12,$X$6)+$X$13*_xlfn.XLOOKUP($Y$13,'RE Calculations'!$B$12:$B$16,'RE Calculations'!$C$12:$C$16,"ERROR - Check Input")/12),0)</f>
        <v>0</v>
      </c>
      <c r="Y41" s="142">
        <f t="shared" si="4"/>
        <v>0</v>
      </c>
      <c r="Z41" s="142">
        <f>IF(W41&lt;=($X$9*12),$X$15,IFERROR(-IPMT($X$11,W41-$X$9*12,($X$12-$X$9)*12,$X$6)+$X$13*_xlfn.XLOOKUP($Y$13,'RE Calculations'!$B$12:$B$16,'RE Calculations'!$C$12:$C$16,"ERROR - Check Input")/12,0))</f>
        <v>10</v>
      </c>
      <c r="AA41" s="142">
        <f t="shared" si="5"/>
        <v>0</v>
      </c>
    </row>
    <row r="42" spans="2:27" x14ac:dyDescent="0.35">
      <c r="B42" s="12">
        <v>20</v>
      </c>
      <c r="C42" s="142">
        <f>IF(F41&gt;0.01,-PMT($C$8,$C$9*12,$C$6)+$C$10*_xlfn.XLOOKUP($D$10,'RE Calculations'!$B$12:$B$16,'RE Calculations'!$C$12:$C$16,"ERROR - Check Input")/12,0)</f>
        <v>0</v>
      </c>
      <c r="D42" s="142">
        <f t="shared" si="6"/>
        <v>0</v>
      </c>
      <c r="E42" s="142">
        <f>IFERROR(-IPMT($C$8,B42,$C$9*12,$C$6)+$C$10*_xlfn.XLOOKUP($D$10,'RE Calculations'!$B$12:$B$16,'RE Calculations'!$C$12:$C$16,"ERROR - Check Input")/12,0)</f>
        <v>8.3333333333333339</v>
      </c>
      <c r="F42" s="142">
        <f t="shared" si="7"/>
        <v>0</v>
      </c>
      <c r="I42" s="12">
        <v>20</v>
      </c>
      <c r="J42" s="142">
        <f>IF(M41&gt;0.01,IF(I42&lt;=($J$9*12),$J$15,-PMT($J$11,($J$12-$J$9)*12,$J$6)+$J$13*_xlfn.XLOOKUP($K$13,'RE Calculations'!$B$12:$B$16,'RE Calculations'!$C$12:$C$16,"ERROR - Check Input")/12),0)</f>
        <v>0</v>
      </c>
      <c r="K42" s="142">
        <f t="shared" si="0"/>
        <v>0</v>
      </c>
      <c r="L42" s="142">
        <f>IF(I42&lt;=($J$9*12),$J$15,IFERROR(-IPMT($J$11,I42-$J$9*12,($J$12-$J$9)*12,$J$6)+$J$13*_xlfn.XLOOKUP($K$13,'RE Calculations'!$B$12:$B$16,'RE Calculations'!$C$12:$C$16,"ERROR - Check Input")/12,0))</f>
        <v>10</v>
      </c>
      <c r="M42" s="142">
        <f t="shared" si="1"/>
        <v>0</v>
      </c>
      <c r="P42" s="12">
        <v>20</v>
      </c>
      <c r="Q42" s="142">
        <f>IF(T41&gt;0.01,-PMT($Q$8,$Q$9*12,$Q$6)+$Q$10*_xlfn.XLOOKUP($R$10,'RE Calculations'!$B$12:$B$16,'RE Calculations'!$C$12:$C$16,"ERROR - Check Input")/12,0)</f>
        <v>0</v>
      </c>
      <c r="R42" s="142">
        <f t="shared" si="2"/>
        <v>0</v>
      </c>
      <c r="S42" s="142">
        <f>IFERROR(-IPMT($Q$8,P42,$Q$9*12,$Q$6)+$Q$10*_xlfn.XLOOKUP($R$10,'RE Calculations'!$B$12:$B$16,'RE Calculations'!$C$12:$C$16,"ERROR - Check Input")/12,0)</f>
        <v>8.3333333333333339</v>
      </c>
      <c r="T42" s="142">
        <f t="shared" si="3"/>
        <v>0</v>
      </c>
      <c r="W42" s="12">
        <v>20</v>
      </c>
      <c r="X42" s="142">
        <f>IF(AA41&gt;0.01,IF(W42&lt;=($X$9*12),$X$15,-PMT($X$11,($X$12-$X$9)*12,$X$6)+$X$13*_xlfn.XLOOKUP($Y$13,'RE Calculations'!$B$12:$B$16,'RE Calculations'!$C$12:$C$16,"ERROR - Check Input")/12),0)</f>
        <v>0</v>
      </c>
      <c r="Y42" s="142">
        <f t="shared" si="4"/>
        <v>0</v>
      </c>
      <c r="Z42" s="142">
        <f>IF(W42&lt;=($X$9*12),$X$15,IFERROR(-IPMT($X$11,W42-$X$9*12,($X$12-$X$9)*12,$X$6)+$X$13*_xlfn.XLOOKUP($Y$13,'RE Calculations'!$B$12:$B$16,'RE Calculations'!$C$12:$C$16,"ERROR - Check Input")/12,0))</f>
        <v>10</v>
      </c>
      <c r="AA42" s="142">
        <f t="shared" si="5"/>
        <v>0</v>
      </c>
    </row>
    <row r="43" spans="2:27" x14ac:dyDescent="0.35">
      <c r="B43" s="12">
        <v>21</v>
      </c>
      <c r="C43" s="142">
        <f>IF(F42&gt;0.01,-PMT($C$8,$C$9*12,$C$6)+$C$10*_xlfn.XLOOKUP($D$10,'RE Calculations'!$B$12:$B$16,'RE Calculations'!$C$12:$C$16,"ERROR - Check Input")/12,0)</f>
        <v>0</v>
      </c>
      <c r="D43" s="142">
        <f t="shared" si="6"/>
        <v>0</v>
      </c>
      <c r="E43" s="142">
        <f>IFERROR(-IPMT($C$8,B43,$C$9*12,$C$6)+$C$10*_xlfn.XLOOKUP($D$10,'RE Calculations'!$B$12:$B$16,'RE Calculations'!$C$12:$C$16,"ERROR - Check Input")/12,0)</f>
        <v>8.3333333333333339</v>
      </c>
      <c r="F43" s="142">
        <f t="shared" si="7"/>
        <v>0</v>
      </c>
      <c r="I43" s="12">
        <v>21</v>
      </c>
      <c r="J43" s="142">
        <f>IF(M42&gt;0.01,IF(I43&lt;=($J$9*12),$J$15,-PMT($J$11,($J$12-$J$9)*12,$J$6)+$J$13*_xlfn.XLOOKUP($K$13,'RE Calculations'!$B$12:$B$16,'RE Calculations'!$C$12:$C$16,"ERROR - Check Input")/12),0)</f>
        <v>0</v>
      </c>
      <c r="K43" s="142">
        <f t="shared" si="0"/>
        <v>0</v>
      </c>
      <c r="L43" s="142">
        <f>IF(I43&lt;=($J$9*12),$J$15,IFERROR(-IPMT($J$11,I43-$J$9*12,($J$12-$J$9)*12,$J$6)+$J$13*_xlfn.XLOOKUP($K$13,'RE Calculations'!$B$12:$B$16,'RE Calculations'!$C$12:$C$16,"ERROR - Check Input")/12,0))</f>
        <v>10</v>
      </c>
      <c r="M43" s="142">
        <f t="shared" si="1"/>
        <v>0</v>
      </c>
      <c r="P43" s="12">
        <v>21</v>
      </c>
      <c r="Q43" s="142">
        <f>IF(T42&gt;0.01,-PMT($Q$8,$Q$9*12,$Q$6)+$Q$10*_xlfn.XLOOKUP($R$10,'RE Calculations'!$B$12:$B$16,'RE Calculations'!$C$12:$C$16,"ERROR - Check Input")/12,0)</f>
        <v>0</v>
      </c>
      <c r="R43" s="142">
        <f t="shared" si="2"/>
        <v>0</v>
      </c>
      <c r="S43" s="142">
        <f>IFERROR(-IPMT($Q$8,P43,$Q$9*12,$Q$6)+$Q$10*_xlfn.XLOOKUP($R$10,'RE Calculations'!$B$12:$B$16,'RE Calculations'!$C$12:$C$16,"ERROR - Check Input")/12,0)</f>
        <v>8.3333333333333339</v>
      </c>
      <c r="T43" s="142">
        <f t="shared" si="3"/>
        <v>0</v>
      </c>
      <c r="W43" s="12">
        <v>21</v>
      </c>
      <c r="X43" s="142">
        <f>IF(AA42&gt;0.01,IF(W43&lt;=($X$9*12),$X$15,-PMT($X$11,($X$12-$X$9)*12,$X$6)+$X$13*_xlfn.XLOOKUP($Y$13,'RE Calculations'!$B$12:$B$16,'RE Calculations'!$C$12:$C$16,"ERROR - Check Input")/12),0)</f>
        <v>0</v>
      </c>
      <c r="Y43" s="142">
        <f t="shared" si="4"/>
        <v>0</v>
      </c>
      <c r="Z43" s="142">
        <f>IF(W43&lt;=($X$9*12),$X$15,IFERROR(-IPMT($X$11,W43-$X$9*12,($X$12-$X$9)*12,$X$6)+$X$13*_xlfn.XLOOKUP($Y$13,'RE Calculations'!$B$12:$B$16,'RE Calculations'!$C$12:$C$16,"ERROR - Check Input")/12,0))</f>
        <v>10</v>
      </c>
      <c r="AA43" s="142">
        <f t="shared" si="5"/>
        <v>0</v>
      </c>
    </row>
    <row r="44" spans="2:27" x14ac:dyDescent="0.35">
      <c r="B44" s="12">
        <v>22</v>
      </c>
      <c r="C44" s="142">
        <f>IF(F43&gt;0.01,-PMT($C$8,$C$9*12,$C$6)+$C$10*_xlfn.XLOOKUP($D$10,'RE Calculations'!$B$12:$B$16,'RE Calculations'!$C$12:$C$16,"ERROR - Check Input")/12,0)</f>
        <v>0</v>
      </c>
      <c r="D44" s="142">
        <f t="shared" si="6"/>
        <v>0</v>
      </c>
      <c r="E44" s="142">
        <f>IFERROR(-IPMT($C$8,B44,$C$9*12,$C$6)+$C$10*_xlfn.XLOOKUP($D$10,'RE Calculations'!$B$12:$B$16,'RE Calculations'!$C$12:$C$16,"ERROR - Check Input")/12,0)</f>
        <v>8.3333333333333339</v>
      </c>
      <c r="F44" s="142">
        <f t="shared" si="7"/>
        <v>0</v>
      </c>
      <c r="I44" s="12">
        <v>22</v>
      </c>
      <c r="J44" s="142">
        <f>IF(M43&gt;0.01,IF(I44&lt;=($J$9*12),$J$15,-PMT($J$11,($J$12-$J$9)*12,$J$6)+$J$13*_xlfn.XLOOKUP($K$13,'RE Calculations'!$B$12:$B$16,'RE Calculations'!$C$12:$C$16,"ERROR - Check Input")/12),0)</f>
        <v>0</v>
      </c>
      <c r="K44" s="142">
        <f t="shared" si="0"/>
        <v>0</v>
      </c>
      <c r="L44" s="142">
        <f>IF(I44&lt;=($J$9*12),$J$15,IFERROR(-IPMT($J$11,I44-$J$9*12,($J$12-$J$9)*12,$J$6)+$J$13*_xlfn.XLOOKUP($K$13,'RE Calculations'!$B$12:$B$16,'RE Calculations'!$C$12:$C$16,"ERROR - Check Input")/12,0))</f>
        <v>10</v>
      </c>
      <c r="M44" s="142">
        <f t="shared" si="1"/>
        <v>0</v>
      </c>
      <c r="P44" s="12">
        <v>22</v>
      </c>
      <c r="Q44" s="142">
        <f>IF(T43&gt;0.01,-PMT($Q$8,$Q$9*12,$Q$6)+$Q$10*_xlfn.XLOOKUP($R$10,'RE Calculations'!$B$12:$B$16,'RE Calculations'!$C$12:$C$16,"ERROR - Check Input")/12,0)</f>
        <v>0</v>
      </c>
      <c r="R44" s="142">
        <f t="shared" si="2"/>
        <v>0</v>
      </c>
      <c r="S44" s="142">
        <f>IFERROR(-IPMT($Q$8,P44,$Q$9*12,$Q$6)+$Q$10*_xlfn.XLOOKUP($R$10,'RE Calculations'!$B$12:$B$16,'RE Calculations'!$C$12:$C$16,"ERROR - Check Input")/12,0)</f>
        <v>8.3333333333333339</v>
      </c>
      <c r="T44" s="142">
        <f t="shared" si="3"/>
        <v>0</v>
      </c>
      <c r="W44" s="12">
        <v>22</v>
      </c>
      <c r="X44" s="142">
        <f>IF(AA43&gt;0.01,IF(W44&lt;=($X$9*12),$X$15,-PMT($X$11,($X$12-$X$9)*12,$X$6)+$X$13*_xlfn.XLOOKUP($Y$13,'RE Calculations'!$B$12:$B$16,'RE Calculations'!$C$12:$C$16,"ERROR - Check Input")/12),0)</f>
        <v>0</v>
      </c>
      <c r="Y44" s="142">
        <f t="shared" si="4"/>
        <v>0</v>
      </c>
      <c r="Z44" s="142">
        <f>IF(W44&lt;=($X$9*12),$X$15,IFERROR(-IPMT($X$11,W44-$X$9*12,($X$12-$X$9)*12,$X$6)+$X$13*_xlfn.XLOOKUP($Y$13,'RE Calculations'!$B$12:$B$16,'RE Calculations'!$C$12:$C$16,"ERROR - Check Input")/12,0))</f>
        <v>10</v>
      </c>
      <c r="AA44" s="142">
        <f t="shared" si="5"/>
        <v>0</v>
      </c>
    </row>
    <row r="45" spans="2:27" x14ac:dyDescent="0.35">
      <c r="B45" s="12">
        <v>23</v>
      </c>
      <c r="C45" s="142">
        <f>IF(F44&gt;0.01,-PMT($C$8,$C$9*12,$C$6)+$C$10*_xlfn.XLOOKUP($D$10,'RE Calculations'!$B$12:$B$16,'RE Calculations'!$C$12:$C$16,"ERROR - Check Input")/12,0)</f>
        <v>0</v>
      </c>
      <c r="D45" s="142">
        <f t="shared" si="6"/>
        <v>0</v>
      </c>
      <c r="E45" s="142">
        <f>IFERROR(-IPMT($C$8,B45,$C$9*12,$C$6)+$C$10*_xlfn.XLOOKUP($D$10,'RE Calculations'!$B$12:$B$16,'RE Calculations'!$C$12:$C$16,"ERROR - Check Input")/12,0)</f>
        <v>8.3333333333333339</v>
      </c>
      <c r="F45" s="142">
        <f t="shared" si="7"/>
        <v>0</v>
      </c>
      <c r="I45" s="12">
        <v>23</v>
      </c>
      <c r="J45" s="142">
        <f>IF(M44&gt;0.01,IF(I45&lt;=($J$9*12),$J$15,-PMT($J$11,($J$12-$J$9)*12,$J$6)+$J$13*_xlfn.XLOOKUP($K$13,'RE Calculations'!$B$12:$B$16,'RE Calculations'!$C$12:$C$16,"ERROR - Check Input")/12),0)</f>
        <v>0</v>
      </c>
      <c r="K45" s="142">
        <f t="shared" si="0"/>
        <v>0</v>
      </c>
      <c r="L45" s="142">
        <f>IF(I45&lt;=($J$9*12),$J$15,IFERROR(-IPMT($J$11,I45-$J$9*12,($J$12-$J$9)*12,$J$6)+$J$13*_xlfn.XLOOKUP($K$13,'RE Calculations'!$B$12:$B$16,'RE Calculations'!$C$12:$C$16,"ERROR - Check Input")/12,0))</f>
        <v>10</v>
      </c>
      <c r="M45" s="142">
        <f t="shared" si="1"/>
        <v>0</v>
      </c>
      <c r="P45" s="12">
        <v>23</v>
      </c>
      <c r="Q45" s="142">
        <f>IF(T44&gt;0.01,-PMT($Q$8,$Q$9*12,$Q$6)+$Q$10*_xlfn.XLOOKUP($R$10,'RE Calculations'!$B$12:$B$16,'RE Calculations'!$C$12:$C$16,"ERROR - Check Input")/12,0)</f>
        <v>0</v>
      </c>
      <c r="R45" s="142">
        <f t="shared" si="2"/>
        <v>0</v>
      </c>
      <c r="S45" s="142">
        <f>IFERROR(-IPMT($Q$8,P45,$Q$9*12,$Q$6)+$Q$10*_xlfn.XLOOKUP($R$10,'RE Calculations'!$B$12:$B$16,'RE Calculations'!$C$12:$C$16,"ERROR - Check Input")/12,0)</f>
        <v>8.3333333333333339</v>
      </c>
      <c r="T45" s="142">
        <f t="shared" si="3"/>
        <v>0</v>
      </c>
      <c r="W45" s="12">
        <v>23</v>
      </c>
      <c r="X45" s="142">
        <f>IF(AA44&gt;0.01,IF(W45&lt;=($X$9*12),$X$15,-PMT($X$11,($X$12-$X$9)*12,$X$6)+$X$13*_xlfn.XLOOKUP($Y$13,'RE Calculations'!$B$12:$B$16,'RE Calculations'!$C$12:$C$16,"ERROR - Check Input")/12),0)</f>
        <v>0</v>
      </c>
      <c r="Y45" s="142">
        <f t="shared" si="4"/>
        <v>0</v>
      </c>
      <c r="Z45" s="142">
        <f>IF(W45&lt;=($X$9*12),$X$15,IFERROR(-IPMT($X$11,W45-$X$9*12,($X$12-$X$9)*12,$X$6)+$X$13*_xlfn.XLOOKUP($Y$13,'RE Calculations'!$B$12:$B$16,'RE Calculations'!$C$12:$C$16,"ERROR - Check Input")/12,0))</f>
        <v>10</v>
      </c>
      <c r="AA45" s="142">
        <f t="shared" si="5"/>
        <v>0</v>
      </c>
    </row>
    <row r="46" spans="2:27" x14ac:dyDescent="0.35">
      <c r="B46" s="12">
        <v>24</v>
      </c>
      <c r="C46" s="142">
        <f>IF(F45&gt;0.01,-PMT($C$8,$C$9*12,$C$6)+$C$10*_xlfn.XLOOKUP($D$10,'RE Calculations'!$B$12:$B$16,'RE Calculations'!$C$12:$C$16,"ERROR - Check Input")/12,0)</f>
        <v>0</v>
      </c>
      <c r="D46" s="142">
        <f t="shared" si="6"/>
        <v>0</v>
      </c>
      <c r="E46" s="142">
        <f>IFERROR(-IPMT($C$8,B46,$C$9*12,$C$6)+$C$10*_xlfn.XLOOKUP($D$10,'RE Calculations'!$B$12:$B$16,'RE Calculations'!$C$12:$C$16,"ERROR - Check Input")/12,0)</f>
        <v>8.3333333333333339</v>
      </c>
      <c r="F46" s="142">
        <f t="shared" si="7"/>
        <v>0</v>
      </c>
      <c r="I46" s="12">
        <v>24</v>
      </c>
      <c r="J46" s="142">
        <f>IF(M45&gt;0.01,IF(I46&lt;=($J$9*12),$J$15,-PMT($J$11,($J$12-$J$9)*12,$J$6)+$J$13*_xlfn.XLOOKUP($K$13,'RE Calculations'!$B$12:$B$16,'RE Calculations'!$C$12:$C$16,"ERROR - Check Input")/12),0)</f>
        <v>0</v>
      </c>
      <c r="K46" s="142">
        <f t="shared" si="0"/>
        <v>0</v>
      </c>
      <c r="L46" s="142">
        <f>IF(I46&lt;=($J$9*12),$J$15,IFERROR(-IPMT($J$11,I46-$J$9*12,($J$12-$J$9)*12,$J$6)+$J$13*_xlfn.XLOOKUP($K$13,'RE Calculations'!$B$12:$B$16,'RE Calculations'!$C$12:$C$16,"ERROR - Check Input")/12,0))</f>
        <v>10</v>
      </c>
      <c r="M46" s="142">
        <f t="shared" si="1"/>
        <v>0</v>
      </c>
      <c r="P46" s="12">
        <v>24</v>
      </c>
      <c r="Q46" s="142">
        <f>IF(T45&gt;0.01,-PMT($Q$8,$Q$9*12,$Q$6)+$Q$10*_xlfn.XLOOKUP($R$10,'RE Calculations'!$B$12:$B$16,'RE Calculations'!$C$12:$C$16,"ERROR - Check Input")/12,0)</f>
        <v>0</v>
      </c>
      <c r="R46" s="142">
        <f t="shared" si="2"/>
        <v>0</v>
      </c>
      <c r="S46" s="142">
        <f>IFERROR(-IPMT($Q$8,P46,$Q$9*12,$Q$6)+$Q$10*_xlfn.XLOOKUP($R$10,'RE Calculations'!$B$12:$B$16,'RE Calculations'!$C$12:$C$16,"ERROR - Check Input")/12,0)</f>
        <v>8.3333333333333339</v>
      </c>
      <c r="T46" s="142">
        <f t="shared" si="3"/>
        <v>0</v>
      </c>
      <c r="W46" s="12">
        <v>24</v>
      </c>
      <c r="X46" s="142">
        <f>IF(AA45&gt;0.01,IF(W46&lt;=($X$9*12),$X$15,-PMT($X$11,($X$12-$X$9)*12,$X$6)+$X$13*_xlfn.XLOOKUP($Y$13,'RE Calculations'!$B$12:$B$16,'RE Calculations'!$C$12:$C$16,"ERROR - Check Input")/12),0)</f>
        <v>0</v>
      </c>
      <c r="Y46" s="142">
        <f t="shared" si="4"/>
        <v>0</v>
      </c>
      <c r="Z46" s="142">
        <f>IF(W46&lt;=($X$9*12),$X$15,IFERROR(-IPMT($X$11,W46-$X$9*12,($X$12-$X$9)*12,$X$6)+$X$13*_xlfn.XLOOKUP($Y$13,'RE Calculations'!$B$12:$B$16,'RE Calculations'!$C$12:$C$16,"ERROR - Check Input")/12,0))</f>
        <v>10</v>
      </c>
      <c r="AA46" s="142">
        <f t="shared" si="5"/>
        <v>0</v>
      </c>
    </row>
    <row r="47" spans="2:27" x14ac:dyDescent="0.35">
      <c r="B47" s="12">
        <v>25</v>
      </c>
      <c r="C47" s="142">
        <f>IF(F46&gt;0.01,-PMT($C$8,$C$9*12,$C$6)+$C$10*_xlfn.XLOOKUP($D$10,'RE Calculations'!$B$12:$B$16,'RE Calculations'!$C$12:$C$16,"ERROR - Check Input")/12,0)</f>
        <v>0</v>
      </c>
      <c r="D47" s="142">
        <f t="shared" si="6"/>
        <v>0</v>
      </c>
      <c r="E47" s="142">
        <f>IFERROR(-IPMT($C$8,B47,$C$9*12,$C$6)+$C$10*_xlfn.XLOOKUP($D$10,'RE Calculations'!$B$12:$B$16,'RE Calculations'!$C$12:$C$16,"ERROR - Check Input")/12,0)</f>
        <v>8.3333333333333339</v>
      </c>
      <c r="F47" s="142">
        <f t="shared" si="7"/>
        <v>0</v>
      </c>
      <c r="I47" s="12">
        <v>25</v>
      </c>
      <c r="J47" s="142">
        <f>IF(M46&gt;0.01,IF(I47&lt;=($J$9*12),$J$15,-PMT($J$11,($J$12-$J$9)*12,$J$6)+$J$13*_xlfn.XLOOKUP($K$13,'RE Calculations'!$B$12:$B$16,'RE Calculations'!$C$12:$C$16,"ERROR - Check Input")/12),0)</f>
        <v>0</v>
      </c>
      <c r="K47" s="142">
        <f t="shared" si="0"/>
        <v>0</v>
      </c>
      <c r="L47" s="142">
        <f>IF(I47&lt;=($J$9*12),$J$15,IFERROR(-IPMT($J$11,I47-$J$9*12,($J$12-$J$9)*12,$J$6)+$J$13*_xlfn.XLOOKUP($K$13,'RE Calculations'!$B$12:$B$16,'RE Calculations'!$C$12:$C$16,"ERROR - Check Input")/12,0))</f>
        <v>10</v>
      </c>
      <c r="M47" s="142">
        <f t="shared" si="1"/>
        <v>0</v>
      </c>
      <c r="P47" s="12">
        <v>25</v>
      </c>
      <c r="Q47" s="142">
        <f>IF(T46&gt;0.01,-PMT($Q$8,$Q$9*12,$Q$6)+$Q$10*_xlfn.XLOOKUP($R$10,'RE Calculations'!$B$12:$B$16,'RE Calculations'!$C$12:$C$16,"ERROR - Check Input")/12,0)</f>
        <v>0</v>
      </c>
      <c r="R47" s="142">
        <f t="shared" si="2"/>
        <v>0</v>
      </c>
      <c r="S47" s="142">
        <f>IFERROR(-IPMT($Q$8,P47,$Q$9*12,$Q$6)+$Q$10*_xlfn.XLOOKUP($R$10,'RE Calculations'!$B$12:$B$16,'RE Calculations'!$C$12:$C$16,"ERROR - Check Input")/12,0)</f>
        <v>8.3333333333333339</v>
      </c>
      <c r="T47" s="142">
        <f t="shared" si="3"/>
        <v>0</v>
      </c>
      <c r="W47" s="12">
        <v>25</v>
      </c>
      <c r="X47" s="142">
        <f>IF(AA46&gt;0.01,IF(W47&lt;=($X$9*12),$X$15,-PMT($X$11,($X$12-$X$9)*12,$X$6)+$X$13*_xlfn.XLOOKUP($Y$13,'RE Calculations'!$B$12:$B$16,'RE Calculations'!$C$12:$C$16,"ERROR - Check Input")/12),0)</f>
        <v>0</v>
      </c>
      <c r="Y47" s="142">
        <f t="shared" si="4"/>
        <v>0</v>
      </c>
      <c r="Z47" s="142">
        <f>IF(W47&lt;=($X$9*12),$X$15,IFERROR(-IPMT($X$11,W47-$X$9*12,($X$12-$X$9)*12,$X$6)+$X$13*_xlfn.XLOOKUP($Y$13,'RE Calculations'!$B$12:$B$16,'RE Calculations'!$C$12:$C$16,"ERROR - Check Input")/12,0))</f>
        <v>10</v>
      </c>
      <c r="AA47" s="142">
        <f t="shared" si="5"/>
        <v>0</v>
      </c>
    </row>
    <row r="48" spans="2:27" x14ac:dyDescent="0.35">
      <c r="B48" s="12">
        <v>26</v>
      </c>
      <c r="C48" s="142">
        <f>IF(F47&gt;0.01,-PMT($C$8,$C$9*12,$C$6)+$C$10*_xlfn.XLOOKUP($D$10,'RE Calculations'!$B$12:$B$16,'RE Calculations'!$C$12:$C$16,"ERROR - Check Input")/12,0)</f>
        <v>0</v>
      </c>
      <c r="D48" s="142">
        <f t="shared" si="6"/>
        <v>0</v>
      </c>
      <c r="E48" s="142">
        <f>IFERROR(-IPMT($C$8,B48,$C$9*12,$C$6)+$C$10*_xlfn.XLOOKUP($D$10,'RE Calculations'!$B$12:$B$16,'RE Calculations'!$C$12:$C$16,"ERROR - Check Input")/12,0)</f>
        <v>8.3333333333333339</v>
      </c>
      <c r="F48" s="142">
        <f t="shared" si="7"/>
        <v>0</v>
      </c>
      <c r="I48" s="12">
        <v>26</v>
      </c>
      <c r="J48" s="142">
        <f>IF(M47&gt;0.01,IF(I48&lt;=($J$9*12),$J$15,-PMT($J$11,($J$12-$J$9)*12,$J$6)+$J$13*_xlfn.XLOOKUP($K$13,'RE Calculations'!$B$12:$B$16,'RE Calculations'!$C$12:$C$16,"ERROR - Check Input")/12),0)</f>
        <v>0</v>
      </c>
      <c r="K48" s="142">
        <f t="shared" si="0"/>
        <v>0</v>
      </c>
      <c r="L48" s="142">
        <f>IF(I48&lt;=($J$9*12),$J$15,IFERROR(-IPMT($J$11,I48-$J$9*12,($J$12-$J$9)*12,$J$6)+$J$13*_xlfn.XLOOKUP($K$13,'RE Calculations'!$B$12:$B$16,'RE Calculations'!$C$12:$C$16,"ERROR - Check Input")/12,0))</f>
        <v>10</v>
      </c>
      <c r="M48" s="142">
        <f t="shared" si="1"/>
        <v>0</v>
      </c>
      <c r="P48" s="12">
        <v>26</v>
      </c>
      <c r="Q48" s="142">
        <f>IF(T47&gt;0.01,-PMT($Q$8,$Q$9*12,$Q$6)+$Q$10*_xlfn.XLOOKUP($R$10,'RE Calculations'!$B$12:$B$16,'RE Calculations'!$C$12:$C$16,"ERROR - Check Input")/12,0)</f>
        <v>0</v>
      </c>
      <c r="R48" s="142">
        <f t="shared" si="2"/>
        <v>0</v>
      </c>
      <c r="S48" s="142">
        <f>IFERROR(-IPMT($Q$8,P48,$Q$9*12,$Q$6)+$Q$10*_xlfn.XLOOKUP($R$10,'RE Calculations'!$B$12:$B$16,'RE Calculations'!$C$12:$C$16,"ERROR - Check Input")/12,0)</f>
        <v>8.3333333333333339</v>
      </c>
      <c r="T48" s="142">
        <f t="shared" si="3"/>
        <v>0</v>
      </c>
      <c r="W48" s="12">
        <v>26</v>
      </c>
      <c r="X48" s="142">
        <f>IF(AA47&gt;0.01,IF(W48&lt;=($X$9*12),$X$15,-PMT($X$11,($X$12-$X$9)*12,$X$6)+$X$13*_xlfn.XLOOKUP($Y$13,'RE Calculations'!$B$12:$B$16,'RE Calculations'!$C$12:$C$16,"ERROR - Check Input")/12),0)</f>
        <v>0</v>
      </c>
      <c r="Y48" s="142">
        <f t="shared" si="4"/>
        <v>0</v>
      </c>
      <c r="Z48" s="142">
        <f>IF(W48&lt;=($X$9*12),$X$15,IFERROR(-IPMT($X$11,W48-$X$9*12,($X$12-$X$9)*12,$X$6)+$X$13*_xlfn.XLOOKUP($Y$13,'RE Calculations'!$B$12:$B$16,'RE Calculations'!$C$12:$C$16,"ERROR - Check Input")/12,0))</f>
        <v>10</v>
      </c>
      <c r="AA48" s="142">
        <f t="shared" si="5"/>
        <v>0</v>
      </c>
    </row>
    <row r="49" spans="2:27" x14ac:dyDescent="0.35">
      <c r="B49" s="12">
        <v>27</v>
      </c>
      <c r="C49" s="142">
        <f>IF(F48&gt;0.01,-PMT($C$8,$C$9*12,$C$6)+$C$10*_xlfn.XLOOKUP($D$10,'RE Calculations'!$B$12:$B$16,'RE Calculations'!$C$12:$C$16,"ERROR - Check Input")/12,0)</f>
        <v>0</v>
      </c>
      <c r="D49" s="142">
        <f t="shared" si="6"/>
        <v>0</v>
      </c>
      <c r="E49" s="142">
        <f>IFERROR(-IPMT($C$8,B49,$C$9*12,$C$6)+$C$10*_xlfn.XLOOKUP($D$10,'RE Calculations'!$B$12:$B$16,'RE Calculations'!$C$12:$C$16,"ERROR - Check Input")/12,0)</f>
        <v>8.3333333333333339</v>
      </c>
      <c r="F49" s="142">
        <f t="shared" si="7"/>
        <v>0</v>
      </c>
      <c r="I49" s="12">
        <v>27</v>
      </c>
      <c r="J49" s="142">
        <f>IF(M48&gt;0.01,IF(I49&lt;=($J$9*12),$J$15,-PMT($J$11,($J$12-$J$9)*12,$J$6)+$J$13*_xlfn.XLOOKUP($K$13,'RE Calculations'!$B$12:$B$16,'RE Calculations'!$C$12:$C$16,"ERROR - Check Input")/12),0)</f>
        <v>0</v>
      </c>
      <c r="K49" s="142">
        <f t="shared" si="0"/>
        <v>0</v>
      </c>
      <c r="L49" s="142">
        <f>IF(I49&lt;=($J$9*12),$J$15,IFERROR(-IPMT($J$11,I49-$J$9*12,($J$12-$J$9)*12,$J$6)+$J$13*_xlfn.XLOOKUP($K$13,'RE Calculations'!$B$12:$B$16,'RE Calculations'!$C$12:$C$16,"ERROR - Check Input")/12,0))</f>
        <v>10</v>
      </c>
      <c r="M49" s="142">
        <f t="shared" si="1"/>
        <v>0</v>
      </c>
      <c r="P49" s="12">
        <v>27</v>
      </c>
      <c r="Q49" s="142">
        <f>IF(T48&gt;0.01,-PMT($Q$8,$Q$9*12,$Q$6)+$Q$10*_xlfn.XLOOKUP($R$10,'RE Calculations'!$B$12:$B$16,'RE Calculations'!$C$12:$C$16,"ERROR - Check Input")/12,0)</f>
        <v>0</v>
      </c>
      <c r="R49" s="142">
        <f t="shared" si="2"/>
        <v>0</v>
      </c>
      <c r="S49" s="142">
        <f>IFERROR(-IPMT($Q$8,P49,$Q$9*12,$Q$6)+$Q$10*_xlfn.XLOOKUP($R$10,'RE Calculations'!$B$12:$B$16,'RE Calculations'!$C$12:$C$16,"ERROR - Check Input")/12,0)</f>
        <v>8.3333333333333339</v>
      </c>
      <c r="T49" s="142">
        <f t="shared" si="3"/>
        <v>0</v>
      </c>
      <c r="W49" s="12">
        <v>27</v>
      </c>
      <c r="X49" s="142">
        <f>IF(AA48&gt;0.01,IF(W49&lt;=($X$9*12),$X$15,-PMT($X$11,($X$12-$X$9)*12,$X$6)+$X$13*_xlfn.XLOOKUP($Y$13,'RE Calculations'!$B$12:$B$16,'RE Calculations'!$C$12:$C$16,"ERROR - Check Input")/12),0)</f>
        <v>0</v>
      </c>
      <c r="Y49" s="142">
        <f t="shared" si="4"/>
        <v>0</v>
      </c>
      <c r="Z49" s="142">
        <f>IF(W49&lt;=($X$9*12),$X$15,IFERROR(-IPMT($X$11,W49-$X$9*12,($X$12-$X$9)*12,$X$6)+$X$13*_xlfn.XLOOKUP($Y$13,'RE Calculations'!$B$12:$B$16,'RE Calculations'!$C$12:$C$16,"ERROR - Check Input")/12,0))</f>
        <v>10</v>
      </c>
      <c r="AA49" s="142">
        <f t="shared" si="5"/>
        <v>0</v>
      </c>
    </row>
    <row r="50" spans="2:27" x14ac:dyDescent="0.35">
      <c r="B50" s="12">
        <v>28</v>
      </c>
      <c r="C50" s="142">
        <f>IF(F49&gt;0.01,-PMT($C$8,$C$9*12,$C$6)+$C$10*_xlfn.XLOOKUP($D$10,'RE Calculations'!$B$12:$B$16,'RE Calculations'!$C$12:$C$16,"ERROR - Check Input")/12,0)</f>
        <v>0</v>
      </c>
      <c r="D50" s="142">
        <f t="shared" si="6"/>
        <v>0</v>
      </c>
      <c r="E50" s="142">
        <f>IFERROR(-IPMT($C$8,B50,$C$9*12,$C$6)+$C$10*_xlfn.XLOOKUP($D$10,'RE Calculations'!$B$12:$B$16,'RE Calculations'!$C$12:$C$16,"ERROR - Check Input")/12,0)</f>
        <v>8.3333333333333339</v>
      </c>
      <c r="F50" s="142">
        <f t="shared" si="7"/>
        <v>0</v>
      </c>
      <c r="I50" s="12">
        <v>28</v>
      </c>
      <c r="J50" s="142">
        <f>IF(M49&gt;0.01,IF(I50&lt;=($J$9*12),$J$15,-PMT($J$11,($J$12-$J$9)*12,$J$6)+$J$13*_xlfn.XLOOKUP($K$13,'RE Calculations'!$B$12:$B$16,'RE Calculations'!$C$12:$C$16,"ERROR - Check Input")/12),0)</f>
        <v>0</v>
      </c>
      <c r="K50" s="142">
        <f t="shared" si="0"/>
        <v>0</v>
      </c>
      <c r="L50" s="142">
        <f>IF(I50&lt;=($J$9*12),$J$15,IFERROR(-IPMT($J$11,I50-$J$9*12,($J$12-$J$9)*12,$J$6)+$J$13*_xlfn.XLOOKUP($K$13,'RE Calculations'!$B$12:$B$16,'RE Calculations'!$C$12:$C$16,"ERROR - Check Input")/12,0))</f>
        <v>10</v>
      </c>
      <c r="M50" s="142">
        <f t="shared" si="1"/>
        <v>0</v>
      </c>
      <c r="P50" s="12">
        <v>28</v>
      </c>
      <c r="Q50" s="142">
        <f>IF(T49&gt;0.01,-PMT($Q$8,$Q$9*12,$Q$6)+$Q$10*_xlfn.XLOOKUP($R$10,'RE Calculations'!$B$12:$B$16,'RE Calculations'!$C$12:$C$16,"ERROR - Check Input")/12,0)</f>
        <v>0</v>
      </c>
      <c r="R50" s="142">
        <f t="shared" si="2"/>
        <v>0</v>
      </c>
      <c r="S50" s="142">
        <f>IFERROR(-IPMT($Q$8,P50,$Q$9*12,$Q$6)+$Q$10*_xlfn.XLOOKUP($R$10,'RE Calculations'!$B$12:$B$16,'RE Calculations'!$C$12:$C$16,"ERROR - Check Input")/12,0)</f>
        <v>8.3333333333333339</v>
      </c>
      <c r="T50" s="142">
        <f t="shared" si="3"/>
        <v>0</v>
      </c>
      <c r="W50" s="12">
        <v>28</v>
      </c>
      <c r="X50" s="142">
        <f>IF(AA49&gt;0.01,IF(W50&lt;=($X$9*12),$X$15,-PMT($X$11,($X$12-$X$9)*12,$X$6)+$X$13*_xlfn.XLOOKUP($Y$13,'RE Calculations'!$B$12:$B$16,'RE Calculations'!$C$12:$C$16,"ERROR - Check Input")/12),0)</f>
        <v>0</v>
      </c>
      <c r="Y50" s="142">
        <f t="shared" si="4"/>
        <v>0</v>
      </c>
      <c r="Z50" s="142">
        <f>IF(W50&lt;=($X$9*12),$X$15,IFERROR(-IPMT($X$11,W50-$X$9*12,($X$12-$X$9)*12,$X$6)+$X$13*_xlfn.XLOOKUP($Y$13,'RE Calculations'!$B$12:$B$16,'RE Calculations'!$C$12:$C$16,"ERROR - Check Input")/12,0))</f>
        <v>10</v>
      </c>
      <c r="AA50" s="142">
        <f t="shared" si="5"/>
        <v>0</v>
      </c>
    </row>
    <row r="51" spans="2:27" x14ac:dyDescent="0.35">
      <c r="B51" s="12">
        <v>29</v>
      </c>
      <c r="C51" s="142">
        <f>IF(F50&gt;0.01,-PMT($C$8,$C$9*12,$C$6)+$C$10*_xlfn.XLOOKUP($D$10,'RE Calculations'!$B$12:$B$16,'RE Calculations'!$C$12:$C$16,"ERROR - Check Input")/12,0)</f>
        <v>0</v>
      </c>
      <c r="D51" s="142">
        <f t="shared" si="6"/>
        <v>0</v>
      </c>
      <c r="E51" s="142">
        <f>IFERROR(-IPMT($C$8,B51,$C$9*12,$C$6)+$C$10*_xlfn.XLOOKUP($D$10,'RE Calculations'!$B$12:$B$16,'RE Calculations'!$C$12:$C$16,"ERROR - Check Input")/12,0)</f>
        <v>8.3333333333333339</v>
      </c>
      <c r="F51" s="142">
        <f t="shared" si="7"/>
        <v>0</v>
      </c>
      <c r="I51" s="12">
        <v>29</v>
      </c>
      <c r="J51" s="142">
        <f>IF(M50&gt;0.01,IF(I51&lt;=($J$9*12),$J$15,-PMT($J$11,($J$12-$J$9)*12,$J$6)+$J$13*_xlfn.XLOOKUP($K$13,'RE Calculations'!$B$12:$B$16,'RE Calculations'!$C$12:$C$16,"ERROR - Check Input")/12),0)</f>
        <v>0</v>
      </c>
      <c r="K51" s="142">
        <f t="shared" si="0"/>
        <v>0</v>
      </c>
      <c r="L51" s="142">
        <f>IF(I51&lt;=($J$9*12),$J$15,IFERROR(-IPMT($J$11,I51-$J$9*12,($J$12-$J$9)*12,$J$6)+$J$13*_xlfn.XLOOKUP($K$13,'RE Calculations'!$B$12:$B$16,'RE Calculations'!$C$12:$C$16,"ERROR - Check Input")/12,0))</f>
        <v>10</v>
      </c>
      <c r="M51" s="142">
        <f t="shared" si="1"/>
        <v>0</v>
      </c>
      <c r="P51" s="12">
        <v>29</v>
      </c>
      <c r="Q51" s="142">
        <f>IF(T50&gt;0.01,-PMT($Q$8,$Q$9*12,$Q$6)+$Q$10*_xlfn.XLOOKUP($R$10,'RE Calculations'!$B$12:$B$16,'RE Calculations'!$C$12:$C$16,"ERROR - Check Input")/12,0)</f>
        <v>0</v>
      </c>
      <c r="R51" s="142">
        <f t="shared" si="2"/>
        <v>0</v>
      </c>
      <c r="S51" s="142">
        <f>IFERROR(-IPMT($Q$8,P51,$Q$9*12,$Q$6)+$Q$10*_xlfn.XLOOKUP($R$10,'RE Calculations'!$B$12:$B$16,'RE Calculations'!$C$12:$C$16,"ERROR - Check Input")/12,0)</f>
        <v>8.3333333333333339</v>
      </c>
      <c r="T51" s="142">
        <f t="shared" si="3"/>
        <v>0</v>
      </c>
      <c r="W51" s="12">
        <v>29</v>
      </c>
      <c r="X51" s="142">
        <f>IF(AA50&gt;0.01,IF(W51&lt;=($X$9*12),$X$15,-PMT($X$11,($X$12-$X$9)*12,$X$6)+$X$13*_xlfn.XLOOKUP($Y$13,'RE Calculations'!$B$12:$B$16,'RE Calculations'!$C$12:$C$16,"ERROR - Check Input")/12),0)</f>
        <v>0</v>
      </c>
      <c r="Y51" s="142">
        <f t="shared" si="4"/>
        <v>0</v>
      </c>
      <c r="Z51" s="142">
        <f>IF(W51&lt;=($X$9*12),$X$15,IFERROR(-IPMT($X$11,W51-$X$9*12,($X$12-$X$9)*12,$X$6)+$X$13*_xlfn.XLOOKUP($Y$13,'RE Calculations'!$B$12:$B$16,'RE Calculations'!$C$12:$C$16,"ERROR - Check Input")/12,0))</f>
        <v>10</v>
      </c>
      <c r="AA51" s="142">
        <f t="shared" si="5"/>
        <v>0</v>
      </c>
    </row>
    <row r="52" spans="2:27" x14ac:dyDescent="0.35">
      <c r="B52" s="12">
        <v>30</v>
      </c>
      <c r="C52" s="142">
        <f>IF(F51&gt;0.01,-PMT($C$8,$C$9*12,$C$6)+$C$10*_xlfn.XLOOKUP($D$10,'RE Calculations'!$B$12:$B$16,'RE Calculations'!$C$12:$C$16,"ERROR - Check Input")/12,0)</f>
        <v>0</v>
      </c>
      <c r="D52" s="142">
        <f t="shared" si="6"/>
        <v>0</v>
      </c>
      <c r="E52" s="142">
        <f>IFERROR(-IPMT($C$8,B52,$C$9*12,$C$6)+$C$10*_xlfn.XLOOKUP($D$10,'RE Calculations'!$B$12:$B$16,'RE Calculations'!$C$12:$C$16,"ERROR - Check Input")/12,0)</f>
        <v>8.3333333333333339</v>
      </c>
      <c r="F52" s="142">
        <f t="shared" si="7"/>
        <v>0</v>
      </c>
      <c r="I52" s="12">
        <v>30</v>
      </c>
      <c r="J52" s="142">
        <f>IF(M51&gt;0.01,IF(I52&lt;=($J$9*12),$J$15,-PMT($J$11,($J$12-$J$9)*12,$J$6)+$J$13*_xlfn.XLOOKUP($K$13,'RE Calculations'!$B$12:$B$16,'RE Calculations'!$C$12:$C$16,"ERROR - Check Input")/12),0)</f>
        <v>0</v>
      </c>
      <c r="K52" s="142">
        <f t="shared" si="0"/>
        <v>0</v>
      </c>
      <c r="L52" s="142">
        <f>IF(I52&lt;=($J$9*12),$J$15,IFERROR(-IPMT($J$11,I52-$J$9*12,($J$12-$J$9)*12,$J$6)+$J$13*_xlfn.XLOOKUP($K$13,'RE Calculations'!$B$12:$B$16,'RE Calculations'!$C$12:$C$16,"ERROR - Check Input")/12,0))</f>
        <v>10</v>
      </c>
      <c r="M52" s="142">
        <f t="shared" si="1"/>
        <v>0</v>
      </c>
      <c r="P52" s="12">
        <v>30</v>
      </c>
      <c r="Q52" s="142">
        <f>IF(T51&gt;0.01,-PMT($Q$8,$Q$9*12,$Q$6)+$Q$10*_xlfn.XLOOKUP($R$10,'RE Calculations'!$B$12:$B$16,'RE Calculations'!$C$12:$C$16,"ERROR - Check Input")/12,0)</f>
        <v>0</v>
      </c>
      <c r="R52" s="142">
        <f t="shared" si="2"/>
        <v>0</v>
      </c>
      <c r="S52" s="142">
        <f>IFERROR(-IPMT($Q$8,P52,$Q$9*12,$Q$6)+$Q$10*_xlfn.XLOOKUP($R$10,'RE Calculations'!$B$12:$B$16,'RE Calculations'!$C$12:$C$16,"ERROR - Check Input")/12,0)</f>
        <v>8.3333333333333339</v>
      </c>
      <c r="T52" s="142">
        <f t="shared" si="3"/>
        <v>0</v>
      </c>
      <c r="W52" s="12">
        <v>30</v>
      </c>
      <c r="X52" s="142">
        <f>IF(AA51&gt;0.01,IF(W52&lt;=($X$9*12),$X$15,-PMT($X$11,($X$12-$X$9)*12,$X$6)+$X$13*_xlfn.XLOOKUP($Y$13,'RE Calculations'!$B$12:$B$16,'RE Calculations'!$C$12:$C$16,"ERROR - Check Input")/12),0)</f>
        <v>0</v>
      </c>
      <c r="Y52" s="142">
        <f t="shared" si="4"/>
        <v>0</v>
      </c>
      <c r="Z52" s="142">
        <f>IF(W52&lt;=($X$9*12),$X$15,IFERROR(-IPMT($X$11,W52-$X$9*12,($X$12-$X$9)*12,$X$6)+$X$13*_xlfn.XLOOKUP($Y$13,'RE Calculations'!$B$12:$B$16,'RE Calculations'!$C$12:$C$16,"ERROR - Check Input")/12,0))</f>
        <v>10</v>
      </c>
      <c r="AA52" s="142">
        <f t="shared" si="5"/>
        <v>0</v>
      </c>
    </row>
    <row r="53" spans="2:27" x14ac:dyDescent="0.35">
      <c r="B53" s="12">
        <v>31</v>
      </c>
      <c r="C53" s="142">
        <f>IF(F52&gt;0.01,-PMT($C$8,$C$9*12,$C$6)+$C$10*_xlfn.XLOOKUP($D$10,'RE Calculations'!$B$12:$B$16,'RE Calculations'!$C$12:$C$16,"ERROR - Check Input")/12,0)</f>
        <v>0</v>
      </c>
      <c r="D53" s="142">
        <f t="shared" si="6"/>
        <v>0</v>
      </c>
      <c r="E53" s="142">
        <f>IFERROR(-IPMT($C$8,B53,$C$9*12,$C$6)+$C$10*_xlfn.XLOOKUP($D$10,'RE Calculations'!$B$12:$B$16,'RE Calculations'!$C$12:$C$16,"ERROR - Check Input")/12,0)</f>
        <v>8.3333333333333339</v>
      </c>
      <c r="F53" s="142">
        <f t="shared" si="7"/>
        <v>0</v>
      </c>
      <c r="I53" s="12">
        <v>31</v>
      </c>
      <c r="J53" s="142">
        <f>IF(M52&gt;0.01,IF(I53&lt;=($J$9*12),$J$15,-PMT($J$11,($J$12-$J$9)*12,$J$6)+$J$13*_xlfn.XLOOKUP($K$13,'RE Calculations'!$B$12:$B$16,'RE Calculations'!$C$12:$C$16,"ERROR - Check Input")/12),0)</f>
        <v>0</v>
      </c>
      <c r="K53" s="142">
        <f t="shared" si="0"/>
        <v>0</v>
      </c>
      <c r="L53" s="142">
        <f>IF(I53&lt;=($J$9*12),$J$15,IFERROR(-IPMT($J$11,I53-$J$9*12,($J$12-$J$9)*12,$J$6)+$J$13*_xlfn.XLOOKUP($K$13,'RE Calculations'!$B$12:$B$16,'RE Calculations'!$C$12:$C$16,"ERROR - Check Input")/12,0))</f>
        <v>10</v>
      </c>
      <c r="M53" s="142">
        <f t="shared" si="1"/>
        <v>0</v>
      </c>
      <c r="P53" s="12">
        <v>31</v>
      </c>
      <c r="Q53" s="142">
        <f>IF(T52&gt;0.01,-PMT($Q$8,$Q$9*12,$Q$6)+$Q$10*_xlfn.XLOOKUP($R$10,'RE Calculations'!$B$12:$B$16,'RE Calculations'!$C$12:$C$16,"ERROR - Check Input")/12,0)</f>
        <v>0</v>
      </c>
      <c r="R53" s="142">
        <f t="shared" si="2"/>
        <v>0</v>
      </c>
      <c r="S53" s="142">
        <f>IFERROR(-IPMT($Q$8,P53,$Q$9*12,$Q$6)+$Q$10*_xlfn.XLOOKUP($R$10,'RE Calculations'!$B$12:$B$16,'RE Calculations'!$C$12:$C$16,"ERROR - Check Input")/12,0)</f>
        <v>8.3333333333333339</v>
      </c>
      <c r="T53" s="142">
        <f t="shared" si="3"/>
        <v>0</v>
      </c>
      <c r="W53" s="12">
        <v>31</v>
      </c>
      <c r="X53" s="142">
        <f>IF(AA52&gt;0.01,IF(W53&lt;=($X$9*12),$X$15,-PMT($X$11,($X$12-$X$9)*12,$X$6)+$X$13*_xlfn.XLOOKUP($Y$13,'RE Calculations'!$B$12:$B$16,'RE Calculations'!$C$12:$C$16,"ERROR - Check Input")/12),0)</f>
        <v>0</v>
      </c>
      <c r="Y53" s="142">
        <f t="shared" si="4"/>
        <v>0</v>
      </c>
      <c r="Z53" s="142">
        <f>IF(W53&lt;=($X$9*12),$X$15,IFERROR(-IPMT($X$11,W53-$X$9*12,($X$12-$X$9)*12,$X$6)+$X$13*_xlfn.XLOOKUP($Y$13,'RE Calculations'!$B$12:$B$16,'RE Calculations'!$C$12:$C$16,"ERROR - Check Input")/12,0))</f>
        <v>10</v>
      </c>
      <c r="AA53" s="142">
        <f t="shared" si="5"/>
        <v>0</v>
      </c>
    </row>
    <row r="54" spans="2:27" x14ac:dyDescent="0.35">
      <c r="B54" s="12">
        <v>32</v>
      </c>
      <c r="C54" s="142">
        <f>IF(F53&gt;0.01,-PMT($C$8,$C$9*12,$C$6)+$C$10*_xlfn.XLOOKUP($D$10,'RE Calculations'!$B$12:$B$16,'RE Calculations'!$C$12:$C$16,"ERROR - Check Input")/12,0)</f>
        <v>0</v>
      </c>
      <c r="D54" s="142">
        <f t="shared" si="6"/>
        <v>0</v>
      </c>
      <c r="E54" s="142">
        <f>IFERROR(-IPMT($C$8,B54,$C$9*12,$C$6)+$C$10*_xlfn.XLOOKUP($D$10,'RE Calculations'!$B$12:$B$16,'RE Calculations'!$C$12:$C$16,"ERROR - Check Input")/12,0)</f>
        <v>8.3333333333333339</v>
      </c>
      <c r="F54" s="142">
        <f t="shared" si="7"/>
        <v>0</v>
      </c>
      <c r="I54" s="12">
        <v>32</v>
      </c>
      <c r="J54" s="142">
        <f>IF(M53&gt;0.01,IF(I54&lt;=($J$9*12),$J$15,-PMT($J$11,($J$12-$J$9)*12,$J$6)+$J$13*_xlfn.XLOOKUP($K$13,'RE Calculations'!$B$12:$B$16,'RE Calculations'!$C$12:$C$16,"ERROR - Check Input")/12),0)</f>
        <v>0</v>
      </c>
      <c r="K54" s="142">
        <f t="shared" si="0"/>
        <v>0</v>
      </c>
      <c r="L54" s="142">
        <f>IF(I54&lt;=($J$9*12),$J$15,IFERROR(-IPMT($J$11,I54-$J$9*12,($J$12-$J$9)*12,$J$6)+$J$13*_xlfn.XLOOKUP($K$13,'RE Calculations'!$B$12:$B$16,'RE Calculations'!$C$12:$C$16,"ERROR - Check Input")/12,0))</f>
        <v>10</v>
      </c>
      <c r="M54" s="142">
        <f t="shared" si="1"/>
        <v>0</v>
      </c>
      <c r="P54" s="12">
        <v>32</v>
      </c>
      <c r="Q54" s="142">
        <f>IF(T53&gt;0.01,-PMT($Q$8,$Q$9*12,$Q$6)+$Q$10*_xlfn.XLOOKUP($R$10,'RE Calculations'!$B$12:$B$16,'RE Calculations'!$C$12:$C$16,"ERROR - Check Input")/12,0)</f>
        <v>0</v>
      </c>
      <c r="R54" s="142">
        <f t="shared" si="2"/>
        <v>0</v>
      </c>
      <c r="S54" s="142">
        <f>IFERROR(-IPMT($Q$8,P54,$Q$9*12,$Q$6)+$Q$10*_xlfn.XLOOKUP($R$10,'RE Calculations'!$B$12:$B$16,'RE Calculations'!$C$12:$C$16,"ERROR - Check Input")/12,0)</f>
        <v>8.3333333333333339</v>
      </c>
      <c r="T54" s="142">
        <f t="shared" si="3"/>
        <v>0</v>
      </c>
      <c r="W54" s="12">
        <v>32</v>
      </c>
      <c r="X54" s="142">
        <f>IF(AA53&gt;0.01,IF(W54&lt;=($X$9*12),$X$15,-PMT($X$11,($X$12-$X$9)*12,$X$6)+$X$13*_xlfn.XLOOKUP($Y$13,'RE Calculations'!$B$12:$B$16,'RE Calculations'!$C$12:$C$16,"ERROR - Check Input")/12),0)</f>
        <v>0</v>
      </c>
      <c r="Y54" s="142">
        <f t="shared" si="4"/>
        <v>0</v>
      </c>
      <c r="Z54" s="142">
        <f>IF(W54&lt;=($X$9*12),$X$15,IFERROR(-IPMT($X$11,W54-$X$9*12,($X$12-$X$9)*12,$X$6)+$X$13*_xlfn.XLOOKUP($Y$13,'RE Calculations'!$B$12:$B$16,'RE Calculations'!$C$12:$C$16,"ERROR - Check Input")/12,0))</f>
        <v>10</v>
      </c>
      <c r="AA54" s="142">
        <f t="shared" si="5"/>
        <v>0</v>
      </c>
    </row>
    <row r="55" spans="2:27" x14ac:dyDescent="0.35">
      <c r="B55" s="12">
        <v>33</v>
      </c>
      <c r="C55" s="142">
        <f>IF(F54&gt;0.01,-PMT($C$8,$C$9*12,$C$6)+$C$10*_xlfn.XLOOKUP($D$10,'RE Calculations'!$B$12:$B$16,'RE Calculations'!$C$12:$C$16,"ERROR - Check Input")/12,0)</f>
        <v>0</v>
      </c>
      <c r="D55" s="142">
        <f t="shared" si="6"/>
        <v>0</v>
      </c>
      <c r="E55" s="142">
        <f>IFERROR(-IPMT($C$8,B55,$C$9*12,$C$6)+$C$10*_xlfn.XLOOKUP($D$10,'RE Calculations'!$B$12:$B$16,'RE Calculations'!$C$12:$C$16,"ERROR - Check Input")/12,0)</f>
        <v>8.3333333333333339</v>
      </c>
      <c r="F55" s="142">
        <f t="shared" si="7"/>
        <v>0</v>
      </c>
      <c r="I55" s="12">
        <v>33</v>
      </c>
      <c r="J55" s="142">
        <f>IF(M54&gt;0.01,IF(I55&lt;=($J$9*12),$J$15,-PMT($J$11,($J$12-$J$9)*12,$J$6)+$J$13*_xlfn.XLOOKUP($K$13,'RE Calculations'!$B$12:$B$16,'RE Calculations'!$C$12:$C$16,"ERROR - Check Input")/12),0)</f>
        <v>0</v>
      </c>
      <c r="K55" s="142">
        <f t="shared" si="0"/>
        <v>0</v>
      </c>
      <c r="L55" s="142">
        <f>IF(I55&lt;=($J$9*12),$J$15,IFERROR(-IPMT($J$11,I55-$J$9*12,($J$12-$J$9)*12,$J$6)+$J$13*_xlfn.XLOOKUP($K$13,'RE Calculations'!$B$12:$B$16,'RE Calculations'!$C$12:$C$16,"ERROR - Check Input")/12,0))</f>
        <v>10</v>
      </c>
      <c r="M55" s="142">
        <f t="shared" si="1"/>
        <v>0</v>
      </c>
      <c r="P55" s="12">
        <v>33</v>
      </c>
      <c r="Q55" s="142">
        <f>IF(T54&gt;0.01,-PMT($Q$8,$Q$9*12,$Q$6)+$Q$10*_xlfn.XLOOKUP($R$10,'RE Calculations'!$B$12:$B$16,'RE Calculations'!$C$12:$C$16,"ERROR - Check Input")/12,0)</f>
        <v>0</v>
      </c>
      <c r="R55" s="142">
        <f t="shared" si="2"/>
        <v>0</v>
      </c>
      <c r="S55" s="142">
        <f>IFERROR(-IPMT($Q$8,P55,$Q$9*12,$Q$6)+$Q$10*_xlfn.XLOOKUP($R$10,'RE Calculations'!$B$12:$B$16,'RE Calculations'!$C$12:$C$16,"ERROR - Check Input")/12,0)</f>
        <v>8.3333333333333339</v>
      </c>
      <c r="T55" s="142">
        <f t="shared" si="3"/>
        <v>0</v>
      </c>
      <c r="W55" s="12">
        <v>33</v>
      </c>
      <c r="X55" s="142">
        <f>IF(AA54&gt;0.01,IF(W55&lt;=($X$9*12),$X$15,-PMT($X$11,($X$12-$X$9)*12,$X$6)+$X$13*_xlfn.XLOOKUP($Y$13,'RE Calculations'!$B$12:$B$16,'RE Calculations'!$C$12:$C$16,"ERROR - Check Input")/12),0)</f>
        <v>0</v>
      </c>
      <c r="Y55" s="142">
        <f t="shared" si="4"/>
        <v>0</v>
      </c>
      <c r="Z55" s="142">
        <f>IF(W55&lt;=($X$9*12),$X$15,IFERROR(-IPMT($X$11,W55-$X$9*12,($X$12-$X$9)*12,$X$6)+$X$13*_xlfn.XLOOKUP($Y$13,'RE Calculations'!$B$12:$B$16,'RE Calculations'!$C$12:$C$16,"ERROR - Check Input")/12,0))</f>
        <v>10</v>
      </c>
      <c r="AA55" s="142">
        <f t="shared" si="5"/>
        <v>0</v>
      </c>
    </row>
    <row r="56" spans="2:27" x14ac:dyDescent="0.35">
      <c r="B56" s="12">
        <v>34</v>
      </c>
      <c r="C56" s="142">
        <f>IF(F55&gt;0.01,-PMT($C$8,$C$9*12,$C$6)+$C$10*_xlfn.XLOOKUP($D$10,'RE Calculations'!$B$12:$B$16,'RE Calculations'!$C$12:$C$16,"ERROR - Check Input")/12,0)</f>
        <v>0</v>
      </c>
      <c r="D56" s="142">
        <f t="shared" si="6"/>
        <v>0</v>
      </c>
      <c r="E56" s="142">
        <f>IFERROR(-IPMT($C$8,B56,$C$9*12,$C$6)+$C$10*_xlfn.XLOOKUP($D$10,'RE Calculations'!$B$12:$B$16,'RE Calculations'!$C$12:$C$16,"ERROR - Check Input")/12,0)</f>
        <v>8.3333333333333339</v>
      </c>
      <c r="F56" s="142">
        <f t="shared" si="7"/>
        <v>0</v>
      </c>
      <c r="I56" s="12">
        <v>34</v>
      </c>
      <c r="J56" s="142">
        <f>IF(M55&gt;0.01,IF(I56&lt;=($J$9*12),$J$15,-PMT($J$11,($J$12-$J$9)*12,$J$6)+$J$13*_xlfn.XLOOKUP($K$13,'RE Calculations'!$B$12:$B$16,'RE Calculations'!$C$12:$C$16,"ERROR - Check Input")/12),0)</f>
        <v>0</v>
      </c>
      <c r="K56" s="142">
        <f t="shared" si="0"/>
        <v>0</v>
      </c>
      <c r="L56" s="142">
        <f>IF(I56&lt;=($J$9*12),$J$15,IFERROR(-IPMT($J$11,I56-$J$9*12,($J$12-$J$9)*12,$J$6)+$J$13*_xlfn.XLOOKUP($K$13,'RE Calculations'!$B$12:$B$16,'RE Calculations'!$C$12:$C$16,"ERROR - Check Input")/12,0))</f>
        <v>10</v>
      </c>
      <c r="M56" s="142">
        <f t="shared" si="1"/>
        <v>0</v>
      </c>
      <c r="P56" s="12">
        <v>34</v>
      </c>
      <c r="Q56" s="142">
        <f>IF(T55&gt;0.01,-PMT($Q$8,$Q$9*12,$Q$6)+$Q$10*_xlfn.XLOOKUP($R$10,'RE Calculations'!$B$12:$B$16,'RE Calculations'!$C$12:$C$16,"ERROR - Check Input")/12,0)</f>
        <v>0</v>
      </c>
      <c r="R56" s="142">
        <f t="shared" si="2"/>
        <v>0</v>
      </c>
      <c r="S56" s="142">
        <f>IFERROR(-IPMT($Q$8,P56,$Q$9*12,$Q$6)+$Q$10*_xlfn.XLOOKUP($R$10,'RE Calculations'!$B$12:$B$16,'RE Calculations'!$C$12:$C$16,"ERROR - Check Input")/12,0)</f>
        <v>8.3333333333333339</v>
      </c>
      <c r="T56" s="142">
        <f t="shared" si="3"/>
        <v>0</v>
      </c>
      <c r="W56" s="12">
        <v>34</v>
      </c>
      <c r="X56" s="142">
        <f>IF(AA55&gt;0.01,IF(W56&lt;=($X$9*12),$X$15,-PMT($X$11,($X$12-$X$9)*12,$X$6)+$X$13*_xlfn.XLOOKUP($Y$13,'RE Calculations'!$B$12:$B$16,'RE Calculations'!$C$12:$C$16,"ERROR - Check Input")/12),0)</f>
        <v>0</v>
      </c>
      <c r="Y56" s="142">
        <f t="shared" si="4"/>
        <v>0</v>
      </c>
      <c r="Z56" s="142">
        <f>IF(W56&lt;=($X$9*12),$X$15,IFERROR(-IPMT($X$11,W56-$X$9*12,($X$12-$X$9)*12,$X$6)+$X$13*_xlfn.XLOOKUP($Y$13,'RE Calculations'!$B$12:$B$16,'RE Calculations'!$C$12:$C$16,"ERROR - Check Input")/12,0))</f>
        <v>10</v>
      </c>
      <c r="AA56" s="142">
        <f t="shared" si="5"/>
        <v>0</v>
      </c>
    </row>
    <row r="57" spans="2:27" x14ac:dyDescent="0.35">
      <c r="B57" s="12">
        <v>35</v>
      </c>
      <c r="C57" s="142">
        <f>IF(F56&gt;0.01,-PMT($C$8,$C$9*12,$C$6)+$C$10*_xlfn.XLOOKUP($D$10,'RE Calculations'!$B$12:$B$16,'RE Calculations'!$C$12:$C$16,"ERROR - Check Input")/12,0)</f>
        <v>0</v>
      </c>
      <c r="D57" s="142">
        <f t="shared" si="6"/>
        <v>0</v>
      </c>
      <c r="E57" s="142">
        <f>IFERROR(-IPMT($C$8,B57,$C$9*12,$C$6)+$C$10*_xlfn.XLOOKUP($D$10,'RE Calculations'!$B$12:$B$16,'RE Calculations'!$C$12:$C$16,"ERROR - Check Input")/12,0)</f>
        <v>8.3333333333333339</v>
      </c>
      <c r="F57" s="142">
        <f t="shared" si="7"/>
        <v>0</v>
      </c>
      <c r="I57" s="12">
        <v>35</v>
      </c>
      <c r="J57" s="142">
        <f>IF(M56&gt;0.01,IF(I57&lt;=($J$9*12),$J$15,-PMT($J$11,($J$12-$J$9)*12,$J$6)+$J$13*_xlfn.XLOOKUP($K$13,'RE Calculations'!$B$12:$B$16,'RE Calculations'!$C$12:$C$16,"ERROR - Check Input")/12),0)</f>
        <v>0</v>
      </c>
      <c r="K57" s="142">
        <f t="shared" si="0"/>
        <v>0</v>
      </c>
      <c r="L57" s="142">
        <f>IF(I57&lt;=($J$9*12),$J$15,IFERROR(-IPMT($J$11,I57-$J$9*12,($J$12-$J$9)*12,$J$6)+$J$13*_xlfn.XLOOKUP($K$13,'RE Calculations'!$B$12:$B$16,'RE Calculations'!$C$12:$C$16,"ERROR - Check Input")/12,0))</f>
        <v>10</v>
      </c>
      <c r="M57" s="142">
        <f t="shared" si="1"/>
        <v>0</v>
      </c>
      <c r="P57" s="12">
        <v>35</v>
      </c>
      <c r="Q57" s="142">
        <f>IF(T56&gt;0.01,-PMT($Q$8,$Q$9*12,$Q$6)+$Q$10*_xlfn.XLOOKUP($R$10,'RE Calculations'!$B$12:$B$16,'RE Calculations'!$C$12:$C$16,"ERROR - Check Input")/12,0)</f>
        <v>0</v>
      </c>
      <c r="R57" s="142">
        <f t="shared" si="2"/>
        <v>0</v>
      </c>
      <c r="S57" s="142">
        <f>IFERROR(-IPMT($Q$8,P57,$Q$9*12,$Q$6)+$Q$10*_xlfn.XLOOKUP($R$10,'RE Calculations'!$B$12:$B$16,'RE Calculations'!$C$12:$C$16,"ERROR - Check Input")/12,0)</f>
        <v>8.3333333333333339</v>
      </c>
      <c r="T57" s="142">
        <f t="shared" si="3"/>
        <v>0</v>
      </c>
      <c r="W57" s="12">
        <v>35</v>
      </c>
      <c r="X57" s="142">
        <f>IF(AA56&gt;0.01,IF(W57&lt;=($X$9*12),$X$15,-PMT($X$11,($X$12-$X$9)*12,$X$6)+$X$13*_xlfn.XLOOKUP($Y$13,'RE Calculations'!$B$12:$B$16,'RE Calculations'!$C$12:$C$16,"ERROR - Check Input")/12),0)</f>
        <v>0</v>
      </c>
      <c r="Y57" s="142">
        <f t="shared" si="4"/>
        <v>0</v>
      </c>
      <c r="Z57" s="142">
        <f>IF(W57&lt;=($X$9*12),$X$15,IFERROR(-IPMT($X$11,W57-$X$9*12,($X$12-$X$9)*12,$X$6)+$X$13*_xlfn.XLOOKUP($Y$13,'RE Calculations'!$B$12:$B$16,'RE Calculations'!$C$12:$C$16,"ERROR - Check Input")/12,0))</f>
        <v>10</v>
      </c>
      <c r="AA57" s="142">
        <f t="shared" si="5"/>
        <v>0</v>
      </c>
    </row>
    <row r="58" spans="2:27" x14ac:dyDescent="0.35">
      <c r="B58" s="12">
        <v>36</v>
      </c>
      <c r="C58" s="142">
        <f>IF(F57&gt;0.01,-PMT($C$8,$C$9*12,$C$6)+$C$10*_xlfn.XLOOKUP($D$10,'RE Calculations'!$B$12:$B$16,'RE Calculations'!$C$12:$C$16,"ERROR - Check Input")/12,0)</f>
        <v>0</v>
      </c>
      <c r="D58" s="142">
        <f t="shared" si="6"/>
        <v>0</v>
      </c>
      <c r="E58" s="142">
        <f>IFERROR(-IPMT($C$8,B58,$C$9*12,$C$6)+$C$10*_xlfn.XLOOKUP($D$10,'RE Calculations'!$B$12:$B$16,'RE Calculations'!$C$12:$C$16,"ERROR - Check Input")/12,0)</f>
        <v>8.3333333333333339</v>
      </c>
      <c r="F58" s="142">
        <f t="shared" si="7"/>
        <v>0</v>
      </c>
      <c r="I58" s="12">
        <v>36</v>
      </c>
      <c r="J58" s="142">
        <f>IF(M57&gt;0.01,IF(I58&lt;=($J$9*12),$J$15,-PMT($J$11,($J$12-$J$9)*12,$J$6)+$J$13*_xlfn.XLOOKUP($K$13,'RE Calculations'!$B$12:$B$16,'RE Calculations'!$C$12:$C$16,"ERROR - Check Input")/12),0)</f>
        <v>0</v>
      </c>
      <c r="K58" s="142">
        <f t="shared" si="0"/>
        <v>0</v>
      </c>
      <c r="L58" s="142">
        <f>IF(I58&lt;=($J$9*12),$J$15,IFERROR(-IPMT($J$11,I58-$J$9*12,($J$12-$J$9)*12,$J$6)+$J$13*_xlfn.XLOOKUP($K$13,'RE Calculations'!$B$12:$B$16,'RE Calculations'!$C$12:$C$16,"ERROR - Check Input")/12,0))</f>
        <v>10</v>
      </c>
      <c r="M58" s="142">
        <f t="shared" si="1"/>
        <v>0</v>
      </c>
      <c r="P58" s="12">
        <v>36</v>
      </c>
      <c r="Q58" s="142">
        <f>IF(T57&gt;0.01,-PMT($Q$8,$Q$9*12,$Q$6)+$Q$10*_xlfn.XLOOKUP($R$10,'RE Calculations'!$B$12:$B$16,'RE Calculations'!$C$12:$C$16,"ERROR - Check Input")/12,0)</f>
        <v>0</v>
      </c>
      <c r="R58" s="142">
        <f t="shared" si="2"/>
        <v>0</v>
      </c>
      <c r="S58" s="142">
        <f>IFERROR(-IPMT($Q$8,P58,$Q$9*12,$Q$6)+$Q$10*_xlfn.XLOOKUP($R$10,'RE Calculations'!$B$12:$B$16,'RE Calculations'!$C$12:$C$16,"ERROR - Check Input")/12,0)</f>
        <v>8.3333333333333339</v>
      </c>
      <c r="T58" s="142">
        <f t="shared" si="3"/>
        <v>0</v>
      </c>
      <c r="W58" s="12">
        <v>36</v>
      </c>
      <c r="X58" s="142">
        <f>IF(AA57&gt;0.01,IF(W58&lt;=($X$9*12),$X$15,-PMT($X$11,($X$12-$X$9)*12,$X$6)+$X$13*_xlfn.XLOOKUP($Y$13,'RE Calculations'!$B$12:$B$16,'RE Calculations'!$C$12:$C$16,"ERROR - Check Input")/12),0)</f>
        <v>0</v>
      </c>
      <c r="Y58" s="142">
        <f t="shared" si="4"/>
        <v>0</v>
      </c>
      <c r="Z58" s="142">
        <f>IF(W58&lt;=($X$9*12),$X$15,IFERROR(-IPMT($X$11,W58-$X$9*12,($X$12-$X$9)*12,$X$6)+$X$13*_xlfn.XLOOKUP($Y$13,'RE Calculations'!$B$12:$B$16,'RE Calculations'!$C$12:$C$16,"ERROR - Check Input")/12,0))</f>
        <v>10</v>
      </c>
      <c r="AA58" s="142">
        <f t="shared" si="5"/>
        <v>0</v>
      </c>
    </row>
    <row r="59" spans="2:27" x14ac:dyDescent="0.35">
      <c r="B59" s="12">
        <v>37</v>
      </c>
      <c r="C59" s="142">
        <f>IF(F58&gt;0.01,-PMT($C$8,$C$9*12,$C$6)+$C$10*_xlfn.XLOOKUP($D$10,'RE Calculations'!$B$12:$B$16,'RE Calculations'!$C$12:$C$16,"ERROR - Check Input")/12,0)</f>
        <v>0</v>
      </c>
      <c r="D59" s="142">
        <f t="shared" si="6"/>
        <v>0</v>
      </c>
      <c r="E59" s="142">
        <f>IFERROR(-IPMT($C$8,B59,$C$9*12,$C$6)+$C$10*_xlfn.XLOOKUP($D$10,'RE Calculations'!$B$12:$B$16,'RE Calculations'!$C$12:$C$16,"ERROR - Check Input")/12,0)</f>
        <v>8.3333333333333339</v>
      </c>
      <c r="F59" s="142">
        <f t="shared" si="7"/>
        <v>0</v>
      </c>
      <c r="I59" s="12">
        <v>37</v>
      </c>
      <c r="J59" s="142">
        <f>IF(M58&gt;0.01,IF(I59&lt;=($J$9*12),$J$15,-PMT($J$11,($J$12-$J$9)*12,$J$6)+$J$13*_xlfn.XLOOKUP($K$13,'RE Calculations'!$B$12:$B$16,'RE Calculations'!$C$12:$C$16,"ERROR - Check Input")/12),0)</f>
        <v>0</v>
      </c>
      <c r="K59" s="142">
        <f t="shared" si="0"/>
        <v>0</v>
      </c>
      <c r="L59" s="142">
        <f>IF(I59&lt;=($J$9*12),$J$15,IFERROR(-IPMT($J$11,I59-$J$9*12,($J$12-$J$9)*12,$J$6)+$J$13*_xlfn.XLOOKUP($K$13,'RE Calculations'!$B$12:$B$16,'RE Calculations'!$C$12:$C$16,"ERROR - Check Input")/12,0))</f>
        <v>10</v>
      </c>
      <c r="M59" s="142">
        <f t="shared" si="1"/>
        <v>0</v>
      </c>
      <c r="P59" s="12">
        <v>37</v>
      </c>
      <c r="Q59" s="142">
        <f>IF(T58&gt;0.01,-PMT($Q$8,$Q$9*12,$Q$6)+$Q$10*_xlfn.XLOOKUP($R$10,'RE Calculations'!$B$12:$B$16,'RE Calculations'!$C$12:$C$16,"ERROR - Check Input")/12,0)</f>
        <v>0</v>
      </c>
      <c r="R59" s="142">
        <f t="shared" si="2"/>
        <v>0</v>
      </c>
      <c r="S59" s="142">
        <f>IFERROR(-IPMT($Q$8,P59,$Q$9*12,$Q$6)+$Q$10*_xlfn.XLOOKUP($R$10,'RE Calculations'!$B$12:$B$16,'RE Calculations'!$C$12:$C$16,"ERROR - Check Input")/12,0)</f>
        <v>8.3333333333333339</v>
      </c>
      <c r="T59" s="142">
        <f t="shared" si="3"/>
        <v>0</v>
      </c>
      <c r="W59" s="12">
        <v>37</v>
      </c>
      <c r="X59" s="142">
        <f>IF(AA58&gt;0.01,IF(W59&lt;=($X$9*12),$X$15,-PMT($X$11,($X$12-$X$9)*12,$X$6)+$X$13*_xlfn.XLOOKUP($Y$13,'RE Calculations'!$B$12:$B$16,'RE Calculations'!$C$12:$C$16,"ERROR - Check Input")/12),0)</f>
        <v>0</v>
      </c>
      <c r="Y59" s="142">
        <f t="shared" si="4"/>
        <v>0</v>
      </c>
      <c r="Z59" s="142">
        <f>IF(W59&lt;=($X$9*12),$X$15,IFERROR(-IPMT($X$11,W59-$X$9*12,($X$12-$X$9)*12,$X$6)+$X$13*_xlfn.XLOOKUP($Y$13,'RE Calculations'!$B$12:$B$16,'RE Calculations'!$C$12:$C$16,"ERROR - Check Input")/12,0))</f>
        <v>10</v>
      </c>
      <c r="AA59" s="142">
        <f t="shared" si="5"/>
        <v>0</v>
      </c>
    </row>
    <row r="60" spans="2:27" x14ac:dyDescent="0.35">
      <c r="B60" s="12">
        <v>38</v>
      </c>
      <c r="C60" s="142">
        <f>IF(F59&gt;0.01,-PMT($C$8,$C$9*12,$C$6)+$C$10*_xlfn.XLOOKUP($D$10,'RE Calculations'!$B$12:$B$16,'RE Calculations'!$C$12:$C$16,"ERROR - Check Input")/12,0)</f>
        <v>0</v>
      </c>
      <c r="D60" s="142">
        <f t="shared" si="6"/>
        <v>0</v>
      </c>
      <c r="E60" s="142">
        <f>IFERROR(-IPMT($C$8,B60,$C$9*12,$C$6)+$C$10*_xlfn.XLOOKUP($D$10,'RE Calculations'!$B$12:$B$16,'RE Calculations'!$C$12:$C$16,"ERROR - Check Input")/12,0)</f>
        <v>8.3333333333333339</v>
      </c>
      <c r="F60" s="142">
        <f t="shared" si="7"/>
        <v>0</v>
      </c>
      <c r="I60" s="12">
        <v>38</v>
      </c>
      <c r="J60" s="142">
        <f>IF(M59&gt;0.01,IF(I60&lt;=($J$9*12),$J$15,-PMT($J$11,($J$12-$J$9)*12,$J$6)+$J$13*_xlfn.XLOOKUP($K$13,'RE Calculations'!$B$12:$B$16,'RE Calculations'!$C$12:$C$16,"ERROR - Check Input")/12),0)</f>
        <v>0</v>
      </c>
      <c r="K60" s="142">
        <f t="shared" si="0"/>
        <v>0</v>
      </c>
      <c r="L60" s="142">
        <f>IF(I60&lt;=($J$9*12),$J$15,IFERROR(-IPMT($J$11,I60-$J$9*12,($J$12-$J$9)*12,$J$6)+$J$13*_xlfn.XLOOKUP($K$13,'RE Calculations'!$B$12:$B$16,'RE Calculations'!$C$12:$C$16,"ERROR - Check Input")/12,0))</f>
        <v>10</v>
      </c>
      <c r="M60" s="142">
        <f t="shared" si="1"/>
        <v>0</v>
      </c>
      <c r="P60" s="12">
        <v>38</v>
      </c>
      <c r="Q60" s="142">
        <f>IF(T59&gt;0.01,-PMT($Q$8,$Q$9*12,$Q$6)+$Q$10*_xlfn.XLOOKUP($R$10,'RE Calculations'!$B$12:$B$16,'RE Calculations'!$C$12:$C$16,"ERROR - Check Input")/12,0)</f>
        <v>0</v>
      </c>
      <c r="R60" s="142">
        <f t="shared" si="2"/>
        <v>0</v>
      </c>
      <c r="S60" s="142">
        <f>IFERROR(-IPMT($Q$8,P60,$Q$9*12,$Q$6)+$Q$10*_xlfn.XLOOKUP($R$10,'RE Calculations'!$B$12:$B$16,'RE Calculations'!$C$12:$C$16,"ERROR - Check Input")/12,0)</f>
        <v>8.3333333333333339</v>
      </c>
      <c r="T60" s="142">
        <f t="shared" si="3"/>
        <v>0</v>
      </c>
      <c r="W60" s="12">
        <v>38</v>
      </c>
      <c r="X60" s="142">
        <f>IF(AA59&gt;0.01,IF(W60&lt;=($X$9*12),$X$15,-PMT($X$11,($X$12-$X$9)*12,$X$6)+$X$13*_xlfn.XLOOKUP($Y$13,'RE Calculations'!$B$12:$B$16,'RE Calculations'!$C$12:$C$16,"ERROR - Check Input")/12),0)</f>
        <v>0</v>
      </c>
      <c r="Y60" s="142">
        <f t="shared" si="4"/>
        <v>0</v>
      </c>
      <c r="Z60" s="142">
        <f>IF(W60&lt;=($X$9*12),$X$15,IFERROR(-IPMT($X$11,W60-$X$9*12,($X$12-$X$9)*12,$X$6)+$X$13*_xlfn.XLOOKUP($Y$13,'RE Calculations'!$B$12:$B$16,'RE Calculations'!$C$12:$C$16,"ERROR - Check Input")/12,0))</f>
        <v>10</v>
      </c>
      <c r="AA60" s="142">
        <f t="shared" si="5"/>
        <v>0</v>
      </c>
    </row>
    <row r="61" spans="2:27" x14ac:dyDescent="0.35">
      <c r="B61" s="12">
        <v>39</v>
      </c>
      <c r="C61" s="142">
        <f>IF(F60&gt;0.01,-PMT($C$8,$C$9*12,$C$6)+$C$10*_xlfn.XLOOKUP($D$10,'RE Calculations'!$B$12:$B$16,'RE Calculations'!$C$12:$C$16,"ERROR - Check Input")/12,0)</f>
        <v>0</v>
      </c>
      <c r="D61" s="142">
        <f t="shared" si="6"/>
        <v>0</v>
      </c>
      <c r="E61" s="142">
        <f>IFERROR(-IPMT($C$8,B61,$C$9*12,$C$6)+$C$10*_xlfn.XLOOKUP($D$10,'RE Calculations'!$B$12:$B$16,'RE Calculations'!$C$12:$C$16,"ERROR - Check Input")/12,0)</f>
        <v>8.3333333333333339</v>
      </c>
      <c r="F61" s="142">
        <f t="shared" si="7"/>
        <v>0</v>
      </c>
      <c r="I61" s="12">
        <v>39</v>
      </c>
      <c r="J61" s="142">
        <f>IF(M60&gt;0.01,IF(I61&lt;=($J$9*12),$J$15,-PMT($J$11,($J$12-$J$9)*12,$J$6)+$J$13*_xlfn.XLOOKUP($K$13,'RE Calculations'!$B$12:$B$16,'RE Calculations'!$C$12:$C$16,"ERROR - Check Input")/12),0)</f>
        <v>0</v>
      </c>
      <c r="K61" s="142">
        <f t="shared" si="0"/>
        <v>0</v>
      </c>
      <c r="L61" s="142">
        <f>IF(I61&lt;=($J$9*12),$J$15,IFERROR(-IPMT($J$11,I61-$J$9*12,($J$12-$J$9)*12,$J$6)+$J$13*_xlfn.XLOOKUP($K$13,'RE Calculations'!$B$12:$B$16,'RE Calculations'!$C$12:$C$16,"ERROR - Check Input")/12,0))</f>
        <v>10</v>
      </c>
      <c r="M61" s="142">
        <f t="shared" si="1"/>
        <v>0</v>
      </c>
      <c r="P61" s="12">
        <v>39</v>
      </c>
      <c r="Q61" s="142">
        <f>IF(T60&gt;0.01,-PMT($Q$8,$Q$9*12,$Q$6)+$Q$10*_xlfn.XLOOKUP($R$10,'RE Calculations'!$B$12:$B$16,'RE Calculations'!$C$12:$C$16,"ERROR - Check Input")/12,0)</f>
        <v>0</v>
      </c>
      <c r="R61" s="142">
        <f t="shared" si="2"/>
        <v>0</v>
      </c>
      <c r="S61" s="142">
        <f>IFERROR(-IPMT($Q$8,P61,$Q$9*12,$Q$6)+$Q$10*_xlfn.XLOOKUP($R$10,'RE Calculations'!$B$12:$B$16,'RE Calculations'!$C$12:$C$16,"ERROR - Check Input")/12,0)</f>
        <v>8.3333333333333339</v>
      </c>
      <c r="T61" s="142">
        <f t="shared" si="3"/>
        <v>0</v>
      </c>
      <c r="W61" s="12">
        <v>39</v>
      </c>
      <c r="X61" s="142">
        <f>IF(AA60&gt;0.01,IF(W61&lt;=($X$9*12),$X$15,-PMT($X$11,($X$12-$X$9)*12,$X$6)+$X$13*_xlfn.XLOOKUP($Y$13,'RE Calculations'!$B$12:$B$16,'RE Calculations'!$C$12:$C$16,"ERROR - Check Input")/12),0)</f>
        <v>0</v>
      </c>
      <c r="Y61" s="142">
        <f t="shared" si="4"/>
        <v>0</v>
      </c>
      <c r="Z61" s="142">
        <f>IF(W61&lt;=($X$9*12),$X$15,IFERROR(-IPMT($X$11,W61-$X$9*12,($X$12-$X$9)*12,$X$6)+$X$13*_xlfn.XLOOKUP($Y$13,'RE Calculations'!$B$12:$B$16,'RE Calculations'!$C$12:$C$16,"ERROR - Check Input")/12,0))</f>
        <v>10</v>
      </c>
      <c r="AA61" s="142">
        <f t="shared" si="5"/>
        <v>0</v>
      </c>
    </row>
    <row r="62" spans="2:27" x14ac:dyDescent="0.35">
      <c r="B62" s="12">
        <v>40</v>
      </c>
      <c r="C62" s="142">
        <f>IF(F61&gt;0.01,-PMT($C$8,$C$9*12,$C$6)+$C$10*_xlfn.XLOOKUP($D$10,'RE Calculations'!$B$12:$B$16,'RE Calculations'!$C$12:$C$16,"ERROR - Check Input")/12,0)</f>
        <v>0</v>
      </c>
      <c r="D62" s="142">
        <f t="shared" si="6"/>
        <v>0</v>
      </c>
      <c r="E62" s="142">
        <f>IFERROR(-IPMT($C$8,B62,$C$9*12,$C$6)+$C$10*_xlfn.XLOOKUP($D$10,'RE Calculations'!$B$12:$B$16,'RE Calculations'!$C$12:$C$16,"ERROR - Check Input")/12,0)</f>
        <v>8.3333333333333339</v>
      </c>
      <c r="F62" s="142">
        <f t="shared" si="7"/>
        <v>0</v>
      </c>
      <c r="I62" s="12">
        <v>40</v>
      </c>
      <c r="J62" s="142">
        <f>IF(M61&gt;0.01,IF(I62&lt;=($J$9*12),$J$15,-PMT($J$11,($J$12-$J$9)*12,$J$6)+$J$13*_xlfn.XLOOKUP($K$13,'RE Calculations'!$B$12:$B$16,'RE Calculations'!$C$12:$C$16,"ERROR - Check Input")/12),0)</f>
        <v>0</v>
      </c>
      <c r="K62" s="142">
        <f t="shared" si="0"/>
        <v>0</v>
      </c>
      <c r="L62" s="142">
        <f>IF(I62&lt;=($J$9*12),$J$15,IFERROR(-IPMT($J$11,I62-$J$9*12,($J$12-$J$9)*12,$J$6)+$J$13*_xlfn.XLOOKUP($K$13,'RE Calculations'!$B$12:$B$16,'RE Calculations'!$C$12:$C$16,"ERROR - Check Input")/12,0))</f>
        <v>10</v>
      </c>
      <c r="M62" s="142">
        <f t="shared" si="1"/>
        <v>0</v>
      </c>
      <c r="P62" s="12">
        <v>40</v>
      </c>
      <c r="Q62" s="142">
        <f>IF(T61&gt;0.01,-PMT($Q$8,$Q$9*12,$Q$6)+$Q$10*_xlfn.XLOOKUP($R$10,'RE Calculations'!$B$12:$B$16,'RE Calculations'!$C$12:$C$16,"ERROR - Check Input")/12,0)</f>
        <v>0</v>
      </c>
      <c r="R62" s="142">
        <f t="shared" si="2"/>
        <v>0</v>
      </c>
      <c r="S62" s="142">
        <f>IFERROR(-IPMT($Q$8,P62,$Q$9*12,$Q$6)+$Q$10*_xlfn.XLOOKUP($R$10,'RE Calculations'!$B$12:$B$16,'RE Calculations'!$C$12:$C$16,"ERROR - Check Input")/12,0)</f>
        <v>8.3333333333333339</v>
      </c>
      <c r="T62" s="142">
        <f t="shared" si="3"/>
        <v>0</v>
      </c>
      <c r="W62" s="12">
        <v>40</v>
      </c>
      <c r="X62" s="142">
        <f>IF(AA61&gt;0.01,IF(W62&lt;=($X$9*12),$X$15,-PMT($X$11,($X$12-$X$9)*12,$X$6)+$X$13*_xlfn.XLOOKUP($Y$13,'RE Calculations'!$B$12:$B$16,'RE Calculations'!$C$12:$C$16,"ERROR - Check Input")/12),0)</f>
        <v>0</v>
      </c>
      <c r="Y62" s="142">
        <f t="shared" si="4"/>
        <v>0</v>
      </c>
      <c r="Z62" s="142">
        <f>IF(W62&lt;=($X$9*12),$X$15,IFERROR(-IPMT($X$11,W62-$X$9*12,($X$12-$X$9)*12,$X$6)+$X$13*_xlfn.XLOOKUP($Y$13,'RE Calculations'!$B$12:$B$16,'RE Calculations'!$C$12:$C$16,"ERROR - Check Input")/12,0))</f>
        <v>10</v>
      </c>
      <c r="AA62" s="142">
        <f t="shared" si="5"/>
        <v>0</v>
      </c>
    </row>
    <row r="63" spans="2:27" x14ac:dyDescent="0.35">
      <c r="B63" s="12">
        <v>41</v>
      </c>
      <c r="C63" s="142">
        <f>IF(F62&gt;0.01,-PMT($C$8,$C$9*12,$C$6)+$C$10*_xlfn.XLOOKUP($D$10,'RE Calculations'!$B$12:$B$16,'RE Calculations'!$C$12:$C$16,"ERROR - Check Input")/12,0)</f>
        <v>0</v>
      </c>
      <c r="D63" s="142">
        <f t="shared" si="6"/>
        <v>0</v>
      </c>
      <c r="E63" s="142">
        <f>IFERROR(-IPMT($C$8,B63,$C$9*12,$C$6)+$C$10*_xlfn.XLOOKUP($D$10,'RE Calculations'!$B$12:$B$16,'RE Calculations'!$C$12:$C$16,"ERROR - Check Input")/12,0)</f>
        <v>8.3333333333333339</v>
      </c>
      <c r="F63" s="142">
        <f t="shared" si="7"/>
        <v>0</v>
      </c>
      <c r="I63" s="12">
        <v>41</v>
      </c>
      <c r="J63" s="142">
        <f>IF(M62&gt;0.01,IF(I63&lt;=($J$9*12),$J$15,-PMT($J$11,($J$12-$J$9)*12,$J$6)+$J$13*_xlfn.XLOOKUP($K$13,'RE Calculations'!$B$12:$B$16,'RE Calculations'!$C$12:$C$16,"ERROR - Check Input")/12),0)</f>
        <v>0</v>
      </c>
      <c r="K63" s="142">
        <f t="shared" si="0"/>
        <v>0</v>
      </c>
      <c r="L63" s="142">
        <f>IF(I63&lt;=($J$9*12),$J$15,IFERROR(-IPMT($J$11,I63-$J$9*12,($J$12-$J$9)*12,$J$6)+$J$13*_xlfn.XLOOKUP($K$13,'RE Calculations'!$B$12:$B$16,'RE Calculations'!$C$12:$C$16,"ERROR - Check Input")/12,0))</f>
        <v>10</v>
      </c>
      <c r="M63" s="142">
        <f t="shared" si="1"/>
        <v>0</v>
      </c>
      <c r="P63" s="12">
        <v>41</v>
      </c>
      <c r="Q63" s="142">
        <f>IF(T62&gt;0.01,-PMT($Q$8,$Q$9*12,$Q$6)+$Q$10*_xlfn.XLOOKUP($R$10,'RE Calculations'!$B$12:$B$16,'RE Calculations'!$C$12:$C$16,"ERROR - Check Input")/12,0)</f>
        <v>0</v>
      </c>
      <c r="R63" s="142">
        <f t="shared" si="2"/>
        <v>0</v>
      </c>
      <c r="S63" s="142">
        <f>IFERROR(-IPMT($Q$8,P63,$Q$9*12,$Q$6)+$Q$10*_xlfn.XLOOKUP($R$10,'RE Calculations'!$B$12:$B$16,'RE Calculations'!$C$12:$C$16,"ERROR - Check Input")/12,0)</f>
        <v>8.3333333333333339</v>
      </c>
      <c r="T63" s="142">
        <f t="shared" si="3"/>
        <v>0</v>
      </c>
      <c r="W63" s="12">
        <v>41</v>
      </c>
      <c r="X63" s="142">
        <f>IF(AA62&gt;0.01,IF(W63&lt;=($X$9*12),$X$15,-PMT($X$11,($X$12-$X$9)*12,$X$6)+$X$13*_xlfn.XLOOKUP($Y$13,'RE Calculations'!$B$12:$B$16,'RE Calculations'!$C$12:$C$16,"ERROR - Check Input")/12),0)</f>
        <v>0</v>
      </c>
      <c r="Y63" s="142">
        <f t="shared" si="4"/>
        <v>0</v>
      </c>
      <c r="Z63" s="142">
        <f>IF(W63&lt;=($X$9*12),$X$15,IFERROR(-IPMT($X$11,W63-$X$9*12,($X$12-$X$9)*12,$X$6)+$X$13*_xlfn.XLOOKUP($Y$13,'RE Calculations'!$B$12:$B$16,'RE Calculations'!$C$12:$C$16,"ERROR - Check Input")/12,0))</f>
        <v>10</v>
      </c>
      <c r="AA63" s="142">
        <f t="shared" si="5"/>
        <v>0</v>
      </c>
    </row>
    <row r="64" spans="2:27" x14ac:dyDescent="0.35">
      <c r="B64" s="12">
        <v>42</v>
      </c>
      <c r="C64" s="142">
        <f>IF(F63&gt;0.01,-PMT($C$8,$C$9*12,$C$6)+$C$10*_xlfn.XLOOKUP($D$10,'RE Calculations'!$B$12:$B$16,'RE Calculations'!$C$12:$C$16,"ERROR - Check Input")/12,0)</f>
        <v>0</v>
      </c>
      <c r="D64" s="142">
        <f t="shared" si="6"/>
        <v>0</v>
      </c>
      <c r="E64" s="142">
        <f>IFERROR(-IPMT($C$8,B64,$C$9*12,$C$6)+$C$10*_xlfn.XLOOKUP($D$10,'RE Calculations'!$B$12:$B$16,'RE Calculations'!$C$12:$C$16,"ERROR - Check Input")/12,0)</f>
        <v>8.3333333333333339</v>
      </c>
      <c r="F64" s="142">
        <f t="shared" si="7"/>
        <v>0</v>
      </c>
      <c r="I64" s="12">
        <v>42</v>
      </c>
      <c r="J64" s="142">
        <f>IF(M63&gt;0.01,IF(I64&lt;=($J$9*12),$J$15,-PMT($J$11,($J$12-$J$9)*12,$J$6)+$J$13*_xlfn.XLOOKUP($K$13,'RE Calculations'!$B$12:$B$16,'RE Calculations'!$C$12:$C$16,"ERROR - Check Input")/12),0)</f>
        <v>0</v>
      </c>
      <c r="K64" s="142">
        <f t="shared" si="0"/>
        <v>0</v>
      </c>
      <c r="L64" s="142">
        <f>IF(I64&lt;=($J$9*12),$J$15,IFERROR(-IPMT($J$11,I64-$J$9*12,($J$12-$J$9)*12,$J$6)+$J$13*_xlfn.XLOOKUP($K$13,'RE Calculations'!$B$12:$B$16,'RE Calculations'!$C$12:$C$16,"ERROR - Check Input")/12,0))</f>
        <v>10</v>
      </c>
      <c r="M64" s="142">
        <f t="shared" si="1"/>
        <v>0</v>
      </c>
      <c r="P64" s="12">
        <v>42</v>
      </c>
      <c r="Q64" s="142">
        <f>IF(T63&gt;0.01,-PMT($Q$8,$Q$9*12,$Q$6)+$Q$10*_xlfn.XLOOKUP($R$10,'RE Calculations'!$B$12:$B$16,'RE Calculations'!$C$12:$C$16,"ERROR - Check Input")/12,0)</f>
        <v>0</v>
      </c>
      <c r="R64" s="142">
        <f t="shared" si="2"/>
        <v>0</v>
      </c>
      <c r="S64" s="142">
        <f>IFERROR(-IPMT($Q$8,P64,$Q$9*12,$Q$6)+$Q$10*_xlfn.XLOOKUP($R$10,'RE Calculations'!$B$12:$B$16,'RE Calculations'!$C$12:$C$16,"ERROR - Check Input")/12,0)</f>
        <v>8.3333333333333339</v>
      </c>
      <c r="T64" s="142">
        <f t="shared" si="3"/>
        <v>0</v>
      </c>
      <c r="W64" s="12">
        <v>42</v>
      </c>
      <c r="X64" s="142">
        <f>IF(AA63&gt;0.01,IF(W64&lt;=($X$9*12),$X$15,-PMT($X$11,($X$12-$X$9)*12,$X$6)+$X$13*_xlfn.XLOOKUP($Y$13,'RE Calculations'!$B$12:$B$16,'RE Calculations'!$C$12:$C$16,"ERROR - Check Input")/12),0)</f>
        <v>0</v>
      </c>
      <c r="Y64" s="142">
        <f t="shared" si="4"/>
        <v>0</v>
      </c>
      <c r="Z64" s="142">
        <f>IF(W64&lt;=($X$9*12),$X$15,IFERROR(-IPMT($X$11,W64-$X$9*12,($X$12-$X$9)*12,$X$6)+$X$13*_xlfn.XLOOKUP($Y$13,'RE Calculations'!$B$12:$B$16,'RE Calculations'!$C$12:$C$16,"ERROR - Check Input")/12,0))</f>
        <v>10</v>
      </c>
      <c r="AA64" s="142">
        <f t="shared" si="5"/>
        <v>0</v>
      </c>
    </row>
    <row r="65" spans="2:27" x14ac:dyDescent="0.35">
      <c r="B65" s="12">
        <v>43</v>
      </c>
      <c r="C65" s="142">
        <f>IF(F64&gt;0.01,-PMT($C$8,$C$9*12,$C$6)+$C$10*_xlfn.XLOOKUP($D$10,'RE Calculations'!$B$12:$B$16,'RE Calculations'!$C$12:$C$16,"ERROR - Check Input")/12,0)</f>
        <v>0</v>
      </c>
      <c r="D65" s="142">
        <f t="shared" si="6"/>
        <v>0</v>
      </c>
      <c r="E65" s="142">
        <f>IFERROR(-IPMT($C$8,B65,$C$9*12,$C$6)+$C$10*_xlfn.XLOOKUP($D$10,'RE Calculations'!$B$12:$B$16,'RE Calculations'!$C$12:$C$16,"ERROR - Check Input")/12,0)</f>
        <v>8.3333333333333339</v>
      </c>
      <c r="F65" s="142">
        <f t="shared" si="7"/>
        <v>0</v>
      </c>
      <c r="I65" s="12">
        <v>43</v>
      </c>
      <c r="J65" s="142">
        <f>IF(M64&gt;0.01,IF(I65&lt;=($J$9*12),$J$15,-PMT($J$11,($J$12-$J$9)*12,$J$6)+$J$13*_xlfn.XLOOKUP($K$13,'RE Calculations'!$B$12:$B$16,'RE Calculations'!$C$12:$C$16,"ERROR - Check Input")/12),0)</f>
        <v>0</v>
      </c>
      <c r="K65" s="142">
        <f t="shared" si="0"/>
        <v>0</v>
      </c>
      <c r="L65" s="142">
        <f>IF(I65&lt;=($J$9*12),$J$15,IFERROR(-IPMT($J$11,I65-$J$9*12,($J$12-$J$9)*12,$J$6)+$J$13*_xlfn.XLOOKUP($K$13,'RE Calculations'!$B$12:$B$16,'RE Calculations'!$C$12:$C$16,"ERROR - Check Input")/12,0))</f>
        <v>10</v>
      </c>
      <c r="M65" s="142">
        <f t="shared" si="1"/>
        <v>0</v>
      </c>
      <c r="P65" s="12">
        <v>43</v>
      </c>
      <c r="Q65" s="142">
        <f>IF(T64&gt;0.01,-PMT($Q$8,$Q$9*12,$Q$6)+$Q$10*_xlfn.XLOOKUP($R$10,'RE Calculations'!$B$12:$B$16,'RE Calculations'!$C$12:$C$16,"ERROR - Check Input")/12,0)</f>
        <v>0</v>
      </c>
      <c r="R65" s="142">
        <f t="shared" si="2"/>
        <v>0</v>
      </c>
      <c r="S65" s="142">
        <f>IFERROR(-IPMT($Q$8,P65,$Q$9*12,$Q$6)+$Q$10*_xlfn.XLOOKUP($R$10,'RE Calculations'!$B$12:$B$16,'RE Calculations'!$C$12:$C$16,"ERROR - Check Input")/12,0)</f>
        <v>8.3333333333333339</v>
      </c>
      <c r="T65" s="142">
        <f t="shared" si="3"/>
        <v>0</v>
      </c>
      <c r="W65" s="12">
        <v>43</v>
      </c>
      <c r="X65" s="142">
        <f>IF(AA64&gt;0.01,IF(W65&lt;=($X$9*12),$X$15,-PMT($X$11,($X$12-$X$9)*12,$X$6)+$X$13*_xlfn.XLOOKUP($Y$13,'RE Calculations'!$B$12:$B$16,'RE Calculations'!$C$12:$C$16,"ERROR - Check Input")/12),0)</f>
        <v>0</v>
      </c>
      <c r="Y65" s="142">
        <f t="shared" si="4"/>
        <v>0</v>
      </c>
      <c r="Z65" s="142">
        <f>IF(W65&lt;=($X$9*12),$X$15,IFERROR(-IPMT($X$11,W65-$X$9*12,($X$12-$X$9)*12,$X$6)+$X$13*_xlfn.XLOOKUP($Y$13,'RE Calculations'!$B$12:$B$16,'RE Calculations'!$C$12:$C$16,"ERROR - Check Input")/12,0))</f>
        <v>10</v>
      </c>
      <c r="AA65" s="142">
        <f t="shared" si="5"/>
        <v>0</v>
      </c>
    </row>
    <row r="66" spans="2:27" x14ac:dyDescent="0.35">
      <c r="B66" s="12">
        <v>44</v>
      </c>
      <c r="C66" s="142">
        <f>IF(F65&gt;0.01,-PMT($C$8,$C$9*12,$C$6)+$C$10*_xlfn.XLOOKUP($D$10,'RE Calculations'!$B$12:$B$16,'RE Calculations'!$C$12:$C$16,"ERROR - Check Input")/12,0)</f>
        <v>0</v>
      </c>
      <c r="D66" s="142">
        <f t="shared" si="6"/>
        <v>0</v>
      </c>
      <c r="E66" s="142">
        <f>IFERROR(-IPMT($C$8,B66,$C$9*12,$C$6)+$C$10*_xlfn.XLOOKUP($D$10,'RE Calculations'!$B$12:$B$16,'RE Calculations'!$C$12:$C$16,"ERROR - Check Input")/12,0)</f>
        <v>8.3333333333333339</v>
      </c>
      <c r="F66" s="142">
        <f t="shared" si="7"/>
        <v>0</v>
      </c>
      <c r="I66" s="12">
        <v>44</v>
      </c>
      <c r="J66" s="142">
        <f>IF(M65&gt;0.01,IF(I66&lt;=($J$9*12),$J$15,-PMT($J$11,($J$12-$J$9)*12,$J$6)+$J$13*_xlfn.XLOOKUP($K$13,'RE Calculations'!$B$12:$B$16,'RE Calculations'!$C$12:$C$16,"ERROR - Check Input")/12),0)</f>
        <v>0</v>
      </c>
      <c r="K66" s="142">
        <f t="shared" si="0"/>
        <v>0</v>
      </c>
      <c r="L66" s="142">
        <f>IF(I66&lt;=($J$9*12),$J$15,IFERROR(-IPMT($J$11,I66-$J$9*12,($J$12-$J$9)*12,$J$6)+$J$13*_xlfn.XLOOKUP($K$13,'RE Calculations'!$B$12:$B$16,'RE Calculations'!$C$12:$C$16,"ERROR - Check Input")/12,0))</f>
        <v>10</v>
      </c>
      <c r="M66" s="142">
        <f t="shared" si="1"/>
        <v>0</v>
      </c>
      <c r="P66" s="12">
        <v>44</v>
      </c>
      <c r="Q66" s="142">
        <f>IF(T65&gt;0.01,-PMT($Q$8,$Q$9*12,$Q$6)+$Q$10*_xlfn.XLOOKUP($R$10,'RE Calculations'!$B$12:$B$16,'RE Calculations'!$C$12:$C$16,"ERROR - Check Input")/12,0)</f>
        <v>0</v>
      </c>
      <c r="R66" s="142">
        <f t="shared" si="2"/>
        <v>0</v>
      </c>
      <c r="S66" s="142">
        <f>IFERROR(-IPMT($Q$8,P66,$Q$9*12,$Q$6)+$Q$10*_xlfn.XLOOKUP($R$10,'RE Calculations'!$B$12:$B$16,'RE Calculations'!$C$12:$C$16,"ERROR - Check Input")/12,0)</f>
        <v>8.3333333333333339</v>
      </c>
      <c r="T66" s="142">
        <f t="shared" si="3"/>
        <v>0</v>
      </c>
      <c r="W66" s="12">
        <v>44</v>
      </c>
      <c r="X66" s="142">
        <f>IF(AA65&gt;0.01,IF(W66&lt;=($X$9*12),$X$15,-PMT($X$11,($X$12-$X$9)*12,$X$6)+$X$13*_xlfn.XLOOKUP($Y$13,'RE Calculations'!$B$12:$B$16,'RE Calculations'!$C$12:$C$16,"ERROR - Check Input")/12),0)</f>
        <v>0</v>
      </c>
      <c r="Y66" s="142">
        <f t="shared" si="4"/>
        <v>0</v>
      </c>
      <c r="Z66" s="142">
        <f>IF(W66&lt;=($X$9*12),$X$15,IFERROR(-IPMT($X$11,W66-$X$9*12,($X$12-$X$9)*12,$X$6)+$X$13*_xlfn.XLOOKUP($Y$13,'RE Calculations'!$B$12:$B$16,'RE Calculations'!$C$12:$C$16,"ERROR - Check Input")/12,0))</f>
        <v>10</v>
      </c>
      <c r="AA66" s="142">
        <f t="shared" si="5"/>
        <v>0</v>
      </c>
    </row>
    <row r="67" spans="2:27" x14ac:dyDescent="0.35">
      <c r="B67" s="12">
        <v>45</v>
      </c>
      <c r="C67" s="142">
        <f>IF(F66&gt;0.01,-PMT($C$8,$C$9*12,$C$6)+$C$10*_xlfn.XLOOKUP($D$10,'RE Calculations'!$B$12:$B$16,'RE Calculations'!$C$12:$C$16,"ERROR - Check Input")/12,0)</f>
        <v>0</v>
      </c>
      <c r="D67" s="142">
        <f t="shared" si="6"/>
        <v>0</v>
      </c>
      <c r="E67" s="142">
        <f>IFERROR(-IPMT($C$8,B67,$C$9*12,$C$6)+$C$10*_xlfn.XLOOKUP($D$10,'RE Calculations'!$B$12:$B$16,'RE Calculations'!$C$12:$C$16,"ERROR - Check Input")/12,0)</f>
        <v>8.3333333333333339</v>
      </c>
      <c r="F67" s="142">
        <f t="shared" si="7"/>
        <v>0</v>
      </c>
      <c r="I67" s="12">
        <v>45</v>
      </c>
      <c r="J67" s="142">
        <f>IF(M66&gt;0.01,IF(I67&lt;=($J$9*12),$J$15,-PMT($J$11,($J$12-$J$9)*12,$J$6)+$J$13*_xlfn.XLOOKUP($K$13,'RE Calculations'!$B$12:$B$16,'RE Calculations'!$C$12:$C$16,"ERROR - Check Input")/12),0)</f>
        <v>0</v>
      </c>
      <c r="K67" s="142">
        <f t="shared" si="0"/>
        <v>0</v>
      </c>
      <c r="L67" s="142">
        <f>IF(I67&lt;=($J$9*12),$J$15,IFERROR(-IPMT($J$11,I67-$J$9*12,($J$12-$J$9)*12,$J$6)+$J$13*_xlfn.XLOOKUP($K$13,'RE Calculations'!$B$12:$B$16,'RE Calculations'!$C$12:$C$16,"ERROR - Check Input")/12,0))</f>
        <v>10</v>
      </c>
      <c r="M67" s="142">
        <f t="shared" si="1"/>
        <v>0</v>
      </c>
      <c r="P67" s="12">
        <v>45</v>
      </c>
      <c r="Q67" s="142">
        <f>IF(T66&gt;0.01,-PMT($Q$8,$Q$9*12,$Q$6)+$Q$10*_xlfn.XLOOKUP($R$10,'RE Calculations'!$B$12:$B$16,'RE Calculations'!$C$12:$C$16,"ERROR - Check Input")/12,0)</f>
        <v>0</v>
      </c>
      <c r="R67" s="142">
        <f t="shared" si="2"/>
        <v>0</v>
      </c>
      <c r="S67" s="142">
        <f>IFERROR(-IPMT($Q$8,P67,$Q$9*12,$Q$6)+$Q$10*_xlfn.XLOOKUP($R$10,'RE Calculations'!$B$12:$B$16,'RE Calculations'!$C$12:$C$16,"ERROR - Check Input")/12,0)</f>
        <v>8.3333333333333339</v>
      </c>
      <c r="T67" s="142">
        <f t="shared" si="3"/>
        <v>0</v>
      </c>
      <c r="W67" s="12">
        <v>45</v>
      </c>
      <c r="X67" s="142">
        <f>IF(AA66&gt;0.01,IF(W67&lt;=($X$9*12),$X$15,-PMT($X$11,($X$12-$X$9)*12,$X$6)+$X$13*_xlfn.XLOOKUP($Y$13,'RE Calculations'!$B$12:$B$16,'RE Calculations'!$C$12:$C$16,"ERROR - Check Input")/12),0)</f>
        <v>0</v>
      </c>
      <c r="Y67" s="142">
        <f t="shared" si="4"/>
        <v>0</v>
      </c>
      <c r="Z67" s="142">
        <f>IF(W67&lt;=($X$9*12),$X$15,IFERROR(-IPMT($X$11,W67-$X$9*12,($X$12-$X$9)*12,$X$6)+$X$13*_xlfn.XLOOKUP($Y$13,'RE Calculations'!$B$12:$B$16,'RE Calculations'!$C$12:$C$16,"ERROR - Check Input")/12,0))</f>
        <v>10</v>
      </c>
      <c r="AA67" s="142">
        <f t="shared" si="5"/>
        <v>0</v>
      </c>
    </row>
    <row r="68" spans="2:27" x14ac:dyDescent="0.35">
      <c r="B68" s="12">
        <v>46</v>
      </c>
      <c r="C68" s="142">
        <f>IF(F67&gt;0.01,-PMT($C$8,$C$9*12,$C$6)+$C$10*_xlfn.XLOOKUP($D$10,'RE Calculations'!$B$12:$B$16,'RE Calculations'!$C$12:$C$16,"ERROR - Check Input")/12,0)</f>
        <v>0</v>
      </c>
      <c r="D68" s="142">
        <f t="shared" si="6"/>
        <v>0</v>
      </c>
      <c r="E68" s="142">
        <f>IFERROR(-IPMT($C$8,B68,$C$9*12,$C$6)+$C$10*_xlfn.XLOOKUP($D$10,'RE Calculations'!$B$12:$B$16,'RE Calculations'!$C$12:$C$16,"ERROR - Check Input")/12,0)</f>
        <v>8.3333333333333339</v>
      </c>
      <c r="F68" s="142">
        <f t="shared" si="7"/>
        <v>0</v>
      </c>
      <c r="I68" s="12">
        <v>46</v>
      </c>
      <c r="J68" s="142">
        <f>IF(M67&gt;0.01,IF(I68&lt;=($J$9*12),$J$15,-PMT($J$11,($J$12-$J$9)*12,$J$6)+$J$13*_xlfn.XLOOKUP($K$13,'RE Calculations'!$B$12:$B$16,'RE Calculations'!$C$12:$C$16,"ERROR - Check Input")/12),0)</f>
        <v>0</v>
      </c>
      <c r="K68" s="142">
        <f t="shared" si="0"/>
        <v>0</v>
      </c>
      <c r="L68" s="142">
        <f>IF(I68&lt;=($J$9*12),$J$15,IFERROR(-IPMT($J$11,I68-$J$9*12,($J$12-$J$9)*12,$J$6)+$J$13*_xlfn.XLOOKUP($K$13,'RE Calculations'!$B$12:$B$16,'RE Calculations'!$C$12:$C$16,"ERROR - Check Input")/12,0))</f>
        <v>10</v>
      </c>
      <c r="M68" s="142">
        <f t="shared" si="1"/>
        <v>0</v>
      </c>
      <c r="P68" s="12">
        <v>46</v>
      </c>
      <c r="Q68" s="142">
        <f>IF(T67&gt;0.01,-PMT($Q$8,$Q$9*12,$Q$6)+$Q$10*_xlfn.XLOOKUP($R$10,'RE Calculations'!$B$12:$B$16,'RE Calculations'!$C$12:$C$16,"ERROR - Check Input")/12,0)</f>
        <v>0</v>
      </c>
      <c r="R68" s="142">
        <f t="shared" si="2"/>
        <v>0</v>
      </c>
      <c r="S68" s="142">
        <f>IFERROR(-IPMT($Q$8,P68,$Q$9*12,$Q$6)+$Q$10*_xlfn.XLOOKUP($R$10,'RE Calculations'!$B$12:$B$16,'RE Calculations'!$C$12:$C$16,"ERROR - Check Input")/12,0)</f>
        <v>8.3333333333333339</v>
      </c>
      <c r="T68" s="142">
        <f t="shared" si="3"/>
        <v>0</v>
      </c>
      <c r="W68" s="12">
        <v>46</v>
      </c>
      <c r="X68" s="142">
        <f>IF(AA67&gt;0.01,IF(W68&lt;=($X$9*12),$X$15,-PMT($X$11,($X$12-$X$9)*12,$X$6)+$X$13*_xlfn.XLOOKUP($Y$13,'RE Calculations'!$B$12:$B$16,'RE Calculations'!$C$12:$C$16,"ERROR - Check Input")/12),0)</f>
        <v>0</v>
      </c>
      <c r="Y68" s="142">
        <f t="shared" si="4"/>
        <v>0</v>
      </c>
      <c r="Z68" s="142">
        <f>IF(W68&lt;=($X$9*12),$X$15,IFERROR(-IPMT($X$11,W68-$X$9*12,($X$12-$X$9)*12,$X$6)+$X$13*_xlfn.XLOOKUP($Y$13,'RE Calculations'!$B$12:$B$16,'RE Calculations'!$C$12:$C$16,"ERROR - Check Input")/12,0))</f>
        <v>10</v>
      </c>
      <c r="AA68" s="142">
        <f t="shared" si="5"/>
        <v>0</v>
      </c>
    </row>
    <row r="69" spans="2:27" x14ac:dyDescent="0.35">
      <c r="B69" s="12">
        <v>47</v>
      </c>
      <c r="C69" s="142">
        <f>IF(F68&gt;0.01,-PMT($C$8,$C$9*12,$C$6)+$C$10*_xlfn.XLOOKUP($D$10,'RE Calculations'!$B$12:$B$16,'RE Calculations'!$C$12:$C$16,"ERROR - Check Input")/12,0)</f>
        <v>0</v>
      </c>
      <c r="D69" s="142">
        <f t="shared" si="6"/>
        <v>0</v>
      </c>
      <c r="E69" s="142">
        <f>IFERROR(-IPMT($C$8,B69,$C$9*12,$C$6)+$C$10*_xlfn.XLOOKUP($D$10,'RE Calculations'!$B$12:$B$16,'RE Calculations'!$C$12:$C$16,"ERROR - Check Input")/12,0)</f>
        <v>8.3333333333333339</v>
      </c>
      <c r="F69" s="142">
        <f t="shared" si="7"/>
        <v>0</v>
      </c>
      <c r="I69" s="12">
        <v>47</v>
      </c>
      <c r="J69" s="142">
        <f>IF(M68&gt;0.01,IF(I69&lt;=($J$9*12),$J$15,-PMT($J$11,($J$12-$J$9)*12,$J$6)+$J$13*_xlfn.XLOOKUP($K$13,'RE Calculations'!$B$12:$B$16,'RE Calculations'!$C$12:$C$16,"ERROR - Check Input")/12),0)</f>
        <v>0</v>
      </c>
      <c r="K69" s="142">
        <f t="shared" si="0"/>
        <v>0</v>
      </c>
      <c r="L69" s="142">
        <f>IF(I69&lt;=($J$9*12),$J$15,IFERROR(-IPMT($J$11,I69-$J$9*12,($J$12-$J$9)*12,$J$6)+$J$13*_xlfn.XLOOKUP($K$13,'RE Calculations'!$B$12:$B$16,'RE Calculations'!$C$12:$C$16,"ERROR - Check Input")/12,0))</f>
        <v>10</v>
      </c>
      <c r="M69" s="142">
        <f t="shared" si="1"/>
        <v>0</v>
      </c>
      <c r="P69" s="12">
        <v>47</v>
      </c>
      <c r="Q69" s="142">
        <f>IF(T68&gt;0.01,-PMT($Q$8,$Q$9*12,$Q$6)+$Q$10*_xlfn.XLOOKUP($R$10,'RE Calculations'!$B$12:$B$16,'RE Calculations'!$C$12:$C$16,"ERROR - Check Input")/12,0)</f>
        <v>0</v>
      </c>
      <c r="R69" s="142">
        <f t="shared" si="2"/>
        <v>0</v>
      </c>
      <c r="S69" s="142">
        <f>IFERROR(-IPMT($Q$8,P69,$Q$9*12,$Q$6)+$Q$10*_xlfn.XLOOKUP($R$10,'RE Calculations'!$B$12:$B$16,'RE Calculations'!$C$12:$C$16,"ERROR - Check Input")/12,0)</f>
        <v>8.3333333333333339</v>
      </c>
      <c r="T69" s="142">
        <f t="shared" si="3"/>
        <v>0</v>
      </c>
      <c r="W69" s="12">
        <v>47</v>
      </c>
      <c r="X69" s="142">
        <f>IF(AA68&gt;0.01,IF(W69&lt;=($X$9*12),$X$15,-PMT($X$11,($X$12-$X$9)*12,$X$6)+$X$13*_xlfn.XLOOKUP($Y$13,'RE Calculations'!$B$12:$B$16,'RE Calculations'!$C$12:$C$16,"ERROR - Check Input")/12),0)</f>
        <v>0</v>
      </c>
      <c r="Y69" s="142">
        <f t="shared" si="4"/>
        <v>0</v>
      </c>
      <c r="Z69" s="142">
        <f>IF(W69&lt;=($X$9*12),$X$15,IFERROR(-IPMT($X$11,W69-$X$9*12,($X$12-$X$9)*12,$X$6)+$X$13*_xlfn.XLOOKUP($Y$13,'RE Calculations'!$B$12:$B$16,'RE Calculations'!$C$12:$C$16,"ERROR - Check Input")/12,0))</f>
        <v>10</v>
      </c>
      <c r="AA69" s="142">
        <f t="shared" si="5"/>
        <v>0</v>
      </c>
    </row>
    <row r="70" spans="2:27" x14ac:dyDescent="0.35">
      <c r="B70" s="12">
        <v>48</v>
      </c>
      <c r="C70" s="142">
        <f>IF(F69&gt;0.01,-PMT($C$8,$C$9*12,$C$6)+$C$10*_xlfn.XLOOKUP($D$10,'RE Calculations'!$B$12:$B$16,'RE Calculations'!$C$12:$C$16,"ERROR - Check Input")/12,0)</f>
        <v>0</v>
      </c>
      <c r="D70" s="142">
        <f t="shared" si="6"/>
        <v>0</v>
      </c>
      <c r="E70" s="142">
        <f>IFERROR(-IPMT($C$8,B70,$C$9*12,$C$6)+$C$10*_xlfn.XLOOKUP($D$10,'RE Calculations'!$B$12:$B$16,'RE Calculations'!$C$12:$C$16,"ERROR - Check Input")/12,0)</f>
        <v>8.3333333333333339</v>
      </c>
      <c r="F70" s="142">
        <f t="shared" si="7"/>
        <v>0</v>
      </c>
      <c r="I70" s="12">
        <v>48</v>
      </c>
      <c r="J70" s="142">
        <f>IF(M69&gt;0.01,IF(I70&lt;=($J$9*12),$J$15,-PMT($J$11,($J$12-$J$9)*12,$J$6)+$J$13*_xlfn.XLOOKUP($K$13,'RE Calculations'!$B$12:$B$16,'RE Calculations'!$C$12:$C$16,"ERROR - Check Input")/12),0)</f>
        <v>0</v>
      </c>
      <c r="K70" s="142">
        <f t="shared" si="0"/>
        <v>0</v>
      </c>
      <c r="L70" s="142">
        <f>IF(I70&lt;=($J$9*12),$J$15,IFERROR(-IPMT($J$11,I70-$J$9*12,($J$12-$J$9)*12,$J$6)+$J$13*_xlfn.XLOOKUP($K$13,'RE Calculations'!$B$12:$B$16,'RE Calculations'!$C$12:$C$16,"ERROR - Check Input")/12,0))</f>
        <v>10</v>
      </c>
      <c r="M70" s="142">
        <f t="shared" si="1"/>
        <v>0</v>
      </c>
      <c r="P70" s="12">
        <v>48</v>
      </c>
      <c r="Q70" s="142">
        <f>IF(T69&gt;0.01,-PMT($Q$8,$Q$9*12,$Q$6)+$Q$10*_xlfn.XLOOKUP($R$10,'RE Calculations'!$B$12:$B$16,'RE Calculations'!$C$12:$C$16,"ERROR - Check Input")/12,0)</f>
        <v>0</v>
      </c>
      <c r="R70" s="142">
        <f t="shared" si="2"/>
        <v>0</v>
      </c>
      <c r="S70" s="142">
        <f>IFERROR(-IPMT($Q$8,P70,$Q$9*12,$Q$6)+$Q$10*_xlfn.XLOOKUP($R$10,'RE Calculations'!$B$12:$B$16,'RE Calculations'!$C$12:$C$16,"ERROR - Check Input")/12,0)</f>
        <v>8.3333333333333339</v>
      </c>
      <c r="T70" s="142">
        <f t="shared" si="3"/>
        <v>0</v>
      </c>
      <c r="W70" s="12">
        <v>48</v>
      </c>
      <c r="X70" s="142">
        <f>IF(AA69&gt;0.01,IF(W70&lt;=($X$9*12),$X$15,-PMT($X$11,($X$12-$X$9)*12,$X$6)+$X$13*_xlfn.XLOOKUP($Y$13,'RE Calculations'!$B$12:$B$16,'RE Calculations'!$C$12:$C$16,"ERROR - Check Input")/12),0)</f>
        <v>0</v>
      </c>
      <c r="Y70" s="142">
        <f t="shared" si="4"/>
        <v>0</v>
      </c>
      <c r="Z70" s="142">
        <f>IF(W70&lt;=($X$9*12),$X$15,IFERROR(-IPMT($X$11,W70-$X$9*12,($X$12-$X$9)*12,$X$6)+$X$13*_xlfn.XLOOKUP($Y$13,'RE Calculations'!$B$12:$B$16,'RE Calculations'!$C$12:$C$16,"ERROR - Check Input")/12,0))</f>
        <v>10</v>
      </c>
      <c r="AA70" s="142">
        <f t="shared" si="5"/>
        <v>0</v>
      </c>
    </row>
    <row r="71" spans="2:27" x14ac:dyDescent="0.35">
      <c r="B71" s="12">
        <v>49</v>
      </c>
      <c r="C71" s="142">
        <f>IF(F70&gt;0.01,-PMT($C$8,$C$9*12,$C$6)+$C$10*_xlfn.XLOOKUP($D$10,'RE Calculations'!$B$12:$B$16,'RE Calculations'!$C$12:$C$16,"ERROR - Check Input")/12,0)</f>
        <v>0</v>
      </c>
      <c r="D71" s="142">
        <f t="shared" si="6"/>
        <v>0</v>
      </c>
      <c r="E71" s="142">
        <f>IFERROR(-IPMT($C$8,B71,$C$9*12,$C$6)+$C$10*_xlfn.XLOOKUP($D$10,'RE Calculations'!$B$12:$B$16,'RE Calculations'!$C$12:$C$16,"ERROR - Check Input")/12,0)</f>
        <v>8.3333333333333339</v>
      </c>
      <c r="F71" s="142">
        <f t="shared" si="7"/>
        <v>0</v>
      </c>
      <c r="I71" s="12">
        <v>49</v>
      </c>
      <c r="J71" s="142">
        <f>IF(M70&gt;0.01,IF(I71&lt;=($J$9*12),$J$15,-PMT($J$11,($J$12-$J$9)*12,$J$6)+$J$13*_xlfn.XLOOKUP($K$13,'RE Calculations'!$B$12:$B$16,'RE Calculations'!$C$12:$C$16,"ERROR - Check Input")/12),0)</f>
        <v>0</v>
      </c>
      <c r="K71" s="142">
        <f t="shared" si="0"/>
        <v>0</v>
      </c>
      <c r="L71" s="142">
        <f>IF(I71&lt;=($J$9*12),$J$15,IFERROR(-IPMT($J$11,I71-$J$9*12,($J$12-$J$9)*12,$J$6)+$J$13*_xlfn.XLOOKUP($K$13,'RE Calculations'!$B$12:$B$16,'RE Calculations'!$C$12:$C$16,"ERROR - Check Input")/12,0))</f>
        <v>10</v>
      </c>
      <c r="M71" s="142">
        <f t="shared" si="1"/>
        <v>0</v>
      </c>
      <c r="P71" s="12">
        <v>49</v>
      </c>
      <c r="Q71" s="142">
        <f>IF(T70&gt;0.01,-PMT($Q$8,$Q$9*12,$Q$6)+$Q$10*_xlfn.XLOOKUP($R$10,'RE Calculations'!$B$12:$B$16,'RE Calculations'!$C$12:$C$16,"ERROR - Check Input")/12,0)</f>
        <v>0</v>
      </c>
      <c r="R71" s="142">
        <f t="shared" si="2"/>
        <v>0</v>
      </c>
      <c r="S71" s="142">
        <f>IFERROR(-IPMT($Q$8,P71,$Q$9*12,$Q$6)+$Q$10*_xlfn.XLOOKUP($R$10,'RE Calculations'!$B$12:$B$16,'RE Calculations'!$C$12:$C$16,"ERROR - Check Input")/12,0)</f>
        <v>8.3333333333333339</v>
      </c>
      <c r="T71" s="142">
        <f t="shared" si="3"/>
        <v>0</v>
      </c>
      <c r="W71" s="12">
        <v>49</v>
      </c>
      <c r="X71" s="142">
        <f>IF(AA70&gt;0.01,IF(W71&lt;=($X$9*12),$X$15,-PMT($X$11,($X$12-$X$9)*12,$X$6)+$X$13*_xlfn.XLOOKUP($Y$13,'RE Calculations'!$B$12:$B$16,'RE Calculations'!$C$12:$C$16,"ERROR - Check Input")/12),0)</f>
        <v>0</v>
      </c>
      <c r="Y71" s="142">
        <f t="shared" si="4"/>
        <v>0</v>
      </c>
      <c r="Z71" s="142">
        <f>IF(W71&lt;=($X$9*12),$X$15,IFERROR(-IPMT($X$11,W71-$X$9*12,($X$12-$X$9)*12,$X$6)+$X$13*_xlfn.XLOOKUP($Y$13,'RE Calculations'!$B$12:$B$16,'RE Calculations'!$C$12:$C$16,"ERROR - Check Input")/12,0))</f>
        <v>10</v>
      </c>
      <c r="AA71" s="142">
        <f t="shared" si="5"/>
        <v>0</v>
      </c>
    </row>
    <row r="72" spans="2:27" x14ac:dyDescent="0.35">
      <c r="B72" s="12">
        <v>50</v>
      </c>
      <c r="C72" s="142">
        <f>IF(F71&gt;0.01,-PMT($C$8,$C$9*12,$C$6)+$C$10*_xlfn.XLOOKUP($D$10,'RE Calculations'!$B$12:$B$16,'RE Calculations'!$C$12:$C$16,"ERROR - Check Input")/12,0)</f>
        <v>0</v>
      </c>
      <c r="D72" s="142">
        <f t="shared" si="6"/>
        <v>0</v>
      </c>
      <c r="E72" s="142">
        <f>IFERROR(-IPMT($C$8,B72,$C$9*12,$C$6)+$C$10*_xlfn.XLOOKUP($D$10,'RE Calculations'!$B$12:$B$16,'RE Calculations'!$C$12:$C$16,"ERROR - Check Input")/12,0)</f>
        <v>8.3333333333333339</v>
      </c>
      <c r="F72" s="142">
        <f t="shared" si="7"/>
        <v>0</v>
      </c>
      <c r="I72" s="12">
        <v>50</v>
      </c>
      <c r="J72" s="142">
        <f>IF(M71&gt;0.01,IF(I72&lt;=($J$9*12),$J$15,-PMT($J$11,($J$12-$J$9)*12,$J$6)+$J$13*_xlfn.XLOOKUP($K$13,'RE Calculations'!$B$12:$B$16,'RE Calculations'!$C$12:$C$16,"ERROR - Check Input")/12),0)</f>
        <v>0</v>
      </c>
      <c r="K72" s="142">
        <f t="shared" si="0"/>
        <v>0</v>
      </c>
      <c r="L72" s="142">
        <f>IF(I72&lt;=($J$9*12),$J$15,IFERROR(-IPMT($J$11,I72-$J$9*12,($J$12-$J$9)*12,$J$6)+$J$13*_xlfn.XLOOKUP($K$13,'RE Calculations'!$B$12:$B$16,'RE Calculations'!$C$12:$C$16,"ERROR - Check Input")/12,0))</f>
        <v>10</v>
      </c>
      <c r="M72" s="142">
        <f t="shared" si="1"/>
        <v>0</v>
      </c>
      <c r="P72" s="12">
        <v>50</v>
      </c>
      <c r="Q72" s="142">
        <f>IF(T71&gt;0.01,-PMT($Q$8,$Q$9*12,$Q$6)+$Q$10*_xlfn.XLOOKUP($R$10,'RE Calculations'!$B$12:$B$16,'RE Calculations'!$C$12:$C$16,"ERROR - Check Input")/12,0)</f>
        <v>0</v>
      </c>
      <c r="R72" s="142">
        <f t="shared" si="2"/>
        <v>0</v>
      </c>
      <c r="S72" s="142">
        <f>IFERROR(-IPMT($Q$8,P72,$Q$9*12,$Q$6)+$Q$10*_xlfn.XLOOKUP($R$10,'RE Calculations'!$B$12:$B$16,'RE Calculations'!$C$12:$C$16,"ERROR - Check Input")/12,0)</f>
        <v>8.3333333333333339</v>
      </c>
      <c r="T72" s="142">
        <f t="shared" si="3"/>
        <v>0</v>
      </c>
      <c r="W72" s="12">
        <v>50</v>
      </c>
      <c r="X72" s="142">
        <f>IF(AA71&gt;0.01,IF(W72&lt;=($X$9*12),$X$15,-PMT($X$11,($X$12-$X$9)*12,$X$6)+$X$13*_xlfn.XLOOKUP($Y$13,'RE Calculations'!$B$12:$B$16,'RE Calculations'!$C$12:$C$16,"ERROR - Check Input")/12),0)</f>
        <v>0</v>
      </c>
      <c r="Y72" s="142">
        <f t="shared" si="4"/>
        <v>0</v>
      </c>
      <c r="Z72" s="142">
        <f>IF(W72&lt;=($X$9*12),$X$15,IFERROR(-IPMT($X$11,W72-$X$9*12,($X$12-$X$9)*12,$X$6)+$X$13*_xlfn.XLOOKUP($Y$13,'RE Calculations'!$B$12:$B$16,'RE Calculations'!$C$12:$C$16,"ERROR - Check Input")/12,0))</f>
        <v>10</v>
      </c>
      <c r="AA72" s="142">
        <f t="shared" si="5"/>
        <v>0</v>
      </c>
    </row>
    <row r="73" spans="2:27" x14ac:dyDescent="0.35">
      <c r="B73" s="12">
        <v>51</v>
      </c>
      <c r="C73" s="142">
        <f>IF(F72&gt;0.01,-PMT($C$8,$C$9*12,$C$6)+$C$10*_xlfn.XLOOKUP($D$10,'RE Calculations'!$B$12:$B$16,'RE Calculations'!$C$12:$C$16,"ERROR - Check Input")/12,0)</f>
        <v>0</v>
      </c>
      <c r="D73" s="142">
        <f t="shared" si="6"/>
        <v>0</v>
      </c>
      <c r="E73" s="142">
        <f>IFERROR(-IPMT($C$8,B73,$C$9*12,$C$6)+$C$10*_xlfn.XLOOKUP($D$10,'RE Calculations'!$B$12:$B$16,'RE Calculations'!$C$12:$C$16,"ERROR - Check Input")/12,0)</f>
        <v>8.3333333333333339</v>
      </c>
      <c r="F73" s="142">
        <f t="shared" si="7"/>
        <v>0</v>
      </c>
      <c r="I73" s="12">
        <v>51</v>
      </c>
      <c r="J73" s="142">
        <f>IF(M72&gt;0.01,IF(I73&lt;=($J$9*12),$J$15,-PMT($J$11,($J$12-$J$9)*12,$J$6)+$J$13*_xlfn.XLOOKUP($K$13,'RE Calculations'!$B$12:$B$16,'RE Calculations'!$C$12:$C$16,"ERROR - Check Input")/12),0)</f>
        <v>0</v>
      </c>
      <c r="K73" s="142">
        <f t="shared" si="0"/>
        <v>0</v>
      </c>
      <c r="L73" s="142">
        <f>IF(I73&lt;=($J$9*12),$J$15,IFERROR(-IPMT($J$11,I73-$J$9*12,($J$12-$J$9)*12,$J$6)+$J$13*_xlfn.XLOOKUP($K$13,'RE Calculations'!$B$12:$B$16,'RE Calculations'!$C$12:$C$16,"ERROR - Check Input")/12,0))</f>
        <v>10</v>
      </c>
      <c r="M73" s="142">
        <f t="shared" si="1"/>
        <v>0</v>
      </c>
      <c r="P73" s="12">
        <v>51</v>
      </c>
      <c r="Q73" s="142">
        <f>IF(T72&gt;0.01,-PMT($Q$8,$Q$9*12,$Q$6)+$Q$10*_xlfn.XLOOKUP($R$10,'RE Calculations'!$B$12:$B$16,'RE Calculations'!$C$12:$C$16,"ERROR - Check Input")/12,0)</f>
        <v>0</v>
      </c>
      <c r="R73" s="142">
        <f t="shared" si="2"/>
        <v>0</v>
      </c>
      <c r="S73" s="142">
        <f>IFERROR(-IPMT($Q$8,P73,$Q$9*12,$Q$6)+$Q$10*_xlfn.XLOOKUP($R$10,'RE Calculations'!$B$12:$B$16,'RE Calculations'!$C$12:$C$16,"ERROR - Check Input")/12,0)</f>
        <v>8.3333333333333339</v>
      </c>
      <c r="T73" s="142">
        <f t="shared" si="3"/>
        <v>0</v>
      </c>
      <c r="W73" s="12">
        <v>51</v>
      </c>
      <c r="X73" s="142">
        <f>IF(AA72&gt;0.01,IF(W73&lt;=($X$9*12),$X$15,-PMT($X$11,($X$12-$X$9)*12,$X$6)+$X$13*_xlfn.XLOOKUP($Y$13,'RE Calculations'!$B$12:$B$16,'RE Calculations'!$C$12:$C$16,"ERROR - Check Input")/12),0)</f>
        <v>0</v>
      </c>
      <c r="Y73" s="142">
        <f t="shared" si="4"/>
        <v>0</v>
      </c>
      <c r="Z73" s="142">
        <f>IF(W73&lt;=($X$9*12),$X$15,IFERROR(-IPMT($X$11,W73-$X$9*12,($X$12-$X$9)*12,$X$6)+$X$13*_xlfn.XLOOKUP($Y$13,'RE Calculations'!$B$12:$B$16,'RE Calculations'!$C$12:$C$16,"ERROR - Check Input")/12,0))</f>
        <v>10</v>
      </c>
      <c r="AA73" s="142">
        <f t="shared" si="5"/>
        <v>0</v>
      </c>
    </row>
    <row r="74" spans="2:27" x14ac:dyDescent="0.35">
      <c r="B74" s="12">
        <v>52</v>
      </c>
      <c r="C74" s="142">
        <f>IF(F73&gt;0.01,-PMT($C$8,$C$9*12,$C$6)+$C$10*_xlfn.XLOOKUP($D$10,'RE Calculations'!$B$12:$B$16,'RE Calculations'!$C$12:$C$16,"ERROR - Check Input")/12,0)</f>
        <v>0</v>
      </c>
      <c r="D74" s="142">
        <f t="shared" si="6"/>
        <v>0</v>
      </c>
      <c r="E74" s="142">
        <f>IFERROR(-IPMT($C$8,B74,$C$9*12,$C$6)+$C$10*_xlfn.XLOOKUP($D$10,'RE Calculations'!$B$12:$B$16,'RE Calculations'!$C$12:$C$16,"ERROR - Check Input")/12,0)</f>
        <v>8.3333333333333339</v>
      </c>
      <c r="F74" s="142">
        <f t="shared" si="7"/>
        <v>0</v>
      </c>
      <c r="I74" s="12">
        <v>52</v>
      </c>
      <c r="J74" s="142">
        <f>IF(M73&gt;0.01,IF(I74&lt;=($J$9*12),$J$15,-PMT($J$11,($J$12-$J$9)*12,$J$6)+$J$13*_xlfn.XLOOKUP($K$13,'RE Calculations'!$B$12:$B$16,'RE Calculations'!$C$12:$C$16,"ERROR - Check Input")/12),0)</f>
        <v>0</v>
      </c>
      <c r="K74" s="142">
        <f t="shared" si="0"/>
        <v>0</v>
      </c>
      <c r="L74" s="142">
        <f>IF(I74&lt;=($J$9*12),$J$15,IFERROR(-IPMT($J$11,I74-$J$9*12,($J$12-$J$9)*12,$J$6)+$J$13*_xlfn.XLOOKUP($K$13,'RE Calculations'!$B$12:$B$16,'RE Calculations'!$C$12:$C$16,"ERROR - Check Input")/12,0))</f>
        <v>10</v>
      </c>
      <c r="M74" s="142">
        <f t="shared" si="1"/>
        <v>0</v>
      </c>
      <c r="P74" s="12">
        <v>52</v>
      </c>
      <c r="Q74" s="142">
        <f>IF(T73&gt;0.01,-PMT($Q$8,$Q$9*12,$Q$6)+$Q$10*_xlfn.XLOOKUP($R$10,'RE Calculations'!$B$12:$B$16,'RE Calculations'!$C$12:$C$16,"ERROR - Check Input")/12,0)</f>
        <v>0</v>
      </c>
      <c r="R74" s="142">
        <f t="shared" si="2"/>
        <v>0</v>
      </c>
      <c r="S74" s="142">
        <f>IFERROR(-IPMT($Q$8,P74,$Q$9*12,$Q$6)+$Q$10*_xlfn.XLOOKUP($R$10,'RE Calculations'!$B$12:$B$16,'RE Calculations'!$C$12:$C$16,"ERROR - Check Input")/12,0)</f>
        <v>8.3333333333333339</v>
      </c>
      <c r="T74" s="142">
        <f t="shared" si="3"/>
        <v>0</v>
      </c>
      <c r="W74" s="12">
        <v>52</v>
      </c>
      <c r="X74" s="142">
        <f>IF(AA73&gt;0.01,IF(W74&lt;=($X$9*12),$X$15,-PMT($X$11,($X$12-$X$9)*12,$X$6)+$X$13*_xlfn.XLOOKUP($Y$13,'RE Calculations'!$B$12:$B$16,'RE Calculations'!$C$12:$C$16,"ERROR - Check Input")/12),0)</f>
        <v>0</v>
      </c>
      <c r="Y74" s="142">
        <f t="shared" si="4"/>
        <v>0</v>
      </c>
      <c r="Z74" s="142">
        <f>IF(W74&lt;=($X$9*12),$X$15,IFERROR(-IPMT($X$11,W74-$X$9*12,($X$12-$X$9)*12,$X$6)+$X$13*_xlfn.XLOOKUP($Y$13,'RE Calculations'!$B$12:$B$16,'RE Calculations'!$C$12:$C$16,"ERROR - Check Input")/12,0))</f>
        <v>10</v>
      </c>
      <c r="AA74" s="142">
        <f t="shared" si="5"/>
        <v>0</v>
      </c>
    </row>
    <row r="75" spans="2:27" x14ac:dyDescent="0.35">
      <c r="B75" s="12">
        <v>53</v>
      </c>
      <c r="C75" s="142">
        <f>IF(F74&gt;0.01,-PMT($C$8,$C$9*12,$C$6)+$C$10*_xlfn.XLOOKUP($D$10,'RE Calculations'!$B$12:$B$16,'RE Calculations'!$C$12:$C$16,"ERROR - Check Input")/12,0)</f>
        <v>0</v>
      </c>
      <c r="D75" s="142">
        <f t="shared" si="6"/>
        <v>0</v>
      </c>
      <c r="E75" s="142">
        <f>IFERROR(-IPMT($C$8,B75,$C$9*12,$C$6)+$C$10*_xlfn.XLOOKUP($D$10,'RE Calculations'!$B$12:$B$16,'RE Calculations'!$C$12:$C$16,"ERROR - Check Input")/12,0)</f>
        <v>8.3333333333333339</v>
      </c>
      <c r="F75" s="142">
        <f t="shared" si="7"/>
        <v>0</v>
      </c>
      <c r="I75" s="12">
        <v>53</v>
      </c>
      <c r="J75" s="142">
        <f>IF(M74&gt;0.01,IF(I75&lt;=($J$9*12),$J$15,-PMT($J$11,($J$12-$J$9)*12,$J$6)+$J$13*_xlfn.XLOOKUP($K$13,'RE Calculations'!$B$12:$B$16,'RE Calculations'!$C$12:$C$16,"ERROR - Check Input")/12),0)</f>
        <v>0</v>
      </c>
      <c r="K75" s="142">
        <f t="shared" si="0"/>
        <v>0</v>
      </c>
      <c r="L75" s="142">
        <f>IF(I75&lt;=($J$9*12),$J$15,IFERROR(-IPMT($J$11,I75-$J$9*12,($J$12-$J$9)*12,$J$6)+$J$13*_xlfn.XLOOKUP($K$13,'RE Calculations'!$B$12:$B$16,'RE Calculations'!$C$12:$C$16,"ERROR - Check Input")/12,0))</f>
        <v>10</v>
      </c>
      <c r="M75" s="142">
        <f t="shared" si="1"/>
        <v>0</v>
      </c>
      <c r="P75" s="12">
        <v>53</v>
      </c>
      <c r="Q75" s="142">
        <f>IF(T74&gt;0.01,-PMT($Q$8,$Q$9*12,$Q$6)+$Q$10*_xlfn.XLOOKUP($R$10,'RE Calculations'!$B$12:$B$16,'RE Calculations'!$C$12:$C$16,"ERROR - Check Input")/12,0)</f>
        <v>0</v>
      </c>
      <c r="R75" s="142">
        <f t="shared" si="2"/>
        <v>0</v>
      </c>
      <c r="S75" s="142">
        <f>IFERROR(-IPMT($Q$8,P75,$Q$9*12,$Q$6)+$Q$10*_xlfn.XLOOKUP($R$10,'RE Calculations'!$B$12:$B$16,'RE Calculations'!$C$12:$C$16,"ERROR - Check Input")/12,0)</f>
        <v>8.3333333333333339</v>
      </c>
      <c r="T75" s="142">
        <f t="shared" si="3"/>
        <v>0</v>
      </c>
      <c r="W75" s="12">
        <v>53</v>
      </c>
      <c r="X75" s="142">
        <f>IF(AA74&gt;0.01,IF(W75&lt;=($X$9*12),$X$15,-PMT($X$11,($X$12-$X$9)*12,$X$6)+$X$13*_xlfn.XLOOKUP($Y$13,'RE Calculations'!$B$12:$B$16,'RE Calculations'!$C$12:$C$16,"ERROR - Check Input")/12),0)</f>
        <v>0</v>
      </c>
      <c r="Y75" s="142">
        <f t="shared" si="4"/>
        <v>0</v>
      </c>
      <c r="Z75" s="142">
        <f>IF(W75&lt;=($X$9*12),$X$15,IFERROR(-IPMT($X$11,W75-$X$9*12,($X$12-$X$9)*12,$X$6)+$X$13*_xlfn.XLOOKUP($Y$13,'RE Calculations'!$B$12:$B$16,'RE Calculations'!$C$12:$C$16,"ERROR - Check Input")/12,0))</f>
        <v>10</v>
      </c>
      <c r="AA75" s="142">
        <f t="shared" si="5"/>
        <v>0</v>
      </c>
    </row>
    <row r="76" spans="2:27" x14ac:dyDescent="0.35">
      <c r="B76" s="12">
        <v>54</v>
      </c>
      <c r="C76" s="142">
        <f>IF(F75&gt;0.01,-PMT($C$8,$C$9*12,$C$6)+$C$10*_xlfn.XLOOKUP($D$10,'RE Calculations'!$B$12:$B$16,'RE Calculations'!$C$12:$C$16,"ERROR - Check Input")/12,0)</f>
        <v>0</v>
      </c>
      <c r="D76" s="142">
        <f t="shared" si="6"/>
        <v>0</v>
      </c>
      <c r="E76" s="142">
        <f>IFERROR(-IPMT($C$8,B76,$C$9*12,$C$6)+$C$10*_xlfn.XLOOKUP($D$10,'RE Calculations'!$B$12:$B$16,'RE Calculations'!$C$12:$C$16,"ERROR - Check Input")/12,0)</f>
        <v>8.3333333333333339</v>
      </c>
      <c r="F76" s="142">
        <f t="shared" si="7"/>
        <v>0</v>
      </c>
      <c r="I76" s="12">
        <v>54</v>
      </c>
      <c r="J76" s="142">
        <f>IF(M75&gt;0.01,IF(I76&lt;=($J$9*12),$J$15,-PMT($J$11,($J$12-$J$9)*12,$J$6)+$J$13*_xlfn.XLOOKUP($K$13,'RE Calculations'!$B$12:$B$16,'RE Calculations'!$C$12:$C$16,"ERROR - Check Input")/12),0)</f>
        <v>0</v>
      </c>
      <c r="K76" s="142">
        <f t="shared" si="0"/>
        <v>0</v>
      </c>
      <c r="L76" s="142">
        <f>IF(I76&lt;=($J$9*12),$J$15,IFERROR(-IPMT($J$11,I76-$J$9*12,($J$12-$J$9)*12,$J$6)+$J$13*_xlfn.XLOOKUP($K$13,'RE Calculations'!$B$12:$B$16,'RE Calculations'!$C$12:$C$16,"ERROR - Check Input")/12,0))</f>
        <v>10</v>
      </c>
      <c r="M76" s="142">
        <f t="shared" si="1"/>
        <v>0</v>
      </c>
      <c r="P76" s="12">
        <v>54</v>
      </c>
      <c r="Q76" s="142">
        <f>IF(T75&gt;0.01,-PMT($Q$8,$Q$9*12,$Q$6)+$Q$10*_xlfn.XLOOKUP($R$10,'RE Calculations'!$B$12:$B$16,'RE Calculations'!$C$12:$C$16,"ERROR - Check Input")/12,0)</f>
        <v>0</v>
      </c>
      <c r="R76" s="142">
        <f t="shared" si="2"/>
        <v>0</v>
      </c>
      <c r="S76" s="142">
        <f>IFERROR(-IPMT($Q$8,P76,$Q$9*12,$Q$6)+$Q$10*_xlfn.XLOOKUP($R$10,'RE Calculations'!$B$12:$B$16,'RE Calculations'!$C$12:$C$16,"ERROR - Check Input")/12,0)</f>
        <v>8.3333333333333339</v>
      </c>
      <c r="T76" s="142">
        <f t="shared" si="3"/>
        <v>0</v>
      </c>
      <c r="W76" s="12">
        <v>54</v>
      </c>
      <c r="X76" s="142">
        <f>IF(AA75&gt;0.01,IF(W76&lt;=($X$9*12),$X$15,-PMT($X$11,($X$12-$X$9)*12,$X$6)+$X$13*_xlfn.XLOOKUP($Y$13,'RE Calculations'!$B$12:$B$16,'RE Calculations'!$C$12:$C$16,"ERROR - Check Input")/12),0)</f>
        <v>0</v>
      </c>
      <c r="Y76" s="142">
        <f t="shared" si="4"/>
        <v>0</v>
      </c>
      <c r="Z76" s="142">
        <f>IF(W76&lt;=($X$9*12),$X$15,IFERROR(-IPMT($X$11,W76-$X$9*12,($X$12-$X$9)*12,$X$6)+$X$13*_xlfn.XLOOKUP($Y$13,'RE Calculations'!$B$12:$B$16,'RE Calculations'!$C$12:$C$16,"ERROR - Check Input")/12,0))</f>
        <v>10</v>
      </c>
      <c r="AA76" s="142">
        <f t="shared" si="5"/>
        <v>0</v>
      </c>
    </row>
    <row r="77" spans="2:27" x14ac:dyDescent="0.35">
      <c r="B77" s="12">
        <v>55</v>
      </c>
      <c r="C77" s="142">
        <f>IF(F76&gt;0.01,-PMT($C$8,$C$9*12,$C$6)+$C$10*_xlfn.XLOOKUP($D$10,'RE Calculations'!$B$12:$B$16,'RE Calculations'!$C$12:$C$16,"ERROR - Check Input")/12,0)</f>
        <v>0</v>
      </c>
      <c r="D77" s="142">
        <f t="shared" si="6"/>
        <v>0</v>
      </c>
      <c r="E77" s="142">
        <f>IFERROR(-IPMT($C$8,B77,$C$9*12,$C$6)+$C$10*_xlfn.XLOOKUP($D$10,'RE Calculations'!$B$12:$B$16,'RE Calculations'!$C$12:$C$16,"ERROR - Check Input")/12,0)</f>
        <v>8.3333333333333339</v>
      </c>
      <c r="F77" s="142">
        <f t="shared" si="7"/>
        <v>0</v>
      </c>
      <c r="I77" s="12">
        <v>55</v>
      </c>
      <c r="J77" s="142">
        <f>IF(M76&gt;0.01,IF(I77&lt;=($J$9*12),$J$15,-PMT($J$11,($J$12-$J$9)*12,$J$6)+$J$13*_xlfn.XLOOKUP($K$13,'RE Calculations'!$B$12:$B$16,'RE Calculations'!$C$12:$C$16,"ERROR - Check Input")/12),0)</f>
        <v>0</v>
      </c>
      <c r="K77" s="142">
        <f t="shared" si="0"/>
        <v>0</v>
      </c>
      <c r="L77" s="142">
        <f>IF(I77&lt;=($J$9*12),$J$15,IFERROR(-IPMT($J$11,I77-$J$9*12,($J$12-$J$9)*12,$J$6)+$J$13*_xlfn.XLOOKUP($K$13,'RE Calculations'!$B$12:$B$16,'RE Calculations'!$C$12:$C$16,"ERROR - Check Input")/12,0))</f>
        <v>10</v>
      </c>
      <c r="M77" s="142">
        <f t="shared" si="1"/>
        <v>0</v>
      </c>
      <c r="P77" s="12">
        <v>55</v>
      </c>
      <c r="Q77" s="142">
        <f>IF(T76&gt;0.01,-PMT($Q$8,$Q$9*12,$Q$6)+$Q$10*_xlfn.XLOOKUP($R$10,'RE Calculations'!$B$12:$B$16,'RE Calculations'!$C$12:$C$16,"ERROR - Check Input")/12,0)</f>
        <v>0</v>
      </c>
      <c r="R77" s="142">
        <f t="shared" si="2"/>
        <v>0</v>
      </c>
      <c r="S77" s="142">
        <f>IFERROR(-IPMT($Q$8,P77,$Q$9*12,$Q$6)+$Q$10*_xlfn.XLOOKUP($R$10,'RE Calculations'!$B$12:$B$16,'RE Calculations'!$C$12:$C$16,"ERROR - Check Input")/12,0)</f>
        <v>8.3333333333333339</v>
      </c>
      <c r="T77" s="142">
        <f t="shared" si="3"/>
        <v>0</v>
      </c>
      <c r="W77" s="12">
        <v>55</v>
      </c>
      <c r="X77" s="142">
        <f>IF(AA76&gt;0.01,IF(W77&lt;=($X$9*12),$X$15,-PMT($X$11,($X$12-$X$9)*12,$X$6)+$X$13*_xlfn.XLOOKUP($Y$13,'RE Calculations'!$B$12:$B$16,'RE Calculations'!$C$12:$C$16,"ERROR - Check Input")/12),0)</f>
        <v>0</v>
      </c>
      <c r="Y77" s="142">
        <f t="shared" si="4"/>
        <v>0</v>
      </c>
      <c r="Z77" s="142">
        <f>IF(W77&lt;=($X$9*12),$X$15,IFERROR(-IPMT($X$11,W77-$X$9*12,($X$12-$X$9)*12,$X$6)+$X$13*_xlfn.XLOOKUP($Y$13,'RE Calculations'!$B$12:$B$16,'RE Calculations'!$C$12:$C$16,"ERROR - Check Input")/12,0))</f>
        <v>10</v>
      </c>
      <c r="AA77" s="142">
        <f t="shared" si="5"/>
        <v>0</v>
      </c>
    </row>
    <row r="78" spans="2:27" x14ac:dyDescent="0.35">
      <c r="B78" s="12">
        <v>56</v>
      </c>
      <c r="C78" s="142">
        <f>IF(F77&gt;0.01,-PMT($C$8,$C$9*12,$C$6)+$C$10*_xlfn.XLOOKUP($D$10,'RE Calculations'!$B$12:$B$16,'RE Calculations'!$C$12:$C$16,"ERROR - Check Input")/12,0)</f>
        <v>0</v>
      </c>
      <c r="D78" s="142">
        <f t="shared" si="6"/>
        <v>0</v>
      </c>
      <c r="E78" s="142">
        <f>IFERROR(-IPMT($C$8,B78,$C$9*12,$C$6)+$C$10*_xlfn.XLOOKUP($D$10,'RE Calculations'!$B$12:$B$16,'RE Calculations'!$C$12:$C$16,"ERROR - Check Input")/12,0)</f>
        <v>8.3333333333333339</v>
      </c>
      <c r="F78" s="142">
        <f t="shared" si="7"/>
        <v>0</v>
      </c>
      <c r="I78" s="12">
        <v>56</v>
      </c>
      <c r="J78" s="142">
        <f>IF(M77&gt;0.01,IF(I78&lt;=($J$9*12),$J$15,-PMT($J$11,($J$12-$J$9)*12,$J$6)+$J$13*_xlfn.XLOOKUP($K$13,'RE Calculations'!$B$12:$B$16,'RE Calculations'!$C$12:$C$16,"ERROR - Check Input")/12),0)</f>
        <v>0</v>
      </c>
      <c r="K78" s="142">
        <f t="shared" si="0"/>
        <v>0</v>
      </c>
      <c r="L78" s="142">
        <f>IF(I78&lt;=($J$9*12),$J$15,IFERROR(-IPMT($J$11,I78-$J$9*12,($J$12-$J$9)*12,$J$6)+$J$13*_xlfn.XLOOKUP($K$13,'RE Calculations'!$B$12:$B$16,'RE Calculations'!$C$12:$C$16,"ERROR - Check Input")/12,0))</f>
        <v>10</v>
      </c>
      <c r="M78" s="142">
        <f t="shared" si="1"/>
        <v>0</v>
      </c>
      <c r="P78" s="12">
        <v>56</v>
      </c>
      <c r="Q78" s="142">
        <f>IF(T77&gt;0.01,-PMT($Q$8,$Q$9*12,$Q$6)+$Q$10*_xlfn.XLOOKUP($R$10,'RE Calculations'!$B$12:$B$16,'RE Calculations'!$C$12:$C$16,"ERROR - Check Input")/12,0)</f>
        <v>0</v>
      </c>
      <c r="R78" s="142">
        <f t="shared" si="2"/>
        <v>0</v>
      </c>
      <c r="S78" s="142">
        <f>IFERROR(-IPMT($Q$8,P78,$Q$9*12,$Q$6)+$Q$10*_xlfn.XLOOKUP($R$10,'RE Calculations'!$B$12:$B$16,'RE Calculations'!$C$12:$C$16,"ERROR - Check Input")/12,0)</f>
        <v>8.3333333333333339</v>
      </c>
      <c r="T78" s="142">
        <f t="shared" si="3"/>
        <v>0</v>
      </c>
      <c r="W78" s="12">
        <v>56</v>
      </c>
      <c r="X78" s="142">
        <f>IF(AA77&gt;0.01,IF(W78&lt;=($X$9*12),$X$15,-PMT($X$11,($X$12-$X$9)*12,$X$6)+$X$13*_xlfn.XLOOKUP($Y$13,'RE Calculations'!$B$12:$B$16,'RE Calculations'!$C$12:$C$16,"ERROR - Check Input")/12),0)</f>
        <v>0</v>
      </c>
      <c r="Y78" s="142">
        <f t="shared" si="4"/>
        <v>0</v>
      </c>
      <c r="Z78" s="142">
        <f>IF(W78&lt;=($X$9*12),$X$15,IFERROR(-IPMT($X$11,W78-$X$9*12,($X$12-$X$9)*12,$X$6)+$X$13*_xlfn.XLOOKUP($Y$13,'RE Calculations'!$B$12:$B$16,'RE Calculations'!$C$12:$C$16,"ERROR - Check Input")/12,0))</f>
        <v>10</v>
      </c>
      <c r="AA78" s="142">
        <f t="shared" si="5"/>
        <v>0</v>
      </c>
    </row>
    <row r="79" spans="2:27" x14ac:dyDescent="0.35">
      <c r="B79" s="12">
        <v>57</v>
      </c>
      <c r="C79" s="142">
        <f>IF(F78&gt;0.01,-PMT($C$8,$C$9*12,$C$6)+$C$10*_xlfn.XLOOKUP($D$10,'RE Calculations'!$B$12:$B$16,'RE Calculations'!$C$12:$C$16,"ERROR - Check Input")/12,0)</f>
        <v>0</v>
      </c>
      <c r="D79" s="142">
        <f t="shared" si="6"/>
        <v>0</v>
      </c>
      <c r="E79" s="142">
        <f>IFERROR(-IPMT($C$8,B79,$C$9*12,$C$6)+$C$10*_xlfn.XLOOKUP($D$10,'RE Calculations'!$B$12:$B$16,'RE Calculations'!$C$12:$C$16,"ERROR - Check Input")/12,0)</f>
        <v>8.3333333333333339</v>
      </c>
      <c r="F79" s="142">
        <f t="shared" si="7"/>
        <v>0</v>
      </c>
      <c r="I79" s="12">
        <v>57</v>
      </c>
      <c r="J79" s="142">
        <f>IF(M78&gt;0.01,IF(I79&lt;=($J$9*12),$J$15,-PMT($J$11,($J$12-$J$9)*12,$J$6)+$J$13*_xlfn.XLOOKUP($K$13,'RE Calculations'!$B$12:$B$16,'RE Calculations'!$C$12:$C$16,"ERROR - Check Input")/12),0)</f>
        <v>0</v>
      </c>
      <c r="K79" s="142">
        <f t="shared" si="0"/>
        <v>0</v>
      </c>
      <c r="L79" s="142">
        <f>IF(I79&lt;=($J$9*12),$J$15,IFERROR(-IPMT($J$11,I79-$J$9*12,($J$12-$J$9)*12,$J$6)+$J$13*_xlfn.XLOOKUP($K$13,'RE Calculations'!$B$12:$B$16,'RE Calculations'!$C$12:$C$16,"ERROR - Check Input")/12,0))</f>
        <v>10</v>
      </c>
      <c r="M79" s="142">
        <f t="shared" si="1"/>
        <v>0</v>
      </c>
      <c r="P79" s="12">
        <v>57</v>
      </c>
      <c r="Q79" s="142">
        <f>IF(T78&gt;0.01,-PMT($Q$8,$Q$9*12,$Q$6)+$Q$10*_xlfn.XLOOKUP($R$10,'RE Calculations'!$B$12:$B$16,'RE Calculations'!$C$12:$C$16,"ERROR - Check Input")/12,0)</f>
        <v>0</v>
      </c>
      <c r="R79" s="142">
        <f t="shared" si="2"/>
        <v>0</v>
      </c>
      <c r="S79" s="142">
        <f>IFERROR(-IPMT($Q$8,P79,$Q$9*12,$Q$6)+$Q$10*_xlfn.XLOOKUP($R$10,'RE Calculations'!$B$12:$B$16,'RE Calculations'!$C$12:$C$16,"ERROR - Check Input")/12,0)</f>
        <v>8.3333333333333339</v>
      </c>
      <c r="T79" s="142">
        <f t="shared" si="3"/>
        <v>0</v>
      </c>
      <c r="W79" s="12">
        <v>57</v>
      </c>
      <c r="X79" s="142">
        <f>IF(AA78&gt;0.01,IF(W79&lt;=($X$9*12),$X$15,-PMT($X$11,($X$12-$X$9)*12,$X$6)+$X$13*_xlfn.XLOOKUP($Y$13,'RE Calculations'!$B$12:$B$16,'RE Calculations'!$C$12:$C$16,"ERROR - Check Input")/12),0)</f>
        <v>0</v>
      </c>
      <c r="Y79" s="142">
        <f t="shared" si="4"/>
        <v>0</v>
      </c>
      <c r="Z79" s="142">
        <f>IF(W79&lt;=($X$9*12),$X$15,IFERROR(-IPMT($X$11,W79-$X$9*12,($X$12-$X$9)*12,$X$6)+$X$13*_xlfn.XLOOKUP($Y$13,'RE Calculations'!$B$12:$B$16,'RE Calculations'!$C$12:$C$16,"ERROR - Check Input")/12,0))</f>
        <v>10</v>
      </c>
      <c r="AA79" s="142">
        <f t="shared" si="5"/>
        <v>0</v>
      </c>
    </row>
    <row r="80" spans="2:27" x14ac:dyDescent="0.35">
      <c r="B80" s="12">
        <v>58</v>
      </c>
      <c r="C80" s="142">
        <f>IF(F79&gt;0.01,-PMT($C$8,$C$9*12,$C$6)+$C$10*_xlfn.XLOOKUP($D$10,'RE Calculations'!$B$12:$B$16,'RE Calculations'!$C$12:$C$16,"ERROR - Check Input")/12,0)</f>
        <v>0</v>
      </c>
      <c r="D80" s="142">
        <f t="shared" si="6"/>
        <v>0</v>
      </c>
      <c r="E80" s="142">
        <f>IFERROR(-IPMT($C$8,B80,$C$9*12,$C$6)+$C$10*_xlfn.XLOOKUP($D$10,'RE Calculations'!$B$12:$B$16,'RE Calculations'!$C$12:$C$16,"ERROR - Check Input")/12,0)</f>
        <v>8.3333333333333339</v>
      </c>
      <c r="F80" s="142">
        <f t="shared" si="7"/>
        <v>0</v>
      </c>
      <c r="I80" s="12">
        <v>58</v>
      </c>
      <c r="J80" s="142">
        <f>IF(M79&gt;0.01,IF(I80&lt;=($J$9*12),$J$15,-PMT($J$11,($J$12-$J$9)*12,$J$6)+$J$13*_xlfn.XLOOKUP($K$13,'RE Calculations'!$B$12:$B$16,'RE Calculations'!$C$12:$C$16,"ERROR - Check Input")/12),0)</f>
        <v>0</v>
      </c>
      <c r="K80" s="142">
        <f t="shared" si="0"/>
        <v>0</v>
      </c>
      <c r="L80" s="142">
        <f>IF(I80&lt;=($J$9*12),$J$15,IFERROR(-IPMT($J$11,I80-$J$9*12,($J$12-$J$9)*12,$J$6)+$J$13*_xlfn.XLOOKUP($K$13,'RE Calculations'!$B$12:$B$16,'RE Calculations'!$C$12:$C$16,"ERROR - Check Input")/12,0))</f>
        <v>10</v>
      </c>
      <c r="M80" s="142">
        <f t="shared" si="1"/>
        <v>0</v>
      </c>
      <c r="P80" s="12">
        <v>58</v>
      </c>
      <c r="Q80" s="142">
        <f>IF(T79&gt;0.01,-PMT($Q$8,$Q$9*12,$Q$6)+$Q$10*_xlfn.XLOOKUP($R$10,'RE Calculations'!$B$12:$B$16,'RE Calculations'!$C$12:$C$16,"ERROR - Check Input")/12,0)</f>
        <v>0</v>
      </c>
      <c r="R80" s="142">
        <f t="shared" si="2"/>
        <v>0</v>
      </c>
      <c r="S80" s="142">
        <f>IFERROR(-IPMT($Q$8,P80,$Q$9*12,$Q$6)+$Q$10*_xlfn.XLOOKUP($R$10,'RE Calculations'!$B$12:$B$16,'RE Calculations'!$C$12:$C$16,"ERROR - Check Input")/12,0)</f>
        <v>8.3333333333333339</v>
      </c>
      <c r="T80" s="142">
        <f t="shared" si="3"/>
        <v>0</v>
      </c>
      <c r="W80" s="12">
        <v>58</v>
      </c>
      <c r="X80" s="142">
        <f>IF(AA79&gt;0.01,IF(W80&lt;=($X$9*12),$X$15,-PMT($X$11,($X$12-$X$9)*12,$X$6)+$X$13*_xlfn.XLOOKUP($Y$13,'RE Calculations'!$B$12:$B$16,'RE Calculations'!$C$12:$C$16,"ERROR - Check Input")/12),0)</f>
        <v>0</v>
      </c>
      <c r="Y80" s="142">
        <f t="shared" si="4"/>
        <v>0</v>
      </c>
      <c r="Z80" s="142">
        <f>IF(W80&lt;=($X$9*12),$X$15,IFERROR(-IPMT($X$11,W80-$X$9*12,($X$12-$X$9)*12,$X$6)+$X$13*_xlfn.XLOOKUP($Y$13,'RE Calculations'!$B$12:$B$16,'RE Calculations'!$C$12:$C$16,"ERROR - Check Input")/12,0))</f>
        <v>10</v>
      </c>
      <c r="AA80" s="142">
        <f t="shared" si="5"/>
        <v>0</v>
      </c>
    </row>
    <row r="81" spans="2:27" x14ac:dyDescent="0.35">
      <c r="B81" s="12">
        <v>59</v>
      </c>
      <c r="C81" s="142">
        <f>IF(F80&gt;0.01,-PMT($C$8,$C$9*12,$C$6)+$C$10*_xlfn.XLOOKUP($D$10,'RE Calculations'!$B$12:$B$16,'RE Calculations'!$C$12:$C$16,"ERROR - Check Input")/12,0)</f>
        <v>0</v>
      </c>
      <c r="D81" s="142">
        <f t="shared" si="6"/>
        <v>0</v>
      </c>
      <c r="E81" s="142">
        <f>IFERROR(-IPMT($C$8,B81,$C$9*12,$C$6)+$C$10*_xlfn.XLOOKUP($D$10,'RE Calculations'!$B$12:$B$16,'RE Calculations'!$C$12:$C$16,"ERROR - Check Input")/12,0)</f>
        <v>8.3333333333333339</v>
      </c>
      <c r="F81" s="142">
        <f t="shared" si="7"/>
        <v>0</v>
      </c>
      <c r="I81" s="12">
        <v>59</v>
      </c>
      <c r="J81" s="142">
        <f>IF(M80&gt;0.01,IF(I81&lt;=($J$9*12),$J$15,-PMT($J$11,($J$12-$J$9)*12,$J$6)+$J$13*_xlfn.XLOOKUP($K$13,'RE Calculations'!$B$12:$B$16,'RE Calculations'!$C$12:$C$16,"ERROR - Check Input")/12),0)</f>
        <v>0</v>
      </c>
      <c r="K81" s="142">
        <f t="shared" si="0"/>
        <v>0</v>
      </c>
      <c r="L81" s="142">
        <f>IF(I81&lt;=($J$9*12),$J$15,IFERROR(-IPMT($J$11,I81-$J$9*12,($J$12-$J$9)*12,$J$6)+$J$13*_xlfn.XLOOKUP($K$13,'RE Calculations'!$B$12:$B$16,'RE Calculations'!$C$12:$C$16,"ERROR - Check Input")/12,0))</f>
        <v>10</v>
      </c>
      <c r="M81" s="142">
        <f t="shared" si="1"/>
        <v>0</v>
      </c>
      <c r="P81" s="12">
        <v>59</v>
      </c>
      <c r="Q81" s="142">
        <f>IF(T80&gt;0.01,-PMT($Q$8,$Q$9*12,$Q$6)+$Q$10*_xlfn.XLOOKUP($R$10,'RE Calculations'!$B$12:$B$16,'RE Calculations'!$C$12:$C$16,"ERROR - Check Input")/12,0)</f>
        <v>0</v>
      </c>
      <c r="R81" s="142">
        <f t="shared" si="2"/>
        <v>0</v>
      </c>
      <c r="S81" s="142">
        <f>IFERROR(-IPMT($Q$8,P81,$Q$9*12,$Q$6)+$Q$10*_xlfn.XLOOKUP($R$10,'RE Calculations'!$B$12:$B$16,'RE Calculations'!$C$12:$C$16,"ERROR - Check Input")/12,0)</f>
        <v>8.3333333333333339</v>
      </c>
      <c r="T81" s="142">
        <f t="shared" si="3"/>
        <v>0</v>
      </c>
      <c r="W81" s="12">
        <v>59</v>
      </c>
      <c r="X81" s="142">
        <f>IF(AA80&gt;0.01,IF(W81&lt;=($X$9*12),$X$15,-PMT($X$11,($X$12-$X$9)*12,$X$6)+$X$13*_xlfn.XLOOKUP($Y$13,'RE Calculations'!$B$12:$B$16,'RE Calculations'!$C$12:$C$16,"ERROR - Check Input")/12),0)</f>
        <v>0</v>
      </c>
      <c r="Y81" s="142">
        <f t="shared" si="4"/>
        <v>0</v>
      </c>
      <c r="Z81" s="142">
        <f>IF(W81&lt;=($X$9*12),$X$15,IFERROR(-IPMT($X$11,W81-$X$9*12,($X$12-$X$9)*12,$X$6)+$X$13*_xlfn.XLOOKUP($Y$13,'RE Calculations'!$B$12:$B$16,'RE Calculations'!$C$12:$C$16,"ERROR - Check Input")/12,0))</f>
        <v>10</v>
      </c>
      <c r="AA81" s="142">
        <f t="shared" si="5"/>
        <v>0</v>
      </c>
    </row>
    <row r="82" spans="2:27" x14ac:dyDescent="0.35">
      <c r="B82" s="12">
        <v>60</v>
      </c>
      <c r="C82" s="142">
        <f>IF(F81&gt;0.01,-PMT($C$8,$C$9*12,$C$6)+$C$10*_xlfn.XLOOKUP($D$10,'RE Calculations'!$B$12:$B$16,'RE Calculations'!$C$12:$C$16,"ERROR - Check Input")/12,0)</f>
        <v>0</v>
      </c>
      <c r="D82" s="142">
        <f t="shared" si="6"/>
        <v>0</v>
      </c>
      <c r="E82" s="142">
        <f>IFERROR(-IPMT($C$8,B82,$C$9*12,$C$6)+$C$10*_xlfn.XLOOKUP($D$10,'RE Calculations'!$B$12:$B$16,'RE Calculations'!$C$12:$C$16,"ERROR - Check Input")/12,0)</f>
        <v>8.3333333333333339</v>
      </c>
      <c r="F82" s="142">
        <f t="shared" si="7"/>
        <v>0</v>
      </c>
      <c r="I82" s="12">
        <v>60</v>
      </c>
      <c r="J82" s="142">
        <f>IF(M81&gt;0.01,IF(I82&lt;=($J$9*12),$J$15,-PMT($J$11,($J$12-$J$9)*12,$J$6)+$J$13*_xlfn.XLOOKUP($K$13,'RE Calculations'!$B$12:$B$16,'RE Calculations'!$C$12:$C$16,"ERROR - Check Input")/12),0)</f>
        <v>0</v>
      </c>
      <c r="K82" s="142">
        <f t="shared" si="0"/>
        <v>0</v>
      </c>
      <c r="L82" s="142">
        <f>IF(I82&lt;=($J$9*12),$J$15,IFERROR(-IPMT($J$11,I82-$J$9*12,($J$12-$J$9)*12,$J$6)+$J$13*_xlfn.XLOOKUP($K$13,'RE Calculations'!$B$12:$B$16,'RE Calculations'!$C$12:$C$16,"ERROR - Check Input")/12,0))</f>
        <v>10</v>
      </c>
      <c r="M82" s="142">
        <f t="shared" si="1"/>
        <v>0</v>
      </c>
      <c r="P82" s="12">
        <v>60</v>
      </c>
      <c r="Q82" s="142">
        <f>IF(T81&gt;0.01,-PMT($Q$8,$Q$9*12,$Q$6)+$Q$10*_xlfn.XLOOKUP($R$10,'RE Calculations'!$B$12:$B$16,'RE Calculations'!$C$12:$C$16,"ERROR - Check Input")/12,0)</f>
        <v>0</v>
      </c>
      <c r="R82" s="142">
        <f t="shared" si="2"/>
        <v>0</v>
      </c>
      <c r="S82" s="142">
        <f>IFERROR(-IPMT($Q$8,P82,$Q$9*12,$Q$6)+$Q$10*_xlfn.XLOOKUP($R$10,'RE Calculations'!$B$12:$B$16,'RE Calculations'!$C$12:$C$16,"ERROR - Check Input")/12,0)</f>
        <v>8.3333333333333339</v>
      </c>
      <c r="T82" s="142">
        <f t="shared" si="3"/>
        <v>0</v>
      </c>
      <c r="W82" s="12">
        <v>60</v>
      </c>
      <c r="X82" s="142">
        <f>IF(AA81&gt;0.01,IF(W82&lt;=($X$9*12),$X$15,-PMT($X$11,($X$12-$X$9)*12,$X$6)+$X$13*_xlfn.XLOOKUP($Y$13,'RE Calculations'!$B$12:$B$16,'RE Calculations'!$C$12:$C$16,"ERROR - Check Input")/12),0)</f>
        <v>0</v>
      </c>
      <c r="Y82" s="142">
        <f t="shared" si="4"/>
        <v>0</v>
      </c>
      <c r="Z82" s="142">
        <f>IF(W82&lt;=($X$9*12),$X$15,IFERROR(-IPMT($X$11,W82-$X$9*12,($X$12-$X$9)*12,$X$6)+$X$13*_xlfn.XLOOKUP($Y$13,'RE Calculations'!$B$12:$B$16,'RE Calculations'!$C$12:$C$16,"ERROR - Check Input")/12,0))</f>
        <v>10</v>
      </c>
      <c r="AA82" s="142">
        <f t="shared" si="5"/>
        <v>0</v>
      </c>
    </row>
    <row r="83" spans="2:27" x14ac:dyDescent="0.35">
      <c r="B83" s="12">
        <v>61</v>
      </c>
      <c r="C83" s="142">
        <f>IF(F82&gt;0.01,-PMT($C$8,$C$9*12,$C$6)+$C$10*_xlfn.XLOOKUP($D$10,'RE Calculations'!$B$12:$B$16,'RE Calculations'!$C$12:$C$16,"ERROR - Check Input")/12,0)</f>
        <v>0</v>
      </c>
      <c r="D83" s="142">
        <f t="shared" si="6"/>
        <v>0</v>
      </c>
      <c r="E83" s="142">
        <f>IFERROR(-IPMT($C$8,B83,$C$9*12,$C$6)+$C$10*_xlfn.XLOOKUP($D$10,'RE Calculations'!$B$12:$B$16,'RE Calculations'!$C$12:$C$16,"ERROR - Check Input")/12,0)</f>
        <v>8.3333333333333339</v>
      </c>
      <c r="F83" s="142">
        <f t="shared" si="7"/>
        <v>0</v>
      </c>
      <c r="I83" s="12">
        <v>61</v>
      </c>
      <c r="J83" s="142">
        <f>IF(M82&gt;0.01,IF(I83&lt;=($J$9*12),$J$15,-PMT($J$11,($J$12-$J$9)*12,$J$6)+$J$13*_xlfn.XLOOKUP($K$13,'RE Calculations'!$B$12:$B$16,'RE Calculations'!$C$12:$C$16,"ERROR - Check Input")/12),0)</f>
        <v>0</v>
      </c>
      <c r="K83" s="142">
        <f t="shared" si="0"/>
        <v>0</v>
      </c>
      <c r="L83" s="142">
        <f>IF(I83&lt;=($J$9*12),$J$15,IFERROR(-IPMT($J$11,I83-$J$9*12,($J$12-$J$9)*12,$J$6)+$J$13*_xlfn.XLOOKUP($K$13,'RE Calculations'!$B$12:$B$16,'RE Calculations'!$C$12:$C$16,"ERROR - Check Input")/12,0))</f>
        <v>10</v>
      </c>
      <c r="M83" s="142">
        <f t="shared" si="1"/>
        <v>0</v>
      </c>
      <c r="P83" s="12">
        <v>61</v>
      </c>
      <c r="Q83" s="142">
        <f>IF(T82&gt;0.01,-PMT($Q$8,$Q$9*12,$Q$6)+$Q$10*_xlfn.XLOOKUP($R$10,'RE Calculations'!$B$12:$B$16,'RE Calculations'!$C$12:$C$16,"ERROR - Check Input")/12,0)</f>
        <v>0</v>
      </c>
      <c r="R83" s="142">
        <f t="shared" si="2"/>
        <v>0</v>
      </c>
      <c r="S83" s="142">
        <f>IFERROR(-IPMT($Q$8,P83,$Q$9*12,$Q$6)+$Q$10*_xlfn.XLOOKUP($R$10,'RE Calculations'!$B$12:$B$16,'RE Calculations'!$C$12:$C$16,"ERROR - Check Input")/12,0)</f>
        <v>8.3333333333333339</v>
      </c>
      <c r="T83" s="142">
        <f t="shared" si="3"/>
        <v>0</v>
      </c>
      <c r="W83" s="12">
        <v>61</v>
      </c>
      <c r="X83" s="142">
        <f>IF(AA82&gt;0.01,IF(W83&lt;=($X$9*12),$X$15,-PMT($X$11,($X$12-$X$9)*12,$X$6)+$X$13*_xlfn.XLOOKUP($Y$13,'RE Calculations'!$B$12:$B$16,'RE Calculations'!$C$12:$C$16,"ERROR - Check Input")/12),0)</f>
        <v>0</v>
      </c>
      <c r="Y83" s="142">
        <f t="shared" si="4"/>
        <v>0</v>
      </c>
      <c r="Z83" s="142">
        <f>IF(W83&lt;=($X$9*12),$X$15,IFERROR(-IPMT($X$11,W83-$X$9*12,($X$12-$X$9)*12,$X$6)+$X$13*_xlfn.XLOOKUP($Y$13,'RE Calculations'!$B$12:$B$16,'RE Calculations'!$C$12:$C$16,"ERROR - Check Input")/12,0))</f>
        <v>10</v>
      </c>
      <c r="AA83" s="142">
        <f t="shared" si="5"/>
        <v>0</v>
      </c>
    </row>
    <row r="84" spans="2:27" x14ac:dyDescent="0.35">
      <c r="B84" s="12">
        <v>62</v>
      </c>
      <c r="C84" s="142">
        <f>IF(F83&gt;0.01,-PMT($C$8,$C$9*12,$C$6)+$C$10*_xlfn.XLOOKUP($D$10,'RE Calculations'!$B$12:$B$16,'RE Calculations'!$C$12:$C$16,"ERROR - Check Input")/12,0)</f>
        <v>0</v>
      </c>
      <c r="D84" s="142">
        <f t="shared" si="6"/>
        <v>0</v>
      </c>
      <c r="E84" s="142">
        <f>IFERROR(-IPMT($C$8,B84,$C$9*12,$C$6)+$C$10*_xlfn.XLOOKUP($D$10,'RE Calculations'!$B$12:$B$16,'RE Calculations'!$C$12:$C$16,"ERROR - Check Input")/12,0)</f>
        <v>8.3333333333333339</v>
      </c>
      <c r="F84" s="142">
        <f t="shared" si="7"/>
        <v>0</v>
      </c>
      <c r="I84" s="12">
        <v>62</v>
      </c>
      <c r="J84" s="142">
        <f>IF(M83&gt;0.01,IF(I84&lt;=($J$9*12),$J$15,-PMT($J$11,($J$12-$J$9)*12,$J$6)+$J$13*_xlfn.XLOOKUP($K$13,'RE Calculations'!$B$12:$B$16,'RE Calculations'!$C$12:$C$16,"ERROR - Check Input")/12),0)</f>
        <v>0</v>
      </c>
      <c r="K84" s="142">
        <f t="shared" si="0"/>
        <v>0</v>
      </c>
      <c r="L84" s="142">
        <f>IF(I84&lt;=($J$9*12),$J$15,IFERROR(-IPMT($J$11,I84-$J$9*12,($J$12-$J$9)*12,$J$6)+$J$13*_xlfn.XLOOKUP($K$13,'RE Calculations'!$B$12:$B$16,'RE Calculations'!$C$12:$C$16,"ERROR - Check Input")/12,0))</f>
        <v>10</v>
      </c>
      <c r="M84" s="142">
        <f t="shared" si="1"/>
        <v>0</v>
      </c>
      <c r="P84" s="12">
        <v>62</v>
      </c>
      <c r="Q84" s="142">
        <f>IF(T83&gt;0.01,-PMT($Q$8,$Q$9*12,$Q$6)+$Q$10*_xlfn.XLOOKUP($R$10,'RE Calculations'!$B$12:$B$16,'RE Calculations'!$C$12:$C$16,"ERROR - Check Input")/12,0)</f>
        <v>0</v>
      </c>
      <c r="R84" s="142">
        <f t="shared" si="2"/>
        <v>0</v>
      </c>
      <c r="S84" s="142">
        <f>IFERROR(-IPMT($Q$8,P84,$Q$9*12,$Q$6)+$Q$10*_xlfn.XLOOKUP($R$10,'RE Calculations'!$B$12:$B$16,'RE Calculations'!$C$12:$C$16,"ERROR - Check Input")/12,0)</f>
        <v>8.3333333333333339</v>
      </c>
      <c r="T84" s="142">
        <f t="shared" si="3"/>
        <v>0</v>
      </c>
      <c r="W84" s="12">
        <v>62</v>
      </c>
      <c r="X84" s="142">
        <f>IF(AA83&gt;0.01,IF(W84&lt;=($X$9*12),$X$15,-PMT($X$11,($X$12-$X$9)*12,$X$6)+$X$13*_xlfn.XLOOKUP($Y$13,'RE Calculations'!$B$12:$B$16,'RE Calculations'!$C$12:$C$16,"ERROR - Check Input")/12),0)</f>
        <v>0</v>
      </c>
      <c r="Y84" s="142">
        <f t="shared" si="4"/>
        <v>0</v>
      </c>
      <c r="Z84" s="142">
        <f>IF(W84&lt;=($X$9*12),$X$15,IFERROR(-IPMT($X$11,W84-$X$9*12,($X$12-$X$9)*12,$X$6)+$X$13*_xlfn.XLOOKUP($Y$13,'RE Calculations'!$B$12:$B$16,'RE Calculations'!$C$12:$C$16,"ERROR - Check Input")/12,0))</f>
        <v>10</v>
      </c>
      <c r="AA84" s="142">
        <f t="shared" si="5"/>
        <v>0</v>
      </c>
    </row>
    <row r="85" spans="2:27" x14ac:dyDescent="0.35">
      <c r="B85" s="12">
        <v>63</v>
      </c>
      <c r="C85" s="142">
        <f>IF(F84&gt;0.01,-PMT($C$8,$C$9*12,$C$6)+$C$10*_xlfn.XLOOKUP($D$10,'RE Calculations'!$B$12:$B$16,'RE Calculations'!$C$12:$C$16,"ERROR - Check Input")/12,0)</f>
        <v>0</v>
      </c>
      <c r="D85" s="142">
        <f t="shared" si="6"/>
        <v>0</v>
      </c>
      <c r="E85" s="142">
        <f>IFERROR(-IPMT($C$8,B85,$C$9*12,$C$6)+$C$10*_xlfn.XLOOKUP($D$10,'RE Calculations'!$B$12:$B$16,'RE Calculations'!$C$12:$C$16,"ERROR - Check Input")/12,0)</f>
        <v>8.3333333333333339</v>
      </c>
      <c r="F85" s="142">
        <f t="shared" si="7"/>
        <v>0</v>
      </c>
      <c r="I85" s="12">
        <v>63</v>
      </c>
      <c r="J85" s="142">
        <f>IF(M84&gt;0.01,IF(I85&lt;=($J$9*12),$J$15,-PMT($J$11,($J$12-$J$9)*12,$J$6)+$J$13*_xlfn.XLOOKUP($K$13,'RE Calculations'!$B$12:$B$16,'RE Calculations'!$C$12:$C$16,"ERROR - Check Input")/12),0)</f>
        <v>0</v>
      </c>
      <c r="K85" s="142">
        <f t="shared" si="0"/>
        <v>0</v>
      </c>
      <c r="L85" s="142">
        <f>IF(I85&lt;=($J$9*12),$J$15,IFERROR(-IPMT($J$11,I85-$J$9*12,($J$12-$J$9)*12,$J$6)+$J$13*_xlfn.XLOOKUP($K$13,'RE Calculations'!$B$12:$B$16,'RE Calculations'!$C$12:$C$16,"ERROR - Check Input")/12,0))</f>
        <v>10</v>
      </c>
      <c r="M85" s="142">
        <f t="shared" si="1"/>
        <v>0</v>
      </c>
      <c r="P85" s="12">
        <v>63</v>
      </c>
      <c r="Q85" s="142">
        <f>IF(T84&gt;0.01,-PMT($Q$8,$Q$9*12,$Q$6)+$Q$10*_xlfn.XLOOKUP($R$10,'RE Calculations'!$B$12:$B$16,'RE Calculations'!$C$12:$C$16,"ERROR - Check Input")/12,0)</f>
        <v>0</v>
      </c>
      <c r="R85" s="142">
        <f t="shared" si="2"/>
        <v>0</v>
      </c>
      <c r="S85" s="142">
        <f>IFERROR(-IPMT($Q$8,P85,$Q$9*12,$Q$6)+$Q$10*_xlfn.XLOOKUP($R$10,'RE Calculations'!$B$12:$B$16,'RE Calculations'!$C$12:$C$16,"ERROR - Check Input")/12,0)</f>
        <v>8.3333333333333339</v>
      </c>
      <c r="T85" s="142">
        <f t="shared" si="3"/>
        <v>0</v>
      </c>
      <c r="W85" s="12">
        <v>63</v>
      </c>
      <c r="X85" s="142">
        <f>IF(AA84&gt;0.01,IF(W85&lt;=($X$9*12),$X$15,-PMT($X$11,($X$12-$X$9)*12,$X$6)+$X$13*_xlfn.XLOOKUP($Y$13,'RE Calculations'!$B$12:$B$16,'RE Calculations'!$C$12:$C$16,"ERROR - Check Input")/12),0)</f>
        <v>0</v>
      </c>
      <c r="Y85" s="142">
        <f t="shared" si="4"/>
        <v>0</v>
      </c>
      <c r="Z85" s="142">
        <f>IF(W85&lt;=($X$9*12),$X$15,IFERROR(-IPMT($X$11,W85-$X$9*12,($X$12-$X$9)*12,$X$6)+$X$13*_xlfn.XLOOKUP($Y$13,'RE Calculations'!$B$12:$B$16,'RE Calculations'!$C$12:$C$16,"ERROR - Check Input")/12,0))</f>
        <v>10</v>
      </c>
      <c r="AA85" s="142">
        <f t="shared" si="5"/>
        <v>0</v>
      </c>
    </row>
    <row r="86" spans="2:27" x14ac:dyDescent="0.35">
      <c r="B86" s="12">
        <v>64</v>
      </c>
      <c r="C86" s="142">
        <f>IF(F85&gt;0.01,-PMT($C$8,$C$9*12,$C$6)+$C$10*_xlfn.XLOOKUP($D$10,'RE Calculations'!$B$12:$B$16,'RE Calculations'!$C$12:$C$16,"ERROR - Check Input")/12,0)</f>
        <v>0</v>
      </c>
      <c r="D86" s="142">
        <f t="shared" si="6"/>
        <v>0</v>
      </c>
      <c r="E86" s="142">
        <f>IFERROR(-IPMT($C$8,B86,$C$9*12,$C$6)+$C$10*_xlfn.XLOOKUP($D$10,'RE Calculations'!$B$12:$B$16,'RE Calculations'!$C$12:$C$16,"ERROR - Check Input")/12,0)</f>
        <v>8.3333333333333339</v>
      </c>
      <c r="F86" s="142">
        <f t="shared" si="7"/>
        <v>0</v>
      </c>
      <c r="I86" s="12">
        <v>64</v>
      </c>
      <c r="J86" s="142">
        <f>IF(M85&gt;0.01,IF(I86&lt;=($J$9*12),$J$15,-PMT($J$11,($J$12-$J$9)*12,$J$6)+$J$13*_xlfn.XLOOKUP($K$13,'RE Calculations'!$B$12:$B$16,'RE Calculations'!$C$12:$C$16,"ERROR - Check Input")/12),0)</f>
        <v>0</v>
      </c>
      <c r="K86" s="142">
        <f t="shared" si="0"/>
        <v>0</v>
      </c>
      <c r="L86" s="142">
        <f>IF(I86&lt;=($J$9*12),$J$15,IFERROR(-IPMT($J$11,I86-$J$9*12,($J$12-$J$9)*12,$J$6)+$J$13*_xlfn.XLOOKUP($K$13,'RE Calculations'!$B$12:$B$16,'RE Calculations'!$C$12:$C$16,"ERROR - Check Input")/12,0))</f>
        <v>10</v>
      </c>
      <c r="M86" s="142">
        <f t="shared" si="1"/>
        <v>0</v>
      </c>
      <c r="P86" s="12">
        <v>64</v>
      </c>
      <c r="Q86" s="142">
        <f>IF(T85&gt;0.01,-PMT($Q$8,$Q$9*12,$Q$6)+$Q$10*_xlfn.XLOOKUP($R$10,'RE Calculations'!$B$12:$B$16,'RE Calculations'!$C$12:$C$16,"ERROR - Check Input")/12,0)</f>
        <v>0</v>
      </c>
      <c r="R86" s="142">
        <f t="shared" si="2"/>
        <v>0</v>
      </c>
      <c r="S86" s="142">
        <f>IFERROR(-IPMT($Q$8,P86,$Q$9*12,$Q$6)+$Q$10*_xlfn.XLOOKUP($R$10,'RE Calculations'!$B$12:$B$16,'RE Calculations'!$C$12:$C$16,"ERROR - Check Input")/12,0)</f>
        <v>8.3333333333333339</v>
      </c>
      <c r="T86" s="142">
        <f t="shared" si="3"/>
        <v>0</v>
      </c>
      <c r="W86" s="12">
        <v>64</v>
      </c>
      <c r="X86" s="142">
        <f>IF(AA85&gt;0.01,IF(W86&lt;=($X$9*12),$X$15,-PMT($X$11,($X$12-$X$9)*12,$X$6)+$X$13*_xlfn.XLOOKUP($Y$13,'RE Calculations'!$B$12:$B$16,'RE Calculations'!$C$12:$C$16,"ERROR - Check Input")/12),0)</f>
        <v>0</v>
      </c>
      <c r="Y86" s="142">
        <f t="shared" si="4"/>
        <v>0</v>
      </c>
      <c r="Z86" s="142">
        <f>IF(W86&lt;=($X$9*12),$X$15,IFERROR(-IPMT($X$11,W86-$X$9*12,($X$12-$X$9)*12,$X$6)+$X$13*_xlfn.XLOOKUP($Y$13,'RE Calculations'!$B$12:$B$16,'RE Calculations'!$C$12:$C$16,"ERROR - Check Input")/12,0))</f>
        <v>10</v>
      </c>
      <c r="AA86" s="142">
        <f t="shared" si="5"/>
        <v>0</v>
      </c>
    </row>
    <row r="87" spans="2:27" x14ac:dyDescent="0.35">
      <c r="B87" s="12">
        <v>65</v>
      </c>
      <c r="C87" s="142">
        <f>IF(F86&gt;0.01,-PMT($C$8,$C$9*12,$C$6)+$C$10*_xlfn.XLOOKUP($D$10,'RE Calculations'!$B$12:$B$16,'RE Calculations'!$C$12:$C$16,"ERROR - Check Input")/12,0)</f>
        <v>0</v>
      </c>
      <c r="D87" s="142">
        <f t="shared" si="6"/>
        <v>0</v>
      </c>
      <c r="E87" s="142">
        <f>IFERROR(-IPMT($C$8,B87,$C$9*12,$C$6)+$C$10*_xlfn.XLOOKUP($D$10,'RE Calculations'!$B$12:$B$16,'RE Calculations'!$C$12:$C$16,"ERROR - Check Input")/12,0)</f>
        <v>8.3333333333333339</v>
      </c>
      <c r="F87" s="142">
        <f t="shared" si="7"/>
        <v>0</v>
      </c>
      <c r="I87" s="12">
        <v>65</v>
      </c>
      <c r="J87" s="142">
        <f>IF(M86&gt;0.01,IF(I87&lt;=($J$9*12),$J$15,-PMT($J$11,($J$12-$J$9)*12,$J$6)+$J$13*_xlfn.XLOOKUP($K$13,'RE Calculations'!$B$12:$B$16,'RE Calculations'!$C$12:$C$16,"ERROR - Check Input")/12),0)</f>
        <v>0</v>
      </c>
      <c r="K87" s="142">
        <f t="shared" ref="K87:K150" si="8">IF(I87&lt;=($J$9*12),0,IFERROR(-PPMT($J$11,I87-$J$9*12,($J$12-$J$9)*12,$J$6),0))</f>
        <v>0</v>
      </c>
      <c r="L87" s="142">
        <f>IF(I87&lt;=($J$9*12),$J$15,IFERROR(-IPMT($J$11,I87-$J$9*12,($J$12-$J$9)*12,$J$6)+$J$13*_xlfn.XLOOKUP($K$13,'RE Calculations'!$B$12:$B$16,'RE Calculations'!$C$12:$C$16,"ERROR - Check Input")/12,0))</f>
        <v>10</v>
      </c>
      <c r="M87" s="142">
        <f t="shared" ref="M87:M150" si="9">IFERROR(M86-K87,0)</f>
        <v>0</v>
      </c>
      <c r="P87" s="12">
        <v>65</v>
      </c>
      <c r="Q87" s="142">
        <f>IF(T86&gt;0.01,-PMT($Q$8,$Q$9*12,$Q$6)+$Q$10*_xlfn.XLOOKUP($R$10,'RE Calculations'!$B$12:$B$16,'RE Calculations'!$C$12:$C$16,"ERROR - Check Input")/12,0)</f>
        <v>0</v>
      </c>
      <c r="R87" s="142">
        <f t="shared" ref="R87:R150" si="10">IFERROR(-PPMT($Q$8,P87,$Q$9*12,$Q$6),0)</f>
        <v>0</v>
      </c>
      <c r="S87" s="142">
        <f>IFERROR(-IPMT($Q$8,P87,$Q$9*12,$Q$6)+$Q$10*_xlfn.XLOOKUP($R$10,'RE Calculations'!$B$12:$B$16,'RE Calculations'!$C$12:$C$16,"ERROR - Check Input")/12,0)</f>
        <v>8.3333333333333339</v>
      </c>
      <c r="T87" s="142">
        <f t="shared" ref="T87:T150" si="11">IFERROR(T86-R87,0)</f>
        <v>0</v>
      </c>
      <c r="W87" s="12">
        <v>65</v>
      </c>
      <c r="X87" s="142">
        <f>IF(AA86&gt;0.01,IF(W87&lt;=($X$9*12),$X$15,-PMT($X$11,($X$12-$X$9)*12,$X$6)+$X$13*_xlfn.XLOOKUP($Y$13,'RE Calculations'!$B$12:$B$16,'RE Calculations'!$C$12:$C$16,"ERROR - Check Input")/12),0)</f>
        <v>0</v>
      </c>
      <c r="Y87" s="142">
        <f t="shared" ref="Y87:Y150" si="12">IF(W87&lt;=($X$9*12),0,IFERROR(-PPMT($X$11,W87-$X$9*12,($X$12-$X$9)*12,$X$6),0))</f>
        <v>0</v>
      </c>
      <c r="Z87" s="142">
        <f>IF(W87&lt;=($X$9*12),$X$15,IFERROR(-IPMT($X$11,W87-$X$9*12,($X$12-$X$9)*12,$X$6)+$X$13*_xlfn.XLOOKUP($Y$13,'RE Calculations'!$B$12:$B$16,'RE Calculations'!$C$12:$C$16,"ERROR - Check Input")/12,0))</f>
        <v>10</v>
      </c>
      <c r="AA87" s="142">
        <f t="shared" ref="AA87:AA150" si="13">IFERROR(AA86-Y87,0)</f>
        <v>0</v>
      </c>
    </row>
    <row r="88" spans="2:27" x14ac:dyDescent="0.35">
      <c r="B88" s="12">
        <v>66</v>
      </c>
      <c r="C88" s="142">
        <f>IF(F87&gt;0.01,-PMT($C$8,$C$9*12,$C$6)+$C$10*_xlfn.XLOOKUP($D$10,'RE Calculations'!$B$12:$B$16,'RE Calculations'!$C$12:$C$16,"ERROR - Check Input")/12,0)</f>
        <v>0</v>
      </c>
      <c r="D88" s="142">
        <f t="shared" ref="D88:D151" si="14">IFERROR(-PPMT($C$8,B88,$C$9*12,$C$6),0)</f>
        <v>0</v>
      </c>
      <c r="E88" s="142">
        <f>IFERROR(-IPMT($C$8,B88,$C$9*12,$C$6)+$C$10*_xlfn.XLOOKUP($D$10,'RE Calculations'!$B$12:$B$16,'RE Calculations'!$C$12:$C$16,"ERROR - Check Input")/12,0)</f>
        <v>8.3333333333333339</v>
      </c>
      <c r="F88" s="142">
        <f t="shared" ref="F88:F151" si="15">IFERROR(F87-D88,0)</f>
        <v>0</v>
      </c>
      <c r="I88" s="12">
        <v>66</v>
      </c>
      <c r="J88" s="142">
        <f>IF(M87&gt;0.01,IF(I88&lt;=($J$9*12),$J$15,-PMT($J$11,($J$12-$J$9)*12,$J$6)+$J$13*_xlfn.XLOOKUP($K$13,'RE Calculations'!$B$12:$B$16,'RE Calculations'!$C$12:$C$16,"ERROR - Check Input")/12),0)</f>
        <v>0</v>
      </c>
      <c r="K88" s="142">
        <f t="shared" si="8"/>
        <v>0</v>
      </c>
      <c r="L88" s="142">
        <f>IF(I88&lt;=($J$9*12),$J$15,IFERROR(-IPMT($J$11,I88-$J$9*12,($J$12-$J$9)*12,$J$6)+$J$13*_xlfn.XLOOKUP($K$13,'RE Calculations'!$B$12:$B$16,'RE Calculations'!$C$12:$C$16,"ERROR - Check Input")/12,0))</f>
        <v>10</v>
      </c>
      <c r="M88" s="142">
        <f t="shared" si="9"/>
        <v>0</v>
      </c>
      <c r="P88" s="12">
        <v>66</v>
      </c>
      <c r="Q88" s="142">
        <f>IF(T87&gt;0.01,-PMT($Q$8,$Q$9*12,$Q$6)+$Q$10*_xlfn.XLOOKUP($R$10,'RE Calculations'!$B$12:$B$16,'RE Calculations'!$C$12:$C$16,"ERROR - Check Input")/12,0)</f>
        <v>0</v>
      </c>
      <c r="R88" s="142">
        <f t="shared" si="10"/>
        <v>0</v>
      </c>
      <c r="S88" s="142">
        <f>IFERROR(-IPMT($Q$8,P88,$Q$9*12,$Q$6)+$Q$10*_xlfn.XLOOKUP($R$10,'RE Calculations'!$B$12:$B$16,'RE Calculations'!$C$12:$C$16,"ERROR - Check Input")/12,0)</f>
        <v>8.3333333333333339</v>
      </c>
      <c r="T88" s="142">
        <f t="shared" si="11"/>
        <v>0</v>
      </c>
      <c r="W88" s="12">
        <v>66</v>
      </c>
      <c r="X88" s="142">
        <f>IF(AA87&gt;0.01,IF(W88&lt;=($X$9*12),$X$15,-PMT($X$11,($X$12-$X$9)*12,$X$6)+$X$13*_xlfn.XLOOKUP($Y$13,'RE Calculations'!$B$12:$B$16,'RE Calculations'!$C$12:$C$16,"ERROR - Check Input")/12),0)</f>
        <v>0</v>
      </c>
      <c r="Y88" s="142">
        <f t="shared" si="12"/>
        <v>0</v>
      </c>
      <c r="Z88" s="142">
        <f>IF(W88&lt;=($X$9*12),$X$15,IFERROR(-IPMT($X$11,W88-$X$9*12,($X$12-$X$9)*12,$X$6)+$X$13*_xlfn.XLOOKUP($Y$13,'RE Calculations'!$B$12:$B$16,'RE Calculations'!$C$12:$C$16,"ERROR - Check Input")/12,0))</f>
        <v>10</v>
      </c>
      <c r="AA88" s="142">
        <f t="shared" si="13"/>
        <v>0</v>
      </c>
    </row>
    <row r="89" spans="2:27" x14ac:dyDescent="0.35">
      <c r="B89" s="12">
        <v>67</v>
      </c>
      <c r="C89" s="142">
        <f>IF(F88&gt;0.01,-PMT($C$8,$C$9*12,$C$6)+$C$10*_xlfn.XLOOKUP($D$10,'RE Calculations'!$B$12:$B$16,'RE Calculations'!$C$12:$C$16,"ERROR - Check Input")/12,0)</f>
        <v>0</v>
      </c>
      <c r="D89" s="142">
        <f t="shared" si="14"/>
        <v>0</v>
      </c>
      <c r="E89" s="142">
        <f>IFERROR(-IPMT($C$8,B89,$C$9*12,$C$6)+$C$10*_xlfn.XLOOKUP($D$10,'RE Calculations'!$B$12:$B$16,'RE Calculations'!$C$12:$C$16,"ERROR - Check Input")/12,0)</f>
        <v>8.3333333333333339</v>
      </c>
      <c r="F89" s="142">
        <f t="shared" si="15"/>
        <v>0</v>
      </c>
      <c r="I89" s="12">
        <v>67</v>
      </c>
      <c r="J89" s="142">
        <f>IF(M88&gt;0.01,IF(I89&lt;=($J$9*12),$J$15,-PMT($J$11,($J$12-$J$9)*12,$J$6)+$J$13*_xlfn.XLOOKUP($K$13,'RE Calculations'!$B$12:$B$16,'RE Calculations'!$C$12:$C$16,"ERROR - Check Input")/12),0)</f>
        <v>0</v>
      </c>
      <c r="K89" s="142">
        <f t="shared" si="8"/>
        <v>0</v>
      </c>
      <c r="L89" s="142">
        <f>IF(I89&lt;=($J$9*12),$J$15,IFERROR(-IPMT($J$11,I89-$J$9*12,($J$12-$J$9)*12,$J$6)+$J$13*_xlfn.XLOOKUP($K$13,'RE Calculations'!$B$12:$B$16,'RE Calculations'!$C$12:$C$16,"ERROR - Check Input")/12,0))</f>
        <v>10</v>
      </c>
      <c r="M89" s="142">
        <f t="shared" si="9"/>
        <v>0</v>
      </c>
      <c r="P89" s="12">
        <v>67</v>
      </c>
      <c r="Q89" s="142">
        <f>IF(T88&gt;0.01,-PMT($Q$8,$Q$9*12,$Q$6)+$Q$10*_xlfn.XLOOKUP($R$10,'RE Calculations'!$B$12:$B$16,'RE Calculations'!$C$12:$C$16,"ERROR - Check Input")/12,0)</f>
        <v>0</v>
      </c>
      <c r="R89" s="142">
        <f t="shared" si="10"/>
        <v>0</v>
      </c>
      <c r="S89" s="142">
        <f>IFERROR(-IPMT($Q$8,P89,$Q$9*12,$Q$6)+$Q$10*_xlfn.XLOOKUP($R$10,'RE Calculations'!$B$12:$B$16,'RE Calculations'!$C$12:$C$16,"ERROR - Check Input")/12,0)</f>
        <v>8.3333333333333339</v>
      </c>
      <c r="T89" s="142">
        <f t="shared" si="11"/>
        <v>0</v>
      </c>
      <c r="W89" s="12">
        <v>67</v>
      </c>
      <c r="X89" s="142">
        <f>IF(AA88&gt;0.01,IF(W89&lt;=($X$9*12),$X$15,-PMT($X$11,($X$12-$X$9)*12,$X$6)+$X$13*_xlfn.XLOOKUP($Y$13,'RE Calculations'!$B$12:$B$16,'RE Calculations'!$C$12:$C$16,"ERROR - Check Input")/12),0)</f>
        <v>0</v>
      </c>
      <c r="Y89" s="142">
        <f t="shared" si="12"/>
        <v>0</v>
      </c>
      <c r="Z89" s="142">
        <f>IF(W89&lt;=($X$9*12),$X$15,IFERROR(-IPMT($X$11,W89-$X$9*12,($X$12-$X$9)*12,$X$6)+$X$13*_xlfn.XLOOKUP($Y$13,'RE Calculations'!$B$12:$B$16,'RE Calculations'!$C$12:$C$16,"ERROR - Check Input")/12,0))</f>
        <v>10</v>
      </c>
      <c r="AA89" s="142">
        <f t="shared" si="13"/>
        <v>0</v>
      </c>
    </row>
    <row r="90" spans="2:27" x14ac:dyDescent="0.35">
      <c r="B90" s="12">
        <v>68</v>
      </c>
      <c r="C90" s="142">
        <f>IF(F89&gt;0.01,-PMT($C$8,$C$9*12,$C$6)+$C$10*_xlfn.XLOOKUP($D$10,'RE Calculations'!$B$12:$B$16,'RE Calculations'!$C$12:$C$16,"ERROR - Check Input")/12,0)</f>
        <v>0</v>
      </c>
      <c r="D90" s="142">
        <f t="shared" si="14"/>
        <v>0</v>
      </c>
      <c r="E90" s="142">
        <f>IFERROR(-IPMT($C$8,B90,$C$9*12,$C$6)+$C$10*_xlfn.XLOOKUP($D$10,'RE Calculations'!$B$12:$B$16,'RE Calculations'!$C$12:$C$16,"ERROR - Check Input")/12,0)</f>
        <v>8.3333333333333339</v>
      </c>
      <c r="F90" s="142">
        <f t="shared" si="15"/>
        <v>0</v>
      </c>
      <c r="I90" s="12">
        <v>68</v>
      </c>
      <c r="J90" s="142">
        <f>IF(M89&gt;0.01,IF(I90&lt;=($J$9*12),$J$15,-PMT($J$11,($J$12-$J$9)*12,$J$6)+$J$13*_xlfn.XLOOKUP($K$13,'RE Calculations'!$B$12:$B$16,'RE Calculations'!$C$12:$C$16,"ERROR - Check Input")/12),0)</f>
        <v>0</v>
      </c>
      <c r="K90" s="142">
        <f t="shared" si="8"/>
        <v>0</v>
      </c>
      <c r="L90" s="142">
        <f>IF(I90&lt;=($J$9*12),$J$15,IFERROR(-IPMT($J$11,I90-$J$9*12,($J$12-$J$9)*12,$J$6)+$J$13*_xlfn.XLOOKUP($K$13,'RE Calculations'!$B$12:$B$16,'RE Calculations'!$C$12:$C$16,"ERROR - Check Input")/12,0))</f>
        <v>10</v>
      </c>
      <c r="M90" s="142">
        <f t="shared" si="9"/>
        <v>0</v>
      </c>
      <c r="P90" s="12">
        <v>68</v>
      </c>
      <c r="Q90" s="142">
        <f>IF(T89&gt;0.01,-PMT($Q$8,$Q$9*12,$Q$6)+$Q$10*_xlfn.XLOOKUP($R$10,'RE Calculations'!$B$12:$B$16,'RE Calculations'!$C$12:$C$16,"ERROR - Check Input")/12,0)</f>
        <v>0</v>
      </c>
      <c r="R90" s="142">
        <f t="shared" si="10"/>
        <v>0</v>
      </c>
      <c r="S90" s="142">
        <f>IFERROR(-IPMT($Q$8,P90,$Q$9*12,$Q$6)+$Q$10*_xlfn.XLOOKUP($R$10,'RE Calculations'!$B$12:$B$16,'RE Calculations'!$C$12:$C$16,"ERROR - Check Input")/12,0)</f>
        <v>8.3333333333333339</v>
      </c>
      <c r="T90" s="142">
        <f t="shared" si="11"/>
        <v>0</v>
      </c>
      <c r="W90" s="12">
        <v>68</v>
      </c>
      <c r="X90" s="142">
        <f>IF(AA89&gt;0.01,IF(W90&lt;=($X$9*12),$X$15,-PMT($X$11,($X$12-$X$9)*12,$X$6)+$X$13*_xlfn.XLOOKUP($Y$13,'RE Calculations'!$B$12:$B$16,'RE Calculations'!$C$12:$C$16,"ERROR - Check Input")/12),0)</f>
        <v>0</v>
      </c>
      <c r="Y90" s="142">
        <f t="shared" si="12"/>
        <v>0</v>
      </c>
      <c r="Z90" s="142">
        <f>IF(W90&lt;=($X$9*12),$X$15,IFERROR(-IPMT($X$11,W90-$X$9*12,($X$12-$X$9)*12,$X$6)+$X$13*_xlfn.XLOOKUP($Y$13,'RE Calculations'!$B$12:$B$16,'RE Calculations'!$C$12:$C$16,"ERROR - Check Input")/12,0))</f>
        <v>10</v>
      </c>
      <c r="AA90" s="142">
        <f t="shared" si="13"/>
        <v>0</v>
      </c>
    </row>
    <row r="91" spans="2:27" x14ac:dyDescent="0.35">
      <c r="B91" s="12">
        <v>69</v>
      </c>
      <c r="C91" s="142">
        <f>IF(F90&gt;0.01,-PMT($C$8,$C$9*12,$C$6)+$C$10*_xlfn.XLOOKUP($D$10,'RE Calculations'!$B$12:$B$16,'RE Calculations'!$C$12:$C$16,"ERROR - Check Input")/12,0)</f>
        <v>0</v>
      </c>
      <c r="D91" s="142">
        <f t="shared" si="14"/>
        <v>0</v>
      </c>
      <c r="E91" s="142">
        <f>IFERROR(-IPMT($C$8,B91,$C$9*12,$C$6)+$C$10*_xlfn.XLOOKUP($D$10,'RE Calculations'!$B$12:$B$16,'RE Calculations'!$C$12:$C$16,"ERROR - Check Input")/12,0)</f>
        <v>8.3333333333333339</v>
      </c>
      <c r="F91" s="142">
        <f t="shared" si="15"/>
        <v>0</v>
      </c>
      <c r="I91" s="12">
        <v>69</v>
      </c>
      <c r="J91" s="142">
        <f>IF(M90&gt;0.01,IF(I91&lt;=($J$9*12),$J$15,-PMT($J$11,($J$12-$J$9)*12,$J$6)+$J$13*_xlfn.XLOOKUP($K$13,'RE Calculations'!$B$12:$B$16,'RE Calculations'!$C$12:$C$16,"ERROR - Check Input")/12),0)</f>
        <v>0</v>
      </c>
      <c r="K91" s="142">
        <f t="shared" si="8"/>
        <v>0</v>
      </c>
      <c r="L91" s="142">
        <f>IF(I91&lt;=($J$9*12),$J$15,IFERROR(-IPMT($J$11,I91-$J$9*12,($J$12-$J$9)*12,$J$6)+$J$13*_xlfn.XLOOKUP($K$13,'RE Calculations'!$B$12:$B$16,'RE Calculations'!$C$12:$C$16,"ERROR - Check Input")/12,0))</f>
        <v>10</v>
      </c>
      <c r="M91" s="142">
        <f t="shared" si="9"/>
        <v>0</v>
      </c>
      <c r="P91" s="12">
        <v>69</v>
      </c>
      <c r="Q91" s="142">
        <f>IF(T90&gt;0.01,-PMT($Q$8,$Q$9*12,$Q$6)+$Q$10*_xlfn.XLOOKUP($R$10,'RE Calculations'!$B$12:$B$16,'RE Calculations'!$C$12:$C$16,"ERROR - Check Input")/12,0)</f>
        <v>0</v>
      </c>
      <c r="R91" s="142">
        <f t="shared" si="10"/>
        <v>0</v>
      </c>
      <c r="S91" s="142">
        <f>IFERROR(-IPMT($Q$8,P91,$Q$9*12,$Q$6)+$Q$10*_xlfn.XLOOKUP($R$10,'RE Calculations'!$B$12:$B$16,'RE Calculations'!$C$12:$C$16,"ERROR - Check Input")/12,0)</f>
        <v>8.3333333333333339</v>
      </c>
      <c r="T91" s="142">
        <f t="shared" si="11"/>
        <v>0</v>
      </c>
      <c r="W91" s="12">
        <v>69</v>
      </c>
      <c r="X91" s="142">
        <f>IF(AA90&gt;0.01,IF(W91&lt;=($X$9*12),$X$15,-PMT($X$11,($X$12-$X$9)*12,$X$6)+$X$13*_xlfn.XLOOKUP($Y$13,'RE Calculations'!$B$12:$B$16,'RE Calculations'!$C$12:$C$16,"ERROR - Check Input")/12),0)</f>
        <v>0</v>
      </c>
      <c r="Y91" s="142">
        <f t="shared" si="12"/>
        <v>0</v>
      </c>
      <c r="Z91" s="142">
        <f>IF(W91&lt;=($X$9*12),$X$15,IFERROR(-IPMT($X$11,W91-$X$9*12,($X$12-$X$9)*12,$X$6)+$X$13*_xlfn.XLOOKUP($Y$13,'RE Calculations'!$B$12:$B$16,'RE Calculations'!$C$12:$C$16,"ERROR - Check Input")/12,0))</f>
        <v>10</v>
      </c>
      <c r="AA91" s="142">
        <f t="shared" si="13"/>
        <v>0</v>
      </c>
    </row>
    <row r="92" spans="2:27" x14ac:dyDescent="0.35">
      <c r="B92" s="12">
        <v>70</v>
      </c>
      <c r="C92" s="142">
        <f>IF(F91&gt;0.01,-PMT($C$8,$C$9*12,$C$6)+$C$10*_xlfn.XLOOKUP($D$10,'RE Calculations'!$B$12:$B$16,'RE Calculations'!$C$12:$C$16,"ERROR - Check Input")/12,0)</f>
        <v>0</v>
      </c>
      <c r="D92" s="142">
        <f t="shared" si="14"/>
        <v>0</v>
      </c>
      <c r="E92" s="142">
        <f>IFERROR(-IPMT($C$8,B92,$C$9*12,$C$6)+$C$10*_xlfn.XLOOKUP($D$10,'RE Calculations'!$B$12:$B$16,'RE Calculations'!$C$12:$C$16,"ERROR - Check Input")/12,0)</f>
        <v>8.3333333333333339</v>
      </c>
      <c r="F92" s="142">
        <f t="shared" si="15"/>
        <v>0</v>
      </c>
      <c r="I92" s="12">
        <v>70</v>
      </c>
      <c r="J92" s="142">
        <f>IF(M91&gt;0.01,IF(I92&lt;=($J$9*12),$J$15,-PMT($J$11,($J$12-$J$9)*12,$J$6)+$J$13*_xlfn.XLOOKUP($K$13,'RE Calculations'!$B$12:$B$16,'RE Calculations'!$C$12:$C$16,"ERROR - Check Input")/12),0)</f>
        <v>0</v>
      </c>
      <c r="K92" s="142">
        <f t="shared" si="8"/>
        <v>0</v>
      </c>
      <c r="L92" s="142">
        <f>IF(I92&lt;=($J$9*12),$J$15,IFERROR(-IPMT($J$11,I92-$J$9*12,($J$12-$J$9)*12,$J$6)+$J$13*_xlfn.XLOOKUP($K$13,'RE Calculations'!$B$12:$B$16,'RE Calculations'!$C$12:$C$16,"ERROR - Check Input")/12,0))</f>
        <v>10</v>
      </c>
      <c r="M92" s="142">
        <f t="shared" si="9"/>
        <v>0</v>
      </c>
      <c r="P92" s="12">
        <v>70</v>
      </c>
      <c r="Q92" s="142">
        <f>IF(T91&gt;0.01,-PMT($Q$8,$Q$9*12,$Q$6)+$Q$10*_xlfn.XLOOKUP($R$10,'RE Calculations'!$B$12:$B$16,'RE Calculations'!$C$12:$C$16,"ERROR - Check Input")/12,0)</f>
        <v>0</v>
      </c>
      <c r="R92" s="142">
        <f t="shared" si="10"/>
        <v>0</v>
      </c>
      <c r="S92" s="142">
        <f>IFERROR(-IPMT($Q$8,P92,$Q$9*12,$Q$6)+$Q$10*_xlfn.XLOOKUP($R$10,'RE Calculations'!$B$12:$B$16,'RE Calculations'!$C$12:$C$16,"ERROR - Check Input")/12,0)</f>
        <v>8.3333333333333339</v>
      </c>
      <c r="T92" s="142">
        <f t="shared" si="11"/>
        <v>0</v>
      </c>
      <c r="W92" s="12">
        <v>70</v>
      </c>
      <c r="X92" s="142">
        <f>IF(AA91&gt;0.01,IF(W92&lt;=($X$9*12),$X$15,-PMT($X$11,($X$12-$X$9)*12,$X$6)+$X$13*_xlfn.XLOOKUP($Y$13,'RE Calculations'!$B$12:$B$16,'RE Calculations'!$C$12:$C$16,"ERROR - Check Input")/12),0)</f>
        <v>0</v>
      </c>
      <c r="Y92" s="142">
        <f t="shared" si="12"/>
        <v>0</v>
      </c>
      <c r="Z92" s="142">
        <f>IF(W92&lt;=($X$9*12),$X$15,IFERROR(-IPMT($X$11,W92-$X$9*12,($X$12-$X$9)*12,$X$6)+$X$13*_xlfn.XLOOKUP($Y$13,'RE Calculations'!$B$12:$B$16,'RE Calculations'!$C$12:$C$16,"ERROR - Check Input")/12,0))</f>
        <v>10</v>
      </c>
      <c r="AA92" s="142">
        <f t="shared" si="13"/>
        <v>0</v>
      </c>
    </row>
    <row r="93" spans="2:27" x14ac:dyDescent="0.35">
      <c r="B93" s="12">
        <v>71</v>
      </c>
      <c r="C93" s="142">
        <f>IF(F92&gt;0.01,-PMT($C$8,$C$9*12,$C$6)+$C$10*_xlfn.XLOOKUP($D$10,'RE Calculations'!$B$12:$B$16,'RE Calculations'!$C$12:$C$16,"ERROR - Check Input")/12,0)</f>
        <v>0</v>
      </c>
      <c r="D93" s="142">
        <f t="shared" si="14"/>
        <v>0</v>
      </c>
      <c r="E93" s="142">
        <f>IFERROR(-IPMT($C$8,B93,$C$9*12,$C$6)+$C$10*_xlfn.XLOOKUP($D$10,'RE Calculations'!$B$12:$B$16,'RE Calculations'!$C$12:$C$16,"ERROR - Check Input")/12,0)</f>
        <v>8.3333333333333339</v>
      </c>
      <c r="F93" s="142">
        <f t="shared" si="15"/>
        <v>0</v>
      </c>
      <c r="I93" s="12">
        <v>71</v>
      </c>
      <c r="J93" s="142">
        <f>IF(M92&gt;0.01,IF(I93&lt;=($J$9*12),$J$15,-PMT($J$11,($J$12-$J$9)*12,$J$6)+$J$13*_xlfn.XLOOKUP($K$13,'RE Calculations'!$B$12:$B$16,'RE Calculations'!$C$12:$C$16,"ERROR - Check Input")/12),0)</f>
        <v>0</v>
      </c>
      <c r="K93" s="142">
        <f t="shared" si="8"/>
        <v>0</v>
      </c>
      <c r="L93" s="142">
        <f>IF(I93&lt;=($J$9*12),$J$15,IFERROR(-IPMT($J$11,I93-$J$9*12,($J$12-$J$9)*12,$J$6)+$J$13*_xlfn.XLOOKUP($K$13,'RE Calculations'!$B$12:$B$16,'RE Calculations'!$C$12:$C$16,"ERROR - Check Input")/12,0))</f>
        <v>10</v>
      </c>
      <c r="M93" s="142">
        <f t="shared" si="9"/>
        <v>0</v>
      </c>
      <c r="P93" s="12">
        <v>71</v>
      </c>
      <c r="Q93" s="142">
        <f>IF(T92&gt;0.01,-PMT($Q$8,$Q$9*12,$Q$6)+$Q$10*_xlfn.XLOOKUP($R$10,'RE Calculations'!$B$12:$B$16,'RE Calculations'!$C$12:$C$16,"ERROR - Check Input")/12,0)</f>
        <v>0</v>
      </c>
      <c r="R93" s="142">
        <f t="shared" si="10"/>
        <v>0</v>
      </c>
      <c r="S93" s="142">
        <f>IFERROR(-IPMT($Q$8,P93,$Q$9*12,$Q$6)+$Q$10*_xlfn.XLOOKUP($R$10,'RE Calculations'!$B$12:$B$16,'RE Calculations'!$C$12:$C$16,"ERROR - Check Input")/12,0)</f>
        <v>8.3333333333333339</v>
      </c>
      <c r="T93" s="142">
        <f t="shared" si="11"/>
        <v>0</v>
      </c>
      <c r="W93" s="12">
        <v>71</v>
      </c>
      <c r="X93" s="142">
        <f>IF(AA92&gt;0.01,IF(W93&lt;=($X$9*12),$X$15,-PMT($X$11,($X$12-$X$9)*12,$X$6)+$X$13*_xlfn.XLOOKUP($Y$13,'RE Calculations'!$B$12:$B$16,'RE Calculations'!$C$12:$C$16,"ERROR - Check Input")/12),0)</f>
        <v>0</v>
      </c>
      <c r="Y93" s="142">
        <f t="shared" si="12"/>
        <v>0</v>
      </c>
      <c r="Z93" s="142">
        <f>IF(W93&lt;=($X$9*12),$X$15,IFERROR(-IPMT($X$11,W93-$X$9*12,($X$12-$X$9)*12,$X$6)+$X$13*_xlfn.XLOOKUP($Y$13,'RE Calculations'!$B$12:$B$16,'RE Calculations'!$C$12:$C$16,"ERROR - Check Input")/12,0))</f>
        <v>10</v>
      </c>
      <c r="AA93" s="142">
        <f t="shared" si="13"/>
        <v>0</v>
      </c>
    </row>
    <row r="94" spans="2:27" x14ac:dyDescent="0.35">
      <c r="B94" s="12">
        <v>72</v>
      </c>
      <c r="C94" s="142">
        <f>IF(F93&gt;0.01,-PMT($C$8,$C$9*12,$C$6)+$C$10*_xlfn.XLOOKUP($D$10,'RE Calculations'!$B$12:$B$16,'RE Calculations'!$C$12:$C$16,"ERROR - Check Input")/12,0)</f>
        <v>0</v>
      </c>
      <c r="D94" s="142">
        <f t="shared" si="14"/>
        <v>0</v>
      </c>
      <c r="E94" s="142">
        <f>IFERROR(-IPMT($C$8,B94,$C$9*12,$C$6)+$C$10*_xlfn.XLOOKUP($D$10,'RE Calculations'!$B$12:$B$16,'RE Calculations'!$C$12:$C$16,"ERROR - Check Input")/12,0)</f>
        <v>8.3333333333333339</v>
      </c>
      <c r="F94" s="142">
        <f t="shared" si="15"/>
        <v>0</v>
      </c>
      <c r="I94" s="12">
        <v>72</v>
      </c>
      <c r="J94" s="142">
        <f>IF(M93&gt;0.01,IF(I94&lt;=($J$9*12),$J$15,-PMT($J$11,($J$12-$J$9)*12,$J$6)+$J$13*_xlfn.XLOOKUP($K$13,'RE Calculations'!$B$12:$B$16,'RE Calculations'!$C$12:$C$16,"ERROR - Check Input")/12),0)</f>
        <v>0</v>
      </c>
      <c r="K94" s="142">
        <f t="shared" si="8"/>
        <v>0</v>
      </c>
      <c r="L94" s="142">
        <f>IF(I94&lt;=($J$9*12),$J$15,IFERROR(-IPMT($J$11,I94-$J$9*12,($J$12-$J$9)*12,$J$6)+$J$13*_xlfn.XLOOKUP($K$13,'RE Calculations'!$B$12:$B$16,'RE Calculations'!$C$12:$C$16,"ERROR - Check Input")/12,0))</f>
        <v>10</v>
      </c>
      <c r="M94" s="142">
        <f t="shared" si="9"/>
        <v>0</v>
      </c>
      <c r="P94" s="12">
        <v>72</v>
      </c>
      <c r="Q94" s="142">
        <f>IF(T93&gt;0.01,-PMT($Q$8,$Q$9*12,$Q$6)+$Q$10*_xlfn.XLOOKUP($R$10,'RE Calculations'!$B$12:$B$16,'RE Calculations'!$C$12:$C$16,"ERROR - Check Input")/12,0)</f>
        <v>0</v>
      </c>
      <c r="R94" s="142">
        <f t="shared" si="10"/>
        <v>0</v>
      </c>
      <c r="S94" s="142">
        <f>IFERROR(-IPMT($Q$8,P94,$Q$9*12,$Q$6)+$Q$10*_xlfn.XLOOKUP($R$10,'RE Calculations'!$B$12:$B$16,'RE Calculations'!$C$12:$C$16,"ERROR - Check Input")/12,0)</f>
        <v>8.3333333333333339</v>
      </c>
      <c r="T94" s="142">
        <f t="shared" si="11"/>
        <v>0</v>
      </c>
      <c r="W94" s="12">
        <v>72</v>
      </c>
      <c r="X94" s="142">
        <f>IF(AA93&gt;0.01,IF(W94&lt;=($X$9*12),$X$15,-PMT($X$11,($X$12-$X$9)*12,$X$6)+$X$13*_xlfn.XLOOKUP($Y$13,'RE Calculations'!$B$12:$B$16,'RE Calculations'!$C$12:$C$16,"ERROR - Check Input")/12),0)</f>
        <v>0</v>
      </c>
      <c r="Y94" s="142">
        <f t="shared" si="12"/>
        <v>0</v>
      </c>
      <c r="Z94" s="142">
        <f>IF(W94&lt;=($X$9*12),$X$15,IFERROR(-IPMT($X$11,W94-$X$9*12,($X$12-$X$9)*12,$X$6)+$X$13*_xlfn.XLOOKUP($Y$13,'RE Calculations'!$B$12:$B$16,'RE Calculations'!$C$12:$C$16,"ERROR - Check Input")/12,0))</f>
        <v>10</v>
      </c>
      <c r="AA94" s="142">
        <f t="shared" si="13"/>
        <v>0</v>
      </c>
    </row>
    <row r="95" spans="2:27" x14ac:dyDescent="0.35">
      <c r="B95" s="12">
        <v>73</v>
      </c>
      <c r="C95" s="142">
        <f>IF(F94&gt;0.01,-PMT($C$8,$C$9*12,$C$6)+$C$10*_xlfn.XLOOKUP($D$10,'RE Calculations'!$B$12:$B$16,'RE Calculations'!$C$12:$C$16,"ERROR - Check Input")/12,0)</f>
        <v>0</v>
      </c>
      <c r="D95" s="142">
        <f t="shared" si="14"/>
        <v>0</v>
      </c>
      <c r="E95" s="142">
        <f>IFERROR(-IPMT($C$8,B95,$C$9*12,$C$6)+$C$10*_xlfn.XLOOKUP($D$10,'RE Calculations'!$B$12:$B$16,'RE Calculations'!$C$12:$C$16,"ERROR - Check Input")/12,0)</f>
        <v>8.3333333333333339</v>
      </c>
      <c r="F95" s="142">
        <f t="shared" si="15"/>
        <v>0</v>
      </c>
      <c r="I95" s="12">
        <v>73</v>
      </c>
      <c r="J95" s="142">
        <f>IF(M94&gt;0.01,IF(I95&lt;=($J$9*12),$J$15,-PMT($J$11,($J$12-$J$9)*12,$J$6)+$J$13*_xlfn.XLOOKUP($K$13,'RE Calculations'!$B$12:$B$16,'RE Calculations'!$C$12:$C$16,"ERROR - Check Input")/12),0)</f>
        <v>0</v>
      </c>
      <c r="K95" s="142">
        <f t="shared" si="8"/>
        <v>0</v>
      </c>
      <c r="L95" s="142">
        <f>IF(I95&lt;=($J$9*12),$J$15,IFERROR(-IPMT($J$11,I95-$J$9*12,($J$12-$J$9)*12,$J$6)+$J$13*_xlfn.XLOOKUP($K$13,'RE Calculations'!$B$12:$B$16,'RE Calculations'!$C$12:$C$16,"ERROR - Check Input")/12,0))</f>
        <v>10</v>
      </c>
      <c r="M95" s="142">
        <f t="shared" si="9"/>
        <v>0</v>
      </c>
      <c r="P95" s="12">
        <v>73</v>
      </c>
      <c r="Q95" s="142">
        <f>IF(T94&gt;0.01,-PMT($Q$8,$Q$9*12,$Q$6)+$Q$10*_xlfn.XLOOKUP($R$10,'RE Calculations'!$B$12:$B$16,'RE Calculations'!$C$12:$C$16,"ERROR - Check Input")/12,0)</f>
        <v>0</v>
      </c>
      <c r="R95" s="142">
        <f t="shared" si="10"/>
        <v>0</v>
      </c>
      <c r="S95" s="142">
        <f>IFERROR(-IPMT($Q$8,P95,$Q$9*12,$Q$6)+$Q$10*_xlfn.XLOOKUP($R$10,'RE Calculations'!$B$12:$B$16,'RE Calculations'!$C$12:$C$16,"ERROR - Check Input")/12,0)</f>
        <v>8.3333333333333339</v>
      </c>
      <c r="T95" s="142">
        <f t="shared" si="11"/>
        <v>0</v>
      </c>
      <c r="W95" s="12">
        <v>73</v>
      </c>
      <c r="X95" s="142">
        <f>IF(AA94&gt;0.01,IF(W95&lt;=($X$9*12),$X$15,-PMT($X$11,($X$12-$X$9)*12,$X$6)+$X$13*_xlfn.XLOOKUP($Y$13,'RE Calculations'!$B$12:$B$16,'RE Calculations'!$C$12:$C$16,"ERROR - Check Input")/12),0)</f>
        <v>0</v>
      </c>
      <c r="Y95" s="142">
        <f t="shared" si="12"/>
        <v>0</v>
      </c>
      <c r="Z95" s="142">
        <f>IF(W95&lt;=($X$9*12),$X$15,IFERROR(-IPMT($X$11,W95-$X$9*12,($X$12-$X$9)*12,$X$6)+$X$13*_xlfn.XLOOKUP($Y$13,'RE Calculations'!$B$12:$B$16,'RE Calculations'!$C$12:$C$16,"ERROR - Check Input")/12,0))</f>
        <v>10</v>
      </c>
      <c r="AA95" s="142">
        <f t="shared" si="13"/>
        <v>0</v>
      </c>
    </row>
    <row r="96" spans="2:27" x14ac:dyDescent="0.35">
      <c r="B96" s="12">
        <v>74</v>
      </c>
      <c r="C96" s="142">
        <f>IF(F95&gt;0.01,-PMT($C$8,$C$9*12,$C$6)+$C$10*_xlfn.XLOOKUP($D$10,'RE Calculations'!$B$12:$B$16,'RE Calculations'!$C$12:$C$16,"ERROR - Check Input")/12,0)</f>
        <v>0</v>
      </c>
      <c r="D96" s="142">
        <f t="shared" si="14"/>
        <v>0</v>
      </c>
      <c r="E96" s="142">
        <f>IFERROR(-IPMT($C$8,B96,$C$9*12,$C$6)+$C$10*_xlfn.XLOOKUP($D$10,'RE Calculations'!$B$12:$B$16,'RE Calculations'!$C$12:$C$16,"ERROR - Check Input")/12,0)</f>
        <v>8.3333333333333339</v>
      </c>
      <c r="F96" s="142">
        <f t="shared" si="15"/>
        <v>0</v>
      </c>
      <c r="I96" s="12">
        <v>74</v>
      </c>
      <c r="J96" s="142">
        <f>IF(M95&gt;0.01,IF(I96&lt;=($J$9*12),$J$15,-PMT($J$11,($J$12-$J$9)*12,$J$6)+$J$13*_xlfn.XLOOKUP($K$13,'RE Calculations'!$B$12:$B$16,'RE Calculations'!$C$12:$C$16,"ERROR - Check Input")/12),0)</f>
        <v>0</v>
      </c>
      <c r="K96" s="142">
        <f t="shared" si="8"/>
        <v>0</v>
      </c>
      <c r="L96" s="142">
        <f>IF(I96&lt;=($J$9*12),$J$15,IFERROR(-IPMT($J$11,I96-$J$9*12,($J$12-$J$9)*12,$J$6)+$J$13*_xlfn.XLOOKUP($K$13,'RE Calculations'!$B$12:$B$16,'RE Calculations'!$C$12:$C$16,"ERROR - Check Input")/12,0))</f>
        <v>10</v>
      </c>
      <c r="M96" s="142">
        <f t="shared" si="9"/>
        <v>0</v>
      </c>
      <c r="P96" s="12">
        <v>74</v>
      </c>
      <c r="Q96" s="142">
        <f>IF(T95&gt;0.01,-PMT($Q$8,$Q$9*12,$Q$6)+$Q$10*_xlfn.XLOOKUP($R$10,'RE Calculations'!$B$12:$B$16,'RE Calculations'!$C$12:$C$16,"ERROR - Check Input")/12,0)</f>
        <v>0</v>
      </c>
      <c r="R96" s="142">
        <f t="shared" si="10"/>
        <v>0</v>
      </c>
      <c r="S96" s="142">
        <f>IFERROR(-IPMT($Q$8,P96,$Q$9*12,$Q$6)+$Q$10*_xlfn.XLOOKUP($R$10,'RE Calculations'!$B$12:$B$16,'RE Calculations'!$C$12:$C$16,"ERROR - Check Input")/12,0)</f>
        <v>8.3333333333333339</v>
      </c>
      <c r="T96" s="142">
        <f t="shared" si="11"/>
        <v>0</v>
      </c>
      <c r="W96" s="12">
        <v>74</v>
      </c>
      <c r="X96" s="142">
        <f>IF(AA95&gt;0.01,IF(W96&lt;=($X$9*12),$X$15,-PMT($X$11,($X$12-$X$9)*12,$X$6)+$X$13*_xlfn.XLOOKUP($Y$13,'RE Calculations'!$B$12:$B$16,'RE Calculations'!$C$12:$C$16,"ERROR - Check Input")/12),0)</f>
        <v>0</v>
      </c>
      <c r="Y96" s="142">
        <f t="shared" si="12"/>
        <v>0</v>
      </c>
      <c r="Z96" s="142">
        <f>IF(W96&lt;=($X$9*12),$X$15,IFERROR(-IPMT($X$11,W96-$X$9*12,($X$12-$X$9)*12,$X$6)+$X$13*_xlfn.XLOOKUP($Y$13,'RE Calculations'!$B$12:$B$16,'RE Calculations'!$C$12:$C$16,"ERROR - Check Input")/12,0))</f>
        <v>10</v>
      </c>
      <c r="AA96" s="142">
        <f t="shared" si="13"/>
        <v>0</v>
      </c>
    </row>
    <row r="97" spans="2:27" x14ac:dyDescent="0.35">
      <c r="B97" s="12">
        <v>75</v>
      </c>
      <c r="C97" s="142">
        <f>IF(F96&gt;0.01,-PMT($C$8,$C$9*12,$C$6)+$C$10*_xlfn.XLOOKUP($D$10,'RE Calculations'!$B$12:$B$16,'RE Calculations'!$C$12:$C$16,"ERROR - Check Input")/12,0)</f>
        <v>0</v>
      </c>
      <c r="D97" s="142">
        <f t="shared" si="14"/>
        <v>0</v>
      </c>
      <c r="E97" s="142">
        <f>IFERROR(-IPMT($C$8,B97,$C$9*12,$C$6)+$C$10*_xlfn.XLOOKUP($D$10,'RE Calculations'!$B$12:$B$16,'RE Calculations'!$C$12:$C$16,"ERROR - Check Input")/12,0)</f>
        <v>8.3333333333333339</v>
      </c>
      <c r="F97" s="142">
        <f t="shared" si="15"/>
        <v>0</v>
      </c>
      <c r="I97" s="12">
        <v>75</v>
      </c>
      <c r="J97" s="142">
        <f>IF(M96&gt;0.01,IF(I97&lt;=($J$9*12),$J$15,-PMT($J$11,($J$12-$J$9)*12,$J$6)+$J$13*_xlfn.XLOOKUP($K$13,'RE Calculations'!$B$12:$B$16,'RE Calculations'!$C$12:$C$16,"ERROR - Check Input")/12),0)</f>
        <v>0</v>
      </c>
      <c r="K97" s="142">
        <f t="shared" si="8"/>
        <v>0</v>
      </c>
      <c r="L97" s="142">
        <f>IF(I97&lt;=($J$9*12),$J$15,IFERROR(-IPMT($J$11,I97-$J$9*12,($J$12-$J$9)*12,$J$6)+$J$13*_xlfn.XLOOKUP($K$13,'RE Calculations'!$B$12:$B$16,'RE Calculations'!$C$12:$C$16,"ERROR - Check Input")/12,0))</f>
        <v>10</v>
      </c>
      <c r="M97" s="142">
        <f t="shared" si="9"/>
        <v>0</v>
      </c>
      <c r="P97" s="12">
        <v>75</v>
      </c>
      <c r="Q97" s="142">
        <f>IF(T96&gt;0.01,-PMT($Q$8,$Q$9*12,$Q$6)+$Q$10*_xlfn.XLOOKUP($R$10,'RE Calculations'!$B$12:$B$16,'RE Calculations'!$C$12:$C$16,"ERROR - Check Input")/12,0)</f>
        <v>0</v>
      </c>
      <c r="R97" s="142">
        <f t="shared" si="10"/>
        <v>0</v>
      </c>
      <c r="S97" s="142">
        <f>IFERROR(-IPMT($Q$8,P97,$Q$9*12,$Q$6)+$Q$10*_xlfn.XLOOKUP($R$10,'RE Calculations'!$B$12:$B$16,'RE Calculations'!$C$12:$C$16,"ERROR - Check Input")/12,0)</f>
        <v>8.3333333333333339</v>
      </c>
      <c r="T97" s="142">
        <f t="shared" si="11"/>
        <v>0</v>
      </c>
      <c r="W97" s="12">
        <v>75</v>
      </c>
      <c r="X97" s="142">
        <f>IF(AA96&gt;0.01,IF(W97&lt;=($X$9*12),$X$15,-PMT($X$11,($X$12-$X$9)*12,$X$6)+$X$13*_xlfn.XLOOKUP($Y$13,'RE Calculations'!$B$12:$B$16,'RE Calculations'!$C$12:$C$16,"ERROR - Check Input")/12),0)</f>
        <v>0</v>
      </c>
      <c r="Y97" s="142">
        <f t="shared" si="12"/>
        <v>0</v>
      </c>
      <c r="Z97" s="142">
        <f>IF(W97&lt;=($X$9*12),$X$15,IFERROR(-IPMT($X$11,W97-$X$9*12,($X$12-$X$9)*12,$X$6)+$X$13*_xlfn.XLOOKUP($Y$13,'RE Calculations'!$B$12:$B$16,'RE Calculations'!$C$12:$C$16,"ERROR - Check Input")/12,0))</f>
        <v>10</v>
      </c>
      <c r="AA97" s="142">
        <f t="shared" si="13"/>
        <v>0</v>
      </c>
    </row>
    <row r="98" spans="2:27" x14ac:dyDescent="0.35">
      <c r="B98" s="12">
        <v>76</v>
      </c>
      <c r="C98" s="142">
        <f>IF(F97&gt;0.01,-PMT($C$8,$C$9*12,$C$6)+$C$10*_xlfn.XLOOKUP($D$10,'RE Calculations'!$B$12:$B$16,'RE Calculations'!$C$12:$C$16,"ERROR - Check Input")/12,0)</f>
        <v>0</v>
      </c>
      <c r="D98" s="142">
        <f t="shared" si="14"/>
        <v>0</v>
      </c>
      <c r="E98" s="142">
        <f>IFERROR(-IPMT($C$8,B98,$C$9*12,$C$6)+$C$10*_xlfn.XLOOKUP($D$10,'RE Calculations'!$B$12:$B$16,'RE Calculations'!$C$12:$C$16,"ERROR - Check Input")/12,0)</f>
        <v>8.3333333333333339</v>
      </c>
      <c r="F98" s="142">
        <f t="shared" si="15"/>
        <v>0</v>
      </c>
      <c r="I98" s="12">
        <v>76</v>
      </c>
      <c r="J98" s="142">
        <f>IF(M97&gt;0.01,IF(I98&lt;=($J$9*12),$J$15,-PMT($J$11,($J$12-$J$9)*12,$J$6)+$J$13*_xlfn.XLOOKUP($K$13,'RE Calculations'!$B$12:$B$16,'RE Calculations'!$C$12:$C$16,"ERROR - Check Input")/12),0)</f>
        <v>0</v>
      </c>
      <c r="K98" s="142">
        <f t="shared" si="8"/>
        <v>0</v>
      </c>
      <c r="L98" s="142">
        <f>IF(I98&lt;=($J$9*12),$J$15,IFERROR(-IPMT($J$11,I98-$J$9*12,($J$12-$J$9)*12,$J$6)+$J$13*_xlfn.XLOOKUP($K$13,'RE Calculations'!$B$12:$B$16,'RE Calculations'!$C$12:$C$16,"ERROR - Check Input")/12,0))</f>
        <v>10</v>
      </c>
      <c r="M98" s="142">
        <f t="shared" si="9"/>
        <v>0</v>
      </c>
      <c r="P98" s="12">
        <v>76</v>
      </c>
      <c r="Q98" s="142">
        <f>IF(T97&gt;0.01,-PMT($Q$8,$Q$9*12,$Q$6)+$Q$10*_xlfn.XLOOKUP($R$10,'RE Calculations'!$B$12:$B$16,'RE Calculations'!$C$12:$C$16,"ERROR - Check Input")/12,0)</f>
        <v>0</v>
      </c>
      <c r="R98" s="142">
        <f t="shared" si="10"/>
        <v>0</v>
      </c>
      <c r="S98" s="142">
        <f>IFERROR(-IPMT($Q$8,P98,$Q$9*12,$Q$6)+$Q$10*_xlfn.XLOOKUP($R$10,'RE Calculations'!$B$12:$B$16,'RE Calculations'!$C$12:$C$16,"ERROR - Check Input")/12,0)</f>
        <v>8.3333333333333339</v>
      </c>
      <c r="T98" s="142">
        <f t="shared" si="11"/>
        <v>0</v>
      </c>
      <c r="W98" s="12">
        <v>76</v>
      </c>
      <c r="X98" s="142">
        <f>IF(AA97&gt;0.01,IF(W98&lt;=($X$9*12),$X$15,-PMT($X$11,($X$12-$X$9)*12,$X$6)+$X$13*_xlfn.XLOOKUP($Y$13,'RE Calculations'!$B$12:$B$16,'RE Calculations'!$C$12:$C$16,"ERROR - Check Input")/12),0)</f>
        <v>0</v>
      </c>
      <c r="Y98" s="142">
        <f t="shared" si="12"/>
        <v>0</v>
      </c>
      <c r="Z98" s="142">
        <f>IF(W98&lt;=($X$9*12),$X$15,IFERROR(-IPMT($X$11,W98-$X$9*12,($X$12-$X$9)*12,$X$6)+$X$13*_xlfn.XLOOKUP($Y$13,'RE Calculations'!$B$12:$B$16,'RE Calculations'!$C$12:$C$16,"ERROR - Check Input")/12,0))</f>
        <v>10</v>
      </c>
      <c r="AA98" s="142">
        <f t="shared" si="13"/>
        <v>0</v>
      </c>
    </row>
    <row r="99" spans="2:27" x14ac:dyDescent="0.35">
      <c r="B99" s="12">
        <v>77</v>
      </c>
      <c r="C99" s="142">
        <f>IF(F98&gt;0.01,-PMT($C$8,$C$9*12,$C$6)+$C$10*_xlfn.XLOOKUP($D$10,'RE Calculations'!$B$12:$B$16,'RE Calculations'!$C$12:$C$16,"ERROR - Check Input")/12,0)</f>
        <v>0</v>
      </c>
      <c r="D99" s="142">
        <f t="shared" si="14"/>
        <v>0</v>
      </c>
      <c r="E99" s="142">
        <f>IFERROR(-IPMT($C$8,B99,$C$9*12,$C$6)+$C$10*_xlfn.XLOOKUP($D$10,'RE Calculations'!$B$12:$B$16,'RE Calculations'!$C$12:$C$16,"ERROR - Check Input")/12,0)</f>
        <v>8.3333333333333339</v>
      </c>
      <c r="F99" s="142">
        <f t="shared" si="15"/>
        <v>0</v>
      </c>
      <c r="I99" s="12">
        <v>77</v>
      </c>
      <c r="J99" s="142">
        <f>IF(M98&gt;0.01,IF(I99&lt;=($J$9*12),$J$15,-PMT($J$11,($J$12-$J$9)*12,$J$6)+$J$13*_xlfn.XLOOKUP($K$13,'RE Calculations'!$B$12:$B$16,'RE Calculations'!$C$12:$C$16,"ERROR - Check Input")/12),0)</f>
        <v>0</v>
      </c>
      <c r="K99" s="142">
        <f t="shared" si="8"/>
        <v>0</v>
      </c>
      <c r="L99" s="142">
        <f>IF(I99&lt;=($J$9*12),$J$15,IFERROR(-IPMT($J$11,I99-$J$9*12,($J$12-$J$9)*12,$J$6)+$J$13*_xlfn.XLOOKUP($K$13,'RE Calculations'!$B$12:$B$16,'RE Calculations'!$C$12:$C$16,"ERROR - Check Input")/12,0))</f>
        <v>10</v>
      </c>
      <c r="M99" s="142">
        <f t="shared" si="9"/>
        <v>0</v>
      </c>
      <c r="P99" s="12">
        <v>77</v>
      </c>
      <c r="Q99" s="142">
        <f>IF(T98&gt;0.01,-PMT($Q$8,$Q$9*12,$Q$6)+$Q$10*_xlfn.XLOOKUP($R$10,'RE Calculations'!$B$12:$B$16,'RE Calculations'!$C$12:$C$16,"ERROR - Check Input")/12,0)</f>
        <v>0</v>
      </c>
      <c r="R99" s="142">
        <f t="shared" si="10"/>
        <v>0</v>
      </c>
      <c r="S99" s="142">
        <f>IFERROR(-IPMT($Q$8,P99,$Q$9*12,$Q$6)+$Q$10*_xlfn.XLOOKUP($R$10,'RE Calculations'!$B$12:$B$16,'RE Calculations'!$C$12:$C$16,"ERROR - Check Input")/12,0)</f>
        <v>8.3333333333333339</v>
      </c>
      <c r="T99" s="142">
        <f t="shared" si="11"/>
        <v>0</v>
      </c>
      <c r="W99" s="12">
        <v>77</v>
      </c>
      <c r="X99" s="142">
        <f>IF(AA98&gt;0.01,IF(W99&lt;=($X$9*12),$X$15,-PMT($X$11,($X$12-$X$9)*12,$X$6)+$X$13*_xlfn.XLOOKUP($Y$13,'RE Calculations'!$B$12:$B$16,'RE Calculations'!$C$12:$C$16,"ERROR - Check Input")/12),0)</f>
        <v>0</v>
      </c>
      <c r="Y99" s="142">
        <f t="shared" si="12"/>
        <v>0</v>
      </c>
      <c r="Z99" s="142">
        <f>IF(W99&lt;=($X$9*12),$X$15,IFERROR(-IPMT($X$11,W99-$X$9*12,($X$12-$X$9)*12,$X$6)+$X$13*_xlfn.XLOOKUP($Y$13,'RE Calculations'!$B$12:$B$16,'RE Calculations'!$C$12:$C$16,"ERROR - Check Input")/12,0))</f>
        <v>10</v>
      </c>
      <c r="AA99" s="142">
        <f t="shared" si="13"/>
        <v>0</v>
      </c>
    </row>
    <row r="100" spans="2:27" x14ac:dyDescent="0.35">
      <c r="B100" s="12">
        <v>78</v>
      </c>
      <c r="C100" s="142">
        <f>IF(F99&gt;0.01,-PMT($C$8,$C$9*12,$C$6)+$C$10*_xlfn.XLOOKUP($D$10,'RE Calculations'!$B$12:$B$16,'RE Calculations'!$C$12:$C$16,"ERROR - Check Input")/12,0)</f>
        <v>0</v>
      </c>
      <c r="D100" s="142">
        <f t="shared" si="14"/>
        <v>0</v>
      </c>
      <c r="E100" s="142">
        <f>IFERROR(-IPMT($C$8,B100,$C$9*12,$C$6)+$C$10*_xlfn.XLOOKUP($D$10,'RE Calculations'!$B$12:$B$16,'RE Calculations'!$C$12:$C$16,"ERROR - Check Input")/12,0)</f>
        <v>8.3333333333333339</v>
      </c>
      <c r="F100" s="142">
        <f t="shared" si="15"/>
        <v>0</v>
      </c>
      <c r="I100" s="12">
        <v>78</v>
      </c>
      <c r="J100" s="142">
        <f>IF(M99&gt;0.01,IF(I100&lt;=($J$9*12),$J$15,-PMT($J$11,($J$12-$J$9)*12,$J$6)+$J$13*_xlfn.XLOOKUP($K$13,'RE Calculations'!$B$12:$B$16,'RE Calculations'!$C$12:$C$16,"ERROR - Check Input")/12),0)</f>
        <v>0</v>
      </c>
      <c r="K100" s="142">
        <f t="shared" si="8"/>
        <v>0</v>
      </c>
      <c r="L100" s="142">
        <f>IF(I100&lt;=($J$9*12),$J$15,IFERROR(-IPMT($J$11,I100-$J$9*12,($J$12-$J$9)*12,$J$6)+$J$13*_xlfn.XLOOKUP($K$13,'RE Calculations'!$B$12:$B$16,'RE Calculations'!$C$12:$C$16,"ERROR - Check Input")/12,0))</f>
        <v>10</v>
      </c>
      <c r="M100" s="142">
        <f t="shared" si="9"/>
        <v>0</v>
      </c>
      <c r="P100" s="12">
        <v>78</v>
      </c>
      <c r="Q100" s="142">
        <f>IF(T99&gt;0.01,-PMT($Q$8,$Q$9*12,$Q$6)+$Q$10*_xlfn.XLOOKUP($R$10,'RE Calculations'!$B$12:$B$16,'RE Calculations'!$C$12:$C$16,"ERROR - Check Input")/12,0)</f>
        <v>0</v>
      </c>
      <c r="R100" s="142">
        <f t="shared" si="10"/>
        <v>0</v>
      </c>
      <c r="S100" s="142">
        <f>IFERROR(-IPMT($Q$8,P100,$Q$9*12,$Q$6)+$Q$10*_xlfn.XLOOKUP($R$10,'RE Calculations'!$B$12:$B$16,'RE Calculations'!$C$12:$C$16,"ERROR - Check Input")/12,0)</f>
        <v>8.3333333333333339</v>
      </c>
      <c r="T100" s="142">
        <f t="shared" si="11"/>
        <v>0</v>
      </c>
      <c r="W100" s="12">
        <v>78</v>
      </c>
      <c r="X100" s="142">
        <f>IF(AA99&gt;0.01,IF(W100&lt;=($X$9*12),$X$15,-PMT($X$11,($X$12-$X$9)*12,$X$6)+$X$13*_xlfn.XLOOKUP($Y$13,'RE Calculations'!$B$12:$B$16,'RE Calculations'!$C$12:$C$16,"ERROR - Check Input")/12),0)</f>
        <v>0</v>
      </c>
      <c r="Y100" s="142">
        <f t="shared" si="12"/>
        <v>0</v>
      </c>
      <c r="Z100" s="142">
        <f>IF(W100&lt;=($X$9*12),$X$15,IFERROR(-IPMT($X$11,W100-$X$9*12,($X$12-$X$9)*12,$X$6)+$X$13*_xlfn.XLOOKUP($Y$13,'RE Calculations'!$B$12:$B$16,'RE Calculations'!$C$12:$C$16,"ERROR - Check Input")/12,0))</f>
        <v>10</v>
      </c>
      <c r="AA100" s="142">
        <f t="shared" si="13"/>
        <v>0</v>
      </c>
    </row>
    <row r="101" spans="2:27" x14ac:dyDescent="0.35">
      <c r="B101" s="12">
        <v>79</v>
      </c>
      <c r="C101" s="142">
        <f>IF(F100&gt;0.01,-PMT($C$8,$C$9*12,$C$6)+$C$10*_xlfn.XLOOKUP($D$10,'RE Calculations'!$B$12:$B$16,'RE Calculations'!$C$12:$C$16,"ERROR - Check Input")/12,0)</f>
        <v>0</v>
      </c>
      <c r="D101" s="142">
        <f t="shared" si="14"/>
        <v>0</v>
      </c>
      <c r="E101" s="142">
        <f>IFERROR(-IPMT($C$8,B101,$C$9*12,$C$6)+$C$10*_xlfn.XLOOKUP($D$10,'RE Calculations'!$B$12:$B$16,'RE Calculations'!$C$12:$C$16,"ERROR - Check Input")/12,0)</f>
        <v>8.3333333333333339</v>
      </c>
      <c r="F101" s="142">
        <f t="shared" si="15"/>
        <v>0</v>
      </c>
      <c r="I101" s="12">
        <v>79</v>
      </c>
      <c r="J101" s="142">
        <f>IF(M100&gt;0.01,IF(I101&lt;=($J$9*12),$J$15,-PMT($J$11,($J$12-$J$9)*12,$J$6)+$J$13*_xlfn.XLOOKUP($K$13,'RE Calculations'!$B$12:$B$16,'RE Calculations'!$C$12:$C$16,"ERROR - Check Input")/12),0)</f>
        <v>0</v>
      </c>
      <c r="K101" s="142">
        <f t="shared" si="8"/>
        <v>0</v>
      </c>
      <c r="L101" s="142">
        <f>IF(I101&lt;=($J$9*12),$J$15,IFERROR(-IPMT($J$11,I101-$J$9*12,($J$12-$J$9)*12,$J$6)+$J$13*_xlfn.XLOOKUP($K$13,'RE Calculations'!$B$12:$B$16,'RE Calculations'!$C$12:$C$16,"ERROR - Check Input")/12,0))</f>
        <v>10</v>
      </c>
      <c r="M101" s="142">
        <f t="shared" si="9"/>
        <v>0</v>
      </c>
      <c r="P101" s="12">
        <v>79</v>
      </c>
      <c r="Q101" s="142">
        <f>IF(T100&gt;0.01,-PMT($Q$8,$Q$9*12,$Q$6)+$Q$10*_xlfn.XLOOKUP($R$10,'RE Calculations'!$B$12:$B$16,'RE Calculations'!$C$12:$C$16,"ERROR - Check Input")/12,0)</f>
        <v>0</v>
      </c>
      <c r="R101" s="142">
        <f t="shared" si="10"/>
        <v>0</v>
      </c>
      <c r="S101" s="142">
        <f>IFERROR(-IPMT($Q$8,P101,$Q$9*12,$Q$6)+$Q$10*_xlfn.XLOOKUP($R$10,'RE Calculations'!$B$12:$B$16,'RE Calculations'!$C$12:$C$16,"ERROR - Check Input")/12,0)</f>
        <v>8.3333333333333339</v>
      </c>
      <c r="T101" s="142">
        <f t="shared" si="11"/>
        <v>0</v>
      </c>
      <c r="W101" s="12">
        <v>79</v>
      </c>
      <c r="X101" s="142">
        <f>IF(AA100&gt;0.01,IF(W101&lt;=($X$9*12),$X$15,-PMT($X$11,($X$12-$X$9)*12,$X$6)+$X$13*_xlfn.XLOOKUP($Y$13,'RE Calculations'!$B$12:$B$16,'RE Calculations'!$C$12:$C$16,"ERROR - Check Input")/12),0)</f>
        <v>0</v>
      </c>
      <c r="Y101" s="142">
        <f t="shared" si="12"/>
        <v>0</v>
      </c>
      <c r="Z101" s="142">
        <f>IF(W101&lt;=($X$9*12),$X$15,IFERROR(-IPMT($X$11,W101-$X$9*12,($X$12-$X$9)*12,$X$6)+$X$13*_xlfn.XLOOKUP($Y$13,'RE Calculations'!$B$12:$B$16,'RE Calculations'!$C$12:$C$16,"ERROR - Check Input")/12,0))</f>
        <v>10</v>
      </c>
      <c r="AA101" s="142">
        <f t="shared" si="13"/>
        <v>0</v>
      </c>
    </row>
    <row r="102" spans="2:27" x14ac:dyDescent="0.35">
      <c r="B102" s="12">
        <v>80</v>
      </c>
      <c r="C102" s="142">
        <f>IF(F101&gt;0.01,-PMT($C$8,$C$9*12,$C$6)+$C$10*_xlfn.XLOOKUP($D$10,'RE Calculations'!$B$12:$B$16,'RE Calculations'!$C$12:$C$16,"ERROR - Check Input")/12,0)</f>
        <v>0</v>
      </c>
      <c r="D102" s="142">
        <f t="shared" si="14"/>
        <v>0</v>
      </c>
      <c r="E102" s="142">
        <f>IFERROR(-IPMT($C$8,B102,$C$9*12,$C$6)+$C$10*_xlfn.XLOOKUP($D$10,'RE Calculations'!$B$12:$B$16,'RE Calculations'!$C$12:$C$16,"ERROR - Check Input")/12,0)</f>
        <v>8.3333333333333339</v>
      </c>
      <c r="F102" s="142">
        <f t="shared" si="15"/>
        <v>0</v>
      </c>
      <c r="I102" s="12">
        <v>80</v>
      </c>
      <c r="J102" s="142">
        <f>IF(M101&gt;0.01,IF(I102&lt;=($J$9*12),$J$15,-PMT($J$11,($J$12-$J$9)*12,$J$6)+$J$13*_xlfn.XLOOKUP($K$13,'RE Calculations'!$B$12:$B$16,'RE Calculations'!$C$12:$C$16,"ERROR - Check Input")/12),0)</f>
        <v>0</v>
      </c>
      <c r="K102" s="142">
        <f t="shared" si="8"/>
        <v>0</v>
      </c>
      <c r="L102" s="142">
        <f>IF(I102&lt;=($J$9*12),$J$15,IFERROR(-IPMT($J$11,I102-$J$9*12,($J$12-$J$9)*12,$J$6)+$J$13*_xlfn.XLOOKUP($K$13,'RE Calculations'!$B$12:$B$16,'RE Calculations'!$C$12:$C$16,"ERROR - Check Input")/12,0))</f>
        <v>10</v>
      </c>
      <c r="M102" s="142">
        <f t="shared" si="9"/>
        <v>0</v>
      </c>
      <c r="P102" s="12">
        <v>80</v>
      </c>
      <c r="Q102" s="142">
        <f>IF(T101&gt;0.01,-PMT($Q$8,$Q$9*12,$Q$6)+$Q$10*_xlfn.XLOOKUP($R$10,'RE Calculations'!$B$12:$B$16,'RE Calculations'!$C$12:$C$16,"ERROR - Check Input")/12,0)</f>
        <v>0</v>
      </c>
      <c r="R102" s="142">
        <f t="shared" si="10"/>
        <v>0</v>
      </c>
      <c r="S102" s="142">
        <f>IFERROR(-IPMT($Q$8,P102,$Q$9*12,$Q$6)+$Q$10*_xlfn.XLOOKUP($R$10,'RE Calculations'!$B$12:$B$16,'RE Calculations'!$C$12:$C$16,"ERROR - Check Input")/12,0)</f>
        <v>8.3333333333333339</v>
      </c>
      <c r="T102" s="142">
        <f t="shared" si="11"/>
        <v>0</v>
      </c>
      <c r="W102" s="12">
        <v>80</v>
      </c>
      <c r="X102" s="142">
        <f>IF(AA101&gt;0.01,IF(W102&lt;=($X$9*12),$X$15,-PMT($X$11,($X$12-$X$9)*12,$X$6)+$X$13*_xlfn.XLOOKUP($Y$13,'RE Calculations'!$B$12:$B$16,'RE Calculations'!$C$12:$C$16,"ERROR - Check Input")/12),0)</f>
        <v>0</v>
      </c>
      <c r="Y102" s="142">
        <f t="shared" si="12"/>
        <v>0</v>
      </c>
      <c r="Z102" s="142">
        <f>IF(W102&lt;=($X$9*12),$X$15,IFERROR(-IPMT($X$11,W102-$X$9*12,($X$12-$X$9)*12,$X$6)+$X$13*_xlfn.XLOOKUP($Y$13,'RE Calculations'!$B$12:$B$16,'RE Calculations'!$C$12:$C$16,"ERROR - Check Input")/12,0))</f>
        <v>10</v>
      </c>
      <c r="AA102" s="142">
        <f t="shared" si="13"/>
        <v>0</v>
      </c>
    </row>
    <row r="103" spans="2:27" x14ac:dyDescent="0.35">
      <c r="B103" s="12">
        <v>81</v>
      </c>
      <c r="C103" s="142">
        <f>IF(F102&gt;0.01,-PMT($C$8,$C$9*12,$C$6)+$C$10*_xlfn.XLOOKUP($D$10,'RE Calculations'!$B$12:$B$16,'RE Calculations'!$C$12:$C$16,"ERROR - Check Input")/12,0)</f>
        <v>0</v>
      </c>
      <c r="D103" s="142">
        <f t="shared" si="14"/>
        <v>0</v>
      </c>
      <c r="E103" s="142">
        <f>IFERROR(-IPMT($C$8,B103,$C$9*12,$C$6)+$C$10*_xlfn.XLOOKUP($D$10,'RE Calculations'!$B$12:$B$16,'RE Calculations'!$C$12:$C$16,"ERROR - Check Input")/12,0)</f>
        <v>8.3333333333333339</v>
      </c>
      <c r="F103" s="142">
        <f t="shared" si="15"/>
        <v>0</v>
      </c>
      <c r="I103" s="12">
        <v>81</v>
      </c>
      <c r="J103" s="142">
        <f>IF(M102&gt;0.01,IF(I103&lt;=($J$9*12),$J$15,-PMT($J$11,($J$12-$J$9)*12,$J$6)+$J$13*_xlfn.XLOOKUP($K$13,'RE Calculations'!$B$12:$B$16,'RE Calculations'!$C$12:$C$16,"ERROR - Check Input")/12),0)</f>
        <v>0</v>
      </c>
      <c r="K103" s="142">
        <f t="shared" si="8"/>
        <v>0</v>
      </c>
      <c r="L103" s="142">
        <f>IF(I103&lt;=($J$9*12),$J$15,IFERROR(-IPMT($J$11,I103-$J$9*12,($J$12-$J$9)*12,$J$6)+$J$13*_xlfn.XLOOKUP($K$13,'RE Calculations'!$B$12:$B$16,'RE Calculations'!$C$12:$C$16,"ERROR - Check Input")/12,0))</f>
        <v>10</v>
      </c>
      <c r="M103" s="142">
        <f t="shared" si="9"/>
        <v>0</v>
      </c>
      <c r="P103" s="12">
        <v>81</v>
      </c>
      <c r="Q103" s="142">
        <f>IF(T102&gt;0.01,-PMT($Q$8,$Q$9*12,$Q$6)+$Q$10*_xlfn.XLOOKUP($R$10,'RE Calculations'!$B$12:$B$16,'RE Calculations'!$C$12:$C$16,"ERROR - Check Input")/12,0)</f>
        <v>0</v>
      </c>
      <c r="R103" s="142">
        <f t="shared" si="10"/>
        <v>0</v>
      </c>
      <c r="S103" s="142">
        <f>IFERROR(-IPMT($Q$8,P103,$Q$9*12,$Q$6)+$Q$10*_xlfn.XLOOKUP($R$10,'RE Calculations'!$B$12:$B$16,'RE Calculations'!$C$12:$C$16,"ERROR - Check Input")/12,0)</f>
        <v>8.3333333333333339</v>
      </c>
      <c r="T103" s="142">
        <f t="shared" si="11"/>
        <v>0</v>
      </c>
      <c r="W103" s="12">
        <v>81</v>
      </c>
      <c r="X103" s="142">
        <f>IF(AA102&gt;0.01,IF(W103&lt;=($X$9*12),$X$15,-PMT($X$11,($X$12-$X$9)*12,$X$6)+$X$13*_xlfn.XLOOKUP($Y$13,'RE Calculations'!$B$12:$B$16,'RE Calculations'!$C$12:$C$16,"ERROR - Check Input")/12),0)</f>
        <v>0</v>
      </c>
      <c r="Y103" s="142">
        <f t="shared" si="12"/>
        <v>0</v>
      </c>
      <c r="Z103" s="142">
        <f>IF(W103&lt;=($X$9*12),$X$15,IFERROR(-IPMT($X$11,W103-$X$9*12,($X$12-$X$9)*12,$X$6)+$X$13*_xlfn.XLOOKUP($Y$13,'RE Calculations'!$B$12:$B$16,'RE Calculations'!$C$12:$C$16,"ERROR - Check Input")/12,0))</f>
        <v>10</v>
      </c>
      <c r="AA103" s="142">
        <f t="shared" si="13"/>
        <v>0</v>
      </c>
    </row>
    <row r="104" spans="2:27" x14ac:dyDescent="0.35">
      <c r="B104" s="12">
        <v>82</v>
      </c>
      <c r="C104" s="142">
        <f>IF(F103&gt;0.01,-PMT($C$8,$C$9*12,$C$6)+$C$10*_xlfn.XLOOKUP($D$10,'RE Calculations'!$B$12:$B$16,'RE Calculations'!$C$12:$C$16,"ERROR - Check Input")/12,0)</f>
        <v>0</v>
      </c>
      <c r="D104" s="142">
        <f t="shared" si="14"/>
        <v>0</v>
      </c>
      <c r="E104" s="142">
        <f>IFERROR(-IPMT($C$8,B104,$C$9*12,$C$6)+$C$10*_xlfn.XLOOKUP($D$10,'RE Calculations'!$B$12:$B$16,'RE Calculations'!$C$12:$C$16,"ERROR - Check Input")/12,0)</f>
        <v>8.3333333333333339</v>
      </c>
      <c r="F104" s="142">
        <f t="shared" si="15"/>
        <v>0</v>
      </c>
      <c r="I104" s="12">
        <v>82</v>
      </c>
      <c r="J104" s="142">
        <f>IF(M103&gt;0.01,IF(I104&lt;=($J$9*12),$J$15,-PMT($J$11,($J$12-$J$9)*12,$J$6)+$J$13*_xlfn.XLOOKUP($K$13,'RE Calculations'!$B$12:$B$16,'RE Calculations'!$C$12:$C$16,"ERROR - Check Input")/12),0)</f>
        <v>0</v>
      </c>
      <c r="K104" s="142">
        <f t="shared" si="8"/>
        <v>0</v>
      </c>
      <c r="L104" s="142">
        <f>IF(I104&lt;=($J$9*12),$J$15,IFERROR(-IPMT($J$11,I104-$J$9*12,($J$12-$J$9)*12,$J$6)+$J$13*_xlfn.XLOOKUP($K$13,'RE Calculations'!$B$12:$B$16,'RE Calculations'!$C$12:$C$16,"ERROR - Check Input")/12,0))</f>
        <v>10</v>
      </c>
      <c r="M104" s="142">
        <f t="shared" si="9"/>
        <v>0</v>
      </c>
      <c r="P104" s="12">
        <v>82</v>
      </c>
      <c r="Q104" s="142">
        <f>IF(T103&gt;0.01,-PMT($Q$8,$Q$9*12,$Q$6)+$Q$10*_xlfn.XLOOKUP($R$10,'RE Calculations'!$B$12:$B$16,'RE Calculations'!$C$12:$C$16,"ERROR - Check Input")/12,0)</f>
        <v>0</v>
      </c>
      <c r="R104" s="142">
        <f t="shared" si="10"/>
        <v>0</v>
      </c>
      <c r="S104" s="142">
        <f>IFERROR(-IPMT($Q$8,P104,$Q$9*12,$Q$6)+$Q$10*_xlfn.XLOOKUP($R$10,'RE Calculations'!$B$12:$B$16,'RE Calculations'!$C$12:$C$16,"ERROR - Check Input")/12,0)</f>
        <v>8.3333333333333339</v>
      </c>
      <c r="T104" s="142">
        <f t="shared" si="11"/>
        <v>0</v>
      </c>
      <c r="W104" s="12">
        <v>82</v>
      </c>
      <c r="X104" s="142">
        <f>IF(AA103&gt;0.01,IF(W104&lt;=($X$9*12),$X$15,-PMT($X$11,($X$12-$X$9)*12,$X$6)+$X$13*_xlfn.XLOOKUP($Y$13,'RE Calculations'!$B$12:$B$16,'RE Calculations'!$C$12:$C$16,"ERROR - Check Input")/12),0)</f>
        <v>0</v>
      </c>
      <c r="Y104" s="142">
        <f t="shared" si="12"/>
        <v>0</v>
      </c>
      <c r="Z104" s="142">
        <f>IF(W104&lt;=($X$9*12),$X$15,IFERROR(-IPMT($X$11,W104-$X$9*12,($X$12-$X$9)*12,$X$6)+$X$13*_xlfn.XLOOKUP($Y$13,'RE Calculations'!$B$12:$B$16,'RE Calculations'!$C$12:$C$16,"ERROR - Check Input")/12,0))</f>
        <v>10</v>
      </c>
      <c r="AA104" s="142">
        <f t="shared" si="13"/>
        <v>0</v>
      </c>
    </row>
    <row r="105" spans="2:27" x14ac:dyDescent="0.35">
      <c r="B105" s="12">
        <v>83</v>
      </c>
      <c r="C105" s="142">
        <f>IF(F104&gt;0.01,-PMT($C$8,$C$9*12,$C$6)+$C$10*_xlfn.XLOOKUP($D$10,'RE Calculations'!$B$12:$B$16,'RE Calculations'!$C$12:$C$16,"ERROR - Check Input")/12,0)</f>
        <v>0</v>
      </c>
      <c r="D105" s="142">
        <f t="shared" si="14"/>
        <v>0</v>
      </c>
      <c r="E105" s="142">
        <f>IFERROR(-IPMT($C$8,B105,$C$9*12,$C$6)+$C$10*_xlfn.XLOOKUP($D$10,'RE Calculations'!$B$12:$B$16,'RE Calculations'!$C$12:$C$16,"ERROR - Check Input")/12,0)</f>
        <v>8.3333333333333339</v>
      </c>
      <c r="F105" s="142">
        <f t="shared" si="15"/>
        <v>0</v>
      </c>
      <c r="I105" s="12">
        <v>83</v>
      </c>
      <c r="J105" s="142">
        <f>IF(M104&gt;0.01,IF(I105&lt;=($J$9*12),$J$15,-PMT($J$11,($J$12-$J$9)*12,$J$6)+$J$13*_xlfn.XLOOKUP($K$13,'RE Calculations'!$B$12:$B$16,'RE Calculations'!$C$12:$C$16,"ERROR - Check Input")/12),0)</f>
        <v>0</v>
      </c>
      <c r="K105" s="142">
        <f t="shared" si="8"/>
        <v>0</v>
      </c>
      <c r="L105" s="142">
        <f>IF(I105&lt;=($J$9*12),$J$15,IFERROR(-IPMT($J$11,I105-$J$9*12,($J$12-$J$9)*12,$J$6)+$J$13*_xlfn.XLOOKUP($K$13,'RE Calculations'!$B$12:$B$16,'RE Calculations'!$C$12:$C$16,"ERROR - Check Input")/12,0))</f>
        <v>10</v>
      </c>
      <c r="M105" s="142">
        <f t="shared" si="9"/>
        <v>0</v>
      </c>
      <c r="P105" s="12">
        <v>83</v>
      </c>
      <c r="Q105" s="142">
        <f>IF(T104&gt;0.01,-PMT($Q$8,$Q$9*12,$Q$6)+$Q$10*_xlfn.XLOOKUP($R$10,'RE Calculations'!$B$12:$B$16,'RE Calculations'!$C$12:$C$16,"ERROR - Check Input")/12,0)</f>
        <v>0</v>
      </c>
      <c r="R105" s="142">
        <f t="shared" si="10"/>
        <v>0</v>
      </c>
      <c r="S105" s="142">
        <f>IFERROR(-IPMT($Q$8,P105,$Q$9*12,$Q$6)+$Q$10*_xlfn.XLOOKUP($R$10,'RE Calculations'!$B$12:$B$16,'RE Calculations'!$C$12:$C$16,"ERROR - Check Input")/12,0)</f>
        <v>8.3333333333333339</v>
      </c>
      <c r="T105" s="142">
        <f t="shared" si="11"/>
        <v>0</v>
      </c>
      <c r="W105" s="12">
        <v>83</v>
      </c>
      <c r="X105" s="142">
        <f>IF(AA104&gt;0.01,IF(W105&lt;=($X$9*12),$X$15,-PMT($X$11,($X$12-$X$9)*12,$X$6)+$X$13*_xlfn.XLOOKUP($Y$13,'RE Calculations'!$B$12:$B$16,'RE Calculations'!$C$12:$C$16,"ERROR - Check Input")/12),0)</f>
        <v>0</v>
      </c>
      <c r="Y105" s="142">
        <f t="shared" si="12"/>
        <v>0</v>
      </c>
      <c r="Z105" s="142">
        <f>IF(W105&lt;=($X$9*12),$X$15,IFERROR(-IPMT($X$11,W105-$X$9*12,($X$12-$X$9)*12,$X$6)+$X$13*_xlfn.XLOOKUP($Y$13,'RE Calculations'!$B$12:$B$16,'RE Calculations'!$C$12:$C$16,"ERROR - Check Input")/12,0))</f>
        <v>10</v>
      </c>
      <c r="AA105" s="142">
        <f t="shared" si="13"/>
        <v>0</v>
      </c>
    </row>
    <row r="106" spans="2:27" x14ac:dyDescent="0.35">
      <c r="B106" s="12">
        <v>84</v>
      </c>
      <c r="C106" s="142">
        <f>IF(F105&gt;0.01,-PMT($C$8,$C$9*12,$C$6)+$C$10*_xlfn.XLOOKUP($D$10,'RE Calculations'!$B$12:$B$16,'RE Calculations'!$C$12:$C$16,"ERROR - Check Input")/12,0)</f>
        <v>0</v>
      </c>
      <c r="D106" s="142">
        <f t="shared" si="14"/>
        <v>0</v>
      </c>
      <c r="E106" s="142">
        <f>IFERROR(-IPMT($C$8,B106,$C$9*12,$C$6)+$C$10*_xlfn.XLOOKUP($D$10,'RE Calculations'!$B$12:$B$16,'RE Calculations'!$C$12:$C$16,"ERROR - Check Input")/12,0)</f>
        <v>8.3333333333333339</v>
      </c>
      <c r="F106" s="142">
        <f t="shared" si="15"/>
        <v>0</v>
      </c>
      <c r="I106" s="12">
        <v>84</v>
      </c>
      <c r="J106" s="142">
        <f>IF(M105&gt;0.01,IF(I106&lt;=($J$9*12),$J$15,-PMT($J$11,($J$12-$J$9)*12,$J$6)+$J$13*_xlfn.XLOOKUP($K$13,'RE Calculations'!$B$12:$B$16,'RE Calculations'!$C$12:$C$16,"ERROR - Check Input")/12),0)</f>
        <v>0</v>
      </c>
      <c r="K106" s="142">
        <f t="shared" si="8"/>
        <v>0</v>
      </c>
      <c r="L106" s="142">
        <f>IF(I106&lt;=($J$9*12),$J$15,IFERROR(-IPMT($J$11,I106-$J$9*12,($J$12-$J$9)*12,$J$6)+$J$13*_xlfn.XLOOKUP($K$13,'RE Calculations'!$B$12:$B$16,'RE Calculations'!$C$12:$C$16,"ERROR - Check Input")/12,0))</f>
        <v>10</v>
      </c>
      <c r="M106" s="142">
        <f t="shared" si="9"/>
        <v>0</v>
      </c>
      <c r="P106" s="12">
        <v>84</v>
      </c>
      <c r="Q106" s="142">
        <f>IF(T105&gt;0.01,-PMT($Q$8,$Q$9*12,$Q$6)+$Q$10*_xlfn.XLOOKUP($R$10,'RE Calculations'!$B$12:$B$16,'RE Calculations'!$C$12:$C$16,"ERROR - Check Input")/12,0)</f>
        <v>0</v>
      </c>
      <c r="R106" s="142">
        <f t="shared" si="10"/>
        <v>0</v>
      </c>
      <c r="S106" s="142">
        <f>IFERROR(-IPMT($Q$8,P106,$Q$9*12,$Q$6)+$Q$10*_xlfn.XLOOKUP($R$10,'RE Calculations'!$B$12:$B$16,'RE Calculations'!$C$12:$C$16,"ERROR - Check Input")/12,0)</f>
        <v>8.3333333333333339</v>
      </c>
      <c r="T106" s="142">
        <f t="shared" si="11"/>
        <v>0</v>
      </c>
      <c r="W106" s="12">
        <v>84</v>
      </c>
      <c r="X106" s="142">
        <f>IF(AA105&gt;0.01,IF(W106&lt;=($X$9*12),$X$15,-PMT($X$11,($X$12-$X$9)*12,$X$6)+$X$13*_xlfn.XLOOKUP($Y$13,'RE Calculations'!$B$12:$B$16,'RE Calculations'!$C$12:$C$16,"ERROR - Check Input")/12),0)</f>
        <v>0</v>
      </c>
      <c r="Y106" s="142">
        <f t="shared" si="12"/>
        <v>0</v>
      </c>
      <c r="Z106" s="142">
        <f>IF(W106&lt;=($X$9*12),$X$15,IFERROR(-IPMT($X$11,W106-$X$9*12,($X$12-$X$9)*12,$X$6)+$X$13*_xlfn.XLOOKUP($Y$13,'RE Calculations'!$B$12:$B$16,'RE Calculations'!$C$12:$C$16,"ERROR - Check Input")/12,0))</f>
        <v>10</v>
      </c>
      <c r="AA106" s="142">
        <f t="shared" si="13"/>
        <v>0</v>
      </c>
    </row>
    <row r="107" spans="2:27" x14ac:dyDescent="0.35">
      <c r="B107" s="12">
        <v>85</v>
      </c>
      <c r="C107" s="142">
        <f>IF(F106&gt;0.01,-PMT($C$8,$C$9*12,$C$6)+$C$10*_xlfn.XLOOKUP($D$10,'RE Calculations'!$B$12:$B$16,'RE Calculations'!$C$12:$C$16,"ERROR - Check Input")/12,0)</f>
        <v>0</v>
      </c>
      <c r="D107" s="142">
        <f t="shared" si="14"/>
        <v>0</v>
      </c>
      <c r="E107" s="142">
        <f>IFERROR(-IPMT($C$8,B107,$C$9*12,$C$6)+$C$10*_xlfn.XLOOKUP($D$10,'RE Calculations'!$B$12:$B$16,'RE Calculations'!$C$12:$C$16,"ERROR - Check Input")/12,0)</f>
        <v>8.3333333333333339</v>
      </c>
      <c r="F107" s="142">
        <f t="shared" si="15"/>
        <v>0</v>
      </c>
      <c r="I107" s="12">
        <v>85</v>
      </c>
      <c r="J107" s="142">
        <f>IF(M106&gt;0.01,IF(I107&lt;=($J$9*12),$J$15,-PMT($J$11,($J$12-$J$9)*12,$J$6)+$J$13*_xlfn.XLOOKUP($K$13,'RE Calculations'!$B$12:$B$16,'RE Calculations'!$C$12:$C$16,"ERROR - Check Input")/12),0)</f>
        <v>0</v>
      </c>
      <c r="K107" s="142">
        <f t="shared" si="8"/>
        <v>0</v>
      </c>
      <c r="L107" s="142">
        <f>IF(I107&lt;=($J$9*12),$J$15,IFERROR(-IPMT($J$11,I107-$J$9*12,($J$12-$J$9)*12,$J$6)+$J$13*_xlfn.XLOOKUP($K$13,'RE Calculations'!$B$12:$B$16,'RE Calculations'!$C$12:$C$16,"ERROR - Check Input")/12,0))</f>
        <v>10</v>
      </c>
      <c r="M107" s="142">
        <f t="shared" si="9"/>
        <v>0</v>
      </c>
      <c r="P107" s="12">
        <v>85</v>
      </c>
      <c r="Q107" s="142">
        <f>IF(T106&gt;0.01,-PMT($Q$8,$Q$9*12,$Q$6)+$Q$10*_xlfn.XLOOKUP($R$10,'RE Calculations'!$B$12:$B$16,'RE Calculations'!$C$12:$C$16,"ERROR - Check Input")/12,0)</f>
        <v>0</v>
      </c>
      <c r="R107" s="142">
        <f t="shared" si="10"/>
        <v>0</v>
      </c>
      <c r="S107" s="142">
        <f>IFERROR(-IPMT($Q$8,P107,$Q$9*12,$Q$6)+$Q$10*_xlfn.XLOOKUP($R$10,'RE Calculations'!$B$12:$B$16,'RE Calculations'!$C$12:$C$16,"ERROR - Check Input")/12,0)</f>
        <v>8.3333333333333339</v>
      </c>
      <c r="T107" s="142">
        <f t="shared" si="11"/>
        <v>0</v>
      </c>
      <c r="W107" s="12">
        <v>85</v>
      </c>
      <c r="X107" s="142">
        <f>IF(AA106&gt;0.01,IF(W107&lt;=($X$9*12),$X$15,-PMT($X$11,($X$12-$X$9)*12,$X$6)+$X$13*_xlfn.XLOOKUP($Y$13,'RE Calculations'!$B$12:$B$16,'RE Calculations'!$C$12:$C$16,"ERROR - Check Input")/12),0)</f>
        <v>0</v>
      </c>
      <c r="Y107" s="142">
        <f t="shared" si="12"/>
        <v>0</v>
      </c>
      <c r="Z107" s="142">
        <f>IF(W107&lt;=($X$9*12),$X$15,IFERROR(-IPMT($X$11,W107-$X$9*12,($X$12-$X$9)*12,$X$6)+$X$13*_xlfn.XLOOKUP($Y$13,'RE Calculations'!$B$12:$B$16,'RE Calculations'!$C$12:$C$16,"ERROR - Check Input")/12,0))</f>
        <v>10</v>
      </c>
      <c r="AA107" s="142">
        <f t="shared" si="13"/>
        <v>0</v>
      </c>
    </row>
    <row r="108" spans="2:27" x14ac:dyDescent="0.35">
      <c r="B108" s="12">
        <v>86</v>
      </c>
      <c r="C108" s="142">
        <f>IF(F107&gt;0.01,-PMT($C$8,$C$9*12,$C$6)+$C$10*_xlfn.XLOOKUP($D$10,'RE Calculations'!$B$12:$B$16,'RE Calculations'!$C$12:$C$16,"ERROR - Check Input")/12,0)</f>
        <v>0</v>
      </c>
      <c r="D108" s="142">
        <f t="shared" si="14"/>
        <v>0</v>
      </c>
      <c r="E108" s="142">
        <f>IFERROR(-IPMT($C$8,B108,$C$9*12,$C$6)+$C$10*_xlfn.XLOOKUP($D$10,'RE Calculations'!$B$12:$B$16,'RE Calculations'!$C$12:$C$16,"ERROR - Check Input")/12,0)</f>
        <v>8.3333333333333339</v>
      </c>
      <c r="F108" s="142">
        <f t="shared" si="15"/>
        <v>0</v>
      </c>
      <c r="I108" s="12">
        <v>86</v>
      </c>
      <c r="J108" s="142">
        <f>IF(M107&gt;0.01,IF(I108&lt;=($J$9*12),$J$15,-PMT($J$11,($J$12-$J$9)*12,$J$6)+$J$13*_xlfn.XLOOKUP($K$13,'RE Calculations'!$B$12:$B$16,'RE Calculations'!$C$12:$C$16,"ERROR - Check Input")/12),0)</f>
        <v>0</v>
      </c>
      <c r="K108" s="142">
        <f t="shared" si="8"/>
        <v>0</v>
      </c>
      <c r="L108" s="142">
        <f>IF(I108&lt;=($J$9*12),$J$15,IFERROR(-IPMT($J$11,I108-$J$9*12,($J$12-$J$9)*12,$J$6)+$J$13*_xlfn.XLOOKUP($K$13,'RE Calculations'!$B$12:$B$16,'RE Calculations'!$C$12:$C$16,"ERROR - Check Input")/12,0))</f>
        <v>10</v>
      </c>
      <c r="M108" s="142">
        <f t="shared" si="9"/>
        <v>0</v>
      </c>
      <c r="P108" s="12">
        <v>86</v>
      </c>
      <c r="Q108" s="142">
        <f>IF(T107&gt;0.01,-PMT($Q$8,$Q$9*12,$Q$6)+$Q$10*_xlfn.XLOOKUP($R$10,'RE Calculations'!$B$12:$B$16,'RE Calculations'!$C$12:$C$16,"ERROR - Check Input")/12,0)</f>
        <v>0</v>
      </c>
      <c r="R108" s="142">
        <f t="shared" si="10"/>
        <v>0</v>
      </c>
      <c r="S108" s="142">
        <f>IFERROR(-IPMT($Q$8,P108,$Q$9*12,$Q$6)+$Q$10*_xlfn.XLOOKUP($R$10,'RE Calculations'!$B$12:$B$16,'RE Calculations'!$C$12:$C$16,"ERROR - Check Input")/12,0)</f>
        <v>8.3333333333333339</v>
      </c>
      <c r="T108" s="142">
        <f t="shared" si="11"/>
        <v>0</v>
      </c>
      <c r="W108" s="12">
        <v>86</v>
      </c>
      <c r="X108" s="142">
        <f>IF(AA107&gt;0.01,IF(W108&lt;=($X$9*12),$X$15,-PMT($X$11,($X$12-$X$9)*12,$X$6)+$X$13*_xlfn.XLOOKUP($Y$13,'RE Calculations'!$B$12:$B$16,'RE Calculations'!$C$12:$C$16,"ERROR - Check Input")/12),0)</f>
        <v>0</v>
      </c>
      <c r="Y108" s="142">
        <f t="shared" si="12"/>
        <v>0</v>
      </c>
      <c r="Z108" s="142">
        <f>IF(W108&lt;=($X$9*12),$X$15,IFERROR(-IPMT($X$11,W108-$X$9*12,($X$12-$X$9)*12,$X$6)+$X$13*_xlfn.XLOOKUP($Y$13,'RE Calculations'!$B$12:$B$16,'RE Calculations'!$C$12:$C$16,"ERROR - Check Input")/12,0))</f>
        <v>10</v>
      </c>
      <c r="AA108" s="142">
        <f t="shared" si="13"/>
        <v>0</v>
      </c>
    </row>
    <row r="109" spans="2:27" x14ac:dyDescent="0.35">
      <c r="B109" s="12">
        <v>87</v>
      </c>
      <c r="C109" s="142">
        <f>IF(F108&gt;0.01,-PMT($C$8,$C$9*12,$C$6)+$C$10*_xlfn.XLOOKUP($D$10,'RE Calculations'!$B$12:$B$16,'RE Calculations'!$C$12:$C$16,"ERROR - Check Input")/12,0)</f>
        <v>0</v>
      </c>
      <c r="D109" s="142">
        <f t="shared" si="14"/>
        <v>0</v>
      </c>
      <c r="E109" s="142">
        <f>IFERROR(-IPMT($C$8,B109,$C$9*12,$C$6)+$C$10*_xlfn.XLOOKUP($D$10,'RE Calculations'!$B$12:$B$16,'RE Calculations'!$C$12:$C$16,"ERROR - Check Input")/12,0)</f>
        <v>8.3333333333333339</v>
      </c>
      <c r="F109" s="142">
        <f t="shared" si="15"/>
        <v>0</v>
      </c>
      <c r="I109" s="12">
        <v>87</v>
      </c>
      <c r="J109" s="142">
        <f>IF(M108&gt;0.01,IF(I109&lt;=($J$9*12),$J$15,-PMT($J$11,($J$12-$J$9)*12,$J$6)+$J$13*_xlfn.XLOOKUP($K$13,'RE Calculations'!$B$12:$B$16,'RE Calculations'!$C$12:$C$16,"ERROR - Check Input")/12),0)</f>
        <v>0</v>
      </c>
      <c r="K109" s="142">
        <f t="shared" si="8"/>
        <v>0</v>
      </c>
      <c r="L109" s="142">
        <f>IF(I109&lt;=($J$9*12),$J$15,IFERROR(-IPMT($J$11,I109-$J$9*12,($J$12-$J$9)*12,$J$6)+$J$13*_xlfn.XLOOKUP($K$13,'RE Calculations'!$B$12:$B$16,'RE Calculations'!$C$12:$C$16,"ERROR - Check Input")/12,0))</f>
        <v>10</v>
      </c>
      <c r="M109" s="142">
        <f t="shared" si="9"/>
        <v>0</v>
      </c>
      <c r="P109" s="12">
        <v>87</v>
      </c>
      <c r="Q109" s="142">
        <f>IF(T108&gt;0.01,-PMT($Q$8,$Q$9*12,$Q$6)+$Q$10*_xlfn.XLOOKUP($R$10,'RE Calculations'!$B$12:$B$16,'RE Calculations'!$C$12:$C$16,"ERROR - Check Input")/12,0)</f>
        <v>0</v>
      </c>
      <c r="R109" s="142">
        <f t="shared" si="10"/>
        <v>0</v>
      </c>
      <c r="S109" s="142">
        <f>IFERROR(-IPMT($Q$8,P109,$Q$9*12,$Q$6)+$Q$10*_xlfn.XLOOKUP($R$10,'RE Calculations'!$B$12:$B$16,'RE Calculations'!$C$12:$C$16,"ERROR - Check Input")/12,0)</f>
        <v>8.3333333333333339</v>
      </c>
      <c r="T109" s="142">
        <f t="shared" si="11"/>
        <v>0</v>
      </c>
      <c r="W109" s="12">
        <v>87</v>
      </c>
      <c r="X109" s="142">
        <f>IF(AA108&gt;0.01,IF(W109&lt;=($X$9*12),$X$15,-PMT($X$11,($X$12-$X$9)*12,$X$6)+$X$13*_xlfn.XLOOKUP($Y$13,'RE Calculations'!$B$12:$B$16,'RE Calculations'!$C$12:$C$16,"ERROR - Check Input")/12),0)</f>
        <v>0</v>
      </c>
      <c r="Y109" s="142">
        <f t="shared" si="12"/>
        <v>0</v>
      </c>
      <c r="Z109" s="142">
        <f>IF(W109&lt;=($X$9*12),$X$15,IFERROR(-IPMT($X$11,W109-$X$9*12,($X$12-$X$9)*12,$X$6)+$X$13*_xlfn.XLOOKUP($Y$13,'RE Calculations'!$B$12:$B$16,'RE Calculations'!$C$12:$C$16,"ERROR - Check Input")/12,0))</f>
        <v>10</v>
      </c>
      <c r="AA109" s="142">
        <f t="shared" si="13"/>
        <v>0</v>
      </c>
    </row>
    <row r="110" spans="2:27" x14ac:dyDescent="0.35">
      <c r="B110" s="12">
        <v>88</v>
      </c>
      <c r="C110" s="142">
        <f>IF(F109&gt;0.01,-PMT($C$8,$C$9*12,$C$6)+$C$10*_xlfn.XLOOKUP($D$10,'RE Calculations'!$B$12:$B$16,'RE Calculations'!$C$12:$C$16,"ERROR - Check Input")/12,0)</f>
        <v>0</v>
      </c>
      <c r="D110" s="142">
        <f t="shared" si="14"/>
        <v>0</v>
      </c>
      <c r="E110" s="142">
        <f>IFERROR(-IPMT($C$8,B110,$C$9*12,$C$6)+$C$10*_xlfn.XLOOKUP($D$10,'RE Calculations'!$B$12:$B$16,'RE Calculations'!$C$12:$C$16,"ERROR - Check Input")/12,0)</f>
        <v>8.3333333333333339</v>
      </c>
      <c r="F110" s="142">
        <f t="shared" si="15"/>
        <v>0</v>
      </c>
      <c r="I110" s="12">
        <v>88</v>
      </c>
      <c r="J110" s="142">
        <f>IF(M109&gt;0.01,IF(I110&lt;=($J$9*12),$J$15,-PMT($J$11,($J$12-$J$9)*12,$J$6)+$J$13*_xlfn.XLOOKUP($K$13,'RE Calculations'!$B$12:$B$16,'RE Calculations'!$C$12:$C$16,"ERROR - Check Input")/12),0)</f>
        <v>0</v>
      </c>
      <c r="K110" s="142">
        <f t="shared" si="8"/>
        <v>0</v>
      </c>
      <c r="L110" s="142">
        <f>IF(I110&lt;=($J$9*12),$J$15,IFERROR(-IPMT($J$11,I110-$J$9*12,($J$12-$J$9)*12,$J$6)+$J$13*_xlfn.XLOOKUP($K$13,'RE Calculations'!$B$12:$B$16,'RE Calculations'!$C$12:$C$16,"ERROR - Check Input")/12,0))</f>
        <v>10</v>
      </c>
      <c r="M110" s="142">
        <f t="shared" si="9"/>
        <v>0</v>
      </c>
      <c r="P110" s="12">
        <v>88</v>
      </c>
      <c r="Q110" s="142">
        <f>IF(T109&gt;0.01,-PMT($Q$8,$Q$9*12,$Q$6)+$Q$10*_xlfn.XLOOKUP($R$10,'RE Calculations'!$B$12:$B$16,'RE Calculations'!$C$12:$C$16,"ERROR - Check Input")/12,0)</f>
        <v>0</v>
      </c>
      <c r="R110" s="142">
        <f t="shared" si="10"/>
        <v>0</v>
      </c>
      <c r="S110" s="142">
        <f>IFERROR(-IPMT($Q$8,P110,$Q$9*12,$Q$6)+$Q$10*_xlfn.XLOOKUP($R$10,'RE Calculations'!$B$12:$B$16,'RE Calculations'!$C$12:$C$16,"ERROR - Check Input")/12,0)</f>
        <v>8.3333333333333339</v>
      </c>
      <c r="T110" s="142">
        <f t="shared" si="11"/>
        <v>0</v>
      </c>
      <c r="W110" s="12">
        <v>88</v>
      </c>
      <c r="X110" s="142">
        <f>IF(AA109&gt;0.01,IF(W110&lt;=($X$9*12),$X$15,-PMT($X$11,($X$12-$X$9)*12,$X$6)+$X$13*_xlfn.XLOOKUP($Y$13,'RE Calculations'!$B$12:$B$16,'RE Calculations'!$C$12:$C$16,"ERROR - Check Input")/12),0)</f>
        <v>0</v>
      </c>
      <c r="Y110" s="142">
        <f t="shared" si="12"/>
        <v>0</v>
      </c>
      <c r="Z110" s="142">
        <f>IF(W110&lt;=($X$9*12),$X$15,IFERROR(-IPMT($X$11,W110-$X$9*12,($X$12-$X$9)*12,$X$6)+$X$13*_xlfn.XLOOKUP($Y$13,'RE Calculations'!$B$12:$B$16,'RE Calculations'!$C$12:$C$16,"ERROR - Check Input")/12,0))</f>
        <v>10</v>
      </c>
      <c r="AA110" s="142">
        <f t="shared" si="13"/>
        <v>0</v>
      </c>
    </row>
    <row r="111" spans="2:27" x14ac:dyDescent="0.35">
      <c r="B111" s="12">
        <v>89</v>
      </c>
      <c r="C111" s="142">
        <f>IF(F110&gt;0.01,-PMT($C$8,$C$9*12,$C$6)+$C$10*_xlfn.XLOOKUP($D$10,'RE Calculations'!$B$12:$B$16,'RE Calculations'!$C$12:$C$16,"ERROR - Check Input")/12,0)</f>
        <v>0</v>
      </c>
      <c r="D111" s="142">
        <f t="shared" si="14"/>
        <v>0</v>
      </c>
      <c r="E111" s="142">
        <f>IFERROR(-IPMT($C$8,B111,$C$9*12,$C$6)+$C$10*_xlfn.XLOOKUP($D$10,'RE Calculations'!$B$12:$B$16,'RE Calculations'!$C$12:$C$16,"ERROR - Check Input")/12,0)</f>
        <v>8.3333333333333339</v>
      </c>
      <c r="F111" s="142">
        <f t="shared" si="15"/>
        <v>0</v>
      </c>
      <c r="I111" s="12">
        <v>89</v>
      </c>
      <c r="J111" s="142">
        <f>IF(M110&gt;0.01,IF(I111&lt;=($J$9*12),$J$15,-PMT($J$11,($J$12-$J$9)*12,$J$6)+$J$13*_xlfn.XLOOKUP($K$13,'RE Calculations'!$B$12:$B$16,'RE Calculations'!$C$12:$C$16,"ERROR - Check Input")/12),0)</f>
        <v>0</v>
      </c>
      <c r="K111" s="142">
        <f t="shared" si="8"/>
        <v>0</v>
      </c>
      <c r="L111" s="142">
        <f>IF(I111&lt;=($J$9*12),$J$15,IFERROR(-IPMT($J$11,I111-$J$9*12,($J$12-$J$9)*12,$J$6)+$J$13*_xlfn.XLOOKUP($K$13,'RE Calculations'!$B$12:$B$16,'RE Calculations'!$C$12:$C$16,"ERROR - Check Input")/12,0))</f>
        <v>10</v>
      </c>
      <c r="M111" s="142">
        <f t="shared" si="9"/>
        <v>0</v>
      </c>
      <c r="P111" s="12">
        <v>89</v>
      </c>
      <c r="Q111" s="142">
        <f>IF(T110&gt;0.01,-PMT($Q$8,$Q$9*12,$Q$6)+$Q$10*_xlfn.XLOOKUP($R$10,'RE Calculations'!$B$12:$B$16,'RE Calculations'!$C$12:$C$16,"ERROR - Check Input")/12,0)</f>
        <v>0</v>
      </c>
      <c r="R111" s="142">
        <f t="shared" si="10"/>
        <v>0</v>
      </c>
      <c r="S111" s="142">
        <f>IFERROR(-IPMT($Q$8,P111,$Q$9*12,$Q$6)+$Q$10*_xlfn.XLOOKUP($R$10,'RE Calculations'!$B$12:$B$16,'RE Calculations'!$C$12:$C$16,"ERROR - Check Input")/12,0)</f>
        <v>8.3333333333333339</v>
      </c>
      <c r="T111" s="142">
        <f t="shared" si="11"/>
        <v>0</v>
      </c>
      <c r="W111" s="12">
        <v>89</v>
      </c>
      <c r="X111" s="142">
        <f>IF(AA110&gt;0.01,IF(W111&lt;=($X$9*12),$X$15,-PMT($X$11,($X$12-$X$9)*12,$X$6)+$X$13*_xlfn.XLOOKUP($Y$13,'RE Calculations'!$B$12:$B$16,'RE Calculations'!$C$12:$C$16,"ERROR - Check Input")/12),0)</f>
        <v>0</v>
      </c>
      <c r="Y111" s="142">
        <f t="shared" si="12"/>
        <v>0</v>
      </c>
      <c r="Z111" s="142">
        <f>IF(W111&lt;=($X$9*12),$X$15,IFERROR(-IPMT($X$11,W111-$X$9*12,($X$12-$X$9)*12,$X$6)+$X$13*_xlfn.XLOOKUP($Y$13,'RE Calculations'!$B$12:$B$16,'RE Calculations'!$C$12:$C$16,"ERROR - Check Input")/12,0))</f>
        <v>10</v>
      </c>
      <c r="AA111" s="142">
        <f t="shared" si="13"/>
        <v>0</v>
      </c>
    </row>
    <row r="112" spans="2:27" x14ac:dyDescent="0.35">
      <c r="B112" s="12">
        <v>90</v>
      </c>
      <c r="C112" s="142">
        <f>IF(F111&gt;0.01,-PMT($C$8,$C$9*12,$C$6)+$C$10*_xlfn.XLOOKUP($D$10,'RE Calculations'!$B$12:$B$16,'RE Calculations'!$C$12:$C$16,"ERROR - Check Input")/12,0)</f>
        <v>0</v>
      </c>
      <c r="D112" s="142">
        <f t="shared" si="14"/>
        <v>0</v>
      </c>
      <c r="E112" s="142">
        <f>IFERROR(-IPMT($C$8,B112,$C$9*12,$C$6)+$C$10*_xlfn.XLOOKUP($D$10,'RE Calculations'!$B$12:$B$16,'RE Calculations'!$C$12:$C$16,"ERROR - Check Input")/12,0)</f>
        <v>8.3333333333333339</v>
      </c>
      <c r="F112" s="142">
        <f t="shared" si="15"/>
        <v>0</v>
      </c>
      <c r="I112" s="12">
        <v>90</v>
      </c>
      <c r="J112" s="142">
        <f>IF(M111&gt;0.01,IF(I112&lt;=($J$9*12),$J$15,-PMT($J$11,($J$12-$J$9)*12,$J$6)+$J$13*_xlfn.XLOOKUP($K$13,'RE Calculations'!$B$12:$B$16,'RE Calculations'!$C$12:$C$16,"ERROR - Check Input")/12),0)</f>
        <v>0</v>
      </c>
      <c r="K112" s="142">
        <f t="shared" si="8"/>
        <v>0</v>
      </c>
      <c r="L112" s="142">
        <f>IF(I112&lt;=($J$9*12),$J$15,IFERROR(-IPMT($J$11,I112-$J$9*12,($J$12-$J$9)*12,$J$6)+$J$13*_xlfn.XLOOKUP($K$13,'RE Calculations'!$B$12:$B$16,'RE Calculations'!$C$12:$C$16,"ERROR - Check Input")/12,0))</f>
        <v>10</v>
      </c>
      <c r="M112" s="142">
        <f t="shared" si="9"/>
        <v>0</v>
      </c>
      <c r="P112" s="12">
        <v>90</v>
      </c>
      <c r="Q112" s="142">
        <f>IF(T111&gt;0.01,-PMT($Q$8,$Q$9*12,$Q$6)+$Q$10*_xlfn.XLOOKUP($R$10,'RE Calculations'!$B$12:$B$16,'RE Calculations'!$C$12:$C$16,"ERROR - Check Input")/12,0)</f>
        <v>0</v>
      </c>
      <c r="R112" s="142">
        <f t="shared" si="10"/>
        <v>0</v>
      </c>
      <c r="S112" s="142">
        <f>IFERROR(-IPMT($Q$8,P112,$Q$9*12,$Q$6)+$Q$10*_xlfn.XLOOKUP($R$10,'RE Calculations'!$B$12:$B$16,'RE Calculations'!$C$12:$C$16,"ERROR - Check Input")/12,0)</f>
        <v>8.3333333333333339</v>
      </c>
      <c r="T112" s="142">
        <f t="shared" si="11"/>
        <v>0</v>
      </c>
      <c r="W112" s="12">
        <v>90</v>
      </c>
      <c r="X112" s="142">
        <f>IF(AA111&gt;0.01,IF(W112&lt;=($X$9*12),$X$15,-PMT($X$11,($X$12-$X$9)*12,$X$6)+$X$13*_xlfn.XLOOKUP($Y$13,'RE Calculations'!$B$12:$B$16,'RE Calculations'!$C$12:$C$16,"ERROR - Check Input")/12),0)</f>
        <v>0</v>
      </c>
      <c r="Y112" s="142">
        <f t="shared" si="12"/>
        <v>0</v>
      </c>
      <c r="Z112" s="142">
        <f>IF(W112&lt;=($X$9*12),$X$15,IFERROR(-IPMT($X$11,W112-$X$9*12,($X$12-$X$9)*12,$X$6)+$X$13*_xlfn.XLOOKUP($Y$13,'RE Calculations'!$B$12:$B$16,'RE Calculations'!$C$12:$C$16,"ERROR - Check Input")/12,0))</f>
        <v>10</v>
      </c>
      <c r="AA112" s="142">
        <f t="shared" si="13"/>
        <v>0</v>
      </c>
    </row>
    <row r="113" spans="2:27" x14ac:dyDescent="0.35">
      <c r="B113" s="12">
        <v>91</v>
      </c>
      <c r="C113" s="142">
        <f>IF(F112&gt;0.01,-PMT($C$8,$C$9*12,$C$6)+$C$10*_xlfn.XLOOKUP($D$10,'RE Calculations'!$B$12:$B$16,'RE Calculations'!$C$12:$C$16,"ERROR - Check Input")/12,0)</f>
        <v>0</v>
      </c>
      <c r="D113" s="142">
        <f t="shared" si="14"/>
        <v>0</v>
      </c>
      <c r="E113" s="142">
        <f>IFERROR(-IPMT($C$8,B113,$C$9*12,$C$6)+$C$10*_xlfn.XLOOKUP($D$10,'RE Calculations'!$B$12:$B$16,'RE Calculations'!$C$12:$C$16,"ERROR - Check Input")/12,0)</f>
        <v>8.3333333333333339</v>
      </c>
      <c r="F113" s="142">
        <f t="shared" si="15"/>
        <v>0</v>
      </c>
      <c r="I113" s="12">
        <v>91</v>
      </c>
      <c r="J113" s="142">
        <f>IF(M112&gt;0.01,IF(I113&lt;=($J$9*12),$J$15,-PMT($J$11,($J$12-$J$9)*12,$J$6)+$J$13*_xlfn.XLOOKUP($K$13,'RE Calculations'!$B$12:$B$16,'RE Calculations'!$C$12:$C$16,"ERROR - Check Input")/12),0)</f>
        <v>0</v>
      </c>
      <c r="K113" s="142">
        <f t="shared" si="8"/>
        <v>0</v>
      </c>
      <c r="L113" s="142">
        <f>IF(I113&lt;=($J$9*12),$J$15,IFERROR(-IPMT($J$11,I113-$J$9*12,($J$12-$J$9)*12,$J$6)+$J$13*_xlfn.XLOOKUP($K$13,'RE Calculations'!$B$12:$B$16,'RE Calculations'!$C$12:$C$16,"ERROR - Check Input")/12,0))</f>
        <v>10</v>
      </c>
      <c r="M113" s="142">
        <f t="shared" si="9"/>
        <v>0</v>
      </c>
      <c r="P113" s="12">
        <v>91</v>
      </c>
      <c r="Q113" s="142">
        <f>IF(T112&gt;0.01,-PMT($Q$8,$Q$9*12,$Q$6)+$Q$10*_xlfn.XLOOKUP($R$10,'RE Calculations'!$B$12:$B$16,'RE Calculations'!$C$12:$C$16,"ERROR - Check Input")/12,0)</f>
        <v>0</v>
      </c>
      <c r="R113" s="142">
        <f t="shared" si="10"/>
        <v>0</v>
      </c>
      <c r="S113" s="142">
        <f>IFERROR(-IPMT($Q$8,P113,$Q$9*12,$Q$6)+$Q$10*_xlfn.XLOOKUP($R$10,'RE Calculations'!$B$12:$B$16,'RE Calculations'!$C$12:$C$16,"ERROR - Check Input")/12,0)</f>
        <v>8.3333333333333339</v>
      </c>
      <c r="T113" s="142">
        <f t="shared" si="11"/>
        <v>0</v>
      </c>
      <c r="W113" s="12">
        <v>91</v>
      </c>
      <c r="X113" s="142">
        <f>IF(AA112&gt;0.01,IF(W113&lt;=($X$9*12),$X$15,-PMT($X$11,($X$12-$X$9)*12,$X$6)+$X$13*_xlfn.XLOOKUP($Y$13,'RE Calculations'!$B$12:$B$16,'RE Calculations'!$C$12:$C$16,"ERROR - Check Input")/12),0)</f>
        <v>0</v>
      </c>
      <c r="Y113" s="142">
        <f t="shared" si="12"/>
        <v>0</v>
      </c>
      <c r="Z113" s="142">
        <f>IF(W113&lt;=($X$9*12),$X$15,IFERROR(-IPMT($X$11,W113-$X$9*12,($X$12-$X$9)*12,$X$6)+$X$13*_xlfn.XLOOKUP($Y$13,'RE Calculations'!$B$12:$B$16,'RE Calculations'!$C$12:$C$16,"ERROR - Check Input")/12,0))</f>
        <v>10</v>
      </c>
      <c r="AA113" s="142">
        <f t="shared" si="13"/>
        <v>0</v>
      </c>
    </row>
    <row r="114" spans="2:27" x14ac:dyDescent="0.35">
      <c r="B114" s="12">
        <v>92</v>
      </c>
      <c r="C114" s="142">
        <f>IF(F113&gt;0.01,-PMT($C$8,$C$9*12,$C$6)+$C$10*_xlfn.XLOOKUP($D$10,'RE Calculations'!$B$12:$B$16,'RE Calculations'!$C$12:$C$16,"ERROR - Check Input")/12,0)</f>
        <v>0</v>
      </c>
      <c r="D114" s="142">
        <f t="shared" si="14"/>
        <v>0</v>
      </c>
      <c r="E114" s="142">
        <f>IFERROR(-IPMT($C$8,B114,$C$9*12,$C$6)+$C$10*_xlfn.XLOOKUP($D$10,'RE Calculations'!$B$12:$B$16,'RE Calculations'!$C$12:$C$16,"ERROR - Check Input")/12,0)</f>
        <v>8.3333333333333339</v>
      </c>
      <c r="F114" s="142">
        <f t="shared" si="15"/>
        <v>0</v>
      </c>
      <c r="I114" s="12">
        <v>92</v>
      </c>
      <c r="J114" s="142">
        <f>IF(M113&gt;0.01,IF(I114&lt;=($J$9*12),$J$15,-PMT($J$11,($J$12-$J$9)*12,$J$6)+$J$13*_xlfn.XLOOKUP($K$13,'RE Calculations'!$B$12:$B$16,'RE Calculations'!$C$12:$C$16,"ERROR - Check Input")/12),0)</f>
        <v>0</v>
      </c>
      <c r="K114" s="142">
        <f t="shared" si="8"/>
        <v>0</v>
      </c>
      <c r="L114" s="142">
        <f>IF(I114&lt;=($J$9*12),$J$15,IFERROR(-IPMT($J$11,I114-$J$9*12,($J$12-$J$9)*12,$J$6)+$J$13*_xlfn.XLOOKUP($K$13,'RE Calculations'!$B$12:$B$16,'RE Calculations'!$C$12:$C$16,"ERROR - Check Input")/12,0))</f>
        <v>10</v>
      </c>
      <c r="M114" s="142">
        <f t="shared" si="9"/>
        <v>0</v>
      </c>
      <c r="P114" s="12">
        <v>92</v>
      </c>
      <c r="Q114" s="142">
        <f>IF(T113&gt;0.01,-PMT($Q$8,$Q$9*12,$Q$6)+$Q$10*_xlfn.XLOOKUP($R$10,'RE Calculations'!$B$12:$B$16,'RE Calculations'!$C$12:$C$16,"ERROR - Check Input")/12,0)</f>
        <v>0</v>
      </c>
      <c r="R114" s="142">
        <f t="shared" si="10"/>
        <v>0</v>
      </c>
      <c r="S114" s="142">
        <f>IFERROR(-IPMT($Q$8,P114,$Q$9*12,$Q$6)+$Q$10*_xlfn.XLOOKUP($R$10,'RE Calculations'!$B$12:$B$16,'RE Calculations'!$C$12:$C$16,"ERROR - Check Input")/12,0)</f>
        <v>8.3333333333333339</v>
      </c>
      <c r="T114" s="142">
        <f t="shared" si="11"/>
        <v>0</v>
      </c>
      <c r="W114" s="12">
        <v>92</v>
      </c>
      <c r="X114" s="142">
        <f>IF(AA113&gt;0.01,IF(W114&lt;=($X$9*12),$X$15,-PMT($X$11,($X$12-$X$9)*12,$X$6)+$X$13*_xlfn.XLOOKUP($Y$13,'RE Calculations'!$B$12:$B$16,'RE Calculations'!$C$12:$C$16,"ERROR - Check Input")/12),0)</f>
        <v>0</v>
      </c>
      <c r="Y114" s="142">
        <f t="shared" si="12"/>
        <v>0</v>
      </c>
      <c r="Z114" s="142">
        <f>IF(W114&lt;=($X$9*12),$X$15,IFERROR(-IPMT($X$11,W114-$X$9*12,($X$12-$X$9)*12,$X$6)+$X$13*_xlfn.XLOOKUP($Y$13,'RE Calculations'!$B$12:$B$16,'RE Calculations'!$C$12:$C$16,"ERROR - Check Input")/12,0))</f>
        <v>10</v>
      </c>
      <c r="AA114" s="142">
        <f t="shared" si="13"/>
        <v>0</v>
      </c>
    </row>
    <row r="115" spans="2:27" x14ac:dyDescent="0.35">
      <c r="B115" s="12">
        <v>93</v>
      </c>
      <c r="C115" s="142">
        <f>IF(F114&gt;0.01,-PMT($C$8,$C$9*12,$C$6)+$C$10*_xlfn.XLOOKUP($D$10,'RE Calculations'!$B$12:$B$16,'RE Calculations'!$C$12:$C$16,"ERROR - Check Input")/12,0)</f>
        <v>0</v>
      </c>
      <c r="D115" s="142">
        <f t="shared" si="14"/>
        <v>0</v>
      </c>
      <c r="E115" s="142">
        <f>IFERROR(-IPMT($C$8,B115,$C$9*12,$C$6)+$C$10*_xlfn.XLOOKUP($D$10,'RE Calculations'!$B$12:$B$16,'RE Calculations'!$C$12:$C$16,"ERROR - Check Input")/12,0)</f>
        <v>8.3333333333333339</v>
      </c>
      <c r="F115" s="142">
        <f t="shared" si="15"/>
        <v>0</v>
      </c>
      <c r="I115" s="12">
        <v>93</v>
      </c>
      <c r="J115" s="142">
        <f>IF(M114&gt;0.01,IF(I115&lt;=($J$9*12),$J$15,-PMT($J$11,($J$12-$J$9)*12,$J$6)+$J$13*_xlfn.XLOOKUP($K$13,'RE Calculations'!$B$12:$B$16,'RE Calculations'!$C$12:$C$16,"ERROR - Check Input")/12),0)</f>
        <v>0</v>
      </c>
      <c r="K115" s="142">
        <f t="shared" si="8"/>
        <v>0</v>
      </c>
      <c r="L115" s="142">
        <f>IF(I115&lt;=($J$9*12),$J$15,IFERROR(-IPMT($J$11,I115-$J$9*12,($J$12-$J$9)*12,$J$6)+$J$13*_xlfn.XLOOKUP($K$13,'RE Calculations'!$B$12:$B$16,'RE Calculations'!$C$12:$C$16,"ERROR - Check Input")/12,0))</f>
        <v>10</v>
      </c>
      <c r="M115" s="142">
        <f t="shared" si="9"/>
        <v>0</v>
      </c>
      <c r="P115" s="12">
        <v>93</v>
      </c>
      <c r="Q115" s="142">
        <f>IF(T114&gt;0.01,-PMT($Q$8,$Q$9*12,$Q$6)+$Q$10*_xlfn.XLOOKUP($R$10,'RE Calculations'!$B$12:$B$16,'RE Calculations'!$C$12:$C$16,"ERROR - Check Input")/12,0)</f>
        <v>0</v>
      </c>
      <c r="R115" s="142">
        <f t="shared" si="10"/>
        <v>0</v>
      </c>
      <c r="S115" s="142">
        <f>IFERROR(-IPMT($Q$8,P115,$Q$9*12,$Q$6)+$Q$10*_xlfn.XLOOKUP($R$10,'RE Calculations'!$B$12:$B$16,'RE Calculations'!$C$12:$C$16,"ERROR - Check Input")/12,0)</f>
        <v>8.3333333333333339</v>
      </c>
      <c r="T115" s="142">
        <f t="shared" si="11"/>
        <v>0</v>
      </c>
      <c r="W115" s="12">
        <v>93</v>
      </c>
      <c r="X115" s="142">
        <f>IF(AA114&gt;0.01,IF(W115&lt;=($X$9*12),$X$15,-PMT($X$11,($X$12-$X$9)*12,$X$6)+$X$13*_xlfn.XLOOKUP($Y$13,'RE Calculations'!$B$12:$B$16,'RE Calculations'!$C$12:$C$16,"ERROR - Check Input")/12),0)</f>
        <v>0</v>
      </c>
      <c r="Y115" s="142">
        <f t="shared" si="12"/>
        <v>0</v>
      </c>
      <c r="Z115" s="142">
        <f>IF(W115&lt;=($X$9*12),$X$15,IFERROR(-IPMT($X$11,W115-$X$9*12,($X$12-$X$9)*12,$X$6)+$X$13*_xlfn.XLOOKUP($Y$13,'RE Calculations'!$B$12:$B$16,'RE Calculations'!$C$12:$C$16,"ERROR - Check Input")/12,0))</f>
        <v>10</v>
      </c>
      <c r="AA115" s="142">
        <f t="shared" si="13"/>
        <v>0</v>
      </c>
    </row>
    <row r="116" spans="2:27" x14ac:dyDescent="0.35">
      <c r="B116" s="12">
        <v>94</v>
      </c>
      <c r="C116" s="142">
        <f>IF(F115&gt;0.01,-PMT($C$8,$C$9*12,$C$6)+$C$10*_xlfn.XLOOKUP($D$10,'RE Calculations'!$B$12:$B$16,'RE Calculations'!$C$12:$C$16,"ERROR - Check Input")/12,0)</f>
        <v>0</v>
      </c>
      <c r="D116" s="142">
        <f t="shared" si="14"/>
        <v>0</v>
      </c>
      <c r="E116" s="142">
        <f>IFERROR(-IPMT($C$8,B116,$C$9*12,$C$6)+$C$10*_xlfn.XLOOKUP($D$10,'RE Calculations'!$B$12:$B$16,'RE Calculations'!$C$12:$C$16,"ERROR - Check Input")/12,0)</f>
        <v>8.3333333333333339</v>
      </c>
      <c r="F116" s="142">
        <f t="shared" si="15"/>
        <v>0</v>
      </c>
      <c r="I116" s="12">
        <v>94</v>
      </c>
      <c r="J116" s="142">
        <f>IF(M115&gt;0.01,IF(I116&lt;=($J$9*12),$J$15,-PMT($J$11,($J$12-$J$9)*12,$J$6)+$J$13*_xlfn.XLOOKUP($K$13,'RE Calculations'!$B$12:$B$16,'RE Calculations'!$C$12:$C$16,"ERROR - Check Input")/12),0)</f>
        <v>0</v>
      </c>
      <c r="K116" s="142">
        <f t="shared" si="8"/>
        <v>0</v>
      </c>
      <c r="L116" s="142">
        <f>IF(I116&lt;=($J$9*12),$J$15,IFERROR(-IPMT($J$11,I116-$J$9*12,($J$12-$J$9)*12,$J$6)+$J$13*_xlfn.XLOOKUP($K$13,'RE Calculations'!$B$12:$B$16,'RE Calculations'!$C$12:$C$16,"ERROR - Check Input")/12,0))</f>
        <v>10</v>
      </c>
      <c r="M116" s="142">
        <f t="shared" si="9"/>
        <v>0</v>
      </c>
      <c r="P116" s="12">
        <v>94</v>
      </c>
      <c r="Q116" s="142">
        <f>IF(T115&gt;0.01,-PMT($Q$8,$Q$9*12,$Q$6)+$Q$10*_xlfn.XLOOKUP($R$10,'RE Calculations'!$B$12:$B$16,'RE Calculations'!$C$12:$C$16,"ERROR - Check Input")/12,0)</f>
        <v>0</v>
      </c>
      <c r="R116" s="142">
        <f t="shared" si="10"/>
        <v>0</v>
      </c>
      <c r="S116" s="142">
        <f>IFERROR(-IPMT($Q$8,P116,$Q$9*12,$Q$6)+$Q$10*_xlfn.XLOOKUP($R$10,'RE Calculations'!$B$12:$B$16,'RE Calculations'!$C$12:$C$16,"ERROR - Check Input")/12,0)</f>
        <v>8.3333333333333339</v>
      </c>
      <c r="T116" s="142">
        <f t="shared" si="11"/>
        <v>0</v>
      </c>
      <c r="W116" s="12">
        <v>94</v>
      </c>
      <c r="X116" s="142">
        <f>IF(AA115&gt;0.01,IF(W116&lt;=($X$9*12),$X$15,-PMT($X$11,($X$12-$X$9)*12,$X$6)+$X$13*_xlfn.XLOOKUP($Y$13,'RE Calculations'!$B$12:$B$16,'RE Calculations'!$C$12:$C$16,"ERROR - Check Input")/12),0)</f>
        <v>0</v>
      </c>
      <c r="Y116" s="142">
        <f t="shared" si="12"/>
        <v>0</v>
      </c>
      <c r="Z116" s="142">
        <f>IF(W116&lt;=($X$9*12),$X$15,IFERROR(-IPMT($X$11,W116-$X$9*12,($X$12-$X$9)*12,$X$6)+$X$13*_xlfn.XLOOKUP($Y$13,'RE Calculations'!$B$12:$B$16,'RE Calculations'!$C$12:$C$16,"ERROR - Check Input")/12,0))</f>
        <v>10</v>
      </c>
      <c r="AA116" s="142">
        <f t="shared" si="13"/>
        <v>0</v>
      </c>
    </row>
    <row r="117" spans="2:27" x14ac:dyDescent="0.35">
      <c r="B117" s="12">
        <v>95</v>
      </c>
      <c r="C117" s="142">
        <f>IF(F116&gt;0.01,-PMT($C$8,$C$9*12,$C$6)+$C$10*_xlfn.XLOOKUP($D$10,'RE Calculations'!$B$12:$B$16,'RE Calculations'!$C$12:$C$16,"ERROR - Check Input")/12,0)</f>
        <v>0</v>
      </c>
      <c r="D117" s="142">
        <f t="shared" si="14"/>
        <v>0</v>
      </c>
      <c r="E117" s="142">
        <f>IFERROR(-IPMT($C$8,B117,$C$9*12,$C$6)+$C$10*_xlfn.XLOOKUP($D$10,'RE Calculations'!$B$12:$B$16,'RE Calculations'!$C$12:$C$16,"ERROR - Check Input")/12,0)</f>
        <v>8.3333333333333339</v>
      </c>
      <c r="F117" s="142">
        <f t="shared" si="15"/>
        <v>0</v>
      </c>
      <c r="I117" s="12">
        <v>95</v>
      </c>
      <c r="J117" s="142">
        <f>IF(M116&gt;0.01,IF(I117&lt;=($J$9*12),$J$15,-PMT($J$11,($J$12-$J$9)*12,$J$6)+$J$13*_xlfn.XLOOKUP($K$13,'RE Calculations'!$B$12:$B$16,'RE Calculations'!$C$12:$C$16,"ERROR - Check Input")/12),0)</f>
        <v>0</v>
      </c>
      <c r="K117" s="142">
        <f t="shared" si="8"/>
        <v>0</v>
      </c>
      <c r="L117" s="142">
        <f>IF(I117&lt;=($J$9*12),$J$15,IFERROR(-IPMT($J$11,I117-$J$9*12,($J$12-$J$9)*12,$J$6)+$J$13*_xlfn.XLOOKUP($K$13,'RE Calculations'!$B$12:$B$16,'RE Calculations'!$C$12:$C$16,"ERROR - Check Input")/12,0))</f>
        <v>10</v>
      </c>
      <c r="M117" s="142">
        <f t="shared" si="9"/>
        <v>0</v>
      </c>
      <c r="P117" s="12">
        <v>95</v>
      </c>
      <c r="Q117" s="142">
        <f>IF(T116&gt;0.01,-PMT($Q$8,$Q$9*12,$Q$6)+$Q$10*_xlfn.XLOOKUP($R$10,'RE Calculations'!$B$12:$B$16,'RE Calculations'!$C$12:$C$16,"ERROR - Check Input")/12,0)</f>
        <v>0</v>
      </c>
      <c r="R117" s="142">
        <f t="shared" si="10"/>
        <v>0</v>
      </c>
      <c r="S117" s="142">
        <f>IFERROR(-IPMT($Q$8,P117,$Q$9*12,$Q$6)+$Q$10*_xlfn.XLOOKUP($R$10,'RE Calculations'!$B$12:$B$16,'RE Calculations'!$C$12:$C$16,"ERROR - Check Input")/12,0)</f>
        <v>8.3333333333333339</v>
      </c>
      <c r="T117" s="142">
        <f t="shared" si="11"/>
        <v>0</v>
      </c>
      <c r="W117" s="12">
        <v>95</v>
      </c>
      <c r="X117" s="142">
        <f>IF(AA116&gt;0.01,IF(W117&lt;=($X$9*12),$X$15,-PMT($X$11,($X$12-$X$9)*12,$X$6)+$X$13*_xlfn.XLOOKUP($Y$13,'RE Calculations'!$B$12:$B$16,'RE Calculations'!$C$12:$C$16,"ERROR - Check Input")/12),0)</f>
        <v>0</v>
      </c>
      <c r="Y117" s="142">
        <f t="shared" si="12"/>
        <v>0</v>
      </c>
      <c r="Z117" s="142">
        <f>IF(W117&lt;=($X$9*12),$X$15,IFERROR(-IPMT($X$11,W117-$X$9*12,($X$12-$X$9)*12,$X$6)+$X$13*_xlfn.XLOOKUP($Y$13,'RE Calculations'!$B$12:$B$16,'RE Calculations'!$C$12:$C$16,"ERROR - Check Input")/12,0))</f>
        <v>10</v>
      </c>
      <c r="AA117" s="142">
        <f t="shared" si="13"/>
        <v>0</v>
      </c>
    </row>
    <row r="118" spans="2:27" x14ac:dyDescent="0.35">
      <c r="B118" s="12">
        <v>96</v>
      </c>
      <c r="C118" s="142">
        <f>IF(F117&gt;0.01,-PMT($C$8,$C$9*12,$C$6)+$C$10*_xlfn.XLOOKUP($D$10,'RE Calculations'!$B$12:$B$16,'RE Calculations'!$C$12:$C$16,"ERROR - Check Input")/12,0)</f>
        <v>0</v>
      </c>
      <c r="D118" s="142">
        <f t="shared" si="14"/>
        <v>0</v>
      </c>
      <c r="E118" s="142">
        <f>IFERROR(-IPMT($C$8,B118,$C$9*12,$C$6)+$C$10*_xlfn.XLOOKUP($D$10,'RE Calculations'!$B$12:$B$16,'RE Calculations'!$C$12:$C$16,"ERROR - Check Input")/12,0)</f>
        <v>8.3333333333333339</v>
      </c>
      <c r="F118" s="142">
        <f t="shared" si="15"/>
        <v>0</v>
      </c>
      <c r="I118" s="12">
        <v>96</v>
      </c>
      <c r="J118" s="142">
        <f>IF(M117&gt;0.01,IF(I118&lt;=($J$9*12),$J$15,-PMT($J$11,($J$12-$J$9)*12,$J$6)+$J$13*_xlfn.XLOOKUP($K$13,'RE Calculations'!$B$12:$B$16,'RE Calculations'!$C$12:$C$16,"ERROR - Check Input")/12),0)</f>
        <v>0</v>
      </c>
      <c r="K118" s="142">
        <f t="shared" si="8"/>
        <v>0</v>
      </c>
      <c r="L118" s="142">
        <f>IF(I118&lt;=($J$9*12),$J$15,IFERROR(-IPMT($J$11,I118-$J$9*12,($J$12-$J$9)*12,$J$6)+$J$13*_xlfn.XLOOKUP($K$13,'RE Calculations'!$B$12:$B$16,'RE Calculations'!$C$12:$C$16,"ERROR - Check Input")/12,0))</f>
        <v>10</v>
      </c>
      <c r="M118" s="142">
        <f t="shared" si="9"/>
        <v>0</v>
      </c>
      <c r="P118" s="12">
        <v>96</v>
      </c>
      <c r="Q118" s="142">
        <f>IF(T117&gt;0.01,-PMT($Q$8,$Q$9*12,$Q$6)+$Q$10*_xlfn.XLOOKUP($R$10,'RE Calculations'!$B$12:$B$16,'RE Calculations'!$C$12:$C$16,"ERROR - Check Input")/12,0)</f>
        <v>0</v>
      </c>
      <c r="R118" s="142">
        <f t="shared" si="10"/>
        <v>0</v>
      </c>
      <c r="S118" s="142">
        <f>IFERROR(-IPMT($Q$8,P118,$Q$9*12,$Q$6)+$Q$10*_xlfn.XLOOKUP($R$10,'RE Calculations'!$B$12:$B$16,'RE Calculations'!$C$12:$C$16,"ERROR - Check Input")/12,0)</f>
        <v>8.3333333333333339</v>
      </c>
      <c r="T118" s="142">
        <f t="shared" si="11"/>
        <v>0</v>
      </c>
      <c r="W118" s="12">
        <v>96</v>
      </c>
      <c r="X118" s="142">
        <f>IF(AA117&gt;0.01,IF(W118&lt;=($X$9*12),$X$15,-PMT($X$11,($X$12-$X$9)*12,$X$6)+$X$13*_xlfn.XLOOKUP($Y$13,'RE Calculations'!$B$12:$B$16,'RE Calculations'!$C$12:$C$16,"ERROR - Check Input")/12),0)</f>
        <v>0</v>
      </c>
      <c r="Y118" s="142">
        <f t="shared" si="12"/>
        <v>0</v>
      </c>
      <c r="Z118" s="142">
        <f>IF(W118&lt;=($X$9*12),$X$15,IFERROR(-IPMT($X$11,W118-$X$9*12,($X$12-$X$9)*12,$X$6)+$X$13*_xlfn.XLOOKUP($Y$13,'RE Calculations'!$B$12:$B$16,'RE Calculations'!$C$12:$C$16,"ERROR - Check Input")/12,0))</f>
        <v>10</v>
      </c>
      <c r="AA118" s="142">
        <f t="shared" si="13"/>
        <v>0</v>
      </c>
    </row>
    <row r="119" spans="2:27" x14ac:dyDescent="0.35">
      <c r="B119" s="12">
        <v>97</v>
      </c>
      <c r="C119" s="142">
        <f>IF(F118&gt;0.01,-PMT($C$8,$C$9*12,$C$6)+$C$10*_xlfn.XLOOKUP($D$10,'RE Calculations'!$B$12:$B$16,'RE Calculations'!$C$12:$C$16,"ERROR - Check Input")/12,0)</f>
        <v>0</v>
      </c>
      <c r="D119" s="142">
        <f t="shared" si="14"/>
        <v>0</v>
      </c>
      <c r="E119" s="142">
        <f>IFERROR(-IPMT($C$8,B119,$C$9*12,$C$6)+$C$10*_xlfn.XLOOKUP($D$10,'RE Calculations'!$B$12:$B$16,'RE Calculations'!$C$12:$C$16,"ERROR - Check Input")/12,0)</f>
        <v>8.3333333333333339</v>
      </c>
      <c r="F119" s="142">
        <f t="shared" si="15"/>
        <v>0</v>
      </c>
      <c r="I119" s="12">
        <v>97</v>
      </c>
      <c r="J119" s="142">
        <f>IF(M118&gt;0.01,IF(I119&lt;=($J$9*12),$J$15,-PMT($J$11,($J$12-$J$9)*12,$J$6)+$J$13*_xlfn.XLOOKUP($K$13,'RE Calculations'!$B$12:$B$16,'RE Calculations'!$C$12:$C$16,"ERROR - Check Input")/12),0)</f>
        <v>0</v>
      </c>
      <c r="K119" s="142">
        <f t="shared" si="8"/>
        <v>0</v>
      </c>
      <c r="L119" s="142">
        <f>IF(I119&lt;=($J$9*12),$J$15,IFERROR(-IPMT($J$11,I119-$J$9*12,($J$12-$J$9)*12,$J$6)+$J$13*_xlfn.XLOOKUP($K$13,'RE Calculations'!$B$12:$B$16,'RE Calculations'!$C$12:$C$16,"ERROR - Check Input")/12,0))</f>
        <v>10</v>
      </c>
      <c r="M119" s="142">
        <f t="shared" si="9"/>
        <v>0</v>
      </c>
      <c r="P119" s="12">
        <v>97</v>
      </c>
      <c r="Q119" s="142">
        <f>IF(T118&gt;0.01,-PMT($Q$8,$Q$9*12,$Q$6)+$Q$10*_xlfn.XLOOKUP($R$10,'RE Calculations'!$B$12:$B$16,'RE Calculations'!$C$12:$C$16,"ERROR - Check Input")/12,0)</f>
        <v>0</v>
      </c>
      <c r="R119" s="142">
        <f t="shared" si="10"/>
        <v>0</v>
      </c>
      <c r="S119" s="142">
        <f>IFERROR(-IPMT($Q$8,P119,$Q$9*12,$Q$6)+$Q$10*_xlfn.XLOOKUP($R$10,'RE Calculations'!$B$12:$B$16,'RE Calculations'!$C$12:$C$16,"ERROR - Check Input")/12,0)</f>
        <v>8.3333333333333339</v>
      </c>
      <c r="T119" s="142">
        <f t="shared" si="11"/>
        <v>0</v>
      </c>
      <c r="W119" s="12">
        <v>97</v>
      </c>
      <c r="X119" s="142">
        <f>IF(AA118&gt;0.01,IF(W119&lt;=($X$9*12),$X$15,-PMT($X$11,($X$12-$X$9)*12,$X$6)+$X$13*_xlfn.XLOOKUP($Y$13,'RE Calculations'!$B$12:$B$16,'RE Calculations'!$C$12:$C$16,"ERROR - Check Input")/12),0)</f>
        <v>0</v>
      </c>
      <c r="Y119" s="142">
        <f t="shared" si="12"/>
        <v>0</v>
      </c>
      <c r="Z119" s="142">
        <f>IF(W119&lt;=($X$9*12),$X$15,IFERROR(-IPMT($X$11,W119-$X$9*12,($X$12-$X$9)*12,$X$6)+$X$13*_xlfn.XLOOKUP($Y$13,'RE Calculations'!$B$12:$B$16,'RE Calculations'!$C$12:$C$16,"ERROR - Check Input")/12,0))</f>
        <v>10</v>
      </c>
      <c r="AA119" s="142">
        <f t="shared" si="13"/>
        <v>0</v>
      </c>
    </row>
    <row r="120" spans="2:27" x14ac:dyDescent="0.35">
      <c r="B120" s="12">
        <v>98</v>
      </c>
      <c r="C120" s="142">
        <f>IF(F119&gt;0.01,-PMT($C$8,$C$9*12,$C$6)+$C$10*_xlfn.XLOOKUP($D$10,'RE Calculations'!$B$12:$B$16,'RE Calculations'!$C$12:$C$16,"ERROR - Check Input")/12,0)</f>
        <v>0</v>
      </c>
      <c r="D120" s="142">
        <f t="shared" si="14"/>
        <v>0</v>
      </c>
      <c r="E120" s="142">
        <f>IFERROR(-IPMT($C$8,B120,$C$9*12,$C$6)+$C$10*_xlfn.XLOOKUP($D$10,'RE Calculations'!$B$12:$B$16,'RE Calculations'!$C$12:$C$16,"ERROR - Check Input")/12,0)</f>
        <v>8.3333333333333339</v>
      </c>
      <c r="F120" s="142">
        <f t="shared" si="15"/>
        <v>0</v>
      </c>
      <c r="I120" s="12">
        <v>98</v>
      </c>
      <c r="J120" s="142">
        <f>IF(M119&gt;0.01,IF(I120&lt;=($J$9*12),$J$15,-PMT($J$11,($J$12-$J$9)*12,$J$6)+$J$13*_xlfn.XLOOKUP($K$13,'RE Calculations'!$B$12:$B$16,'RE Calculations'!$C$12:$C$16,"ERROR - Check Input")/12),0)</f>
        <v>0</v>
      </c>
      <c r="K120" s="142">
        <f t="shared" si="8"/>
        <v>0</v>
      </c>
      <c r="L120" s="142">
        <f>IF(I120&lt;=($J$9*12),$J$15,IFERROR(-IPMT($J$11,I120-$J$9*12,($J$12-$J$9)*12,$J$6)+$J$13*_xlfn.XLOOKUP($K$13,'RE Calculations'!$B$12:$B$16,'RE Calculations'!$C$12:$C$16,"ERROR - Check Input")/12,0))</f>
        <v>10</v>
      </c>
      <c r="M120" s="142">
        <f t="shared" si="9"/>
        <v>0</v>
      </c>
      <c r="P120" s="12">
        <v>98</v>
      </c>
      <c r="Q120" s="142">
        <f>IF(T119&gt;0.01,-PMT($Q$8,$Q$9*12,$Q$6)+$Q$10*_xlfn.XLOOKUP($R$10,'RE Calculations'!$B$12:$B$16,'RE Calculations'!$C$12:$C$16,"ERROR - Check Input")/12,0)</f>
        <v>0</v>
      </c>
      <c r="R120" s="142">
        <f t="shared" si="10"/>
        <v>0</v>
      </c>
      <c r="S120" s="142">
        <f>IFERROR(-IPMT($Q$8,P120,$Q$9*12,$Q$6)+$Q$10*_xlfn.XLOOKUP($R$10,'RE Calculations'!$B$12:$B$16,'RE Calculations'!$C$12:$C$16,"ERROR - Check Input")/12,0)</f>
        <v>8.3333333333333339</v>
      </c>
      <c r="T120" s="142">
        <f t="shared" si="11"/>
        <v>0</v>
      </c>
      <c r="W120" s="12">
        <v>98</v>
      </c>
      <c r="X120" s="142">
        <f>IF(AA119&gt;0.01,IF(W120&lt;=($X$9*12),$X$15,-PMT($X$11,($X$12-$X$9)*12,$X$6)+$X$13*_xlfn.XLOOKUP($Y$13,'RE Calculations'!$B$12:$B$16,'RE Calculations'!$C$12:$C$16,"ERROR - Check Input")/12),0)</f>
        <v>0</v>
      </c>
      <c r="Y120" s="142">
        <f t="shared" si="12"/>
        <v>0</v>
      </c>
      <c r="Z120" s="142">
        <f>IF(W120&lt;=($X$9*12),$X$15,IFERROR(-IPMT($X$11,W120-$X$9*12,($X$12-$X$9)*12,$X$6)+$X$13*_xlfn.XLOOKUP($Y$13,'RE Calculations'!$B$12:$B$16,'RE Calculations'!$C$12:$C$16,"ERROR - Check Input")/12,0))</f>
        <v>10</v>
      </c>
      <c r="AA120" s="142">
        <f t="shared" si="13"/>
        <v>0</v>
      </c>
    </row>
    <row r="121" spans="2:27" x14ac:dyDescent="0.35">
      <c r="B121" s="12">
        <v>99</v>
      </c>
      <c r="C121" s="142">
        <f>IF(F120&gt;0.01,-PMT($C$8,$C$9*12,$C$6)+$C$10*_xlfn.XLOOKUP($D$10,'RE Calculations'!$B$12:$B$16,'RE Calculations'!$C$12:$C$16,"ERROR - Check Input")/12,0)</f>
        <v>0</v>
      </c>
      <c r="D121" s="142">
        <f t="shared" si="14"/>
        <v>0</v>
      </c>
      <c r="E121" s="142">
        <f>IFERROR(-IPMT($C$8,B121,$C$9*12,$C$6)+$C$10*_xlfn.XLOOKUP($D$10,'RE Calculations'!$B$12:$B$16,'RE Calculations'!$C$12:$C$16,"ERROR - Check Input")/12,0)</f>
        <v>8.3333333333333339</v>
      </c>
      <c r="F121" s="142">
        <f t="shared" si="15"/>
        <v>0</v>
      </c>
      <c r="I121" s="12">
        <v>99</v>
      </c>
      <c r="J121" s="142">
        <f>IF(M120&gt;0.01,IF(I121&lt;=($J$9*12),$J$15,-PMT($J$11,($J$12-$J$9)*12,$J$6)+$J$13*_xlfn.XLOOKUP($K$13,'RE Calculations'!$B$12:$B$16,'RE Calculations'!$C$12:$C$16,"ERROR - Check Input")/12),0)</f>
        <v>0</v>
      </c>
      <c r="K121" s="142">
        <f t="shared" si="8"/>
        <v>0</v>
      </c>
      <c r="L121" s="142">
        <f>IF(I121&lt;=($J$9*12),$J$15,IFERROR(-IPMT($J$11,I121-$J$9*12,($J$12-$J$9)*12,$J$6)+$J$13*_xlfn.XLOOKUP($K$13,'RE Calculations'!$B$12:$B$16,'RE Calculations'!$C$12:$C$16,"ERROR - Check Input")/12,0))</f>
        <v>10</v>
      </c>
      <c r="M121" s="142">
        <f t="shared" si="9"/>
        <v>0</v>
      </c>
      <c r="P121" s="12">
        <v>99</v>
      </c>
      <c r="Q121" s="142">
        <f>IF(T120&gt;0.01,-PMT($Q$8,$Q$9*12,$Q$6)+$Q$10*_xlfn.XLOOKUP($R$10,'RE Calculations'!$B$12:$B$16,'RE Calculations'!$C$12:$C$16,"ERROR - Check Input")/12,0)</f>
        <v>0</v>
      </c>
      <c r="R121" s="142">
        <f t="shared" si="10"/>
        <v>0</v>
      </c>
      <c r="S121" s="142">
        <f>IFERROR(-IPMT($Q$8,P121,$Q$9*12,$Q$6)+$Q$10*_xlfn.XLOOKUP($R$10,'RE Calculations'!$B$12:$B$16,'RE Calculations'!$C$12:$C$16,"ERROR - Check Input")/12,0)</f>
        <v>8.3333333333333339</v>
      </c>
      <c r="T121" s="142">
        <f t="shared" si="11"/>
        <v>0</v>
      </c>
      <c r="W121" s="12">
        <v>99</v>
      </c>
      <c r="X121" s="142">
        <f>IF(AA120&gt;0.01,IF(W121&lt;=($X$9*12),$X$15,-PMT($X$11,($X$12-$X$9)*12,$X$6)+$X$13*_xlfn.XLOOKUP($Y$13,'RE Calculations'!$B$12:$B$16,'RE Calculations'!$C$12:$C$16,"ERROR - Check Input")/12),0)</f>
        <v>0</v>
      </c>
      <c r="Y121" s="142">
        <f t="shared" si="12"/>
        <v>0</v>
      </c>
      <c r="Z121" s="142">
        <f>IF(W121&lt;=($X$9*12),$X$15,IFERROR(-IPMT($X$11,W121-$X$9*12,($X$12-$X$9)*12,$X$6)+$X$13*_xlfn.XLOOKUP($Y$13,'RE Calculations'!$B$12:$B$16,'RE Calculations'!$C$12:$C$16,"ERROR - Check Input")/12,0))</f>
        <v>10</v>
      </c>
      <c r="AA121" s="142">
        <f t="shared" si="13"/>
        <v>0</v>
      </c>
    </row>
    <row r="122" spans="2:27" x14ac:dyDescent="0.35">
      <c r="B122" s="12">
        <v>100</v>
      </c>
      <c r="C122" s="142">
        <f>IF(F121&gt;0.01,-PMT($C$8,$C$9*12,$C$6)+$C$10*_xlfn.XLOOKUP($D$10,'RE Calculations'!$B$12:$B$16,'RE Calculations'!$C$12:$C$16,"ERROR - Check Input")/12,0)</f>
        <v>0</v>
      </c>
      <c r="D122" s="142">
        <f t="shared" si="14"/>
        <v>0</v>
      </c>
      <c r="E122" s="142">
        <f>IFERROR(-IPMT($C$8,B122,$C$9*12,$C$6)+$C$10*_xlfn.XLOOKUP($D$10,'RE Calculations'!$B$12:$B$16,'RE Calculations'!$C$12:$C$16,"ERROR - Check Input")/12,0)</f>
        <v>8.3333333333333339</v>
      </c>
      <c r="F122" s="142">
        <f t="shared" si="15"/>
        <v>0</v>
      </c>
      <c r="I122" s="12">
        <v>100</v>
      </c>
      <c r="J122" s="142">
        <f>IF(M121&gt;0.01,IF(I122&lt;=($J$9*12),$J$15,-PMT($J$11,($J$12-$J$9)*12,$J$6)+$J$13*_xlfn.XLOOKUP($K$13,'RE Calculations'!$B$12:$B$16,'RE Calculations'!$C$12:$C$16,"ERROR - Check Input")/12),0)</f>
        <v>0</v>
      </c>
      <c r="K122" s="142">
        <f t="shared" si="8"/>
        <v>0</v>
      </c>
      <c r="L122" s="142">
        <f>IF(I122&lt;=($J$9*12),$J$15,IFERROR(-IPMT($J$11,I122-$J$9*12,($J$12-$J$9)*12,$J$6)+$J$13*_xlfn.XLOOKUP($K$13,'RE Calculations'!$B$12:$B$16,'RE Calculations'!$C$12:$C$16,"ERROR - Check Input")/12,0))</f>
        <v>10</v>
      </c>
      <c r="M122" s="142">
        <f t="shared" si="9"/>
        <v>0</v>
      </c>
      <c r="P122" s="12">
        <v>100</v>
      </c>
      <c r="Q122" s="142">
        <f>IF(T121&gt;0.01,-PMT($Q$8,$Q$9*12,$Q$6)+$Q$10*_xlfn.XLOOKUP($R$10,'RE Calculations'!$B$12:$B$16,'RE Calculations'!$C$12:$C$16,"ERROR - Check Input")/12,0)</f>
        <v>0</v>
      </c>
      <c r="R122" s="142">
        <f t="shared" si="10"/>
        <v>0</v>
      </c>
      <c r="S122" s="142">
        <f>IFERROR(-IPMT($Q$8,P122,$Q$9*12,$Q$6)+$Q$10*_xlfn.XLOOKUP($R$10,'RE Calculations'!$B$12:$B$16,'RE Calculations'!$C$12:$C$16,"ERROR - Check Input")/12,0)</f>
        <v>8.3333333333333339</v>
      </c>
      <c r="T122" s="142">
        <f t="shared" si="11"/>
        <v>0</v>
      </c>
      <c r="W122" s="12">
        <v>100</v>
      </c>
      <c r="X122" s="142">
        <f>IF(AA121&gt;0.01,IF(W122&lt;=($X$9*12),$X$15,-PMT($X$11,($X$12-$X$9)*12,$X$6)+$X$13*_xlfn.XLOOKUP($Y$13,'RE Calculations'!$B$12:$B$16,'RE Calculations'!$C$12:$C$16,"ERROR - Check Input")/12),0)</f>
        <v>0</v>
      </c>
      <c r="Y122" s="142">
        <f t="shared" si="12"/>
        <v>0</v>
      </c>
      <c r="Z122" s="142">
        <f>IF(W122&lt;=($X$9*12),$X$15,IFERROR(-IPMT($X$11,W122-$X$9*12,($X$12-$X$9)*12,$X$6)+$X$13*_xlfn.XLOOKUP($Y$13,'RE Calculations'!$B$12:$B$16,'RE Calculations'!$C$12:$C$16,"ERROR - Check Input")/12,0))</f>
        <v>10</v>
      </c>
      <c r="AA122" s="142">
        <f t="shared" si="13"/>
        <v>0</v>
      </c>
    </row>
    <row r="123" spans="2:27" x14ac:dyDescent="0.35">
      <c r="B123" s="12">
        <v>101</v>
      </c>
      <c r="C123" s="142">
        <f>IF(F122&gt;0.01,-PMT($C$8,$C$9*12,$C$6)+$C$10*_xlfn.XLOOKUP($D$10,'RE Calculations'!$B$12:$B$16,'RE Calculations'!$C$12:$C$16,"ERROR - Check Input")/12,0)</f>
        <v>0</v>
      </c>
      <c r="D123" s="142">
        <f t="shared" si="14"/>
        <v>0</v>
      </c>
      <c r="E123" s="142">
        <f>IFERROR(-IPMT($C$8,B123,$C$9*12,$C$6)+$C$10*_xlfn.XLOOKUP($D$10,'RE Calculations'!$B$12:$B$16,'RE Calculations'!$C$12:$C$16,"ERROR - Check Input")/12,0)</f>
        <v>8.3333333333333339</v>
      </c>
      <c r="F123" s="142">
        <f t="shared" si="15"/>
        <v>0</v>
      </c>
      <c r="I123" s="12">
        <v>101</v>
      </c>
      <c r="J123" s="142">
        <f>IF(M122&gt;0.01,IF(I123&lt;=($J$9*12),$J$15,-PMT($J$11,($J$12-$J$9)*12,$J$6)+$J$13*_xlfn.XLOOKUP($K$13,'RE Calculations'!$B$12:$B$16,'RE Calculations'!$C$12:$C$16,"ERROR - Check Input")/12),0)</f>
        <v>0</v>
      </c>
      <c r="K123" s="142">
        <f t="shared" si="8"/>
        <v>0</v>
      </c>
      <c r="L123" s="142">
        <f>IF(I123&lt;=($J$9*12),$J$15,IFERROR(-IPMT($J$11,I123-$J$9*12,($J$12-$J$9)*12,$J$6)+$J$13*_xlfn.XLOOKUP($K$13,'RE Calculations'!$B$12:$B$16,'RE Calculations'!$C$12:$C$16,"ERROR - Check Input")/12,0))</f>
        <v>10</v>
      </c>
      <c r="M123" s="142">
        <f t="shared" si="9"/>
        <v>0</v>
      </c>
      <c r="P123" s="12">
        <v>101</v>
      </c>
      <c r="Q123" s="142">
        <f>IF(T122&gt;0.01,-PMT($Q$8,$Q$9*12,$Q$6)+$Q$10*_xlfn.XLOOKUP($R$10,'RE Calculations'!$B$12:$B$16,'RE Calculations'!$C$12:$C$16,"ERROR - Check Input")/12,0)</f>
        <v>0</v>
      </c>
      <c r="R123" s="142">
        <f t="shared" si="10"/>
        <v>0</v>
      </c>
      <c r="S123" s="142">
        <f>IFERROR(-IPMT($Q$8,P123,$Q$9*12,$Q$6)+$Q$10*_xlfn.XLOOKUP($R$10,'RE Calculations'!$B$12:$B$16,'RE Calculations'!$C$12:$C$16,"ERROR - Check Input")/12,0)</f>
        <v>8.3333333333333339</v>
      </c>
      <c r="T123" s="142">
        <f t="shared" si="11"/>
        <v>0</v>
      </c>
      <c r="W123" s="12">
        <v>101</v>
      </c>
      <c r="X123" s="142">
        <f>IF(AA122&gt;0.01,IF(W123&lt;=($X$9*12),$X$15,-PMT($X$11,($X$12-$X$9)*12,$X$6)+$X$13*_xlfn.XLOOKUP($Y$13,'RE Calculations'!$B$12:$B$16,'RE Calculations'!$C$12:$C$16,"ERROR - Check Input")/12),0)</f>
        <v>0</v>
      </c>
      <c r="Y123" s="142">
        <f t="shared" si="12"/>
        <v>0</v>
      </c>
      <c r="Z123" s="142">
        <f>IF(W123&lt;=($X$9*12),$X$15,IFERROR(-IPMT($X$11,W123-$X$9*12,($X$12-$X$9)*12,$X$6)+$X$13*_xlfn.XLOOKUP($Y$13,'RE Calculations'!$B$12:$B$16,'RE Calculations'!$C$12:$C$16,"ERROR - Check Input")/12,0))</f>
        <v>10</v>
      </c>
      <c r="AA123" s="142">
        <f t="shared" si="13"/>
        <v>0</v>
      </c>
    </row>
    <row r="124" spans="2:27" x14ac:dyDescent="0.35">
      <c r="B124" s="12">
        <v>102</v>
      </c>
      <c r="C124" s="142">
        <f>IF(F123&gt;0.01,-PMT($C$8,$C$9*12,$C$6)+$C$10*_xlfn.XLOOKUP($D$10,'RE Calculations'!$B$12:$B$16,'RE Calculations'!$C$12:$C$16,"ERROR - Check Input")/12,0)</f>
        <v>0</v>
      </c>
      <c r="D124" s="142">
        <f t="shared" si="14"/>
        <v>0</v>
      </c>
      <c r="E124" s="142">
        <f>IFERROR(-IPMT($C$8,B124,$C$9*12,$C$6)+$C$10*_xlfn.XLOOKUP($D$10,'RE Calculations'!$B$12:$B$16,'RE Calculations'!$C$12:$C$16,"ERROR - Check Input")/12,0)</f>
        <v>8.3333333333333339</v>
      </c>
      <c r="F124" s="142">
        <f t="shared" si="15"/>
        <v>0</v>
      </c>
      <c r="I124" s="12">
        <v>102</v>
      </c>
      <c r="J124" s="142">
        <f>IF(M123&gt;0.01,IF(I124&lt;=($J$9*12),$J$15,-PMT($J$11,($J$12-$J$9)*12,$J$6)+$J$13*_xlfn.XLOOKUP($K$13,'RE Calculations'!$B$12:$B$16,'RE Calculations'!$C$12:$C$16,"ERROR - Check Input")/12),0)</f>
        <v>0</v>
      </c>
      <c r="K124" s="142">
        <f t="shared" si="8"/>
        <v>0</v>
      </c>
      <c r="L124" s="142">
        <f>IF(I124&lt;=($J$9*12),$J$15,IFERROR(-IPMT($J$11,I124-$J$9*12,($J$12-$J$9)*12,$J$6)+$J$13*_xlfn.XLOOKUP($K$13,'RE Calculations'!$B$12:$B$16,'RE Calculations'!$C$12:$C$16,"ERROR - Check Input")/12,0))</f>
        <v>10</v>
      </c>
      <c r="M124" s="142">
        <f t="shared" si="9"/>
        <v>0</v>
      </c>
      <c r="P124" s="12">
        <v>102</v>
      </c>
      <c r="Q124" s="142">
        <f>IF(T123&gt;0.01,-PMT($Q$8,$Q$9*12,$Q$6)+$Q$10*_xlfn.XLOOKUP($R$10,'RE Calculations'!$B$12:$B$16,'RE Calculations'!$C$12:$C$16,"ERROR - Check Input")/12,0)</f>
        <v>0</v>
      </c>
      <c r="R124" s="142">
        <f t="shared" si="10"/>
        <v>0</v>
      </c>
      <c r="S124" s="142">
        <f>IFERROR(-IPMT($Q$8,P124,$Q$9*12,$Q$6)+$Q$10*_xlfn.XLOOKUP($R$10,'RE Calculations'!$B$12:$B$16,'RE Calculations'!$C$12:$C$16,"ERROR - Check Input")/12,0)</f>
        <v>8.3333333333333339</v>
      </c>
      <c r="T124" s="142">
        <f t="shared" si="11"/>
        <v>0</v>
      </c>
      <c r="W124" s="12">
        <v>102</v>
      </c>
      <c r="X124" s="142">
        <f>IF(AA123&gt;0.01,IF(W124&lt;=($X$9*12),$X$15,-PMT($X$11,($X$12-$X$9)*12,$X$6)+$X$13*_xlfn.XLOOKUP($Y$13,'RE Calculations'!$B$12:$B$16,'RE Calculations'!$C$12:$C$16,"ERROR - Check Input")/12),0)</f>
        <v>0</v>
      </c>
      <c r="Y124" s="142">
        <f t="shared" si="12"/>
        <v>0</v>
      </c>
      <c r="Z124" s="142">
        <f>IF(W124&lt;=($X$9*12),$X$15,IFERROR(-IPMT($X$11,W124-$X$9*12,($X$12-$X$9)*12,$X$6)+$X$13*_xlfn.XLOOKUP($Y$13,'RE Calculations'!$B$12:$B$16,'RE Calculations'!$C$12:$C$16,"ERROR - Check Input")/12,0))</f>
        <v>10</v>
      </c>
      <c r="AA124" s="142">
        <f t="shared" si="13"/>
        <v>0</v>
      </c>
    </row>
    <row r="125" spans="2:27" x14ac:dyDescent="0.35">
      <c r="B125" s="12">
        <v>103</v>
      </c>
      <c r="C125" s="142">
        <f>IF(F124&gt;0.01,-PMT($C$8,$C$9*12,$C$6)+$C$10*_xlfn.XLOOKUP($D$10,'RE Calculations'!$B$12:$B$16,'RE Calculations'!$C$12:$C$16,"ERROR - Check Input")/12,0)</f>
        <v>0</v>
      </c>
      <c r="D125" s="142">
        <f t="shared" si="14"/>
        <v>0</v>
      </c>
      <c r="E125" s="142">
        <f>IFERROR(-IPMT($C$8,B125,$C$9*12,$C$6)+$C$10*_xlfn.XLOOKUP($D$10,'RE Calculations'!$B$12:$B$16,'RE Calculations'!$C$12:$C$16,"ERROR - Check Input")/12,0)</f>
        <v>8.3333333333333339</v>
      </c>
      <c r="F125" s="142">
        <f t="shared" si="15"/>
        <v>0</v>
      </c>
      <c r="I125" s="12">
        <v>103</v>
      </c>
      <c r="J125" s="142">
        <f>IF(M124&gt;0.01,IF(I125&lt;=($J$9*12),$J$15,-PMT($J$11,($J$12-$J$9)*12,$J$6)+$J$13*_xlfn.XLOOKUP($K$13,'RE Calculations'!$B$12:$B$16,'RE Calculations'!$C$12:$C$16,"ERROR - Check Input")/12),0)</f>
        <v>0</v>
      </c>
      <c r="K125" s="142">
        <f t="shared" si="8"/>
        <v>0</v>
      </c>
      <c r="L125" s="142">
        <f>IF(I125&lt;=($J$9*12),$J$15,IFERROR(-IPMT($J$11,I125-$J$9*12,($J$12-$J$9)*12,$J$6)+$J$13*_xlfn.XLOOKUP($K$13,'RE Calculations'!$B$12:$B$16,'RE Calculations'!$C$12:$C$16,"ERROR - Check Input")/12,0))</f>
        <v>10</v>
      </c>
      <c r="M125" s="142">
        <f t="shared" si="9"/>
        <v>0</v>
      </c>
      <c r="P125" s="12">
        <v>103</v>
      </c>
      <c r="Q125" s="142">
        <f>IF(T124&gt;0.01,-PMT($Q$8,$Q$9*12,$Q$6)+$Q$10*_xlfn.XLOOKUP($R$10,'RE Calculations'!$B$12:$B$16,'RE Calculations'!$C$12:$C$16,"ERROR - Check Input")/12,0)</f>
        <v>0</v>
      </c>
      <c r="R125" s="142">
        <f t="shared" si="10"/>
        <v>0</v>
      </c>
      <c r="S125" s="142">
        <f>IFERROR(-IPMT($Q$8,P125,$Q$9*12,$Q$6)+$Q$10*_xlfn.XLOOKUP($R$10,'RE Calculations'!$B$12:$B$16,'RE Calculations'!$C$12:$C$16,"ERROR - Check Input")/12,0)</f>
        <v>8.3333333333333339</v>
      </c>
      <c r="T125" s="142">
        <f t="shared" si="11"/>
        <v>0</v>
      </c>
      <c r="W125" s="12">
        <v>103</v>
      </c>
      <c r="X125" s="142">
        <f>IF(AA124&gt;0.01,IF(W125&lt;=($X$9*12),$X$15,-PMT($X$11,($X$12-$X$9)*12,$X$6)+$X$13*_xlfn.XLOOKUP($Y$13,'RE Calculations'!$B$12:$B$16,'RE Calculations'!$C$12:$C$16,"ERROR - Check Input")/12),0)</f>
        <v>0</v>
      </c>
      <c r="Y125" s="142">
        <f t="shared" si="12"/>
        <v>0</v>
      </c>
      <c r="Z125" s="142">
        <f>IF(W125&lt;=($X$9*12),$X$15,IFERROR(-IPMT($X$11,W125-$X$9*12,($X$12-$X$9)*12,$X$6)+$X$13*_xlfn.XLOOKUP($Y$13,'RE Calculations'!$B$12:$B$16,'RE Calculations'!$C$12:$C$16,"ERROR - Check Input")/12,0))</f>
        <v>10</v>
      </c>
      <c r="AA125" s="142">
        <f t="shared" si="13"/>
        <v>0</v>
      </c>
    </row>
    <row r="126" spans="2:27" x14ac:dyDescent="0.35">
      <c r="B126" s="12">
        <v>104</v>
      </c>
      <c r="C126" s="142">
        <f>IF(F125&gt;0.01,-PMT($C$8,$C$9*12,$C$6)+$C$10*_xlfn.XLOOKUP($D$10,'RE Calculations'!$B$12:$B$16,'RE Calculations'!$C$12:$C$16,"ERROR - Check Input")/12,0)</f>
        <v>0</v>
      </c>
      <c r="D126" s="142">
        <f t="shared" si="14"/>
        <v>0</v>
      </c>
      <c r="E126" s="142">
        <f>IFERROR(-IPMT($C$8,B126,$C$9*12,$C$6)+$C$10*_xlfn.XLOOKUP($D$10,'RE Calculations'!$B$12:$B$16,'RE Calculations'!$C$12:$C$16,"ERROR - Check Input")/12,0)</f>
        <v>8.3333333333333339</v>
      </c>
      <c r="F126" s="142">
        <f t="shared" si="15"/>
        <v>0</v>
      </c>
      <c r="I126" s="12">
        <v>104</v>
      </c>
      <c r="J126" s="142">
        <f>IF(M125&gt;0.01,IF(I126&lt;=($J$9*12),$J$15,-PMT($J$11,($J$12-$J$9)*12,$J$6)+$J$13*_xlfn.XLOOKUP($K$13,'RE Calculations'!$B$12:$B$16,'RE Calculations'!$C$12:$C$16,"ERROR - Check Input")/12),0)</f>
        <v>0</v>
      </c>
      <c r="K126" s="142">
        <f t="shared" si="8"/>
        <v>0</v>
      </c>
      <c r="L126" s="142">
        <f>IF(I126&lt;=($J$9*12),$J$15,IFERROR(-IPMT($J$11,I126-$J$9*12,($J$12-$J$9)*12,$J$6)+$J$13*_xlfn.XLOOKUP($K$13,'RE Calculations'!$B$12:$B$16,'RE Calculations'!$C$12:$C$16,"ERROR - Check Input")/12,0))</f>
        <v>10</v>
      </c>
      <c r="M126" s="142">
        <f t="shared" si="9"/>
        <v>0</v>
      </c>
      <c r="P126" s="12">
        <v>104</v>
      </c>
      <c r="Q126" s="142">
        <f>IF(T125&gt;0.01,-PMT($Q$8,$Q$9*12,$Q$6)+$Q$10*_xlfn.XLOOKUP($R$10,'RE Calculations'!$B$12:$B$16,'RE Calculations'!$C$12:$C$16,"ERROR - Check Input")/12,0)</f>
        <v>0</v>
      </c>
      <c r="R126" s="142">
        <f t="shared" si="10"/>
        <v>0</v>
      </c>
      <c r="S126" s="142">
        <f>IFERROR(-IPMT($Q$8,P126,$Q$9*12,$Q$6)+$Q$10*_xlfn.XLOOKUP($R$10,'RE Calculations'!$B$12:$B$16,'RE Calculations'!$C$12:$C$16,"ERROR - Check Input")/12,0)</f>
        <v>8.3333333333333339</v>
      </c>
      <c r="T126" s="142">
        <f t="shared" si="11"/>
        <v>0</v>
      </c>
      <c r="W126" s="12">
        <v>104</v>
      </c>
      <c r="X126" s="142">
        <f>IF(AA125&gt;0.01,IF(W126&lt;=($X$9*12),$X$15,-PMT($X$11,($X$12-$X$9)*12,$X$6)+$X$13*_xlfn.XLOOKUP($Y$13,'RE Calculations'!$B$12:$B$16,'RE Calculations'!$C$12:$C$16,"ERROR - Check Input")/12),0)</f>
        <v>0</v>
      </c>
      <c r="Y126" s="142">
        <f t="shared" si="12"/>
        <v>0</v>
      </c>
      <c r="Z126" s="142">
        <f>IF(W126&lt;=($X$9*12),$X$15,IFERROR(-IPMT($X$11,W126-$X$9*12,($X$12-$X$9)*12,$X$6)+$X$13*_xlfn.XLOOKUP($Y$13,'RE Calculations'!$B$12:$B$16,'RE Calculations'!$C$12:$C$16,"ERROR - Check Input")/12,0))</f>
        <v>10</v>
      </c>
      <c r="AA126" s="142">
        <f t="shared" si="13"/>
        <v>0</v>
      </c>
    </row>
    <row r="127" spans="2:27" x14ac:dyDescent="0.35">
      <c r="B127" s="12">
        <v>105</v>
      </c>
      <c r="C127" s="142">
        <f>IF(F126&gt;0.01,-PMT($C$8,$C$9*12,$C$6)+$C$10*_xlfn.XLOOKUP($D$10,'RE Calculations'!$B$12:$B$16,'RE Calculations'!$C$12:$C$16,"ERROR - Check Input")/12,0)</f>
        <v>0</v>
      </c>
      <c r="D127" s="142">
        <f t="shared" si="14"/>
        <v>0</v>
      </c>
      <c r="E127" s="142">
        <f>IFERROR(-IPMT($C$8,B127,$C$9*12,$C$6)+$C$10*_xlfn.XLOOKUP($D$10,'RE Calculations'!$B$12:$B$16,'RE Calculations'!$C$12:$C$16,"ERROR - Check Input")/12,0)</f>
        <v>8.3333333333333339</v>
      </c>
      <c r="F127" s="142">
        <f t="shared" si="15"/>
        <v>0</v>
      </c>
      <c r="I127" s="12">
        <v>105</v>
      </c>
      <c r="J127" s="142">
        <f>IF(M126&gt;0.01,IF(I127&lt;=($J$9*12),$J$15,-PMT($J$11,($J$12-$J$9)*12,$J$6)+$J$13*_xlfn.XLOOKUP($K$13,'RE Calculations'!$B$12:$B$16,'RE Calculations'!$C$12:$C$16,"ERROR - Check Input")/12),0)</f>
        <v>0</v>
      </c>
      <c r="K127" s="142">
        <f t="shared" si="8"/>
        <v>0</v>
      </c>
      <c r="L127" s="142">
        <f>IF(I127&lt;=($J$9*12),$J$15,IFERROR(-IPMT($J$11,I127-$J$9*12,($J$12-$J$9)*12,$J$6)+$J$13*_xlfn.XLOOKUP($K$13,'RE Calculations'!$B$12:$B$16,'RE Calculations'!$C$12:$C$16,"ERROR - Check Input")/12,0))</f>
        <v>10</v>
      </c>
      <c r="M127" s="142">
        <f t="shared" si="9"/>
        <v>0</v>
      </c>
      <c r="P127" s="12">
        <v>105</v>
      </c>
      <c r="Q127" s="142">
        <f>IF(T126&gt;0.01,-PMT($Q$8,$Q$9*12,$Q$6)+$Q$10*_xlfn.XLOOKUP($R$10,'RE Calculations'!$B$12:$B$16,'RE Calculations'!$C$12:$C$16,"ERROR - Check Input")/12,0)</f>
        <v>0</v>
      </c>
      <c r="R127" s="142">
        <f t="shared" si="10"/>
        <v>0</v>
      </c>
      <c r="S127" s="142">
        <f>IFERROR(-IPMT($Q$8,P127,$Q$9*12,$Q$6)+$Q$10*_xlfn.XLOOKUP($R$10,'RE Calculations'!$B$12:$B$16,'RE Calculations'!$C$12:$C$16,"ERROR - Check Input")/12,0)</f>
        <v>8.3333333333333339</v>
      </c>
      <c r="T127" s="142">
        <f t="shared" si="11"/>
        <v>0</v>
      </c>
      <c r="W127" s="12">
        <v>105</v>
      </c>
      <c r="X127" s="142">
        <f>IF(AA126&gt;0.01,IF(W127&lt;=($X$9*12),$X$15,-PMT($X$11,($X$12-$X$9)*12,$X$6)+$X$13*_xlfn.XLOOKUP($Y$13,'RE Calculations'!$B$12:$B$16,'RE Calculations'!$C$12:$C$16,"ERROR - Check Input")/12),0)</f>
        <v>0</v>
      </c>
      <c r="Y127" s="142">
        <f t="shared" si="12"/>
        <v>0</v>
      </c>
      <c r="Z127" s="142">
        <f>IF(W127&lt;=($X$9*12),$X$15,IFERROR(-IPMT($X$11,W127-$X$9*12,($X$12-$X$9)*12,$X$6)+$X$13*_xlfn.XLOOKUP($Y$13,'RE Calculations'!$B$12:$B$16,'RE Calculations'!$C$12:$C$16,"ERROR - Check Input")/12,0))</f>
        <v>10</v>
      </c>
      <c r="AA127" s="142">
        <f t="shared" si="13"/>
        <v>0</v>
      </c>
    </row>
    <row r="128" spans="2:27" x14ac:dyDescent="0.35">
      <c r="B128" s="12">
        <v>106</v>
      </c>
      <c r="C128" s="142">
        <f>IF(F127&gt;0.01,-PMT($C$8,$C$9*12,$C$6)+$C$10*_xlfn.XLOOKUP($D$10,'RE Calculations'!$B$12:$B$16,'RE Calculations'!$C$12:$C$16,"ERROR - Check Input")/12,0)</f>
        <v>0</v>
      </c>
      <c r="D128" s="142">
        <f t="shared" si="14"/>
        <v>0</v>
      </c>
      <c r="E128" s="142">
        <f>IFERROR(-IPMT($C$8,B128,$C$9*12,$C$6)+$C$10*_xlfn.XLOOKUP($D$10,'RE Calculations'!$B$12:$B$16,'RE Calculations'!$C$12:$C$16,"ERROR - Check Input")/12,0)</f>
        <v>8.3333333333333339</v>
      </c>
      <c r="F128" s="142">
        <f t="shared" si="15"/>
        <v>0</v>
      </c>
      <c r="I128" s="12">
        <v>106</v>
      </c>
      <c r="J128" s="142">
        <f>IF(M127&gt;0.01,IF(I128&lt;=($J$9*12),$J$15,-PMT($J$11,($J$12-$J$9)*12,$J$6)+$J$13*_xlfn.XLOOKUP($K$13,'RE Calculations'!$B$12:$B$16,'RE Calculations'!$C$12:$C$16,"ERROR - Check Input")/12),0)</f>
        <v>0</v>
      </c>
      <c r="K128" s="142">
        <f t="shared" si="8"/>
        <v>0</v>
      </c>
      <c r="L128" s="142">
        <f>IF(I128&lt;=($J$9*12),$J$15,IFERROR(-IPMT($J$11,I128-$J$9*12,($J$12-$J$9)*12,$J$6)+$J$13*_xlfn.XLOOKUP($K$13,'RE Calculations'!$B$12:$B$16,'RE Calculations'!$C$12:$C$16,"ERROR - Check Input")/12,0))</f>
        <v>10</v>
      </c>
      <c r="M128" s="142">
        <f t="shared" si="9"/>
        <v>0</v>
      </c>
      <c r="P128" s="12">
        <v>106</v>
      </c>
      <c r="Q128" s="142">
        <f>IF(T127&gt;0.01,-PMT($Q$8,$Q$9*12,$Q$6)+$Q$10*_xlfn.XLOOKUP($R$10,'RE Calculations'!$B$12:$B$16,'RE Calculations'!$C$12:$C$16,"ERROR - Check Input")/12,0)</f>
        <v>0</v>
      </c>
      <c r="R128" s="142">
        <f t="shared" si="10"/>
        <v>0</v>
      </c>
      <c r="S128" s="142">
        <f>IFERROR(-IPMT($Q$8,P128,$Q$9*12,$Q$6)+$Q$10*_xlfn.XLOOKUP($R$10,'RE Calculations'!$B$12:$B$16,'RE Calculations'!$C$12:$C$16,"ERROR - Check Input")/12,0)</f>
        <v>8.3333333333333339</v>
      </c>
      <c r="T128" s="142">
        <f t="shared" si="11"/>
        <v>0</v>
      </c>
      <c r="W128" s="12">
        <v>106</v>
      </c>
      <c r="X128" s="142">
        <f>IF(AA127&gt;0.01,IF(W128&lt;=($X$9*12),$X$15,-PMT($X$11,($X$12-$X$9)*12,$X$6)+$X$13*_xlfn.XLOOKUP($Y$13,'RE Calculations'!$B$12:$B$16,'RE Calculations'!$C$12:$C$16,"ERROR - Check Input")/12),0)</f>
        <v>0</v>
      </c>
      <c r="Y128" s="142">
        <f t="shared" si="12"/>
        <v>0</v>
      </c>
      <c r="Z128" s="142">
        <f>IF(W128&lt;=($X$9*12),$X$15,IFERROR(-IPMT($X$11,W128-$X$9*12,($X$12-$X$9)*12,$X$6)+$X$13*_xlfn.XLOOKUP($Y$13,'RE Calculations'!$B$12:$B$16,'RE Calculations'!$C$12:$C$16,"ERROR - Check Input")/12,0))</f>
        <v>10</v>
      </c>
      <c r="AA128" s="142">
        <f t="shared" si="13"/>
        <v>0</v>
      </c>
    </row>
    <row r="129" spans="2:27" x14ac:dyDescent="0.35">
      <c r="B129" s="12">
        <v>107</v>
      </c>
      <c r="C129" s="142">
        <f>IF(F128&gt;0.01,-PMT($C$8,$C$9*12,$C$6)+$C$10*_xlfn.XLOOKUP($D$10,'RE Calculations'!$B$12:$B$16,'RE Calculations'!$C$12:$C$16,"ERROR - Check Input")/12,0)</f>
        <v>0</v>
      </c>
      <c r="D129" s="142">
        <f t="shared" si="14"/>
        <v>0</v>
      </c>
      <c r="E129" s="142">
        <f>IFERROR(-IPMT($C$8,B129,$C$9*12,$C$6)+$C$10*_xlfn.XLOOKUP($D$10,'RE Calculations'!$B$12:$B$16,'RE Calculations'!$C$12:$C$16,"ERROR - Check Input")/12,0)</f>
        <v>8.3333333333333339</v>
      </c>
      <c r="F129" s="142">
        <f t="shared" si="15"/>
        <v>0</v>
      </c>
      <c r="I129" s="12">
        <v>107</v>
      </c>
      <c r="J129" s="142">
        <f>IF(M128&gt;0.01,IF(I129&lt;=($J$9*12),$J$15,-PMT($J$11,($J$12-$J$9)*12,$J$6)+$J$13*_xlfn.XLOOKUP($K$13,'RE Calculations'!$B$12:$B$16,'RE Calculations'!$C$12:$C$16,"ERROR - Check Input")/12),0)</f>
        <v>0</v>
      </c>
      <c r="K129" s="142">
        <f t="shared" si="8"/>
        <v>0</v>
      </c>
      <c r="L129" s="142">
        <f>IF(I129&lt;=($J$9*12),$J$15,IFERROR(-IPMT($J$11,I129-$J$9*12,($J$12-$J$9)*12,$J$6)+$J$13*_xlfn.XLOOKUP($K$13,'RE Calculations'!$B$12:$B$16,'RE Calculations'!$C$12:$C$16,"ERROR - Check Input")/12,0))</f>
        <v>10</v>
      </c>
      <c r="M129" s="142">
        <f t="shared" si="9"/>
        <v>0</v>
      </c>
      <c r="P129" s="12">
        <v>107</v>
      </c>
      <c r="Q129" s="142">
        <f>IF(T128&gt;0.01,-PMT($Q$8,$Q$9*12,$Q$6)+$Q$10*_xlfn.XLOOKUP($R$10,'RE Calculations'!$B$12:$B$16,'RE Calculations'!$C$12:$C$16,"ERROR - Check Input")/12,0)</f>
        <v>0</v>
      </c>
      <c r="R129" s="142">
        <f t="shared" si="10"/>
        <v>0</v>
      </c>
      <c r="S129" s="142">
        <f>IFERROR(-IPMT($Q$8,P129,$Q$9*12,$Q$6)+$Q$10*_xlfn.XLOOKUP($R$10,'RE Calculations'!$B$12:$B$16,'RE Calculations'!$C$12:$C$16,"ERROR - Check Input")/12,0)</f>
        <v>8.3333333333333339</v>
      </c>
      <c r="T129" s="142">
        <f t="shared" si="11"/>
        <v>0</v>
      </c>
      <c r="W129" s="12">
        <v>107</v>
      </c>
      <c r="X129" s="142">
        <f>IF(AA128&gt;0.01,IF(W129&lt;=($X$9*12),$X$15,-PMT($X$11,($X$12-$X$9)*12,$X$6)+$X$13*_xlfn.XLOOKUP($Y$13,'RE Calculations'!$B$12:$B$16,'RE Calculations'!$C$12:$C$16,"ERROR - Check Input")/12),0)</f>
        <v>0</v>
      </c>
      <c r="Y129" s="142">
        <f t="shared" si="12"/>
        <v>0</v>
      </c>
      <c r="Z129" s="142">
        <f>IF(W129&lt;=($X$9*12),$X$15,IFERROR(-IPMT($X$11,W129-$X$9*12,($X$12-$X$9)*12,$X$6)+$X$13*_xlfn.XLOOKUP($Y$13,'RE Calculations'!$B$12:$B$16,'RE Calculations'!$C$12:$C$16,"ERROR - Check Input")/12,0))</f>
        <v>10</v>
      </c>
      <c r="AA129" s="142">
        <f t="shared" si="13"/>
        <v>0</v>
      </c>
    </row>
    <row r="130" spans="2:27" x14ac:dyDescent="0.35">
      <c r="B130" s="12">
        <v>108</v>
      </c>
      <c r="C130" s="142">
        <f>IF(F129&gt;0.01,-PMT($C$8,$C$9*12,$C$6)+$C$10*_xlfn.XLOOKUP($D$10,'RE Calculations'!$B$12:$B$16,'RE Calculations'!$C$12:$C$16,"ERROR - Check Input")/12,0)</f>
        <v>0</v>
      </c>
      <c r="D130" s="142">
        <f t="shared" si="14"/>
        <v>0</v>
      </c>
      <c r="E130" s="142">
        <f>IFERROR(-IPMT($C$8,B130,$C$9*12,$C$6)+$C$10*_xlfn.XLOOKUP($D$10,'RE Calculations'!$B$12:$B$16,'RE Calculations'!$C$12:$C$16,"ERROR - Check Input")/12,0)</f>
        <v>8.3333333333333339</v>
      </c>
      <c r="F130" s="142">
        <f t="shared" si="15"/>
        <v>0</v>
      </c>
      <c r="I130" s="12">
        <v>108</v>
      </c>
      <c r="J130" s="142">
        <f>IF(M129&gt;0.01,IF(I130&lt;=($J$9*12),$J$15,-PMT($J$11,($J$12-$J$9)*12,$J$6)+$J$13*_xlfn.XLOOKUP($K$13,'RE Calculations'!$B$12:$B$16,'RE Calculations'!$C$12:$C$16,"ERROR - Check Input")/12),0)</f>
        <v>0</v>
      </c>
      <c r="K130" s="142">
        <f t="shared" si="8"/>
        <v>0</v>
      </c>
      <c r="L130" s="142">
        <f>IF(I130&lt;=($J$9*12),$J$15,IFERROR(-IPMT($J$11,I130-$J$9*12,($J$12-$J$9)*12,$J$6)+$J$13*_xlfn.XLOOKUP($K$13,'RE Calculations'!$B$12:$B$16,'RE Calculations'!$C$12:$C$16,"ERROR - Check Input")/12,0))</f>
        <v>10</v>
      </c>
      <c r="M130" s="142">
        <f t="shared" si="9"/>
        <v>0</v>
      </c>
      <c r="P130" s="12">
        <v>108</v>
      </c>
      <c r="Q130" s="142">
        <f>IF(T129&gt;0.01,-PMT($Q$8,$Q$9*12,$Q$6)+$Q$10*_xlfn.XLOOKUP($R$10,'RE Calculations'!$B$12:$B$16,'RE Calculations'!$C$12:$C$16,"ERROR - Check Input")/12,0)</f>
        <v>0</v>
      </c>
      <c r="R130" s="142">
        <f t="shared" si="10"/>
        <v>0</v>
      </c>
      <c r="S130" s="142">
        <f>IFERROR(-IPMT($Q$8,P130,$Q$9*12,$Q$6)+$Q$10*_xlfn.XLOOKUP($R$10,'RE Calculations'!$B$12:$B$16,'RE Calculations'!$C$12:$C$16,"ERROR - Check Input")/12,0)</f>
        <v>8.3333333333333339</v>
      </c>
      <c r="T130" s="142">
        <f t="shared" si="11"/>
        <v>0</v>
      </c>
      <c r="W130" s="12">
        <v>108</v>
      </c>
      <c r="X130" s="142">
        <f>IF(AA129&gt;0.01,IF(W130&lt;=($X$9*12),$X$15,-PMT($X$11,($X$12-$X$9)*12,$X$6)+$X$13*_xlfn.XLOOKUP($Y$13,'RE Calculations'!$B$12:$B$16,'RE Calculations'!$C$12:$C$16,"ERROR - Check Input")/12),0)</f>
        <v>0</v>
      </c>
      <c r="Y130" s="142">
        <f t="shared" si="12"/>
        <v>0</v>
      </c>
      <c r="Z130" s="142">
        <f>IF(W130&lt;=($X$9*12),$X$15,IFERROR(-IPMT($X$11,W130-$X$9*12,($X$12-$X$9)*12,$X$6)+$X$13*_xlfn.XLOOKUP($Y$13,'RE Calculations'!$B$12:$B$16,'RE Calculations'!$C$12:$C$16,"ERROR - Check Input")/12,0))</f>
        <v>10</v>
      </c>
      <c r="AA130" s="142">
        <f t="shared" si="13"/>
        <v>0</v>
      </c>
    </row>
    <row r="131" spans="2:27" x14ac:dyDescent="0.35">
      <c r="B131" s="12">
        <v>109</v>
      </c>
      <c r="C131" s="142">
        <f>IF(F130&gt;0.01,-PMT($C$8,$C$9*12,$C$6)+$C$10*_xlfn.XLOOKUP($D$10,'RE Calculations'!$B$12:$B$16,'RE Calculations'!$C$12:$C$16,"ERROR - Check Input")/12,0)</f>
        <v>0</v>
      </c>
      <c r="D131" s="142">
        <f t="shared" si="14"/>
        <v>0</v>
      </c>
      <c r="E131" s="142">
        <f>IFERROR(-IPMT($C$8,B131,$C$9*12,$C$6)+$C$10*_xlfn.XLOOKUP($D$10,'RE Calculations'!$B$12:$B$16,'RE Calculations'!$C$12:$C$16,"ERROR - Check Input")/12,0)</f>
        <v>8.3333333333333339</v>
      </c>
      <c r="F131" s="142">
        <f t="shared" si="15"/>
        <v>0</v>
      </c>
      <c r="I131" s="12">
        <v>109</v>
      </c>
      <c r="J131" s="142">
        <f>IF(M130&gt;0.01,IF(I131&lt;=($J$9*12),$J$15,-PMT($J$11,($J$12-$J$9)*12,$J$6)+$J$13*_xlfn.XLOOKUP($K$13,'RE Calculations'!$B$12:$B$16,'RE Calculations'!$C$12:$C$16,"ERROR - Check Input")/12),0)</f>
        <v>0</v>
      </c>
      <c r="K131" s="142">
        <f t="shared" si="8"/>
        <v>0</v>
      </c>
      <c r="L131" s="142">
        <f>IF(I131&lt;=($J$9*12),$J$15,IFERROR(-IPMT($J$11,I131-$J$9*12,($J$12-$J$9)*12,$J$6)+$J$13*_xlfn.XLOOKUP($K$13,'RE Calculations'!$B$12:$B$16,'RE Calculations'!$C$12:$C$16,"ERROR - Check Input")/12,0))</f>
        <v>10</v>
      </c>
      <c r="M131" s="142">
        <f t="shared" si="9"/>
        <v>0</v>
      </c>
      <c r="P131" s="12">
        <v>109</v>
      </c>
      <c r="Q131" s="142">
        <f>IF(T130&gt;0.01,-PMT($Q$8,$Q$9*12,$Q$6)+$Q$10*_xlfn.XLOOKUP($R$10,'RE Calculations'!$B$12:$B$16,'RE Calculations'!$C$12:$C$16,"ERROR - Check Input")/12,0)</f>
        <v>0</v>
      </c>
      <c r="R131" s="142">
        <f t="shared" si="10"/>
        <v>0</v>
      </c>
      <c r="S131" s="142">
        <f>IFERROR(-IPMT($Q$8,P131,$Q$9*12,$Q$6)+$Q$10*_xlfn.XLOOKUP($R$10,'RE Calculations'!$B$12:$B$16,'RE Calculations'!$C$12:$C$16,"ERROR - Check Input")/12,0)</f>
        <v>8.3333333333333339</v>
      </c>
      <c r="T131" s="142">
        <f t="shared" si="11"/>
        <v>0</v>
      </c>
      <c r="W131" s="12">
        <v>109</v>
      </c>
      <c r="X131" s="142">
        <f>IF(AA130&gt;0.01,IF(W131&lt;=($X$9*12),$X$15,-PMT($X$11,($X$12-$X$9)*12,$X$6)+$X$13*_xlfn.XLOOKUP($Y$13,'RE Calculations'!$B$12:$B$16,'RE Calculations'!$C$12:$C$16,"ERROR - Check Input")/12),0)</f>
        <v>0</v>
      </c>
      <c r="Y131" s="142">
        <f t="shared" si="12"/>
        <v>0</v>
      </c>
      <c r="Z131" s="142">
        <f>IF(W131&lt;=($X$9*12),$X$15,IFERROR(-IPMT($X$11,W131-$X$9*12,($X$12-$X$9)*12,$X$6)+$X$13*_xlfn.XLOOKUP($Y$13,'RE Calculations'!$B$12:$B$16,'RE Calculations'!$C$12:$C$16,"ERROR - Check Input")/12,0))</f>
        <v>10</v>
      </c>
      <c r="AA131" s="142">
        <f t="shared" si="13"/>
        <v>0</v>
      </c>
    </row>
    <row r="132" spans="2:27" x14ac:dyDescent="0.35">
      <c r="B132" s="12">
        <v>110</v>
      </c>
      <c r="C132" s="142">
        <f>IF(F131&gt;0.01,-PMT($C$8,$C$9*12,$C$6)+$C$10*_xlfn.XLOOKUP($D$10,'RE Calculations'!$B$12:$B$16,'RE Calculations'!$C$12:$C$16,"ERROR - Check Input")/12,0)</f>
        <v>0</v>
      </c>
      <c r="D132" s="142">
        <f t="shared" si="14"/>
        <v>0</v>
      </c>
      <c r="E132" s="142">
        <f>IFERROR(-IPMT($C$8,B132,$C$9*12,$C$6)+$C$10*_xlfn.XLOOKUP($D$10,'RE Calculations'!$B$12:$B$16,'RE Calculations'!$C$12:$C$16,"ERROR - Check Input")/12,0)</f>
        <v>8.3333333333333339</v>
      </c>
      <c r="F132" s="142">
        <f t="shared" si="15"/>
        <v>0</v>
      </c>
      <c r="I132" s="12">
        <v>110</v>
      </c>
      <c r="J132" s="142">
        <f>IF(M131&gt;0.01,IF(I132&lt;=($J$9*12),$J$15,-PMT($J$11,($J$12-$J$9)*12,$J$6)+$J$13*_xlfn.XLOOKUP($K$13,'RE Calculations'!$B$12:$B$16,'RE Calculations'!$C$12:$C$16,"ERROR - Check Input")/12),0)</f>
        <v>0</v>
      </c>
      <c r="K132" s="142">
        <f t="shared" si="8"/>
        <v>0</v>
      </c>
      <c r="L132" s="142">
        <f>IF(I132&lt;=($J$9*12),$J$15,IFERROR(-IPMT($J$11,I132-$J$9*12,($J$12-$J$9)*12,$J$6)+$J$13*_xlfn.XLOOKUP($K$13,'RE Calculations'!$B$12:$B$16,'RE Calculations'!$C$12:$C$16,"ERROR - Check Input")/12,0))</f>
        <v>10</v>
      </c>
      <c r="M132" s="142">
        <f t="shared" si="9"/>
        <v>0</v>
      </c>
      <c r="P132" s="12">
        <v>110</v>
      </c>
      <c r="Q132" s="142">
        <f>IF(T131&gt;0.01,-PMT($Q$8,$Q$9*12,$Q$6)+$Q$10*_xlfn.XLOOKUP($R$10,'RE Calculations'!$B$12:$B$16,'RE Calculations'!$C$12:$C$16,"ERROR - Check Input")/12,0)</f>
        <v>0</v>
      </c>
      <c r="R132" s="142">
        <f t="shared" si="10"/>
        <v>0</v>
      </c>
      <c r="S132" s="142">
        <f>IFERROR(-IPMT($Q$8,P132,$Q$9*12,$Q$6)+$Q$10*_xlfn.XLOOKUP($R$10,'RE Calculations'!$B$12:$B$16,'RE Calculations'!$C$12:$C$16,"ERROR - Check Input")/12,0)</f>
        <v>8.3333333333333339</v>
      </c>
      <c r="T132" s="142">
        <f t="shared" si="11"/>
        <v>0</v>
      </c>
      <c r="W132" s="12">
        <v>110</v>
      </c>
      <c r="X132" s="142">
        <f>IF(AA131&gt;0.01,IF(W132&lt;=($X$9*12),$X$15,-PMT($X$11,($X$12-$X$9)*12,$X$6)+$X$13*_xlfn.XLOOKUP($Y$13,'RE Calculations'!$B$12:$B$16,'RE Calculations'!$C$12:$C$16,"ERROR - Check Input")/12),0)</f>
        <v>0</v>
      </c>
      <c r="Y132" s="142">
        <f t="shared" si="12"/>
        <v>0</v>
      </c>
      <c r="Z132" s="142">
        <f>IF(W132&lt;=($X$9*12),$X$15,IFERROR(-IPMT($X$11,W132-$X$9*12,($X$12-$X$9)*12,$X$6)+$X$13*_xlfn.XLOOKUP($Y$13,'RE Calculations'!$B$12:$B$16,'RE Calculations'!$C$12:$C$16,"ERROR - Check Input")/12,0))</f>
        <v>10</v>
      </c>
      <c r="AA132" s="142">
        <f t="shared" si="13"/>
        <v>0</v>
      </c>
    </row>
    <row r="133" spans="2:27" x14ac:dyDescent="0.35">
      <c r="B133" s="12">
        <v>111</v>
      </c>
      <c r="C133" s="142">
        <f>IF(F132&gt;0.01,-PMT($C$8,$C$9*12,$C$6)+$C$10*_xlfn.XLOOKUP($D$10,'RE Calculations'!$B$12:$B$16,'RE Calculations'!$C$12:$C$16,"ERROR - Check Input")/12,0)</f>
        <v>0</v>
      </c>
      <c r="D133" s="142">
        <f t="shared" si="14"/>
        <v>0</v>
      </c>
      <c r="E133" s="142">
        <f>IFERROR(-IPMT($C$8,B133,$C$9*12,$C$6)+$C$10*_xlfn.XLOOKUP($D$10,'RE Calculations'!$B$12:$B$16,'RE Calculations'!$C$12:$C$16,"ERROR - Check Input")/12,0)</f>
        <v>8.3333333333333339</v>
      </c>
      <c r="F133" s="142">
        <f t="shared" si="15"/>
        <v>0</v>
      </c>
      <c r="I133" s="12">
        <v>111</v>
      </c>
      <c r="J133" s="142">
        <f>IF(M132&gt;0.01,IF(I133&lt;=($J$9*12),$J$15,-PMT($J$11,($J$12-$J$9)*12,$J$6)+$J$13*_xlfn.XLOOKUP($K$13,'RE Calculations'!$B$12:$B$16,'RE Calculations'!$C$12:$C$16,"ERROR - Check Input")/12),0)</f>
        <v>0</v>
      </c>
      <c r="K133" s="142">
        <f t="shared" si="8"/>
        <v>0</v>
      </c>
      <c r="L133" s="142">
        <f>IF(I133&lt;=($J$9*12),$J$15,IFERROR(-IPMT($J$11,I133-$J$9*12,($J$12-$J$9)*12,$J$6)+$J$13*_xlfn.XLOOKUP($K$13,'RE Calculations'!$B$12:$B$16,'RE Calculations'!$C$12:$C$16,"ERROR - Check Input")/12,0))</f>
        <v>10</v>
      </c>
      <c r="M133" s="142">
        <f t="shared" si="9"/>
        <v>0</v>
      </c>
      <c r="P133" s="12">
        <v>111</v>
      </c>
      <c r="Q133" s="142">
        <f>IF(T132&gt;0.01,-PMT($Q$8,$Q$9*12,$Q$6)+$Q$10*_xlfn.XLOOKUP($R$10,'RE Calculations'!$B$12:$B$16,'RE Calculations'!$C$12:$C$16,"ERROR - Check Input")/12,0)</f>
        <v>0</v>
      </c>
      <c r="R133" s="142">
        <f t="shared" si="10"/>
        <v>0</v>
      </c>
      <c r="S133" s="142">
        <f>IFERROR(-IPMT($Q$8,P133,$Q$9*12,$Q$6)+$Q$10*_xlfn.XLOOKUP($R$10,'RE Calculations'!$B$12:$B$16,'RE Calculations'!$C$12:$C$16,"ERROR - Check Input")/12,0)</f>
        <v>8.3333333333333339</v>
      </c>
      <c r="T133" s="142">
        <f t="shared" si="11"/>
        <v>0</v>
      </c>
      <c r="W133" s="12">
        <v>111</v>
      </c>
      <c r="X133" s="142">
        <f>IF(AA132&gt;0.01,IF(W133&lt;=($X$9*12),$X$15,-PMT($X$11,($X$12-$X$9)*12,$X$6)+$X$13*_xlfn.XLOOKUP($Y$13,'RE Calculations'!$B$12:$B$16,'RE Calculations'!$C$12:$C$16,"ERROR - Check Input")/12),0)</f>
        <v>0</v>
      </c>
      <c r="Y133" s="142">
        <f t="shared" si="12"/>
        <v>0</v>
      </c>
      <c r="Z133" s="142">
        <f>IF(W133&lt;=($X$9*12),$X$15,IFERROR(-IPMT($X$11,W133-$X$9*12,($X$12-$X$9)*12,$X$6)+$X$13*_xlfn.XLOOKUP($Y$13,'RE Calculations'!$B$12:$B$16,'RE Calculations'!$C$12:$C$16,"ERROR - Check Input")/12,0))</f>
        <v>10</v>
      </c>
      <c r="AA133" s="142">
        <f t="shared" si="13"/>
        <v>0</v>
      </c>
    </row>
    <row r="134" spans="2:27" x14ac:dyDescent="0.35">
      <c r="B134" s="12">
        <v>112</v>
      </c>
      <c r="C134" s="142">
        <f>IF(F133&gt;0.01,-PMT($C$8,$C$9*12,$C$6)+$C$10*_xlfn.XLOOKUP($D$10,'RE Calculations'!$B$12:$B$16,'RE Calculations'!$C$12:$C$16,"ERROR - Check Input")/12,0)</f>
        <v>0</v>
      </c>
      <c r="D134" s="142">
        <f t="shared" si="14"/>
        <v>0</v>
      </c>
      <c r="E134" s="142">
        <f>IFERROR(-IPMT($C$8,B134,$C$9*12,$C$6)+$C$10*_xlfn.XLOOKUP($D$10,'RE Calculations'!$B$12:$B$16,'RE Calculations'!$C$12:$C$16,"ERROR - Check Input")/12,0)</f>
        <v>8.3333333333333339</v>
      </c>
      <c r="F134" s="142">
        <f t="shared" si="15"/>
        <v>0</v>
      </c>
      <c r="I134" s="12">
        <v>112</v>
      </c>
      <c r="J134" s="142">
        <f>IF(M133&gt;0.01,IF(I134&lt;=($J$9*12),$J$15,-PMT($J$11,($J$12-$J$9)*12,$J$6)+$J$13*_xlfn.XLOOKUP($K$13,'RE Calculations'!$B$12:$B$16,'RE Calculations'!$C$12:$C$16,"ERROR - Check Input")/12),0)</f>
        <v>0</v>
      </c>
      <c r="K134" s="142">
        <f t="shared" si="8"/>
        <v>0</v>
      </c>
      <c r="L134" s="142">
        <f>IF(I134&lt;=($J$9*12),$J$15,IFERROR(-IPMT($J$11,I134-$J$9*12,($J$12-$J$9)*12,$J$6)+$J$13*_xlfn.XLOOKUP($K$13,'RE Calculations'!$B$12:$B$16,'RE Calculations'!$C$12:$C$16,"ERROR - Check Input")/12,0))</f>
        <v>10</v>
      </c>
      <c r="M134" s="142">
        <f t="shared" si="9"/>
        <v>0</v>
      </c>
      <c r="P134" s="12">
        <v>112</v>
      </c>
      <c r="Q134" s="142">
        <f>IF(T133&gt;0.01,-PMT($Q$8,$Q$9*12,$Q$6)+$Q$10*_xlfn.XLOOKUP($R$10,'RE Calculations'!$B$12:$B$16,'RE Calculations'!$C$12:$C$16,"ERROR - Check Input")/12,0)</f>
        <v>0</v>
      </c>
      <c r="R134" s="142">
        <f t="shared" si="10"/>
        <v>0</v>
      </c>
      <c r="S134" s="142">
        <f>IFERROR(-IPMT($Q$8,P134,$Q$9*12,$Q$6)+$Q$10*_xlfn.XLOOKUP($R$10,'RE Calculations'!$B$12:$B$16,'RE Calculations'!$C$12:$C$16,"ERROR - Check Input")/12,0)</f>
        <v>8.3333333333333339</v>
      </c>
      <c r="T134" s="142">
        <f t="shared" si="11"/>
        <v>0</v>
      </c>
      <c r="W134" s="12">
        <v>112</v>
      </c>
      <c r="X134" s="142">
        <f>IF(AA133&gt;0.01,IF(W134&lt;=($X$9*12),$X$15,-PMT($X$11,($X$12-$X$9)*12,$X$6)+$X$13*_xlfn.XLOOKUP($Y$13,'RE Calculations'!$B$12:$B$16,'RE Calculations'!$C$12:$C$16,"ERROR - Check Input")/12),0)</f>
        <v>0</v>
      </c>
      <c r="Y134" s="142">
        <f t="shared" si="12"/>
        <v>0</v>
      </c>
      <c r="Z134" s="142">
        <f>IF(W134&lt;=($X$9*12),$X$15,IFERROR(-IPMT($X$11,W134-$X$9*12,($X$12-$X$9)*12,$X$6)+$X$13*_xlfn.XLOOKUP($Y$13,'RE Calculations'!$B$12:$B$16,'RE Calculations'!$C$12:$C$16,"ERROR - Check Input")/12,0))</f>
        <v>10</v>
      </c>
      <c r="AA134" s="142">
        <f t="shared" si="13"/>
        <v>0</v>
      </c>
    </row>
    <row r="135" spans="2:27" x14ac:dyDescent="0.35">
      <c r="B135" s="12">
        <v>113</v>
      </c>
      <c r="C135" s="142">
        <f>IF(F134&gt;0.01,-PMT($C$8,$C$9*12,$C$6)+$C$10*_xlfn.XLOOKUP($D$10,'RE Calculations'!$B$12:$B$16,'RE Calculations'!$C$12:$C$16,"ERROR - Check Input")/12,0)</f>
        <v>0</v>
      </c>
      <c r="D135" s="142">
        <f t="shared" si="14"/>
        <v>0</v>
      </c>
      <c r="E135" s="142">
        <f>IFERROR(-IPMT($C$8,B135,$C$9*12,$C$6)+$C$10*_xlfn.XLOOKUP($D$10,'RE Calculations'!$B$12:$B$16,'RE Calculations'!$C$12:$C$16,"ERROR - Check Input")/12,0)</f>
        <v>8.3333333333333339</v>
      </c>
      <c r="F135" s="142">
        <f t="shared" si="15"/>
        <v>0</v>
      </c>
      <c r="I135" s="12">
        <v>113</v>
      </c>
      <c r="J135" s="142">
        <f>IF(M134&gt;0.01,IF(I135&lt;=($J$9*12),$J$15,-PMT($J$11,($J$12-$J$9)*12,$J$6)+$J$13*_xlfn.XLOOKUP($K$13,'RE Calculations'!$B$12:$B$16,'RE Calculations'!$C$12:$C$16,"ERROR - Check Input")/12),0)</f>
        <v>0</v>
      </c>
      <c r="K135" s="142">
        <f t="shared" si="8"/>
        <v>0</v>
      </c>
      <c r="L135" s="142">
        <f>IF(I135&lt;=($J$9*12),$J$15,IFERROR(-IPMT($J$11,I135-$J$9*12,($J$12-$J$9)*12,$J$6)+$J$13*_xlfn.XLOOKUP($K$13,'RE Calculations'!$B$12:$B$16,'RE Calculations'!$C$12:$C$16,"ERROR - Check Input")/12,0))</f>
        <v>10</v>
      </c>
      <c r="M135" s="142">
        <f t="shared" si="9"/>
        <v>0</v>
      </c>
      <c r="P135" s="12">
        <v>113</v>
      </c>
      <c r="Q135" s="142">
        <f>IF(T134&gt;0.01,-PMT($Q$8,$Q$9*12,$Q$6)+$Q$10*_xlfn.XLOOKUP($R$10,'RE Calculations'!$B$12:$B$16,'RE Calculations'!$C$12:$C$16,"ERROR - Check Input")/12,0)</f>
        <v>0</v>
      </c>
      <c r="R135" s="142">
        <f t="shared" si="10"/>
        <v>0</v>
      </c>
      <c r="S135" s="142">
        <f>IFERROR(-IPMT($Q$8,P135,$Q$9*12,$Q$6)+$Q$10*_xlfn.XLOOKUP($R$10,'RE Calculations'!$B$12:$B$16,'RE Calculations'!$C$12:$C$16,"ERROR - Check Input")/12,0)</f>
        <v>8.3333333333333339</v>
      </c>
      <c r="T135" s="142">
        <f t="shared" si="11"/>
        <v>0</v>
      </c>
      <c r="W135" s="12">
        <v>113</v>
      </c>
      <c r="X135" s="142">
        <f>IF(AA134&gt;0.01,IF(W135&lt;=($X$9*12),$X$15,-PMT($X$11,($X$12-$X$9)*12,$X$6)+$X$13*_xlfn.XLOOKUP($Y$13,'RE Calculations'!$B$12:$B$16,'RE Calculations'!$C$12:$C$16,"ERROR - Check Input")/12),0)</f>
        <v>0</v>
      </c>
      <c r="Y135" s="142">
        <f t="shared" si="12"/>
        <v>0</v>
      </c>
      <c r="Z135" s="142">
        <f>IF(W135&lt;=($X$9*12),$X$15,IFERROR(-IPMT($X$11,W135-$X$9*12,($X$12-$X$9)*12,$X$6)+$X$13*_xlfn.XLOOKUP($Y$13,'RE Calculations'!$B$12:$B$16,'RE Calculations'!$C$12:$C$16,"ERROR - Check Input")/12,0))</f>
        <v>10</v>
      </c>
      <c r="AA135" s="142">
        <f t="shared" si="13"/>
        <v>0</v>
      </c>
    </row>
    <row r="136" spans="2:27" x14ac:dyDescent="0.35">
      <c r="B136" s="12">
        <v>114</v>
      </c>
      <c r="C136" s="142">
        <f>IF(F135&gt;0.01,-PMT($C$8,$C$9*12,$C$6)+$C$10*_xlfn.XLOOKUP($D$10,'RE Calculations'!$B$12:$B$16,'RE Calculations'!$C$12:$C$16,"ERROR - Check Input")/12,0)</f>
        <v>0</v>
      </c>
      <c r="D136" s="142">
        <f t="shared" si="14"/>
        <v>0</v>
      </c>
      <c r="E136" s="142">
        <f>IFERROR(-IPMT($C$8,B136,$C$9*12,$C$6)+$C$10*_xlfn.XLOOKUP($D$10,'RE Calculations'!$B$12:$B$16,'RE Calculations'!$C$12:$C$16,"ERROR - Check Input")/12,0)</f>
        <v>8.3333333333333339</v>
      </c>
      <c r="F136" s="142">
        <f t="shared" si="15"/>
        <v>0</v>
      </c>
      <c r="I136" s="12">
        <v>114</v>
      </c>
      <c r="J136" s="142">
        <f>IF(M135&gt;0.01,IF(I136&lt;=($J$9*12),$J$15,-PMT($J$11,($J$12-$J$9)*12,$J$6)+$J$13*_xlfn.XLOOKUP($K$13,'RE Calculations'!$B$12:$B$16,'RE Calculations'!$C$12:$C$16,"ERROR - Check Input")/12),0)</f>
        <v>0</v>
      </c>
      <c r="K136" s="142">
        <f t="shared" si="8"/>
        <v>0</v>
      </c>
      <c r="L136" s="142">
        <f>IF(I136&lt;=($J$9*12),$J$15,IFERROR(-IPMT($J$11,I136-$J$9*12,($J$12-$J$9)*12,$J$6)+$J$13*_xlfn.XLOOKUP($K$13,'RE Calculations'!$B$12:$B$16,'RE Calculations'!$C$12:$C$16,"ERROR - Check Input")/12,0))</f>
        <v>10</v>
      </c>
      <c r="M136" s="142">
        <f t="shared" si="9"/>
        <v>0</v>
      </c>
      <c r="P136" s="12">
        <v>114</v>
      </c>
      <c r="Q136" s="142">
        <f>IF(T135&gt;0.01,-PMT($Q$8,$Q$9*12,$Q$6)+$Q$10*_xlfn.XLOOKUP($R$10,'RE Calculations'!$B$12:$B$16,'RE Calculations'!$C$12:$C$16,"ERROR - Check Input")/12,0)</f>
        <v>0</v>
      </c>
      <c r="R136" s="142">
        <f t="shared" si="10"/>
        <v>0</v>
      </c>
      <c r="S136" s="142">
        <f>IFERROR(-IPMT($Q$8,P136,$Q$9*12,$Q$6)+$Q$10*_xlfn.XLOOKUP($R$10,'RE Calculations'!$B$12:$B$16,'RE Calculations'!$C$12:$C$16,"ERROR - Check Input")/12,0)</f>
        <v>8.3333333333333339</v>
      </c>
      <c r="T136" s="142">
        <f t="shared" si="11"/>
        <v>0</v>
      </c>
      <c r="W136" s="12">
        <v>114</v>
      </c>
      <c r="X136" s="142">
        <f>IF(AA135&gt;0.01,IF(W136&lt;=($X$9*12),$X$15,-PMT($X$11,($X$12-$X$9)*12,$X$6)+$X$13*_xlfn.XLOOKUP($Y$13,'RE Calculations'!$B$12:$B$16,'RE Calculations'!$C$12:$C$16,"ERROR - Check Input")/12),0)</f>
        <v>0</v>
      </c>
      <c r="Y136" s="142">
        <f t="shared" si="12"/>
        <v>0</v>
      </c>
      <c r="Z136" s="142">
        <f>IF(W136&lt;=($X$9*12),$X$15,IFERROR(-IPMT($X$11,W136-$X$9*12,($X$12-$X$9)*12,$X$6)+$X$13*_xlfn.XLOOKUP($Y$13,'RE Calculations'!$B$12:$B$16,'RE Calculations'!$C$12:$C$16,"ERROR - Check Input")/12,0))</f>
        <v>10</v>
      </c>
      <c r="AA136" s="142">
        <f t="shared" si="13"/>
        <v>0</v>
      </c>
    </row>
    <row r="137" spans="2:27" x14ac:dyDescent="0.35">
      <c r="B137" s="12">
        <v>115</v>
      </c>
      <c r="C137" s="142">
        <f>IF(F136&gt;0.01,-PMT($C$8,$C$9*12,$C$6)+$C$10*_xlfn.XLOOKUP($D$10,'RE Calculations'!$B$12:$B$16,'RE Calculations'!$C$12:$C$16,"ERROR - Check Input")/12,0)</f>
        <v>0</v>
      </c>
      <c r="D137" s="142">
        <f t="shared" si="14"/>
        <v>0</v>
      </c>
      <c r="E137" s="142">
        <f>IFERROR(-IPMT($C$8,B137,$C$9*12,$C$6)+$C$10*_xlfn.XLOOKUP($D$10,'RE Calculations'!$B$12:$B$16,'RE Calculations'!$C$12:$C$16,"ERROR - Check Input")/12,0)</f>
        <v>8.3333333333333339</v>
      </c>
      <c r="F137" s="142">
        <f t="shared" si="15"/>
        <v>0</v>
      </c>
      <c r="I137" s="12">
        <v>115</v>
      </c>
      <c r="J137" s="142">
        <f>IF(M136&gt;0.01,IF(I137&lt;=($J$9*12),$J$15,-PMT($J$11,($J$12-$J$9)*12,$J$6)+$J$13*_xlfn.XLOOKUP($K$13,'RE Calculations'!$B$12:$B$16,'RE Calculations'!$C$12:$C$16,"ERROR - Check Input")/12),0)</f>
        <v>0</v>
      </c>
      <c r="K137" s="142">
        <f t="shared" si="8"/>
        <v>0</v>
      </c>
      <c r="L137" s="142">
        <f>IF(I137&lt;=($J$9*12),$J$15,IFERROR(-IPMT($J$11,I137-$J$9*12,($J$12-$J$9)*12,$J$6)+$J$13*_xlfn.XLOOKUP($K$13,'RE Calculations'!$B$12:$B$16,'RE Calculations'!$C$12:$C$16,"ERROR - Check Input")/12,0))</f>
        <v>10</v>
      </c>
      <c r="M137" s="142">
        <f t="shared" si="9"/>
        <v>0</v>
      </c>
      <c r="P137" s="12">
        <v>115</v>
      </c>
      <c r="Q137" s="142">
        <f>IF(T136&gt;0.01,-PMT($Q$8,$Q$9*12,$Q$6)+$Q$10*_xlfn.XLOOKUP($R$10,'RE Calculations'!$B$12:$B$16,'RE Calculations'!$C$12:$C$16,"ERROR - Check Input")/12,0)</f>
        <v>0</v>
      </c>
      <c r="R137" s="142">
        <f t="shared" si="10"/>
        <v>0</v>
      </c>
      <c r="S137" s="142">
        <f>IFERROR(-IPMT($Q$8,P137,$Q$9*12,$Q$6)+$Q$10*_xlfn.XLOOKUP($R$10,'RE Calculations'!$B$12:$B$16,'RE Calculations'!$C$12:$C$16,"ERROR - Check Input")/12,0)</f>
        <v>8.3333333333333339</v>
      </c>
      <c r="T137" s="142">
        <f t="shared" si="11"/>
        <v>0</v>
      </c>
      <c r="W137" s="12">
        <v>115</v>
      </c>
      <c r="X137" s="142">
        <f>IF(AA136&gt;0.01,IF(W137&lt;=($X$9*12),$X$15,-PMT($X$11,($X$12-$X$9)*12,$X$6)+$X$13*_xlfn.XLOOKUP($Y$13,'RE Calculations'!$B$12:$B$16,'RE Calculations'!$C$12:$C$16,"ERROR - Check Input")/12),0)</f>
        <v>0</v>
      </c>
      <c r="Y137" s="142">
        <f t="shared" si="12"/>
        <v>0</v>
      </c>
      <c r="Z137" s="142">
        <f>IF(W137&lt;=($X$9*12),$X$15,IFERROR(-IPMT($X$11,W137-$X$9*12,($X$12-$X$9)*12,$X$6)+$X$13*_xlfn.XLOOKUP($Y$13,'RE Calculations'!$B$12:$B$16,'RE Calculations'!$C$12:$C$16,"ERROR - Check Input")/12,0))</f>
        <v>10</v>
      </c>
      <c r="AA137" s="142">
        <f t="shared" si="13"/>
        <v>0</v>
      </c>
    </row>
    <row r="138" spans="2:27" x14ac:dyDescent="0.35">
      <c r="B138" s="12">
        <v>116</v>
      </c>
      <c r="C138" s="142">
        <f>IF(F137&gt;0.01,-PMT($C$8,$C$9*12,$C$6)+$C$10*_xlfn.XLOOKUP($D$10,'RE Calculations'!$B$12:$B$16,'RE Calculations'!$C$12:$C$16,"ERROR - Check Input")/12,0)</f>
        <v>0</v>
      </c>
      <c r="D138" s="142">
        <f t="shared" si="14"/>
        <v>0</v>
      </c>
      <c r="E138" s="142">
        <f>IFERROR(-IPMT($C$8,B138,$C$9*12,$C$6)+$C$10*_xlfn.XLOOKUP($D$10,'RE Calculations'!$B$12:$B$16,'RE Calculations'!$C$12:$C$16,"ERROR - Check Input")/12,0)</f>
        <v>8.3333333333333339</v>
      </c>
      <c r="F138" s="142">
        <f t="shared" si="15"/>
        <v>0</v>
      </c>
      <c r="I138" s="12">
        <v>116</v>
      </c>
      <c r="J138" s="142">
        <f>IF(M137&gt;0.01,IF(I138&lt;=($J$9*12),$J$15,-PMT($J$11,($J$12-$J$9)*12,$J$6)+$J$13*_xlfn.XLOOKUP($K$13,'RE Calculations'!$B$12:$B$16,'RE Calculations'!$C$12:$C$16,"ERROR - Check Input")/12),0)</f>
        <v>0</v>
      </c>
      <c r="K138" s="142">
        <f t="shared" si="8"/>
        <v>0</v>
      </c>
      <c r="L138" s="142">
        <f>IF(I138&lt;=($J$9*12),$J$15,IFERROR(-IPMT($J$11,I138-$J$9*12,($J$12-$J$9)*12,$J$6)+$J$13*_xlfn.XLOOKUP($K$13,'RE Calculations'!$B$12:$B$16,'RE Calculations'!$C$12:$C$16,"ERROR - Check Input")/12,0))</f>
        <v>10</v>
      </c>
      <c r="M138" s="142">
        <f t="shared" si="9"/>
        <v>0</v>
      </c>
      <c r="P138" s="12">
        <v>116</v>
      </c>
      <c r="Q138" s="142">
        <f>IF(T137&gt;0.01,-PMT($Q$8,$Q$9*12,$Q$6)+$Q$10*_xlfn.XLOOKUP($R$10,'RE Calculations'!$B$12:$B$16,'RE Calculations'!$C$12:$C$16,"ERROR - Check Input")/12,0)</f>
        <v>0</v>
      </c>
      <c r="R138" s="142">
        <f t="shared" si="10"/>
        <v>0</v>
      </c>
      <c r="S138" s="142">
        <f>IFERROR(-IPMT($Q$8,P138,$Q$9*12,$Q$6)+$Q$10*_xlfn.XLOOKUP($R$10,'RE Calculations'!$B$12:$B$16,'RE Calculations'!$C$12:$C$16,"ERROR - Check Input")/12,0)</f>
        <v>8.3333333333333339</v>
      </c>
      <c r="T138" s="142">
        <f t="shared" si="11"/>
        <v>0</v>
      </c>
      <c r="W138" s="12">
        <v>116</v>
      </c>
      <c r="X138" s="142">
        <f>IF(AA137&gt;0.01,IF(W138&lt;=($X$9*12),$X$15,-PMT($X$11,($X$12-$X$9)*12,$X$6)+$X$13*_xlfn.XLOOKUP($Y$13,'RE Calculations'!$B$12:$B$16,'RE Calculations'!$C$12:$C$16,"ERROR - Check Input")/12),0)</f>
        <v>0</v>
      </c>
      <c r="Y138" s="142">
        <f t="shared" si="12"/>
        <v>0</v>
      </c>
      <c r="Z138" s="142">
        <f>IF(W138&lt;=($X$9*12),$X$15,IFERROR(-IPMT($X$11,W138-$X$9*12,($X$12-$X$9)*12,$X$6)+$X$13*_xlfn.XLOOKUP($Y$13,'RE Calculations'!$B$12:$B$16,'RE Calculations'!$C$12:$C$16,"ERROR - Check Input")/12,0))</f>
        <v>10</v>
      </c>
      <c r="AA138" s="142">
        <f t="shared" si="13"/>
        <v>0</v>
      </c>
    </row>
    <row r="139" spans="2:27" x14ac:dyDescent="0.35">
      <c r="B139" s="12">
        <v>117</v>
      </c>
      <c r="C139" s="142">
        <f>IF(F138&gt;0.01,-PMT($C$8,$C$9*12,$C$6)+$C$10*_xlfn.XLOOKUP($D$10,'RE Calculations'!$B$12:$B$16,'RE Calculations'!$C$12:$C$16,"ERROR - Check Input")/12,0)</f>
        <v>0</v>
      </c>
      <c r="D139" s="142">
        <f t="shared" si="14"/>
        <v>0</v>
      </c>
      <c r="E139" s="142">
        <f>IFERROR(-IPMT($C$8,B139,$C$9*12,$C$6)+$C$10*_xlfn.XLOOKUP($D$10,'RE Calculations'!$B$12:$B$16,'RE Calculations'!$C$12:$C$16,"ERROR - Check Input")/12,0)</f>
        <v>8.3333333333333339</v>
      </c>
      <c r="F139" s="142">
        <f t="shared" si="15"/>
        <v>0</v>
      </c>
      <c r="I139" s="12">
        <v>117</v>
      </c>
      <c r="J139" s="142">
        <f>IF(M138&gt;0.01,IF(I139&lt;=($J$9*12),$J$15,-PMT($J$11,($J$12-$J$9)*12,$J$6)+$J$13*_xlfn.XLOOKUP($K$13,'RE Calculations'!$B$12:$B$16,'RE Calculations'!$C$12:$C$16,"ERROR - Check Input")/12),0)</f>
        <v>0</v>
      </c>
      <c r="K139" s="142">
        <f t="shared" si="8"/>
        <v>0</v>
      </c>
      <c r="L139" s="142">
        <f>IF(I139&lt;=($J$9*12),$J$15,IFERROR(-IPMT($J$11,I139-$J$9*12,($J$12-$J$9)*12,$J$6)+$J$13*_xlfn.XLOOKUP($K$13,'RE Calculations'!$B$12:$B$16,'RE Calculations'!$C$12:$C$16,"ERROR - Check Input")/12,0))</f>
        <v>10</v>
      </c>
      <c r="M139" s="142">
        <f t="shared" si="9"/>
        <v>0</v>
      </c>
      <c r="P139" s="12">
        <v>117</v>
      </c>
      <c r="Q139" s="142">
        <f>IF(T138&gt;0.01,-PMT($Q$8,$Q$9*12,$Q$6)+$Q$10*_xlfn.XLOOKUP($R$10,'RE Calculations'!$B$12:$B$16,'RE Calculations'!$C$12:$C$16,"ERROR - Check Input")/12,0)</f>
        <v>0</v>
      </c>
      <c r="R139" s="142">
        <f t="shared" si="10"/>
        <v>0</v>
      </c>
      <c r="S139" s="142">
        <f>IFERROR(-IPMT($Q$8,P139,$Q$9*12,$Q$6)+$Q$10*_xlfn.XLOOKUP($R$10,'RE Calculations'!$B$12:$B$16,'RE Calculations'!$C$12:$C$16,"ERROR - Check Input")/12,0)</f>
        <v>8.3333333333333339</v>
      </c>
      <c r="T139" s="142">
        <f t="shared" si="11"/>
        <v>0</v>
      </c>
      <c r="W139" s="12">
        <v>117</v>
      </c>
      <c r="X139" s="142">
        <f>IF(AA138&gt;0.01,IF(W139&lt;=($X$9*12),$X$15,-PMT($X$11,($X$12-$X$9)*12,$X$6)+$X$13*_xlfn.XLOOKUP($Y$13,'RE Calculations'!$B$12:$B$16,'RE Calculations'!$C$12:$C$16,"ERROR - Check Input")/12),0)</f>
        <v>0</v>
      </c>
      <c r="Y139" s="142">
        <f t="shared" si="12"/>
        <v>0</v>
      </c>
      <c r="Z139" s="142">
        <f>IF(W139&lt;=($X$9*12),$X$15,IFERROR(-IPMT($X$11,W139-$X$9*12,($X$12-$X$9)*12,$X$6)+$X$13*_xlfn.XLOOKUP($Y$13,'RE Calculations'!$B$12:$B$16,'RE Calculations'!$C$12:$C$16,"ERROR - Check Input")/12,0))</f>
        <v>10</v>
      </c>
      <c r="AA139" s="142">
        <f t="shared" si="13"/>
        <v>0</v>
      </c>
    </row>
    <row r="140" spans="2:27" x14ac:dyDescent="0.35">
      <c r="B140" s="12">
        <v>118</v>
      </c>
      <c r="C140" s="142">
        <f>IF(F139&gt;0.01,-PMT($C$8,$C$9*12,$C$6)+$C$10*_xlfn.XLOOKUP($D$10,'RE Calculations'!$B$12:$B$16,'RE Calculations'!$C$12:$C$16,"ERROR - Check Input")/12,0)</f>
        <v>0</v>
      </c>
      <c r="D140" s="142">
        <f t="shared" si="14"/>
        <v>0</v>
      </c>
      <c r="E140" s="142">
        <f>IFERROR(-IPMT($C$8,B140,$C$9*12,$C$6)+$C$10*_xlfn.XLOOKUP($D$10,'RE Calculations'!$B$12:$B$16,'RE Calculations'!$C$12:$C$16,"ERROR - Check Input")/12,0)</f>
        <v>8.3333333333333339</v>
      </c>
      <c r="F140" s="142">
        <f t="shared" si="15"/>
        <v>0</v>
      </c>
      <c r="I140" s="12">
        <v>118</v>
      </c>
      <c r="J140" s="142">
        <f>IF(M139&gt;0.01,IF(I140&lt;=($J$9*12),$J$15,-PMT($J$11,($J$12-$J$9)*12,$J$6)+$J$13*_xlfn.XLOOKUP($K$13,'RE Calculations'!$B$12:$B$16,'RE Calculations'!$C$12:$C$16,"ERROR - Check Input")/12),0)</f>
        <v>0</v>
      </c>
      <c r="K140" s="142">
        <f t="shared" si="8"/>
        <v>0</v>
      </c>
      <c r="L140" s="142">
        <f>IF(I140&lt;=($J$9*12),$J$15,IFERROR(-IPMT($J$11,I140-$J$9*12,($J$12-$J$9)*12,$J$6)+$J$13*_xlfn.XLOOKUP($K$13,'RE Calculations'!$B$12:$B$16,'RE Calculations'!$C$12:$C$16,"ERROR - Check Input")/12,0))</f>
        <v>10</v>
      </c>
      <c r="M140" s="142">
        <f t="shared" si="9"/>
        <v>0</v>
      </c>
      <c r="P140" s="12">
        <v>118</v>
      </c>
      <c r="Q140" s="142">
        <f>IF(T139&gt;0.01,-PMT($Q$8,$Q$9*12,$Q$6)+$Q$10*_xlfn.XLOOKUP($R$10,'RE Calculations'!$B$12:$B$16,'RE Calculations'!$C$12:$C$16,"ERROR - Check Input")/12,0)</f>
        <v>0</v>
      </c>
      <c r="R140" s="142">
        <f t="shared" si="10"/>
        <v>0</v>
      </c>
      <c r="S140" s="142">
        <f>IFERROR(-IPMT($Q$8,P140,$Q$9*12,$Q$6)+$Q$10*_xlfn.XLOOKUP($R$10,'RE Calculations'!$B$12:$B$16,'RE Calculations'!$C$12:$C$16,"ERROR - Check Input")/12,0)</f>
        <v>8.3333333333333339</v>
      </c>
      <c r="T140" s="142">
        <f t="shared" si="11"/>
        <v>0</v>
      </c>
      <c r="W140" s="12">
        <v>118</v>
      </c>
      <c r="X140" s="142">
        <f>IF(AA139&gt;0.01,IF(W140&lt;=($X$9*12),$X$15,-PMT($X$11,($X$12-$X$9)*12,$X$6)+$X$13*_xlfn.XLOOKUP($Y$13,'RE Calculations'!$B$12:$B$16,'RE Calculations'!$C$12:$C$16,"ERROR - Check Input")/12),0)</f>
        <v>0</v>
      </c>
      <c r="Y140" s="142">
        <f t="shared" si="12"/>
        <v>0</v>
      </c>
      <c r="Z140" s="142">
        <f>IF(W140&lt;=($X$9*12),$X$15,IFERROR(-IPMT($X$11,W140-$X$9*12,($X$12-$X$9)*12,$X$6)+$X$13*_xlfn.XLOOKUP($Y$13,'RE Calculations'!$B$12:$B$16,'RE Calculations'!$C$12:$C$16,"ERROR - Check Input")/12,0))</f>
        <v>10</v>
      </c>
      <c r="AA140" s="142">
        <f t="shared" si="13"/>
        <v>0</v>
      </c>
    </row>
    <row r="141" spans="2:27" x14ac:dyDescent="0.35">
      <c r="B141" s="12">
        <v>119</v>
      </c>
      <c r="C141" s="142">
        <f>IF(F140&gt;0.01,-PMT($C$8,$C$9*12,$C$6)+$C$10*_xlfn.XLOOKUP($D$10,'RE Calculations'!$B$12:$B$16,'RE Calculations'!$C$12:$C$16,"ERROR - Check Input")/12,0)</f>
        <v>0</v>
      </c>
      <c r="D141" s="142">
        <f t="shared" si="14"/>
        <v>0</v>
      </c>
      <c r="E141" s="142">
        <f>IFERROR(-IPMT($C$8,B141,$C$9*12,$C$6)+$C$10*_xlfn.XLOOKUP($D$10,'RE Calculations'!$B$12:$B$16,'RE Calculations'!$C$12:$C$16,"ERROR - Check Input")/12,0)</f>
        <v>8.3333333333333339</v>
      </c>
      <c r="F141" s="142">
        <f t="shared" si="15"/>
        <v>0</v>
      </c>
      <c r="I141" s="12">
        <v>119</v>
      </c>
      <c r="J141" s="142">
        <f>IF(M140&gt;0.01,IF(I141&lt;=($J$9*12),$J$15,-PMT($J$11,($J$12-$J$9)*12,$J$6)+$J$13*_xlfn.XLOOKUP($K$13,'RE Calculations'!$B$12:$B$16,'RE Calculations'!$C$12:$C$16,"ERROR - Check Input")/12),0)</f>
        <v>0</v>
      </c>
      <c r="K141" s="142">
        <f t="shared" si="8"/>
        <v>0</v>
      </c>
      <c r="L141" s="142">
        <f>IF(I141&lt;=($J$9*12),$J$15,IFERROR(-IPMT($J$11,I141-$J$9*12,($J$12-$J$9)*12,$J$6)+$J$13*_xlfn.XLOOKUP($K$13,'RE Calculations'!$B$12:$B$16,'RE Calculations'!$C$12:$C$16,"ERROR - Check Input")/12,0))</f>
        <v>10</v>
      </c>
      <c r="M141" s="142">
        <f t="shared" si="9"/>
        <v>0</v>
      </c>
      <c r="P141" s="12">
        <v>119</v>
      </c>
      <c r="Q141" s="142">
        <f>IF(T140&gt;0.01,-PMT($Q$8,$Q$9*12,$Q$6)+$Q$10*_xlfn.XLOOKUP($R$10,'RE Calculations'!$B$12:$B$16,'RE Calculations'!$C$12:$C$16,"ERROR - Check Input")/12,0)</f>
        <v>0</v>
      </c>
      <c r="R141" s="142">
        <f t="shared" si="10"/>
        <v>0</v>
      </c>
      <c r="S141" s="142">
        <f>IFERROR(-IPMT($Q$8,P141,$Q$9*12,$Q$6)+$Q$10*_xlfn.XLOOKUP($R$10,'RE Calculations'!$B$12:$B$16,'RE Calculations'!$C$12:$C$16,"ERROR - Check Input")/12,0)</f>
        <v>8.3333333333333339</v>
      </c>
      <c r="T141" s="142">
        <f t="shared" si="11"/>
        <v>0</v>
      </c>
      <c r="W141" s="12">
        <v>119</v>
      </c>
      <c r="X141" s="142">
        <f>IF(AA140&gt;0.01,IF(W141&lt;=($X$9*12),$X$15,-PMT($X$11,($X$12-$X$9)*12,$X$6)+$X$13*_xlfn.XLOOKUP($Y$13,'RE Calculations'!$B$12:$B$16,'RE Calculations'!$C$12:$C$16,"ERROR - Check Input")/12),0)</f>
        <v>0</v>
      </c>
      <c r="Y141" s="142">
        <f t="shared" si="12"/>
        <v>0</v>
      </c>
      <c r="Z141" s="142">
        <f>IF(W141&lt;=($X$9*12),$X$15,IFERROR(-IPMT($X$11,W141-$X$9*12,($X$12-$X$9)*12,$X$6)+$X$13*_xlfn.XLOOKUP($Y$13,'RE Calculations'!$B$12:$B$16,'RE Calculations'!$C$12:$C$16,"ERROR - Check Input")/12,0))</f>
        <v>10</v>
      </c>
      <c r="AA141" s="142">
        <f t="shared" si="13"/>
        <v>0</v>
      </c>
    </row>
    <row r="142" spans="2:27" x14ac:dyDescent="0.35">
      <c r="B142" s="12">
        <v>120</v>
      </c>
      <c r="C142" s="142">
        <f>IF(F141&gt;0.01,-PMT($C$8,$C$9*12,$C$6)+$C$10*_xlfn.XLOOKUP($D$10,'RE Calculations'!$B$12:$B$16,'RE Calculations'!$C$12:$C$16,"ERROR - Check Input")/12,0)</f>
        <v>0</v>
      </c>
      <c r="D142" s="142">
        <f t="shared" si="14"/>
        <v>0</v>
      </c>
      <c r="E142" s="142">
        <f>IFERROR(-IPMT($C$8,B142,$C$9*12,$C$6)+$C$10*_xlfn.XLOOKUP($D$10,'RE Calculations'!$B$12:$B$16,'RE Calculations'!$C$12:$C$16,"ERROR - Check Input")/12,0)</f>
        <v>8.3333333333333339</v>
      </c>
      <c r="F142" s="142">
        <f t="shared" si="15"/>
        <v>0</v>
      </c>
      <c r="I142" s="12">
        <v>120</v>
      </c>
      <c r="J142" s="142">
        <f>IF(M141&gt;0.01,IF(I142&lt;=($J$9*12),$J$15,-PMT($J$11,($J$12-$J$9)*12,$J$6)+$J$13*_xlfn.XLOOKUP($K$13,'RE Calculations'!$B$12:$B$16,'RE Calculations'!$C$12:$C$16,"ERROR - Check Input")/12),0)</f>
        <v>0</v>
      </c>
      <c r="K142" s="142">
        <f t="shared" si="8"/>
        <v>0</v>
      </c>
      <c r="L142" s="142">
        <f>IF(I142&lt;=($J$9*12),$J$15,IFERROR(-IPMT($J$11,I142-$J$9*12,($J$12-$J$9)*12,$J$6)+$J$13*_xlfn.XLOOKUP($K$13,'RE Calculations'!$B$12:$B$16,'RE Calculations'!$C$12:$C$16,"ERROR - Check Input")/12,0))</f>
        <v>10</v>
      </c>
      <c r="M142" s="142">
        <f t="shared" si="9"/>
        <v>0</v>
      </c>
      <c r="P142" s="12">
        <v>120</v>
      </c>
      <c r="Q142" s="142">
        <f>IF(T141&gt;0.01,-PMT($Q$8,$Q$9*12,$Q$6)+$Q$10*_xlfn.XLOOKUP($R$10,'RE Calculations'!$B$12:$B$16,'RE Calculations'!$C$12:$C$16,"ERROR - Check Input")/12,0)</f>
        <v>0</v>
      </c>
      <c r="R142" s="142">
        <f t="shared" si="10"/>
        <v>0</v>
      </c>
      <c r="S142" s="142">
        <f>IFERROR(-IPMT($Q$8,P142,$Q$9*12,$Q$6)+$Q$10*_xlfn.XLOOKUP($R$10,'RE Calculations'!$B$12:$B$16,'RE Calculations'!$C$12:$C$16,"ERROR - Check Input")/12,0)</f>
        <v>8.3333333333333339</v>
      </c>
      <c r="T142" s="142">
        <f t="shared" si="11"/>
        <v>0</v>
      </c>
      <c r="W142" s="12">
        <v>120</v>
      </c>
      <c r="X142" s="142">
        <f>IF(AA141&gt;0.01,IF(W142&lt;=($X$9*12),$X$15,-PMT($X$11,($X$12-$X$9)*12,$X$6)+$X$13*_xlfn.XLOOKUP($Y$13,'RE Calculations'!$B$12:$B$16,'RE Calculations'!$C$12:$C$16,"ERROR - Check Input")/12),0)</f>
        <v>0</v>
      </c>
      <c r="Y142" s="142">
        <f t="shared" si="12"/>
        <v>0</v>
      </c>
      <c r="Z142" s="142">
        <f>IF(W142&lt;=($X$9*12),$X$15,IFERROR(-IPMT($X$11,W142-$X$9*12,($X$12-$X$9)*12,$X$6)+$X$13*_xlfn.XLOOKUP($Y$13,'RE Calculations'!$B$12:$B$16,'RE Calculations'!$C$12:$C$16,"ERROR - Check Input")/12,0))</f>
        <v>10</v>
      </c>
      <c r="AA142" s="142">
        <f t="shared" si="13"/>
        <v>0</v>
      </c>
    </row>
    <row r="143" spans="2:27" x14ac:dyDescent="0.35">
      <c r="B143" s="12">
        <v>121</v>
      </c>
      <c r="C143" s="142">
        <f>IF(F142&gt;0.01,-PMT($C$8,$C$9*12,$C$6)+$C$10*_xlfn.XLOOKUP($D$10,'RE Calculations'!$B$12:$B$16,'RE Calculations'!$C$12:$C$16,"ERROR - Check Input")/12,0)</f>
        <v>0</v>
      </c>
      <c r="D143" s="142">
        <f t="shared" si="14"/>
        <v>0</v>
      </c>
      <c r="E143" s="142">
        <f>IFERROR(-IPMT($C$8,B143,$C$9*12,$C$6)+$C$10*_xlfn.XLOOKUP($D$10,'RE Calculations'!$B$12:$B$16,'RE Calculations'!$C$12:$C$16,"ERROR - Check Input")/12,0)</f>
        <v>8.3333333333333339</v>
      </c>
      <c r="F143" s="142">
        <f t="shared" si="15"/>
        <v>0</v>
      </c>
      <c r="I143" s="12">
        <v>121</v>
      </c>
      <c r="J143" s="142">
        <f>IF(M142&gt;0.01,IF(I143&lt;=($J$9*12),$J$15,-PMT($J$11,($J$12-$J$9)*12,$J$6)+$J$13*_xlfn.XLOOKUP($K$13,'RE Calculations'!$B$12:$B$16,'RE Calculations'!$C$12:$C$16,"ERROR - Check Input")/12),0)</f>
        <v>0</v>
      </c>
      <c r="K143" s="142">
        <f t="shared" si="8"/>
        <v>0</v>
      </c>
      <c r="L143" s="142">
        <f>IF(I143&lt;=($J$9*12),$J$15,IFERROR(-IPMT($J$11,I143-$J$9*12,($J$12-$J$9)*12,$J$6)+$J$13*_xlfn.XLOOKUP($K$13,'RE Calculations'!$B$12:$B$16,'RE Calculations'!$C$12:$C$16,"ERROR - Check Input")/12,0))</f>
        <v>10</v>
      </c>
      <c r="M143" s="142">
        <f t="shared" si="9"/>
        <v>0</v>
      </c>
      <c r="P143" s="12">
        <v>121</v>
      </c>
      <c r="Q143" s="142">
        <f>IF(T142&gt;0.01,-PMT($Q$8,$Q$9*12,$Q$6)+$Q$10*_xlfn.XLOOKUP($R$10,'RE Calculations'!$B$12:$B$16,'RE Calculations'!$C$12:$C$16,"ERROR - Check Input")/12,0)</f>
        <v>0</v>
      </c>
      <c r="R143" s="142">
        <f t="shared" si="10"/>
        <v>0</v>
      </c>
      <c r="S143" s="142">
        <f>IFERROR(-IPMT($Q$8,P143,$Q$9*12,$Q$6)+$Q$10*_xlfn.XLOOKUP($R$10,'RE Calculations'!$B$12:$B$16,'RE Calculations'!$C$12:$C$16,"ERROR - Check Input")/12,0)</f>
        <v>8.3333333333333339</v>
      </c>
      <c r="T143" s="142">
        <f t="shared" si="11"/>
        <v>0</v>
      </c>
      <c r="W143" s="12">
        <v>121</v>
      </c>
      <c r="X143" s="142">
        <f>IF(AA142&gt;0.01,IF(W143&lt;=($X$9*12),$X$15,-PMT($X$11,($X$12-$X$9)*12,$X$6)+$X$13*_xlfn.XLOOKUP($Y$13,'RE Calculations'!$B$12:$B$16,'RE Calculations'!$C$12:$C$16,"ERROR - Check Input")/12),0)</f>
        <v>0</v>
      </c>
      <c r="Y143" s="142">
        <f t="shared" si="12"/>
        <v>0</v>
      </c>
      <c r="Z143" s="142">
        <f>IF(W143&lt;=($X$9*12),$X$15,IFERROR(-IPMT($X$11,W143-$X$9*12,($X$12-$X$9)*12,$X$6)+$X$13*_xlfn.XLOOKUP($Y$13,'RE Calculations'!$B$12:$B$16,'RE Calculations'!$C$12:$C$16,"ERROR - Check Input")/12,0))</f>
        <v>10</v>
      </c>
      <c r="AA143" s="142">
        <f t="shared" si="13"/>
        <v>0</v>
      </c>
    </row>
    <row r="144" spans="2:27" x14ac:dyDescent="0.35">
      <c r="B144" s="12">
        <v>122</v>
      </c>
      <c r="C144" s="142">
        <f>IF(F143&gt;0.01,-PMT($C$8,$C$9*12,$C$6)+$C$10*_xlfn.XLOOKUP($D$10,'RE Calculations'!$B$12:$B$16,'RE Calculations'!$C$12:$C$16,"ERROR - Check Input")/12,0)</f>
        <v>0</v>
      </c>
      <c r="D144" s="142">
        <f t="shared" si="14"/>
        <v>0</v>
      </c>
      <c r="E144" s="142">
        <f>IFERROR(-IPMT($C$8,B144,$C$9*12,$C$6)+$C$10*_xlfn.XLOOKUP($D$10,'RE Calculations'!$B$12:$B$16,'RE Calculations'!$C$12:$C$16,"ERROR - Check Input")/12,0)</f>
        <v>8.3333333333333339</v>
      </c>
      <c r="F144" s="142">
        <f t="shared" si="15"/>
        <v>0</v>
      </c>
      <c r="I144" s="12">
        <v>122</v>
      </c>
      <c r="J144" s="142">
        <f>IF(M143&gt;0.01,IF(I144&lt;=($J$9*12),$J$15,-PMT($J$11,($J$12-$J$9)*12,$J$6)+$J$13*_xlfn.XLOOKUP($K$13,'RE Calculations'!$B$12:$B$16,'RE Calculations'!$C$12:$C$16,"ERROR - Check Input")/12),0)</f>
        <v>0</v>
      </c>
      <c r="K144" s="142">
        <f t="shared" si="8"/>
        <v>0</v>
      </c>
      <c r="L144" s="142">
        <f>IF(I144&lt;=($J$9*12),$J$15,IFERROR(-IPMT($J$11,I144-$J$9*12,($J$12-$J$9)*12,$J$6)+$J$13*_xlfn.XLOOKUP($K$13,'RE Calculations'!$B$12:$B$16,'RE Calculations'!$C$12:$C$16,"ERROR - Check Input")/12,0))</f>
        <v>10</v>
      </c>
      <c r="M144" s="142">
        <f t="shared" si="9"/>
        <v>0</v>
      </c>
      <c r="P144" s="12">
        <v>122</v>
      </c>
      <c r="Q144" s="142">
        <f>IF(T143&gt;0.01,-PMT($Q$8,$Q$9*12,$Q$6)+$Q$10*_xlfn.XLOOKUP($R$10,'RE Calculations'!$B$12:$B$16,'RE Calculations'!$C$12:$C$16,"ERROR - Check Input")/12,0)</f>
        <v>0</v>
      </c>
      <c r="R144" s="142">
        <f t="shared" si="10"/>
        <v>0</v>
      </c>
      <c r="S144" s="142">
        <f>IFERROR(-IPMT($Q$8,P144,$Q$9*12,$Q$6)+$Q$10*_xlfn.XLOOKUP($R$10,'RE Calculations'!$B$12:$B$16,'RE Calculations'!$C$12:$C$16,"ERROR - Check Input")/12,0)</f>
        <v>8.3333333333333339</v>
      </c>
      <c r="T144" s="142">
        <f t="shared" si="11"/>
        <v>0</v>
      </c>
      <c r="W144" s="12">
        <v>122</v>
      </c>
      <c r="X144" s="142">
        <f>IF(AA143&gt;0.01,IF(W144&lt;=($X$9*12),$X$15,-PMT($X$11,($X$12-$X$9)*12,$X$6)+$X$13*_xlfn.XLOOKUP($Y$13,'RE Calculations'!$B$12:$B$16,'RE Calculations'!$C$12:$C$16,"ERROR - Check Input")/12),0)</f>
        <v>0</v>
      </c>
      <c r="Y144" s="142">
        <f t="shared" si="12"/>
        <v>0</v>
      </c>
      <c r="Z144" s="142">
        <f>IF(W144&lt;=($X$9*12),$X$15,IFERROR(-IPMT($X$11,W144-$X$9*12,($X$12-$X$9)*12,$X$6)+$X$13*_xlfn.XLOOKUP($Y$13,'RE Calculations'!$B$12:$B$16,'RE Calculations'!$C$12:$C$16,"ERROR - Check Input")/12,0))</f>
        <v>10</v>
      </c>
      <c r="AA144" s="142">
        <f t="shared" si="13"/>
        <v>0</v>
      </c>
    </row>
    <row r="145" spans="2:27" x14ac:dyDescent="0.35">
      <c r="B145" s="12">
        <v>123</v>
      </c>
      <c r="C145" s="142">
        <f>IF(F144&gt;0.01,-PMT($C$8,$C$9*12,$C$6)+$C$10*_xlfn.XLOOKUP($D$10,'RE Calculations'!$B$12:$B$16,'RE Calculations'!$C$12:$C$16,"ERROR - Check Input")/12,0)</f>
        <v>0</v>
      </c>
      <c r="D145" s="142">
        <f t="shared" si="14"/>
        <v>0</v>
      </c>
      <c r="E145" s="142">
        <f>IFERROR(-IPMT($C$8,B145,$C$9*12,$C$6)+$C$10*_xlfn.XLOOKUP($D$10,'RE Calculations'!$B$12:$B$16,'RE Calculations'!$C$12:$C$16,"ERROR - Check Input")/12,0)</f>
        <v>8.3333333333333339</v>
      </c>
      <c r="F145" s="142">
        <f t="shared" si="15"/>
        <v>0</v>
      </c>
      <c r="I145" s="12">
        <v>123</v>
      </c>
      <c r="J145" s="142">
        <f>IF(M144&gt;0.01,IF(I145&lt;=($J$9*12),$J$15,-PMT($J$11,($J$12-$J$9)*12,$J$6)+$J$13*_xlfn.XLOOKUP($K$13,'RE Calculations'!$B$12:$B$16,'RE Calculations'!$C$12:$C$16,"ERROR - Check Input")/12),0)</f>
        <v>0</v>
      </c>
      <c r="K145" s="142">
        <f t="shared" si="8"/>
        <v>0</v>
      </c>
      <c r="L145" s="142">
        <f>IF(I145&lt;=($J$9*12),$J$15,IFERROR(-IPMT($J$11,I145-$J$9*12,($J$12-$J$9)*12,$J$6)+$J$13*_xlfn.XLOOKUP($K$13,'RE Calculations'!$B$12:$B$16,'RE Calculations'!$C$12:$C$16,"ERROR - Check Input")/12,0))</f>
        <v>10</v>
      </c>
      <c r="M145" s="142">
        <f t="shared" si="9"/>
        <v>0</v>
      </c>
      <c r="P145" s="12">
        <v>123</v>
      </c>
      <c r="Q145" s="142">
        <f>IF(T144&gt;0.01,-PMT($Q$8,$Q$9*12,$Q$6)+$Q$10*_xlfn.XLOOKUP($R$10,'RE Calculations'!$B$12:$B$16,'RE Calculations'!$C$12:$C$16,"ERROR - Check Input")/12,0)</f>
        <v>0</v>
      </c>
      <c r="R145" s="142">
        <f t="shared" si="10"/>
        <v>0</v>
      </c>
      <c r="S145" s="142">
        <f>IFERROR(-IPMT($Q$8,P145,$Q$9*12,$Q$6)+$Q$10*_xlfn.XLOOKUP($R$10,'RE Calculations'!$B$12:$B$16,'RE Calculations'!$C$12:$C$16,"ERROR - Check Input")/12,0)</f>
        <v>8.3333333333333339</v>
      </c>
      <c r="T145" s="142">
        <f t="shared" si="11"/>
        <v>0</v>
      </c>
      <c r="W145" s="12">
        <v>123</v>
      </c>
      <c r="X145" s="142">
        <f>IF(AA144&gt;0.01,IF(W145&lt;=($X$9*12),$X$15,-PMT($X$11,($X$12-$X$9)*12,$X$6)+$X$13*_xlfn.XLOOKUP($Y$13,'RE Calculations'!$B$12:$B$16,'RE Calculations'!$C$12:$C$16,"ERROR - Check Input")/12),0)</f>
        <v>0</v>
      </c>
      <c r="Y145" s="142">
        <f t="shared" si="12"/>
        <v>0</v>
      </c>
      <c r="Z145" s="142">
        <f>IF(W145&lt;=($X$9*12),$X$15,IFERROR(-IPMT($X$11,W145-$X$9*12,($X$12-$X$9)*12,$X$6)+$X$13*_xlfn.XLOOKUP($Y$13,'RE Calculations'!$B$12:$B$16,'RE Calculations'!$C$12:$C$16,"ERROR - Check Input")/12,0))</f>
        <v>10</v>
      </c>
      <c r="AA145" s="142">
        <f t="shared" si="13"/>
        <v>0</v>
      </c>
    </row>
    <row r="146" spans="2:27" x14ac:dyDescent="0.35">
      <c r="B146" s="12">
        <v>124</v>
      </c>
      <c r="C146" s="142">
        <f>IF(F145&gt;0.01,-PMT($C$8,$C$9*12,$C$6)+$C$10*_xlfn.XLOOKUP($D$10,'RE Calculations'!$B$12:$B$16,'RE Calculations'!$C$12:$C$16,"ERROR - Check Input")/12,0)</f>
        <v>0</v>
      </c>
      <c r="D146" s="142">
        <f t="shared" si="14"/>
        <v>0</v>
      </c>
      <c r="E146" s="142">
        <f>IFERROR(-IPMT($C$8,B146,$C$9*12,$C$6)+$C$10*_xlfn.XLOOKUP($D$10,'RE Calculations'!$B$12:$B$16,'RE Calculations'!$C$12:$C$16,"ERROR - Check Input")/12,0)</f>
        <v>8.3333333333333339</v>
      </c>
      <c r="F146" s="142">
        <f t="shared" si="15"/>
        <v>0</v>
      </c>
      <c r="I146" s="12">
        <v>124</v>
      </c>
      <c r="J146" s="142">
        <f>IF(M145&gt;0.01,IF(I146&lt;=($J$9*12),$J$15,-PMT($J$11,($J$12-$J$9)*12,$J$6)+$J$13*_xlfn.XLOOKUP($K$13,'RE Calculations'!$B$12:$B$16,'RE Calculations'!$C$12:$C$16,"ERROR - Check Input")/12),0)</f>
        <v>0</v>
      </c>
      <c r="K146" s="142">
        <f t="shared" si="8"/>
        <v>0</v>
      </c>
      <c r="L146" s="142">
        <f>IF(I146&lt;=($J$9*12),$J$15,IFERROR(-IPMT($J$11,I146-$J$9*12,($J$12-$J$9)*12,$J$6)+$J$13*_xlfn.XLOOKUP($K$13,'RE Calculations'!$B$12:$B$16,'RE Calculations'!$C$12:$C$16,"ERROR - Check Input")/12,0))</f>
        <v>10</v>
      </c>
      <c r="M146" s="142">
        <f t="shared" si="9"/>
        <v>0</v>
      </c>
      <c r="P146" s="12">
        <v>124</v>
      </c>
      <c r="Q146" s="142">
        <f>IF(T145&gt;0.01,-PMT($Q$8,$Q$9*12,$Q$6)+$Q$10*_xlfn.XLOOKUP($R$10,'RE Calculations'!$B$12:$B$16,'RE Calculations'!$C$12:$C$16,"ERROR - Check Input")/12,0)</f>
        <v>0</v>
      </c>
      <c r="R146" s="142">
        <f t="shared" si="10"/>
        <v>0</v>
      </c>
      <c r="S146" s="142">
        <f>IFERROR(-IPMT($Q$8,P146,$Q$9*12,$Q$6)+$Q$10*_xlfn.XLOOKUP($R$10,'RE Calculations'!$B$12:$B$16,'RE Calculations'!$C$12:$C$16,"ERROR - Check Input")/12,0)</f>
        <v>8.3333333333333339</v>
      </c>
      <c r="T146" s="142">
        <f t="shared" si="11"/>
        <v>0</v>
      </c>
      <c r="W146" s="12">
        <v>124</v>
      </c>
      <c r="X146" s="142">
        <f>IF(AA145&gt;0.01,IF(W146&lt;=($X$9*12),$X$15,-PMT($X$11,($X$12-$X$9)*12,$X$6)+$X$13*_xlfn.XLOOKUP($Y$13,'RE Calculations'!$B$12:$B$16,'RE Calculations'!$C$12:$C$16,"ERROR - Check Input")/12),0)</f>
        <v>0</v>
      </c>
      <c r="Y146" s="142">
        <f t="shared" si="12"/>
        <v>0</v>
      </c>
      <c r="Z146" s="142">
        <f>IF(W146&lt;=($X$9*12),$X$15,IFERROR(-IPMT($X$11,W146-$X$9*12,($X$12-$X$9)*12,$X$6)+$X$13*_xlfn.XLOOKUP($Y$13,'RE Calculations'!$B$12:$B$16,'RE Calculations'!$C$12:$C$16,"ERROR - Check Input")/12,0))</f>
        <v>10</v>
      </c>
      <c r="AA146" s="142">
        <f t="shared" si="13"/>
        <v>0</v>
      </c>
    </row>
    <row r="147" spans="2:27" x14ac:dyDescent="0.35">
      <c r="B147" s="12">
        <v>125</v>
      </c>
      <c r="C147" s="142">
        <f>IF(F146&gt;0.01,-PMT($C$8,$C$9*12,$C$6)+$C$10*_xlfn.XLOOKUP($D$10,'RE Calculations'!$B$12:$B$16,'RE Calculations'!$C$12:$C$16,"ERROR - Check Input")/12,0)</f>
        <v>0</v>
      </c>
      <c r="D147" s="142">
        <f t="shared" si="14"/>
        <v>0</v>
      </c>
      <c r="E147" s="142">
        <f>IFERROR(-IPMT($C$8,B147,$C$9*12,$C$6)+$C$10*_xlfn.XLOOKUP($D$10,'RE Calculations'!$B$12:$B$16,'RE Calculations'!$C$12:$C$16,"ERROR - Check Input")/12,0)</f>
        <v>8.3333333333333339</v>
      </c>
      <c r="F147" s="142">
        <f t="shared" si="15"/>
        <v>0</v>
      </c>
      <c r="I147" s="12">
        <v>125</v>
      </c>
      <c r="J147" s="142">
        <f>IF(M146&gt;0.01,IF(I147&lt;=($J$9*12),$J$15,-PMT($J$11,($J$12-$J$9)*12,$J$6)+$J$13*_xlfn.XLOOKUP($K$13,'RE Calculations'!$B$12:$B$16,'RE Calculations'!$C$12:$C$16,"ERROR - Check Input")/12),0)</f>
        <v>0</v>
      </c>
      <c r="K147" s="142">
        <f t="shared" si="8"/>
        <v>0</v>
      </c>
      <c r="L147" s="142">
        <f>IF(I147&lt;=($J$9*12),$J$15,IFERROR(-IPMT($J$11,I147-$J$9*12,($J$12-$J$9)*12,$J$6)+$J$13*_xlfn.XLOOKUP($K$13,'RE Calculations'!$B$12:$B$16,'RE Calculations'!$C$12:$C$16,"ERROR - Check Input")/12,0))</f>
        <v>10</v>
      </c>
      <c r="M147" s="142">
        <f t="shared" si="9"/>
        <v>0</v>
      </c>
      <c r="P147" s="12">
        <v>125</v>
      </c>
      <c r="Q147" s="142">
        <f>IF(T146&gt;0.01,-PMT($Q$8,$Q$9*12,$Q$6)+$Q$10*_xlfn.XLOOKUP($R$10,'RE Calculations'!$B$12:$B$16,'RE Calculations'!$C$12:$C$16,"ERROR - Check Input")/12,0)</f>
        <v>0</v>
      </c>
      <c r="R147" s="142">
        <f t="shared" si="10"/>
        <v>0</v>
      </c>
      <c r="S147" s="142">
        <f>IFERROR(-IPMT($Q$8,P147,$Q$9*12,$Q$6)+$Q$10*_xlfn.XLOOKUP($R$10,'RE Calculations'!$B$12:$B$16,'RE Calculations'!$C$12:$C$16,"ERROR - Check Input")/12,0)</f>
        <v>8.3333333333333339</v>
      </c>
      <c r="T147" s="142">
        <f t="shared" si="11"/>
        <v>0</v>
      </c>
      <c r="W147" s="12">
        <v>125</v>
      </c>
      <c r="X147" s="142">
        <f>IF(AA146&gt;0.01,IF(W147&lt;=($X$9*12),$X$15,-PMT($X$11,($X$12-$X$9)*12,$X$6)+$X$13*_xlfn.XLOOKUP($Y$13,'RE Calculations'!$B$12:$B$16,'RE Calculations'!$C$12:$C$16,"ERROR - Check Input")/12),0)</f>
        <v>0</v>
      </c>
      <c r="Y147" s="142">
        <f t="shared" si="12"/>
        <v>0</v>
      </c>
      <c r="Z147" s="142">
        <f>IF(W147&lt;=($X$9*12),$X$15,IFERROR(-IPMT($X$11,W147-$X$9*12,($X$12-$X$9)*12,$X$6)+$X$13*_xlfn.XLOOKUP($Y$13,'RE Calculations'!$B$12:$B$16,'RE Calculations'!$C$12:$C$16,"ERROR - Check Input")/12,0))</f>
        <v>10</v>
      </c>
      <c r="AA147" s="142">
        <f t="shared" si="13"/>
        <v>0</v>
      </c>
    </row>
    <row r="148" spans="2:27" x14ac:dyDescent="0.35">
      <c r="B148" s="12">
        <v>126</v>
      </c>
      <c r="C148" s="142">
        <f>IF(F147&gt;0.01,-PMT($C$8,$C$9*12,$C$6)+$C$10*_xlfn.XLOOKUP($D$10,'RE Calculations'!$B$12:$B$16,'RE Calculations'!$C$12:$C$16,"ERROR - Check Input")/12,0)</f>
        <v>0</v>
      </c>
      <c r="D148" s="142">
        <f t="shared" si="14"/>
        <v>0</v>
      </c>
      <c r="E148" s="142">
        <f>IFERROR(-IPMT($C$8,B148,$C$9*12,$C$6)+$C$10*_xlfn.XLOOKUP($D$10,'RE Calculations'!$B$12:$B$16,'RE Calculations'!$C$12:$C$16,"ERROR - Check Input")/12,0)</f>
        <v>8.3333333333333339</v>
      </c>
      <c r="F148" s="142">
        <f t="shared" si="15"/>
        <v>0</v>
      </c>
      <c r="I148" s="12">
        <v>126</v>
      </c>
      <c r="J148" s="142">
        <f>IF(M147&gt;0.01,IF(I148&lt;=($J$9*12),$J$15,-PMT($J$11,($J$12-$J$9)*12,$J$6)+$J$13*_xlfn.XLOOKUP($K$13,'RE Calculations'!$B$12:$B$16,'RE Calculations'!$C$12:$C$16,"ERROR - Check Input")/12),0)</f>
        <v>0</v>
      </c>
      <c r="K148" s="142">
        <f t="shared" si="8"/>
        <v>0</v>
      </c>
      <c r="L148" s="142">
        <f>IF(I148&lt;=($J$9*12),$J$15,IFERROR(-IPMT($J$11,I148-$J$9*12,($J$12-$J$9)*12,$J$6)+$J$13*_xlfn.XLOOKUP($K$13,'RE Calculations'!$B$12:$B$16,'RE Calculations'!$C$12:$C$16,"ERROR - Check Input")/12,0))</f>
        <v>10</v>
      </c>
      <c r="M148" s="142">
        <f t="shared" si="9"/>
        <v>0</v>
      </c>
      <c r="P148" s="12">
        <v>126</v>
      </c>
      <c r="Q148" s="142">
        <f>IF(T147&gt;0.01,-PMT($Q$8,$Q$9*12,$Q$6)+$Q$10*_xlfn.XLOOKUP($R$10,'RE Calculations'!$B$12:$B$16,'RE Calculations'!$C$12:$C$16,"ERROR - Check Input")/12,0)</f>
        <v>0</v>
      </c>
      <c r="R148" s="142">
        <f t="shared" si="10"/>
        <v>0</v>
      </c>
      <c r="S148" s="142">
        <f>IFERROR(-IPMT($Q$8,P148,$Q$9*12,$Q$6)+$Q$10*_xlfn.XLOOKUP($R$10,'RE Calculations'!$B$12:$B$16,'RE Calculations'!$C$12:$C$16,"ERROR - Check Input")/12,0)</f>
        <v>8.3333333333333339</v>
      </c>
      <c r="T148" s="142">
        <f t="shared" si="11"/>
        <v>0</v>
      </c>
      <c r="W148" s="12">
        <v>126</v>
      </c>
      <c r="X148" s="142">
        <f>IF(AA147&gt;0.01,IF(W148&lt;=($X$9*12),$X$15,-PMT($X$11,($X$12-$X$9)*12,$X$6)+$X$13*_xlfn.XLOOKUP($Y$13,'RE Calculations'!$B$12:$B$16,'RE Calculations'!$C$12:$C$16,"ERROR - Check Input")/12),0)</f>
        <v>0</v>
      </c>
      <c r="Y148" s="142">
        <f t="shared" si="12"/>
        <v>0</v>
      </c>
      <c r="Z148" s="142">
        <f>IF(W148&lt;=($X$9*12),$X$15,IFERROR(-IPMT($X$11,W148-$X$9*12,($X$12-$X$9)*12,$X$6)+$X$13*_xlfn.XLOOKUP($Y$13,'RE Calculations'!$B$12:$B$16,'RE Calculations'!$C$12:$C$16,"ERROR - Check Input")/12,0))</f>
        <v>10</v>
      </c>
      <c r="AA148" s="142">
        <f t="shared" si="13"/>
        <v>0</v>
      </c>
    </row>
    <row r="149" spans="2:27" x14ac:dyDescent="0.35">
      <c r="B149" s="12">
        <v>127</v>
      </c>
      <c r="C149" s="142">
        <f>IF(F148&gt;0.01,-PMT($C$8,$C$9*12,$C$6)+$C$10*_xlfn.XLOOKUP($D$10,'RE Calculations'!$B$12:$B$16,'RE Calculations'!$C$12:$C$16,"ERROR - Check Input")/12,0)</f>
        <v>0</v>
      </c>
      <c r="D149" s="142">
        <f t="shared" si="14"/>
        <v>0</v>
      </c>
      <c r="E149" s="142">
        <f>IFERROR(-IPMT($C$8,B149,$C$9*12,$C$6)+$C$10*_xlfn.XLOOKUP($D$10,'RE Calculations'!$B$12:$B$16,'RE Calculations'!$C$12:$C$16,"ERROR - Check Input")/12,0)</f>
        <v>8.3333333333333339</v>
      </c>
      <c r="F149" s="142">
        <f t="shared" si="15"/>
        <v>0</v>
      </c>
      <c r="I149" s="12">
        <v>127</v>
      </c>
      <c r="J149" s="142">
        <f>IF(M148&gt;0.01,IF(I149&lt;=($J$9*12),$J$15,-PMT($J$11,($J$12-$J$9)*12,$J$6)+$J$13*_xlfn.XLOOKUP($K$13,'RE Calculations'!$B$12:$B$16,'RE Calculations'!$C$12:$C$16,"ERROR - Check Input")/12),0)</f>
        <v>0</v>
      </c>
      <c r="K149" s="142">
        <f t="shared" si="8"/>
        <v>0</v>
      </c>
      <c r="L149" s="142">
        <f>IF(I149&lt;=($J$9*12),$J$15,IFERROR(-IPMT($J$11,I149-$J$9*12,($J$12-$J$9)*12,$J$6)+$J$13*_xlfn.XLOOKUP($K$13,'RE Calculations'!$B$12:$B$16,'RE Calculations'!$C$12:$C$16,"ERROR - Check Input")/12,0))</f>
        <v>10</v>
      </c>
      <c r="M149" s="142">
        <f t="shared" si="9"/>
        <v>0</v>
      </c>
      <c r="P149" s="12">
        <v>127</v>
      </c>
      <c r="Q149" s="142">
        <f>IF(T148&gt;0.01,-PMT($Q$8,$Q$9*12,$Q$6)+$Q$10*_xlfn.XLOOKUP($R$10,'RE Calculations'!$B$12:$B$16,'RE Calculations'!$C$12:$C$16,"ERROR - Check Input")/12,0)</f>
        <v>0</v>
      </c>
      <c r="R149" s="142">
        <f t="shared" si="10"/>
        <v>0</v>
      </c>
      <c r="S149" s="142">
        <f>IFERROR(-IPMT($Q$8,P149,$Q$9*12,$Q$6)+$Q$10*_xlfn.XLOOKUP($R$10,'RE Calculations'!$B$12:$B$16,'RE Calculations'!$C$12:$C$16,"ERROR - Check Input")/12,0)</f>
        <v>8.3333333333333339</v>
      </c>
      <c r="T149" s="142">
        <f t="shared" si="11"/>
        <v>0</v>
      </c>
      <c r="W149" s="12">
        <v>127</v>
      </c>
      <c r="X149" s="142">
        <f>IF(AA148&gt;0.01,IF(W149&lt;=($X$9*12),$X$15,-PMT($X$11,($X$12-$X$9)*12,$X$6)+$X$13*_xlfn.XLOOKUP($Y$13,'RE Calculations'!$B$12:$B$16,'RE Calculations'!$C$12:$C$16,"ERROR - Check Input")/12),0)</f>
        <v>0</v>
      </c>
      <c r="Y149" s="142">
        <f t="shared" si="12"/>
        <v>0</v>
      </c>
      <c r="Z149" s="142">
        <f>IF(W149&lt;=($X$9*12),$X$15,IFERROR(-IPMT($X$11,W149-$X$9*12,($X$12-$X$9)*12,$X$6)+$X$13*_xlfn.XLOOKUP($Y$13,'RE Calculations'!$B$12:$B$16,'RE Calculations'!$C$12:$C$16,"ERROR - Check Input")/12,0))</f>
        <v>10</v>
      </c>
      <c r="AA149" s="142">
        <f t="shared" si="13"/>
        <v>0</v>
      </c>
    </row>
    <row r="150" spans="2:27" x14ac:dyDescent="0.35">
      <c r="B150" s="12">
        <v>128</v>
      </c>
      <c r="C150" s="142">
        <f>IF(F149&gt;0.01,-PMT($C$8,$C$9*12,$C$6)+$C$10*_xlfn.XLOOKUP($D$10,'RE Calculations'!$B$12:$B$16,'RE Calculations'!$C$12:$C$16,"ERROR - Check Input")/12,0)</f>
        <v>0</v>
      </c>
      <c r="D150" s="142">
        <f t="shared" si="14"/>
        <v>0</v>
      </c>
      <c r="E150" s="142">
        <f>IFERROR(-IPMT($C$8,B150,$C$9*12,$C$6)+$C$10*_xlfn.XLOOKUP($D$10,'RE Calculations'!$B$12:$B$16,'RE Calculations'!$C$12:$C$16,"ERROR - Check Input")/12,0)</f>
        <v>8.3333333333333339</v>
      </c>
      <c r="F150" s="142">
        <f t="shared" si="15"/>
        <v>0</v>
      </c>
      <c r="I150" s="12">
        <v>128</v>
      </c>
      <c r="J150" s="142">
        <f>IF(M149&gt;0.01,IF(I150&lt;=($J$9*12),$J$15,-PMT($J$11,($J$12-$J$9)*12,$J$6)+$J$13*_xlfn.XLOOKUP($K$13,'RE Calculations'!$B$12:$B$16,'RE Calculations'!$C$12:$C$16,"ERROR - Check Input")/12),0)</f>
        <v>0</v>
      </c>
      <c r="K150" s="142">
        <f t="shared" si="8"/>
        <v>0</v>
      </c>
      <c r="L150" s="142">
        <f>IF(I150&lt;=($J$9*12),$J$15,IFERROR(-IPMT($J$11,I150-$J$9*12,($J$12-$J$9)*12,$J$6)+$J$13*_xlfn.XLOOKUP($K$13,'RE Calculations'!$B$12:$B$16,'RE Calculations'!$C$12:$C$16,"ERROR - Check Input")/12,0))</f>
        <v>10</v>
      </c>
      <c r="M150" s="142">
        <f t="shared" si="9"/>
        <v>0</v>
      </c>
      <c r="P150" s="12">
        <v>128</v>
      </c>
      <c r="Q150" s="142">
        <f>IF(T149&gt;0.01,-PMT($Q$8,$Q$9*12,$Q$6)+$Q$10*_xlfn.XLOOKUP($R$10,'RE Calculations'!$B$12:$B$16,'RE Calculations'!$C$12:$C$16,"ERROR - Check Input")/12,0)</f>
        <v>0</v>
      </c>
      <c r="R150" s="142">
        <f t="shared" si="10"/>
        <v>0</v>
      </c>
      <c r="S150" s="142">
        <f>IFERROR(-IPMT($Q$8,P150,$Q$9*12,$Q$6)+$Q$10*_xlfn.XLOOKUP($R$10,'RE Calculations'!$B$12:$B$16,'RE Calculations'!$C$12:$C$16,"ERROR - Check Input")/12,0)</f>
        <v>8.3333333333333339</v>
      </c>
      <c r="T150" s="142">
        <f t="shared" si="11"/>
        <v>0</v>
      </c>
      <c r="W150" s="12">
        <v>128</v>
      </c>
      <c r="X150" s="142">
        <f>IF(AA149&gt;0.01,IF(W150&lt;=($X$9*12),$X$15,-PMT($X$11,($X$12-$X$9)*12,$X$6)+$X$13*_xlfn.XLOOKUP($Y$13,'RE Calculations'!$B$12:$B$16,'RE Calculations'!$C$12:$C$16,"ERROR - Check Input")/12),0)</f>
        <v>0</v>
      </c>
      <c r="Y150" s="142">
        <f t="shared" si="12"/>
        <v>0</v>
      </c>
      <c r="Z150" s="142">
        <f>IF(W150&lt;=($X$9*12),$X$15,IFERROR(-IPMT($X$11,W150-$X$9*12,($X$12-$X$9)*12,$X$6)+$X$13*_xlfn.XLOOKUP($Y$13,'RE Calculations'!$B$12:$B$16,'RE Calculations'!$C$12:$C$16,"ERROR - Check Input")/12,0))</f>
        <v>10</v>
      </c>
      <c r="AA150" s="142">
        <f t="shared" si="13"/>
        <v>0</v>
      </c>
    </row>
    <row r="151" spans="2:27" x14ac:dyDescent="0.35">
      <c r="B151" s="12">
        <v>129</v>
      </c>
      <c r="C151" s="142">
        <f>IF(F150&gt;0.01,-PMT($C$8,$C$9*12,$C$6)+$C$10*_xlfn.XLOOKUP($D$10,'RE Calculations'!$B$12:$B$16,'RE Calculations'!$C$12:$C$16,"ERROR - Check Input")/12,0)</f>
        <v>0</v>
      </c>
      <c r="D151" s="142">
        <f t="shared" si="14"/>
        <v>0</v>
      </c>
      <c r="E151" s="142">
        <f>IFERROR(-IPMT($C$8,B151,$C$9*12,$C$6)+$C$10*_xlfn.XLOOKUP($D$10,'RE Calculations'!$B$12:$B$16,'RE Calculations'!$C$12:$C$16,"ERROR - Check Input")/12,0)</f>
        <v>8.3333333333333339</v>
      </c>
      <c r="F151" s="142">
        <f t="shared" si="15"/>
        <v>0</v>
      </c>
      <c r="I151" s="12">
        <v>129</v>
      </c>
      <c r="J151" s="142">
        <f>IF(M150&gt;0.01,IF(I151&lt;=($J$9*12),$J$15,-PMT($J$11,($J$12-$J$9)*12,$J$6)+$J$13*_xlfn.XLOOKUP($K$13,'RE Calculations'!$B$12:$B$16,'RE Calculations'!$C$12:$C$16,"ERROR - Check Input")/12),0)</f>
        <v>0</v>
      </c>
      <c r="K151" s="142">
        <f t="shared" ref="K151:K214" si="16">IF(I151&lt;=($J$9*12),0,IFERROR(-PPMT($J$11,I151-$J$9*12,($J$12-$J$9)*12,$J$6),0))</f>
        <v>0</v>
      </c>
      <c r="L151" s="142">
        <f>IF(I151&lt;=($J$9*12),$J$15,IFERROR(-IPMT($J$11,I151-$J$9*12,($J$12-$J$9)*12,$J$6)+$J$13*_xlfn.XLOOKUP($K$13,'RE Calculations'!$B$12:$B$16,'RE Calculations'!$C$12:$C$16,"ERROR - Check Input")/12,0))</f>
        <v>10</v>
      </c>
      <c r="M151" s="142">
        <f t="shared" ref="M151:M214" si="17">IFERROR(M150-K151,0)</f>
        <v>0</v>
      </c>
      <c r="P151" s="12">
        <v>129</v>
      </c>
      <c r="Q151" s="142">
        <f>IF(T150&gt;0.01,-PMT($Q$8,$Q$9*12,$Q$6)+$Q$10*_xlfn.XLOOKUP($R$10,'RE Calculations'!$B$12:$B$16,'RE Calculations'!$C$12:$C$16,"ERROR - Check Input")/12,0)</f>
        <v>0</v>
      </c>
      <c r="R151" s="142">
        <f t="shared" ref="R151:R214" si="18">IFERROR(-PPMT($Q$8,P151,$Q$9*12,$Q$6),0)</f>
        <v>0</v>
      </c>
      <c r="S151" s="142">
        <f>IFERROR(-IPMT($Q$8,P151,$Q$9*12,$Q$6)+$Q$10*_xlfn.XLOOKUP($R$10,'RE Calculations'!$B$12:$B$16,'RE Calculations'!$C$12:$C$16,"ERROR - Check Input")/12,0)</f>
        <v>8.3333333333333339</v>
      </c>
      <c r="T151" s="142">
        <f t="shared" ref="T151:T214" si="19">IFERROR(T150-R151,0)</f>
        <v>0</v>
      </c>
      <c r="W151" s="12">
        <v>129</v>
      </c>
      <c r="X151" s="142">
        <f>IF(AA150&gt;0.01,IF(W151&lt;=($X$9*12),$X$15,-PMT($X$11,($X$12-$X$9)*12,$X$6)+$X$13*_xlfn.XLOOKUP($Y$13,'RE Calculations'!$B$12:$B$16,'RE Calculations'!$C$12:$C$16,"ERROR - Check Input")/12),0)</f>
        <v>0</v>
      </c>
      <c r="Y151" s="142">
        <f t="shared" ref="Y151:Y214" si="20">IF(W151&lt;=($X$9*12),0,IFERROR(-PPMT($X$11,W151-$X$9*12,($X$12-$X$9)*12,$X$6),0))</f>
        <v>0</v>
      </c>
      <c r="Z151" s="142">
        <f>IF(W151&lt;=($X$9*12),$X$15,IFERROR(-IPMT($X$11,W151-$X$9*12,($X$12-$X$9)*12,$X$6)+$X$13*_xlfn.XLOOKUP($Y$13,'RE Calculations'!$B$12:$B$16,'RE Calculations'!$C$12:$C$16,"ERROR - Check Input")/12,0))</f>
        <v>10</v>
      </c>
      <c r="AA151" s="142">
        <f t="shared" ref="AA151:AA214" si="21">IFERROR(AA150-Y151,0)</f>
        <v>0</v>
      </c>
    </row>
    <row r="152" spans="2:27" x14ac:dyDescent="0.35">
      <c r="B152" s="12">
        <v>130</v>
      </c>
      <c r="C152" s="142">
        <f>IF(F151&gt;0.01,-PMT($C$8,$C$9*12,$C$6)+$C$10*_xlfn.XLOOKUP($D$10,'RE Calculations'!$B$12:$B$16,'RE Calculations'!$C$12:$C$16,"ERROR - Check Input")/12,0)</f>
        <v>0</v>
      </c>
      <c r="D152" s="142">
        <f t="shared" ref="D152:D215" si="22">IFERROR(-PPMT($C$8,B152,$C$9*12,$C$6),0)</f>
        <v>0</v>
      </c>
      <c r="E152" s="142">
        <f>IFERROR(-IPMT($C$8,B152,$C$9*12,$C$6)+$C$10*_xlfn.XLOOKUP($D$10,'RE Calculations'!$B$12:$B$16,'RE Calculations'!$C$12:$C$16,"ERROR - Check Input")/12,0)</f>
        <v>8.3333333333333339</v>
      </c>
      <c r="F152" s="142">
        <f t="shared" ref="F152:F215" si="23">IFERROR(F151-D152,0)</f>
        <v>0</v>
      </c>
      <c r="I152" s="12">
        <v>130</v>
      </c>
      <c r="J152" s="142">
        <f>IF(M151&gt;0.01,IF(I152&lt;=($J$9*12),$J$15,-PMT($J$11,($J$12-$J$9)*12,$J$6)+$J$13*_xlfn.XLOOKUP($K$13,'RE Calculations'!$B$12:$B$16,'RE Calculations'!$C$12:$C$16,"ERROR - Check Input")/12),0)</f>
        <v>0</v>
      </c>
      <c r="K152" s="142">
        <f t="shared" si="16"/>
        <v>0</v>
      </c>
      <c r="L152" s="142">
        <f>IF(I152&lt;=($J$9*12),$J$15,IFERROR(-IPMT($J$11,I152-$J$9*12,($J$12-$J$9)*12,$J$6)+$J$13*_xlfn.XLOOKUP($K$13,'RE Calculations'!$B$12:$B$16,'RE Calculations'!$C$12:$C$16,"ERROR - Check Input")/12,0))</f>
        <v>10</v>
      </c>
      <c r="M152" s="142">
        <f t="shared" si="17"/>
        <v>0</v>
      </c>
      <c r="P152" s="12">
        <v>130</v>
      </c>
      <c r="Q152" s="142">
        <f>IF(T151&gt;0.01,-PMT($Q$8,$Q$9*12,$Q$6)+$Q$10*_xlfn.XLOOKUP($R$10,'RE Calculations'!$B$12:$B$16,'RE Calculations'!$C$12:$C$16,"ERROR - Check Input")/12,0)</f>
        <v>0</v>
      </c>
      <c r="R152" s="142">
        <f t="shared" si="18"/>
        <v>0</v>
      </c>
      <c r="S152" s="142">
        <f>IFERROR(-IPMT($Q$8,P152,$Q$9*12,$Q$6)+$Q$10*_xlfn.XLOOKUP($R$10,'RE Calculations'!$B$12:$B$16,'RE Calculations'!$C$12:$C$16,"ERROR - Check Input")/12,0)</f>
        <v>8.3333333333333339</v>
      </c>
      <c r="T152" s="142">
        <f t="shared" si="19"/>
        <v>0</v>
      </c>
      <c r="W152" s="12">
        <v>130</v>
      </c>
      <c r="X152" s="142">
        <f>IF(AA151&gt;0.01,IF(W152&lt;=($X$9*12),$X$15,-PMT($X$11,($X$12-$X$9)*12,$X$6)+$X$13*_xlfn.XLOOKUP($Y$13,'RE Calculations'!$B$12:$B$16,'RE Calculations'!$C$12:$C$16,"ERROR - Check Input")/12),0)</f>
        <v>0</v>
      </c>
      <c r="Y152" s="142">
        <f t="shared" si="20"/>
        <v>0</v>
      </c>
      <c r="Z152" s="142">
        <f>IF(W152&lt;=($X$9*12),$X$15,IFERROR(-IPMT($X$11,W152-$X$9*12,($X$12-$X$9)*12,$X$6)+$X$13*_xlfn.XLOOKUP($Y$13,'RE Calculations'!$B$12:$B$16,'RE Calculations'!$C$12:$C$16,"ERROR - Check Input")/12,0))</f>
        <v>10</v>
      </c>
      <c r="AA152" s="142">
        <f t="shared" si="21"/>
        <v>0</v>
      </c>
    </row>
    <row r="153" spans="2:27" x14ac:dyDescent="0.35">
      <c r="B153" s="12">
        <v>131</v>
      </c>
      <c r="C153" s="142">
        <f>IF(F152&gt;0.01,-PMT($C$8,$C$9*12,$C$6)+$C$10*_xlfn.XLOOKUP($D$10,'RE Calculations'!$B$12:$B$16,'RE Calculations'!$C$12:$C$16,"ERROR - Check Input")/12,0)</f>
        <v>0</v>
      </c>
      <c r="D153" s="142">
        <f t="shared" si="22"/>
        <v>0</v>
      </c>
      <c r="E153" s="142">
        <f>IFERROR(-IPMT($C$8,B153,$C$9*12,$C$6)+$C$10*_xlfn.XLOOKUP($D$10,'RE Calculations'!$B$12:$B$16,'RE Calculations'!$C$12:$C$16,"ERROR - Check Input")/12,0)</f>
        <v>8.3333333333333339</v>
      </c>
      <c r="F153" s="142">
        <f t="shared" si="23"/>
        <v>0</v>
      </c>
      <c r="I153" s="12">
        <v>131</v>
      </c>
      <c r="J153" s="142">
        <f>IF(M152&gt;0.01,IF(I153&lt;=($J$9*12),$J$15,-PMT($J$11,($J$12-$J$9)*12,$J$6)+$J$13*_xlfn.XLOOKUP($K$13,'RE Calculations'!$B$12:$B$16,'RE Calculations'!$C$12:$C$16,"ERROR - Check Input")/12),0)</f>
        <v>0</v>
      </c>
      <c r="K153" s="142">
        <f t="shared" si="16"/>
        <v>0</v>
      </c>
      <c r="L153" s="142">
        <f>IF(I153&lt;=($J$9*12),$J$15,IFERROR(-IPMT($J$11,I153-$J$9*12,($J$12-$J$9)*12,$J$6)+$J$13*_xlfn.XLOOKUP($K$13,'RE Calculations'!$B$12:$B$16,'RE Calculations'!$C$12:$C$16,"ERROR - Check Input")/12,0))</f>
        <v>10</v>
      </c>
      <c r="M153" s="142">
        <f t="shared" si="17"/>
        <v>0</v>
      </c>
      <c r="P153" s="12">
        <v>131</v>
      </c>
      <c r="Q153" s="142">
        <f>IF(T152&gt;0.01,-PMT($Q$8,$Q$9*12,$Q$6)+$Q$10*_xlfn.XLOOKUP($R$10,'RE Calculations'!$B$12:$B$16,'RE Calculations'!$C$12:$C$16,"ERROR - Check Input")/12,0)</f>
        <v>0</v>
      </c>
      <c r="R153" s="142">
        <f t="shared" si="18"/>
        <v>0</v>
      </c>
      <c r="S153" s="142">
        <f>IFERROR(-IPMT($Q$8,P153,$Q$9*12,$Q$6)+$Q$10*_xlfn.XLOOKUP($R$10,'RE Calculations'!$B$12:$B$16,'RE Calculations'!$C$12:$C$16,"ERROR - Check Input")/12,0)</f>
        <v>8.3333333333333339</v>
      </c>
      <c r="T153" s="142">
        <f t="shared" si="19"/>
        <v>0</v>
      </c>
      <c r="W153" s="12">
        <v>131</v>
      </c>
      <c r="X153" s="142">
        <f>IF(AA152&gt;0.01,IF(W153&lt;=($X$9*12),$X$15,-PMT($X$11,($X$12-$X$9)*12,$X$6)+$X$13*_xlfn.XLOOKUP($Y$13,'RE Calculations'!$B$12:$B$16,'RE Calculations'!$C$12:$C$16,"ERROR - Check Input")/12),0)</f>
        <v>0</v>
      </c>
      <c r="Y153" s="142">
        <f t="shared" si="20"/>
        <v>0</v>
      </c>
      <c r="Z153" s="142">
        <f>IF(W153&lt;=($X$9*12),$X$15,IFERROR(-IPMT($X$11,W153-$X$9*12,($X$12-$X$9)*12,$X$6)+$X$13*_xlfn.XLOOKUP($Y$13,'RE Calculations'!$B$12:$B$16,'RE Calculations'!$C$12:$C$16,"ERROR - Check Input")/12,0))</f>
        <v>10</v>
      </c>
      <c r="AA153" s="142">
        <f t="shared" si="21"/>
        <v>0</v>
      </c>
    </row>
    <row r="154" spans="2:27" x14ac:dyDescent="0.35">
      <c r="B154" s="12">
        <v>132</v>
      </c>
      <c r="C154" s="142">
        <f>IF(F153&gt;0.01,-PMT($C$8,$C$9*12,$C$6)+$C$10*_xlfn.XLOOKUP($D$10,'RE Calculations'!$B$12:$B$16,'RE Calculations'!$C$12:$C$16,"ERROR - Check Input")/12,0)</f>
        <v>0</v>
      </c>
      <c r="D154" s="142">
        <f t="shared" si="22"/>
        <v>0</v>
      </c>
      <c r="E154" s="142">
        <f>IFERROR(-IPMT($C$8,B154,$C$9*12,$C$6)+$C$10*_xlfn.XLOOKUP($D$10,'RE Calculations'!$B$12:$B$16,'RE Calculations'!$C$12:$C$16,"ERROR - Check Input")/12,0)</f>
        <v>8.3333333333333339</v>
      </c>
      <c r="F154" s="142">
        <f t="shared" si="23"/>
        <v>0</v>
      </c>
      <c r="I154" s="12">
        <v>132</v>
      </c>
      <c r="J154" s="142">
        <f>IF(M153&gt;0.01,IF(I154&lt;=($J$9*12),$J$15,-PMT($J$11,($J$12-$J$9)*12,$J$6)+$J$13*_xlfn.XLOOKUP($K$13,'RE Calculations'!$B$12:$B$16,'RE Calculations'!$C$12:$C$16,"ERROR - Check Input")/12),0)</f>
        <v>0</v>
      </c>
      <c r="K154" s="142">
        <f t="shared" si="16"/>
        <v>0</v>
      </c>
      <c r="L154" s="142">
        <f>IF(I154&lt;=($J$9*12),$J$15,IFERROR(-IPMT($J$11,I154-$J$9*12,($J$12-$J$9)*12,$J$6)+$J$13*_xlfn.XLOOKUP($K$13,'RE Calculations'!$B$12:$B$16,'RE Calculations'!$C$12:$C$16,"ERROR - Check Input")/12,0))</f>
        <v>10</v>
      </c>
      <c r="M154" s="142">
        <f t="shared" si="17"/>
        <v>0</v>
      </c>
      <c r="P154" s="12">
        <v>132</v>
      </c>
      <c r="Q154" s="142">
        <f>IF(T153&gt;0.01,-PMT($Q$8,$Q$9*12,$Q$6)+$Q$10*_xlfn.XLOOKUP($R$10,'RE Calculations'!$B$12:$B$16,'RE Calculations'!$C$12:$C$16,"ERROR - Check Input")/12,0)</f>
        <v>0</v>
      </c>
      <c r="R154" s="142">
        <f t="shared" si="18"/>
        <v>0</v>
      </c>
      <c r="S154" s="142">
        <f>IFERROR(-IPMT($Q$8,P154,$Q$9*12,$Q$6)+$Q$10*_xlfn.XLOOKUP($R$10,'RE Calculations'!$B$12:$B$16,'RE Calculations'!$C$12:$C$16,"ERROR - Check Input")/12,0)</f>
        <v>8.3333333333333339</v>
      </c>
      <c r="T154" s="142">
        <f t="shared" si="19"/>
        <v>0</v>
      </c>
      <c r="W154" s="12">
        <v>132</v>
      </c>
      <c r="X154" s="142">
        <f>IF(AA153&gt;0.01,IF(W154&lt;=($X$9*12),$X$15,-PMT($X$11,($X$12-$X$9)*12,$X$6)+$X$13*_xlfn.XLOOKUP($Y$13,'RE Calculations'!$B$12:$B$16,'RE Calculations'!$C$12:$C$16,"ERROR - Check Input")/12),0)</f>
        <v>0</v>
      </c>
      <c r="Y154" s="142">
        <f t="shared" si="20"/>
        <v>0</v>
      </c>
      <c r="Z154" s="142">
        <f>IF(W154&lt;=($X$9*12),$X$15,IFERROR(-IPMT($X$11,W154-$X$9*12,($X$12-$X$9)*12,$X$6)+$X$13*_xlfn.XLOOKUP($Y$13,'RE Calculations'!$B$12:$B$16,'RE Calculations'!$C$12:$C$16,"ERROR - Check Input")/12,0))</f>
        <v>10</v>
      </c>
      <c r="AA154" s="142">
        <f t="shared" si="21"/>
        <v>0</v>
      </c>
    </row>
    <row r="155" spans="2:27" x14ac:dyDescent="0.35">
      <c r="B155" s="12">
        <v>133</v>
      </c>
      <c r="C155" s="142">
        <f>IF(F154&gt;0.01,-PMT($C$8,$C$9*12,$C$6)+$C$10*_xlfn.XLOOKUP($D$10,'RE Calculations'!$B$12:$B$16,'RE Calculations'!$C$12:$C$16,"ERROR - Check Input")/12,0)</f>
        <v>0</v>
      </c>
      <c r="D155" s="142">
        <f t="shared" si="22"/>
        <v>0</v>
      </c>
      <c r="E155" s="142">
        <f>IFERROR(-IPMT($C$8,B155,$C$9*12,$C$6)+$C$10*_xlfn.XLOOKUP($D$10,'RE Calculations'!$B$12:$B$16,'RE Calculations'!$C$12:$C$16,"ERROR - Check Input")/12,0)</f>
        <v>8.3333333333333339</v>
      </c>
      <c r="F155" s="142">
        <f t="shared" si="23"/>
        <v>0</v>
      </c>
      <c r="I155" s="12">
        <v>133</v>
      </c>
      <c r="J155" s="142">
        <f>IF(M154&gt;0.01,IF(I155&lt;=($J$9*12),$J$15,-PMT($J$11,($J$12-$J$9)*12,$J$6)+$J$13*_xlfn.XLOOKUP($K$13,'RE Calculations'!$B$12:$B$16,'RE Calculations'!$C$12:$C$16,"ERROR - Check Input")/12),0)</f>
        <v>0</v>
      </c>
      <c r="K155" s="142">
        <f t="shared" si="16"/>
        <v>0</v>
      </c>
      <c r="L155" s="142">
        <f>IF(I155&lt;=($J$9*12),$J$15,IFERROR(-IPMT($J$11,I155-$J$9*12,($J$12-$J$9)*12,$J$6)+$J$13*_xlfn.XLOOKUP($K$13,'RE Calculations'!$B$12:$B$16,'RE Calculations'!$C$12:$C$16,"ERROR - Check Input")/12,0))</f>
        <v>10</v>
      </c>
      <c r="M155" s="142">
        <f t="shared" si="17"/>
        <v>0</v>
      </c>
      <c r="P155" s="12">
        <v>133</v>
      </c>
      <c r="Q155" s="142">
        <f>IF(T154&gt;0.01,-PMT($Q$8,$Q$9*12,$Q$6)+$Q$10*_xlfn.XLOOKUP($R$10,'RE Calculations'!$B$12:$B$16,'RE Calculations'!$C$12:$C$16,"ERROR - Check Input")/12,0)</f>
        <v>0</v>
      </c>
      <c r="R155" s="142">
        <f t="shared" si="18"/>
        <v>0</v>
      </c>
      <c r="S155" s="142">
        <f>IFERROR(-IPMT($Q$8,P155,$Q$9*12,$Q$6)+$Q$10*_xlfn.XLOOKUP($R$10,'RE Calculations'!$B$12:$B$16,'RE Calculations'!$C$12:$C$16,"ERROR - Check Input")/12,0)</f>
        <v>8.3333333333333339</v>
      </c>
      <c r="T155" s="142">
        <f t="shared" si="19"/>
        <v>0</v>
      </c>
      <c r="W155" s="12">
        <v>133</v>
      </c>
      <c r="X155" s="142">
        <f>IF(AA154&gt;0.01,IF(W155&lt;=($X$9*12),$X$15,-PMT($X$11,($X$12-$X$9)*12,$X$6)+$X$13*_xlfn.XLOOKUP($Y$13,'RE Calculations'!$B$12:$B$16,'RE Calculations'!$C$12:$C$16,"ERROR - Check Input")/12),0)</f>
        <v>0</v>
      </c>
      <c r="Y155" s="142">
        <f t="shared" si="20"/>
        <v>0</v>
      </c>
      <c r="Z155" s="142">
        <f>IF(W155&lt;=($X$9*12),$X$15,IFERROR(-IPMT($X$11,W155-$X$9*12,($X$12-$X$9)*12,$X$6)+$X$13*_xlfn.XLOOKUP($Y$13,'RE Calculations'!$B$12:$B$16,'RE Calculations'!$C$12:$C$16,"ERROR - Check Input")/12,0))</f>
        <v>10</v>
      </c>
      <c r="AA155" s="142">
        <f t="shared" si="21"/>
        <v>0</v>
      </c>
    </row>
    <row r="156" spans="2:27" x14ac:dyDescent="0.35">
      <c r="B156" s="12">
        <v>134</v>
      </c>
      <c r="C156" s="142">
        <f>IF(F155&gt;0.01,-PMT($C$8,$C$9*12,$C$6)+$C$10*_xlfn.XLOOKUP($D$10,'RE Calculations'!$B$12:$B$16,'RE Calculations'!$C$12:$C$16,"ERROR - Check Input")/12,0)</f>
        <v>0</v>
      </c>
      <c r="D156" s="142">
        <f t="shared" si="22"/>
        <v>0</v>
      </c>
      <c r="E156" s="142">
        <f>IFERROR(-IPMT($C$8,B156,$C$9*12,$C$6)+$C$10*_xlfn.XLOOKUP($D$10,'RE Calculations'!$B$12:$B$16,'RE Calculations'!$C$12:$C$16,"ERROR - Check Input")/12,0)</f>
        <v>8.3333333333333339</v>
      </c>
      <c r="F156" s="142">
        <f t="shared" si="23"/>
        <v>0</v>
      </c>
      <c r="I156" s="12">
        <v>134</v>
      </c>
      <c r="J156" s="142">
        <f>IF(M155&gt;0.01,IF(I156&lt;=($J$9*12),$J$15,-PMT($J$11,($J$12-$J$9)*12,$J$6)+$J$13*_xlfn.XLOOKUP($K$13,'RE Calculations'!$B$12:$B$16,'RE Calculations'!$C$12:$C$16,"ERROR - Check Input")/12),0)</f>
        <v>0</v>
      </c>
      <c r="K156" s="142">
        <f t="shared" si="16"/>
        <v>0</v>
      </c>
      <c r="L156" s="142">
        <f>IF(I156&lt;=($J$9*12),$J$15,IFERROR(-IPMT($J$11,I156-$J$9*12,($J$12-$J$9)*12,$J$6)+$J$13*_xlfn.XLOOKUP($K$13,'RE Calculations'!$B$12:$B$16,'RE Calculations'!$C$12:$C$16,"ERROR - Check Input")/12,0))</f>
        <v>10</v>
      </c>
      <c r="M156" s="142">
        <f t="shared" si="17"/>
        <v>0</v>
      </c>
      <c r="P156" s="12">
        <v>134</v>
      </c>
      <c r="Q156" s="142">
        <f>IF(T155&gt;0.01,-PMT($Q$8,$Q$9*12,$Q$6)+$Q$10*_xlfn.XLOOKUP($R$10,'RE Calculations'!$B$12:$B$16,'RE Calculations'!$C$12:$C$16,"ERROR - Check Input")/12,0)</f>
        <v>0</v>
      </c>
      <c r="R156" s="142">
        <f t="shared" si="18"/>
        <v>0</v>
      </c>
      <c r="S156" s="142">
        <f>IFERROR(-IPMT($Q$8,P156,$Q$9*12,$Q$6)+$Q$10*_xlfn.XLOOKUP($R$10,'RE Calculations'!$B$12:$B$16,'RE Calculations'!$C$12:$C$16,"ERROR - Check Input")/12,0)</f>
        <v>8.3333333333333339</v>
      </c>
      <c r="T156" s="142">
        <f t="shared" si="19"/>
        <v>0</v>
      </c>
      <c r="W156" s="12">
        <v>134</v>
      </c>
      <c r="X156" s="142">
        <f>IF(AA155&gt;0.01,IF(W156&lt;=($X$9*12),$X$15,-PMT($X$11,($X$12-$X$9)*12,$X$6)+$X$13*_xlfn.XLOOKUP($Y$13,'RE Calculations'!$B$12:$B$16,'RE Calculations'!$C$12:$C$16,"ERROR - Check Input")/12),0)</f>
        <v>0</v>
      </c>
      <c r="Y156" s="142">
        <f t="shared" si="20"/>
        <v>0</v>
      </c>
      <c r="Z156" s="142">
        <f>IF(W156&lt;=($X$9*12),$X$15,IFERROR(-IPMT($X$11,W156-$X$9*12,($X$12-$X$9)*12,$X$6)+$X$13*_xlfn.XLOOKUP($Y$13,'RE Calculations'!$B$12:$B$16,'RE Calculations'!$C$12:$C$16,"ERROR - Check Input")/12,0))</f>
        <v>10</v>
      </c>
      <c r="AA156" s="142">
        <f t="shared" si="21"/>
        <v>0</v>
      </c>
    </row>
    <row r="157" spans="2:27" x14ac:dyDescent="0.35">
      <c r="B157" s="12">
        <v>135</v>
      </c>
      <c r="C157" s="142">
        <f>IF(F156&gt;0.01,-PMT($C$8,$C$9*12,$C$6)+$C$10*_xlfn.XLOOKUP($D$10,'RE Calculations'!$B$12:$B$16,'RE Calculations'!$C$12:$C$16,"ERROR - Check Input")/12,0)</f>
        <v>0</v>
      </c>
      <c r="D157" s="142">
        <f t="shared" si="22"/>
        <v>0</v>
      </c>
      <c r="E157" s="142">
        <f>IFERROR(-IPMT($C$8,B157,$C$9*12,$C$6)+$C$10*_xlfn.XLOOKUP($D$10,'RE Calculations'!$B$12:$B$16,'RE Calculations'!$C$12:$C$16,"ERROR - Check Input")/12,0)</f>
        <v>8.3333333333333339</v>
      </c>
      <c r="F157" s="142">
        <f t="shared" si="23"/>
        <v>0</v>
      </c>
      <c r="I157" s="12">
        <v>135</v>
      </c>
      <c r="J157" s="142">
        <f>IF(M156&gt;0.01,IF(I157&lt;=($J$9*12),$J$15,-PMT($J$11,($J$12-$J$9)*12,$J$6)+$J$13*_xlfn.XLOOKUP($K$13,'RE Calculations'!$B$12:$B$16,'RE Calculations'!$C$12:$C$16,"ERROR - Check Input")/12),0)</f>
        <v>0</v>
      </c>
      <c r="K157" s="142">
        <f t="shared" si="16"/>
        <v>0</v>
      </c>
      <c r="L157" s="142">
        <f>IF(I157&lt;=($J$9*12),$J$15,IFERROR(-IPMT($J$11,I157-$J$9*12,($J$12-$J$9)*12,$J$6)+$J$13*_xlfn.XLOOKUP($K$13,'RE Calculations'!$B$12:$B$16,'RE Calculations'!$C$12:$C$16,"ERROR - Check Input")/12,0))</f>
        <v>10</v>
      </c>
      <c r="M157" s="142">
        <f t="shared" si="17"/>
        <v>0</v>
      </c>
      <c r="P157" s="12">
        <v>135</v>
      </c>
      <c r="Q157" s="142">
        <f>IF(T156&gt;0.01,-PMT($Q$8,$Q$9*12,$Q$6)+$Q$10*_xlfn.XLOOKUP($R$10,'RE Calculations'!$B$12:$B$16,'RE Calculations'!$C$12:$C$16,"ERROR - Check Input")/12,0)</f>
        <v>0</v>
      </c>
      <c r="R157" s="142">
        <f t="shared" si="18"/>
        <v>0</v>
      </c>
      <c r="S157" s="142">
        <f>IFERROR(-IPMT($Q$8,P157,$Q$9*12,$Q$6)+$Q$10*_xlfn.XLOOKUP($R$10,'RE Calculations'!$B$12:$B$16,'RE Calculations'!$C$12:$C$16,"ERROR - Check Input")/12,0)</f>
        <v>8.3333333333333339</v>
      </c>
      <c r="T157" s="142">
        <f t="shared" si="19"/>
        <v>0</v>
      </c>
      <c r="W157" s="12">
        <v>135</v>
      </c>
      <c r="X157" s="142">
        <f>IF(AA156&gt;0.01,IF(W157&lt;=($X$9*12),$X$15,-PMT($X$11,($X$12-$X$9)*12,$X$6)+$X$13*_xlfn.XLOOKUP($Y$13,'RE Calculations'!$B$12:$B$16,'RE Calculations'!$C$12:$C$16,"ERROR - Check Input")/12),0)</f>
        <v>0</v>
      </c>
      <c r="Y157" s="142">
        <f t="shared" si="20"/>
        <v>0</v>
      </c>
      <c r="Z157" s="142">
        <f>IF(W157&lt;=($X$9*12),$X$15,IFERROR(-IPMT($X$11,W157-$X$9*12,($X$12-$X$9)*12,$X$6)+$X$13*_xlfn.XLOOKUP($Y$13,'RE Calculations'!$B$12:$B$16,'RE Calculations'!$C$12:$C$16,"ERROR - Check Input")/12,0))</f>
        <v>10</v>
      </c>
      <c r="AA157" s="142">
        <f t="shared" si="21"/>
        <v>0</v>
      </c>
    </row>
    <row r="158" spans="2:27" x14ac:dyDescent="0.35">
      <c r="B158" s="12">
        <v>136</v>
      </c>
      <c r="C158" s="142">
        <f>IF(F157&gt;0.01,-PMT($C$8,$C$9*12,$C$6)+$C$10*_xlfn.XLOOKUP($D$10,'RE Calculations'!$B$12:$B$16,'RE Calculations'!$C$12:$C$16,"ERROR - Check Input")/12,0)</f>
        <v>0</v>
      </c>
      <c r="D158" s="142">
        <f t="shared" si="22"/>
        <v>0</v>
      </c>
      <c r="E158" s="142">
        <f>IFERROR(-IPMT($C$8,B158,$C$9*12,$C$6)+$C$10*_xlfn.XLOOKUP($D$10,'RE Calculations'!$B$12:$B$16,'RE Calculations'!$C$12:$C$16,"ERROR - Check Input")/12,0)</f>
        <v>8.3333333333333339</v>
      </c>
      <c r="F158" s="142">
        <f t="shared" si="23"/>
        <v>0</v>
      </c>
      <c r="I158" s="12">
        <v>136</v>
      </c>
      <c r="J158" s="142">
        <f>IF(M157&gt;0.01,IF(I158&lt;=($J$9*12),$J$15,-PMT($J$11,($J$12-$J$9)*12,$J$6)+$J$13*_xlfn.XLOOKUP($K$13,'RE Calculations'!$B$12:$B$16,'RE Calculations'!$C$12:$C$16,"ERROR - Check Input")/12),0)</f>
        <v>0</v>
      </c>
      <c r="K158" s="142">
        <f t="shared" si="16"/>
        <v>0</v>
      </c>
      <c r="L158" s="142">
        <f>IF(I158&lt;=($J$9*12),$J$15,IFERROR(-IPMT($J$11,I158-$J$9*12,($J$12-$J$9)*12,$J$6)+$J$13*_xlfn.XLOOKUP($K$13,'RE Calculations'!$B$12:$B$16,'RE Calculations'!$C$12:$C$16,"ERROR - Check Input")/12,0))</f>
        <v>10</v>
      </c>
      <c r="M158" s="142">
        <f t="shared" si="17"/>
        <v>0</v>
      </c>
      <c r="P158" s="12">
        <v>136</v>
      </c>
      <c r="Q158" s="142">
        <f>IF(T157&gt;0.01,-PMT($Q$8,$Q$9*12,$Q$6)+$Q$10*_xlfn.XLOOKUP($R$10,'RE Calculations'!$B$12:$B$16,'RE Calculations'!$C$12:$C$16,"ERROR - Check Input")/12,0)</f>
        <v>0</v>
      </c>
      <c r="R158" s="142">
        <f t="shared" si="18"/>
        <v>0</v>
      </c>
      <c r="S158" s="142">
        <f>IFERROR(-IPMT($Q$8,P158,$Q$9*12,$Q$6)+$Q$10*_xlfn.XLOOKUP($R$10,'RE Calculations'!$B$12:$B$16,'RE Calculations'!$C$12:$C$16,"ERROR - Check Input")/12,0)</f>
        <v>8.3333333333333339</v>
      </c>
      <c r="T158" s="142">
        <f t="shared" si="19"/>
        <v>0</v>
      </c>
      <c r="W158" s="12">
        <v>136</v>
      </c>
      <c r="X158" s="142">
        <f>IF(AA157&gt;0.01,IF(W158&lt;=($X$9*12),$X$15,-PMT($X$11,($X$12-$X$9)*12,$X$6)+$X$13*_xlfn.XLOOKUP($Y$13,'RE Calculations'!$B$12:$B$16,'RE Calculations'!$C$12:$C$16,"ERROR - Check Input")/12),0)</f>
        <v>0</v>
      </c>
      <c r="Y158" s="142">
        <f t="shared" si="20"/>
        <v>0</v>
      </c>
      <c r="Z158" s="142">
        <f>IF(W158&lt;=($X$9*12),$X$15,IFERROR(-IPMT($X$11,W158-$X$9*12,($X$12-$X$9)*12,$X$6)+$X$13*_xlfn.XLOOKUP($Y$13,'RE Calculations'!$B$12:$B$16,'RE Calculations'!$C$12:$C$16,"ERROR - Check Input")/12,0))</f>
        <v>10</v>
      </c>
      <c r="AA158" s="142">
        <f t="shared" si="21"/>
        <v>0</v>
      </c>
    </row>
    <row r="159" spans="2:27" x14ac:dyDescent="0.35">
      <c r="B159" s="12">
        <v>137</v>
      </c>
      <c r="C159" s="142">
        <f>IF(F158&gt;0.01,-PMT($C$8,$C$9*12,$C$6)+$C$10*_xlfn.XLOOKUP($D$10,'RE Calculations'!$B$12:$B$16,'RE Calculations'!$C$12:$C$16,"ERROR - Check Input")/12,0)</f>
        <v>0</v>
      </c>
      <c r="D159" s="142">
        <f t="shared" si="22"/>
        <v>0</v>
      </c>
      <c r="E159" s="142">
        <f>IFERROR(-IPMT($C$8,B159,$C$9*12,$C$6)+$C$10*_xlfn.XLOOKUP($D$10,'RE Calculations'!$B$12:$B$16,'RE Calculations'!$C$12:$C$16,"ERROR - Check Input")/12,0)</f>
        <v>8.3333333333333339</v>
      </c>
      <c r="F159" s="142">
        <f t="shared" si="23"/>
        <v>0</v>
      </c>
      <c r="I159" s="12">
        <v>137</v>
      </c>
      <c r="J159" s="142">
        <f>IF(M158&gt;0.01,IF(I159&lt;=($J$9*12),$J$15,-PMT($J$11,($J$12-$J$9)*12,$J$6)+$J$13*_xlfn.XLOOKUP($K$13,'RE Calculations'!$B$12:$B$16,'RE Calculations'!$C$12:$C$16,"ERROR - Check Input")/12),0)</f>
        <v>0</v>
      </c>
      <c r="K159" s="142">
        <f t="shared" si="16"/>
        <v>0</v>
      </c>
      <c r="L159" s="142">
        <f>IF(I159&lt;=($J$9*12),$J$15,IFERROR(-IPMT($J$11,I159-$J$9*12,($J$12-$J$9)*12,$J$6)+$J$13*_xlfn.XLOOKUP($K$13,'RE Calculations'!$B$12:$B$16,'RE Calculations'!$C$12:$C$16,"ERROR - Check Input")/12,0))</f>
        <v>10</v>
      </c>
      <c r="M159" s="142">
        <f t="shared" si="17"/>
        <v>0</v>
      </c>
      <c r="P159" s="12">
        <v>137</v>
      </c>
      <c r="Q159" s="142">
        <f>IF(T158&gt;0.01,-PMT($Q$8,$Q$9*12,$Q$6)+$Q$10*_xlfn.XLOOKUP($R$10,'RE Calculations'!$B$12:$B$16,'RE Calculations'!$C$12:$C$16,"ERROR - Check Input")/12,0)</f>
        <v>0</v>
      </c>
      <c r="R159" s="142">
        <f t="shared" si="18"/>
        <v>0</v>
      </c>
      <c r="S159" s="142">
        <f>IFERROR(-IPMT($Q$8,P159,$Q$9*12,$Q$6)+$Q$10*_xlfn.XLOOKUP($R$10,'RE Calculations'!$B$12:$B$16,'RE Calculations'!$C$12:$C$16,"ERROR - Check Input")/12,0)</f>
        <v>8.3333333333333339</v>
      </c>
      <c r="T159" s="142">
        <f t="shared" si="19"/>
        <v>0</v>
      </c>
      <c r="W159" s="12">
        <v>137</v>
      </c>
      <c r="X159" s="142">
        <f>IF(AA158&gt;0.01,IF(W159&lt;=($X$9*12),$X$15,-PMT($X$11,($X$12-$X$9)*12,$X$6)+$X$13*_xlfn.XLOOKUP($Y$13,'RE Calculations'!$B$12:$B$16,'RE Calculations'!$C$12:$C$16,"ERROR - Check Input")/12),0)</f>
        <v>0</v>
      </c>
      <c r="Y159" s="142">
        <f t="shared" si="20"/>
        <v>0</v>
      </c>
      <c r="Z159" s="142">
        <f>IF(W159&lt;=($X$9*12),$X$15,IFERROR(-IPMT($X$11,W159-$X$9*12,($X$12-$X$9)*12,$X$6)+$X$13*_xlfn.XLOOKUP($Y$13,'RE Calculations'!$B$12:$B$16,'RE Calculations'!$C$12:$C$16,"ERROR - Check Input")/12,0))</f>
        <v>10</v>
      </c>
      <c r="AA159" s="142">
        <f t="shared" si="21"/>
        <v>0</v>
      </c>
    </row>
    <row r="160" spans="2:27" x14ac:dyDescent="0.35">
      <c r="B160" s="12">
        <v>138</v>
      </c>
      <c r="C160" s="142">
        <f>IF(F159&gt;0.01,-PMT($C$8,$C$9*12,$C$6)+$C$10*_xlfn.XLOOKUP($D$10,'RE Calculations'!$B$12:$B$16,'RE Calculations'!$C$12:$C$16,"ERROR - Check Input")/12,0)</f>
        <v>0</v>
      </c>
      <c r="D160" s="142">
        <f t="shared" si="22"/>
        <v>0</v>
      </c>
      <c r="E160" s="142">
        <f>IFERROR(-IPMT($C$8,B160,$C$9*12,$C$6)+$C$10*_xlfn.XLOOKUP($D$10,'RE Calculations'!$B$12:$B$16,'RE Calculations'!$C$12:$C$16,"ERROR - Check Input")/12,0)</f>
        <v>8.3333333333333339</v>
      </c>
      <c r="F160" s="142">
        <f t="shared" si="23"/>
        <v>0</v>
      </c>
      <c r="I160" s="12">
        <v>138</v>
      </c>
      <c r="J160" s="142">
        <f>IF(M159&gt;0.01,IF(I160&lt;=($J$9*12),$J$15,-PMT($J$11,($J$12-$J$9)*12,$J$6)+$J$13*_xlfn.XLOOKUP($K$13,'RE Calculations'!$B$12:$B$16,'RE Calculations'!$C$12:$C$16,"ERROR - Check Input")/12),0)</f>
        <v>0</v>
      </c>
      <c r="K160" s="142">
        <f t="shared" si="16"/>
        <v>0</v>
      </c>
      <c r="L160" s="142">
        <f>IF(I160&lt;=($J$9*12),$J$15,IFERROR(-IPMT($J$11,I160-$J$9*12,($J$12-$J$9)*12,$J$6)+$J$13*_xlfn.XLOOKUP($K$13,'RE Calculations'!$B$12:$B$16,'RE Calculations'!$C$12:$C$16,"ERROR - Check Input")/12,0))</f>
        <v>10</v>
      </c>
      <c r="M160" s="142">
        <f t="shared" si="17"/>
        <v>0</v>
      </c>
      <c r="P160" s="12">
        <v>138</v>
      </c>
      <c r="Q160" s="142">
        <f>IF(T159&gt;0.01,-PMT($Q$8,$Q$9*12,$Q$6)+$Q$10*_xlfn.XLOOKUP($R$10,'RE Calculations'!$B$12:$B$16,'RE Calculations'!$C$12:$C$16,"ERROR - Check Input")/12,0)</f>
        <v>0</v>
      </c>
      <c r="R160" s="142">
        <f t="shared" si="18"/>
        <v>0</v>
      </c>
      <c r="S160" s="142">
        <f>IFERROR(-IPMT($Q$8,P160,$Q$9*12,$Q$6)+$Q$10*_xlfn.XLOOKUP($R$10,'RE Calculations'!$B$12:$B$16,'RE Calculations'!$C$12:$C$16,"ERROR - Check Input")/12,0)</f>
        <v>8.3333333333333339</v>
      </c>
      <c r="T160" s="142">
        <f t="shared" si="19"/>
        <v>0</v>
      </c>
      <c r="W160" s="12">
        <v>138</v>
      </c>
      <c r="X160" s="142">
        <f>IF(AA159&gt;0.01,IF(W160&lt;=($X$9*12),$X$15,-PMT($X$11,($X$12-$X$9)*12,$X$6)+$X$13*_xlfn.XLOOKUP($Y$13,'RE Calculations'!$B$12:$B$16,'RE Calculations'!$C$12:$C$16,"ERROR - Check Input")/12),0)</f>
        <v>0</v>
      </c>
      <c r="Y160" s="142">
        <f t="shared" si="20"/>
        <v>0</v>
      </c>
      <c r="Z160" s="142">
        <f>IF(W160&lt;=($X$9*12),$X$15,IFERROR(-IPMT($X$11,W160-$X$9*12,($X$12-$X$9)*12,$X$6)+$X$13*_xlfn.XLOOKUP($Y$13,'RE Calculations'!$B$12:$B$16,'RE Calculations'!$C$12:$C$16,"ERROR - Check Input")/12,0))</f>
        <v>10</v>
      </c>
      <c r="AA160" s="142">
        <f t="shared" si="21"/>
        <v>0</v>
      </c>
    </row>
    <row r="161" spans="2:27" x14ac:dyDescent="0.35">
      <c r="B161" s="12">
        <v>139</v>
      </c>
      <c r="C161" s="142">
        <f>IF(F160&gt;0.01,-PMT($C$8,$C$9*12,$C$6)+$C$10*_xlfn.XLOOKUP($D$10,'RE Calculations'!$B$12:$B$16,'RE Calculations'!$C$12:$C$16,"ERROR - Check Input")/12,0)</f>
        <v>0</v>
      </c>
      <c r="D161" s="142">
        <f t="shared" si="22"/>
        <v>0</v>
      </c>
      <c r="E161" s="142">
        <f>IFERROR(-IPMT($C$8,B161,$C$9*12,$C$6)+$C$10*_xlfn.XLOOKUP($D$10,'RE Calculations'!$B$12:$B$16,'RE Calculations'!$C$12:$C$16,"ERROR - Check Input")/12,0)</f>
        <v>8.3333333333333339</v>
      </c>
      <c r="F161" s="142">
        <f t="shared" si="23"/>
        <v>0</v>
      </c>
      <c r="I161" s="12">
        <v>139</v>
      </c>
      <c r="J161" s="142">
        <f>IF(M160&gt;0.01,IF(I161&lt;=($J$9*12),$J$15,-PMT($J$11,($J$12-$J$9)*12,$J$6)+$J$13*_xlfn.XLOOKUP($K$13,'RE Calculations'!$B$12:$B$16,'RE Calculations'!$C$12:$C$16,"ERROR - Check Input")/12),0)</f>
        <v>0</v>
      </c>
      <c r="K161" s="142">
        <f t="shared" si="16"/>
        <v>0</v>
      </c>
      <c r="L161" s="142">
        <f>IF(I161&lt;=($J$9*12),$J$15,IFERROR(-IPMT($J$11,I161-$J$9*12,($J$12-$J$9)*12,$J$6)+$J$13*_xlfn.XLOOKUP($K$13,'RE Calculations'!$B$12:$B$16,'RE Calculations'!$C$12:$C$16,"ERROR - Check Input")/12,0))</f>
        <v>10</v>
      </c>
      <c r="M161" s="142">
        <f t="shared" si="17"/>
        <v>0</v>
      </c>
      <c r="P161" s="12">
        <v>139</v>
      </c>
      <c r="Q161" s="142">
        <f>IF(T160&gt;0.01,-PMT($Q$8,$Q$9*12,$Q$6)+$Q$10*_xlfn.XLOOKUP($R$10,'RE Calculations'!$B$12:$B$16,'RE Calculations'!$C$12:$C$16,"ERROR - Check Input")/12,0)</f>
        <v>0</v>
      </c>
      <c r="R161" s="142">
        <f t="shared" si="18"/>
        <v>0</v>
      </c>
      <c r="S161" s="142">
        <f>IFERROR(-IPMT($Q$8,P161,$Q$9*12,$Q$6)+$Q$10*_xlfn.XLOOKUP($R$10,'RE Calculations'!$B$12:$B$16,'RE Calculations'!$C$12:$C$16,"ERROR - Check Input")/12,0)</f>
        <v>8.3333333333333339</v>
      </c>
      <c r="T161" s="142">
        <f t="shared" si="19"/>
        <v>0</v>
      </c>
      <c r="W161" s="12">
        <v>139</v>
      </c>
      <c r="X161" s="142">
        <f>IF(AA160&gt;0.01,IF(W161&lt;=($X$9*12),$X$15,-PMT($X$11,($X$12-$X$9)*12,$X$6)+$X$13*_xlfn.XLOOKUP($Y$13,'RE Calculations'!$B$12:$B$16,'RE Calculations'!$C$12:$C$16,"ERROR - Check Input")/12),0)</f>
        <v>0</v>
      </c>
      <c r="Y161" s="142">
        <f t="shared" si="20"/>
        <v>0</v>
      </c>
      <c r="Z161" s="142">
        <f>IF(W161&lt;=($X$9*12),$X$15,IFERROR(-IPMT($X$11,W161-$X$9*12,($X$12-$X$9)*12,$X$6)+$X$13*_xlfn.XLOOKUP($Y$13,'RE Calculations'!$B$12:$B$16,'RE Calculations'!$C$12:$C$16,"ERROR - Check Input")/12,0))</f>
        <v>10</v>
      </c>
      <c r="AA161" s="142">
        <f t="shared" si="21"/>
        <v>0</v>
      </c>
    </row>
    <row r="162" spans="2:27" x14ac:dyDescent="0.35">
      <c r="B162" s="12">
        <v>140</v>
      </c>
      <c r="C162" s="142">
        <f>IF(F161&gt;0.01,-PMT($C$8,$C$9*12,$C$6)+$C$10*_xlfn.XLOOKUP($D$10,'RE Calculations'!$B$12:$B$16,'RE Calculations'!$C$12:$C$16,"ERROR - Check Input")/12,0)</f>
        <v>0</v>
      </c>
      <c r="D162" s="142">
        <f t="shared" si="22"/>
        <v>0</v>
      </c>
      <c r="E162" s="142">
        <f>IFERROR(-IPMT($C$8,B162,$C$9*12,$C$6)+$C$10*_xlfn.XLOOKUP($D$10,'RE Calculations'!$B$12:$B$16,'RE Calculations'!$C$12:$C$16,"ERROR - Check Input")/12,0)</f>
        <v>8.3333333333333339</v>
      </c>
      <c r="F162" s="142">
        <f t="shared" si="23"/>
        <v>0</v>
      </c>
      <c r="I162" s="12">
        <v>140</v>
      </c>
      <c r="J162" s="142">
        <f>IF(M161&gt;0.01,IF(I162&lt;=($J$9*12),$J$15,-PMT($J$11,($J$12-$J$9)*12,$J$6)+$J$13*_xlfn.XLOOKUP($K$13,'RE Calculations'!$B$12:$B$16,'RE Calculations'!$C$12:$C$16,"ERROR - Check Input")/12),0)</f>
        <v>0</v>
      </c>
      <c r="K162" s="142">
        <f t="shared" si="16"/>
        <v>0</v>
      </c>
      <c r="L162" s="142">
        <f>IF(I162&lt;=($J$9*12),$J$15,IFERROR(-IPMT($J$11,I162-$J$9*12,($J$12-$J$9)*12,$J$6)+$J$13*_xlfn.XLOOKUP($K$13,'RE Calculations'!$B$12:$B$16,'RE Calculations'!$C$12:$C$16,"ERROR - Check Input")/12,0))</f>
        <v>10</v>
      </c>
      <c r="M162" s="142">
        <f t="shared" si="17"/>
        <v>0</v>
      </c>
      <c r="P162" s="12">
        <v>140</v>
      </c>
      <c r="Q162" s="142">
        <f>IF(T161&gt;0.01,-PMT($Q$8,$Q$9*12,$Q$6)+$Q$10*_xlfn.XLOOKUP($R$10,'RE Calculations'!$B$12:$B$16,'RE Calculations'!$C$12:$C$16,"ERROR - Check Input")/12,0)</f>
        <v>0</v>
      </c>
      <c r="R162" s="142">
        <f t="shared" si="18"/>
        <v>0</v>
      </c>
      <c r="S162" s="142">
        <f>IFERROR(-IPMT($Q$8,P162,$Q$9*12,$Q$6)+$Q$10*_xlfn.XLOOKUP($R$10,'RE Calculations'!$B$12:$B$16,'RE Calculations'!$C$12:$C$16,"ERROR - Check Input")/12,0)</f>
        <v>8.3333333333333339</v>
      </c>
      <c r="T162" s="142">
        <f t="shared" si="19"/>
        <v>0</v>
      </c>
      <c r="W162" s="12">
        <v>140</v>
      </c>
      <c r="X162" s="142">
        <f>IF(AA161&gt;0.01,IF(W162&lt;=($X$9*12),$X$15,-PMT($X$11,($X$12-$X$9)*12,$X$6)+$X$13*_xlfn.XLOOKUP($Y$13,'RE Calculations'!$B$12:$B$16,'RE Calculations'!$C$12:$C$16,"ERROR - Check Input")/12),0)</f>
        <v>0</v>
      </c>
      <c r="Y162" s="142">
        <f t="shared" si="20"/>
        <v>0</v>
      </c>
      <c r="Z162" s="142">
        <f>IF(W162&lt;=($X$9*12),$X$15,IFERROR(-IPMT($X$11,W162-$X$9*12,($X$12-$X$9)*12,$X$6)+$X$13*_xlfn.XLOOKUP($Y$13,'RE Calculations'!$B$12:$B$16,'RE Calculations'!$C$12:$C$16,"ERROR - Check Input")/12,0))</f>
        <v>10</v>
      </c>
      <c r="AA162" s="142">
        <f t="shared" si="21"/>
        <v>0</v>
      </c>
    </row>
    <row r="163" spans="2:27" x14ac:dyDescent="0.35">
      <c r="B163" s="12">
        <v>141</v>
      </c>
      <c r="C163" s="142">
        <f>IF(F162&gt;0.01,-PMT($C$8,$C$9*12,$C$6)+$C$10*_xlfn.XLOOKUP($D$10,'RE Calculations'!$B$12:$B$16,'RE Calculations'!$C$12:$C$16,"ERROR - Check Input")/12,0)</f>
        <v>0</v>
      </c>
      <c r="D163" s="142">
        <f t="shared" si="22"/>
        <v>0</v>
      </c>
      <c r="E163" s="142">
        <f>IFERROR(-IPMT($C$8,B163,$C$9*12,$C$6)+$C$10*_xlfn.XLOOKUP($D$10,'RE Calculations'!$B$12:$B$16,'RE Calculations'!$C$12:$C$16,"ERROR - Check Input")/12,0)</f>
        <v>8.3333333333333339</v>
      </c>
      <c r="F163" s="142">
        <f t="shared" si="23"/>
        <v>0</v>
      </c>
      <c r="I163" s="12">
        <v>141</v>
      </c>
      <c r="J163" s="142">
        <f>IF(M162&gt;0.01,IF(I163&lt;=($J$9*12),$J$15,-PMT($J$11,($J$12-$J$9)*12,$J$6)+$J$13*_xlfn.XLOOKUP($K$13,'RE Calculations'!$B$12:$B$16,'RE Calculations'!$C$12:$C$16,"ERROR - Check Input")/12),0)</f>
        <v>0</v>
      </c>
      <c r="K163" s="142">
        <f t="shared" si="16"/>
        <v>0</v>
      </c>
      <c r="L163" s="142">
        <f>IF(I163&lt;=($J$9*12),$J$15,IFERROR(-IPMT($J$11,I163-$J$9*12,($J$12-$J$9)*12,$J$6)+$J$13*_xlfn.XLOOKUP($K$13,'RE Calculations'!$B$12:$B$16,'RE Calculations'!$C$12:$C$16,"ERROR - Check Input")/12,0))</f>
        <v>10</v>
      </c>
      <c r="M163" s="142">
        <f t="shared" si="17"/>
        <v>0</v>
      </c>
      <c r="P163" s="12">
        <v>141</v>
      </c>
      <c r="Q163" s="142">
        <f>IF(T162&gt;0.01,-PMT($Q$8,$Q$9*12,$Q$6)+$Q$10*_xlfn.XLOOKUP($R$10,'RE Calculations'!$B$12:$B$16,'RE Calculations'!$C$12:$C$16,"ERROR - Check Input")/12,0)</f>
        <v>0</v>
      </c>
      <c r="R163" s="142">
        <f t="shared" si="18"/>
        <v>0</v>
      </c>
      <c r="S163" s="142">
        <f>IFERROR(-IPMT($Q$8,P163,$Q$9*12,$Q$6)+$Q$10*_xlfn.XLOOKUP($R$10,'RE Calculations'!$B$12:$B$16,'RE Calculations'!$C$12:$C$16,"ERROR - Check Input")/12,0)</f>
        <v>8.3333333333333339</v>
      </c>
      <c r="T163" s="142">
        <f t="shared" si="19"/>
        <v>0</v>
      </c>
      <c r="W163" s="12">
        <v>141</v>
      </c>
      <c r="X163" s="142">
        <f>IF(AA162&gt;0.01,IF(W163&lt;=($X$9*12),$X$15,-PMT($X$11,($X$12-$X$9)*12,$X$6)+$X$13*_xlfn.XLOOKUP($Y$13,'RE Calculations'!$B$12:$B$16,'RE Calculations'!$C$12:$C$16,"ERROR - Check Input")/12),0)</f>
        <v>0</v>
      </c>
      <c r="Y163" s="142">
        <f t="shared" si="20"/>
        <v>0</v>
      </c>
      <c r="Z163" s="142">
        <f>IF(W163&lt;=($X$9*12),$X$15,IFERROR(-IPMT($X$11,W163-$X$9*12,($X$12-$X$9)*12,$X$6)+$X$13*_xlfn.XLOOKUP($Y$13,'RE Calculations'!$B$12:$B$16,'RE Calculations'!$C$12:$C$16,"ERROR - Check Input")/12,0))</f>
        <v>10</v>
      </c>
      <c r="AA163" s="142">
        <f t="shared" si="21"/>
        <v>0</v>
      </c>
    </row>
    <row r="164" spans="2:27" x14ac:dyDescent="0.35">
      <c r="B164" s="12">
        <v>142</v>
      </c>
      <c r="C164" s="142">
        <f>IF(F163&gt;0.01,-PMT($C$8,$C$9*12,$C$6)+$C$10*_xlfn.XLOOKUP($D$10,'RE Calculations'!$B$12:$B$16,'RE Calculations'!$C$12:$C$16,"ERROR - Check Input")/12,0)</f>
        <v>0</v>
      </c>
      <c r="D164" s="142">
        <f t="shared" si="22"/>
        <v>0</v>
      </c>
      <c r="E164" s="142">
        <f>IFERROR(-IPMT($C$8,B164,$C$9*12,$C$6)+$C$10*_xlfn.XLOOKUP($D$10,'RE Calculations'!$B$12:$B$16,'RE Calculations'!$C$12:$C$16,"ERROR - Check Input")/12,0)</f>
        <v>8.3333333333333339</v>
      </c>
      <c r="F164" s="142">
        <f t="shared" si="23"/>
        <v>0</v>
      </c>
      <c r="I164" s="12">
        <v>142</v>
      </c>
      <c r="J164" s="142">
        <f>IF(M163&gt;0.01,IF(I164&lt;=($J$9*12),$J$15,-PMT($J$11,($J$12-$J$9)*12,$J$6)+$J$13*_xlfn.XLOOKUP($K$13,'RE Calculations'!$B$12:$B$16,'RE Calculations'!$C$12:$C$16,"ERROR - Check Input")/12),0)</f>
        <v>0</v>
      </c>
      <c r="K164" s="142">
        <f t="shared" si="16"/>
        <v>0</v>
      </c>
      <c r="L164" s="142">
        <f>IF(I164&lt;=($J$9*12),$J$15,IFERROR(-IPMT($J$11,I164-$J$9*12,($J$12-$J$9)*12,$J$6)+$J$13*_xlfn.XLOOKUP($K$13,'RE Calculations'!$B$12:$B$16,'RE Calculations'!$C$12:$C$16,"ERROR - Check Input")/12,0))</f>
        <v>10</v>
      </c>
      <c r="M164" s="142">
        <f t="shared" si="17"/>
        <v>0</v>
      </c>
      <c r="P164" s="12">
        <v>142</v>
      </c>
      <c r="Q164" s="142">
        <f>IF(T163&gt;0.01,-PMT($Q$8,$Q$9*12,$Q$6)+$Q$10*_xlfn.XLOOKUP($R$10,'RE Calculations'!$B$12:$B$16,'RE Calculations'!$C$12:$C$16,"ERROR - Check Input")/12,0)</f>
        <v>0</v>
      </c>
      <c r="R164" s="142">
        <f t="shared" si="18"/>
        <v>0</v>
      </c>
      <c r="S164" s="142">
        <f>IFERROR(-IPMT($Q$8,P164,$Q$9*12,$Q$6)+$Q$10*_xlfn.XLOOKUP($R$10,'RE Calculations'!$B$12:$B$16,'RE Calculations'!$C$12:$C$16,"ERROR - Check Input")/12,0)</f>
        <v>8.3333333333333339</v>
      </c>
      <c r="T164" s="142">
        <f t="shared" si="19"/>
        <v>0</v>
      </c>
      <c r="W164" s="12">
        <v>142</v>
      </c>
      <c r="X164" s="142">
        <f>IF(AA163&gt;0.01,IF(W164&lt;=($X$9*12),$X$15,-PMT($X$11,($X$12-$X$9)*12,$X$6)+$X$13*_xlfn.XLOOKUP($Y$13,'RE Calculations'!$B$12:$B$16,'RE Calculations'!$C$12:$C$16,"ERROR - Check Input")/12),0)</f>
        <v>0</v>
      </c>
      <c r="Y164" s="142">
        <f t="shared" si="20"/>
        <v>0</v>
      </c>
      <c r="Z164" s="142">
        <f>IF(W164&lt;=($X$9*12),$X$15,IFERROR(-IPMT($X$11,W164-$X$9*12,($X$12-$X$9)*12,$X$6)+$X$13*_xlfn.XLOOKUP($Y$13,'RE Calculations'!$B$12:$B$16,'RE Calculations'!$C$12:$C$16,"ERROR - Check Input")/12,0))</f>
        <v>10</v>
      </c>
      <c r="AA164" s="142">
        <f t="shared" si="21"/>
        <v>0</v>
      </c>
    </row>
    <row r="165" spans="2:27" x14ac:dyDescent="0.35">
      <c r="B165" s="12">
        <v>143</v>
      </c>
      <c r="C165" s="142">
        <f>IF(F164&gt;0.01,-PMT($C$8,$C$9*12,$C$6)+$C$10*_xlfn.XLOOKUP($D$10,'RE Calculations'!$B$12:$B$16,'RE Calculations'!$C$12:$C$16,"ERROR - Check Input")/12,0)</f>
        <v>0</v>
      </c>
      <c r="D165" s="142">
        <f t="shared" si="22"/>
        <v>0</v>
      </c>
      <c r="E165" s="142">
        <f>IFERROR(-IPMT($C$8,B165,$C$9*12,$C$6)+$C$10*_xlfn.XLOOKUP($D$10,'RE Calculations'!$B$12:$B$16,'RE Calculations'!$C$12:$C$16,"ERROR - Check Input")/12,0)</f>
        <v>8.3333333333333339</v>
      </c>
      <c r="F165" s="142">
        <f t="shared" si="23"/>
        <v>0</v>
      </c>
      <c r="I165" s="12">
        <v>143</v>
      </c>
      <c r="J165" s="142">
        <f>IF(M164&gt;0.01,IF(I165&lt;=($J$9*12),$J$15,-PMT($J$11,($J$12-$J$9)*12,$J$6)+$J$13*_xlfn.XLOOKUP($K$13,'RE Calculations'!$B$12:$B$16,'RE Calculations'!$C$12:$C$16,"ERROR - Check Input")/12),0)</f>
        <v>0</v>
      </c>
      <c r="K165" s="142">
        <f t="shared" si="16"/>
        <v>0</v>
      </c>
      <c r="L165" s="142">
        <f>IF(I165&lt;=($J$9*12),$J$15,IFERROR(-IPMT($J$11,I165-$J$9*12,($J$12-$J$9)*12,$J$6)+$J$13*_xlfn.XLOOKUP($K$13,'RE Calculations'!$B$12:$B$16,'RE Calculations'!$C$12:$C$16,"ERROR - Check Input")/12,0))</f>
        <v>10</v>
      </c>
      <c r="M165" s="142">
        <f t="shared" si="17"/>
        <v>0</v>
      </c>
      <c r="P165" s="12">
        <v>143</v>
      </c>
      <c r="Q165" s="142">
        <f>IF(T164&gt;0.01,-PMT($Q$8,$Q$9*12,$Q$6)+$Q$10*_xlfn.XLOOKUP($R$10,'RE Calculations'!$B$12:$B$16,'RE Calculations'!$C$12:$C$16,"ERROR - Check Input")/12,0)</f>
        <v>0</v>
      </c>
      <c r="R165" s="142">
        <f t="shared" si="18"/>
        <v>0</v>
      </c>
      <c r="S165" s="142">
        <f>IFERROR(-IPMT($Q$8,P165,$Q$9*12,$Q$6)+$Q$10*_xlfn.XLOOKUP($R$10,'RE Calculations'!$B$12:$B$16,'RE Calculations'!$C$12:$C$16,"ERROR - Check Input")/12,0)</f>
        <v>8.3333333333333339</v>
      </c>
      <c r="T165" s="142">
        <f t="shared" si="19"/>
        <v>0</v>
      </c>
      <c r="W165" s="12">
        <v>143</v>
      </c>
      <c r="X165" s="142">
        <f>IF(AA164&gt;0.01,IF(W165&lt;=($X$9*12),$X$15,-PMT($X$11,($X$12-$X$9)*12,$X$6)+$X$13*_xlfn.XLOOKUP($Y$13,'RE Calculations'!$B$12:$B$16,'RE Calculations'!$C$12:$C$16,"ERROR - Check Input")/12),0)</f>
        <v>0</v>
      </c>
      <c r="Y165" s="142">
        <f t="shared" si="20"/>
        <v>0</v>
      </c>
      <c r="Z165" s="142">
        <f>IF(W165&lt;=($X$9*12),$X$15,IFERROR(-IPMT($X$11,W165-$X$9*12,($X$12-$X$9)*12,$X$6)+$X$13*_xlfn.XLOOKUP($Y$13,'RE Calculations'!$B$12:$B$16,'RE Calculations'!$C$12:$C$16,"ERROR - Check Input")/12,0))</f>
        <v>10</v>
      </c>
      <c r="AA165" s="142">
        <f t="shared" si="21"/>
        <v>0</v>
      </c>
    </row>
    <row r="166" spans="2:27" x14ac:dyDescent="0.35">
      <c r="B166" s="12">
        <v>144</v>
      </c>
      <c r="C166" s="142">
        <f>IF(F165&gt;0.01,-PMT($C$8,$C$9*12,$C$6)+$C$10*_xlfn.XLOOKUP($D$10,'RE Calculations'!$B$12:$B$16,'RE Calculations'!$C$12:$C$16,"ERROR - Check Input")/12,0)</f>
        <v>0</v>
      </c>
      <c r="D166" s="142">
        <f t="shared" si="22"/>
        <v>0</v>
      </c>
      <c r="E166" s="142">
        <f>IFERROR(-IPMT($C$8,B166,$C$9*12,$C$6)+$C$10*_xlfn.XLOOKUP($D$10,'RE Calculations'!$B$12:$B$16,'RE Calculations'!$C$12:$C$16,"ERROR - Check Input")/12,0)</f>
        <v>8.3333333333333339</v>
      </c>
      <c r="F166" s="142">
        <f t="shared" si="23"/>
        <v>0</v>
      </c>
      <c r="I166" s="12">
        <v>144</v>
      </c>
      <c r="J166" s="142">
        <f>IF(M165&gt;0.01,IF(I166&lt;=($J$9*12),$J$15,-PMT($J$11,($J$12-$J$9)*12,$J$6)+$J$13*_xlfn.XLOOKUP($K$13,'RE Calculations'!$B$12:$B$16,'RE Calculations'!$C$12:$C$16,"ERROR - Check Input")/12),0)</f>
        <v>0</v>
      </c>
      <c r="K166" s="142">
        <f t="shared" si="16"/>
        <v>0</v>
      </c>
      <c r="L166" s="142">
        <f>IF(I166&lt;=($J$9*12),$J$15,IFERROR(-IPMT($J$11,I166-$J$9*12,($J$12-$J$9)*12,$J$6)+$J$13*_xlfn.XLOOKUP($K$13,'RE Calculations'!$B$12:$B$16,'RE Calculations'!$C$12:$C$16,"ERROR - Check Input")/12,0))</f>
        <v>10</v>
      </c>
      <c r="M166" s="142">
        <f t="shared" si="17"/>
        <v>0</v>
      </c>
      <c r="P166" s="12">
        <v>144</v>
      </c>
      <c r="Q166" s="142">
        <f>IF(T165&gt;0.01,-PMT($Q$8,$Q$9*12,$Q$6)+$Q$10*_xlfn.XLOOKUP($R$10,'RE Calculations'!$B$12:$B$16,'RE Calculations'!$C$12:$C$16,"ERROR - Check Input")/12,0)</f>
        <v>0</v>
      </c>
      <c r="R166" s="142">
        <f t="shared" si="18"/>
        <v>0</v>
      </c>
      <c r="S166" s="142">
        <f>IFERROR(-IPMT($Q$8,P166,$Q$9*12,$Q$6)+$Q$10*_xlfn.XLOOKUP($R$10,'RE Calculations'!$B$12:$B$16,'RE Calculations'!$C$12:$C$16,"ERROR - Check Input")/12,0)</f>
        <v>8.3333333333333339</v>
      </c>
      <c r="T166" s="142">
        <f t="shared" si="19"/>
        <v>0</v>
      </c>
      <c r="W166" s="12">
        <v>144</v>
      </c>
      <c r="X166" s="142">
        <f>IF(AA165&gt;0.01,IF(W166&lt;=($X$9*12),$X$15,-PMT($X$11,($X$12-$X$9)*12,$X$6)+$X$13*_xlfn.XLOOKUP($Y$13,'RE Calculations'!$B$12:$B$16,'RE Calculations'!$C$12:$C$16,"ERROR - Check Input")/12),0)</f>
        <v>0</v>
      </c>
      <c r="Y166" s="142">
        <f t="shared" si="20"/>
        <v>0</v>
      </c>
      <c r="Z166" s="142">
        <f>IF(W166&lt;=($X$9*12),$X$15,IFERROR(-IPMT($X$11,W166-$X$9*12,($X$12-$X$9)*12,$X$6)+$X$13*_xlfn.XLOOKUP($Y$13,'RE Calculations'!$B$12:$B$16,'RE Calculations'!$C$12:$C$16,"ERROR - Check Input")/12,0))</f>
        <v>10</v>
      </c>
      <c r="AA166" s="142">
        <f t="shared" si="21"/>
        <v>0</v>
      </c>
    </row>
    <row r="167" spans="2:27" x14ac:dyDescent="0.35">
      <c r="B167" s="12">
        <v>145</v>
      </c>
      <c r="C167" s="142">
        <f>IF(F166&gt;0.01,-PMT($C$8,$C$9*12,$C$6)+$C$10*_xlfn.XLOOKUP($D$10,'RE Calculations'!$B$12:$B$16,'RE Calculations'!$C$12:$C$16,"ERROR - Check Input")/12,0)</f>
        <v>0</v>
      </c>
      <c r="D167" s="142">
        <f t="shared" si="22"/>
        <v>0</v>
      </c>
      <c r="E167" s="142">
        <f>IFERROR(-IPMT($C$8,B167,$C$9*12,$C$6)+$C$10*_xlfn.XLOOKUP($D$10,'RE Calculations'!$B$12:$B$16,'RE Calculations'!$C$12:$C$16,"ERROR - Check Input")/12,0)</f>
        <v>8.3333333333333339</v>
      </c>
      <c r="F167" s="142">
        <f t="shared" si="23"/>
        <v>0</v>
      </c>
      <c r="I167" s="12">
        <v>145</v>
      </c>
      <c r="J167" s="142">
        <f>IF(M166&gt;0.01,IF(I167&lt;=($J$9*12),$J$15,-PMT($J$11,($J$12-$J$9)*12,$J$6)+$J$13*_xlfn.XLOOKUP($K$13,'RE Calculations'!$B$12:$B$16,'RE Calculations'!$C$12:$C$16,"ERROR - Check Input")/12),0)</f>
        <v>0</v>
      </c>
      <c r="K167" s="142">
        <f t="shared" si="16"/>
        <v>0</v>
      </c>
      <c r="L167" s="142">
        <f>IF(I167&lt;=($J$9*12),$J$15,IFERROR(-IPMT($J$11,I167-$J$9*12,($J$12-$J$9)*12,$J$6)+$J$13*_xlfn.XLOOKUP($K$13,'RE Calculations'!$B$12:$B$16,'RE Calculations'!$C$12:$C$16,"ERROR - Check Input")/12,0))</f>
        <v>10</v>
      </c>
      <c r="M167" s="142">
        <f t="shared" si="17"/>
        <v>0</v>
      </c>
      <c r="P167" s="12">
        <v>145</v>
      </c>
      <c r="Q167" s="142">
        <f>IF(T166&gt;0.01,-PMT($Q$8,$Q$9*12,$Q$6)+$Q$10*_xlfn.XLOOKUP($R$10,'RE Calculations'!$B$12:$B$16,'RE Calculations'!$C$12:$C$16,"ERROR - Check Input")/12,0)</f>
        <v>0</v>
      </c>
      <c r="R167" s="142">
        <f t="shared" si="18"/>
        <v>0</v>
      </c>
      <c r="S167" s="142">
        <f>IFERROR(-IPMT($Q$8,P167,$Q$9*12,$Q$6)+$Q$10*_xlfn.XLOOKUP($R$10,'RE Calculations'!$B$12:$B$16,'RE Calculations'!$C$12:$C$16,"ERROR - Check Input")/12,0)</f>
        <v>8.3333333333333339</v>
      </c>
      <c r="T167" s="142">
        <f t="shared" si="19"/>
        <v>0</v>
      </c>
      <c r="W167" s="12">
        <v>145</v>
      </c>
      <c r="X167" s="142">
        <f>IF(AA166&gt;0.01,IF(W167&lt;=($X$9*12),$X$15,-PMT($X$11,($X$12-$X$9)*12,$X$6)+$X$13*_xlfn.XLOOKUP($Y$13,'RE Calculations'!$B$12:$B$16,'RE Calculations'!$C$12:$C$16,"ERROR - Check Input")/12),0)</f>
        <v>0</v>
      </c>
      <c r="Y167" s="142">
        <f t="shared" si="20"/>
        <v>0</v>
      </c>
      <c r="Z167" s="142">
        <f>IF(W167&lt;=($X$9*12),$X$15,IFERROR(-IPMT($X$11,W167-$X$9*12,($X$12-$X$9)*12,$X$6)+$X$13*_xlfn.XLOOKUP($Y$13,'RE Calculations'!$B$12:$B$16,'RE Calculations'!$C$12:$C$16,"ERROR - Check Input")/12,0))</f>
        <v>10</v>
      </c>
      <c r="AA167" s="142">
        <f t="shared" si="21"/>
        <v>0</v>
      </c>
    </row>
    <row r="168" spans="2:27" x14ac:dyDescent="0.35">
      <c r="B168" s="12">
        <v>146</v>
      </c>
      <c r="C168" s="142">
        <f>IF(F167&gt;0.01,-PMT($C$8,$C$9*12,$C$6)+$C$10*_xlfn.XLOOKUP($D$10,'RE Calculations'!$B$12:$B$16,'RE Calculations'!$C$12:$C$16,"ERROR - Check Input")/12,0)</f>
        <v>0</v>
      </c>
      <c r="D168" s="142">
        <f t="shared" si="22"/>
        <v>0</v>
      </c>
      <c r="E168" s="142">
        <f>IFERROR(-IPMT($C$8,B168,$C$9*12,$C$6)+$C$10*_xlfn.XLOOKUP($D$10,'RE Calculations'!$B$12:$B$16,'RE Calculations'!$C$12:$C$16,"ERROR - Check Input")/12,0)</f>
        <v>8.3333333333333339</v>
      </c>
      <c r="F168" s="142">
        <f t="shared" si="23"/>
        <v>0</v>
      </c>
      <c r="I168" s="12">
        <v>146</v>
      </c>
      <c r="J168" s="142">
        <f>IF(M167&gt;0.01,IF(I168&lt;=($J$9*12),$J$15,-PMT($J$11,($J$12-$J$9)*12,$J$6)+$J$13*_xlfn.XLOOKUP($K$13,'RE Calculations'!$B$12:$B$16,'RE Calculations'!$C$12:$C$16,"ERROR - Check Input")/12),0)</f>
        <v>0</v>
      </c>
      <c r="K168" s="142">
        <f t="shared" si="16"/>
        <v>0</v>
      </c>
      <c r="L168" s="142">
        <f>IF(I168&lt;=($J$9*12),$J$15,IFERROR(-IPMT($J$11,I168-$J$9*12,($J$12-$J$9)*12,$J$6)+$J$13*_xlfn.XLOOKUP($K$13,'RE Calculations'!$B$12:$B$16,'RE Calculations'!$C$12:$C$16,"ERROR - Check Input")/12,0))</f>
        <v>10</v>
      </c>
      <c r="M168" s="142">
        <f t="shared" si="17"/>
        <v>0</v>
      </c>
      <c r="P168" s="12">
        <v>146</v>
      </c>
      <c r="Q168" s="142">
        <f>IF(T167&gt;0.01,-PMT($Q$8,$Q$9*12,$Q$6)+$Q$10*_xlfn.XLOOKUP($R$10,'RE Calculations'!$B$12:$B$16,'RE Calculations'!$C$12:$C$16,"ERROR - Check Input")/12,0)</f>
        <v>0</v>
      </c>
      <c r="R168" s="142">
        <f t="shared" si="18"/>
        <v>0</v>
      </c>
      <c r="S168" s="142">
        <f>IFERROR(-IPMT($Q$8,P168,$Q$9*12,$Q$6)+$Q$10*_xlfn.XLOOKUP($R$10,'RE Calculations'!$B$12:$B$16,'RE Calculations'!$C$12:$C$16,"ERROR - Check Input")/12,0)</f>
        <v>8.3333333333333339</v>
      </c>
      <c r="T168" s="142">
        <f t="shared" si="19"/>
        <v>0</v>
      </c>
      <c r="W168" s="12">
        <v>146</v>
      </c>
      <c r="X168" s="142">
        <f>IF(AA167&gt;0.01,IF(W168&lt;=($X$9*12),$X$15,-PMT($X$11,($X$12-$X$9)*12,$X$6)+$X$13*_xlfn.XLOOKUP($Y$13,'RE Calculations'!$B$12:$B$16,'RE Calculations'!$C$12:$C$16,"ERROR - Check Input")/12),0)</f>
        <v>0</v>
      </c>
      <c r="Y168" s="142">
        <f t="shared" si="20"/>
        <v>0</v>
      </c>
      <c r="Z168" s="142">
        <f>IF(W168&lt;=($X$9*12),$X$15,IFERROR(-IPMT($X$11,W168-$X$9*12,($X$12-$X$9)*12,$X$6)+$X$13*_xlfn.XLOOKUP($Y$13,'RE Calculations'!$B$12:$B$16,'RE Calculations'!$C$12:$C$16,"ERROR - Check Input")/12,0))</f>
        <v>10</v>
      </c>
      <c r="AA168" s="142">
        <f t="shared" si="21"/>
        <v>0</v>
      </c>
    </row>
    <row r="169" spans="2:27" x14ac:dyDescent="0.35">
      <c r="B169" s="12">
        <v>147</v>
      </c>
      <c r="C169" s="142">
        <f>IF(F168&gt;0.01,-PMT($C$8,$C$9*12,$C$6)+$C$10*_xlfn.XLOOKUP($D$10,'RE Calculations'!$B$12:$B$16,'RE Calculations'!$C$12:$C$16,"ERROR - Check Input")/12,0)</f>
        <v>0</v>
      </c>
      <c r="D169" s="142">
        <f t="shared" si="22"/>
        <v>0</v>
      </c>
      <c r="E169" s="142">
        <f>IFERROR(-IPMT($C$8,B169,$C$9*12,$C$6)+$C$10*_xlfn.XLOOKUP($D$10,'RE Calculations'!$B$12:$B$16,'RE Calculations'!$C$12:$C$16,"ERROR - Check Input")/12,0)</f>
        <v>8.3333333333333339</v>
      </c>
      <c r="F169" s="142">
        <f t="shared" si="23"/>
        <v>0</v>
      </c>
      <c r="I169" s="12">
        <v>147</v>
      </c>
      <c r="J169" s="142">
        <f>IF(M168&gt;0.01,IF(I169&lt;=($J$9*12),$J$15,-PMT($J$11,($J$12-$J$9)*12,$J$6)+$J$13*_xlfn.XLOOKUP($K$13,'RE Calculations'!$B$12:$B$16,'RE Calculations'!$C$12:$C$16,"ERROR - Check Input")/12),0)</f>
        <v>0</v>
      </c>
      <c r="K169" s="142">
        <f t="shared" si="16"/>
        <v>0</v>
      </c>
      <c r="L169" s="142">
        <f>IF(I169&lt;=($J$9*12),$J$15,IFERROR(-IPMT($J$11,I169-$J$9*12,($J$12-$J$9)*12,$J$6)+$J$13*_xlfn.XLOOKUP($K$13,'RE Calculations'!$B$12:$B$16,'RE Calculations'!$C$12:$C$16,"ERROR - Check Input")/12,0))</f>
        <v>10</v>
      </c>
      <c r="M169" s="142">
        <f t="shared" si="17"/>
        <v>0</v>
      </c>
      <c r="P169" s="12">
        <v>147</v>
      </c>
      <c r="Q169" s="142">
        <f>IF(T168&gt;0.01,-PMT($Q$8,$Q$9*12,$Q$6)+$Q$10*_xlfn.XLOOKUP($R$10,'RE Calculations'!$B$12:$B$16,'RE Calculations'!$C$12:$C$16,"ERROR - Check Input")/12,0)</f>
        <v>0</v>
      </c>
      <c r="R169" s="142">
        <f t="shared" si="18"/>
        <v>0</v>
      </c>
      <c r="S169" s="142">
        <f>IFERROR(-IPMT($Q$8,P169,$Q$9*12,$Q$6)+$Q$10*_xlfn.XLOOKUP($R$10,'RE Calculations'!$B$12:$B$16,'RE Calculations'!$C$12:$C$16,"ERROR - Check Input")/12,0)</f>
        <v>8.3333333333333339</v>
      </c>
      <c r="T169" s="142">
        <f t="shared" si="19"/>
        <v>0</v>
      </c>
      <c r="W169" s="12">
        <v>147</v>
      </c>
      <c r="X169" s="142">
        <f>IF(AA168&gt;0.01,IF(W169&lt;=($X$9*12),$X$15,-PMT($X$11,($X$12-$X$9)*12,$X$6)+$X$13*_xlfn.XLOOKUP($Y$13,'RE Calculations'!$B$12:$B$16,'RE Calculations'!$C$12:$C$16,"ERROR - Check Input")/12),0)</f>
        <v>0</v>
      </c>
      <c r="Y169" s="142">
        <f t="shared" si="20"/>
        <v>0</v>
      </c>
      <c r="Z169" s="142">
        <f>IF(W169&lt;=($X$9*12),$X$15,IFERROR(-IPMT($X$11,W169-$X$9*12,($X$12-$X$9)*12,$X$6)+$X$13*_xlfn.XLOOKUP($Y$13,'RE Calculations'!$B$12:$B$16,'RE Calculations'!$C$12:$C$16,"ERROR - Check Input")/12,0))</f>
        <v>10</v>
      </c>
      <c r="AA169" s="142">
        <f t="shared" si="21"/>
        <v>0</v>
      </c>
    </row>
    <row r="170" spans="2:27" x14ac:dyDescent="0.35">
      <c r="B170" s="12">
        <v>148</v>
      </c>
      <c r="C170" s="142">
        <f>IF(F169&gt;0.01,-PMT($C$8,$C$9*12,$C$6)+$C$10*_xlfn.XLOOKUP($D$10,'RE Calculations'!$B$12:$B$16,'RE Calculations'!$C$12:$C$16,"ERROR - Check Input")/12,0)</f>
        <v>0</v>
      </c>
      <c r="D170" s="142">
        <f t="shared" si="22"/>
        <v>0</v>
      </c>
      <c r="E170" s="142">
        <f>IFERROR(-IPMT($C$8,B170,$C$9*12,$C$6)+$C$10*_xlfn.XLOOKUP($D$10,'RE Calculations'!$B$12:$B$16,'RE Calculations'!$C$12:$C$16,"ERROR - Check Input")/12,0)</f>
        <v>8.3333333333333339</v>
      </c>
      <c r="F170" s="142">
        <f t="shared" si="23"/>
        <v>0</v>
      </c>
      <c r="I170" s="12">
        <v>148</v>
      </c>
      <c r="J170" s="142">
        <f>IF(M169&gt;0.01,IF(I170&lt;=($J$9*12),$J$15,-PMT($J$11,($J$12-$J$9)*12,$J$6)+$J$13*_xlfn.XLOOKUP($K$13,'RE Calculations'!$B$12:$B$16,'RE Calculations'!$C$12:$C$16,"ERROR - Check Input")/12),0)</f>
        <v>0</v>
      </c>
      <c r="K170" s="142">
        <f t="shared" si="16"/>
        <v>0</v>
      </c>
      <c r="L170" s="142">
        <f>IF(I170&lt;=($J$9*12),$J$15,IFERROR(-IPMT($J$11,I170-$J$9*12,($J$12-$J$9)*12,$J$6)+$J$13*_xlfn.XLOOKUP($K$13,'RE Calculations'!$B$12:$B$16,'RE Calculations'!$C$12:$C$16,"ERROR - Check Input")/12,0))</f>
        <v>10</v>
      </c>
      <c r="M170" s="142">
        <f t="shared" si="17"/>
        <v>0</v>
      </c>
      <c r="P170" s="12">
        <v>148</v>
      </c>
      <c r="Q170" s="142">
        <f>IF(T169&gt;0.01,-PMT($Q$8,$Q$9*12,$Q$6)+$Q$10*_xlfn.XLOOKUP($R$10,'RE Calculations'!$B$12:$B$16,'RE Calculations'!$C$12:$C$16,"ERROR - Check Input")/12,0)</f>
        <v>0</v>
      </c>
      <c r="R170" s="142">
        <f t="shared" si="18"/>
        <v>0</v>
      </c>
      <c r="S170" s="142">
        <f>IFERROR(-IPMT($Q$8,P170,$Q$9*12,$Q$6)+$Q$10*_xlfn.XLOOKUP($R$10,'RE Calculations'!$B$12:$B$16,'RE Calculations'!$C$12:$C$16,"ERROR - Check Input")/12,0)</f>
        <v>8.3333333333333339</v>
      </c>
      <c r="T170" s="142">
        <f t="shared" si="19"/>
        <v>0</v>
      </c>
      <c r="W170" s="12">
        <v>148</v>
      </c>
      <c r="X170" s="142">
        <f>IF(AA169&gt;0.01,IF(W170&lt;=($X$9*12),$X$15,-PMT($X$11,($X$12-$X$9)*12,$X$6)+$X$13*_xlfn.XLOOKUP($Y$13,'RE Calculations'!$B$12:$B$16,'RE Calculations'!$C$12:$C$16,"ERROR - Check Input")/12),0)</f>
        <v>0</v>
      </c>
      <c r="Y170" s="142">
        <f t="shared" si="20"/>
        <v>0</v>
      </c>
      <c r="Z170" s="142">
        <f>IF(W170&lt;=($X$9*12),$X$15,IFERROR(-IPMT($X$11,W170-$X$9*12,($X$12-$X$9)*12,$X$6)+$X$13*_xlfn.XLOOKUP($Y$13,'RE Calculations'!$B$12:$B$16,'RE Calculations'!$C$12:$C$16,"ERROR - Check Input")/12,0))</f>
        <v>10</v>
      </c>
      <c r="AA170" s="142">
        <f t="shared" si="21"/>
        <v>0</v>
      </c>
    </row>
    <row r="171" spans="2:27" x14ac:dyDescent="0.35">
      <c r="B171" s="12">
        <v>149</v>
      </c>
      <c r="C171" s="142">
        <f>IF(F170&gt;0.01,-PMT($C$8,$C$9*12,$C$6)+$C$10*_xlfn.XLOOKUP($D$10,'RE Calculations'!$B$12:$B$16,'RE Calculations'!$C$12:$C$16,"ERROR - Check Input")/12,0)</f>
        <v>0</v>
      </c>
      <c r="D171" s="142">
        <f t="shared" si="22"/>
        <v>0</v>
      </c>
      <c r="E171" s="142">
        <f>IFERROR(-IPMT($C$8,B171,$C$9*12,$C$6)+$C$10*_xlfn.XLOOKUP($D$10,'RE Calculations'!$B$12:$B$16,'RE Calculations'!$C$12:$C$16,"ERROR - Check Input")/12,0)</f>
        <v>8.3333333333333339</v>
      </c>
      <c r="F171" s="142">
        <f t="shared" si="23"/>
        <v>0</v>
      </c>
      <c r="I171" s="12">
        <v>149</v>
      </c>
      <c r="J171" s="142">
        <f>IF(M170&gt;0.01,IF(I171&lt;=($J$9*12),$J$15,-PMT($J$11,($J$12-$J$9)*12,$J$6)+$J$13*_xlfn.XLOOKUP($K$13,'RE Calculations'!$B$12:$B$16,'RE Calculations'!$C$12:$C$16,"ERROR - Check Input")/12),0)</f>
        <v>0</v>
      </c>
      <c r="K171" s="142">
        <f t="shared" si="16"/>
        <v>0</v>
      </c>
      <c r="L171" s="142">
        <f>IF(I171&lt;=($J$9*12),$J$15,IFERROR(-IPMT($J$11,I171-$J$9*12,($J$12-$J$9)*12,$J$6)+$J$13*_xlfn.XLOOKUP($K$13,'RE Calculations'!$B$12:$B$16,'RE Calculations'!$C$12:$C$16,"ERROR - Check Input")/12,0))</f>
        <v>10</v>
      </c>
      <c r="M171" s="142">
        <f t="shared" si="17"/>
        <v>0</v>
      </c>
      <c r="P171" s="12">
        <v>149</v>
      </c>
      <c r="Q171" s="142">
        <f>IF(T170&gt;0.01,-PMT($Q$8,$Q$9*12,$Q$6)+$Q$10*_xlfn.XLOOKUP($R$10,'RE Calculations'!$B$12:$B$16,'RE Calculations'!$C$12:$C$16,"ERROR - Check Input")/12,0)</f>
        <v>0</v>
      </c>
      <c r="R171" s="142">
        <f t="shared" si="18"/>
        <v>0</v>
      </c>
      <c r="S171" s="142">
        <f>IFERROR(-IPMT($Q$8,P171,$Q$9*12,$Q$6)+$Q$10*_xlfn.XLOOKUP($R$10,'RE Calculations'!$B$12:$B$16,'RE Calculations'!$C$12:$C$16,"ERROR - Check Input")/12,0)</f>
        <v>8.3333333333333339</v>
      </c>
      <c r="T171" s="142">
        <f t="shared" si="19"/>
        <v>0</v>
      </c>
      <c r="W171" s="12">
        <v>149</v>
      </c>
      <c r="X171" s="142">
        <f>IF(AA170&gt;0.01,IF(W171&lt;=($X$9*12),$X$15,-PMT($X$11,($X$12-$X$9)*12,$X$6)+$X$13*_xlfn.XLOOKUP($Y$13,'RE Calculations'!$B$12:$B$16,'RE Calculations'!$C$12:$C$16,"ERROR - Check Input")/12),0)</f>
        <v>0</v>
      </c>
      <c r="Y171" s="142">
        <f t="shared" si="20"/>
        <v>0</v>
      </c>
      <c r="Z171" s="142">
        <f>IF(W171&lt;=($X$9*12),$X$15,IFERROR(-IPMT($X$11,W171-$X$9*12,($X$12-$X$9)*12,$X$6)+$X$13*_xlfn.XLOOKUP($Y$13,'RE Calculations'!$B$12:$B$16,'RE Calculations'!$C$12:$C$16,"ERROR - Check Input")/12,0))</f>
        <v>10</v>
      </c>
      <c r="AA171" s="142">
        <f t="shared" si="21"/>
        <v>0</v>
      </c>
    </row>
    <row r="172" spans="2:27" x14ac:dyDescent="0.35">
      <c r="B172" s="12">
        <v>150</v>
      </c>
      <c r="C172" s="142">
        <f>IF(F171&gt;0.01,-PMT($C$8,$C$9*12,$C$6)+$C$10*_xlfn.XLOOKUP($D$10,'RE Calculations'!$B$12:$B$16,'RE Calculations'!$C$12:$C$16,"ERROR - Check Input")/12,0)</f>
        <v>0</v>
      </c>
      <c r="D172" s="142">
        <f t="shared" si="22"/>
        <v>0</v>
      </c>
      <c r="E172" s="142">
        <f>IFERROR(-IPMT($C$8,B172,$C$9*12,$C$6)+$C$10*_xlfn.XLOOKUP($D$10,'RE Calculations'!$B$12:$B$16,'RE Calculations'!$C$12:$C$16,"ERROR - Check Input")/12,0)</f>
        <v>8.3333333333333339</v>
      </c>
      <c r="F172" s="142">
        <f t="shared" si="23"/>
        <v>0</v>
      </c>
      <c r="I172" s="12">
        <v>150</v>
      </c>
      <c r="J172" s="142">
        <f>IF(M171&gt;0.01,IF(I172&lt;=($J$9*12),$J$15,-PMT($J$11,($J$12-$J$9)*12,$J$6)+$J$13*_xlfn.XLOOKUP($K$13,'RE Calculations'!$B$12:$B$16,'RE Calculations'!$C$12:$C$16,"ERROR - Check Input")/12),0)</f>
        <v>0</v>
      </c>
      <c r="K172" s="142">
        <f t="shared" si="16"/>
        <v>0</v>
      </c>
      <c r="L172" s="142">
        <f>IF(I172&lt;=($J$9*12),$J$15,IFERROR(-IPMT($J$11,I172-$J$9*12,($J$12-$J$9)*12,$J$6)+$J$13*_xlfn.XLOOKUP($K$13,'RE Calculations'!$B$12:$B$16,'RE Calculations'!$C$12:$C$16,"ERROR - Check Input")/12,0))</f>
        <v>10</v>
      </c>
      <c r="M172" s="142">
        <f t="shared" si="17"/>
        <v>0</v>
      </c>
      <c r="P172" s="12">
        <v>150</v>
      </c>
      <c r="Q172" s="142">
        <f>IF(T171&gt;0.01,-PMT($Q$8,$Q$9*12,$Q$6)+$Q$10*_xlfn.XLOOKUP($R$10,'RE Calculations'!$B$12:$B$16,'RE Calculations'!$C$12:$C$16,"ERROR - Check Input")/12,0)</f>
        <v>0</v>
      </c>
      <c r="R172" s="142">
        <f t="shared" si="18"/>
        <v>0</v>
      </c>
      <c r="S172" s="142">
        <f>IFERROR(-IPMT($Q$8,P172,$Q$9*12,$Q$6)+$Q$10*_xlfn.XLOOKUP($R$10,'RE Calculations'!$B$12:$B$16,'RE Calculations'!$C$12:$C$16,"ERROR - Check Input")/12,0)</f>
        <v>8.3333333333333339</v>
      </c>
      <c r="T172" s="142">
        <f t="shared" si="19"/>
        <v>0</v>
      </c>
      <c r="W172" s="12">
        <v>150</v>
      </c>
      <c r="X172" s="142">
        <f>IF(AA171&gt;0.01,IF(W172&lt;=($X$9*12),$X$15,-PMT($X$11,($X$12-$X$9)*12,$X$6)+$X$13*_xlfn.XLOOKUP($Y$13,'RE Calculations'!$B$12:$B$16,'RE Calculations'!$C$12:$C$16,"ERROR - Check Input")/12),0)</f>
        <v>0</v>
      </c>
      <c r="Y172" s="142">
        <f t="shared" si="20"/>
        <v>0</v>
      </c>
      <c r="Z172" s="142">
        <f>IF(W172&lt;=($X$9*12),$X$15,IFERROR(-IPMT($X$11,W172-$X$9*12,($X$12-$X$9)*12,$X$6)+$X$13*_xlfn.XLOOKUP($Y$13,'RE Calculations'!$B$12:$B$16,'RE Calculations'!$C$12:$C$16,"ERROR - Check Input")/12,0))</f>
        <v>10</v>
      </c>
      <c r="AA172" s="142">
        <f t="shared" si="21"/>
        <v>0</v>
      </c>
    </row>
    <row r="173" spans="2:27" x14ac:dyDescent="0.35">
      <c r="B173" s="12">
        <v>151</v>
      </c>
      <c r="C173" s="142">
        <f>IF(F172&gt;0.01,-PMT($C$8,$C$9*12,$C$6)+$C$10*_xlfn.XLOOKUP($D$10,'RE Calculations'!$B$12:$B$16,'RE Calculations'!$C$12:$C$16,"ERROR - Check Input")/12,0)</f>
        <v>0</v>
      </c>
      <c r="D173" s="142">
        <f t="shared" si="22"/>
        <v>0</v>
      </c>
      <c r="E173" s="142">
        <f>IFERROR(-IPMT($C$8,B173,$C$9*12,$C$6)+$C$10*_xlfn.XLOOKUP($D$10,'RE Calculations'!$B$12:$B$16,'RE Calculations'!$C$12:$C$16,"ERROR - Check Input")/12,0)</f>
        <v>8.3333333333333339</v>
      </c>
      <c r="F173" s="142">
        <f t="shared" si="23"/>
        <v>0</v>
      </c>
      <c r="I173" s="12">
        <v>151</v>
      </c>
      <c r="J173" s="142">
        <f>IF(M172&gt;0.01,IF(I173&lt;=($J$9*12),$J$15,-PMT($J$11,($J$12-$J$9)*12,$J$6)+$J$13*_xlfn.XLOOKUP($K$13,'RE Calculations'!$B$12:$B$16,'RE Calculations'!$C$12:$C$16,"ERROR - Check Input")/12),0)</f>
        <v>0</v>
      </c>
      <c r="K173" s="142">
        <f t="shared" si="16"/>
        <v>0</v>
      </c>
      <c r="L173" s="142">
        <f>IF(I173&lt;=($J$9*12),$J$15,IFERROR(-IPMT($J$11,I173-$J$9*12,($J$12-$J$9)*12,$J$6)+$J$13*_xlfn.XLOOKUP($K$13,'RE Calculations'!$B$12:$B$16,'RE Calculations'!$C$12:$C$16,"ERROR - Check Input")/12,0))</f>
        <v>10</v>
      </c>
      <c r="M173" s="142">
        <f t="shared" si="17"/>
        <v>0</v>
      </c>
      <c r="P173" s="12">
        <v>151</v>
      </c>
      <c r="Q173" s="142">
        <f>IF(T172&gt;0.01,-PMT($Q$8,$Q$9*12,$Q$6)+$Q$10*_xlfn.XLOOKUP($R$10,'RE Calculations'!$B$12:$B$16,'RE Calculations'!$C$12:$C$16,"ERROR - Check Input")/12,0)</f>
        <v>0</v>
      </c>
      <c r="R173" s="142">
        <f t="shared" si="18"/>
        <v>0</v>
      </c>
      <c r="S173" s="142">
        <f>IFERROR(-IPMT($Q$8,P173,$Q$9*12,$Q$6)+$Q$10*_xlfn.XLOOKUP($R$10,'RE Calculations'!$B$12:$B$16,'RE Calculations'!$C$12:$C$16,"ERROR - Check Input")/12,0)</f>
        <v>8.3333333333333339</v>
      </c>
      <c r="T173" s="142">
        <f t="shared" si="19"/>
        <v>0</v>
      </c>
      <c r="W173" s="12">
        <v>151</v>
      </c>
      <c r="X173" s="142">
        <f>IF(AA172&gt;0.01,IF(W173&lt;=($X$9*12),$X$15,-PMT($X$11,($X$12-$X$9)*12,$X$6)+$X$13*_xlfn.XLOOKUP($Y$13,'RE Calculations'!$B$12:$B$16,'RE Calculations'!$C$12:$C$16,"ERROR - Check Input")/12),0)</f>
        <v>0</v>
      </c>
      <c r="Y173" s="142">
        <f t="shared" si="20"/>
        <v>0</v>
      </c>
      <c r="Z173" s="142">
        <f>IF(W173&lt;=($X$9*12),$X$15,IFERROR(-IPMT($X$11,W173-$X$9*12,($X$12-$X$9)*12,$X$6)+$X$13*_xlfn.XLOOKUP($Y$13,'RE Calculations'!$B$12:$B$16,'RE Calculations'!$C$12:$C$16,"ERROR - Check Input")/12,0))</f>
        <v>10</v>
      </c>
      <c r="AA173" s="142">
        <f t="shared" si="21"/>
        <v>0</v>
      </c>
    </row>
    <row r="174" spans="2:27" x14ac:dyDescent="0.35">
      <c r="B174" s="12">
        <v>152</v>
      </c>
      <c r="C174" s="142">
        <f>IF(F173&gt;0.01,-PMT($C$8,$C$9*12,$C$6)+$C$10*_xlfn.XLOOKUP($D$10,'RE Calculations'!$B$12:$B$16,'RE Calculations'!$C$12:$C$16,"ERROR - Check Input")/12,0)</f>
        <v>0</v>
      </c>
      <c r="D174" s="142">
        <f t="shared" si="22"/>
        <v>0</v>
      </c>
      <c r="E174" s="142">
        <f>IFERROR(-IPMT($C$8,B174,$C$9*12,$C$6)+$C$10*_xlfn.XLOOKUP($D$10,'RE Calculations'!$B$12:$B$16,'RE Calculations'!$C$12:$C$16,"ERROR - Check Input")/12,0)</f>
        <v>8.3333333333333339</v>
      </c>
      <c r="F174" s="142">
        <f t="shared" si="23"/>
        <v>0</v>
      </c>
      <c r="I174" s="12">
        <v>152</v>
      </c>
      <c r="J174" s="142">
        <f>IF(M173&gt;0.01,IF(I174&lt;=($J$9*12),$J$15,-PMT($J$11,($J$12-$J$9)*12,$J$6)+$J$13*_xlfn.XLOOKUP($K$13,'RE Calculations'!$B$12:$B$16,'RE Calculations'!$C$12:$C$16,"ERROR - Check Input")/12),0)</f>
        <v>0</v>
      </c>
      <c r="K174" s="142">
        <f t="shared" si="16"/>
        <v>0</v>
      </c>
      <c r="L174" s="142">
        <f>IF(I174&lt;=($J$9*12),$J$15,IFERROR(-IPMT($J$11,I174-$J$9*12,($J$12-$J$9)*12,$J$6)+$J$13*_xlfn.XLOOKUP($K$13,'RE Calculations'!$B$12:$B$16,'RE Calculations'!$C$12:$C$16,"ERROR - Check Input")/12,0))</f>
        <v>10</v>
      </c>
      <c r="M174" s="142">
        <f t="shared" si="17"/>
        <v>0</v>
      </c>
      <c r="P174" s="12">
        <v>152</v>
      </c>
      <c r="Q174" s="142">
        <f>IF(T173&gt;0.01,-PMT($Q$8,$Q$9*12,$Q$6)+$Q$10*_xlfn.XLOOKUP($R$10,'RE Calculations'!$B$12:$B$16,'RE Calculations'!$C$12:$C$16,"ERROR - Check Input")/12,0)</f>
        <v>0</v>
      </c>
      <c r="R174" s="142">
        <f t="shared" si="18"/>
        <v>0</v>
      </c>
      <c r="S174" s="142">
        <f>IFERROR(-IPMT($Q$8,P174,$Q$9*12,$Q$6)+$Q$10*_xlfn.XLOOKUP($R$10,'RE Calculations'!$B$12:$B$16,'RE Calculations'!$C$12:$C$16,"ERROR - Check Input")/12,0)</f>
        <v>8.3333333333333339</v>
      </c>
      <c r="T174" s="142">
        <f t="shared" si="19"/>
        <v>0</v>
      </c>
      <c r="W174" s="12">
        <v>152</v>
      </c>
      <c r="X174" s="142">
        <f>IF(AA173&gt;0.01,IF(W174&lt;=($X$9*12),$X$15,-PMT($X$11,($X$12-$X$9)*12,$X$6)+$X$13*_xlfn.XLOOKUP($Y$13,'RE Calculations'!$B$12:$B$16,'RE Calculations'!$C$12:$C$16,"ERROR - Check Input")/12),0)</f>
        <v>0</v>
      </c>
      <c r="Y174" s="142">
        <f t="shared" si="20"/>
        <v>0</v>
      </c>
      <c r="Z174" s="142">
        <f>IF(W174&lt;=($X$9*12),$X$15,IFERROR(-IPMT($X$11,W174-$X$9*12,($X$12-$X$9)*12,$X$6)+$X$13*_xlfn.XLOOKUP($Y$13,'RE Calculations'!$B$12:$B$16,'RE Calculations'!$C$12:$C$16,"ERROR - Check Input")/12,0))</f>
        <v>10</v>
      </c>
      <c r="AA174" s="142">
        <f t="shared" si="21"/>
        <v>0</v>
      </c>
    </row>
    <row r="175" spans="2:27" x14ac:dyDescent="0.35">
      <c r="B175" s="12">
        <v>153</v>
      </c>
      <c r="C175" s="142">
        <f>IF(F174&gt;0.01,-PMT($C$8,$C$9*12,$C$6)+$C$10*_xlfn.XLOOKUP($D$10,'RE Calculations'!$B$12:$B$16,'RE Calculations'!$C$12:$C$16,"ERROR - Check Input")/12,0)</f>
        <v>0</v>
      </c>
      <c r="D175" s="142">
        <f t="shared" si="22"/>
        <v>0</v>
      </c>
      <c r="E175" s="142">
        <f>IFERROR(-IPMT($C$8,B175,$C$9*12,$C$6)+$C$10*_xlfn.XLOOKUP($D$10,'RE Calculations'!$B$12:$B$16,'RE Calculations'!$C$12:$C$16,"ERROR - Check Input")/12,0)</f>
        <v>8.3333333333333339</v>
      </c>
      <c r="F175" s="142">
        <f t="shared" si="23"/>
        <v>0</v>
      </c>
      <c r="I175" s="12">
        <v>153</v>
      </c>
      <c r="J175" s="142">
        <f>IF(M174&gt;0.01,IF(I175&lt;=($J$9*12),$J$15,-PMT($J$11,($J$12-$J$9)*12,$J$6)+$J$13*_xlfn.XLOOKUP($K$13,'RE Calculations'!$B$12:$B$16,'RE Calculations'!$C$12:$C$16,"ERROR - Check Input")/12),0)</f>
        <v>0</v>
      </c>
      <c r="K175" s="142">
        <f t="shared" si="16"/>
        <v>0</v>
      </c>
      <c r="L175" s="142">
        <f>IF(I175&lt;=($J$9*12),$J$15,IFERROR(-IPMT($J$11,I175-$J$9*12,($J$12-$J$9)*12,$J$6)+$J$13*_xlfn.XLOOKUP($K$13,'RE Calculations'!$B$12:$B$16,'RE Calculations'!$C$12:$C$16,"ERROR - Check Input")/12,0))</f>
        <v>10</v>
      </c>
      <c r="M175" s="142">
        <f t="shared" si="17"/>
        <v>0</v>
      </c>
      <c r="P175" s="12">
        <v>153</v>
      </c>
      <c r="Q175" s="142">
        <f>IF(T174&gt;0.01,-PMT($Q$8,$Q$9*12,$Q$6)+$Q$10*_xlfn.XLOOKUP($R$10,'RE Calculations'!$B$12:$B$16,'RE Calculations'!$C$12:$C$16,"ERROR - Check Input")/12,0)</f>
        <v>0</v>
      </c>
      <c r="R175" s="142">
        <f t="shared" si="18"/>
        <v>0</v>
      </c>
      <c r="S175" s="142">
        <f>IFERROR(-IPMT($Q$8,P175,$Q$9*12,$Q$6)+$Q$10*_xlfn.XLOOKUP($R$10,'RE Calculations'!$B$12:$B$16,'RE Calculations'!$C$12:$C$16,"ERROR - Check Input")/12,0)</f>
        <v>8.3333333333333339</v>
      </c>
      <c r="T175" s="142">
        <f t="shared" si="19"/>
        <v>0</v>
      </c>
      <c r="W175" s="12">
        <v>153</v>
      </c>
      <c r="X175" s="142">
        <f>IF(AA174&gt;0.01,IF(W175&lt;=($X$9*12),$X$15,-PMT($X$11,($X$12-$X$9)*12,$X$6)+$X$13*_xlfn.XLOOKUP($Y$13,'RE Calculations'!$B$12:$B$16,'RE Calculations'!$C$12:$C$16,"ERROR - Check Input")/12),0)</f>
        <v>0</v>
      </c>
      <c r="Y175" s="142">
        <f t="shared" si="20"/>
        <v>0</v>
      </c>
      <c r="Z175" s="142">
        <f>IF(W175&lt;=($X$9*12),$X$15,IFERROR(-IPMT($X$11,W175-$X$9*12,($X$12-$X$9)*12,$X$6)+$X$13*_xlfn.XLOOKUP($Y$13,'RE Calculations'!$B$12:$B$16,'RE Calculations'!$C$12:$C$16,"ERROR - Check Input")/12,0))</f>
        <v>10</v>
      </c>
      <c r="AA175" s="142">
        <f t="shared" si="21"/>
        <v>0</v>
      </c>
    </row>
    <row r="176" spans="2:27" x14ac:dyDescent="0.35">
      <c r="B176" s="12">
        <v>154</v>
      </c>
      <c r="C176" s="142">
        <f>IF(F175&gt;0.01,-PMT($C$8,$C$9*12,$C$6)+$C$10*_xlfn.XLOOKUP($D$10,'RE Calculations'!$B$12:$B$16,'RE Calculations'!$C$12:$C$16,"ERROR - Check Input")/12,0)</f>
        <v>0</v>
      </c>
      <c r="D176" s="142">
        <f t="shared" si="22"/>
        <v>0</v>
      </c>
      <c r="E176" s="142">
        <f>IFERROR(-IPMT($C$8,B176,$C$9*12,$C$6)+$C$10*_xlfn.XLOOKUP($D$10,'RE Calculations'!$B$12:$B$16,'RE Calculations'!$C$12:$C$16,"ERROR - Check Input")/12,0)</f>
        <v>8.3333333333333339</v>
      </c>
      <c r="F176" s="142">
        <f t="shared" si="23"/>
        <v>0</v>
      </c>
      <c r="I176" s="12">
        <v>154</v>
      </c>
      <c r="J176" s="142">
        <f>IF(M175&gt;0.01,IF(I176&lt;=($J$9*12),$J$15,-PMT($J$11,($J$12-$J$9)*12,$J$6)+$J$13*_xlfn.XLOOKUP($K$13,'RE Calculations'!$B$12:$B$16,'RE Calculations'!$C$12:$C$16,"ERROR - Check Input")/12),0)</f>
        <v>0</v>
      </c>
      <c r="K176" s="142">
        <f t="shared" si="16"/>
        <v>0</v>
      </c>
      <c r="L176" s="142">
        <f>IF(I176&lt;=($J$9*12),$J$15,IFERROR(-IPMT($J$11,I176-$J$9*12,($J$12-$J$9)*12,$J$6)+$J$13*_xlfn.XLOOKUP($K$13,'RE Calculations'!$B$12:$B$16,'RE Calculations'!$C$12:$C$16,"ERROR - Check Input")/12,0))</f>
        <v>10</v>
      </c>
      <c r="M176" s="142">
        <f t="shared" si="17"/>
        <v>0</v>
      </c>
      <c r="P176" s="12">
        <v>154</v>
      </c>
      <c r="Q176" s="142">
        <f>IF(T175&gt;0.01,-PMT($Q$8,$Q$9*12,$Q$6)+$Q$10*_xlfn.XLOOKUP($R$10,'RE Calculations'!$B$12:$B$16,'RE Calculations'!$C$12:$C$16,"ERROR - Check Input")/12,0)</f>
        <v>0</v>
      </c>
      <c r="R176" s="142">
        <f t="shared" si="18"/>
        <v>0</v>
      </c>
      <c r="S176" s="142">
        <f>IFERROR(-IPMT($Q$8,P176,$Q$9*12,$Q$6)+$Q$10*_xlfn.XLOOKUP($R$10,'RE Calculations'!$B$12:$B$16,'RE Calculations'!$C$12:$C$16,"ERROR - Check Input")/12,0)</f>
        <v>8.3333333333333339</v>
      </c>
      <c r="T176" s="142">
        <f t="shared" si="19"/>
        <v>0</v>
      </c>
      <c r="W176" s="12">
        <v>154</v>
      </c>
      <c r="X176" s="142">
        <f>IF(AA175&gt;0.01,IF(W176&lt;=($X$9*12),$X$15,-PMT($X$11,($X$12-$X$9)*12,$X$6)+$X$13*_xlfn.XLOOKUP($Y$13,'RE Calculations'!$B$12:$B$16,'RE Calculations'!$C$12:$C$16,"ERROR - Check Input")/12),0)</f>
        <v>0</v>
      </c>
      <c r="Y176" s="142">
        <f t="shared" si="20"/>
        <v>0</v>
      </c>
      <c r="Z176" s="142">
        <f>IF(W176&lt;=($X$9*12),$X$15,IFERROR(-IPMT($X$11,W176-$X$9*12,($X$12-$X$9)*12,$X$6)+$X$13*_xlfn.XLOOKUP($Y$13,'RE Calculations'!$B$12:$B$16,'RE Calculations'!$C$12:$C$16,"ERROR - Check Input")/12,0))</f>
        <v>10</v>
      </c>
      <c r="AA176" s="142">
        <f t="shared" si="21"/>
        <v>0</v>
      </c>
    </row>
    <row r="177" spans="2:27" x14ac:dyDescent="0.35">
      <c r="B177" s="12">
        <v>155</v>
      </c>
      <c r="C177" s="142">
        <f>IF(F176&gt;0.01,-PMT($C$8,$C$9*12,$C$6)+$C$10*_xlfn.XLOOKUP($D$10,'RE Calculations'!$B$12:$B$16,'RE Calculations'!$C$12:$C$16,"ERROR - Check Input")/12,0)</f>
        <v>0</v>
      </c>
      <c r="D177" s="142">
        <f t="shared" si="22"/>
        <v>0</v>
      </c>
      <c r="E177" s="142">
        <f>IFERROR(-IPMT($C$8,B177,$C$9*12,$C$6)+$C$10*_xlfn.XLOOKUP($D$10,'RE Calculations'!$B$12:$B$16,'RE Calculations'!$C$12:$C$16,"ERROR - Check Input")/12,0)</f>
        <v>8.3333333333333339</v>
      </c>
      <c r="F177" s="142">
        <f t="shared" si="23"/>
        <v>0</v>
      </c>
      <c r="I177" s="12">
        <v>155</v>
      </c>
      <c r="J177" s="142">
        <f>IF(M176&gt;0.01,IF(I177&lt;=($J$9*12),$J$15,-PMT($J$11,($J$12-$J$9)*12,$J$6)+$J$13*_xlfn.XLOOKUP($K$13,'RE Calculations'!$B$12:$B$16,'RE Calculations'!$C$12:$C$16,"ERROR - Check Input")/12),0)</f>
        <v>0</v>
      </c>
      <c r="K177" s="142">
        <f t="shared" si="16"/>
        <v>0</v>
      </c>
      <c r="L177" s="142">
        <f>IF(I177&lt;=($J$9*12),$J$15,IFERROR(-IPMT($J$11,I177-$J$9*12,($J$12-$J$9)*12,$J$6)+$J$13*_xlfn.XLOOKUP($K$13,'RE Calculations'!$B$12:$B$16,'RE Calculations'!$C$12:$C$16,"ERROR - Check Input")/12,0))</f>
        <v>10</v>
      </c>
      <c r="M177" s="142">
        <f t="shared" si="17"/>
        <v>0</v>
      </c>
      <c r="P177" s="12">
        <v>155</v>
      </c>
      <c r="Q177" s="142">
        <f>IF(T176&gt;0.01,-PMT($Q$8,$Q$9*12,$Q$6)+$Q$10*_xlfn.XLOOKUP($R$10,'RE Calculations'!$B$12:$B$16,'RE Calculations'!$C$12:$C$16,"ERROR - Check Input")/12,0)</f>
        <v>0</v>
      </c>
      <c r="R177" s="142">
        <f t="shared" si="18"/>
        <v>0</v>
      </c>
      <c r="S177" s="142">
        <f>IFERROR(-IPMT($Q$8,P177,$Q$9*12,$Q$6)+$Q$10*_xlfn.XLOOKUP($R$10,'RE Calculations'!$B$12:$B$16,'RE Calculations'!$C$12:$C$16,"ERROR - Check Input")/12,0)</f>
        <v>8.3333333333333339</v>
      </c>
      <c r="T177" s="142">
        <f t="shared" si="19"/>
        <v>0</v>
      </c>
      <c r="W177" s="12">
        <v>155</v>
      </c>
      <c r="X177" s="142">
        <f>IF(AA176&gt;0.01,IF(W177&lt;=($X$9*12),$X$15,-PMT($X$11,($X$12-$X$9)*12,$X$6)+$X$13*_xlfn.XLOOKUP($Y$13,'RE Calculations'!$B$12:$B$16,'RE Calculations'!$C$12:$C$16,"ERROR - Check Input")/12),0)</f>
        <v>0</v>
      </c>
      <c r="Y177" s="142">
        <f t="shared" si="20"/>
        <v>0</v>
      </c>
      <c r="Z177" s="142">
        <f>IF(W177&lt;=($X$9*12),$X$15,IFERROR(-IPMT($X$11,W177-$X$9*12,($X$12-$X$9)*12,$X$6)+$X$13*_xlfn.XLOOKUP($Y$13,'RE Calculations'!$B$12:$B$16,'RE Calculations'!$C$12:$C$16,"ERROR - Check Input")/12,0))</f>
        <v>10</v>
      </c>
      <c r="AA177" s="142">
        <f t="shared" si="21"/>
        <v>0</v>
      </c>
    </row>
    <row r="178" spans="2:27" x14ac:dyDescent="0.35">
      <c r="B178" s="12">
        <v>156</v>
      </c>
      <c r="C178" s="142">
        <f>IF(F177&gt;0.01,-PMT($C$8,$C$9*12,$C$6)+$C$10*_xlfn.XLOOKUP($D$10,'RE Calculations'!$B$12:$B$16,'RE Calculations'!$C$12:$C$16,"ERROR - Check Input")/12,0)</f>
        <v>0</v>
      </c>
      <c r="D178" s="142">
        <f t="shared" si="22"/>
        <v>0</v>
      </c>
      <c r="E178" s="142">
        <f>IFERROR(-IPMT($C$8,B178,$C$9*12,$C$6)+$C$10*_xlfn.XLOOKUP($D$10,'RE Calculations'!$B$12:$B$16,'RE Calculations'!$C$12:$C$16,"ERROR - Check Input")/12,0)</f>
        <v>8.3333333333333339</v>
      </c>
      <c r="F178" s="142">
        <f t="shared" si="23"/>
        <v>0</v>
      </c>
      <c r="I178" s="12">
        <v>156</v>
      </c>
      <c r="J178" s="142">
        <f>IF(M177&gt;0.01,IF(I178&lt;=($J$9*12),$J$15,-PMT($J$11,($J$12-$J$9)*12,$J$6)+$J$13*_xlfn.XLOOKUP($K$13,'RE Calculations'!$B$12:$B$16,'RE Calculations'!$C$12:$C$16,"ERROR - Check Input")/12),0)</f>
        <v>0</v>
      </c>
      <c r="K178" s="142">
        <f t="shared" si="16"/>
        <v>0</v>
      </c>
      <c r="L178" s="142">
        <f>IF(I178&lt;=($J$9*12),$J$15,IFERROR(-IPMT($J$11,I178-$J$9*12,($J$12-$J$9)*12,$J$6)+$J$13*_xlfn.XLOOKUP($K$13,'RE Calculations'!$B$12:$B$16,'RE Calculations'!$C$12:$C$16,"ERROR - Check Input")/12,0))</f>
        <v>10</v>
      </c>
      <c r="M178" s="142">
        <f t="shared" si="17"/>
        <v>0</v>
      </c>
      <c r="P178" s="12">
        <v>156</v>
      </c>
      <c r="Q178" s="142">
        <f>IF(T177&gt;0.01,-PMT($Q$8,$Q$9*12,$Q$6)+$Q$10*_xlfn.XLOOKUP($R$10,'RE Calculations'!$B$12:$B$16,'RE Calculations'!$C$12:$C$16,"ERROR - Check Input")/12,0)</f>
        <v>0</v>
      </c>
      <c r="R178" s="142">
        <f t="shared" si="18"/>
        <v>0</v>
      </c>
      <c r="S178" s="142">
        <f>IFERROR(-IPMT($Q$8,P178,$Q$9*12,$Q$6)+$Q$10*_xlfn.XLOOKUP($R$10,'RE Calculations'!$B$12:$B$16,'RE Calculations'!$C$12:$C$16,"ERROR - Check Input")/12,0)</f>
        <v>8.3333333333333339</v>
      </c>
      <c r="T178" s="142">
        <f t="shared" si="19"/>
        <v>0</v>
      </c>
      <c r="W178" s="12">
        <v>156</v>
      </c>
      <c r="X178" s="142">
        <f>IF(AA177&gt;0.01,IF(W178&lt;=($X$9*12),$X$15,-PMT($X$11,($X$12-$X$9)*12,$X$6)+$X$13*_xlfn.XLOOKUP($Y$13,'RE Calculations'!$B$12:$B$16,'RE Calculations'!$C$12:$C$16,"ERROR - Check Input")/12),0)</f>
        <v>0</v>
      </c>
      <c r="Y178" s="142">
        <f t="shared" si="20"/>
        <v>0</v>
      </c>
      <c r="Z178" s="142">
        <f>IF(W178&lt;=($X$9*12),$X$15,IFERROR(-IPMT($X$11,W178-$X$9*12,($X$12-$X$9)*12,$X$6)+$X$13*_xlfn.XLOOKUP($Y$13,'RE Calculations'!$B$12:$B$16,'RE Calculations'!$C$12:$C$16,"ERROR - Check Input")/12,0))</f>
        <v>10</v>
      </c>
      <c r="AA178" s="142">
        <f t="shared" si="21"/>
        <v>0</v>
      </c>
    </row>
    <row r="179" spans="2:27" x14ac:dyDescent="0.35">
      <c r="B179" s="12">
        <v>157</v>
      </c>
      <c r="C179" s="142">
        <f>IF(F178&gt;0.01,-PMT($C$8,$C$9*12,$C$6)+$C$10*_xlfn.XLOOKUP($D$10,'RE Calculations'!$B$12:$B$16,'RE Calculations'!$C$12:$C$16,"ERROR - Check Input")/12,0)</f>
        <v>0</v>
      </c>
      <c r="D179" s="142">
        <f t="shared" si="22"/>
        <v>0</v>
      </c>
      <c r="E179" s="142">
        <f>IFERROR(-IPMT($C$8,B179,$C$9*12,$C$6)+$C$10*_xlfn.XLOOKUP($D$10,'RE Calculations'!$B$12:$B$16,'RE Calculations'!$C$12:$C$16,"ERROR - Check Input")/12,0)</f>
        <v>8.3333333333333339</v>
      </c>
      <c r="F179" s="142">
        <f t="shared" si="23"/>
        <v>0</v>
      </c>
      <c r="I179" s="12">
        <v>157</v>
      </c>
      <c r="J179" s="142">
        <f>IF(M178&gt;0.01,IF(I179&lt;=($J$9*12),$J$15,-PMT($J$11,($J$12-$J$9)*12,$J$6)+$J$13*_xlfn.XLOOKUP($K$13,'RE Calculations'!$B$12:$B$16,'RE Calculations'!$C$12:$C$16,"ERROR - Check Input")/12),0)</f>
        <v>0</v>
      </c>
      <c r="K179" s="142">
        <f t="shared" si="16"/>
        <v>0</v>
      </c>
      <c r="L179" s="142">
        <f>IF(I179&lt;=($J$9*12),$J$15,IFERROR(-IPMT($J$11,I179-$J$9*12,($J$12-$J$9)*12,$J$6)+$J$13*_xlfn.XLOOKUP($K$13,'RE Calculations'!$B$12:$B$16,'RE Calculations'!$C$12:$C$16,"ERROR - Check Input")/12,0))</f>
        <v>10</v>
      </c>
      <c r="M179" s="142">
        <f t="shared" si="17"/>
        <v>0</v>
      </c>
      <c r="P179" s="12">
        <v>157</v>
      </c>
      <c r="Q179" s="142">
        <f>IF(T178&gt;0.01,-PMT($Q$8,$Q$9*12,$Q$6)+$Q$10*_xlfn.XLOOKUP($R$10,'RE Calculations'!$B$12:$B$16,'RE Calculations'!$C$12:$C$16,"ERROR - Check Input")/12,0)</f>
        <v>0</v>
      </c>
      <c r="R179" s="142">
        <f t="shared" si="18"/>
        <v>0</v>
      </c>
      <c r="S179" s="142">
        <f>IFERROR(-IPMT($Q$8,P179,$Q$9*12,$Q$6)+$Q$10*_xlfn.XLOOKUP($R$10,'RE Calculations'!$B$12:$B$16,'RE Calculations'!$C$12:$C$16,"ERROR - Check Input")/12,0)</f>
        <v>8.3333333333333339</v>
      </c>
      <c r="T179" s="142">
        <f t="shared" si="19"/>
        <v>0</v>
      </c>
      <c r="W179" s="12">
        <v>157</v>
      </c>
      <c r="X179" s="142">
        <f>IF(AA178&gt;0.01,IF(W179&lt;=($X$9*12),$X$15,-PMT($X$11,($X$12-$X$9)*12,$X$6)+$X$13*_xlfn.XLOOKUP($Y$13,'RE Calculations'!$B$12:$B$16,'RE Calculations'!$C$12:$C$16,"ERROR - Check Input")/12),0)</f>
        <v>0</v>
      </c>
      <c r="Y179" s="142">
        <f t="shared" si="20"/>
        <v>0</v>
      </c>
      <c r="Z179" s="142">
        <f>IF(W179&lt;=($X$9*12),$X$15,IFERROR(-IPMT($X$11,W179-$X$9*12,($X$12-$X$9)*12,$X$6)+$X$13*_xlfn.XLOOKUP($Y$13,'RE Calculations'!$B$12:$B$16,'RE Calculations'!$C$12:$C$16,"ERROR - Check Input")/12,0))</f>
        <v>10</v>
      </c>
      <c r="AA179" s="142">
        <f t="shared" si="21"/>
        <v>0</v>
      </c>
    </row>
    <row r="180" spans="2:27" x14ac:dyDescent="0.35">
      <c r="B180" s="12">
        <v>158</v>
      </c>
      <c r="C180" s="142">
        <f>IF(F179&gt;0.01,-PMT($C$8,$C$9*12,$C$6)+$C$10*_xlfn.XLOOKUP($D$10,'RE Calculations'!$B$12:$B$16,'RE Calculations'!$C$12:$C$16,"ERROR - Check Input")/12,0)</f>
        <v>0</v>
      </c>
      <c r="D180" s="142">
        <f t="shared" si="22"/>
        <v>0</v>
      </c>
      <c r="E180" s="142">
        <f>IFERROR(-IPMT($C$8,B180,$C$9*12,$C$6)+$C$10*_xlfn.XLOOKUP($D$10,'RE Calculations'!$B$12:$B$16,'RE Calculations'!$C$12:$C$16,"ERROR - Check Input")/12,0)</f>
        <v>8.3333333333333339</v>
      </c>
      <c r="F180" s="142">
        <f t="shared" si="23"/>
        <v>0</v>
      </c>
      <c r="I180" s="12">
        <v>158</v>
      </c>
      <c r="J180" s="142">
        <f>IF(M179&gt;0.01,IF(I180&lt;=($J$9*12),$J$15,-PMT($J$11,($J$12-$J$9)*12,$J$6)+$J$13*_xlfn.XLOOKUP($K$13,'RE Calculations'!$B$12:$B$16,'RE Calculations'!$C$12:$C$16,"ERROR - Check Input")/12),0)</f>
        <v>0</v>
      </c>
      <c r="K180" s="142">
        <f t="shared" si="16"/>
        <v>0</v>
      </c>
      <c r="L180" s="142">
        <f>IF(I180&lt;=($J$9*12),$J$15,IFERROR(-IPMT($J$11,I180-$J$9*12,($J$12-$J$9)*12,$J$6)+$J$13*_xlfn.XLOOKUP($K$13,'RE Calculations'!$B$12:$B$16,'RE Calculations'!$C$12:$C$16,"ERROR - Check Input")/12,0))</f>
        <v>10</v>
      </c>
      <c r="M180" s="142">
        <f t="shared" si="17"/>
        <v>0</v>
      </c>
      <c r="P180" s="12">
        <v>158</v>
      </c>
      <c r="Q180" s="142">
        <f>IF(T179&gt;0.01,-PMT($Q$8,$Q$9*12,$Q$6)+$Q$10*_xlfn.XLOOKUP($R$10,'RE Calculations'!$B$12:$B$16,'RE Calculations'!$C$12:$C$16,"ERROR - Check Input")/12,0)</f>
        <v>0</v>
      </c>
      <c r="R180" s="142">
        <f t="shared" si="18"/>
        <v>0</v>
      </c>
      <c r="S180" s="142">
        <f>IFERROR(-IPMT($Q$8,P180,$Q$9*12,$Q$6)+$Q$10*_xlfn.XLOOKUP($R$10,'RE Calculations'!$B$12:$B$16,'RE Calculations'!$C$12:$C$16,"ERROR - Check Input")/12,0)</f>
        <v>8.3333333333333339</v>
      </c>
      <c r="T180" s="142">
        <f t="shared" si="19"/>
        <v>0</v>
      </c>
      <c r="W180" s="12">
        <v>158</v>
      </c>
      <c r="X180" s="142">
        <f>IF(AA179&gt;0.01,IF(W180&lt;=($X$9*12),$X$15,-PMT($X$11,($X$12-$X$9)*12,$X$6)+$X$13*_xlfn.XLOOKUP($Y$13,'RE Calculations'!$B$12:$B$16,'RE Calculations'!$C$12:$C$16,"ERROR - Check Input")/12),0)</f>
        <v>0</v>
      </c>
      <c r="Y180" s="142">
        <f t="shared" si="20"/>
        <v>0</v>
      </c>
      <c r="Z180" s="142">
        <f>IF(W180&lt;=($X$9*12),$X$15,IFERROR(-IPMT($X$11,W180-$X$9*12,($X$12-$X$9)*12,$X$6)+$X$13*_xlfn.XLOOKUP($Y$13,'RE Calculations'!$B$12:$B$16,'RE Calculations'!$C$12:$C$16,"ERROR - Check Input")/12,0))</f>
        <v>10</v>
      </c>
      <c r="AA180" s="142">
        <f t="shared" si="21"/>
        <v>0</v>
      </c>
    </row>
    <row r="181" spans="2:27" x14ac:dyDescent="0.35">
      <c r="B181" s="12">
        <v>159</v>
      </c>
      <c r="C181" s="142">
        <f>IF(F180&gt;0.01,-PMT($C$8,$C$9*12,$C$6)+$C$10*_xlfn.XLOOKUP($D$10,'RE Calculations'!$B$12:$B$16,'RE Calculations'!$C$12:$C$16,"ERROR - Check Input")/12,0)</f>
        <v>0</v>
      </c>
      <c r="D181" s="142">
        <f t="shared" si="22"/>
        <v>0</v>
      </c>
      <c r="E181" s="142">
        <f>IFERROR(-IPMT($C$8,B181,$C$9*12,$C$6)+$C$10*_xlfn.XLOOKUP($D$10,'RE Calculations'!$B$12:$B$16,'RE Calculations'!$C$12:$C$16,"ERROR - Check Input")/12,0)</f>
        <v>8.3333333333333339</v>
      </c>
      <c r="F181" s="142">
        <f t="shared" si="23"/>
        <v>0</v>
      </c>
      <c r="I181" s="12">
        <v>159</v>
      </c>
      <c r="J181" s="142">
        <f>IF(M180&gt;0.01,IF(I181&lt;=($J$9*12),$J$15,-PMT($J$11,($J$12-$J$9)*12,$J$6)+$J$13*_xlfn.XLOOKUP($K$13,'RE Calculations'!$B$12:$B$16,'RE Calculations'!$C$12:$C$16,"ERROR - Check Input")/12),0)</f>
        <v>0</v>
      </c>
      <c r="K181" s="142">
        <f t="shared" si="16"/>
        <v>0</v>
      </c>
      <c r="L181" s="142">
        <f>IF(I181&lt;=($J$9*12),$J$15,IFERROR(-IPMT($J$11,I181-$J$9*12,($J$12-$J$9)*12,$J$6)+$J$13*_xlfn.XLOOKUP($K$13,'RE Calculations'!$B$12:$B$16,'RE Calculations'!$C$12:$C$16,"ERROR - Check Input")/12,0))</f>
        <v>10</v>
      </c>
      <c r="M181" s="142">
        <f t="shared" si="17"/>
        <v>0</v>
      </c>
      <c r="P181" s="12">
        <v>159</v>
      </c>
      <c r="Q181" s="142">
        <f>IF(T180&gt;0.01,-PMT($Q$8,$Q$9*12,$Q$6)+$Q$10*_xlfn.XLOOKUP($R$10,'RE Calculations'!$B$12:$B$16,'RE Calculations'!$C$12:$C$16,"ERROR - Check Input")/12,0)</f>
        <v>0</v>
      </c>
      <c r="R181" s="142">
        <f t="shared" si="18"/>
        <v>0</v>
      </c>
      <c r="S181" s="142">
        <f>IFERROR(-IPMT($Q$8,P181,$Q$9*12,$Q$6)+$Q$10*_xlfn.XLOOKUP($R$10,'RE Calculations'!$B$12:$B$16,'RE Calculations'!$C$12:$C$16,"ERROR - Check Input")/12,0)</f>
        <v>8.3333333333333339</v>
      </c>
      <c r="T181" s="142">
        <f t="shared" si="19"/>
        <v>0</v>
      </c>
      <c r="W181" s="12">
        <v>159</v>
      </c>
      <c r="X181" s="142">
        <f>IF(AA180&gt;0.01,IF(W181&lt;=($X$9*12),$X$15,-PMT($X$11,($X$12-$X$9)*12,$X$6)+$X$13*_xlfn.XLOOKUP($Y$13,'RE Calculations'!$B$12:$B$16,'RE Calculations'!$C$12:$C$16,"ERROR - Check Input")/12),0)</f>
        <v>0</v>
      </c>
      <c r="Y181" s="142">
        <f t="shared" si="20"/>
        <v>0</v>
      </c>
      <c r="Z181" s="142">
        <f>IF(W181&lt;=($X$9*12),$X$15,IFERROR(-IPMT($X$11,W181-$X$9*12,($X$12-$X$9)*12,$X$6)+$X$13*_xlfn.XLOOKUP($Y$13,'RE Calculations'!$B$12:$B$16,'RE Calculations'!$C$12:$C$16,"ERROR - Check Input")/12,0))</f>
        <v>10</v>
      </c>
      <c r="AA181" s="142">
        <f t="shared" si="21"/>
        <v>0</v>
      </c>
    </row>
    <row r="182" spans="2:27" x14ac:dyDescent="0.35">
      <c r="B182" s="12">
        <v>160</v>
      </c>
      <c r="C182" s="142">
        <f>IF(F181&gt;0.01,-PMT($C$8,$C$9*12,$C$6)+$C$10*_xlfn.XLOOKUP($D$10,'RE Calculations'!$B$12:$B$16,'RE Calculations'!$C$12:$C$16,"ERROR - Check Input")/12,0)</f>
        <v>0</v>
      </c>
      <c r="D182" s="142">
        <f t="shared" si="22"/>
        <v>0</v>
      </c>
      <c r="E182" s="142">
        <f>IFERROR(-IPMT($C$8,B182,$C$9*12,$C$6)+$C$10*_xlfn.XLOOKUP($D$10,'RE Calculations'!$B$12:$B$16,'RE Calculations'!$C$12:$C$16,"ERROR - Check Input")/12,0)</f>
        <v>8.3333333333333339</v>
      </c>
      <c r="F182" s="142">
        <f t="shared" si="23"/>
        <v>0</v>
      </c>
      <c r="I182" s="12">
        <v>160</v>
      </c>
      <c r="J182" s="142">
        <f>IF(M181&gt;0.01,IF(I182&lt;=($J$9*12),$J$15,-PMT($J$11,($J$12-$J$9)*12,$J$6)+$J$13*_xlfn.XLOOKUP($K$13,'RE Calculations'!$B$12:$B$16,'RE Calculations'!$C$12:$C$16,"ERROR - Check Input")/12),0)</f>
        <v>0</v>
      </c>
      <c r="K182" s="142">
        <f t="shared" si="16"/>
        <v>0</v>
      </c>
      <c r="L182" s="142">
        <f>IF(I182&lt;=($J$9*12),$J$15,IFERROR(-IPMT($J$11,I182-$J$9*12,($J$12-$J$9)*12,$J$6)+$J$13*_xlfn.XLOOKUP($K$13,'RE Calculations'!$B$12:$B$16,'RE Calculations'!$C$12:$C$16,"ERROR - Check Input")/12,0))</f>
        <v>10</v>
      </c>
      <c r="M182" s="142">
        <f t="shared" si="17"/>
        <v>0</v>
      </c>
      <c r="P182" s="12">
        <v>160</v>
      </c>
      <c r="Q182" s="142">
        <f>IF(T181&gt;0.01,-PMT($Q$8,$Q$9*12,$Q$6)+$Q$10*_xlfn.XLOOKUP($R$10,'RE Calculations'!$B$12:$B$16,'RE Calculations'!$C$12:$C$16,"ERROR - Check Input")/12,0)</f>
        <v>0</v>
      </c>
      <c r="R182" s="142">
        <f t="shared" si="18"/>
        <v>0</v>
      </c>
      <c r="S182" s="142">
        <f>IFERROR(-IPMT($Q$8,P182,$Q$9*12,$Q$6)+$Q$10*_xlfn.XLOOKUP($R$10,'RE Calculations'!$B$12:$B$16,'RE Calculations'!$C$12:$C$16,"ERROR - Check Input")/12,0)</f>
        <v>8.3333333333333339</v>
      </c>
      <c r="T182" s="142">
        <f t="shared" si="19"/>
        <v>0</v>
      </c>
      <c r="W182" s="12">
        <v>160</v>
      </c>
      <c r="X182" s="142">
        <f>IF(AA181&gt;0.01,IF(W182&lt;=($X$9*12),$X$15,-PMT($X$11,($X$12-$X$9)*12,$X$6)+$X$13*_xlfn.XLOOKUP($Y$13,'RE Calculations'!$B$12:$B$16,'RE Calculations'!$C$12:$C$16,"ERROR - Check Input")/12),0)</f>
        <v>0</v>
      </c>
      <c r="Y182" s="142">
        <f t="shared" si="20"/>
        <v>0</v>
      </c>
      <c r="Z182" s="142">
        <f>IF(W182&lt;=($X$9*12),$X$15,IFERROR(-IPMT($X$11,W182-$X$9*12,($X$12-$X$9)*12,$X$6)+$X$13*_xlfn.XLOOKUP($Y$13,'RE Calculations'!$B$12:$B$16,'RE Calculations'!$C$12:$C$16,"ERROR - Check Input")/12,0))</f>
        <v>10</v>
      </c>
      <c r="AA182" s="142">
        <f t="shared" si="21"/>
        <v>0</v>
      </c>
    </row>
    <row r="183" spans="2:27" x14ac:dyDescent="0.35">
      <c r="B183" s="12">
        <v>161</v>
      </c>
      <c r="C183" s="142">
        <f>IF(F182&gt;0.01,-PMT($C$8,$C$9*12,$C$6)+$C$10*_xlfn.XLOOKUP($D$10,'RE Calculations'!$B$12:$B$16,'RE Calculations'!$C$12:$C$16,"ERROR - Check Input")/12,0)</f>
        <v>0</v>
      </c>
      <c r="D183" s="142">
        <f t="shared" si="22"/>
        <v>0</v>
      </c>
      <c r="E183" s="142">
        <f>IFERROR(-IPMT($C$8,B183,$C$9*12,$C$6)+$C$10*_xlfn.XLOOKUP($D$10,'RE Calculations'!$B$12:$B$16,'RE Calculations'!$C$12:$C$16,"ERROR - Check Input")/12,0)</f>
        <v>8.3333333333333339</v>
      </c>
      <c r="F183" s="142">
        <f t="shared" si="23"/>
        <v>0</v>
      </c>
      <c r="I183" s="12">
        <v>161</v>
      </c>
      <c r="J183" s="142">
        <f>IF(M182&gt;0.01,IF(I183&lt;=($J$9*12),$J$15,-PMT($J$11,($J$12-$J$9)*12,$J$6)+$J$13*_xlfn.XLOOKUP($K$13,'RE Calculations'!$B$12:$B$16,'RE Calculations'!$C$12:$C$16,"ERROR - Check Input")/12),0)</f>
        <v>0</v>
      </c>
      <c r="K183" s="142">
        <f t="shared" si="16"/>
        <v>0</v>
      </c>
      <c r="L183" s="142">
        <f>IF(I183&lt;=($J$9*12),$J$15,IFERROR(-IPMT($J$11,I183-$J$9*12,($J$12-$J$9)*12,$J$6)+$J$13*_xlfn.XLOOKUP($K$13,'RE Calculations'!$B$12:$B$16,'RE Calculations'!$C$12:$C$16,"ERROR - Check Input")/12,0))</f>
        <v>10</v>
      </c>
      <c r="M183" s="142">
        <f t="shared" si="17"/>
        <v>0</v>
      </c>
      <c r="P183" s="12">
        <v>161</v>
      </c>
      <c r="Q183" s="142">
        <f>IF(T182&gt;0.01,-PMT($Q$8,$Q$9*12,$Q$6)+$Q$10*_xlfn.XLOOKUP($R$10,'RE Calculations'!$B$12:$B$16,'RE Calculations'!$C$12:$C$16,"ERROR - Check Input")/12,0)</f>
        <v>0</v>
      </c>
      <c r="R183" s="142">
        <f t="shared" si="18"/>
        <v>0</v>
      </c>
      <c r="S183" s="142">
        <f>IFERROR(-IPMT($Q$8,P183,$Q$9*12,$Q$6)+$Q$10*_xlfn.XLOOKUP($R$10,'RE Calculations'!$B$12:$B$16,'RE Calculations'!$C$12:$C$16,"ERROR - Check Input")/12,0)</f>
        <v>8.3333333333333339</v>
      </c>
      <c r="T183" s="142">
        <f t="shared" si="19"/>
        <v>0</v>
      </c>
      <c r="W183" s="12">
        <v>161</v>
      </c>
      <c r="X183" s="142">
        <f>IF(AA182&gt;0.01,IF(W183&lt;=($X$9*12),$X$15,-PMT($X$11,($X$12-$X$9)*12,$X$6)+$X$13*_xlfn.XLOOKUP($Y$13,'RE Calculations'!$B$12:$B$16,'RE Calculations'!$C$12:$C$16,"ERROR - Check Input")/12),0)</f>
        <v>0</v>
      </c>
      <c r="Y183" s="142">
        <f t="shared" si="20"/>
        <v>0</v>
      </c>
      <c r="Z183" s="142">
        <f>IF(W183&lt;=($X$9*12),$X$15,IFERROR(-IPMT($X$11,W183-$X$9*12,($X$12-$X$9)*12,$X$6)+$X$13*_xlfn.XLOOKUP($Y$13,'RE Calculations'!$B$12:$B$16,'RE Calculations'!$C$12:$C$16,"ERROR - Check Input")/12,0))</f>
        <v>10</v>
      </c>
      <c r="AA183" s="142">
        <f t="shared" si="21"/>
        <v>0</v>
      </c>
    </row>
    <row r="184" spans="2:27" x14ac:dyDescent="0.35">
      <c r="B184" s="12">
        <v>162</v>
      </c>
      <c r="C184" s="142">
        <f>IF(F183&gt;0.01,-PMT($C$8,$C$9*12,$C$6)+$C$10*_xlfn.XLOOKUP($D$10,'RE Calculations'!$B$12:$B$16,'RE Calculations'!$C$12:$C$16,"ERROR - Check Input")/12,0)</f>
        <v>0</v>
      </c>
      <c r="D184" s="142">
        <f t="shared" si="22"/>
        <v>0</v>
      </c>
      <c r="E184" s="142">
        <f>IFERROR(-IPMT($C$8,B184,$C$9*12,$C$6)+$C$10*_xlfn.XLOOKUP($D$10,'RE Calculations'!$B$12:$B$16,'RE Calculations'!$C$12:$C$16,"ERROR - Check Input")/12,0)</f>
        <v>8.3333333333333339</v>
      </c>
      <c r="F184" s="142">
        <f t="shared" si="23"/>
        <v>0</v>
      </c>
      <c r="I184" s="12">
        <v>162</v>
      </c>
      <c r="J184" s="142">
        <f>IF(M183&gt;0.01,IF(I184&lt;=($J$9*12),$J$15,-PMT($J$11,($J$12-$J$9)*12,$J$6)+$J$13*_xlfn.XLOOKUP($K$13,'RE Calculations'!$B$12:$B$16,'RE Calculations'!$C$12:$C$16,"ERROR - Check Input")/12),0)</f>
        <v>0</v>
      </c>
      <c r="K184" s="142">
        <f t="shared" si="16"/>
        <v>0</v>
      </c>
      <c r="L184" s="142">
        <f>IF(I184&lt;=($J$9*12),$J$15,IFERROR(-IPMT($J$11,I184-$J$9*12,($J$12-$J$9)*12,$J$6)+$J$13*_xlfn.XLOOKUP($K$13,'RE Calculations'!$B$12:$B$16,'RE Calculations'!$C$12:$C$16,"ERROR - Check Input")/12,0))</f>
        <v>10</v>
      </c>
      <c r="M184" s="142">
        <f t="shared" si="17"/>
        <v>0</v>
      </c>
      <c r="P184" s="12">
        <v>162</v>
      </c>
      <c r="Q184" s="142">
        <f>IF(T183&gt;0.01,-PMT($Q$8,$Q$9*12,$Q$6)+$Q$10*_xlfn.XLOOKUP($R$10,'RE Calculations'!$B$12:$B$16,'RE Calculations'!$C$12:$C$16,"ERROR - Check Input")/12,0)</f>
        <v>0</v>
      </c>
      <c r="R184" s="142">
        <f t="shared" si="18"/>
        <v>0</v>
      </c>
      <c r="S184" s="142">
        <f>IFERROR(-IPMT($Q$8,P184,$Q$9*12,$Q$6)+$Q$10*_xlfn.XLOOKUP($R$10,'RE Calculations'!$B$12:$B$16,'RE Calculations'!$C$12:$C$16,"ERROR - Check Input")/12,0)</f>
        <v>8.3333333333333339</v>
      </c>
      <c r="T184" s="142">
        <f t="shared" si="19"/>
        <v>0</v>
      </c>
      <c r="W184" s="12">
        <v>162</v>
      </c>
      <c r="X184" s="142">
        <f>IF(AA183&gt;0.01,IF(W184&lt;=($X$9*12),$X$15,-PMT($X$11,($X$12-$X$9)*12,$X$6)+$X$13*_xlfn.XLOOKUP($Y$13,'RE Calculations'!$B$12:$B$16,'RE Calculations'!$C$12:$C$16,"ERROR - Check Input")/12),0)</f>
        <v>0</v>
      </c>
      <c r="Y184" s="142">
        <f t="shared" si="20"/>
        <v>0</v>
      </c>
      <c r="Z184" s="142">
        <f>IF(W184&lt;=($X$9*12),$X$15,IFERROR(-IPMT($X$11,W184-$X$9*12,($X$12-$X$9)*12,$X$6)+$X$13*_xlfn.XLOOKUP($Y$13,'RE Calculations'!$B$12:$B$16,'RE Calculations'!$C$12:$C$16,"ERROR - Check Input")/12,0))</f>
        <v>10</v>
      </c>
      <c r="AA184" s="142">
        <f t="shared" si="21"/>
        <v>0</v>
      </c>
    </row>
    <row r="185" spans="2:27" x14ac:dyDescent="0.35">
      <c r="B185" s="12">
        <v>163</v>
      </c>
      <c r="C185" s="142">
        <f>IF(F184&gt;0.01,-PMT($C$8,$C$9*12,$C$6)+$C$10*_xlfn.XLOOKUP($D$10,'RE Calculations'!$B$12:$B$16,'RE Calculations'!$C$12:$C$16,"ERROR - Check Input")/12,0)</f>
        <v>0</v>
      </c>
      <c r="D185" s="142">
        <f t="shared" si="22"/>
        <v>0</v>
      </c>
      <c r="E185" s="142">
        <f>IFERROR(-IPMT($C$8,B185,$C$9*12,$C$6)+$C$10*_xlfn.XLOOKUP($D$10,'RE Calculations'!$B$12:$B$16,'RE Calculations'!$C$12:$C$16,"ERROR - Check Input")/12,0)</f>
        <v>8.3333333333333339</v>
      </c>
      <c r="F185" s="142">
        <f t="shared" si="23"/>
        <v>0</v>
      </c>
      <c r="I185" s="12">
        <v>163</v>
      </c>
      <c r="J185" s="142">
        <f>IF(M184&gt;0.01,IF(I185&lt;=($J$9*12),$J$15,-PMT($J$11,($J$12-$J$9)*12,$J$6)+$J$13*_xlfn.XLOOKUP($K$13,'RE Calculations'!$B$12:$B$16,'RE Calculations'!$C$12:$C$16,"ERROR - Check Input")/12),0)</f>
        <v>0</v>
      </c>
      <c r="K185" s="142">
        <f t="shared" si="16"/>
        <v>0</v>
      </c>
      <c r="L185" s="142">
        <f>IF(I185&lt;=($J$9*12),$J$15,IFERROR(-IPMT($J$11,I185-$J$9*12,($J$12-$J$9)*12,$J$6)+$J$13*_xlfn.XLOOKUP($K$13,'RE Calculations'!$B$12:$B$16,'RE Calculations'!$C$12:$C$16,"ERROR - Check Input")/12,0))</f>
        <v>10</v>
      </c>
      <c r="M185" s="142">
        <f t="shared" si="17"/>
        <v>0</v>
      </c>
      <c r="P185" s="12">
        <v>163</v>
      </c>
      <c r="Q185" s="142">
        <f>IF(T184&gt;0.01,-PMT($Q$8,$Q$9*12,$Q$6)+$Q$10*_xlfn.XLOOKUP($R$10,'RE Calculations'!$B$12:$B$16,'RE Calculations'!$C$12:$C$16,"ERROR - Check Input")/12,0)</f>
        <v>0</v>
      </c>
      <c r="R185" s="142">
        <f t="shared" si="18"/>
        <v>0</v>
      </c>
      <c r="S185" s="142">
        <f>IFERROR(-IPMT($Q$8,P185,$Q$9*12,$Q$6)+$Q$10*_xlfn.XLOOKUP($R$10,'RE Calculations'!$B$12:$B$16,'RE Calculations'!$C$12:$C$16,"ERROR - Check Input")/12,0)</f>
        <v>8.3333333333333339</v>
      </c>
      <c r="T185" s="142">
        <f t="shared" si="19"/>
        <v>0</v>
      </c>
      <c r="W185" s="12">
        <v>163</v>
      </c>
      <c r="X185" s="142">
        <f>IF(AA184&gt;0.01,IF(W185&lt;=($X$9*12),$X$15,-PMT($X$11,($X$12-$X$9)*12,$X$6)+$X$13*_xlfn.XLOOKUP($Y$13,'RE Calculations'!$B$12:$B$16,'RE Calculations'!$C$12:$C$16,"ERROR - Check Input")/12),0)</f>
        <v>0</v>
      </c>
      <c r="Y185" s="142">
        <f t="shared" si="20"/>
        <v>0</v>
      </c>
      <c r="Z185" s="142">
        <f>IF(W185&lt;=($X$9*12),$X$15,IFERROR(-IPMT($X$11,W185-$X$9*12,($X$12-$X$9)*12,$X$6)+$X$13*_xlfn.XLOOKUP($Y$13,'RE Calculations'!$B$12:$B$16,'RE Calculations'!$C$12:$C$16,"ERROR - Check Input")/12,0))</f>
        <v>10</v>
      </c>
      <c r="AA185" s="142">
        <f t="shared" si="21"/>
        <v>0</v>
      </c>
    </row>
    <row r="186" spans="2:27" x14ac:dyDescent="0.35">
      <c r="B186" s="12">
        <v>164</v>
      </c>
      <c r="C186" s="142">
        <f>IF(F185&gt;0.01,-PMT($C$8,$C$9*12,$C$6)+$C$10*_xlfn.XLOOKUP($D$10,'RE Calculations'!$B$12:$B$16,'RE Calculations'!$C$12:$C$16,"ERROR - Check Input")/12,0)</f>
        <v>0</v>
      </c>
      <c r="D186" s="142">
        <f t="shared" si="22"/>
        <v>0</v>
      </c>
      <c r="E186" s="142">
        <f>IFERROR(-IPMT($C$8,B186,$C$9*12,$C$6)+$C$10*_xlfn.XLOOKUP($D$10,'RE Calculations'!$B$12:$B$16,'RE Calculations'!$C$12:$C$16,"ERROR - Check Input")/12,0)</f>
        <v>8.3333333333333339</v>
      </c>
      <c r="F186" s="142">
        <f t="shared" si="23"/>
        <v>0</v>
      </c>
      <c r="I186" s="12">
        <v>164</v>
      </c>
      <c r="J186" s="142">
        <f>IF(M185&gt;0.01,IF(I186&lt;=($J$9*12),$J$15,-PMT($J$11,($J$12-$J$9)*12,$J$6)+$J$13*_xlfn.XLOOKUP($K$13,'RE Calculations'!$B$12:$B$16,'RE Calculations'!$C$12:$C$16,"ERROR - Check Input")/12),0)</f>
        <v>0</v>
      </c>
      <c r="K186" s="142">
        <f t="shared" si="16"/>
        <v>0</v>
      </c>
      <c r="L186" s="142">
        <f>IF(I186&lt;=($J$9*12),$J$15,IFERROR(-IPMT($J$11,I186-$J$9*12,($J$12-$J$9)*12,$J$6)+$J$13*_xlfn.XLOOKUP($K$13,'RE Calculations'!$B$12:$B$16,'RE Calculations'!$C$12:$C$16,"ERROR - Check Input")/12,0))</f>
        <v>10</v>
      </c>
      <c r="M186" s="142">
        <f t="shared" si="17"/>
        <v>0</v>
      </c>
      <c r="P186" s="12">
        <v>164</v>
      </c>
      <c r="Q186" s="142">
        <f>IF(T185&gt;0.01,-PMT($Q$8,$Q$9*12,$Q$6)+$Q$10*_xlfn.XLOOKUP($R$10,'RE Calculations'!$B$12:$B$16,'RE Calculations'!$C$12:$C$16,"ERROR - Check Input")/12,0)</f>
        <v>0</v>
      </c>
      <c r="R186" s="142">
        <f t="shared" si="18"/>
        <v>0</v>
      </c>
      <c r="S186" s="142">
        <f>IFERROR(-IPMT($Q$8,P186,$Q$9*12,$Q$6)+$Q$10*_xlfn.XLOOKUP($R$10,'RE Calculations'!$B$12:$B$16,'RE Calculations'!$C$12:$C$16,"ERROR - Check Input")/12,0)</f>
        <v>8.3333333333333339</v>
      </c>
      <c r="T186" s="142">
        <f t="shared" si="19"/>
        <v>0</v>
      </c>
      <c r="W186" s="12">
        <v>164</v>
      </c>
      <c r="X186" s="142">
        <f>IF(AA185&gt;0.01,IF(W186&lt;=($X$9*12),$X$15,-PMT($X$11,($X$12-$X$9)*12,$X$6)+$X$13*_xlfn.XLOOKUP($Y$13,'RE Calculations'!$B$12:$B$16,'RE Calculations'!$C$12:$C$16,"ERROR - Check Input")/12),0)</f>
        <v>0</v>
      </c>
      <c r="Y186" s="142">
        <f t="shared" si="20"/>
        <v>0</v>
      </c>
      <c r="Z186" s="142">
        <f>IF(W186&lt;=($X$9*12),$X$15,IFERROR(-IPMT($X$11,W186-$X$9*12,($X$12-$X$9)*12,$X$6)+$X$13*_xlfn.XLOOKUP($Y$13,'RE Calculations'!$B$12:$B$16,'RE Calculations'!$C$12:$C$16,"ERROR - Check Input")/12,0))</f>
        <v>10</v>
      </c>
      <c r="AA186" s="142">
        <f t="shared" si="21"/>
        <v>0</v>
      </c>
    </row>
    <row r="187" spans="2:27" x14ac:dyDescent="0.35">
      <c r="B187" s="12">
        <v>165</v>
      </c>
      <c r="C187" s="142">
        <f>IF(F186&gt;0.01,-PMT($C$8,$C$9*12,$C$6)+$C$10*_xlfn.XLOOKUP($D$10,'RE Calculations'!$B$12:$B$16,'RE Calculations'!$C$12:$C$16,"ERROR - Check Input")/12,0)</f>
        <v>0</v>
      </c>
      <c r="D187" s="142">
        <f t="shared" si="22"/>
        <v>0</v>
      </c>
      <c r="E187" s="142">
        <f>IFERROR(-IPMT($C$8,B187,$C$9*12,$C$6)+$C$10*_xlfn.XLOOKUP($D$10,'RE Calculations'!$B$12:$B$16,'RE Calculations'!$C$12:$C$16,"ERROR - Check Input")/12,0)</f>
        <v>8.3333333333333339</v>
      </c>
      <c r="F187" s="142">
        <f t="shared" si="23"/>
        <v>0</v>
      </c>
      <c r="I187" s="12">
        <v>165</v>
      </c>
      <c r="J187" s="142">
        <f>IF(M186&gt;0.01,IF(I187&lt;=($J$9*12),$J$15,-PMT($J$11,($J$12-$J$9)*12,$J$6)+$J$13*_xlfn.XLOOKUP($K$13,'RE Calculations'!$B$12:$B$16,'RE Calculations'!$C$12:$C$16,"ERROR - Check Input")/12),0)</f>
        <v>0</v>
      </c>
      <c r="K187" s="142">
        <f t="shared" si="16"/>
        <v>0</v>
      </c>
      <c r="L187" s="142">
        <f>IF(I187&lt;=($J$9*12),$J$15,IFERROR(-IPMT($J$11,I187-$J$9*12,($J$12-$J$9)*12,$J$6)+$J$13*_xlfn.XLOOKUP($K$13,'RE Calculations'!$B$12:$B$16,'RE Calculations'!$C$12:$C$16,"ERROR - Check Input")/12,0))</f>
        <v>10</v>
      </c>
      <c r="M187" s="142">
        <f t="shared" si="17"/>
        <v>0</v>
      </c>
      <c r="P187" s="12">
        <v>165</v>
      </c>
      <c r="Q187" s="142">
        <f>IF(T186&gt;0.01,-PMT($Q$8,$Q$9*12,$Q$6)+$Q$10*_xlfn.XLOOKUP($R$10,'RE Calculations'!$B$12:$B$16,'RE Calculations'!$C$12:$C$16,"ERROR - Check Input")/12,0)</f>
        <v>0</v>
      </c>
      <c r="R187" s="142">
        <f t="shared" si="18"/>
        <v>0</v>
      </c>
      <c r="S187" s="142">
        <f>IFERROR(-IPMT($Q$8,P187,$Q$9*12,$Q$6)+$Q$10*_xlfn.XLOOKUP($R$10,'RE Calculations'!$B$12:$B$16,'RE Calculations'!$C$12:$C$16,"ERROR - Check Input")/12,0)</f>
        <v>8.3333333333333339</v>
      </c>
      <c r="T187" s="142">
        <f t="shared" si="19"/>
        <v>0</v>
      </c>
      <c r="W187" s="12">
        <v>165</v>
      </c>
      <c r="X187" s="142">
        <f>IF(AA186&gt;0.01,IF(W187&lt;=($X$9*12),$X$15,-PMT($X$11,($X$12-$X$9)*12,$X$6)+$X$13*_xlfn.XLOOKUP($Y$13,'RE Calculations'!$B$12:$B$16,'RE Calculations'!$C$12:$C$16,"ERROR - Check Input")/12),0)</f>
        <v>0</v>
      </c>
      <c r="Y187" s="142">
        <f t="shared" si="20"/>
        <v>0</v>
      </c>
      <c r="Z187" s="142">
        <f>IF(W187&lt;=($X$9*12),$X$15,IFERROR(-IPMT($X$11,W187-$X$9*12,($X$12-$X$9)*12,$X$6)+$X$13*_xlfn.XLOOKUP($Y$13,'RE Calculations'!$B$12:$B$16,'RE Calculations'!$C$12:$C$16,"ERROR - Check Input")/12,0))</f>
        <v>10</v>
      </c>
      <c r="AA187" s="142">
        <f t="shared" si="21"/>
        <v>0</v>
      </c>
    </row>
    <row r="188" spans="2:27" x14ac:dyDescent="0.35">
      <c r="B188" s="12">
        <v>166</v>
      </c>
      <c r="C188" s="142">
        <f>IF(F187&gt;0.01,-PMT($C$8,$C$9*12,$C$6)+$C$10*_xlfn.XLOOKUP($D$10,'RE Calculations'!$B$12:$B$16,'RE Calculations'!$C$12:$C$16,"ERROR - Check Input")/12,0)</f>
        <v>0</v>
      </c>
      <c r="D188" s="142">
        <f t="shared" si="22"/>
        <v>0</v>
      </c>
      <c r="E188" s="142">
        <f>IFERROR(-IPMT($C$8,B188,$C$9*12,$C$6)+$C$10*_xlfn.XLOOKUP($D$10,'RE Calculations'!$B$12:$B$16,'RE Calculations'!$C$12:$C$16,"ERROR - Check Input")/12,0)</f>
        <v>8.3333333333333339</v>
      </c>
      <c r="F188" s="142">
        <f t="shared" si="23"/>
        <v>0</v>
      </c>
      <c r="I188" s="12">
        <v>166</v>
      </c>
      <c r="J188" s="142">
        <f>IF(M187&gt;0.01,IF(I188&lt;=($J$9*12),$J$15,-PMT($J$11,($J$12-$J$9)*12,$J$6)+$J$13*_xlfn.XLOOKUP($K$13,'RE Calculations'!$B$12:$B$16,'RE Calculations'!$C$12:$C$16,"ERROR - Check Input")/12),0)</f>
        <v>0</v>
      </c>
      <c r="K188" s="142">
        <f t="shared" si="16"/>
        <v>0</v>
      </c>
      <c r="L188" s="142">
        <f>IF(I188&lt;=($J$9*12),$J$15,IFERROR(-IPMT($J$11,I188-$J$9*12,($J$12-$J$9)*12,$J$6)+$J$13*_xlfn.XLOOKUP($K$13,'RE Calculations'!$B$12:$B$16,'RE Calculations'!$C$12:$C$16,"ERROR - Check Input")/12,0))</f>
        <v>10</v>
      </c>
      <c r="M188" s="142">
        <f t="shared" si="17"/>
        <v>0</v>
      </c>
      <c r="P188" s="12">
        <v>166</v>
      </c>
      <c r="Q188" s="142">
        <f>IF(T187&gt;0.01,-PMT($Q$8,$Q$9*12,$Q$6)+$Q$10*_xlfn.XLOOKUP($R$10,'RE Calculations'!$B$12:$B$16,'RE Calculations'!$C$12:$C$16,"ERROR - Check Input")/12,0)</f>
        <v>0</v>
      </c>
      <c r="R188" s="142">
        <f t="shared" si="18"/>
        <v>0</v>
      </c>
      <c r="S188" s="142">
        <f>IFERROR(-IPMT($Q$8,P188,$Q$9*12,$Q$6)+$Q$10*_xlfn.XLOOKUP($R$10,'RE Calculations'!$B$12:$B$16,'RE Calculations'!$C$12:$C$16,"ERROR - Check Input")/12,0)</f>
        <v>8.3333333333333339</v>
      </c>
      <c r="T188" s="142">
        <f t="shared" si="19"/>
        <v>0</v>
      </c>
      <c r="W188" s="12">
        <v>166</v>
      </c>
      <c r="X188" s="142">
        <f>IF(AA187&gt;0.01,IF(W188&lt;=($X$9*12),$X$15,-PMT($X$11,($X$12-$X$9)*12,$X$6)+$X$13*_xlfn.XLOOKUP($Y$13,'RE Calculations'!$B$12:$B$16,'RE Calculations'!$C$12:$C$16,"ERROR - Check Input")/12),0)</f>
        <v>0</v>
      </c>
      <c r="Y188" s="142">
        <f t="shared" si="20"/>
        <v>0</v>
      </c>
      <c r="Z188" s="142">
        <f>IF(W188&lt;=($X$9*12),$X$15,IFERROR(-IPMT($X$11,W188-$X$9*12,($X$12-$X$9)*12,$X$6)+$X$13*_xlfn.XLOOKUP($Y$13,'RE Calculations'!$B$12:$B$16,'RE Calculations'!$C$12:$C$16,"ERROR - Check Input")/12,0))</f>
        <v>10</v>
      </c>
      <c r="AA188" s="142">
        <f t="shared" si="21"/>
        <v>0</v>
      </c>
    </row>
    <row r="189" spans="2:27" x14ac:dyDescent="0.35">
      <c r="B189" s="12">
        <v>167</v>
      </c>
      <c r="C189" s="142">
        <f>IF(F188&gt;0.01,-PMT($C$8,$C$9*12,$C$6)+$C$10*_xlfn.XLOOKUP($D$10,'RE Calculations'!$B$12:$B$16,'RE Calculations'!$C$12:$C$16,"ERROR - Check Input")/12,0)</f>
        <v>0</v>
      </c>
      <c r="D189" s="142">
        <f t="shared" si="22"/>
        <v>0</v>
      </c>
      <c r="E189" s="142">
        <f>IFERROR(-IPMT($C$8,B189,$C$9*12,$C$6)+$C$10*_xlfn.XLOOKUP($D$10,'RE Calculations'!$B$12:$B$16,'RE Calculations'!$C$12:$C$16,"ERROR - Check Input")/12,0)</f>
        <v>8.3333333333333339</v>
      </c>
      <c r="F189" s="142">
        <f t="shared" si="23"/>
        <v>0</v>
      </c>
      <c r="I189" s="12">
        <v>167</v>
      </c>
      <c r="J189" s="142">
        <f>IF(M188&gt;0.01,IF(I189&lt;=($J$9*12),$J$15,-PMT($J$11,($J$12-$J$9)*12,$J$6)+$J$13*_xlfn.XLOOKUP($K$13,'RE Calculations'!$B$12:$B$16,'RE Calculations'!$C$12:$C$16,"ERROR - Check Input")/12),0)</f>
        <v>0</v>
      </c>
      <c r="K189" s="142">
        <f t="shared" si="16"/>
        <v>0</v>
      </c>
      <c r="L189" s="142">
        <f>IF(I189&lt;=($J$9*12),$J$15,IFERROR(-IPMT($J$11,I189-$J$9*12,($J$12-$J$9)*12,$J$6)+$J$13*_xlfn.XLOOKUP($K$13,'RE Calculations'!$B$12:$B$16,'RE Calculations'!$C$12:$C$16,"ERROR - Check Input")/12,0))</f>
        <v>10</v>
      </c>
      <c r="M189" s="142">
        <f t="shared" si="17"/>
        <v>0</v>
      </c>
      <c r="P189" s="12">
        <v>167</v>
      </c>
      <c r="Q189" s="142">
        <f>IF(T188&gt;0.01,-PMT($Q$8,$Q$9*12,$Q$6)+$Q$10*_xlfn.XLOOKUP($R$10,'RE Calculations'!$B$12:$B$16,'RE Calculations'!$C$12:$C$16,"ERROR - Check Input")/12,0)</f>
        <v>0</v>
      </c>
      <c r="R189" s="142">
        <f t="shared" si="18"/>
        <v>0</v>
      </c>
      <c r="S189" s="142">
        <f>IFERROR(-IPMT($Q$8,P189,$Q$9*12,$Q$6)+$Q$10*_xlfn.XLOOKUP($R$10,'RE Calculations'!$B$12:$B$16,'RE Calculations'!$C$12:$C$16,"ERROR - Check Input")/12,0)</f>
        <v>8.3333333333333339</v>
      </c>
      <c r="T189" s="142">
        <f t="shared" si="19"/>
        <v>0</v>
      </c>
      <c r="W189" s="12">
        <v>167</v>
      </c>
      <c r="X189" s="142">
        <f>IF(AA188&gt;0.01,IF(W189&lt;=($X$9*12),$X$15,-PMT($X$11,($X$12-$X$9)*12,$X$6)+$X$13*_xlfn.XLOOKUP($Y$13,'RE Calculations'!$B$12:$B$16,'RE Calculations'!$C$12:$C$16,"ERROR - Check Input")/12),0)</f>
        <v>0</v>
      </c>
      <c r="Y189" s="142">
        <f t="shared" si="20"/>
        <v>0</v>
      </c>
      <c r="Z189" s="142">
        <f>IF(W189&lt;=($X$9*12),$X$15,IFERROR(-IPMT($X$11,W189-$X$9*12,($X$12-$X$9)*12,$X$6)+$X$13*_xlfn.XLOOKUP($Y$13,'RE Calculations'!$B$12:$B$16,'RE Calculations'!$C$12:$C$16,"ERROR - Check Input")/12,0))</f>
        <v>10</v>
      </c>
      <c r="AA189" s="142">
        <f t="shared" si="21"/>
        <v>0</v>
      </c>
    </row>
    <row r="190" spans="2:27" x14ac:dyDescent="0.35">
      <c r="B190" s="12">
        <v>168</v>
      </c>
      <c r="C190" s="142">
        <f>IF(F189&gt;0.01,-PMT($C$8,$C$9*12,$C$6)+$C$10*_xlfn.XLOOKUP($D$10,'RE Calculations'!$B$12:$B$16,'RE Calculations'!$C$12:$C$16,"ERROR - Check Input")/12,0)</f>
        <v>0</v>
      </c>
      <c r="D190" s="142">
        <f t="shared" si="22"/>
        <v>0</v>
      </c>
      <c r="E190" s="142">
        <f>IFERROR(-IPMT($C$8,B190,$C$9*12,$C$6)+$C$10*_xlfn.XLOOKUP($D$10,'RE Calculations'!$B$12:$B$16,'RE Calculations'!$C$12:$C$16,"ERROR - Check Input")/12,0)</f>
        <v>8.3333333333333339</v>
      </c>
      <c r="F190" s="142">
        <f t="shared" si="23"/>
        <v>0</v>
      </c>
      <c r="I190" s="12">
        <v>168</v>
      </c>
      <c r="J190" s="142">
        <f>IF(M189&gt;0.01,IF(I190&lt;=($J$9*12),$J$15,-PMT($J$11,($J$12-$J$9)*12,$J$6)+$J$13*_xlfn.XLOOKUP($K$13,'RE Calculations'!$B$12:$B$16,'RE Calculations'!$C$12:$C$16,"ERROR - Check Input")/12),0)</f>
        <v>0</v>
      </c>
      <c r="K190" s="142">
        <f t="shared" si="16"/>
        <v>0</v>
      </c>
      <c r="L190" s="142">
        <f>IF(I190&lt;=($J$9*12),$J$15,IFERROR(-IPMT($J$11,I190-$J$9*12,($J$12-$J$9)*12,$J$6)+$J$13*_xlfn.XLOOKUP($K$13,'RE Calculations'!$B$12:$B$16,'RE Calculations'!$C$12:$C$16,"ERROR - Check Input")/12,0))</f>
        <v>10</v>
      </c>
      <c r="M190" s="142">
        <f t="shared" si="17"/>
        <v>0</v>
      </c>
      <c r="P190" s="12">
        <v>168</v>
      </c>
      <c r="Q190" s="142">
        <f>IF(T189&gt;0.01,-PMT($Q$8,$Q$9*12,$Q$6)+$Q$10*_xlfn.XLOOKUP($R$10,'RE Calculations'!$B$12:$B$16,'RE Calculations'!$C$12:$C$16,"ERROR - Check Input")/12,0)</f>
        <v>0</v>
      </c>
      <c r="R190" s="142">
        <f t="shared" si="18"/>
        <v>0</v>
      </c>
      <c r="S190" s="142">
        <f>IFERROR(-IPMT($Q$8,P190,$Q$9*12,$Q$6)+$Q$10*_xlfn.XLOOKUP($R$10,'RE Calculations'!$B$12:$B$16,'RE Calculations'!$C$12:$C$16,"ERROR - Check Input")/12,0)</f>
        <v>8.3333333333333339</v>
      </c>
      <c r="T190" s="142">
        <f t="shared" si="19"/>
        <v>0</v>
      </c>
      <c r="W190" s="12">
        <v>168</v>
      </c>
      <c r="X190" s="142">
        <f>IF(AA189&gt;0.01,IF(W190&lt;=($X$9*12),$X$15,-PMT($X$11,($X$12-$X$9)*12,$X$6)+$X$13*_xlfn.XLOOKUP($Y$13,'RE Calculations'!$B$12:$B$16,'RE Calculations'!$C$12:$C$16,"ERROR - Check Input")/12),0)</f>
        <v>0</v>
      </c>
      <c r="Y190" s="142">
        <f t="shared" si="20"/>
        <v>0</v>
      </c>
      <c r="Z190" s="142">
        <f>IF(W190&lt;=($X$9*12),$X$15,IFERROR(-IPMT($X$11,W190-$X$9*12,($X$12-$X$9)*12,$X$6)+$X$13*_xlfn.XLOOKUP($Y$13,'RE Calculations'!$B$12:$B$16,'RE Calculations'!$C$12:$C$16,"ERROR - Check Input")/12,0))</f>
        <v>10</v>
      </c>
      <c r="AA190" s="142">
        <f t="shared" si="21"/>
        <v>0</v>
      </c>
    </row>
    <row r="191" spans="2:27" x14ac:dyDescent="0.35">
      <c r="B191" s="12">
        <v>169</v>
      </c>
      <c r="C191" s="142">
        <f>IF(F190&gt;0.01,-PMT($C$8,$C$9*12,$C$6)+$C$10*_xlfn.XLOOKUP($D$10,'RE Calculations'!$B$12:$B$16,'RE Calculations'!$C$12:$C$16,"ERROR - Check Input")/12,0)</f>
        <v>0</v>
      </c>
      <c r="D191" s="142">
        <f t="shared" si="22"/>
        <v>0</v>
      </c>
      <c r="E191" s="142">
        <f>IFERROR(-IPMT($C$8,B191,$C$9*12,$C$6)+$C$10*_xlfn.XLOOKUP($D$10,'RE Calculations'!$B$12:$B$16,'RE Calculations'!$C$12:$C$16,"ERROR - Check Input")/12,0)</f>
        <v>8.3333333333333339</v>
      </c>
      <c r="F191" s="142">
        <f t="shared" si="23"/>
        <v>0</v>
      </c>
      <c r="I191" s="12">
        <v>169</v>
      </c>
      <c r="J191" s="142">
        <f>IF(M190&gt;0.01,IF(I191&lt;=($J$9*12),$J$15,-PMT($J$11,($J$12-$J$9)*12,$J$6)+$J$13*_xlfn.XLOOKUP($K$13,'RE Calculations'!$B$12:$B$16,'RE Calculations'!$C$12:$C$16,"ERROR - Check Input")/12),0)</f>
        <v>0</v>
      </c>
      <c r="K191" s="142">
        <f t="shared" si="16"/>
        <v>0</v>
      </c>
      <c r="L191" s="142">
        <f>IF(I191&lt;=($J$9*12),$J$15,IFERROR(-IPMT($J$11,I191-$J$9*12,($J$12-$J$9)*12,$J$6)+$J$13*_xlfn.XLOOKUP($K$13,'RE Calculations'!$B$12:$B$16,'RE Calculations'!$C$12:$C$16,"ERROR - Check Input")/12,0))</f>
        <v>10</v>
      </c>
      <c r="M191" s="142">
        <f t="shared" si="17"/>
        <v>0</v>
      </c>
      <c r="P191" s="12">
        <v>169</v>
      </c>
      <c r="Q191" s="142">
        <f>IF(T190&gt;0.01,-PMT($Q$8,$Q$9*12,$Q$6)+$Q$10*_xlfn.XLOOKUP($R$10,'RE Calculations'!$B$12:$B$16,'RE Calculations'!$C$12:$C$16,"ERROR - Check Input")/12,0)</f>
        <v>0</v>
      </c>
      <c r="R191" s="142">
        <f t="shared" si="18"/>
        <v>0</v>
      </c>
      <c r="S191" s="142">
        <f>IFERROR(-IPMT($Q$8,P191,$Q$9*12,$Q$6)+$Q$10*_xlfn.XLOOKUP($R$10,'RE Calculations'!$B$12:$B$16,'RE Calculations'!$C$12:$C$16,"ERROR - Check Input")/12,0)</f>
        <v>8.3333333333333339</v>
      </c>
      <c r="T191" s="142">
        <f t="shared" si="19"/>
        <v>0</v>
      </c>
      <c r="W191" s="12">
        <v>169</v>
      </c>
      <c r="X191" s="142">
        <f>IF(AA190&gt;0.01,IF(W191&lt;=($X$9*12),$X$15,-PMT($X$11,($X$12-$X$9)*12,$X$6)+$X$13*_xlfn.XLOOKUP($Y$13,'RE Calculations'!$B$12:$B$16,'RE Calculations'!$C$12:$C$16,"ERROR - Check Input")/12),0)</f>
        <v>0</v>
      </c>
      <c r="Y191" s="142">
        <f t="shared" si="20"/>
        <v>0</v>
      </c>
      <c r="Z191" s="142">
        <f>IF(W191&lt;=($X$9*12),$X$15,IFERROR(-IPMT($X$11,W191-$X$9*12,($X$12-$X$9)*12,$X$6)+$X$13*_xlfn.XLOOKUP($Y$13,'RE Calculations'!$B$12:$B$16,'RE Calculations'!$C$12:$C$16,"ERROR - Check Input")/12,0))</f>
        <v>10</v>
      </c>
      <c r="AA191" s="142">
        <f t="shared" si="21"/>
        <v>0</v>
      </c>
    </row>
    <row r="192" spans="2:27" x14ac:dyDescent="0.35">
      <c r="B192" s="12">
        <v>170</v>
      </c>
      <c r="C192" s="142">
        <f>IF(F191&gt;0.01,-PMT($C$8,$C$9*12,$C$6)+$C$10*_xlfn.XLOOKUP($D$10,'RE Calculations'!$B$12:$B$16,'RE Calculations'!$C$12:$C$16,"ERROR - Check Input")/12,0)</f>
        <v>0</v>
      </c>
      <c r="D192" s="142">
        <f t="shared" si="22"/>
        <v>0</v>
      </c>
      <c r="E192" s="142">
        <f>IFERROR(-IPMT($C$8,B192,$C$9*12,$C$6)+$C$10*_xlfn.XLOOKUP($D$10,'RE Calculations'!$B$12:$B$16,'RE Calculations'!$C$12:$C$16,"ERROR - Check Input")/12,0)</f>
        <v>8.3333333333333339</v>
      </c>
      <c r="F192" s="142">
        <f t="shared" si="23"/>
        <v>0</v>
      </c>
      <c r="I192" s="12">
        <v>170</v>
      </c>
      <c r="J192" s="142">
        <f>IF(M191&gt;0.01,IF(I192&lt;=($J$9*12),$J$15,-PMT($J$11,($J$12-$J$9)*12,$J$6)+$J$13*_xlfn.XLOOKUP($K$13,'RE Calculations'!$B$12:$B$16,'RE Calculations'!$C$12:$C$16,"ERROR - Check Input")/12),0)</f>
        <v>0</v>
      </c>
      <c r="K192" s="142">
        <f t="shared" si="16"/>
        <v>0</v>
      </c>
      <c r="L192" s="142">
        <f>IF(I192&lt;=($J$9*12),$J$15,IFERROR(-IPMT($J$11,I192-$J$9*12,($J$12-$J$9)*12,$J$6)+$J$13*_xlfn.XLOOKUP($K$13,'RE Calculations'!$B$12:$B$16,'RE Calculations'!$C$12:$C$16,"ERROR - Check Input")/12,0))</f>
        <v>10</v>
      </c>
      <c r="M192" s="142">
        <f t="shared" si="17"/>
        <v>0</v>
      </c>
      <c r="P192" s="12">
        <v>170</v>
      </c>
      <c r="Q192" s="142">
        <f>IF(T191&gt;0.01,-PMT($Q$8,$Q$9*12,$Q$6)+$Q$10*_xlfn.XLOOKUP($R$10,'RE Calculations'!$B$12:$B$16,'RE Calculations'!$C$12:$C$16,"ERROR - Check Input")/12,0)</f>
        <v>0</v>
      </c>
      <c r="R192" s="142">
        <f t="shared" si="18"/>
        <v>0</v>
      </c>
      <c r="S192" s="142">
        <f>IFERROR(-IPMT($Q$8,P192,$Q$9*12,$Q$6)+$Q$10*_xlfn.XLOOKUP($R$10,'RE Calculations'!$B$12:$B$16,'RE Calculations'!$C$12:$C$16,"ERROR - Check Input")/12,0)</f>
        <v>8.3333333333333339</v>
      </c>
      <c r="T192" s="142">
        <f t="shared" si="19"/>
        <v>0</v>
      </c>
      <c r="W192" s="12">
        <v>170</v>
      </c>
      <c r="X192" s="142">
        <f>IF(AA191&gt;0.01,IF(W192&lt;=($X$9*12),$X$15,-PMT($X$11,($X$12-$X$9)*12,$X$6)+$X$13*_xlfn.XLOOKUP($Y$13,'RE Calculations'!$B$12:$B$16,'RE Calculations'!$C$12:$C$16,"ERROR - Check Input")/12),0)</f>
        <v>0</v>
      </c>
      <c r="Y192" s="142">
        <f t="shared" si="20"/>
        <v>0</v>
      </c>
      <c r="Z192" s="142">
        <f>IF(W192&lt;=($X$9*12),$X$15,IFERROR(-IPMT($X$11,W192-$X$9*12,($X$12-$X$9)*12,$X$6)+$X$13*_xlfn.XLOOKUP($Y$13,'RE Calculations'!$B$12:$B$16,'RE Calculations'!$C$12:$C$16,"ERROR - Check Input")/12,0))</f>
        <v>10</v>
      </c>
      <c r="AA192" s="142">
        <f t="shared" si="21"/>
        <v>0</v>
      </c>
    </row>
    <row r="193" spans="2:27" x14ac:dyDescent="0.35">
      <c r="B193" s="12">
        <v>171</v>
      </c>
      <c r="C193" s="142">
        <f>IF(F192&gt;0.01,-PMT($C$8,$C$9*12,$C$6)+$C$10*_xlfn.XLOOKUP($D$10,'RE Calculations'!$B$12:$B$16,'RE Calculations'!$C$12:$C$16,"ERROR - Check Input")/12,0)</f>
        <v>0</v>
      </c>
      <c r="D193" s="142">
        <f t="shared" si="22"/>
        <v>0</v>
      </c>
      <c r="E193" s="142">
        <f>IFERROR(-IPMT($C$8,B193,$C$9*12,$C$6)+$C$10*_xlfn.XLOOKUP($D$10,'RE Calculations'!$B$12:$B$16,'RE Calculations'!$C$12:$C$16,"ERROR - Check Input")/12,0)</f>
        <v>8.3333333333333339</v>
      </c>
      <c r="F193" s="142">
        <f t="shared" si="23"/>
        <v>0</v>
      </c>
      <c r="I193" s="12">
        <v>171</v>
      </c>
      <c r="J193" s="142">
        <f>IF(M192&gt;0.01,IF(I193&lt;=($J$9*12),$J$15,-PMT($J$11,($J$12-$J$9)*12,$J$6)+$J$13*_xlfn.XLOOKUP($K$13,'RE Calculations'!$B$12:$B$16,'RE Calculations'!$C$12:$C$16,"ERROR - Check Input")/12),0)</f>
        <v>0</v>
      </c>
      <c r="K193" s="142">
        <f t="shared" si="16"/>
        <v>0</v>
      </c>
      <c r="L193" s="142">
        <f>IF(I193&lt;=($J$9*12),$J$15,IFERROR(-IPMT($J$11,I193-$J$9*12,($J$12-$J$9)*12,$J$6)+$J$13*_xlfn.XLOOKUP($K$13,'RE Calculations'!$B$12:$B$16,'RE Calculations'!$C$12:$C$16,"ERROR - Check Input")/12,0))</f>
        <v>10</v>
      </c>
      <c r="M193" s="142">
        <f t="shared" si="17"/>
        <v>0</v>
      </c>
      <c r="P193" s="12">
        <v>171</v>
      </c>
      <c r="Q193" s="142">
        <f>IF(T192&gt;0.01,-PMT($Q$8,$Q$9*12,$Q$6)+$Q$10*_xlfn.XLOOKUP($R$10,'RE Calculations'!$B$12:$B$16,'RE Calculations'!$C$12:$C$16,"ERROR - Check Input")/12,0)</f>
        <v>0</v>
      </c>
      <c r="R193" s="142">
        <f t="shared" si="18"/>
        <v>0</v>
      </c>
      <c r="S193" s="142">
        <f>IFERROR(-IPMT($Q$8,P193,$Q$9*12,$Q$6)+$Q$10*_xlfn.XLOOKUP($R$10,'RE Calculations'!$B$12:$B$16,'RE Calculations'!$C$12:$C$16,"ERROR - Check Input")/12,0)</f>
        <v>8.3333333333333339</v>
      </c>
      <c r="T193" s="142">
        <f t="shared" si="19"/>
        <v>0</v>
      </c>
      <c r="W193" s="12">
        <v>171</v>
      </c>
      <c r="X193" s="142">
        <f>IF(AA192&gt;0.01,IF(W193&lt;=($X$9*12),$X$15,-PMT($X$11,($X$12-$X$9)*12,$X$6)+$X$13*_xlfn.XLOOKUP($Y$13,'RE Calculations'!$B$12:$B$16,'RE Calculations'!$C$12:$C$16,"ERROR - Check Input")/12),0)</f>
        <v>0</v>
      </c>
      <c r="Y193" s="142">
        <f t="shared" si="20"/>
        <v>0</v>
      </c>
      <c r="Z193" s="142">
        <f>IF(W193&lt;=($X$9*12),$X$15,IFERROR(-IPMT($X$11,W193-$X$9*12,($X$12-$X$9)*12,$X$6)+$X$13*_xlfn.XLOOKUP($Y$13,'RE Calculations'!$B$12:$B$16,'RE Calculations'!$C$12:$C$16,"ERROR - Check Input")/12,0))</f>
        <v>10</v>
      </c>
      <c r="AA193" s="142">
        <f t="shared" si="21"/>
        <v>0</v>
      </c>
    </row>
    <row r="194" spans="2:27" x14ac:dyDescent="0.35">
      <c r="B194" s="12">
        <v>172</v>
      </c>
      <c r="C194" s="142">
        <f>IF(F193&gt;0.01,-PMT($C$8,$C$9*12,$C$6)+$C$10*_xlfn.XLOOKUP($D$10,'RE Calculations'!$B$12:$B$16,'RE Calculations'!$C$12:$C$16,"ERROR - Check Input")/12,0)</f>
        <v>0</v>
      </c>
      <c r="D194" s="142">
        <f t="shared" si="22"/>
        <v>0</v>
      </c>
      <c r="E194" s="142">
        <f>IFERROR(-IPMT($C$8,B194,$C$9*12,$C$6)+$C$10*_xlfn.XLOOKUP($D$10,'RE Calculations'!$B$12:$B$16,'RE Calculations'!$C$12:$C$16,"ERROR - Check Input")/12,0)</f>
        <v>8.3333333333333339</v>
      </c>
      <c r="F194" s="142">
        <f t="shared" si="23"/>
        <v>0</v>
      </c>
      <c r="I194" s="12">
        <v>172</v>
      </c>
      <c r="J194" s="142">
        <f>IF(M193&gt;0.01,IF(I194&lt;=($J$9*12),$J$15,-PMT($J$11,($J$12-$J$9)*12,$J$6)+$J$13*_xlfn.XLOOKUP($K$13,'RE Calculations'!$B$12:$B$16,'RE Calculations'!$C$12:$C$16,"ERROR - Check Input")/12),0)</f>
        <v>0</v>
      </c>
      <c r="K194" s="142">
        <f t="shared" si="16"/>
        <v>0</v>
      </c>
      <c r="L194" s="142">
        <f>IF(I194&lt;=($J$9*12),$J$15,IFERROR(-IPMT($J$11,I194-$J$9*12,($J$12-$J$9)*12,$J$6)+$J$13*_xlfn.XLOOKUP($K$13,'RE Calculations'!$B$12:$B$16,'RE Calculations'!$C$12:$C$16,"ERROR - Check Input")/12,0))</f>
        <v>10</v>
      </c>
      <c r="M194" s="142">
        <f t="shared" si="17"/>
        <v>0</v>
      </c>
      <c r="P194" s="12">
        <v>172</v>
      </c>
      <c r="Q194" s="142">
        <f>IF(T193&gt;0.01,-PMT($Q$8,$Q$9*12,$Q$6)+$Q$10*_xlfn.XLOOKUP($R$10,'RE Calculations'!$B$12:$B$16,'RE Calculations'!$C$12:$C$16,"ERROR - Check Input")/12,0)</f>
        <v>0</v>
      </c>
      <c r="R194" s="142">
        <f t="shared" si="18"/>
        <v>0</v>
      </c>
      <c r="S194" s="142">
        <f>IFERROR(-IPMT($Q$8,P194,$Q$9*12,$Q$6)+$Q$10*_xlfn.XLOOKUP($R$10,'RE Calculations'!$B$12:$B$16,'RE Calculations'!$C$12:$C$16,"ERROR - Check Input")/12,0)</f>
        <v>8.3333333333333339</v>
      </c>
      <c r="T194" s="142">
        <f t="shared" si="19"/>
        <v>0</v>
      </c>
      <c r="W194" s="12">
        <v>172</v>
      </c>
      <c r="X194" s="142">
        <f>IF(AA193&gt;0.01,IF(W194&lt;=($X$9*12),$X$15,-PMT($X$11,($X$12-$X$9)*12,$X$6)+$X$13*_xlfn.XLOOKUP($Y$13,'RE Calculations'!$B$12:$B$16,'RE Calculations'!$C$12:$C$16,"ERROR - Check Input")/12),0)</f>
        <v>0</v>
      </c>
      <c r="Y194" s="142">
        <f t="shared" si="20"/>
        <v>0</v>
      </c>
      <c r="Z194" s="142">
        <f>IF(W194&lt;=($X$9*12),$X$15,IFERROR(-IPMT($X$11,W194-$X$9*12,($X$12-$X$9)*12,$X$6)+$X$13*_xlfn.XLOOKUP($Y$13,'RE Calculations'!$B$12:$B$16,'RE Calculations'!$C$12:$C$16,"ERROR - Check Input")/12,0))</f>
        <v>10</v>
      </c>
      <c r="AA194" s="142">
        <f t="shared" si="21"/>
        <v>0</v>
      </c>
    </row>
    <row r="195" spans="2:27" x14ac:dyDescent="0.35">
      <c r="B195" s="12">
        <v>173</v>
      </c>
      <c r="C195" s="142">
        <f>IF(F194&gt;0.01,-PMT($C$8,$C$9*12,$C$6)+$C$10*_xlfn.XLOOKUP($D$10,'RE Calculations'!$B$12:$B$16,'RE Calculations'!$C$12:$C$16,"ERROR - Check Input")/12,0)</f>
        <v>0</v>
      </c>
      <c r="D195" s="142">
        <f t="shared" si="22"/>
        <v>0</v>
      </c>
      <c r="E195" s="142">
        <f>IFERROR(-IPMT($C$8,B195,$C$9*12,$C$6)+$C$10*_xlfn.XLOOKUP($D$10,'RE Calculations'!$B$12:$B$16,'RE Calculations'!$C$12:$C$16,"ERROR - Check Input")/12,0)</f>
        <v>8.3333333333333339</v>
      </c>
      <c r="F195" s="142">
        <f t="shared" si="23"/>
        <v>0</v>
      </c>
      <c r="I195" s="12">
        <v>173</v>
      </c>
      <c r="J195" s="142">
        <f>IF(M194&gt;0.01,IF(I195&lt;=($J$9*12),$J$15,-PMT($J$11,($J$12-$J$9)*12,$J$6)+$J$13*_xlfn.XLOOKUP($K$13,'RE Calculations'!$B$12:$B$16,'RE Calculations'!$C$12:$C$16,"ERROR - Check Input")/12),0)</f>
        <v>0</v>
      </c>
      <c r="K195" s="142">
        <f t="shared" si="16"/>
        <v>0</v>
      </c>
      <c r="L195" s="142">
        <f>IF(I195&lt;=($J$9*12),$J$15,IFERROR(-IPMT($J$11,I195-$J$9*12,($J$12-$J$9)*12,$J$6)+$J$13*_xlfn.XLOOKUP($K$13,'RE Calculations'!$B$12:$B$16,'RE Calculations'!$C$12:$C$16,"ERROR - Check Input")/12,0))</f>
        <v>10</v>
      </c>
      <c r="M195" s="142">
        <f t="shared" si="17"/>
        <v>0</v>
      </c>
      <c r="P195" s="12">
        <v>173</v>
      </c>
      <c r="Q195" s="142">
        <f>IF(T194&gt;0.01,-PMT($Q$8,$Q$9*12,$Q$6)+$Q$10*_xlfn.XLOOKUP($R$10,'RE Calculations'!$B$12:$B$16,'RE Calculations'!$C$12:$C$16,"ERROR - Check Input")/12,0)</f>
        <v>0</v>
      </c>
      <c r="R195" s="142">
        <f t="shared" si="18"/>
        <v>0</v>
      </c>
      <c r="S195" s="142">
        <f>IFERROR(-IPMT($Q$8,P195,$Q$9*12,$Q$6)+$Q$10*_xlfn.XLOOKUP($R$10,'RE Calculations'!$B$12:$B$16,'RE Calculations'!$C$12:$C$16,"ERROR - Check Input")/12,0)</f>
        <v>8.3333333333333339</v>
      </c>
      <c r="T195" s="142">
        <f t="shared" si="19"/>
        <v>0</v>
      </c>
      <c r="W195" s="12">
        <v>173</v>
      </c>
      <c r="X195" s="142">
        <f>IF(AA194&gt;0.01,IF(W195&lt;=($X$9*12),$X$15,-PMT($X$11,($X$12-$X$9)*12,$X$6)+$X$13*_xlfn.XLOOKUP($Y$13,'RE Calculations'!$B$12:$B$16,'RE Calculations'!$C$12:$C$16,"ERROR - Check Input")/12),0)</f>
        <v>0</v>
      </c>
      <c r="Y195" s="142">
        <f t="shared" si="20"/>
        <v>0</v>
      </c>
      <c r="Z195" s="142">
        <f>IF(W195&lt;=($X$9*12),$X$15,IFERROR(-IPMT($X$11,W195-$X$9*12,($X$12-$X$9)*12,$X$6)+$X$13*_xlfn.XLOOKUP($Y$13,'RE Calculations'!$B$12:$B$16,'RE Calculations'!$C$12:$C$16,"ERROR - Check Input")/12,0))</f>
        <v>10</v>
      </c>
      <c r="AA195" s="142">
        <f t="shared" si="21"/>
        <v>0</v>
      </c>
    </row>
    <row r="196" spans="2:27" x14ac:dyDescent="0.35">
      <c r="B196" s="12">
        <v>174</v>
      </c>
      <c r="C196" s="142">
        <f>IF(F195&gt;0.01,-PMT($C$8,$C$9*12,$C$6)+$C$10*_xlfn.XLOOKUP($D$10,'RE Calculations'!$B$12:$B$16,'RE Calculations'!$C$12:$C$16,"ERROR - Check Input")/12,0)</f>
        <v>0</v>
      </c>
      <c r="D196" s="142">
        <f t="shared" si="22"/>
        <v>0</v>
      </c>
      <c r="E196" s="142">
        <f>IFERROR(-IPMT($C$8,B196,$C$9*12,$C$6)+$C$10*_xlfn.XLOOKUP($D$10,'RE Calculations'!$B$12:$B$16,'RE Calculations'!$C$12:$C$16,"ERROR - Check Input")/12,0)</f>
        <v>8.3333333333333339</v>
      </c>
      <c r="F196" s="142">
        <f t="shared" si="23"/>
        <v>0</v>
      </c>
      <c r="I196" s="12">
        <v>174</v>
      </c>
      <c r="J196" s="142">
        <f>IF(M195&gt;0.01,IF(I196&lt;=($J$9*12),$J$15,-PMT($J$11,($J$12-$J$9)*12,$J$6)+$J$13*_xlfn.XLOOKUP($K$13,'RE Calculations'!$B$12:$B$16,'RE Calculations'!$C$12:$C$16,"ERROR - Check Input")/12),0)</f>
        <v>0</v>
      </c>
      <c r="K196" s="142">
        <f t="shared" si="16"/>
        <v>0</v>
      </c>
      <c r="L196" s="142">
        <f>IF(I196&lt;=($J$9*12),$J$15,IFERROR(-IPMT($J$11,I196-$J$9*12,($J$12-$J$9)*12,$J$6)+$J$13*_xlfn.XLOOKUP($K$13,'RE Calculations'!$B$12:$B$16,'RE Calculations'!$C$12:$C$16,"ERROR - Check Input")/12,0))</f>
        <v>10</v>
      </c>
      <c r="M196" s="142">
        <f t="shared" si="17"/>
        <v>0</v>
      </c>
      <c r="P196" s="12">
        <v>174</v>
      </c>
      <c r="Q196" s="142">
        <f>IF(T195&gt;0.01,-PMT($Q$8,$Q$9*12,$Q$6)+$Q$10*_xlfn.XLOOKUP($R$10,'RE Calculations'!$B$12:$B$16,'RE Calculations'!$C$12:$C$16,"ERROR - Check Input")/12,0)</f>
        <v>0</v>
      </c>
      <c r="R196" s="142">
        <f t="shared" si="18"/>
        <v>0</v>
      </c>
      <c r="S196" s="142">
        <f>IFERROR(-IPMT($Q$8,P196,$Q$9*12,$Q$6)+$Q$10*_xlfn.XLOOKUP($R$10,'RE Calculations'!$B$12:$B$16,'RE Calculations'!$C$12:$C$16,"ERROR - Check Input")/12,0)</f>
        <v>8.3333333333333339</v>
      </c>
      <c r="T196" s="142">
        <f t="shared" si="19"/>
        <v>0</v>
      </c>
      <c r="W196" s="12">
        <v>174</v>
      </c>
      <c r="X196" s="142">
        <f>IF(AA195&gt;0.01,IF(W196&lt;=($X$9*12),$X$15,-PMT($X$11,($X$12-$X$9)*12,$X$6)+$X$13*_xlfn.XLOOKUP($Y$13,'RE Calculations'!$B$12:$B$16,'RE Calculations'!$C$12:$C$16,"ERROR - Check Input")/12),0)</f>
        <v>0</v>
      </c>
      <c r="Y196" s="142">
        <f t="shared" si="20"/>
        <v>0</v>
      </c>
      <c r="Z196" s="142">
        <f>IF(W196&lt;=($X$9*12),$X$15,IFERROR(-IPMT($X$11,W196-$X$9*12,($X$12-$X$9)*12,$X$6)+$X$13*_xlfn.XLOOKUP($Y$13,'RE Calculations'!$B$12:$B$16,'RE Calculations'!$C$12:$C$16,"ERROR - Check Input")/12,0))</f>
        <v>10</v>
      </c>
      <c r="AA196" s="142">
        <f t="shared" si="21"/>
        <v>0</v>
      </c>
    </row>
    <row r="197" spans="2:27" x14ac:dyDescent="0.35">
      <c r="B197" s="12">
        <v>175</v>
      </c>
      <c r="C197" s="142">
        <f>IF(F196&gt;0.01,-PMT($C$8,$C$9*12,$C$6)+$C$10*_xlfn.XLOOKUP($D$10,'RE Calculations'!$B$12:$B$16,'RE Calculations'!$C$12:$C$16,"ERROR - Check Input")/12,0)</f>
        <v>0</v>
      </c>
      <c r="D197" s="142">
        <f t="shared" si="22"/>
        <v>0</v>
      </c>
      <c r="E197" s="142">
        <f>IFERROR(-IPMT($C$8,B197,$C$9*12,$C$6)+$C$10*_xlfn.XLOOKUP($D$10,'RE Calculations'!$B$12:$B$16,'RE Calculations'!$C$12:$C$16,"ERROR - Check Input")/12,0)</f>
        <v>8.3333333333333339</v>
      </c>
      <c r="F197" s="142">
        <f t="shared" si="23"/>
        <v>0</v>
      </c>
      <c r="I197" s="12">
        <v>175</v>
      </c>
      <c r="J197" s="142">
        <f>IF(M196&gt;0.01,IF(I197&lt;=($J$9*12),$J$15,-PMT($J$11,($J$12-$J$9)*12,$J$6)+$J$13*_xlfn.XLOOKUP($K$13,'RE Calculations'!$B$12:$B$16,'RE Calculations'!$C$12:$C$16,"ERROR - Check Input")/12),0)</f>
        <v>0</v>
      </c>
      <c r="K197" s="142">
        <f t="shared" si="16"/>
        <v>0</v>
      </c>
      <c r="L197" s="142">
        <f>IF(I197&lt;=($J$9*12),$J$15,IFERROR(-IPMT($J$11,I197-$J$9*12,($J$12-$J$9)*12,$J$6)+$J$13*_xlfn.XLOOKUP($K$13,'RE Calculations'!$B$12:$B$16,'RE Calculations'!$C$12:$C$16,"ERROR - Check Input")/12,0))</f>
        <v>10</v>
      </c>
      <c r="M197" s="142">
        <f t="shared" si="17"/>
        <v>0</v>
      </c>
      <c r="P197" s="12">
        <v>175</v>
      </c>
      <c r="Q197" s="142">
        <f>IF(T196&gt;0.01,-PMT($Q$8,$Q$9*12,$Q$6)+$Q$10*_xlfn.XLOOKUP($R$10,'RE Calculations'!$B$12:$B$16,'RE Calculations'!$C$12:$C$16,"ERROR - Check Input")/12,0)</f>
        <v>0</v>
      </c>
      <c r="R197" s="142">
        <f t="shared" si="18"/>
        <v>0</v>
      </c>
      <c r="S197" s="142">
        <f>IFERROR(-IPMT($Q$8,P197,$Q$9*12,$Q$6)+$Q$10*_xlfn.XLOOKUP($R$10,'RE Calculations'!$B$12:$B$16,'RE Calculations'!$C$12:$C$16,"ERROR - Check Input")/12,0)</f>
        <v>8.3333333333333339</v>
      </c>
      <c r="T197" s="142">
        <f t="shared" si="19"/>
        <v>0</v>
      </c>
      <c r="W197" s="12">
        <v>175</v>
      </c>
      <c r="X197" s="142">
        <f>IF(AA196&gt;0.01,IF(W197&lt;=($X$9*12),$X$15,-PMT($X$11,($X$12-$X$9)*12,$X$6)+$X$13*_xlfn.XLOOKUP($Y$13,'RE Calculations'!$B$12:$B$16,'RE Calculations'!$C$12:$C$16,"ERROR - Check Input")/12),0)</f>
        <v>0</v>
      </c>
      <c r="Y197" s="142">
        <f t="shared" si="20"/>
        <v>0</v>
      </c>
      <c r="Z197" s="142">
        <f>IF(W197&lt;=($X$9*12),$X$15,IFERROR(-IPMT($X$11,W197-$X$9*12,($X$12-$X$9)*12,$X$6)+$X$13*_xlfn.XLOOKUP($Y$13,'RE Calculations'!$B$12:$B$16,'RE Calculations'!$C$12:$C$16,"ERROR - Check Input")/12,0))</f>
        <v>10</v>
      </c>
      <c r="AA197" s="142">
        <f t="shared" si="21"/>
        <v>0</v>
      </c>
    </row>
    <row r="198" spans="2:27" x14ac:dyDescent="0.35">
      <c r="B198" s="12">
        <v>176</v>
      </c>
      <c r="C198" s="142">
        <f>IF(F197&gt;0.01,-PMT($C$8,$C$9*12,$C$6)+$C$10*_xlfn.XLOOKUP($D$10,'RE Calculations'!$B$12:$B$16,'RE Calculations'!$C$12:$C$16,"ERROR - Check Input")/12,0)</f>
        <v>0</v>
      </c>
      <c r="D198" s="142">
        <f t="shared" si="22"/>
        <v>0</v>
      </c>
      <c r="E198" s="142">
        <f>IFERROR(-IPMT($C$8,B198,$C$9*12,$C$6)+$C$10*_xlfn.XLOOKUP($D$10,'RE Calculations'!$B$12:$B$16,'RE Calculations'!$C$12:$C$16,"ERROR - Check Input")/12,0)</f>
        <v>8.3333333333333339</v>
      </c>
      <c r="F198" s="142">
        <f t="shared" si="23"/>
        <v>0</v>
      </c>
      <c r="I198" s="12">
        <v>176</v>
      </c>
      <c r="J198" s="142">
        <f>IF(M197&gt;0.01,IF(I198&lt;=($J$9*12),$J$15,-PMT($J$11,($J$12-$J$9)*12,$J$6)+$J$13*_xlfn.XLOOKUP($K$13,'RE Calculations'!$B$12:$B$16,'RE Calculations'!$C$12:$C$16,"ERROR - Check Input")/12),0)</f>
        <v>0</v>
      </c>
      <c r="K198" s="142">
        <f t="shared" si="16"/>
        <v>0</v>
      </c>
      <c r="L198" s="142">
        <f>IF(I198&lt;=($J$9*12),$J$15,IFERROR(-IPMT($J$11,I198-$J$9*12,($J$12-$J$9)*12,$J$6)+$J$13*_xlfn.XLOOKUP($K$13,'RE Calculations'!$B$12:$B$16,'RE Calculations'!$C$12:$C$16,"ERROR - Check Input")/12,0))</f>
        <v>10</v>
      </c>
      <c r="M198" s="142">
        <f t="shared" si="17"/>
        <v>0</v>
      </c>
      <c r="P198" s="12">
        <v>176</v>
      </c>
      <c r="Q198" s="142">
        <f>IF(T197&gt;0.01,-PMT($Q$8,$Q$9*12,$Q$6)+$Q$10*_xlfn.XLOOKUP($R$10,'RE Calculations'!$B$12:$B$16,'RE Calculations'!$C$12:$C$16,"ERROR - Check Input")/12,0)</f>
        <v>0</v>
      </c>
      <c r="R198" s="142">
        <f t="shared" si="18"/>
        <v>0</v>
      </c>
      <c r="S198" s="142">
        <f>IFERROR(-IPMT($Q$8,P198,$Q$9*12,$Q$6)+$Q$10*_xlfn.XLOOKUP($R$10,'RE Calculations'!$B$12:$B$16,'RE Calculations'!$C$12:$C$16,"ERROR - Check Input")/12,0)</f>
        <v>8.3333333333333339</v>
      </c>
      <c r="T198" s="142">
        <f t="shared" si="19"/>
        <v>0</v>
      </c>
      <c r="W198" s="12">
        <v>176</v>
      </c>
      <c r="X198" s="142">
        <f>IF(AA197&gt;0.01,IF(W198&lt;=($X$9*12),$X$15,-PMT($X$11,($X$12-$X$9)*12,$X$6)+$X$13*_xlfn.XLOOKUP($Y$13,'RE Calculations'!$B$12:$B$16,'RE Calculations'!$C$12:$C$16,"ERROR - Check Input")/12),0)</f>
        <v>0</v>
      </c>
      <c r="Y198" s="142">
        <f t="shared" si="20"/>
        <v>0</v>
      </c>
      <c r="Z198" s="142">
        <f>IF(W198&lt;=($X$9*12),$X$15,IFERROR(-IPMT($X$11,W198-$X$9*12,($X$12-$X$9)*12,$X$6)+$X$13*_xlfn.XLOOKUP($Y$13,'RE Calculations'!$B$12:$B$16,'RE Calculations'!$C$12:$C$16,"ERROR - Check Input")/12,0))</f>
        <v>10</v>
      </c>
      <c r="AA198" s="142">
        <f t="shared" si="21"/>
        <v>0</v>
      </c>
    </row>
    <row r="199" spans="2:27" x14ac:dyDescent="0.35">
      <c r="B199" s="12">
        <v>177</v>
      </c>
      <c r="C199" s="142">
        <f>IF(F198&gt;0.01,-PMT($C$8,$C$9*12,$C$6)+$C$10*_xlfn.XLOOKUP($D$10,'RE Calculations'!$B$12:$B$16,'RE Calculations'!$C$12:$C$16,"ERROR - Check Input")/12,0)</f>
        <v>0</v>
      </c>
      <c r="D199" s="142">
        <f t="shared" si="22"/>
        <v>0</v>
      </c>
      <c r="E199" s="142">
        <f>IFERROR(-IPMT($C$8,B199,$C$9*12,$C$6)+$C$10*_xlfn.XLOOKUP($D$10,'RE Calculations'!$B$12:$B$16,'RE Calculations'!$C$12:$C$16,"ERROR - Check Input")/12,0)</f>
        <v>8.3333333333333339</v>
      </c>
      <c r="F199" s="142">
        <f t="shared" si="23"/>
        <v>0</v>
      </c>
      <c r="I199" s="12">
        <v>177</v>
      </c>
      <c r="J199" s="142">
        <f>IF(M198&gt;0.01,IF(I199&lt;=($J$9*12),$J$15,-PMT($J$11,($J$12-$J$9)*12,$J$6)+$J$13*_xlfn.XLOOKUP($K$13,'RE Calculations'!$B$12:$B$16,'RE Calculations'!$C$12:$C$16,"ERROR - Check Input")/12),0)</f>
        <v>0</v>
      </c>
      <c r="K199" s="142">
        <f t="shared" si="16"/>
        <v>0</v>
      </c>
      <c r="L199" s="142">
        <f>IF(I199&lt;=($J$9*12),$J$15,IFERROR(-IPMT($J$11,I199-$J$9*12,($J$12-$J$9)*12,$J$6)+$J$13*_xlfn.XLOOKUP($K$13,'RE Calculations'!$B$12:$B$16,'RE Calculations'!$C$12:$C$16,"ERROR - Check Input")/12,0))</f>
        <v>10</v>
      </c>
      <c r="M199" s="142">
        <f t="shared" si="17"/>
        <v>0</v>
      </c>
      <c r="P199" s="12">
        <v>177</v>
      </c>
      <c r="Q199" s="142">
        <f>IF(T198&gt;0.01,-PMT($Q$8,$Q$9*12,$Q$6)+$Q$10*_xlfn.XLOOKUP($R$10,'RE Calculations'!$B$12:$B$16,'RE Calculations'!$C$12:$C$16,"ERROR - Check Input")/12,0)</f>
        <v>0</v>
      </c>
      <c r="R199" s="142">
        <f t="shared" si="18"/>
        <v>0</v>
      </c>
      <c r="S199" s="142">
        <f>IFERROR(-IPMT($Q$8,P199,$Q$9*12,$Q$6)+$Q$10*_xlfn.XLOOKUP($R$10,'RE Calculations'!$B$12:$B$16,'RE Calculations'!$C$12:$C$16,"ERROR - Check Input")/12,0)</f>
        <v>8.3333333333333339</v>
      </c>
      <c r="T199" s="142">
        <f t="shared" si="19"/>
        <v>0</v>
      </c>
      <c r="W199" s="12">
        <v>177</v>
      </c>
      <c r="X199" s="142">
        <f>IF(AA198&gt;0.01,IF(W199&lt;=($X$9*12),$X$15,-PMT($X$11,($X$12-$X$9)*12,$X$6)+$X$13*_xlfn.XLOOKUP($Y$13,'RE Calculations'!$B$12:$B$16,'RE Calculations'!$C$12:$C$16,"ERROR - Check Input")/12),0)</f>
        <v>0</v>
      </c>
      <c r="Y199" s="142">
        <f t="shared" si="20"/>
        <v>0</v>
      </c>
      <c r="Z199" s="142">
        <f>IF(W199&lt;=($X$9*12),$X$15,IFERROR(-IPMT($X$11,W199-$X$9*12,($X$12-$X$9)*12,$X$6)+$X$13*_xlfn.XLOOKUP($Y$13,'RE Calculations'!$B$12:$B$16,'RE Calculations'!$C$12:$C$16,"ERROR - Check Input")/12,0))</f>
        <v>10</v>
      </c>
      <c r="AA199" s="142">
        <f t="shared" si="21"/>
        <v>0</v>
      </c>
    </row>
    <row r="200" spans="2:27" x14ac:dyDescent="0.35">
      <c r="B200" s="12">
        <v>178</v>
      </c>
      <c r="C200" s="142">
        <f>IF(F199&gt;0.01,-PMT($C$8,$C$9*12,$C$6)+$C$10*_xlfn.XLOOKUP($D$10,'RE Calculations'!$B$12:$B$16,'RE Calculations'!$C$12:$C$16,"ERROR - Check Input")/12,0)</f>
        <v>0</v>
      </c>
      <c r="D200" s="142">
        <f t="shared" si="22"/>
        <v>0</v>
      </c>
      <c r="E200" s="142">
        <f>IFERROR(-IPMT($C$8,B200,$C$9*12,$C$6)+$C$10*_xlfn.XLOOKUP($D$10,'RE Calculations'!$B$12:$B$16,'RE Calculations'!$C$12:$C$16,"ERROR - Check Input")/12,0)</f>
        <v>8.3333333333333339</v>
      </c>
      <c r="F200" s="142">
        <f t="shared" si="23"/>
        <v>0</v>
      </c>
      <c r="I200" s="12">
        <v>178</v>
      </c>
      <c r="J200" s="142">
        <f>IF(M199&gt;0.01,IF(I200&lt;=($J$9*12),$J$15,-PMT($J$11,($J$12-$J$9)*12,$J$6)+$J$13*_xlfn.XLOOKUP($K$13,'RE Calculations'!$B$12:$B$16,'RE Calculations'!$C$12:$C$16,"ERROR - Check Input")/12),0)</f>
        <v>0</v>
      </c>
      <c r="K200" s="142">
        <f t="shared" si="16"/>
        <v>0</v>
      </c>
      <c r="L200" s="142">
        <f>IF(I200&lt;=($J$9*12),$J$15,IFERROR(-IPMT($J$11,I200-$J$9*12,($J$12-$J$9)*12,$J$6)+$J$13*_xlfn.XLOOKUP($K$13,'RE Calculations'!$B$12:$B$16,'RE Calculations'!$C$12:$C$16,"ERROR - Check Input")/12,0))</f>
        <v>10</v>
      </c>
      <c r="M200" s="142">
        <f t="shared" si="17"/>
        <v>0</v>
      </c>
      <c r="P200" s="12">
        <v>178</v>
      </c>
      <c r="Q200" s="142">
        <f>IF(T199&gt;0.01,-PMT($Q$8,$Q$9*12,$Q$6)+$Q$10*_xlfn.XLOOKUP($R$10,'RE Calculations'!$B$12:$B$16,'RE Calculations'!$C$12:$C$16,"ERROR - Check Input")/12,0)</f>
        <v>0</v>
      </c>
      <c r="R200" s="142">
        <f t="shared" si="18"/>
        <v>0</v>
      </c>
      <c r="S200" s="142">
        <f>IFERROR(-IPMT($Q$8,P200,$Q$9*12,$Q$6)+$Q$10*_xlfn.XLOOKUP($R$10,'RE Calculations'!$B$12:$B$16,'RE Calculations'!$C$12:$C$16,"ERROR - Check Input")/12,0)</f>
        <v>8.3333333333333339</v>
      </c>
      <c r="T200" s="142">
        <f t="shared" si="19"/>
        <v>0</v>
      </c>
      <c r="W200" s="12">
        <v>178</v>
      </c>
      <c r="X200" s="142">
        <f>IF(AA199&gt;0.01,IF(W200&lt;=($X$9*12),$X$15,-PMT($X$11,($X$12-$X$9)*12,$X$6)+$X$13*_xlfn.XLOOKUP($Y$13,'RE Calculations'!$B$12:$B$16,'RE Calculations'!$C$12:$C$16,"ERROR - Check Input")/12),0)</f>
        <v>0</v>
      </c>
      <c r="Y200" s="142">
        <f t="shared" si="20"/>
        <v>0</v>
      </c>
      <c r="Z200" s="142">
        <f>IF(W200&lt;=($X$9*12),$X$15,IFERROR(-IPMT($X$11,W200-$X$9*12,($X$12-$X$9)*12,$X$6)+$X$13*_xlfn.XLOOKUP($Y$13,'RE Calculations'!$B$12:$B$16,'RE Calculations'!$C$12:$C$16,"ERROR - Check Input")/12,0))</f>
        <v>10</v>
      </c>
      <c r="AA200" s="142">
        <f t="shared" si="21"/>
        <v>0</v>
      </c>
    </row>
    <row r="201" spans="2:27" x14ac:dyDescent="0.35">
      <c r="B201" s="12">
        <v>179</v>
      </c>
      <c r="C201" s="142">
        <f>IF(F200&gt;0.01,-PMT($C$8,$C$9*12,$C$6)+$C$10*_xlfn.XLOOKUP($D$10,'RE Calculations'!$B$12:$B$16,'RE Calculations'!$C$12:$C$16,"ERROR - Check Input")/12,0)</f>
        <v>0</v>
      </c>
      <c r="D201" s="142">
        <f t="shared" si="22"/>
        <v>0</v>
      </c>
      <c r="E201" s="142">
        <f>IFERROR(-IPMT($C$8,B201,$C$9*12,$C$6)+$C$10*_xlfn.XLOOKUP($D$10,'RE Calculations'!$B$12:$B$16,'RE Calculations'!$C$12:$C$16,"ERROR - Check Input")/12,0)</f>
        <v>8.3333333333333339</v>
      </c>
      <c r="F201" s="142">
        <f t="shared" si="23"/>
        <v>0</v>
      </c>
      <c r="I201" s="12">
        <v>179</v>
      </c>
      <c r="J201" s="142">
        <f>IF(M200&gt;0.01,IF(I201&lt;=($J$9*12),$J$15,-PMT($J$11,($J$12-$J$9)*12,$J$6)+$J$13*_xlfn.XLOOKUP($K$13,'RE Calculations'!$B$12:$B$16,'RE Calculations'!$C$12:$C$16,"ERROR - Check Input")/12),0)</f>
        <v>0</v>
      </c>
      <c r="K201" s="142">
        <f t="shared" si="16"/>
        <v>0</v>
      </c>
      <c r="L201" s="142">
        <f>IF(I201&lt;=($J$9*12),$J$15,IFERROR(-IPMT($J$11,I201-$J$9*12,($J$12-$J$9)*12,$J$6)+$J$13*_xlfn.XLOOKUP($K$13,'RE Calculations'!$B$12:$B$16,'RE Calculations'!$C$12:$C$16,"ERROR - Check Input")/12,0))</f>
        <v>10</v>
      </c>
      <c r="M201" s="142">
        <f t="shared" si="17"/>
        <v>0</v>
      </c>
      <c r="P201" s="12">
        <v>179</v>
      </c>
      <c r="Q201" s="142">
        <f>IF(T200&gt;0.01,-PMT($Q$8,$Q$9*12,$Q$6)+$Q$10*_xlfn.XLOOKUP($R$10,'RE Calculations'!$B$12:$B$16,'RE Calculations'!$C$12:$C$16,"ERROR - Check Input")/12,0)</f>
        <v>0</v>
      </c>
      <c r="R201" s="142">
        <f t="shared" si="18"/>
        <v>0</v>
      </c>
      <c r="S201" s="142">
        <f>IFERROR(-IPMT($Q$8,P201,$Q$9*12,$Q$6)+$Q$10*_xlfn.XLOOKUP($R$10,'RE Calculations'!$B$12:$B$16,'RE Calculations'!$C$12:$C$16,"ERROR - Check Input")/12,0)</f>
        <v>8.3333333333333339</v>
      </c>
      <c r="T201" s="142">
        <f t="shared" si="19"/>
        <v>0</v>
      </c>
      <c r="W201" s="12">
        <v>179</v>
      </c>
      <c r="X201" s="142">
        <f>IF(AA200&gt;0.01,IF(W201&lt;=($X$9*12),$X$15,-PMT($X$11,($X$12-$X$9)*12,$X$6)+$X$13*_xlfn.XLOOKUP($Y$13,'RE Calculations'!$B$12:$B$16,'RE Calculations'!$C$12:$C$16,"ERROR - Check Input")/12),0)</f>
        <v>0</v>
      </c>
      <c r="Y201" s="142">
        <f t="shared" si="20"/>
        <v>0</v>
      </c>
      <c r="Z201" s="142">
        <f>IF(W201&lt;=($X$9*12),$X$15,IFERROR(-IPMT($X$11,W201-$X$9*12,($X$12-$X$9)*12,$X$6)+$X$13*_xlfn.XLOOKUP($Y$13,'RE Calculations'!$B$12:$B$16,'RE Calculations'!$C$12:$C$16,"ERROR - Check Input")/12,0))</f>
        <v>10</v>
      </c>
      <c r="AA201" s="142">
        <f t="shared" si="21"/>
        <v>0</v>
      </c>
    </row>
    <row r="202" spans="2:27" x14ac:dyDescent="0.35">
      <c r="B202" s="12">
        <v>180</v>
      </c>
      <c r="C202" s="142">
        <f>IF(F201&gt;0.01,-PMT($C$8,$C$9*12,$C$6)+$C$10*_xlfn.XLOOKUP($D$10,'RE Calculations'!$B$12:$B$16,'RE Calculations'!$C$12:$C$16,"ERROR - Check Input")/12,0)</f>
        <v>0</v>
      </c>
      <c r="D202" s="142">
        <f t="shared" si="22"/>
        <v>0</v>
      </c>
      <c r="E202" s="142">
        <f>IFERROR(-IPMT($C$8,B202,$C$9*12,$C$6)+$C$10*_xlfn.XLOOKUP($D$10,'RE Calculations'!$B$12:$B$16,'RE Calculations'!$C$12:$C$16,"ERROR - Check Input")/12,0)</f>
        <v>8.3333333333333339</v>
      </c>
      <c r="F202" s="142">
        <f t="shared" si="23"/>
        <v>0</v>
      </c>
      <c r="I202" s="12">
        <v>180</v>
      </c>
      <c r="J202" s="142">
        <f>IF(M201&gt;0.01,IF(I202&lt;=($J$9*12),$J$15,-PMT($J$11,($J$12-$J$9)*12,$J$6)+$J$13*_xlfn.XLOOKUP($K$13,'RE Calculations'!$B$12:$B$16,'RE Calculations'!$C$12:$C$16,"ERROR - Check Input")/12),0)</f>
        <v>0</v>
      </c>
      <c r="K202" s="142">
        <f t="shared" si="16"/>
        <v>0</v>
      </c>
      <c r="L202" s="142">
        <f>IF(I202&lt;=($J$9*12),$J$15,IFERROR(-IPMT($J$11,I202-$J$9*12,($J$12-$J$9)*12,$J$6)+$J$13*_xlfn.XLOOKUP($K$13,'RE Calculations'!$B$12:$B$16,'RE Calculations'!$C$12:$C$16,"ERROR - Check Input")/12,0))</f>
        <v>10</v>
      </c>
      <c r="M202" s="142">
        <f t="shared" si="17"/>
        <v>0</v>
      </c>
      <c r="P202" s="12">
        <v>180</v>
      </c>
      <c r="Q202" s="142">
        <f>IF(T201&gt;0.01,-PMT($Q$8,$Q$9*12,$Q$6)+$Q$10*_xlfn.XLOOKUP($R$10,'RE Calculations'!$B$12:$B$16,'RE Calculations'!$C$12:$C$16,"ERROR - Check Input")/12,0)</f>
        <v>0</v>
      </c>
      <c r="R202" s="142">
        <f t="shared" si="18"/>
        <v>0</v>
      </c>
      <c r="S202" s="142">
        <f>IFERROR(-IPMT($Q$8,P202,$Q$9*12,$Q$6)+$Q$10*_xlfn.XLOOKUP($R$10,'RE Calculations'!$B$12:$B$16,'RE Calculations'!$C$12:$C$16,"ERROR - Check Input")/12,0)</f>
        <v>8.3333333333333339</v>
      </c>
      <c r="T202" s="142">
        <f t="shared" si="19"/>
        <v>0</v>
      </c>
      <c r="W202" s="12">
        <v>180</v>
      </c>
      <c r="X202" s="142">
        <f>IF(AA201&gt;0.01,IF(W202&lt;=($X$9*12),$X$15,-PMT($X$11,($X$12-$X$9)*12,$X$6)+$X$13*_xlfn.XLOOKUP($Y$13,'RE Calculations'!$B$12:$B$16,'RE Calculations'!$C$12:$C$16,"ERROR - Check Input")/12),0)</f>
        <v>0</v>
      </c>
      <c r="Y202" s="142">
        <f t="shared" si="20"/>
        <v>0</v>
      </c>
      <c r="Z202" s="142">
        <f>IF(W202&lt;=($X$9*12),$X$15,IFERROR(-IPMT($X$11,W202-$X$9*12,($X$12-$X$9)*12,$X$6)+$X$13*_xlfn.XLOOKUP($Y$13,'RE Calculations'!$B$12:$B$16,'RE Calculations'!$C$12:$C$16,"ERROR - Check Input")/12,0))</f>
        <v>10</v>
      </c>
      <c r="AA202" s="142">
        <f t="shared" si="21"/>
        <v>0</v>
      </c>
    </row>
    <row r="203" spans="2:27" x14ac:dyDescent="0.35">
      <c r="B203" s="12">
        <v>181</v>
      </c>
      <c r="C203" s="142">
        <f>IF(F202&gt;0.01,-PMT($C$8,$C$9*12,$C$6)+$C$10*_xlfn.XLOOKUP($D$10,'RE Calculations'!$B$12:$B$16,'RE Calculations'!$C$12:$C$16,"ERROR - Check Input")/12,0)</f>
        <v>0</v>
      </c>
      <c r="D203" s="142">
        <f t="shared" si="22"/>
        <v>0</v>
      </c>
      <c r="E203" s="142">
        <f>IFERROR(-IPMT($C$8,B203,$C$9*12,$C$6)+$C$10*_xlfn.XLOOKUP($D$10,'RE Calculations'!$B$12:$B$16,'RE Calculations'!$C$12:$C$16,"ERROR - Check Input")/12,0)</f>
        <v>8.3333333333333339</v>
      </c>
      <c r="F203" s="142">
        <f t="shared" si="23"/>
        <v>0</v>
      </c>
      <c r="I203" s="12">
        <v>181</v>
      </c>
      <c r="J203" s="142">
        <f>IF(M202&gt;0.01,IF(I203&lt;=($J$9*12),$J$15,-PMT($J$11,($J$12-$J$9)*12,$J$6)+$J$13*_xlfn.XLOOKUP($K$13,'RE Calculations'!$B$12:$B$16,'RE Calculations'!$C$12:$C$16,"ERROR - Check Input")/12),0)</f>
        <v>0</v>
      </c>
      <c r="K203" s="142">
        <f t="shared" si="16"/>
        <v>0</v>
      </c>
      <c r="L203" s="142">
        <f>IF(I203&lt;=($J$9*12),$J$15,IFERROR(-IPMT($J$11,I203-$J$9*12,($J$12-$J$9)*12,$J$6)+$J$13*_xlfn.XLOOKUP($K$13,'RE Calculations'!$B$12:$B$16,'RE Calculations'!$C$12:$C$16,"ERROR - Check Input")/12,0))</f>
        <v>10</v>
      </c>
      <c r="M203" s="142">
        <f t="shared" si="17"/>
        <v>0</v>
      </c>
      <c r="P203" s="12">
        <v>181</v>
      </c>
      <c r="Q203" s="142">
        <f>IF(T202&gt;0.01,-PMT($Q$8,$Q$9*12,$Q$6)+$Q$10*_xlfn.XLOOKUP($R$10,'RE Calculations'!$B$12:$B$16,'RE Calculations'!$C$12:$C$16,"ERROR - Check Input")/12,0)</f>
        <v>0</v>
      </c>
      <c r="R203" s="142">
        <f t="shared" si="18"/>
        <v>0</v>
      </c>
      <c r="S203" s="142">
        <f>IFERROR(-IPMT($Q$8,P203,$Q$9*12,$Q$6)+$Q$10*_xlfn.XLOOKUP($R$10,'RE Calculations'!$B$12:$B$16,'RE Calculations'!$C$12:$C$16,"ERROR - Check Input")/12,0)</f>
        <v>8.3333333333333339</v>
      </c>
      <c r="T203" s="142">
        <f t="shared" si="19"/>
        <v>0</v>
      </c>
      <c r="W203" s="12">
        <v>181</v>
      </c>
      <c r="X203" s="142">
        <f>IF(AA202&gt;0.01,IF(W203&lt;=($X$9*12),$X$15,-PMT($X$11,($X$12-$X$9)*12,$X$6)+$X$13*_xlfn.XLOOKUP($Y$13,'RE Calculations'!$B$12:$B$16,'RE Calculations'!$C$12:$C$16,"ERROR - Check Input")/12),0)</f>
        <v>0</v>
      </c>
      <c r="Y203" s="142">
        <f t="shared" si="20"/>
        <v>0</v>
      </c>
      <c r="Z203" s="142">
        <f>IF(W203&lt;=($X$9*12),$X$15,IFERROR(-IPMT($X$11,W203-$X$9*12,($X$12-$X$9)*12,$X$6)+$X$13*_xlfn.XLOOKUP($Y$13,'RE Calculations'!$B$12:$B$16,'RE Calculations'!$C$12:$C$16,"ERROR - Check Input")/12,0))</f>
        <v>10</v>
      </c>
      <c r="AA203" s="142">
        <f t="shared" si="21"/>
        <v>0</v>
      </c>
    </row>
    <row r="204" spans="2:27" x14ac:dyDescent="0.35">
      <c r="B204" s="12">
        <v>182</v>
      </c>
      <c r="C204" s="142">
        <f>IF(F203&gt;0.01,-PMT($C$8,$C$9*12,$C$6)+$C$10*_xlfn.XLOOKUP($D$10,'RE Calculations'!$B$12:$B$16,'RE Calculations'!$C$12:$C$16,"ERROR - Check Input")/12,0)</f>
        <v>0</v>
      </c>
      <c r="D204" s="142">
        <f t="shared" si="22"/>
        <v>0</v>
      </c>
      <c r="E204" s="142">
        <f>IFERROR(-IPMT($C$8,B204,$C$9*12,$C$6)+$C$10*_xlfn.XLOOKUP($D$10,'RE Calculations'!$B$12:$B$16,'RE Calculations'!$C$12:$C$16,"ERROR - Check Input")/12,0)</f>
        <v>8.3333333333333339</v>
      </c>
      <c r="F204" s="142">
        <f t="shared" si="23"/>
        <v>0</v>
      </c>
      <c r="I204" s="12">
        <v>182</v>
      </c>
      <c r="J204" s="142">
        <f>IF(M203&gt;0.01,IF(I204&lt;=($J$9*12),$J$15,-PMT($J$11,($J$12-$J$9)*12,$J$6)+$J$13*_xlfn.XLOOKUP($K$13,'RE Calculations'!$B$12:$B$16,'RE Calculations'!$C$12:$C$16,"ERROR - Check Input")/12),0)</f>
        <v>0</v>
      </c>
      <c r="K204" s="142">
        <f t="shared" si="16"/>
        <v>0</v>
      </c>
      <c r="L204" s="142">
        <f>IF(I204&lt;=($J$9*12),$J$15,IFERROR(-IPMT($J$11,I204-$J$9*12,($J$12-$J$9)*12,$J$6)+$J$13*_xlfn.XLOOKUP($K$13,'RE Calculations'!$B$12:$B$16,'RE Calculations'!$C$12:$C$16,"ERROR - Check Input")/12,0))</f>
        <v>10</v>
      </c>
      <c r="M204" s="142">
        <f t="shared" si="17"/>
        <v>0</v>
      </c>
      <c r="P204" s="12">
        <v>182</v>
      </c>
      <c r="Q204" s="142">
        <f>IF(T203&gt;0.01,-PMT($Q$8,$Q$9*12,$Q$6)+$Q$10*_xlfn.XLOOKUP($R$10,'RE Calculations'!$B$12:$B$16,'RE Calculations'!$C$12:$C$16,"ERROR - Check Input")/12,0)</f>
        <v>0</v>
      </c>
      <c r="R204" s="142">
        <f t="shared" si="18"/>
        <v>0</v>
      </c>
      <c r="S204" s="142">
        <f>IFERROR(-IPMT($Q$8,P204,$Q$9*12,$Q$6)+$Q$10*_xlfn.XLOOKUP($R$10,'RE Calculations'!$B$12:$B$16,'RE Calculations'!$C$12:$C$16,"ERROR - Check Input")/12,0)</f>
        <v>8.3333333333333339</v>
      </c>
      <c r="T204" s="142">
        <f t="shared" si="19"/>
        <v>0</v>
      </c>
      <c r="W204" s="12">
        <v>182</v>
      </c>
      <c r="X204" s="142">
        <f>IF(AA203&gt;0.01,IF(W204&lt;=($X$9*12),$X$15,-PMT($X$11,($X$12-$X$9)*12,$X$6)+$X$13*_xlfn.XLOOKUP($Y$13,'RE Calculations'!$B$12:$B$16,'RE Calculations'!$C$12:$C$16,"ERROR - Check Input")/12),0)</f>
        <v>0</v>
      </c>
      <c r="Y204" s="142">
        <f t="shared" si="20"/>
        <v>0</v>
      </c>
      <c r="Z204" s="142">
        <f>IF(W204&lt;=($X$9*12),$X$15,IFERROR(-IPMT($X$11,W204-$X$9*12,($X$12-$X$9)*12,$X$6)+$X$13*_xlfn.XLOOKUP($Y$13,'RE Calculations'!$B$12:$B$16,'RE Calculations'!$C$12:$C$16,"ERROR - Check Input")/12,0))</f>
        <v>10</v>
      </c>
      <c r="AA204" s="142">
        <f t="shared" si="21"/>
        <v>0</v>
      </c>
    </row>
    <row r="205" spans="2:27" x14ac:dyDescent="0.35">
      <c r="B205" s="12">
        <v>183</v>
      </c>
      <c r="C205" s="142">
        <f>IF(F204&gt;0.01,-PMT($C$8,$C$9*12,$C$6)+$C$10*_xlfn.XLOOKUP($D$10,'RE Calculations'!$B$12:$B$16,'RE Calculations'!$C$12:$C$16,"ERROR - Check Input")/12,0)</f>
        <v>0</v>
      </c>
      <c r="D205" s="142">
        <f t="shared" si="22"/>
        <v>0</v>
      </c>
      <c r="E205" s="142">
        <f>IFERROR(-IPMT($C$8,B205,$C$9*12,$C$6)+$C$10*_xlfn.XLOOKUP($D$10,'RE Calculations'!$B$12:$B$16,'RE Calculations'!$C$12:$C$16,"ERROR - Check Input")/12,0)</f>
        <v>8.3333333333333339</v>
      </c>
      <c r="F205" s="142">
        <f t="shared" si="23"/>
        <v>0</v>
      </c>
      <c r="I205" s="12">
        <v>183</v>
      </c>
      <c r="J205" s="142">
        <f>IF(M204&gt;0.01,IF(I205&lt;=($J$9*12),$J$15,-PMT($J$11,($J$12-$J$9)*12,$J$6)+$J$13*_xlfn.XLOOKUP($K$13,'RE Calculations'!$B$12:$B$16,'RE Calculations'!$C$12:$C$16,"ERROR - Check Input")/12),0)</f>
        <v>0</v>
      </c>
      <c r="K205" s="142">
        <f t="shared" si="16"/>
        <v>0</v>
      </c>
      <c r="L205" s="142">
        <f>IF(I205&lt;=($J$9*12),$J$15,IFERROR(-IPMT($J$11,I205-$J$9*12,($J$12-$J$9)*12,$J$6)+$J$13*_xlfn.XLOOKUP($K$13,'RE Calculations'!$B$12:$B$16,'RE Calculations'!$C$12:$C$16,"ERROR - Check Input")/12,0))</f>
        <v>10</v>
      </c>
      <c r="M205" s="142">
        <f t="shared" si="17"/>
        <v>0</v>
      </c>
      <c r="P205" s="12">
        <v>183</v>
      </c>
      <c r="Q205" s="142">
        <f>IF(T204&gt;0.01,-PMT($Q$8,$Q$9*12,$Q$6)+$Q$10*_xlfn.XLOOKUP($R$10,'RE Calculations'!$B$12:$B$16,'RE Calculations'!$C$12:$C$16,"ERROR - Check Input")/12,0)</f>
        <v>0</v>
      </c>
      <c r="R205" s="142">
        <f t="shared" si="18"/>
        <v>0</v>
      </c>
      <c r="S205" s="142">
        <f>IFERROR(-IPMT($Q$8,P205,$Q$9*12,$Q$6)+$Q$10*_xlfn.XLOOKUP($R$10,'RE Calculations'!$B$12:$B$16,'RE Calculations'!$C$12:$C$16,"ERROR - Check Input")/12,0)</f>
        <v>8.3333333333333339</v>
      </c>
      <c r="T205" s="142">
        <f t="shared" si="19"/>
        <v>0</v>
      </c>
      <c r="W205" s="12">
        <v>183</v>
      </c>
      <c r="X205" s="142">
        <f>IF(AA204&gt;0.01,IF(W205&lt;=($X$9*12),$X$15,-PMT($X$11,($X$12-$X$9)*12,$X$6)+$X$13*_xlfn.XLOOKUP($Y$13,'RE Calculations'!$B$12:$B$16,'RE Calculations'!$C$12:$C$16,"ERROR - Check Input")/12),0)</f>
        <v>0</v>
      </c>
      <c r="Y205" s="142">
        <f t="shared" si="20"/>
        <v>0</v>
      </c>
      <c r="Z205" s="142">
        <f>IF(W205&lt;=($X$9*12),$X$15,IFERROR(-IPMT($X$11,W205-$X$9*12,($X$12-$X$9)*12,$X$6)+$X$13*_xlfn.XLOOKUP($Y$13,'RE Calculations'!$B$12:$B$16,'RE Calculations'!$C$12:$C$16,"ERROR - Check Input")/12,0))</f>
        <v>10</v>
      </c>
      <c r="AA205" s="142">
        <f t="shared" si="21"/>
        <v>0</v>
      </c>
    </row>
    <row r="206" spans="2:27" x14ac:dyDescent="0.35">
      <c r="B206" s="12">
        <v>184</v>
      </c>
      <c r="C206" s="142">
        <f>IF(F205&gt;0.01,-PMT($C$8,$C$9*12,$C$6)+$C$10*_xlfn.XLOOKUP($D$10,'RE Calculations'!$B$12:$B$16,'RE Calculations'!$C$12:$C$16,"ERROR - Check Input")/12,0)</f>
        <v>0</v>
      </c>
      <c r="D206" s="142">
        <f t="shared" si="22"/>
        <v>0</v>
      </c>
      <c r="E206" s="142">
        <f>IFERROR(-IPMT($C$8,B206,$C$9*12,$C$6)+$C$10*_xlfn.XLOOKUP($D$10,'RE Calculations'!$B$12:$B$16,'RE Calculations'!$C$12:$C$16,"ERROR - Check Input")/12,0)</f>
        <v>8.3333333333333339</v>
      </c>
      <c r="F206" s="142">
        <f t="shared" si="23"/>
        <v>0</v>
      </c>
      <c r="I206" s="12">
        <v>184</v>
      </c>
      <c r="J206" s="142">
        <f>IF(M205&gt;0.01,IF(I206&lt;=($J$9*12),$J$15,-PMT($J$11,($J$12-$J$9)*12,$J$6)+$J$13*_xlfn.XLOOKUP($K$13,'RE Calculations'!$B$12:$B$16,'RE Calculations'!$C$12:$C$16,"ERROR - Check Input")/12),0)</f>
        <v>0</v>
      </c>
      <c r="K206" s="142">
        <f t="shared" si="16"/>
        <v>0</v>
      </c>
      <c r="L206" s="142">
        <f>IF(I206&lt;=($J$9*12),$J$15,IFERROR(-IPMT($J$11,I206-$J$9*12,($J$12-$J$9)*12,$J$6)+$J$13*_xlfn.XLOOKUP($K$13,'RE Calculations'!$B$12:$B$16,'RE Calculations'!$C$12:$C$16,"ERROR - Check Input")/12,0))</f>
        <v>10</v>
      </c>
      <c r="M206" s="142">
        <f t="shared" si="17"/>
        <v>0</v>
      </c>
      <c r="P206" s="12">
        <v>184</v>
      </c>
      <c r="Q206" s="142">
        <f>IF(T205&gt;0.01,-PMT($Q$8,$Q$9*12,$Q$6)+$Q$10*_xlfn.XLOOKUP($R$10,'RE Calculations'!$B$12:$B$16,'RE Calculations'!$C$12:$C$16,"ERROR - Check Input")/12,0)</f>
        <v>0</v>
      </c>
      <c r="R206" s="142">
        <f t="shared" si="18"/>
        <v>0</v>
      </c>
      <c r="S206" s="142">
        <f>IFERROR(-IPMT($Q$8,P206,$Q$9*12,$Q$6)+$Q$10*_xlfn.XLOOKUP($R$10,'RE Calculations'!$B$12:$B$16,'RE Calculations'!$C$12:$C$16,"ERROR - Check Input")/12,0)</f>
        <v>8.3333333333333339</v>
      </c>
      <c r="T206" s="142">
        <f t="shared" si="19"/>
        <v>0</v>
      </c>
      <c r="W206" s="12">
        <v>184</v>
      </c>
      <c r="X206" s="142">
        <f>IF(AA205&gt;0.01,IF(W206&lt;=($X$9*12),$X$15,-PMT($X$11,($X$12-$X$9)*12,$X$6)+$X$13*_xlfn.XLOOKUP($Y$13,'RE Calculations'!$B$12:$B$16,'RE Calculations'!$C$12:$C$16,"ERROR - Check Input")/12),0)</f>
        <v>0</v>
      </c>
      <c r="Y206" s="142">
        <f t="shared" si="20"/>
        <v>0</v>
      </c>
      <c r="Z206" s="142">
        <f>IF(W206&lt;=($X$9*12),$X$15,IFERROR(-IPMT($X$11,W206-$X$9*12,($X$12-$X$9)*12,$X$6)+$X$13*_xlfn.XLOOKUP($Y$13,'RE Calculations'!$B$12:$B$16,'RE Calculations'!$C$12:$C$16,"ERROR - Check Input")/12,0))</f>
        <v>10</v>
      </c>
      <c r="AA206" s="142">
        <f t="shared" si="21"/>
        <v>0</v>
      </c>
    </row>
    <row r="207" spans="2:27" x14ac:dyDescent="0.35">
      <c r="B207" s="12">
        <v>185</v>
      </c>
      <c r="C207" s="142">
        <f>IF(F206&gt;0.01,-PMT($C$8,$C$9*12,$C$6)+$C$10*_xlfn.XLOOKUP($D$10,'RE Calculations'!$B$12:$B$16,'RE Calculations'!$C$12:$C$16,"ERROR - Check Input")/12,0)</f>
        <v>0</v>
      </c>
      <c r="D207" s="142">
        <f t="shared" si="22"/>
        <v>0</v>
      </c>
      <c r="E207" s="142">
        <f>IFERROR(-IPMT($C$8,B207,$C$9*12,$C$6)+$C$10*_xlfn.XLOOKUP($D$10,'RE Calculations'!$B$12:$B$16,'RE Calculations'!$C$12:$C$16,"ERROR - Check Input")/12,0)</f>
        <v>8.3333333333333339</v>
      </c>
      <c r="F207" s="142">
        <f t="shared" si="23"/>
        <v>0</v>
      </c>
      <c r="I207" s="12">
        <v>185</v>
      </c>
      <c r="J207" s="142">
        <f>IF(M206&gt;0.01,IF(I207&lt;=($J$9*12),$J$15,-PMT($J$11,($J$12-$J$9)*12,$J$6)+$J$13*_xlfn.XLOOKUP($K$13,'RE Calculations'!$B$12:$B$16,'RE Calculations'!$C$12:$C$16,"ERROR - Check Input")/12),0)</f>
        <v>0</v>
      </c>
      <c r="K207" s="142">
        <f t="shared" si="16"/>
        <v>0</v>
      </c>
      <c r="L207" s="142">
        <f>IF(I207&lt;=($J$9*12),$J$15,IFERROR(-IPMT($J$11,I207-$J$9*12,($J$12-$J$9)*12,$J$6)+$J$13*_xlfn.XLOOKUP($K$13,'RE Calculations'!$B$12:$B$16,'RE Calculations'!$C$12:$C$16,"ERROR - Check Input")/12,0))</f>
        <v>10</v>
      </c>
      <c r="M207" s="142">
        <f t="shared" si="17"/>
        <v>0</v>
      </c>
      <c r="P207" s="12">
        <v>185</v>
      </c>
      <c r="Q207" s="142">
        <f>IF(T206&gt;0.01,-PMT($Q$8,$Q$9*12,$Q$6)+$Q$10*_xlfn.XLOOKUP($R$10,'RE Calculations'!$B$12:$B$16,'RE Calculations'!$C$12:$C$16,"ERROR - Check Input")/12,0)</f>
        <v>0</v>
      </c>
      <c r="R207" s="142">
        <f t="shared" si="18"/>
        <v>0</v>
      </c>
      <c r="S207" s="142">
        <f>IFERROR(-IPMT($Q$8,P207,$Q$9*12,$Q$6)+$Q$10*_xlfn.XLOOKUP($R$10,'RE Calculations'!$B$12:$B$16,'RE Calculations'!$C$12:$C$16,"ERROR - Check Input")/12,0)</f>
        <v>8.3333333333333339</v>
      </c>
      <c r="T207" s="142">
        <f t="shared" si="19"/>
        <v>0</v>
      </c>
      <c r="W207" s="12">
        <v>185</v>
      </c>
      <c r="X207" s="142">
        <f>IF(AA206&gt;0.01,IF(W207&lt;=($X$9*12),$X$15,-PMT($X$11,($X$12-$X$9)*12,$X$6)+$X$13*_xlfn.XLOOKUP($Y$13,'RE Calculations'!$B$12:$B$16,'RE Calculations'!$C$12:$C$16,"ERROR - Check Input")/12),0)</f>
        <v>0</v>
      </c>
      <c r="Y207" s="142">
        <f t="shared" si="20"/>
        <v>0</v>
      </c>
      <c r="Z207" s="142">
        <f>IF(W207&lt;=($X$9*12),$X$15,IFERROR(-IPMT($X$11,W207-$X$9*12,($X$12-$X$9)*12,$X$6)+$X$13*_xlfn.XLOOKUP($Y$13,'RE Calculations'!$B$12:$B$16,'RE Calculations'!$C$12:$C$16,"ERROR - Check Input")/12,0))</f>
        <v>10</v>
      </c>
      <c r="AA207" s="142">
        <f t="shared" si="21"/>
        <v>0</v>
      </c>
    </row>
    <row r="208" spans="2:27" x14ac:dyDescent="0.35">
      <c r="B208" s="12">
        <v>186</v>
      </c>
      <c r="C208" s="142">
        <f>IF(F207&gt;0.01,-PMT($C$8,$C$9*12,$C$6)+$C$10*_xlfn.XLOOKUP($D$10,'RE Calculations'!$B$12:$B$16,'RE Calculations'!$C$12:$C$16,"ERROR - Check Input")/12,0)</f>
        <v>0</v>
      </c>
      <c r="D208" s="142">
        <f t="shared" si="22"/>
        <v>0</v>
      </c>
      <c r="E208" s="142">
        <f>IFERROR(-IPMT($C$8,B208,$C$9*12,$C$6)+$C$10*_xlfn.XLOOKUP($D$10,'RE Calculations'!$B$12:$B$16,'RE Calculations'!$C$12:$C$16,"ERROR - Check Input")/12,0)</f>
        <v>8.3333333333333339</v>
      </c>
      <c r="F208" s="142">
        <f t="shared" si="23"/>
        <v>0</v>
      </c>
      <c r="I208" s="12">
        <v>186</v>
      </c>
      <c r="J208" s="142">
        <f>IF(M207&gt;0.01,IF(I208&lt;=($J$9*12),$J$15,-PMT($J$11,($J$12-$J$9)*12,$J$6)+$J$13*_xlfn.XLOOKUP($K$13,'RE Calculations'!$B$12:$B$16,'RE Calculations'!$C$12:$C$16,"ERROR - Check Input")/12),0)</f>
        <v>0</v>
      </c>
      <c r="K208" s="142">
        <f t="shared" si="16"/>
        <v>0</v>
      </c>
      <c r="L208" s="142">
        <f>IF(I208&lt;=($J$9*12),$J$15,IFERROR(-IPMT($J$11,I208-$J$9*12,($J$12-$J$9)*12,$J$6)+$J$13*_xlfn.XLOOKUP($K$13,'RE Calculations'!$B$12:$B$16,'RE Calculations'!$C$12:$C$16,"ERROR - Check Input")/12,0))</f>
        <v>10</v>
      </c>
      <c r="M208" s="142">
        <f t="shared" si="17"/>
        <v>0</v>
      </c>
      <c r="P208" s="12">
        <v>186</v>
      </c>
      <c r="Q208" s="142">
        <f>IF(T207&gt;0.01,-PMT($Q$8,$Q$9*12,$Q$6)+$Q$10*_xlfn.XLOOKUP($R$10,'RE Calculations'!$B$12:$B$16,'RE Calculations'!$C$12:$C$16,"ERROR - Check Input")/12,0)</f>
        <v>0</v>
      </c>
      <c r="R208" s="142">
        <f t="shared" si="18"/>
        <v>0</v>
      </c>
      <c r="S208" s="142">
        <f>IFERROR(-IPMT($Q$8,P208,$Q$9*12,$Q$6)+$Q$10*_xlfn.XLOOKUP($R$10,'RE Calculations'!$B$12:$B$16,'RE Calculations'!$C$12:$C$16,"ERROR - Check Input")/12,0)</f>
        <v>8.3333333333333339</v>
      </c>
      <c r="T208" s="142">
        <f t="shared" si="19"/>
        <v>0</v>
      </c>
      <c r="W208" s="12">
        <v>186</v>
      </c>
      <c r="X208" s="142">
        <f>IF(AA207&gt;0.01,IF(W208&lt;=($X$9*12),$X$15,-PMT($X$11,($X$12-$X$9)*12,$X$6)+$X$13*_xlfn.XLOOKUP($Y$13,'RE Calculations'!$B$12:$B$16,'RE Calculations'!$C$12:$C$16,"ERROR - Check Input")/12),0)</f>
        <v>0</v>
      </c>
      <c r="Y208" s="142">
        <f t="shared" si="20"/>
        <v>0</v>
      </c>
      <c r="Z208" s="142">
        <f>IF(W208&lt;=($X$9*12),$X$15,IFERROR(-IPMT($X$11,W208-$X$9*12,($X$12-$X$9)*12,$X$6)+$X$13*_xlfn.XLOOKUP($Y$13,'RE Calculations'!$B$12:$B$16,'RE Calculations'!$C$12:$C$16,"ERROR - Check Input")/12,0))</f>
        <v>10</v>
      </c>
      <c r="AA208" s="142">
        <f t="shared" si="21"/>
        <v>0</v>
      </c>
    </row>
    <row r="209" spans="2:27" x14ac:dyDescent="0.35">
      <c r="B209" s="12">
        <v>187</v>
      </c>
      <c r="C209" s="142">
        <f>IF(F208&gt;0.01,-PMT($C$8,$C$9*12,$C$6)+$C$10*_xlfn.XLOOKUP($D$10,'RE Calculations'!$B$12:$B$16,'RE Calculations'!$C$12:$C$16,"ERROR - Check Input")/12,0)</f>
        <v>0</v>
      </c>
      <c r="D209" s="142">
        <f t="shared" si="22"/>
        <v>0</v>
      </c>
      <c r="E209" s="142">
        <f>IFERROR(-IPMT($C$8,B209,$C$9*12,$C$6)+$C$10*_xlfn.XLOOKUP($D$10,'RE Calculations'!$B$12:$B$16,'RE Calculations'!$C$12:$C$16,"ERROR - Check Input")/12,0)</f>
        <v>8.3333333333333339</v>
      </c>
      <c r="F209" s="142">
        <f t="shared" si="23"/>
        <v>0</v>
      </c>
      <c r="I209" s="12">
        <v>187</v>
      </c>
      <c r="J209" s="142">
        <f>IF(M208&gt;0.01,IF(I209&lt;=($J$9*12),$J$15,-PMT($J$11,($J$12-$J$9)*12,$J$6)+$J$13*_xlfn.XLOOKUP($K$13,'RE Calculations'!$B$12:$B$16,'RE Calculations'!$C$12:$C$16,"ERROR - Check Input")/12),0)</f>
        <v>0</v>
      </c>
      <c r="K209" s="142">
        <f t="shared" si="16"/>
        <v>0</v>
      </c>
      <c r="L209" s="142">
        <f>IF(I209&lt;=($J$9*12),$J$15,IFERROR(-IPMT($J$11,I209-$J$9*12,($J$12-$J$9)*12,$J$6)+$J$13*_xlfn.XLOOKUP($K$13,'RE Calculations'!$B$12:$B$16,'RE Calculations'!$C$12:$C$16,"ERROR - Check Input")/12,0))</f>
        <v>10</v>
      </c>
      <c r="M209" s="142">
        <f t="shared" si="17"/>
        <v>0</v>
      </c>
      <c r="P209" s="12">
        <v>187</v>
      </c>
      <c r="Q209" s="142">
        <f>IF(T208&gt;0.01,-PMT($Q$8,$Q$9*12,$Q$6)+$Q$10*_xlfn.XLOOKUP($R$10,'RE Calculations'!$B$12:$B$16,'RE Calculations'!$C$12:$C$16,"ERROR - Check Input")/12,0)</f>
        <v>0</v>
      </c>
      <c r="R209" s="142">
        <f t="shared" si="18"/>
        <v>0</v>
      </c>
      <c r="S209" s="142">
        <f>IFERROR(-IPMT($Q$8,P209,$Q$9*12,$Q$6)+$Q$10*_xlfn.XLOOKUP($R$10,'RE Calculations'!$B$12:$B$16,'RE Calculations'!$C$12:$C$16,"ERROR - Check Input")/12,0)</f>
        <v>8.3333333333333339</v>
      </c>
      <c r="T209" s="142">
        <f t="shared" si="19"/>
        <v>0</v>
      </c>
      <c r="W209" s="12">
        <v>187</v>
      </c>
      <c r="X209" s="142">
        <f>IF(AA208&gt;0.01,IF(W209&lt;=($X$9*12),$X$15,-PMT($X$11,($X$12-$X$9)*12,$X$6)+$X$13*_xlfn.XLOOKUP($Y$13,'RE Calculations'!$B$12:$B$16,'RE Calculations'!$C$12:$C$16,"ERROR - Check Input")/12),0)</f>
        <v>0</v>
      </c>
      <c r="Y209" s="142">
        <f t="shared" si="20"/>
        <v>0</v>
      </c>
      <c r="Z209" s="142">
        <f>IF(W209&lt;=($X$9*12),$X$15,IFERROR(-IPMT($X$11,W209-$X$9*12,($X$12-$X$9)*12,$X$6)+$X$13*_xlfn.XLOOKUP($Y$13,'RE Calculations'!$B$12:$B$16,'RE Calculations'!$C$12:$C$16,"ERROR - Check Input")/12,0))</f>
        <v>10</v>
      </c>
      <c r="AA209" s="142">
        <f t="shared" si="21"/>
        <v>0</v>
      </c>
    </row>
    <row r="210" spans="2:27" x14ac:dyDescent="0.35">
      <c r="B210" s="12">
        <v>188</v>
      </c>
      <c r="C210" s="142">
        <f>IF(F209&gt;0.01,-PMT($C$8,$C$9*12,$C$6)+$C$10*_xlfn.XLOOKUP($D$10,'RE Calculations'!$B$12:$B$16,'RE Calculations'!$C$12:$C$16,"ERROR - Check Input")/12,0)</f>
        <v>0</v>
      </c>
      <c r="D210" s="142">
        <f t="shared" si="22"/>
        <v>0</v>
      </c>
      <c r="E210" s="142">
        <f>IFERROR(-IPMT($C$8,B210,$C$9*12,$C$6)+$C$10*_xlfn.XLOOKUP($D$10,'RE Calculations'!$B$12:$B$16,'RE Calculations'!$C$12:$C$16,"ERROR - Check Input")/12,0)</f>
        <v>8.3333333333333339</v>
      </c>
      <c r="F210" s="142">
        <f t="shared" si="23"/>
        <v>0</v>
      </c>
      <c r="I210" s="12">
        <v>188</v>
      </c>
      <c r="J210" s="142">
        <f>IF(M209&gt;0.01,IF(I210&lt;=($J$9*12),$J$15,-PMT($J$11,($J$12-$J$9)*12,$J$6)+$J$13*_xlfn.XLOOKUP($K$13,'RE Calculations'!$B$12:$B$16,'RE Calculations'!$C$12:$C$16,"ERROR - Check Input")/12),0)</f>
        <v>0</v>
      </c>
      <c r="K210" s="142">
        <f t="shared" si="16"/>
        <v>0</v>
      </c>
      <c r="L210" s="142">
        <f>IF(I210&lt;=($J$9*12),$J$15,IFERROR(-IPMT($J$11,I210-$J$9*12,($J$12-$J$9)*12,$J$6)+$J$13*_xlfn.XLOOKUP($K$13,'RE Calculations'!$B$12:$B$16,'RE Calculations'!$C$12:$C$16,"ERROR - Check Input")/12,0))</f>
        <v>10</v>
      </c>
      <c r="M210" s="142">
        <f t="shared" si="17"/>
        <v>0</v>
      </c>
      <c r="P210" s="12">
        <v>188</v>
      </c>
      <c r="Q210" s="142">
        <f>IF(T209&gt;0.01,-PMT($Q$8,$Q$9*12,$Q$6)+$Q$10*_xlfn.XLOOKUP($R$10,'RE Calculations'!$B$12:$B$16,'RE Calculations'!$C$12:$C$16,"ERROR - Check Input")/12,0)</f>
        <v>0</v>
      </c>
      <c r="R210" s="142">
        <f t="shared" si="18"/>
        <v>0</v>
      </c>
      <c r="S210" s="142">
        <f>IFERROR(-IPMT($Q$8,P210,$Q$9*12,$Q$6)+$Q$10*_xlfn.XLOOKUP($R$10,'RE Calculations'!$B$12:$B$16,'RE Calculations'!$C$12:$C$16,"ERROR - Check Input")/12,0)</f>
        <v>8.3333333333333339</v>
      </c>
      <c r="T210" s="142">
        <f t="shared" si="19"/>
        <v>0</v>
      </c>
      <c r="W210" s="12">
        <v>188</v>
      </c>
      <c r="X210" s="142">
        <f>IF(AA209&gt;0.01,IF(W210&lt;=($X$9*12),$X$15,-PMT($X$11,($X$12-$X$9)*12,$X$6)+$X$13*_xlfn.XLOOKUP($Y$13,'RE Calculations'!$B$12:$B$16,'RE Calculations'!$C$12:$C$16,"ERROR - Check Input")/12),0)</f>
        <v>0</v>
      </c>
      <c r="Y210" s="142">
        <f t="shared" si="20"/>
        <v>0</v>
      </c>
      <c r="Z210" s="142">
        <f>IF(W210&lt;=($X$9*12),$X$15,IFERROR(-IPMT($X$11,W210-$X$9*12,($X$12-$X$9)*12,$X$6)+$X$13*_xlfn.XLOOKUP($Y$13,'RE Calculations'!$B$12:$B$16,'RE Calculations'!$C$12:$C$16,"ERROR - Check Input")/12,0))</f>
        <v>10</v>
      </c>
      <c r="AA210" s="142">
        <f t="shared" si="21"/>
        <v>0</v>
      </c>
    </row>
    <row r="211" spans="2:27" x14ac:dyDescent="0.35">
      <c r="B211" s="12">
        <v>189</v>
      </c>
      <c r="C211" s="142">
        <f>IF(F210&gt;0.01,-PMT($C$8,$C$9*12,$C$6)+$C$10*_xlfn.XLOOKUP($D$10,'RE Calculations'!$B$12:$B$16,'RE Calculations'!$C$12:$C$16,"ERROR - Check Input")/12,0)</f>
        <v>0</v>
      </c>
      <c r="D211" s="142">
        <f t="shared" si="22"/>
        <v>0</v>
      </c>
      <c r="E211" s="142">
        <f>IFERROR(-IPMT($C$8,B211,$C$9*12,$C$6)+$C$10*_xlfn.XLOOKUP($D$10,'RE Calculations'!$B$12:$B$16,'RE Calculations'!$C$12:$C$16,"ERROR - Check Input")/12,0)</f>
        <v>8.3333333333333339</v>
      </c>
      <c r="F211" s="142">
        <f t="shared" si="23"/>
        <v>0</v>
      </c>
      <c r="I211" s="12">
        <v>189</v>
      </c>
      <c r="J211" s="142">
        <f>IF(M210&gt;0.01,IF(I211&lt;=($J$9*12),$J$15,-PMT($J$11,($J$12-$J$9)*12,$J$6)+$J$13*_xlfn.XLOOKUP($K$13,'RE Calculations'!$B$12:$B$16,'RE Calculations'!$C$12:$C$16,"ERROR - Check Input")/12),0)</f>
        <v>0</v>
      </c>
      <c r="K211" s="142">
        <f t="shared" si="16"/>
        <v>0</v>
      </c>
      <c r="L211" s="142">
        <f>IF(I211&lt;=($J$9*12),$J$15,IFERROR(-IPMT($J$11,I211-$J$9*12,($J$12-$J$9)*12,$J$6)+$J$13*_xlfn.XLOOKUP($K$13,'RE Calculations'!$B$12:$B$16,'RE Calculations'!$C$12:$C$16,"ERROR - Check Input")/12,0))</f>
        <v>10</v>
      </c>
      <c r="M211" s="142">
        <f t="shared" si="17"/>
        <v>0</v>
      </c>
      <c r="P211" s="12">
        <v>189</v>
      </c>
      <c r="Q211" s="142">
        <f>IF(T210&gt;0.01,-PMT($Q$8,$Q$9*12,$Q$6)+$Q$10*_xlfn.XLOOKUP($R$10,'RE Calculations'!$B$12:$B$16,'RE Calculations'!$C$12:$C$16,"ERROR - Check Input")/12,0)</f>
        <v>0</v>
      </c>
      <c r="R211" s="142">
        <f t="shared" si="18"/>
        <v>0</v>
      </c>
      <c r="S211" s="142">
        <f>IFERROR(-IPMT($Q$8,P211,$Q$9*12,$Q$6)+$Q$10*_xlfn.XLOOKUP($R$10,'RE Calculations'!$B$12:$B$16,'RE Calculations'!$C$12:$C$16,"ERROR - Check Input")/12,0)</f>
        <v>8.3333333333333339</v>
      </c>
      <c r="T211" s="142">
        <f t="shared" si="19"/>
        <v>0</v>
      </c>
      <c r="W211" s="12">
        <v>189</v>
      </c>
      <c r="X211" s="142">
        <f>IF(AA210&gt;0.01,IF(W211&lt;=($X$9*12),$X$15,-PMT($X$11,($X$12-$X$9)*12,$X$6)+$X$13*_xlfn.XLOOKUP($Y$13,'RE Calculations'!$B$12:$B$16,'RE Calculations'!$C$12:$C$16,"ERROR - Check Input")/12),0)</f>
        <v>0</v>
      </c>
      <c r="Y211" s="142">
        <f t="shared" si="20"/>
        <v>0</v>
      </c>
      <c r="Z211" s="142">
        <f>IF(W211&lt;=($X$9*12),$X$15,IFERROR(-IPMT($X$11,W211-$X$9*12,($X$12-$X$9)*12,$X$6)+$X$13*_xlfn.XLOOKUP($Y$13,'RE Calculations'!$B$12:$B$16,'RE Calculations'!$C$12:$C$16,"ERROR - Check Input")/12,0))</f>
        <v>10</v>
      </c>
      <c r="AA211" s="142">
        <f t="shared" si="21"/>
        <v>0</v>
      </c>
    </row>
    <row r="212" spans="2:27" x14ac:dyDescent="0.35">
      <c r="B212" s="12">
        <v>190</v>
      </c>
      <c r="C212" s="142">
        <f>IF(F211&gt;0.01,-PMT($C$8,$C$9*12,$C$6)+$C$10*_xlfn.XLOOKUP($D$10,'RE Calculations'!$B$12:$B$16,'RE Calculations'!$C$12:$C$16,"ERROR - Check Input")/12,0)</f>
        <v>0</v>
      </c>
      <c r="D212" s="142">
        <f t="shared" si="22"/>
        <v>0</v>
      </c>
      <c r="E212" s="142">
        <f>IFERROR(-IPMT($C$8,B212,$C$9*12,$C$6)+$C$10*_xlfn.XLOOKUP($D$10,'RE Calculations'!$B$12:$B$16,'RE Calculations'!$C$12:$C$16,"ERROR - Check Input")/12,0)</f>
        <v>8.3333333333333339</v>
      </c>
      <c r="F212" s="142">
        <f t="shared" si="23"/>
        <v>0</v>
      </c>
      <c r="I212" s="12">
        <v>190</v>
      </c>
      <c r="J212" s="142">
        <f>IF(M211&gt;0.01,IF(I212&lt;=($J$9*12),$J$15,-PMT($J$11,($J$12-$J$9)*12,$J$6)+$J$13*_xlfn.XLOOKUP($K$13,'RE Calculations'!$B$12:$B$16,'RE Calculations'!$C$12:$C$16,"ERROR - Check Input")/12),0)</f>
        <v>0</v>
      </c>
      <c r="K212" s="142">
        <f t="shared" si="16"/>
        <v>0</v>
      </c>
      <c r="L212" s="142">
        <f>IF(I212&lt;=($J$9*12),$J$15,IFERROR(-IPMT($J$11,I212-$J$9*12,($J$12-$J$9)*12,$J$6)+$J$13*_xlfn.XLOOKUP($K$13,'RE Calculations'!$B$12:$B$16,'RE Calculations'!$C$12:$C$16,"ERROR - Check Input")/12,0))</f>
        <v>10</v>
      </c>
      <c r="M212" s="142">
        <f t="shared" si="17"/>
        <v>0</v>
      </c>
      <c r="P212" s="12">
        <v>190</v>
      </c>
      <c r="Q212" s="142">
        <f>IF(T211&gt;0.01,-PMT($Q$8,$Q$9*12,$Q$6)+$Q$10*_xlfn.XLOOKUP($R$10,'RE Calculations'!$B$12:$B$16,'RE Calculations'!$C$12:$C$16,"ERROR - Check Input")/12,0)</f>
        <v>0</v>
      </c>
      <c r="R212" s="142">
        <f t="shared" si="18"/>
        <v>0</v>
      </c>
      <c r="S212" s="142">
        <f>IFERROR(-IPMT($Q$8,P212,$Q$9*12,$Q$6)+$Q$10*_xlfn.XLOOKUP($R$10,'RE Calculations'!$B$12:$B$16,'RE Calculations'!$C$12:$C$16,"ERROR - Check Input")/12,0)</f>
        <v>8.3333333333333339</v>
      </c>
      <c r="T212" s="142">
        <f t="shared" si="19"/>
        <v>0</v>
      </c>
      <c r="W212" s="12">
        <v>190</v>
      </c>
      <c r="X212" s="142">
        <f>IF(AA211&gt;0.01,IF(W212&lt;=($X$9*12),$X$15,-PMT($X$11,($X$12-$X$9)*12,$X$6)+$X$13*_xlfn.XLOOKUP($Y$13,'RE Calculations'!$B$12:$B$16,'RE Calculations'!$C$12:$C$16,"ERROR - Check Input")/12),0)</f>
        <v>0</v>
      </c>
      <c r="Y212" s="142">
        <f t="shared" si="20"/>
        <v>0</v>
      </c>
      <c r="Z212" s="142">
        <f>IF(W212&lt;=($X$9*12),$X$15,IFERROR(-IPMT($X$11,W212-$X$9*12,($X$12-$X$9)*12,$X$6)+$X$13*_xlfn.XLOOKUP($Y$13,'RE Calculations'!$B$12:$B$16,'RE Calculations'!$C$12:$C$16,"ERROR - Check Input")/12,0))</f>
        <v>10</v>
      </c>
      <c r="AA212" s="142">
        <f t="shared" si="21"/>
        <v>0</v>
      </c>
    </row>
    <row r="213" spans="2:27" x14ac:dyDescent="0.35">
      <c r="B213" s="12">
        <v>191</v>
      </c>
      <c r="C213" s="142">
        <f>IF(F212&gt;0.01,-PMT($C$8,$C$9*12,$C$6)+$C$10*_xlfn.XLOOKUP($D$10,'RE Calculations'!$B$12:$B$16,'RE Calculations'!$C$12:$C$16,"ERROR - Check Input")/12,0)</f>
        <v>0</v>
      </c>
      <c r="D213" s="142">
        <f t="shared" si="22"/>
        <v>0</v>
      </c>
      <c r="E213" s="142">
        <f>IFERROR(-IPMT($C$8,B213,$C$9*12,$C$6)+$C$10*_xlfn.XLOOKUP($D$10,'RE Calculations'!$B$12:$B$16,'RE Calculations'!$C$12:$C$16,"ERROR - Check Input")/12,0)</f>
        <v>8.3333333333333339</v>
      </c>
      <c r="F213" s="142">
        <f t="shared" si="23"/>
        <v>0</v>
      </c>
      <c r="I213" s="12">
        <v>191</v>
      </c>
      <c r="J213" s="142">
        <f>IF(M212&gt;0.01,IF(I213&lt;=($J$9*12),$J$15,-PMT($J$11,($J$12-$J$9)*12,$J$6)+$J$13*_xlfn.XLOOKUP($K$13,'RE Calculations'!$B$12:$B$16,'RE Calculations'!$C$12:$C$16,"ERROR - Check Input")/12),0)</f>
        <v>0</v>
      </c>
      <c r="K213" s="142">
        <f t="shared" si="16"/>
        <v>0</v>
      </c>
      <c r="L213" s="142">
        <f>IF(I213&lt;=($J$9*12),$J$15,IFERROR(-IPMT($J$11,I213-$J$9*12,($J$12-$J$9)*12,$J$6)+$J$13*_xlfn.XLOOKUP($K$13,'RE Calculations'!$B$12:$B$16,'RE Calculations'!$C$12:$C$16,"ERROR - Check Input")/12,0))</f>
        <v>10</v>
      </c>
      <c r="M213" s="142">
        <f t="shared" si="17"/>
        <v>0</v>
      </c>
      <c r="P213" s="12">
        <v>191</v>
      </c>
      <c r="Q213" s="142">
        <f>IF(T212&gt;0.01,-PMT($Q$8,$Q$9*12,$Q$6)+$Q$10*_xlfn.XLOOKUP($R$10,'RE Calculations'!$B$12:$B$16,'RE Calculations'!$C$12:$C$16,"ERROR - Check Input")/12,0)</f>
        <v>0</v>
      </c>
      <c r="R213" s="142">
        <f t="shared" si="18"/>
        <v>0</v>
      </c>
      <c r="S213" s="142">
        <f>IFERROR(-IPMT($Q$8,P213,$Q$9*12,$Q$6)+$Q$10*_xlfn.XLOOKUP($R$10,'RE Calculations'!$B$12:$B$16,'RE Calculations'!$C$12:$C$16,"ERROR - Check Input")/12,0)</f>
        <v>8.3333333333333339</v>
      </c>
      <c r="T213" s="142">
        <f t="shared" si="19"/>
        <v>0</v>
      </c>
      <c r="W213" s="12">
        <v>191</v>
      </c>
      <c r="X213" s="142">
        <f>IF(AA212&gt;0.01,IF(W213&lt;=($X$9*12),$X$15,-PMT($X$11,($X$12-$X$9)*12,$X$6)+$X$13*_xlfn.XLOOKUP($Y$13,'RE Calculations'!$B$12:$B$16,'RE Calculations'!$C$12:$C$16,"ERROR - Check Input")/12),0)</f>
        <v>0</v>
      </c>
      <c r="Y213" s="142">
        <f t="shared" si="20"/>
        <v>0</v>
      </c>
      <c r="Z213" s="142">
        <f>IF(W213&lt;=($X$9*12),$X$15,IFERROR(-IPMT($X$11,W213-$X$9*12,($X$12-$X$9)*12,$X$6)+$X$13*_xlfn.XLOOKUP($Y$13,'RE Calculations'!$B$12:$B$16,'RE Calculations'!$C$12:$C$16,"ERROR - Check Input")/12,0))</f>
        <v>10</v>
      </c>
      <c r="AA213" s="142">
        <f t="shared" si="21"/>
        <v>0</v>
      </c>
    </row>
    <row r="214" spans="2:27" x14ac:dyDescent="0.35">
      <c r="B214" s="12">
        <v>192</v>
      </c>
      <c r="C214" s="142">
        <f>IF(F213&gt;0.01,-PMT($C$8,$C$9*12,$C$6)+$C$10*_xlfn.XLOOKUP($D$10,'RE Calculations'!$B$12:$B$16,'RE Calculations'!$C$12:$C$16,"ERROR - Check Input")/12,0)</f>
        <v>0</v>
      </c>
      <c r="D214" s="142">
        <f t="shared" si="22"/>
        <v>0</v>
      </c>
      <c r="E214" s="142">
        <f>IFERROR(-IPMT($C$8,B214,$C$9*12,$C$6)+$C$10*_xlfn.XLOOKUP($D$10,'RE Calculations'!$B$12:$B$16,'RE Calculations'!$C$12:$C$16,"ERROR - Check Input")/12,0)</f>
        <v>8.3333333333333339</v>
      </c>
      <c r="F214" s="142">
        <f t="shared" si="23"/>
        <v>0</v>
      </c>
      <c r="I214" s="12">
        <v>192</v>
      </c>
      <c r="J214" s="142">
        <f>IF(M213&gt;0.01,IF(I214&lt;=($J$9*12),$J$15,-PMT($J$11,($J$12-$J$9)*12,$J$6)+$J$13*_xlfn.XLOOKUP($K$13,'RE Calculations'!$B$12:$B$16,'RE Calculations'!$C$12:$C$16,"ERROR - Check Input")/12),0)</f>
        <v>0</v>
      </c>
      <c r="K214" s="142">
        <f t="shared" si="16"/>
        <v>0</v>
      </c>
      <c r="L214" s="142">
        <f>IF(I214&lt;=($J$9*12),$J$15,IFERROR(-IPMT($J$11,I214-$J$9*12,($J$12-$J$9)*12,$J$6)+$J$13*_xlfn.XLOOKUP($K$13,'RE Calculations'!$B$12:$B$16,'RE Calculations'!$C$12:$C$16,"ERROR - Check Input")/12,0))</f>
        <v>10</v>
      </c>
      <c r="M214" s="142">
        <f t="shared" si="17"/>
        <v>0</v>
      </c>
      <c r="P214" s="12">
        <v>192</v>
      </c>
      <c r="Q214" s="142">
        <f>IF(T213&gt;0.01,-PMT($Q$8,$Q$9*12,$Q$6)+$Q$10*_xlfn.XLOOKUP($R$10,'RE Calculations'!$B$12:$B$16,'RE Calculations'!$C$12:$C$16,"ERROR - Check Input")/12,0)</f>
        <v>0</v>
      </c>
      <c r="R214" s="142">
        <f t="shared" si="18"/>
        <v>0</v>
      </c>
      <c r="S214" s="142">
        <f>IFERROR(-IPMT($Q$8,P214,$Q$9*12,$Q$6)+$Q$10*_xlfn.XLOOKUP($R$10,'RE Calculations'!$B$12:$B$16,'RE Calculations'!$C$12:$C$16,"ERROR - Check Input")/12,0)</f>
        <v>8.3333333333333339</v>
      </c>
      <c r="T214" s="142">
        <f t="shared" si="19"/>
        <v>0</v>
      </c>
      <c r="W214" s="12">
        <v>192</v>
      </c>
      <c r="X214" s="142">
        <f>IF(AA213&gt;0.01,IF(W214&lt;=($X$9*12),$X$15,-PMT($X$11,($X$12-$X$9)*12,$X$6)+$X$13*_xlfn.XLOOKUP($Y$13,'RE Calculations'!$B$12:$B$16,'RE Calculations'!$C$12:$C$16,"ERROR - Check Input")/12),0)</f>
        <v>0</v>
      </c>
      <c r="Y214" s="142">
        <f t="shared" si="20"/>
        <v>0</v>
      </c>
      <c r="Z214" s="142">
        <f>IF(W214&lt;=($X$9*12),$X$15,IFERROR(-IPMT($X$11,W214-$X$9*12,($X$12-$X$9)*12,$X$6)+$X$13*_xlfn.XLOOKUP($Y$13,'RE Calculations'!$B$12:$B$16,'RE Calculations'!$C$12:$C$16,"ERROR - Check Input")/12,0))</f>
        <v>10</v>
      </c>
      <c r="AA214" s="142">
        <f t="shared" si="21"/>
        <v>0</v>
      </c>
    </row>
    <row r="215" spans="2:27" x14ac:dyDescent="0.35">
      <c r="B215" s="12">
        <v>193</v>
      </c>
      <c r="C215" s="142">
        <f>IF(F214&gt;0.01,-PMT($C$8,$C$9*12,$C$6)+$C$10*_xlfn.XLOOKUP($D$10,'RE Calculations'!$B$12:$B$16,'RE Calculations'!$C$12:$C$16,"ERROR - Check Input")/12,0)</f>
        <v>0</v>
      </c>
      <c r="D215" s="142">
        <f t="shared" si="22"/>
        <v>0</v>
      </c>
      <c r="E215" s="142">
        <f>IFERROR(-IPMT($C$8,B215,$C$9*12,$C$6)+$C$10*_xlfn.XLOOKUP($D$10,'RE Calculations'!$B$12:$B$16,'RE Calculations'!$C$12:$C$16,"ERROR - Check Input")/12,0)</f>
        <v>8.3333333333333339</v>
      </c>
      <c r="F215" s="142">
        <f t="shared" si="23"/>
        <v>0</v>
      </c>
      <c r="I215" s="12">
        <v>193</v>
      </c>
      <c r="J215" s="142">
        <f>IF(M214&gt;0.01,IF(I215&lt;=($J$9*12),$J$15,-PMT($J$11,($J$12-$J$9)*12,$J$6)+$J$13*_xlfn.XLOOKUP($K$13,'RE Calculations'!$B$12:$B$16,'RE Calculations'!$C$12:$C$16,"ERROR - Check Input")/12),0)</f>
        <v>0</v>
      </c>
      <c r="K215" s="142">
        <f t="shared" ref="K215:K278" si="24">IF(I215&lt;=($J$9*12),0,IFERROR(-PPMT($J$11,I215-$J$9*12,($J$12-$J$9)*12,$J$6),0))</f>
        <v>0</v>
      </c>
      <c r="L215" s="142">
        <f>IF(I215&lt;=($J$9*12),$J$15,IFERROR(-IPMT($J$11,I215-$J$9*12,($J$12-$J$9)*12,$J$6)+$J$13*_xlfn.XLOOKUP($K$13,'RE Calculations'!$B$12:$B$16,'RE Calculations'!$C$12:$C$16,"ERROR - Check Input")/12,0))</f>
        <v>10</v>
      </c>
      <c r="M215" s="142">
        <f t="shared" ref="M215:M278" si="25">IFERROR(M214-K215,0)</f>
        <v>0</v>
      </c>
      <c r="P215" s="12">
        <v>193</v>
      </c>
      <c r="Q215" s="142">
        <f>IF(T214&gt;0.01,-PMT($Q$8,$Q$9*12,$Q$6)+$Q$10*_xlfn.XLOOKUP($R$10,'RE Calculations'!$B$12:$B$16,'RE Calculations'!$C$12:$C$16,"ERROR - Check Input")/12,0)</f>
        <v>0</v>
      </c>
      <c r="R215" s="142">
        <f t="shared" ref="R215:R278" si="26">IFERROR(-PPMT($Q$8,P215,$Q$9*12,$Q$6),0)</f>
        <v>0</v>
      </c>
      <c r="S215" s="142">
        <f>IFERROR(-IPMT($Q$8,P215,$Q$9*12,$Q$6)+$Q$10*_xlfn.XLOOKUP($R$10,'RE Calculations'!$B$12:$B$16,'RE Calculations'!$C$12:$C$16,"ERROR - Check Input")/12,0)</f>
        <v>8.3333333333333339</v>
      </c>
      <c r="T215" s="142">
        <f t="shared" ref="T215:T278" si="27">IFERROR(T214-R215,0)</f>
        <v>0</v>
      </c>
      <c r="W215" s="12">
        <v>193</v>
      </c>
      <c r="X215" s="142">
        <f>IF(AA214&gt;0.01,IF(W215&lt;=($X$9*12),$X$15,-PMT($X$11,($X$12-$X$9)*12,$X$6)+$X$13*_xlfn.XLOOKUP($Y$13,'RE Calculations'!$B$12:$B$16,'RE Calculations'!$C$12:$C$16,"ERROR - Check Input")/12),0)</f>
        <v>0</v>
      </c>
      <c r="Y215" s="142">
        <f t="shared" ref="Y215:Y278" si="28">IF(W215&lt;=($X$9*12),0,IFERROR(-PPMT($X$11,W215-$X$9*12,($X$12-$X$9)*12,$X$6),0))</f>
        <v>0</v>
      </c>
      <c r="Z215" s="142">
        <f>IF(W215&lt;=($X$9*12),$X$15,IFERROR(-IPMT($X$11,W215-$X$9*12,($X$12-$X$9)*12,$X$6)+$X$13*_xlfn.XLOOKUP($Y$13,'RE Calculations'!$B$12:$B$16,'RE Calculations'!$C$12:$C$16,"ERROR - Check Input")/12,0))</f>
        <v>10</v>
      </c>
      <c r="AA215" s="142">
        <f t="shared" ref="AA215:AA278" si="29">IFERROR(AA214-Y215,0)</f>
        <v>0</v>
      </c>
    </row>
    <row r="216" spans="2:27" x14ac:dyDescent="0.35">
      <c r="B216" s="12">
        <v>194</v>
      </c>
      <c r="C216" s="142">
        <f>IF(F215&gt;0.01,-PMT($C$8,$C$9*12,$C$6)+$C$10*_xlfn.XLOOKUP($D$10,'RE Calculations'!$B$12:$B$16,'RE Calculations'!$C$12:$C$16,"ERROR - Check Input")/12,0)</f>
        <v>0</v>
      </c>
      <c r="D216" s="142">
        <f t="shared" ref="D216:D279" si="30">IFERROR(-PPMT($C$8,B216,$C$9*12,$C$6),0)</f>
        <v>0</v>
      </c>
      <c r="E216" s="142">
        <f>IFERROR(-IPMT($C$8,B216,$C$9*12,$C$6)+$C$10*_xlfn.XLOOKUP($D$10,'RE Calculations'!$B$12:$B$16,'RE Calculations'!$C$12:$C$16,"ERROR - Check Input")/12,0)</f>
        <v>8.3333333333333339</v>
      </c>
      <c r="F216" s="142">
        <f t="shared" ref="F216:F279" si="31">IFERROR(F215-D216,0)</f>
        <v>0</v>
      </c>
      <c r="I216" s="12">
        <v>194</v>
      </c>
      <c r="J216" s="142">
        <f>IF(M215&gt;0.01,IF(I216&lt;=($J$9*12),$J$15,-PMT($J$11,($J$12-$J$9)*12,$J$6)+$J$13*_xlfn.XLOOKUP($K$13,'RE Calculations'!$B$12:$B$16,'RE Calculations'!$C$12:$C$16,"ERROR - Check Input")/12),0)</f>
        <v>0</v>
      </c>
      <c r="K216" s="142">
        <f t="shared" si="24"/>
        <v>0</v>
      </c>
      <c r="L216" s="142">
        <f>IF(I216&lt;=($J$9*12),$J$15,IFERROR(-IPMT($J$11,I216-$J$9*12,($J$12-$J$9)*12,$J$6)+$J$13*_xlfn.XLOOKUP($K$13,'RE Calculations'!$B$12:$B$16,'RE Calculations'!$C$12:$C$16,"ERROR - Check Input")/12,0))</f>
        <v>10</v>
      </c>
      <c r="M216" s="142">
        <f t="shared" si="25"/>
        <v>0</v>
      </c>
      <c r="P216" s="12">
        <v>194</v>
      </c>
      <c r="Q216" s="142">
        <f>IF(T215&gt;0.01,-PMT($Q$8,$Q$9*12,$Q$6)+$Q$10*_xlfn.XLOOKUP($R$10,'RE Calculations'!$B$12:$B$16,'RE Calculations'!$C$12:$C$16,"ERROR - Check Input")/12,0)</f>
        <v>0</v>
      </c>
      <c r="R216" s="142">
        <f t="shared" si="26"/>
        <v>0</v>
      </c>
      <c r="S216" s="142">
        <f>IFERROR(-IPMT($Q$8,P216,$Q$9*12,$Q$6)+$Q$10*_xlfn.XLOOKUP($R$10,'RE Calculations'!$B$12:$B$16,'RE Calculations'!$C$12:$C$16,"ERROR - Check Input")/12,0)</f>
        <v>8.3333333333333339</v>
      </c>
      <c r="T216" s="142">
        <f t="shared" si="27"/>
        <v>0</v>
      </c>
      <c r="W216" s="12">
        <v>194</v>
      </c>
      <c r="X216" s="142">
        <f>IF(AA215&gt;0.01,IF(W216&lt;=($X$9*12),$X$15,-PMT($X$11,($X$12-$X$9)*12,$X$6)+$X$13*_xlfn.XLOOKUP($Y$13,'RE Calculations'!$B$12:$B$16,'RE Calculations'!$C$12:$C$16,"ERROR - Check Input")/12),0)</f>
        <v>0</v>
      </c>
      <c r="Y216" s="142">
        <f t="shared" si="28"/>
        <v>0</v>
      </c>
      <c r="Z216" s="142">
        <f>IF(W216&lt;=($X$9*12),$X$15,IFERROR(-IPMT($X$11,W216-$X$9*12,($X$12-$X$9)*12,$X$6)+$X$13*_xlfn.XLOOKUP($Y$13,'RE Calculations'!$B$12:$B$16,'RE Calculations'!$C$12:$C$16,"ERROR - Check Input")/12,0))</f>
        <v>10</v>
      </c>
      <c r="AA216" s="142">
        <f t="shared" si="29"/>
        <v>0</v>
      </c>
    </row>
    <row r="217" spans="2:27" x14ac:dyDescent="0.35">
      <c r="B217" s="12">
        <v>195</v>
      </c>
      <c r="C217" s="142">
        <f>IF(F216&gt;0.01,-PMT($C$8,$C$9*12,$C$6)+$C$10*_xlfn.XLOOKUP($D$10,'RE Calculations'!$B$12:$B$16,'RE Calculations'!$C$12:$C$16,"ERROR - Check Input")/12,0)</f>
        <v>0</v>
      </c>
      <c r="D217" s="142">
        <f t="shared" si="30"/>
        <v>0</v>
      </c>
      <c r="E217" s="142">
        <f>IFERROR(-IPMT($C$8,B217,$C$9*12,$C$6)+$C$10*_xlfn.XLOOKUP($D$10,'RE Calculations'!$B$12:$B$16,'RE Calculations'!$C$12:$C$16,"ERROR - Check Input")/12,0)</f>
        <v>8.3333333333333339</v>
      </c>
      <c r="F217" s="142">
        <f t="shared" si="31"/>
        <v>0</v>
      </c>
      <c r="I217" s="12">
        <v>195</v>
      </c>
      <c r="J217" s="142">
        <f>IF(M216&gt;0.01,IF(I217&lt;=($J$9*12),$J$15,-PMT($J$11,($J$12-$J$9)*12,$J$6)+$J$13*_xlfn.XLOOKUP($K$13,'RE Calculations'!$B$12:$B$16,'RE Calculations'!$C$12:$C$16,"ERROR - Check Input")/12),0)</f>
        <v>0</v>
      </c>
      <c r="K217" s="142">
        <f t="shared" si="24"/>
        <v>0</v>
      </c>
      <c r="L217" s="142">
        <f>IF(I217&lt;=($J$9*12),$J$15,IFERROR(-IPMT($J$11,I217-$J$9*12,($J$12-$J$9)*12,$J$6)+$J$13*_xlfn.XLOOKUP($K$13,'RE Calculations'!$B$12:$B$16,'RE Calculations'!$C$12:$C$16,"ERROR - Check Input")/12,0))</f>
        <v>10</v>
      </c>
      <c r="M217" s="142">
        <f t="shared" si="25"/>
        <v>0</v>
      </c>
      <c r="P217" s="12">
        <v>195</v>
      </c>
      <c r="Q217" s="142">
        <f>IF(T216&gt;0.01,-PMT($Q$8,$Q$9*12,$Q$6)+$Q$10*_xlfn.XLOOKUP($R$10,'RE Calculations'!$B$12:$B$16,'RE Calculations'!$C$12:$C$16,"ERROR - Check Input")/12,0)</f>
        <v>0</v>
      </c>
      <c r="R217" s="142">
        <f t="shared" si="26"/>
        <v>0</v>
      </c>
      <c r="S217" s="142">
        <f>IFERROR(-IPMT($Q$8,P217,$Q$9*12,$Q$6)+$Q$10*_xlfn.XLOOKUP($R$10,'RE Calculations'!$B$12:$B$16,'RE Calculations'!$C$12:$C$16,"ERROR - Check Input")/12,0)</f>
        <v>8.3333333333333339</v>
      </c>
      <c r="T217" s="142">
        <f t="shared" si="27"/>
        <v>0</v>
      </c>
      <c r="W217" s="12">
        <v>195</v>
      </c>
      <c r="X217" s="142">
        <f>IF(AA216&gt;0.01,IF(W217&lt;=($X$9*12),$X$15,-PMT($X$11,($X$12-$X$9)*12,$X$6)+$X$13*_xlfn.XLOOKUP($Y$13,'RE Calculations'!$B$12:$B$16,'RE Calculations'!$C$12:$C$16,"ERROR - Check Input")/12),0)</f>
        <v>0</v>
      </c>
      <c r="Y217" s="142">
        <f t="shared" si="28"/>
        <v>0</v>
      </c>
      <c r="Z217" s="142">
        <f>IF(W217&lt;=($X$9*12),$X$15,IFERROR(-IPMT($X$11,W217-$X$9*12,($X$12-$X$9)*12,$X$6)+$X$13*_xlfn.XLOOKUP($Y$13,'RE Calculations'!$B$12:$B$16,'RE Calculations'!$C$12:$C$16,"ERROR - Check Input")/12,0))</f>
        <v>10</v>
      </c>
      <c r="AA217" s="142">
        <f t="shared" si="29"/>
        <v>0</v>
      </c>
    </row>
    <row r="218" spans="2:27" x14ac:dyDescent="0.35">
      <c r="B218" s="12">
        <v>196</v>
      </c>
      <c r="C218" s="142">
        <f>IF(F217&gt;0.01,-PMT($C$8,$C$9*12,$C$6)+$C$10*_xlfn.XLOOKUP($D$10,'RE Calculations'!$B$12:$B$16,'RE Calculations'!$C$12:$C$16,"ERROR - Check Input")/12,0)</f>
        <v>0</v>
      </c>
      <c r="D218" s="142">
        <f t="shared" si="30"/>
        <v>0</v>
      </c>
      <c r="E218" s="142">
        <f>IFERROR(-IPMT($C$8,B218,$C$9*12,$C$6)+$C$10*_xlfn.XLOOKUP($D$10,'RE Calculations'!$B$12:$B$16,'RE Calculations'!$C$12:$C$16,"ERROR - Check Input")/12,0)</f>
        <v>8.3333333333333339</v>
      </c>
      <c r="F218" s="142">
        <f t="shared" si="31"/>
        <v>0</v>
      </c>
      <c r="I218" s="12">
        <v>196</v>
      </c>
      <c r="J218" s="142">
        <f>IF(M217&gt;0.01,IF(I218&lt;=($J$9*12),$J$15,-PMT($J$11,($J$12-$J$9)*12,$J$6)+$J$13*_xlfn.XLOOKUP($K$13,'RE Calculations'!$B$12:$B$16,'RE Calculations'!$C$12:$C$16,"ERROR - Check Input")/12),0)</f>
        <v>0</v>
      </c>
      <c r="K218" s="142">
        <f t="shared" si="24"/>
        <v>0</v>
      </c>
      <c r="L218" s="142">
        <f>IF(I218&lt;=($J$9*12),$J$15,IFERROR(-IPMT($J$11,I218-$J$9*12,($J$12-$J$9)*12,$J$6)+$J$13*_xlfn.XLOOKUP($K$13,'RE Calculations'!$B$12:$B$16,'RE Calculations'!$C$12:$C$16,"ERROR - Check Input")/12,0))</f>
        <v>10</v>
      </c>
      <c r="M218" s="142">
        <f t="shared" si="25"/>
        <v>0</v>
      </c>
      <c r="P218" s="12">
        <v>196</v>
      </c>
      <c r="Q218" s="142">
        <f>IF(T217&gt;0.01,-PMT($Q$8,$Q$9*12,$Q$6)+$Q$10*_xlfn.XLOOKUP($R$10,'RE Calculations'!$B$12:$B$16,'RE Calculations'!$C$12:$C$16,"ERROR - Check Input")/12,0)</f>
        <v>0</v>
      </c>
      <c r="R218" s="142">
        <f t="shared" si="26"/>
        <v>0</v>
      </c>
      <c r="S218" s="142">
        <f>IFERROR(-IPMT($Q$8,P218,$Q$9*12,$Q$6)+$Q$10*_xlfn.XLOOKUP($R$10,'RE Calculations'!$B$12:$B$16,'RE Calculations'!$C$12:$C$16,"ERROR - Check Input")/12,0)</f>
        <v>8.3333333333333339</v>
      </c>
      <c r="T218" s="142">
        <f t="shared" si="27"/>
        <v>0</v>
      </c>
      <c r="W218" s="12">
        <v>196</v>
      </c>
      <c r="X218" s="142">
        <f>IF(AA217&gt;0.01,IF(W218&lt;=($X$9*12),$X$15,-PMT($X$11,($X$12-$X$9)*12,$X$6)+$X$13*_xlfn.XLOOKUP($Y$13,'RE Calculations'!$B$12:$B$16,'RE Calculations'!$C$12:$C$16,"ERROR - Check Input")/12),0)</f>
        <v>0</v>
      </c>
      <c r="Y218" s="142">
        <f t="shared" si="28"/>
        <v>0</v>
      </c>
      <c r="Z218" s="142">
        <f>IF(W218&lt;=($X$9*12),$X$15,IFERROR(-IPMT($X$11,W218-$X$9*12,($X$12-$X$9)*12,$X$6)+$X$13*_xlfn.XLOOKUP($Y$13,'RE Calculations'!$B$12:$B$16,'RE Calculations'!$C$12:$C$16,"ERROR - Check Input")/12,0))</f>
        <v>10</v>
      </c>
      <c r="AA218" s="142">
        <f t="shared" si="29"/>
        <v>0</v>
      </c>
    </row>
    <row r="219" spans="2:27" x14ac:dyDescent="0.35">
      <c r="B219" s="12">
        <v>197</v>
      </c>
      <c r="C219" s="142">
        <f>IF(F218&gt;0.01,-PMT($C$8,$C$9*12,$C$6)+$C$10*_xlfn.XLOOKUP($D$10,'RE Calculations'!$B$12:$B$16,'RE Calculations'!$C$12:$C$16,"ERROR - Check Input")/12,0)</f>
        <v>0</v>
      </c>
      <c r="D219" s="142">
        <f t="shared" si="30"/>
        <v>0</v>
      </c>
      <c r="E219" s="142">
        <f>IFERROR(-IPMT($C$8,B219,$C$9*12,$C$6)+$C$10*_xlfn.XLOOKUP($D$10,'RE Calculations'!$B$12:$B$16,'RE Calculations'!$C$12:$C$16,"ERROR - Check Input")/12,0)</f>
        <v>8.3333333333333339</v>
      </c>
      <c r="F219" s="142">
        <f t="shared" si="31"/>
        <v>0</v>
      </c>
      <c r="I219" s="12">
        <v>197</v>
      </c>
      <c r="J219" s="142">
        <f>IF(M218&gt;0.01,IF(I219&lt;=($J$9*12),$J$15,-PMT($J$11,($J$12-$J$9)*12,$J$6)+$J$13*_xlfn.XLOOKUP($K$13,'RE Calculations'!$B$12:$B$16,'RE Calculations'!$C$12:$C$16,"ERROR - Check Input")/12),0)</f>
        <v>0</v>
      </c>
      <c r="K219" s="142">
        <f t="shared" si="24"/>
        <v>0</v>
      </c>
      <c r="L219" s="142">
        <f>IF(I219&lt;=($J$9*12),$J$15,IFERROR(-IPMT($J$11,I219-$J$9*12,($J$12-$J$9)*12,$J$6)+$J$13*_xlfn.XLOOKUP($K$13,'RE Calculations'!$B$12:$B$16,'RE Calculations'!$C$12:$C$16,"ERROR - Check Input")/12,0))</f>
        <v>10</v>
      </c>
      <c r="M219" s="142">
        <f t="shared" si="25"/>
        <v>0</v>
      </c>
      <c r="P219" s="12">
        <v>197</v>
      </c>
      <c r="Q219" s="142">
        <f>IF(T218&gt;0.01,-PMT($Q$8,$Q$9*12,$Q$6)+$Q$10*_xlfn.XLOOKUP($R$10,'RE Calculations'!$B$12:$B$16,'RE Calculations'!$C$12:$C$16,"ERROR - Check Input")/12,0)</f>
        <v>0</v>
      </c>
      <c r="R219" s="142">
        <f t="shared" si="26"/>
        <v>0</v>
      </c>
      <c r="S219" s="142">
        <f>IFERROR(-IPMT($Q$8,P219,$Q$9*12,$Q$6)+$Q$10*_xlfn.XLOOKUP($R$10,'RE Calculations'!$B$12:$B$16,'RE Calculations'!$C$12:$C$16,"ERROR - Check Input")/12,0)</f>
        <v>8.3333333333333339</v>
      </c>
      <c r="T219" s="142">
        <f t="shared" si="27"/>
        <v>0</v>
      </c>
      <c r="W219" s="12">
        <v>197</v>
      </c>
      <c r="X219" s="142">
        <f>IF(AA218&gt;0.01,IF(W219&lt;=($X$9*12),$X$15,-PMT($X$11,($X$12-$X$9)*12,$X$6)+$X$13*_xlfn.XLOOKUP($Y$13,'RE Calculations'!$B$12:$B$16,'RE Calculations'!$C$12:$C$16,"ERROR - Check Input")/12),0)</f>
        <v>0</v>
      </c>
      <c r="Y219" s="142">
        <f t="shared" si="28"/>
        <v>0</v>
      </c>
      <c r="Z219" s="142">
        <f>IF(W219&lt;=($X$9*12),$X$15,IFERROR(-IPMT($X$11,W219-$X$9*12,($X$12-$X$9)*12,$X$6)+$X$13*_xlfn.XLOOKUP($Y$13,'RE Calculations'!$B$12:$B$16,'RE Calculations'!$C$12:$C$16,"ERROR - Check Input")/12,0))</f>
        <v>10</v>
      </c>
      <c r="AA219" s="142">
        <f t="shared" si="29"/>
        <v>0</v>
      </c>
    </row>
    <row r="220" spans="2:27" x14ac:dyDescent="0.35">
      <c r="B220" s="12">
        <v>198</v>
      </c>
      <c r="C220" s="142">
        <f>IF(F219&gt;0.01,-PMT($C$8,$C$9*12,$C$6)+$C$10*_xlfn.XLOOKUP($D$10,'RE Calculations'!$B$12:$B$16,'RE Calculations'!$C$12:$C$16,"ERROR - Check Input")/12,0)</f>
        <v>0</v>
      </c>
      <c r="D220" s="142">
        <f t="shared" si="30"/>
        <v>0</v>
      </c>
      <c r="E220" s="142">
        <f>IFERROR(-IPMT($C$8,B220,$C$9*12,$C$6)+$C$10*_xlfn.XLOOKUP($D$10,'RE Calculations'!$B$12:$B$16,'RE Calculations'!$C$12:$C$16,"ERROR - Check Input")/12,0)</f>
        <v>8.3333333333333339</v>
      </c>
      <c r="F220" s="142">
        <f t="shared" si="31"/>
        <v>0</v>
      </c>
      <c r="I220" s="12">
        <v>198</v>
      </c>
      <c r="J220" s="142">
        <f>IF(M219&gt;0.01,IF(I220&lt;=($J$9*12),$J$15,-PMT($J$11,($J$12-$J$9)*12,$J$6)+$J$13*_xlfn.XLOOKUP($K$13,'RE Calculations'!$B$12:$B$16,'RE Calculations'!$C$12:$C$16,"ERROR - Check Input")/12),0)</f>
        <v>0</v>
      </c>
      <c r="K220" s="142">
        <f t="shared" si="24"/>
        <v>0</v>
      </c>
      <c r="L220" s="142">
        <f>IF(I220&lt;=($J$9*12),$J$15,IFERROR(-IPMT($J$11,I220-$J$9*12,($J$12-$J$9)*12,$J$6)+$J$13*_xlfn.XLOOKUP($K$13,'RE Calculations'!$B$12:$B$16,'RE Calculations'!$C$12:$C$16,"ERROR - Check Input")/12,0))</f>
        <v>10</v>
      </c>
      <c r="M220" s="142">
        <f t="shared" si="25"/>
        <v>0</v>
      </c>
      <c r="P220" s="12">
        <v>198</v>
      </c>
      <c r="Q220" s="142">
        <f>IF(T219&gt;0.01,-PMT($Q$8,$Q$9*12,$Q$6)+$Q$10*_xlfn.XLOOKUP($R$10,'RE Calculations'!$B$12:$B$16,'RE Calculations'!$C$12:$C$16,"ERROR - Check Input")/12,0)</f>
        <v>0</v>
      </c>
      <c r="R220" s="142">
        <f t="shared" si="26"/>
        <v>0</v>
      </c>
      <c r="S220" s="142">
        <f>IFERROR(-IPMT($Q$8,P220,$Q$9*12,$Q$6)+$Q$10*_xlfn.XLOOKUP($R$10,'RE Calculations'!$B$12:$B$16,'RE Calculations'!$C$12:$C$16,"ERROR - Check Input")/12,0)</f>
        <v>8.3333333333333339</v>
      </c>
      <c r="T220" s="142">
        <f t="shared" si="27"/>
        <v>0</v>
      </c>
      <c r="W220" s="12">
        <v>198</v>
      </c>
      <c r="X220" s="142">
        <f>IF(AA219&gt;0.01,IF(W220&lt;=($X$9*12),$X$15,-PMT($X$11,($X$12-$X$9)*12,$X$6)+$X$13*_xlfn.XLOOKUP($Y$13,'RE Calculations'!$B$12:$B$16,'RE Calculations'!$C$12:$C$16,"ERROR - Check Input")/12),0)</f>
        <v>0</v>
      </c>
      <c r="Y220" s="142">
        <f t="shared" si="28"/>
        <v>0</v>
      </c>
      <c r="Z220" s="142">
        <f>IF(W220&lt;=($X$9*12),$X$15,IFERROR(-IPMT($X$11,W220-$X$9*12,($X$12-$X$9)*12,$X$6)+$X$13*_xlfn.XLOOKUP($Y$13,'RE Calculations'!$B$12:$B$16,'RE Calculations'!$C$12:$C$16,"ERROR - Check Input")/12,0))</f>
        <v>10</v>
      </c>
      <c r="AA220" s="142">
        <f t="shared" si="29"/>
        <v>0</v>
      </c>
    </row>
    <row r="221" spans="2:27" x14ac:dyDescent="0.35">
      <c r="B221" s="12">
        <v>199</v>
      </c>
      <c r="C221" s="142">
        <f>IF(F220&gt;0.01,-PMT($C$8,$C$9*12,$C$6)+$C$10*_xlfn.XLOOKUP($D$10,'RE Calculations'!$B$12:$B$16,'RE Calculations'!$C$12:$C$16,"ERROR - Check Input")/12,0)</f>
        <v>0</v>
      </c>
      <c r="D221" s="142">
        <f t="shared" si="30"/>
        <v>0</v>
      </c>
      <c r="E221" s="142">
        <f>IFERROR(-IPMT($C$8,B221,$C$9*12,$C$6)+$C$10*_xlfn.XLOOKUP($D$10,'RE Calculations'!$B$12:$B$16,'RE Calculations'!$C$12:$C$16,"ERROR - Check Input")/12,0)</f>
        <v>8.3333333333333339</v>
      </c>
      <c r="F221" s="142">
        <f t="shared" si="31"/>
        <v>0</v>
      </c>
      <c r="I221" s="12">
        <v>199</v>
      </c>
      <c r="J221" s="142">
        <f>IF(M220&gt;0.01,IF(I221&lt;=($J$9*12),$J$15,-PMT($J$11,($J$12-$J$9)*12,$J$6)+$J$13*_xlfn.XLOOKUP($K$13,'RE Calculations'!$B$12:$B$16,'RE Calculations'!$C$12:$C$16,"ERROR - Check Input")/12),0)</f>
        <v>0</v>
      </c>
      <c r="K221" s="142">
        <f t="shared" si="24"/>
        <v>0</v>
      </c>
      <c r="L221" s="142">
        <f>IF(I221&lt;=($J$9*12),$J$15,IFERROR(-IPMT($J$11,I221-$J$9*12,($J$12-$J$9)*12,$J$6)+$J$13*_xlfn.XLOOKUP($K$13,'RE Calculations'!$B$12:$B$16,'RE Calculations'!$C$12:$C$16,"ERROR - Check Input")/12,0))</f>
        <v>10</v>
      </c>
      <c r="M221" s="142">
        <f t="shared" si="25"/>
        <v>0</v>
      </c>
      <c r="P221" s="12">
        <v>199</v>
      </c>
      <c r="Q221" s="142">
        <f>IF(T220&gt;0.01,-PMT($Q$8,$Q$9*12,$Q$6)+$Q$10*_xlfn.XLOOKUP($R$10,'RE Calculations'!$B$12:$B$16,'RE Calculations'!$C$12:$C$16,"ERROR - Check Input")/12,0)</f>
        <v>0</v>
      </c>
      <c r="R221" s="142">
        <f t="shared" si="26"/>
        <v>0</v>
      </c>
      <c r="S221" s="142">
        <f>IFERROR(-IPMT($Q$8,P221,$Q$9*12,$Q$6)+$Q$10*_xlfn.XLOOKUP($R$10,'RE Calculations'!$B$12:$B$16,'RE Calculations'!$C$12:$C$16,"ERROR - Check Input")/12,0)</f>
        <v>8.3333333333333339</v>
      </c>
      <c r="T221" s="142">
        <f t="shared" si="27"/>
        <v>0</v>
      </c>
      <c r="W221" s="12">
        <v>199</v>
      </c>
      <c r="X221" s="142">
        <f>IF(AA220&gt;0.01,IF(W221&lt;=($X$9*12),$X$15,-PMT($X$11,($X$12-$X$9)*12,$X$6)+$X$13*_xlfn.XLOOKUP($Y$13,'RE Calculations'!$B$12:$B$16,'RE Calculations'!$C$12:$C$16,"ERROR - Check Input")/12),0)</f>
        <v>0</v>
      </c>
      <c r="Y221" s="142">
        <f t="shared" si="28"/>
        <v>0</v>
      </c>
      <c r="Z221" s="142">
        <f>IF(W221&lt;=($X$9*12),$X$15,IFERROR(-IPMT($X$11,W221-$X$9*12,($X$12-$X$9)*12,$X$6)+$X$13*_xlfn.XLOOKUP($Y$13,'RE Calculations'!$B$12:$B$16,'RE Calculations'!$C$12:$C$16,"ERROR - Check Input")/12,0))</f>
        <v>10</v>
      </c>
      <c r="AA221" s="142">
        <f t="shared" si="29"/>
        <v>0</v>
      </c>
    </row>
    <row r="222" spans="2:27" x14ac:dyDescent="0.35">
      <c r="B222" s="12">
        <v>200</v>
      </c>
      <c r="C222" s="142">
        <f>IF(F221&gt;0.01,-PMT($C$8,$C$9*12,$C$6)+$C$10*_xlfn.XLOOKUP($D$10,'RE Calculations'!$B$12:$B$16,'RE Calculations'!$C$12:$C$16,"ERROR - Check Input")/12,0)</f>
        <v>0</v>
      </c>
      <c r="D222" s="142">
        <f t="shared" si="30"/>
        <v>0</v>
      </c>
      <c r="E222" s="142">
        <f>IFERROR(-IPMT($C$8,B222,$C$9*12,$C$6)+$C$10*_xlfn.XLOOKUP($D$10,'RE Calculations'!$B$12:$B$16,'RE Calculations'!$C$12:$C$16,"ERROR - Check Input")/12,0)</f>
        <v>8.3333333333333339</v>
      </c>
      <c r="F222" s="142">
        <f t="shared" si="31"/>
        <v>0</v>
      </c>
      <c r="I222" s="12">
        <v>200</v>
      </c>
      <c r="J222" s="142">
        <f>IF(M221&gt;0.01,IF(I222&lt;=($J$9*12),$J$15,-PMT($J$11,($J$12-$J$9)*12,$J$6)+$J$13*_xlfn.XLOOKUP($K$13,'RE Calculations'!$B$12:$B$16,'RE Calculations'!$C$12:$C$16,"ERROR - Check Input")/12),0)</f>
        <v>0</v>
      </c>
      <c r="K222" s="142">
        <f t="shared" si="24"/>
        <v>0</v>
      </c>
      <c r="L222" s="142">
        <f>IF(I222&lt;=($J$9*12),$J$15,IFERROR(-IPMT($J$11,I222-$J$9*12,($J$12-$J$9)*12,$J$6)+$J$13*_xlfn.XLOOKUP($K$13,'RE Calculations'!$B$12:$B$16,'RE Calculations'!$C$12:$C$16,"ERROR - Check Input")/12,0))</f>
        <v>10</v>
      </c>
      <c r="M222" s="142">
        <f t="shared" si="25"/>
        <v>0</v>
      </c>
      <c r="P222" s="12">
        <v>200</v>
      </c>
      <c r="Q222" s="142">
        <f>IF(T221&gt;0.01,-PMT($Q$8,$Q$9*12,$Q$6)+$Q$10*_xlfn.XLOOKUP($R$10,'RE Calculations'!$B$12:$B$16,'RE Calculations'!$C$12:$C$16,"ERROR - Check Input")/12,0)</f>
        <v>0</v>
      </c>
      <c r="R222" s="142">
        <f t="shared" si="26"/>
        <v>0</v>
      </c>
      <c r="S222" s="142">
        <f>IFERROR(-IPMT($Q$8,P222,$Q$9*12,$Q$6)+$Q$10*_xlfn.XLOOKUP($R$10,'RE Calculations'!$B$12:$B$16,'RE Calculations'!$C$12:$C$16,"ERROR - Check Input")/12,0)</f>
        <v>8.3333333333333339</v>
      </c>
      <c r="T222" s="142">
        <f t="shared" si="27"/>
        <v>0</v>
      </c>
      <c r="W222" s="12">
        <v>200</v>
      </c>
      <c r="X222" s="142">
        <f>IF(AA221&gt;0.01,IF(W222&lt;=($X$9*12),$X$15,-PMT($X$11,($X$12-$X$9)*12,$X$6)+$X$13*_xlfn.XLOOKUP($Y$13,'RE Calculations'!$B$12:$B$16,'RE Calculations'!$C$12:$C$16,"ERROR - Check Input")/12),0)</f>
        <v>0</v>
      </c>
      <c r="Y222" s="142">
        <f t="shared" si="28"/>
        <v>0</v>
      </c>
      <c r="Z222" s="142">
        <f>IF(W222&lt;=($X$9*12),$X$15,IFERROR(-IPMT($X$11,W222-$X$9*12,($X$12-$X$9)*12,$X$6)+$X$13*_xlfn.XLOOKUP($Y$13,'RE Calculations'!$B$12:$B$16,'RE Calculations'!$C$12:$C$16,"ERROR - Check Input")/12,0))</f>
        <v>10</v>
      </c>
      <c r="AA222" s="142">
        <f t="shared" si="29"/>
        <v>0</v>
      </c>
    </row>
    <row r="223" spans="2:27" x14ac:dyDescent="0.35">
      <c r="B223" s="12">
        <v>201</v>
      </c>
      <c r="C223" s="142">
        <f>IF(F222&gt;0.01,-PMT($C$8,$C$9*12,$C$6)+$C$10*_xlfn.XLOOKUP($D$10,'RE Calculations'!$B$12:$B$16,'RE Calculations'!$C$12:$C$16,"ERROR - Check Input")/12,0)</f>
        <v>0</v>
      </c>
      <c r="D223" s="142">
        <f t="shared" si="30"/>
        <v>0</v>
      </c>
      <c r="E223" s="142">
        <f>IFERROR(-IPMT($C$8,B223,$C$9*12,$C$6)+$C$10*_xlfn.XLOOKUP($D$10,'RE Calculations'!$B$12:$B$16,'RE Calculations'!$C$12:$C$16,"ERROR - Check Input")/12,0)</f>
        <v>8.3333333333333339</v>
      </c>
      <c r="F223" s="142">
        <f t="shared" si="31"/>
        <v>0</v>
      </c>
      <c r="I223" s="12">
        <v>201</v>
      </c>
      <c r="J223" s="142">
        <f>IF(M222&gt;0.01,IF(I223&lt;=($J$9*12),$J$15,-PMT($J$11,($J$12-$J$9)*12,$J$6)+$J$13*_xlfn.XLOOKUP($K$13,'RE Calculations'!$B$12:$B$16,'RE Calculations'!$C$12:$C$16,"ERROR - Check Input")/12),0)</f>
        <v>0</v>
      </c>
      <c r="K223" s="142">
        <f t="shared" si="24"/>
        <v>0</v>
      </c>
      <c r="L223" s="142">
        <f>IF(I223&lt;=($J$9*12),$J$15,IFERROR(-IPMT($J$11,I223-$J$9*12,($J$12-$J$9)*12,$J$6)+$J$13*_xlfn.XLOOKUP($K$13,'RE Calculations'!$B$12:$B$16,'RE Calculations'!$C$12:$C$16,"ERROR - Check Input")/12,0))</f>
        <v>10</v>
      </c>
      <c r="M223" s="142">
        <f t="shared" si="25"/>
        <v>0</v>
      </c>
      <c r="P223" s="12">
        <v>201</v>
      </c>
      <c r="Q223" s="142">
        <f>IF(T222&gt;0.01,-PMT($Q$8,$Q$9*12,$Q$6)+$Q$10*_xlfn.XLOOKUP($R$10,'RE Calculations'!$B$12:$B$16,'RE Calculations'!$C$12:$C$16,"ERROR - Check Input")/12,0)</f>
        <v>0</v>
      </c>
      <c r="R223" s="142">
        <f t="shared" si="26"/>
        <v>0</v>
      </c>
      <c r="S223" s="142">
        <f>IFERROR(-IPMT($Q$8,P223,$Q$9*12,$Q$6)+$Q$10*_xlfn.XLOOKUP($R$10,'RE Calculations'!$B$12:$B$16,'RE Calculations'!$C$12:$C$16,"ERROR - Check Input")/12,0)</f>
        <v>8.3333333333333339</v>
      </c>
      <c r="T223" s="142">
        <f t="shared" si="27"/>
        <v>0</v>
      </c>
      <c r="W223" s="12">
        <v>201</v>
      </c>
      <c r="X223" s="142">
        <f>IF(AA222&gt;0.01,IF(W223&lt;=($X$9*12),$X$15,-PMT($X$11,($X$12-$X$9)*12,$X$6)+$X$13*_xlfn.XLOOKUP($Y$13,'RE Calculations'!$B$12:$B$16,'RE Calculations'!$C$12:$C$16,"ERROR - Check Input")/12),0)</f>
        <v>0</v>
      </c>
      <c r="Y223" s="142">
        <f t="shared" si="28"/>
        <v>0</v>
      </c>
      <c r="Z223" s="142">
        <f>IF(W223&lt;=($X$9*12),$X$15,IFERROR(-IPMT($X$11,W223-$X$9*12,($X$12-$X$9)*12,$X$6)+$X$13*_xlfn.XLOOKUP($Y$13,'RE Calculations'!$B$12:$B$16,'RE Calculations'!$C$12:$C$16,"ERROR - Check Input")/12,0))</f>
        <v>10</v>
      </c>
      <c r="AA223" s="142">
        <f t="shared" si="29"/>
        <v>0</v>
      </c>
    </row>
    <row r="224" spans="2:27" x14ac:dyDescent="0.35">
      <c r="B224" s="12">
        <v>202</v>
      </c>
      <c r="C224" s="142">
        <f>IF(F223&gt;0.01,-PMT($C$8,$C$9*12,$C$6)+$C$10*_xlfn.XLOOKUP($D$10,'RE Calculations'!$B$12:$B$16,'RE Calculations'!$C$12:$C$16,"ERROR - Check Input")/12,0)</f>
        <v>0</v>
      </c>
      <c r="D224" s="142">
        <f t="shared" si="30"/>
        <v>0</v>
      </c>
      <c r="E224" s="142">
        <f>IFERROR(-IPMT($C$8,B224,$C$9*12,$C$6)+$C$10*_xlfn.XLOOKUP($D$10,'RE Calculations'!$B$12:$B$16,'RE Calculations'!$C$12:$C$16,"ERROR - Check Input")/12,0)</f>
        <v>8.3333333333333339</v>
      </c>
      <c r="F224" s="142">
        <f t="shared" si="31"/>
        <v>0</v>
      </c>
      <c r="I224" s="12">
        <v>202</v>
      </c>
      <c r="J224" s="142">
        <f>IF(M223&gt;0.01,IF(I224&lt;=($J$9*12),$J$15,-PMT($J$11,($J$12-$J$9)*12,$J$6)+$J$13*_xlfn.XLOOKUP($K$13,'RE Calculations'!$B$12:$B$16,'RE Calculations'!$C$12:$C$16,"ERROR - Check Input")/12),0)</f>
        <v>0</v>
      </c>
      <c r="K224" s="142">
        <f t="shared" si="24"/>
        <v>0</v>
      </c>
      <c r="L224" s="142">
        <f>IF(I224&lt;=($J$9*12),$J$15,IFERROR(-IPMT($J$11,I224-$J$9*12,($J$12-$J$9)*12,$J$6)+$J$13*_xlfn.XLOOKUP($K$13,'RE Calculations'!$B$12:$B$16,'RE Calculations'!$C$12:$C$16,"ERROR - Check Input")/12,0))</f>
        <v>10</v>
      </c>
      <c r="M224" s="142">
        <f t="shared" si="25"/>
        <v>0</v>
      </c>
      <c r="P224" s="12">
        <v>202</v>
      </c>
      <c r="Q224" s="142">
        <f>IF(T223&gt;0.01,-PMT($Q$8,$Q$9*12,$Q$6)+$Q$10*_xlfn.XLOOKUP($R$10,'RE Calculations'!$B$12:$B$16,'RE Calculations'!$C$12:$C$16,"ERROR - Check Input")/12,0)</f>
        <v>0</v>
      </c>
      <c r="R224" s="142">
        <f t="shared" si="26"/>
        <v>0</v>
      </c>
      <c r="S224" s="142">
        <f>IFERROR(-IPMT($Q$8,P224,$Q$9*12,$Q$6)+$Q$10*_xlfn.XLOOKUP($R$10,'RE Calculations'!$B$12:$B$16,'RE Calculations'!$C$12:$C$16,"ERROR - Check Input")/12,0)</f>
        <v>8.3333333333333339</v>
      </c>
      <c r="T224" s="142">
        <f t="shared" si="27"/>
        <v>0</v>
      </c>
      <c r="W224" s="12">
        <v>202</v>
      </c>
      <c r="X224" s="142">
        <f>IF(AA223&gt;0.01,IF(W224&lt;=($X$9*12),$X$15,-PMT($X$11,($X$12-$X$9)*12,$X$6)+$X$13*_xlfn.XLOOKUP($Y$13,'RE Calculations'!$B$12:$B$16,'RE Calculations'!$C$12:$C$16,"ERROR - Check Input")/12),0)</f>
        <v>0</v>
      </c>
      <c r="Y224" s="142">
        <f t="shared" si="28"/>
        <v>0</v>
      </c>
      <c r="Z224" s="142">
        <f>IF(W224&lt;=($X$9*12),$X$15,IFERROR(-IPMT($X$11,W224-$X$9*12,($X$12-$X$9)*12,$X$6)+$X$13*_xlfn.XLOOKUP($Y$13,'RE Calculations'!$B$12:$B$16,'RE Calculations'!$C$12:$C$16,"ERROR - Check Input")/12,0))</f>
        <v>10</v>
      </c>
      <c r="AA224" s="142">
        <f t="shared" si="29"/>
        <v>0</v>
      </c>
    </row>
    <row r="225" spans="2:27" x14ac:dyDescent="0.35">
      <c r="B225" s="12">
        <v>203</v>
      </c>
      <c r="C225" s="142">
        <f>IF(F224&gt;0.01,-PMT($C$8,$C$9*12,$C$6)+$C$10*_xlfn.XLOOKUP($D$10,'RE Calculations'!$B$12:$B$16,'RE Calculations'!$C$12:$C$16,"ERROR - Check Input")/12,0)</f>
        <v>0</v>
      </c>
      <c r="D225" s="142">
        <f t="shared" si="30"/>
        <v>0</v>
      </c>
      <c r="E225" s="142">
        <f>IFERROR(-IPMT($C$8,B225,$C$9*12,$C$6)+$C$10*_xlfn.XLOOKUP($D$10,'RE Calculations'!$B$12:$B$16,'RE Calculations'!$C$12:$C$16,"ERROR - Check Input")/12,0)</f>
        <v>8.3333333333333339</v>
      </c>
      <c r="F225" s="142">
        <f t="shared" si="31"/>
        <v>0</v>
      </c>
      <c r="I225" s="12">
        <v>203</v>
      </c>
      <c r="J225" s="142">
        <f>IF(M224&gt;0.01,IF(I225&lt;=($J$9*12),$J$15,-PMT($J$11,($J$12-$J$9)*12,$J$6)+$J$13*_xlfn.XLOOKUP($K$13,'RE Calculations'!$B$12:$B$16,'RE Calculations'!$C$12:$C$16,"ERROR - Check Input")/12),0)</f>
        <v>0</v>
      </c>
      <c r="K225" s="142">
        <f t="shared" si="24"/>
        <v>0</v>
      </c>
      <c r="L225" s="142">
        <f>IF(I225&lt;=($J$9*12),$J$15,IFERROR(-IPMT($J$11,I225-$J$9*12,($J$12-$J$9)*12,$J$6)+$J$13*_xlfn.XLOOKUP($K$13,'RE Calculations'!$B$12:$B$16,'RE Calculations'!$C$12:$C$16,"ERROR - Check Input")/12,0))</f>
        <v>10</v>
      </c>
      <c r="M225" s="142">
        <f t="shared" si="25"/>
        <v>0</v>
      </c>
      <c r="P225" s="12">
        <v>203</v>
      </c>
      <c r="Q225" s="142">
        <f>IF(T224&gt;0.01,-PMT($Q$8,$Q$9*12,$Q$6)+$Q$10*_xlfn.XLOOKUP($R$10,'RE Calculations'!$B$12:$B$16,'RE Calculations'!$C$12:$C$16,"ERROR - Check Input")/12,0)</f>
        <v>0</v>
      </c>
      <c r="R225" s="142">
        <f t="shared" si="26"/>
        <v>0</v>
      </c>
      <c r="S225" s="142">
        <f>IFERROR(-IPMT($Q$8,P225,$Q$9*12,$Q$6)+$Q$10*_xlfn.XLOOKUP($R$10,'RE Calculations'!$B$12:$B$16,'RE Calculations'!$C$12:$C$16,"ERROR - Check Input")/12,0)</f>
        <v>8.3333333333333339</v>
      </c>
      <c r="T225" s="142">
        <f t="shared" si="27"/>
        <v>0</v>
      </c>
      <c r="W225" s="12">
        <v>203</v>
      </c>
      <c r="X225" s="142">
        <f>IF(AA224&gt;0.01,IF(W225&lt;=($X$9*12),$X$15,-PMT($X$11,($X$12-$X$9)*12,$X$6)+$X$13*_xlfn.XLOOKUP($Y$13,'RE Calculations'!$B$12:$B$16,'RE Calculations'!$C$12:$C$16,"ERROR - Check Input")/12),0)</f>
        <v>0</v>
      </c>
      <c r="Y225" s="142">
        <f t="shared" si="28"/>
        <v>0</v>
      </c>
      <c r="Z225" s="142">
        <f>IF(W225&lt;=($X$9*12),$X$15,IFERROR(-IPMT($X$11,W225-$X$9*12,($X$12-$X$9)*12,$X$6)+$X$13*_xlfn.XLOOKUP($Y$13,'RE Calculations'!$B$12:$B$16,'RE Calculations'!$C$12:$C$16,"ERROR - Check Input")/12,0))</f>
        <v>10</v>
      </c>
      <c r="AA225" s="142">
        <f t="shared" si="29"/>
        <v>0</v>
      </c>
    </row>
    <row r="226" spans="2:27" x14ac:dyDescent="0.35">
      <c r="B226" s="12">
        <v>204</v>
      </c>
      <c r="C226" s="142">
        <f>IF(F225&gt;0.01,-PMT($C$8,$C$9*12,$C$6)+$C$10*_xlfn.XLOOKUP($D$10,'RE Calculations'!$B$12:$B$16,'RE Calculations'!$C$12:$C$16,"ERROR - Check Input")/12,0)</f>
        <v>0</v>
      </c>
      <c r="D226" s="142">
        <f t="shared" si="30"/>
        <v>0</v>
      </c>
      <c r="E226" s="142">
        <f>IFERROR(-IPMT($C$8,B226,$C$9*12,$C$6)+$C$10*_xlfn.XLOOKUP($D$10,'RE Calculations'!$B$12:$B$16,'RE Calculations'!$C$12:$C$16,"ERROR - Check Input")/12,0)</f>
        <v>8.3333333333333339</v>
      </c>
      <c r="F226" s="142">
        <f t="shared" si="31"/>
        <v>0</v>
      </c>
      <c r="I226" s="12">
        <v>204</v>
      </c>
      <c r="J226" s="142">
        <f>IF(M225&gt;0.01,IF(I226&lt;=($J$9*12),$J$15,-PMT($J$11,($J$12-$J$9)*12,$J$6)+$J$13*_xlfn.XLOOKUP($K$13,'RE Calculations'!$B$12:$B$16,'RE Calculations'!$C$12:$C$16,"ERROR - Check Input")/12),0)</f>
        <v>0</v>
      </c>
      <c r="K226" s="142">
        <f t="shared" si="24"/>
        <v>0</v>
      </c>
      <c r="L226" s="142">
        <f>IF(I226&lt;=($J$9*12),$J$15,IFERROR(-IPMT($J$11,I226-$J$9*12,($J$12-$J$9)*12,$J$6)+$J$13*_xlfn.XLOOKUP($K$13,'RE Calculations'!$B$12:$B$16,'RE Calculations'!$C$12:$C$16,"ERROR - Check Input")/12,0))</f>
        <v>10</v>
      </c>
      <c r="M226" s="142">
        <f t="shared" si="25"/>
        <v>0</v>
      </c>
      <c r="P226" s="12">
        <v>204</v>
      </c>
      <c r="Q226" s="142">
        <f>IF(T225&gt;0.01,-PMT($Q$8,$Q$9*12,$Q$6)+$Q$10*_xlfn.XLOOKUP($R$10,'RE Calculations'!$B$12:$B$16,'RE Calculations'!$C$12:$C$16,"ERROR - Check Input")/12,0)</f>
        <v>0</v>
      </c>
      <c r="R226" s="142">
        <f t="shared" si="26"/>
        <v>0</v>
      </c>
      <c r="S226" s="142">
        <f>IFERROR(-IPMT($Q$8,P226,$Q$9*12,$Q$6)+$Q$10*_xlfn.XLOOKUP($R$10,'RE Calculations'!$B$12:$B$16,'RE Calculations'!$C$12:$C$16,"ERROR - Check Input")/12,0)</f>
        <v>8.3333333333333339</v>
      </c>
      <c r="T226" s="142">
        <f t="shared" si="27"/>
        <v>0</v>
      </c>
      <c r="W226" s="12">
        <v>204</v>
      </c>
      <c r="X226" s="142">
        <f>IF(AA225&gt;0.01,IF(W226&lt;=($X$9*12),$X$15,-PMT($X$11,($X$12-$X$9)*12,$X$6)+$X$13*_xlfn.XLOOKUP($Y$13,'RE Calculations'!$B$12:$B$16,'RE Calculations'!$C$12:$C$16,"ERROR - Check Input")/12),0)</f>
        <v>0</v>
      </c>
      <c r="Y226" s="142">
        <f t="shared" si="28"/>
        <v>0</v>
      </c>
      <c r="Z226" s="142">
        <f>IF(W226&lt;=($X$9*12),$X$15,IFERROR(-IPMT($X$11,W226-$X$9*12,($X$12-$X$9)*12,$X$6)+$X$13*_xlfn.XLOOKUP($Y$13,'RE Calculations'!$B$12:$B$16,'RE Calculations'!$C$12:$C$16,"ERROR - Check Input")/12,0))</f>
        <v>10</v>
      </c>
      <c r="AA226" s="142">
        <f t="shared" si="29"/>
        <v>0</v>
      </c>
    </row>
    <row r="227" spans="2:27" x14ac:dyDescent="0.35">
      <c r="B227" s="12">
        <v>205</v>
      </c>
      <c r="C227" s="142">
        <f>IF(F226&gt;0.01,-PMT($C$8,$C$9*12,$C$6)+$C$10*_xlfn.XLOOKUP($D$10,'RE Calculations'!$B$12:$B$16,'RE Calculations'!$C$12:$C$16,"ERROR - Check Input")/12,0)</f>
        <v>0</v>
      </c>
      <c r="D227" s="142">
        <f t="shared" si="30"/>
        <v>0</v>
      </c>
      <c r="E227" s="142">
        <f>IFERROR(-IPMT($C$8,B227,$C$9*12,$C$6)+$C$10*_xlfn.XLOOKUP($D$10,'RE Calculations'!$B$12:$B$16,'RE Calculations'!$C$12:$C$16,"ERROR - Check Input")/12,0)</f>
        <v>8.3333333333333339</v>
      </c>
      <c r="F227" s="142">
        <f t="shared" si="31"/>
        <v>0</v>
      </c>
      <c r="I227" s="12">
        <v>205</v>
      </c>
      <c r="J227" s="142">
        <f>IF(M226&gt;0.01,IF(I227&lt;=($J$9*12),$J$15,-PMT($J$11,($J$12-$J$9)*12,$J$6)+$J$13*_xlfn.XLOOKUP($K$13,'RE Calculations'!$B$12:$B$16,'RE Calculations'!$C$12:$C$16,"ERROR - Check Input")/12),0)</f>
        <v>0</v>
      </c>
      <c r="K227" s="142">
        <f t="shared" si="24"/>
        <v>0</v>
      </c>
      <c r="L227" s="142">
        <f>IF(I227&lt;=($J$9*12),$J$15,IFERROR(-IPMT($J$11,I227-$J$9*12,($J$12-$J$9)*12,$J$6)+$J$13*_xlfn.XLOOKUP($K$13,'RE Calculations'!$B$12:$B$16,'RE Calculations'!$C$12:$C$16,"ERROR - Check Input")/12,0))</f>
        <v>10</v>
      </c>
      <c r="M227" s="142">
        <f t="shared" si="25"/>
        <v>0</v>
      </c>
      <c r="P227" s="12">
        <v>205</v>
      </c>
      <c r="Q227" s="142">
        <f>IF(T226&gt;0.01,-PMT($Q$8,$Q$9*12,$Q$6)+$Q$10*_xlfn.XLOOKUP($R$10,'RE Calculations'!$B$12:$B$16,'RE Calculations'!$C$12:$C$16,"ERROR - Check Input")/12,0)</f>
        <v>0</v>
      </c>
      <c r="R227" s="142">
        <f t="shared" si="26"/>
        <v>0</v>
      </c>
      <c r="S227" s="142">
        <f>IFERROR(-IPMT($Q$8,P227,$Q$9*12,$Q$6)+$Q$10*_xlfn.XLOOKUP($R$10,'RE Calculations'!$B$12:$B$16,'RE Calculations'!$C$12:$C$16,"ERROR - Check Input")/12,0)</f>
        <v>8.3333333333333339</v>
      </c>
      <c r="T227" s="142">
        <f t="shared" si="27"/>
        <v>0</v>
      </c>
      <c r="W227" s="12">
        <v>205</v>
      </c>
      <c r="X227" s="142">
        <f>IF(AA226&gt;0.01,IF(W227&lt;=($X$9*12),$X$15,-PMT($X$11,($X$12-$X$9)*12,$X$6)+$X$13*_xlfn.XLOOKUP($Y$13,'RE Calculations'!$B$12:$B$16,'RE Calculations'!$C$12:$C$16,"ERROR - Check Input")/12),0)</f>
        <v>0</v>
      </c>
      <c r="Y227" s="142">
        <f t="shared" si="28"/>
        <v>0</v>
      </c>
      <c r="Z227" s="142">
        <f>IF(W227&lt;=($X$9*12),$X$15,IFERROR(-IPMT($X$11,W227-$X$9*12,($X$12-$X$9)*12,$X$6)+$X$13*_xlfn.XLOOKUP($Y$13,'RE Calculations'!$B$12:$B$16,'RE Calculations'!$C$12:$C$16,"ERROR - Check Input")/12,0))</f>
        <v>10</v>
      </c>
      <c r="AA227" s="142">
        <f t="shared" si="29"/>
        <v>0</v>
      </c>
    </row>
    <row r="228" spans="2:27" x14ac:dyDescent="0.35">
      <c r="B228" s="12">
        <v>206</v>
      </c>
      <c r="C228" s="142">
        <f>IF(F227&gt;0.01,-PMT($C$8,$C$9*12,$C$6)+$C$10*_xlfn.XLOOKUP($D$10,'RE Calculations'!$B$12:$B$16,'RE Calculations'!$C$12:$C$16,"ERROR - Check Input")/12,0)</f>
        <v>0</v>
      </c>
      <c r="D228" s="142">
        <f t="shared" si="30"/>
        <v>0</v>
      </c>
      <c r="E228" s="142">
        <f>IFERROR(-IPMT($C$8,B228,$C$9*12,$C$6)+$C$10*_xlfn.XLOOKUP($D$10,'RE Calculations'!$B$12:$B$16,'RE Calculations'!$C$12:$C$16,"ERROR - Check Input")/12,0)</f>
        <v>8.3333333333333339</v>
      </c>
      <c r="F228" s="142">
        <f t="shared" si="31"/>
        <v>0</v>
      </c>
      <c r="I228" s="12">
        <v>206</v>
      </c>
      <c r="J228" s="142">
        <f>IF(M227&gt;0.01,IF(I228&lt;=($J$9*12),$J$15,-PMT($J$11,($J$12-$J$9)*12,$J$6)+$J$13*_xlfn.XLOOKUP($K$13,'RE Calculations'!$B$12:$B$16,'RE Calculations'!$C$12:$C$16,"ERROR - Check Input")/12),0)</f>
        <v>0</v>
      </c>
      <c r="K228" s="142">
        <f t="shared" si="24"/>
        <v>0</v>
      </c>
      <c r="L228" s="142">
        <f>IF(I228&lt;=($J$9*12),$J$15,IFERROR(-IPMT($J$11,I228-$J$9*12,($J$12-$J$9)*12,$J$6)+$J$13*_xlfn.XLOOKUP($K$13,'RE Calculations'!$B$12:$B$16,'RE Calculations'!$C$12:$C$16,"ERROR - Check Input")/12,0))</f>
        <v>10</v>
      </c>
      <c r="M228" s="142">
        <f t="shared" si="25"/>
        <v>0</v>
      </c>
      <c r="P228" s="12">
        <v>206</v>
      </c>
      <c r="Q228" s="142">
        <f>IF(T227&gt;0.01,-PMT($Q$8,$Q$9*12,$Q$6)+$Q$10*_xlfn.XLOOKUP($R$10,'RE Calculations'!$B$12:$B$16,'RE Calculations'!$C$12:$C$16,"ERROR - Check Input")/12,0)</f>
        <v>0</v>
      </c>
      <c r="R228" s="142">
        <f t="shared" si="26"/>
        <v>0</v>
      </c>
      <c r="S228" s="142">
        <f>IFERROR(-IPMT($Q$8,P228,$Q$9*12,$Q$6)+$Q$10*_xlfn.XLOOKUP($R$10,'RE Calculations'!$B$12:$B$16,'RE Calculations'!$C$12:$C$16,"ERROR - Check Input")/12,0)</f>
        <v>8.3333333333333339</v>
      </c>
      <c r="T228" s="142">
        <f t="shared" si="27"/>
        <v>0</v>
      </c>
      <c r="W228" s="12">
        <v>206</v>
      </c>
      <c r="X228" s="142">
        <f>IF(AA227&gt;0.01,IF(W228&lt;=($X$9*12),$X$15,-PMT($X$11,($X$12-$X$9)*12,$X$6)+$X$13*_xlfn.XLOOKUP($Y$13,'RE Calculations'!$B$12:$B$16,'RE Calculations'!$C$12:$C$16,"ERROR - Check Input")/12),0)</f>
        <v>0</v>
      </c>
      <c r="Y228" s="142">
        <f t="shared" si="28"/>
        <v>0</v>
      </c>
      <c r="Z228" s="142">
        <f>IF(W228&lt;=($X$9*12),$X$15,IFERROR(-IPMT($X$11,W228-$X$9*12,($X$12-$X$9)*12,$X$6)+$X$13*_xlfn.XLOOKUP($Y$13,'RE Calculations'!$B$12:$B$16,'RE Calculations'!$C$12:$C$16,"ERROR - Check Input")/12,0))</f>
        <v>10</v>
      </c>
      <c r="AA228" s="142">
        <f t="shared" si="29"/>
        <v>0</v>
      </c>
    </row>
    <row r="229" spans="2:27" x14ac:dyDescent="0.35">
      <c r="B229" s="12">
        <v>207</v>
      </c>
      <c r="C229" s="142">
        <f>IF(F228&gt;0.01,-PMT($C$8,$C$9*12,$C$6)+$C$10*_xlfn.XLOOKUP($D$10,'RE Calculations'!$B$12:$B$16,'RE Calculations'!$C$12:$C$16,"ERROR - Check Input")/12,0)</f>
        <v>0</v>
      </c>
      <c r="D229" s="142">
        <f t="shared" si="30"/>
        <v>0</v>
      </c>
      <c r="E229" s="142">
        <f>IFERROR(-IPMT($C$8,B229,$C$9*12,$C$6)+$C$10*_xlfn.XLOOKUP($D$10,'RE Calculations'!$B$12:$B$16,'RE Calculations'!$C$12:$C$16,"ERROR - Check Input")/12,0)</f>
        <v>8.3333333333333339</v>
      </c>
      <c r="F229" s="142">
        <f t="shared" si="31"/>
        <v>0</v>
      </c>
      <c r="I229" s="12">
        <v>207</v>
      </c>
      <c r="J229" s="142">
        <f>IF(M228&gt;0.01,IF(I229&lt;=($J$9*12),$J$15,-PMT($J$11,($J$12-$J$9)*12,$J$6)+$J$13*_xlfn.XLOOKUP($K$13,'RE Calculations'!$B$12:$B$16,'RE Calculations'!$C$12:$C$16,"ERROR - Check Input")/12),0)</f>
        <v>0</v>
      </c>
      <c r="K229" s="142">
        <f t="shared" si="24"/>
        <v>0</v>
      </c>
      <c r="L229" s="142">
        <f>IF(I229&lt;=($J$9*12),$J$15,IFERROR(-IPMT($J$11,I229-$J$9*12,($J$12-$J$9)*12,$J$6)+$J$13*_xlfn.XLOOKUP($K$13,'RE Calculations'!$B$12:$B$16,'RE Calculations'!$C$12:$C$16,"ERROR - Check Input")/12,0))</f>
        <v>10</v>
      </c>
      <c r="M229" s="142">
        <f t="shared" si="25"/>
        <v>0</v>
      </c>
      <c r="P229" s="12">
        <v>207</v>
      </c>
      <c r="Q229" s="142">
        <f>IF(T228&gt;0.01,-PMT($Q$8,$Q$9*12,$Q$6)+$Q$10*_xlfn.XLOOKUP($R$10,'RE Calculations'!$B$12:$B$16,'RE Calculations'!$C$12:$C$16,"ERROR - Check Input")/12,0)</f>
        <v>0</v>
      </c>
      <c r="R229" s="142">
        <f t="shared" si="26"/>
        <v>0</v>
      </c>
      <c r="S229" s="142">
        <f>IFERROR(-IPMT($Q$8,P229,$Q$9*12,$Q$6)+$Q$10*_xlfn.XLOOKUP($R$10,'RE Calculations'!$B$12:$B$16,'RE Calculations'!$C$12:$C$16,"ERROR - Check Input")/12,0)</f>
        <v>8.3333333333333339</v>
      </c>
      <c r="T229" s="142">
        <f t="shared" si="27"/>
        <v>0</v>
      </c>
      <c r="W229" s="12">
        <v>207</v>
      </c>
      <c r="X229" s="142">
        <f>IF(AA228&gt;0.01,IF(W229&lt;=($X$9*12),$X$15,-PMT($X$11,($X$12-$X$9)*12,$X$6)+$X$13*_xlfn.XLOOKUP($Y$13,'RE Calculations'!$B$12:$B$16,'RE Calculations'!$C$12:$C$16,"ERROR - Check Input")/12),0)</f>
        <v>0</v>
      </c>
      <c r="Y229" s="142">
        <f t="shared" si="28"/>
        <v>0</v>
      </c>
      <c r="Z229" s="142">
        <f>IF(W229&lt;=($X$9*12),$X$15,IFERROR(-IPMT($X$11,W229-$X$9*12,($X$12-$X$9)*12,$X$6)+$X$13*_xlfn.XLOOKUP($Y$13,'RE Calculations'!$B$12:$B$16,'RE Calculations'!$C$12:$C$16,"ERROR - Check Input")/12,0))</f>
        <v>10</v>
      </c>
      <c r="AA229" s="142">
        <f t="shared" si="29"/>
        <v>0</v>
      </c>
    </row>
    <row r="230" spans="2:27" x14ac:dyDescent="0.35">
      <c r="B230" s="12">
        <v>208</v>
      </c>
      <c r="C230" s="142">
        <f>IF(F229&gt;0.01,-PMT($C$8,$C$9*12,$C$6)+$C$10*_xlfn.XLOOKUP($D$10,'RE Calculations'!$B$12:$B$16,'RE Calculations'!$C$12:$C$16,"ERROR - Check Input")/12,0)</f>
        <v>0</v>
      </c>
      <c r="D230" s="142">
        <f t="shared" si="30"/>
        <v>0</v>
      </c>
      <c r="E230" s="142">
        <f>IFERROR(-IPMT($C$8,B230,$C$9*12,$C$6)+$C$10*_xlfn.XLOOKUP($D$10,'RE Calculations'!$B$12:$B$16,'RE Calculations'!$C$12:$C$16,"ERROR - Check Input")/12,0)</f>
        <v>8.3333333333333339</v>
      </c>
      <c r="F230" s="142">
        <f t="shared" si="31"/>
        <v>0</v>
      </c>
      <c r="I230" s="12">
        <v>208</v>
      </c>
      <c r="J230" s="142">
        <f>IF(M229&gt;0.01,IF(I230&lt;=($J$9*12),$J$15,-PMT($J$11,($J$12-$J$9)*12,$J$6)+$J$13*_xlfn.XLOOKUP($K$13,'RE Calculations'!$B$12:$B$16,'RE Calculations'!$C$12:$C$16,"ERROR - Check Input")/12),0)</f>
        <v>0</v>
      </c>
      <c r="K230" s="142">
        <f t="shared" si="24"/>
        <v>0</v>
      </c>
      <c r="L230" s="142">
        <f>IF(I230&lt;=($J$9*12),$J$15,IFERROR(-IPMT($J$11,I230-$J$9*12,($J$12-$J$9)*12,$J$6)+$J$13*_xlfn.XLOOKUP($K$13,'RE Calculations'!$B$12:$B$16,'RE Calculations'!$C$12:$C$16,"ERROR - Check Input")/12,0))</f>
        <v>10</v>
      </c>
      <c r="M230" s="142">
        <f t="shared" si="25"/>
        <v>0</v>
      </c>
      <c r="P230" s="12">
        <v>208</v>
      </c>
      <c r="Q230" s="142">
        <f>IF(T229&gt;0.01,-PMT($Q$8,$Q$9*12,$Q$6)+$Q$10*_xlfn.XLOOKUP($R$10,'RE Calculations'!$B$12:$B$16,'RE Calculations'!$C$12:$C$16,"ERROR - Check Input")/12,0)</f>
        <v>0</v>
      </c>
      <c r="R230" s="142">
        <f t="shared" si="26"/>
        <v>0</v>
      </c>
      <c r="S230" s="142">
        <f>IFERROR(-IPMT($Q$8,P230,$Q$9*12,$Q$6)+$Q$10*_xlfn.XLOOKUP($R$10,'RE Calculations'!$B$12:$B$16,'RE Calculations'!$C$12:$C$16,"ERROR - Check Input")/12,0)</f>
        <v>8.3333333333333339</v>
      </c>
      <c r="T230" s="142">
        <f t="shared" si="27"/>
        <v>0</v>
      </c>
      <c r="W230" s="12">
        <v>208</v>
      </c>
      <c r="X230" s="142">
        <f>IF(AA229&gt;0.01,IF(W230&lt;=($X$9*12),$X$15,-PMT($X$11,($X$12-$X$9)*12,$X$6)+$X$13*_xlfn.XLOOKUP($Y$13,'RE Calculations'!$B$12:$B$16,'RE Calculations'!$C$12:$C$16,"ERROR - Check Input")/12),0)</f>
        <v>0</v>
      </c>
      <c r="Y230" s="142">
        <f t="shared" si="28"/>
        <v>0</v>
      </c>
      <c r="Z230" s="142">
        <f>IF(W230&lt;=($X$9*12),$X$15,IFERROR(-IPMT($X$11,W230-$X$9*12,($X$12-$X$9)*12,$X$6)+$X$13*_xlfn.XLOOKUP($Y$13,'RE Calculations'!$B$12:$B$16,'RE Calculations'!$C$12:$C$16,"ERROR - Check Input")/12,0))</f>
        <v>10</v>
      </c>
      <c r="AA230" s="142">
        <f t="shared" si="29"/>
        <v>0</v>
      </c>
    </row>
    <row r="231" spans="2:27" x14ac:dyDescent="0.35">
      <c r="B231" s="12">
        <v>209</v>
      </c>
      <c r="C231" s="142">
        <f>IF(F230&gt;0.01,-PMT($C$8,$C$9*12,$C$6)+$C$10*_xlfn.XLOOKUP($D$10,'RE Calculations'!$B$12:$B$16,'RE Calculations'!$C$12:$C$16,"ERROR - Check Input")/12,0)</f>
        <v>0</v>
      </c>
      <c r="D231" s="142">
        <f t="shared" si="30"/>
        <v>0</v>
      </c>
      <c r="E231" s="142">
        <f>IFERROR(-IPMT($C$8,B231,$C$9*12,$C$6)+$C$10*_xlfn.XLOOKUP($D$10,'RE Calculations'!$B$12:$B$16,'RE Calculations'!$C$12:$C$16,"ERROR - Check Input")/12,0)</f>
        <v>8.3333333333333339</v>
      </c>
      <c r="F231" s="142">
        <f t="shared" si="31"/>
        <v>0</v>
      </c>
      <c r="I231" s="12">
        <v>209</v>
      </c>
      <c r="J231" s="142">
        <f>IF(M230&gt;0.01,IF(I231&lt;=($J$9*12),$J$15,-PMT($J$11,($J$12-$J$9)*12,$J$6)+$J$13*_xlfn.XLOOKUP($K$13,'RE Calculations'!$B$12:$B$16,'RE Calculations'!$C$12:$C$16,"ERROR - Check Input")/12),0)</f>
        <v>0</v>
      </c>
      <c r="K231" s="142">
        <f t="shared" si="24"/>
        <v>0</v>
      </c>
      <c r="L231" s="142">
        <f>IF(I231&lt;=($J$9*12),$J$15,IFERROR(-IPMT($J$11,I231-$J$9*12,($J$12-$J$9)*12,$J$6)+$J$13*_xlfn.XLOOKUP($K$13,'RE Calculations'!$B$12:$B$16,'RE Calculations'!$C$12:$C$16,"ERROR - Check Input")/12,0))</f>
        <v>10</v>
      </c>
      <c r="M231" s="142">
        <f t="shared" si="25"/>
        <v>0</v>
      </c>
      <c r="P231" s="12">
        <v>209</v>
      </c>
      <c r="Q231" s="142">
        <f>IF(T230&gt;0.01,-PMT($Q$8,$Q$9*12,$Q$6)+$Q$10*_xlfn.XLOOKUP($R$10,'RE Calculations'!$B$12:$B$16,'RE Calculations'!$C$12:$C$16,"ERROR - Check Input")/12,0)</f>
        <v>0</v>
      </c>
      <c r="R231" s="142">
        <f t="shared" si="26"/>
        <v>0</v>
      </c>
      <c r="S231" s="142">
        <f>IFERROR(-IPMT($Q$8,P231,$Q$9*12,$Q$6)+$Q$10*_xlfn.XLOOKUP($R$10,'RE Calculations'!$B$12:$B$16,'RE Calculations'!$C$12:$C$16,"ERROR - Check Input")/12,0)</f>
        <v>8.3333333333333339</v>
      </c>
      <c r="T231" s="142">
        <f t="shared" si="27"/>
        <v>0</v>
      </c>
      <c r="W231" s="12">
        <v>209</v>
      </c>
      <c r="X231" s="142">
        <f>IF(AA230&gt;0.01,IF(W231&lt;=($X$9*12),$X$15,-PMT($X$11,($X$12-$X$9)*12,$X$6)+$X$13*_xlfn.XLOOKUP($Y$13,'RE Calculations'!$B$12:$B$16,'RE Calculations'!$C$12:$C$16,"ERROR - Check Input")/12),0)</f>
        <v>0</v>
      </c>
      <c r="Y231" s="142">
        <f t="shared" si="28"/>
        <v>0</v>
      </c>
      <c r="Z231" s="142">
        <f>IF(W231&lt;=($X$9*12),$X$15,IFERROR(-IPMT($X$11,W231-$X$9*12,($X$12-$X$9)*12,$X$6)+$X$13*_xlfn.XLOOKUP($Y$13,'RE Calculations'!$B$12:$B$16,'RE Calculations'!$C$12:$C$16,"ERROR - Check Input")/12,0))</f>
        <v>10</v>
      </c>
      <c r="AA231" s="142">
        <f t="shared" si="29"/>
        <v>0</v>
      </c>
    </row>
    <row r="232" spans="2:27" x14ac:dyDescent="0.35">
      <c r="B232" s="12">
        <v>210</v>
      </c>
      <c r="C232" s="142">
        <f>IF(F231&gt;0.01,-PMT($C$8,$C$9*12,$C$6)+$C$10*_xlfn.XLOOKUP($D$10,'RE Calculations'!$B$12:$B$16,'RE Calculations'!$C$12:$C$16,"ERROR - Check Input")/12,0)</f>
        <v>0</v>
      </c>
      <c r="D232" s="142">
        <f t="shared" si="30"/>
        <v>0</v>
      </c>
      <c r="E232" s="142">
        <f>IFERROR(-IPMT($C$8,B232,$C$9*12,$C$6)+$C$10*_xlfn.XLOOKUP($D$10,'RE Calculations'!$B$12:$B$16,'RE Calculations'!$C$12:$C$16,"ERROR - Check Input")/12,0)</f>
        <v>8.3333333333333339</v>
      </c>
      <c r="F232" s="142">
        <f t="shared" si="31"/>
        <v>0</v>
      </c>
      <c r="I232" s="12">
        <v>210</v>
      </c>
      <c r="J232" s="142">
        <f>IF(M231&gt;0.01,IF(I232&lt;=($J$9*12),$J$15,-PMT($J$11,($J$12-$J$9)*12,$J$6)+$J$13*_xlfn.XLOOKUP($K$13,'RE Calculations'!$B$12:$B$16,'RE Calculations'!$C$12:$C$16,"ERROR - Check Input")/12),0)</f>
        <v>0</v>
      </c>
      <c r="K232" s="142">
        <f t="shared" si="24"/>
        <v>0</v>
      </c>
      <c r="L232" s="142">
        <f>IF(I232&lt;=($J$9*12),$J$15,IFERROR(-IPMT($J$11,I232-$J$9*12,($J$12-$J$9)*12,$J$6)+$J$13*_xlfn.XLOOKUP($K$13,'RE Calculations'!$B$12:$B$16,'RE Calculations'!$C$12:$C$16,"ERROR - Check Input")/12,0))</f>
        <v>10</v>
      </c>
      <c r="M232" s="142">
        <f t="shared" si="25"/>
        <v>0</v>
      </c>
      <c r="P232" s="12">
        <v>210</v>
      </c>
      <c r="Q232" s="142">
        <f>IF(T231&gt;0.01,-PMT($Q$8,$Q$9*12,$Q$6)+$Q$10*_xlfn.XLOOKUP($R$10,'RE Calculations'!$B$12:$B$16,'RE Calculations'!$C$12:$C$16,"ERROR - Check Input")/12,0)</f>
        <v>0</v>
      </c>
      <c r="R232" s="142">
        <f t="shared" si="26"/>
        <v>0</v>
      </c>
      <c r="S232" s="142">
        <f>IFERROR(-IPMT($Q$8,P232,$Q$9*12,$Q$6)+$Q$10*_xlfn.XLOOKUP($R$10,'RE Calculations'!$B$12:$B$16,'RE Calculations'!$C$12:$C$16,"ERROR - Check Input")/12,0)</f>
        <v>8.3333333333333339</v>
      </c>
      <c r="T232" s="142">
        <f t="shared" si="27"/>
        <v>0</v>
      </c>
      <c r="W232" s="12">
        <v>210</v>
      </c>
      <c r="X232" s="142">
        <f>IF(AA231&gt;0.01,IF(W232&lt;=($X$9*12),$X$15,-PMT($X$11,($X$12-$X$9)*12,$X$6)+$X$13*_xlfn.XLOOKUP($Y$13,'RE Calculations'!$B$12:$B$16,'RE Calculations'!$C$12:$C$16,"ERROR - Check Input")/12),0)</f>
        <v>0</v>
      </c>
      <c r="Y232" s="142">
        <f t="shared" si="28"/>
        <v>0</v>
      </c>
      <c r="Z232" s="142">
        <f>IF(W232&lt;=($X$9*12),$X$15,IFERROR(-IPMT($X$11,W232-$X$9*12,($X$12-$X$9)*12,$X$6)+$X$13*_xlfn.XLOOKUP($Y$13,'RE Calculations'!$B$12:$B$16,'RE Calculations'!$C$12:$C$16,"ERROR - Check Input")/12,0))</f>
        <v>10</v>
      </c>
      <c r="AA232" s="142">
        <f t="shared" si="29"/>
        <v>0</v>
      </c>
    </row>
    <row r="233" spans="2:27" x14ac:dyDescent="0.35">
      <c r="B233" s="12">
        <v>211</v>
      </c>
      <c r="C233" s="142">
        <f>IF(F232&gt;0.01,-PMT($C$8,$C$9*12,$C$6)+$C$10*_xlfn.XLOOKUP($D$10,'RE Calculations'!$B$12:$B$16,'RE Calculations'!$C$12:$C$16,"ERROR - Check Input")/12,0)</f>
        <v>0</v>
      </c>
      <c r="D233" s="142">
        <f t="shared" si="30"/>
        <v>0</v>
      </c>
      <c r="E233" s="142">
        <f>IFERROR(-IPMT($C$8,B233,$C$9*12,$C$6)+$C$10*_xlfn.XLOOKUP($D$10,'RE Calculations'!$B$12:$B$16,'RE Calculations'!$C$12:$C$16,"ERROR - Check Input")/12,0)</f>
        <v>8.3333333333333339</v>
      </c>
      <c r="F233" s="142">
        <f t="shared" si="31"/>
        <v>0</v>
      </c>
      <c r="I233" s="12">
        <v>211</v>
      </c>
      <c r="J233" s="142">
        <f>IF(M232&gt;0.01,IF(I233&lt;=($J$9*12),$J$15,-PMT($J$11,($J$12-$J$9)*12,$J$6)+$J$13*_xlfn.XLOOKUP($K$13,'RE Calculations'!$B$12:$B$16,'RE Calculations'!$C$12:$C$16,"ERROR - Check Input")/12),0)</f>
        <v>0</v>
      </c>
      <c r="K233" s="142">
        <f t="shared" si="24"/>
        <v>0</v>
      </c>
      <c r="L233" s="142">
        <f>IF(I233&lt;=($J$9*12),$J$15,IFERROR(-IPMT($J$11,I233-$J$9*12,($J$12-$J$9)*12,$J$6)+$J$13*_xlfn.XLOOKUP($K$13,'RE Calculations'!$B$12:$B$16,'RE Calculations'!$C$12:$C$16,"ERROR - Check Input")/12,0))</f>
        <v>10</v>
      </c>
      <c r="M233" s="142">
        <f t="shared" si="25"/>
        <v>0</v>
      </c>
      <c r="P233" s="12">
        <v>211</v>
      </c>
      <c r="Q233" s="142">
        <f>IF(T232&gt;0.01,-PMT($Q$8,$Q$9*12,$Q$6)+$Q$10*_xlfn.XLOOKUP($R$10,'RE Calculations'!$B$12:$B$16,'RE Calculations'!$C$12:$C$16,"ERROR - Check Input")/12,0)</f>
        <v>0</v>
      </c>
      <c r="R233" s="142">
        <f t="shared" si="26"/>
        <v>0</v>
      </c>
      <c r="S233" s="142">
        <f>IFERROR(-IPMT($Q$8,P233,$Q$9*12,$Q$6)+$Q$10*_xlfn.XLOOKUP($R$10,'RE Calculations'!$B$12:$B$16,'RE Calculations'!$C$12:$C$16,"ERROR - Check Input")/12,0)</f>
        <v>8.3333333333333339</v>
      </c>
      <c r="T233" s="142">
        <f t="shared" si="27"/>
        <v>0</v>
      </c>
      <c r="W233" s="12">
        <v>211</v>
      </c>
      <c r="X233" s="142">
        <f>IF(AA232&gt;0.01,IF(W233&lt;=($X$9*12),$X$15,-PMT($X$11,($X$12-$X$9)*12,$X$6)+$X$13*_xlfn.XLOOKUP($Y$13,'RE Calculations'!$B$12:$B$16,'RE Calculations'!$C$12:$C$16,"ERROR - Check Input")/12),0)</f>
        <v>0</v>
      </c>
      <c r="Y233" s="142">
        <f t="shared" si="28"/>
        <v>0</v>
      </c>
      <c r="Z233" s="142">
        <f>IF(W233&lt;=($X$9*12),$X$15,IFERROR(-IPMT($X$11,W233-$X$9*12,($X$12-$X$9)*12,$X$6)+$X$13*_xlfn.XLOOKUP($Y$13,'RE Calculations'!$B$12:$B$16,'RE Calculations'!$C$12:$C$16,"ERROR - Check Input")/12,0))</f>
        <v>10</v>
      </c>
      <c r="AA233" s="142">
        <f t="shared" si="29"/>
        <v>0</v>
      </c>
    </row>
    <row r="234" spans="2:27" x14ac:dyDescent="0.35">
      <c r="B234" s="12">
        <v>212</v>
      </c>
      <c r="C234" s="142">
        <f>IF(F233&gt;0.01,-PMT($C$8,$C$9*12,$C$6)+$C$10*_xlfn.XLOOKUP($D$10,'RE Calculations'!$B$12:$B$16,'RE Calculations'!$C$12:$C$16,"ERROR - Check Input")/12,0)</f>
        <v>0</v>
      </c>
      <c r="D234" s="142">
        <f t="shared" si="30"/>
        <v>0</v>
      </c>
      <c r="E234" s="142">
        <f>IFERROR(-IPMT($C$8,B234,$C$9*12,$C$6)+$C$10*_xlfn.XLOOKUP($D$10,'RE Calculations'!$B$12:$B$16,'RE Calculations'!$C$12:$C$16,"ERROR - Check Input")/12,0)</f>
        <v>8.3333333333333339</v>
      </c>
      <c r="F234" s="142">
        <f t="shared" si="31"/>
        <v>0</v>
      </c>
      <c r="I234" s="12">
        <v>212</v>
      </c>
      <c r="J234" s="142">
        <f>IF(M233&gt;0.01,IF(I234&lt;=($J$9*12),$J$15,-PMT($J$11,($J$12-$J$9)*12,$J$6)+$J$13*_xlfn.XLOOKUP($K$13,'RE Calculations'!$B$12:$B$16,'RE Calculations'!$C$12:$C$16,"ERROR - Check Input")/12),0)</f>
        <v>0</v>
      </c>
      <c r="K234" s="142">
        <f t="shared" si="24"/>
        <v>0</v>
      </c>
      <c r="L234" s="142">
        <f>IF(I234&lt;=($J$9*12),$J$15,IFERROR(-IPMT($J$11,I234-$J$9*12,($J$12-$J$9)*12,$J$6)+$J$13*_xlfn.XLOOKUP($K$13,'RE Calculations'!$B$12:$B$16,'RE Calculations'!$C$12:$C$16,"ERROR - Check Input")/12,0))</f>
        <v>10</v>
      </c>
      <c r="M234" s="142">
        <f t="shared" si="25"/>
        <v>0</v>
      </c>
      <c r="P234" s="12">
        <v>212</v>
      </c>
      <c r="Q234" s="142">
        <f>IF(T233&gt;0.01,-PMT($Q$8,$Q$9*12,$Q$6)+$Q$10*_xlfn.XLOOKUP($R$10,'RE Calculations'!$B$12:$B$16,'RE Calculations'!$C$12:$C$16,"ERROR - Check Input")/12,0)</f>
        <v>0</v>
      </c>
      <c r="R234" s="142">
        <f t="shared" si="26"/>
        <v>0</v>
      </c>
      <c r="S234" s="142">
        <f>IFERROR(-IPMT($Q$8,P234,$Q$9*12,$Q$6)+$Q$10*_xlfn.XLOOKUP($R$10,'RE Calculations'!$B$12:$B$16,'RE Calculations'!$C$12:$C$16,"ERROR - Check Input")/12,0)</f>
        <v>8.3333333333333339</v>
      </c>
      <c r="T234" s="142">
        <f t="shared" si="27"/>
        <v>0</v>
      </c>
      <c r="W234" s="12">
        <v>212</v>
      </c>
      <c r="X234" s="142">
        <f>IF(AA233&gt;0.01,IF(W234&lt;=($X$9*12),$X$15,-PMT($X$11,($X$12-$X$9)*12,$X$6)+$X$13*_xlfn.XLOOKUP($Y$13,'RE Calculations'!$B$12:$B$16,'RE Calculations'!$C$12:$C$16,"ERROR - Check Input")/12),0)</f>
        <v>0</v>
      </c>
      <c r="Y234" s="142">
        <f t="shared" si="28"/>
        <v>0</v>
      </c>
      <c r="Z234" s="142">
        <f>IF(W234&lt;=($X$9*12),$X$15,IFERROR(-IPMT($X$11,W234-$X$9*12,($X$12-$X$9)*12,$X$6)+$X$13*_xlfn.XLOOKUP($Y$13,'RE Calculations'!$B$12:$B$16,'RE Calculations'!$C$12:$C$16,"ERROR - Check Input")/12,0))</f>
        <v>10</v>
      </c>
      <c r="AA234" s="142">
        <f t="shared" si="29"/>
        <v>0</v>
      </c>
    </row>
    <row r="235" spans="2:27" x14ac:dyDescent="0.35">
      <c r="B235" s="12">
        <v>213</v>
      </c>
      <c r="C235" s="142">
        <f>IF(F234&gt;0.01,-PMT($C$8,$C$9*12,$C$6)+$C$10*_xlfn.XLOOKUP($D$10,'RE Calculations'!$B$12:$B$16,'RE Calculations'!$C$12:$C$16,"ERROR - Check Input")/12,0)</f>
        <v>0</v>
      </c>
      <c r="D235" s="142">
        <f t="shared" si="30"/>
        <v>0</v>
      </c>
      <c r="E235" s="142">
        <f>IFERROR(-IPMT($C$8,B235,$C$9*12,$C$6)+$C$10*_xlfn.XLOOKUP($D$10,'RE Calculations'!$B$12:$B$16,'RE Calculations'!$C$12:$C$16,"ERROR - Check Input")/12,0)</f>
        <v>8.3333333333333339</v>
      </c>
      <c r="F235" s="142">
        <f t="shared" si="31"/>
        <v>0</v>
      </c>
      <c r="I235" s="12">
        <v>213</v>
      </c>
      <c r="J235" s="142">
        <f>IF(M234&gt;0.01,IF(I235&lt;=($J$9*12),$J$15,-PMT($J$11,($J$12-$J$9)*12,$J$6)+$J$13*_xlfn.XLOOKUP($K$13,'RE Calculations'!$B$12:$B$16,'RE Calculations'!$C$12:$C$16,"ERROR - Check Input")/12),0)</f>
        <v>0</v>
      </c>
      <c r="K235" s="142">
        <f t="shared" si="24"/>
        <v>0</v>
      </c>
      <c r="L235" s="142">
        <f>IF(I235&lt;=($J$9*12),$J$15,IFERROR(-IPMT($J$11,I235-$J$9*12,($J$12-$J$9)*12,$J$6)+$J$13*_xlfn.XLOOKUP($K$13,'RE Calculations'!$B$12:$B$16,'RE Calculations'!$C$12:$C$16,"ERROR - Check Input")/12,0))</f>
        <v>10</v>
      </c>
      <c r="M235" s="142">
        <f t="shared" si="25"/>
        <v>0</v>
      </c>
      <c r="P235" s="12">
        <v>213</v>
      </c>
      <c r="Q235" s="142">
        <f>IF(T234&gt;0.01,-PMT($Q$8,$Q$9*12,$Q$6)+$Q$10*_xlfn.XLOOKUP($R$10,'RE Calculations'!$B$12:$B$16,'RE Calculations'!$C$12:$C$16,"ERROR - Check Input")/12,0)</f>
        <v>0</v>
      </c>
      <c r="R235" s="142">
        <f t="shared" si="26"/>
        <v>0</v>
      </c>
      <c r="S235" s="142">
        <f>IFERROR(-IPMT($Q$8,P235,$Q$9*12,$Q$6)+$Q$10*_xlfn.XLOOKUP($R$10,'RE Calculations'!$B$12:$B$16,'RE Calculations'!$C$12:$C$16,"ERROR - Check Input")/12,0)</f>
        <v>8.3333333333333339</v>
      </c>
      <c r="T235" s="142">
        <f t="shared" si="27"/>
        <v>0</v>
      </c>
      <c r="W235" s="12">
        <v>213</v>
      </c>
      <c r="X235" s="142">
        <f>IF(AA234&gt;0.01,IF(W235&lt;=($X$9*12),$X$15,-PMT($X$11,($X$12-$X$9)*12,$X$6)+$X$13*_xlfn.XLOOKUP($Y$13,'RE Calculations'!$B$12:$B$16,'RE Calculations'!$C$12:$C$16,"ERROR - Check Input")/12),0)</f>
        <v>0</v>
      </c>
      <c r="Y235" s="142">
        <f t="shared" si="28"/>
        <v>0</v>
      </c>
      <c r="Z235" s="142">
        <f>IF(W235&lt;=($X$9*12),$X$15,IFERROR(-IPMT($X$11,W235-$X$9*12,($X$12-$X$9)*12,$X$6)+$X$13*_xlfn.XLOOKUP($Y$13,'RE Calculations'!$B$12:$B$16,'RE Calculations'!$C$12:$C$16,"ERROR - Check Input")/12,0))</f>
        <v>10</v>
      </c>
      <c r="AA235" s="142">
        <f t="shared" si="29"/>
        <v>0</v>
      </c>
    </row>
    <row r="236" spans="2:27" x14ac:dyDescent="0.35">
      <c r="B236" s="12">
        <v>214</v>
      </c>
      <c r="C236" s="142">
        <f>IF(F235&gt;0.01,-PMT($C$8,$C$9*12,$C$6)+$C$10*_xlfn.XLOOKUP($D$10,'RE Calculations'!$B$12:$B$16,'RE Calculations'!$C$12:$C$16,"ERROR - Check Input")/12,0)</f>
        <v>0</v>
      </c>
      <c r="D236" s="142">
        <f t="shared" si="30"/>
        <v>0</v>
      </c>
      <c r="E236" s="142">
        <f>IFERROR(-IPMT($C$8,B236,$C$9*12,$C$6)+$C$10*_xlfn.XLOOKUP($D$10,'RE Calculations'!$B$12:$B$16,'RE Calculations'!$C$12:$C$16,"ERROR - Check Input")/12,0)</f>
        <v>8.3333333333333339</v>
      </c>
      <c r="F236" s="142">
        <f t="shared" si="31"/>
        <v>0</v>
      </c>
      <c r="I236" s="12">
        <v>214</v>
      </c>
      <c r="J236" s="142">
        <f>IF(M235&gt;0.01,IF(I236&lt;=($J$9*12),$J$15,-PMT($J$11,($J$12-$J$9)*12,$J$6)+$J$13*_xlfn.XLOOKUP($K$13,'RE Calculations'!$B$12:$B$16,'RE Calculations'!$C$12:$C$16,"ERROR - Check Input")/12),0)</f>
        <v>0</v>
      </c>
      <c r="K236" s="142">
        <f t="shared" si="24"/>
        <v>0</v>
      </c>
      <c r="L236" s="142">
        <f>IF(I236&lt;=($J$9*12),$J$15,IFERROR(-IPMT($J$11,I236-$J$9*12,($J$12-$J$9)*12,$J$6)+$J$13*_xlfn.XLOOKUP($K$13,'RE Calculations'!$B$12:$B$16,'RE Calculations'!$C$12:$C$16,"ERROR - Check Input")/12,0))</f>
        <v>10</v>
      </c>
      <c r="M236" s="142">
        <f t="shared" si="25"/>
        <v>0</v>
      </c>
      <c r="P236" s="12">
        <v>214</v>
      </c>
      <c r="Q236" s="142">
        <f>IF(T235&gt;0.01,-PMT($Q$8,$Q$9*12,$Q$6)+$Q$10*_xlfn.XLOOKUP($R$10,'RE Calculations'!$B$12:$B$16,'RE Calculations'!$C$12:$C$16,"ERROR - Check Input")/12,0)</f>
        <v>0</v>
      </c>
      <c r="R236" s="142">
        <f t="shared" si="26"/>
        <v>0</v>
      </c>
      <c r="S236" s="142">
        <f>IFERROR(-IPMT($Q$8,P236,$Q$9*12,$Q$6)+$Q$10*_xlfn.XLOOKUP($R$10,'RE Calculations'!$B$12:$B$16,'RE Calculations'!$C$12:$C$16,"ERROR - Check Input")/12,0)</f>
        <v>8.3333333333333339</v>
      </c>
      <c r="T236" s="142">
        <f t="shared" si="27"/>
        <v>0</v>
      </c>
      <c r="W236" s="12">
        <v>214</v>
      </c>
      <c r="X236" s="142">
        <f>IF(AA235&gt;0.01,IF(W236&lt;=($X$9*12),$X$15,-PMT($X$11,($X$12-$X$9)*12,$X$6)+$X$13*_xlfn.XLOOKUP($Y$13,'RE Calculations'!$B$12:$B$16,'RE Calculations'!$C$12:$C$16,"ERROR - Check Input")/12),0)</f>
        <v>0</v>
      </c>
      <c r="Y236" s="142">
        <f t="shared" si="28"/>
        <v>0</v>
      </c>
      <c r="Z236" s="142">
        <f>IF(W236&lt;=($X$9*12),$X$15,IFERROR(-IPMT($X$11,W236-$X$9*12,($X$12-$X$9)*12,$X$6)+$X$13*_xlfn.XLOOKUP($Y$13,'RE Calculations'!$B$12:$B$16,'RE Calculations'!$C$12:$C$16,"ERROR - Check Input")/12,0))</f>
        <v>10</v>
      </c>
      <c r="AA236" s="142">
        <f t="shared" si="29"/>
        <v>0</v>
      </c>
    </row>
    <row r="237" spans="2:27" x14ac:dyDescent="0.35">
      <c r="B237" s="12">
        <v>215</v>
      </c>
      <c r="C237" s="142">
        <f>IF(F236&gt;0.01,-PMT($C$8,$C$9*12,$C$6)+$C$10*_xlfn.XLOOKUP($D$10,'RE Calculations'!$B$12:$B$16,'RE Calculations'!$C$12:$C$16,"ERROR - Check Input")/12,0)</f>
        <v>0</v>
      </c>
      <c r="D237" s="142">
        <f t="shared" si="30"/>
        <v>0</v>
      </c>
      <c r="E237" s="142">
        <f>IFERROR(-IPMT($C$8,B237,$C$9*12,$C$6)+$C$10*_xlfn.XLOOKUP($D$10,'RE Calculations'!$B$12:$B$16,'RE Calculations'!$C$12:$C$16,"ERROR - Check Input")/12,0)</f>
        <v>8.3333333333333339</v>
      </c>
      <c r="F237" s="142">
        <f t="shared" si="31"/>
        <v>0</v>
      </c>
      <c r="I237" s="12">
        <v>215</v>
      </c>
      <c r="J237" s="142">
        <f>IF(M236&gt;0.01,IF(I237&lt;=($J$9*12),$J$15,-PMT($J$11,($J$12-$J$9)*12,$J$6)+$J$13*_xlfn.XLOOKUP($K$13,'RE Calculations'!$B$12:$B$16,'RE Calculations'!$C$12:$C$16,"ERROR - Check Input")/12),0)</f>
        <v>0</v>
      </c>
      <c r="K237" s="142">
        <f t="shared" si="24"/>
        <v>0</v>
      </c>
      <c r="L237" s="142">
        <f>IF(I237&lt;=($J$9*12),$J$15,IFERROR(-IPMT($J$11,I237-$J$9*12,($J$12-$J$9)*12,$J$6)+$J$13*_xlfn.XLOOKUP($K$13,'RE Calculations'!$B$12:$B$16,'RE Calculations'!$C$12:$C$16,"ERROR - Check Input")/12,0))</f>
        <v>10</v>
      </c>
      <c r="M237" s="142">
        <f t="shared" si="25"/>
        <v>0</v>
      </c>
      <c r="P237" s="12">
        <v>215</v>
      </c>
      <c r="Q237" s="142">
        <f>IF(T236&gt;0.01,-PMT($Q$8,$Q$9*12,$Q$6)+$Q$10*_xlfn.XLOOKUP($R$10,'RE Calculations'!$B$12:$B$16,'RE Calculations'!$C$12:$C$16,"ERROR - Check Input")/12,0)</f>
        <v>0</v>
      </c>
      <c r="R237" s="142">
        <f t="shared" si="26"/>
        <v>0</v>
      </c>
      <c r="S237" s="142">
        <f>IFERROR(-IPMT($Q$8,P237,$Q$9*12,$Q$6)+$Q$10*_xlfn.XLOOKUP($R$10,'RE Calculations'!$B$12:$B$16,'RE Calculations'!$C$12:$C$16,"ERROR - Check Input")/12,0)</f>
        <v>8.3333333333333339</v>
      </c>
      <c r="T237" s="142">
        <f t="shared" si="27"/>
        <v>0</v>
      </c>
      <c r="W237" s="12">
        <v>215</v>
      </c>
      <c r="X237" s="142">
        <f>IF(AA236&gt;0.01,IF(W237&lt;=($X$9*12),$X$15,-PMT($X$11,($X$12-$X$9)*12,$X$6)+$X$13*_xlfn.XLOOKUP($Y$13,'RE Calculations'!$B$12:$B$16,'RE Calculations'!$C$12:$C$16,"ERROR - Check Input")/12),0)</f>
        <v>0</v>
      </c>
      <c r="Y237" s="142">
        <f t="shared" si="28"/>
        <v>0</v>
      </c>
      <c r="Z237" s="142">
        <f>IF(W237&lt;=($X$9*12),$X$15,IFERROR(-IPMT($X$11,W237-$X$9*12,($X$12-$X$9)*12,$X$6)+$X$13*_xlfn.XLOOKUP($Y$13,'RE Calculations'!$B$12:$B$16,'RE Calculations'!$C$12:$C$16,"ERROR - Check Input")/12,0))</f>
        <v>10</v>
      </c>
      <c r="AA237" s="142">
        <f t="shared" si="29"/>
        <v>0</v>
      </c>
    </row>
    <row r="238" spans="2:27" x14ac:dyDescent="0.35">
      <c r="B238" s="12">
        <v>216</v>
      </c>
      <c r="C238" s="142">
        <f>IF(F237&gt;0.01,-PMT($C$8,$C$9*12,$C$6)+$C$10*_xlfn.XLOOKUP($D$10,'RE Calculations'!$B$12:$B$16,'RE Calculations'!$C$12:$C$16,"ERROR - Check Input")/12,0)</f>
        <v>0</v>
      </c>
      <c r="D238" s="142">
        <f t="shared" si="30"/>
        <v>0</v>
      </c>
      <c r="E238" s="142">
        <f>IFERROR(-IPMT($C$8,B238,$C$9*12,$C$6)+$C$10*_xlfn.XLOOKUP($D$10,'RE Calculations'!$B$12:$B$16,'RE Calculations'!$C$12:$C$16,"ERROR - Check Input")/12,0)</f>
        <v>8.3333333333333339</v>
      </c>
      <c r="F238" s="142">
        <f t="shared" si="31"/>
        <v>0</v>
      </c>
      <c r="I238" s="12">
        <v>216</v>
      </c>
      <c r="J238" s="142">
        <f>IF(M237&gt;0.01,IF(I238&lt;=($J$9*12),$J$15,-PMT($J$11,($J$12-$J$9)*12,$J$6)+$J$13*_xlfn.XLOOKUP($K$13,'RE Calculations'!$B$12:$B$16,'RE Calculations'!$C$12:$C$16,"ERROR - Check Input")/12),0)</f>
        <v>0</v>
      </c>
      <c r="K238" s="142">
        <f t="shared" si="24"/>
        <v>0</v>
      </c>
      <c r="L238" s="142">
        <f>IF(I238&lt;=($J$9*12),$J$15,IFERROR(-IPMT($J$11,I238-$J$9*12,($J$12-$J$9)*12,$J$6)+$J$13*_xlfn.XLOOKUP($K$13,'RE Calculations'!$B$12:$B$16,'RE Calculations'!$C$12:$C$16,"ERROR - Check Input")/12,0))</f>
        <v>10</v>
      </c>
      <c r="M238" s="142">
        <f t="shared" si="25"/>
        <v>0</v>
      </c>
      <c r="P238" s="12">
        <v>216</v>
      </c>
      <c r="Q238" s="142">
        <f>IF(T237&gt;0.01,-PMT($Q$8,$Q$9*12,$Q$6)+$Q$10*_xlfn.XLOOKUP($R$10,'RE Calculations'!$B$12:$B$16,'RE Calculations'!$C$12:$C$16,"ERROR - Check Input")/12,0)</f>
        <v>0</v>
      </c>
      <c r="R238" s="142">
        <f t="shared" si="26"/>
        <v>0</v>
      </c>
      <c r="S238" s="142">
        <f>IFERROR(-IPMT($Q$8,P238,$Q$9*12,$Q$6)+$Q$10*_xlfn.XLOOKUP($R$10,'RE Calculations'!$B$12:$B$16,'RE Calculations'!$C$12:$C$16,"ERROR - Check Input")/12,0)</f>
        <v>8.3333333333333339</v>
      </c>
      <c r="T238" s="142">
        <f t="shared" si="27"/>
        <v>0</v>
      </c>
      <c r="W238" s="12">
        <v>216</v>
      </c>
      <c r="X238" s="142">
        <f>IF(AA237&gt;0.01,IF(W238&lt;=($X$9*12),$X$15,-PMT($X$11,($X$12-$X$9)*12,$X$6)+$X$13*_xlfn.XLOOKUP($Y$13,'RE Calculations'!$B$12:$B$16,'RE Calculations'!$C$12:$C$16,"ERROR - Check Input")/12),0)</f>
        <v>0</v>
      </c>
      <c r="Y238" s="142">
        <f t="shared" si="28"/>
        <v>0</v>
      </c>
      <c r="Z238" s="142">
        <f>IF(W238&lt;=($X$9*12),$X$15,IFERROR(-IPMT($X$11,W238-$X$9*12,($X$12-$X$9)*12,$X$6)+$X$13*_xlfn.XLOOKUP($Y$13,'RE Calculations'!$B$12:$B$16,'RE Calculations'!$C$12:$C$16,"ERROR - Check Input")/12,0))</f>
        <v>10</v>
      </c>
      <c r="AA238" s="142">
        <f t="shared" si="29"/>
        <v>0</v>
      </c>
    </row>
    <row r="239" spans="2:27" x14ac:dyDescent="0.35">
      <c r="B239" s="12">
        <v>217</v>
      </c>
      <c r="C239" s="142">
        <f>IF(F238&gt;0.01,-PMT($C$8,$C$9*12,$C$6)+$C$10*_xlfn.XLOOKUP($D$10,'RE Calculations'!$B$12:$B$16,'RE Calculations'!$C$12:$C$16,"ERROR - Check Input")/12,0)</f>
        <v>0</v>
      </c>
      <c r="D239" s="142">
        <f t="shared" si="30"/>
        <v>0</v>
      </c>
      <c r="E239" s="142">
        <f>IFERROR(-IPMT($C$8,B239,$C$9*12,$C$6)+$C$10*_xlfn.XLOOKUP($D$10,'RE Calculations'!$B$12:$B$16,'RE Calculations'!$C$12:$C$16,"ERROR - Check Input")/12,0)</f>
        <v>8.3333333333333339</v>
      </c>
      <c r="F239" s="142">
        <f t="shared" si="31"/>
        <v>0</v>
      </c>
      <c r="I239" s="12">
        <v>217</v>
      </c>
      <c r="J239" s="142">
        <f>IF(M238&gt;0.01,IF(I239&lt;=($J$9*12),$J$15,-PMT($J$11,($J$12-$J$9)*12,$J$6)+$J$13*_xlfn.XLOOKUP($K$13,'RE Calculations'!$B$12:$B$16,'RE Calculations'!$C$12:$C$16,"ERROR - Check Input")/12),0)</f>
        <v>0</v>
      </c>
      <c r="K239" s="142">
        <f t="shared" si="24"/>
        <v>0</v>
      </c>
      <c r="L239" s="142">
        <f>IF(I239&lt;=($J$9*12),$J$15,IFERROR(-IPMT($J$11,I239-$J$9*12,($J$12-$J$9)*12,$J$6)+$J$13*_xlfn.XLOOKUP($K$13,'RE Calculations'!$B$12:$B$16,'RE Calculations'!$C$12:$C$16,"ERROR - Check Input")/12,0))</f>
        <v>10</v>
      </c>
      <c r="M239" s="142">
        <f t="shared" si="25"/>
        <v>0</v>
      </c>
      <c r="P239" s="12">
        <v>217</v>
      </c>
      <c r="Q239" s="142">
        <f>IF(T238&gt;0.01,-PMT($Q$8,$Q$9*12,$Q$6)+$Q$10*_xlfn.XLOOKUP($R$10,'RE Calculations'!$B$12:$B$16,'RE Calculations'!$C$12:$C$16,"ERROR - Check Input")/12,0)</f>
        <v>0</v>
      </c>
      <c r="R239" s="142">
        <f t="shared" si="26"/>
        <v>0</v>
      </c>
      <c r="S239" s="142">
        <f>IFERROR(-IPMT($Q$8,P239,$Q$9*12,$Q$6)+$Q$10*_xlfn.XLOOKUP($R$10,'RE Calculations'!$B$12:$B$16,'RE Calculations'!$C$12:$C$16,"ERROR - Check Input")/12,0)</f>
        <v>8.3333333333333339</v>
      </c>
      <c r="T239" s="142">
        <f t="shared" si="27"/>
        <v>0</v>
      </c>
      <c r="W239" s="12">
        <v>217</v>
      </c>
      <c r="X239" s="142">
        <f>IF(AA238&gt;0.01,IF(W239&lt;=($X$9*12),$X$15,-PMT($X$11,($X$12-$X$9)*12,$X$6)+$X$13*_xlfn.XLOOKUP($Y$13,'RE Calculations'!$B$12:$B$16,'RE Calculations'!$C$12:$C$16,"ERROR - Check Input")/12),0)</f>
        <v>0</v>
      </c>
      <c r="Y239" s="142">
        <f t="shared" si="28"/>
        <v>0</v>
      </c>
      <c r="Z239" s="142">
        <f>IF(W239&lt;=($X$9*12),$X$15,IFERROR(-IPMT($X$11,W239-$X$9*12,($X$12-$X$9)*12,$X$6)+$X$13*_xlfn.XLOOKUP($Y$13,'RE Calculations'!$B$12:$B$16,'RE Calculations'!$C$12:$C$16,"ERROR - Check Input")/12,0))</f>
        <v>10</v>
      </c>
      <c r="AA239" s="142">
        <f t="shared" si="29"/>
        <v>0</v>
      </c>
    </row>
    <row r="240" spans="2:27" x14ac:dyDescent="0.35">
      <c r="B240" s="12">
        <v>218</v>
      </c>
      <c r="C240" s="142">
        <f>IF(F239&gt;0.01,-PMT($C$8,$C$9*12,$C$6)+$C$10*_xlfn.XLOOKUP($D$10,'RE Calculations'!$B$12:$B$16,'RE Calculations'!$C$12:$C$16,"ERROR - Check Input")/12,0)</f>
        <v>0</v>
      </c>
      <c r="D240" s="142">
        <f t="shared" si="30"/>
        <v>0</v>
      </c>
      <c r="E240" s="142">
        <f>IFERROR(-IPMT($C$8,B240,$C$9*12,$C$6)+$C$10*_xlfn.XLOOKUP($D$10,'RE Calculations'!$B$12:$B$16,'RE Calculations'!$C$12:$C$16,"ERROR - Check Input")/12,0)</f>
        <v>8.3333333333333339</v>
      </c>
      <c r="F240" s="142">
        <f t="shared" si="31"/>
        <v>0</v>
      </c>
      <c r="I240" s="12">
        <v>218</v>
      </c>
      <c r="J240" s="142">
        <f>IF(M239&gt;0.01,IF(I240&lt;=($J$9*12),$J$15,-PMT($J$11,($J$12-$J$9)*12,$J$6)+$J$13*_xlfn.XLOOKUP($K$13,'RE Calculations'!$B$12:$B$16,'RE Calculations'!$C$12:$C$16,"ERROR - Check Input")/12),0)</f>
        <v>0</v>
      </c>
      <c r="K240" s="142">
        <f t="shared" si="24"/>
        <v>0</v>
      </c>
      <c r="L240" s="142">
        <f>IF(I240&lt;=($J$9*12),$J$15,IFERROR(-IPMT($J$11,I240-$J$9*12,($J$12-$J$9)*12,$J$6)+$J$13*_xlfn.XLOOKUP($K$13,'RE Calculations'!$B$12:$B$16,'RE Calculations'!$C$12:$C$16,"ERROR - Check Input")/12,0))</f>
        <v>10</v>
      </c>
      <c r="M240" s="142">
        <f t="shared" si="25"/>
        <v>0</v>
      </c>
      <c r="P240" s="12">
        <v>218</v>
      </c>
      <c r="Q240" s="142">
        <f>IF(T239&gt;0.01,-PMT($Q$8,$Q$9*12,$Q$6)+$Q$10*_xlfn.XLOOKUP($R$10,'RE Calculations'!$B$12:$B$16,'RE Calculations'!$C$12:$C$16,"ERROR - Check Input")/12,0)</f>
        <v>0</v>
      </c>
      <c r="R240" s="142">
        <f t="shared" si="26"/>
        <v>0</v>
      </c>
      <c r="S240" s="142">
        <f>IFERROR(-IPMT($Q$8,P240,$Q$9*12,$Q$6)+$Q$10*_xlfn.XLOOKUP($R$10,'RE Calculations'!$B$12:$B$16,'RE Calculations'!$C$12:$C$16,"ERROR - Check Input")/12,0)</f>
        <v>8.3333333333333339</v>
      </c>
      <c r="T240" s="142">
        <f t="shared" si="27"/>
        <v>0</v>
      </c>
      <c r="W240" s="12">
        <v>218</v>
      </c>
      <c r="X240" s="142">
        <f>IF(AA239&gt;0.01,IF(W240&lt;=($X$9*12),$X$15,-PMT($X$11,($X$12-$X$9)*12,$X$6)+$X$13*_xlfn.XLOOKUP($Y$13,'RE Calculations'!$B$12:$B$16,'RE Calculations'!$C$12:$C$16,"ERROR - Check Input")/12),0)</f>
        <v>0</v>
      </c>
      <c r="Y240" s="142">
        <f t="shared" si="28"/>
        <v>0</v>
      </c>
      <c r="Z240" s="142">
        <f>IF(W240&lt;=($X$9*12),$X$15,IFERROR(-IPMT($X$11,W240-$X$9*12,($X$12-$X$9)*12,$X$6)+$X$13*_xlfn.XLOOKUP($Y$13,'RE Calculations'!$B$12:$B$16,'RE Calculations'!$C$12:$C$16,"ERROR - Check Input")/12,0))</f>
        <v>10</v>
      </c>
      <c r="AA240" s="142">
        <f t="shared" si="29"/>
        <v>0</v>
      </c>
    </row>
    <row r="241" spans="2:27" x14ac:dyDescent="0.35">
      <c r="B241" s="12">
        <v>219</v>
      </c>
      <c r="C241" s="142">
        <f>IF(F240&gt;0.01,-PMT($C$8,$C$9*12,$C$6)+$C$10*_xlfn.XLOOKUP($D$10,'RE Calculations'!$B$12:$B$16,'RE Calculations'!$C$12:$C$16,"ERROR - Check Input")/12,0)</f>
        <v>0</v>
      </c>
      <c r="D241" s="142">
        <f t="shared" si="30"/>
        <v>0</v>
      </c>
      <c r="E241" s="142">
        <f>IFERROR(-IPMT($C$8,B241,$C$9*12,$C$6)+$C$10*_xlfn.XLOOKUP($D$10,'RE Calculations'!$B$12:$B$16,'RE Calculations'!$C$12:$C$16,"ERROR - Check Input")/12,0)</f>
        <v>8.3333333333333339</v>
      </c>
      <c r="F241" s="142">
        <f t="shared" si="31"/>
        <v>0</v>
      </c>
      <c r="I241" s="12">
        <v>219</v>
      </c>
      <c r="J241" s="142">
        <f>IF(M240&gt;0.01,IF(I241&lt;=($J$9*12),$J$15,-PMT($J$11,($J$12-$J$9)*12,$J$6)+$J$13*_xlfn.XLOOKUP($K$13,'RE Calculations'!$B$12:$B$16,'RE Calculations'!$C$12:$C$16,"ERROR - Check Input")/12),0)</f>
        <v>0</v>
      </c>
      <c r="K241" s="142">
        <f t="shared" si="24"/>
        <v>0</v>
      </c>
      <c r="L241" s="142">
        <f>IF(I241&lt;=($J$9*12),$J$15,IFERROR(-IPMT($J$11,I241-$J$9*12,($J$12-$J$9)*12,$J$6)+$J$13*_xlfn.XLOOKUP($K$13,'RE Calculations'!$B$12:$B$16,'RE Calculations'!$C$12:$C$16,"ERROR - Check Input")/12,0))</f>
        <v>10</v>
      </c>
      <c r="M241" s="142">
        <f t="shared" si="25"/>
        <v>0</v>
      </c>
      <c r="P241" s="12">
        <v>219</v>
      </c>
      <c r="Q241" s="142">
        <f>IF(T240&gt;0.01,-PMT($Q$8,$Q$9*12,$Q$6)+$Q$10*_xlfn.XLOOKUP($R$10,'RE Calculations'!$B$12:$B$16,'RE Calculations'!$C$12:$C$16,"ERROR - Check Input")/12,0)</f>
        <v>0</v>
      </c>
      <c r="R241" s="142">
        <f t="shared" si="26"/>
        <v>0</v>
      </c>
      <c r="S241" s="142">
        <f>IFERROR(-IPMT($Q$8,P241,$Q$9*12,$Q$6)+$Q$10*_xlfn.XLOOKUP($R$10,'RE Calculations'!$B$12:$B$16,'RE Calculations'!$C$12:$C$16,"ERROR - Check Input")/12,0)</f>
        <v>8.3333333333333339</v>
      </c>
      <c r="T241" s="142">
        <f t="shared" si="27"/>
        <v>0</v>
      </c>
      <c r="W241" s="12">
        <v>219</v>
      </c>
      <c r="X241" s="142">
        <f>IF(AA240&gt;0.01,IF(W241&lt;=($X$9*12),$X$15,-PMT($X$11,($X$12-$X$9)*12,$X$6)+$X$13*_xlfn.XLOOKUP($Y$13,'RE Calculations'!$B$12:$B$16,'RE Calculations'!$C$12:$C$16,"ERROR - Check Input")/12),0)</f>
        <v>0</v>
      </c>
      <c r="Y241" s="142">
        <f t="shared" si="28"/>
        <v>0</v>
      </c>
      <c r="Z241" s="142">
        <f>IF(W241&lt;=($X$9*12),$X$15,IFERROR(-IPMT($X$11,W241-$X$9*12,($X$12-$X$9)*12,$X$6)+$X$13*_xlfn.XLOOKUP($Y$13,'RE Calculations'!$B$12:$B$16,'RE Calculations'!$C$12:$C$16,"ERROR - Check Input")/12,0))</f>
        <v>10</v>
      </c>
      <c r="AA241" s="142">
        <f t="shared" si="29"/>
        <v>0</v>
      </c>
    </row>
    <row r="242" spans="2:27" x14ac:dyDescent="0.35">
      <c r="B242" s="12">
        <v>220</v>
      </c>
      <c r="C242" s="142">
        <f>IF(F241&gt;0.01,-PMT($C$8,$C$9*12,$C$6)+$C$10*_xlfn.XLOOKUP($D$10,'RE Calculations'!$B$12:$B$16,'RE Calculations'!$C$12:$C$16,"ERROR - Check Input")/12,0)</f>
        <v>0</v>
      </c>
      <c r="D242" s="142">
        <f t="shared" si="30"/>
        <v>0</v>
      </c>
      <c r="E242" s="142">
        <f>IFERROR(-IPMT($C$8,B242,$C$9*12,$C$6)+$C$10*_xlfn.XLOOKUP($D$10,'RE Calculations'!$B$12:$B$16,'RE Calculations'!$C$12:$C$16,"ERROR - Check Input")/12,0)</f>
        <v>8.3333333333333339</v>
      </c>
      <c r="F242" s="142">
        <f t="shared" si="31"/>
        <v>0</v>
      </c>
      <c r="I242" s="12">
        <v>220</v>
      </c>
      <c r="J242" s="142">
        <f>IF(M241&gt;0.01,IF(I242&lt;=($J$9*12),$J$15,-PMT($J$11,($J$12-$J$9)*12,$J$6)+$J$13*_xlfn.XLOOKUP($K$13,'RE Calculations'!$B$12:$B$16,'RE Calculations'!$C$12:$C$16,"ERROR - Check Input")/12),0)</f>
        <v>0</v>
      </c>
      <c r="K242" s="142">
        <f t="shared" si="24"/>
        <v>0</v>
      </c>
      <c r="L242" s="142">
        <f>IF(I242&lt;=($J$9*12),$J$15,IFERROR(-IPMT($J$11,I242-$J$9*12,($J$12-$J$9)*12,$J$6)+$J$13*_xlfn.XLOOKUP($K$13,'RE Calculations'!$B$12:$B$16,'RE Calculations'!$C$12:$C$16,"ERROR - Check Input")/12,0))</f>
        <v>10</v>
      </c>
      <c r="M242" s="142">
        <f t="shared" si="25"/>
        <v>0</v>
      </c>
      <c r="P242" s="12">
        <v>220</v>
      </c>
      <c r="Q242" s="142">
        <f>IF(T241&gt;0.01,-PMT($Q$8,$Q$9*12,$Q$6)+$Q$10*_xlfn.XLOOKUP($R$10,'RE Calculations'!$B$12:$B$16,'RE Calculations'!$C$12:$C$16,"ERROR - Check Input")/12,0)</f>
        <v>0</v>
      </c>
      <c r="R242" s="142">
        <f t="shared" si="26"/>
        <v>0</v>
      </c>
      <c r="S242" s="142">
        <f>IFERROR(-IPMT($Q$8,P242,$Q$9*12,$Q$6)+$Q$10*_xlfn.XLOOKUP($R$10,'RE Calculations'!$B$12:$B$16,'RE Calculations'!$C$12:$C$16,"ERROR - Check Input")/12,0)</f>
        <v>8.3333333333333339</v>
      </c>
      <c r="T242" s="142">
        <f t="shared" si="27"/>
        <v>0</v>
      </c>
      <c r="W242" s="12">
        <v>220</v>
      </c>
      <c r="X242" s="142">
        <f>IF(AA241&gt;0.01,IF(W242&lt;=($X$9*12),$X$15,-PMT($X$11,($X$12-$X$9)*12,$X$6)+$X$13*_xlfn.XLOOKUP($Y$13,'RE Calculations'!$B$12:$B$16,'RE Calculations'!$C$12:$C$16,"ERROR - Check Input")/12),0)</f>
        <v>0</v>
      </c>
      <c r="Y242" s="142">
        <f t="shared" si="28"/>
        <v>0</v>
      </c>
      <c r="Z242" s="142">
        <f>IF(W242&lt;=($X$9*12),$X$15,IFERROR(-IPMT($X$11,W242-$X$9*12,($X$12-$X$9)*12,$X$6)+$X$13*_xlfn.XLOOKUP($Y$13,'RE Calculations'!$B$12:$B$16,'RE Calculations'!$C$12:$C$16,"ERROR - Check Input")/12,0))</f>
        <v>10</v>
      </c>
      <c r="AA242" s="142">
        <f t="shared" si="29"/>
        <v>0</v>
      </c>
    </row>
    <row r="243" spans="2:27" x14ac:dyDescent="0.35">
      <c r="B243" s="12">
        <v>221</v>
      </c>
      <c r="C243" s="142">
        <f>IF(F242&gt;0.01,-PMT($C$8,$C$9*12,$C$6)+$C$10*_xlfn.XLOOKUP($D$10,'RE Calculations'!$B$12:$B$16,'RE Calculations'!$C$12:$C$16,"ERROR - Check Input")/12,0)</f>
        <v>0</v>
      </c>
      <c r="D243" s="142">
        <f t="shared" si="30"/>
        <v>0</v>
      </c>
      <c r="E243" s="142">
        <f>IFERROR(-IPMT($C$8,B243,$C$9*12,$C$6)+$C$10*_xlfn.XLOOKUP($D$10,'RE Calculations'!$B$12:$B$16,'RE Calculations'!$C$12:$C$16,"ERROR - Check Input")/12,0)</f>
        <v>8.3333333333333339</v>
      </c>
      <c r="F243" s="142">
        <f t="shared" si="31"/>
        <v>0</v>
      </c>
      <c r="I243" s="12">
        <v>221</v>
      </c>
      <c r="J243" s="142">
        <f>IF(M242&gt;0.01,IF(I243&lt;=($J$9*12),$J$15,-PMT($J$11,($J$12-$J$9)*12,$J$6)+$J$13*_xlfn.XLOOKUP($K$13,'RE Calculations'!$B$12:$B$16,'RE Calculations'!$C$12:$C$16,"ERROR - Check Input")/12),0)</f>
        <v>0</v>
      </c>
      <c r="K243" s="142">
        <f t="shared" si="24"/>
        <v>0</v>
      </c>
      <c r="L243" s="142">
        <f>IF(I243&lt;=($J$9*12),$J$15,IFERROR(-IPMT($J$11,I243-$J$9*12,($J$12-$J$9)*12,$J$6)+$J$13*_xlfn.XLOOKUP($K$13,'RE Calculations'!$B$12:$B$16,'RE Calculations'!$C$12:$C$16,"ERROR - Check Input")/12,0))</f>
        <v>10</v>
      </c>
      <c r="M243" s="142">
        <f t="shared" si="25"/>
        <v>0</v>
      </c>
      <c r="P243" s="12">
        <v>221</v>
      </c>
      <c r="Q243" s="142">
        <f>IF(T242&gt;0.01,-PMT($Q$8,$Q$9*12,$Q$6)+$Q$10*_xlfn.XLOOKUP($R$10,'RE Calculations'!$B$12:$B$16,'RE Calculations'!$C$12:$C$16,"ERROR - Check Input")/12,0)</f>
        <v>0</v>
      </c>
      <c r="R243" s="142">
        <f t="shared" si="26"/>
        <v>0</v>
      </c>
      <c r="S243" s="142">
        <f>IFERROR(-IPMT($Q$8,P243,$Q$9*12,$Q$6)+$Q$10*_xlfn.XLOOKUP($R$10,'RE Calculations'!$B$12:$B$16,'RE Calculations'!$C$12:$C$16,"ERROR - Check Input")/12,0)</f>
        <v>8.3333333333333339</v>
      </c>
      <c r="T243" s="142">
        <f t="shared" si="27"/>
        <v>0</v>
      </c>
      <c r="W243" s="12">
        <v>221</v>
      </c>
      <c r="X243" s="142">
        <f>IF(AA242&gt;0.01,IF(W243&lt;=($X$9*12),$X$15,-PMT($X$11,($X$12-$X$9)*12,$X$6)+$X$13*_xlfn.XLOOKUP($Y$13,'RE Calculations'!$B$12:$B$16,'RE Calculations'!$C$12:$C$16,"ERROR - Check Input")/12),0)</f>
        <v>0</v>
      </c>
      <c r="Y243" s="142">
        <f t="shared" si="28"/>
        <v>0</v>
      </c>
      <c r="Z243" s="142">
        <f>IF(W243&lt;=($X$9*12),$X$15,IFERROR(-IPMT($X$11,W243-$X$9*12,($X$12-$X$9)*12,$X$6)+$X$13*_xlfn.XLOOKUP($Y$13,'RE Calculations'!$B$12:$B$16,'RE Calculations'!$C$12:$C$16,"ERROR - Check Input")/12,0))</f>
        <v>10</v>
      </c>
      <c r="AA243" s="142">
        <f t="shared" si="29"/>
        <v>0</v>
      </c>
    </row>
    <row r="244" spans="2:27" x14ac:dyDescent="0.35">
      <c r="B244" s="12">
        <v>222</v>
      </c>
      <c r="C244" s="142">
        <f>IF(F243&gt;0.01,-PMT($C$8,$C$9*12,$C$6)+$C$10*_xlfn.XLOOKUP($D$10,'RE Calculations'!$B$12:$B$16,'RE Calculations'!$C$12:$C$16,"ERROR - Check Input")/12,0)</f>
        <v>0</v>
      </c>
      <c r="D244" s="142">
        <f t="shared" si="30"/>
        <v>0</v>
      </c>
      <c r="E244" s="142">
        <f>IFERROR(-IPMT($C$8,B244,$C$9*12,$C$6)+$C$10*_xlfn.XLOOKUP($D$10,'RE Calculations'!$B$12:$B$16,'RE Calculations'!$C$12:$C$16,"ERROR - Check Input")/12,0)</f>
        <v>8.3333333333333339</v>
      </c>
      <c r="F244" s="142">
        <f t="shared" si="31"/>
        <v>0</v>
      </c>
      <c r="I244" s="12">
        <v>222</v>
      </c>
      <c r="J244" s="142">
        <f>IF(M243&gt;0.01,IF(I244&lt;=($J$9*12),$J$15,-PMT($J$11,($J$12-$J$9)*12,$J$6)+$J$13*_xlfn.XLOOKUP($K$13,'RE Calculations'!$B$12:$B$16,'RE Calculations'!$C$12:$C$16,"ERROR - Check Input")/12),0)</f>
        <v>0</v>
      </c>
      <c r="K244" s="142">
        <f t="shared" si="24"/>
        <v>0</v>
      </c>
      <c r="L244" s="142">
        <f>IF(I244&lt;=($J$9*12),$J$15,IFERROR(-IPMT($J$11,I244-$J$9*12,($J$12-$J$9)*12,$J$6)+$J$13*_xlfn.XLOOKUP($K$13,'RE Calculations'!$B$12:$B$16,'RE Calculations'!$C$12:$C$16,"ERROR - Check Input")/12,0))</f>
        <v>10</v>
      </c>
      <c r="M244" s="142">
        <f t="shared" si="25"/>
        <v>0</v>
      </c>
      <c r="P244" s="12">
        <v>222</v>
      </c>
      <c r="Q244" s="142">
        <f>IF(T243&gt;0.01,-PMT($Q$8,$Q$9*12,$Q$6)+$Q$10*_xlfn.XLOOKUP($R$10,'RE Calculations'!$B$12:$B$16,'RE Calculations'!$C$12:$C$16,"ERROR - Check Input")/12,0)</f>
        <v>0</v>
      </c>
      <c r="R244" s="142">
        <f t="shared" si="26"/>
        <v>0</v>
      </c>
      <c r="S244" s="142">
        <f>IFERROR(-IPMT($Q$8,P244,$Q$9*12,$Q$6)+$Q$10*_xlfn.XLOOKUP($R$10,'RE Calculations'!$B$12:$B$16,'RE Calculations'!$C$12:$C$16,"ERROR - Check Input")/12,0)</f>
        <v>8.3333333333333339</v>
      </c>
      <c r="T244" s="142">
        <f t="shared" si="27"/>
        <v>0</v>
      </c>
      <c r="W244" s="12">
        <v>222</v>
      </c>
      <c r="X244" s="142">
        <f>IF(AA243&gt;0.01,IF(W244&lt;=($X$9*12),$X$15,-PMT($X$11,($X$12-$X$9)*12,$X$6)+$X$13*_xlfn.XLOOKUP($Y$13,'RE Calculations'!$B$12:$B$16,'RE Calculations'!$C$12:$C$16,"ERROR - Check Input")/12),0)</f>
        <v>0</v>
      </c>
      <c r="Y244" s="142">
        <f t="shared" si="28"/>
        <v>0</v>
      </c>
      <c r="Z244" s="142">
        <f>IF(W244&lt;=($X$9*12),$X$15,IFERROR(-IPMT($X$11,W244-$X$9*12,($X$12-$X$9)*12,$X$6)+$X$13*_xlfn.XLOOKUP($Y$13,'RE Calculations'!$B$12:$B$16,'RE Calculations'!$C$12:$C$16,"ERROR - Check Input")/12,0))</f>
        <v>10</v>
      </c>
      <c r="AA244" s="142">
        <f t="shared" si="29"/>
        <v>0</v>
      </c>
    </row>
    <row r="245" spans="2:27" x14ac:dyDescent="0.35">
      <c r="B245" s="12">
        <v>223</v>
      </c>
      <c r="C245" s="142">
        <f>IF(F244&gt;0.01,-PMT($C$8,$C$9*12,$C$6)+$C$10*_xlfn.XLOOKUP($D$10,'RE Calculations'!$B$12:$B$16,'RE Calculations'!$C$12:$C$16,"ERROR - Check Input")/12,0)</f>
        <v>0</v>
      </c>
      <c r="D245" s="142">
        <f t="shared" si="30"/>
        <v>0</v>
      </c>
      <c r="E245" s="142">
        <f>IFERROR(-IPMT($C$8,B245,$C$9*12,$C$6)+$C$10*_xlfn.XLOOKUP($D$10,'RE Calculations'!$B$12:$B$16,'RE Calculations'!$C$12:$C$16,"ERROR - Check Input")/12,0)</f>
        <v>8.3333333333333339</v>
      </c>
      <c r="F245" s="142">
        <f t="shared" si="31"/>
        <v>0</v>
      </c>
      <c r="I245" s="12">
        <v>223</v>
      </c>
      <c r="J245" s="142">
        <f>IF(M244&gt;0.01,IF(I245&lt;=($J$9*12),$J$15,-PMT($J$11,($J$12-$J$9)*12,$J$6)+$J$13*_xlfn.XLOOKUP($K$13,'RE Calculations'!$B$12:$B$16,'RE Calculations'!$C$12:$C$16,"ERROR - Check Input")/12),0)</f>
        <v>0</v>
      </c>
      <c r="K245" s="142">
        <f t="shared" si="24"/>
        <v>0</v>
      </c>
      <c r="L245" s="142">
        <f>IF(I245&lt;=($J$9*12),$J$15,IFERROR(-IPMT($J$11,I245-$J$9*12,($J$12-$J$9)*12,$J$6)+$J$13*_xlfn.XLOOKUP($K$13,'RE Calculations'!$B$12:$B$16,'RE Calculations'!$C$12:$C$16,"ERROR - Check Input")/12,0))</f>
        <v>10</v>
      </c>
      <c r="M245" s="142">
        <f t="shared" si="25"/>
        <v>0</v>
      </c>
      <c r="P245" s="12">
        <v>223</v>
      </c>
      <c r="Q245" s="142">
        <f>IF(T244&gt;0.01,-PMT($Q$8,$Q$9*12,$Q$6)+$Q$10*_xlfn.XLOOKUP($R$10,'RE Calculations'!$B$12:$B$16,'RE Calculations'!$C$12:$C$16,"ERROR - Check Input")/12,0)</f>
        <v>0</v>
      </c>
      <c r="R245" s="142">
        <f t="shared" si="26"/>
        <v>0</v>
      </c>
      <c r="S245" s="142">
        <f>IFERROR(-IPMT($Q$8,P245,$Q$9*12,$Q$6)+$Q$10*_xlfn.XLOOKUP($R$10,'RE Calculations'!$B$12:$B$16,'RE Calculations'!$C$12:$C$16,"ERROR - Check Input")/12,0)</f>
        <v>8.3333333333333339</v>
      </c>
      <c r="T245" s="142">
        <f t="shared" si="27"/>
        <v>0</v>
      </c>
      <c r="W245" s="12">
        <v>223</v>
      </c>
      <c r="X245" s="142">
        <f>IF(AA244&gt;0.01,IF(W245&lt;=($X$9*12),$X$15,-PMT($X$11,($X$12-$X$9)*12,$X$6)+$X$13*_xlfn.XLOOKUP($Y$13,'RE Calculations'!$B$12:$B$16,'RE Calculations'!$C$12:$C$16,"ERROR - Check Input")/12),0)</f>
        <v>0</v>
      </c>
      <c r="Y245" s="142">
        <f t="shared" si="28"/>
        <v>0</v>
      </c>
      <c r="Z245" s="142">
        <f>IF(W245&lt;=($X$9*12),$X$15,IFERROR(-IPMT($X$11,W245-$X$9*12,($X$12-$X$9)*12,$X$6)+$X$13*_xlfn.XLOOKUP($Y$13,'RE Calculations'!$B$12:$B$16,'RE Calculations'!$C$12:$C$16,"ERROR - Check Input")/12,0))</f>
        <v>10</v>
      </c>
      <c r="AA245" s="142">
        <f t="shared" si="29"/>
        <v>0</v>
      </c>
    </row>
    <row r="246" spans="2:27" x14ac:dyDescent="0.35">
      <c r="B246" s="12">
        <v>224</v>
      </c>
      <c r="C246" s="142">
        <f>IF(F245&gt;0.01,-PMT($C$8,$C$9*12,$C$6)+$C$10*_xlfn.XLOOKUP($D$10,'RE Calculations'!$B$12:$B$16,'RE Calculations'!$C$12:$C$16,"ERROR - Check Input")/12,0)</f>
        <v>0</v>
      </c>
      <c r="D246" s="142">
        <f t="shared" si="30"/>
        <v>0</v>
      </c>
      <c r="E246" s="142">
        <f>IFERROR(-IPMT($C$8,B246,$C$9*12,$C$6)+$C$10*_xlfn.XLOOKUP($D$10,'RE Calculations'!$B$12:$B$16,'RE Calculations'!$C$12:$C$16,"ERROR - Check Input")/12,0)</f>
        <v>8.3333333333333339</v>
      </c>
      <c r="F246" s="142">
        <f t="shared" si="31"/>
        <v>0</v>
      </c>
      <c r="I246" s="12">
        <v>224</v>
      </c>
      <c r="J246" s="142">
        <f>IF(M245&gt;0.01,IF(I246&lt;=($J$9*12),$J$15,-PMT($J$11,($J$12-$J$9)*12,$J$6)+$J$13*_xlfn.XLOOKUP($K$13,'RE Calculations'!$B$12:$B$16,'RE Calculations'!$C$12:$C$16,"ERROR - Check Input")/12),0)</f>
        <v>0</v>
      </c>
      <c r="K246" s="142">
        <f t="shared" si="24"/>
        <v>0</v>
      </c>
      <c r="L246" s="142">
        <f>IF(I246&lt;=($J$9*12),$J$15,IFERROR(-IPMT($J$11,I246-$J$9*12,($J$12-$J$9)*12,$J$6)+$J$13*_xlfn.XLOOKUP($K$13,'RE Calculations'!$B$12:$B$16,'RE Calculations'!$C$12:$C$16,"ERROR - Check Input")/12,0))</f>
        <v>10</v>
      </c>
      <c r="M246" s="142">
        <f t="shared" si="25"/>
        <v>0</v>
      </c>
      <c r="P246" s="12">
        <v>224</v>
      </c>
      <c r="Q246" s="142">
        <f>IF(T245&gt;0.01,-PMT($Q$8,$Q$9*12,$Q$6)+$Q$10*_xlfn.XLOOKUP($R$10,'RE Calculations'!$B$12:$B$16,'RE Calculations'!$C$12:$C$16,"ERROR - Check Input")/12,0)</f>
        <v>0</v>
      </c>
      <c r="R246" s="142">
        <f t="shared" si="26"/>
        <v>0</v>
      </c>
      <c r="S246" s="142">
        <f>IFERROR(-IPMT($Q$8,P246,$Q$9*12,$Q$6)+$Q$10*_xlfn.XLOOKUP($R$10,'RE Calculations'!$B$12:$B$16,'RE Calculations'!$C$12:$C$16,"ERROR - Check Input")/12,0)</f>
        <v>8.3333333333333339</v>
      </c>
      <c r="T246" s="142">
        <f t="shared" si="27"/>
        <v>0</v>
      </c>
      <c r="W246" s="12">
        <v>224</v>
      </c>
      <c r="X246" s="142">
        <f>IF(AA245&gt;0.01,IF(W246&lt;=($X$9*12),$X$15,-PMT($X$11,($X$12-$X$9)*12,$X$6)+$X$13*_xlfn.XLOOKUP($Y$13,'RE Calculations'!$B$12:$B$16,'RE Calculations'!$C$12:$C$16,"ERROR - Check Input")/12),0)</f>
        <v>0</v>
      </c>
      <c r="Y246" s="142">
        <f t="shared" si="28"/>
        <v>0</v>
      </c>
      <c r="Z246" s="142">
        <f>IF(W246&lt;=($X$9*12),$X$15,IFERROR(-IPMT($X$11,W246-$X$9*12,($X$12-$X$9)*12,$X$6)+$X$13*_xlfn.XLOOKUP($Y$13,'RE Calculations'!$B$12:$B$16,'RE Calculations'!$C$12:$C$16,"ERROR - Check Input")/12,0))</f>
        <v>10</v>
      </c>
      <c r="AA246" s="142">
        <f t="shared" si="29"/>
        <v>0</v>
      </c>
    </row>
    <row r="247" spans="2:27" x14ac:dyDescent="0.35">
      <c r="B247" s="12">
        <v>225</v>
      </c>
      <c r="C247" s="142">
        <f>IF(F246&gt;0.01,-PMT($C$8,$C$9*12,$C$6)+$C$10*_xlfn.XLOOKUP($D$10,'RE Calculations'!$B$12:$B$16,'RE Calculations'!$C$12:$C$16,"ERROR - Check Input")/12,0)</f>
        <v>0</v>
      </c>
      <c r="D247" s="142">
        <f t="shared" si="30"/>
        <v>0</v>
      </c>
      <c r="E247" s="142">
        <f>IFERROR(-IPMT($C$8,B247,$C$9*12,$C$6)+$C$10*_xlfn.XLOOKUP($D$10,'RE Calculations'!$B$12:$B$16,'RE Calculations'!$C$12:$C$16,"ERROR - Check Input")/12,0)</f>
        <v>8.3333333333333339</v>
      </c>
      <c r="F247" s="142">
        <f t="shared" si="31"/>
        <v>0</v>
      </c>
      <c r="I247" s="12">
        <v>225</v>
      </c>
      <c r="J247" s="142">
        <f>IF(M246&gt;0.01,IF(I247&lt;=($J$9*12),$J$15,-PMT($J$11,($J$12-$J$9)*12,$J$6)+$J$13*_xlfn.XLOOKUP($K$13,'RE Calculations'!$B$12:$B$16,'RE Calculations'!$C$12:$C$16,"ERROR - Check Input")/12),0)</f>
        <v>0</v>
      </c>
      <c r="K247" s="142">
        <f t="shared" si="24"/>
        <v>0</v>
      </c>
      <c r="L247" s="142">
        <f>IF(I247&lt;=($J$9*12),$J$15,IFERROR(-IPMT($J$11,I247-$J$9*12,($J$12-$J$9)*12,$J$6)+$J$13*_xlfn.XLOOKUP($K$13,'RE Calculations'!$B$12:$B$16,'RE Calculations'!$C$12:$C$16,"ERROR - Check Input")/12,0))</f>
        <v>10</v>
      </c>
      <c r="M247" s="142">
        <f t="shared" si="25"/>
        <v>0</v>
      </c>
      <c r="P247" s="12">
        <v>225</v>
      </c>
      <c r="Q247" s="142">
        <f>IF(T246&gt;0.01,-PMT($Q$8,$Q$9*12,$Q$6)+$Q$10*_xlfn.XLOOKUP($R$10,'RE Calculations'!$B$12:$B$16,'RE Calculations'!$C$12:$C$16,"ERROR - Check Input")/12,0)</f>
        <v>0</v>
      </c>
      <c r="R247" s="142">
        <f t="shared" si="26"/>
        <v>0</v>
      </c>
      <c r="S247" s="142">
        <f>IFERROR(-IPMT($Q$8,P247,$Q$9*12,$Q$6)+$Q$10*_xlfn.XLOOKUP($R$10,'RE Calculations'!$B$12:$B$16,'RE Calculations'!$C$12:$C$16,"ERROR - Check Input")/12,0)</f>
        <v>8.3333333333333339</v>
      </c>
      <c r="T247" s="142">
        <f t="shared" si="27"/>
        <v>0</v>
      </c>
      <c r="W247" s="12">
        <v>225</v>
      </c>
      <c r="X247" s="142">
        <f>IF(AA246&gt;0.01,IF(W247&lt;=($X$9*12),$X$15,-PMT($X$11,($X$12-$X$9)*12,$X$6)+$X$13*_xlfn.XLOOKUP($Y$13,'RE Calculations'!$B$12:$B$16,'RE Calculations'!$C$12:$C$16,"ERROR - Check Input")/12),0)</f>
        <v>0</v>
      </c>
      <c r="Y247" s="142">
        <f t="shared" si="28"/>
        <v>0</v>
      </c>
      <c r="Z247" s="142">
        <f>IF(W247&lt;=($X$9*12),$X$15,IFERROR(-IPMT($X$11,W247-$X$9*12,($X$12-$X$9)*12,$X$6)+$X$13*_xlfn.XLOOKUP($Y$13,'RE Calculations'!$B$12:$B$16,'RE Calculations'!$C$12:$C$16,"ERROR - Check Input")/12,0))</f>
        <v>10</v>
      </c>
      <c r="AA247" s="142">
        <f t="shared" si="29"/>
        <v>0</v>
      </c>
    </row>
    <row r="248" spans="2:27" x14ac:dyDescent="0.35">
      <c r="B248" s="12">
        <v>226</v>
      </c>
      <c r="C248" s="142">
        <f>IF(F247&gt;0.01,-PMT($C$8,$C$9*12,$C$6)+$C$10*_xlfn.XLOOKUP($D$10,'RE Calculations'!$B$12:$B$16,'RE Calculations'!$C$12:$C$16,"ERROR - Check Input")/12,0)</f>
        <v>0</v>
      </c>
      <c r="D248" s="142">
        <f t="shared" si="30"/>
        <v>0</v>
      </c>
      <c r="E248" s="142">
        <f>IFERROR(-IPMT($C$8,B248,$C$9*12,$C$6)+$C$10*_xlfn.XLOOKUP($D$10,'RE Calculations'!$B$12:$B$16,'RE Calculations'!$C$12:$C$16,"ERROR - Check Input")/12,0)</f>
        <v>8.3333333333333339</v>
      </c>
      <c r="F248" s="142">
        <f t="shared" si="31"/>
        <v>0</v>
      </c>
      <c r="I248" s="12">
        <v>226</v>
      </c>
      <c r="J248" s="142">
        <f>IF(M247&gt;0.01,IF(I248&lt;=($J$9*12),$J$15,-PMT($J$11,($J$12-$J$9)*12,$J$6)+$J$13*_xlfn.XLOOKUP($K$13,'RE Calculations'!$B$12:$B$16,'RE Calculations'!$C$12:$C$16,"ERROR - Check Input")/12),0)</f>
        <v>0</v>
      </c>
      <c r="K248" s="142">
        <f t="shared" si="24"/>
        <v>0</v>
      </c>
      <c r="L248" s="142">
        <f>IF(I248&lt;=($J$9*12),$J$15,IFERROR(-IPMT($J$11,I248-$J$9*12,($J$12-$J$9)*12,$J$6)+$J$13*_xlfn.XLOOKUP($K$13,'RE Calculations'!$B$12:$B$16,'RE Calculations'!$C$12:$C$16,"ERROR - Check Input")/12,0))</f>
        <v>10</v>
      </c>
      <c r="M248" s="142">
        <f t="shared" si="25"/>
        <v>0</v>
      </c>
      <c r="P248" s="12">
        <v>226</v>
      </c>
      <c r="Q248" s="142">
        <f>IF(T247&gt;0.01,-PMT($Q$8,$Q$9*12,$Q$6)+$Q$10*_xlfn.XLOOKUP($R$10,'RE Calculations'!$B$12:$B$16,'RE Calculations'!$C$12:$C$16,"ERROR - Check Input")/12,0)</f>
        <v>0</v>
      </c>
      <c r="R248" s="142">
        <f t="shared" si="26"/>
        <v>0</v>
      </c>
      <c r="S248" s="142">
        <f>IFERROR(-IPMT($Q$8,P248,$Q$9*12,$Q$6)+$Q$10*_xlfn.XLOOKUP($R$10,'RE Calculations'!$B$12:$B$16,'RE Calculations'!$C$12:$C$16,"ERROR - Check Input")/12,0)</f>
        <v>8.3333333333333339</v>
      </c>
      <c r="T248" s="142">
        <f t="shared" si="27"/>
        <v>0</v>
      </c>
      <c r="W248" s="12">
        <v>226</v>
      </c>
      <c r="X248" s="142">
        <f>IF(AA247&gt;0.01,IF(W248&lt;=($X$9*12),$X$15,-PMT($X$11,($X$12-$X$9)*12,$X$6)+$X$13*_xlfn.XLOOKUP($Y$13,'RE Calculations'!$B$12:$B$16,'RE Calculations'!$C$12:$C$16,"ERROR - Check Input")/12),0)</f>
        <v>0</v>
      </c>
      <c r="Y248" s="142">
        <f t="shared" si="28"/>
        <v>0</v>
      </c>
      <c r="Z248" s="142">
        <f>IF(W248&lt;=($X$9*12),$X$15,IFERROR(-IPMT($X$11,W248-$X$9*12,($X$12-$X$9)*12,$X$6)+$X$13*_xlfn.XLOOKUP($Y$13,'RE Calculations'!$B$12:$B$16,'RE Calculations'!$C$12:$C$16,"ERROR - Check Input")/12,0))</f>
        <v>10</v>
      </c>
      <c r="AA248" s="142">
        <f t="shared" si="29"/>
        <v>0</v>
      </c>
    </row>
    <row r="249" spans="2:27" x14ac:dyDescent="0.35">
      <c r="B249" s="12">
        <v>227</v>
      </c>
      <c r="C249" s="142">
        <f>IF(F248&gt;0.01,-PMT($C$8,$C$9*12,$C$6)+$C$10*_xlfn.XLOOKUP($D$10,'RE Calculations'!$B$12:$B$16,'RE Calculations'!$C$12:$C$16,"ERROR - Check Input")/12,0)</f>
        <v>0</v>
      </c>
      <c r="D249" s="142">
        <f t="shared" si="30"/>
        <v>0</v>
      </c>
      <c r="E249" s="142">
        <f>IFERROR(-IPMT($C$8,B249,$C$9*12,$C$6)+$C$10*_xlfn.XLOOKUP($D$10,'RE Calculations'!$B$12:$B$16,'RE Calculations'!$C$12:$C$16,"ERROR - Check Input")/12,0)</f>
        <v>8.3333333333333339</v>
      </c>
      <c r="F249" s="142">
        <f t="shared" si="31"/>
        <v>0</v>
      </c>
      <c r="I249" s="12">
        <v>227</v>
      </c>
      <c r="J249" s="142">
        <f>IF(M248&gt;0.01,IF(I249&lt;=($J$9*12),$J$15,-PMT($J$11,($J$12-$J$9)*12,$J$6)+$J$13*_xlfn.XLOOKUP($K$13,'RE Calculations'!$B$12:$B$16,'RE Calculations'!$C$12:$C$16,"ERROR - Check Input")/12),0)</f>
        <v>0</v>
      </c>
      <c r="K249" s="142">
        <f t="shared" si="24"/>
        <v>0</v>
      </c>
      <c r="L249" s="142">
        <f>IF(I249&lt;=($J$9*12),$J$15,IFERROR(-IPMT($J$11,I249-$J$9*12,($J$12-$J$9)*12,$J$6)+$J$13*_xlfn.XLOOKUP($K$13,'RE Calculations'!$B$12:$B$16,'RE Calculations'!$C$12:$C$16,"ERROR - Check Input")/12,0))</f>
        <v>10</v>
      </c>
      <c r="M249" s="142">
        <f t="shared" si="25"/>
        <v>0</v>
      </c>
      <c r="P249" s="12">
        <v>227</v>
      </c>
      <c r="Q249" s="142">
        <f>IF(T248&gt;0.01,-PMT($Q$8,$Q$9*12,$Q$6)+$Q$10*_xlfn.XLOOKUP($R$10,'RE Calculations'!$B$12:$B$16,'RE Calculations'!$C$12:$C$16,"ERROR - Check Input")/12,0)</f>
        <v>0</v>
      </c>
      <c r="R249" s="142">
        <f t="shared" si="26"/>
        <v>0</v>
      </c>
      <c r="S249" s="142">
        <f>IFERROR(-IPMT($Q$8,P249,$Q$9*12,$Q$6)+$Q$10*_xlfn.XLOOKUP($R$10,'RE Calculations'!$B$12:$B$16,'RE Calculations'!$C$12:$C$16,"ERROR - Check Input")/12,0)</f>
        <v>8.3333333333333339</v>
      </c>
      <c r="T249" s="142">
        <f t="shared" si="27"/>
        <v>0</v>
      </c>
      <c r="W249" s="12">
        <v>227</v>
      </c>
      <c r="X249" s="142">
        <f>IF(AA248&gt;0.01,IF(W249&lt;=($X$9*12),$X$15,-PMT($X$11,($X$12-$X$9)*12,$X$6)+$X$13*_xlfn.XLOOKUP($Y$13,'RE Calculations'!$B$12:$B$16,'RE Calculations'!$C$12:$C$16,"ERROR - Check Input")/12),0)</f>
        <v>0</v>
      </c>
      <c r="Y249" s="142">
        <f t="shared" si="28"/>
        <v>0</v>
      </c>
      <c r="Z249" s="142">
        <f>IF(W249&lt;=($X$9*12),$X$15,IFERROR(-IPMT($X$11,W249-$X$9*12,($X$12-$X$9)*12,$X$6)+$X$13*_xlfn.XLOOKUP($Y$13,'RE Calculations'!$B$12:$B$16,'RE Calculations'!$C$12:$C$16,"ERROR - Check Input")/12,0))</f>
        <v>10</v>
      </c>
      <c r="AA249" s="142">
        <f t="shared" si="29"/>
        <v>0</v>
      </c>
    </row>
    <row r="250" spans="2:27" x14ac:dyDescent="0.35">
      <c r="B250" s="12">
        <v>228</v>
      </c>
      <c r="C250" s="142">
        <f>IF(F249&gt;0.01,-PMT($C$8,$C$9*12,$C$6)+$C$10*_xlfn.XLOOKUP($D$10,'RE Calculations'!$B$12:$B$16,'RE Calculations'!$C$12:$C$16,"ERROR - Check Input")/12,0)</f>
        <v>0</v>
      </c>
      <c r="D250" s="142">
        <f t="shared" si="30"/>
        <v>0</v>
      </c>
      <c r="E250" s="142">
        <f>IFERROR(-IPMT($C$8,B250,$C$9*12,$C$6)+$C$10*_xlfn.XLOOKUP($D$10,'RE Calculations'!$B$12:$B$16,'RE Calculations'!$C$12:$C$16,"ERROR - Check Input")/12,0)</f>
        <v>8.3333333333333339</v>
      </c>
      <c r="F250" s="142">
        <f t="shared" si="31"/>
        <v>0</v>
      </c>
      <c r="I250" s="12">
        <v>228</v>
      </c>
      <c r="J250" s="142">
        <f>IF(M249&gt;0.01,IF(I250&lt;=($J$9*12),$J$15,-PMT($J$11,($J$12-$J$9)*12,$J$6)+$J$13*_xlfn.XLOOKUP($K$13,'RE Calculations'!$B$12:$B$16,'RE Calculations'!$C$12:$C$16,"ERROR - Check Input")/12),0)</f>
        <v>0</v>
      </c>
      <c r="K250" s="142">
        <f t="shared" si="24"/>
        <v>0</v>
      </c>
      <c r="L250" s="142">
        <f>IF(I250&lt;=($J$9*12),$J$15,IFERROR(-IPMT($J$11,I250-$J$9*12,($J$12-$J$9)*12,$J$6)+$J$13*_xlfn.XLOOKUP($K$13,'RE Calculations'!$B$12:$B$16,'RE Calculations'!$C$12:$C$16,"ERROR - Check Input")/12,0))</f>
        <v>10</v>
      </c>
      <c r="M250" s="142">
        <f t="shared" si="25"/>
        <v>0</v>
      </c>
      <c r="P250" s="12">
        <v>228</v>
      </c>
      <c r="Q250" s="142">
        <f>IF(T249&gt;0.01,-PMT($Q$8,$Q$9*12,$Q$6)+$Q$10*_xlfn.XLOOKUP($R$10,'RE Calculations'!$B$12:$B$16,'RE Calculations'!$C$12:$C$16,"ERROR - Check Input")/12,0)</f>
        <v>0</v>
      </c>
      <c r="R250" s="142">
        <f t="shared" si="26"/>
        <v>0</v>
      </c>
      <c r="S250" s="142">
        <f>IFERROR(-IPMT($Q$8,P250,$Q$9*12,$Q$6)+$Q$10*_xlfn.XLOOKUP($R$10,'RE Calculations'!$B$12:$B$16,'RE Calculations'!$C$12:$C$16,"ERROR - Check Input")/12,0)</f>
        <v>8.3333333333333339</v>
      </c>
      <c r="T250" s="142">
        <f t="shared" si="27"/>
        <v>0</v>
      </c>
      <c r="W250" s="12">
        <v>228</v>
      </c>
      <c r="X250" s="142">
        <f>IF(AA249&gt;0.01,IF(W250&lt;=($X$9*12),$X$15,-PMT($X$11,($X$12-$X$9)*12,$X$6)+$X$13*_xlfn.XLOOKUP($Y$13,'RE Calculations'!$B$12:$B$16,'RE Calculations'!$C$12:$C$16,"ERROR - Check Input")/12),0)</f>
        <v>0</v>
      </c>
      <c r="Y250" s="142">
        <f t="shared" si="28"/>
        <v>0</v>
      </c>
      <c r="Z250" s="142">
        <f>IF(W250&lt;=($X$9*12),$X$15,IFERROR(-IPMT($X$11,W250-$X$9*12,($X$12-$X$9)*12,$X$6)+$X$13*_xlfn.XLOOKUP($Y$13,'RE Calculations'!$B$12:$B$16,'RE Calculations'!$C$12:$C$16,"ERROR - Check Input")/12,0))</f>
        <v>10</v>
      </c>
      <c r="AA250" s="142">
        <f t="shared" si="29"/>
        <v>0</v>
      </c>
    </row>
    <row r="251" spans="2:27" x14ac:dyDescent="0.35">
      <c r="B251" s="12">
        <v>229</v>
      </c>
      <c r="C251" s="142">
        <f>IF(F250&gt;0.01,-PMT($C$8,$C$9*12,$C$6)+$C$10*_xlfn.XLOOKUP($D$10,'RE Calculations'!$B$12:$B$16,'RE Calculations'!$C$12:$C$16,"ERROR - Check Input")/12,0)</f>
        <v>0</v>
      </c>
      <c r="D251" s="142">
        <f t="shared" si="30"/>
        <v>0</v>
      </c>
      <c r="E251" s="142">
        <f>IFERROR(-IPMT($C$8,B251,$C$9*12,$C$6)+$C$10*_xlfn.XLOOKUP($D$10,'RE Calculations'!$B$12:$B$16,'RE Calculations'!$C$12:$C$16,"ERROR - Check Input")/12,0)</f>
        <v>8.3333333333333339</v>
      </c>
      <c r="F251" s="142">
        <f t="shared" si="31"/>
        <v>0</v>
      </c>
      <c r="I251" s="12">
        <v>229</v>
      </c>
      <c r="J251" s="142">
        <f>IF(M250&gt;0.01,IF(I251&lt;=($J$9*12),$J$15,-PMT($J$11,($J$12-$J$9)*12,$J$6)+$J$13*_xlfn.XLOOKUP($K$13,'RE Calculations'!$B$12:$B$16,'RE Calculations'!$C$12:$C$16,"ERROR - Check Input")/12),0)</f>
        <v>0</v>
      </c>
      <c r="K251" s="142">
        <f t="shared" si="24"/>
        <v>0</v>
      </c>
      <c r="L251" s="142">
        <f>IF(I251&lt;=($J$9*12),$J$15,IFERROR(-IPMT($J$11,I251-$J$9*12,($J$12-$J$9)*12,$J$6)+$J$13*_xlfn.XLOOKUP($K$13,'RE Calculations'!$B$12:$B$16,'RE Calculations'!$C$12:$C$16,"ERROR - Check Input")/12,0))</f>
        <v>10</v>
      </c>
      <c r="M251" s="142">
        <f t="shared" si="25"/>
        <v>0</v>
      </c>
      <c r="P251" s="12">
        <v>229</v>
      </c>
      <c r="Q251" s="142">
        <f>IF(T250&gt;0.01,-PMT($Q$8,$Q$9*12,$Q$6)+$Q$10*_xlfn.XLOOKUP($R$10,'RE Calculations'!$B$12:$B$16,'RE Calculations'!$C$12:$C$16,"ERROR - Check Input")/12,0)</f>
        <v>0</v>
      </c>
      <c r="R251" s="142">
        <f t="shared" si="26"/>
        <v>0</v>
      </c>
      <c r="S251" s="142">
        <f>IFERROR(-IPMT($Q$8,P251,$Q$9*12,$Q$6)+$Q$10*_xlfn.XLOOKUP($R$10,'RE Calculations'!$B$12:$B$16,'RE Calculations'!$C$12:$C$16,"ERROR - Check Input")/12,0)</f>
        <v>8.3333333333333339</v>
      </c>
      <c r="T251" s="142">
        <f t="shared" si="27"/>
        <v>0</v>
      </c>
      <c r="W251" s="12">
        <v>229</v>
      </c>
      <c r="X251" s="142">
        <f>IF(AA250&gt;0.01,IF(W251&lt;=($X$9*12),$X$15,-PMT($X$11,($X$12-$X$9)*12,$X$6)+$X$13*_xlfn.XLOOKUP($Y$13,'RE Calculations'!$B$12:$B$16,'RE Calculations'!$C$12:$C$16,"ERROR - Check Input")/12),0)</f>
        <v>0</v>
      </c>
      <c r="Y251" s="142">
        <f t="shared" si="28"/>
        <v>0</v>
      </c>
      <c r="Z251" s="142">
        <f>IF(W251&lt;=($X$9*12),$X$15,IFERROR(-IPMT($X$11,W251-$X$9*12,($X$12-$X$9)*12,$X$6)+$X$13*_xlfn.XLOOKUP($Y$13,'RE Calculations'!$B$12:$B$16,'RE Calculations'!$C$12:$C$16,"ERROR - Check Input")/12,0))</f>
        <v>10</v>
      </c>
      <c r="AA251" s="142">
        <f t="shared" si="29"/>
        <v>0</v>
      </c>
    </row>
    <row r="252" spans="2:27" x14ac:dyDescent="0.35">
      <c r="B252" s="12">
        <v>230</v>
      </c>
      <c r="C252" s="142">
        <f>IF(F251&gt;0.01,-PMT($C$8,$C$9*12,$C$6)+$C$10*_xlfn.XLOOKUP($D$10,'RE Calculations'!$B$12:$B$16,'RE Calculations'!$C$12:$C$16,"ERROR - Check Input")/12,0)</f>
        <v>0</v>
      </c>
      <c r="D252" s="142">
        <f t="shared" si="30"/>
        <v>0</v>
      </c>
      <c r="E252" s="142">
        <f>IFERROR(-IPMT($C$8,B252,$C$9*12,$C$6)+$C$10*_xlfn.XLOOKUP($D$10,'RE Calculations'!$B$12:$B$16,'RE Calculations'!$C$12:$C$16,"ERROR - Check Input")/12,0)</f>
        <v>8.3333333333333339</v>
      </c>
      <c r="F252" s="142">
        <f t="shared" si="31"/>
        <v>0</v>
      </c>
      <c r="I252" s="12">
        <v>230</v>
      </c>
      <c r="J252" s="142">
        <f>IF(M251&gt;0.01,IF(I252&lt;=($J$9*12),$J$15,-PMT($J$11,($J$12-$J$9)*12,$J$6)+$J$13*_xlfn.XLOOKUP($K$13,'RE Calculations'!$B$12:$B$16,'RE Calculations'!$C$12:$C$16,"ERROR - Check Input")/12),0)</f>
        <v>0</v>
      </c>
      <c r="K252" s="142">
        <f t="shared" si="24"/>
        <v>0</v>
      </c>
      <c r="L252" s="142">
        <f>IF(I252&lt;=($J$9*12),$J$15,IFERROR(-IPMT($J$11,I252-$J$9*12,($J$12-$J$9)*12,$J$6)+$J$13*_xlfn.XLOOKUP($K$13,'RE Calculations'!$B$12:$B$16,'RE Calculations'!$C$12:$C$16,"ERROR - Check Input")/12,0))</f>
        <v>10</v>
      </c>
      <c r="M252" s="142">
        <f t="shared" si="25"/>
        <v>0</v>
      </c>
      <c r="P252" s="12">
        <v>230</v>
      </c>
      <c r="Q252" s="142">
        <f>IF(T251&gt;0.01,-PMT($Q$8,$Q$9*12,$Q$6)+$Q$10*_xlfn.XLOOKUP($R$10,'RE Calculations'!$B$12:$B$16,'RE Calculations'!$C$12:$C$16,"ERROR - Check Input")/12,0)</f>
        <v>0</v>
      </c>
      <c r="R252" s="142">
        <f t="shared" si="26"/>
        <v>0</v>
      </c>
      <c r="S252" s="142">
        <f>IFERROR(-IPMT($Q$8,P252,$Q$9*12,$Q$6)+$Q$10*_xlfn.XLOOKUP($R$10,'RE Calculations'!$B$12:$B$16,'RE Calculations'!$C$12:$C$16,"ERROR - Check Input")/12,0)</f>
        <v>8.3333333333333339</v>
      </c>
      <c r="T252" s="142">
        <f t="shared" si="27"/>
        <v>0</v>
      </c>
      <c r="W252" s="12">
        <v>230</v>
      </c>
      <c r="X252" s="142">
        <f>IF(AA251&gt;0.01,IF(W252&lt;=($X$9*12),$X$15,-PMT($X$11,($X$12-$X$9)*12,$X$6)+$X$13*_xlfn.XLOOKUP($Y$13,'RE Calculations'!$B$12:$B$16,'RE Calculations'!$C$12:$C$16,"ERROR - Check Input")/12),0)</f>
        <v>0</v>
      </c>
      <c r="Y252" s="142">
        <f t="shared" si="28"/>
        <v>0</v>
      </c>
      <c r="Z252" s="142">
        <f>IF(W252&lt;=($X$9*12),$X$15,IFERROR(-IPMT($X$11,W252-$X$9*12,($X$12-$X$9)*12,$X$6)+$X$13*_xlfn.XLOOKUP($Y$13,'RE Calculations'!$B$12:$B$16,'RE Calculations'!$C$12:$C$16,"ERROR - Check Input")/12,0))</f>
        <v>10</v>
      </c>
      <c r="AA252" s="142">
        <f t="shared" si="29"/>
        <v>0</v>
      </c>
    </row>
    <row r="253" spans="2:27" x14ac:dyDescent="0.35">
      <c r="B253" s="12">
        <v>231</v>
      </c>
      <c r="C253" s="142">
        <f>IF(F252&gt;0.01,-PMT($C$8,$C$9*12,$C$6)+$C$10*_xlfn.XLOOKUP($D$10,'RE Calculations'!$B$12:$B$16,'RE Calculations'!$C$12:$C$16,"ERROR - Check Input")/12,0)</f>
        <v>0</v>
      </c>
      <c r="D253" s="142">
        <f t="shared" si="30"/>
        <v>0</v>
      </c>
      <c r="E253" s="142">
        <f>IFERROR(-IPMT($C$8,B253,$C$9*12,$C$6)+$C$10*_xlfn.XLOOKUP($D$10,'RE Calculations'!$B$12:$B$16,'RE Calculations'!$C$12:$C$16,"ERROR - Check Input")/12,0)</f>
        <v>8.3333333333333339</v>
      </c>
      <c r="F253" s="142">
        <f t="shared" si="31"/>
        <v>0</v>
      </c>
      <c r="I253" s="12">
        <v>231</v>
      </c>
      <c r="J253" s="142">
        <f>IF(M252&gt;0.01,IF(I253&lt;=($J$9*12),$J$15,-PMT($J$11,($J$12-$J$9)*12,$J$6)+$J$13*_xlfn.XLOOKUP($K$13,'RE Calculations'!$B$12:$B$16,'RE Calculations'!$C$12:$C$16,"ERROR - Check Input")/12),0)</f>
        <v>0</v>
      </c>
      <c r="K253" s="142">
        <f t="shared" si="24"/>
        <v>0</v>
      </c>
      <c r="L253" s="142">
        <f>IF(I253&lt;=($J$9*12),$J$15,IFERROR(-IPMT($J$11,I253-$J$9*12,($J$12-$J$9)*12,$J$6)+$J$13*_xlfn.XLOOKUP($K$13,'RE Calculations'!$B$12:$B$16,'RE Calculations'!$C$12:$C$16,"ERROR - Check Input")/12,0))</f>
        <v>10</v>
      </c>
      <c r="M253" s="142">
        <f t="shared" si="25"/>
        <v>0</v>
      </c>
      <c r="P253" s="12">
        <v>231</v>
      </c>
      <c r="Q253" s="142">
        <f>IF(T252&gt;0.01,-PMT($Q$8,$Q$9*12,$Q$6)+$Q$10*_xlfn.XLOOKUP($R$10,'RE Calculations'!$B$12:$B$16,'RE Calculations'!$C$12:$C$16,"ERROR - Check Input")/12,0)</f>
        <v>0</v>
      </c>
      <c r="R253" s="142">
        <f t="shared" si="26"/>
        <v>0</v>
      </c>
      <c r="S253" s="142">
        <f>IFERROR(-IPMT($Q$8,P253,$Q$9*12,$Q$6)+$Q$10*_xlfn.XLOOKUP($R$10,'RE Calculations'!$B$12:$B$16,'RE Calculations'!$C$12:$C$16,"ERROR - Check Input")/12,0)</f>
        <v>8.3333333333333339</v>
      </c>
      <c r="T253" s="142">
        <f t="shared" si="27"/>
        <v>0</v>
      </c>
      <c r="W253" s="12">
        <v>231</v>
      </c>
      <c r="X253" s="142">
        <f>IF(AA252&gt;0.01,IF(W253&lt;=($X$9*12),$X$15,-PMT($X$11,($X$12-$X$9)*12,$X$6)+$X$13*_xlfn.XLOOKUP($Y$13,'RE Calculations'!$B$12:$B$16,'RE Calculations'!$C$12:$C$16,"ERROR - Check Input")/12),0)</f>
        <v>0</v>
      </c>
      <c r="Y253" s="142">
        <f t="shared" si="28"/>
        <v>0</v>
      </c>
      <c r="Z253" s="142">
        <f>IF(W253&lt;=($X$9*12),$X$15,IFERROR(-IPMT($X$11,W253-$X$9*12,($X$12-$X$9)*12,$X$6)+$X$13*_xlfn.XLOOKUP($Y$13,'RE Calculations'!$B$12:$B$16,'RE Calculations'!$C$12:$C$16,"ERROR - Check Input")/12,0))</f>
        <v>10</v>
      </c>
      <c r="AA253" s="142">
        <f t="shared" si="29"/>
        <v>0</v>
      </c>
    </row>
    <row r="254" spans="2:27" x14ac:dyDescent="0.35">
      <c r="B254" s="12">
        <v>232</v>
      </c>
      <c r="C254" s="142">
        <f>IF(F253&gt;0.01,-PMT($C$8,$C$9*12,$C$6)+$C$10*_xlfn.XLOOKUP($D$10,'RE Calculations'!$B$12:$B$16,'RE Calculations'!$C$12:$C$16,"ERROR - Check Input")/12,0)</f>
        <v>0</v>
      </c>
      <c r="D254" s="142">
        <f t="shared" si="30"/>
        <v>0</v>
      </c>
      <c r="E254" s="142">
        <f>IFERROR(-IPMT($C$8,B254,$C$9*12,$C$6)+$C$10*_xlfn.XLOOKUP($D$10,'RE Calculations'!$B$12:$B$16,'RE Calculations'!$C$12:$C$16,"ERROR - Check Input")/12,0)</f>
        <v>8.3333333333333339</v>
      </c>
      <c r="F254" s="142">
        <f t="shared" si="31"/>
        <v>0</v>
      </c>
      <c r="I254" s="12">
        <v>232</v>
      </c>
      <c r="J254" s="142">
        <f>IF(M253&gt;0.01,IF(I254&lt;=($J$9*12),$J$15,-PMT($J$11,($J$12-$J$9)*12,$J$6)+$J$13*_xlfn.XLOOKUP($K$13,'RE Calculations'!$B$12:$B$16,'RE Calculations'!$C$12:$C$16,"ERROR - Check Input")/12),0)</f>
        <v>0</v>
      </c>
      <c r="K254" s="142">
        <f t="shared" si="24"/>
        <v>0</v>
      </c>
      <c r="L254" s="142">
        <f>IF(I254&lt;=($J$9*12),$J$15,IFERROR(-IPMT($J$11,I254-$J$9*12,($J$12-$J$9)*12,$J$6)+$J$13*_xlfn.XLOOKUP($K$13,'RE Calculations'!$B$12:$B$16,'RE Calculations'!$C$12:$C$16,"ERROR - Check Input")/12,0))</f>
        <v>10</v>
      </c>
      <c r="M254" s="142">
        <f t="shared" si="25"/>
        <v>0</v>
      </c>
      <c r="P254" s="12">
        <v>232</v>
      </c>
      <c r="Q254" s="142">
        <f>IF(T253&gt;0.01,-PMT($Q$8,$Q$9*12,$Q$6)+$Q$10*_xlfn.XLOOKUP($R$10,'RE Calculations'!$B$12:$B$16,'RE Calculations'!$C$12:$C$16,"ERROR - Check Input")/12,0)</f>
        <v>0</v>
      </c>
      <c r="R254" s="142">
        <f t="shared" si="26"/>
        <v>0</v>
      </c>
      <c r="S254" s="142">
        <f>IFERROR(-IPMT($Q$8,P254,$Q$9*12,$Q$6)+$Q$10*_xlfn.XLOOKUP($R$10,'RE Calculations'!$B$12:$B$16,'RE Calculations'!$C$12:$C$16,"ERROR - Check Input")/12,0)</f>
        <v>8.3333333333333339</v>
      </c>
      <c r="T254" s="142">
        <f t="shared" si="27"/>
        <v>0</v>
      </c>
      <c r="W254" s="12">
        <v>232</v>
      </c>
      <c r="X254" s="142">
        <f>IF(AA253&gt;0.01,IF(W254&lt;=($X$9*12),$X$15,-PMT($X$11,($X$12-$X$9)*12,$X$6)+$X$13*_xlfn.XLOOKUP($Y$13,'RE Calculations'!$B$12:$B$16,'RE Calculations'!$C$12:$C$16,"ERROR - Check Input")/12),0)</f>
        <v>0</v>
      </c>
      <c r="Y254" s="142">
        <f t="shared" si="28"/>
        <v>0</v>
      </c>
      <c r="Z254" s="142">
        <f>IF(W254&lt;=($X$9*12),$X$15,IFERROR(-IPMT($X$11,W254-$X$9*12,($X$12-$X$9)*12,$X$6)+$X$13*_xlfn.XLOOKUP($Y$13,'RE Calculations'!$B$12:$B$16,'RE Calculations'!$C$12:$C$16,"ERROR - Check Input")/12,0))</f>
        <v>10</v>
      </c>
      <c r="AA254" s="142">
        <f t="shared" si="29"/>
        <v>0</v>
      </c>
    </row>
    <row r="255" spans="2:27" x14ac:dyDescent="0.35">
      <c r="B255" s="12">
        <v>233</v>
      </c>
      <c r="C255" s="142">
        <f>IF(F254&gt;0.01,-PMT($C$8,$C$9*12,$C$6)+$C$10*_xlfn.XLOOKUP($D$10,'RE Calculations'!$B$12:$B$16,'RE Calculations'!$C$12:$C$16,"ERROR - Check Input")/12,0)</f>
        <v>0</v>
      </c>
      <c r="D255" s="142">
        <f t="shared" si="30"/>
        <v>0</v>
      </c>
      <c r="E255" s="142">
        <f>IFERROR(-IPMT($C$8,B255,$C$9*12,$C$6)+$C$10*_xlfn.XLOOKUP($D$10,'RE Calculations'!$B$12:$B$16,'RE Calculations'!$C$12:$C$16,"ERROR - Check Input")/12,0)</f>
        <v>8.3333333333333339</v>
      </c>
      <c r="F255" s="142">
        <f t="shared" si="31"/>
        <v>0</v>
      </c>
      <c r="I255" s="12">
        <v>233</v>
      </c>
      <c r="J255" s="142">
        <f>IF(M254&gt;0.01,IF(I255&lt;=($J$9*12),$J$15,-PMT($J$11,($J$12-$J$9)*12,$J$6)+$J$13*_xlfn.XLOOKUP($K$13,'RE Calculations'!$B$12:$B$16,'RE Calculations'!$C$12:$C$16,"ERROR - Check Input")/12),0)</f>
        <v>0</v>
      </c>
      <c r="K255" s="142">
        <f t="shared" si="24"/>
        <v>0</v>
      </c>
      <c r="L255" s="142">
        <f>IF(I255&lt;=($J$9*12),$J$15,IFERROR(-IPMT($J$11,I255-$J$9*12,($J$12-$J$9)*12,$J$6)+$J$13*_xlfn.XLOOKUP($K$13,'RE Calculations'!$B$12:$B$16,'RE Calculations'!$C$12:$C$16,"ERROR - Check Input")/12,0))</f>
        <v>10</v>
      </c>
      <c r="M255" s="142">
        <f t="shared" si="25"/>
        <v>0</v>
      </c>
      <c r="P255" s="12">
        <v>233</v>
      </c>
      <c r="Q255" s="142">
        <f>IF(T254&gt;0.01,-PMT($Q$8,$Q$9*12,$Q$6)+$Q$10*_xlfn.XLOOKUP($R$10,'RE Calculations'!$B$12:$B$16,'RE Calculations'!$C$12:$C$16,"ERROR - Check Input")/12,0)</f>
        <v>0</v>
      </c>
      <c r="R255" s="142">
        <f t="shared" si="26"/>
        <v>0</v>
      </c>
      <c r="S255" s="142">
        <f>IFERROR(-IPMT($Q$8,P255,$Q$9*12,$Q$6)+$Q$10*_xlfn.XLOOKUP($R$10,'RE Calculations'!$B$12:$B$16,'RE Calculations'!$C$12:$C$16,"ERROR - Check Input")/12,0)</f>
        <v>8.3333333333333339</v>
      </c>
      <c r="T255" s="142">
        <f t="shared" si="27"/>
        <v>0</v>
      </c>
      <c r="W255" s="12">
        <v>233</v>
      </c>
      <c r="X255" s="142">
        <f>IF(AA254&gt;0.01,IF(W255&lt;=($X$9*12),$X$15,-PMT($X$11,($X$12-$X$9)*12,$X$6)+$X$13*_xlfn.XLOOKUP($Y$13,'RE Calculations'!$B$12:$B$16,'RE Calculations'!$C$12:$C$16,"ERROR - Check Input")/12),0)</f>
        <v>0</v>
      </c>
      <c r="Y255" s="142">
        <f t="shared" si="28"/>
        <v>0</v>
      </c>
      <c r="Z255" s="142">
        <f>IF(W255&lt;=($X$9*12),$X$15,IFERROR(-IPMT($X$11,W255-$X$9*12,($X$12-$X$9)*12,$X$6)+$X$13*_xlfn.XLOOKUP($Y$13,'RE Calculations'!$B$12:$B$16,'RE Calculations'!$C$12:$C$16,"ERROR - Check Input")/12,0))</f>
        <v>10</v>
      </c>
      <c r="AA255" s="142">
        <f t="shared" si="29"/>
        <v>0</v>
      </c>
    </row>
    <row r="256" spans="2:27" x14ac:dyDescent="0.35">
      <c r="B256" s="12">
        <v>234</v>
      </c>
      <c r="C256" s="142">
        <f>IF(F255&gt;0.01,-PMT($C$8,$C$9*12,$C$6)+$C$10*_xlfn.XLOOKUP($D$10,'RE Calculations'!$B$12:$B$16,'RE Calculations'!$C$12:$C$16,"ERROR - Check Input")/12,0)</f>
        <v>0</v>
      </c>
      <c r="D256" s="142">
        <f t="shared" si="30"/>
        <v>0</v>
      </c>
      <c r="E256" s="142">
        <f>IFERROR(-IPMT($C$8,B256,$C$9*12,$C$6)+$C$10*_xlfn.XLOOKUP($D$10,'RE Calculations'!$B$12:$B$16,'RE Calculations'!$C$12:$C$16,"ERROR - Check Input")/12,0)</f>
        <v>8.3333333333333339</v>
      </c>
      <c r="F256" s="142">
        <f t="shared" si="31"/>
        <v>0</v>
      </c>
      <c r="I256" s="12">
        <v>234</v>
      </c>
      <c r="J256" s="142">
        <f>IF(M255&gt;0.01,IF(I256&lt;=($J$9*12),$J$15,-PMT($J$11,($J$12-$J$9)*12,$J$6)+$J$13*_xlfn.XLOOKUP($K$13,'RE Calculations'!$B$12:$B$16,'RE Calculations'!$C$12:$C$16,"ERROR - Check Input")/12),0)</f>
        <v>0</v>
      </c>
      <c r="K256" s="142">
        <f t="shared" si="24"/>
        <v>0</v>
      </c>
      <c r="L256" s="142">
        <f>IF(I256&lt;=($J$9*12),$J$15,IFERROR(-IPMT($J$11,I256-$J$9*12,($J$12-$J$9)*12,$J$6)+$J$13*_xlfn.XLOOKUP($K$13,'RE Calculations'!$B$12:$B$16,'RE Calculations'!$C$12:$C$16,"ERROR - Check Input")/12,0))</f>
        <v>10</v>
      </c>
      <c r="M256" s="142">
        <f t="shared" si="25"/>
        <v>0</v>
      </c>
      <c r="P256" s="12">
        <v>234</v>
      </c>
      <c r="Q256" s="142">
        <f>IF(T255&gt;0.01,-PMT($Q$8,$Q$9*12,$Q$6)+$Q$10*_xlfn.XLOOKUP($R$10,'RE Calculations'!$B$12:$B$16,'RE Calculations'!$C$12:$C$16,"ERROR - Check Input")/12,0)</f>
        <v>0</v>
      </c>
      <c r="R256" s="142">
        <f t="shared" si="26"/>
        <v>0</v>
      </c>
      <c r="S256" s="142">
        <f>IFERROR(-IPMT($Q$8,P256,$Q$9*12,$Q$6)+$Q$10*_xlfn.XLOOKUP($R$10,'RE Calculations'!$B$12:$B$16,'RE Calculations'!$C$12:$C$16,"ERROR - Check Input")/12,0)</f>
        <v>8.3333333333333339</v>
      </c>
      <c r="T256" s="142">
        <f t="shared" si="27"/>
        <v>0</v>
      </c>
      <c r="W256" s="12">
        <v>234</v>
      </c>
      <c r="X256" s="142">
        <f>IF(AA255&gt;0.01,IF(W256&lt;=($X$9*12),$X$15,-PMT($X$11,($X$12-$X$9)*12,$X$6)+$X$13*_xlfn.XLOOKUP($Y$13,'RE Calculations'!$B$12:$B$16,'RE Calculations'!$C$12:$C$16,"ERROR - Check Input")/12),0)</f>
        <v>0</v>
      </c>
      <c r="Y256" s="142">
        <f t="shared" si="28"/>
        <v>0</v>
      </c>
      <c r="Z256" s="142">
        <f>IF(W256&lt;=($X$9*12),$X$15,IFERROR(-IPMT($X$11,W256-$X$9*12,($X$12-$X$9)*12,$X$6)+$X$13*_xlfn.XLOOKUP($Y$13,'RE Calculations'!$B$12:$B$16,'RE Calculations'!$C$12:$C$16,"ERROR - Check Input")/12,0))</f>
        <v>10</v>
      </c>
      <c r="AA256" s="142">
        <f t="shared" si="29"/>
        <v>0</v>
      </c>
    </row>
    <row r="257" spans="2:27" x14ac:dyDescent="0.35">
      <c r="B257" s="12">
        <v>235</v>
      </c>
      <c r="C257" s="142">
        <f>IF(F256&gt;0.01,-PMT($C$8,$C$9*12,$C$6)+$C$10*_xlfn.XLOOKUP($D$10,'RE Calculations'!$B$12:$B$16,'RE Calculations'!$C$12:$C$16,"ERROR - Check Input")/12,0)</f>
        <v>0</v>
      </c>
      <c r="D257" s="142">
        <f t="shared" si="30"/>
        <v>0</v>
      </c>
      <c r="E257" s="142">
        <f>IFERROR(-IPMT($C$8,B257,$C$9*12,$C$6)+$C$10*_xlfn.XLOOKUP($D$10,'RE Calculations'!$B$12:$B$16,'RE Calculations'!$C$12:$C$16,"ERROR - Check Input")/12,0)</f>
        <v>8.3333333333333339</v>
      </c>
      <c r="F257" s="142">
        <f t="shared" si="31"/>
        <v>0</v>
      </c>
      <c r="I257" s="12">
        <v>235</v>
      </c>
      <c r="J257" s="142">
        <f>IF(M256&gt;0.01,IF(I257&lt;=($J$9*12),$J$15,-PMT($J$11,($J$12-$J$9)*12,$J$6)+$J$13*_xlfn.XLOOKUP($K$13,'RE Calculations'!$B$12:$B$16,'RE Calculations'!$C$12:$C$16,"ERROR - Check Input")/12),0)</f>
        <v>0</v>
      </c>
      <c r="K257" s="142">
        <f t="shared" si="24"/>
        <v>0</v>
      </c>
      <c r="L257" s="142">
        <f>IF(I257&lt;=($J$9*12),$J$15,IFERROR(-IPMT($J$11,I257-$J$9*12,($J$12-$J$9)*12,$J$6)+$J$13*_xlfn.XLOOKUP($K$13,'RE Calculations'!$B$12:$B$16,'RE Calculations'!$C$12:$C$16,"ERROR - Check Input")/12,0))</f>
        <v>10</v>
      </c>
      <c r="M257" s="142">
        <f t="shared" si="25"/>
        <v>0</v>
      </c>
      <c r="P257" s="12">
        <v>235</v>
      </c>
      <c r="Q257" s="142">
        <f>IF(T256&gt;0.01,-PMT($Q$8,$Q$9*12,$Q$6)+$Q$10*_xlfn.XLOOKUP($R$10,'RE Calculations'!$B$12:$B$16,'RE Calculations'!$C$12:$C$16,"ERROR - Check Input")/12,0)</f>
        <v>0</v>
      </c>
      <c r="R257" s="142">
        <f t="shared" si="26"/>
        <v>0</v>
      </c>
      <c r="S257" s="142">
        <f>IFERROR(-IPMT($Q$8,P257,$Q$9*12,$Q$6)+$Q$10*_xlfn.XLOOKUP($R$10,'RE Calculations'!$B$12:$B$16,'RE Calculations'!$C$12:$C$16,"ERROR - Check Input")/12,0)</f>
        <v>8.3333333333333339</v>
      </c>
      <c r="T257" s="142">
        <f t="shared" si="27"/>
        <v>0</v>
      </c>
      <c r="W257" s="12">
        <v>235</v>
      </c>
      <c r="X257" s="142">
        <f>IF(AA256&gt;0.01,IF(W257&lt;=($X$9*12),$X$15,-PMT($X$11,($X$12-$X$9)*12,$X$6)+$X$13*_xlfn.XLOOKUP($Y$13,'RE Calculations'!$B$12:$B$16,'RE Calculations'!$C$12:$C$16,"ERROR - Check Input")/12),0)</f>
        <v>0</v>
      </c>
      <c r="Y257" s="142">
        <f t="shared" si="28"/>
        <v>0</v>
      </c>
      <c r="Z257" s="142">
        <f>IF(W257&lt;=($X$9*12),$X$15,IFERROR(-IPMT($X$11,W257-$X$9*12,($X$12-$X$9)*12,$X$6)+$X$13*_xlfn.XLOOKUP($Y$13,'RE Calculations'!$B$12:$B$16,'RE Calculations'!$C$12:$C$16,"ERROR - Check Input")/12,0))</f>
        <v>10</v>
      </c>
      <c r="AA257" s="142">
        <f t="shared" si="29"/>
        <v>0</v>
      </c>
    </row>
    <row r="258" spans="2:27" x14ac:dyDescent="0.35">
      <c r="B258" s="12">
        <v>236</v>
      </c>
      <c r="C258" s="142">
        <f>IF(F257&gt;0.01,-PMT($C$8,$C$9*12,$C$6)+$C$10*_xlfn.XLOOKUP($D$10,'RE Calculations'!$B$12:$B$16,'RE Calculations'!$C$12:$C$16,"ERROR - Check Input")/12,0)</f>
        <v>0</v>
      </c>
      <c r="D258" s="142">
        <f t="shared" si="30"/>
        <v>0</v>
      </c>
      <c r="E258" s="142">
        <f>IFERROR(-IPMT($C$8,B258,$C$9*12,$C$6)+$C$10*_xlfn.XLOOKUP($D$10,'RE Calculations'!$B$12:$B$16,'RE Calculations'!$C$12:$C$16,"ERROR - Check Input")/12,0)</f>
        <v>8.3333333333333339</v>
      </c>
      <c r="F258" s="142">
        <f t="shared" si="31"/>
        <v>0</v>
      </c>
      <c r="I258" s="12">
        <v>236</v>
      </c>
      <c r="J258" s="142">
        <f>IF(M257&gt;0.01,IF(I258&lt;=($J$9*12),$J$15,-PMT($J$11,($J$12-$J$9)*12,$J$6)+$J$13*_xlfn.XLOOKUP($K$13,'RE Calculations'!$B$12:$B$16,'RE Calculations'!$C$12:$C$16,"ERROR - Check Input")/12),0)</f>
        <v>0</v>
      </c>
      <c r="K258" s="142">
        <f t="shared" si="24"/>
        <v>0</v>
      </c>
      <c r="L258" s="142">
        <f>IF(I258&lt;=($J$9*12),$J$15,IFERROR(-IPMT($J$11,I258-$J$9*12,($J$12-$J$9)*12,$J$6)+$J$13*_xlfn.XLOOKUP($K$13,'RE Calculations'!$B$12:$B$16,'RE Calculations'!$C$12:$C$16,"ERROR - Check Input")/12,0))</f>
        <v>10</v>
      </c>
      <c r="M258" s="142">
        <f t="shared" si="25"/>
        <v>0</v>
      </c>
      <c r="P258" s="12">
        <v>236</v>
      </c>
      <c r="Q258" s="142">
        <f>IF(T257&gt;0.01,-PMT($Q$8,$Q$9*12,$Q$6)+$Q$10*_xlfn.XLOOKUP($R$10,'RE Calculations'!$B$12:$B$16,'RE Calculations'!$C$12:$C$16,"ERROR - Check Input")/12,0)</f>
        <v>0</v>
      </c>
      <c r="R258" s="142">
        <f t="shared" si="26"/>
        <v>0</v>
      </c>
      <c r="S258" s="142">
        <f>IFERROR(-IPMT($Q$8,P258,$Q$9*12,$Q$6)+$Q$10*_xlfn.XLOOKUP($R$10,'RE Calculations'!$B$12:$B$16,'RE Calculations'!$C$12:$C$16,"ERROR - Check Input")/12,0)</f>
        <v>8.3333333333333339</v>
      </c>
      <c r="T258" s="142">
        <f t="shared" si="27"/>
        <v>0</v>
      </c>
      <c r="W258" s="12">
        <v>236</v>
      </c>
      <c r="X258" s="142">
        <f>IF(AA257&gt;0.01,IF(W258&lt;=($X$9*12),$X$15,-PMT($X$11,($X$12-$X$9)*12,$X$6)+$X$13*_xlfn.XLOOKUP($Y$13,'RE Calculations'!$B$12:$B$16,'RE Calculations'!$C$12:$C$16,"ERROR - Check Input")/12),0)</f>
        <v>0</v>
      </c>
      <c r="Y258" s="142">
        <f t="shared" si="28"/>
        <v>0</v>
      </c>
      <c r="Z258" s="142">
        <f>IF(W258&lt;=($X$9*12),$X$15,IFERROR(-IPMT($X$11,W258-$X$9*12,($X$12-$X$9)*12,$X$6)+$X$13*_xlfn.XLOOKUP($Y$13,'RE Calculations'!$B$12:$B$16,'RE Calculations'!$C$12:$C$16,"ERROR - Check Input")/12,0))</f>
        <v>10</v>
      </c>
      <c r="AA258" s="142">
        <f t="shared" si="29"/>
        <v>0</v>
      </c>
    </row>
    <row r="259" spans="2:27" x14ac:dyDescent="0.35">
      <c r="B259" s="12">
        <v>237</v>
      </c>
      <c r="C259" s="142">
        <f>IF(F258&gt;0.01,-PMT($C$8,$C$9*12,$C$6)+$C$10*_xlfn.XLOOKUP($D$10,'RE Calculations'!$B$12:$B$16,'RE Calculations'!$C$12:$C$16,"ERROR - Check Input")/12,0)</f>
        <v>0</v>
      </c>
      <c r="D259" s="142">
        <f t="shared" si="30"/>
        <v>0</v>
      </c>
      <c r="E259" s="142">
        <f>IFERROR(-IPMT($C$8,B259,$C$9*12,$C$6)+$C$10*_xlfn.XLOOKUP($D$10,'RE Calculations'!$B$12:$B$16,'RE Calculations'!$C$12:$C$16,"ERROR - Check Input")/12,0)</f>
        <v>8.3333333333333339</v>
      </c>
      <c r="F259" s="142">
        <f t="shared" si="31"/>
        <v>0</v>
      </c>
      <c r="I259" s="12">
        <v>237</v>
      </c>
      <c r="J259" s="142">
        <f>IF(M258&gt;0.01,IF(I259&lt;=($J$9*12),$J$15,-PMT($J$11,($J$12-$J$9)*12,$J$6)+$J$13*_xlfn.XLOOKUP($K$13,'RE Calculations'!$B$12:$B$16,'RE Calculations'!$C$12:$C$16,"ERROR - Check Input")/12),0)</f>
        <v>0</v>
      </c>
      <c r="K259" s="142">
        <f t="shared" si="24"/>
        <v>0</v>
      </c>
      <c r="L259" s="142">
        <f>IF(I259&lt;=($J$9*12),$J$15,IFERROR(-IPMT($J$11,I259-$J$9*12,($J$12-$J$9)*12,$J$6)+$J$13*_xlfn.XLOOKUP($K$13,'RE Calculations'!$B$12:$B$16,'RE Calculations'!$C$12:$C$16,"ERROR - Check Input")/12,0))</f>
        <v>10</v>
      </c>
      <c r="M259" s="142">
        <f t="shared" si="25"/>
        <v>0</v>
      </c>
      <c r="P259" s="12">
        <v>237</v>
      </c>
      <c r="Q259" s="142">
        <f>IF(T258&gt;0.01,-PMT($Q$8,$Q$9*12,$Q$6)+$Q$10*_xlfn.XLOOKUP($R$10,'RE Calculations'!$B$12:$B$16,'RE Calculations'!$C$12:$C$16,"ERROR - Check Input")/12,0)</f>
        <v>0</v>
      </c>
      <c r="R259" s="142">
        <f t="shared" si="26"/>
        <v>0</v>
      </c>
      <c r="S259" s="142">
        <f>IFERROR(-IPMT($Q$8,P259,$Q$9*12,$Q$6)+$Q$10*_xlfn.XLOOKUP($R$10,'RE Calculations'!$B$12:$B$16,'RE Calculations'!$C$12:$C$16,"ERROR - Check Input")/12,0)</f>
        <v>8.3333333333333339</v>
      </c>
      <c r="T259" s="142">
        <f t="shared" si="27"/>
        <v>0</v>
      </c>
      <c r="W259" s="12">
        <v>237</v>
      </c>
      <c r="X259" s="142">
        <f>IF(AA258&gt;0.01,IF(W259&lt;=($X$9*12),$X$15,-PMT($X$11,($X$12-$X$9)*12,$X$6)+$X$13*_xlfn.XLOOKUP($Y$13,'RE Calculations'!$B$12:$B$16,'RE Calculations'!$C$12:$C$16,"ERROR - Check Input")/12),0)</f>
        <v>0</v>
      </c>
      <c r="Y259" s="142">
        <f t="shared" si="28"/>
        <v>0</v>
      </c>
      <c r="Z259" s="142">
        <f>IF(W259&lt;=($X$9*12),$X$15,IFERROR(-IPMT($X$11,W259-$X$9*12,($X$12-$X$9)*12,$X$6)+$X$13*_xlfn.XLOOKUP($Y$13,'RE Calculations'!$B$12:$B$16,'RE Calculations'!$C$12:$C$16,"ERROR - Check Input")/12,0))</f>
        <v>10</v>
      </c>
      <c r="AA259" s="142">
        <f t="shared" si="29"/>
        <v>0</v>
      </c>
    </row>
    <row r="260" spans="2:27" x14ac:dyDescent="0.35">
      <c r="B260" s="12">
        <v>238</v>
      </c>
      <c r="C260" s="142">
        <f>IF(F259&gt;0.01,-PMT($C$8,$C$9*12,$C$6)+$C$10*_xlfn.XLOOKUP($D$10,'RE Calculations'!$B$12:$B$16,'RE Calculations'!$C$12:$C$16,"ERROR - Check Input")/12,0)</f>
        <v>0</v>
      </c>
      <c r="D260" s="142">
        <f t="shared" si="30"/>
        <v>0</v>
      </c>
      <c r="E260" s="142">
        <f>IFERROR(-IPMT($C$8,B260,$C$9*12,$C$6)+$C$10*_xlfn.XLOOKUP($D$10,'RE Calculations'!$B$12:$B$16,'RE Calculations'!$C$12:$C$16,"ERROR - Check Input")/12,0)</f>
        <v>8.3333333333333339</v>
      </c>
      <c r="F260" s="142">
        <f t="shared" si="31"/>
        <v>0</v>
      </c>
      <c r="I260" s="12">
        <v>238</v>
      </c>
      <c r="J260" s="142">
        <f>IF(M259&gt;0.01,IF(I260&lt;=($J$9*12),$J$15,-PMT($J$11,($J$12-$J$9)*12,$J$6)+$J$13*_xlfn.XLOOKUP($K$13,'RE Calculations'!$B$12:$B$16,'RE Calculations'!$C$12:$C$16,"ERROR - Check Input")/12),0)</f>
        <v>0</v>
      </c>
      <c r="K260" s="142">
        <f t="shared" si="24"/>
        <v>0</v>
      </c>
      <c r="L260" s="142">
        <f>IF(I260&lt;=($J$9*12),$J$15,IFERROR(-IPMT($J$11,I260-$J$9*12,($J$12-$J$9)*12,$J$6)+$J$13*_xlfn.XLOOKUP($K$13,'RE Calculations'!$B$12:$B$16,'RE Calculations'!$C$12:$C$16,"ERROR - Check Input")/12,0))</f>
        <v>10</v>
      </c>
      <c r="M260" s="142">
        <f t="shared" si="25"/>
        <v>0</v>
      </c>
      <c r="P260" s="12">
        <v>238</v>
      </c>
      <c r="Q260" s="142">
        <f>IF(T259&gt;0.01,-PMT($Q$8,$Q$9*12,$Q$6)+$Q$10*_xlfn.XLOOKUP($R$10,'RE Calculations'!$B$12:$B$16,'RE Calculations'!$C$12:$C$16,"ERROR - Check Input")/12,0)</f>
        <v>0</v>
      </c>
      <c r="R260" s="142">
        <f t="shared" si="26"/>
        <v>0</v>
      </c>
      <c r="S260" s="142">
        <f>IFERROR(-IPMT($Q$8,P260,$Q$9*12,$Q$6)+$Q$10*_xlfn.XLOOKUP($R$10,'RE Calculations'!$B$12:$B$16,'RE Calculations'!$C$12:$C$16,"ERROR - Check Input")/12,0)</f>
        <v>8.3333333333333339</v>
      </c>
      <c r="T260" s="142">
        <f t="shared" si="27"/>
        <v>0</v>
      </c>
      <c r="W260" s="12">
        <v>238</v>
      </c>
      <c r="X260" s="142">
        <f>IF(AA259&gt;0.01,IF(W260&lt;=($X$9*12),$X$15,-PMT($X$11,($X$12-$X$9)*12,$X$6)+$X$13*_xlfn.XLOOKUP($Y$13,'RE Calculations'!$B$12:$B$16,'RE Calculations'!$C$12:$C$16,"ERROR - Check Input")/12),0)</f>
        <v>0</v>
      </c>
      <c r="Y260" s="142">
        <f t="shared" si="28"/>
        <v>0</v>
      </c>
      <c r="Z260" s="142">
        <f>IF(W260&lt;=($X$9*12),$X$15,IFERROR(-IPMT($X$11,W260-$X$9*12,($X$12-$X$9)*12,$X$6)+$X$13*_xlfn.XLOOKUP($Y$13,'RE Calculations'!$B$12:$B$16,'RE Calculations'!$C$12:$C$16,"ERROR - Check Input")/12,0))</f>
        <v>10</v>
      </c>
      <c r="AA260" s="142">
        <f t="shared" si="29"/>
        <v>0</v>
      </c>
    </row>
    <row r="261" spans="2:27" x14ac:dyDescent="0.35">
      <c r="B261" s="12">
        <v>239</v>
      </c>
      <c r="C261" s="142">
        <f>IF(F260&gt;0.01,-PMT($C$8,$C$9*12,$C$6)+$C$10*_xlfn.XLOOKUP($D$10,'RE Calculations'!$B$12:$B$16,'RE Calculations'!$C$12:$C$16,"ERROR - Check Input")/12,0)</f>
        <v>0</v>
      </c>
      <c r="D261" s="142">
        <f t="shared" si="30"/>
        <v>0</v>
      </c>
      <c r="E261" s="142">
        <f>IFERROR(-IPMT($C$8,B261,$C$9*12,$C$6)+$C$10*_xlfn.XLOOKUP($D$10,'RE Calculations'!$B$12:$B$16,'RE Calculations'!$C$12:$C$16,"ERROR - Check Input")/12,0)</f>
        <v>8.3333333333333339</v>
      </c>
      <c r="F261" s="142">
        <f t="shared" si="31"/>
        <v>0</v>
      </c>
      <c r="I261" s="12">
        <v>239</v>
      </c>
      <c r="J261" s="142">
        <f>IF(M260&gt;0.01,IF(I261&lt;=($J$9*12),$J$15,-PMT($J$11,($J$12-$J$9)*12,$J$6)+$J$13*_xlfn.XLOOKUP($K$13,'RE Calculations'!$B$12:$B$16,'RE Calculations'!$C$12:$C$16,"ERROR - Check Input")/12),0)</f>
        <v>0</v>
      </c>
      <c r="K261" s="142">
        <f t="shared" si="24"/>
        <v>0</v>
      </c>
      <c r="L261" s="142">
        <f>IF(I261&lt;=($J$9*12),$J$15,IFERROR(-IPMT($J$11,I261-$J$9*12,($J$12-$J$9)*12,$J$6)+$J$13*_xlfn.XLOOKUP($K$13,'RE Calculations'!$B$12:$B$16,'RE Calculations'!$C$12:$C$16,"ERROR - Check Input")/12,0))</f>
        <v>10</v>
      </c>
      <c r="M261" s="142">
        <f t="shared" si="25"/>
        <v>0</v>
      </c>
      <c r="P261" s="12">
        <v>239</v>
      </c>
      <c r="Q261" s="142">
        <f>IF(T260&gt;0.01,-PMT($Q$8,$Q$9*12,$Q$6)+$Q$10*_xlfn.XLOOKUP($R$10,'RE Calculations'!$B$12:$B$16,'RE Calculations'!$C$12:$C$16,"ERROR - Check Input")/12,0)</f>
        <v>0</v>
      </c>
      <c r="R261" s="142">
        <f t="shared" si="26"/>
        <v>0</v>
      </c>
      <c r="S261" s="142">
        <f>IFERROR(-IPMT($Q$8,P261,$Q$9*12,$Q$6)+$Q$10*_xlfn.XLOOKUP($R$10,'RE Calculations'!$B$12:$B$16,'RE Calculations'!$C$12:$C$16,"ERROR - Check Input")/12,0)</f>
        <v>8.3333333333333339</v>
      </c>
      <c r="T261" s="142">
        <f t="shared" si="27"/>
        <v>0</v>
      </c>
      <c r="W261" s="12">
        <v>239</v>
      </c>
      <c r="X261" s="142">
        <f>IF(AA260&gt;0.01,IF(W261&lt;=($X$9*12),$X$15,-PMT($X$11,($X$12-$X$9)*12,$X$6)+$X$13*_xlfn.XLOOKUP($Y$13,'RE Calculations'!$B$12:$B$16,'RE Calculations'!$C$12:$C$16,"ERROR - Check Input")/12),0)</f>
        <v>0</v>
      </c>
      <c r="Y261" s="142">
        <f t="shared" si="28"/>
        <v>0</v>
      </c>
      <c r="Z261" s="142">
        <f>IF(W261&lt;=($X$9*12),$X$15,IFERROR(-IPMT($X$11,W261-$X$9*12,($X$12-$X$9)*12,$X$6)+$X$13*_xlfn.XLOOKUP($Y$13,'RE Calculations'!$B$12:$B$16,'RE Calculations'!$C$12:$C$16,"ERROR - Check Input")/12,0))</f>
        <v>10</v>
      </c>
      <c r="AA261" s="142">
        <f t="shared" si="29"/>
        <v>0</v>
      </c>
    </row>
    <row r="262" spans="2:27" x14ac:dyDescent="0.35">
      <c r="B262" s="12">
        <v>240</v>
      </c>
      <c r="C262" s="142">
        <f>IF(F261&gt;0.01,-PMT($C$8,$C$9*12,$C$6)+$C$10*_xlfn.XLOOKUP($D$10,'RE Calculations'!$B$12:$B$16,'RE Calculations'!$C$12:$C$16,"ERROR - Check Input")/12,0)</f>
        <v>0</v>
      </c>
      <c r="D262" s="142">
        <f t="shared" si="30"/>
        <v>0</v>
      </c>
      <c r="E262" s="142">
        <f>IFERROR(-IPMT($C$8,B262,$C$9*12,$C$6)+$C$10*_xlfn.XLOOKUP($D$10,'RE Calculations'!$B$12:$B$16,'RE Calculations'!$C$12:$C$16,"ERROR - Check Input")/12,0)</f>
        <v>8.3333333333333339</v>
      </c>
      <c r="F262" s="142">
        <f t="shared" si="31"/>
        <v>0</v>
      </c>
      <c r="I262" s="12">
        <v>240</v>
      </c>
      <c r="J262" s="142">
        <f>IF(M261&gt;0.01,IF(I262&lt;=($J$9*12),$J$15,-PMT($J$11,($J$12-$J$9)*12,$J$6)+$J$13*_xlfn.XLOOKUP($K$13,'RE Calculations'!$B$12:$B$16,'RE Calculations'!$C$12:$C$16,"ERROR - Check Input")/12),0)</f>
        <v>0</v>
      </c>
      <c r="K262" s="142">
        <f t="shared" si="24"/>
        <v>0</v>
      </c>
      <c r="L262" s="142">
        <f>IF(I262&lt;=($J$9*12),$J$15,IFERROR(-IPMT($J$11,I262-$J$9*12,($J$12-$J$9)*12,$J$6)+$J$13*_xlfn.XLOOKUP($K$13,'RE Calculations'!$B$12:$B$16,'RE Calculations'!$C$12:$C$16,"ERROR - Check Input")/12,0))</f>
        <v>10</v>
      </c>
      <c r="M262" s="142">
        <f t="shared" si="25"/>
        <v>0</v>
      </c>
      <c r="P262" s="12">
        <v>240</v>
      </c>
      <c r="Q262" s="142">
        <f>IF(T261&gt;0.01,-PMT($Q$8,$Q$9*12,$Q$6)+$Q$10*_xlfn.XLOOKUP($R$10,'RE Calculations'!$B$12:$B$16,'RE Calculations'!$C$12:$C$16,"ERROR - Check Input")/12,0)</f>
        <v>0</v>
      </c>
      <c r="R262" s="142">
        <f t="shared" si="26"/>
        <v>0</v>
      </c>
      <c r="S262" s="142">
        <f>IFERROR(-IPMT($Q$8,P262,$Q$9*12,$Q$6)+$Q$10*_xlfn.XLOOKUP($R$10,'RE Calculations'!$B$12:$B$16,'RE Calculations'!$C$12:$C$16,"ERROR - Check Input")/12,0)</f>
        <v>8.3333333333333339</v>
      </c>
      <c r="T262" s="142">
        <f t="shared" si="27"/>
        <v>0</v>
      </c>
      <c r="W262" s="12">
        <v>240</v>
      </c>
      <c r="X262" s="142">
        <f>IF(AA261&gt;0.01,IF(W262&lt;=($X$9*12),$X$15,-PMT($X$11,($X$12-$X$9)*12,$X$6)+$X$13*_xlfn.XLOOKUP($Y$13,'RE Calculations'!$B$12:$B$16,'RE Calculations'!$C$12:$C$16,"ERROR - Check Input")/12),0)</f>
        <v>0</v>
      </c>
      <c r="Y262" s="142">
        <f t="shared" si="28"/>
        <v>0</v>
      </c>
      <c r="Z262" s="142">
        <f>IF(W262&lt;=($X$9*12),$X$15,IFERROR(-IPMT($X$11,W262-$X$9*12,($X$12-$X$9)*12,$X$6)+$X$13*_xlfn.XLOOKUP($Y$13,'RE Calculations'!$B$12:$B$16,'RE Calculations'!$C$12:$C$16,"ERROR - Check Input")/12,0))</f>
        <v>10</v>
      </c>
      <c r="AA262" s="142">
        <f t="shared" si="29"/>
        <v>0</v>
      </c>
    </row>
    <row r="263" spans="2:27" x14ac:dyDescent="0.35">
      <c r="B263" s="12">
        <v>241</v>
      </c>
      <c r="C263" s="142">
        <f>IF(F262&gt;0.01,-PMT($C$8,$C$9*12,$C$6)+$C$10*_xlfn.XLOOKUP($D$10,'RE Calculations'!$B$12:$B$16,'RE Calculations'!$C$12:$C$16,"ERROR - Check Input")/12,0)</f>
        <v>0</v>
      </c>
      <c r="D263" s="142">
        <f t="shared" si="30"/>
        <v>0</v>
      </c>
      <c r="E263" s="142">
        <f>IFERROR(-IPMT($C$8,B263,$C$9*12,$C$6)+$C$10*_xlfn.XLOOKUP($D$10,'RE Calculations'!$B$12:$B$16,'RE Calculations'!$C$12:$C$16,"ERROR - Check Input")/12,0)</f>
        <v>8.3333333333333339</v>
      </c>
      <c r="F263" s="142">
        <f t="shared" si="31"/>
        <v>0</v>
      </c>
      <c r="I263" s="12">
        <v>241</v>
      </c>
      <c r="J263" s="142">
        <f>IF(M262&gt;0.01,IF(I263&lt;=($J$9*12),$J$15,-PMT($J$11,($J$12-$J$9)*12,$J$6)+$J$13*_xlfn.XLOOKUP($K$13,'RE Calculations'!$B$12:$B$16,'RE Calculations'!$C$12:$C$16,"ERROR - Check Input")/12),0)</f>
        <v>0</v>
      </c>
      <c r="K263" s="142">
        <f t="shared" si="24"/>
        <v>0</v>
      </c>
      <c r="L263" s="142">
        <f>IF(I263&lt;=($J$9*12),$J$15,IFERROR(-IPMT($J$11,I263-$J$9*12,($J$12-$J$9)*12,$J$6)+$J$13*_xlfn.XLOOKUP($K$13,'RE Calculations'!$B$12:$B$16,'RE Calculations'!$C$12:$C$16,"ERROR - Check Input")/12,0))</f>
        <v>10</v>
      </c>
      <c r="M263" s="142">
        <f t="shared" si="25"/>
        <v>0</v>
      </c>
      <c r="P263" s="12">
        <v>241</v>
      </c>
      <c r="Q263" s="142">
        <f>IF(T262&gt;0.01,-PMT($Q$8,$Q$9*12,$Q$6)+$Q$10*_xlfn.XLOOKUP($R$10,'RE Calculations'!$B$12:$B$16,'RE Calculations'!$C$12:$C$16,"ERROR - Check Input")/12,0)</f>
        <v>0</v>
      </c>
      <c r="R263" s="142">
        <f t="shared" si="26"/>
        <v>0</v>
      </c>
      <c r="S263" s="142">
        <f>IFERROR(-IPMT($Q$8,P263,$Q$9*12,$Q$6)+$Q$10*_xlfn.XLOOKUP($R$10,'RE Calculations'!$B$12:$B$16,'RE Calculations'!$C$12:$C$16,"ERROR - Check Input")/12,0)</f>
        <v>8.3333333333333339</v>
      </c>
      <c r="T263" s="142">
        <f t="shared" si="27"/>
        <v>0</v>
      </c>
      <c r="W263" s="12">
        <v>241</v>
      </c>
      <c r="X263" s="142">
        <f>IF(AA262&gt;0.01,IF(W263&lt;=($X$9*12),$X$15,-PMT($X$11,($X$12-$X$9)*12,$X$6)+$X$13*_xlfn.XLOOKUP($Y$13,'RE Calculations'!$B$12:$B$16,'RE Calculations'!$C$12:$C$16,"ERROR - Check Input")/12),0)</f>
        <v>0</v>
      </c>
      <c r="Y263" s="142">
        <f t="shared" si="28"/>
        <v>0</v>
      </c>
      <c r="Z263" s="142">
        <f>IF(W263&lt;=($X$9*12),$X$15,IFERROR(-IPMT($X$11,W263-$X$9*12,($X$12-$X$9)*12,$X$6)+$X$13*_xlfn.XLOOKUP($Y$13,'RE Calculations'!$B$12:$B$16,'RE Calculations'!$C$12:$C$16,"ERROR - Check Input")/12,0))</f>
        <v>10</v>
      </c>
      <c r="AA263" s="142">
        <f t="shared" si="29"/>
        <v>0</v>
      </c>
    </row>
    <row r="264" spans="2:27" x14ac:dyDescent="0.35">
      <c r="B264" s="12">
        <v>242</v>
      </c>
      <c r="C264" s="142">
        <f>IF(F263&gt;0.01,-PMT($C$8,$C$9*12,$C$6)+$C$10*_xlfn.XLOOKUP($D$10,'RE Calculations'!$B$12:$B$16,'RE Calculations'!$C$12:$C$16,"ERROR - Check Input")/12,0)</f>
        <v>0</v>
      </c>
      <c r="D264" s="142">
        <f t="shared" si="30"/>
        <v>0</v>
      </c>
      <c r="E264" s="142">
        <f>IFERROR(-IPMT($C$8,B264,$C$9*12,$C$6)+$C$10*_xlfn.XLOOKUP($D$10,'RE Calculations'!$B$12:$B$16,'RE Calculations'!$C$12:$C$16,"ERROR - Check Input")/12,0)</f>
        <v>8.3333333333333339</v>
      </c>
      <c r="F264" s="142">
        <f t="shared" si="31"/>
        <v>0</v>
      </c>
      <c r="I264" s="12">
        <v>242</v>
      </c>
      <c r="J264" s="142">
        <f>IF(M263&gt;0.01,IF(I264&lt;=($J$9*12),$J$15,-PMT($J$11,($J$12-$J$9)*12,$J$6)+$J$13*_xlfn.XLOOKUP($K$13,'RE Calculations'!$B$12:$B$16,'RE Calculations'!$C$12:$C$16,"ERROR - Check Input")/12),0)</f>
        <v>0</v>
      </c>
      <c r="K264" s="142">
        <f t="shared" si="24"/>
        <v>0</v>
      </c>
      <c r="L264" s="142">
        <f>IF(I264&lt;=($J$9*12),$J$15,IFERROR(-IPMT($J$11,I264-$J$9*12,($J$12-$J$9)*12,$J$6)+$J$13*_xlfn.XLOOKUP($K$13,'RE Calculations'!$B$12:$B$16,'RE Calculations'!$C$12:$C$16,"ERROR - Check Input")/12,0))</f>
        <v>10</v>
      </c>
      <c r="M264" s="142">
        <f t="shared" si="25"/>
        <v>0</v>
      </c>
      <c r="P264" s="12">
        <v>242</v>
      </c>
      <c r="Q264" s="142">
        <f>IF(T263&gt;0.01,-PMT($Q$8,$Q$9*12,$Q$6)+$Q$10*_xlfn.XLOOKUP($R$10,'RE Calculations'!$B$12:$B$16,'RE Calculations'!$C$12:$C$16,"ERROR - Check Input")/12,0)</f>
        <v>0</v>
      </c>
      <c r="R264" s="142">
        <f t="shared" si="26"/>
        <v>0</v>
      </c>
      <c r="S264" s="142">
        <f>IFERROR(-IPMT($Q$8,P264,$Q$9*12,$Q$6)+$Q$10*_xlfn.XLOOKUP($R$10,'RE Calculations'!$B$12:$B$16,'RE Calculations'!$C$12:$C$16,"ERROR - Check Input")/12,0)</f>
        <v>8.3333333333333339</v>
      </c>
      <c r="T264" s="142">
        <f t="shared" si="27"/>
        <v>0</v>
      </c>
      <c r="W264" s="12">
        <v>242</v>
      </c>
      <c r="X264" s="142">
        <f>IF(AA263&gt;0.01,IF(W264&lt;=($X$9*12),$X$15,-PMT($X$11,($X$12-$X$9)*12,$X$6)+$X$13*_xlfn.XLOOKUP($Y$13,'RE Calculations'!$B$12:$B$16,'RE Calculations'!$C$12:$C$16,"ERROR - Check Input")/12),0)</f>
        <v>0</v>
      </c>
      <c r="Y264" s="142">
        <f t="shared" si="28"/>
        <v>0</v>
      </c>
      <c r="Z264" s="142">
        <f>IF(W264&lt;=($X$9*12),$X$15,IFERROR(-IPMT($X$11,W264-$X$9*12,($X$12-$X$9)*12,$X$6)+$X$13*_xlfn.XLOOKUP($Y$13,'RE Calculations'!$B$12:$B$16,'RE Calculations'!$C$12:$C$16,"ERROR - Check Input")/12,0))</f>
        <v>10</v>
      </c>
      <c r="AA264" s="142">
        <f t="shared" si="29"/>
        <v>0</v>
      </c>
    </row>
    <row r="265" spans="2:27" x14ac:dyDescent="0.35">
      <c r="B265" s="12">
        <v>243</v>
      </c>
      <c r="C265" s="142">
        <f>IF(F264&gt;0.01,-PMT($C$8,$C$9*12,$C$6)+$C$10*_xlfn.XLOOKUP($D$10,'RE Calculations'!$B$12:$B$16,'RE Calculations'!$C$12:$C$16,"ERROR - Check Input")/12,0)</f>
        <v>0</v>
      </c>
      <c r="D265" s="142">
        <f t="shared" si="30"/>
        <v>0</v>
      </c>
      <c r="E265" s="142">
        <f>IFERROR(-IPMT($C$8,B265,$C$9*12,$C$6)+$C$10*_xlfn.XLOOKUP($D$10,'RE Calculations'!$B$12:$B$16,'RE Calculations'!$C$12:$C$16,"ERROR - Check Input")/12,0)</f>
        <v>8.3333333333333339</v>
      </c>
      <c r="F265" s="142">
        <f t="shared" si="31"/>
        <v>0</v>
      </c>
      <c r="I265" s="12">
        <v>243</v>
      </c>
      <c r="J265" s="142">
        <f>IF(M264&gt;0.01,IF(I265&lt;=($J$9*12),$J$15,-PMT($J$11,($J$12-$J$9)*12,$J$6)+$J$13*_xlfn.XLOOKUP($K$13,'RE Calculations'!$B$12:$B$16,'RE Calculations'!$C$12:$C$16,"ERROR - Check Input")/12),0)</f>
        <v>0</v>
      </c>
      <c r="K265" s="142">
        <f t="shared" si="24"/>
        <v>0</v>
      </c>
      <c r="L265" s="142">
        <f>IF(I265&lt;=($J$9*12),$J$15,IFERROR(-IPMT($J$11,I265-$J$9*12,($J$12-$J$9)*12,$J$6)+$J$13*_xlfn.XLOOKUP($K$13,'RE Calculations'!$B$12:$B$16,'RE Calculations'!$C$12:$C$16,"ERROR - Check Input")/12,0))</f>
        <v>10</v>
      </c>
      <c r="M265" s="142">
        <f t="shared" si="25"/>
        <v>0</v>
      </c>
      <c r="P265" s="12">
        <v>243</v>
      </c>
      <c r="Q265" s="142">
        <f>IF(T264&gt;0.01,-PMT($Q$8,$Q$9*12,$Q$6)+$Q$10*_xlfn.XLOOKUP($R$10,'RE Calculations'!$B$12:$B$16,'RE Calculations'!$C$12:$C$16,"ERROR - Check Input")/12,0)</f>
        <v>0</v>
      </c>
      <c r="R265" s="142">
        <f t="shared" si="26"/>
        <v>0</v>
      </c>
      <c r="S265" s="142">
        <f>IFERROR(-IPMT($Q$8,P265,$Q$9*12,$Q$6)+$Q$10*_xlfn.XLOOKUP($R$10,'RE Calculations'!$B$12:$B$16,'RE Calculations'!$C$12:$C$16,"ERROR - Check Input")/12,0)</f>
        <v>8.3333333333333339</v>
      </c>
      <c r="T265" s="142">
        <f t="shared" si="27"/>
        <v>0</v>
      </c>
      <c r="W265" s="12">
        <v>243</v>
      </c>
      <c r="X265" s="142">
        <f>IF(AA264&gt;0.01,IF(W265&lt;=($X$9*12),$X$15,-PMT($X$11,($X$12-$X$9)*12,$X$6)+$X$13*_xlfn.XLOOKUP($Y$13,'RE Calculations'!$B$12:$B$16,'RE Calculations'!$C$12:$C$16,"ERROR - Check Input")/12),0)</f>
        <v>0</v>
      </c>
      <c r="Y265" s="142">
        <f t="shared" si="28"/>
        <v>0</v>
      </c>
      <c r="Z265" s="142">
        <f>IF(W265&lt;=($X$9*12),$X$15,IFERROR(-IPMT($X$11,W265-$X$9*12,($X$12-$X$9)*12,$X$6)+$X$13*_xlfn.XLOOKUP($Y$13,'RE Calculations'!$B$12:$B$16,'RE Calculations'!$C$12:$C$16,"ERROR - Check Input")/12,0))</f>
        <v>10</v>
      </c>
      <c r="AA265" s="142">
        <f t="shared" si="29"/>
        <v>0</v>
      </c>
    </row>
    <row r="266" spans="2:27" x14ac:dyDescent="0.35">
      <c r="B266" s="12">
        <v>244</v>
      </c>
      <c r="C266" s="142">
        <f>IF(F265&gt;0.01,-PMT($C$8,$C$9*12,$C$6)+$C$10*_xlfn.XLOOKUP($D$10,'RE Calculations'!$B$12:$B$16,'RE Calculations'!$C$12:$C$16,"ERROR - Check Input")/12,0)</f>
        <v>0</v>
      </c>
      <c r="D266" s="142">
        <f t="shared" si="30"/>
        <v>0</v>
      </c>
      <c r="E266" s="142">
        <f>IFERROR(-IPMT($C$8,B266,$C$9*12,$C$6)+$C$10*_xlfn.XLOOKUP($D$10,'RE Calculations'!$B$12:$B$16,'RE Calculations'!$C$12:$C$16,"ERROR - Check Input")/12,0)</f>
        <v>8.3333333333333339</v>
      </c>
      <c r="F266" s="142">
        <f t="shared" si="31"/>
        <v>0</v>
      </c>
      <c r="I266" s="12">
        <v>244</v>
      </c>
      <c r="J266" s="142">
        <f>IF(M265&gt;0.01,IF(I266&lt;=($J$9*12),$J$15,-PMT($J$11,($J$12-$J$9)*12,$J$6)+$J$13*_xlfn.XLOOKUP($K$13,'RE Calculations'!$B$12:$B$16,'RE Calculations'!$C$12:$C$16,"ERROR - Check Input")/12),0)</f>
        <v>0</v>
      </c>
      <c r="K266" s="142">
        <f t="shared" si="24"/>
        <v>0</v>
      </c>
      <c r="L266" s="142">
        <f>IF(I266&lt;=($J$9*12),$J$15,IFERROR(-IPMT($J$11,I266-$J$9*12,($J$12-$J$9)*12,$J$6)+$J$13*_xlfn.XLOOKUP($K$13,'RE Calculations'!$B$12:$B$16,'RE Calculations'!$C$12:$C$16,"ERROR - Check Input")/12,0))</f>
        <v>10</v>
      </c>
      <c r="M266" s="142">
        <f t="shared" si="25"/>
        <v>0</v>
      </c>
      <c r="P266" s="12">
        <v>244</v>
      </c>
      <c r="Q266" s="142">
        <f>IF(T265&gt;0.01,-PMT($Q$8,$Q$9*12,$Q$6)+$Q$10*_xlfn.XLOOKUP($R$10,'RE Calculations'!$B$12:$B$16,'RE Calculations'!$C$12:$C$16,"ERROR - Check Input")/12,0)</f>
        <v>0</v>
      </c>
      <c r="R266" s="142">
        <f t="shared" si="26"/>
        <v>0</v>
      </c>
      <c r="S266" s="142">
        <f>IFERROR(-IPMT($Q$8,P266,$Q$9*12,$Q$6)+$Q$10*_xlfn.XLOOKUP($R$10,'RE Calculations'!$B$12:$B$16,'RE Calculations'!$C$12:$C$16,"ERROR - Check Input")/12,0)</f>
        <v>8.3333333333333339</v>
      </c>
      <c r="T266" s="142">
        <f t="shared" si="27"/>
        <v>0</v>
      </c>
      <c r="W266" s="12">
        <v>244</v>
      </c>
      <c r="X266" s="142">
        <f>IF(AA265&gt;0.01,IF(W266&lt;=($X$9*12),$X$15,-PMT($X$11,($X$12-$X$9)*12,$X$6)+$X$13*_xlfn.XLOOKUP($Y$13,'RE Calculations'!$B$12:$B$16,'RE Calculations'!$C$12:$C$16,"ERROR - Check Input")/12),0)</f>
        <v>0</v>
      </c>
      <c r="Y266" s="142">
        <f t="shared" si="28"/>
        <v>0</v>
      </c>
      <c r="Z266" s="142">
        <f>IF(W266&lt;=($X$9*12),$X$15,IFERROR(-IPMT($X$11,W266-$X$9*12,($X$12-$X$9)*12,$X$6)+$X$13*_xlfn.XLOOKUP($Y$13,'RE Calculations'!$B$12:$B$16,'RE Calculations'!$C$12:$C$16,"ERROR - Check Input")/12,0))</f>
        <v>10</v>
      </c>
      <c r="AA266" s="142">
        <f t="shared" si="29"/>
        <v>0</v>
      </c>
    </row>
    <row r="267" spans="2:27" x14ac:dyDescent="0.35">
      <c r="B267" s="12">
        <v>245</v>
      </c>
      <c r="C267" s="142">
        <f>IF(F266&gt;0.01,-PMT($C$8,$C$9*12,$C$6)+$C$10*_xlfn.XLOOKUP($D$10,'RE Calculations'!$B$12:$B$16,'RE Calculations'!$C$12:$C$16,"ERROR - Check Input")/12,0)</f>
        <v>0</v>
      </c>
      <c r="D267" s="142">
        <f t="shared" si="30"/>
        <v>0</v>
      </c>
      <c r="E267" s="142">
        <f>IFERROR(-IPMT($C$8,B267,$C$9*12,$C$6)+$C$10*_xlfn.XLOOKUP($D$10,'RE Calculations'!$B$12:$B$16,'RE Calculations'!$C$12:$C$16,"ERROR - Check Input")/12,0)</f>
        <v>8.3333333333333339</v>
      </c>
      <c r="F267" s="142">
        <f t="shared" si="31"/>
        <v>0</v>
      </c>
      <c r="I267" s="12">
        <v>245</v>
      </c>
      <c r="J267" s="142">
        <f>IF(M266&gt;0.01,IF(I267&lt;=($J$9*12),$J$15,-PMT($J$11,($J$12-$J$9)*12,$J$6)+$J$13*_xlfn.XLOOKUP($K$13,'RE Calculations'!$B$12:$B$16,'RE Calculations'!$C$12:$C$16,"ERROR - Check Input")/12),0)</f>
        <v>0</v>
      </c>
      <c r="K267" s="142">
        <f t="shared" si="24"/>
        <v>0</v>
      </c>
      <c r="L267" s="142">
        <f>IF(I267&lt;=($J$9*12),$J$15,IFERROR(-IPMT($J$11,I267-$J$9*12,($J$12-$J$9)*12,$J$6)+$J$13*_xlfn.XLOOKUP($K$13,'RE Calculations'!$B$12:$B$16,'RE Calculations'!$C$12:$C$16,"ERROR - Check Input")/12,0))</f>
        <v>10</v>
      </c>
      <c r="M267" s="142">
        <f t="shared" si="25"/>
        <v>0</v>
      </c>
      <c r="P267" s="12">
        <v>245</v>
      </c>
      <c r="Q267" s="142">
        <f>IF(T266&gt;0.01,-PMT($Q$8,$Q$9*12,$Q$6)+$Q$10*_xlfn.XLOOKUP($R$10,'RE Calculations'!$B$12:$B$16,'RE Calculations'!$C$12:$C$16,"ERROR - Check Input")/12,0)</f>
        <v>0</v>
      </c>
      <c r="R267" s="142">
        <f t="shared" si="26"/>
        <v>0</v>
      </c>
      <c r="S267" s="142">
        <f>IFERROR(-IPMT($Q$8,P267,$Q$9*12,$Q$6)+$Q$10*_xlfn.XLOOKUP($R$10,'RE Calculations'!$B$12:$B$16,'RE Calculations'!$C$12:$C$16,"ERROR - Check Input")/12,0)</f>
        <v>8.3333333333333339</v>
      </c>
      <c r="T267" s="142">
        <f t="shared" si="27"/>
        <v>0</v>
      </c>
      <c r="W267" s="12">
        <v>245</v>
      </c>
      <c r="X267" s="142">
        <f>IF(AA266&gt;0.01,IF(W267&lt;=($X$9*12),$X$15,-PMT($X$11,($X$12-$X$9)*12,$X$6)+$X$13*_xlfn.XLOOKUP($Y$13,'RE Calculations'!$B$12:$B$16,'RE Calculations'!$C$12:$C$16,"ERROR - Check Input")/12),0)</f>
        <v>0</v>
      </c>
      <c r="Y267" s="142">
        <f t="shared" si="28"/>
        <v>0</v>
      </c>
      <c r="Z267" s="142">
        <f>IF(W267&lt;=($X$9*12),$X$15,IFERROR(-IPMT($X$11,W267-$X$9*12,($X$12-$X$9)*12,$X$6)+$X$13*_xlfn.XLOOKUP($Y$13,'RE Calculations'!$B$12:$B$16,'RE Calculations'!$C$12:$C$16,"ERROR - Check Input")/12,0))</f>
        <v>10</v>
      </c>
      <c r="AA267" s="142">
        <f t="shared" si="29"/>
        <v>0</v>
      </c>
    </row>
    <row r="268" spans="2:27" x14ac:dyDescent="0.35">
      <c r="B268" s="12">
        <v>246</v>
      </c>
      <c r="C268" s="142">
        <f>IF(F267&gt;0.01,-PMT($C$8,$C$9*12,$C$6)+$C$10*_xlfn.XLOOKUP($D$10,'RE Calculations'!$B$12:$B$16,'RE Calculations'!$C$12:$C$16,"ERROR - Check Input")/12,0)</f>
        <v>0</v>
      </c>
      <c r="D268" s="142">
        <f t="shared" si="30"/>
        <v>0</v>
      </c>
      <c r="E268" s="142">
        <f>IFERROR(-IPMT($C$8,B268,$C$9*12,$C$6)+$C$10*_xlfn.XLOOKUP($D$10,'RE Calculations'!$B$12:$B$16,'RE Calculations'!$C$12:$C$16,"ERROR - Check Input")/12,0)</f>
        <v>8.3333333333333339</v>
      </c>
      <c r="F268" s="142">
        <f t="shared" si="31"/>
        <v>0</v>
      </c>
      <c r="I268" s="12">
        <v>246</v>
      </c>
      <c r="J268" s="142">
        <f>IF(M267&gt;0.01,IF(I268&lt;=($J$9*12),$J$15,-PMT($J$11,($J$12-$J$9)*12,$J$6)+$J$13*_xlfn.XLOOKUP($K$13,'RE Calculations'!$B$12:$B$16,'RE Calculations'!$C$12:$C$16,"ERROR - Check Input")/12),0)</f>
        <v>0</v>
      </c>
      <c r="K268" s="142">
        <f t="shared" si="24"/>
        <v>0</v>
      </c>
      <c r="L268" s="142">
        <f>IF(I268&lt;=($J$9*12),$J$15,IFERROR(-IPMT($J$11,I268-$J$9*12,($J$12-$J$9)*12,$J$6)+$J$13*_xlfn.XLOOKUP($K$13,'RE Calculations'!$B$12:$B$16,'RE Calculations'!$C$12:$C$16,"ERROR - Check Input")/12,0))</f>
        <v>10</v>
      </c>
      <c r="M268" s="142">
        <f t="shared" si="25"/>
        <v>0</v>
      </c>
      <c r="P268" s="12">
        <v>246</v>
      </c>
      <c r="Q268" s="142">
        <f>IF(T267&gt;0.01,-PMT($Q$8,$Q$9*12,$Q$6)+$Q$10*_xlfn.XLOOKUP($R$10,'RE Calculations'!$B$12:$B$16,'RE Calculations'!$C$12:$C$16,"ERROR - Check Input")/12,0)</f>
        <v>0</v>
      </c>
      <c r="R268" s="142">
        <f t="shared" si="26"/>
        <v>0</v>
      </c>
      <c r="S268" s="142">
        <f>IFERROR(-IPMT($Q$8,P268,$Q$9*12,$Q$6)+$Q$10*_xlfn.XLOOKUP($R$10,'RE Calculations'!$B$12:$B$16,'RE Calculations'!$C$12:$C$16,"ERROR - Check Input")/12,0)</f>
        <v>8.3333333333333339</v>
      </c>
      <c r="T268" s="142">
        <f t="shared" si="27"/>
        <v>0</v>
      </c>
      <c r="W268" s="12">
        <v>246</v>
      </c>
      <c r="X268" s="142">
        <f>IF(AA267&gt;0.01,IF(W268&lt;=($X$9*12),$X$15,-PMT($X$11,($X$12-$X$9)*12,$X$6)+$X$13*_xlfn.XLOOKUP($Y$13,'RE Calculations'!$B$12:$B$16,'RE Calculations'!$C$12:$C$16,"ERROR - Check Input")/12),0)</f>
        <v>0</v>
      </c>
      <c r="Y268" s="142">
        <f t="shared" si="28"/>
        <v>0</v>
      </c>
      <c r="Z268" s="142">
        <f>IF(W268&lt;=($X$9*12),$X$15,IFERROR(-IPMT($X$11,W268-$X$9*12,($X$12-$X$9)*12,$X$6)+$X$13*_xlfn.XLOOKUP($Y$13,'RE Calculations'!$B$12:$B$16,'RE Calculations'!$C$12:$C$16,"ERROR - Check Input")/12,0))</f>
        <v>10</v>
      </c>
      <c r="AA268" s="142">
        <f t="shared" si="29"/>
        <v>0</v>
      </c>
    </row>
    <row r="269" spans="2:27" x14ac:dyDescent="0.35">
      <c r="B269" s="12">
        <v>247</v>
      </c>
      <c r="C269" s="142">
        <f>IF(F268&gt;0.01,-PMT($C$8,$C$9*12,$C$6)+$C$10*_xlfn.XLOOKUP($D$10,'RE Calculations'!$B$12:$B$16,'RE Calculations'!$C$12:$C$16,"ERROR - Check Input")/12,0)</f>
        <v>0</v>
      </c>
      <c r="D269" s="142">
        <f t="shared" si="30"/>
        <v>0</v>
      </c>
      <c r="E269" s="142">
        <f>IFERROR(-IPMT($C$8,B269,$C$9*12,$C$6)+$C$10*_xlfn.XLOOKUP($D$10,'RE Calculations'!$B$12:$B$16,'RE Calculations'!$C$12:$C$16,"ERROR - Check Input")/12,0)</f>
        <v>8.3333333333333339</v>
      </c>
      <c r="F269" s="142">
        <f t="shared" si="31"/>
        <v>0</v>
      </c>
      <c r="I269" s="12">
        <v>247</v>
      </c>
      <c r="J269" s="142">
        <f>IF(M268&gt;0.01,IF(I269&lt;=($J$9*12),$J$15,-PMT($J$11,($J$12-$J$9)*12,$J$6)+$J$13*_xlfn.XLOOKUP($K$13,'RE Calculations'!$B$12:$B$16,'RE Calculations'!$C$12:$C$16,"ERROR - Check Input")/12),0)</f>
        <v>0</v>
      </c>
      <c r="K269" s="142">
        <f t="shared" si="24"/>
        <v>0</v>
      </c>
      <c r="L269" s="142">
        <f>IF(I269&lt;=($J$9*12),$J$15,IFERROR(-IPMT($J$11,I269-$J$9*12,($J$12-$J$9)*12,$J$6)+$J$13*_xlfn.XLOOKUP($K$13,'RE Calculations'!$B$12:$B$16,'RE Calculations'!$C$12:$C$16,"ERROR - Check Input")/12,0))</f>
        <v>10</v>
      </c>
      <c r="M269" s="142">
        <f t="shared" si="25"/>
        <v>0</v>
      </c>
      <c r="P269" s="12">
        <v>247</v>
      </c>
      <c r="Q269" s="142">
        <f>IF(T268&gt;0.01,-PMT($Q$8,$Q$9*12,$Q$6)+$Q$10*_xlfn.XLOOKUP($R$10,'RE Calculations'!$B$12:$B$16,'RE Calculations'!$C$12:$C$16,"ERROR - Check Input")/12,0)</f>
        <v>0</v>
      </c>
      <c r="R269" s="142">
        <f t="shared" si="26"/>
        <v>0</v>
      </c>
      <c r="S269" s="142">
        <f>IFERROR(-IPMT($Q$8,P269,$Q$9*12,$Q$6)+$Q$10*_xlfn.XLOOKUP($R$10,'RE Calculations'!$B$12:$B$16,'RE Calculations'!$C$12:$C$16,"ERROR - Check Input")/12,0)</f>
        <v>8.3333333333333339</v>
      </c>
      <c r="T269" s="142">
        <f t="shared" si="27"/>
        <v>0</v>
      </c>
      <c r="W269" s="12">
        <v>247</v>
      </c>
      <c r="X269" s="142">
        <f>IF(AA268&gt;0.01,IF(W269&lt;=($X$9*12),$X$15,-PMT($X$11,($X$12-$X$9)*12,$X$6)+$X$13*_xlfn.XLOOKUP($Y$13,'RE Calculations'!$B$12:$B$16,'RE Calculations'!$C$12:$C$16,"ERROR - Check Input")/12),0)</f>
        <v>0</v>
      </c>
      <c r="Y269" s="142">
        <f t="shared" si="28"/>
        <v>0</v>
      </c>
      <c r="Z269" s="142">
        <f>IF(W269&lt;=($X$9*12),$X$15,IFERROR(-IPMT($X$11,W269-$X$9*12,($X$12-$X$9)*12,$X$6)+$X$13*_xlfn.XLOOKUP($Y$13,'RE Calculations'!$B$12:$B$16,'RE Calculations'!$C$12:$C$16,"ERROR - Check Input")/12,0))</f>
        <v>10</v>
      </c>
      <c r="AA269" s="142">
        <f t="shared" si="29"/>
        <v>0</v>
      </c>
    </row>
    <row r="270" spans="2:27" x14ac:dyDescent="0.35">
      <c r="B270" s="12">
        <v>248</v>
      </c>
      <c r="C270" s="142">
        <f>IF(F269&gt;0.01,-PMT($C$8,$C$9*12,$C$6)+$C$10*_xlfn.XLOOKUP($D$10,'RE Calculations'!$B$12:$B$16,'RE Calculations'!$C$12:$C$16,"ERROR - Check Input")/12,0)</f>
        <v>0</v>
      </c>
      <c r="D270" s="142">
        <f t="shared" si="30"/>
        <v>0</v>
      </c>
      <c r="E270" s="142">
        <f>IFERROR(-IPMT($C$8,B270,$C$9*12,$C$6)+$C$10*_xlfn.XLOOKUP($D$10,'RE Calculations'!$B$12:$B$16,'RE Calculations'!$C$12:$C$16,"ERROR - Check Input")/12,0)</f>
        <v>8.3333333333333339</v>
      </c>
      <c r="F270" s="142">
        <f t="shared" si="31"/>
        <v>0</v>
      </c>
      <c r="I270" s="12">
        <v>248</v>
      </c>
      <c r="J270" s="142">
        <f>IF(M269&gt;0.01,IF(I270&lt;=($J$9*12),$J$15,-PMT($J$11,($J$12-$J$9)*12,$J$6)+$J$13*_xlfn.XLOOKUP($K$13,'RE Calculations'!$B$12:$B$16,'RE Calculations'!$C$12:$C$16,"ERROR - Check Input")/12),0)</f>
        <v>0</v>
      </c>
      <c r="K270" s="142">
        <f t="shared" si="24"/>
        <v>0</v>
      </c>
      <c r="L270" s="142">
        <f>IF(I270&lt;=($J$9*12),$J$15,IFERROR(-IPMT($J$11,I270-$J$9*12,($J$12-$J$9)*12,$J$6)+$J$13*_xlfn.XLOOKUP($K$13,'RE Calculations'!$B$12:$B$16,'RE Calculations'!$C$12:$C$16,"ERROR - Check Input")/12,0))</f>
        <v>10</v>
      </c>
      <c r="M270" s="142">
        <f t="shared" si="25"/>
        <v>0</v>
      </c>
      <c r="P270" s="12">
        <v>248</v>
      </c>
      <c r="Q270" s="142">
        <f>IF(T269&gt;0.01,-PMT($Q$8,$Q$9*12,$Q$6)+$Q$10*_xlfn.XLOOKUP($R$10,'RE Calculations'!$B$12:$B$16,'RE Calculations'!$C$12:$C$16,"ERROR - Check Input")/12,0)</f>
        <v>0</v>
      </c>
      <c r="R270" s="142">
        <f t="shared" si="26"/>
        <v>0</v>
      </c>
      <c r="S270" s="142">
        <f>IFERROR(-IPMT($Q$8,P270,$Q$9*12,$Q$6)+$Q$10*_xlfn.XLOOKUP($R$10,'RE Calculations'!$B$12:$B$16,'RE Calculations'!$C$12:$C$16,"ERROR - Check Input")/12,0)</f>
        <v>8.3333333333333339</v>
      </c>
      <c r="T270" s="142">
        <f t="shared" si="27"/>
        <v>0</v>
      </c>
      <c r="W270" s="12">
        <v>248</v>
      </c>
      <c r="X270" s="142">
        <f>IF(AA269&gt;0.01,IF(W270&lt;=($X$9*12),$X$15,-PMT($X$11,($X$12-$X$9)*12,$X$6)+$X$13*_xlfn.XLOOKUP($Y$13,'RE Calculations'!$B$12:$B$16,'RE Calculations'!$C$12:$C$16,"ERROR - Check Input")/12),0)</f>
        <v>0</v>
      </c>
      <c r="Y270" s="142">
        <f t="shared" si="28"/>
        <v>0</v>
      </c>
      <c r="Z270" s="142">
        <f>IF(W270&lt;=($X$9*12),$X$15,IFERROR(-IPMT($X$11,W270-$X$9*12,($X$12-$X$9)*12,$X$6)+$X$13*_xlfn.XLOOKUP($Y$13,'RE Calculations'!$B$12:$B$16,'RE Calculations'!$C$12:$C$16,"ERROR - Check Input")/12,0))</f>
        <v>10</v>
      </c>
      <c r="AA270" s="142">
        <f t="shared" si="29"/>
        <v>0</v>
      </c>
    </row>
    <row r="271" spans="2:27" x14ac:dyDescent="0.35">
      <c r="B271" s="12">
        <v>249</v>
      </c>
      <c r="C271" s="142">
        <f>IF(F270&gt;0.01,-PMT($C$8,$C$9*12,$C$6)+$C$10*_xlfn.XLOOKUP($D$10,'RE Calculations'!$B$12:$B$16,'RE Calculations'!$C$12:$C$16,"ERROR - Check Input")/12,0)</f>
        <v>0</v>
      </c>
      <c r="D271" s="142">
        <f t="shared" si="30"/>
        <v>0</v>
      </c>
      <c r="E271" s="142">
        <f>IFERROR(-IPMT($C$8,B271,$C$9*12,$C$6)+$C$10*_xlfn.XLOOKUP($D$10,'RE Calculations'!$B$12:$B$16,'RE Calculations'!$C$12:$C$16,"ERROR - Check Input")/12,0)</f>
        <v>8.3333333333333339</v>
      </c>
      <c r="F271" s="142">
        <f t="shared" si="31"/>
        <v>0</v>
      </c>
      <c r="I271" s="12">
        <v>249</v>
      </c>
      <c r="J271" s="142">
        <f>IF(M270&gt;0.01,IF(I271&lt;=($J$9*12),$J$15,-PMT($J$11,($J$12-$J$9)*12,$J$6)+$J$13*_xlfn.XLOOKUP($K$13,'RE Calculations'!$B$12:$B$16,'RE Calculations'!$C$12:$C$16,"ERROR - Check Input")/12),0)</f>
        <v>0</v>
      </c>
      <c r="K271" s="142">
        <f t="shared" si="24"/>
        <v>0</v>
      </c>
      <c r="L271" s="142">
        <f>IF(I271&lt;=($J$9*12),$J$15,IFERROR(-IPMT($J$11,I271-$J$9*12,($J$12-$J$9)*12,$J$6)+$J$13*_xlfn.XLOOKUP($K$13,'RE Calculations'!$B$12:$B$16,'RE Calculations'!$C$12:$C$16,"ERROR - Check Input")/12,0))</f>
        <v>10</v>
      </c>
      <c r="M271" s="142">
        <f t="shared" si="25"/>
        <v>0</v>
      </c>
      <c r="P271" s="12">
        <v>249</v>
      </c>
      <c r="Q271" s="142">
        <f>IF(T270&gt;0.01,-PMT($Q$8,$Q$9*12,$Q$6)+$Q$10*_xlfn.XLOOKUP($R$10,'RE Calculations'!$B$12:$B$16,'RE Calculations'!$C$12:$C$16,"ERROR - Check Input")/12,0)</f>
        <v>0</v>
      </c>
      <c r="R271" s="142">
        <f t="shared" si="26"/>
        <v>0</v>
      </c>
      <c r="S271" s="142">
        <f>IFERROR(-IPMT($Q$8,P271,$Q$9*12,$Q$6)+$Q$10*_xlfn.XLOOKUP($R$10,'RE Calculations'!$B$12:$B$16,'RE Calculations'!$C$12:$C$16,"ERROR - Check Input")/12,0)</f>
        <v>8.3333333333333339</v>
      </c>
      <c r="T271" s="142">
        <f t="shared" si="27"/>
        <v>0</v>
      </c>
      <c r="W271" s="12">
        <v>249</v>
      </c>
      <c r="X271" s="142">
        <f>IF(AA270&gt;0.01,IF(W271&lt;=($X$9*12),$X$15,-PMT($X$11,($X$12-$X$9)*12,$X$6)+$X$13*_xlfn.XLOOKUP($Y$13,'RE Calculations'!$B$12:$B$16,'RE Calculations'!$C$12:$C$16,"ERROR - Check Input")/12),0)</f>
        <v>0</v>
      </c>
      <c r="Y271" s="142">
        <f t="shared" si="28"/>
        <v>0</v>
      </c>
      <c r="Z271" s="142">
        <f>IF(W271&lt;=($X$9*12),$X$15,IFERROR(-IPMT($X$11,W271-$X$9*12,($X$12-$X$9)*12,$X$6)+$X$13*_xlfn.XLOOKUP($Y$13,'RE Calculations'!$B$12:$B$16,'RE Calculations'!$C$12:$C$16,"ERROR - Check Input")/12,0))</f>
        <v>10</v>
      </c>
      <c r="AA271" s="142">
        <f t="shared" si="29"/>
        <v>0</v>
      </c>
    </row>
    <row r="272" spans="2:27" x14ac:dyDescent="0.35">
      <c r="B272" s="12">
        <v>250</v>
      </c>
      <c r="C272" s="142">
        <f>IF(F271&gt;0.01,-PMT($C$8,$C$9*12,$C$6)+$C$10*_xlfn.XLOOKUP($D$10,'RE Calculations'!$B$12:$B$16,'RE Calculations'!$C$12:$C$16,"ERROR - Check Input")/12,0)</f>
        <v>0</v>
      </c>
      <c r="D272" s="142">
        <f t="shared" si="30"/>
        <v>0</v>
      </c>
      <c r="E272" s="142">
        <f>IFERROR(-IPMT($C$8,B272,$C$9*12,$C$6)+$C$10*_xlfn.XLOOKUP($D$10,'RE Calculations'!$B$12:$B$16,'RE Calculations'!$C$12:$C$16,"ERROR - Check Input")/12,0)</f>
        <v>8.3333333333333339</v>
      </c>
      <c r="F272" s="142">
        <f t="shared" si="31"/>
        <v>0</v>
      </c>
      <c r="I272" s="12">
        <v>250</v>
      </c>
      <c r="J272" s="142">
        <f>IF(M271&gt;0.01,IF(I272&lt;=($J$9*12),$J$15,-PMT($J$11,($J$12-$J$9)*12,$J$6)+$J$13*_xlfn.XLOOKUP($K$13,'RE Calculations'!$B$12:$B$16,'RE Calculations'!$C$12:$C$16,"ERROR - Check Input")/12),0)</f>
        <v>0</v>
      </c>
      <c r="K272" s="142">
        <f t="shared" si="24"/>
        <v>0</v>
      </c>
      <c r="L272" s="142">
        <f>IF(I272&lt;=($J$9*12),$J$15,IFERROR(-IPMT($J$11,I272-$J$9*12,($J$12-$J$9)*12,$J$6)+$J$13*_xlfn.XLOOKUP($K$13,'RE Calculations'!$B$12:$B$16,'RE Calculations'!$C$12:$C$16,"ERROR - Check Input")/12,0))</f>
        <v>10</v>
      </c>
      <c r="M272" s="142">
        <f t="shared" si="25"/>
        <v>0</v>
      </c>
      <c r="P272" s="12">
        <v>250</v>
      </c>
      <c r="Q272" s="142">
        <f>IF(T271&gt;0.01,-PMT($Q$8,$Q$9*12,$Q$6)+$Q$10*_xlfn.XLOOKUP($R$10,'RE Calculations'!$B$12:$B$16,'RE Calculations'!$C$12:$C$16,"ERROR - Check Input")/12,0)</f>
        <v>0</v>
      </c>
      <c r="R272" s="142">
        <f t="shared" si="26"/>
        <v>0</v>
      </c>
      <c r="S272" s="142">
        <f>IFERROR(-IPMT($Q$8,P272,$Q$9*12,$Q$6)+$Q$10*_xlfn.XLOOKUP($R$10,'RE Calculations'!$B$12:$B$16,'RE Calculations'!$C$12:$C$16,"ERROR - Check Input")/12,0)</f>
        <v>8.3333333333333339</v>
      </c>
      <c r="T272" s="142">
        <f t="shared" si="27"/>
        <v>0</v>
      </c>
      <c r="W272" s="12">
        <v>250</v>
      </c>
      <c r="X272" s="142">
        <f>IF(AA271&gt;0.01,IF(W272&lt;=($X$9*12),$X$15,-PMT($X$11,($X$12-$X$9)*12,$X$6)+$X$13*_xlfn.XLOOKUP($Y$13,'RE Calculations'!$B$12:$B$16,'RE Calculations'!$C$12:$C$16,"ERROR - Check Input")/12),0)</f>
        <v>0</v>
      </c>
      <c r="Y272" s="142">
        <f t="shared" si="28"/>
        <v>0</v>
      </c>
      <c r="Z272" s="142">
        <f>IF(W272&lt;=($X$9*12),$X$15,IFERROR(-IPMT($X$11,W272-$X$9*12,($X$12-$X$9)*12,$X$6)+$X$13*_xlfn.XLOOKUP($Y$13,'RE Calculations'!$B$12:$B$16,'RE Calculations'!$C$12:$C$16,"ERROR - Check Input")/12,0))</f>
        <v>10</v>
      </c>
      <c r="AA272" s="142">
        <f t="shared" si="29"/>
        <v>0</v>
      </c>
    </row>
    <row r="273" spans="2:27" x14ac:dyDescent="0.35">
      <c r="B273" s="12">
        <v>251</v>
      </c>
      <c r="C273" s="142">
        <f>IF(F272&gt;0.01,-PMT($C$8,$C$9*12,$C$6)+$C$10*_xlfn.XLOOKUP($D$10,'RE Calculations'!$B$12:$B$16,'RE Calculations'!$C$12:$C$16,"ERROR - Check Input")/12,0)</f>
        <v>0</v>
      </c>
      <c r="D273" s="142">
        <f t="shared" si="30"/>
        <v>0</v>
      </c>
      <c r="E273" s="142">
        <f>IFERROR(-IPMT($C$8,B273,$C$9*12,$C$6)+$C$10*_xlfn.XLOOKUP($D$10,'RE Calculations'!$B$12:$B$16,'RE Calculations'!$C$12:$C$16,"ERROR - Check Input")/12,0)</f>
        <v>8.3333333333333339</v>
      </c>
      <c r="F273" s="142">
        <f t="shared" si="31"/>
        <v>0</v>
      </c>
      <c r="I273" s="12">
        <v>251</v>
      </c>
      <c r="J273" s="142">
        <f>IF(M272&gt;0.01,IF(I273&lt;=($J$9*12),$J$15,-PMT($J$11,($J$12-$J$9)*12,$J$6)+$J$13*_xlfn.XLOOKUP($K$13,'RE Calculations'!$B$12:$B$16,'RE Calculations'!$C$12:$C$16,"ERROR - Check Input")/12),0)</f>
        <v>0</v>
      </c>
      <c r="K273" s="142">
        <f t="shared" si="24"/>
        <v>0</v>
      </c>
      <c r="L273" s="142">
        <f>IF(I273&lt;=($J$9*12),$J$15,IFERROR(-IPMT($J$11,I273-$J$9*12,($J$12-$J$9)*12,$J$6)+$J$13*_xlfn.XLOOKUP($K$13,'RE Calculations'!$B$12:$B$16,'RE Calculations'!$C$12:$C$16,"ERROR - Check Input")/12,0))</f>
        <v>10</v>
      </c>
      <c r="M273" s="142">
        <f t="shared" si="25"/>
        <v>0</v>
      </c>
      <c r="P273" s="12">
        <v>251</v>
      </c>
      <c r="Q273" s="142">
        <f>IF(T272&gt;0.01,-PMT($Q$8,$Q$9*12,$Q$6)+$Q$10*_xlfn.XLOOKUP($R$10,'RE Calculations'!$B$12:$B$16,'RE Calculations'!$C$12:$C$16,"ERROR - Check Input")/12,0)</f>
        <v>0</v>
      </c>
      <c r="R273" s="142">
        <f t="shared" si="26"/>
        <v>0</v>
      </c>
      <c r="S273" s="142">
        <f>IFERROR(-IPMT($Q$8,P273,$Q$9*12,$Q$6)+$Q$10*_xlfn.XLOOKUP($R$10,'RE Calculations'!$B$12:$B$16,'RE Calculations'!$C$12:$C$16,"ERROR - Check Input")/12,0)</f>
        <v>8.3333333333333339</v>
      </c>
      <c r="T273" s="142">
        <f t="shared" si="27"/>
        <v>0</v>
      </c>
      <c r="W273" s="12">
        <v>251</v>
      </c>
      <c r="X273" s="142">
        <f>IF(AA272&gt;0.01,IF(W273&lt;=($X$9*12),$X$15,-PMT($X$11,($X$12-$X$9)*12,$X$6)+$X$13*_xlfn.XLOOKUP($Y$13,'RE Calculations'!$B$12:$B$16,'RE Calculations'!$C$12:$C$16,"ERROR - Check Input")/12),0)</f>
        <v>0</v>
      </c>
      <c r="Y273" s="142">
        <f t="shared" si="28"/>
        <v>0</v>
      </c>
      <c r="Z273" s="142">
        <f>IF(W273&lt;=($X$9*12),$X$15,IFERROR(-IPMT($X$11,W273-$X$9*12,($X$12-$X$9)*12,$X$6)+$X$13*_xlfn.XLOOKUP($Y$13,'RE Calculations'!$B$12:$B$16,'RE Calculations'!$C$12:$C$16,"ERROR - Check Input")/12,0))</f>
        <v>10</v>
      </c>
      <c r="AA273" s="142">
        <f t="shared" si="29"/>
        <v>0</v>
      </c>
    </row>
    <row r="274" spans="2:27" x14ac:dyDescent="0.35">
      <c r="B274" s="12">
        <v>252</v>
      </c>
      <c r="C274" s="142">
        <f>IF(F273&gt;0.01,-PMT($C$8,$C$9*12,$C$6)+$C$10*_xlfn.XLOOKUP($D$10,'RE Calculations'!$B$12:$B$16,'RE Calculations'!$C$12:$C$16,"ERROR - Check Input")/12,0)</f>
        <v>0</v>
      </c>
      <c r="D274" s="142">
        <f t="shared" si="30"/>
        <v>0</v>
      </c>
      <c r="E274" s="142">
        <f>IFERROR(-IPMT($C$8,B274,$C$9*12,$C$6)+$C$10*_xlfn.XLOOKUP($D$10,'RE Calculations'!$B$12:$B$16,'RE Calculations'!$C$12:$C$16,"ERROR - Check Input")/12,0)</f>
        <v>8.3333333333333339</v>
      </c>
      <c r="F274" s="142">
        <f t="shared" si="31"/>
        <v>0</v>
      </c>
      <c r="I274" s="12">
        <v>252</v>
      </c>
      <c r="J274" s="142">
        <f>IF(M273&gt;0.01,IF(I274&lt;=($J$9*12),$J$15,-PMT($J$11,($J$12-$J$9)*12,$J$6)+$J$13*_xlfn.XLOOKUP($K$13,'RE Calculations'!$B$12:$B$16,'RE Calculations'!$C$12:$C$16,"ERROR - Check Input")/12),0)</f>
        <v>0</v>
      </c>
      <c r="K274" s="142">
        <f t="shared" si="24"/>
        <v>0</v>
      </c>
      <c r="L274" s="142">
        <f>IF(I274&lt;=($J$9*12),$J$15,IFERROR(-IPMT($J$11,I274-$J$9*12,($J$12-$J$9)*12,$J$6)+$J$13*_xlfn.XLOOKUP($K$13,'RE Calculations'!$B$12:$B$16,'RE Calculations'!$C$12:$C$16,"ERROR - Check Input")/12,0))</f>
        <v>10</v>
      </c>
      <c r="M274" s="142">
        <f t="shared" si="25"/>
        <v>0</v>
      </c>
      <c r="P274" s="12">
        <v>252</v>
      </c>
      <c r="Q274" s="142">
        <f>IF(T273&gt;0.01,-PMT($Q$8,$Q$9*12,$Q$6)+$Q$10*_xlfn.XLOOKUP($R$10,'RE Calculations'!$B$12:$B$16,'RE Calculations'!$C$12:$C$16,"ERROR - Check Input")/12,0)</f>
        <v>0</v>
      </c>
      <c r="R274" s="142">
        <f t="shared" si="26"/>
        <v>0</v>
      </c>
      <c r="S274" s="142">
        <f>IFERROR(-IPMT($Q$8,P274,$Q$9*12,$Q$6)+$Q$10*_xlfn.XLOOKUP($R$10,'RE Calculations'!$B$12:$B$16,'RE Calculations'!$C$12:$C$16,"ERROR - Check Input")/12,0)</f>
        <v>8.3333333333333339</v>
      </c>
      <c r="T274" s="142">
        <f t="shared" si="27"/>
        <v>0</v>
      </c>
      <c r="W274" s="12">
        <v>252</v>
      </c>
      <c r="X274" s="142">
        <f>IF(AA273&gt;0.01,IF(W274&lt;=($X$9*12),$X$15,-PMT($X$11,($X$12-$X$9)*12,$X$6)+$X$13*_xlfn.XLOOKUP($Y$13,'RE Calculations'!$B$12:$B$16,'RE Calculations'!$C$12:$C$16,"ERROR - Check Input")/12),0)</f>
        <v>0</v>
      </c>
      <c r="Y274" s="142">
        <f t="shared" si="28"/>
        <v>0</v>
      </c>
      <c r="Z274" s="142">
        <f>IF(W274&lt;=($X$9*12),$X$15,IFERROR(-IPMT($X$11,W274-$X$9*12,($X$12-$X$9)*12,$X$6)+$X$13*_xlfn.XLOOKUP($Y$13,'RE Calculations'!$B$12:$B$16,'RE Calculations'!$C$12:$C$16,"ERROR - Check Input")/12,0))</f>
        <v>10</v>
      </c>
      <c r="AA274" s="142">
        <f t="shared" si="29"/>
        <v>0</v>
      </c>
    </row>
    <row r="275" spans="2:27" x14ac:dyDescent="0.35">
      <c r="B275" s="12">
        <v>253</v>
      </c>
      <c r="C275" s="142">
        <f>IF(F274&gt;0.01,-PMT($C$8,$C$9*12,$C$6)+$C$10*_xlfn.XLOOKUP($D$10,'RE Calculations'!$B$12:$B$16,'RE Calculations'!$C$12:$C$16,"ERROR - Check Input")/12,0)</f>
        <v>0</v>
      </c>
      <c r="D275" s="142">
        <f t="shared" si="30"/>
        <v>0</v>
      </c>
      <c r="E275" s="142">
        <f>IFERROR(-IPMT($C$8,B275,$C$9*12,$C$6)+$C$10*_xlfn.XLOOKUP($D$10,'RE Calculations'!$B$12:$B$16,'RE Calculations'!$C$12:$C$16,"ERROR - Check Input")/12,0)</f>
        <v>8.3333333333333339</v>
      </c>
      <c r="F275" s="142">
        <f t="shared" si="31"/>
        <v>0</v>
      </c>
      <c r="I275" s="12">
        <v>253</v>
      </c>
      <c r="J275" s="142">
        <f>IF(M274&gt;0.01,IF(I275&lt;=($J$9*12),$J$15,-PMT($J$11,($J$12-$J$9)*12,$J$6)+$J$13*_xlfn.XLOOKUP($K$13,'RE Calculations'!$B$12:$B$16,'RE Calculations'!$C$12:$C$16,"ERROR - Check Input")/12),0)</f>
        <v>0</v>
      </c>
      <c r="K275" s="142">
        <f t="shared" si="24"/>
        <v>0</v>
      </c>
      <c r="L275" s="142">
        <f>IF(I275&lt;=($J$9*12),$J$15,IFERROR(-IPMT($J$11,I275-$J$9*12,($J$12-$J$9)*12,$J$6)+$J$13*_xlfn.XLOOKUP($K$13,'RE Calculations'!$B$12:$B$16,'RE Calculations'!$C$12:$C$16,"ERROR - Check Input")/12,0))</f>
        <v>10</v>
      </c>
      <c r="M275" s="142">
        <f t="shared" si="25"/>
        <v>0</v>
      </c>
      <c r="P275" s="12">
        <v>253</v>
      </c>
      <c r="Q275" s="142">
        <f>IF(T274&gt;0.01,-PMT($Q$8,$Q$9*12,$Q$6)+$Q$10*_xlfn.XLOOKUP($R$10,'RE Calculations'!$B$12:$B$16,'RE Calculations'!$C$12:$C$16,"ERROR - Check Input")/12,0)</f>
        <v>0</v>
      </c>
      <c r="R275" s="142">
        <f t="shared" si="26"/>
        <v>0</v>
      </c>
      <c r="S275" s="142">
        <f>IFERROR(-IPMT($Q$8,P275,$Q$9*12,$Q$6)+$Q$10*_xlfn.XLOOKUP($R$10,'RE Calculations'!$B$12:$B$16,'RE Calculations'!$C$12:$C$16,"ERROR - Check Input")/12,0)</f>
        <v>8.3333333333333339</v>
      </c>
      <c r="T275" s="142">
        <f t="shared" si="27"/>
        <v>0</v>
      </c>
      <c r="W275" s="12">
        <v>253</v>
      </c>
      <c r="X275" s="142">
        <f>IF(AA274&gt;0.01,IF(W275&lt;=($X$9*12),$X$15,-PMT($X$11,($X$12-$X$9)*12,$X$6)+$X$13*_xlfn.XLOOKUP($Y$13,'RE Calculations'!$B$12:$B$16,'RE Calculations'!$C$12:$C$16,"ERROR - Check Input")/12),0)</f>
        <v>0</v>
      </c>
      <c r="Y275" s="142">
        <f t="shared" si="28"/>
        <v>0</v>
      </c>
      <c r="Z275" s="142">
        <f>IF(W275&lt;=($X$9*12),$X$15,IFERROR(-IPMT($X$11,W275-$X$9*12,($X$12-$X$9)*12,$X$6)+$X$13*_xlfn.XLOOKUP($Y$13,'RE Calculations'!$B$12:$B$16,'RE Calculations'!$C$12:$C$16,"ERROR - Check Input")/12,0))</f>
        <v>10</v>
      </c>
      <c r="AA275" s="142">
        <f t="shared" si="29"/>
        <v>0</v>
      </c>
    </row>
    <row r="276" spans="2:27" x14ac:dyDescent="0.35">
      <c r="B276" s="12">
        <v>254</v>
      </c>
      <c r="C276" s="142">
        <f>IF(F275&gt;0.01,-PMT($C$8,$C$9*12,$C$6)+$C$10*_xlfn.XLOOKUP($D$10,'RE Calculations'!$B$12:$B$16,'RE Calculations'!$C$12:$C$16,"ERROR - Check Input")/12,0)</f>
        <v>0</v>
      </c>
      <c r="D276" s="142">
        <f t="shared" si="30"/>
        <v>0</v>
      </c>
      <c r="E276" s="142">
        <f>IFERROR(-IPMT($C$8,B276,$C$9*12,$C$6)+$C$10*_xlfn.XLOOKUP($D$10,'RE Calculations'!$B$12:$B$16,'RE Calculations'!$C$12:$C$16,"ERROR - Check Input")/12,0)</f>
        <v>8.3333333333333339</v>
      </c>
      <c r="F276" s="142">
        <f t="shared" si="31"/>
        <v>0</v>
      </c>
      <c r="I276" s="12">
        <v>254</v>
      </c>
      <c r="J276" s="142">
        <f>IF(M275&gt;0.01,IF(I276&lt;=($J$9*12),$J$15,-PMT($J$11,($J$12-$J$9)*12,$J$6)+$J$13*_xlfn.XLOOKUP($K$13,'RE Calculations'!$B$12:$B$16,'RE Calculations'!$C$12:$C$16,"ERROR - Check Input")/12),0)</f>
        <v>0</v>
      </c>
      <c r="K276" s="142">
        <f t="shared" si="24"/>
        <v>0</v>
      </c>
      <c r="L276" s="142">
        <f>IF(I276&lt;=($J$9*12),$J$15,IFERROR(-IPMT($J$11,I276-$J$9*12,($J$12-$J$9)*12,$J$6)+$J$13*_xlfn.XLOOKUP($K$13,'RE Calculations'!$B$12:$B$16,'RE Calculations'!$C$12:$C$16,"ERROR - Check Input")/12,0))</f>
        <v>10</v>
      </c>
      <c r="M276" s="142">
        <f t="shared" si="25"/>
        <v>0</v>
      </c>
      <c r="P276" s="12">
        <v>254</v>
      </c>
      <c r="Q276" s="142">
        <f>IF(T275&gt;0.01,-PMT($Q$8,$Q$9*12,$Q$6)+$Q$10*_xlfn.XLOOKUP($R$10,'RE Calculations'!$B$12:$B$16,'RE Calculations'!$C$12:$C$16,"ERROR - Check Input")/12,0)</f>
        <v>0</v>
      </c>
      <c r="R276" s="142">
        <f t="shared" si="26"/>
        <v>0</v>
      </c>
      <c r="S276" s="142">
        <f>IFERROR(-IPMT($Q$8,P276,$Q$9*12,$Q$6)+$Q$10*_xlfn.XLOOKUP($R$10,'RE Calculations'!$B$12:$B$16,'RE Calculations'!$C$12:$C$16,"ERROR - Check Input")/12,0)</f>
        <v>8.3333333333333339</v>
      </c>
      <c r="T276" s="142">
        <f t="shared" si="27"/>
        <v>0</v>
      </c>
      <c r="W276" s="12">
        <v>254</v>
      </c>
      <c r="X276" s="142">
        <f>IF(AA275&gt;0.01,IF(W276&lt;=($X$9*12),$X$15,-PMT($X$11,($X$12-$X$9)*12,$X$6)+$X$13*_xlfn.XLOOKUP($Y$13,'RE Calculations'!$B$12:$B$16,'RE Calculations'!$C$12:$C$16,"ERROR - Check Input")/12),0)</f>
        <v>0</v>
      </c>
      <c r="Y276" s="142">
        <f t="shared" si="28"/>
        <v>0</v>
      </c>
      <c r="Z276" s="142">
        <f>IF(W276&lt;=($X$9*12),$X$15,IFERROR(-IPMT($X$11,W276-$X$9*12,($X$12-$X$9)*12,$X$6)+$X$13*_xlfn.XLOOKUP($Y$13,'RE Calculations'!$B$12:$B$16,'RE Calculations'!$C$12:$C$16,"ERROR - Check Input")/12,0))</f>
        <v>10</v>
      </c>
      <c r="AA276" s="142">
        <f t="shared" si="29"/>
        <v>0</v>
      </c>
    </row>
    <row r="277" spans="2:27" x14ac:dyDescent="0.35">
      <c r="B277" s="12">
        <v>255</v>
      </c>
      <c r="C277" s="142">
        <f>IF(F276&gt;0.01,-PMT($C$8,$C$9*12,$C$6)+$C$10*_xlfn.XLOOKUP($D$10,'RE Calculations'!$B$12:$B$16,'RE Calculations'!$C$12:$C$16,"ERROR - Check Input")/12,0)</f>
        <v>0</v>
      </c>
      <c r="D277" s="142">
        <f t="shared" si="30"/>
        <v>0</v>
      </c>
      <c r="E277" s="142">
        <f>IFERROR(-IPMT($C$8,B277,$C$9*12,$C$6)+$C$10*_xlfn.XLOOKUP($D$10,'RE Calculations'!$B$12:$B$16,'RE Calculations'!$C$12:$C$16,"ERROR - Check Input")/12,0)</f>
        <v>8.3333333333333339</v>
      </c>
      <c r="F277" s="142">
        <f t="shared" si="31"/>
        <v>0</v>
      </c>
      <c r="I277" s="12">
        <v>255</v>
      </c>
      <c r="J277" s="142">
        <f>IF(M276&gt;0.01,IF(I277&lt;=($J$9*12),$J$15,-PMT($J$11,($J$12-$J$9)*12,$J$6)+$J$13*_xlfn.XLOOKUP($K$13,'RE Calculations'!$B$12:$B$16,'RE Calculations'!$C$12:$C$16,"ERROR - Check Input")/12),0)</f>
        <v>0</v>
      </c>
      <c r="K277" s="142">
        <f t="shared" si="24"/>
        <v>0</v>
      </c>
      <c r="L277" s="142">
        <f>IF(I277&lt;=($J$9*12),$J$15,IFERROR(-IPMT($J$11,I277-$J$9*12,($J$12-$J$9)*12,$J$6)+$J$13*_xlfn.XLOOKUP($K$13,'RE Calculations'!$B$12:$B$16,'RE Calculations'!$C$12:$C$16,"ERROR - Check Input")/12,0))</f>
        <v>10</v>
      </c>
      <c r="M277" s="142">
        <f t="shared" si="25"/>
        <v>0</v>
      </c>
      <c r="P277" s="12">
        <v>255</v>
      </c>
      <c r="Q277" s="142">
        <f>IF(T276&gt;0.01,-PMT($Q$8,$Q$9*12,$Q$6)+$Q$10*_xlfn.XLOOKUP($R$10,'RE Calculations'!$B$12:$B$16,'RE Calculations'!$C$12:$C$16,"ERROR - Check Input")/12,0)</f>
        <v>0</v>
      </c>
      <c r="R277" s="142">
        <f t="shared" si="26"/>
        <v>0</v>
      </c>
      <c r="S277" s="142">
        <f>IFERROR(-IPMT($Q$8,P277,$Q$9*12,$Q$6)+$Q$10*_xlfn.XLOOKUP($R$10,'RE Calculations'!$B$12:$B$16,'RE Calculations'!$C$12:$C$16,"ERROR - Check Input")/12,0)</f>
        <v>8.3333333333333339</v>
      </c>
      <c r="T277" s="142">
        <f t="shared" si="27"/>
        <v>0</v>
      </c>
      <c r="W277" s="12">
        <v>255</v>
      </c>
      <c r="X277" s="142">
        <f>IF(AA276&gt;0.01,IF(W277&lt;=($X$9*12),$X$15,-PMT($X$11,($X$12-$X$9)*12,$X$6)+$X$13*_xlfn.XLOOKUP($Y$13,'RE Calculations'!$B$12:$B$16,'RE Calculations'!$C$12:$C$16,"ERROR - Check Input")/12),0)</f>
        <v>0</v>
      </c>
      <c r="Y277" s="142">
        <f t="shared" si="28"/>
        <v>0</v>
      </c>
      <c r="Z277" s="142">
        <f>IF(W277&lt;=($X$9*12),$X$15,IFERROR(-IPMT($X$11,W277-$X$9*12,($X$12-$X$9)*12,$X$6)+$X$13*_xlfn.XLOOKUP($Y$13,'RE Calculations'!$B$12:$B$16,'RE Calculations'!$C$12:$C$16,"ERROR - Check Input")/12,0))</f>
        <v>10</v>
      </c>
      <c r="AA277" s="142">
        <f t="shared" si="29"/>
        <v>0</v>
      </c>
    </row>
    <row r="278" spans="2:27" x14ac:dyDescent="0.35">
      <c r="B278" s="12">
        <v>256</v>
      </c>
      <c r="C278" s="142">
        <f>IF(F277&gt;0.01,-PMT($C$8,$C$9*12,$C$6)+$C$10*_xlfn.XLOOKUP($D$10,'RE Calculations'!$B$12:$B$16,'RE Calculations'!$C$12:$C$16,"ERROR - Check Input")/12,0)</f>
        <v>0</v>
      </c>
      <c r="D278" s="142">
        <f t="shared" si="30"/>
        <v>0</v>
      </c>
      <c r="E278" s="142">
        <f>IFERROR(-IPMT($C$8,B278,$C$9*12,$C$6)+$C$10*_xlfn.XLOOKUP($D$10,'RE Calculations'!$B$12:$B$16,'RE Calculations'!$C$12:$C$16,"ERROR - Check Input")/12,0)</f>
        <v>8.3333333333333339</v>
      </c>
      <c r="F278" s="142">
        <f t="shared" si="31"/>
        <v>0</v>
      </c>
      <c r="I278" s="12">
        <v>256</v>
      </c>
      <c r="J278" s="142">
        <f>IF(M277&gt;0.01,IF(I278&lt;=($J$9*12),$J$15,-PMT($J$11,($J$12-$J$9)*12,$J$6)+$J$13*_xlfn.XLOOKUP($K$13,'RE Calculations'!$B$12:$B$16,'RE Calculations'!$C$12:$C$16,"ERROR - Check Input")/12),0)</f>
        <v>0</v>
      </c>
      <c r="K278" s="142">
        <f t="shared" si="24"/>
        <v>0</v>
      </c>
      <c r="L278" s="142">
        <f>IF(I278&lt;=($J$9*12),$J$15,IFERROR(-IPMT($J$11,I278-$J$9*12,($J$12-$J$9)*12,$J$6)+$J$13*_xlfn.XLOOKUP($K$13,'RE Calculations'!$B$12:$B$16,'RE Calculations'!$C$12:$C$16,"ERROR - Check Input")/12,0))</f>
        <v>10</v>
      </c>
      <c r="M278" s="142">
        <f t="shared" si="25"/>
        <v>0</v>
      </c>
      <c r="P278" s="12">
        <v>256</v>
      </c>
      <c r="Q278" s="142">
        <f>IF(T277&gt;0.01,-PMT($Q$8,$Q$9*12,$Q$6)+$Q$10*_xlfn.XLOOKUP($R$10,'RE Calculations'!$B$12:$B$16,'RE Calculations'!$C$12:$C$16,"ERROR - Check Input")/12,0)</f>
        <v>0</v>
      </c>
      <c r="R278" s="142">
        <f t="shared" si="26"/>
        <v>0</v>
      </c>
      <c r="S278" s="142">
        <f>IFERROR(-IPMT($Q$8,P278,$Q$9*12,$Q$6)+$Q$10*_xlfn.XLOOKUP($R$10,'RE Calculations'!$B$12:$B$16,'RE Calculations'!$C$12:$C$16,"ERROR - Check Input")/12,0)</f>
        <v>8.3333333333333339</v>
      </c>
      <c r="T278" s="142">
        <f t="shared" si="27"/>
        <v>0</v>
      </c>
      <c r="W278" s="12">
        <v>256</v>
      </c>
      <c r="X278" s="142">
        <f>IF(AA277&gt;0.01,IF(W278&lt;=($X$9*12),$X$15,-PMT($X$11,($X$12-$X$9)*12,$X$6)+$X$13*_xlfn.XLOOKUP($Y$13,'RE Calculations'!$B$12:$B$16,'RE Calculations'!$C$12:$C$16,"ERROR - Check Input")/12),0)</f>
        <v>0</v>
      </c>
      <c r="Y278" s="142">
        <f t="shared" si="28"/>
        <v>0</v>
      </c>
      <c r="Z278" s="142">
        <f>IF(W278&lt;=($X$9*12),$X$15,IFERROR(-IPMT($X$11,W278-$X$9*12,($X$12-$X$9)*12,$X$6)+$X$13*_xlfn.XLOOKUP($Y$13,'RE Calculations'!$B$12:$B$16,'RE Calculations'!$C$12:$C$16,"ERROR - Check Input")/12,0))</f>
        <v>10</v>
      </c>
      <c r="AA278" s="142">
        <f t="shared" si="29"/>
        <v>0</v>
      </c>
    </row>
    <row r="279" spans="2:27" x14ac:dyDescent="0.35">
      <c r="B279" s="12">
        <v>257</v>
      </c>
      <c r="C279" s="142">
        <f>IF(F278&gt;0.01,-PMT($C$8,$C$9*12,$C$6)+$C$10*_xlfn.XLOOKUP($D$10,'RE Calculations'!$B$12:$B$16,'RE Calculations'!$C$12:$C$16,"ERROR - Check Input")/12,0)</f>
        <v>0</v>
      </c>
      <c r="D279" s="142">
        <f t="shared" si="30"/>
        <v>0</v>
      </c>
      <c r="E279" s="142">
        <f>IFERROR(-IPMT($C$8,B279,$C$9*12,$C$6)+$C$10*_xlfn.XLOOKUP($D$10,'RE Calculations'!$B$12:$B$16,'RE Calculations'!$C$12:$C$16,"ERROR - Check Input")/12,0)</f>
        <v>8.3333333333333339</v>
      </c>
      <c r="F279" s="142">
        <f t="shared" si="31"/>
        <v>0</v>
      </c>
      <c r="I279" s="12">
        <v>257</v>
      </c>
      <c r="J279" s="142">
        <f>IF(M278&gt;0.01,IF(I279&lt;=($J$9*12),$J$15,-PMT($J$11,($J$12-$J$9)*12,$J$6)+$J$13*_xlfn.XLOOKUP($K$13,'RE Calculations'!$B$12:$B$16,'RE Calculations'!$C$12:$C$16,"ERROR - Check Input")/12),0)</f>
        <v>0</v>
      </c>
      <c r="K279" s="142">
        <f t="shared" ref="K279:K342" si="32">IF(I279&lt;=($J$9*12),0,IFERROR(-PPMT($J$11,I279-$J$9*12,($J$12-$J$9)*12,$J$6),0))</f>
        <v>0</v>
      </c>
      <c r="L279" s="142">
        <f>IF(I279&lt;=($J$9*12),$J$15,IFERROR(-IPMT($J$11,I279-$J$9*12,($J$12-$J$9)*12,$J$6)+$J$13*_xlfn.XLOOKUP($K$13,'RE Calculations'!$B$12:$B$16,'RE Calculations'!$C$12:$C$16,"ERROR - Check Input")/12,0))</f>
        <v>10</v>
      </c>
      <c r="M279" s="142">
        <f t="shared" ref="M279:M342" si="33">IFERROR(M278-K279,0)</f>
        <v>0</v>
      </c>
      <c r="P279" s="12">
        <v>257</v>
      </c>
      <c r="Q279" s="142">
        <f>IF(T278&gt;0.01,-PMT($Q$8,$Q$9*12,$Q$6)+$Q$10*_xlfn.XLOOKUP($R$10,'RE Calculations'!$B$12:$B$16,'RE Calculations'!$C$12:$C$16,"ERROR - Check Input")/12,0)</f>
        <v>0</v>
      </c>
      <c r="R279" s="142">
        <f t="shared" ref="R279:R342" si="34">IFERROR(-PPMT($Q$8,P279,$Q$9*12,$Q$6),0)</f>
        <v>0</v>
      </c>
      <c r="S279" s="142">
        <f>IFERROR(-IPMT($Q$8,P279,$Q$9*12,$Q$6)+$Q$10*_xlfn.XLOOKUP($R$10,'RE Calculations'!$B$12:$B$16,'RE Calculations'!$C$12:$C$16,"ERROR - Check Input")/12,0)</f>
        <v>8.3333333333333339</v>
      </c>
      <c r="T279" s="142">
        <f t="shared" ref="T279:T342" si="35">IFERROR(T278-R279,0)</f>
        <v>0</v>
      </c>
      <c r="W279" s="12">
        <v>257</v>
      </c>
      <c r="X279" s="142">
        <f>IF(AA278&gt;0.01,IF(W279&lt;=($X$9*12),$X$15,-PMT($X$11,($X$12-$X$9)*12,$X$6)+$X$13*_xlfn.XLOOKUP($Y$13,'RE Calculations'!$B$12:$B$16,'RE Calculations'!$C$12:$C$16,"ERROR - Check Input")/12),0)</f>
        <v>0</v>
      </c>
      <c r="Y279" s="142">
        <f t="shared" ref="Y279:Y342" si="36">IF(W279&lt;=($X$9*12),0,IFERROR(-PPMT($X$11,W279-$X$9*12,($X$12-$X$9)*12,$X$6),0))</f>
        <v>0</v>
      </c>
      <c r="Z279" s="142">
        <f>IF(W279&lt;=($X$9*12),$X$15,IFERROR(-IPMT($X$11,W279-$X$9*12,($X$12-$X$9)*12,$X$6)+$X$13*_xlfn.XLOOKUP($Y$13,'RE Calculations'!$B$12:$B$16,'RE Calculations'!$C$12:$C$16,"ERROR - Check Input")/12,0))</f>
        <v>10</v>
      </c>
      <c r="AA279" s="142">
        <f t="shared" ref="AA279:AA342" si="37">IFERROR(AA278-Y279,0)</f>
        <v>0</v>
      </c>
    </row>
    <row r="280" spans="2:27" x14ac:dyDescent="0.35">
      <c r="B280" s="12">
        <v>258</v>
      </c>
      <c r="C280" s="142">
        <f>IF(F279&gt;0.01,-PMT($C$8,$C$9*12,$C$6)+$C$10*_xlfn.XLOOKUP($D$10,'RE Calculations'!$B$12:$B$16,'RE Calculations'!$C$12:$C$16,"ERROR - Check Input")/12,0)</f>
        <v>0</v>
      </c>
      <c r="D280" s="142">
        <f t="shared" ref="D280:D343" si="38">IFERROR(-PPMT($C$8,B280,$C$9*12,$C$6),0)</f>
        <v>0</v>
      </c>
      <c r="E280" s="142">
        <f>IFERROR(-IPMT($C$8,B280,$C$9*12,$C$6)+$C$10*_xlfn.XLOOKUP($D$10,'RE Calculations'!$B$12:$B$16,'RE Calculations'!$C$12:$C$16,"ERROR - Check Input")/12,0)</f>
        <v>8.3333333333333339</v>
      </c>
      <c r="F280" s="142">
        <f t="shared" ref="F280:F343" si="39">IFERROR(F279-D280,0)</f>
        <v>0</v>
      </c>
      <c r="I280" s="12">
        <v>258</v>
      </c>
      <c r="J280" s="142">
        <f>IF(M279&gt;0.01,IF(I280&lt;=($J$9*12),$J$15,-PMT($J$11,($J$12-$J$9)*12,$J$6)+$J$13*_xlfn.XLOOKUP($K$13,'RE Calculations'!$B$12:$B$16,'RE Calculations'!$C$12:$C$16,"ERROR - Check Input")/12),0)</f>
        <v>0</v>
      </c>
      <c r="K280" s="142">
        <f t="shared" si="32"/>
        <v>0</v>
      </c>
      <c r="L280" s="142">
        <f>IF(I280&lt;=($J$9*12),$J$15,IFERROR(-IPMT($J$11,I280-$J$9*12,($J$12-$J$9)*12,$J$6)+$J$13*_xlfn.XLOOKUP($K$13,'RE Calculations'!$B$12:$B$16,'RE Calculations'!$C$12:$C$16,"ERROR - Check Input")/12,0))</f>
        <v>10</v>
      </c>
      <c r="M280" s="142">
        <f t="shared" si="33"/>
        <v>0</v>
      </c>
      <c r="P280" s="12">
        <v>258</v>
      </c>
      <c r="Q280" s="142">
        <f>IF(T279&gt;0.01,-PMT($Q$8,$Q$9*12,$Q$6)+$Q$10*_xlfn.XLOOKUP($R$10,'RE Calculations'!$B$12:$B$16,'RE Calculations'!$C$12:$C$16,"ERROR - Check Input")/12,0)</f>
        <v>0</v>
      </c>
      <c r="R280" s="142">
        <f t="shared" si="34"/>
        <v>0</v>
      </c>
      <c r="S280" s="142">
        <f>IFERROR(-IPMT($Q$8,P280,$Q$9*12,$Q$6)+$Q$10*_xlfn.XLOOKUP($R$10,'RE Calculations'!$B$12:$B$16,'RE Calculations'!$C$12:$C$16,"ERROR - Check Input")/12,0)</f>
        <v>8.3333333333333339</v>
      </c>
      <c r="T280" s="142">
        <f t="shared" si="35"/>
        <v>0</v>
      </c>
      <c r="W280" s="12">
        <v>258</v>
      </c>
      <c r="X280" s="142">
        <f>IF(AA279&gt;0.01,IF(W280&lt;=($X$9*12),$X$15,-PMT($X$11,($X$12-$X$9)*12,$X$6)+$X$13*_xlfn.XLOOKUP($Y$13,'RE Calculations'!$B$12:$B$16,'RE Calculations'!$C$12:$C$16,"ERROR - Check Input")/12),0)</f>
        <v>0</v>
      </c>
      <c r="Y280" s="142">
        <f t="shared" si="36"/>
        <v>0</v>
      </c>
      <c r="Z280" s="142">
        <f>IF(W280&lt;=($X$9*12),$X$15,IFERROR(-IPMT($X$11,W280-$X$9*12,($X$12-$X$9)*12,$X$6)+$X$13*_xlfn.XLOOKUP($Y$13,'RE Calculations'!$B$12:$B$16,'RE Calculations'!$C$12:$C$16,"ERROR - Check Input")/12,0))</f>
        <v>10</v>
      </c>
      <c r="AA280" s="142">
        <f t="shared" si="37"/>
        <v>0</v>
      </c>
    </row>
    <row r="281" spans="2:27" x14ac:dyDescent="0.35">
      <c r="B281" s="12">
        <v>259</v>
      </c>
      <c r="C281" s="142">
        <f>IF(F280&gt;0.01,-PMT($C$8,$C$9*12,$C$6)+$C$10*_xlfn.XLOOKUP($D$10,'RE Calculations'!$B$12:$B$16,'RE Calculations'!$C$12:$C$16,"ERROR - Check Input")/12,0)</f>
        <v>0</v>
      </c>
      <c r="D281" s="142">
        <f t="shared" si="38"/>
        <v>0</v>
      </c>
      <c r="E281" s="142">
        <f>IFERROR(-IPMT($C$8,B281,$C$9*12,$C$6)+$C$10*_xlfn.XLOOKUP($D$10,'RE Calculations'!$B$12:$B$16,'RE Calculations'!$C$12:$C$16,"ERROR - Check Input")/12,0)</f>
        <v>8.3333333333333339</v>
      </c>
      <c r="F281" s="142">
        <f t="shared" si="39"/>
        <v>0</v>
      </c>
      <c r="I281" s="12">
        <v>259</v>
      </c>
      <c r="J281" s="142">
        <f>IF(M280&gt;0.01,IF(I281&lt;=($J$9*12),$J$15,-PMT($J$11,($J$12-$J$9)*12,$J$6)+$J$13*_xlfn.XLOOKUP($K$13,'RE Calculations'!$B$12:$B$16,'RE Calculations'!$C$12:$C$16,"ERROR - Check Input")/12),0)</f>
        <v>0</v>
      </c>
      <c r="K281" s="142">
        <f t="shared" si="32"/>
        <v>0</v>
      </c>
      <c r="L281" s="142">
        <f>IF(I281&lt;=($J$9*12),$J$15,IFERROR(-IPMT($J$11,I281-$J$9*12,($J$12-$J$9)*12,$J$6)+$J$13*_xlfn.XLOOKUP($K$13,'RE Calculations'!$B$12:$B$16,'RE Calculations'!$C$12:$C$16,"ERROR - Check Input")/12,0))</f>
        <v>10</v>
      </c>
      <c r="M281" s="142">
        <f t="shared" si="33"/>
        <v>0</v>
      </c>
      <c r="P281" s="12">
        <v>259</v>
      </c>
      <c r="Q281" s="142">
        <f>IF(T280&gt;0.01,-PMT($Q$8,$Q$9*12,$Q$6)+$Q$10*_xlfn.XLOOKUP($R$10,'RE Calculations'!$B$12:$B$16,'RE Calculations'!$C$12:$C$16,"ERROR - Check Input")/12,0)</f>
        <v>0</v>
      </c>
      <c r="R281" s="142">
        <f t="shared" si="34"/>
        <v>0</v>
      </c>
      <c r="S281" s="142">
        <f>IFERROR(-IPMT($Q$8,P281,$Q$9*12,$Q$6)+$Q$10*_xlfn.XLOOKUP($R$10,'RE Calculations'!$B$12:$B$16,'RE Calculations'!$C$12:$C$16,"ERROR - Check Input")/12,0)</f>
        <v>8.3333333333333339</v>
      </c>
      <c r="T281" s="142">
        <f t="shared" si="35"/>
        <v>0</v>
      </c>
      <c r="W281" s="12">
        <v>259</v>
      </c>
      <c r="X281" s="142">
        <f>IF(AA280&gt;0.01,IF(W281&lt;=($X$9*12),$X$15,-PMT($X$11,($X$12-$X$9)*12,$X$6)+$X$13*_xlfn.XLOOKUP($Y$13,'RE Calculations'!$B$12:$B$16,'RE Calculations'!$C$12:$C$16,"ERROR - Check Input")/12),0)</f>
        <v>0</v>
      </c>
      <c r="Y281" s="142">
        <f t="shared" si="36"/>
        <v>0</v>
      </c>
      <c r="Z281" s="142">
        <f>IF(W281&lt;=($X$9*12),$X$15,IFERROR(-IPMT($X$11,W281-$X$9*12,($X$12-$X$9)*12,$X$6)+$X$13*_xlfn.XLOOKUP($Y$13,'RE Calculations'!$B$12:$B$16,'RE Calculations'!$C$12:$C$16,"ERROR - Check Input")/12,0))</f>
        <v>10</v>
      </c>
      <c r="AA281" s="142">
        <f t="shared" si="37"/>
        <v>0</v>
      </c>
    </row>
    <row r="282" spans="2:27" x14ac:dyDescent="0.35">
      <c r="B282" s="12">
        <v>260</v>
      </c>
      <c r="C282" s="142">
        <f>IF(F281&gt;0.01,-PMT($C$8,$C$9*12,$C$6)+$C$10*_xlfn.XLOOKUP($D$10,'RE Calculations'!$B$12:$B$16,'RE Calculations'!$C$12:$C$16,"ERROR - Check Input")/12,0)</f>
        <v>0</v>
      </c>
      <c r="D282" s="142">
        <f t="shared" si="38"/>
        <v>0</v>
      </c>
      <c r="E282" s="142">
        <f>IFERROR(-IPMT($C$8,B282,$C$9*12,$C$6)+$C$10*_xlfn.XLOOKUP($D$10,'RE Calculations'!$B$12:$B$16,'RE Calculations'!$C$12:$C$16,"ERROR - Check Input")/12,0)</f>
        <v>8.3333333333333339</v>
      </c>
      <c r="F282" s="142">
        <f t="shared" si="39"/>
        <v>0</v>
      </c>
      <c r="I282" s="12">
        <v>260</v>
      </c>
      <c r="J282" s="142">
        <f>IF(M281&gt;0.01,IF(I282&lt;=($J$9*12),$J$15,-PMT($J$11,($J$12-$J$9)*12,$J$6)+$J$13*_xlfn.XLOOKUP($K$13,'RE Calculations'!$B$12:$B$16,'RE Calculations'!$C$12:$C$16,"ERROR - Check Input")/12),0)</f>
        <v>0</v>
      </c>
      <c r="K282" s="142">
        <f t="shared" si="32"/>
        <v>0</v>
      </c>
      <c r="L282" s="142">
        <f>IF(I282&lt;=($J$9*12),$J$15,IFERROR(-IPMT($J$11,I282-$J$9*12,($J$12-$J$9)*12,$J$6)+$J$13*_xlfn.XLOOKUP($K$13,'RE Calculations'!$B$12:$B$16,'RE Calculations'!$C$12:$C$16,"ERROR - Check Input")/12,0))</f>
        <v>10</v>
      </c>
      <c r="M282" s="142">
        <f t="shared" si="33"/>
        <v>0</v>
      </c>
      <c r="P282" s="12">
        <v>260</v>
      </c>
      <c r="Q282" s="142">
        <f>IF(T281&gt;0.01,-PMT($Q$8,$Q$9*12,$Q$6)+$Q$10*_xlfn.XLOOKUP($R$10,'RE Calculations'!$B$12:$B$16,'RE Calculations'!$C$12:$C$16,"ERROR - Check Input")/12,0)</f>
        <v>0</v>
      </c>
      <c r="R282" s="142">
        <f t="shared" si="34"/>
        <v>0</v>
      </c>
      <c r="S282" s="142">
        <f>IFERROR(-IPMT($Q$8,P282,$Q$9*12,$Q$6)+$Q$10*_xlfn.XLOOKUP($R$10,'RE Calculations'!$B$12:$B$16,'RE Calculations'!$C$12:$C$16,"ERROR - Check Input")/12,0)</f>
        <v>8.3333333333333339</v>
      </c>
      <c r="T282" s="142">
        <f t="shared" si="35"/>
        <v>0</v>
      </c>
      <c r="W282" s="12">
        <v>260</v>
      </c>
      <c r="X282" s="142">
        <f>IF(AA281&gt;0.01,IF(W282&lt;=($X$9*12),$X$15,-PMT($X$11,($X$12-$X$9)*12,$X$6)+$X$13*_xlfn.XLOOKUP($Y$13,'RE Calculations'!$B$12:$B$16,'RE Calculations'!$C$12:$C$16,"ERROR - Check Input")/12),0)</f>
        <v>0</v>
      </c>
      <c r="Y282" s="142">
        <f t="shared" si="36"/>
        <v>0</v>
      </c>
      <c r="Z282" s="142">
        <f>IF(W282&lt;=($X$9*12),$X$15,IFERROR(-IPMT($X$11,W282-$X$9*12,($X$12-$X$9)*12,$X$6)+$X$13*_xlfn.XLOOKUP($Y$13,'RE Calculations'!$B$12:$B$16,'RE Calculations'!$C$12:$C$16,"ERROR - Check Input")/12,0))</f>
        <v>10</v>
      </c>
      <c r="AA282" s="142">
        <f t="shared" si="37"/>
        <v>0</v>
      </c>
    </row>
    <row r="283" spans="2:27" x14ac:dyDescent="0.35">
      <c r="B283" s="12">
        <v>261</v>
      </c>
      <c r="C283" s="142">
        <f>IF(F282&gt;0.01,-PMT($C$8,$C$9*12,$C$6)+$C$10*_xlfn.XLOOKUP($D$10,'RE Calculations'!$B$12:$B$16,'RE Calculations'!$C$12:$C$16,"ERROR - Check Input")/12,0)</f>
        <v>0</v>
      </c>
      <c r="D283" s="142">
        <f t="shared" si="38"/>
        <v>0</v>
      </c>
      <c r="E283" s="142">
        <f>IFERROR(-IPMT($C$8,B283,$C$9*12,$C$6)+$C$10*_xlfn.XLOOKUP($D$10,'RE Calculations'!$B$12:$B$16,'RE Calculations'!$C$12:$C$16,"ERROR - Check Input")/12,0)</f>
        <v>8.3333333333333339</v>
      </c>
      <c r="F283" s="142">
        <f t="shared" si="39"/>
        <v>0</v>
      </c>
      <c r="I283" s="12">
        <v>261</v>
      </c>
      <c r="J283" s="142">
        <f>IF(M282&gt;0.01,IF(I283&lt;=($J$9*12),$J$15,-PMT($J$11,($J$12-$J$9)*12,$J$6)+$J$13*_xlfn.XLOOKUP($K$13,'RE Calculations'!$B$12:$B$16,'RE Calculations'!$C$12:$C$16,"ERROR - Check Input")/12),0)</f>
        <v>0</v>
      </c>
      <c r="K283" s="142">
        <f t="shared" si="32"/>
        <v>0</v>
      </c>
      <c r="L283" s="142">
        <f>IF(I283&lt;=($J$9*12),$J$15,IFERROR(-IPMT($J$11,I283-$J$9*12,($J$12-$J$9)*12,$J$6)+$J$13*_xlfn.XLOOKUP($K$13,'RE Calculations'!$B$12:$B$16,'RE Calculations'!$C$12:$C$16,"ERROR - Check Input")/12,0))</f>
        <v>10</v>
      </c>
      <c r="M283" s="142">
        <f t="shared" si="33"/>
        <v>0</v>
      </c>
      <c r="P283" s="12">
        <v>261</v>
      </c>
      <c r="Q283" s="142">
        <f>IF(T282&gt;0.01,-PMT($Q$8,$Q$9*12,$Q$6)+$Q$10*_xlfn.XLOOKUP($R$10,'RE Calculations'!$B$12:$B$16,'RE Calculations'!$C$12:$C$16,"ERROR - Check Input")/12,0)</f>
        <v>0</v>
      </c>
      <c r="R283" s="142">
        <f t="shared" si="34"/>
        <v>0</v>
      </c>
      <c r="S283" s="142">
        <f>IFERROR(-IPMT($Q$8,P283,$Q$9*12,$Q$6)+$Q$10*_xlfn.XLOOKUP($R$10,'RE Calculations'!$B$12:$B$16,'RE Calculations'!$C$12:$C$16,"ERROR - Check Input")/12,0)</f>
        <v>8.3333333333333339</v>
      </c>
      <c r="T283" s="142">
        <f t="shared" si="35"/>
        <v>0</v>
      </c>
      <c r="W283" s="12">
        <v>261</v>
      </c>
      <c r="X283" s="142">
        <f>IF(AA282&gt;0.01,IF(W283&lt;=($X$9*12),$X$15,-PMT($X$11,($X$12-$X$9)*12,$X$6)+$X$13*_xlfn.XLOOKUP($Y$13,'RE Calculations'!$B$12:$B$16,'RE Calculations'!$C$12:$C$16,"ERROR - Check Input")/12),0)</f>
        <v>0</v>
      </c>
      <c r="Y283" s="142">
        <f t="shared" si="36"/>
        <v>0</v>
      </c>
      <c r="Z283" s="142">
        <f>IF(W283&lt;=($X$9*12),$X$15,IFERROR(-IPMT($X$11,W283-$X$9*12,($X$12-$X$9)*12,$X$6)+$X$13*_xlfn.XLOOKUP($Y$13,'RE Calculations'!$B$12:$B$16,'RE Calculations'!$C$12:$C$16,"ERROR - Check Input")/12,0))</f>
        <v>10</v>
      </c>
      <c r="AA283" s="142">
        <f t="shared" si="37"/>
        <v>0</v>
      </c>
    </row>
    <row r="284" spans="2:27" x14ac:dyDescent="0.35">
      <c r="B284" s="12">
        <v>262</v>
      </c>
      <c r="C284" s="142">
        <f>IF(F283&gt;0.01,-PMT($C$8,$C$9*12,$C$6)+$C$10*_xlfn.XLOOKUP($D$10,'RE Calculations'!$B$12:$B$16,'RE Calculations'!$C$12:$C$16,"ERROR - Check Input")/12,0)</f>
        <v>0</v>
      </c>
      <c r="D284" s="142">
        <f t="shared" si="38"/>
        <v>0</v>
      </c>
      <c r="E284" s="142">
        <f>IFERROR(-IPMT($C$8,B284,$C$9*12,$C$6)+$C$10*_xlfn.XLOOKUP($D$10,'RE Calculations'!$B$12:$B$16,'RE Calculations'!$C$12:$C$16,"ERROR - Check Input")/12,0)</f>
        <v>8.3333333333333339</v>
      </c>
      <c r="F284" s="142">
        <f t="shared" si="39"/>
        <v>0</v>
      </c>
      <c r="I284" s="12">
        <v>262</v>
      </c>
      <c r="J284" s="142">
        <f>IF(M283&gt;0.01,IF(I284&lt;=($J$9*12),$J$15,-PMT($J$11,($J$12-$J$9)*12,$J$6)+$J$13*_xlfn.XLOOKUP($K$13,'RE Calculations'!$B$12:$B$16,'RE Calculations'!$C$12:$C$16,"ERROR - Check Input")/12),0)</f>
        <v>0</v>
      </c>
      <c r="K284" s="142">
        <f t="shared" si="32"/>
        <v>0</v>
      </c>
      <c r="L284" s="142">
        <f>IF(I284&lt;=($J$9*12),$J$15,IFERROR(-IPMT($J$11,I284-$J$9*12,($J$12-$J$9)*12,$J$6)+$J$13*_xlfn.XLOOKUP($K$13,'RE Calculations'!$B$12:$B$16,'RE Calculations'!$C$12:$C$16,"ERROR - Check Input")/12,0))</f>
        <v>10</v>
      </c>
      <c r="M284" s="142">
        <f t="shared" si="33"/>
        <v>0</v>
      </c>
      <c r="P284" s="12">
        <v>262</v>
      </c>
      <c r="Q284" s="142">
        <f>IF(T283&gt;0.01,-PMT($Q$8,$Q$9*12,$Q$6)+$Q$10*_xlfn.XLOOKUP($R$10,'RE Calculations'!$B$12:$B$16,'RE Calculations'!$C$12:$C$16,"ERROR - Check Input")/12,0)</f>
        <v>0</v>
      </c>
      <c r="R284" s="142">
        <f t="shared" si="34"/>
        <v>0</v>
      </c>
      <c r="S284" s="142">
        <f>IFERROR(-IPMT($Q$8,P284,$Q$9*12,$Q$6)+$Q$10*_xlfn.XLOOKUP($R$10,'RE Calculations'!$B$12:$B$16,'RE Calculations'!$C$12:$C$16,"ERROR - Check Input")/12,0)</f>
        <v>8.3333333333333339</v>
      </c>
      <c r="T284" s="142">
        <f t="shared" si="35"/>
        <v>0</v>
      </c>
      <c r="W284" s="12">
        <v>262</v>
      </c>
      <c r="X284" s="142">
        <f>IF(AA283&gt;0.01,IF(W284&lt;=($X$9*12),$X$15,-PMT($X$11,($X$12-$X$9)*12,$X$6)+$X$13*_xlfn.XLOOKUP($Y$13,'RE Calculations'!$B$12:$B$16,'RE Calculations'!$C$12:$C$16,"ERROR - Check Input")/12),0)</f>
        <v>0</v>
      </c>
      <c r="Y284" s="142">
        <f t="shared" si="36"/>
        <v>0</v>
      </c>
      <c r="Z284" s="142">
        <f>IF(W284&lt;=($X$9*12),$X$15,IFERROR(-IPMT($X$11,W284-$X$9*12,($X$12-$X$9)*12,$X$6)+$X$13*_xlfn.XLOOKUP($Y$13,'RE Calculations'!$B$12:$B$16,'RE Calculations'!$C$12:$C$16,"ERROR - Check Input")/12,0))</f>
        <v>10</v>
      </c>
      <c r="AA284" s="142">
        <f t="shared" si="37"/>
        <v>0</v>
      </c>
    </row>
    <row r="285" spans="2:27" x14ac:dyDescent="0.35">
      <c r="B285" s="12">
        <v>263</v>
      </c>
      <c r="C285" s="142">
        <f>IF(F284&gt;0.01,-PMT($C$8,$C$9*12,$C$6)+$C$10*_xlfn.XLOOKUP($D$10,'RE Calculations'!$B$12:$B$16,'RE Calculations'!$C$12:$C$16,"ERROR - Check Input")/12,0)</f>
        <v>0</v>
      </c>
      <c r="D285" s="142">
        <f t="shared" si="38"/>
        <v>0</v>
      </c>
      <c r="E285" s="142">
        <f>IFERROR(-IPMT($C$8,B285,$C$9*12,$C$6)+$C$10*_xlfn.XLOOKUP($D$10,'RE Calculations'!$B$12:$B$16,'RE Calculations'!$C$12:$C$16,"ERROR - Check Input")/12,0)</f>
        <v>8.3333333333333339</v>
      </c>
      <c r="F285" s="142">
        <f t="shared" si="39"/>
        <v>0</v>
      </c>
      <c r="I285" s="12">
        <v>263</v>
      </c>
      <c r="J285" s="142">
        <f>IF(M284&gt;0.01,IF(I285&lt;=($J$9*12),$J$15,-PMT($J$11,($J$12-$J$9)*12,$J$6)+$J$13*_xlfn.XLOOKUP($K$13,'RE Calculations'!$B$12:$B$16,'RE Calculations'!$C$12:$C$16,"ERROR - Check Input")/12),0)</f>
        <v>0</v>
      </c>
      <c r="K285" s="142">
        <f t="shared" si="32"/>
        <v>0</v>
      </c>
      <c r="L285" s="142">
        <f>IF(I285&lt;=($J$9*12),$J$15,IFERROR(-IPMT($J$11,I285-$J$9*12,($J$12-$J$9)*12,$J$6)+$J$13*_xlfn.XLOOKUP($K$13,'RE Calculations'!$B$12:$B$16,'RE Calculations'!$C$12:$C$16,"ERROR - Check Input")/12,0))</f>
        <v>10</v>
      </c>
      <c r="M285" s="142">
        <f t="shared" si="33"/>
        <v>0</v>
      </c>
      <c r="P285" s="12">
        <v>263</v>
      </c>
      <c r="Q285" s="142">
        <f>IF(T284&gt;0.01,-PMT($Q$8,$Q$9*12,$Q$6)+$Q$10*_xlfn.XLOOKUP($R$10,'RE Calculations'!$B$12:$B$16,'RE Calculations'!$C$12:$C$16,"ERROR - Check Input")/12,0)</f>
        <v>0</v>
      </c>
      <c r="R285" s="142">
        <f t="shared" si="34"/>
        <v>0</v>
      </c>
      <c r="S285" s="142">
        <f>IFERROR(-IPMT($Q$8,P285,$Q$9*12,$Q$6)+$Q$10*_xlfn.XLOOKUP($R$10,'RE Calculations'!$B$12:$B$16,'RE Calculations'!$C$12:$C$16,"ERROR - Check Input")/12,0)</f>
        <v>8.3333333333333339</v>
      </c>
      <c r="T285" s="142">
        <f t="shared" si="35"/>
        <v>0</v>
      </c>
      <c r="W285" s="12">
        <v>263</v>
      </c>
      <c r="X285" s="142">
        <f>IF(AA284&gt;0.01,IF(W285&lt;=($X$9*12),$X$15,-PMT($X$11,($X$12-$X$9)*12,$X$6)+$X$13*_xlfn.XLOOKUP($Y$13,'RE Calculations'!$B$12:$B$16,'RE Calculations'!$C$12:$C$16,"ERROR - Check Input")/12),0)</f>
        <v>0</v>
      </c>
      <c r="Y285" s="142">
        <f t="shared" si="36"/>
        <v>0</v>
      </c>
      <c r="Z285" s="142">
        <f>IF(W285&lt;=($X$9*12),$X$15,IFERROR(-IPMT($X$11,W285-$X$9*12,($X$12-$X$9)*12,$X$6)+$X$13*_xlfn.XLOOKUP($Y$13,'RE Calculations'!$B$12:$B$16,'RE Calculations'!$C$12:$C$16,"ERROR - Check Input")/12,0))</f>
        <v>10</v>
      </c>
      <c r="AA285" s="142">
        <f t="shared" si="37"/>
        <v>0</v>
      </c>
    </row>
    <row r="286" spans="2:27" x14ac:dyDescent="0.35">
      <c r="B286" s="12">
        <v>264</v>
      </c>
      <c r="C286" s="142">
        <f>IF(F285&gt;0.01,-PMT($C$8,$C$9*12,$C$6)+$C$10*_xlfn.XLOOKUP($D$10,'RE Calculations'!$B$12:$B$16,'RE Calculations'!$C$12:$C$16,"ERROR - Check Input")/12,0)</f>
        <v>0</v>
      </c>
      <c r="D286" s="142">
        <f t="shared" si="38"/>
        <v>0</v>
      </c>
      <c r="E286" s="142">
        <f>IFERROR(-IPMT($C$8,B286,$C$9*12,$C$6)+$C$10*_xlfn.XLOOKUP($D$10,'RE Calculations'!$B$12:$B$16,'RE Calculations'!$C$12:$C$16,"ERROR - Check Input")/12,0)</f>
        <v>8.3333333333333339</v>
      </c>
      <c r="F286" s="142">
        <f t="shared" si="39"/>
        <v>0</v>
      </c>
      <c r="I286" s="12">
        <v>264</v>
      </c>
      <c r="J286" s="142">
        <f>IF(M285&gt;0.01,IF(I286&lt;=($J$9*12),$J$15,-PMT($J$11,($J$12-$J$9)*12,$J$6)+$J$13*_xlfn.XLOOKUP($K$13,'RE Calculations'!$B$12:$B$16,'RE Calculations'!$C$12:$C$16,"ERROR - Check Input")/12),0)</f>
        <v>0</v>
      </c>
      <c r="K286" s="142">
        <f t="shared" si="32"/>
        <v>0</v>
      </c>
      <c r="L286" s="142">
        <f>IF(I286&lt;=($J$9*12),$J$15,IFERROR(-IPMT($J$11,I286-$J$9*12,($J$12-$J$9)*12,$J$6)+$J$13*_xlfn.XLOOKUP($K$13,'RE Calculations'!$B$12:$B$16,'RE Calculations'!$C$12:$C$16,"ERROR - Check Input")/12,0))</f>
        <v>10</v>
      </c>
      <c r="M286" s="142">
        <f t="shared" si="33"/>
        <v>0</v>
      </c>
      <c r="P286" s="12">
        <v>264</v>
      </c>
      <c r="Q286" s="142">
        <f>IF(T285&gt;0.01,-PMT($Q$8,$Q$9*12,$Q$6)+$Q$10*_xlfn.XLOOKUP($R$10,'RE Calculations'!$B$12:$B$16,'RE Calculations'!$C$12:$C$16,"ERROR - Check Input")/12,0)</f>
        <v>0</v>
      </c>
      <c r="R286" s="142">
        <f t="shared" si="34"/>
        <v>0</v>
      </c>
      <c r="S286" s="142">
        <f>IFERROR(-IPMT($Q$8,P286,$Q$9*12,$Q$6)+$Q$10*_xlfn.XLOOKUP($R$10,'RE Calculations'!$B$12:$B$16,'RE Calculations'!$C$12:$C$16,"ERROR - Check Input")/12,0)</f>
        <v>8.3333333333333339</v>
      </c>
      <c r="T286" s="142">
        <f t="shared" si="35"/>
        <v>0</v>
      </c>
      <c r="W286" s="12">
        <v>264</v>
      </c>
      <c r="X286" s="142">
        <f>IF(AA285&gt;0.01,IF(W286&lt;=($X$9*12),$X$15,-PMT($X$11,($X$12-$X$9)*12,$X$6)+$X$13*_xlfn.XLOOKUP($Y$13,'RE Calculations'!$B$12:$B$16,'RE Calculations'!$C$12:$C$16,"ERROR - Check Input")/12),0)</f>
        <v>0</v>
      </c>
      <c r="Y286" s="142">
        <f t="shared" si="36"/>
        <v>0</v>
      </c>
      <c r="Z286" s="142">
        <f>IF(W286&lt;=($X$9*12),$X$15,IFERROR(-IPMT($X$11,W286-$X$9*12,($X$12-$X$9)*12,$X$6)+$X$13*_xlfn.XLOOKUP($Y$13,'RE Calculations'!$B$12:$B$16,'RE Calculations'!$C$12:$C$16,"ERROR - Check Input")/12,0))</f>
        <v>10</v>
      </c>
      <c r="AA286" s="142">
        <f t="shared" si="37"/>
        <v>0</v>
      </c>
    </row>
    <row r="287" spans="2:27" x14ac:dyDescent="0.35">
      <c r="B287" s="12">
        <v>265</v>
      </c>
      <c r="C287" s="142">
        <f>IF(F286&gt;0.01,-PMT($C$8,$C$9*12,$C$6)+$C$10*_xlfn.XLOOKUP($D$10,'RE Calculations'!$B$12:$B$16,'RE Calculations'!$C$12:$C$16,"ERROR - Check Input")/12,0)</f>
        <v>0</v>
      </c>
      <c r="D287" s="142">
        <f t="shared" si="38"/>
        <v>0</v>
      </c>
      <c r="E287" s="142">
        <f>IFERROR(-IPMT($C$8,B287,$C$9*12,$C$6)+$C$10*_xlfn.XLOOKUP($D$10,'RE Calculations'!$B$12:$B$16,'RE Calculations'!$C$12:$C$16,"ERROR - Check Input")/12,0)</f>
        <v>8.3333333333333339</v>
      </c>
      <c r="F287" s="142">
        <f t="shared" si="39"/>
        <v>0</v>
      </c>
      <c r="I287" s="12">
        <v>265</v>
      </c>
      <c r="J287" s="142">
        <f>IF(M286&gt;0.01,IF(I287&lt;=($J$9*12),$J$15,-PMT($J$11,($J$12-$J$9)*12,$J$6)+$J$13*_xlfn.XLOOKUP($K$13,'RE Calculations'!$B$12:$B$16,'RE Calculations'!$C$12:$C$16,"ERROR - Check Input")/12),0)</f>
        <v>0</v>
      </c>
      <c r="K287" s="142">
        <f t="shared" si="32"/>
        <v>0</v>
      </c>
      <c r="L287" s="142">
        <f>IF(I287&lt;=($J$9*12),$J$15,IFERROR(-IPMT($J$11,I287-$J$9*12,($J$12-$J$9)*12,$J$6)+$J$13*_xlfn.XLOOKUP($K$13,'RE Calculations'!$B$12:$B$16,'RE Calculations'!$C$12:$C$16,"ERROR - Check Input")/12,0))</f>
        <v>10</v>
      </c>
      <c r="M287" s="142">
        <f t="shared" si="33"/>
        <v>0</v>
      </c>
      <c r="P287" s="12">
        <v>265</v>
      </c>
      <c r="Q287" s="142">
        <f>IF(T286&gt;0.01,-PMT($Q$8,$Q$9*12,$Q$6)+$Q$10*_xlfn.XLOOKUP($R$10,'RE Calculations'!$B$12:$B$16,'RE Calculations'!$C$12:$C$16,"ERROR - Check Input")/12,0)</f>
        <v>0</v>
      </c>
      <c r="R287" s="142">
        <f t="shared" si="34"/>
        <v>0</v>
      </c>
      <c r="S287" s="142">
        <f>IFERROR(-IPMT($Q$8,P287,$Q$9*12,$Q$6)+$Q$10*_xlfn.XLOOKUP($R$10,'RE Calculations'!$B$12:$B$16,'RE Calculations'!$C$12:$C$16,"ERROR - Check Input")/12,0)</f>
        <v>8.3333333333333339</v>
      </c>
      <c r="T287" s="142">
        <f t="shared" si="35"/>
        <v>0</v>
      </c>
      <c r="W287" s="12">
        <v>265</v>
      </c>
      <c r="X287" s="142">
        <f>IF(AA286&gt;0.01,IF(W287&lt;=($X$9*12),$X$15,-PMT($X$11,($X$12-$X$9)*12,$X$6)+$X$13*_xlfn.XLOOKUP($Y$13,'RE Calculations'!$B$12:$B$16,'RE Calculations'!$C$12:$C$16,"ERROR - Check Input")/12),0)</f>
        <v>0</v>
      </c>
      <c r="Y287" s="142">
        <f t="shared" si="36"/>
        <v>0</v>
      </c>
      <c r="Z287" s="142">
        <f>IF(W287&lt;=($X$9*12),$X$15,IFERROR(-IPMT($X$11,W287-$X$9*12,($X$12-$X$9)*12,$X$6)+$X$13*_xlfn.XLOOKUP($Y$13,'RE Calculations'!$B$12:$B$16,'RE Calculations'!$C$12:$C$16,"ERROR - Check Input")/12,0))</f>
        <v>10</v>
      </c>
      <c r="AA287" s="142">
        <f t="shared" si="37"/>
        <v>0</v>
      </c>
    </row>
    <row r="288" spans="2:27" x14ac:dyDescent="0.35">
      <c r="B288" s="12">
        <v>266</v>
      </c>
      <c r="C288" s="142">
        <f>IF(F287&gt;0.01,-PMT($C$8,$C$9*12,$C$6)+$C$10*_xlfn.XLOOKUP($D$10,'RE Calculations'!$B$12:$B$16,'RE Calculations'!$C$12:$C$16,"ERROR - Check Input")/12,0)</f>
        <v>0</v>
      </c>
      <c r="D288" s="142">
        <f t="shared" si="38"/>
        <v>0</v>
      </c>
      <c r="E288" s="142">
        <f>IFERROR(-IPMT($C$8,B288,$C$9*12,$C$6)+$C$10*_xlfn.XLOOKUP($D$10,'RE Calculations'!$B$12:$B$16,'RE Calculations'!$C$12:$C$16,"ERROR - Check Input")/12,0)</f>
        <v>8.3333333333333339</v>
      </c>
      <c r="F288" s="142">
        <f t="shared" si="39"/>
        <v>0</v>
      </c>
      <c r="I288" s="12">
        <v>266</v>
      </c>
      <c r="J288" s="142">
        <f>IF(M287&gt;0.01,IF(I288&lt;=($J$9*12),$J$15,-PMT($J$11,($J$12-$J$9)*12,$J$6)+$J$13*_xlfn.XLOOKUP($K$13,'RE Calculations'!$B$12:$B$16,'RE Calculations'!$C$12:$C$16,"ERROR - Check Input")/12),0)</f>
        <v>0</v>
      </c>
      <c r="K288" s="142">
        <f t="shared" si="32"/>
        <v>0</v>
      </c>
      <c r="L288" s="142">
        <f>IF(I288&lt;=($J$9*12),$J$15,IFERROR(-IPMT($J$11,I288-$J$9*12,($J$12-$J$9)*12,$J$6)+$J$13*_xlfn.XLOOKUP($K$13,'RE Calculations'!$B$12:$B$16,'RE Calculations'!$C$12:$C$16,"ERROR - Check Input")/12,0))</f>
        <v>10</v>
      </c>
      <c r="M288" s="142">
        <f t="shared" si="33"/>
        <v>0</v>
      </c>
      <c r="P288" s="12">
        <v>266</v>
      </c>
      <c r="Q288" s="142">
        <f>IF(T287&gt;0.01,-PMT($Q$8,$Q$9*12,$Q$6)+$Q$10*_xlfn.XLOOKUP($R$10,'RE Calculations'!$B$12:$B$16,'RE Calculations'!$C$12:$C$16,"ERROR - Check Input")/12,0)</f>
        <v>0</v>
      </c>
      <c r="R288" s="142">
        <f t="shared" si="34"/>
        <v>0</v>
      </c>
      <c r="S288" s="142">
        <f>IFERROR(-IPMT($Q$8,P288,$Q$9*12,$Q$6)+$Q$10*_xlfn.XLOOKUP($R$10,'RE Calculations'!$B$12:$B$16,'RE Calculations'!$C$12:$C$16,"ERROR - Check Input")/12,0)</f>
        <v>8.3333333333333339</v>
      </c>
      <c r="T288" s="142">
        <f t="shared" si="35"/>
        <v>0</v>
      </c>
      <c r="W288" s="12">
        <v>266</v>
      </c>
      <c r="X288" s="142">
        <f>IF(AA287&gt;0.01,IF(W288&lt;=($X$9*12),$X$15,-PMT($X$11,($X$12-$X$9)*12,$X$6)+$X$13*_xlfn.XLOOKUP($Y$13,'RE Calculations'!$B$12:$B$16,'RE Calculations'!$C$12:$C$16,"ERROR - Check Input")/12),0)</f>
        <v>0</v>
      </c>
      <c r="Y288" s="142">
        <f t="shared" si="36"/>
        <v>0</v>
      </c>
      <c r="Z288" s="142">
        <f>IF(W288&lt;=($X$9*12),$X$15,IFERROR(-IPMT($X$11,W288-$X$9*12,($X$12-$X$9)*12,$X$6)+$X$13*_xlfn.XLOOKUP($Y$13,'RE Calculations'!$B$12:$B$16,'RE Calculations'!$C$12:$C$16,"ERROR - Check Input")/12,0))</f>
        <v>10</v>
      </c>
      <c r="AA288" s="142">
        <f t="shared" si="37"/>
        <v>0</v>
      </c>
    </row>
    <row r="289" spans="2:27" x14ac:dyDescent="0.35">
      <c r="B289" s="12">
        <v>267</v>
      </c>
      <c r="C289" s="142">
        <f>IF(F288&gt;0.01,-PMT($C$8,$C$9*12,$C$6)+$C$10*_xlfn.XLOOKUP($D$10,'RE Calculations'!$B$12:$B$16,'RE Calculations'!$C$12:$C$16,"ERROR - Check Input")/12,0)</f>
        <v>0</v>
      </c>
      <c r="D289" s="142">
        <f t="shared" si="38"/>
        <v>0</v>
      </c>
      <c r="E289" s="142">
        <f>IFERROR(-IPMT($C$8,B289,$C$9*12,$C$6)+$C$10*_xlfn.XLOOKUP($D$10,'RE Calculations'!$B$12:$B$16,'RE Calculations'!$C$12:$C$16,"ERROR - Check Input")/12,0)</f>
        <v>8.3333333333333339</v>
      </c>
      <c r="F289" s="142">
        <f t="shared" si="39"/>
        <v>0</v>
      </c>
      <c r="I289" s="12">
        <v>267</v>
      </c>
      <c r="J289" s="142">
        <f>IF(M288&gt;0.01,IF(I289&lt;=($J$9*12),$J$15,-PMT($J$11,($J$12-$J$9)*12,$J$6)+$J$13*_xlfn.XLOOKUP($K$13,'RE Calculations'!$B$12:$B$16,'RE Calculations'!$C$12:$C$16,"ERROR - Check Input")/12),0)</f>
        <v>0</v>
      </c>
      <c r="K289" s="142">
        <f t="shared" si="32"/>
        <v>0</v>
      </c>
      <c r="L289" s="142">
        <f>IF(I289&lt;=($J$9*12),$J$15,IFERROR(-IPMT($J$11,I289-$J$9*12,($J$12-$J$9)*12,$J$6)+$J$13*_xlfn.XLOOKUP($K$13,'RE Calculations'!$B$12:$B$16,'RE Calculations'!$C$12:$C$16,"ERROR - Check Input")/12,0))</f>
        <v>10</v>
      </c>
      <c r="M289" s="142">
        <f t="shared" si="33"/>
        <v>0</v>
      </c>
      <c r="P289" s="12">
        <v>267</v>
      </c>
      <c r="Q289" s="142">
        <f>IF(T288&gt;0.01,-PMT($Q$8,$Q$9*12,$Q$6)+$Q$10*_xlfn.XLOOKUP($R$10,'RE Calculations'!$B$12:$B$16,'RE Calculations'!$C$12:$C$16,"ERROR - Check Input")/12,0)</f>
        <v>0</v>
      </c>
      <c r="R289" s="142">
        <f t="shared" si="34"/>
        <v>0</v>
      </c>
      <c r="S289" s="142">
        <f>IFERROR(-IPMT($Q$8,P289,$Q$9*12,$Q$6)+$Q$10*_xlfn.XLOOKUP($R$10,'RE Calculations'!$B$12:$B$16,'RE Calculations'!$C$12:$C$16,"ERROR - Check Input")/12,0)</f>
        <v>8.3333333333333339</v>
      </c>
      <c r="T289" s="142">
        <f t="shared" si="35"/>
        <v>0</v>
      </c>
      <c r="W289" s="12">
        <v>267</v>
      </c>
      <c r="X289" s="142">
        <f>IF(AA288&gt;0.01,IF(W289&lt;=($X$9*12),$X$15,-PMT($X$11,($X$12-$X$9)*12,$X$6)+$X$13*_xlfn.XLOOKUP($Y$13,'RE Calculations'!$B$12:$B$16,'RE Calculations'!$C$12:$C$16,"ERROR - Check Input")/12),0)</f>
        <v>0</v>
      </c>
      <c r="Y289" s="142">
        <f t="shared" si="36"/>
        <v>0</v>
      </c>
      <c r="Z289" s="142">
        <f>IF(W289&lt;=($X$9*12),$X$15,IFERROR(-IPMT($X$11,W289-$X$9*12,($X$12-$X$9)*12,$X$6)+$X$13*_xlfn.XLOOKUP($Y$13,'RE Calculations'!$B$12:$B$16,'RE Calculations'!$C$12:$C$16,"ERROR - Check Input")/12,0))</f>
        <v>10</v>
      </c>
      <c r="AA289" s="142">
        <f t="shared" si="37"/>
        <v>0</v>
      </c>
    </row>
    <row r="290" spans="2:27" x14ac:dyDescent="0.35">
      <c r="B290" s="12">
        <v>268</v>
      </c>
      <c r="C290" s="142">
        <f>IF(F289&gt;0.01,-PMT($C$8,$C$9*12,$C$6)+$C$10*_xlfn.XLOOKUP($D$10,'RE Calculations'!$B$12:$B$16,'RE Calculations'!$C$12:$C$16,"ERROR - Check Input")/12,0)</f>
        <v>0</v>
      </c>
      <c r="D290" s="142">
        <f t="shared" si="38"/>
        <v>0</v>
      </c>
      <c r="E290" s="142">
        <f>IFERROR(-IPMT($C$8,B290,$C$9*12,$C$6)+$C$10*_xlfn.XLOOKUP($D$10,'RE Calculations'!$B$12:$B$16,'RE Calculations'!$C$12:$C$16,"ERROR - Check Input")/12,0)</f>
        <v>8.3333333333333339</v>
      </c>
      <c r="F290" s="142">
        <f t="shared" si="39"/>
        <v>0</v>
      </c>
      <c r="I290" s="12">
        <v>268</v>
      </c>
      <c r="J290" s="142">
        <f>IF(M289&gt;0.01,IF(I290&lt;=($J$9*12),$J$15,-PMT($J$11,($J$12-$J$9)*12,$J$6)+$J$13*_xlfn.XLOOKUP($K$13,'RE Calculations'!$B$12:$B$16,'RE Calculations'!$C$12:$C$16,"ERROR - Check Input")/12),0)</f>
        <v>0</v>
      </c>
      <c r="K290" s="142">
        <f t="shared" si="32"/>
        <v>0</v>
      </c>
      <c r="L290" s="142">
        <f>IF(I290&lt;=($J$9*12),$J$15,IFERROR(-IPMT($J$11,I290-$J$9*12,($J$12-$J$9)*12,$J$6)+$J$13*_xlfn.XLOOKUP($K$13,'RE Calculations'!$B$12:$B$16,'RE Calculations'!$C$12:$C$16,"ERROR - Check Input")/12,0))</f>
        <v>10</v>
      </c>
      <c r="M290" s="142">
        <f t="shared" si="33"/>
        <v>0</v>
      </c>
      <c r="P290" s="12">
        <v>268</v>
      </c>
      <c r="Q290" s="142">
        <f>IF(T289&gt;0.01,-PMT($Q$8,$Q$9*12,$Q$6)+$Q$10*_xlfn.XLOOKUP($R$10,'RE Calculations'!$B$12:$B$16,'RE Calculations'!$C$12:$C$16,"ERROR - Check Input")/12,0)</f>
        <v>0</v>
      </c>
      <c r="R290" s="142">
        <f t="shared" si="34"/>
        <v>0</v>
      </c>
      <c r="S290" s="142">
        <f>IFERROR(-IPMT($Q$8,P290,$Q$9*12,$Q$6)+$Q$10*_xlfn.XLOOKUP($R$10,'RE Calculations'!$B$12:$B$16,'RE Calculations'!$C$12:$C$16,"ERROR - Check Input")/12,0)</f>
        <v>8.3333333333333339</v>
      </c>
      <c r="T290" s="142">
        <f t="shared" si="35"/>
        <v>0</v>
      </c>
      <c r="W290" s="12">
        <v>268</v>
      </c>
      <c r="X290" s="142">
        <f>IF(AA289&gt;0.01,IF(W290&lt;=($X$9*12),$X$15,-PMT($X$11,($X$12-$X$9)*12,$X$6)+$X$13*_xlfn.XLOOKUP($Y$13,'RE Calculations'!$B$12:$B$16,'RE Calculations'!$C$12:$C$16,"ERROR - Check Input")/12),0)</f>
        <v>0</v>
      </c>
      <c r="Y290" s="142">
        <f t="shared" si="36"/>
        <v>0</v>
      </c>
      <c r="Z290" s="142">
        <f>IF(W290&lt;=($X$9*12),$X$15,IFERROR(-IPMT($X$11,W290-$X$9*12,($X$12-$X$9)*12,$X$6)+$X$13*_xlfn.XLOOKUP($Y$13,'RE Calculations'!$B$12:$B$16,'RE Calculations'!$C$12:$C$16,"ERROR - Check Input")/12,0))</f>
        <v>10</v>
      </c>
      <c r="AA290" s="142">
        <f t="shared" si="37"/>
        <v>0</v>
      </c>
    </row>
    <row r="291" spans="2:27" x14ac:dyDescent="0.35">
      <c r="B291" s="12">
        <v>269</v>
      </c>
      <c r="C291" s="142">
        <f>IF(F290&gt;0.01,-PMT($C$8,$C$9*12,$C$6)+$C$10*_xlfn.XLOOKUP($D$10,'RE Calculations'!$B$12:$B$16,'RE Calculations'!$C$12:$C$16,"ERROR - Check Input")/12,0)</f>
        <v>0</v>
      </c>
      <c r="D291" s="142">
        <f t="shared" si="38"/>
        <v>0</v>
      </c>
      <c r="E291" s="142">
        <f>IFERROR(-IPMT($C$8,B291,$C$9*12,$C$6)+$C$10*_xlfn.XLOOKUP($D$10,'RE Calculations'!$B$12:$B$16,'RE Calculations'!$C$12:$C$16,"ERROR - Check Input")/12,0)</f>
        <v>8.3333333333333339</v>
      </c>
      <c r="F291" s="142">
        <f t="shared" si="39"/>
        <v>0</v>
      </c>
      <c r="I291" s="12">
        <v>269</v>
      </c>
      <c r="J291" s="142">
        <f>IF(M290&gt;0.01,IF(I291&lt;=($J$9*12),$J$15,-PMT($J$11,($J$12-$J$9)*12,$J$6)+$J$13*_xlfn.XLOOKUP($K$13,'RE Calculations'!$B$12:$B$16,'RE Calculations'!$C$12:$C$16,"ERROR - Check Input")/12),0)</f>
        <v>0</v>
      </c>
      <c r="K291" s="142">
        <f t="shared" si="32"/>
        <v>0</v>
      </c>
      <c r="L291" s="142">
        <f>IF(I291&lt;=($J$9*12),$J$15,IFERROR(-IPMT($J$11,I291-$J$9*12,($J$12-$J$9)*12,$J$6)+$J$13*_xlfn.XLOOKUP($K$13,'RE Calculations'!$B$12:$B$16,'RE Calculations'!$C$12:$C$16,"ERROR - Check Input")/12,0))</f>
        <v>10</v>
      </c>
      <c r="M291" s="142">
        <f t="shared" si="33"/>
        <v>0</v>
      </c>
      <c r="P291" s="12">
        <v>269</v>
      </c>
      <c r="Q291" s="142">
        <f>IF(T290&gt;0.01,-PMT($Q$8,$Q$9*12,$Q$6)+$Q$10*_xlfn.XLOOKUP($R$10,'RE Calculations'!$B$12:$B$16,'RE Calculations'!$C$12:$C$16,"ERROR - Check Input")/12,0)</f>
        <v>0</v>
      </c>
      <c r="R291" s="142">
        <f t="shared" si="34"/>
        <v>0</v>
      </c>
      <c r="S291" s="142">
        <f>IFERROR(-IPMT($Q$8,P291,$Q$9*12,$Q$6)+$Q$10*_xlfn.XLOOKUP($R$10,'RE Calculations'!$B$12:$B$16,'RE Calculations'!$C$12:$C$16,"ERROR - Check Input")/12,0)</f>
        <v>8.3333333333333339</v>
      </c>
      <c r="T291" s="142">
        <f t="shared" si="35"/>
        <v>0</v>
      </c>
      <c r="W291" s="12">
        <v>269</v>
      </c>
      <c r="X291" s="142">
        <f>IF(AA290&gt;0.01,IF(W291&lt;=($X$9*12),$X$15,-PMT($X$11,($X$12-$X$9)*12,$X$6)+$X$13*_xlfn.XLOOKUP($Y$13,'RE Calculations'!$B$12:$B$16,'RE Calculations'!$C$12:$C$16,"ERROR - Check Input")/12),0)</f>
        <v>0</v>
      </c>
      <c r="Y291" s="142">
        <f t="shared" si="36"/>
        <v>0</v>
      </c>
      <c r="Z291" s="142">
        <f>IF(W291&lt;=($X$9*12),$X$15,IFERROR(-IPMT($X$11,W291-$X$9*12,($X$12-$X$9)*12,$X$6)+$X$13*_xlfn.XLOOKUP($Y$13,'RE Calculations'!$B$12:$B$16,'RE Calculations'!$C$12:$C$16,"ERROR - Check Input")/12,0))</f>
        <v>10</v>
      </c>
      <c r="AA291" s="142">
        <f t="shared" si="37"/>
        <v>0</v>
      </c>
    </row>
    <row r="292" spans="2:27" x14ac:dyDescent="0.35">
      <c r="B292" s="12">
        <v>270</v>
      </c>
      <c r="C292" s="142">
        <f>IF(F291&gt;0.01,-PMT($C$8,$C$9*12,$C$6)+$C$10*_xlfn.XLOOKUP($D$10,'RE Calculations'!$B$12:$B$16,'RE Calculations'!$C$12:$C$16,"ERROR - Check Input")/12,0)</f>
        <v>0</v>
      </c>
      <c r="D292" s="142">
        <f t="shared" si="38"/>
        <v>0</v>
      </c>
      <c r="E292" s="142">
        <f>IFERROR(-IPMT($C$8,B292,$C$9*12,$C$6)+$C$10*_xlfn.XLOOKUP($D$10,'RE Calculations'!$B$12:$B$16,'RE Calculations'!$C$12:$C$16,"ERROR - Check Input")/12,0)</f>
        <v>8.3333333333333339</v>
      </c>
      <c r="F292" s="142">
        <f t="shared" si="39"/>
        <v>0</v>
      </c>
      <c r="I292" s="12">
        <v>270</v>
      </c>
      <c r="J292" s="142">
        <f>IF(M291&gt;0.01,IF(I292&lt;=($J$9*12),$J$15,-PMT($J$11,($J$12-$J$9)*12,$J$6)+$J$13*_xlfn.XLOOKUP($K$13,'RE Calculations'!$B$12:$B$16,'RE Calculations'!$C$12:$C$16,"ERROR - Check Input")/12),0)</f>
        <v>0</v>
      </c>
      <c r="K292" s="142">
        <f t="shared" si="32"/>
        <v>0</v>
      </c>
      <c r="L292" s="142">
        <f>IF(I292&lt;=($J$9*12),$J$15,IFERROR(-IPMT($J$11,I292-$J$9*12,($J$12-$J$9)*12,$J$6)+$J$13*_xlfn.XLOOKUP($K$13,'RE Calculations'!$B$12:$B$16,'RE Calculations'!$C$12:$C$16,"ERROR - Check Input")/12,0))</f>
        <v>10</v>
      </c>
      <c r="M292" s="142">
        <f t="shared" si="33"/>
        <v>0</v>
      </c>
      <c r="P292" s="12">
        <v>270</v>
      </c>
      <c r="Q292" s="142">
        <f>IF(T291&gt;0.01,-PMT($Q$8,$Q$9*12,$Q$6)+$Q$10*_xlfn.XLOOKUP($R$10,'RE Calculations'!$B$12:$B$16,'RE Calculations'!$C$12:$C$16,"ERROR - Check Input")/12,0)</f>
        <v>0</v>
      </c>
      <c r="R292" s="142">
        <f t="shared" si="34"/>
        <v>0</v>
      </c>
      <c r="S292" s="142">
        <f>IFERROR(-IPMT($Q$8,P292,$Q$9*12,$Q$6)+$Q$10*_xlfn.XLOOKUP($R$10,'RE Calculations'!$B$12:$B$16,'RE Calculations'!$C$12:$C$16,"ERROR - Check Input")/12,0)</f>
        <v>8.3333333333333339</v>
      </c>
      <c r="T292" s="142">
        <f t="shared" si="35"/>
        <v>0</v>
      </c>
      <c r="W292" s="12">
        <v>270</v>
      </c>
      <c r="X292" s="142">
        <f>IF(AA291&gt;0.01,IF(W292&lt;=($X$9*12),$X$15,-PMT($X$11,($X$12-$X$9)*12,$X$6)+$X$13*_xlfn.XLOOKUP($Y$13,'RE Calculations'!$B$12:$B$16,'RE Calculations'!$C$12:$C$16,"ERROR - Check Input")/12),0)</f>
        <v>0</v>
      </c>
      <c r="Y292" s="142">
        <f t="shared" si="36"/>
        <v>0</v>
      </c>
      <c r="Z292" s="142">
        <f>IF(W292&lt;=($X$9*12),$X$15,IFERROR(-IPMT($X$11,W292-$X$9*12,($X$12-$X$9)*12,$X$6)+$X$13*_xlfn.XLOOKUP($Y$13,'RE Calculations'!$B$12:$B$16,'RE Calculations'!$C$12:$C$16,"ERROR - Check Input")/12,0))</f>
        <v>10</v>
      </c>
      <c r="AA292" s="142">
        <f t="shared" si="37"/>
        <v>0</v>
      </c>
    </row>
    <row r="293" spans="2:27" x14ac:dyDescent="0.35">
      <c r="B293" s="12">
        <v>271</v>
      </c>
      <c r="C293" s="142">
        <f>IF(F292&gt;0.01,-PMT($C$8,$C$9*12,$C$6)+$C$10*_xlfn.XLOOKUP($D$10,'RE Calculations'!$B$12:$B$16,'RE Calculations'!$C$12:$C$16,"ERROR - Check Input")/12,0)</f>
        <v>0</v>
      </c>
      <c r="D293" s="142">
        <f t="shared" si="38"/>
        <v>0</v>
      </c>
      <c r="E293" s="142">
        <f>IFERROR(-IPMT($C$8,B293,$C$9*12,$C$6)+$C$10*_xlfn.XLOOKUP($D$10,'RE Calculations'!$B$12:$B$16,'RE Calculations'!$C$12:$C$16,"ERROR - Check Input")/12,0)</f>
        <v>8.3333333333333339</v>
      </c>
      <c r="F293" s="142">
        <f t="shared" si="39"/>
        <v>0</v>
      </c>
      <c r="I293" s="12">
        <v>271</v>
      </c>
      <c r="J293" s="142">
        <f>IF(M292&gt;0.01,IF(I293&lt;=($J$9*12),$J$15,-PMT($J$11,($J$12-$J$9)*12,$J$6)+$J$13*_xlfn.XLOOKUP($K$13,'RE Calculations'!$B$12:$B$16,'RE Calculations'!$C$12:$C$16,"ERROR - Check Input")/12),0)</f>
        <v>0</v>
      </c>
      <c r="K293" s="142">
        <f t="shared" si="32"/>
        <v>0</v>
      </c>
      <c r="L293" s="142">
        <f>IF(I293&lt;=($J$9*12),$J$15,IFERROR(-IPMT($J$11,I293-$J$9*12,($J$12-$J$9)*12,$J$6)+$J$13*_xlfn.XLOOKUP($K$13,'RE Calculations'!$B$12:$B$16,'RE Calculations'!$C$12:$C$16,"ERROR - Check Input")/12,0))</f>
        <v>10</v>
      </c>
      <c r="M293" s="142">
        <f t="shared" si="33"/>
        <v>0</v>
      </c>
      <c r="P293" s="12">
        <v>271</v>
      </c>
      <c r="Q293" s="142">
        <f>IF(T292&gt;0.01,-PMT($Q$8,$Q$9*12,$Q$6)+$Q$10*_xlfn.XLOOKUP($R$10,'RE Calculations'!$B$12:$B$16,'RE Calculations'!$C$12:$C$16,"ERROR - Check Input")/12,0)</f>
        <v>0</v>
      </c>
      <c r="R293" s="142">
        <f t="shared" si="34"/>
        <v>0</v>
      </c>
      <c r="S293" s="142">
        <f>IFERROR(-IPMT($Q$8,P293,$Q$9*12,$Q$6)+$Q$10*_xlfn.XLOOKUP($R$10,'RE Calculations'!$B$12:$B$16,'RE Calculations'!$C$12:$C$16,"ERROR - Check Input")/12,0)</f>
        <v>8.3333333333333339</v>
      </c>
      <c r="T293" s="142">
        <f t="shared" si="35"/>
        <v>0</v>
      </c>
      <c r="W293" s="12">
        <v>271</v>
      </c>
      <c r="X293" s="142">
        <f>IF(AA292&gt;0.01,IF(W293&lt;=($X$9*12),$X$15,-PMT($X$11,($X$12-$X$9)*12,$X$6)+$X$13*_xlfn.XLOOKUP($Y$13,'RE Calculations'!$B$12:$B$16,'RE Calculations'!$C$12:$C$16,"ERROR - Check Input")/12),0)</f>
        <v>0</v>
      </c>
      <c r="Y293" s="142">
        <f t="shared" si="36"/>
        <v>0</v>
      </c>
      <c r="Z293" s="142">
        <f>IF(W293&lt;=($X$9*12),$X$15,IFERROR(-IPMT($X$11,W293-$X$9*12,($X$12-$X$9)*12,$X$6)+$X$13*_xlfn.XLOOKUP($Y$13,'RE Calculations'!$B$12:$B$16,'RE Calculations'!$C$12:$C$16,"ERROR - Check Input")/12,0))</f>
        <v>10</v>
      </c>
      <c r="AA293" s="142">
        <f t="shared" si="37"/>
        <v>0</v>
      </c>
    </row>
    <row r="294" spans="2:27" x14ac:dyDescent="0.35">
      <c r="B294" s="12">
        <v>272</v>
      </c>
      <c r="C294" s="142">
        <f>IF(F293&gt;0.01,-PMT($C$8,$C$9*12,$C$6)+$C$10*_xlfn.XLOOKUP($D$10,'RE Calculations'!$B$12:$B$16,'RE Calculations'!$C$12:$C$16,"ERROR - Check Input")/12,0)</f>
        <v>0</v>
      </c>
      <c r="D294" s="142">
        <f t="shared" si="38"/>
        <v>0</v>
      </c>
      <c r="E294" s="142">
        <f>IFERROR(-IPMT($C$8,B294,$C$9*12,$C$6)+$C$10*_xlfn.XLOOKUP($D$10,'RE Calculations'!$B$12:$B$16,'RE Calculations'!$C$12:$C$16,"ERROR - Check Input")/12,0)</f>
        <v>8.3333333333333339</v>
      </c>
      <c r="F294" s="142">
        <f t="shared" si="39"/>
        <v>0</v>
      </c>
      <c r="I294" s="12">
        <v>272</v>
      </c>
      <c r="J294" s="142">
        <f>IF(M293&gt;0.01,IF(I294&lt;=($J$9*12),$J$15,-PMT($J$11,($J$12-$J$9)*12,$J$6)+$J$13*_xlfn.XLOOKUP($K$13,'RE Calculations'!$B$12:$B$16,'RE Calculations'!$C$12:$C$16,"ERROR - Check Input")/12),0)</f>
        <v>0</v>
      </c>
      <c r="K294" s="142">
        <f t="shared" si="32"/>
        <v>0</v>
      </c>
      <c r="L294" s="142">
        <f>IF(I294&lt;=($J$9*12),$J$15,IFERROR(-IPMT($J$11,I294-$J$9*12,($J$12-$J$9)*12,$J$6)+$J$13*_xlfn.XLOOKUP($K$13,'RE Calculations'!$B$12:$B$16,'RE Calculations'!$C$12:$C$16,"ERROR - Check Input")/12,0))</f>
        <v>10</v>
      </c>
      <c r="M294" s="142">
        <f t="shared" si="33"/>
        <v>0</v>
      </c>
      <c r="P294" s="12">
        <v>272</v>
      </c>
      <c r="Q294" s="142">
        <f>IF(T293&gt;0.01,-PMT($Q$8,$Q$9*12,$Q$6)+$Q$10*_xlfn.XLOOKUP($R$10,'RE Calculations'!$B$12:$B$16,'RE Calculations'!$C$12:$C$16,"ERROR - Check Input")/12,0)</f>
        <v>0</v>
      </c>
      <c r="R294" s="142">
        <f t="shared" si="34"/>
        <v>0</v>
      </c>
      <c r="S294" s="142">
        <f>IFERROR(-IPMT($Q$8,P294,$Q$9*12,$Q$6)+$Q$10*_xlfn.XLOOKUP($R$10,'RE Calculations'!$B$12:$B$16,'RE Calculations'!$C$12:$C$16,"ERROR - Check Input")/12,0)</f>
        <v>8.3333333333333339</v>
      </c>
      <c r="T294" s="142">
        <f t="shared" si="35"/>
        <v>0</v>
      </c>
      <c r="W294" s="12">
        <v>272</v>
      </c>
      <c r="X294" s="142">
        <f>IF(AA293&gt;0.01,IF(W294&lt;=($X$9*12),$X$15,-PMT($X$11,($X$12-$X$9)*12,$X$6)+$X$13*_xlfn.XLOOKUP($Y$13,'RE Calculations'!$B$12:$B$16,'RE Calculations'!$C$12:$C$16,"ERROR - Check Input")/12),0)</f>
        <v>0</v>
      </c>
      <c r="Y294" s="142">
        <f t="shared" si="36"/>
        <v>0</v>
      </c>
      <c r="Z294" s="142">
        <f>IF(W294&lt;=($X$9*12),$X$15,IFERROR(-IPMT($X$11,W294-$X$9*12,($X$12-$X$9)*12,$X$6)+$X$13*_xlfn.XLOOKUP($Y$13,'RE Calculations'!$B$12:$B$16,'RE Calculations'!$C$12:$C$16,"ERROR - Check Input")/12,0))</f>
        <v>10</v>
      </c>
      <c r="AA294" s="142">
        <f t="shared" si="37"/>
        <v>0</v>
      </c>
    </row>
    <row r="295" spans="2:27" x14ac:dyDescent="0.35">
      <c r="B295" s="12">
        <v>273</v>
      </c>
      <c r="C295" s="142">
        <f>IF(F294&gt;0.01,-PMT($C$8,$C$9*12,$C$6)+$C$10*_xlfn.XLOOKUP($D$10,'RE Calculations'!$B$12:$B$16,'RE Calculations'!$C$12:$C$16,"ERROR - Check Input")/12,0)</f>
        <v>0</v>
      </c>
      <c r="D295" s="142">
        <f t="shared" si="38"/>
        <v>0</v>
      </c>
      <c r="E295" s="142">
        <f>IFERROR(-IPMT($C$8,B295,$C$9*12,$C$6)+$C$10*_xlfn.XLOOKUP($D$10,'RE Calculations'!$B$12:$B$16,'RE Calculations'!$C$12:$C$16,"ERROR - Check Input")/12,0)</f>
        <v>8.3333333333333339</v>
      </c>
      <c r="F295" s="142">
        <f t="shared" si="39"/>
        <v>0</v>
      </c>
      <c r="I295" s="12">
        <v>273</v>
      </c>
      <c r="J295" s="142">
        <f>IF(M294&gt;0.01,IF(I295&lt;=($J$9*12),$J$15,-PMT($J$11,($J$12-$J$9)*12,$J$6)+$J$13*_xlfn.XLOOKUP($K$13,'RE Calculations'!$B$12:$B$16,'RE Calculations'!$C$12:$C$16,"ERROR - Check Input")/12),0)</f>
        <v>0</v>
      </c>
      <c r="K295" s="142">
        <f t="shared" si="32"/>
        <v>0</v>
      </c>
      <c r="L295" s="142">
        <f>IF(I295&lt;=($J$9*12),$J$15,IFERROR(-IPMT($J$11,I295-$J$9*12,($J$12-$J$9)*12,$J$6)+$J$13*_xlfn.XLOOKUP($K$13,'RE Calculations'!$B$12:$B$16,'RE Calculations'!$C$12:$C$16,"ERROR - Check Input")/12,0))</f>
        <v>10</v>
      </c>
      <c r="M295" s="142">
        <f t="shared" si="33"/>
        <v>0</v>
      </c>
      <c r="P295" s="12">
        <v>273</v>
      </c>
      <c r="Q295" s="142">
        <f>IF(T294&gt;0.01,-PMT($Q$8,$Q$9*12,$Q$6)+$Q$10*_xlfn.XLOOKUP($R$10,'RE Calculations'!$B$12:$B$16,'RE Calculations'!$C$12:$C$16,"ERROR - Check Input")/12,0)</f>
        <v>0</v>
      </c>
      <c r="R295" s="142">
        <f t="shared" si="34"/>
        <v>0</v>
      </c>
      <c r="S295" s="142">
        <f>IFERROR(-IPMT($Q$8,P295,$Q$9*12,$Q$6)+$Q$10*_xlfn.XLOOKUP($R$10,'RE Calculations'!$B$12:$B$16,'RE Calculations'!$C$12:$C$16,"ERROR - Check Input")/12,0)</f>
        <v>8.3333333333333339</v>
      </c>
      <c r="T295" s="142">
        <f t="shared" si="35"/>
        <v>0</v>
      </c>
      <c r="W295" s="12">
        <v>273</v>
      </c>
      <c r="X295" s="142">
        <f>IF(AA294&gt;0.01,IF(W295&lt;=($X$9*12),$X$15,-PMT($X$11,($X$12-$X$9)*12,$X$6)+$X$13*_xlfn.XLOOKUP($Y$13,'RE Calculations'!$B$12:$B$16,'RE Calculations'!$C$12:$C$16,"ERROR - Check Input")/12),0)</f>
        <v>0</v>
      </c>
      <c r="Y295" s="142">
        <f t="shared" si="36"/>
        <v>0</v>
      </c>
      <c r="Z295" s="142">
        <f>IF(W295&lt;=($X$9*12),$X$15,IFERROR(-IPMT($X$11,W295-$X$9*12,($X$12-$X$9)*12,$X$6)+$X$13*_xlfn.XLOOKUP($Y$13,'RE Calculations'!$B$12:$B$16,'RE Calculations'!$C$12:$C$16,"ERROR - Check Input")/12,0))</f>
        <v>10</v>
      </c>
      <c r="AA295" s="142">
        <f t="shared" si="37"/>
        <v>0</v>
      </c>
    </row>
    <row r="296" spans="2:27" x14ac:dyDescent="0.35">
      <c r="B296" s="12">
        <v>274</v>
      </c>
      <c r="C296" s="142">
        <f>IF(F295&gt;0.01,-PMT($C$8,$C$9*12,$C$6)+$C$10*_xlfn.XLOOKUP($D$10,'RE Calculations'!$B$12:$B$16,'RE Calculations'!$C$12:$C$16,"ERROR - Check Input")/12,0)</f>
        <v>0</v>
      </c>
      <c r="D296" s="142">
        <f t="shared" si="38"/>
        <v>0</v>
      </c>
      <c r="E296" s="142">
        <f>IFERROR(-IPMT($C$8,B296,$C$9*12,$C$6)+$C$10*_xlfn.XLOOKUP($D$10,'RE Calculations'!$B$12:$B$16,'RE Calculations'!$C$12:$C$16,"ERROR - Check Input")/12,0)</f>
        <v>8.3333333333333339</v>
      </c>
      <c r="F296" s="142">
        <f t="shared" si="39"/>
        <v>0</v>
      </c>
      <c r="I296" s="12">
        <v>274</v>
      </c>
      <c r="J296" s="142">
        <f>IF(M295&gt;0.01,IF(I296&lt;=($J$9*12),$J$15,-PMT($J$11,($J$12-$J$9)*12,$J$6)+$J$13*_xlfn.XLOOKUP($K$13,'RE Calculations'!$B$12:$B$16,'RE Calculations'!$C$12:$C$16,"ERROR - Check Input")/12),0)</f>
        <v>0</v>
      </c>
      <c r="K296" s="142">
        <f t="shared" si="32"/>
        <v>0</v>
      </c>
      <c r="L296" s="142">
        <f>IF(I296&lt;=($J$9*12),$J$15,IFERROR(-IPMT($J$11,I296-$J$9*12,($J$12-$J$9)*12,$J$6)+$J$13*_xlfn.XLOOKUP($K$13,'RE Calculations'!$B$12:$B$16,'RE Calculations'!$C$12:$C$16,"ERROR - Check Input")/12,0))</f>
        <v>10</v>
      </c>
      <c r="M296" s="142">
        <f t="shared" si="33"/>
        <v>0</v>
      </c>
      <c r="P296" s="12">
        <v>274</v>
      </c>
      <c r="Q296" s="142">
        <f>IF(T295&gt;0.01,-PMT($Q$8,$Q$9*12,$Q$6)+$Q$10*_xlfn.XLOOKUP($R$10,'RE Calculations'!$B$12:$B$16,'RE Calculations'!$C$12:$C$16,"ERROR - Check Input")/12,0)</f>
        <v>0</v>
      </c>
      <c r="R296" s="142">
        <f t="shared" si="34"/>
        <v>0</v>
      </c>
      <c r="S296" s="142">
        <f>IFERROR(-IPMT($Q$8,P296,$Q$9*12,$Q$6)+$Q$10*_xlfn.XLOOKUP($R$10,'RE Calculations'!$B$12:$B$16,'RE Calculations'!$C$12:$C$16,"ERROR - Check Input")/12,0)</f>
        <v>8.3333333333333339</v>
      </c>
      <c r="T296" s="142">
        <f t="shared" si="35"/>
        <v>0</v>
      </c>
      <c r="W296" s="12">
        <v>274</v>
      </c>
      <c r="X296" s="142">
        <f>IF(AA295&gt;0.01,IF(W296&lt;=($X$9*12),$X$15,-PMT($X$11,($X$12-$X$9)*12,$X$6)+$X$13*_xlfn.XLOOKUP($Y$13,'RE Calculations'!$B$12:$B$16,'RE Calculations'!$C$12:$C$16,"ERROR - Check Input")/12),0)</f>
        <v>0</v>
      </c>
      <c r="Y296" s="142">
        <f t="shared" si="36"/>
        <v>0</v>
      </c>
      <c r="Z296" s="142">
        <f>IF(W296&lt;=($X$9*12),$X$15,IFERROR(-IPMT($X$11,W296-$X$9*12,($X$12-$X$9)*12,$X$6)+$X$13*_xlfn.XLOOKUP($Y$13,'RE Calculations'!$B$12:$B$16,'RE Calculations'!$C$12:$C$16,"ERROR - Check Input")/12,0))</f>
        <v>10</v>
      </c>
      <c r="AA296" s="142">
        <f t="shared" si="37"/>
        <v>0</v>
      </c>
    </row>
    <row r="297" spans="2:27" x14ac:dyDescent="0.35">
      <c r="B297" s="12">
        <v>275</v>
      </c>
      <c r="C297" s="142">
        <f>IF(F296&gt;0.01,-PMT($C$8,$C$9*12,$C$6)+$C$10*_xlfn.XLOOKUP($D$10,'RE Calculations'!$B$12:$B$16,'RE Calculations'!$C$12:$C$16,"ERROR - Check Input")/12,0)</f>
        <v>0</v>
      </c>
      <c r="D297" s="142">
        <f t="shared" si="38"/>
        <v>0</v>
      </c>
      <c r="E297" s="142">
        <f>IFERROR(-IPMT($C$8,B297,$C$9*12,$C$6)+$C$10*_xlfn.XLOOKUP($D$10,'RE Calculations'!$B$12:$B$16,'RE Calculations'!$C$12:$C$16,"ERROR - Check Input")/12,0)</f>
        <v>8.3333333333333339</v>
      </c>
      <c r="F297" s="142">
        <f t="shared" si="39"/>
        <v>0</v>
      </c>
      <c r="I297" s="12">
        <v>275</v>
      </c>
      <c r="J297" s="142">
        <f>IF(M296&gt;0.01,IF(I297&lt;=($J$9*12),$J$15,-PMT($J$11,($J$12-$J$9)*12,$J$6)+$J$13*_xlfn.XLOOKUP($K$13,'RE Calculations'!$B$12:$B$16,'RE Calculations'!$C$12:$C$16,"ERROR - Check Input")/12),0)</f>
        <v>0</v>
      </c>
      <c r="K297" s="142">
        <f t="shared" si="32"/>
        <v>0</v>
      </c>
      <c r="L297" s="142">
        <f>IF(I297&lt;=($J$9*12),$J$15,IFERROR(-IPMT($J$11,I297-$J$9*12,($J$12-$J$9)*12,$J$6)+$J$13*_xlfn.XLOOKUP($K$13,'RE Calculations'!$B$12:$B$16,'RE Calculations'!$C$12:$C$16,"ERROR - Check Input")/12,0))</f>
        <v>10</v>
      </c>
      <c r="M297" s="142">
        <f t="shared" si="33"/>
        <v>0</v>
      </c>
      <c r="P297" s="12">
        <v>275</v>
      </c>
      <c r="Q297" s="142">
        <f>IF(T296&gt;0.01,-PMT($Q$8,$Q$9*12,$Q$6)+$Q$10*_xlfn.XLOOKUP($R$10,'RE Calculations'!$B$12:$B$16,'RE Calculations'!$C$12:$C$16,"ERROR - Check Input")/12,0)</f>
        <v>0</v>
      </c>
      <c r="R297" s="142">
        <f t="shared" si="34"/>
        <v>0</v>
      </c>
      <c r="S297" s="142">
        <f>IFERROR(-IPMT($Q$8,P297,$Q$9*12,$Q$6)+$Q$10*_xlfn.XLOOKUP($R$10,'RE Calculations'!$B$12:$B$16,'RE Calculations'!$C$12:$C$16,"ERROR - Check Input")/12,0)</f>
        <v>8.3333333333333339</v>
      </c>
      <c r="T297" s="142">
        <f t="shared" si="35"/>
        <v>0</v>
      </c>
      <c r="W297" s="12">
        <v>275</v>
      </c>
      <c r="X297" s="142">
        <f>IF(AA296&gt;0.01,IF(W297&lt;=($X$9*12),$X$15,-PMT($X$11,($X$12-$X$9)*12,$X$6)+$X$13*_xlfn.XLOOKUP($Y$13,'RE Calculations'!$B$12:$B$16,'RE Calculations'!$C$12:$C$16,"ERROR - Check Input")/12),0)</f>
        <v>0</v>
      </c>
      <c r="Y297" s="142">
        <f t="shared" si="36"/>
        <v>0</v>
      </c>
      <c r="Z297" s="142">
        <f>IF(W297&lt;=($X$9*12),$X$15,IFERROR(-IPMT($X$11,W297-$X$9*12,($X$12-$X$9)*12,$X$6)+$X$13*_xlfn.XLOOKUP($Y$13,'RE Calculations'!$B$12:$B$16,'RE Calculations'!$C$12:$C$16,"ERROR - Check Input")/12,0))</f>
        <v>10</v>
      </c>
      <c r="AA297" s="142">
        <f t="shared" si="37"/>
        <v>0</v>
      </c>
    </row>
    <row r="298" spans="2:27" x14ac:dyDescent="0.35">
      <c r="B298" s="12">
        <v>276</v>
      </c>
      <c r="C298" s="142">
        <f>IF(F297&gt;0.01,-PMT($C$8,$C$9*12,$C$6)+$C$10*_xlfn.XLOOKUP($D$10,'RE Calculations'!$B$12:$B$16,'RE Calculations'!$C$12:$C$16,"ERROR - Check Input")/12,0)</f>
        <v>0</v>
      </c>
      <c r="D298" s="142">
        <f t="shared" si="38"/>
        <v>0</v>
      </c>
      <c r="E298" s="142">
        <f>IFERROR(-IPMT($C$8,B298,$C$9*12,$C$6)+$C$10*_xlfn.XLOOKUP($D$10,'RE Calculations'!$B$12:$B$16,'RE Calculations'!$C$12:$C$16,"ERROR - Check Input")/12,0)</f>
        <v>8.3333333333333339</v>
      </c>
      <c r="F298" s="142">
        <f t="shared" si="39"/>
        <v>0</v>
      </c>
      <c r="I298" s="12">
        <v>276</v>
      </c>
      <c r="J298" s="142">
        <f>IF(M297&gt;0.01,IF(I298&lt;=($J$9*12),$J$15,-PMT($J$11,($J$12-$J$9)*12,$J$6)+$J$13*_xlfn.XLOOKUP($K$13,'RE Calculations'!$B$12:$B$16,'RE Calculations'!$C$12:$C$16,"ERROR - Check Input")/12),0)</f>
        <v>0</v>
      </c>
      <c r="K298" s="142">
        <f t="shared" si="32"/>
        <v>0</v>
      </c>
      <c r="L298" s="142">
        <f>IF(I298&lt;=($J$9*12),$J$15,IFERROR(-IPMT($J$11,I298-$J$9*12,($J$12-$J$9)*12,$J$6)+$J$13*_xlfn.XLOOKUP($K$13,'RE Calculations'!$B$12:$B$16,'RE Calculations'!$C$12:$C$16,"ERROR - Check Input")/12,0))</f>
        <v>10</v>
      </c>
      <c r="M298" s="142">
        <f t="shared" si="33"/>
        <v>0</v>
      </c>
      <c r="P298" s="12">
        <v>276</v>
      </c>
      <c r="Q298" s="142">
        <f>IF(T297&gt;0.01,-PMT($Q$8,$Q$9*12,$Q$6)+$Q$10*_xlfn.XLOOKUP($R$10,'RE Calculations'!$B$12:$B$16,'RE Calculations'!$C$12:$C$16,"ERROR - Check Input")/12,0)</f>
        <v>0</v>
      </c>
      <c r="R298" s="142">
        <f t="shared" si="34"/>
        <v>0</v>
      </c>
      <c r="S298" s="142">
        <f>IFERROR(-IPMT($Q$8,P298,$Q$9*12,$Q$6)+$Q$10*_xlfn.XLOOKUP($R$10,'RE Calculations'!$B$12:$B$16,'RE Calculations'!$C$12:$C$16,"ERROR - Check Input")/12,0)</f>
        <v>8.3333333333333339</v>
      </c>
      <c r="T298" s="142">
        <f t="shared" si="35"/>
        <v>0</v>
      </c>
      <c r="W298" s="12">
        <v>276</v>
      </c>
      <c r="X298" s="142">
        <f>IF(AA297&gt;0.01,IF(W298&lt;=($X$9*12),$X$15,-PMT($X$11,($X$12-$X$9)*12,$X$6)+$X$13*_xlfn.XLOOKUP($Y$13,'RE Calculations'!$B$12:$B$16,'RE Calculations'!$C$12:$C$16,"ERROR - Check Input")/12),0)</f>
        <v>0</v>
      </c>
      <c r="Y298" s="142">
        <f t="shared" si="36"/>
        <v>0</v>
      </c>
      <c r="Z298" s="142">
        <f>IF(W298&lt;=($X$9*12),$X$15,IFERROR(-IPMT($X$11,W298-$X$9*12,($X$12-$X$9)*12,$X$6)+$X$13*_xlfn.XLOOKUP($Y$13,'RE Calculations'!$B$12:$B$16,'RE Calculations'!$C$12:$C$16,"ERROR - Check Input")/12,0))</f>
        <v>10</v>
      </c>
      <c r="AA298" s="142">
        <f t="shared" si="37"/>
        <v>0</v>
      </c>
    </row>
    <row r="299" spans="2:27" x14ac:dyDescent="0.35">
      <c r="B299" s="12">
        <v>277</v>
      </c>
      <c r="C299" s="142">
        <f>IF(F298&gt;0.01,-PMT($C$8,$C$9*12,$C$6)+$C$10*_xlfn.XLOOKUP($D$10,'RE Calculations'!$B$12:$B$16,'RE Calculations'!$C$12:$C$16,"ERROR - Check Input")/12,0)</f>
        <v>0</v>
      </c>
      <c r="D299" s="142">
        <f t="shared" si="38"/>
        <v>0</v>
      </c>
      <c r="E299" s="142">
        <f>IFERROR(-IPMT($C$8,B299,$C$9*12,$C$6)+$C$10*_xlfn.XLOOKUP($D$10,'RE Calculations'!$B$12:$B$16,'RE Calculations'!$C$12:$C$16,"ERROR - Check Input")/12,0)</f>
        <v>8.3333333333333339</v>
      </c>
      <c r="F299" s="142">
        <f t="shared" si="39"/>
        <v>0</v>
      </c>
      <c r="I299" s="12">
        <v>277</v>
      </c>
      <c r="J299" s="142">
        <f>IF(M298&gt;0.01,IF(I299&lt;=($J$9*12),$J$15,-PMT($J$11,($J$12-$J$9)*12,$J$6)+$J$13*_xlfn.XLOOKUP($K$13,'RE Calculations'!$B$12:$B$16,'RE Calculations'!$C$12:$C$16,"ERROR - Check Input")/12),0)</f>
        <v>0</v>
      </c>
      <c r="K299" s="142">
        <f t="shared" si="32"/>
        <v>0</v>
      </c>
      <c r="L299" s="142">
        <f>IF(I299&lt;=($J$9*12),$J$15,IFERROR(-IPMT($J$11,I299-$J$9*12,($J$12-$J$9)*12,$J$6)+$J$13*_xlfn.XLOOKUP($K$13,'RE Calculations'!$B$12:$B$16,'RE Calculations'!$C$12:$C$16,"ERROR - Check Input")/12,0))</f>
        <v>10</v>
      </c>
      <c r="M299" s="142">
        <f t="shared" si="33"/>
        <v>0</v>
      </c>
      <c r="P299" s="12">
        <v>277</v>
      </c>
      <c r="Q299" s="142">
        <f>IF(T298&gt;0.01,-PMT($Q$8,$Q$9*12,$Q$6)+$Q$10*_xlfn.XLOOKUP($R$10,'RE Calculations'!$B$12:$B$16,'RE Calculations'!$C$12:$C$16,"ERROR - Check Input")/12,0)</f>
        <v>0</v>
      </c>
      <c r="R299" s="142">
        <f t="shared" si="34"/>
        <v>0</v>
      </c>
      <c r="S299" s="142">
        <f>IFERROR(-IPMT($Q$8,P299,$Q$9*12,$Q$6)+$Q$10*_xlfn.XLOOKUP($R$10,'RE Calculations'!$B$12:$B$16,'RE Calculations'!$C$12:$C$16,"ERROR - Check Input")/12,0)</f>
        <v>8.3333333333333339</v>
      </c>
      <c r="T299" s="142">
        <f t="shared" si="35"/>
        <v>0</v>
      </c>
      <c r="W299" s="12">
        <v>277</v>
      </c>
      <c r="X299" s="142">
        <f>IF(AA298&gt;0.01,IF(W299&lt;=($X$9*12),$X$15,-PMT($X$11,($X$12-$X$9)*12,$X$6)+$X$13*_xlfn.XLOOKUP($Y$13,'RE Calculations'!$B$12:$B$16,'RE Calculations'!$C$12:$C$16,"ERROR - Check Input")/12),0)</f>
        <v>0</v>
      </c>
      <c r="Y299" s="142">
        <f t="shared" si="36"/>
        <v>0</v>
      </c>
      <c r="Z299" s="142">
        <f>IF(W299&lt;=($X$9*12),$X$15,IFERROR(-IPMT($X$11,W299-$X$9*12,($X$12-$X$9)*12,$X$6)+$X$13*_xlfn.XLOOKUP($Y$13,'RE Calculations'!$B$12:$B$16,'RE Calculations'!$C$12:$C$16,"ERROR - Check Input")/12,0))</f>
        <v>10</v>
      </c>
      <c r="AA299" s="142">
        <f t="shared" si="37"/>
        <v>0</v>
      </c>
    </row>
    <row r="300" spans="2:27" x14ac:dyDescent="0.35">
      <c r="B300" s="12">
        <v>278</v>
      </c>
      <c r="C300" s="142">
        <f>IF(F299&gt;0.01,-PMT($C$8,$C$9*12,$C$6)+$C$10*_xlfn.XLOOKUP($D$10,'RE Calculations'!$B$12:$B$16,'RE Calculations'!$C$12:$C$16,"ERROR - Check Input")/12,0)</f>
        <v>0</v>
      </c>
      <c r="D300" s="142">
        <f t="shared" si="38"/>
        <v>0</v>
      </c>
      <c r="E300" s="142">
        <f>IFERROR(-IPMT($C$8,B300,$C$9*12,$C$6)+$C$10*_xlfn.XLOOKUP($D$10,'RE Calculations'!$B$12:$B$16,'RE Calculations'!$C$12:$C$16,"ERROR - Check Input")/12,0)</f>
        <v>8.3333333333333339</v>
      </c>
      <c r="F300" s="142">
        <f t="shared" si="39"/>
        <v>0</v>
      </c>
      <c r="I300" s="12">
        <v>278</v>
      </c>
      <c r="J300" s="142">
        <f>IF(M299&gt;0.01,IF(I300&lt;=($J$9*12),$J$15,-PMT($J$11,($J$12-$J$9)*12,$J$6)+$J$13*_xlfn.XLOOKUP($K$13,'RE Calculations'!$B$12:$B$16,'RE Calculations'!$C$12:$C$16,"ERROR - Check Input")/12),0)</f>
        <v>0</v>
      </c>
      <c r="K300" s="142">
        <f t="shared" si="32"/>
        <v>0</v>
      </c>
      <c r="L300" s="142">
        <f>IF(I300&lt;=($J$9*12),$J$15,IFERROR(-IPMT($J$11,I300-$J$9*12,($J$12-$J$9)*12,$J$6)+$J$13*_xlfn.XLOOKUP($K$13,'RE Calculations'!$B$12:$B$16,'RE Calculations'!$C$12:$C$16,"ERROR - Check Input")/12,0))</f>
        <v>10</v>
      </c>
      <c r="M300" s="142">
        <f t="shared" si="33"/>
        <v>0</v>
      </c>
      <c r="P300" s="12">
        <v>278</v>
      </c>
      <c r="Q300" s="142">
        <f>IF(T299&gt;0.01,-PMT($Q$8,$Q$9*12,$Q$6)+$Q$10*_xlfn.XLOOKUP($R$10,'RE Calculations'!$B$12:$B$16,'RE Calculations'!$C$12:$C$16,"ERROR - Check Input")/12,0)</f>
        <v>0</v>
      </c>
      <c r="R300" s="142">
        <f t="shared" si="34"/>
        <v>0</v>
      </c>
      <c r="S300" s="142">
        <f>IFERROR(-IPMT($Q$8,P300,$Q$9*12,$Q$6)+$Q$10*_xlfn.XLOOKUP($R$10,'RE Calculations'!$B$12:$B$16,'RE Calculations'!$C$12:$C$16,"ERROR - Check Input")/12,0)</f>
        <v>8.3333333333333339</v>
      </c>
      <c r="T300" s="142">
        <f t="shared" si="35"/>
        <v>0</v>
      </c>
      <c r="W300" s="12">
        <v>278</v>
      </c>
      <c r="X300" s="142">
        <f>IF(AA299&gt;0.01,IF(W300&lt;=($X$9*12),$X$15,-PMT($X$11,($X$12-$X$9)*12,$X$6)+$X$13*_xlfn.XLOOKUP($Y$13,'RE Calculations'!$B$12:$B$16,'RE Calculations'!$C$12:$C$16,"ERROR - Check Input")/12),0)</f>
        <v>0</v>
      </c>
      <c r="Y300" s="142">
        <f t="shared" si="36"/>
        <v>0</v>
      </c>
      <c r="Z300" s="142">
        <f>IF(W300&lt;=($X$9*12),$X$15,IFERROR(-IPMT($X$11,W300-$X$9*12,($X$12-$X$9)*12,$X$6)+$X$13*_xlfn.XLOOKUP($Y$13,'RE Calculations'!$B$12:$B$16,'RE Calculations'!$C$12:$C$16,"ERROR - Check Input")/12,0))</f>
        <v>10</v>
      </c>
      <c r="AA300" s="142">
        <f t="shared" si="37"/>
        <v>0</v>
      </c>
    </row>
    <row r="301" spans="2:27" x14ac:dyDescent="0.35">
      <c r="B301" s="12">
        <v>279</v>
      </c>
      <c r="C301" s="142">
        <f>IF(F300&gt;0.01,-PMT($C$8,$C$9*12,$C$6)+$C$10*_xlfn.XLOOKUP($D$10,'RE Calculations'!$B$12:$B$16,'RE Calculations'!$C$12:$C$16,"ERROR - Check Input")/12,0)</f>
        <v>0</v>
      </c>
      <c r="D301" s="142">
        <f t="shared" si="38"/>
        <v>0</v>
      </c>
      <c r="E301" s="142">
        <f>IFERROR(-IPMT($C$8,B301,$C$9*12,$C$6)+$C$10*_xlfn.XLOOKUP($D$10,'RE Calculations'!$B$12:$B$16,'RE Calculations'!$C$12:$C$16,"ERROR - Check Input")/12,0)</f>
        <v>8.3333333333333339</v>
      </c>
      <c r="F301" s="142">
        <f t="shared" si="39"/>
        <v>0</v>
      </c>
      <c r="I301" s="12">
        <v>279</v>
      </c>
      <c r="J301" s="142">
        <f>IF(M300&gt;0.01,IF(I301&lt;=($J$9*12),$J$15,-PMT($J$11,($J$12-$J$9)*12,$J$6)+$J$13*_xlfn.XLOOKUP($K$13,'RE Calculations'!$B$12:$B$16,'RE Calculations'!$C$12:$C$16,"ERROR - Check Input")/12),0)</f>
        <v>0</v>
      </c>
      <c r="K301" s="142">
        <f t="shared" si="32"/>
        <v>0</v>
      </c>
      <c r="L301" s="142">
        <f>IF(I301&lt;=($J$9*12),$J$15,IFERROR(-IPMT($J$11,I301-$J$9*12,($J$12-$J$9)*12,$J$6)+$J$13*_xlfn.XLOOKUP($K$13,'RE Calculations'!$B$12:$B$16,'RE Calculations'!$C$12:$C$16,"ERROR - Check Input")/12,0))</f>
        <v>10</v>
      </c>
      <c r="M301" s="142">
        <f t="shared" si="33"/>
        <v>0</v>
      </c>
      <c r="P301" s="12">
        <v>279</v>
      </c>
      <c r="Q301" s="142">
        <f>IF(T300&gt;0.01,-PMT($Q$8,$Q$9*12,$Q$6)+$Q$10*_xlfn.XLOOKUP($R$10,'RE Calculations'!$B$12:$B$16,'RE Calculations'!$C$12:$C$16,"ERROR - Check Input")/12,0)</f>
        <v>0</v>
      </c>
      <c r="R301" s="142">
        <f t="shared" si="34"/>
        <v>0</v>
      </c>
      <c r="S301" s="142">
        <f>IFERROR(-IPMT($Q$8,P301,$Q$9*12,$Q$6)+$Q$10*_xlfn.XLOOKUP($R$10,'RE Calculations'!$B$12:$B$16,'RE Calculations'!$C$12:$C$16,"ERROR - Check Input")/12,0)</f>
        <v>8.3333333333333339</v>
      </c>
      <c r="T301" s="142">
        <f t="shared" si="35"/>
        <v>0</v>
      </c>
      <c r="W301" s="12">
        <v>279</v>
      </c>
      <c r="X301" s="142">
        <f>IF(AA300&gt;0.01,IF(W301&lt;=($X$9*12),$X$15,-PMT($X$11,($X$12-$X$9)*12,$X$6)+$X$13*_xlfn.XLOOKUP($Y$13,'RE Calculations'!$B$12:$B$16,'RE Calculations'!$C$12:$C$16,"ERROR - Check Input")/12),0)</f>
        <v>0</v>
      </c>
      <c r="Y301" s="142">
        <f t="shared" si="36"/>
        <v>0</v>
      </c>
      <c r="Z301" s="142">
        <f>IF(W301&lt;=($X$9*12),$X$15,IFERROR(-IPMT($X$11,W301-$X$9*12,($X$12-$X$9)*12,$X$6)+$X$13*_xlfn.XLOOKUP($Y$13,'RE Calculations'!$B$12:$B$16,'RE Calculations'!$C$12:$C$16,"ERROR - Check Input")/12,0))</f>
        <v>10</v>
      </c>
      <c r="AA301" s="142">
        <f t="shared" si="37"/>
        <v>0</v>
      </c>
    </row>
    <row r="302" spans="2:27" x14ac:dyDescent="0.35">
      <c r="B302" s="12">
        <v>280</v>
      </c>
      <c r="C302" s="142">
        <f>IF(F301&gt;0.01,-PMT($C$8,$C$9*12,$C$6)+$C$10*_xlfn.XLOOKUP($D$10,'RE Calculations'!$B$12:$B$16,'RE Calculations'!$C$12:$C$16,"ERROR - Check Input")/12,0)</f>
        <v>0</v>
      </c>
      <c r="D302" s="142">
        <f t="shared" si="38"/>
        <v>0</v>
      </c>
      <c r="E302" s="142">
        <f>IFERROR(-IPMT($C$8,B302,$C$9*12,$C$6)+$C$10*_xlfn.XLOOKUP($D$10,'RE Calculations'!$B$12:$B$16,'RE Calculations'!$C$12:$C$16,"ERROR - Check Input")/12,0)</f>
        <v>8.3333333333333339</v>
      </c>
      <c r="F302" s="142">
        <f t="shared" si="39"/>
        <v>0</v>
      </c>
      <c r="I302" s="12">
        <v>280</v>
      </c>
      <c r="J302" s="142">
        <f>IF(M301&gt;0.01,IF(I302&lt;=($J$9*12),$J$15,-PMT($J$11,($J$12-$J$9)*12,$J$6)+$J$13*_xlfn.XLOOKUP($K$13,'RE Calculations'!$B$12:$B$16,'RE Calculations'!$C$12:$C$16,"ERROR - Check Input")/12),0)</f>
        <v>0</v>
      </c>
      <c r="K302" s="142">
        <f t="shared" si="32"/>
        <v>0</v>
      </c>
      <c r="L302" s="142">
        <f>IF(I302&lt;=($J$9*12),$J$15,IFERROR(-IPMT($J$11,I302-$J$9*12,($J$12-$J$9)*12,$J$6)+$J$13*_xlfn.XLOOKUP($K$13,'RE Calculations'!$B$12:$B$16,'RE Calculations'!$C$12:$C$16,"ERROR - Check Input")/12,0))</f>
        <v>10</v>
      </c>
      <c r="M302" s="142">
        <f t="shared" si="33"/>
        <v>0</v>
      </c>
      <c r="P302" s="12">
        <v>280</v>
      </c>
      <c r="Q302" s="142">
        <f>IF(T301&gt;0.01,-PMT($Q$8,$Q$9*12,$Q$6)+$Q$10*_xlfn.XLOOKUP($R$10,'RE Calculations'!$B$12:$B$16,'RE Calculations'!$C$12:$C$16,"ERROR - Check Input")/12,0)</f>
        <v>0</v>
      </c>
      <c r="R302" s="142">
        <f t="shared" si="34"/>
        <v>0</v>
      </c>
      <c r="S302" s="142">
        <f>IFERROR(-IPMT($Q$8,P302,$Q$9*12,$Q$6)+$Q$10*_xlfn.XLOOKUP($R$10,'RE Calculations'!$B$12:$B$16,'RE Calculations'!$C$12:$C$16,"ERROR - Check Input")/12,0)</f>
        <v>8.3333333333333339</v>
      </c>
      <c r="T302" s="142">
        <f t="shared" si="35"/>
        <v>0</v>
      </c>
      <c r="W302" s="12">
        <v>280</v>
      </c>
      <c r="X302" s="142">
        <f>IF(AA301&gt;0.01,IF(W302&lt;=($X$9*12),$X$15,-PMT($X$11,($X$12-$X$9)*12,$X$6)+$X$13*_xlfn.XLOOKUP($Y$13,'RE Calculations'!$B$12:$B$16,'RE Calculations'!$C$12:$C$16,"ERROR - Check Input")/12),0)</f>
        <v>0</v>
      </c>
      <c r="Y302" s="142">
        <f t="shared" si="36"/>
        <v>0</v>
      </c>
      <c r="Z302" s="142">
        <f>IF(W302&lt;=($X$9*12),$X$15,IFERROR(-IPMT($X$11,W302-$X$9*12,($X$12-$X$9)*12,$X$6)+$X$13*_xlfn.XLOOKUP($Y$13,'RE Calculations'!$B$12:$B$16,'RE Calculations'!$C$12:$C$16,"ERROR - Check Input")/12,0))</f>
        <v>10</v>
      </c>
      <c r="AA302" s="142">
        <f t="shared" si="37"/>
        <v>0</v>
      </c>
    </row>
    <row r="303" spans="2:27" x14ac:dyDescent="0.35">
      <c r="B303" s="12">
        <v>281</v>
      </c>
      <c r="C303" s="142">
        <f>IF(F302&gt;0.01,-PMT($C$8,$C$9*12,$C$6)+$C$10*_xlfn.XLOOKUP($D$10,'RE Calculations'!$B$12:$B$16,'RE Calculations'!$C$12:$C$16,"ERROR - Check Input")/12,0)</f>
        <v>0</v>
      </c>
      <c r="D303" s="142">
        <f t="shared" si="38"/>
        <v>0</v>
      </c>
      <c r="E303" s="142">
        <f>IFERROR(-IPMT($C$8,B303,$C$9*12,$C$6)+$C$10*_xlfn.XLOOKUP($D$10,'RE Calculations'!$B$12:$B$16,'RE Calculations'!$C$12:$C$16,"ERROR - Check Input")/12,0)</f>
        <v>8.3333333333333339</v>
      </c>
      <c r="F303" s="142">
        <f t="shared" si="39"/>
        <v>0</v>
      </c>
      <c r="I303" s="12">
        <v>281</v>
      </c>
      <c r="J303" s="142">
        <f>IF(M302&gt;0.01,IF(I303&lt;=($J$9*12),$J$15,-PMT($J$11,($J$12-$J$9)*12,$J$6)+$J$13*_xlfn.XLOOKUP($K$13,'RE Calculations'!$B$12:$B$16,'RE Calculations'!$C$12:$C$16,"ERROR - Check Input")/12),0)</f>
        <v>0</v>
      </c>
      <c r="K303" s="142">
        <f t="shared" si="32"/>
        <v>0</v>
      </c>
      <c r="L303" s="142">
        <f>IF(I303&lt;=($J$9*12),$J$15,IFERROR(-IPMT($J$11,I303-$J$9*12,($J$12-$J$9)*12,$J$6)+$J$13*_xlfn.XLOOKUP($K$13,'RE Calculations'!$B$12:$B$16,'RE Calculations'!$C$12:$C$16,"ERROR - Check Input")/12,0))</f>
        <v>10</v>
      </c>
      <c r="M303" s="142">
        <f t="shared" si="33"/>
        <v>0</v>
      </c>
      <c r="P303" s="12">
        <v>281</v>
      </c>
      <c r="Q303" s="142">
        <f>IF(T302&gt;0.01,-PMT($Q$8,$Q$9*12,$Q$6)+$Q$10*_xlfn.XLOOKUP($R$10,'RE Calculations'!$B$12:$B$16,'RE Calculations'!$C$12:$C$16,"ERROR - Check Input")/12,0)</f>
        <v>0</v>
      </c>
      <c r="R303" s="142">
        <f t="shared" si="34"/>
        <v>0</v>
      </c>
      <c r="S303" s="142">
        <f>IFERROR(-IPMT($Q$8,P303,$Q$9*12,$Q$6)+$Q$10*_xlfn.XLOOKUP($R$10,'RE Calculations'!$B$12:$B$16,'RE Calculations'!$C$12:$C$16,"ERROR - Check Input")/12,0)</f>
        <v>8.3333333333333339</v>
      </c>
      <c r="T303" s="142">
        <f t="shared" si="35"/>
        <v>0</v>
      </c>
      <c r="W303" s="12">
        <v>281</v>
      </c>
      <c r="X303" s="142">
        <f>IF(AA302&gt;0.01,IF(W303&lt;=($X$9*12),$X$15,-PMT($X$11,($X$12-$X$9)*12,$X$6)+$X$13*_xlfn.XLOOKUP($Y$13,'RE Calculations'!$B$12:$B$16,'RE Calculations'!$C$12:$C$16,"ERROR - Check Input")/12),0)</f>
        <v>0</v>
      </c>
      <c r="Y303" s="142">
        <f t="shared" si="36"/>
        <v>0</v>
      </c>
      <c r="Z303" s="142">
        <f>IF(W303&lt;=($X$9*12),$X$15,IFERROR(-IPMT($X$11,W303-$X$9*12,($X$12-$X$9)*12,$X$6)+$X$13*_xlfn.XLOOKUP($Y$13,'RE Calculations'!$B$12:$B$16,'RE Calculations'!$C$12:$C$16,"ERROR - Check Input")/12,0))</f>
        <v>10</v>
      </c>
      <c r="AA303" s="142">
        <f t="shared" si="37"/>
        <v>0</v>
      </c>
    </row>
    <row r="304" spans="2:27" x14ac:dyDescent="0.35">
      <c r="B304" s="12">
        <v>282</v>
      </c>
      <c r="C304" s="142">
        <f>IF(F303&gt;0.01,-PMT($C$8,$C$9*12,$C$6)+$C$10*_xlfn.XLOOKUP($D$10,'RE Calculations'!$B$12:$B$16,'RE Calculations'!$C$12:$C$16,"ERROR - Check Input")/12,0)</f>
        <v>0</v>
      </c>
      <c r="D304" s="142">
        <f t="shared" si="38"/>
        <v>0</v>
      </c>
      <c r="E304" s="142">
        <f>IFERROR(-IPMT($C$8,B304,$C$9*12,$C$6)+$C$10*_xlfn.XLOOKUP($D$10,'RE Calculations'!$B$12:$B$16,'RE Calculations'!$C$12:$C$16,"ERROR - Check Input")/12,0)</f>
        <v>8.3333333333333339</v>
      </c>
      <c r="F304" s="142">
        <f t="shared" si="39"/>
        <v>0</v>
      </c>
      <c r="I304" s="12">
        <v>282</v>
      </c>
      <c r="J304" s="142">
        <f>IF(M303&gt;0.01,IF(I304&lt;=($J$9*12),$J$15,-PMT($J$11,($J$12-$J$9)*12,$J$6)+$J$13*_xlfn.XLOOKUP($K$13,'RE Calculations'!$B$12:$B$16,'RE Calculations'!$C$12:$C$16,"ERROR - Check Input")/12),0)</f>
        <v>0</v>
      </c>
      <c r="K304" s="142">
        <f t="shared" si="32"/>
        <v>0</v>
      </c>
      <c r="L304" s="142">
        <f>IF(I304&lt;=($J$9*12),$J$15,IFERROR(-IPMT($J$11,I304-$J$9*12,($J$12-$J$9)*12,$J$6)+$J$13*_xlfn.XLOOKUP($K$13,'RE Calculations'!$B$12:$B$16,'RE Calculations'!$C$12:$C$16,"ERROR - Check Input")/12,0))</f>
        <v>10</v>
      </c>
      <c r="M304" s="142">
        <f t="shared" si="33"/>
        <v>0</v>
      </c>
      <c r="P304" s="12">
        <v>282</v>
      </c>
      <c r="Q304" s="142">
        <f>IF(T303&gt;0.01,-PMT($Q$8,$Q$9*12,$Q$6)+$Q$10*_xlfn.XLOOKUP($R$10,'RE Calculations'!$B$12:$B$16,'RE Calculations'!$C$12:$C$16,"ERROR - Check Input")/12,0)</f>
        <v>0</v>
      </c>
      <c r="R304" s="142">
        <f t="shared" si="34"/>
        <v>0</v>
      </c>
      <c r="S304" s="142">
        <f>IFERROR(-IPMT($Q$8,P304,$Q$9*12,$Q$6)+$Q$10*_xlfn.XLOOKUP($R$10,'RE Calculations'!$B$12:$B$16,'RE Calculations'!$C$12:$C$16,"ERROR - Check Input")/12,0)</f>
        <v>8.3333333333333339</v>
      </c>
      <c r="T304" s="142">
        <f t="shared" si="35"/>
        <v>0</v>
      </c>
      <c r="W304" s="12">
        <v>282</v>
      </c>
      <c r="X304" s="142">
        <f>IF(AA303&gt;0.01,IF(W304&lt;=($X$9*12),$X$15,-PMT($X$11,($X$12-$X$9)*12,$X$6)+$X$13*_xlfn.XLOOKUP($Y$13,'RE Calculations'!$B$12:$B$16,'RE Calculations'!$C$12:$C$16,"ERROR - Check Input")/12),0)</f>
        <v>0</v>
      </c>
      <c r="Y304" s="142">
        <f t="shared" si="36"/>
        <v>0</v>
      </c>
      <c r="Z304" s="142">
        <f>IF(W304&lt;=($X$9*12),$X$15,IFERROR(-IPMT($X$11,W304-$X$9*12,($X$12-$X$9)*12,$X$6)+$X$13*_xlfn.XLOOKUP($Y$13,'RE Calculations'!$B$12:$B$16,'RE Calculations'!$C$12:$C$16,"ERROR - Check Input")/12,0))</f>
        <v>10</v>
      </c>
      <c r="AA304" s="142">
        <f t="shared" si="37"/>
        <v>0</v>
      </c>
    </row>
    <row r="305" spans="2:27" x14ac:dyDescent="0.35">
      <c r="B305" s="12">
        <v>283</v>
      </c>
      <c r="C305" s="142">
        <f>IF(F304&gt;0.01,-PMT($C$8,$C$9*12,$C$6)+$C$10*_xlfn.XLOOKUP($D$10,'RE Calculations'!$B$12:$B$16,'RE Calculations'!$C$12:$C$16,"ERROR - Check Input")/12,0)</f>
        <v>0</v>
      </c>
      <c r="D305" s="142">
        <f t="shared" si="38"/>
        <v>0</v>
      </c>
      <c r="E305" s="142">
        <f>IFERROR(-IPMT($C$8,B305,$C$9*12,$C$6)+$C$10*_xlfn.XLOOKUP($D$10,'RE Calculations'!$B$12:$B$16,'RE Calculations'!$C$12:$C$16,"ERROR - Check Input")/12,0)</f>
        <v>8.3333333333333339</v>
      </c>
      <c r="F305" s="142">
        <f t="shared" si="39"/>
        <v>0</v>
      </c>
      <c r="I305" s="12">
        <v>283</v>
      </c>
      <c r="J305" s="142">
        <f>IF(M304&gt;0.01,IF(I305&lt;=($J$9*12),$J$15,-PMT($J$11,($J$12-$J$9)*12,$J$6)+$J$13*_xlfn.XLOOKUP($K$13,'RE Calculations'!$B$12:$B$16,'RE Calculations'!$C$12:$C$16,"ERROR - Check Input")/12),0)</f>
        <v>0</v>
      </c>
      <c r="K305" s="142">
        <f t="shared" si="32"/>
        <v>0</v>
      </c>
      <c r="L305" s="142">
        <f>IF(I305&lt;=($J$9*12),$J$15,IFERROR(-IPMT($J$11,I305-$J$9*12,($J$12-$J$9)*12,$J$6)+$J$13*_xlfn.XLOOKUP($K$13,'RE Calculations'!$B$12:$B$16,'RE Calculations'!$C$12:$C$16,"ERROR - Check Input")/12,0))</f>
        <v>10</v>
      </c>
      <c r="M305" s="142">
        <f t="shared" si="33"/>
        <v>0</v>
      </c>
      <c r="P305" s="12">
        <v>283</v>
      </c>
      <c r="Q305" s="142">
        <f>IF(T304&gt;0.01,-PMT($Q$8,$Q$9*12,$Q$6)+$Q$10*_xlfn.XLOOKUP($R$10,'RE Calculations'!$B$12:$B$16,'RE Calculations'!$C$12:$C$16,"ERROR - Check Input")/12,0)</f>
        <v>0</v>
      </c>
      <c r="R305" s="142">
        <f t="shared" si="34"/>
        <v>0</v>
      </c>
      <c r="S305" s="142">
        <f>IFERROR(-IPMT($Q$8,P305,$Q$9*12,$Q$6)+$Q$10*_xlfn.XLOOKUP($R$10,'RE Calculations'!$B$12:$B$16,'RE Calculations'!$C$12:$C$16,"ERROR - Check Input")/12,0)</f>
        <v>8.3333333333333339</v>
      </c>
      <c r="T305" s="142">
        <f t="shared" si="35"/>
        <v>0</v>
      </c>
      <c r="W305" s="12">
        <v>283</v>
      </c>
      <c r="X305" s="142">
        <f>IF(AA304&gt;0.01,IF(W305&lt;=($X$9*12),$X$15,-PMT($X$11,($X$12-$X$9)*12,$X$6)+$X$13*_xlfn.XLOOKUP($Y$13,'RE Calculations'!$B$12:$B$16,'RE Calculations'!$C$12:$C$16,"ERROR - Check Input")/12),0)</f>
        <v>0</v>
      </c>
      <c r="Y305" s="142">
        <f t="shared" si="36"/>
        <v>0</v>
      </c>
      <c r="Z305" s="142">
        <f>IF(W305&lt;=($X$9*12),$X$15,IFERROR(-IPMT($X$11,W305-$X$9*12,($X$12-$X$9)*12,$X$6)+$X$13*_xlfn.XLOOKUP($Y$13,'RE Calculations'!$B$12:$B$16,'RE Calculations'!$C$12:$C$16,"ERROR - Check Input")/12,0))</f>
        <v>10</v>
      </c>
      <c r="AA305" s="142">
        <f t="shared" si="37"/>
        <v>0</v>
      </c>
    </row>
    <row r="306" spans="2:27" x14ac:dyDescent="0.35">
      <c r="B306" s="12">
        <v>284</v>
      </c>
      <c r="C306" s="142">
        <f>IF(F305&gt;0.01,-PMT($C$8,$C$9*12,$C$6)+$C$10*_xlfn.XLOOKUP($D$10,'RE Calculations'!$B$12:$B$16,'RE Calculations'!$C$12:$C$16,"ERROR - Check Input")/12,0)</f>
        <v>0</v>
      </c>
      <c r="D306" s="142">
        <f t="shared" si="38"/>
        <v>0</v>
      </c>
      <c r="E306" s="142">
        <f>IFERROR(-IPMT($C$8,B306,$C$9*12,$C$6)+$C$10*_xlfn.XLOOKUP($D$10,'RE Calculations'!$B$12:$B$16,'RE Calculations'!$C$12:$C$16,"ERROR - Check Input")/12,0)</f>
        <v>8.3333333333333339</v>
      </c>
      <c r="F306" s="142">
        <f t="shared" si="39"/>
        <v>0</v>
      </c>
      <c r="I306" s="12">
        <v>284</v>
      </c>
      <c r="J306" s="142">
        <f>IF(M305&gt;0.01,IF(I306&lt;=($J$9*12),$J$15,-PMT($J$11,($J$12-$J$9)*12,$J$6)+$J$13*_xlfn.XLOOKUP($K$13,'RE Calculations'!$B$12:$B$16,'RE Calculations'!$C$12:$C$16,"ERROR - Check Input")/12),0)</f>
        <v>0</v>
      </c>
      <c r="K306" s="142">
        <f t="shared" si="32"/>
        <v>0</v>
      </c>
      <c r="L306" s="142">
        <f>IF(I306&lt;=($J$9*12),$J$15,IFERROR(-IPMT($J$11,I306-$J$9*12,($J$12-$J$9)*12,$J$6)+$J$13*_xlfn.XLOOKUP($K$13,'RE Calculations'!$B$12:$B$16,'RE Calculations'!$C$12:$C$16,"ERROR - Check Input")/12,0))</f>
        <v>10</v>
      </c>
      <c r="M306" s="142">
        <f t="shared" si="33"/>
        <v>0</v>
      </c>
      <c r="P306" s="12">
        <v>284</v>
      </c>
      <c r="Q306" s="142">
        <f>IF(T305&gt;0.01,-PMT($Q$8,$Q$9*12,$Q$6)+$Q$10*_xlfn.XLOOKUP($R$10,'RE Calculations'!$B$12:$B$16,'RE Calculations'!$C$12:$C$16,"ERROR - Check Input")/12,0)</f>
        <v>0</v>
      </c>
      <c r="R306" s="142">
        <f t="shared" si="34"/>
        <v>0</v>
      </c>
      <c r="S306" s="142">
        <f>IFERROR(-IPMT($Q$8,P306,$Q$9*12,$Q$6)+$Q$10*_xlfn.XLOOKUP($R$10,'RE Calculations'!$B$12:$B$16,'RE Calculations'!$C$12:$C$16,"ERROR - Check Input")/12,0)</f>
        <v>8.3333333333333339</v>
      </c>
      <c r="T306" s="142">
        <f t="shared" si="35"/>
        <v>0</v>
      </c>
      <c r="W306" s="12">
        <v>284</v>
      </c>
      <c r="X306" s="142">
        <f>IF(AA305&gt;0.01,IF(W306&lt;=($X$9*12),$X$15,-PMT($X$11,($X$12-$X$9)*12,$X$6)+$X$13*_xlfn.XLOOKUP($Y$13,'RE Calculations'!$B$12:$B$16,'RE Calculations'!$C$12:$C$16,"ERROR - Check Input")/12),0)</f>
        <v>0</v>
      </c>
      <c r="Y306" s="142">
        <f t="shared" si="36"/>
        <v>0</v>
      </c>
      <c r="Z306" s="142">
        <f>IF(W306&lt;=($X$9*12),$X$15,IFERROR(-IPMT($X$11,W306-$X$9*12,($X$12-$X$9)*12,$X$6)+$X$13*_xlfn.XLOOKUP($Y$13,'RE Calculations'!$B$12:$B$16,'RE Calculations'!$C$12:$C$16,"ERROR - Check Input")/12,0))</f>
        <v>10</v>
      </c>
      <c r="AA306" s="142">
        <f t="shared" si="37"/>
        <v>0</v>
      </c>
    </row>
    <row r="307" spans="2:27" x14ac:dyDescent="0.35">
      <c r="B307" s="12">
        <v>285</v>
      </c>
      <c r="C307" s="142">
        <f>IF(F306&gt;0.01,-PMT($C$8,$C$9*12,$C$6)+$C$10*_xlfn.XLOOKUP($D$10,'RE Calculations'!$B$12:$B$16,'RE Calculations'!$C$12:$C$16,"ERROR - Check Input")/12,0)</f>
        <v>0</v>
      </c>
      <c r="D307" s="142">
        <f t="shared" si="38"/>
        <v>0</v>
      </c>
      <c r="E307" s="142">
        <f>IFERROR(-IPMT($C$8,B307,$C$9*12,$C$6)+$C$10*_xlfn.XLOOKUP($D$10,'RE Calculations'!$B$12:$B$16,'RE Calculations'!$C$12:$C$16,"ERROR - Check Input")/12,0)</f>
        <v>8.3333333333333339</v>
      </c>
      <c r="F307" s="142">
        <f t="shared" si="39"/>
        <v>0</v>
      </c>
      <c r="I307" s="12">
        <v>285</v>
      </c>
      <c r="J307" s="142">
        <f>IF(M306&gt;0.01,IF(I307&lt;=($J$9*12),$J$15,-PMT($J$11,($J$12-$J$9)*12,$J$6)+$J$13*_xlfn.XLOOKUP($K$13,'RE Calculations'!$B$12:$B$16,'RE Calculations'!$C$12:$C$16,"ERROR - Check Input")/12),0)</f>
        <v>0</v>
      </c>
      <c r="K307" s="142">
        <f t="shared" si="32"/>
        <v>0</v>
      </c>
      <c r="L307" s="142">
        <f>IF(I307&lt;=($J$9*12),$J$15,IFERROR(-IPMT($J$11,I307-$J$9*12,($J$12-$J$9)*12,$J$6)+$J$13*_xlfn.XLOOKUP($K$13,'RE Calculations'!$B$12:$B$16,'RE Calculations'!$C$12:$C$16,"ERROR - Check Input")/12,0))</f>
        <v>10</v>
      </c>
      <c r="M307" s="142">
        <f t="shared" si="33"/>
        <v>0</v>
      </c>
      <c r="P307" s="12">
        <v>285</v>
      </c>
      <c r="Q307" s="142">
        <f>IF(T306&gt;0.01,-PMT($Q$8,$Q$9*12,$Q$6)+$Q$10*_xlfn.XLOOKUP($R$10,'RE Calculations'!$B$12:$B$16,'RE Calculations'!$C$12:$C$16,"ERROR - Check Input")/12,0)</f>
        <v>0</v>
      </c>
      <c r="R307" s="142">
        <f t="shared" si="34"/>
        <v>0</v>
      </c>
      <c r="S307" s="142">
        <f>IFERROR(-IPMT($Q$8,P307,$Q$9*12,$Q$6)+$Q$10*_xlfn.XLOOKUP($R$10,'RE Calculations'!$B$12:$B$16,'RE Calculations'!$C$12:$C$16,"ERROR - Check Input")/12,0)</f>
        <v>8.3333333333333339</v>
      </c>
      <c r="T307" s="142">
        <f t="shared" si="35"/>
        <v>0</v>
      </c>
      <c r="W307" s="12">
        <v>285</v>
      </c>
      <c r="X307" s="142">
        <f>IF(AA306&gt;0.01,IF(W307&lt;=($X$9*12),$X$15,-PMT($X$11,($X$12-$X$9)*12,$X$6)+$X$13*_xlfn.XLOOKUP($Y$13,'RE Calculations'!$B$12:$B$16,'RE Calculations'!$C$12:$C$16,"ERROR - Check Input")/12),0)</f>
        <v>0</v>
      </c>
      <c r="Y307" s="142">
        <f t="shared" si="36"/>
        <v>0</v>
      </c>
      <c r="Z307" s="142">
        <f>IF(W307&lt;=($X$9*12),$X$15,IFERROR(-IPMT($X$11,W307-$X$9*12,($X$12-$X$9)*12,$X$6)+$X$13*_xlfn.XLOOKUP($Y$13,'RE Calculations'!$B$12:$B$16,'RE Calculations'!$C$12:$C$16,"ERROR - Check Input")/12,0))</f>
        <v>10</v>
      </c>
      <c r="AA307" s="142">
        <f t="shared" si="37"/>
        <v>0</v>
      </c>
    </row>
    <row r="308" spans="2:27" x14ac:dyDescent="0.35">
      <c r="B308" s="12">
        <v>286</v>
      </c>
      <c r="C308" s="142">
        <f>IF(F307&gt;0.01,-PMT($C$8,$C$9*12,$C$6)+$C$10*_xlfn.XLOOKUP($D$10,'RE Calculations'!$B$12:$B$16,'RE Calculations'!$C$12:$C$16,"ERROR - Check Input")/12,0)</f>
        <v>0</v>
      </c>
      <c r="D308" s="142">
        <f t="shared" si="38"/>
        <v>0</v>
      </c>
      <c r="E308" s="142">
        <f>IFERROR(-IPMT($C$8,B308,$C$9*12,$C$6)+$C$10*_xlfn.XLOOKUP($D$10,'RE Calculations'!$B$12:$B$16,'RE Calculations'!$C$12:$C$16,"ERROR - Check Input")/12,0)</f>
        <v>8.3333333333333339</v>
      </c>
      <c r="F308" s="142">
        <f t="shared" si="39"/>
        <v>0</v>
      </c>
      <c r="I308" s="12">
        <v>286</v>
      </c>
      <c r="J308" s="142">
        <f>IF(M307&gt;0.01,IF(I308&lt;=($J$9*12),$J$15,-PMT($J$11,($J$12-$J$9)*12,$J$6)+$J$13*_xlfn.XLOOKUP($K$13,'RE Calculations'!$B$12:$B$16,'RE Calculations'!$C$12:$C$16,"ERROR - Check Input")/12),0)</f>
        <v>0</v>
      </c>
      <c r="K308" s="142">
        <f t="shared" si="32"/>
        <v>0</v>
      </c>
      <c r="L308" s="142">
        <f>IF(I308&lt;=($J$9*12),$J$15,IFERROR(-IPMT($J$11,I308-$J$9*12,($J$12-$J$9)*12,$J$6)+$J$13*_xlfn.XLOOKUP($K$13,'RE Calculations'!$B$12:$B$16,'RE Calculations'!$C$12:$C$16,"ERROR - Check Input")/12,0))</f>
        <v>10</v>
      </c>
      <c r="M308" s="142">
        <f t="shared" si="33"/>
        <v>0</v>
      </c>
      <c r="P308" s="12">
        <v>286</v>
      </c>
      <c r="Q308" s="142">
        <f>IF(T307&gt;0.01,-PMT($Q$8,$Q$9*12,$Q$6)+$Q$10*_xlfn.XLOOKUP($R$10,'RE Calculations'!$B$12:$B$16,'RE Calculations'!$C$12:$C$16,"ERROR - Check Input")/12,0)</f>
        <v>0</v>
      </c>
      <c r="R308" s="142">
        <f t="shared" si="34"/>
        <v>0</v>
      </c>
      <c r="S308" s="142">
        <f>IFERROR(-IPMT($Q$8,P308,$Q$9*12,$Q$6)+$Q$10*_xlfn.XLOOKUP($R$10,'RE Calculations'!$B$12:$B$16,'RE Calculations'!$C$12:$C$16,"ERROR - Check Input")/12,0)</f>
        <v>8.3333333333333339</v>
      </c>
      <c r="T308" s="142">
        <f t="shared" si="35"/>
        <v>0</v>
      </c>
      <c r="W308" s="12">
        <v>286</v>
      </c>
      <c r="X308" s="142">
        <f>IF(AA307&gt;0.01,IF(W308&lt;=($X$9*12),$X$15,-PMT($X$11,($X$12-$X$9)*12,$X$6)+$X$13*_xlfn.XLOOKUP($Y$13,'RE Calculations'!$B$12:$B$16,'RE Calculations'!$C$12:$C$16,"ERROR - Check Input")/12),0)</f>
        <v>0</v>
      </c>
      <c r="Y308" s="142">
        <f t="shared" si="36"/>
        <v>0</v>
      </c>
      <c r="Z308" s="142">
        <f>IF(W308&lt;=($X$9*12),$X$15,IFERROR(-IPMT($X$11,W308-$X$9*12,($X$12-$X$9)*12,$X$6)+$X$13*_xlfn.XLOOKUP($Y$13,'RE Calculations'!$B$12:$B$16,'RE Calculations'!$C$12:$C$16,"ERROR - Check Input")/12,0))</f>
        <v>10</v>
      </c>
      <c r="AA308" s="142">
        <f t="shared" si="37"/>
        <v>0</v>
      </c>
    </row>
    <row r="309" spans="2:27" x14ac:dyDescent="0.35">
      <c r="B309" s="12">
        <v>287</v>
      </c>
      <c r="C309" s="142">
        <f>IF(F308&gt;0.01,-PMT($C$8,$C$9*12,$C$6)+$C$10*_xlfn.XLOOKUP($D$10,'RE Calculations'!$B$12:$B$16,'RE Calculations'!$C$12:$C$16,"ERROR - Check Input")/12,0)</f>
        <v>0</v>
      </c>
      <c r="D309" s="142">
        <f t="shared" si="38"/>
        <v>0</v>
      </c>
      <c r="E309" s="142">
        <f>IFERROR(-IPMT($C$8,B309,$C$9*12,$C$6)+$C$10*_xlfn.XLOOKUP($D$10,'RE Calculations'!$B$12:$B$16,'RE Calculations'!$C$12:$C$16,"ERROR - Check Input")/12,0)</f>
        <v>8.3333333333333339</v>
      </c>
      <c r="F309" s="142">
        <f t="shared" si="39"/>
        <v>0</v>
      </c>
      <c r="I309" s="12">
        <v>287</v>
      </c>
      <c r="J309" s="142">
        <f>IF(M308&gt;0.01,IF(I309&lt;=($J$9*12),$J$15,-PMT($J$11,($J$12-$J$9)*12,$J$6)+$J$13*_xlfn.XLOOKUP($K$13,'RE Calculations'!$B$12:$B$16,'RE Calculations'!$C$12:$C$16,"ERROR - Check Input")/12),0)</f>
        <v>0</v>
      </c>
      <c r="K309" s="142">
        <f t="shared" si="32"/>
        <v>0</v>
      </c>
      <c r="L309" s="142">
        <f>IF(I309&lt;=($J$9*12),$J$15,IFERROR(-IPMT($J$11,I309-$J$9*12,($J$12-$J$9)*12,$J$6)+$J$13*_xlfn.XLOOKUP($K$13,'RE Calculations'!$B$12:$B$16,'RE Calculations'!$C$12:$C$16,"ERROR - Check Input")/12,0))</f>
        <v>10</v>
      </c>
      <c r="M309" s="142">
        <f t="shared" si="33"/>
        <v>0</v>
      </c>
      <c r="P309" s="12">
        <v>287</v>
      </c>
      <c r="Q309" s="142">
        <f>IF(T308&gt;0.01,-PMT($Q$8,$Q$9*12,$Q$6)+$Q$10*_xlfn.XLOOKUP($R$10,'RE Calculations'!$B$12:$B$16,'RE Calculations'!$C$12:$C$16,"ERROR - Check Input")/12,0)</f>
        <v>0</v>
      </c>
      <c r="R309" s="142">
        <f t="shared" si="34"/>
        <v>0</v>
      </c>
      <c r="S309" s="142">
        <f>IFERROR(-IPMT($Q$8,P309,$Q$9*12,$Q$6)+$Q$10*_xlfn.XLOOKUP($R$10,'RE Calculations'!$B$12:$B$16,'RE Calculations'!$C$12:$C$16,"ERROR - Check Input")/12,0)</f>
        <v>8.3333333333333339</v>
      </c>
      <c r="T309" s="142">
        <f t="shared" si="35"/>
        <v>0</v>
      </c>
      <c r="W309" s="12">
        <v>287</v>
      </c>
      <c r="X309" s="142">
        <f>IF(AA308&gt;0.01,IF(W309&lt;=($X$9*12),$X$15,-PMT($X$11,($X$12-$X$9)*12,$X$6)+$X$13*_xlfn.XLOOKUP($Y$13,'RE Calculations'!$B$12:$B$16,'RE Calculations'!$C$12:$C$16,"ERROR - Check Input")/12),0)</f>
        <v>0</v>
      </c>
      <c r="Y309" s="142">
        <f t="shared" si="36"/>
        <v>0</v>
      </c>
      <c r="Z309" s="142">
        <f>IF(W309&lt;=($X$9*12),$X$15,IFERROR(-IPMT($X$11,W309-$X$9*12,($X$12-$X$9)*12,$X$6)+$X$13*_xlfn.XLOOKUP($Y$13,'RE Calculations'!$B$12:$B$16,'RE Calculations'!$C$12:$C$16,"ERROR - Check Input")/12,0))</f>
        <v>10</v>
      </c>
      <c r="AA309" s="142">
        <f t="shared" si="37"/>
        <v>0</v>
      </c>
    </row>
    <row r="310" spans="2:27" x14ac:dyDescent="0.35">
      <c r="B310" s="12">
        <v>288</v>
      </c>
      <c r="C310" s="142">
        <f>IF(F309&gt;0.01,-PMT($C$8,$C$9*12,$C$6)+$C$10*_xlfn.XLOOKUP($D$10,'RE Calculations'!$B$12:$B$16,'RE Calculations'!$C$12:$C$16,"ERROR - Check Input")/12,0)</f>
        <v>0</v>
      </c>
      <c r="D310" s="142">
        <f t="shared" si="38"/>
        <v>0</v>
      </c>
      <c r="E310" s="142">
        <f>IFERROR(-IPMT($C$8,B310,$C$9*12,$C$6)+$C$10*_xlfn.XLOOKUP($D$10,'RE Calculations'!$B$12:$B$16,'RE Calculations'!$C$12:$C$16,"ERROR - Check Input")/12,0)</f>
        <v>8.3333333333333339</v>
      </c>
      <c r="F310" s="142">
        <f t="shared" si="39"/>
        <v>0</v>
      </c>
      <c r="I310" s="12">
        <v>288</v>
      </c>
      <c r="J310" s="142">
        <f>IF(M309&gt;0.01,IF(I310&lt;=($J$9*12),$J$15,-PMT($J$11,($J$12-$J$9)*12,$J$6)+$J$13*_xlfn.XLOOKUP($K$13,'RE Calculations'!$B$12:$B$16,'RE Calculations'!$C$12:$C$16,"ERROR - Check Input")/12),0)</f>
        <v>0</v>
      </c>
      <c r="K310" s="142">
        <f t="shared" si="32"/>
        <v>0</v>
      </c>
      <c r="L310" s="142">
        <f>IF(I310&lt;=($J$9*12),$J$15,IFERROR(-IPMT($J$11,I310-$J$9*12,($J$12-$J$9)*12,$J$6)+$J$13*_xlfn.XLOOKUP($K$13,'RE Calculations'!$B$12:$B$16,'RE Calculations'!$C$12:$C$16,"ERROR - Check Input")/12,0))</f>
        <v>10</v>
      </c>
      <c r="M310" s="142">
        <f t="shared" si="33"/>
        <v>0</v>
      </c>
      <c r="P310" s="12">
        <v>288</v>
      </c>
      <c r="Q310" s="142">
        <f>IF(T309&gt;0.01,-PMT($Q$8,$Q$9*12,$Q$6)+$Q$10*_xlfn.XLOOKUP($R$10,'RE Calculations'!$B$12:$B$16,'RE Calculations'!$C$12:$C$16,"ERROR - Check Input")/12,0)</f>
        <v>0</v>
      </c>
      <c r="R310" s="142">
        <f t="shared" si="34"/>
        <v>0</v>
      </c>
      <c r="S310" s="142">
        <f>IFERROR(-IPMT($Q$8,P310,$Q$9*12,$Q$6)+$Q$10*_xlfn.XLOOKUP($R$10,'RE Calculations'!$B$12:$B$16,'RE Calculations'!$C$12:$C$16,"ERROR - Check Input")/12,0)</f>
        <v>8.3333333333333339</v>
      </c>
      <c r="T310" s="142">
        <f t="shared" si="35"/>
        <v>0</v>
      </c>
      <c r="W310" s="12">
        <v>288</v>
      </c>
      <c r="X310" s="142">
        <f>IF(AA309&gt;0.01,IF(W310&lt;=($X$9*12),$X$15,-PMT($X$11,($X$12-$X$9)*12,$X$6)+$X$13*_xlfn.XLOOKUP($Y$13,'RE Calculations'!$B$12:$B$16,'RE Calculations'!$C$12:$C$16,"ERROR - Check Input")/12),0)</f>
        <v>0</v>
      </c>
      <c r="Y310" s="142">
        <f t="shared" si="36"/>
        <v>0</v>
      </c>
      <c r="Z310" s="142">
        <f>IF(W310&lt;=($X$9*12),$X$15,IFERROR(-IPMT($X$11,W310-$X$9*12,($X$12-$X$9)*12,$X$6)+$X$13*_xlfn.XLOOKUP($Y$13,'RE Calculations'!$B$12:$B$16,'RE Calculations'!$C$12:$C$16,"ERROR - Check Input")/12,0))</f>
        <v>10</v>
      </c>
      <c r="AA310" s="142">
        <f t="shared" si="37"/>
        <v>0</v>
      </c>
    </row>
    <row r="311" spans="2:27" x14ac:dyDescent="0.35">
      <c r="B311" s="12">
        <v>289</v>
      </c>
      <c r="C311" s="142">
        <f>IF(F310&gt;0.01,-PMT($C$8,$C$9*12,$C$6)+$C$10*_xlfn.XLOOKUP($D$10,'RE Calculations'!$B$12:$B$16,'RE Calculations'!$C$12:$C$16,"ERROR - Check Input")/12,0)</f>
        <v>0</v>
      </c>
      <c r="D311" s="142">
        <f t="shared" si="38"/>
        <v>0</v>
      </c>
      <c r="E311" s="142">
        <f>IFERROR(-IPMT($C$8,B311,$C$9*12,$C$6)+$C$10*_xlfn.XLOOKUP($D$10,'RE Calculations'!$B$12:$B$16,'RE Calculations'!$C$12:$C$16,"ERROR - Check Input")/12,0)</f>
        <v>8.3333333333333339</v>
      </c>
      <c r="F311" s="142">
        <f t="shared" si="39"/>
        <v>0</v>
      </c>
      <c r="I311" s="12">
        <v>289</v>
      </c>
      <c r="J311" s="142">
        <f>IF(M310&gt;0.01,IF(I311&lt;=($J$9*12),$J$15,-PMT($J$11,($J$12-$J$9)*12,$J$6)+$J$13*_xlfn.XLOOKUP($K$13,'RE Calculations'!$B$12:$B$16,'RE Calculations'!$C$12:$C$16,"ERROR - Check Input")/12),0)</f>
        <v>0</v>
      </c>
      <c r="K311" s="142">
        <f t="shared" si="32"/>
        <v>0</v>
      </c>
      <c r="L311" s="142">
        <f>IF(I311&lt;=($J$9*12),$J$15,IFERROR(-IPMT($J$11,I311-$J$9*12,($J$12-$J$9)*12,$J$6)+$J$13*_xlfn.XLOOKUP($K$13,'RE Calculations'!$B$12:$B$16,'RE Calculations'!$C$12:$C$16,"ERROR - Check Input")/12,0))</f>
        <v>10</v>
      </c>
      <c r="M311" s="142">
        <f t="shared" si="33"/>
        <v>0</v>
      </c>
      <c r="P311" s="12">
        <v>289</v>
      </c>
      <c r="Q311" s="142">
        <f>IF(T310&gt;0.01,-PMT($Q$8,$Q$9*12,$Q$6)+$Q$10*_xlfn.XLOOKUP($R$10,'RE Calculations'!$B$12:$B$16,'RE Calculations'!$C$12:$C$16,"ERROR - Check Input")/12,0)</f>
        <v>0</v>
      </c>
      <c r="R311" s="142">
        <f t="shared" si="34"/>
        <v>0</v>
      </c>
      <c r="S311" s="142">
        <f>IFERROR(-IPMT($Q$8,P311,$Q$9*12,$Q$6)+$Q$10*_xlfn.XLOOKUP($R$10,'RE Calculations'!$B$12:$B$16,'RE Calculations'!$C$12:$C$16,"ERROR - Check Input")/12,0)</f>
        <v>8.3333333333333339</v>
      </c>
      <c r="T311" s="142">
        <f t="shared" si="35"/>
        <v>0</v>
      </c>
      <c r="W311" s="12">
        <v>289</v>
      </c>
      <c r="X311" s="142">
        <f>IF(AA310&gt;0.01,IF(W311&lt;=($X$9*12),$X$15,-PMT($X$11,($X$12-$X$9)*12,$X$6)+$X$13*_xlfn.XLOOKUP($Y$13,'RE Calculations'!$B$12:$B$16,'RE Calculations'!$C$12:$C$16,"ERROR - Check Input")/12),0)</f>
        <v>0</v>
      </c>
      <c r="Y311" s="142">
        <f t="shared" si="36"/>
        <v>0</v>
      </c>
      <c r="Z311" s="142">
        <f>IF(W311&lt;=($X$9*12),$X$15,IFERROR(-IPMT($X$11,W311-$X$9*12,($X$12-$X$9)*12,$X$6)+$X$13*_xlfn.XLOOKUP($Y$13,'RE Calculations'!$B$12:$B$16,'RE Calculations'!$C$12:$C$16,"ERROR - Check Input")/12,0))</f>
        <v>10</v>
      </c>
      <c r="AA311" s="142">
        <f t="shared" si="37"/>
        <v>0</v>
      </c>
    </row>
    <row r="312" spans="2:27" x14ac:dyDescent="0.35">
      <c r="B312" s="12">
        <v>290</v>
      </c>
      <c r="C312" s="142">
        <f>IF(F311&gt;0.01,-PMT($C$8,$C$9*12,$C$6)+$C$10*_xlfn.XLOOKUP($D$10,'RE Calculations'!$B$12:$B$16,'RE Calculations'!$C$12:$C$16,"ERROR - Check Input")/12,0)</f>
        <v>0</v>
      </c>
      <c r="D312" s="142">
        <f t="shared" si="38"/>
        <v>0</v>
      </c>
      <c r="E312" s="142">
        <f>IFERROR(-IPMT($C$8,B312,$C$9*12,$C$6)+$C$10*_xlfn.XLOOKUP($D$10,'RE Calculations'!$B$12:$B$16,'RE Calculations'!$C$12:$C$16,"ERROR - Check Input")/12,0)</f>
        <v>8.3333333333333339</v>
      </c>
      <c r="F312" s="142">
        <f t="shared" si="39"/>
        <v>0</v>
      </c>
      <c r="I312" s="12">
        <v>290</v>
      </c>
      <c r="J312" s="142">
        <f>IF(M311&gt;0.01,IF(I312&lt;=($J$9*12),$J$15,-PMT($J$11,($J$12-$J$9)*12,$J$6)+$J$13*_xlfn.XLOOKUP($K$13,'RE Calculations'!$B$12:$B$16,'RE Calculations'!$C$12:$C$16,"ERROR - Check Input")/12),0)</f>
        <v>0</v>
      </c>
      <c r="K312" s="142">
        <f t="shared" si="32"/>
        <v>0</v>
      </c>
      <c r="L312" s="142">
        <f>IF(I312&lt;=($J$9*12),$J$15,IFERROR(-IPMT($J$11,I312-$J$9*12,($J$12-$J$9)*12,$J$6)+$J$13*_xlfn.XLOOKUP($K$13,'RE Calculations'!$B$12:$B$16,'RE Calculations'!$C$12:$C$16,"ERROR - Check Input")/12,0))</f>
        <v>10</v>
      </c>
      <c r="M312" s="142">
        <f t="shared" si="33"/>
        <v>0</v>
      </c>
      <c r="P312" s="12">
        <v>290</v>
      </c>
      <c r="Q312" s="142">
        <f>IF(T311&gt;0.01,-PMT($Q$8,$Q$9*12,$Q$6)+$Q$10*_xlfn.XLOOKUP($R$10,'RE Calculations'!$B$12:$B$16,'RE Calculations'!$C$12:$C$16,"ERROR - Check Input")/12,0)</f>
        <v>0</v>
      </c>
      <c r="R312" s="142">
        <f t="shared" si="34"/>
        <v>0</v>
      </c>
      <c r="S312" s="142">
        <f>IFERROR(-IPMT($Q$8,P312,$Q$9*12,$Q$6)+$Q$10*_xlfn.XLOOKUP($R$10,'RE Calculations'!$B$12:$B$16,'RE Calculations'!$C$12:$C$16,"ERROR - Check Input")/12,0)</f>
        <v>8.3333333333333339</v>
      </c>
      <c r="T312" s="142">
        <f t="shared" si="35"/>
        <v>0</v>
      </c>
      <c r="W312" s="12">
        <v>290</v>
      </c>
      <c r="X312" s="142">
        <f>IF(AA311&gt;0.01,IF(W312&lt;=($X$9*12),$X$15,-PMT($X$11,($X$12-$X$9)*12,$X$6)+$X$13*_xlfn.XLOOKUP($Y$13,'RE Calculations'!$B$12:$B$16,'RE Calculations'!$C$12:$C$16,"ERROR - Check Input")/12),0)</f>
        <v>0</v>
      </c>
      <c r="Y312" s="142">
        <f t="shared" si="36"/>
        <v>0</v>
      </c>
      <c r="Z312" s="142">
        <f>IF(W312&lt;=($X$9*12),$X$15,IFERROR(-IPMT($X$11,W312-$X$9*12,($X$12-$X$9)*12,$X$6)+$X$13*_xlfn.XLOOKUP($Y$13,'RE Calculations'!$B$12:$B$16,'RE Calculations'!$C$12:$C$16,"ERROR - Check Input")/12,0))</f>
        <v>10</v>
      </c>
      <c r="AA312" s="142">
        <f t="shared" si="37"/>
        <v>0</v>
      </c>
    </row>
    <row r="313" spans="2:27" x14ac:dyDescent="0.35">
      <c r="B313" s="12">
        <v>291</v>
      </c>
      <c r="C313" s="142">
        <f>IF(F312&gt;0.01,-PMT($C$8,$C$9*12,$C$6)+$C$10*_xlfn.XLOOKUP($D$10,'RE Calculations'!$B$12:$B$16,'RE Calculations'!$C$12:$C$16,"ERROR - Check Input")/12,0)</f>
        <v>0</v>
      </c>
      <c r="D313" s="142">
        <f t="shared" si="38"/>
        <v>0</v>
      </c>
      <c r="E313" s="142">
        <f>IFERROR(-IPMT($C$8,B313,$C$9*12,$C$6)+$C$10*_xlfn.XLOOKUP($D$10,'RE Calculations'!$B$12:$B$16,'RE Calculations'!$C$12:$C$16,"ERROR - Check Input")/12,0)</f>
        <v>8.3333333333333339</v>
      </c>
      <c r="F313" s="142">
        <f t="shared" si="39"/>
        <v>0</v>
      </c>
      <c r="I313" s="12">
        <v>291</v>
      </c>
      <c r="J313" s="142">
        <f>IF(M312&gt;0.01,IF(I313&lt;=($J$9*12),$J$15,-PMT($J$11,($J$12-$J$9)*12,$J$6)+$J$13*_xlfn.XLOOKUP($K$13,'RE Calculations'!$B$12:$B$16,'RE Calculations'!$C$12:$C$16,"ERROR - Check Input")/12),0)</f>
        <v>0</v>
      </c>
      <c r="K313" s="142">
        <f t="shared" si="32"/>
        <v>0</v>
      </c>
      <c r="L313" s="142">
        <f>IF(I313&lt;=($J$9*12),$J$15,IFERROR(-IPMT($J$11,I313-$J$9*12,($J$12-$J$9)*12,$J$6)+$J$13*_xlfn.XLOOKUP($K$13,'RE Calculations'!$B$12:$B$16,'RE Calculations'!$C$12:$C$16,"ERROR - Check Input")/12,0))</f>
        <v>10</v>
      </c>
      <c r="M313" s="142">
        <f t="shared" si="33"/>
        <v>0</v>
      </c>
      <c r="P313" s="12">
        <v>291</v>
      </c>
      <c r="Q313" s="142">
        <f>IF(T312&gt;0.01,-PMT($Q$8,$Q$9*12,$Q$6)+$Q$10*_xlfn.XLOOKUP($R$10,'RE Calculations'!$B$12:$B$16,'RE Calculations'!$C$12:$C$16,"ERROR - Check Input")/12,0)</f>
        <v>0</v>
      </c>
      <c r="R313" s="142">
        <f t="shared" si="34"/>
        <v>0</v>
      </c>
      <c r="S313" s="142">
        <f>IFERROR(-IPMT($Q$8,P313,$Q$9*12,$Q$6)+$Q$10*_xlfn.XLOOKUP($R$10,'RE Calculations'!$B$12:$B$16,'RE Calculations'!$C$12:$C$16,"ERROR - Check Input")/12,0)</f>
        <v>8.3333333333333339</v>
      </c>
      <c r="T313" s="142">
        <f t="shared" si="35"/>
        <v>0</v>
      </c>
      <c r="W313" s="12">
        <v>291</v>
      </c>
      <c r="X313" s="142">
        <f>IF(AA312&gt;0.01,IF(W313&lt;=($X$9*12),$X$15,-PMT($X$11,($X$12-$X$9)*12,$X$6)+$X$13*_xlfn.XLOOKUP($Y$13,'RE Calculations'!$B$12:$B$16,'RE Calculations'!$C$12:$C$16,"ERROR - Check Input")/12),0)</f>
        <v>0</v>
      </c>
      <c r="Y313" s="142">
        <f t="shared" si="36"/>
        <v>0</v>
      </c>
      <c r="Z313" s="142">
        <f>IF(W313&lt;=($X$9*12),$X$15,IFERROR(-IPMT($X$11,W313-$X$9*12,($X$12-$X$9)*12,$X$6)+$X$13*_xlfn.XLOOKUP($Y$13,'RE Calculations'!$B$12:$B$16,'RE Calculations'!$C$12:$C$16,"ERROR - Check Input")/12,0))</f>
        <v>10</v>
      </c>
      <c r="AA313" s="142">
        <f t="shared" si="37"/>
        <v>0</v>
      </c>
    </row>
    <row r="314" spans="2:27" x14ac:dyDescent="0.35">
      <c r="B314" s="12">
        <v>292</v>
      </c>
      <c r="C314" s="142">
        <f>IF(F313&gt;0.01,-PMT($C$8,$C$9*12,$C$6)+$C$10*_xlfn.XLOOKUP($D$10,'RE Calculations'!$B$12:$B$16,'RE Calculations'!$C$12:$C$16,"ERROR - Check Input")/12,0)</f>
        <v>0</v>
      </c>
      <c r="D314" s="142">
        <f t="shared" si="38"/>
        <v>0</v>
      </c>
      <c r="E314" s="142">
        <f>IFERROR(-IPMT($C$8,B314,$C$9*12,$C$6)+$C$10*_xlfn.XLOOKUP($D$10,'RE Calculations'!$B$12:$B$16,'RE Calculations'!$C$12:$C$16,"ERROR - Check Input")/12,0)</f>
        <v>8.3333333333333339</v>
      </c>
      <c r="F314" s="142">
        <f t="shared" si="39"/>
        <v>0</v>
      </c>
      <c r="I314" s="12">
        <v>292</v>
      </c>
      <c r="J314" s="142">
        <f>IF(M313&gt;0.01,IF(I314&lt;=($J$9*12),$J$15,-PMT($J$11,($J$12-$J$9)*12,$J$6)+$J$13*_xlfn.XLOOKUP($K$13,'RE Calculations'!$B$12:$B$16,'RE Calculations'!$C$12:$C$16,"ERROR - Check Input")/12),0)</f>
        <v>0</v>
      </c>
      <c r="K314" s="142">
        <f t="shared" si="32"/>
        <v>0</v>
      </c>
      <c r="L314" s="142">
        <f>IF(I314&lt;=($J$9*12),$J$15,IFERROR(-IPMT($J$11,I314-$J$9*12,($J$12-$J$9)*12,$J$6)+$J$13*_xlfn.XLOOKUP($K$13,'RE Calculations'!$B$12:$B$16,'RE Calculations'!$C$12:$C$16,"ERROR - Check Input")/12,0))</f>
        <v>10</v>
      </c>
      <c r="M314" s="142">
        <f t="shared" si="33"/>
        <v>0</v>
      </c>
      <c r="P314" s="12">
        <v>292</v>
      </c>
      <c r="Q314" s="142">
        <f>IF(T313&gt;0.01,-PMT($Q$8,$Q$9*12,$Q$6)+$Q$10*_xlfn.XLOOKUP($R$10,'RE Calculations'!$B$12:$B$16,'RE Calculations'!$C$12:$C$16,"ERROR - Check Input")/12,0)</f>
        <v>0</v>
      </c>
      <c r="R314" s="142">
        <f t="shared" si="34"/>
        <v>0</v>
      </c>
      <c r="S314" s="142">
        <f>IFERROR(-IPMT($Q$8,P314,$Q$9*12,$Q$6)+$Q$10*_xlfn.XLOOKUP($R$10,'RE Calculations'!$B$12:$B$16,'RE Calculations'!$C$12:$C$16,"ERROR - Check Input")/12,0)</f>
        <v>8.3333333333333339</v>
      </c>
      <c r="T314" s="142">
        <f t="shared" si="35"/>
        <v>0</v>
      </c>
      <c r="W314" s="12">
        <v>292</v>
      </c>
      <c r="X314" s="142">
        <f>IF(AA313&gt;0.01,IF(W314&lt;=($X$9*12),$X$15,-PMT($X$11,($X$12-$X$9)*12,$X$6)+$X$13*_xlfn.XLOOKUP($Y$13,'RE Calculations'!$B$12:$B$16,'RE Calculations'!$C$12:$C$16,"ERROR - Check Input")/12),0)</f>
        <v>0</v>
      </c>
      <c r="Y314" s="142">
        <f t="shared" si="36"/>
        <v>0</v>
      </c>
      <c r="Z314" s="142">
        <f>IF(W314&lt;=($X$9*12),$X$15,IFERROR(-IPMT($X$11,W314-$X$9*12,($X$12-$X$9)*12,$X$6)+$X$13*_xlfn.XLOOKUP($Y$13,'RE Calculations'!$B$12:$B$16,'RE Calculations'!$C$12:$C$16,"ERROR - Check Input")/12,0))</f>
        <v>10</v>
      </c>
      <c r="AA314" s="142">
        <f t="shared" si="37"/>
        <v>0</v>
      </c>
    </row>
    <row r="315" spans="2:27" x14ac:dyDescent="0.35">
      <c r="B315" s="12">
        <v>293</v>
      </c>
      <c r="C315" s="142">
        <f>IF(F314&gt;0.01,-PMT($C$8,$C$9*12,$C$6)+$C$10*_xlfn.XLOOKUP($D$10,'RE Calculations'!$B$12:$B$16,'RE Calculations'!$C$12:$C$16,"ERROR - Check Input")/12,0)</f>
        <v>0</v>
      </c>
      <c r="D315" s="142">
        <f t="shared" si="38"/>
        <v>0</v>
      </c>
      <c r="E315" s="142">
        <f>IFERROR(-IPMT($C$8,B315,$C$9*12,$C$6)+$C$10*_xlfn.XLOOKUP($D$10,'RE Calculations'!$B$12:$B$16,'RE Calculations'!$C$12:$C$16,"ERROR - Check Input")/12,0)</f>
        <v>8.3333333333333339</v>
      </c>
      <c r="F315" s="142">
        <f t="shared" si="39"/>
        <v>0</v>
      </c>
      <c r="I315" s="12">
        <v>293</v>
      </c>
      <c r="J315" s="142">
        <f>IF(M314&gt;0.01,IF(I315&lt;=($J$9*12),$J$15,-PMT($J$11,($J$12-$J$9)*12,$J$6)+$J$13*_xlfn.XLOOKUP($K$13,'RE Calculations'!$B$12:$B$16,'RE Calculations'!$C$12:$C$16,"ERROR - Check Input")/12),0)</f>
        <v>0</v>
      </c>
      <c r="K315" s="142">
        <f t="shared" si="32"/>
        <v>0</v>
      </c>
      <c r="L315" s="142">
        <f>IF(I315&lt;=($J$9*12),$J$15,IFERROR(-IPMT($J$11,I315-$J$9*12,($J$12-$J$9)*12,$J$6)+$J$13*_xlfn.XLOOKUP($K$13,'RE Calculations'!$B$12:$B$16,'RE Calculations'!$C$12:$C$16,"ERROR - Check Input")/12,0))</f>
        <v>10</v>
      </c>
      <c r="M315" s="142">
        <f t="shared" si="33"/>
        <v>0</v>
      </c>
      <c r="P315" s="12">
        <v>293</v>
      </c>
      <c r="Q315" s="142">
        <f>IF(T314&gt;0.01,-PMT($Q$8,$Q$9*12,$Q$6)+$Q$10*_xlfn.XLOOKUP($R$10,'RE Calculations'!$B$12:$B$16,'RE Calculations'!$C$12:$C$16,"ERROR - Check Input")/12,0)</f>
        <v>0</v>
      </c>
      <c r="R315" s="142">
        <f t="shared" si="34"/>
        <v>0</v>
      </c>
      <c r="S315" s="142">
        <f>IFERROR(-IPMT($Q$8,P315,$Q$9*12,$Q$6)+$Q$10*_xlfn.XLOOKUP($R$10,'RE Calculations'!$B$12:$B$16,'RE Calculations'!$C$12:$C$16,"ERROR - Check Input")/12,0)</f>
        <v>8.3333333333333339</v>
      </c>
      <c r="T315" s="142">
        <f t="shared" si="35"/>
        <v>0</v>
      </c>
      <c r="W315" s="12">
        <v>293</v>
      </c>
      <c r="X315" s="142">
        <f>IF(AA314&gt;0.01,IF(W315&lt;=($X$9*12),$X$15,-PMT($X$11,($X$12-$X$9)*12,$X$6)+$X$13*_xlfn.XLOOKUP($Y$13,'RE Calculations'!$B$12:$B$16,'RE Calculations'!$C$12:$C$16,"ERROR - Check Input")/12),0)</f>
        <v>0</v>
      </c>
      <c r="Y315" s="142">
        <f t="shared" si="36"/>
        <v>0</v>
      </c>
      <c r="Z315" s="142">
        <f>IF(W315&lt;=($X$9*12),$X$15,IFERROR(-IPMT($X$11,W315-$X$9*12,($X$12-$X$9)*12,$X$6)+$X$13*_xlfn.XLOOKUP($Y$13,'RE Calculations'!$B$12:$B$16,'RE Calculations'!$C$12:$C$16,"ERROR - Check Input")/12,0))</f>
        <v>10</v>
      </c>
      <c r="AA315" s="142">
        <f t="shared" si="37"/>
        <v>0</v>
      </c>
    </row>
    <row r="316" spans="2:27" x14ac:dyDescent="0.35">
      <c r="B316" s="12">
        <v>294</v>
      </c>
      <c r="C316" s="142">
        <f>IF(F315&gt;0.01,-PMT($C$8,$C$9*12,$C$6)+$C$10*_xlfn.XLOOKUP($D$10,'RE Calculations'!$B$12:$B$16,'RE Calculations'!$C$12:$C$16,"ERROR - Check Input")/12,0)</f>
        <v>0</v>
      </c>
      <c r="D316" s="142">
        <f t="shared" si="38"/>
        <v>0</v>
      </c>
      <c r="E316" s="142">
        <f>IFERROR(-IPMT($C$8,B316,$C$9*12,$C$6)+$C$10*_xlfn.XLOOKUP($D$10,'RE Calculations'!$B$12:$B$16,'RE Calculations'!$C$12:$C$16,"ERROR - Check Input")/12,0)</f>
        <v>8.3333333333333339</v>
      </c>
      <c r="F316" s="142">
        <f t="shared" si="39"/>
        <v>0</v>
      </c>
      <c r="I316" s="12">
        <v>294</v>
      </c>
      <c r="J316" s="142">
        <f>IF(M315&gt;0.01,IF(I316&lt;=($J$9*12),$J$15,-PMT($J$11,($J$12-$J$9)*12,$J$6)+$J$13*_xlfn.XLOOKUP($K$13,'RE Calculations'!$B$12:$B$16,'RE Calculations'!$C$12:$C$16,"ERROR - Check Input")/12),0)</f>
        <v>0</v>
      </c>
      <c r="K316" s="142">
        <f t="shared" si="32"/>
        <v>0</v>
      </c>
      <c r="L316" s="142">
        <f>IF(I316&lt;=($J$9*12),$J$15,IFERROR(-IPMT($J$11,I316-$J$9*12,($J$12-$J$9)*12,$J$6)+$J$13*_xlfn.XLOOKUP($K$13,'RE Calculations'!$B$12:$B$16,'RE Calculations'!$C$12:$C$16,"ERROR - Check Input")/12,0))</f>
        <v>10</v>
      </c>
      <c r="M316" s="142">
        <f t="shared" si="33"/>
        <v>0</v>
      </c>
      <c r="P316" s="12">
        <v>294</v>
      </c>
      <c r="Q316" s="142">
        <f>IF(T315&gt;0.01,-PMT($Q$8,$Q$9*12,$Q$6)+$Q$10*_xlfn.XLOOKUP($R$10,'RE Calculations'!$B$12:$B$16,'RE Calculations'!$C$12:$C$16,"ERROR - Check Input")/12,0)</f>
        <v>0</v>
      </c>
      <c r="R316" s="142">
        <f t="shared" si="34"/>
        <v>0</v>
      </c>
      <c r="S316" s="142">
        <f>IFERROR(-IPMT($Q$8,P316,$Q$9*12,$Q$6)+$Q$10*_xlfn.XLOOKUP($R$10,'RE Calculations'!$B$12:$B$16,'RE Calculations'!$C$12:$C$16,"ERROR - Check Input")/12,0)</f>
        <v>8.3333333333333339</v>
      </c>
      <c r="T316" s="142">
        <f t="shared" si="35"/>
        <v>0</v>
      </c>
      <c r="W316" s="12">
        <v>294</v>
      </c>
      <c r="X316" s="142">
        <f>IF(AA315&gt;0.01,IF(W316&lt;=($X$9*12),$X$15,-PMT($X$11,($X$12-$X$9)*12,$X$6)+$X$13*_xlfn.XLOOKUP($Y$13,'RE Calculations'!$B$12:$B$16,'RE Calculations'!$C$12:$C$16,"ERROR - Check Input")/12),0)</f>
        <v>0</v>
      </c>
      <c r="Y316" s="142">
        <f t="shared" si="36"/>
        <v>0</v>
      </c>
      <c r="Z316" s="142">
        <f>IF(W316&lt;=($X$9*12),$X$15,IFERROR(-IPMT($X$11,W316-$X$9*12,($X$12-$X$9)*12,$X$6)+$X$13*_xlfn.XLOOKUP($Y$13,'RE Calculations'!$B$12:$B$16,'RE Calculations'!$C$12:$C$16,"ERROR - Check Input")/12,0))</f>
        <v>10</v>
      </c>
      <c r="AA316" s="142">
        <f t="shared" si="37"/>
        <v>0</v>
      </c>
    </row>
    <row r="317" spans="2:27" x14ac:dyDescent="0.35">
      <c r="B317" s="12">
        <v>295</v>
      </c>
      <c r="C317" s="142">
        <f>IF(F316&gt;0.01,-PMT($C$8,$C$9*12,$C$6)+$C$10*_xlfn.XLOOKUP($D$10,'RE Calculations'!$B$12:$B$16,'RE Calculations'!$C$12:$C$16,"ERROR - Check Input")/12,0)</f>
        <v>0</v>
      </c>
      <c r="D317" s="142">
        <f t="shared" si="38"/>
        <v>0</v>
      </c>
      <c r="E317" s="142">
        <f>IFERROR(-IPMT($C$8,B317,$C$9*12,$C$6)+$C$10*_xlfn.XLOOKUP($D$10,'RE Calculations'!$B$12:$B$16,'RE Calculations'!$C$12:$C$16,"ERROR - Check Input")/12,0)</f>
        <v>8.3333333333333339</v>
      </c>
      <c r="F317" s="142">
        <f t="shared" si="39"/>
        <v>0</v>
      </c>
      <c r="I317" s="12">
        <v>295</v>
      </c>
      <c r="J317" s="142">
        <f>IF(M316&gt;0.01,IF(I317&lt;=($J$9*12),$J$15,-PMT($J$11,($J$12-$J$9)*12,$J$6)+$J$13*_xlfn.XLOOKUP($K$13,'RE Calculations'!$B$12:$B$16,'RE Calculations'!$C$12:$C$16,"ERROR - Check Input")/12),0)</f>
        <v>0</v>
      </c>
      <c r="K317" s="142">
        <f t="shared" si="32"/>
        <v>0</v>
      </c>
      <c r="L317" s="142">
        <f>IF(I317&lt;=($J$9*12),$J$15,IFERROR(-IPMT($J$11,I317-$J$9*12,($J$12-$J$9)*12,$J$6)+$J$13*_xlfn.XLOOKUP($K$13,'RE Calculations'!$B$12:$B$16,'RE Calculations'!$C$12:$C$16,"ERROR - Check Input")/12,0))</f>
        <v>10</v>
      </c>
      <c r="M317" s="142">
        <f t="shared" si="33"/>
        <v>0</v>
      </c>
      <c r="P317" s="12">
        <v>295</v>
      </c>
      <c r="Q317" s="142">
        <f>IF(T316&gt;0.01,-PMT($Q$8,$Q$9*12,$Q$6)+$Q$10*_xlfn.XLOOKUP($R$10,'RE Calculations'!$B$12:$B$16,'RE Calculations'!$C$12:$C$16,"ERROR - Check Input")/12,0)</f>
        <v>0</v>
      </c>
      <c r="R317" s="142">
        <f t="shared" si="34"/>
        <v>0</v>
      </c>
      <c r="S317" s="142">
        <f>IFERROR(-IPMT($Q$8,P317,$Q$9*12,$Q$6)+$Q$10*_xlfn.XLOOKUP($R$10,'RE Calculations'!$B$12:$B$16,'RE Calculations'!$C$12:$C$16,"ERROR - Check Input")/12,0)</f>
        <v>8.3333333333333339</v>
      </c>
      <c r="T317" s="142">
        <f t="shared" si="35"/>
        <v>0</v>
      </c>
      <c r="W317" s="12">
        <v>295</v>
      </c>
      <c r="X317" s="142">
        <f>IF(AA316&gt;0.01,IF(W317&lt;=($X$9*12),$X$15,-PMT($X$11,($X$12-$X$9)*12,$X$6)+$X$13*_xlfn.XLOOKUP($Y$13,'RE Calculations'!$B$12:$B$16,'RE Calculations'!$C$12:$C$16,"ERROR - Check Input")/12),0)</f>
        <v>0</v>
      </c>
      <c r="Y317" s="142">
        <f t="shared" si="36"/>
        <v>0</v>
      </c>
      <c r="Z317" s="142">
        <f>IF(W317&lt;=($X$9*12),$X$15,IFERROR(-IPMT($X$11,W317-$X$9*12,($X$12-$X$9)*12,$X$6)+$X$13*_xlfn.XLOOKUP($Y$13,'RE Calculations'!$B$12:$B$16,'RE Calculations'!$C$12:$C$16,"ERROR - Check Input")/12,0))</f>
        <v>10</v>
      </c>
      <c r="AA317" s="142">
        <f t="shared" si="37"/>
        <v>0</v>
      </c>
    </row>
    <row r="318" spans="2:27" x14ac:dyDescent="0.35">
      <c r="B318" s="12">
        <v>296</v>
      </c>
      <c r="C318" s="142">
        <f>IF(F317&gt;0.01,-PMT($C$8,$C$9*12,$C$6)+$C$10*_xlfn.XLOOKUP($D$10,'RE Calculations'!$B$12:$B$16,'RE Calculations'!$C$12:$C$16,"ERROR - Check Input")/12,0)</f>
        <v>0</v>
      </c>
      <c r="D318" s="142">
        <f t="shared" si="38"/>
        <v>0</v>
      </c>
      <c r="E318" s="142">
        <f>IFERROR(-IPMT($C$8,B318,$C$9*12,$C$6)+$C$10*_xlfn.XLOOKUP($D$10,'RE Calculations'!$B$12:$B$16,'RE Calculations'!$C$12:$C$16,"ERROR - Check Input")/12,0)</f>
        <v>8.3333333333333339</v>
      </c>
      <c r="F318" s="142">
        <f t="shared" si="39"/>
        <v>0</v>
      </c>
      <c r="I318" s="12">
        <v>296</v>
      </c>
      <c r="J318" s="142">
        <f>IF(M317&gt;0.01,IF(I318&lt;=($J$9*12),$J$15,-PMT($J$11,($J$12-$J$9)*12,$J$6)+$J$13*_xlfn.XLOOKUP($K$13,'RE Calculations'!$B$12:$B$16,'RE Calculations'!$C$12:$C$16,"ERROR - Check Input")/12),0)</f>
        <v>0</v>
      </c>
      <c r="K318" s="142">
        <f t="shared" si="32"/>
        <v>0</v>
      </c>
      <c r="L318" s="142">
        <f>IF(I318&lt;=($J$9*12),$J$15,IFERROR(-IPMT($J$11,I318-$J$9*12,($J$12-$J$9)*12,$J$6)+$J$13*_xlfn.XLOOKUP($K$13,'RE Calculations'!$B$12:$B$16,'RE Calculations'!$C$12:$C$16,"ERROR - Check Input")/12,0))</f>
        <v>10</v>
      </c>
      <c r="M318" s="142">
        <f t="shared" si="33"/>
        <v>0</v>
      </c>
      <c r="P318" s="12">
        <v>296</v>
      </c>
      <c r="Q318" s="142">
        <f>IF(T317&gt;0.01,-PMT($Q$8,$Q$9*12,$Q$6)+$Q$10*_xlfn.XLOOKUP($R$10,'RE Calculations'!$B$12:$B$16,'RE Calculations'!$C$12:$C$16,"ERROR - Check Input")/12,0)</f>
        <v>0</v>
      </c>
      <c r="R318" s="142">
        <f t="shared" si="34"/>
        <v>0</v>
      </c>
      <c r="S318" s="142">
        <f>IFERROR(-IPMT($Q$8,P318,$Q$9*12,$Q$6)+$Q$10*_xlfn.XLOOKUP($R$10,'RE Calculations'!$B$12:$B$16,'RE Calculations'!$C$12:$C$16,"ERROR - Check Input")/12,0)</f>
        <v>8.3333333333333339</v>
      </c>
      <c r="T318" s="142">
        <f t="shared" si="35"/>
        <v>0</v>
      </c>
      <c r="W318" s="12">
        <v>296</v>
      </c>
      <c r="X318" s="142">
        <f>IF(AA317&gt;0.01,IF(W318&lt;=($X$9*12),$X$15,-PMT($X$11,($X$12-$X$9)*12,$X$6)+$X$13*_xlfn.XLOOKUP($Y$13,'RE Calculations'!$B$12:$B$16,'RE Calculations'!$C$12:$C$16,"ERROR - Check Input")/12),0)</f>
        <v>0</v>
      </c>
      <c r="Y318" s="142">
        <f t="shared" si="36"/>
        <v>0</v>
      </c>
      <c r="Z318" s="142">
        <f>IF(W318&lt;=($X$9*12),$X$15,IFERROR(-IPMT($X$11,W318-$X$9*12,($X$12-$X$9)*12,$X$6)+$X$13*_xlfn.XLOOKUP($Y$13,'RE Calculations'!$B$12:$B$16,'RE Calculations'!$C$12:$C$16,"ERROR - Check Input")/12,0))</f>
        <v>10</v>
      </c>
      <c r="AA318" s="142">
        <f t="shared" si="37"/>
        <v>0</v>
      </c>
    </row>
    <row r="319" spans="2:27" x14ac:dyDescent="0.35">
      <c r="B319" s="12">
        <v>297</v>
      </c>
      <c r="C319" s="142">
        <f>IF(F318&gt;0.01,-PMT($C$8,$C$9*12,$C$6)+$C$10*_xlfn.XLOOKUP($D$10,'RE Calculations'!$B$12:$B$16,'RE Calculations'!$C$12:$C$16,"ERROR - Check Input")/12,0)</f>
        <v>0</v>
      </c>
      <c r="D319" s="142">
        <f t="shared" si="38"/>
        <v>0</v>
      </c>
      <c r="E319" s="142">
        <f>IFERROR(-IPMT($C$8,B319,$C$9*12,$C$6)+$C$10*_xlfn.XLOOKUP($D$10,'RE Calculations'!$B$12:$B$16,'RE Calculations'!$C$12:$C$16,"ERROR - Check Input")/12,0)</f>
        <v>8.3333333333333339</v>
      </c>
      <c r="F319" s="142">
        <f t="shared" si="39"/>
        <v>0</v>
      </c>
      <c r="I319" s="12">
        <v>297</v>
      </c>
      <c r="J319" s="142">
        <f>IF(M318&gt;0.01,IF(I319&lt;=($J$9*12),$J$15,-PMT($J$11,($J$12-$J$9)*12,$J$6)+$J$13*_xlfn.XLOOKUP($K$13,'RE Calculations'!$B$12:$B$16,'RE Calculations'!$C$12:$C$16,"ERROR - Check Input")/12),0)</f>
        <v>0</v>
      </c>
      <c r="K319" s="142">
        <f t="shared" si="32"/>
        <v>0</v>
      </c>
      <c r="L319" s="142">
        <f>IF(I319&lt;=($J$9*12),$J$15,IFERROR(-IPMT($J$11,I319-$J$9*12,($J$12-$J$9)*12,$J$6)+$J$13*_xlfn.XLOOKUP($K$13,'RE Calculations'!$B$12:$B$16,'RE Calculations'!$C$12:$C$16,"ERROR - Check Input")/12,0))</f>
        <v>10</v>
      </c>
      <c r="M319" s="142">
        <f t="shared" si="33"/>
        <v>0</v>
      </c>
      <c r="P319" s="12">
        <v>297</v>
      </c>
      <c r="Q319" s="142">
        <f>IF(T318&gt;0.01,-PMT($Q$8,$Q$9*12,$Q$6)+$Q$10*_xlfn.XLOOKUP($R$10,'RE Calculations'!$B$12:$B$16,'RE Calculations'!$C$12:$C$16,"ERROR - Check Input")/12,0)</f>
        <v>0</v>
      </c>
      <c r="R319" s="142">
        <f t="shared" si="34"/>
        <v>0</v>
      </c>
      <c r="S319" s="142">
        <f>IFERROR(-IPMT($Q$8,P319,$Q$9*12,$Q$6)+$Q$10*_xlfn.XLOOKUP($R$10,'RE Calculations'!$B$12:$B$16,'RE Calculations'!$C$12:$C$16,"ERROR - Check Input")/12,0)</f>
        <v>8.3333333333333339</v>
      </c>
      <c r="T319" s="142">
        <f t="shared" si="35"/>
        <v>0</v>
      </c>
      <c r="W319" s="12">
        <v>297</v>
      </c>
      <c r="X319" s="142">
        <f>IF(AA318&gt;0.01,IF(W319&lt;=($X$9*12),$X$15,-PMT($X$11,($X$12-$X$9)*12,$X$6)+$X$13*_xlfn.XLOOKUP($Y$13,'RE Calculations'!$B$12:$B$16,'RE Calculations'!$C$12:$C$16,"ERROR - Check Input")/12),0)</f>
        <v>0</v>
      </c>
      <c r="Y319" s="142">
        <f t="shared" si="36"/>
        <v>0</v>
      </c>
      <c r="Z319" s="142">
        <f>IF(W319&lt;=($X$9*12),$X$15,IFERROR(-IPMT($X$11,W319-$X$9*12,($X$12-$X$9)*12,$X$6)+$X$13*_xlfn.XLOOKUP($Y$13,'RE Calculations'!$B$12:$B$16,'RE Calculations'!$C$12:$C$16,"ERROR - Check Input")/12,0))</f>
        <v>10</v>
      </c>
      <c r="AA319" s="142">
        <f t="shared" si="37"/>
        <v>0</v>
      </c>
    </row>
    <row r="320" spans="2:27" x14ac:dyDescent="0.35">
      <c r="B320" s="12">
        <v>298</v>
      </c>
      <c r="C320" s="142">
        <f>IF(F319&gt;0.01,-PMT($C$8,$C$9*12,$C$6)+$C$10*_xlfn.XLOOKUP($D$10,'RE Calculations'!$B$12:$B$16,'RE Calculations'!$C$12:$C$16,"ERROR - Check Input")/12,0)</f>
        <v>0</v>
      </c>
      <c r="D320" s="142">
        <f t="shared" si="38"/>
        <v>0</v>
      </c>
      <c r="E320" s="142">
        <f>IFERROR(-IPMT($C$8,B320,$C$9*12,$C$6)+$C$10*_xlfn.XLOOKUP($D$10,'RE Calculations'!$B$12:$B$16,'RE Calculations'!$C$12:$C$16,"ERROR - Check Input")/12,0)</f>
        <v>8.3333333333333339</v>
      </c>
      <c r="F320" s="142">
        <f t="shared" si="39"/>
        <v>0</v>
      </c>
      <c r="I320" s="12">
        <v>298</v>
      </c>
      <c r="J320" s="142">
        <f>IF(M319&gt;0.01,IF(I320&lt;=($J$9*12),$J$15,-PMT($J$11,($J$12-$J$9)*12,$J$6)+$J$13*_xlfn.XLOOKUP($K$13,'RE Calculations'!$B$12:$B$16,'RE Calculations'!$C$12:$C$16,"ERROR - Check Input")/12),0)</f>
        <v>0</v>
      </c>
      <c r="K320" s="142">
        <f t="shared" si="32"/>
        <v>0</v>
      </c>
      <c r="L320" s="142">
        <f>IF(I320&lt;=($J$9*12),$J$15,IFERROR(-IPMT($J$11,I320-$J$9*12,($J$12-$J$9)*12,$J$6)+$J$13*_xlfn.XLOOKUP($K$13,'RE Calculations'!$B$12:$B$16,'RE Calculations'!$C$12:$C$16,"ERROR - Check Input")/12,0))</f>
        <v>10</v>
      </c>
      <c r="M320" s="142">
        <f t="shared" si="33"/>
        <v>0</v>
      </c>
      <c r="P320" s="12">
        <v>298</v>
      </c>
      <c r="Q320" s="142">
        <f>IF(T319&gt;0.01,-PMT($Q$8,$Q$9*12,$Q$6)+$Q$10*_xlfn.XLOOKUP($R$10,'RE Calculations'!$B$12:$B$16,'RE Calculations'!$C$12:$C$16,"ERROR - Check Input")/12,0)</f>
        <v>0</v>
      </c>
      <c r="R320" s="142">
        <f t="shared" si="34"/>
        <v>0</v>
      </c>
      <c r="S320" s="142">
        <f>IFERROR(-IPMT($Q$8,P320,$Q$9*12,$Q$6)+$Q$10*_xlfn.XLOOKUP($R$10,'RE Calculations'!$B$12:$B$16,'RE Calculations'!$C$12:$C$16,"ERROR - Check Input")/12,0)</f>
        <v>8.3333333333333339</v>
      </c>
      <c r="T320" s="142">
        <f t="shared" si="35"/>
        <v>0</v>
      </c>
      <c r="W320" s="12">
        <v>298</v>
      </c>
      <c r="X320" s="142">
        <f>IF(AA319&gt;0.01,IF(W320&lt;=($X$9*12),$X$15,-PMT($X$11,($X$12-$X$9)*12,$X$6)+$X$13*_xlfn.XLOOKUP($Y$13,'RE Calculations'!$B$12:$B$16,'RE Calculations'!$C$12:$C$16,"ERROR - Check Input")/12),0)</f>
        <v>0</v>
      </c>
      <c r="Y320" s="142">
        <f t="shared" si="36"/>
        <v>0</v>
      </c>
      <c r="Z320" s="142">
        <f>IF(W320&lt;=($X$9*12),$X$15,IFERROR(-IPMT($X$11,W320-$X$9*12,($X$12-$X$9)*12,$X$6)+$X$13*_xlfn.XLOOKUP($Y$13,'RE Calculations'!$B$12:$B$16,'RE Calculations'!$C$12:$C$16,"ERROR - Check Input")/12,0))</f>
        <v>10</v>
      </c>
      <c r="AA320" s="142">
        <f t="shared" si="37"/>
        <v>0</v>
      </c>
    </row>
    <row r="321" spans="2:27" x14ac:dyDescent="0.35">
      <c r="B321" s="12">
        <v>299</v>
      </c>
      <c r="C321" s="142">
        <f>IF(F320&gt;0.01,-PMT($C$8,$C$9*12,$C$6)+$C$10*_xlfn.XLOOKUP($D$10,'RE Calculations'!$B$12:$B$16,'RE Calculations'!$C$12:$C$16,"ERROR - Check Input")/12,0)</f>
        <v>0</v>
      </c>
      <c r="D321" s="142">
        <f t="shared" si="38"/>
        <v>0</v>
      </c>
      <c r="E321" s="142">
        <f>IFERROR(-IPMT($C$8,B321,$C$9*12,$C$6)+$C$10*_xlfn.XLOOKUP($D$10,'RE Calculations'!$B$12:$B$16,'RE Calculations'!$C$12:$C$16,"ERROR - Check Input")/12,0)</f>
        <v>8.3333333333333339</v>
      </c>
      <c r="F321" s="142">
        <f t="shared" si="39"/>
        <v>0</v>
      </c>
      <c r="I321" s="12">
        <v>299</v>
      </c>
      <c r="J321" s="142">
        <f>IF(M320&gt;0.01,IF(I321&lt;=($J$9*12),$J$15,-PMT($J$11,($J$12-$J$9)*12,$J$6)+$J$13*_xlfn.XLOOKUP($K$13,'RE Calculations'!$B$12:$B$16,'RE Calculations'!$C$12:$C$16,"ERROR - Check Input")/12),0)</f>
        <v>0</v>
      </c>
      <c r="K321" s="142">
        <f t="shared" si="32"/>
        <v>0</v>
      </c>
      <c r="L321" s="142">
        <f>IF(I321&lt;=($J$9*12),$J$15,IFERROR(-IPMT($J$11,I321-$J$9*12,($J$12-$J$9)*12,$J$6)+$J$13*_xlfn.XLOOKUP($K$13,'RE Calculations'!$B$12:$B$16,'RE Calculations'!$C$12:$C$16,"ERROR - Check Input")/12,0))</f>
        <v>10</v>
      </c>
      <c r="M321" s="142">
        <f t="shared" si="33"/>
        <v>0</v>
      </c>
      <c r="P321" s="12">
        <v>299</v>
      </c>
      <c r="Q321" s="142">
        <f>IF(T320&gt;0.01,-PMT($Q$8,$Q$9*12,$Q$6)+$Q$10*_xlfn.XLOOKUP($R$10,'RE Calculations'!$B$12:$B$16,'RE Calculations'!$C$12:$C$16,"ERROR - Check Input")/12,0)</f>
        <v>0</v>
      </c>
      <c r="R321" s="142">
        <f t="shared" si="34"/>
        <v>0</v>
      </c>
      <c r="S321" s="142">
        <f>IFERROR(-IPMT($Q$8,P321,$Q$9*12,$Q$6)+$Q$10*_xlfn.XLOOKUP($R$10,'RE Calculations'!$B$12:$B$16,'RE Calculations'!$C$12:$C$16,"ERROR - Check Input")/12,0)</f>
        <v>8.3333333333333339</v>
      </c>
      <c r="T321" s="142">
        <f t="shared" si="35"/>
        <v>0</v>
      </c>
      <c r="W321" s="12">
        <v>299</v>
      </c>
      <c r="X321" s="142">
        <f>IF(AA320&gt;0.01,IF(W321&lt;=($X$9*12),$X$15,-PMT($X$11,($X$12-$X$9)*12,$X$6)+$X$13*_xlfn.XLOOKUP($Y$13,'RE Calculations'!$B$12:$B$16,'RE Calculations'!$C$12:$C$16,"ERROR - Check Input")/12),0)</f>
        <v>0</v>
      </c>
      <c r="Y321" s="142">
        <f t="shared" si="36"/>
        <v>0</v>
      </c>
      <c r="Z321" s="142">
        <f>IF(W321&lt;=($X$9*12),$X$15,IFERROR(-IPMT($X$11,W321-$X$9*12,($X$12-$X$9)*12,$X$6)+$X$13*_xlfn.XLOOKUP($Y$13,'RE Calculations'!$B$12:$B$16,'RE Calculations'!$C$12:$C$16,"ERROR - Check Input")/12,0))</f>
        <v>10</v>
      </c>
      <c r="AA321" s="142">
        <f t="shared" si="37"/>
        <v>0</v>
      </c>
    </row>
    <row r="322" spans="2:27" x14ac:dyDescent="0.35">
      <c r="B322" s="12">
        <v>300</v>
      </c>
      <c r="C322" s="142">
        <f>IF(F321&gt;0.01,-PMT($C$8,$C$9*12,$C$6)+$C$10*_xlfn.XLOOKUP($D$10,'RE Calculations'!$B$12:$B$16,'RE Calculations'!$C$12:$C$16,"ERROR - Check Input")/12,0)</f>
        <v>0</v>
      </c>
      <c r="D322" s="142">
        <f t="shared" si="38"/>
        <v>0</v>
      </c>
      <c r="E322" s="142">
        <f>IFERROR(-IPMT($C$8,B322,$C$9*12,$C$6)+$C$10*_xlfn.XLOOKUP($D$10,'RE Calculations'!$B$12:$B$16,'RE Calculations'!$C$12:$C$16,"ERROR - Check Input")/12,0)</f>
        <v>8.3333333333333339</v>
      </c>
      <c r="F322" s="142">
        <f t="shared" si="39"/>
        <v>0</v>
      </c>
      <c r="I322" s="12">
        <v>300</v>
      </c>
      <c r="J322" s="142">
        <f>IF(M321&gt;0.01,IF(I322&lt;=($J$9*12),$J$15,-PMT($J$11,($J$12-$J$9)*12,$J$6)+$J$13*_xlfn.XLOOKUP($K$13,'RE Calculations'!$B$12:$B$16,'RE Calculations'!$C$12:$C$16,"ERROR - Check Input")/12),0)</f>
        <v>0</v>
      </c>
      <c r="K322" s="142">
        <f t="shared" si="32"/>
        <v>0</v>
      </c>
      <c r="L322" s="142">
        <f>IF(I322&lt;=($J$9*12),$J$15,IFERROR(-IPMT($J$11,I322-$J$9*12,($J$12-$J$9)*12,$J$6)+$J$13*_xlfn.XLOOKUP($K$13,'RE Calculations'!$B$12:$B$16,'RE Calculations'!$C$12:$C$16,"ERROR - Check Input")/12,0))</f>
        <v>10</v>
      </c>
      <c r="M322" s="142">
        <f t="shared" si="33"/>
        <v>0</v>
      </c>
      <c r="P322" s="12">
        <v>300</v>
      </c>
      <c r="Q322" s="142">
        <f>IF(T321&gt;0.01,-PMT($Q$8,$Q$9*12,$Q$6)+$Q$10*_xlfn.XLOOKUP($R$10,'RE Calculations'!$B$12:$B$16,'RE Calculations'!$C$12:$C$16,"ERROR - Check Input")/12,0)</f>
        <v>0</v>
      </c>
      <c r="R322" s="142">
        <f t="shared" si="34"/>
        <v>0</v>
      </c>
      <c r="S322" s="142">
        <f>IFERROR(-IPMT($Q$8,P322,$Q$9*12,$Q$6)+$Q$10*_xlfn.XLOOKUP($R$10,'RE Calculations'!$B$12:$B$16,'RE Calculations'!$C$12:$C$16,"ERROR - Check Input")/12,0)</f>
        <v>8.3333333333333339</v>
      </c>
      <c r="T322" s="142">
        <f t="shared" si="35"/>
        <v>0</v>
      </c>
      <c r="W322" s="12">
        <v>300</v>
      </c>
      <c r="X322" s="142">
        <f>IF(AA321&gt;0.01,IF(W322&lt;=($X$9*12),$X$15,-PMT($X$11,($X$12-$X$9)*12,$X$6)+$X$13*_xlfn.XLOOKUP($Y$13,'RE Calculations'!$B$12:$B$16,'RE Calculations'!$C$12:$C$16,"ERROR - Check Input")/12),0)</f>
        <v>0</v>
      </c>
      <c r="Y322" s="142">
        <f t="shared" si="36"/>
        <v>0</v>
      </c>
      <c r="Z322" s="142">
        <f>IF(W322&lt;=($X$9*12),$X$15,IFERROR(-IPMT($X$11,W322-$X$9*12,($X$12-$X$9)*12,$X$6)+$X$13*_xlfn.XLOOKUP($Y$13,'RE Calculations'!$B$12:$B$16,'RE Calculations'!$C$12:$C$16,"ERROR - Check Input")/12,0))</f>
        <v>10</v>
      </c>
      <c r="AA322" s="142">
        <f t="shared" si="37"/>
        <v>0</v>
      </c>
    </row>
    <row r="323" spans="2:27" x14ac:dyDescent="0.35">
      <c r="B323" s="12">
        <v>301</v>
      </c>
      <c r="C323" s="142">
        <f>IF(F322&gt;0.01,-PMT($C$8,$C$9*12,$C$6)+$C$10*_xlfn.XLOOKUP($D$10,'RE Calculations'!$B$12:$B$16,'RE Calculations'!$C$12:$C$16,"ERROR - Check Input")/12,0)</f>
        <v>0</v>
      </c>
      <c r="D323" s="142">
        <f t="shared" si="38"/>
        <v>0</v>
      </c>
      <c r="E323" s="142">
        <f>IFERROR(-IPMT($C$8,B323,$C$9*12,$C$6)+$C$10*_xlfn.XLOOKUP($D$10,'RE Calculations'!$B$12:$B$16,'RE Calculations'!$C$12:$C$16,"ERROR - Check Input")/12,0)</f>
        <v>8.3333333333333339</v>
      </c>
      <c r="F323" s="142">
        <f t="shared" si="39"/>
        <v>0</v>
      </c>
      <c r="I323" s="12">
        <v>301</v>
      </c>
      <c r="J323" s="142">
        <f>IF(M322&gt;0.01,IF(I323&lt;=($J$9*12),$J$15,-PMT($J$11,($J$12-$J$9)*12,$J$6)+$J$13*_xlfn.XLOOKUP($K$13,'RE Calculations'!$B$12:$B$16,'RE Calculations'!$C$12:$C$16,"ERROR - Check Input")/12),0)</f>
        <v>0</v>
      </c>
      <c r="K323" s="142">
        <f t="shared" si="32"/>
        <v>0</v>
      </c>
      <c r="L323" s="142">
        <f>IF(I323&lt;=($J$9*12),$J$15,IFERROR(-IPMT($J$11,I323-$J$9*12,($J$12-$J$9)*12,$J$6)+$J$13*_xlfn.XLOOKUP($K$13,'RE Calculations'!$B$12:$B$16,'RE Calculations'!$C$12:$C$16,"ERROR - Check Input")/12,0))</f>
        <v>10</v>
      </c>
      <c r="M323" s="142">
        <f t="shared" si="33"/>
        <v>0</v>
      </c>
      <c r="P323" s="12">
        <v>301</v>
      </c>
      <c r="Q323" s="142">
        <f>IF(T322&gt;0.01,-PMT($Q$8,$Q$9*12,$Q$6)+$Q$10*_xlfn.XLOOKUP($R$10,'RE Calculations'!$B$12:$B$16,'RE Calculations'!$C$12:$C$16,"ERROR - Check Input")/12,0)</f>
        <v>0</v>
      </c>
      <c r="R323" s="142">
        <f t="shared" si="34"/>
        <v>0</v>
      </c>
      <c r="S323" s="142">
        <f>IFERROR(-IPMT($Q$8,P323,$Q$9*12,$Q$6)+$Q$10*_xlfn.XLOOKUP($R$10,'RE Calculations'!$B$12:$B$16,'RE Calculations'!$C$12:$C$16,"ERROR - Check Input")/12,0)</f>
        <v>8.3333333333333339</v>
      </c>
      <c r="T323" s="142">
        <f t="shared" si="35"/>
        <v>0</v>
      </c>
      <c r="W323" s="12">
        <v>301</v>
      </c>
      <c r="X323" s="142">
        <f>IF(AA322&gt;0.01,IF(W323&lt;=($X$9*12),$X$15,-PMT($X$11,($X$12-$X$9)*12,$X$6)+$X$13*_xlfn.XLOOKUP($Y$13,'RE Calculations'!$B$12:$B$16,'RE Calculations'!$C$12:$C$16,"ERROR - Check Input")/12),0)</f>
        <v>0</v>
      </c>
      <c r="Y323" s="142">
        <f t="shared" si="36"/>
        <v>0</v>
      </c>
      <c r="Z323" s="142">
        <f>IF(W323&lt;=($X$9*12),$X$15,IFERROR(-IPMT($X$11,W323-$X$9*12,($X$12-$X$9)*12,$X$6)+$X$13*_xlfn.XLOOKUP($Y$13,'RE Calculations'!$B$12:$B$16,'RE Calculations'!$C$12:$C$16,"ERROR - Check Input")/12,0))</f>
        <v>10</v>
      </c>
      <c r="AA323" s="142">
        <f t="shared" si="37"/>
        <v>0</v>
      </c>
    </row>
    <row r="324" spans="2:27" x14ac:dyDescent="0.35">
      <c r="B324" s="12">
        <v>302</v>
      </c>
      <c r="C324" s="142">
        <f>IF(F323&gt;0.01,-PMT($C$8,$C$9*12,$C$6)+$C$10*_xlfn.XLOOKUP($D$10,'RE Calculations'!$B$12:$B$16,'RE Calculations'!$C$12:$C$16,"ERROR - Check Input")/12,0)</f>
        <v>0</v>
      </c>
      <c r="D324" s="142">
        <f t="shared" si="38"/>
        <v>0</v>
      </c>
      <c r="E324" s="142">
        <f>IFERROR(-IPMT($C$8,B324,$C$9*12,$C$6)+$C$10*_xlfn.XLOOKUP($D$10,'RE Calculations'!$B$12:$B$16,'RE Calculations'!$C$12:$C$16,"ERROR - Check Input")/12,0)</f>
        <v>8.3333333333333339</v>
      </c>
      <c r="F324" s="142">
        <f t="shared" si="39"/>
        <v>0</v>
      </c>
      <c r="I324" s="12">
        <v>302</v>
      </c>
      <c r="J324" s="142">
        <f>IF(M323&gt;0.01,IF(I324&lt;=($J$9*12),$J$15,-PMT($J$11,($J$12-$J$9)*12,$J$6)+$J$13*_xlfn.XLOOKUP($K$13,'RE Calculations'!$B$12:$B$16,'RE Calculations'!$C$12:$C$16,"ERROR - Check Input")/12),0)</f>
        <v>0</v>
      </c>
      <c r="K324" s="142">
        <f t="shared" si="32"/>
        <v>0</v>
      </c>
      <c r="L324" s="142">
        <f>IF(I324&lt;=($J$9*12),$J$15,IFERROR(-IPMT($J$11,I324-$J$9*12,($J$12-$J$9)*12,$J$6)+$J$13*_xlfn.XLOOKUP($K$13,'RE Calculations'!$B$12:$B$16,'RE Calculations'!$C$12:$C$16,"ERROR - Check Input")/12,0))</f>
        <v>10</v>
      </c>
      <c r="M324" s="142">
        <f t="shared" si="33"/>
        <v>0</v>
      </c>
      <c r="P324" s="12">
        <v>302</v>
      </c>
      <c r="Q324" s="142">
        <f>IF(T323&gt;0.01,-PMT($Q$8,$Q$9*12,$Q$6)+$Q$10*_xlfn.XLOOKUP($R$10,'RE Calculations'!$B$12:$B$16,'RE Calculations'!$C$12:$C$16,"ERROR - Check Input")/12,0)</f>
        <v>0</v>
      </c>
      <c r="R324" s="142">
        <f t="shared" si="34"/>
        <v>0</v>
      </c>
      <c r="S324" s="142">
        <f>IFERROR(-IPMT($Q$8,P324,$Q$9*12,$Q$6)+$Q$10*_xlfn.XLOOKUP($R$10,'RE Calculations'!$B$12:$B$16,'RE Calculations'!$C$12:$C$16,"ERROR - Check Input")/12,0)</f>
        <v>8.3333333333333339</v>
      </c>
      <c r="T324" s="142">
        <f t="shared" si="35"/>
        <v>0</v>
      </c>
      <c r="W324" s="12">
        <v>302</v>
      </c>
      <c r="X324" s="142">
        <f>IF(AA323&gt;0.01,IF(W324&lt;=($X$9*12),$X$15,-PMT($X$11,($X$12-$X$9)*12,$X$6)+$X$13*_xlfn.XLOOKUP($Y$13,'RE Calculations'!$B$12:$B$16,'RE Calculations'!$C$12:$C$16,"ERROR - Check Input")/12),0)</f>
        <v>0</v>
      </c>
      <c r="Y324" s="142">
        <f t="shared" si="36"/>
        <v>0</v>
      </c>
      <c r="Z324" s="142">
        <f>IF(W324&lt;=($X$9*12),$X$15,IFERROR(-IPMT($X$11,W324-$X$9*12,($X$12-$X$9)*12,$X$6)+$X$13*_xlfn.XLOOKUP($Y$13,'RE Calculations'!$B$12:$B$16,'RE Calculations'!$C$12:$C$16,"ERROR - Check Input")/12,0))</f>
        <v>10</v>
      </c>
      <c r="AA324" s="142">
        <f t="shared" si="37"/>
        <v>0</v>
      </c>
    </row>
    <row r="325" spans="2:27" x14ac:dyDescent="0.35">
      <c r="B325" s="12">
        <v>303</v>
      </c>
      <c r="C325" s="142">
        <f>IF(F324&gt;0.01,-PMT($C$8,$C$9*12,$C$6)+$C$10*_xlfn.XLOOKUP($D$10,'RE Calculations'!$B$12:$B$16,'RE Calculations'!$C$12:$C$16,"ERROR - Check Input")/12,0)</f>
        <v>0</v>
      </c>
      <c r="D325" s="142">
        <f t="shared" si="38"/>
        <v>0</v>
      </c>
      <c r="E325" s="142">
        <f>IFERROR(-IPMT($C$8,B325,$C$9*12,$C$6)+$C$10*_xlfn.XLOOKUP($D$10,'RE Calculations'!$B$12:$B$16,'RE Calculations'!$C$12:$C$16,"ERROR - Check Input")/12,0)</f>
        <v>8.3333333333333339</v>
      </c>
      <c r="F325" s="142">
        <f t="shared" si="39"/>
        <v>0</v>
      </c>
      <c r="I325" s="12">
        <v>303</v>
      </c>
      <c r="J325" s="142">
        <f>IF(M324&gt;0.01,IF(I325&lt;=($J$9*12),$J$15,-PMT($J$11,($J$12-$J$9)*12,$J$6)+$J$13*_xlfn.XLOOKUP($K$13,'RE Calculations'!$B$12:$B$16,'RE Calculations'!$C$12:$C$16,"ERROR - Check Input")/12),0)</f>
        <v>0</v>
      </c>
      <c r="K325" s="142">
        <f t="shared" si="32"/>
        <v>0</v>
      </c>
      <c r="L325" s="142">
        <f>IF(I325&lt;=($J$9*12),$J$15,IFERROR(-IPMT($J$11,I325-$J$9*12,($J$12-$J$9)*12,$J$6)+$J$13*_xlfn.XLOOKUP($K$13,'RE Calculations'!$B$12:$B$16,'RE Calculations'!$C$12:$C$16,"ERROR - Check Input")/12,0))</f>
        <v>10</v>
      </c>
      <c r="M325" s="142">
        <f t="shared" si="33"/>
        <v>0</v>
      </c>
      <c r="P325" s="12">
        <v>303</v>
      </c>
      <c r="Q325" s="142">
        <f>IF(T324&gt;0.01,-PMT($Q$8,$Q$9*12,$Q$6)+$Q$10*_xlfn.XLOOKUP($R$10,'RE Calculations'!$B$12:$B$16,'RE Calculations'!$C$12:$C$16,"ERROR - Check Input")/12,0)</f>
        <v>0</v>
      </c>
      <c r="R325" s="142">
        <f t="shared" si="34"/>
        <v>0</v>
      </c>
      <c r="S325" s="142">
        <f>IFERROR(-IPMT($Q$8,P325,$Q$9*12,$Q$6)+$Q$10*_xlfn.XLOOKUP($R$10,'RE Calculations'!$B$12:$B$16,'RE Calculations'!$C$12:$C$16,"ERROR - Check Input")/12,0)</f>
        <v>8.3333333333333339</v>
      </c>
      <c r="T325" s="142">
        <f t="shared" si="35"/>
        <v>0</v>
      </c>
      <c r="W325" s="12">
        <v>303</v>
      </c>
      <c r="X325" s="142">
        <f>IF(AA324&gt;0.01,IF(W325&lt;=($X$9*12),$X$15,-PMT($X$11,($X$12-$X$9)*12,$X$6)+$X$13*_xlfn.XLOOKUP($Y$13,'RE Calculations'!$B$12:$B$16,'RE Calculations'!$C$12:$C$16,"ERROR - Check Input")/12),0)</f>
        <v>0</v>
      </c>
      <c r="Y325" s="142">
        <f t="shared" si="36"/>
        <v>0</v>
      </c>
      <c r="Z325" s="142">
        <f>IF(W325&lt;=($X$9*12),$X$15,IFERROR(-IPMT($X$11,W325-$X$9*12,($X$12-$X$9)*12,$X$6)+$X$13*_xlfn.XLOOKUP($Y$13,'RE Calculations'!$B$12:$B$16,'RE Calculations'!$C$12:$C$16,"ERROR - Check Input")/12,0))</f>
        <v>10</v>
      </c>
      <c r="AA325" s="142">
        <f t="shared" si="37"/>
        <v>0</v>
      </c>
    </row>
    <row r="326" spans="2:27" x14ac:dyDescent="0.35">
      <c r="B326" s="12">
        <v>304</v>
      </c>
      <c r="C326" s="142">
        <f>IF(F325&gt;0.01,-PMT($C$8,$C$9*12,$C$6)+$C$10*_xlfn.XLOOKUP($D$10,'RE Calculations'!$B$12:$B$16,'RE Calculations'!$C$12:$C$16,"ERROR - Check Input")/12,0)</f>
        <v>0</v>
      </c>
      <c r="D326" s="142">
        <f t="shared" si="38"/>
        <v>0</v>
      </c>
      <c r="E326" s="142">
        <f>IFERROR(-IPMT($C$8,B326,$C$9*12,$C$6)+$C$10*_xlfn.XLOOKUP($D$10,'RE Calculations'!$B$12:$B$16,'RE Calculations'!$C$12:$C$16,"ERROR - Check Input")/12,0)</f>
        <v>8.3333333333333339</v>
      </c>
      <c r="F326" s="142">
        <f t="shared" si="39"/>
        <v>0</v>
      </c>
      <c r="I326" s="12">
        <v>304</v>
      </c>
      <c r="J326" s="142">
        <f>IF(M325&gt;0.01,IF(I326&lt;=($J$9*12),$J$15,-PMT($J$11,($J$12-$J$9)*12,$J$6)+$J$13*_xlfn.XLOOKUP($K$13,'RE Calculations'!$B$12:$B$16,'RE Calculations'!$C$12:$C$16,"ERROR - Check Input")/12),0)</f>
        <v>0</v>
      </c>
      <c r="K326" s="142">
        <f t="shared" si="32"/>
        <v>0</v>
      </c>
      <c r="L326" s="142">
        <f>IF(I326&lt;=($J$9*12),$J$15,IFERROR(-IPMT($J$11,I326-$J$9*12,($J$12-$J$9)*12,$J$6)+$J$13*_xlfn.XLOOKUP($K$13,'RE Calculations'!$B$12:$B$16,'RE Calculations'!$C$12:$C$16,"ERROR - Check Input")/12,0))</f>
        <v>10</v>
      </c>
      <c r="M326" s="142">
        <f t="shared" si="33"/>
        <v>0</v>
      </c>
      <c r="P326" s="12">
        <v>304</v>
      </c>
      <c r="Q326" s="142">
        <f>IF(T325&gt;0.01,-PMT($Q$8,$Q$9*12,$Q$6)+$Q$10*_xlfn.XLOOKUP($R$10,'RE Calculations'!$B$12:$B$16,'RE Calculations'!$C$12:$C$16,"ERROR - Check Input")/12,0)</f>
        <v>0</v>
      </c>
      <c r="R326" s="142">
        <f t="shared" si="34"/>
        <v>0</v>
      </c>
      <c r="S326" s="142">
        <f>IFERROR(-IPMT($Q$8,P326,$Q$9*12,$Q$6)+$Q$10*_xlfn.XLOOKUP($R$10,'RE Calculations'!$B$12:$B$16,'RE Calculations'!$C$12:$C$16,"ERROR - Check Input")/12,0)</f>
        <v>8.3333333333333339</v>
      </c>
      <c r="T326" s="142">
        <f t="shared" si="35"/>
        <v>0</v>
      </c>
      <c r="W326" s="12">
        <v>304</v>
      </c>
      <c r="X326" s="142">
        <f>IF(AA325&gt;0.01,IF(W326&lt;=($X$9*12),$X$15,-PMT($X$11,($X$12-$X$9)*12,$X$6)+$X$13*_xlfn.XLOOKUP($Y$13,'RE Calculations'!$B$12:$B$16,'RE Calculations'!$C$12:$C$16,"ERROR - Check Input")/12),0)</f>
        <v>0</v>
      </c>
      <c r="Y326" s="142">
        <f t="shared" si="36"/>
        <v>0</v>
      </c>
      <c r="Z326" s="142">
        <f>IF(W326&lt;=($X$9*12),$X$15,IFERROR(-IPMT($X$11,W326-$X$9*12,($X$12-$X$9)*12,$X$6)+$X$13*_xlfn.XLOOKUP($Y$13,'RE Calculations'!$B$12:$B$16,'RE Calculations'!$C$12:$C$16,"ERROR - Check Input")/12,0))</f>
        <v>10</v>
      </c>
      <c r="AA326" s="142">
        <f t="shared" si="37"/>
        <v>0</v>
      </c>
    </row>
    <row r="327" spans="2:27" x14ac:dyDescent="0.35">
      <c r="B327" s="12">
        <v>305</v>
      </c>
      <c r="C327" s="142">
        <f>IF(F326&gt;0.01,-PMT($C$8,$C$9*12,$C$6)+$C$10*_xlfn.XLOOKUP($D$10,'RE Calculations'!$B$12:$B$16,'RE Calculations'!$C$12:$C$16,"ERROR - Check Input")/12,0)</f>
        <v>0</v>
      </c>
      <c r="D327" s="142">
        <f t="shared" si="38"/>
        <v>0</v>
      </c>
      <c r="E327" s="142">
        <f>IFERROR(-IPMT($C$8,B327,$C$9*12,$C$6)+$C$10*_xlfn.XLOOKUP($D$10,'RE Calculations'!$B$12:$B$16,'RE Calculations'!$C$12:$C$16,"ERROR - Check Input")/12,0)</f>
        <v>8.3333333333333339</v>
      </c>
      <c r="F327" s="142">
        <f t="shared" si="39"/>
        <v>0</v>
      </c>
      <c r="I327" s="12">
        <v>305</v>
      </c>
      <c r="J327" s="142">
        <f>IF(M326&gt;0.01,IF(I327&lt;=($J$9*12),$J$15,-PMT($J$11,($J$12-$J$9)*12,$J$6)+$J$13*_xlfn.XLOOKUP($K$13,'RE Calculations'!$B$12:$B$16,'RE Calculations'!$C$12:$C$16,"ERROR - Check Input")/12),0)</f>
        <v>0</v>
      </c>
      <c r="K327" s="142">
        <f t="shared" si="32"/>
        <v>0</v>
      </c>
      <c r="L327" s="142">
        <f>IF(I327&lt;=($J$9*12),$J$15,IFERROR(-IPMT($J$11,I327-$J$9*12,($J$12-$J$9)*12,$J$6)+$J$13*_xlfn.XLOOKUP($K$13,'RE Calculations'!$B$12:$B$16,'RE Calculations'!$C$12:$C$16,"ERROR - Check Input")/12,0))</f>
        <v>10</v>
      </c>
      <c r="M327" s="142">
        <f t="shared" si="33"/>
        <v>0</v>
      </c>
      <c r="P327" s="12">
        <v>305</v>
      </c>
      <c r="Q327" s="142">
        <f>IF(T326&gt;0.01,-PMT($Q$8,$Q$9*12,$Q$6)+$Q$10*_xlfn.XLOOKUP($R$10,'RE Calculations'!$B$12:$B$16,'RE Calculations'!$C$12:$C$16,"ERROR - Check Input")/12,0)</f>
        <v>0</v>
      </c>
      <c r="R327" s="142">
        <f t="shared" si="34"/>
        <v>0</v>
      </c>
      <c r="S327" s="142">
        <f>IFERROR(-IPMT($Q$8,P327,$Q$9*12,$Q$6)+$Q$10*_xlfn.XLOOKUP($R$10,'RE Calculations'!$B$12:$B$16,'RE Calculations'!$C$12:$C$16,"ERROR - Check Input")/12,0)</f>
        <v>8.3333333333333339</v>
      </c>
      <c r="T327" s="142">
        <f t="shared" si="35"/>
        <v>0</v>
      </c>
      <c r="W327" s="12">
        <v>305</v>
      </c>
      <c r="X327" s="142">
        <f>IF(AA326&gt;0.01,IF(W327&lt;=($X$9*12),$X$15,-PMT($X$11,($X$12-$X$9)*12,$X$6)+$X$13*_xlfn.XLOOKUP($Y$13,'RE Calculations'!$B$12:$B$16,'RE Calculations'!$C$12:$C$16,"ERROR - Check Input")/12),0)</f>
        <v>0</v>
      </c>
      <c r="Y327" s="142">
        <f t="shared" si="36"/>
        <v>0</v>
      </c>
      <c r="Z327" s="142">
        <f>IF(W327&lt;=($X$9*12),$X$15,IFERROR(-IPMT($X$11,W327-$X$9*12,($X$12-$X$9)*12,$X$6)+$X$13*_xlfn.XLOOKUP($Y$13,'RE Calculations'!$B$12:$B$16,'RE Calculations'!$C$12:$C$16,"ERROR - Check Input")/12,0))</f>
        <v>10</v>
      </c>
      <c r="AA327" s="142">
        <f t="shared" si="37"/>
        <v>0</v>
      </c>
    </row>
    <row r="328" spans="2:27" x14ac:dyDescent="0.35">
      <c r="B328" s="12">
        <v>306</v>
      </c>
      <c r="C328" s="142">
        <f>IF(F327&gt;0.01,-PMT($C$8,$C$9*12,$C$6)+$C$10*_xlfn.XLOOKUP($D$10,'RE Calculations'!$B$12:$B$16,'RE Calculations'!$C$12:$C$16,"ERROR - Check Input")/12,0)</f>
        <v>0</v>
      </c>
      <c r="D328" s="142">
        <f t="shared" si="38"/>
        <v>0</v>
      </c>
      <c r="E328" s="142">
        <f>IFERROR(-IPMT($C$8,B328,$C$9*12,$C$6)+$C$10*_xlfn.XLOOKUP($D$10,'RE Calculations'!$B$12:$B$16,'RE Calculations'!$C$12:$C$16,"ERROR - Check Input")/12,0)</f>
        <v>8.3333333333333339</v>
      </c>
      <c r="F328" s="142">
        <f t="shared" si="39"/>
        <v>0</v>
      </c>
      <c r="I328" s="12">
        <v>306</v>
      </c>
      <c r="J328" s="142">
        <f>IF(M327&gt;0.01,IF(I328&lt;=($J$9*12),$J$15,-PMT($J$11,($J$12-$J$9)*12,$J$6)+$J$13*_xlfn.XLOOKUP($K$13,'RE Calculations'!$B$12:$B$16,'RE Calculations'!$C$12:$C$16,"ERROR - Check Input")/12),0)</f>
        <v>0</v>
      </c>
      <c r="K328" s="142">
        <f t="shared" si="32"/>
        <v>0</v>
      </c>
      <c r="L328" s="142">
        <f>IF(I328&lt;=($J$9*12),$J$15,IFERROR(-IPMT($J$11,I328-$J$9*12,($J$12-$J$9)*12,$J$6)+$J$13*_xlfn.XLOOKUP($K$13,'RE Calculations'!$B$12:$B$16,'RE Calculations'!$C$12:$C$16,"ERROR - Check Input")/12,0))</f>
        <v>10</v>
      </c>
      <c r="M328" s="142">
        <f t="shared" si="33"/>
        <v>0</v>
      </c>
      <c r="P328" s="12">
        <v>306</v>
      </c>
      <c r="Q328" s="142">
        <f>IF(T327&gt;0.01,-PMT($Q$8,$Q$9*12,$Q$6)+$Q$10*_xlfn.XLOOKUP($R$10,'RE Calculations'!$B$12:$B$16,'RE Calculations'!$C$12:$C$16,"ERROR - Check Input")/12,0)</f>
        <v>0</v>
      </c>
      <c r="R328" s="142">
        <f t="shared" si="34"/>
        <v>0</v>
      </c>
      <c r="S328" s="142">
        <f>IFERROR(-IPMT($Q$8,P328,$Q$9*12,$Q$6)+$Q$10*_xlfn.XLOOKUP($R$10,'RE Calculations'!$B$12:$B$16,'RE Calculations'!$C$12:$C$16,"ERROR - Check Input")/12,0)</f>
        <v>8.3333333333333339</v>
      </c>
      <c r="T328" s="142">
        <f t="shared" si="35"/>
        <v>0</v>
      </c>
      <c r="W328" s="12">
        <v>306</v>
      </c>
      <c r="X328" s="142">
        <f>IF(AA327&gt;0.01,IF(W328&lt;=($X$9*12),$X$15,-PMT($X$11,($X$12-$X$9)*12,$X$6)+$X$13*_xlfn.XLOOKUP($Y$13,'RE Calculations'!$B$12:$B$16,'RE Calculations'!$C$12:$C$16,"ERROR - Check Input")/12),0)</f>
        <v>0</v>
      </c>
      <c r="Y328" s="142">
        <f t="shared" si="36"/>
        <v>0</v>
      </c>
      <c r="Z328" s="142">
        <f>IF(W328&lt;=($X$9*12),$X$15,IFERROR(-IPMT($X$11,W328-$X$9*12,($X$12-$X$9)*12,$X$6)+$X$13*_xlfn.XLOOKUP($Y$13,'RE Calculations'!$B$12:$B$16,'RE Calculations'!$C$12:$C$16,"ERROR - Check Input")/12,0))</f>
        <v>10</v>
      </c>
      <c r="AA328" s="142">
        <f t="shared" si="37"/>
        <v>0</v>
      </c>
    </row>
    <row r="329" spans="2:27" x14ac:dyDescent="0.35">
      <c r="B329" s="12">
        <v>307</v>
      </c>
      <c r="C329" s="142">
        <f>IF(F328&gt;0.01,-PMT($C$8,$C$9*12,$C$6)+$C$10*_xlfn.XLOOKUP($D$10,'RE Calculations'!$B$12:$B$16,'RE Calculations'!$C$12:$C$16,"ERROR - Check Input")/12,0)</f>
        <v>0</v>
      </c>
      <c r="D329" s="142">
        <f t="shared" si="38"/>
        <v>0</v>
      </c>
      <c r="E329" s="142">
        <f>IFERROR(-IPMT($C$8,B329,$C$9*12,$C$6)+$C$10*_xlfn.XLOOKUP($D$10,'RE Calculations'!$B$12:$B$16,'RE Calculations'!$C$12:$C$16,"ERROR - Check Input")/12,0)</f>
        <v>8.3333333333333339</v>
      </c>
      <c r="F329" s="142">
        <f t="shared" si="39"/>
        <v>0</v>
      </c>
      <c r="I329" s="12">
        <v>307</v>
      </c>
      <c r="J329" s="142">
        <f>IF(M328&gt;0.01,IF(I329&lt;=($J$9*12),$J$15,-PMT($J$11,($J$12-$J$9)*12,$J$6)+$J$13*_xlfn.XLOOKUP($K$13,'RE Calculations'!$B$12:$B$16,'RE Calculations'!$C$12:$C$16,"ERROR - Check Input")/12),0)</f>
        <v>0</v>
      </c>
      <c r="K329" s="142">
        <f t="shared" si="32"/>
        <v>0</v>
      </c>
      <c r="L329" s="142">
        <f>IF(I329&lt;=($J$9*12),$J$15,IFERROR(-IPMT($J$11,I329-$J$9*12,($J$12-$J$9)*12,$J$6)+$J$13*_xlfn.XLOOKUP($K$13,'RE Calculations'!$B$12:$B$16,'RE Calculations'!$C$12:$C$16,"ERROR - Check Input")/12,0))</f>
        <v>10</v>
      </c>
      <c r="M329" s="142">
        <f t="shared" si="33"/>
        <v>0</v>
      </c>
      <c r="P329" s="12">
        <v>307</v>
      </c>
      <c r="Q329" s="142">
        <f>IF(T328&gt;0.01,-PMT($Q$8,$Q$9*12,$Q$6)+$Q$10*_xlfn.XLOOKUP($R$10,'RE Calculations'!$B$12:$B$16,'RE Calculations'!$C$12:$C$16,"ERROR - Check Input")/12,0)</f>
        <v>0</v>
      </c>
      <c r="R329" s="142">
        <f t="shared" si="34"/>
        <v>0</v>
      </c>
      <c r="S329" s="142">
        <f>IFERROR(-IPMT($Q$8,P329,$Q$9*12,$Q$6)+$Q$10*_xlfn.XLOOKUP($R$10,'RE Calculations'!$B$12:$B$16,'RE Calculations'!$C$12:$C$16,"ERROR - Check Input")/12,0)</f>
        <v>8.3333333333333339</v>
      </c>
      <c r="T329" s="142">
        <f t="shared" si="35"/>
        <v>0</v>
      </c>
      <c r="W329" s="12">
        <v>307</v>
      </c>
      <c r="X329" s="142">
        <f>IF(AA328&gt;0.01,IF(W329&lt;=($X$9*12),$X$15,-PMT($X$11,($X$12-$X$9)*12,$X$6)+$X$13*_xlfn.XLOOKUP($Y$13,'RE Calculations'!$B$12:$B$16,'RE Calculations'!$C$12:$C$16,"ERROR - Check Input")/12),0)</f>
        <v>0</v>
      </c>
      <c r="Y329" s="142">
        <f t="shared" si="36"/>
        <v>0</v>
      </c>
      <c r="Z329" s="142">
        <f>IF(W329&lt;=($X$9*12),$X$15,IFERROR(-IPMT($X$11,W329-$X$9*12,($X$12-$X$9)*12,$X$6)+$X$13*_xlfn.XLOOKUP($Y$13,'RE Calculations'!$B$12:$B$16,'RE Calculations'!$C$12:$C$16,"ERROR - Check Input")/12,0))</f>
        <v>10</v>
      </c>
      <c r="AA329" s="142">
        <f t="shared" si="37"/>
        <v>0</v>
      </c>
    </row>
    <row r="330" spans="2:27" x14ac:dyDescent="0.35">
      <c r="B330" s="12">
        <v>308</v>
      </c>
      <c r="C330" s="142">
        <f>IF(F329&gt;0.01,-PMT($C$8,$C$9*12,$C$6)+$C$10*_xlfn.XLOOKUP($D$10,'RE Calculations'!$B$12:$B$16,'RE Calculations'!$C$12:$C$16,"ERROR - Check Input")/12,0)</f>
        <v>0</v>
      </c>
      <c r="D330" s="142">
        <f t="shared" si="38"/>
        <v>0</v>
      </c>
      <c r="E330" s="142">
        <f>IFERROR(-IPMT($C$8,B330,$C$9*12,$C$6)+$C$10*_xlfn.XLOOKUP($D$10,'RE Calculations'!$B$12:$B$16,'RE Calculations'!$C$12:$C$16,"ERROR - Check Input")/12,0)</f>
        <v>8.3333333333333339</v>
      </c>
      <c r="F330" s="142">
        <f t="shared" si="39"/>
        <v>0</v>
      </c>
      <c r="I330" s="12">
        <v>308</v>
      </c>
      <c r="J330" s="142">
        <f>IF(M329&gt;0.01,IF(I330&lt;=($J$9*12),$J$15,-PMT($J$11,($J$12-$J$9)*12,$J$6)+$J$13*_xlfn.XLOOKUP($K$13,'RE Calculations'!$B$12:$B$16,'RE Calculations'!$C$12:$C$16,"ERROR - Check Input")/12),0)</f>
        <v>0</v>
      </c>
      <c r="K330" s="142">
        <f t="shared" si="32"/>
        <v>0</v>
      </c>
      <c r="L330" s="142">
        <f>IF(I330&lt;=($J$9*12),$J$15,IFERROR(-IPMT($J$11,I330-$J$9*12,($J$12-$J$9)*12,$J$6)+$J$13*_xlfn.XLOOKUP($K$13,'RE Calculations'!$B$12:$B$16,'RE Calculations'!$C$12:$C$16,"ERROR - Check Input")/12,0))</f>
        <v>10</v>
      </c>
      <c r="M330" s="142">
        <f t="shared" si="33"/>
        <v>0</v>
      </c>
      <c r="P330" s="12">
        <v>308</v>
      </c>
      <c r="Q330" s="142">
        <f>IF(T329&gt;0.01,-PMT($Q$8,$Q$9*12,$Q$6)+$Q$10*_xlfn.XLOOKUP($R$10,'RE Calculations'!$B$12:$B$16,'RE Calculations'!$C$12:$C$16,"ERROR - Check Input")/12,0)</f>
        <v>0</v>
      </c>
      <c r="R330" s="142">
        <f t="shared" si="34"/>
        <v>0</v>
      </c>
      <c r="S330" s="142">
        <f>IFERROR(-IPMT($Q$8,P330,$Q$9*12,$Q$6)+$Q$10*_xlfn.XLOOKUP($R$10,'RE Calculations'!$B$12:$B$16,'RE Calculations'!$C$12:$C$16,"ERROR - Check Input")/12,0)</f>
        <v>8.3333333333333339</v>
      </c>
      <c r="T330" s="142">
        <f t="shared" si="35"/>
        <v>0</v>
      </c>
      <c r="W330" s="12">
        <v>308</v>
      </c>
      <c r="X330" s="142">
        <f>IF(AA329&gt;0.01,IF(W330&lt;=($X$9*12),$X$15,-PMT($X$11,($X$12-$X$9)*12,$X$6)+$X$13*_xlfn.XLOOKUP($Y$13,'RE Calculations'!$B$12:$B$16,'RE Calculations'!$C$12:$C$16,"ERROR - Check Input")/12),0)</f>
        <v>0</v>
      </c>
      <c r="Y330" s="142">
        <f t="shared" si="36"/>
        <v>0</v>
      </c>
      <c r="Z330" s="142">
        <f>IF(W330&lt;=($X$9*12),$X$15,IFERROR(-IPMT($X$11,W330-$X$9*12,($X$12-$X$9)*12,$X$6)+$X$13*_xlfn.XLOOKUP($Y$13,'RE Calculations'!$B$12:$B$16,'RE Calculations'!$C$12:$C$16,"ERROR - Check Input")/12,0))</f>
        <v>10</v>
      </c>
      <c r="AA330" s="142">
        <f t="shared" si="37"/>
        <v>0</v>
      </c>
    </row>
    <row r="331" spans="2:27" x14ac:dyDescent="0.35">
      <c r="B331" s="12">
        <v>309</v>
      </c>
      <c r="C331" s="142">
        <f>IF(F330&gt;0.01,-PMT($C$8,$C$9*12,$C$6)+$C$10*_xlfn.XLOOKUP($D$10,'RE Calculations'!$B$12:$B$16,'RE Calculations'!$C$12:$C$16,"ERROR - Check Input")/12,0)</f>
        <v>0</v>
      </c>
      <c r="D331" s="142">
        <f t="shared" si="38"/>
        <v>0</v>
      </c>
      <c r="E331" s="142">
        <f>IFERROR(-IPMT($C$8,B331,$C$9*12,$C$6)+$C$10*_xlfn.XLOOKUP($D$10,'RE Calculations'!$B$12:$B$16,'RE Calculations'!$C$12:$C$16,"ERROR - Check Input")/12,0)</f>
        <v>8.3333333333333339</v>
      </c>
      <c r="F331" s="142">
        <f t="shared" si="39"/>
        <v>0</v>
      </c>
      <c r="I331" s="12">
        <v>309</v>
      </c>
      <c r="J331" s="142">
        <f>IF(M330&gt;0.01,IF(I331&lt;=($J$9*12),$J$15,-PMT($J$11,($J$12-$J$9)*12,$J$6)+$J$13*_xlfn.XLOOKUP($K$13,'RE Calculations'!$B$12:$B$16,'RE Calculations'!$C$12:$C$16,"ERROR - Check Input")/12),0)</f>
        <v>0</v>
      </c>
      <c r="K331" s="142">
        <f t="shared" si="32"/>
        <v>0</v>
      </c>
      <c r="L331" s="142">
        <f>IF(I331&lt;=($J$9*12),$J$15,IFERROR(-IPMT($J$11,I331-$J$9*12,($J$12-$J$9)*12,$J$6)+$J$13*_xlfn.XLOOKUP($K$13,'RE Calculations'!$B$12:$B$16,'RE Calculations'!$C$12:$C$16,"ERROR - Check Input")/12,0))</f>
        <v>10</v>
      </c>
      <c r="M331" s="142">
        <f t="shared" si="33"/>
        <v>0</v>
      </c>
      <c r="P331" s="12">
        <v>309</v>
      </c>
      <c r="Q331" s="142">
        <f>IF(T330&gt;0.01,-PMT($Q$8,$Q$9*12,$Q$6)+$Q$10*_xlfn.XLOOKUP($R$10,'RE Calculations'!$B$12:$B$16,'RE Calculations'!$C$12:$C$16,"ERROR - Check Input")/12,0)</f>
        <v>0</v>
      </c>
      <c r="R331" s="142">
        <f t="shared" si="34"/>
        <v>0</v>
      </c>
      <c r="S331" s="142">
        <f>IFERROR(-IPMT($Q$8,P331,$Q$9*12,$Q$6)+$Q$10*_xlfn.XLOOKUP($R$10,'RE Calculations'!$B$12:$B$16,'RE Calculations'!$C$12:$C$16,"ERROR - Check Input")/12,0)</f>
        <v>8.3333333333333339</v>
      </c>
      <c r="T331" s="142">
        <f t="shared" si="35"/>
        <v>0</v>
      </c>
      <c r="W331" s="12">
        <v>309</v>
      </c>
      <c r="X331" s="142">
        <f>IF(AA330&gt;0.01,IF(W331&lt;=($X$9*12),$X$15,-PMT($X$11,($X$12-$X$9)*12,$X$6)+$X$13*_xlfn.XLOOKUP($Y$13,'RE Calculations'!$B$12:$B$16,'RE Calculations'!$C$12:$C$16,"ERROR - Check Input")/12),0)</f>
        <v>0</v>
      </c>
      <c r="Y331" s="142">
        <f t="shared" si="36"/>
        <v>0</v>
      </c>
      <c r="Z331" s="142">
        <f>IF(W331&lt;=($X$9*12),$X$15,IFERROR(-IPMT($X$11,W331-$X$9*12,($X$12-$X$9)*12,$X$6)+$X$13*_xlfn.XLOOKUP($Y$13,'RE Calculations'!$B$12:$B$16,'RE Calculations'!$C$12:$C$16,"ERROR - Check Input")/12,0))</f>
        <v>10</v>
      </c>
      <c r="AA331" s="142">
        <f t="shared" si="37"/>
        <v>0</v>
      </c>
    </row>
    <row r="332" spans="2:27" x14ac:dyDescent="0.35">
      <c r="B332" s="12">
        <v>310</v>
      </c>
      <c r="C332" s="142">
        <f>IF(F331&gt;0.01,-PMT($C$8,$C$9*12,$C$6)+$C$10*_xlfn.XLOOKUP($D$10,'RE Calculations'!$B$12:$B$16,'RE Calculations'!$C$12:$C$16,"ERROR - Check Input")/12,0)</f>
        <v>0</v>
      </c>
      <c r="D332" s="142">
        <f t="shared" si="38"/>
        <v>0</v>
      </c>
      <c r="E332" s="142">
        <f>IFERROR(-IPMT($C$8,B332,$C$9*12,$C$6)+$C$10*_xlfn.XLOOKUP($D$10,'RE Calculations'!$B$12:$B$16,'RE Calculations'!$C$12:$C$16,"ERROR - Check Input")/12,0)</f>
        <v>8.3333333333333339</v>
      </c>
      <c r="F332" s="142">
        <f t="shared" si="39"/>
        <v>0</v>
      </c>
      <c r="I332" s="12">
        <v>310</v>
      </c>
      <c r="J332" s="142">
        <f>IF(M331&gt;0.01,IF(I332&lt;=($J$9*12),$J$15,-PMT($J$11,($J$12-$J$9)*12,$J$6)+$J$13*_xlfn.XLOOKUP($K$13,'RE Calculations'!$B$12:$B$16,'RE Calculations'!$C$12:$C$16,"ERROR - Check Input")/12),0)</f>
        <v>0</v>
      </c>
      <c r="K332" s="142">
        <f t="shared" si="32"/>
        <v>0</v>
      </c>
      <c r="L332" s="142">
        <f>IF(I332&lt;=($J$9*12),$J$15,IFERROR(-IPMT($J$11,I332-$J$9*12,($J$12-$J$9)*12,$J$6)+$J$13*_xlfn.XLOOKUP($K$13,'RE Calculations'!$B$12:$B$16,'RE Calculations'!$C$12:$C$16,"ERROR - Check Input")/12,0))</f>
        <v>10</v>
      </c>
      <c r="M332" s="142">
        <f t="shared" si="33"/>
        <v>0</v>
      </c>
      <c r="P332" s="12">
        <v>310</v>
      </c>
      <c r="Q332" s="142">
        <f>IF(T331&gt;0.01,-PMT($Q$8,$Q$9*12,$Q$6)+$Q$10*_xlfn.XLOOKUP($R$10,'RE Calculations'!$B$12:$B$16,'RE Calculations'!$C$12:$C$16,"ERROR - Check Input")/12,0)</f>
        <v>0</v>
      </c>
      <c r="R332" s="142">
        <f t="shared" si="34"/>
        <v>0</v>
      </c>
      <c r="S332" s="142">
        <f>IFERROR(-IPMT($Q$8,P332,$Q$9*12,$Q$6)+$Q$10*_xlfn.XLOOKUP($R$10,'RE Calculations'!$B$12:$B$16,'RE Calculations'!$C$12:$C$16,"ERROR - Check Input")/12,0)</f>
        <v>8.3333333333333339</v>
      </c>
      <c r="T332" s="142">
        <f t="shared" si="35"/>
        <v>0</v>
      </c>
      <c r="W332" s="12">
        <v>310</v>
      </c>
      <c r="X332" s="142">
        <f>IF(AA331&gt;0.01,IF(W332&lt;=($X$9*12),$X$15,-PMT($X$11,($X$12-$X$9)*12,$X$6)+$X$13*_xlfn.XLOOKUP($Y$13,'RE Calculations'!$B$12:$B$16,'RE Calculations'!$C$12:$C$16,"ERROR - Check Input")/12),0)</f>
        <v>0</v>
      </c>
      <c r="Y332" s="142">
        <f t="shared" si="36"/>
        <v>0</v>
      </c>
      <c r="Z332" s="142">
        <f>IF(W332&lt;=($X$9*12),$X$15,IFERROR(-IPMT($X$11,W332-$X$9*12,($X$12-$X$9)*12,$X$6)+$X$13*_xlfn.XLOOKUP($Y$13,'RE Calculations'!$B$12:$B$16,'RE Calculations'!$C$12:$C$16,"ERROR - Check Input")/12,0))</f>
        <v>10</v>
      </c>
      <c r="AA332" s="142">
        <f t="shared" si="37"/>
        <v>0</v>
      </c>
    </row>
    <row r="333" spans="2:27" x14ac:dyDescent="0.35">
      <c r="B333" s="12">
        <v>311</v>
      </c>
      <c r="C333" s="142">
        <f>IF(F332&gt;0.01,-PMT($C$8,$C$9*12,$C$6)+$C$10*_xlfn.XLOOKUP($D$10,'RE Calculations'!$B$12:$B$16,'RE Calculations'!$C$12:$C$16,"ERROR - Check Input")/12,0)</f>
        <v>0</v>
      </c>
      <c r="D333" s="142">
        <f t="shared" si="38"/>
        <v>0</v>
      </c>
      <c r="E333" s="142">
        <f>IFERROR(-IPMT($C$8,B333,$C$9*12,$C$6)+$C$10*_xlfn.XLOOKUP($D$10,'RE Calculations'!$B$12:$B$16,'RE Calculations'!$C$12:$C$16,"ERROR - Check Input")/12,0)</f>
        <v>8.3333333333333339</v>
      </c>
      <c r="F333" s="142">
        <f t="shared" si="39"/>
        <v>0</v>
      </c>
      <c r="I333" s="12">
        <v>311</v>
      </c>
      <c r="J333" s="142">
        <f>IF(M332&gt;0.01,IF(I333&lt;=($J$9*12),$J$15,-PMT($J$11,($J$12-$J$9)*12,$J$6)+$J$13*_xlfn.XLOOKUP($K$13,'RE Calculations'!$B$12:$B$16,'RE Calculations'!$C$12:$C$16,"ERROR - Check Input")/12),0)</f>
        <v>0</v>
      </c>
      <c r="K333" s="142">
        <f t="shared" si="32"/>
        <v>0</v>
      </c>
      <c r="L333" s="142">
        <f>IF(I333&lt;=($J$9*12),$J$15,IFERROR(-IPMT($J$11,I333-$J$9*12,($J$12-$J$9)*12,$J$6)+$J$13*_xlfn.XLOOKUP($K$13,'RE Calculations'!$B$12:$B$16,'RE Calculations'!$C$12:$C$16,"ERROR - Check Input")/12,0))</f>
        <v>10</v>
      </c>
      <c r="M333" s="142">
        <f t="shared" si="33"/>
        <v>0</v>
      </c>
      <c r="P333" s="12">
        <v>311</v>
      </c>
      <c r="Q333" s="142">
        <f>IF(T332&gt;0.01,-PMT($Q$8,$Q$9*12,$Q$6)+$Q$10*_xlfn.XLOOKUP($R$10,'RE Calculations'!$B$12:$B$16,'RE Calculations'!$C$12:$C$16,"ERROR - Check Input")/12,0)</f>
        <v>0</v>
      </c>
      <c r="R333" s="142">
        <f t="shared" si="34"/>
        <v>0</v>
      </c>
      <c r="S333" s="142">
        <f>IFERROR(-IPMT($Q$8,P333,$Q$9*12,$Q$6)+$Q$10*_xlfn.XLOOKUP($R$10,'RE Calculations'!$B$12:$B$16,'RE Calculations'!$C$12:$C$16,"ERROR - Check Input")/12,0)</f>
        <v>8.3333333333333339</v>
      </c>
      <c r="T333" s="142">
        <f t="shared" si="35"/>
        <v>0</v>
      </c>
      <c r="W333" s="12">
        <v>311</v>
      </c>
      <c r="X333" s="142">
        <f>IF(AA332&gt;0.01,IF(W333&lt;=($X$9*12),$X$15,-PMT($X$11,($X$12-$X$9)*12,$X$6)+$X$13*_xlfn.XLOOKUP($Y$13,'RE Calculations'!$B$12:$B$16,'RE Calculations'!$C$12:$C$16,"ERROR - Check Input")/12),0)</f>
        <v>0</v>
      </c>
      <c r="Y333" s="142">
        <f t="shared" si="36"/>
        <v>0</v>
      </c>
      <c r="Z333" s="142">
        <f>IF(W333&lt;=($X$9*12),$X$15,IFERROR(-IPMT($X$11,W333-$X$9*12,($X$12-$X$9)*12,$X$6)+$X$13*_xlfn.XLOOKUP($Y$13,'RE Calculations'!$B$12:$B$16,'RE Calculations'!$C$12:$C$16,"ERROR - Check Input")/12,0))</f>
        <v>10</v>
      </c>
      <c r="AA333" s="142">
        <f t="shared" si="37"/>
        <v>0</v>
      </c>
    </row>
    <row r="334" spans="2:27" x14ac:dyDescent="0.35">
      <c r="B334" s="12">
        <v>312</v>
      </c>
      <c r="C334" s="142">
        <f>IF(F333&gt;0.01,-PMT($C$8,$C$9*12,$C$6)+$C$10*_xlfn.XLOOKUP($D$10,'RE Calculations'!$B$12:$B$16,'RE Calculations'!$C$12:$C$16,"ERROR - Check Input")/12,0)</f>
        <v>0</v>
      </c>
      <c r="D334" s="142">
        <f t="shared" si="38"/>
        <v>0</v>
      </c>
      <c r="E334" s="142">
        <f>IFERROR(-IPMT($C$8,B334,$C$9*12,$C$6)+$C$10*_xlfn.XLOOKUP($D$10,'RE Calculations'!$B$12:$B$16,'RE Calculations'!$C$12:$C$16,"ERROR - Check Input")/12,0)</f>
        <v>8.3333333333333339</v>
      </c>
      <c r="F334" s="142">
        <f t="shared" si="39"/>
        <v>0</v>
      </c>
      <c r="I334" s="12">
        <v>312</v>
      </c>
      <c r="J334" s="142">
        <f>IF(M333&gt;0.01,IF(I334&lt;=($J$9*12),$J$15,-PMT($J$11,($J$12-$J$9)*12,$J$6)+$J$13*_xlfn.XLOOKUP($K$13,'RE Calculations'!$B$12:$B$16,'RE Calculations'!$C$12:$C$16,"ERROR - Check Input")/12),0)</f>
        <v>0</v>
      </c>
      <c r="K334" s="142">
        <f t="shared" si="32"/>
        <v>0</v>
      </c>
      <c r="L334" s="142">
        <f>IF(I334&lt;=($J$9*12),$J$15,IFERROR(-IPMT($J$11,I334-$J$9*12,($J$12-$J$9)*12,$J$6)+$J$13*_xlfn.XLOOKUP($K$13,'RE Calculations'!$B$12:$B$16,'RE Calculations'!$C$12:$C$16,"ERROR - Check Input")/12,0))</f>
        <v>10</v>
      </c>
      <c r="M334" s="142">
        <f t="shared" si="33"/>
        <v>0</v>
      </c>
      <c r="P334" s="12">
        <v>312</v>
      </c>
      <c r="Q334" s="142">
        <f>IF(T333&gt;0.01,-PMT($Q$8,$Q$9*12,$Q$6)+$Q$10*_xlfn.XLOOKUP($R$10,'RE Calculations'!$B$12:$B$16,'RE Calculations'!$C$12:$C$16,"ERROR - Check Input")/12,0)</f>
        <v>0</v>
      </c>
      <c r="R334" s="142">
        <f t="shared" si="34"/>
        <v>0</v>
      </c>
      <c r="S334" s="142">
        <f>IFERROR(-IPMT($Q$8,P334,$Q$9*12,$Q$6)+$Q$10*_xlfn.XLOOKUP($R$10,'RE Calculations'!$B$12:$B$16,'RE Calculations'!$C$12:$C$16,"ERROR - Check Input")/12,0)</f>
        <v>8.3333333333333339</v>
      </c>
      <c r="T334" s="142">
        <f t="shared" si="35"/>
        <v>0</v>
      </c>
      <c r="W334" s="12">
        <v>312</v>
      </c>
      <c r="X334" s="142">
        <f>IF(AA333&gt;0.01,IF(W334&lt;=($X$9*12),$X$15,-PMT($X$11,($X$12-$X$9)*12,$X$6)+$X$13*_xlfn.XLOOKUP($Y$13,'RE Calculations'!$B$12:$B$16,'RE Calculations'!$C$12:$C$16,"ERROR - Check Input")/12),0)</f>
        <v>0</v>
      </c>
      <c r="Y334" s="142">
        <f t="shared" si="36"/>
        <v>0</v>
      </c>
      <c r="Z334" s="142">
        <f>IF(W334&lt;=($X$9*12),$X$15,IFERROR(-IPMT($X$11,W334-$X$9*12,($X$12-$X$9)*12,$X$6)+$X$13*_xlfn.XLOOKUP($Y$13,'RE Calculations'!$B$12:$B$16,'RE Calculations'!$C$12:$C$16,"ERROR - Check Input")/12,0))</f>
        <v>10</v>
      </c>
      <c r="AA334" s="142">
        <f t="shared" si="37"/>
        <v>0</v>
      </c>
    </row>
    <row r="335" spans="2:27" x14ac:dyDescent="0.35">
      <c r="B335" s="12">
        <v>313</v>
      </c>
      <c r="C335" s="142">
        <f>IF(F334&gt;0.01,-PMT($C$8,$C$9*12,$C$6)+$C$10*_xlfn.XLOOKUP($D$10,'RE Calculations'!$B$12:$B$16,'RE Calculations'!$C$12:$C$16,"ERROR - Check Input")/12,0)</f>
        <v>0</v>
      </c>
      <c r="D335" s="142">
        <f t="shared" si="38"/>
        <v>0</v>
      </c>
      <c r="E335" s="142">
        <f>IFERROR(-IPMT($C$8,B335,$C$9*12,$C$6)+$C$10*_xlfn.XLOOKUP($D$10,'RE Calculations'!$B$12:$B$16,'RE Calculations'!$C$12:$C$16,"ERROR - Check Input")/12,0)</f>
        <v>8.3333333333333339</v>
      </c>
      <c r="F335" s="142">
        <f t="shared" si="39"/>
        <v>0</v>
      </c>
      <c r="I335" s="12">
        <v>313</v>
      </c>
      <c r="J335" s="142">
        <f>IF(M334&gt;0.01,IF(I335&lt;=($J$9*12),$J$15,-PMT($J$11,($J$12-$J$9)*12,$J$6)+$J$13*_xlfn.XLOOKUP($K$13,'RE Calculations'!$B$12:$B$16,'RE Calculations'!$C$12:$C$16,"ERROR - Check Input")/12),0)</f>
        <v>0</v>
      </c>
      <c r="K335" s="142">
        <f t="shared" si="32"/>
        <v>0</v>
      </c>
      <c r="L335" s="142">
        <f>IF(I335&lt;=($J$9*12),$J$15,IFERROR(-IPMT($J$11,I335-$J$9*12,($J$12-$J$9)*12,$J$6)+$J$13*_xlfn.XLOOKUP($K$13,'RE Calculations'!$B$12:$B$16,'RE Calculations'!$C$12:$C$16,"ERROR - Check Input")/12,0))</f>
        <v>10</v>
      </c>
      <c r="M335" s="142">
        <f t="shared" si="33"/>
        <v>0</v>
      </c>
      <c r="P335" s="12">
        <v>313</v>
      </c>
      <c r="Q335" s="142">
        <f>IF(T334&gt;0.01,-PMT($Q$8,$Q$9*12,$Q$6)+$Q$10*_xlfn.XLOOKUP($R$10,'RE Calculations'!$B$12:$B$16,'RE Calculations'!$C$12:$C$16,"ERROR - Check Input")/12,0)</f>
        <v>0</v>
      </c>
      <c r="R335" s="142">
        <f t="shared" si="34"/>
        <v>0</v>
      </c>
      <c r="S335" s="142">
        <f>IFERROR(-IPMT($Q$8,P335,$Q$9*12,$Q$6)+$Q$10*_xlfn.XLOOKUP($R$10,'RE Calculations'!$B$12:$B$16,'RE Calculations'!$C$12:$C$16,"ERROR - Check Input")/12,0)</f>
        <v>8.3333333333333339</v>
      </c>
      <c r="T335" s="142">
        <f t="shared" si="35"/>
        <v>0</v>
      </c>
      <c r="W335" s="12">
        <v>313</v>
      </c>
      <c r="X335" s="142">
        <f>IF(AA334&gt;0.01,IF(W335&lt;=($X$9*12),$X$15,-PMT($X$11,($X$12-$X$9)*12,$X$6)+$X$13*_xlfn.XLOOKUP($Y$13,'RE Calculations'!$B$12:$B$16,'RE Calculations'!$C$12:$C$16,"ERROR - Check Input")/12),0)</f>
        <v>0</v>
      </c>
      <c r="Y335" s="142">
        <f t="shared" si="36"/>
        <v>0</v>
      </c>
      <c r="Z335" s="142">
        <f>IF(W335&lt;=($X$9*12),$X$15,IFERROR(-IPMT($X$11,W335-$X$9*12,($X$12-$X$9)*12,$X$6)+$X$13*_xlfn.XLOOKUP($Y$13,'RE Calculations'!$B$12:$B$16,'RE Calculations'!$C$12:$C$16,"ERROR - Check Input")/12,0))</f>
        <v>10</v>
      </c>
      <c r="AA335" s="142">
        <f t="shared" si="37"/>
        <v>0</v>
      </c>
    </row>
    <row r="336" spans="2:27" x14ac:dyDescent="0.35">
      <c r="B336" s="12">
        <v>314</v>
      </c>
      <c r="C336" s="142">
        <f>IF(F335&gt;0.01,-PMT($C$8,$C$9*12,$C$6)+$C$10*_xlfn.XLOOKUP($D$10,'RE Calculations'!$B$12:$B$16,'RE Calculations'!$C$12:$C$16,"ERROR - Check Input")/12,0)</f>
        <v>0</v>
      </c>
      <c r="D336" s="142">
        <f t="shared" si="38"/>
        <v>0</v>
      </c>
      <c r="E336" s="142">
        <f>IFERROR(-IPMT($C$8,B336,$C$9*12,$C$6)+$C$10*_xlfn.XLOOKUP($D$10,'RE Calculations'!$B$12:$B$16,'RE Calculations'!$C$12:$C$16,"ERROR - Check Input")/12,0)</f>
        <v>8.3333333333333339</v>
      </c>
      <c r="F336" s="142">
        <f t="shared" si="39"/>
        <v>0</v>
      </c>
      <c r="I336" s="12">
        <v>314</v>
      </c>
      <c r="J336" s="142">
        <f>IF(M335&gt;0.01,IF(I336&lt;=($J$9*12),$J$15,-PMT($J$11,($J$12-$J$9)*12,$J$6)+$J$13*_xlfn.XLOOKUP($K$13,'RE Calculations'!$B$12:$B$16,'RE Calculations'!$C$12:$C$16,"ERROR - Check Input")/12),0)</f>
        <v>0</v>
      </c>
      <c r="K336" s="142">
        <f t="shared" si="32"/>
        <v>0</v>
      </c>
      <c r="L336" s="142">
        <f>IF(I336&lt;=($J$9*12),$J$15,IFERROR(-IPMT($J$11,I336-$J$9*12,($J$12-$J$9)*12,$J$6)+$J$13*_xlfn.XLOOKUP($K$13,'RE Calculations'!$B$12:$B$16,'RE Calculations'!$C$12:$C$16,"ERROR - Check Input")/12,0))</f>
        <v>10</v>
      </c>
      <c r="M336" s="142">
        <f t="shared" si="33"/>
        <v>0</v>
      </c>
      <c r="P336" s="12">
        <v>314</v>
      </c>
      <c r="Q336" s="142">
        <f>IF(T335&gt;0.01,-PMT($Q$8,$Q$9*12,$Q$6)+$Q$10*_xlfn.XLOOKUP($R$10,'RE Calculations'!$B$12:$B$16,'RE Calculations'!$C$12:$C$16,"ERROR - Check Input")/12,0)</f>
        <v>0</v>
      </c>
      <c r="R336" s="142">
        <f t="shared" si="34"/>
        <v>0</v>
      </c>
      <c r="S336" s="142">
        <f>IFERROR(-IPMT($Q$8,P336,$Q$9*12,$Q$6)+$Q$10*_xlfn.XLOOKUP($R$10,'RE Calculations'!$B$12:$B$16,'RE Calculations'!$C$12:$C$16,"ERROR - Check Input")/12,0)</f>
        <v>8.3333333333333339</v>
      </c>
      <c r="T336" s="142">
        <f t="shared" si="35"/>
        <v>0</v>
      </c>
      <c r="W336" s="12">
        <v>314</v>
      </c>
      <c r="X336" s="142">
        <f>IF(AA335&gt;0.01,IF(W336&lt;=($X$9*12),$X$15,-PMT($X$11,($X$12-$X$9)*12,$X$6)+$X$13*_xlfn.XLOOKUP($Y$13,'RE Calculations'!$B$12:$B$16,'RE Calculations'!$C$12:$C$16,"ERROR - Check Input")/12),0)</f>
        <v>0</v>
      </c>
      <c r="Y336" s="142">
        <f t="shared" si="36"/>
        <v>0</v>
      </c>
      <c r="Z336" s="142">
        <f>IF(W336&lt;=($X$9*12),$X$15,IFERROR(-IPMT($X$11,W336-$X$9*12,($X$12-$X$9)*12,$X$6)+$X$13*_xlfn.XLOOKUP($Y$13,'RE Calculations'!$B$12:$B$16,'RE Calculations'!$C$12:$C$16,"ERROR - Check Input")/12,0))</f>
        <v>10</v>
      </c>
      <c r="AA336" s="142">
        <f t="shared" si="37"/>
        <v>0</v>
      </c>
    </row>
    <row r="337" spans="2:27" x14ac:dyDescent="0.35">
      <c r="B337" s="12">
        <v>315</v>
      </c>
      <c r="C337" s="142">
        <f>IF(F336&gt;0.01,-PMT($C$8,$C$9*12,$C$6)+$C$10*_xlfn.XLOOKUP($D$10,'RE Calculations'!$B$12:$B$16,'RE Calculations'!$C$12:$C$16,"ERROR - Check Input")/12,0)</f>
        <v>0</v>
      </c>
      <c r="D337" s="142">
        <f t="shared" si="38"/>
        <v>0</v>
      </c>
      <c r="E337" s="142">
        <f>IFERROR(-IPMT($C$8,B337,$C$9*12,$C$6)+$C$10*_xlfn.XLOOKUP($D$10,'RE Calculations'!$B$12:$B$16,'RE Calculations'!$C$12:$C$16,"ERROR - Check Input")/12,0)</f>
        <v>8.3333333333333339</v>
      </c>
      <c r="F337" s="142">
        <f t="shared" si="39"/>
        <v>0</v>
      </c>
      <c r="I337" s="12">
        <v>315</v>
      </c>
      <c r="J337" s="142">
        <f>IF(M336&gt;0.01,IF(I337&lt;=($J$9*12),$J$15,-PMT($J$11,($J$12-$J$9)*12,$J$6)+$J$13*_xlfn.XLOOKUP($K$13,'RE Calculations'!$B$12:$B$16,'RE Calculations'!$C$12:$C$16,"ERROR - Check Input")/12),0)</f>
        <v>0</v>
      </c>
      <c r="K337" s="142">
        <f t="shared" si="32"/>
        <v>0</v>
      </c>
      <c r="L337" s="142">
        <f>IF(I337&lt;=($J$9*12),$J$15,IFERROR(-IPMT($J$11,I337-$J$9*12,($J$12-$J$9)*12,$J$6)+$J$13*_xlfn.XLOOKUP($K$13,'RE Calculations'!$B$12:$B$16,'RE Calculations'!$C$12:$C$16,"ERROR - Check Input")/12,0))</f>
        <v>10</v>
      </c>
      <c r="M337" s="142">
        <f t="shared" si="33"/>
        <v>0</v>
      </c>
      <c r="P337" s="12">
        <v>315</v>
      </c>
      <c r="Q337" s="142">
        <f>IF(T336&gt;0.01,-PMT($Q$8,$Q$9*12,$Q$6)+$Q$10*_xlfn.XLOOKUP($R$10,'RE Calculations'!$B$12:$B$16,'RE Calculations'!$C$12:$C$16,"ERROR - Check Input")/12,0)</f>
        <v>0</v>
      </c>
      <c r="R337" s="142">
        <f t="shared" si="34"/>
        <v>0</v>
      </c>
      <c r="S337" s="142">
        <f>IFERROR(-IPMT($Q$8,P337,$Q$9*12,$Q$6)+$Q$10*_xlfn.XLOOKUP($R$10,'RE Calculations'!$B$12:$B$16,'RE Calculations'!$C$12:$C$16,"ERROR - Check Input")/12,0)</f>
        <v>8.3333333333333339</v>
      </c>
      <c r="T337" s="142">
        <f t="shared" si="35"/>
        <v>0</v>
      </c>
      <c r="W337" s="12">
        <v>315</v>
      </c>
      <c r="X337" s="142">
        <f>IF(AA336&gt;0.01,IF(W337&lt;=($X$9*12),$X$15,-PMT($X$11,($X$12-$X$9)*12,$X$6)+$X$13*_xlfn.XLOOKUP($Y$13,'RE Calculations'!$B$12:$B$16,'RE Calculations'!$C$12:$C$16,"ERROR - Check Input")/12),0)</f>
        <v>0</v>
      </c>
      <c r="Y337" s="142">
        <f t="shared" si="36"/>
        <v>0</v>
      </c>
      <c r="Z337" s="142">
        <f>IF(W337&lt;=($X$9*12),$X$15,IFERROR(-IPMT($X$11,W337-$X$9*12,($X$12-$X$9)*12,$X$6)+$X$13*_xlfn.XLOOKUP($Y$13,'RE Calculations'!$B$12:$B$16,'RE Calculations'!$C$12:$C$16,"ERROR - Check Input")/12,0))</f>
        <v>10</v>
      </c>
      <c r="AA337" s="142">
        <f t="shared" si="37"/>
        <v>0</v>
      </c>
    </row>
    <row r="338" spans="2:27" x14ac:dyDescent="0.35">
      <c r="B338" s="12">
        <v>316</v>
      </c>
      <c r="C338" s="142">
        <f>IF(F337&gt;0.01,-PMT($C$8,$C$9*12,$C$6)+$C$10*_xlfn.XLOOKUP($D$10,'RE Calculations'!$B$12:$B$16,'RE Calculations'!$C$12:$C$16,"ERROR - Check Input")/12,0)</f>
        <v>0</v>
      </c>
      <c r="D338" s="142">
        <f t="shared" si="38"/>
        <v>0</v>
      </c>
      <c r="E338" s="142">
        <f>IFERROR(-IPMT($C$8,B338,$C$9*12,$C$6)+$C$10*_xlfn.XLOOKUP($D$10,'RE Calculations'!$B$12:$B$16,'RE Calculations'!$C$12:$C$16,"ERROR - Check Input")/12,0)</f>
        <v>8.3333333333333339</v>
      </c>
      <c r="F338" s="142">
        <f t="shared" si="39"/>
        <v>0</v>
      </c>
      <c r="I338" s="12">
        <v>316</v>
      </c>
      <c r="J338" s="142">
        <f>IF(M337&gt;0.01,IF(I338&lt;=($J$9*12),$J$15,-PMT($J$11,($J$12-$J$9)*12,$J$6)+$J$13*_xlfn.XLOOKUP($K$13,'RE Calculations'!$B$12:$B$16,'RE Calculations'!$C$12:$C$16,"ERROR - Check Input")/12),0)</f>
        <v>0</v>
      </c>
      <c r="K338" s="142">
        <f t="shared" si="32"/>
        <v>0</v>
      </c>
      <c r="L338" s="142">
        <f>IF(I338&lt;=($J$9*12),$J$15,IFERROR(-IPMT($J$11,I338-$J$9*12,($J$12-$J$9)*12,$J$6)+$J$13*_xlfn.XLOOKUP($K$13,'RE Calculations'!$B$12:$B$16,'RE Calculations'!$C$12:$C$16,"ERROR - Check Input")/12,0))</f>
        <v>10</v>
      </c>
      <c r="M338" s="142">
        <f t="shared" si="33"/>
        <v>0</v>
      </c>
      <c r="P338" s="12">
        <v>316</v>
      </c>
      <c r="Q338" s="142">
        <f>IF(T337&gt;0.01,-PMT($Q$8,$Q$9*12,$Q$6)+$Q$10*_xlfn.XLOOKUP($R$10,'RE Calculations'!$B$12:$B$16,'RE Calculations'!$C$12:$C$16,"ERROR - Check Input")/12,0)</f>
        <v>0</v>
      </c>
      <c r="R338" s="142">
        <f t="shared" si="34"/>
        <v>0</v>
      </c>
      <c r="S338" s="142">
        <f>IFERROR(-IPMT($Q$8,P338,$Q$9*12,$Q$6)+$Q$10*_xlfn.XLOOKUP($R$10,'RE Calculations'!$B$12:$B$16,'RE Calculations'!$C$12:$C$16,"ERROR - Check Input")/12,0)</f>
        <v>8.3333333333333339</v>
      </c>
      <c r="T338" s="142">
        <f t="shared" si="35"/>
        <v>0</v>
      </c>
      <c r="W338" s="12">
        <v>316</v>
      </c>
      <c r="X338" s="142">
        <f>IF(AA337&gt;0.01,IF(W338&lt;=($X$9*12),$X$15,-PMT($X$11,($X$12-$X$9)*12,$X$6)+$X$13*_xlfn.XLOOKUP($Y$13,'RE Calculations'!$B$12:$B$16,'RE Calculations'!$C$12:$C$16,"ERROR - Check Input")/12),0)</f>
        <v>0</v>
      </c>
      <c r="Y338" s="142">
        <f t="shared" si="36"/>
        <v>0</v>
      </c>
      <c r="Z338" s="142">
        <f>IF(W338&lt;=($X$9*12),$X$15,IFERROR(-IPMT($X$11,W338-$X$9*12,($X$12-$X$9)*12,$X$6)+$X$13*_xlfn.XLOOKUP($Y$13,'RE Calculations'!$B$12:$B$16,'RE Calculations'!$C$12:$C$16,"ERROR - Check Input")/12,0))</f>
        <v>10</v>
      </c>
      <c r="AA338" s="142">
        <f t="shared" si="37"/>
        <v>0</v>
      </c>
    </row>
    <row r="339" spans="2:27" x14ac:dyDescent="0.35">
      <c r="B339" s="12">
        <v>317</v>
      </c>
      <c r="C339" s="142">
        <f>IF(F338&gt;0.01,-PMT($C$8,$C$9*12,$C$6)+$C$10*_xlfn.XLOOKUP($D$10,'RE Calculations'!$B$12:$B$16,'RE Calculations'!$C$12:$C$16,"ERROR - Check Input")/12,0)</f>
        <v>0</v>
      </c>
      <c r="D339" s="142">
        <f t="shared" si="38"/>
        <v>0</v>
      </c>
      <c r="E339" s="142">
        <f>IFERROR(-IPMT($C$8,B339,$C$9*12,$C$6)+$C$10*_xlfn.XLOOKUP($D$10,'RE Calculations'!$B$12:$B$16,'RE Calculations'!$C$12:$C$16,"ERROR - Check Input")/12,0)</f>
        <v>8.3333333333333339</v>
      </c>
      <c r="F339" s="142">
        <f t="shared" si="39"/>
        <v>0</v>
      </c>
      <c r="I339" s="12">
        <v>317</v>
      </c>
      <c r="J339" s="142">
        <f>IF(M338&gt;0.01,IF(I339&lt;=($J$9*12),$J$15,-PMT($J$11,($J$12-$J$9)*12,$J$6)+$J$13*_xlfn.XLOOKUP($K$13,'RE Calculations'!$B$12:$B$16,'RE Calculations'!$C$12:$C$16,"ERROR - Check Input")/12),0)</f>
        <v>0</v>
      </c>
      <c r="K339" s="142">
        <f t="shared" si="32"/>
        <v>0</v>
      </c>
      <c r="L339" s="142">
        <f>IF(I339&lt;=($J$9*12),$J$15,IFERROR(-IPMT($J$11,I339-$J$9*12,($J$12-$J$9)*12,$J$6)+$J$13*_xlfn.XLOOKUP($K$13,'RE Calculations'!$B$12:$B$16,'RE Calculations'!$C$12:$C$16,"ERROR - Check Input")/12,0))</f>
        <v>10</v>
      </c>
      <c r="M339" s="142">
        <f t="shared" si="33"/>
        <v>0</v>
      </c>
      <c r="P339" s="12">
        <v>317</v>
      </c>
      <c r="Q339" s="142">
        <f>IF(T338&gt;0.01,-PMT($Q$8,$Q$9*12,$Q$6)+$Q$10*_xlfn.XLOOKUP($R$10,'RE Calculations'!$B$12:$B$16,'RE Calculations'!$C$12:$C$16,"ERROR - Check Input")/12,0)</f>
        <v>0</v>
      </c>
      <c r="R339" s="142">
        <f t="shared" si="34"/>
        <v>0</v>
      </c>
      <c r="S339" s="142">
        <f>IFERROR(-IPMT($Q$8,P339,$Q$9*12,$Q$6)+$Q$10*_xlfn.XLOOKUP($R$10,'RE Calculations'!$B$12:$B$16,'RE Calculations'!$C$12:$C$16,"ERROR - Check Input")/12,0)</f>
        <v>8.3333333333333339</v>
      </c>
      <c r="T339" s="142">
        <f t="shared" si="35"/>
        <v>0</v>
      </c>
      <c r="W339" s="12">
        <v>317</v>
      </c>
      <c r="X339" s="142">
        <f>IF(AA338&gt;0.01,IF(W339&lt;=($X$9*12),$X$15,-PMT($X$11,($X$12-$X$9)*12,$X$6)+$X$13*_xlfn.XLOOKUP($Y$13,'RE Calculations'!$B$12:$B$16,'RE Calculations'!$C$12:$C$16,"ERROR - Check Input")/12),0)</f>
        <v>0</v>
      </c>
      <c r="Y339" s="142">
        <f t="shared" si="36"/>
        <v>0</v>
      </c>
      <c r="Z339" s="142">
        <f>IF(W339&lt;=($X$9*12),$X$15,IFERROR(-IPMT($X$11,W339-$X$9*12,($X$12-$X$9)*12,$X$6)+$X$13*_xlfn.XLOOKUP($Y$13,'RE Calculations'!$B$12:$B$16,'RE Calculations'!$C$12:$C$16,"ERROR - Check Input")/12,0))</f>
        <v>10</v>
      </c>
      <c r="AA339" s="142">
        <f t="shared" si="37"/>
        <v>0</v>
      </c>
    </row>
    <row r="340" spans="2:27" x14ac:dyDescent="0.35">
      <c r="B340" s="12">
        <v>318</v>
      </c>
      <c r="C340" s="142">
        <f>IF(F339&gt;0.01,-PMT($C$8,$C$9*12,$C$6)+$C$10*_xlfn.XLOOKUP($D$10,'RE Calculations'!$B$12:$B$16,'RE Calculations'!$C$12:$C$16,"ERROR - Check Input")/12,0)</f>
        <v>0</v>
      </c>
      <c r="D340" s="142">
        <f t="shared" si="38"/>
        <v>0</v>
      </c>
      <c r="E340" s="142">
        <f>IFERROR(-IPMT($C$8,B340,$C$9*12,$C$6)+$C$10*_xlfn.XLOOKUP($D$10,'RE Calculations'!$B$12:$B$16,'RE Calculations'!$C$12:$C$16,"ERROR - Check Input")/12,0)</f>
        <v>8.3333333333333339</v>
      </c>
      <c r="F340" s="142">
        <f t="shared" si="39"/>
        <v>0</v>
      </c>
      <c r="I340" s="12">
        <v>318</v>
      </c>
      <c r="J340" s="142">
        <f>IF(M339&gt;0.01,IF(I340&lt;=($J$9*12),$J$15,-PMT($J$11,($J$12-$J$9)*12,$J$6)+$J$13*_xlfn.XLOOKUP($K$13,'RE Calculations'!$B$12:$B$16,'RE Calculations'!$C$12:$C$16,"ERROR - Check Input")/12),0)</f>
        <v>0</v>
      </c>
      <c r="K340" s="142">
        <f t="shared" si="32"/>
        <v>0</v>
      </c>
      <c r="L340" s="142">
        <f>IF(I340&lt;=($J$9*12),$J$15,IFERROR(-IPMT($J$11,I340-$J$9*12,($J$12-$J$9)*12,$J$6)+$J$13*_xlfn.XLOOKUP($K$13,'RE Calculations'!$B$12:$B$16,'RE Calculations'!$C$12:$C$16,"ERROR - Check Input")/12,0))</f>
        <v>10</v>
      </c>
      <c r="M340" s="142">
        <f t="shared" si="33"/>
        <v>0</v>
      </c>
      <c r="P340" s="12">
        <v>318</v>
      </c>
      <c r="Q340" s="142">
        <f>IF(T339&gt;0.01,-PMT($Q$8,$Q$9*12,$Q$6)+$Q$10*_xlfn.XLOOKUP($R$10,'RE Calculations'!$B$12:$B$16,'RE Calculations'!$C$12:$C$16,"ERROR - Check Input")/12,0)</f>
        <v>0</v>
      </c>
      <c r="R340" s="142">
        <f t="shared" si="34"/>
        <v>0</v>
      </c>
      <c r="S340" s="142">
        <f>IFERROR(-IPMT($Q$8,P340,$Q$9*12,$Q$6)+$Q$10*_xlfn.XLOOKUP($R$10,'RE Calculations'!$B$12:$B$16,'RE Calculations'!$C$12:$C$16,"ERROR - Check Input")/12,0)</f>
        <v>8.3333333333333339</v>
      </c>
      <c r="T340" s="142">
        <f t="shared" si="35"/>
        <v>0</v>
      </c>
      <c r="W340" s="12">
        <v>318</v>
      </c>
      <c r="X340" s="142">
        <f>IF(AA339&gt;0.01,IF(W340&lt;=($X$9*12),$X$15,-PMT($X$11,($X$12-$X$9)*12,$X$6)+$X$13*_xlfn.XLOOKUP($Y$13,'RE Calculations'!$B$12:$B$16,'RE Calculations'!$C$12:$C$16,"ERROR - Check Input")/12),0)</f>
        <v>0</v>
      </c>
      <c r="Y340" s="142">
        <f t="shared" si="36"/>
        <v>0</v>
      </c>
      <c r="Z340" s="142">
        <f>IF(W340&lt;=($X$9*12),$X$15,IFERROR(-IPMT($X$11,W340-$X$9*12,($X$12-$X$9)*12,$X$6)+$X$13*_xlfn.XLOOKUP($Y$13,'RE Calculations'!$B$12:$B$16,'RE Calculations'!$C$12:$C$16,"ERROR - Check Input")/12,0))</f>
        <v>10</v>
      </c>
      <c r="AA340" s="142">
        <f t="shared" si="37"/>
        <v>0</v>
      </c>
    </row>
    <row r="341" spans="2:27" x14ac:dyDescent="0.35">
      <c r="B341" s="12">
        <v>319</v>
      </c>
      <c r="C341" s="142">
        <f>IF(F340&gt;0.01,-PMT($C$8,$C$9*12,$C$6)+$C$10*_xlfn.XLOOKUP($D$10,'RE Calculations'!$B$12:$B$16,'RE Calculations'!$C$12:$C$16,"ERROR - Check Input")/12,0)</f>
        <v>0</v>
      </c>
      <c r="D341" s="142">
        <f t="shared" si="38"/>
        <v>0</v>
      </c>
      <c r="E341" s="142">
        <f>IFERROR(-IPMT($C$8,B341,$C$9*12,$C$6)+$C$10*_xlfn.XLOOKUP($D$10,'RE Calculations'!$B$12:$B$16,'RE Calculations'!$C$12:$C$16,"ERROR - Check Input")/12,0)</f>
        <v>8.3333333333333339</v>
      </c>
      <c r="F341" s="142">
        <f t="shared" si="39"/>
        <v>0</v>
      </c>
      <c r="I341" s="12">
        <v>319</v>
      </c>
      <c r="J341" s="142">
        <f>IF(M340&gt;0.01,IF(I341&lt;=($J$9*12),$J$15,-PMT($J$11,($J$12-$J$9)*12,$J$6)+$J$13*_xlfn.XLOOKUP($K$13,'RE Calculations'!$B$12:$B$16,'RE Calculations'!$C$12:$C$16,"ERROR - Check Input")/12),0)</f>
        <v>0</v>
      </c>
      <c r="K341" s="142">
        <f t="shared" si="32"/>
        <v>0</v>
      </c>
      <c r="L341" s="142">
        <f>IF(I341&lt;=($J$9*12),$J$15,IFERROR(-IPMT($J$11,I341-$J$9*12,($J$12-$J$9)*12,$J$6)+$J$13*_xlfn.XLOOKUP($K$13,'RE Calculations'!$B$12:$B$16,'RE Calculations'!$C$12:$C$16,"ERROR - Check Input")/12,0))</f>
        <v>10</v>
      </c>
      <c r="M341" s="142">
        <f t="shared" si="33"/>
        <v>0</v>
      </c>
      <c r="P341" s="12">
        <v>319</v>
      </c>
      <c r="Q341" s="142">
        <f>IF(T340&gt;0.01,-PMT($Q$8,$Q$9*12,$Q$6)+$Q$10*_xlfn.XLOOKUP($R$10,'RE Calculations'!$B$12:$B$16,'RE Calculations'!$C$12:$C$16,"ERROR - Check Input")/12,0)</f>
        <v>0</v>
      </c>
      <c r="R341" s="142">
        <f t="shared" si="34"/>
        <v>0</v>
      </c>
      <c r="S341" s="142">
        <f>IFERROR(-IPMT($Q$8,P341,$Q$9*12,$Q$6)+$Q$10*_xlfn.XLOOKUP($R$10,'RE Calculations'!$B$12:$B$16,'RE Calculations'!$C$12:$C$16,"ERROR - Check Input")/12,0)</f>
        <v>8.3333333333333339</v>
      </c>
      <c r="T341" s="142">
        <f t="shared" si="35"/>
        <v>0</v>
      </c>
      <c r="W341" s="12">
        <v>319</v>
      </c>
      <c r="X341" s="142">
        <f>IF(AA340&gt;0.01,IF(W341&lt;=($X$9*12),$X$15,-PMT($X$11,($X$12-$X$9)*12,$X$6)+$X$13*_xlfn.XLOOKUP($Y$13,'RE Calculations'!$B$12:$B$16,'RE Calculations'!$C$12:$C$16,"ERROR - Check Input")/12),0)</f>
        <v>0</v>
      </c>
      <c r="Y341" s="142">
        <f t="shared" si="36"/>
        <v>0</v>
      </c>
      <c r="Z341" s="142">
        <f>IF(W341&lt;=($X$9*12),$X$15,IFERROR(-IPMT($X$11,W341-$X$9*12,($X$12-$X$9)*12,$X$6)+$X$13*_xlfn.XLOOKUP($Y$13,'RE Calculations'!$B$12:$B$16,'RE Calculations'!$C$12:$C$16,"ERROR - Check Input")/12,0))</f>
        <v>10</v>
      </c>
      <c r="AA341" s="142">
        <f t="shared" si="37"/>
        <v>0</v>
      </c>
    </row>
    <row r="342" spans="2:27" x14ac:dyDescent="0.35">
      <c r="B342" s="12">
        <v>320</v>
      </c>
      <c r="C342" s="142">
        <f>IF(F341&gt;0.01,-PMT($C$8,$C$9*12,$C$6)+$C$10*_xlfn.XLOOKUP($D$10,'RE Calculations'!$B$12:$B$16,'RE Calculations'!$C$12:$C$16,"ERROR - Check Input")/12,0)</f>
        <v>0</v>
      </c>
      <c r="D342" s="142">
        <f t="shared" si="38"/>
        <v>0</v>
      </c>
      <c r="E342" s="142">
        <f>IFERROR(-IPMT($C$8,B342,$C$9*12,$C$6)+$C$10*_xlfn.XLOOKUP($D$10,'RE Calculations'!$B$12:$B$16,'RE Calculations'!$C$12:$C$16,"ERROR - Check Input")/12,0)</f>
        <v>8.3333333333333339</v>
      </c>
      <c r="F342" s="142">
        <f t="shared" si="39"/>
        <v>0</v>
      </c>
      <c r="I342" s="12">
        <v>320</v>
      </c>
      <c r="J342" s="142">
        <f>IF(M341&gt;0.01,IF(I342&lt;=($J$9*12),$J$15,-PMT($J$11,($J$12-$J$9)*12,$J$6)+$J$13*_xlfn.XLOOKUP($K$13,'RE Calculations'!$B$12:$B$16,'RE Calculations'!$C$12:$C$16,"ERROR - Check Input")/12),0)</f>
        <v>0</v>
      </c>
      <c r="K342" s="142">
        <f t="shared" si="32"/>
        <v>0</v>
      </c>
      <c r="L342" s="142">
        <f>IF(I342&lt;=($J$9*12),$J$15,IFERROR(-IPMT($J$11,I342-$J$9*12,($J$12-$J$9)*12,$J$6)+$J$13*_xlfn.XLOOKUP($K$13,'RE Calculations'!$B$12:$B$16,'RE Calculations'!$C$12:$C$16,"ERROR - Check Input")/12,0))</f>
        <v>10</v>
      </c>
      <c r="M342" s="142">
        <f t="shared" si="33"/>
        <v>0</v>
      </c>
      <c r="P342" s="12">
        <v>320</v>
      </c>
      <c r="Q342" s="142">
        <f>IF(T341&gt;0.01,-PMT($Q$8,$Q$9*12,$Q$6)+$Q$10*_xlfn.XLOOKUP($R$10,'RE Calculations'!$B$12:$B$16,'RE Calculations'!$C$12:$C$16,"ERROR - Check Input")/12,0)</f>
        <v>0</v>
      </c>
      <c r="R342" s="142">
        <f t="shared" si="34"/>
        <v>0</v>
      </c>
      <c r="S342" s="142">
        <f>IFERROR(-IPMT($Q$8,P342,$Q$9*12,$Q$6)+$Q$10*_xlfn.XLOOKUP($R$10,'RE Calculations'!$B$12:$B$16,'RE Calculations'!$C$12:$C$16,"ERROR - Check Input")/12,0)</f>
        <v>8.3333333333333339</v>
      </c>
      <c r="T342" s="142">
        <f t="shared" si="35"/>
        <v>0</v>
      </c>
      <c r="W342" s="12">
        <v>320</v>
      </c>
      <c r="X342" s="142">
        <f>IF(AA341&gt;0.01,IF(W342&lt;=($X$9*12),$X$15,-PMT($X$11,($X$12-$X$9)*12,$X$6)+$X$13*_xlfn.XLOOKUP($Y$13,'RE Calculations'!$B$12:$B$16,'RE Calculations'!$C$12:$C$16,"ERROR - Check Input")/12),0)</f>
        <v>0</v>
      </c>
      <c r="Y342" s="142">
        <f t="shared" si="36"/>
        <v>0</v>
      </c>
      <c r="Z342" s="142">
        <f>IF(W342&lt;=($X$9*12),$X$15,IFERROR(-IPMT($X$11,W342-$X$9*12,($X$12-$X$9)*12,$X$6)+$X$13*_xlfn.XLOOKUP($Y$13,'RE Calculations'!$B$12:$B$16,'RE Calculations'!$C$12:$C$16,"ERROR - Check Input")/12,0))</f>
        <v>10</v>
      </c>
      <c r="AA342" s="142">
        <f t="shared" si="37"/>
        <v>0</v>
      </c>
    </row>
    <row r="343" spans="2:27" x14ac:dyDescent="0.35">
      <c r="B343" s="12">
        <v>321</v>
      </c>
      <c r="C343" s="142">
        <f>IF(F342&gt;0.01,-PMT($C$8,$C$9*12,$C$6)+$C$10*_xlfn.XLOOKUP($D$10,'RE Calculations'!$B$12:$B$16,'RE Calculations'!$C$12:$C$16,"ERROR - Check Input")/12,0)</f>
        <v>0</v>
      </c>
      <c r="D343" s="142">
        <f t="shared" si="38"/>
        <v>0</v>
      </c>
      <c r="E343" s="142">
        <f>IFERROR(-IPMT($C$8,B343,$C$9*12,$C$6)+$C$10*_xlfn.XLOOKUP($D$10,'RE Calculations'!$B$12:$B$16,'RE Calculations'!$C$12:$C$16,"ERROR - Check Input")/12,0)</f>
        <v>8.3333333333333339</v>
      </c>
      <c r="F343" s="142">
        <f t="shared" si="39"/>
        <v>0</v>
      </c>
      <c r="I343" s="12">
        <v>321</v>
      </c>
      <c r="J343" s="142">
        <f>IF(M342&gt;0.01,IF(I343&lt;=($J$9*12),$J$15,-PMT($J$11,($J$12-$J$9)*12,$J$6)+$J$13*_xlfn.XLOOKUP($K$13,'RE Calculations'!$B$12:$B$16,'RE Calculations'!$C$12:$C$16,"ERROR - Check Input")/12),0)</f>
        <v>0</v>
      </c>
      <c r="K343" s="142">
        <f t="shared" ref="K343:K406" si="40">IF(I343&lt;=($J$9*12),0,IFERROR(-PPMT($J$11,I343-$J$9*12,($J$12-$J$9)*12,$J$6),0))</f>
        <v>0</v>
      </c>
      <c r="L343" s="142">
        <f>IF(I343&lt;=($J$9*12),$J$15,IFERROR(-IPMT($J$11,I343-$J$9*12,($J$12-$J$9)*12,$J$6)+$J$13*_xlfn.XLOOKUP($K$13,'RE Calculations'!$B$12:$B$16,'RE Calculations'!$C$12:$C$16,"ERROR - Check Input")/12,0))</f>
        <v>10</v>
      </c>
      <c r="M343" s="142">
        <f t="shared" ref="M343:M406" si="41">IFERROR(M342-K343,0)</f>
        <v>0</v>
      </c>
      <c r="P343" s="12">
        <v>321</v>
      </c>
      <c r="Q343" s="142">
        <f>IF(T342&gt;0.01,-PMT($Q$8,$Q$9*12,$Q$6)+$Q$10*_xlfn.XLOOKUP($R$10,'RE Calculations'!$B$12:$B$16,'RE Calculations'!$C$12:$C$16,"ERROR - Check Input")/12,0)</f>
        <v>0</v>
      </c>
      <c r="R343" s="142">
        <f t="shared" ref="R343:R406" si="42">IFERROR(-PPMT($Q$8,P343,$Q$9*12,$Q$6),0)</f>
        <v>0</v>
      </c>
      <c r="S343" s="142">
        <f>IFERROR(-IPMT($Q$8,P343,$Q$9*12,$Q$6)+$Q$10*_xlfn.XLOOKUP($R$10,'RE Calculations'!$B$12:$B$16,'RE Calculations'!$C$12:$C$16,"ERROR - Check Input")/12,0)</f>
        <v>8.3333333333333339</v>
      </c>
      <c r="T343" s="142">
        <f t="shared" ref="T343:T406" si="43">IFERROR(T342-R343,0)</f>
        <v>0</v>
      </c>
      <c r="W343" s="12">
        <v>321</v>
      </c>
      <c r="X343" s="142">
        <f>IF(AA342&gt;0.01,IF(W343&lt;=($X$9*12),$X$15,-PMT($X$11,($X$12-$X$9)*12,$X$6)+$X$13*_xlfn.XLOOKUP($Y$13,'RE Calculations'!$B$12:$B$16,'RE Calculations'!$C$12:$C$16,"ERROR - Check Input")/12),0)</f>
        <v>0</v>
      </c>
      <c r="Y343" s="142">
        <f t="shared" ref="Y343:Y406" si="44">IF(W343&lt;=($X$9*12),0,IFERROR(-PPMT($X$11,W343-$X$9*12,($X$12-$X$9)*12,$X$6),0))</f>
        <v>0</v>
      </c>
      <c r="Z343" s="142">
        <f>IF(W343&lt;=($X$9*12),$X$15,IFERROR(-IPMT($X$11,W343-$X$9*12,($X$12-$X$9)*12,$X$6)+$X$13*_xlfn.XLOOKUP($Y$13,'RE Calculations'!$B$12:$B$16,'RE Calculations'!$C$12:$C$16,"ERROR - Check Input")/12,0))</f>
        <v>10</v>
      </c>
      <c r="AA343" s="142">
        <f t="shared" ref="AA343:AA406" si="45">IFERROR(AA342-Y343,0)</f>
        <v>0</v>
      </c>
    </row>
    <row r="344" spans="2:27" x14ac:dyDescent="0.35">
      <c r="B344" s="12">
        <v>322</v>
      </c>
      <c r="C344" s="142">
        <f>IF(F343&gt;0.01,-PMT($C$8,$C$9*12,$C$6)+$C$10*_xlfn.XLOOKUP($D$10,'RE Calculations'!$B$12:$B$16,'RE Calculations'!$C$12:$C$16,"ERROR - Check Input")/12,0)</f>
        <v>0</v>
      </c>
      <c r="D344" s="142">
        <f t="shared" ref="D344:D407" si="46">IFERROR(-PPMT($C$8,B344,$C$9*12,$C$6),0)</f>
        <v>0</v>
      </c>
      <c r="E344" s="142">
        <f>IFERROR(-IPMT($C$8,B344,$C$9*12,$C$6)+$C$10*_xlfn.XLOOKUP($D$10,'RE Calculations'!$B$12:$B$16,'RE Calculations'!$C$12:$C$16,"ERROR - Check Input")/12,0)</f>
        <v>8.3333333333333339</v>
      </c>
      <c r="F344" s="142">
        <f t="shared" ref="F344:F407" si="47">IFERROR(F343-D344,0)</f>
        <v>0</v>
      </c>
      <c r="I344" s="12">
        <v>322</v>
      </c>
      <c r="J344" s="142">
        <f>IF(M343&gt;0.01,IF(I344&lt;=($J$9*12),$J$15,-PMT($J$11,($J$12-$J$9)*12,$J$6)+$J$13*_xlfn.XLOOKUP($K$13,'RE Calculations'!$B$12:$B$16,'RE Calculations'!$C$12:$C$16,"ERROR - Check Input")/12),0)</f>
        <v>0</v>
      </c>
      <c r="K344" s="142">
        <f t="shared" si="40"/>
        <v>0</v>
      </c>
      <c r="L344" s="142">
        <f>IF(I344&lt;=($J$9*12),$J$15,IFERROR(-IPMT($J$11,I344-$J$9*12,($J$12-$J$9)*12,$J$6)+$J$13*_xlfn.XLOOKUP($K$13,'RE Calculations'!$B$12:$B$16,'RE Calculations'!$C$12:$C$16,"ERROR - Check Input")/12,0))</f>
        <v>10</v>
      </c>
      <c r="M344" s="142">
        <f t="shared" si="41"/>
        <v>0</v>
      </c>
      <c r="P344" s="12">
        <v>322</v>
      </c>
      <c r="Q344" s="142">
        <f>IF(T343&gt;0.01,-PMT($Q$8,$Q$9*12,$Q$6)+$Q$10*_xlfn.XLOOKUP($R$10,'RE Calculations'!$B$12:$B$16,'RE Calculations'!$C$12:$C$16,"ERROR - Check Input")/12,0)</f>
        <v>0</v>
      </c>
      <c r="R344" s="142">
        <f t="shared" si="42"/>
        <v>0</v>
      </c>
      <c r="S344" s="142">
        <f>IFERROR(-IPMT($Q$8,P344,$Q$9*12,$Q$6)+$Q$10*_xlfn.XLOOKUP($R$10,'RE Calculations'!$B$12:$B$16,'RE Calculations'!$C$12:$C$16,"ERROR - Check Input")/12,0)</f>
        <v>8.3333333333333339</v>
      </c>
      <c r="T344" s="142">
        <f t="shared" si="43"/>
        <v>0</v>
      </c>
      <c r="W344" s="12">
        <v>322</v>
      </c>
      <c r="X344" s="142">
        <f>IF(AA343&gt;0.01,IF(W344&lt;=($X$9*12),$X$15,-PMT($X$11,($X$12-$X$9)*12,$X$6)+$X$13*_xlfn.XLOOKUP($Y$13,'RE Calculations'!$B$12:$B$16,'RE Calculations'!$C$12:$C$16,"ERROR - Check Input")/12),0)</f>
        <v>0</v>
      </c>
      <c r="Y344" s="142">
        <f t="shared" si="44"/>
        <v>0</v>
      </c>
      <c r="Z344" s="142">
        <f>IF(W344&lt;=($X$9*12),$X$15,IFERROR(-IPMT($X$11,W344-$X$9*12,($X$12-$X$9)*12,$X$6)+$X$13*_xlfn.XLOOKUP($Y$13,'RE Calculations'!$B$12:$B$16,'RE Calculations'!$C$12:$C$16,"ERROR - Check Input")/12,0))</f>
        <v>10</v>
      </c>
      <c r="AA344" s="142">
        <f t="shared" si="45"/>
        <v>0</v>
      </c>
    </row>
    <row r="345" spans="2:27" x14ac:dyDescent="0.35">
      <c r="B345" s="12">
        <v>323</v>
      </c>
      <c r="C345" s="142">
        <f>IF(F344&gt;0.01,-PMT($C$8,$C$9*12,$C$6)+$C$10*_xlfn.XLOOKUP($D$10,'RE Calculations'!$B$12:$B$16,'RE Calculations'!$C$12:$C$16,"ERROR - Check Input")/12,0)</f>
        <v>0</v>
      </c>
      <c r="D345" s="142">
        <f t="shared" si="46"/>
        <v>0</v>
      </c>
      <c r="E345" s="142">
        <f>IFERROR(-IPMT($C$8,B345,$C$9*12,$C$6)+$C$10*_xlfn.XLOOKUP($D$10,'RE Calculations'!$B$12:$B$16,'RE Calculations'!$C$12:$C$16,"ERROR - Check Input")/12,0)</f>
        <v>8.3333333333333339</v>
      </c>
      <c r="F345" s="142">
        <f t="shared" si="47"/>
        <v>0</v>
      </c>
      <c r="I345" s="12">
        <v>323</v>
      </c>
      <c r="J345" s="142">
        <f>IF(M344&gt;0.01,IF(I345&lt;=($J$9*12),$J$15,-PMT($J$11,($J$12-$J$9)*12,$J$6)+$J$13*_xlfn.XLOOKUP($K$13,'RE Calculations'!$B$12:$B$16,'RE Calculations'!$C$12:$C$16,"ERROR - Check Input")/12),0)</f>
        <v>0</v>
      </c>
      <c r="K345" s="142">
        <f t="shared" si="40"/>
        <v>0</v>
      </c>
      <c r="L345" s="142">
        <f>IF(I345&lt;=($J$9*12),$J$15,IFERROR(-IPMT($J$11,I345-$J$9*12,($J$12-$J$9)*12,$J$6)+$J$13*_xlfn.XLOOKUP($K$13,'RE Calculations'!$B$12:$B$16,'RE Calculations'!$C$12:$C$16,"ERROR - Check Input")/12,0))</f>
        <v>10</v>
      </c>
      <c r="M345" s="142">
        <f t="shared" si="41"/>
        <v>0</v>
      </c>
      <c r="P345" s="12">
        <v>323</v>
      </c>
      <c r="Q345" s="142">
        <f>IF(T344&gt;0.01,-PMT($Q$8,$Q$9*12,$Q$6)+$Q$10*_xlfn.XLOOKUP($R$10,'RE Calculations'!$B$12:$B$16,'RE Calculations'!$C$12:$C$16,"ERROR - Check Input")/12,0)</f>
        <v>0</v>
      </c>
      <c r="R345" s="142">
        <f t="shared" si="42"/>
        <v>0</v>
      </c>
      <c r="S345" s="142">
        <f>IFERROR(-IPMT($Q$8,P345,$Q$9*12,$Q$6)+$Q$10*_xlfn.XLOOKUP($R$10,'RE Calculations'!$B$12:$B$16,'RE Calculations'!$C$12:$C$16,"ERROR - Check Input")/12,0)</f>
        <v>8.3333333333333339</v>
      </c>
      <c r="T345" s="142">
        <f t="shared" si="43"/>
        <v>0</v>
      </c>
      <c r="W345" s="12">
        <v>323</v>
      </c>
      <c r="X345" s="142">
        <f>IF(AA344&gt;0.01,IF(W345&lt;=($X$9*12),$X$15,-PMT($X$11,($X$12-$X$9)*12,$X$6)+$X$13*_xlfn.XLOOKUP($Y$13,'RE Calculations'!$B$12:$B$16,'RE Calculations'!$C$12:$C$16,"ERROR - Check Input")/12),0)</f>
        <v>0</v>
      </c>
      <c r="Y345" s="142">
        <f t="shared" si="44"/>
        <v>0</v>
      </c>
      <c r="Z345" s="142">
        <f>IF(W345&lt;=($X$9*12),$X$15,IFERROR(-IPMT($X$11,W345-$X$9*12,($X$12-$X$9)*12,$X$6)+$X$13*_xlfn.XLOOKUP($Y$13,'RE Calculations'!$B$12:$B$16,'RE Calculations'!$C$12:$C$16,"ERROR - Check Input")/12,0))</f>
        <v>10</v>
      </c>
      <c r="AA345" s="142">
        <f t="shared" si="45"/>
        <v>0</v>
      </c>
    </row>
    <row r="346" spans="2:27" x14ac:dyDescent="0.35">
      <c r="B346" s="12">
        <v>324</v>
      </c>
      <c r="C346" s="142">
        <f>IF(F345&gt;0.01,-PMT($C$8,$C$9*12,$C$6)+$C$10*_xlfn.XLOOKUP($D$10,'RE Calculations'!$B$12:$B$16,'RE Calculations'!$C$12:$C$16,"ERROR - Check Input")/12,0)</f>
        <v>0</v>
      </c>
      <c r="D346" s="142">
        <f t="shared" si="46"/>
        <v>0</v>
      </c>
      <c r="E346" s="142">
        <f>IFERROR(-IPMT($C$8,B346,$C$9*12,$C$6)+$C$10*_xlfn.XLOOKUP($D$10,'RE Calculations'!$B$12:$B$16,'RE Calculations'!$C$12:$C$16,"ERROR - Check Input")/12,0)</f>
        <v>8.3333333333333339</v>
      </c>
      <c r="F346" s="142">
        <f t="shared" si="47"/>
        <v>0</v>
      </c>
      <c r="I346" s="12">
        <v>324</v>
      </c>
      <c r="J346" s="142">
        <f>IF(M345&gt;0.01,IF(I346&lt;=($J$9*12),$J$15,-PMT($J$11,($J$12-$J$9)*12,$J$6)+$J$13*_xlfn.XLOOKUP($K$13,'RE Calculations'!$B$12:$B$16,'RE Calculations'!$C$12:$C$16,"ERROR - Check Input")/12),0)</f>
        <v>0</v>
      </c>
      <c r="K346" s="142">
        <f t="shared" si="40"/>
        <v>0</v>
      </c>
      <c r="L346" s="142">
        <f>IF(I346&lt;=($J$9*12),$J$15,IFERROR(-IPMT($J$11,I346-$J$9*12,($J$12-$J$9)*12,$J$6)+$J$13*_xlfn.XLOOKUP($K$13,'RE Calculations'!$B$12:$B$16,'RE Calculations'!$C$12:$C$16,"ERROR - Check Input")/12,0))</f>
        <v>10</v>
      </c>
      <c r="M346" s="142">
        <f t="shared" si="41"/>
        <v>0</v>
      </c>
      <c r="P346" s="12">
        <v>324</v>
      </c>
      <c r="Q346" s="142">
        <f>IF(T345&gt;0.01,-PMT($Q$8,$Q$9*12,$Q$6)+$Q$10*_xlfn.XLOOKUP($R$10,'RE Calculations'!$B$12:$B$16,'RE Calculations'!$C$12:$C$16,"ERROR - Check Input")/12,0)</f>
        <v>0</v>
      </c>
      <c r="R346" s="142">
        <f t="shared" si="42"/>
        <v>0</v>
      </c>
      <c r="S346" s="142">
        <f>IFERROR(-IPMT($Q$8,P346,$Q$9*12,$Q$6)+$Q$10*_xlfn.XLOOKUP($R$10,'RE Calculations'!$B$12:$B$16,'RE Calculations'!$C$12:$C$16,"ERROR - Check Input")/12,0)</f>
        <v>8.3333333333333339</v>
      </c>
      <c r="T346" s="142">
        <f t="shared" si="43"/>
        <v>0</v>
      </c>
      <c r="W346" s="12">
        <v>324</v>
      </c>
      <c r="X346" s="142">
        <f>IF(AA345&gt;0.01,IF(W346&lt;=($X$9*12),$X$15,-PMT($X$11,($X$12-$X$9)*12,$X$6)+$X$13*_xlfn.XLOOKUP($Y$13,'RE Calculations'!$B$12:$B$16,'RE Calculations'!$C$12:$C$16,"ERROR - Check Input")/12),0)</f>
        <v>0</v>
      </c>
      <c r="Y346" s="142">
        <f t="shared" si="44"/>
        <v>0</v>
      </c>
      <c r="Z346" s="142">
        <f>IF(W346&lt;=($X$9*12),$X$15,IFERROR(-IPMT($X$11,W346-$X$9*12,($X$12-$X$9)*12,$X$6)+$X$13*_xlfn.XLOOKUP($Y$13,'RE Calculations'!$B$12:$B$16,'RE Calculations'!$C$12:$C$16,"ERROR - Check Input")/12,0))</f>
        <v>10</v>
      </c>
      <c r="AA346" s="142">
        <f t="shared" si="45"/>
        <v>0</v>
      </c>
    </row>
    <row r="347" spans="2:27" x14ac:dyDescent="0.35">
      <c r="B347" s="12">
        <v>325</v>
      </c>
      <c r="C347" s="142">
        <f>IF(F346&gt;0.01,-PMT($C$8,$C$9*12,$C$6)+$C$10*_xlfn.XLOOKUP($D$10,'RE Calculations'!$B$12:$B$16,'RE Calculations'!$C$12:$C$16,"ERROR - Check Input")/12,0)</f>
        <v>0</v>
      </c>
      <c r="D347" s="142">
        <f t="shared" si="46"/>
        <v>0</v>
      </c>
      <c r="E347" s="142">
        <f>IFERROR(-IPMT($C$8,B347,$C$9*12,$C$6)+$C$10*_xlfn.XLOOKUP($D$10,'RE Calculations'!$B$12:$B$16,'RE Calculations'!$C$12:$C$16,"ERROR - Check Input")/12,0)</f>
        <v>8.3333333333333339</v>
      </c>
      <c r="F347" s="142">
        <f t="shared" si="47"/>
        <v>0</v>
      </c>
      <c r="I347" s="12">
        <v>325</v>
      </c>
      <c r="J347" s="142">
        <f>IF(M346&gt;0.01,IF(I347&lt;=($J$9*12),$J$15,-PMT($J$11,($J$12-$J$9)*12,$J$6)+$J$13*_xlfn.XLOOKUP($K$13,'RE Calculations'!$B$12:$B$16,'RE Calculations'!$C$12:$C$16,"ERROR - Check Input")/12),0)</f>
        <v>0</v>
      </c>
      <c r="K347" s="142">
        <f t="shared" si="40"/>
        <v>0</v>
      </c>
      <c r="L347" s="142">
        <f>IF(I347&lt;=($J$9*12),$J$15,IFERROR(-IPMT($J$11,I347-$J$9*12,($J$12-$J$9)*12,$J$6)+$J$13*_xlfn.XLOOKUP($K$13,'RE Calculations'!$B$12:$B$16,'RE Calculations'!$C$12:$C$16,"ERROR - Check Input")/12,0))</f>
        <v>10</v>
      </c>
      <c r="M347" s="142">
        <f t="shared" si="41"/>
        <v>0</v>
      </c>
      <c r="P347" s="12">
        <v>325</v>
      </c>
      <c r="Q347" s="142">
        <f>IF(T346&gt;0.01,-PMT($Q$8,$Q$9*12,$Q$6)+$Q$10*_xlfn.XLOOKUP($R$10,'RE Calculations'!$B$12:$B$16,'RE Calculations'!$C$12:$C$16,"ERROR - Check Input")/12,0)</f>
        <v>0</v>
      </c>
      <c r="R347" s="142">
        <f t="shared" si="42"/>
        <v>0</v>
      </c>
      <c r="S347" s="142">
        <f>IFERROR(-IPMT($Q$8,P347,$Q$9*12,$Q$6)+$Q$10*_xlfn.XLOOKUP($R$10,'RE Calculations'!$B$12:$B$16,'RE Calculations'!$C$12:$C$16,"ERROR - Check Input")/12,0)</f>
        <v>8.3333333333333339</v>
      </c>
      <c r="T347" s="142">
        <f t="shared" si="43"/>
        <v>0</v>
      </c>
      <c r="W347" s="12">
        <v>325</v>
      </c>
      <c r="X347" s="142">
        <f>IF(AA346&gt;0.01,IF(W347&lt;=($X$9*12),$X$15,-PMT($X$11,($X$12-$X$9)*12,$X$6)+$X$13*_xlfn.XLOOKUP($Y$13,'RE Calculations'!$B$12:$B$16,'RE Calculations'!$C$12:$C$16,"ERROR - Check Input")/12),0)</f>
        <v>0</v>
      </c>
      <c r="Y347" s="142">
        <f t="shared" si="44"/>
        <v>0</v>
      </c>
      <c r="Z347" s="142">
        <f>IF(W347&lt;=($X$9*12),$X$15,IFERROR(-IPMT($X$11,W347-$X$9*12,($X$12-$X$9)*12,$X$6)+$X$13*_xlfn.XLOOKUP($Y$13,'RE Calculations'!$B$12:$B$16,'RE Calculations'!$C$12:$C$16,"ERROR - Check Input")/12,0))</f>
        <v>10</v>
      </c>
      <c r="AA347" s="142">
        <f t="shared" si="45"/>
        <v>0</v>
      </c>
    </row>
    <row r="348" spans="2:27" x14ac:dyDescent="0.35">
      <c r="B348" s="12">
        <v>326</v>
      </c>
      <c r="C348" s="142">
        <f>IF(F347&gt;0.01,-PMT($C$8,$C$9*12,$C$6)+$C$10*_xlfn.XLOOKUP($D$10,'RE Calculations'!$B$12:$B$16,'RE Calculations'!$C$12:$C$16,"ERROR - Check Input")/12,0)</f>
        <v>0</v>
      </c>
      <c r="D348" s="142">
        <f t="shared" si="46"/>
        <v>0</v>
      </c>
      <c r="E348" s="142">
        <f>IFERROR(-IPMT($C$8,B348,$C$9*12,$C$6)+$C$10*_xlfn.XLOOKUP($D$10,'RE Calculations'!$B$12:$B$16,'RE Calculations'!$C$12:$C$16,"ERROR - Check Input")/12,0)</f>
        <v>8.3333333333333339</v>
      </c>
      <c r="F348" s="142">
        <f t="shared" si="47"/>
        <v>0</v>
      </c>
      <c r="I348" s="12">
        <v>326</v>
      </c>
      <c r="J348" s="142">
        <f>IF(M347&gt;0.01,IF(I348&lt;=($J$9*12),$J$15,-PMT($J$11,($J$12-$J$9)*12,$J$6)+$J$13*_xlfn.XLOOKUP($K$13,'RE Calculations'!$B$12:$B$16,'RE Calculations'!$C$12:$C$16,"ERROR - Check Input")/12),0)</f>
        <v>0</v>
      </c>
      <c r="K348" s="142">
        <f t="shared" si="40"/>
        <v>0</v>
      </c>
      <c r="L348" s="142">
        <f>IF(I348&lt;=($J$9*12),$J$15,IFERROR(-IPMT($J$11,I348-$J$9*12,($J$12-$J$9)*12,$J$6)+$J$13*_xlfn.XLOOKUP($K$13,'RE Calculations'!$B$12:$B$16,'RE Calculations'!$C$12:$C$16,"ERROR - Check Input")/12,0))</f>
        <v>10</v>
      </c>
      <c r="M348" s="142">
        <f t="shared" si="41"/>
        <v>0</v>
      </c>
      <c r="P348" s="12">
        <v>326</v>
      </c>
      <c r="Q348" s="142">
        <f>IF(T347&gt;0.01,-PMT($Q$8,$Q$9*12,$Q$6)+$Q$10*_xlfn.XLOOKUP($R$10,'RE Calculations'!$B$12:$B$16,'RE Calculations'!$C$12:$C$16,"ERROR - Check Input")/12,0)</f>
        <v>0</v>
      </c>
      <c r="R348" s="142">
        <f t="shared" si="42"/>
        <v>0</v>
      </c>
      <c r="S348" s="142">
        <f>IFERROR(-IPMT($Q$8,P348,$Q$9*12,$Q$6)+$Q$10*_xlfn.XLOOKUP($R$10,'RE Calculations'!$B$12:$B$16,'RE Calculations'!$C$12:$C$16,"ERROR - Check Input")/12,0)</f>
        <v>8.3333333333333339</v>
      </c>
      <c r="T348" s="142">
        <f t="shared" si="43"/>
        <v>0</v>
      </c>
      <c r="W348" s="12">
        <v>326</v>
      </c>
      <c r="X348" s="142">
        <f>IF(AA347&gt;0.01,IF(W348&lt;=($X$9*12),$X$15,-PMT($X$11,($X$12-$X$9)*12,$X$6)+$X$13*_xlfn.XLOOKUP($Y$13,'RE Calculations'!$B$12:$B$16,'RE Calculations'!$C$12:$C$16,"ERROR - Check Input")/12),0)</f>
        <v>0</v>
      </c>
      <c r="Y348" s="142">
        <f t="shared" si="44"/>
        <v>0</v>
      </c>
      <c r="Z348" s="142">
        <f>IF(W348&lt;=($X$9*12),$X$15,IFERROR(-IPMT($X$11,W348-$X$9*12,($X$12-$X$9)*12,$X$6)+$X$13*_xlfn.XLOOKUP($Y$13,'RE Calculations'!$B$12:$B$16,'RE Calculations'!$C$12:$C$16,"ERROR - Check Input")/12,0))</f>
        <v>10</v>
      </c>
      <c r="AA348" s="142">
        <f t="shared" si="45"/>
        <v>0</v>
      </c>
    </row>
    <row r="349" spans="2:27" x14ac:dyDescent="0.35">
      <c r="B349" s="12">
        <v>327</v>
      </c>
      <c r="C349" s="142">
        <f>IF(F348&gt;0.01,-PMT($C$8,$C$9*12,$C$6)+$C$10*_xlfn.XLOOKUP($D$10,'RE Calculations'!$B$12:$B$16,'RE Calculations'!$C$12:$C$16,"ERROR - Check Input")/12,0)</f>
        <v>0</v>
      </c>
      <c r="D349" s="142">
        <f t="shared" si="46"/>
        <v>0</v>
      </c>
      <c r="E349" s="142">
        <f>IFERROR(-IPMT($C$8,B349,$C$9*12,$C$6)+$C$10*_xlfn.XLOOKUP($D$10,'RE Calculations'!$B$12:$B$16,'RE Calculations'!$C$12:$C$16,"ERROR - Check Input")/12,0)</f>
        <v>8.3333333333333339</v>
      </c>
      <c r="F349" s="142">
        <f t="shared" si="47"/>
        <v>0</v>
      </c>
      <c r="I349" s="12">
        <v>327</v>
      </c>
      <c r="J349" s="142">
        <f>IF(M348&gt;0.01,IF(I349&lt;=($J$9*12),$J$15,-PMT($J$11,($J$12-$J$9)*12,$J$6)+$J$13*_xlfn.XLOOKUP($K$13,'RE Calculations'!$B$12:$B$16,'RE Calculations'!$C$12:$C$16,"ERROR - Check Input")/12),0)</f>
        <v>0</v>
      </c>
      <c r="K349" s="142">
        <f t="shared" si="40"/>
        <v>0</v>
      </c>
      <c r="L349" s="142">
        <f>IF(I349&lt;=($J$9*12),$J$15,IFERROR(-IPMT($J$11,I349-$J$9*12,($J$12-$J$9)*12,$J$6)+$J$13*_xlfn.XLOOKUP($K$13,'RE Calculations'!$B$12:$B$16,'RE Calculations'!$C$12:$C$16,"ERROR - Check Input")/12,0))</f>
        <v>10</v>
      </c>
      <c r="M349" s="142">
        <f t="shared" si="41"/>
        <v>0</v>
      </c>
      <c r="P349" s="12">
        <v>327</v>
      </c>
      <c r="Q349" s="142">
        <f>IF(T348&gt;0.01,-PMT($Q$8,$Q$9*12,$Q$6)+$Q$10*_xlfn.XLOOKUP($R$10,'RE Calculations'!$B$12:$B$16,'RE Calculations'!$C$12:$C$16,"ERROR - Check Input")/12,0)</f>
        <v>0</v>
      </c>
      <c r="R349" s="142">
        <f t="shared" si="42"/>
        <v>0</v>
      </c>
      <c r="S349" s="142">
        <f>IFERROR(-IPMT($Q$8,P349,$Q$9*12,$Q$6)+$Q$10*_xlfn.XLOOKUP($R$10,'RE Calculations'!$B$12:$B$16,'RE Calculations'!$C$12:$C$16,"ERROR - Check Input")/12,0)</f>
        <v>8.3333333333333339</v>
      </c>
      <c r="T349" s="142">
        <f t="shared" si="43"/>
        <v>0</v>
      </c>
      <c r="W349" s="12">
        <v>327</v>
      </c>
      <c r="X349" s="142">
        <f>IF(AA348&gt;0.01,IF(W349&lt;=($X$9*12),$X$15,-PMT($X$11,($X$12-$X$9)*12,$X$6)+$X$13*_xlfn.XLOOKUP($Y$13,'RE Calculations'!$B$12:$B$16,'RE Calculations'!$C$12:$C$16,"ERROR - Check Input")/12),0)</f>
        <v>0</v>
      </c>
      <c r="Y349" s="142">
        <f t="shared" si="44"/>
        <v>0</v>
      </c>
      <c r="Z349" s="142">
        <f>IF(W349&lt;=($X$9*12),$X$15,IFERROR(-IPMT($X$11,W349-$X$9*12,($X$12-$X$9)*12,$X$6)+$X$13*_xlfn.XLOOKUP($Y$13,'RE Calculations'!$B$12:$B$16,'RE Calculations'!$C$12:$C$16,"ERROR - Check Input")/12,0))</f>
        <v>10</v>
      </c>
      <c r="AA349" s="142">
        <f t="shared" si="45"/>
        <v>0</v>
      </c>
    </row>
    <row r="350" spans="2:27" x14ac:dyDescent="0.35">
      <c r="B350" s="12">
        <v>328</v>
      </c>
      <c r="C350" s="142">
        <f>IF(F349&gt;0.01,-PMT($C$8,$C$9*12,$C$6)+$C$10*_xlfn.XLOOKUP($D$10,'RE Calculations'!$B$12:$B$16,'RE Calculations'!$C$12:$C$16,"ERROR - Check Input")/12,0)</f>
        <v>0</v>
      </c>
      <c r="D350" s="142">
        <f t="shared" si="46"/>
        <v>0</v>
      </c>
      <c r="E350" s="142">
        <f>IFERROR(-IPMT($C$8,B350,$C$9*12,$C$6)+$C$10*_xlfn.XLOOKUP($D$10,'RE Calculations'!$B$12:$B$16,'RE Calculations'!$C$12:$C$16,"ERROR - Check Input")/12,0)</f>
        <v>8.3333333333333339</v>
      </c>
      <c r="F350" s="142">
        <f t="shared" si="47"/>
        <v>0</v>
      </c>
      <c r="I350" s="12">
        <v>328</v>
      </c>
      <c r="J350" s="142">
        <f>IF(M349&gt;0.01,IF(I350&lt;=($J$9*12),$J$15,-PMT($J$11,($J$12-$J$9)*12,$J$6)+$J$13*_xlfn.XLOOKUP($K$13,'RE Calculations'!$B$12:$B$16,'RE Calculations'!$C$12:$C$16,"ERROR - Check Input")/12),0)</f>
        <v>0</v>
      </c>
      <c r="K350" s="142">
        <f t="shared" si="40"/>
        <v>0</v>
      </c>
      <c r="L350" s="142">
        <f>IF(I350&lt;=($J$9*12),$J$15,IFERROR(-IPMT($J$11,I350-$J$9*12,($J$12-$J$9)*12,$J$6)+$J$13*_xlfn.XLOOKUP($K$13,'RE Calculations'!$B$12:$B$16,'RE Calculations'!$C$12:$C$16,"ERROR - Check Input")/12,0))</f>
        <v>10</v>
      </c>
      <c r="M350" s="142">
        <f t="shared" si="41"/>
        <v>0</v>
      </c>
      <c r="P350" s="12">
        <v>328</v>
      </c>
      <c r="Q350" s="142">
        <f>IF(T349&gt;0.01,-PMT($Q$8,$Q$9*12,$Q$6)+$Q$10*_xlfn.XLOOKUP($R$10,'RE Calculations'!$B$12:$B$16,'RE Calculations'!$C$12:$C$16,"ERROR - Check Input")/12,0)</f>
        <v>0</v>
      </c>
      <c r="R350" s="142">
        <f t="shared" si="42"/>
        <v>0</v>
      </c>
      <c r="S350" s="142">
        <f>IFERROR(-IPMT($Q$8,P350,$Q$9*12,$Q$6)+$Q$10*_xlfn.XLOOKUP($R$10,'RE Calculations'!$B$12:$B$16,'RE Calculations'!$C$12:$C$16,"ERROR - Check Input")/12,0)</f>
        <v>8.3333333333333339</v>
      </c>
      <c r="T350" s="142">
        <f t="shared" si="43"/>
        <v>0</v>
      </c>
      <c r="W350" s="12">
        <v>328</v>
      </c>
      <c r="X350" s="142">
        <f>IF(AA349&gt;0.01,IF(W350&lt;=($X$9*12),$X$15,-PMT($X$11,($X$12-$X$9)*12,$X$6)+$X$13*_xlfn.XLOOKUP($Y$13,'RE Calculations'!$B$12:$B$16,'RE Calculations'!$C$12:$C$16,"ERROR - Check Input")/12),0)</f>
        <v>0</v>
      </c>
      <c r="Y350" s="142">
        <f t="shared" si="44"/>
        <v>0</v>
      </c>
      <c r="Z350" s="142">
        <f>IF(W350&lt;=($X$9*12),$X$15,IFERROR(-IPMT($X$11,W350-$X$9*12,($X$12-$X$9)*12,$X$6)+$X$13*_xlfn.XLOOKUP($Y$13,'RE Calculations'!$B$12:$B$16,'RE Calculations'!$C$12:$C$16,"ERROR - Check Input")/12,0))</f>
        <v>10</v>
      </c>
      <c r="AA350" s="142">
        <f t="shared" si="45"/>
        <v>0</v>
      </c>
    </row>
    <row r="351" spans="2:27" x14ac:dyDescent="0.35">
      <c r="B351" s="12">
        <v>329</v>
      </c>
      <c r="C351" s="142">
        <f>IF(F350&gt;0.01,-PMT($C$8,$C$9*12,$C$6)+$C$10*_xlfn.XLOOKUP($D$10,'RE Calculations'!$B$12:$B$16,'RE Calculations'!$C$12:$C$16,"ERROR - Check Input")/12,0)</f>
        <v>0</v>
      </c>
      <c r="D351" s="142">
        <f t="shared" si="46"/>
        <v>0</v>
      </c>
      <c r="E351" s="142">
        <f>IFERROR(-IPMT($C$8,B351,$C$9*12,$C$6)+$C$10*_xlfn.XLOOKUP($D$10,'RE Calculations'!$B$12:$B$16,'RE Calculations'!$C$12:$C$16,"ERROR - Check Input")/12,0)</f>
        <v>8.3333333333333339</v>
      </c>
      <c r="F351" s="142">
        <f t="shared" si="47"/>
        <v>0</v>
      </c>
      <c r="I351" s="12">
        <v>329</v>
      </c>
      <c r="J351" s="142">
        <f>IF(M350&gt;0.01,IF(I351&lt;=($J$9*12),$J$15,-PMT($J$11,($J$12-$J$9)*12,$J$6)+$J$13*_xlfn.XLOOKUP($K$13,'RE Calculations'!$B$12:$B$16,'RE Calculations'!$C$12:$C$16,"ERROR - Check Input")/12),0)</f>
        <v>0</v>
      </c>
      <c r="K351" s="142">
        <f t="shared" si="40"/>
        <v>0</v>
      </c>
      <c r="L351" s="142">
        <f>IF(I351&lt;=($J$9*12),$J$15,IFERROR(-IPMT($J$11,I351-$J$9*12,($J$12-$J$9)*12,$J$6)+$J$13*_xlfn.XLOOKUP($K$13,'RE Calculations'!$B$12:$B$16,'RE Calculations'!$C$12:$C$16,"ERROR - Check Input")/12,0))</f>
        <v>10</v>
      </c>
      <c r="M351" s="142">
        <f t="shared" si="41"/>
        <v>0</v>
      </c>
      <c r="P351" s="12">
        <v>329</v>
      </c>
      <c r="Q351" s="142">
        <f>IF(T350&gt;0.01,-PMT($Q$8,$Q$9*12,$Q$6)+$Q$10*_xlfn.XLOOKUP($R$10,'RE Calculations'!$B$12:$B$16,'RE Calculations'!$C$12:$C$16,"ERROR - Check Input")/12,0)</f>
        <v>0</v>
      </c>
      <c r="R351" s="142">
        <f t="shared" si="42"/>
        <v>0</v>
      </c>
      <c r="S351" s="142">
        <f>IFERROR(-IPMT($Q$8,P351,$Q$9*12,$Q$6)+$Q$10*_xlfn.XLOOKUP($R$10,'RE Calculations'!$B$12:$B$16,'RE Calculations'!$C$12:$C$16,"ERROR - Check Input")/12,0)</f>
        <v>8.3333333333333339</v>
      </c>
      <c r="T351" s="142">
        <f t="shared" si="43"/>
        <v>0</v>
      </c>
      <c r="W351" s="12">
        <v>329</v>
      </c>
      <c r="X351" s="142">
        <f>IF(AA350&gt;0.01,IF(W351&lt;=($X$9*12),$X$15,-PMT($X$11,($X$12-$X$9)*12,$X$6)+$X$13*_xlfn.XLOOKUP($Y$13,'RE Calculations'!$B$12:$B$16,'RE Calculations'!$C$12:$C$16,"ERROR - Check Input")/12),0)</f>
        <v>0</v>
      </c>
      <c r="Y351" s="142">
        <f t="shared" si="44"/>
        <v>0</v>
      </c>
      <c r="Z351" s="142">
        <f>IF(W351&lt;=($X$9*12),$X$15,IFERROR(-IPMT($X$11,W351-$X$9*12,($X$12-$X$9)*12,$X$6)+$X$13*_xlfn.XLOOKUP($Y$13,'RE Calculations'!$B$12:$B$16,'RE Calculations'!$C$12:$C$16,"ERROR - Check Input")/12,0))</f>
        <v>10</v>
      </c>
      <c r="AA351" s="142">
        <f t="shared" si="45"/>
        <v>0</v>
      </c>
    </row>
    <row r="352" spans="2:27" x14ac:dyDescent="0.35">
      <c r="B352" s="12">
        <v>330</v>
      </c>
      <c r="C352" s="142">
        <f>IF(F351&gt;0.01,-PMT($C$8,$C$9*12,$C$6)+$C$10*_xlfn.XLOOKUP($D$10,'RE Calculations'!$B$12:$B$16,'RE Calculations'!$C$12:$C$16,"ERROR - Check Input")/12,0)</f>
        <v>0</v>
      </c>
      <c r="D352" s="142">
        <f t="shared" si="46"/>
        <v>0</v>
      </c>
      <c r="E352" s="142">
        <f>IFERROR(-IPMT($C$8,B352,$C$9*12,$C$6)+$C$10*_xlfn.XLOOKUP($D$10,'RE Calculations'!$B$12:$B$16,'RE Calculations'!$C$12:$C$16,"ERROR - Check Input")/12,0)</f>
        <v>8.3333333333333339</v>
      </c>
      <c r="F352" s="142">
        <f t="shared" si="47"/>
        <v>0</v>
      </c>
      <c r="I352" s="12">
        <v>330</v>
      </c>
      <c r="J352" s="142">
        <f>IF(M351&gt;0.01,IF(I352&lt;=($J$9*12),$J$15,-PMT($J$11,($J$12-$J$9)*12,$J$6)+$J$13*_xlfn.XLOOKUP($K$13,'RE Calculations'!$B$12:$B$16,'RE Calculations'!$C$12:$C$16,"ERROR - Check Input")/12),0)</f>
        <v>0</v>
      </c>
      <c r="K352" s="142">
        <f t="shared" si="40"/>
        <v>0</v>
      </c>
      <c r="L352" s="142">
        <f>IF(I352&lt;=($J$9*12),$J$15,IFERROR(-IPMT($J$11,I352-$J$9*12,($J$12-$J$9)*12,$J$6)+$J$13*_xlfn.XLOOKUP($K$13,'RE Calculations'!$B$12:$B$16,'RE Calculations'!$C$12:$C$16,"ERROR - Check Input")/12,0))</f>
        <v>10</v>
      </c>
      <c r="M352" s="142">
        <f t="shared" si="41"/>
        <v>0</v>
      </c>
      <c r="P352" s="12">
        <v>330</v>
      </c>
      <c r="Q352" s="142">
        <f>IF(T351&gt;0.01,-PMT($Q$8,$Q$9*12,$Q$6)+$Q$10*_xlfn.XLOOKUP($R$10,'RE Calculations'!$B$12:$B$16,'RE Calculations'!$C$12:$C$16,"ERROR - Check Input")/12,0)</f>
        <v>0</v>
      </c>
      <c r="R352" s="142">
        <f t="shared" si="42"/>
        <v>0</v>
      </c>
      <c r="S352" s="142">
        <f>IFERROR(-IPMT($Q$8,P352,$Q$9*12,$Q$6)+$Q$10*_xlfn.XLOOKUP($R$10,'RE Calculations'!$B$12:$B$16,'RE Calculations'!$C$12:$C$16,"ERROR - Check Input")/12,0)</f>
        <v>8.3333333333333339</v>
      </c>
      <c r="T352" s="142">
        <f t="shared" si="43"/>
        <v>0</v>
      </c>
      <c r="W352" s="12">
        <v>330</v>
      </c>
      <c r="X352" s="142">
        <f>IF(AA351&gt;0.01,IF(W352&lt;=($X$9*12),$X$15,-PMT($X$11,($X$12-$X$9)*12,$X$6)+$X$13*_xlfn.XLOOKUP($Y$13,'RE Calculations'!$B$12:$B$16,'RE Calculations'!$C$12:$C$16,"ERROR - Check Input")/12),0)</f>
        <v>0</v>
      </c>
      <c r="Y352" s="142">
        <f t="shared" si="44"/>
        <v>0</v>
      </c>
      <c r="Z352" s="142">
        <f>IF(W352&lt;=($X$9*12),$X$15,IFERROR(-IPMT($X$11,W352-$X$9*12,($X$12-$X$9)*12,$X$6)+$X$13*_xlfn.XLOOKUP($Y$13,'RE Calculations'!$B$12:$B$16,'RE Calculations'!$C$12:$C$16,"ERROR - Check Input")/12,0))</f>
        <v>10</v>
      </c>
      <c r="AA352" s="142">
        <f t="shared" si="45"/>
        <v>0</v>
      </c>
    </row>
    <row r="353" spans="2:27" x14ac:dyDescent="0.35">
      <c r="B353" s="12">
        <v>331</v>
      </c>
      <c r="C353" s="142">
        <f>IF(F352&gt;0.01,-PMT($C$8,$C$9*12,$C$6)+$C$10*_xlfn.XLOOKUP($D$10,'RE Calculations'!$B$12:$B$16,'RE Calculations'!$C$12:$C$16,"ERROR - Check Input")/12,0)</f>
        <v>0</v>
      </c>
      <c r="D353" s="142">
        <f t="shared" si="46"/>
        <v>0</v>
      </c>
      <c r="E353" s="142">
        <f>IFERROR(-IPMT($C$8,B353,$C$9*12,$C$6)+$C$10*_xlfn.XLOOKUP($D$10,'RE Calculations'!$B$12:$B$16,'RE Calculations'!$C$12:$C$16,"ERROR - Check Input")/12,0)</f>
        <v>8.3333333333333339</v>
      </c>
      <c r="F353" s="142">
        <f t="shared" si="47"/>
        <v>0</v>
      </c>
      <c r="I353" s="12">
        <v>331</v>
      </c>
      <c r="J353" s="142">
        <f>IF(M352&gt;0.01,IF(I353&lt;=($J$9*12),$J$15,-PMT($J$11,($J$12-$J$9)*12,$J$6)+$J$13*_xlfn.XLOOKUP($K$13,'RE Calculations'!$B$12:$B$16,'RE Calculations'!$C$12:$C$16,"ERROR - Check Input")/12),0)</f>
        <v>0</v>
      </c>
      <c r="K353" s="142">
        <f t="shared" si="40"/>
        <v>0</v>
      </c>
      <c r="L353" s="142">
        <f>IF(I353&lt;=($J$9*12),$J$15,IFERROR(-IPMT($J$11,I353-$J$9*12,($J$12-$J$9)*12,$J$6)+$J$13*_xlfn.XLOOKUP($K$13,'RE Calculations'!$B$12:$B$16,'RE Calculations'!$C$12:$C$16,"ERROR - Check Input")/12,0))</f>
        <v>10</v>
      </c>
      <c r="M353" s="142">
        <f t="shared" si="41"/>
        <v>0</v>
      </c>
      <c r="P353" s="12">
        <v>331</v>
      </c>
      <c r="Q353" s="142">
        <f>IF(T352&gt;0.01,-PMT($Q$8,$Q$9*12,$Q$6)+$Q$10*_xlfn.XLOOKUP($R$10,'RE Calculations'!$B$12:$B$16,'RE Calculations'!$C$12:$C$16,"ERROR - Check Input")/12,0)</f>
        <v>0</v>
      </c>
      <c r="R353" s="142">
        <f t="shared" si="42"/>
        <v>0</v>
      </c>
      <c r="S353" s="142">
        <f>IFERROR(-IPMT($Q$8,P353,$Q$9*12,$Q$6)+$Q$10*_xlfn.XLOOKUP($R$10,'RE Calculations'!$B$12:$B$16,'RE Calculations'!$C$12:$C$16,"ERROR - Check Input")/12,0)</f>
        <v>8.3333333333333339</v>
      </c>
      <c r="T353" s="142">
        <f t="shared" si="43"/>
        <v>0</v>
      </c>
      <c r="W353" s="12">
        <v>331</v>
      </c>
      <c r="X353" s="142">
        <f>IF(AA352&gt;0.01,IF(W353&lt;=($X$9*12),$X$15,-PMT($X$11,($X$12-$X$9)*12,$X$6)+$X$13*_xlfn.XLOOKUP($Y$13,'RE Calculations'!$B$12:$B$16,'RE Calculations'!$C$12:$C$16,"ERROR - Check Input")/12),0)</f>
        <v>0</v>
      </c>
      <c r="Y353" s="142">
        <f t="shared" si="44"/>
        <v>0</v>
      </c>
      <c r="Z353" s="142">
        <f>IF(W353&lt;=($X$9*12),$X$15,IFERROR(-IPMT($X$11,W353-$X$9*12,($X$12-$X$9)*12,$X$6)+$X$13*_xlfn.XLOOKUP($Y$13,'RE Calculations'!$B$12:$B$16,'RE Calculations'!$C$12:$C$16,"ERROR - Check Input")/12,0))</f>
        <v>10</v>
      </c>
      <c r="AA353" s="142">
        <f t="shared" si="45"/>
        <v>0</v>
      </c>
    </row>
    <row r="354" spans="2:27" x14ac:dyDescent="0.35">
      <c r="B354" s="12">
        <v>332</v>
      </c>
      <c r="C354" s="142">
        <f>IF(F353&gt;0.01,-PMT($C$8,$C$9*12,$C$6)+$C$10*_xlfn.XLOOKUP($D$10,'RE Calculations'!$B$12:$B$16,'RE Calculations'!$C$12:$C$16,"ERROR - Check Input")/12,0)</f>
        <v>0</v>
      </c>
      <c r="D354" s="142">
        <f t="shared" si="46"/>
        <v>0</v>
      </c>
      <c r="E354" s="142">
        <f>IFERROR(-IPMT($C$8,B354,$C$9*12,$C$6)+$C$10*_xlfn.XLOOKUP($D$10,'RE Calculations'!$B$12:$B$16,'RE Calculations'!$C$12:$C$16,"ERROR - Check Input")/12,0)</f>
        <v>8.3333333333333339</v>
      </c>
      <c r="F354" s="142">
        <f t="shared" si="47"/>
        <v>0</v>
      </c>
      <c r="I354" s="12">
        <v>332</v>
      </c>
      <c r="J354" s="142">
        <f>IF(M353&gt;0.01,IF(I354&lt;=($J$9*12),$J$15,-PMT($J$11,($J$12-$J$9)*12,$J$6)+$J$13*_xlfn.XLOOKUP($K$13,'RE Calculations'!$B$12:$B$16,'RE Calculations'!$C$12:$C$16,"ERROR - Check Input")/12),0)</f>
        <v>0</v>
      </c>
      <c r="K354" s="142">
        <f t="shared" si="40"/>
        <v>0</v>
      </c>
      <c r="L354" s="142">
        <f>IF(I354&lt;=($J$9*12),$J$15,IFERROR(-IPMT($J$11,I354-$J$9*12,($J$12-$J$9)*12,$J$6)+$J$13*_xlfn.XLOOKUP($K$13,'RE Calculations'!$B$12:$B$16,'RE Calculations'!$C$12:$C$16,"ERROR - Check Input")/12,0))</f>
        <v>10</v>
      </c>
      <c r="M354" s="142">
        <f t="shared" si="41"/>
        <v>0</v>
      </c>
      <c r="P354" s="12">
        <v>332</v>
      </c>
      <c r="Q354" s="142">
        <f>IF(T353&gt;0.01,-PMT($Q$8,$Q$9*12,$Q$6)+$Q$10*_xlfn.XLOOKUP($R$10,'RE Calculations'!$B$12:$B$16,'RE Calculations'!$C$12:$C$16,"ERROR - Check Input")/12,0)</f>
        <v>0</v>
      </c>
      <c r="R354" s="142">
        <f t="shared" si="42"/>
        <v>0</v>
      </c>
      <c r="S354" s="142">
        <f>IFERROR(-IPMT($Q$8,P354,$Q$9*12,$Q$6)+$Q$10*_xlfn.XLOOKUP($R$10,'RE Calculations'!$B$12:$B$16,'RE Calculations'!$C$12:$C$16,"ERROR - Check Input")/12,0)</f>
        <v>8.3333333333333339</v>
      </c>
      <c r="T354" s="142">
        <f t="shared" si="43"/>
        <v>0</v>
      </c>
      <c r="W354" s="12">
        <v>332</v>
      </c>
      <c r="X354" s="142">
        <f>IF(AA353&gt;0.01,IF(W354&lt;=($X$9*12),$X$15,-PMT($X$11,($X$12-$X$9)*12,$X$6)+$X$13*_xlfn.XLOOKUP($Y$13,'RE Calculations'!$B$12:$B$16,'RE Calculations'!$C$12:$C$16,"ERROR - Check Input")/12),0)</f>
        <v>0</v>
      </c>
      <c r="Y354" s="142">
        <f t="shared" si="44"/>
        <v>0</v>
      </c>
      <c r="Z354" s="142">
        <f>IF(W354&lt;=($X$9*12),$X$15,IFERROR(-IPMT($X$11,W354-$X$9*12,($X$12-$X$9)*12,$X$6)+$X$13*_xlfn.XLOOKUP($Y$13,'RE Calculations'!$B$12:$B$16,'RE Calculations'!$C$12:$C$16,"ERROR - Check Input")/12,0))</f>
        <v>10</v>
      </c>
      <c r="AA354" s="142">
        <f t="shared" si="45"/>
        <v>0</v>
      </c>
    </row>
    <row r="355" spans="2:27" x14ac:dyDescent="0.35">
      <c r="B355" s="12">
        <v>333</v>
      </c>
      <c r="C355" s="142">
        <f>IF(F354&gt;0.01,-PMT($C$8,$C$9*12,$C$6)+$C$10*_xlfn.XLOOKUP($D$10,'RE Calculations'!$B$12:$B$16,'RE Calculations'!$C$12:$C$16,"ERROR - Check Input")/12,0)</f>
        <v>0</v>
      </c>
      <c r="D355" s="142">
        <f t="shared" si="46"/>
        <v>0</v>
      </c>
      <c r="E355" s="142">
        <f>IFERROR(-IPMT($C$8,B355,$C$9*12,$C$6)+$C$10*_xlfn.XLOOKUP($D$10,'RE Calculations'!$B$12:$B$16,'RE Calculations'!$C$12:$C$16,"ERROR - Check Input")/12,0)</f>
        <v>8.3333333333333339</v>
      </c>
      <c r="F355" s="142">
        <f t="shared" si="47"/>
        <v>0</v>
      </c>
      <c r="I355" s="12">
        <v>333</v>
      </c>
      <c r="J355" s="142">
        <f>IF(M354&gt;0.01,IF(I355&lt;=($J$9*12),$J$15,-PMT($J$11,($J$12-$J$9)*12,$J$6)+$J$13*_xlfn.XLOOKUP($K$13,'RE Calculations'!$B$12:$B$16,'RE Calculations'!$C$12:$C$16,"ERROR - Check Input")/12),0)</f>
        <v>0</v>
      </c>
      <c r="K355" s="142">
        <f t="shared" si="40"/>
        <v>0</v>
      </c>
      <c r="L355" s="142">
        <f>IF(I355&lt;=($J$9*12),$J$15,IFERROR(-IPMT($J$11,I355-$J$9*12,($J$12-$J$9)*12,$J$6)+$J$13*_xlfn.XLOOKUP($K$13,'RE Calculations'!$B$12:$B$16,'RE Calculations'!$C$12:$C$16,"ERROR - Check Input")/12,0))</f>
        <v>10</v>
      </c>
      <c r="M355" s="142">
        <f t="shared" si="41"/>
        <v>0</v>
      </c>
      <c r="P355" s="12">
        <v>333</v>
      </c>
      <c r="Q355" s="142">
        <f>IF(T354&gt;0.01,-PMT($Q$8,$Q$9*12,$Q$6)+$Q$10*_xlfn.XLOOKUP($R$10,'RE Calculations'!$B$12:$B$16,'RE Calculations'!$C$12:$C$16,"ERROR - Check Input")/12,0)</f>
        <v>0</v>
      </c>
      <c r="R355" s="142">
        <f t="shared" si="42"/>
        <v>0</v>
      </c>
      <c r="S355" s="142">
        <f>IFERROR(-IPMT($Q$8,P355,$Q$9*12,$Q$6)+$Q$10*_xlfn.XLOOKUP($R$10,'RE Calculations'!$B$12:$B$16,'RE Calculations'!$C$12:$C$16,"ERROR - Check Input")/12,0)</f>
        <v>8.3333333333333339</v>
      </c>
      <c r="T355" s="142">
        <f t="shared" si="43"/>
        <v>0</v>
      </c>
      <c r="W355" s="12">
        <v>333</v>
      </c>
      <c r="X355" s="142">
        <f>IF(AA354&gt;0.01,IF(W355&lt;=($X$9*12),$X$15,-PMT($X$11,($X$12-$X$9)*12,$X$6)+$X$13*_xlfn.XLOOKUP($Y$13,'RE Calculations'!$B$12:$B$16,'RE Calculations'!$C$12:$C$16,"ERROR - Check Input")/12),0)</f>
        <v>0</v>
      </c>
      <c r="Y355" s="142">
        <f t="shared" si="44"/>
        <v>0</v>
      </c>
      <c r="Z355" s="142">
        <f>IF(W355&lt;=($X$9*12),$X$15,IFERROR(-IPMT($X$11,W355-$X$9*12,($X$12-$X$9)*12,$X$6)+$X$13*_xlfn.XLOOKUP($Y$13,'RE Calculations'!$B$12:$B$16,'RE Calculations'!$C$12:$C$16,"ERROR - Check Input")/12,0))</f>
        <v>10</v>
      </c>
      <c r="AA355" s="142">
        <f t="shared" si="45"/>
        <v>0</v>
      </c>
    </row>
    <row r="356" spans="2:27" x14ac:dyDescent="0.35">
      <c r="B356" s="12">
        <v>334</v>
      </c>
      <c r="C356" s="142">
        <f>IF(F355&gt;0.01,-PMT($C$8,$C$9*12,$C$6)+$C$10*_xlfn.XLOOKUP($D$10,'RE Calculations'!$B$12:$B$16,'RE Calculations'!$C$12:$C$16,"ERROR - Check Input")/12,0)</f>
        <v>0</v>
      </c>
      <c r="D356" s="142">
        <f t="shared" si="46"/>
        <v>0</v>
      </c>
      <c r="E356" s="142">
        <f>IFERROR(-IPMT($C$8,B356,$C$9*12,$C$6)+$C$10*_xlfn.XLOOKUP($D$10,'RE Calculations'!$B$12:$B$16,'RE Calculations'!$C$12:$C$16,"ERROR - Check Input")/12,0)</f>
        <v>8.3333333333333339</v>
      </c>
      <c r="F356" s="142">
        <f t="shared" si="47"/>
        <v>0</v>
      </c>
      <c r="I356" s="12">
        <v>334</v>
      </c>
      <c r="J356" s="142">
        <f>IF(M355&gt;0.01,IF(I356&lt;=($J$9*12),$J$15,-PMT($J$11,($J$12-$J$9)*12,$J$6)+$J$13*_xlfn.XLOOKUP($K$13,'RE Calculations'!$B$12:$B$16,'RE Calculations'!$C$12:$C$16,"ERROR - Check Input")/12),0)</f>
        <v>0</v>
      </c>
      <c r="K356" s="142">
        <f t="shared" si="40"/>
        <v>0</v>
      </c>
      <c r="L356" s="142">
        <f>IF(I356&lt;=($J$9*12),$J$15,IFERROR(-IPMT($J$11,I356-$J$9*12,($J$12-$J$9)*12,$J$6)+$J$13*_xlfn.XLOOKUP($K$13,'RE Calculations'!$B$12:$B$16,'RE Calculations'!$C$12:$C$16,"ERROR - Check Input")/12,0))</f>
        <v>10</v>
      </c>
      <c r="M356" s="142">
        <f t="shared" si="41"/>
        <v>0</v>
      </c>
      <c r="P356" s="12">
        <v>334</v>
      </c>
      <c r="Q356" s="142">
        <f>IF(T355&gt;0.01,-PMT($Q$8,$Q$9*12,$Q$6)+$Q$10*_xlfn.XLOOKUP($R$10,'RE Calculations'!$B$12:$B$16,'RE Calculations'!$C$12:$C$16,"ERROR - Check Input")/12,0)</f>
        <v>0</v>
      </c>
      <c r="R356" s="142">
        <f t="shared" si="42"/>
        <v>0</v>
      </c>
      <c r="S356" s="142">
        <f>IFERROR(-IPMT($Q$8,P356,$Q$9*12,$Q$6)+$Q$10*_xlfn.XLOOKUP($R$10,'RE Calculations'!$B$12:$B$16,'RE Calculations'!$C$12:$C$16,"ERROR - Check Input")/12,0)</f>
        <v>8.3333333333333339</v>
      </c>
      <c r="T356" s="142">
        <f t="shared" si="43"/>
        <v>0</v>
      </c>
      <c r="W356" s="12">
        <v>334</v>
      </c>
      <c r="X356" s="142">
        <f>IF(AA355&gt;0.01,IF(W356&lt;=($X$9*12),$X$15,-PMT($X$11,($X$12-$X$9)*12,$X$6)+$X$13*_xlfn.XLOOKUP($Y$13,'RE Calculations'!$B$12:$B$16,'RE Calculations'!$C$12:$C$16,"ERROR - Check Input")/12),0)</f>
        <v>0</v>
      </c>
      <c r="Y356" s="142">
        <f t="shared" si="44"/>
        <v>0</v>
      </c>
      <c r="Z356" s="142">
        <f>IF(W356&lt;=($X$9*12),$X$15,IFERROR(-IPMT($X$11,W356-$X$9*12,($X$12-$X$9)*12,$X$6)+$X$13*_xlfn.XLOOKUP($Y$13,'RE Calculations'!$B$12:$B$16,'RE Calculations'!$C$12:$C$16,"ERROR - Check Input")/12,0))</f>
        <v>10</v>
      </c>
      <c r="AA356" s="142">
        <f t="shared" si="45"/>
        <v>0</v>
      </c>
    </row>
    <row r="357" spans="2:27" x14ac:dyDescent="0.35">
      <c r="B357" s="12">
        <v>335</v>
      </c>
      <c r="C357" s="142">
        <f>IF(F356&gt;0.01,-PMT($C$8,$C$9*12,$C$6)+$C$10*_xlfn.XLOOKUP($D$10,'RE Calculations'!$B$12:$B$16,'RE Calculations'!$C$12:$C$16,"ERROR - Check Input")/12,0)</f>
        <v>0</v>
      </c>
      <c r="D357" s="142">
        <f t="shared" si="46"/>
        <v>0</v>
      </c>
      <c r="E357" s="142">
        <f>IFERROR(-IPMT($C$8,B357,$C$9*12,$C$6)+$C$10*_xlfn.XLOOKUP($D$10,'RE Calculations'!$B$12:$B$16,'RE Calculations'!$C$12:$C$16,"ERROR - Check Input")/12,0)</f>
        <v>8.3333333333333339</v>
      </c>
      <c r="F357" s="142">
        <f t="shared" si="47"/>
        <v>0</v>
      </c>
      <c r="I357" s="12">
        <v>335</v>
      </c>
      <c r="J357" s="142">
        <f>IF(M356&gt;0.01,IF(I357&lt;=($J$9*12),$J$15,-PMT($J$11,($J$12-$J$9)*12,$J$6)+$J$13*_xlfn.XLOOKUP($K$13,'RE Calculations'!$B$12:$B$16,'RE Calculations'!$C$12:$C$16,"ERROR - Check Input")/12),0)</f>
        <v>0</v>
      </c>
      <c r="K357" s="142">
        <f t="shared" si="40"/>
        <v>0</v>
      </c>
      <c r="L357" s="142">
        <f>IF(I357&lt;=($J$9*12),$J$15,IFERROR(-IPMT($J$11,I357-$J$9*12,($J$12-$J$9)*12,$J$6)+$J$13*_xlfn.XLOOKUP($K$13,'RE Calculations'!$B$12:$B$16,'RE Calculations'!$C$12:$C$16,"ERROR - Check Input")/12,0))</f>
        <v>10</v>
      </c>
      <c r="M357" s="142">
        <f t="shared" si="41"/>
        <v>0</v>
      </c>
      <c r="P357" s="12">
        <v>335</v>
      </c>
      <c r="Q357" s="142">
        <f>IF(T356&gt;0.01,-PMT($Q$8,$Q$9*12,$Q$6)+$Q$10*_xlfn.XLOOKUP($R$10,'RE Calculations'!$B$12:$B$16,'RE Calculations'!$C$12:$C$16,"ERROR - Check Input")/12,0)</f>
        <v>0</v>
      </c>
      <c r="R357" s="142">
        <f t="shared" si="42"/>
        <v>0</v>
      </c>
      <c r="S357" s="142">
        <f>IFERROR(-IPMT($Q$8,P357,$Q$9*12,$Q$6)+$Q$10*_xlfn.XLOOKUP($R$10,'RE Calculations'!$B$12:$B$16,'RE Calculations'!$C$12:$C$16,"ERROR - Check Input")/12,0)</f>
        <v>8.3333333333333339</v>
      </c>
      <c r="T357" s="142">
        <f t="shared" si="43"/>
        <v>0</v>
      </c>
      <c r="W357" s="12">
        <v>335</v>
      </c>
      <c r="X357" s="142">
        <f>IF(AA356&gt;0.01,IF(W357&lt;=($X$9*12),$X$15,-PMT($X$11,($X$12-$X$9)*12,$X$6)+$X$13*_xlfn.XLOOKUP($Y$13,'RE Calculations'!$B$12:$B$16,'RE Calculations'!$C$12:$C$16,"ERROR - Check Input")/12),0)</f>
        <v>0</v>
      </c>
      <c r="Y357" s="142">
        <f t="shared" si="44"/>
        <v>0</v>
      </c>
      <c r="Z357" s="142">
        <f>IF(W357&lt;=($X$9*12),$X$15,IFERROR(-IPMT($X$11,W357-$X$9*12,($X$12-$X$9)*12,$X$6)+$X$13*_xlfn.XLOOKUP($Y$13,'RE Calculations'!$B$12:$B$16,'RE Calculations'!$C$12:$C$16,"ERROR - Check Input")/12,0))</f>
        <v>10</v>
      </c>
      <c r="AA357" s="142">
        <f t="shared" si="45"/>
        <v>0</v>
      </c>
    </row>
    <row r="358" spans="2:27" x14ac:dyDescent="0.35">
      <c r="B358" s="12">
        <v>336</v>
      </c>
      <c r="C358" s="142">
        <f>IF(F357&gt;0.01,-PMT($C$8,$C$9*12,$C$6)+$C$10*_xlfn.XLOOKUP($D$10,'RE Calculations'!$B$12:$B$16,'RE Calculations'!$C$12:$C$16,"ERROR - Check Input")/12,0)</f>
        <v>0</v>
      </c>
      <c r="D358" s="142">
        <f t="shared" si="46"/>
        <v>0</v>
      </c>
      <c r="E358" s="142">
        <f>IFERROR(-IPMT($C$8,B358,$C$9*12,$C$6)+$C$10*_xlfn.XLOOKUP($D$10,'RE Calculations'!$B$12:$B$16,'RE Calculations'!$C$12:$C$16,"ERROR - Check Input")/12,0)</f>
        <v>8.3333333333333339</v>
      </c>
      <c r="F358" s="142">
        <f t="shared" si="47"/>
        <v>0</v>
      </c>
      <c r="I358" s="12">
        <v>336</v>
      </c>
      <c r="J358" s="142">
        <f>IF(M357&gt;0.01,IF(I358&lt;=($J$9*12),$J$15,-PMT($J$11,($J$12-$J$9)*12,$J$6)+$J$13*_xlfn.XLOOKUP($K$13,'RE Calculations'!$B$12:$B$16,'RE Calculations'!$C$12:$C$16,"ERROR - Check Input")/12),0)</f>
        <v>0</v>
      </c>
      <c r="K358" s="142">
        <f t="shared" si="40"/>
        <v>0</v>
      </c>
      <c r="L358" s="142">
        <f>IF(I358&lt;=($J$9*12),$J$15,IFERROR(-IPMT($J$11,I358-$J$9*12,($J$12-$J$9)*12,$J$6)+$J$13*_xlfn.XLOOKUP($K$13,'RE Calculations'!$B$12:$B$16,'RE Calculations'!$C$12:$C$16,"ERROR - Check Input")/12,0))</f>
        <v>10</v>
      </c>
      <c r="M358" s="142">
        <f t="shared" si="41"/>
        <v>0</v>
      </c>
      <c r="P358" s="12">
        <v>336</v>
      </c>
      <c r="Q358" s="142">
        <f>IF(T357&gt;0.01,-PMT($Q$8,$Q$9*12,$Q$6)+$Q$10*_xlfn.XLOOKUP($R$10,'RE Calculations'!$B$12:$B$16,'RE Calculations'!$C$12:$C$16,"ERROR - Check Input")/12,0)</f>
        <v>0</v>
      </c>
      <c r="R358" s="142">
        <f t="shared" si="42"/>
        <v>0</v>
      </c>
      <c r="S358" s="142">
        <f>IFERROR(-IPMT($Q$8,P358,$Q$9*12,$Q$6)+$Q$10*_xlfn.XLOOKUP($R$10,'RE Calculations'!$B$12:$B$16,'RE Calculations'!$C$12:$C$16,"ERROR - Check Input")/12,0)</f>
        <v>8.3333333333333339</v>
      </c>
      <c r="T358" s="142">
        <f t="shared" si="43"/>
        <v>0</v>
      </c>
      <c r="W358" s="12">
        <v>336</v>
      </c>
      <c r="X358" s="142">
        <f>IF(AA357&gt;0.01,IF(W358&lt;=($X$9*12),$X$15,-PMT($X$11,($X$12-$X$9)*12,$X$6)+$X$13*_xlfn.XLOOKUP($Y$13,'RE Calculations'!$B$12:$B$16,'RE Calculations'!$C$12:$C$16,"ERROR - Check Input")/12),0)</f>
        <v>0</v>
      </c>
      <c r="Y358" s="142">
        <f t="shared" si="44"/>
        <v>0</v>
      </c>
      <c r="Z358" s="142">
        <f>IF(W358&lt;=($X$9*12),$X$15,IFERROR(-IPMT($X$11,W358-$X$9*12,($X$12-$X$9)*12,$X$6)+$X$13*_xlfn.XLOOKUP($Y$13,'RE Calculations'!$B$12:$B$16,'RE Calculations'!$C$12:$C$16,"ERROR - Check Input")/12,0))</f>
        <v>10</v>
      </c>
      <c r="AA358" s="142">
        <f t="shared" si="45"/>
        <v>0</v>
      </c>
    </row>
    <row r="359" spans="2:27" x14ac:dyDescent="0.35">
      <c r="B359" s="12">
        <v>337</v>
      </c>
      <c r="C359" s="142">
        <f>IF(F358&gt;0.01,-PMT($C$8,$C$9*12,$C$6)+$C$10*_xlfn.XLOOKUP($D$10,'RE Calculations'!$B$12:$B$16,'RE Calculations'!$C$12:$C$16,"ERROR - Check Input")/12,0)</f>
        <v>0</v>
      </c>
      <c r="D359" s="142">
        <f t="shared" si="46"/>
        <v>0</v>
      </c>
      <c r="E359" s="142">
        <f>IFERROR(-IPMT($C$8,B359,$C$9*12,$C$6)+$C$10*_xlfn.XLOOKUP($D$10,'RE Calculations'!$B$12:$B$16,'RE Calculations'!$C$12:$C$16,"ERROR - Check Input")/12,0)</f>
        <v>8.3333333333333339</v>
      </c>
      <c r="F359" s="142">
        <f t="shared" si="47"/>
        <v>0</v>
      </c>
      <c r="I359" s="12">
        <v>337</v>
      </c>
      <c r="J359" s="142">
        <f>IF(M358&gt;0.01,IF(I359&lt;=($J$9*12),$J$15,-PMT($J$11,($J$12-$J$9)*12,$J$6)+$J$13*_xlfn.XLOOKUP($K$13,'RE Calculations'!$B$12:$B$16,'RE Calculations'!$C$12:$C$16,"ERROR - Check Input")/12),0)</f>
        <v>0</v>
      </c>
      <c r="K359" s="142">
        <f t="shared" si="40"/>
        <v>0</v>
      </c>
      <c r="L359" s="142">
        <f>IF(I359&lt;=($J$9*12),$J$15,IFERROR(-IPMT($J$11,I359-$J$9*12,($J$12-$J$9)*12,$J$6)+$J$13*_xlfn.XLOOKUP($K$13,'RE Calculations'!$B$12:$B$16,'RE Calculations'!$C$12:$C$16,"ERROR - Check Input")/12,0))</f>
        <v>10</v>
      </c>
      <c r="M359" s="142">
        <f t="shared" si="41"/>
        <v>0</v>
      </c>
      <c r="P359" s="12">
        <v>337</v>
      </c>
      <c r="Q359" s="142">
        <f>IF(T358&gt;0.01,-PMT($Q$8,$Q$9*12,$Q$6)+$Q$10*_xlfn.XLOOKUP($R$10,'RE Calculations'!$B$12:$B$16,'RE Calculations'!$C$12:$C$16,"ERROR - Check Input")/12,0)</f>
        <v>0</v>
      </c>
      <c r="R359" s="142">
        <f t="shared" si="42"/>
        <v>0</v>
      </c>
      <c r="S359" s="142">
        <f>IFERROR(-IPMT($Q$8,P359,$Q$9*12,$Q$6)+$Q$10*_xlfn.XLOOKUP($R$10,'RE Calculations'!$B$12:$B$16,'RE Calculations'!$C$12:$C$16,"ERROR - Check Input")/12,0)</f>
        <v>8.3333333333333339</v>
      </c>
      <c r="T359" s="142">
        <f t="shared" si="43"/>
        <v>0</v>
      </c>
      <c r="W359" s="12">
        <v>337</v>
      </c>
      <c r="X359" s="142">
        <f>IF(AA358&gt;0.01,IF(W359&lt;=($X$9*12),$X$15,-PMT($X$11,($X$12-$X$9)*12,$X$6)+$X$13*_xlfn.XLOOKUP($Y$13,'RE Calculations'!$B$12:$B$16,'RE Calculations'!$C$12:$C$16,"ERROR - Check Input")/12),0)</f>
        <v>0</v>
      </c>
      <c r="Y359" s="142">
        <f t="shared" si="44"/>
        <v>0</v>
      </c>
      <c r="Z359" s="142">
        <f>IF(W359&lt;=($X$9*12),$X$15,IFERROR(-IPMT($X$11,W359-$X$9*12,($X$12-$X$9)*12,$X$6)+$X$13*_xlfn.XLOOKUP($Y$13,'RE Calculations'!$B$12:$B$16,'RE Calculations'!$C$12:$C$16,"ERROR - Check Input")/12,0))</f>
        <v>10</v>
      </c>
      <c r="AA359" s="142">
        <f t="shared" si="45"/>
        <v>0</v>
      </c>
    </row>
    <row r="360" spans="2:27" x14ac:dyDescent="0.35">
      <c r="B360" s="12">
        <v>338</v>
      </c>
      <c r="C360" s="142">
        <f>IF(F359&gt;0.01,-PMT($C$8,$C$9*12,$C$6)+$C$10*_xlfn.XLOOKUP($D$10,'RE Calculations'!$B$12:$B$16,'RE Calculations'!$C$12:$C$16,"ERROR - Check Input")/12,0)</f>
        <v>0</v>
      </c>
      <c r="D360" s="142">
        <f t="shared" si="46"/>
        <v>0</v>
      </c>
      <c r="E360" s="142">
        <f>IFERROR(-IPMT($C$8,B360,$C$9*12,$C$6)+$C$10*_xlfn.XLOOKUP($D$10,'RE Calculations'!$B$12:$B$16,'RE Calculations'!$C$12:$C$16,"ERROR - Check Input")/12,0)</f>
        <v>8.3333333333333339</v>
      </c>
      <c r="F360" s="142">
        <f t="shared" si="47"/>
        <v>0</v>
      </c>
      <c r="I360" s="12">
        <v>338</v>
      </c>
      <c r="J360" s="142">
        <f>IF(M359&gt;0.01,IF(I360&lt;=($J$9*12),$J$15,-PMT($J$11,($J$12-$J$9)*12,$J$6)+$J$13*_xlfn.XLOOKUP($K$13,'RE Calculations'!$B$12:$B$16,'RE Calculations'!$C$12:$C$16,"ERROR - Check Input")/12),0)</f>
        <v>0</v>
      </c>
      <c r="K360" s="142">
        <f t="shared" si="40"/>
        <v>0</v>
      </c>
      <c r="L360" s="142">
        <f>IF(I360&lt;=($J$9*12),$J$15,IFERROR(-IPMT($J$11,I360-$J$9*12,($J$12-$J$9)*12,$J$6)+$J$13*_xlfn.XLOOKUP($K$13,'RE Calculations'!$B$12:$B$16,'RE Calculations'!$C$12:$C$16,"ERROR - Check Input")/12,0))</f>
        <v>10</v>
      </c>
      <c r="M360" s="142">
        <f t="shared" si="41"/>
        <v>0</v>
      </c>
      <c r="P360" s="12">
        <v>338</v>
      </c>
      <c r="Q360" s="142">
        <f>IF(T359&gt;0.01,-PMT($Q$8,$Q$9*12,$Q$6)+$Q$10*_xlfn.XLOOKUP($R$10,'RE Calculations'!$B$12:$B$16,'RE Calculations'!$C$12:$C$16,"ERROR - Check Input")/12,0)</f>
        <v>0</v>
      </c>
      <c r="R360" s="142">
        <f t="shared" si="42"/>
        <v>0</v>
      </c>
      <c r="S360" s="142">
        <f>IFERROR(-IPMT($Q$8,P360,$Q$9*12,$Q$6)+$Q$10*_xlfn.XLOOKUP($R$10,'RE Calculations'!$B$12:$B$16,'RE Calculations'!$C$12:$C$16,"ERROR - Check Input")/12,0)</f>
        <v>8.3333333333333339</v>
      </c>
      <c r="T360" s="142">
        <f t="shared" si="43"/>
        <v>0</v>
      </c>
      <c r="W360" s="12">
        <v>338</v>
      </c>
      <c r="X360" s="142">
        <f>IF(AA359&gt;0.01,IF(W360&lt;=($X$9*12),$X$15,-PMT($X$11,($X$12-$X$9)*12,$X$6)+$X$13*_xlfn.XLOOKUP($Y$13,'RE Calculations'!$B$12:$B$16,'RE Calculations'!$C$12:$C$16,"ERROR - Check Input")/12),0)</f>
        <v>0</v>
      </c>
      <c r="Y360" s="142">
        <f t="shared" si="44"/>
        <v>0</v>
      </c>
      <c r="Z360" s="142">
        <f>IF(W360&lt;=($X$9*12),$X$15,IFERROR(-IPMT($X$11,W360-$X$9*12,($X$12-$X$9)*12,$X$6)+$X$13*_xlfn.XLOOKUP($Y$13,'RE Calculations'!$B$12:$B$16,'RE Calculations'!$C$12:$C$16,"ERROR - Check Input")/12,0))</f>
        <v>10</v>
      </c>
      <c r="AA360" s="142">
        <f t="shared" si="45"/>
        <v>0</v>
      </c>
    </row>
    <row r="361" spans="2:27" x14ac:dyDescent="0.35">
      <c r="B361" s="12">
        <v>339</v>
      </c>
      <c r="C361" s="142">
        <f>IF(F360&gt;0.01,-PMT($C$8,$C$9*12,$C$6)+$C$10*_xlfn.XLOOKUP($D$10,'RE Calculations'!$B$12:$B$16,'RE Calculations'!$C$12:$C$16,"ERROR - Check Input")/12,0)</f>
        <v>0</v>
      </c>
      <c r="D361" s="142">
        <f t="shared" si="46"/>
        <v>0</v>
      </c>
      <c r="E361" s="142">
        <f>IFERROR(-IPMT($C$8,B361,$C$9*12,$C$6)+$C$10*_xlfn.XLOOKUP($D$10,'RE Calculations'!$B$12:$B$16,'RE Calculations'!$C$12:$C$16,"ERROR - Check Input")/12,0)</f>
        <v>8.3333333333333339</v>
      </c>
      <c r="F361" s="142">
        <f t="shared" si="47"/>
        <v>0</v>
      </c>
      <c r="I361" s="12">
        <v>339</v>
      </c>
      <c r="J361" s="142">
        <f>IF(M360&gt;0.01,IF(I361&lt;=($J$9*12),$J$15,-PMT($J$11,($J$12-$J$9)*12,$J$6)+$J$13*_xlfn.XLOOKUP($K$13,'RE Calculations'!$B$12:$B$16,'RE Calculations'!$C$12:$C$16,"ERROR - Check Input")/12),0)</f>
        <v>0</v>
      </c>
      <c r="K361" s="142">
        <f t="shared" si="40"/>
        <v>0</v>
      </c>
      <c r="L361" s="142">
        <f>IF(I361&lt;=($J$9*12),$J$15,IFERROR(-IPMT($J$11,I361-$J$9*12,($J$12-$J$9)*12,$J$6)+$J$13*_xlfn.XLOOKUP($K$13,'RE Calculations'!$B$12:$B$16,'RE Calculations'!$C$12:$C$16,"ERROR - Check Input")/12,0))</f>
        <v>10</v>
      </c>
      <c r="M361" s="142">
        <f t="shared" si="41"/>
        <v>0</v>
      </c>
      <c r="P361" s="12">
        <v>339</v>
      </c>
      <c r="Q361" s="142">
        <f>IF(T360&gt;0.01,-PMT($Q$8,$Q$9*12,$Q$6)+$Q$10*_xlfn.XLOOKUP($R$10,'RE Calculations'!$B$12:$B$16,'RE Calculations'!$C$12:$C$16,"ERROR - Check Input")/12,0)</f>
        <v>0</v>
      </c>
      <c r="R361" s="142">
        <f t="shared" si="42"/>
        <v>0</v>
      </c>
      <c r="S361" s="142">
        <f>IFERROR(-IPMT($Q$8,P361,$Q$9*12,$Q$6)+$Q$10*_xlfn.XLOOKUP($R$10,'RE Calculations'!$B$12:$B$16,'RE Calculations'!$C$12:$C$16,"ERROR - Check Input")/12,0)</f>
        <v>8.3333333333333339</v>
      </c>
      <c r="T361" s="142">
        <f t="shared" si="43"/>
        <v>0</v>
      </c>
      <c r="W361" s="12">
        <v>339</v>
      </c>
      <c r="X361" s="142">
        <f>IF(AA360&gt;0.01,IF(W361&lt;=($X$9*12),$X$15,-PMT($X$11,($X$12-$X$9)*12,$X$6)+$X$13*_xlfn.XLOOKUP($Y$13,'RE Calculations'!$B$12:$B$16,'RE Calculations'!$C$12:$C$16,"ERROR - Check Input")/12),0)</f>
        <v>0</v>
      </c>
      <c r="Y361" s="142">
        <f t="shared" si="44"/>
        <v>0</v>
      </c>
      <c r="Z361" s="142">
        <f>IF(W361&lt;=($X$9*12),$X$15,IFERROR(-IPMT($X$11,W361-$X$9*12,($X$12-$X$9)*12,$X$6)+$X$13*_xlfn.XLOOKUP($Y$13,'RE Calculations'!$B$12:$B$16,'RE Calculations'!$C$12:$C$16,"ERROR - Check Input")/12,0))</f>
        <v>10</v>
      </c>
      <c r="AA361" s="142">
        <f t="shared" si="45"/>
        <v>0</v>
      </c>
    </row>
    <row r="362" spans="2:27" x14ac:dyDescent="0.35">
      <c r="B362" s="12">
        <v>340</v>
      </c>
      <c r="C362" s="142">
        <f>IF(F361&gt;0.01,-PMT($C$8,$C$9*12,$C$6)+$C$10*_xlfn.XLOOKUP($D$10,'RE Calculations'!$B$12:$B$16,'RE Calculations'!$C$12:$C$16,"ERROR - Check Input")/12,0)</f>
        <v>0</v>
      </c>
      <c r="D362" s="142">
        <f t="shared" si="46"/>
        <v>0</v>
      </c>
      <c r="E362" s="142">
        <f>IFERROR(-IPMT($C$8,B362,$C$9*12,$C$6)+$C$10*_xlfn.XLOOKUP($D$10,'RE Calculations'!$B$12:$B$16,'RE Calculations'!$C$12:$C$16,"ERROR - Check Input")/12,0)</f>
        <v>8.3333333333333339</v>
      </c>
      <c r="F362" s="142">
        <f t="shared" si="47"/>
        <v>0</v>
      </c>
      <c r="I362" s="12">
        <v>340</v>
      </c>
      <c r="J362" s="142">
        <f>IF(M361&gt;0.01,IF(I362&lt;=($J$9*12),$J$15,-PMT($J$11,($J$12-$J$9)*12,$J$6)+$J$13*_xlfn.XLOOKUP($K$13,'RE Calculations'!$B$12:$B$16,'RE Calculations'!$C$12:$C$16,"ERROR - Check Input")/12),0)</f>
        <v>0</v>
      </c>
      <c r="K362" s="142">
        <f t="shared" si="40"/>
        <v>0</v>
      </c>
      <c r="L362" s="142">
        <f>IF(I362&lt;=($J$9*12),$J$15,IFERROR(-IPMT($J$11,I362-$J$9*12,($J$12-$J$9)*12,$J$6)+$J$13*_xlfn.XLOOKUP($K$13,'RE Calculations'!$B$12:$B$16,'RE Calculations'!$C$12:$C$16,"ERROR - Check Input")/12,0))</f>
        <v>10</v>
      </c>
      <c r="M362" s="142">
        <f t="shared" si="41"/>
        <v>0</v>
      </c>
      <c r="P362" s="12">
        <v>340</v>
      </c>
      <c r="Q362" s="142">
        <f>IF(T361&gt;0.01,-PMT($Q$8,$Q$9*12,$Q$6)+$Q$10*_xlfn.XLOOKUP($R$10,'RE Calculations'!$B$12:$B$16,'RE Calculations'!$C$12:$C$16,"ERROR - Check Input")/12,0)</f>
        <v>0</v>
      </c>
      <c r="R362" s="142">
        <f t="shared" si="42"/>
        <v>0</v>
      </c>
      <c r="S362" s="142">
        <f>IFERROR(-IPMT($Q$8,P362,$Q$9*12,$Q$6)+$Q$10*_xlfn.XLOOKUP($R$10,'RE Calculations'!$B$12:$B$16,'RE Calculations'!$C$12:$C$16,"ERROR - Check Input")/12,0)</f>
        <v>8.3333333333333339</v>
      </c>
      <c r="T362" s="142">
        <f t="shared" si="43"/>
        <v>0</v>
      </c>
      <c r="W362" s="12">
        <v>340</v>
      </c>
      <c r="X362" s="142">
        <f>IF(AA361&gt;0.01,IF(W362&lt;=($X$9*12),$X$15,-PMT($X$11,($X$12-$X$9)*12,$X$6)+$X$13*_xlfn.XLOOKUP($Y$13,'RE Calculations'!$B$12:$B$16,'RE Calculations'!$C$12:$C$16,"ERROR - Check Input")/12),0)</f>
        <v>0</v>
      </c>
      <c r="Y362" s="142">
        <f t="shared" si="44"/>
        <v>0</v>
      </c>
      <c r="Z362" s="142">
        <f>IF(W362&lt;=($X$9*12),$X$15,IFERROR(-IPMT($X$11,W362-$X$9*12,($X$12-$X$9)*12,$X$6)+$X$13*_xlfn.XLOOKUP($Y$13,'RE Calculations'!$B$12:$B$16,'RE Calculations'!$C$12:$C$16,"ERROR - Check Input")/12,0))</f>
        <v>10</v>
      </c>
      <c r="AA362" s="142">
        <f t="shared" si="45"/>
        <v>0</v>
      </c>
    </row>
    <row r="363" spans="2:27" x14ac:dyDescent="0.35">
      <c r="B363" s="12">
        <v>341</v>
      </c>
      <c r="C363" s="142">
        <f>IF(F362&gt;0.01,-PMT($C$8,$C$9*12,$C$6)+$C$10*_xlfn.XLOOKUP($D$10,'RE Calculations'!$B$12:$B$16,'RE Calculations'!$C$12:$C$16,"ERROR - Check Input")/12,0)</f>
        <v>0</v>
      </c>
      <c r="D363" s="142">
        <f t="shared" si="46"/>
        <v>0</v>
      </c>
      <c r="E363" s="142">
        <f>IFERROR(-IPMT($C$8,B363,$C$9*12,$C$6)+$C$10*_xlfn.XLOOKUP($D$10,'RE Calculations'!$B$12:$B$16,'RE Calculations'!$C$12:$C$16,"ERROR - Check Input")/12,0)</f>
        <v>8.3333333333333339</v>
      </c>
      <c r="F363" s="142">
        <f t="shared" si="47"/>
        <v>0</v>
      </c>
      <c r="I363" s="12">
        <v>341</v>
      </c>
      <c r="J363" s="142">
        <f>IF(M362&gt;0.01,IF(I363&lt;=($J$9*12),$J$15,-PMT($J$11,($J$12-$J$9)*12,$J$6)+$J$13*_xlfn.XLOOKUP($K$13,'RE Calculations'!$B$12:$B$16,'RE Calculations'!$C$12:$C$16,"ERROR - Check Input")/12),0)</f>
        <v>0</v>
      </c>
      <c r="K363" s="142">
        <f t="shared" si="40"/>
        <v>0</v>
      </c>
      <c r="L363" s="142">
        <f>IF(I363&lt;=($J$9*12),$J$15,IFERROR(-IPMT($J$11,I363-$J$9*12,($J$12-$J$9)*12,$J$6)+$J$13*_xlfn.XLOOKUP($K$13,'RE Calculations'!$B$12:$B$16,'RE Calculations'!$C$12:$C$16,"ERROR - Check Input")/12,0))</f>
        <v>10</v>
      </c>
      <c r="M363" s="142">
        <f t="shared" si="41"/>
        <v>0</v>
      </c>
      <c r="P363" s="12">
        <v>341</v>
      </c>
      <c r="Q363" s="142">
        <f>IF(T362&gt;0.01,-PMT($Q$8,$Q$9*12,$Q$6)+$Q$10*_xlfn.XLOOKUP($R$10,'RE Calculations'!$B$12:$B$16,'RE Calculations'!$C$12:$C$16,"ERROR - Check Input")/12,0)</f>
        <v>0</v>
      </c>
      <c r="R363" s="142">
        <f t="shared" si="42"/>
        <v>0</v>
      </c>
      <c r="S363" s="142">
        <f>IFERROR(-IPMT($Q$8,P363,$Q$9*12,$Q$6)+$Q$10*_xlfn.XLOOKUP($R$10,'RE Calculations'!$B$12:$B$16,'RE Calculations'!$C$12:$C$16,"ERROR - Check Input")/12,0)</f>
        <v>8.3333333333333339</v>
      </c>
      <c r="T363" s="142">
        <f t="shared" si="43"/>
        <v>0</v>
      </c>
      <c r="W363" s="12">
        <v>341</v>
      </c>
      <c r="X363" s="142">
        <f>IF(AA362&gt;0.01,IF(W363&lt;=($X$9*12),$X$15,-PMT($X$11,($X$12-$X$9)*12,$X$6)+$X$13*_xlfn.XLOOKUP($Y$13,'RE Calculations'!$B$12:$B$16,'RE Calculations'!$C$12:$C$16,"ERROR - Check Input")/12),0)</f>
        <v>0</v>
      </c>
      <c r="Y363" s="142">
        <f t="shared" si="44"/>
        <v>0</v>
      </c>
      <c r="Z363" s="142">
        <f>IF(W363&lt;=($X$9*12),$X$15,IFERROR(-IPMT($X$11,W363-$X$9*12,($X$12-$X$9)*12,$X$6)+$X$13*_xlfn.XLOOKUP($Y$13,'RE Calculations'!$B$12:$B$16,'RE Calculations'!$C$12:$C$16,"ERROR - Check Input")/12,0))</f>
        <v>10</v>
      </c>
      <c r="AA363" s="142">
        <f t="shared" si="45"/>
        <v>0</v>
      </c>
    </row>
    <row r="364" spans="2:27" x14ac:dyDescent="0.35">
      <c r="B364" s="12">
        <v>342</v>
      </c>
      <c r="C364" s="142">
        <f>IF(F363&gt;0.01,-PMT($C$8,$C$9*12,$C$6)+$C$10*_xlfn.XLOOKUP($D$10,'RE Calculations'!$B$12:$B$16,'RE Calculations'!$C$12:$C$16,"ERROR - Check Input")/12,0)</f>
        <v>0</v>
      </c>
      <c r="D364" s="142">
        <f t="shared" si="46"/>
        <v>0</v>
      </c>
      <c r="E364" s="142">
        <f>IFERROR(-IPMT($C$8,B364,$C$9*12,$C$6)+$C$10*_xlfn.XLOOKUP($D$10,'RE Calculations'!$B$12:$B$16,'RE Calculations'!$C$12:$C$16,"ERROR - Check Input")/12,0)</f>
        <v>8.3333333333333339</v>
      </c>
      <c r="F364" s="142">
        <f t="shared" si="47"/>
        <v>0</v>
      </c>
      <c r="I364" s="12">
        <v>342</v>
      </c>
      <c r="J364" s="142">
        <f>IF(M363&gt;0.01,IF(I364&lt;=($J$9*12),$J$15,-PMT($J$11,($J$12-$J$9)*12,$J$6)+$J$13*_xlfn.XLOOKUP($K$13,'RE Calculations'!$B$12:$B$16,'RE Calculations'!$C$12:$C$16,"ERROR - Check Input")/12),0)</f>
        <v>0</v>
      </c>
      <c r="K364" s="142">
        <f t="shared" si="40"/>
        <v>0</v>
      </c>
      <c r="L364" s="142">
        <f>IF(I364&lt;=($J$9*12),$J$15,IFERROR(-IPMT($J$11,I364-$J$9*12,($J$12-$J$9)*12,$J$6)+$J$13*_xlfn.XLOOKUP($K$13,'RE Calculations'!$B$12:$B$16,'RE Calculations'!$C$12:$C$16,"ERROR - Check Input")/12,0))</f>
        <v>10</v>
      </c>
      <c r="M364" s="142">
        <f t="shared" si="41"/>
        <v>0</v>
      </c>
      <c r="P364" s="12">
        <v>342</v>
      </c>
      <c r="Q364" s="142">
        <f>IF(T363&gt;0.01,-PMT($Q$8,$Q$9*12,$Q$6)+$Q$10*_xlfn.XLOOKUP($R$10,'RE Calculations'!$B$12:$B$16,'RE Calculations'!$C$12:$C$16,"ERROR - Check Input")/12,0)</f>
        <v>0</v>
      </c>
      <c r="R364" s="142">
        <f t="shared" si="42"/>
        <v>0</v>
      </c>
      <c r="S364" s="142">
        <f>IFERROR(-IPMT($Q$8,P364,$Q$9*12,$Q$6)+$Q$10*_xlfn.XLOOKUP($R$10,'RE Calculations'!$B$12:$B$16,'RE Calculations'!$C$12:$C$16,"ERROR - Check Input")/12,0)</f>
        <v>8.3333333333333339</v>
      </c>
      <c r="T364" s="142">
        <f t="shared" si="43"/>
        <v>0</v>
      </c>
      <c r="W364" s="12">
        <v>342</v>
      </c>
      <c r="X364" s="142">
        <f>IF(AA363&gt;0.01,IF(W364&lt;=($X$9*12),$X$15,-PMT($X$11,($X$12-$X$9)*12,$X$6)+$X$13*_xlfn.XLOOKUP($Y$13,'RE Calculations'!$B$12:$B$16,'RE Calculations'!$C$12:$C$16,"ERROR - Check Input")/12),0)</f>
        <v>0</v>
      </c>
      <c r="Y364" s="142">
        <f t="shared" si="44"/>
        <v>0</v>
      </c>
      <c r="Z364" s="142">
        <f>IF(W364&lt;=($X$9*12),$X$15,IFERROR(-IPMT($X$11,W364-$X$9*12,($X$12-$X$9)*12,$X$6)+$X$13*_xlfn.XLOOKUP($Y$13,'RE Calculations'!$B$12:$B$16,'RE Calculations'!$C$12:$C$16,"ERROR - Check Input")/12,0))</f>
        <v>10</v>
      </c>
      <c r="AA364" s="142">
        <f t="shared" si="45"/>
        <v>0</v>
      </c>
    </row>
    <row r="365" spans="2:27" x14ac:dyDescent="0.35">
      <c r="B365" s="12">
        <v>343</v>
      </c>
      <c r="C365" s="142">
        <f>IF(F364&gt;0.01,-PMT($C$8,$C$9*12,$C$6)+$C$10*_xlfn.XLOOKUP($D$10,'RE Calculations'!$B$12:$B$16,'RE Calculations'!$C$12:$C$16,"ERROR - Check Input")/12,0)</f>
        <v>0</v>
      </c>
      <c r="D365" s="142">
        <f t="shared" si="46"/>
        <v>0</v>
      </c>
      <c r="E365" s="142">
        <f>IFERROR(-IPMT($C$8,B365,$C$9*12,$C$6)+$C$10*_xlfn.XLOOKUP($D$10,'RE Calculations'!$B$12:$B$16,'RE Calculations'!$C$12:$C$16,"ERROR - Check Input")/12,0)</f>
        <v>8.3333333333333339</v>
      </c>
      <c r="F365" s="142">
        <f t="shared" si="47"/>
        <v>0</v>
      </c>
      <c r="I365" s="12">
        <v>343</v>
      </c>
      <c r="J365" s="142">
        <f>IF(M364&gt;0.01,IF(I365&lt;=($J$9*12),$J$15,-PMT($J$11,($J$12-$J$9)*12,$J$6)+$J$13*_xlfn.XLOOKUP($K$13,'RE Calculations'!$B$12:$B$16,'RE Calculations'!$C$12:$C$16,"ERROR - Check Input")/12),0)</f>
        <v>0</v>
      </c>
      <c r="K365" s="142">
        <f t="shared" si="40"/>
        <v>0</v>
      </c>
      <c r="L365" s="142">
        <f>IF(I365&lt;=($J$9*12),$J$15,IFERROR(-IPMT($J$11,I365-$J$9*12,($J$12-$J$9)*12,$J$6)+$J$13*_xlfn.XLOOKUP($K$13,'RE Calculations'!$B$12:$B$16,'RE Calculations'!$C$12:$C$16,"ERROR - Check Input")/12,0))</f>
        <v>10</v>
      </c>
      <c r="M365" s="142">
        <f t="shared" si="41"/>
        <v>0</v>
      </c>
      <c r="P365" s="12">
        <v>343</v>
      </c>
      <c r="Q365" s="142">
        <f>IF(T364&gt;0.01,-PMT($Q$8,$Q$9*12,$Q$6)+$Q$10*_xlfn.XLOOKUP($R$10,'RE Calculations'!$B$12:$B$16,'RE Calculations'!$C$12:$C$16,"ERROR - Check Input")/12,0)</f>
        <v>0</v>
      </c>
      <c r="R365" s="142">
        <f t="shared" si="42"/>
        <v>0</v>
      </c>
      <c r="S365" s="142">
        <f>IFERROR(-IPMT($Q$8,P365,$Q$9*12,$Q$6)+$Q$10*_xlfn.XLOOKUP($R$10,'RE Calculations'!$B$12:$B$16,'RE Calculations'!$C$12:$C$16,"ERROR - Check Input")/12,0)</f>
        <v>8.3333333333333339</v>
      </c>
      <c r="T365" s="142">
        <f t="shared" si="43"/>
        <v>0</v>
      </c>
      <c r="W365" s="12">
        <v>343</v>
      </c>
      <c r="X365" s="142">
        <f>IF(AA364&gt;0.01,IF(W365&lt;=($X$9*12),$X$15,-PMT($X$11,($X$12-$X$9)*12,$X$6)+$X$13*_xlfn.XLOOKUP($Y$13,'RE Calculations'!$B$12:$B$16,'RE Calculations'!$C$12:$C$16,"ERROR - Check Input")/12),0)</f>
        <v>0</v>
      </c>
      <c r="Y365" s="142">
        <f t="shared" si="44"/>
        <v>0</v>
      </c>
      <c r="Z365" s="142">
        <f>IF(W365&lt;=($X$9*12),$X$15,IFERROR(-IPMT($X$11,W365-$X$9*12,($X$12-$X$9)*12,$X$6)+$X$13*_xlfn.XLOOKUP($Y$13,'RE Calculations'!$B$12:$B$16,'RE Calculations'!$C$12:$C$16,"ERROR - Check Input")/12,0))</f>
        <v>10</v>
      </c>
      <c r="AA365" s="142">
        <f t="shared" si="45"/>
        <v>0</v>
      </c>
    </row>
    <row r="366" spans="2:27" x14ac:dyDescent="0.35">
      <c r="B366" s="12">
        <v>344</v>
      </c>
      <c r="C366" s="142">
        <f>IF(F365&gt;0.01,-PMT($C$8,$C$9*12,$C$6)+$C$10*_xlfn.XLOOKUP($D$10,'RE Calculations'!$B$12:$B$16,'RE Calculations'!$C$12:$C$16,"ERROR - Check Input")/12,0)</f>
        <v>0</v>
      </c>
      <c r="D366" s="142">
        <f t="shared" si="46"/>
        <v>0</v>
      </c>
      <c r="E366" s="142">
        <f>IFERROR(-IPMT($C$8,B366,$C$9*12,$C$6)+$C$10*_xlfn.XLOOKUP($D$10,'RE Calculations'!$B$12:$B$16,'RE Calculations'!$C$12:$C$16,"ERROR - Check Input")/12,0)</f>
        <v>8.3333333333333339</v>
      </c>
      <c r="F366" s="142">
        <f t="shared" si="47"/>
        <v>0</v>
      </c>
      <c r="I366" s="12">
        <v>344</v>
      </c>
      <c r="J366" s="142">
        <f>IF(M365&gt;0.01,IF(I366&lt;=($J$9*12),$J$15,-PMT($J$11,($J$12-$J$9)*12,$J$6)+$J$13*_xlfn.XLOOKUP($K$13,'RE Calculations'!$B$12:$B$16,'RE Calculations'!$C$12:$C$16,"ERROR - Check Input")/12),0)</f>
        <v>0</v>
      </c>
      <c r="K366" s="142">
        <f t="shared" si="40"/>
        <v>0</v>
      </c>
      <c r="L366" s="142">
        <f>IF(I366&lt;=($J$9*12),$J$15,IFERROR(-IPMT($J$11,I366-$J$9*12,($J$12-$J$9)*12,$J$6)+$J$13*_xlfn.XLOOKUP($K$13,'RE Calculations'!$B$12:$B$16,'RE Calculations'!$C$12:$C$16,"ERROR - Check Input")/12,0))</f>
        <v>10</v>
      </c>
      <c r="M366" s="142">
        <f t="shared" si="41"/>
        <v>0</v>
      </c>
      <c r="P366" s="12">
        <v>344</v>
      </c>
      <c r="Q366" s="142">
        <f>IF(T365&gt;0.01,-PMT($Q$8,$Q$9*12,$Q$6)+$Q$10*_xlfn.XLOOKUP($R$10,'RE Calculations'!$B$12:$B$16,'RE Calculations'!$C$12:$C$16,"ERROR - Check Input")/12,0)</f>
        <v>0</v>
      </c>
      <c r="R366" s="142">
        <f t="shared" si="42"/>
        <v>0</v>
      </c>
      <c r="S366" s="142">
        <f>IFERROR(-IPMT($Q$8,P366,$Q$9*12,$Q$6)+$Q$10*_xlfn.XLOOKUP($R$10,'RE Calculations'!$B$12:$B$16,'RE Calculations'!$C$12:$C$16,"ERROR - Check Input")/12,0)</f>
        <v>8.3333333333333339</v>
      </c>
      <c r="T366" s="142">
        <f t="shared" si="43"/>
        <v>0</v>
      </c>
      <c r="W366" s="12">
        <v>344</v>
      </c>
      <c r="X366" s="142">
        <f>IF(AA365&gt;0.01,IF(W366&lt;=($X$9*12),$X$15,-PMT($X$11,($X$12-$X$9)*12,$X$6)+$X$13*_xlfn.XLOOKUP($Y$13,'RE Calculations'!$B$12:$B$16,'RE Calculations'!$C$12:$C$16,"ERROR - Check Input")/12),0)</f>
        <v>0</v>
      </c>
      <c r="Y366" s="142">
        <f t="shared" si="44"/>
        <v>0</v>
      </c>
      <c r="Z366" s="142">
        <f>IF(W366&lt;=($X$9*12),$X$15,IFERROR(-IPMT($X$11,W366-$X$9*12,($X$12-$X$9)*12,$X$6)+$X$13*_xlfn.XLOOKUP($Y$13,'RE Calculations'!$B$12:$B$16,'RE Calculations'!$C$12:$C$16,"ERROR - Check Input")/12,0))</f>
        <v>10</v>
      </c>
      <c r="AA366" s="142">
        <f t="shared" si="45"/>
        <v>0</v>
      </c>
    </row>
    <row r="367" spans="2:27" x14ac:dyDescent="0.35">
      <c r="B367" s="12">
        <v>345</v>
      </c>
      <c r="C367" s="142">
        <f>IF(F366&gt;0.01,-PMT($C$8,$C$9*12,$C$6)+$C$10*_xlfn.XLOOKUP($D$10,'RE Calculations'!$B$12:$B$16,'RE Calculations'!$C$12:$C$16,"ERROR - Check Input")/12,0)</f>
        <v>0</v>
      </c>
      <c r="D367" s="142">
        <f t="shared" si="46"/>
        <v>0</v>
      </c>
      <c r="E367" s="142">
        <f>IFERROR(-IPMT($C$8,B367,$C$9*12,$C$6)+$C$10*_xlfn.XLOOKUP($D$10,'RE Calculations'!$B$12:$B$16,'RE Calculations'!$C$12:$C$16,"ERROR - Check Input")/12,0)</f>
        <v>8.3333333333333339</v>
      </c>
      <c r="F367" s="142">
        <f t="shared" si="47"/>
        <v>0</v>
      </c>
      <c r="I367" s="12">
        <v>345</v>
      </c>
      <c r="J367" s="142">
        <f>IF(M366&gt;0.01,IF(I367&lt;=($J$9*12),$J$15,-PMT($J$11,($J$12-$J$9)*12,$J$6)+$J$13*_xlfn.XLOOKUP($K$13,'RE Calculations'!$B$12:$B$16,'RE Calculations'!$C$12:$C$16,"ERROR - Check Input")/12),0)</f>
        <v>0</v>
      </c>
      <c r="K367" s="142">
        <f t="shared" si="40"/>
        <v>0</v>
      </c>
      <c r="L367" s="142">
        <f>IF(I367&lt;=($J$9*12),$J$15,IFERROR(-IPMT($J$11,I367-$J$9*12,($J$12-$J$9)*12,$J$6)+$J$13*_xlfn.XLOOKUP($K$13,'RE Calculations'!$B$12:$B$16,'RE Calculations'!$C$12:$C$16,"ERROR - Check Input")/12,0))</f>
        <v>10</v>
      </c>
      <c r="M367" s="142">
        <f t="shared" si="41"/>
        <v>0</v>
      </c>
      <c r="P367" s="12">
        <v>345</v>
      </c>
      <c r="Q367" s="142">
        <f>IF(T366&gt;0.01,-PMT($Q$8,$Q$9*12,$Q$6)+$Q$10*_xlfn.XLOOKUP($R$10,'RE Calculations'!$B$12:$B$16,'RE Calculations'!$C$12:$C$16,"ERROR - Check Input")/12,0)</f>
        <v>0</v>
      </c>
      <c r="R367" s="142">
        <f t="shared" si="42"/>
        <v>0</v>
      </c>
      <c r="S367" s="142">
        <f>IFERROR(-IPMT($Q$8,P367,$Q$9*12,$Q$6)+$Q$10*_xlfn.XLOOKUP($R$10,'RE Calculations'!$B$12:$B$16,'RE Calculations'!$C$12:$C$16,"ERROR - Check Input")/12,0)</f>
        <v>8.3333333333333339</v>
      </c>
      <c r="T367" s="142">
        <f t="shared" si="43"/>
        <v>0</v>
      </c>
      <c r="W367" s="12">
        <v>345</v>
      </c>
      <c r="X367" s="142">
        <f>IF(AA366&gt;0.01,IF(W367&lt;=($X$9*12),$X$15,-PMT($X$11,($X$12-$X$9)*12,$X$6)+$X$13*_xlfn.XLOOKUP($Y$13,'RE Calculations'!$B$12:$B$16,'RE Calculations'!$C$12:$C$16,"ERROR - Check Input")/12),0)</f>
        <v>0</v>
      </c>
      <c r="Y367" s="142">
        <f t="shared" si="44"/>
        <v>0</v>
      </c>
      <c r="Z367" s="142">
        <f>IF(W367&lt;=($X$9*12),$X$15,IFERROR(-IPMT($X$11,W367-$X$9*12,($X$12-$X$9)*12,$X$6)+$X$13*_xlfn.XLOOKUP($Y$13,'RE Calculations'!$B$12:$B$16,'RE Calculations'!$C$12:$C$16,"ERROR - Check Input")/12,0))</f>
        <v>10</v>
      </c>
      <c r="AA367" s="142">
        <f t="shared" si="45"/>
        <v>0</v>
      </c>
    </row>
    <row r="368" spans="2:27" x14ac:dyDescent="0.35">
      <c r="B368" s="12">
        <v>346</v>
      </c>
      <c r="C368" s="142">
        <f>IF(F367&gt;0.01,-PMT($C$8,$C$9*12,$C$6)+$C$10*_xlfn.XLOOKUP($D$10,'RE Calculations'!$B$12:$B$16,'RE Calculations'!$C$12:$C$16,"ERROR - Check Input")/12,0)</f>
        <v>0</v>
      </c>
      <c r="D368" s="142">
        <f t="shared" si="46"/>
        <v>0</v>
      </c>
      <c r="E368" s="142">
        <f>IFERROR(-IPMT($C$8,B368,$C$9*12,$C$6)+$C$10*_xlfn.XLOOKUP($D$10,'RE Calculations'!$B$12:$B$16,'RE Calculations'!$C$12:$C$16,"ERROR - Check Input")/12,0)</f>
        <v>8.3333333333333339</v>
      </c>
      <c r="F368" s="142">
        <f t="shared" si="47"/>
        <v>0</v>
      </c>
      <c r="I368" s="12">
        <v>346</v>
      </c>
      <c r="J368" s="142">
        <f>IF(M367&gt;0.01,IF(I368&lt;=($J$9*12),$J$15,-PMT($J$11,($J$12-$J$9)*12,$J$6)+$J$13*_xlfn.XLOOKUP($K$13,'RE Calculations'!$B$12:$B$16,'RE Calculations'!$C$12:$C$16,"ERROR - Check Input")/12),0)</f>
        <v>0</v>
      </c>
      <c r="K368" s="142">
        <f t="shared" si="40"/>
        <v>0</v>
      </c>
      <c r="L368" s="142">
        <f>IF(I368&lt;=($J$9*12),$J$15,IFERROR(-IPMT($J$11,I368-$J$9*12,($J$12-$J$9)*12,$J$6)+$J$13*_xlfn.XLOOKUP($K$13,'RE Calculations'!$B$12:$B$16,'RE Calculations'!$C$12:$C$16,"ERROR - Check Input")/12,0))</f>
        <v>10</v>
      </c>
      <c r="M368" s="142">
        <f t="shared" si="41"/>
        <v>0</v>
      </c>
      <c r="P368" s="12">
        <v>346</v>
      </c>
      <c r="Q368" s="142">
        <f>IF(T367&gt;0.01,-PMT($Q$8,$Q$9*12,$Q$6)+$Q$10*_xlfn.XLOOKUP($R$10,'RE Calculations'!$B$12:$B$16,'RE Calculations'!$C$12:$C$16,"ERROR - Check Input")/12,0)</f>
        <v>0</v>
      </c>
      <c r="R368" s="142">
        <f t="shared" si="42"/>
        <v>0</v>
      </c>
      <c r="S368" s="142">
        <f>IFERROR(-IPMT($Q$8,P368,$Q$9*12,$Q$6)+$Q$10*_xlfn.XLOOKUP($R$10,'RE Calculations'!$B$12:$B$16,'RE Calculations'!$C$12:$C$16,"ERROR - Check Input")/12,0)</f>
        <v>8.3333333333333339</v>
      </c>
      <c r="T368" s="142">
        <f t="shared" si="43"/>
        <v>0</v>
      </c>
      <c r="W368" s="12">
        <v>346</v>
      </c>
      <c r="X368" s="142">
        <f>IF(AA367&gt;0.01,IF(W368&lt;=($X$9*12),$X$15,-PMT($X$11,($X$12-$X$9)*12,$X$6)+$X$13*_xlfn.XLOOKUP($Y$13,'RE Calculations'!$B$12:$B$16,'RE Calculations'!$C$12:$C$16,"ERROR - Check Input")/12),0)</f>
        <v>0</v>
      </c>
      <c r="Y368" s="142">
        <f t="shared" si="44"/>
        <v>0</v>
      </c>
      <c r="Z368" s="142">
        <f>IF(W368&lt;=($X$9*12),$X$15,IFERROR(-IPMT($X$11,W368-$X$9*12,($X$12-$X$9)*12,$X$6)+$X$13*_xlfn.XLOOKUP($Y$13,'RE Calculations'!$B$12:$B$16,'RE Calculations'!$C$12:$C$16,"ERROR - Check Input")/12,0))</f>
        <v>10</v>
      </c>
      <c r="AA368" s="142">
        <f t="shared" si="45"/>
        <v>0</v>
      </c>
    </row>
    <row r="369" spans="2:27" x14ac:dyDescent="0.35">
      <c r="B369" s="12">
        <v>347</v>
      </c>
      <c r="C369" s="142">
        <f>IF(F368&gt;0.01,-PMT($C$8,$C$9*12,$C$6)+$C$10*_xlfn.XLOOKUP($D$10,'RE Calculations'!$B$12:$B$16,'RE Calculations'!$C$12:$C$16,"ERROR - Check Input")/12,0)</f>
        <v>0</v>
      </c>
      <c r="D369" s="142">
        <f t="shared" si="46"/>
        <v>0</v>
      </c>
      <c r="E369" s="142">
        <f>IFERROR(-IPMT($C$8,B369,$C$9*12,$C$6)+$C$10*_xlfn.XLOOKUP($D$10,'RE Calculations'!$B$12:$B$16,'RE Calculations'!$C$12:$C$16,"ERROR - Check Input")/12,0)</f>
        <v>8.3333333333333339</v>
      </c>
      <c r="F369" s="142">
        <f t="shared" si="47"/>
        <v>0</v>
      </c>
      <c r="I369" s="12">
        <v>347</v>
      </c>
      <c r="J369" s="142">
        <f>IF(M368&gt;0.01,IF(I369&lt;=($J$9*12),$J$15,-PMT($J$11,($J$12-$J$9)*12,$J$6)+$J$13*_xlfn.XLOOKUP($K$13,'RE Calculations'!$B$12:$B$16,'RE Calculations'!$C$12:$C$16,"ERROR - Check Input")/12),0)</f>
        <v>0</v>
      </c>
      <c r="K369" s="142">
        <f t="shared" si="40"/>
        <v>0</v>
      </c>
      <c r="L369" s="142">
        <f>IF(I369&lt;=($J$9*12),$J$15,IFERROR(-IPMT($J$11,I369-$J$9*12,($J$12-$J$9)*12,$J$6)+$J$13*_xlfn.XLOOKUP($K$13,'RE Calculations'!$B$12:$B$16,'RE Calculations'!$C$12:$C$16,"ERROR - Check Input")/12,0))</f>
        <v>10</v>
      </c>
      <c r="M369" s="142">
        <f t="shared" si="41"/>
        <v>0</v>
      </c>
      <c r="P369" s="12">
        <v>347</v>
      </c>
      <c r="Q369" s="142">
        <f>IF(T368&gt;0.01,-PMT($Q$8,$Q$9*12,$Q$6)+$Q$10*_xlfn.XLOOKUP($R$10,'RE Calculations'!$B$12:$B$16,'RE Calculations'!$C$12:$C$16,"ERROR - Check Input")/12,0)</f>
        <v>0</v>
      </c>
      <c r="R369" s="142">
        <f t="shared" si="42"/>
        <v>0</v>
      </c>
      <c r="S369" s="142">
        <f>IFERROR(-IPMT($Q$8,P369,$Q$9*12,$Q$6)+$Q$10*_xlfn.XLOOKUP($R$10,'RE Calculations'!$B$12:$B$16,'RE Calculations'!$C$12:$C$16,"ERROR - Check Input")/12,0)</f>
        <v>8.3333333333333339</v>
      </c>
      <c r="T369" s="142">
        <f t="shared" si="43"/>
        <v>0</v>
      </c>
      <c r="W369" s="12">
        <v>347</v>
      </c>
      <c r="X369" s="142">
        <f>IF(AA368&gt;0.01,IF(W369&lt;=($X$9*12),$X$15,-PMT($X$11,($X$12-$X$9)*12,$X$6)+$X$13*_xlfn.XLOOKUP($Y$13,'RE Calculations'!$B$12:$B$16,'RE Calculations'!$C$12:$C$16,"ERROR - Check Input")/12),0)</f>
        <v>0</v>
      </c>
      <c r="Y369" s="142">
        <f t="shared" si="44"/>
        <v>0</v>
      </c>
      <c r="Z369" s="142">
        <f>IF(W369&lt;=($X$9*12),$X$15,IFERROR(-IPMT($X$11,W369-$X$9*12,($X$12-$X$9)*12,$X$6)+$X$13*_xlfn.XLOOKUP($Y$13,'RE Calculations'!$B$12:$B$16,'RE Calculations'!$C$12:$C$16,"ERROR - Check Input")/12,0))</f>
        <v>10</v>
      </c>
      <c r="AA369" s="142">
        <f t="shared" si="45"/>
        <v>0</v>
      </c>
    </row>
    <row r="370" spans="2:27" x14ac:dyDescent="0.35">
      <c r="B370" s="12">
        <v>348</v>
      </c>
      <c r="C370" s="142">
        <f>IF(F369&gt;0.01,-PMT($C$8,$C$9*12,$C$6)+$C$10*_xlfn.XLOOKUP($D$10,'RE Calculations'!$B$12:$B$16,'RE Calculations'!$C$12:$C$16,"ERROR - Check Input")/12,0)</f>
        <v>0</v>
      </c>
      <c r="D370" s="142">
        <f t="shared" si="46"/>
        <v>0</v>
      </c>
      <c r="E370" s="142">
        <f>IFERROR(-IPMT($C$8,B370,$C$9*12,$C$6)+$C$10*_xlfn.XLOOKUP($D$10,'RE Calculations'!$B$12:$B$16,'RE Calculations'!$C$12:$C$16,"ERROR - Check Input")/12,0)</f>
        <v>8.3333333333333339</v>
      </c>
      <c r="F370" s="142">
        <f t="shared" si="47"/>
        <v>0</v>
      </c>
      <c r="I370" s="12">
        <v>348</v>
      </c>
      <c r="J370" s="142">
        <f>IF(M369&gt;0.01,IF(I370&lt;=($J$9*12),$J$15,-PMT($J$11,($J$12-$J$9)*12,$J$6)+$J$13*_xlfn.XLOOKUP($K$13,'RE Calculations'!$B$12:$B$16,'RE Calculations'!$C$12:$C$16,"ERROR - Check Input")/12),0)</f>
        <v>0</v>
      </c>
      <c r="K370" s="142">
        <f t="shared" si="40"/>
        <v>0</v>
      </c>
      <c r="L370" s="142">
        <f>IF(I370&lt;=($J$9*12),$J$15,IFERROR(-IPMT($J$11,I370-$J$9*12,($J$12-$J$9)*12,$J$6)+$J$13*_xlfn.XLOOKUP($K$13,'RE Calculations'!$B$12:$B$16,'RE Calculations'!$C$12:$C$16,"ERROR - Check Input")/12,0))</f>
        <v>10</v>
      </c>
      <c r="M370" s="142">
        <f t="shared" si="41"/>
        <v>0</v>
      </c>
      <c r="P370" s="12">
        <v>348</v>
      </c>
      <c r="Q370" s="142">
        <f>IF(T369&gt;0.01,-PMT($Q$8,$Q$9*12,$Q$6)+$Q$10*_xlfn.XLOOKUP($R$10,'RE Calculations'!$B$12:$B$16,'RE Calculations'!$C$12:$C$16,"ERROR - Check Input")/12,0)</f>
        <v>0</v>
      </c>
      <c r="R370" s="142">
        <f t="shared" si="42"/>
        <v>0</v>
      </c>
      <c r="S370" s="142">
        <f>IFERROR(-IPMT($Q$8,P370,$Q$9*12,$Q$6)+$Q$10*_xlfn.XLOOKUP($R$10,'RE Calculations'!$B$12:$B$16,'RE Calculations'!$C$12:$C$16,"ERROR - Check Input")/12,0)</f>
        <v>8.3333333333333339</v>
      </c>
      <c r="T370" s="142">
        <f t="shared" si="43"/>
        <v>0</v>
      </c>
      <c r="W370" s="12">
        <v>348</v>
      </c>
      <c r="X370" s="142">
        <f>IF(AA369&gt;0.01,IF(W370&lt;=($X$9*12),$X$15,-PMT($X$11,($X$12-$X$9)*12,$X$6)+$X$13*_xlfn.XLOOKUP($Y$13,'RE Calculations'!$B$12:$B$16,'RE Calculations'!$C$12:$C$16,"ERROR - Check Input")/12),0)</f>
        <v>0</v>
      </c>
      <c r="Y370" s="142">
        <f t="shared" si="44"/>
        <v>0</v>
      </c>
      <c r="Z370" s="142">
        <f>IF(W370&lt;=($X$9*12),$X$15,IFERROR(-IPMT($X$11,W370-$X$9*12,($X$12-$X$9)*12,$X$6)+$X$13*_xlfn.XLOOKUP($Y$13,'RE Calculations'!$B$12:$B$16,'RE Calculations'!$C$12:$C$16,"ERROR - Check Input")/12,0))</f>
        <v>10</v>
      </c>
      <c r="AA370" s="142">
        <f t="shared" si="45"/>
        <v>0</v>
      </c>
    </row>
    <row r="371" spans="2:27" x14ac:dyDescent="0.35">
      <c r="B371" s="12">
        <v>349</v>
      </c>
      <c r="C371" s="142">
        <f>IF(F370&gt;0.01,-PMT($C$8,$C$9*12,$C$6)+$C$10*_xlfn.XLOOKUP($D$10,'RE Calculations'!$B$12:$B$16,'RE Calculations'!$C$12:$C$16,"ERROR - Check Input")/12,0)</f>
        <v>0</v>
      </c>
      <c r="D371" s="142">
        <f t="shared" si="46"/>
        <v>0</v>
      </c>
      <c r="E371" s="142">
        <f>IFERROR(-IPMT($C$8,B371,$C$9*12,$C$6)+$C$10*_xlfn.XLOOKUP($D$10,'RE Calculations'!$B$12:$B$16,'RE Calculations'!$C$12:$C$16,"ERROR - Check Input")/12,0)</f>
        <v>8.3333333333333339</v>
      </c>
      <c r="F371" s="142">
        <f t="shared" si="47"/>
        <v>0</v>
      </c>
      <c r="I371" s="12">
        <v>349</v>
      </c>
      <c r="J371" s="142">
        <f>IF(M370&gt;0.01,IF(I371&lt;=($J$9*12),$J$15,-PMT($J$11,($J$12-$J$9)*12,$J$6)+$J$13*_xlfn.XLOOKUP($K$13,'RE Calculations'!$B$12:$B$16,'RE Calculations'!$C$12:$C$16,"ERROR - Check Input")/12),0)</f>
        <v>0</v>
      </c>
      <c r="K371" s="142">
        <f t="shared" si="40"/>
        <v>0</v>
      </c>
      <c r="L371" s="142">
        <f>IF(I371&lt;=($J$9*12),$J$15,IFERROR(-IPMT($J$11,I371-$J$9*12,($J$12-$J$9)*12,$J$6)+$J$13*_xlfn.XLOOKUP($K$13,'RE Calculations'!$B$12:$B$16,'RE Calculations'!$C$12:$C$16,"ERROR - Check Input")/12,0))</f>
        <v>10</v>
      </c>
      <c r="M371" s="142">
        <f t="shared" si="41"/>
        <v>0</v>
      </c>
      <c r="P371" s="12">
        <v>349</v>
      </c>
      <c r="Q371" s="142">
        <f>IF(T370&gt;0.01,-PMT($Q$8,$Q$9*12,$Q$6)+$Q$10*_xlfn.XLOOKUP($R$10,'RE Calculations'!$B$12:$B$16,'RE Calculations'!$C$12:$C$16,"ERROR - Check Input")/12,0)</f>
        <v>0</v>
      </c>
      <c r="R371" s="142">
        <f t="shared" si="42"/>
        <v>0</v>
      </c>
      <c r="S371" s="142">
        <f>IFERROR(-IPMT($Q$8,P371,$Q$9*12,$Q$6)+$Q$10*_xlfn.XLOOKUP($R$10,'RE Calculations'!$B$12:$B$16,'RE Calculations'!$C$12:$C$16,"ERROR - Check Input")/12,0)</f>
        <v>8.3333333333333339</v>
      </c>
      <c r="T371" s="142">
        <f t="shared" si="43"/>
        <v>0</v>
      </c>
      <c r="W371" s="12">
        <v>349</v>
      </c>
      <c r="X371" s="142">
        <f>IF(AA370&gt;0.01,IF(W371&lt;=($X$9*12),$X$15,-PMT($X$11,($X$12-$X$9)*12,$X$6)+$X$13*_xlfn.XLOOKUP($Y$13,'RE Calculations'!$B$12:$B$16,'RE Calculations'!$C$12:$C$16,"ERROR - Check Input")/12),0)</f>
        <v>0</v>
      </c>
      <c r="Y371" s="142">
        <f t="shared" si="44"/>
        <v>0</v>
      </c>
      <c r="Z371" s="142">
        <f>IF(W371&lt;=($X$9*12),$X$15,IFERROR(-IPMT($X$11,W371-$X$9*12,($X$12-$X$9)*12,$X$6)+$X$13*_xlfn.XLOOKUP($Y$13,'RE Calculations'!$B$12:$B$16,'RE Calculations'!$C$12:$C$16,"ERROR - Check Input")/12,0))</f>
        <v>10</v>
      </c>
      <c r="AA371" s="142">
        <f t="shared" si="45"/>
        <v>0</v>
      </c>
    </row>
    <row r="372" spans="2:27" x14ac:dyDescent="0.35">
      <c r="B372" s="12">
        <v>350</v>
      </c>
      <c r="C372" s="142">
        <f>IF(F371&gt;0.01,-PMT($C$8,$C$9*12,$C$6)+$C$10*_xlfn.XLOOKUP($D$10,'RE Calculations'!$B$12:$B$16,'RE Calculations'!$C$12:$C$16,"ERROR - Check Input")/12,0)</f>
        <v>0</v>
      </c>
      <c r="D372" s="142">
        <f t="shared" si="46"/>
        <v>0</v>
      </c>
      <c r="E372" s="142">
        <f>IFERROR(-IPMT($C$8,B372,$C$9*12,$C$6)+$C$10*_xlfn.XLOOKUP($D$10,'RE Calculations'!$B$12:$B$16,'RE Calculations'!$C$12:$C$16,"ERROR - Check Input")/12,0)</f>
        <v>8.3333333333333339</v>
      </c>
      <c r="F372" s="142">
        <f t="shared" si="47"/>
        <v>0</v>
      </c>
      <c r="I372" s="12">
        <v>350</v>
      </c>
      <c r="J372" s="142">
        <f>IF(M371&gt;0.01,IF(I372&lt;=($J$9*12),$J$15,-PMT($J$11,($J$12-$J$9)*12,$J$6)+$J$13*_xlfn.XLOOKUP($K$13,'RE Calculations'!$B$12:$B$16,'RE Calculations'!$C$12:$C$16,"ERROR - Check Input")/12),0)</f>
        <v>0</v>
      </c>
      <c r="K372" s="142">
        <f t="shared" si="40"/>
        <v>0</v>
      </c>
      <c r="L372" s="142">
        <f>IF(I372&lt;=($J$9*12),$J$15,IFERROR(-IPMT($J$11,I372-$J$9*12,($J$12-$J$9)*12,$J$6)+$J$13*_xlfn.XLOOKUP($K$13,'RE Calculations'!$B$12:$B$16,'RE Calculations'!$C$12:$C$16,"ERROR - Check Input")/12,0))</f>
        <v>10</v>
      </c>
      <c r="M372" s="142">
        <f t="shared" si="41"/>
        <v>0</v>
      </c>
      <c r="P372" s="12">
        <v>350</v>
      </c>
      <c r="Q372" s="142">
        <f>IF(T371&gt;0.01,-PMT($Q$8,$Q$9*12,$Q$6)+$Q$10*_xlfn.XLOOKUP($R$10,'RE Calculations'!$B$12:$B$16,'RE Calculations'!$C$12:$C$16,"ERROR - Check Input")/12,0)</f>
        <v>0</v>
      </c>
      <c r="R372" s="142">
        <f t="shared" si="42"/>
        <v>0</v>
      </c>
      <c r="S372" s="142">
        <f>IFERROR(-IPMT($Q$8,P372,$Q$9*12,$Q$6)+$Q$10*_xlfn.XLOOKUP($R$10,'RE Calculations'!$B$12:$B$16,'RE Calculations'!$C$12:$C$16,"ERROR - Check Input")/12,0)</f>
        <v>8.3333333333333339</v>
      </c>
      <c r="T372" s="142">
        <f t="shared" si="43"/>
        <v>0</v>
      </c>
      <c r="W372" s="12">
        <v>350</v>
      </c>
      <c r="X372" s="142">
        <f>IF(AA371&gt;0.01,IF(W372&lt;=($X$9*12),$X$15,-PMT($X$11,($X$12-$X$9)*12,$X$6)+$X$13*_xlfn.XLOOKUP($Y$13,'RE Calculations'!$B$12:$B$16,'RE Calculations'!$C$12:$C$16,"ERROR - Check Input")/12),0)</f>
        <v>0</v>
      </c>
      <c r="Y372" s="142">
        <f t="shared" si="44"/>
        <v>0</v>
      </c>
      <c r="Z372" s="142">
        <f>IF(W372&lt;=($X$9*12),$X$15,IFERROR(-IPMT($X$11,W372-$X$9*12,($X$12-$X$9)*12,$X$6)+$X$13*_xlfn.XLOOKUP($Y$13,'RE Calculations'!$B$12:$B$16,'RE Calculations'!$C$12:$C$16,"ERROR - Check Input")/12,0))</f>
        <v>10</v>
      </c>
      <c r="AA372" s="142">
        <f t="shared" si="45"/>
        <v>0</v>
      </c>
    </row>
    <row r="373" spans="2:27" x14ac:dyDescent="0.35">
      <c r="B373" s="12">
        <v>351</v>
      </c>
      <c r="C373" s="142">
        <f>IF(F372&gt;0.01,-PMT($C$8,$C$9*12,$C$6)+$C$10*_xlfn.XLOOKUP($D$10,'RE Calculations'!$B$12:$B$16,'RE Calculations'!$C$12:$C$16,"ERROR - Check Input")/12,0)</f>
        <v>0</v>
      </c>
      <c r="D373" s="142">
        <f t="shared" si="46"/>
        <v>0</v>
      </c>
      <c r="E373" s="142">
        <f>IFERROR(-IPMT($C$8,B373,$C$9*12,$C$6)+$C$10*_xlfn.XLOOKUP($D$10,'RE Calculations'!$B$12:$B$16,'RE Calculations'!$C$12:$C$16,"ERROR - Check Input")/12,0)</f>
        <v>8.3333333333333339</v>
      </c>
      <c r="F373" s="142">
        <f t="shared" si="47"/>
        <v>0</v>
      </c>
      <c r="I373" s="12">
        <v>351</v>
      </c>
      <c r="J373" s="142">
        <f>IF(M372&gt;0.01,IF(I373&lt;=($J$9*12),$J$15,-PMT($J$11,($J$12-$J$9)*12,$J$6)+$J$13*_xlfn.XLOOKUP($K$13,'RE Calculations'!$B$12:$B$16,'RE Calculations'!$C$12:$C$16,"ERROR - Check Input")/12),0)</f>
        <v>0</v>
      </c>
      <c r="K373" s="142">
        <f t="shared" si="40"/>
        <v>0</v>
      </c>
      <c r="L373" s="142">
        <f>IF(I373&lt;=($J$9*12),$J$15,IFERROR(-IPMT($J$11,I373-$J$9*12,($J$12-$J$9)*12,$J$6)+$J$13*_xlfn.XLOOKUP($K$13,'RE Calculations'!$B$12:$B$16,'RE Calculations'!$C$12:$C$16,"ERROR - Check Input")/12,0))</f>
        <v>10</v>
      </c>
      <c r="M373" s="142">
        <f t="shared" si="41"/>
        <v>0</v>
      </c>
      <c r="P373" s="12">
        <v>351</v>
      </c>
      <c r="Q373" s="142">
        <f>IF(T372&gt;0.01,-PMT($Q$8,$Q$9*12,$Q$6)+$Q$10*_xlfn.XLOOKUP($R$10,'RE Calculations'!$B$12:$B$16,'RE Calculations'!$C$12:$C$16,"ERROR - Check Input")/12,0)</f>
        <v>0</v>
      </c>
      <c r="R373" s="142">
        <f t="shared" si="42"/>
        <v>0</v>
      </c>
      <c r="S373" s="142">
        <f>IFERROR(-IPMT($Q$8,P373,$Q$9*12,$Q$6)+$Q$10*_xlfn.XLOOKUP($R$10,'RE Calculations'!$B$12:$B$16,'RE Calculations'!$C$12:$C$16,"ERROR - Check Input")/12,0)</f>
        <v>8.3333333333333339</v>
      </c>
      <c r="T373" s="142">
        <f t="shared" si="43"/>
        <v>0</v>
      </c>
      <c r="W373" s="12">
        <v>351</v>
      </c>
      <c r="X373" s="142">
        <f>IF(AA372&gt;0.01,IF(W373&lt;=($X$9*12),$X$15,-PMT($X$11,($X$12-$X$9)*12,$X$6)+$X$13*_xlfn.XLOOKUP($Y$13,'RE Calculations'!$B$12:$B$16,'RE Calculations'!$C$12:$C$16,"ERROR - Check Input")/12),0)</f>
        <v>0</v>
      </c>
      <c r="Y373" s="142">
        <f t="shared" si="44"/>
        <v>0</v>
      </c>
      <c r="Z373" s="142">
        <f>IF(W373&lt;=($X$9*12),$X$15,IFERROR(-IPMT($X$11,W373-$X$9*12,($X$12-$X$9)*12,$X$6)+$X$13*_xlfn.XLOOKUP($Y$13,'RE Calculations'!$B$12:$B$16,'RE Calculations'!$C$12:$C$16,"ERROR - Check Input")/12,0))</f>
        <v>10</v>
      </c>
      <c r="AA373" s="142">
        <f t="shared" si="45"/>
        <v>0</v>
      </c>
    </row>
    <row r="374" spans="2:27" x14ac:dyDescent="0.35">
      <c r="B374" s="12">
        <v>352</v>
      </c>
      <c r="C374" s="142">
        <f>IF(F373&gt;0.01,-PMT($C$8,$C$9*12,$C$6)+$C$10*_xlfn.XLOOKUP($D$10,'RE Calculations'!$B$12:$B$16,'RE Calculations'!$C$12:$C$16,"ERROR - Check Input")/12,0)</f>
        <v>0</v>
      </c>
      <c r="D374" s="142">
        <f t="shared" si="46"/>
        <v>0</v>
      </c>
      <c r="E374" s="142">
        <f>IFERROR(-IPMT($C$8,B374,$C$9*12,$C$6)+$C$10*_xlfn.XLOOKUP($D$10,'RE Calculations'!$B$12:$B$16,'RE Calculations'!$C$12:$C$16,"ERROR - Check Input")/12,0)</f>
        <v>8.3333333333333339</v>
      </c>
      <c r="F374" s="142">
        <f t="shared" si="47"/>
        <v>0</v>
      </c>
      <c r="I374" s="12">
        <v>352</v>
      </c>
      <c r="J374" s="142">
        <f>IF(M373&gt;0.01,IF(I374&lt;=($J$9*12),$J$15,-PMT($J$11,($J$12-$J$9)*12,$J$6)+$J$13*_xlfn.XLOOKUP($K$13,'RE Calculations'!$B$12:$B$16,'RE Calculations'!$C$12:$C$16,"ERROR - Check Input")/12),0)</f>
        <v>0</v>
      </c>
      <c r="K374" s="142">
        <f t="shared" si="40"/>
        <v>0</v>
      </c>
      <c r="L374" s="142">
        <f>IF(I374&lt;=($J$9*12),$J$15,IFERROR(-IPMT($J$11,I374-$J$9*12,($J$12-$J$9)*12,$J$6)+$J$13*_xlfn.XLOOKUP($K$13,'RE Calculations'!$B$12:$B$16,'RE Calculations'!$C$12:$C$16,"ERROR - Check Input")/12,0))</f>
        <v>10</v>
      </c>
      <c r="M374" s="142">
        <f t="shared" si="41"/>
        <v>0</v>
      </c>
      <c r="P374" s="12">
        <v>352</v>
      </c>
      <c r="Q374" s="142">
        <f>IF(T373&gt;0.01,-PMT($Q$8,$Q$9*12,$Q$6)+$Q$10*_xlfn.XLOOKUP($R$10,'RE Calculations'!$B$12:$B$16,'RE Calculations'!$C$12:$C$16,"ERROR - Check Input")/12,0)</f>
        <v>0</v>
      </c>
      <c r="R374" s="142">
        <f t="shared" si="42"/>
        <v>0</v>
      </c>
      <c r="S374" s="142">
        <f>IFERROR(-IPMT($Q$8,P374,$Q$9*12,$Q$6)+$Q$10*_xlfn.XLOOKUP($R$10,'RE Calculations'!$B$12:$B$16,'RE Calculations'!$C$12:$C$16,"ERROR - Check Input")/12,0)</f>
        <v>8.3333333333333339</v>
      </c>
      <c r="T374" s="142">
        <f t="shared" si="43"/>
        <v>0</v>
      </c>
      <c r="W374" s="12">
        <v>352</v>
      </c>
      <c r="X374" s="142">
        <f>IF(AA373&gt;0.01,IF(W374&lt;=($X$9*12),$X$15,-PMT($X$11,($X$12-$X$9)*12,$X$6)+$X$13*_xlfn.XLOOKUP($Y$13,'RE Calculations'!$B$12:$B$16,'RE Calculations'!$C$12:$C$16,"ERROR - Check Input")/12),0)</f>
        <v>0</v>
      </c>
      <c r="Y374" s="142">
        <f t="shared" si="44"/>
        <v>0</v>
      </c>
      <c r="Z374" s="142">
        <f>IF(W374&lt;=($X$9*12),$X$15,IFERROR(-IPMT($X$11,W374-$X$9*12,($X$12-$X$9)*12,$X$6)+$X$13*_xlfn.XLOOKUP($Y$13,'RE Calculations'!$B$12:$B$16,'RE Calculations'!$C$12:$C$16,"ERROR - Check Input")/12,0))</f>
        <v>10</v>
      </c>
      <c r="AA374" s="142">
        <f t="shared" si="45"/>
        <v>0</v>
      </c>
    </row>
    <row r="375" spans="2:27" x14ac:dyDescent="0.35">
      <c r="B375" s="12">
        <v>353</v>
      </c>
      <c r="C375" s="142">
        <f>IF(F374&gt;0.01,-PMT($C$8,$C$9*12,$C$6)+$C$10*_xlfn.XLOOKUP($D$10,'RE Calculations'!$B$12:$B$16,'RE Calculations'!$C$12:$C$16,"ERROR - Check Input")/12,0)</f>
        <v>0</v>
      </c>
      <c r="D375" s="142">
        <f t="shared" si="46"/>
        <v>0</v>
      </c>
      <c r="E375" s="142">
        <f>IFERROR(-IPMT($C$8,B375,$C$9*12,$C$6)+$C$10*_xlfn.XLOOKUP($D$10,'RE Calculations'!$B$12:$B$16,'RE Calculations'!$C$12:$C$16,"ERROR - Check Input")/12,0)</f>
        <v>8.3333333333333339</v>
      </c>
      <c r="F375" s="142">
        <f t="shared" si="47"/>
        <v>0</v>
      </c>
      <c r="I375" s="12">
        <v>353</v>
      </c>
      <c r="J375" s="142">
        <f>IF(M374&gt;0.01,IF(I375&lt;=($J$9*12),$J$15,-PMT($J$11,($J$12-$J$9)*12,$J$6)+$J$13*_xlfn.XLOOKUP($K$13,'RE Calculations'!$B$12:$B$16,'RE Calculations'!$C$12:$C$16,"ERROR - Check Input")/12),0)</f>
        <v>0</v>
      </c>
      <c r="K375" s="142">
        <f t="shared" si="40"/>
        <v>0</v>
      </c>
      <c r="L375" s="142">
        <f>IF(I375&lt;=($J$9*12),$J$15,IFERROR(-IPMT($J$11,I375-$J$9*12,($J$12-$J$9)*12,$J$6)+$J$13*_xlfn.XLOOKUP($K$13,'RE Calculations'!$B$12:$B$16,'RE Calculations'!$C$12:$C$16,"ERROR - Check Input")/12,0))</f>
        <v>10</v>
      </c>
      <c r="M375" s="142">
        <f t="shared" si="41"/>
        <v>0</v>
      </c>
      <c r="P375" s="12">
        <v>353</v>
      </c>
      <c r="Q375" s="142">
        <f>IF(T374&gt;0.01,-PMT($Q$8,$Q$9*12,$Q$6)+$Q$10*_xlfn.XLOOKUP($R$10,'RE Calculations'!$B$12:$B$16,'RE Calculations'!$C$12:$C$16,"ERROR - Check Input")/12,0)</f>
        <v>0</v>
      </c>
      <c r="R375" s="142">
        <f t="shared" si="42"/>
        <v>0</v>
      </c>
      <c r="S375" s="142">
        <f>IFERROR(-IPMT($Q$8,P375,$Q$9*12,$Q$6)+$Q$10*_xlfn.XLOOKUP($R$10,'RE Calculations'!$B$12:$B$16,'RE Calculations'!$C$12:$C$16,"ERROR - Check Input")/12,0)</f>
        <v>8.3333333333333339</v>
      </c>
      <c r="T375" s="142">
        <f t="shared" si="43"/>
        <v>0</v>
      </c>
      <c r="W375" s="12">
        <v>353</v>
      </c>
      <c r="X375" s="142">
        <f>IF(AA374&gt;0.01,IF(W375&lt;=($X$9*12),$X$15,-PMT($X$11,($X$12-$X$9)*12,$X$6)+$X$13*_xlfn.XLOOKUP($Y$13,'RE Calculations'!$B$12:$B$16,'RE Calculations'!$C$12:$C$16,"ERROR - Check Input")/12),0)</f>
        <v>0</v>
      </c>
      <c r="Y375" s="142">
        <f t="shared" si="44"/>
        <v>0</v>
      </c>
      <c r="Z375" s="142">
        <f>IF(W375&lt;=($X$9*12),$X$15,IFERROR(-IPMT($X$11,W375-$X$9*12,($X$12-$X$9)*12,$X$6)+$X$13*_xlfn.XLOOKUP($Y$13,'RE Calculations'!$B$12:$B$16,'RE Calculations'!$C$12:$C$16,"ERROR - Check Input")/12,0))</f>
        <v>10</v>
      </c>
      <c r="AA375" s="142">
        <f t="shared" si="45"/>
        <v>0</v>
      </c>
    </row>
    <row r="376" spans="2:27" x14ac:dyDescent="0.35">
      <c r="B376" s="12">
        <v>354</v>
      </c>
      <c r="C376" s="142">
        <f>IF(F375&gt;0.01,-PMT($C$8,$C$9*12,$C$6)+$C$10*_xlfn.XLOOKUP($D$10,'RE Calculations'!$B$12:$B$16,'RE Calculations'!$C$12:$C$16,"ERROR - Check Input")/12,0)</f>
        <v>0</v>
      </c>
      <c r="D376" s="142">
        <f t="shared" si="46"/>
        <v>0</v>
      </c>
      <c r="E376" s="142">
        <f>IFERROR(-IPMT($C$8,B376,$C$9*12,$C$6)+$C$10*_xlfn.XLOOKUP($D$10,'RE Calculations'!$B$12:$B$16,'RE Calculations'!$C$12:$C$16,"ERROR - Check Input")/12,0)</f>
        <v>8.3333333333333339</v>
      </c>
      <c r="F376" s="142">
        <f t="shared" si="47"/>
        <v>0</v>
      </c>
      <c r="I376" s="12">
        <v>354</v>
      </c>
      <c r="J376" s="142">
        <f>IF(M375&gt;0.01,IF(I376&lt;=($J$9*12),$J$15,-PMT($J$11,($J$12-$J$9)*12,$J$6)+$J$13*_xlfn.XLOOKUP($K$13,'RE Calculations'!$B$12:$B$16,'RE Calculations'!$C$12:$C$16,"ERROR - Check Input")/12),0)</f>
        <v>0</v>
      </c>
      <c r="K376" s="142">
        <f t="shared" si="40"/>
        <v>0</v>
      </c>
      <c r="L376" s="142">
        <f>IF(I376&lt;=($J$9*12),$J$15,IFERROR(-IPMT($J$11,I376-$J$9*12,($J$12-$J$9)*12,$J$6)+$J$13*_xlfn.XLOOKUP($K$13,'RE Calculations'!$B$12:$B$16,'RE Calculations'!$C$12:$C$16,"ERROR - Check Input")/12,0))</f>
        <v>10</v>
      </c>
      <c r="M376" s="142">
        <f t="shared" si="41"/>
        <v>0</v>
      </c>
      <c r="P376" s="12">
        <v>354</v>
      </c>
      <c r="Q376" s="142">
        <f>IF(T375&gt;0.01,-PMT($Q$8,$Q$9*12,$Q$6)+$Q$10*_xlfn.XLOOKUP($R$10,'RE Calculations'!$B$12:$B$16,'RE Calculations'!$C$12:$C$16,"ERROR - Check Input")/12,0)</f>
        <v>0</v>
      </c>
      <c r="R376" s="142">
        <f t="shared" si="42"/>
        <v>0</v>
      </c>
      <c r="S376" s="142">
        <f>IFERROR(-IPMT($Q$8,P376,$Q$9*12,$Q$6)+$Q$10*_xlfn.XLOOKUP($R$10,'RE Calculations'!$B$12:$B$16,'RE Calculations'!$C$12:$C$16,"ERROR - Check Input")/12,0)</f>
        <v>8.3333333333333339</v>
      </c>
      <c r="T376" s="142">
        <f t="shared" si="43"/>
        <v>0</v>
      </c>
      <c r="W376" s="12">
        <v>354</v>
      </c>
      <c r="X376" s="142">
        <f>IF(AA375&gt;0.01,IF(W376&lt;=($X$9*12),$X$15,-PMT($X$11,($X$12-$X$9)*12,$X$6)+$X$13*_xlfn.XLOOKUP($Y$13,'RE Calculations'!$B$12:$B$16,'RE Calculations'!$C$12:$C$16,"ERROR - Check Input")/12),0)</f>
        <v>0</v>
      </c>
      <c r="Y376" s="142">
        <f t="shared" si="44"/>
        <v>0</v>
      </c>
      <c r="Z376" s="142">
        <f>IF(W376&lt;=($X$9*12),$X$15,IFERROR(-IPMT($X$11,W376-$X$9*12,($X$12-$X$9)*12,$X$6)+$X$13*_xlfn.XLOOKUP($Y$13,'RE Calculations'!$B$12:$B$16,'RE Calculations'!$C$12:$C$16,"ERROR - Check Input")/12,0))</f>
        <v>10</v>
      </c>
      <c r="AA376" s="142">
        <f t="shared" si="45"/>
        <v>0</v>
      </c>
    </row>
    <row r="377" spans="2:27" x14ac:dyDescent="0.35">
      <c r="B377" s="12">
        <v>355</v>
      </c>
      <c r="C377" s="142">
        <f>IF(F376&gt;0.01,-PMT($C$8,$C$9*12,$C$6)+$C$10*_xlfn.XLOOKUP($D$10,'RE Calculations'!$B$12:$B$16,'RE Calculations'!$C$12:$C$16,"ERROR - Check Input")/12,0)</f>
        <v>0</v>
      </c>
      <c r="D377" s="142">
        <f t="shared" si="46"/>
        <v>0</v>
      </c>
      <c r="E377" s="142">
        <f>IFERROR(-IPMT($C$8,B377,$C$9*12,$C$6)+$C$10*_xlfn.XLOOKUP($D$10,'RE Calculations'!$B$12:$B$16,'RE Calculations'!$C$12:$C$16,"ERROR - Check Input")/12,0)</f>
        <v>8.3333333333333339</v>
      </c>
      <c r="F377" s="142">
        <f t="shared" si="47"/>
        <v>0</v>
      </c>
      <c r="I377" s="12">
        <v>355</v>
      </c>
      <c r="J377" s="142">
        <f>IF(M376&gt;0.01,IF(I377&lt;=($J$9*12),$J$15,-PMT($J$11,($J$12-$J$9)*12,$J$6)+$J$13*_xlfn.XLOOKUP($K$13,'RE Calculations'!$B$12:$B$16,'RE Calculations'!$C$12:$C$16,"ERROR - Check Input")/12),0)</f>
        <v>0</v>
      </c>
      <c r="K377" s="142">
        <f t="shared" si="40"/>
        <v>0</v>
      </c>
      <c r="L377" s="142">
        <f>IF(I377&lt;=($J$9*12),$J$15,IFERROR(-IPMT($J$11,I377-$J$9*12,($J$12-$J$9)*12,$J$6)+$J$13*_xlfn.XLOOKUP($K$13,'RE Calculations'!$B$12:$B$16,'RE Calculations'!$C$12:$C$16,"ERROR - Check Input")/12,0))</f>
        <v>10</v>
      </c>
      <c r="M377" s="142">
        <f t="shared" si="41"/>
        <v>0</v>
      </c>
      <c r="P377" s="12">
        <v>355</v>
      </c>
      <c r="Q377" s="142">
        <f>IF(T376&gt;0.01,-PMT($Q$8,$Q$9*12,$Q$6)+$Q$10*_xlfn.XLOOKUP($R$10,'RE Calculations'!$B$12:$B$16,'RE Calculations'!$C$12:$C$16,"ERROR - Check Input")/12,0)</f>
        <v>0</v>
      </c>
      <c r="R377" s="142">
        <f t="shared" si="42"/>
        <v>0</v>
      </c>
      <c r="S377" s="142">
        <f>IFERROR(-IPMT($Q$8,P377,$Q$9*12,$Q$6)+$Q$10*_xlfn.XLOOKUP($R$10,'RE Calculations'!$B$12:$B$16,'RE Calculations'!$C$12:$C$16,"ERROR - Check Input")/12,0)</f>
        <v>8.3333333333333339</v>
      </c>
      <c r="T377" s="142">
        <f t="shared" si="43"/>
        <v>0</v>
      </c>
      <c r="W377" s="12">
        <v>355</v>
      </c>
      <c r="X377" s="142">
        <f>IF(AA376&gt;0.01,IF(W377&lt;=($X$9*12),$X$15,-PMT($X$11,($X$12-$X$9)*12,$X$6)+$X$13*_xlfn.XLOOKUP($Y$13,'RE Calculations'!$B$12:$B$16,'RE Calculations'!$C$12:$C$16,"ERROR - Check Input")/12),0)</f>
        <v>0</v>
      </c>
      <c r="Y377" s="142">
        <f t="shared" si="44"/>
        <v>0</v>
      </c>
      <c r="Z377" s="142">
        <f>IF(W377&lt;=($X$9*12),$X$15,IFERROR(-IPMT($X$11,W377-$X$9*12,($X$12-$X$9)*12,$X$6)+$X$13*_xlfn.XLOOKUP($Y$13,'RE Calculations'!$B$12:$B$16,'RE Calculations'!$C$12:$C$16,"ERROR - Check Input")/12,0))</f>
        <v>10</v>
      </c>
      <c r="AA377" s="142">
        <f t="shared" si="45"/>
        <v>0</v>
      </c>
    </row>
    <row r="378" spans="2:27" x14ac:dyDescent="0.35">
      <c r="B378" s="12">
        <v>356</v>
      </c>
      <c r="C378" s="142">
        <f>IF(F377&gt;0.01,-PMT($C$8,$C$9*12,$C$6)+$C$10*_xlfn.XLOOKUP($D$10,'RE Calculations'!$B$12:$B$16,'RE Calculations'!$C$12:$C$16,"ERROR - Check Input")/12,0)</f>
        <v>0</v>
      </c>
      <c r="D378" s="142">
        <f t="shared" si="46"/>
        <v>0</v>
      </c>
      <c r="E378" s="142">
        <f>IFERROR(-IPMT($C$8,B378,$C$9*12,$C$6)+$C$10*_xlfn.XLOOKUP($D$10,'RE Calculations'!$B$12:$B$16,'RE Calculations'!$C$12:$C$16,"ERROR - Check Input")/12,0)</f>
        <v>8.3333333333333339</v>
      </c>
      <c r="F378" s="142">
        <f t="shared" si="47"/>
        <v>0</v>
      </c>
      <c r="I378" s="12">
        <v>356</v>
      </c>
      <c r="J378" s="142">
        <f>IF(M377&gt;0.01,IF(I378&lt;=($J$9*12),$J$15,-PMT($J$11,($J$12-$J$9)*12,$J$6)+$J$13*_xlfn.XLOOKUP($K$13,'RE Calculations'!$B$12:$B$16,'RE Calculations'!$C$12:$C$16,"ERROR - Check Input")/12),0)</f>
        <v>0</v>
      </c>
      <c r="K378" s="142">
        <f t="shared" si="40"/>
        <v>0</v>
      </c>
      <c r="L378" s="142">
        <f>IF(I378&lt;=($J$9*12),$J$15,IFERROR(-IPMT($J$11,I378-$J$9*12,($J$12-$J$9)*12,$J$6)+$J$13*_xlfn.XLOOKUP($K$13,'RE Calculations'!$B$12:$B$16,'RE Calculations'!$C$12:$C$16,"ERROR - Check Input")/12,0))</f>
        <v>10</v>
      </c>
      <c r="M378" s="142">
        <f t="shared" si="41"/>
        <v>0</v>
      </c>
      <c r="P378" s="12">
        <v>356</v>
      </c>
      <c r="Q378" s="142">
        <f>IF(T377&gt;0.01,-PMT($Q$8,$Q$9*12,$Q$6)+$Q$10*_xlfn.XLOOKUP($R$10,'RE Calculations'!$B$12:$B$16,'RE Calculations'!$C$12:$C$16,"ERROR - Check Input")/12,0)</f>
        <v>0</v>
      </c>
      <c r="R378" s="142">
        <f t="shared" si="42"/>
        <v>0</v>
      </c>
      <c r="S378" s="142">
        <f>IFERROR(-IPMT($Q$8,P378,$Q$9*12,$Q$6)+$Q$10*_xlfn.XLOOKUP($R$10,'RE Calculations'!$B$12:$B$16,'RE Calculations'!$C$12:$C$16,"ERROR - Check Input")/12,0)</f>
        <v>8.3333333333333339</v>
      </c>
      <c r="T378" s="142">
        <f t="shared" si="43"/>
        <v>0</v>
      </c>
      <c r="W378" s="12">
        <v>356</v>
      </c>
      <c r="X378" s="142">
        <f>IF(AA377&gt;0.01,IF(W378&lt;=($X$9*12),$X$15,-PMT($X$11,($X$12-$X$9)*12,$X$6)+$X$13*_xlfn.XLOOKUP($Y$13,'RE Calculations'!$B$12:$B$16,'RE Calculations'!$C$12:$C$16,"ERROR - Check Input")/12),0)</f>
        <v>0</v>
      </c>
      <c r="Y378" s="142">
        <f t="shared" si="44"/>
        <v>0</v>
      </c>
      <c r="Z378" s="142">
        <f>IF(W378&lt;=($X$9*12),$X$15,IFERROR(-IPMT($X$11,W378-$X$9*12,($X$12-$X$9)*12,$X$6)+$X$13*_xlfn.XLOOKUP($Y$13,'RE Calculations'!$B$12:$B$16,'RE Calculations'!$C$12:$C$16,"ERROR - Check Input")/12,0))</f>
        <v>10</v>
      </c>
      <c r="AA378" s="142">
        <f t="shared" si="45"/>
        <v>0</v>
      </c>
    </row>
    <row r="379" spans="2:27" x14ac:dyDescent="0.35">
      <c r="B379" s="12">
        <v>357</v>
      </c>
      <c r="C379" s="142">
        <f>IF(F378&gt;0.01,-PMT($C$8,$C$9*12,$C$6)+$C$10*_xlfn.XLOOKUP($D$10,'RE Calculations'!$B$12:$B$16,'RE Calculations'!$C$12:$C$16,"ERROR - Check Input")/12,0)</f>
        <v>0</v>
      </c>
      <c r="D379" s="142">
        <f t="shared" si="46"/>
        <v>0</v>
      </c>
      <c r="E379" s="142">
        <f>IFERROR(-IPMT($C$8,B379,$C$9*12,$C$6)+$C$10*_xlfn.XLOOKUP($D$10,'RE Calculations'!$B$12:$B$16,'RE Calculations'!$C$12:$C$16,"ERROR - Check Input")/12,0)</f>
        <v>8.3333333333333339</v>
      </c>
      <c r="F379" s="142">
        <f t="shared" si="47"/>
        <v>0</v>
      </c>
      <c r="I379" s="12">
        <v>357</v>
      </c>
      <c r="J379" s="142">
        <f>IF(M378&gt;0.01,IF(I379&lt;=($J$9*12),$J$15,-PMT($J$11,($J$12-$J$9)*12,$J$6)+$J$13*_xlfn.XLOOKUP($K$13,'RE Calculations'!$B$12:$B$16,'RE Calculations'!$C$12:$C$16,"ERROR - Check Input")/12),0)</f>
        <v>0</v>
      </c>
      <c r="K379" s="142">
        <f t="shared" si="40"/>
        <v>0</v>
      </c>
      <c r="L379" s="142">
        <f>IF(I379&lt;=($J$9*12),$J$15,IFERROR(-IPMT($J$11,I379-$J$9*12,($J$12-$J$9)*12,$J$6)+$J$13*_xlfn.XLOOKUP($K$13,'RE Calculations'!$B$12:$B$16,'RE Calculations'!$C$12:$C$16,"ERROR - Check Input")/12,0))</f>
        <v>10</v>
      </c>
      <c r="M379" s="142">
        <f t="shared" si="41"/>
        <v>0</v>
      </c>
      <c r="P379" s="12">
        <v>357</v>
      </c>
      <c r="Q379" s="142">
        <f>IF(T378&gt;0.01,-PMT($Q$8,$Q$9*12,$Q$6)+$Q$10*_xlfn.XLOOKUP($R$10,'RE Calculations'!$B$12:$B$16,'RE Calculations'!$C$12:$C$16,"ERROR - Check Input")/12,0)</f>
        <v>0</v>
      </c>
      <c r="R379" s="142">
        <f t="shared" si="42"/>
        <v>0</v>
      </c>
      <c r="S379" s="142">
        <f>IFERROR(-IPMT($Q$8,P379,$Q$9*12,$Q$6)+$Q$10*_xlfn.XLOOKUP($R$10,'RE Calculations'!$B$12:$B$16,'RE Calculations'!$C$12:$C$16,"ERROR - Check Input")/12,0)</f>
        <v>8.3333333333333339</v>
      </c>
      <c r="T379" s="142">
        <f t="shared" si="43"/>
        <v>0</v>
      </c>
      <c r="W379" s="12">
        <v>357</v>
      </c>
      <c r="X379" s="142">
        <f>IF(AA378&gt;0.01,IF(W379&lt;=($X$9*12),$X$15,-PMT($X$11,($X$12-$X$9)*12,$X$6)+$X$13*_xlfn.XLOOKUP($Y$13,'RE Calculations'!$B$12:$B$16,'RE Calculations'!$C$12:$C$16,"ERROR - Check Input")/12),0)</f>
        <v>0</v>
      </c>
      <c r="Y379" s="142">
        <f t="shared" si="44"/>
        <v>0</v>
      </c>
      <c r="Z379" s="142">
        <f>IF(W379&lt;=($X$9*12),$X$15,IFERROR(-IPMT($X$11,W379-$X$9*12,($X$12-$X$9)*12,$X$6)+$X$13*_xlfn.XLOOKUP($Y$13,'RE Calculations'!$B$12:$B$16,'RE Calculations'!$C$12:$C$16,"ERROR - Check Input")/12,0))</f>
        <v>10</v>
      </c>
      <c r="AA379" s="142">
        <f t="shared" si="45"/>
        <v>0</v>
      </c>
    </row>
    <row r="380" spans="2:27" x14ac:dyDescent="0.35">
      <c r="B380" s="12">
        <v>358</v>
      </c>
      <c r="C380" s="142">
        <f>IF(F379&gt;0.01,-PMT($C$8,$C$9*12,$C$6)+$C$10*_xlfn.XLOOKUP($D$10,'RE Calculations'!$B$12:$B$16,'RE Calculations'!$C$12:$C$16,"ERROR - Check Input")/12,0)</f>
        <v>0</v>
      </c>
      <c r="D380" s="142">
        <f t="shared" si="46"/>
        <v>0</v>
      </c>
      <c r="E380" s="142">
        <f>IFERROR(-IPMT($C$8,B380,$C$9*12,$C$6)+$C$10*_xlfn.XLOOKUP($D$10,'RE Calculations'!$B$12:$B$16,'RE Calculations'!$C$12:$C$16,"ERROR - Check Input")/12,0)</f>
        <v>8.3333333333333339</v>
      </c>
      <c r="F380" s="142">
        <f t="shared" si="47"/>
        <v>0</v>
      </c>
      <c r="I380" s="12">
        <v>358</v>
      </c>
      <c r="J380" s="142">
        <f>IF(M379&gt;0.01,IF(I380&lt;=($J$9*12),$J$15,-PMT($J$11,($J$12-$J$9)*12,$J$6)+$J$13*_xlfn.XLOOKUP($K$13,'RE Calculations'!$B$12:$B$16,'RE Calculations'!$C$12:$C$16,"ERROR - Check Input")/12),0)</f>
        <v>0</v>
      </c>
      <c r="K380" s="142">
        <f t="shared" si="40"/>
        <v>0</v>
      </c>
      <c r="L380" s="142">
        <f>IF(I380&lt;=($J$9*12),$J$15,IFERROR(-IPMT($J$11,I380-$J$9*12,($J$12-$J$9)*12,$J$6)+$J$13*_xlfn.XLOOKUP($K$13,'RE Calculations'!$B$12:$B$16,'RE Calculations'!$C$12:$C$16,"ERROR - Check Input")/12,0))</f>
        <v>10</v>
      </c>
      <c r="M380" s="142">
        <f t="shared" si="41"/>
        <v>0</v>
      </c>
      <c r="P380" s="12">
        <v>358</v>
      </c>
      <c r="Q380" s="142">
        <f>IF(T379&gt;0.01,-PMT($Q$8,$Q$9*12,$Q$6)+$Q$10*_xlfn.XLOOKUP($R$10,'RE Calculations'!$B$12:$B$16,'RE Calculations'!$C$12:$C$16,"ERROR - Check Input")/12,0)</f>
        <v>0</v>
      </c>
      <c r="R380" s="142">
        <f t="shared" si="42"/>
        <v>0</v>
      </c>
      <c r="S380" s="142">
        <f>IFERROR(-IPMT($Q$8,P380,$Q$9*12,$Q$6)+$Q$10*_xlfn.XLOOKUP($R$10,'RE Calculations'!$B$12:$B$16,'RE Calculations'!$C$12:$C$16,"ERROR - Check Input")/12,0)</f>
        <v>8.3333333333333339</v>
      </c>
      <c r="T380" s="142">
        <f t="shared" si="43"/>
        <v>0</v>
      </c>
      <c r="W380" s="12">
        <v>358</v>
      </c>
      <c r="X380" s="142">
        <f>IF(AA379&gt;0.01,IF(W380&lt;=($X$9*12),$X$15,-PMT($X$11,($X$12-$X$9)*12,$X$6)+$X$13*_xlfn.XLOOKUP($Y$13,'RE Calculations'!$B$12:$B$16,'RE Calculations'!$C$12:$C$16,"ERROR - Check Input")/12),0)</f>
        <v>0</v>
      </c>
      <c r="Y380" s="142">
        <f t="shared" si="44"/>
        <v>0</v>
      </c>
      <c r="Z380" s="142">
        <f>IF(W380&lt;=($X$9*12),$X$15,IFERROR(-IPMT($X$11,W380-$X$9*12,($X$12-$X$9)*12,$X$6)+$X$13*_xlfn.XLOOKUP($Y$13,'RE Calculations'!$B$12:$B$16,'RE Calculations'!$C$12:$C$16,"ERROR - Check Input")/12,0))</f>
        <v>10</v>
      </c>
      <c r="AA380" s="142">
        <f t="shared" si="45"/>
        <v>0</v>
      </c>
    </row>
    <row r="381" spans="2:27" x14ac:dyDescent="0.35">
      <c r="B381" s="12">
        <v>359</v>
      </c>
      <c r="C381" s="142">
        <f>IF(F380&gt;0.01,-PMT($C$8,$C$9*12,$C$6)+$C$10*_xlfn.XLOOKUP($D$10,'RE Calculations'!$B$12:$B$16,'RE Calculations'!$C$12:$C$16,"ERROR - Check Input")/12,0)</f>
        <v>0</v>
      </c>
      <c r="D381" s="142">
        <f t="shared" si="46"/>
        <v>0</v>
      </c>
      <c r="E381" s="142">
        <f>IFERROR(-IPMT($C$8,B381,$C$9*12,$C$6)+$C$10*_xlfn.XLOOKUP($D$10,'RE Calculations'!$B$12:$B$16,'RE Calculations'!$C$12:$C$16,"ERROR - Check Input")/12,0)</f>
        <v>8.3333333333333339</v>
      </c>
      <c r="F381" s="142">
        <f t="shared" si="47"/>
        <v>0</v>
      </c>
      <c r="I381" s="12">
        <v>359</v>
      </c>
      <c r="J381" s="142">
        <f>IF(M380&gt;0.01,IF(I381&lt;=($J$9*12),$J$15,-PMT($J$11,($J$12-$J$9)*12,$J$6)+$J$13*_xlfn.XLOOKUP($K$13,'RE Calculations'!$B$12:$B$16,'RE Calculations'!$C$12:$C$16,"ERROR - Check Input")/12),0)</f>
        <v>0</v>
      </c>
      <c r="K381" s="142">
        <f t="shared" si="40"/>
        <v>0</v>
      </c>
      <c r="L381" s="142">
        <f>IF(I381&lt;=($J$9*12),$J$15,IFERROR(-IPMT($J$11,I381-$J$9*12,($J$12-$J$9)*12,$J$6)+$J$13*_xlfn.XLOOKUP($K$13,'RE Calculations'!$B$12:$B$16,'RE Calculations'!$C$12:$C$16,"ERROR - Check Input")/12,0))</f>
        <v>10</v>
      </c>
      <c r="M381" s="142">
        <f t="shared" si="41"/>
        <v>0</v>
      </c>
      <c r="P381" s="12">
        <v>359</v>
      </c>
      <c r="Q381" s="142">
        <f>IF(T380&gt;0.01,-PMT($Q$8,$Q$9*12,$Q$6)+$Q$10*_xlfn.XLOOKUP($R$10,'RE Calculations'!$B$12:$B$16,'RE Calculations'!$C$12:$C$16,"ERROR - Check Input")/12,0)</f>
        <v>0</v>
      </c>
      <c r="R381" s="142">
        <f t="shared" si="42"/>
        <v>0</v>
      </c>
      <c r="S381" s="142">
        <f>IFERROR(-IPMT($Q$8,P381,$Q$9*12,$Q$6)+$Q$10*_xlfn.XLOOKUP($R$10,'RE Calculations'!$B$12:$B$16,'RE Calculations'!$C$12:$C$16,"ERROR - Check Input")/12,0)</f>
        <v>8.3333333333333339</v>
      </c>
      <c r="T381" s="142">
        <f t="shared" si="43"/>
        <v>0</v>
      </c>
      <c r="W381" s="12">
        <v>359</v>
      </c>
      <c r="X381" s="142">
        <f>IF(AA380&gt;0.01,IF(W381&lt;=($X$9*12),$X$15,-PMT($X$11,($X$12-$X$9)*12,$X$6)+$X$13*_xlfn.XLOOKUP($Y$13,'RE Calculations'!$B$12:$B$16,'RE Calculations'!$C$12:$C$16,"ERROR - Check Input")/12),0)</f>
        <v>0</v>
      </c>
      <c r="Y381" s="142">
        <f t="shared" si="44"/>
        <v>0</v>
      </c>
      <c r="Z381" s="142">
        <f>IF(W381&lt;=($X$9*12),$X$15,IFERROR(-IPMT($X$11,W381-$X$9*12,($X$12-$X$9)*12,$X$6)+$X$13*_xlfn.XLOOKUP($Y$13,'RE Calculations'!$B$12:$B$16,'RE Calculations'!$C$12:$C$16,"ERROR - Check Input")/12,0))</f>
        <v>10</v>
      </c>
      <c r="AA381" s="142">
        <f t="shared" si="45"/>
        <v>0</v>
      </c>
    </row>
    <row r="382" spans="2:27" x14ac:dyDescent="0.35">
      <c r="B382" s="12">
        <v>360</v>
      </c>
      <c r="C382" s="142">
        <f>IF(F381&gt;0.01,-PMT($C$8,$C$9*12,$C$6)+$C$10*_xlfn.XLOOKUP($D$10,'RE Calculations'!$B$12:$B$16,'RE Calculations'!$C$12:$C$16,"ERROR - Check Input")/12,0)</f>
        <v>0</v>
      </c>
      <c r="D382" s="142">
        <f t="shared" si="46"/>
        <v>0</v>
      </c>
      <c r="E382" s="142">
        <f>IFERROR(-IPMT($C$8,B382,$C$9*12,$C$6)+$C$10*_xlfn.XLOOKUP($D$10,'RE Calculations'!$B$12:$B$16,'RE Calculations'!$C$12:$C$16,"ERROR - Check Input")/12,0)</f>
        <v>8.3333333333333339</v>
      </c>
      <c r="F382" s="142">
        <f t="shared" si="47"/>
        <v>0</v>
      </c>
      <c r="I382" s="12">
        <v>360</v>
      </c>
      <c r="J382" s="142">
        <f>IF(M381&gt;0.01,IF(I382&lt;=($J$9*12),$J$15,-PMT($J$11,($J$12-$J$9)*12,$J$6)+$J$13*_xlfn.XLOOKUP($K$13,'RE Calculations'!$B$12:$B$16,'RE Calculations'!$C$12:$C$16,"ERROR - Check Input")/12),0)</f>
        <v>0</v>
      </c>
      <c r="K382" s="142">
        <f t="shared" si="40"/>
        <v>0</v>
      </c>
      <c r="L382" s="142">
        <f>IF(I382&lt;=($J$9*12),$J$15,IFERROR(-IPMT($J$11,I382-$J$9*12,($J$12-$J$9)*12,$J$6)+$J$13*_xlfn.XLOOKUP($K$13,'RE Calculations'!$B$12:$B$16,'RE Calculations'!$C$12:$C$16,"ERROR - Check Input")/12,0))</f>
        <v>10</v>
      </c>
      <c r="M382" s="142">
        <f t="shared" si="41"/>
        <v>0</v>
      </c>
      <c r="P382" s="12">
        <v>360</v>
      </c>
      <c r="Q382" s="142">
        <f>IF(T381&gt;0.01,-PMT($Q$8,$Q$9*12,$Q$6)+$Q$10*_xlfn.XLOOKUP($R$10,'RE Calculations'!$B$12:$B$16,'RE Calculations'!$C$12:$C$16,"ERROR - Check Input")/12,0)</f>
        <v>0</v>
      </c>
      <c r="R382" s="142">
        <f t="shared" si="42"/>
        <v>0</v>
      </c>
      <c r="S382" s="142">
        <f>IFERROR(-IPMT($Q$8,P382,$Q$9*12,$Q$6)+$Q$10*_xlfn.XLOOKUP($R$10,'RE Calculations'!$B$12:$B$16,'RE Calculations'!$C$12:$C$16,"ERROR - Check Input")/12,0)</f>
        <v>8.3333333333333339</v>
      </c>
      <c r="T382" s="142">
        <f t="shared" si="43"/>
        <v>0</v>
      </c>
      <c r="W382" s="12">
        <v>360</v>
      </c>
      <c r="X382" s="142">
        <f>IF(AA381&gt;0.01,IF(W382&lt;=($X$9*12),$X$15,-PMT($X$11,($X$12-$X$9)*12,$X$6)+$X$13*_xlfn.XLOOKUP($Y$13,'RE Calculations'!$B$12:$B$16,'RE Calculations'!$C$12:$C$16,"ERROR - Check Input")/12),0)</f>
        <v>0</v>
      </c>
      <c r="Y382" s="142">
        <f t="shared" si="44"/>
        <v>0</v>
      </c>
      <c r="Z382" s="142">
        <f>IF(W382&lt;=($X$9*12),$X$15,IFERROR(-IPMT($X$11,W382-$X$9*12,($X$12-$X$9)*12,$X$6)+$X$13*_xlfn.XLOOKUP($Y$13,'RE Calculations'!$B$12:$B$16,'RE Calculations'!$C$12:$C$16,"ERROR - Check Input")/12,0))</f>
        <v>10</v>
      </c>
      <c r="AA382" s="142">
        <f t="shared" si="45"/>
        <v>0</v>
      </c>
    </row>
    <row r="383" spans="2:27" x14ac:dyDescent="0.35">
      <c r="B383" s="12">
        <v>361</v>
      </c>
      <c r="C383" s="142">
        <f>IF(F382&gt;0.01,-PMT($C$8,$C$9*12,$C$6)+$C$10*_xlfn.XLOOKUP($D$10,'RE Calculations'!$B$12:$B$16,'RE Calculations'!$C$12:$C$16,"ERROR - Check Input")/12,0)</f>
        <v>0</v>
      </c>
      <c r="D383" s="142">
        <f t="shared" si="46"/>
        <v>0</v>
      </c>
      <c r="E383" s="142">
        <f>IFERROR(-IPMT($C$8,B383,$C$9*12,$C$6)+$C$10*_xlfn.XLOOKUP($D$10,'RE Calculations'!$B$12:$B$16,'RE Calculations'!$C$12:$C$16,"ERROR - Check Input")/12,0)</f>
        <v>0</v>
      </c>
      <c r="F383" s="142">
        <f t="shared" si="47"/>
        <v>0</v>
      </c>
      <c r="I383" s="12">
        <v>361</v>
      </c>
      <c r="J383" s="142">
        <f>IF(M382&gt;0.01,IF(I383&lt;=($J$9*12),$J$15,-PMT($J$11,($J$12-$J$9)*12,$J$6)+$J$13*_xlfn.XLOOKUP($K$13,'RE Calculations'!$B$12:$B$16,'RE Calculations'!$C$12:$C$16,"ERROR - Check Input")/12),0)</f>
        <v>0</v>
      </c>
      <c r="K383" s="142">
        <f t="shared" si="40"/>
        <v>0</v>
      </c>
      <c r="L383" s="142">
        <f>IF(I383&lt;=($J$9*12),$J$15,IFERROR(-IPMT($J$11,I383-$J$9*12,($J$12-$J$9)*12,$J$6)+$J$13*_xlfn.XLOOKUP($K$13,'RE Calculations'!$B$12:$B$16,'RE Calculations'!$C$12:$C$16,"ERROR - Check Input")/12,0))</f>
        <v>0</v>
      </c>
      <c r="M383" s="142">
        <f t="shared" si="41"/>
        <v>0</v>
      </c>
      <c r="P383" s="12">
        <v>361</v>
      </c>
      <c r="Q383" s="142">
        <f>IF(T382&gt;0.01,-PMT($Q$8,$Q$9*12,$Q$6)+$Q$10*_xlfn.XLOOKUP($R$10,'RE Calculations'!$B$12:$B$16,'RE Calculations'!$C$12:$C$16,"ERROR - Check Input")/12,0)</f>
        <v>0</v>
      </c>
      <c r="R383" s="142">
        <f t="shared" si="42"/>
        <v>0</v>
      </c>
      <c r="S383" s="142">
        <f>IFERROR(-IPMT($Q$8,P383,$Q$9*12,$Q$6)+$Q$10*_xlfn.XLOOKUP($R$10,'RE Calculations'!$B$12:$B$16,'RE Calculations'!$C$12:$C$16,"ERROR - Check Input")/12,0)</f>
        <v>0</v>
      </c>
      <c r="T383" s="142">
        <f t="shared" si="43"/>
        <v>0</v>
      </c>
      <c r="W383" s="12">
        <v>361</v>
      </c>
      <c r="X383" s="142">
        <f>IF(AA382&gt;0.01,IF(W383&lt;=($X$9*12),$X$15,-PMT($X$11,($X$12-$X$9)*12,$X$6)+$X$13*_xlfn.XLOOKUP($Y$13,'RE Calculations'!$B$12:$B$16,'RE Calculations'!$C$12:$C$16,"ERROR - Check Input")/12),0)</f>
        <v>0</v>
      </c>
      <c r="Y383" s="142">
        <f t="shared" si="44"/>
        <v>0</v>
      </c>
      <c r="Z383" s="142">
        <f>IF(W383&lt;=($X$9*12),$X$15,IFERROR(-IPMT($X$11,W383-$X$9*12,($X$12-$X$9)*12,$X$6)+$X$13*_xlfn.XLOOKUP($Y$13,'RE Calculations'!$B$12:$B$16,'RE Calculations'!$C$12:$C$16,"ERROR - Check Input")/12,0))</f>
        <v>0</v>
      </c>
      <c r="AA383" s="142">
        <f t="shared" si="45"/>
        <v>0</v>
      </c>
    </row>
    <row r="384" spans="2:27" x14ac:dyDescent="0.35">
      <c r="B384" s="12">
        <v>362</v>
      </c>
      <c r="C384" s="142">
        <f>IF(F383&gt;0.01,-PMT($C$8,$C$9*12,$C$6)+$C$10*_xlfn.XLOOKUP($D$10,'RE Calculations'!$B$12:$B$16,'RE Calculations'!$C$12:$C$16,"ERROR - Check Input")/12,0)</f>
        <v>0</v>
      </c>
      <c r="D384" s="142">
        <f t="shared" si="46"/>
        <v>0</v>
      </c>
      <c r="E384" s="142">
        <f>IFERROR(-IPMT($C$8,B384,$C$9*12,$C$6)+$C$10*_xlfn.XLOOKUP($D$10,'RE Calculations'!$B$12:$B$16,'RE Calculations'!$C$12:$C$16,"ERROR - Check Input")/12,0)</f>
        <v>0</v>
      </c>
      <c r="F384" s="142">
        <f t="shared" si="47"/>
        <v>0</v>
      </c>
      <c r="I384" s="12">
        <v>362</v>
      </c>
      <c r="J384" s="142">
        <f>IF(M383&gt;0.01,IF(I384&lt;=($J$9*12),$J$15,-PMT($J$11,($J$12-$J$9)*12,$J$6)+$J$13*_xlfn.XLOOKUP($K$13,'RE Calculations'!$B$12:$B$16,'RE Calculations'!$C$12:$C$16,"ERROR - Check Input")/12),0)</f>
        <v>0</v>
      </c>
      <c r="K384" s="142">
        <f t="shared" si="40"/>
        <v>0</v>
      </c>
      <c r="L384" s="142">
        <f>IF(I384&lt;=($J$9*12),$J$15,IFERROR(-IPMT($J$11,I384-$J$9*12,($J$12-$J$9)*12,$J$6)+$J$13*_xlfn.XLOOKUP($K$13,'RE Calculations'!$B$12:$B$16,'RE Calculations'!$C$12:$C$16,"ERROR - Check Input")/12,0))</f>
        <v>0</v>
      </c>
      <c r="M384" s="142">
        <f t="shared" si="41"/>
        <v>0</v>
      </c>
      <c r="P384" s="12">
        <v>362</v>
      </c>
      <c r="Q384" s="142">
        <f>IF(T383&gt;0.01,-PMT($Q$8,$Q$9*12,$Q$6)+$Q$10*_xlfn.XLOOKUP($R$10,'RE Calculations'!$B$12:$B$16,'RE Calculations'!$C$12:$C$16,"ERROR - Check Input")/12,0)</f>
        <v>0</v>
      </c>
      <c r="R384" s="142">
        <f t="shared" si="42"/>
        <v>0</v>
      </c>
      <c r="S384" s="142">
        <f>IFERROR(-IPMT($Q$8,P384,$Q$9*12,$Q$6)+$Q$10*_xlfn.XLOOKUP($R$10,'RE Calculations'!$B$12:$B$16,'RE Calculations'!$C$12:$C$16,"ERROR - Check Input")/12,0)</f>
        <v>0</v>
      </c>
      <c r="T384" s="142">
        <f t="shared" si="43"/>
        <v>0</v>
      </c>
      <c r="W384" s="12">
        <v>362</v>
      </c>
      <c r="X384" s="142">
        <f>IF(AA383&gt;0.01,IF(W384&lt;=($X$9*12),$X$15,-PMT($X$11,($X$12-$X$9)*12,$X$6)+$X$13*_xlfn.XLOOKUP($Y$13,'RE Calculations'!$B$12:$B$16,'RE Calculations'!$C$12:$C$16,"ERROR - Check Input")/12),0)</f>
        <v>0</v>
      </c>
      <c r="Y384" s="142">
        <f t="shared" si="44"/>
        <v>0</v>
      </c>
      <c r="Z384" s="142">
        <f>IF(W384&lt;=($X$9*12),$X$15,IFERROR(-IPMT($X$11,W384-$X$9*12,($X$12-$X$9)*12,$X$6)+$X$13*_xlfn.XLOOKUP($Y$13,'RE Calculations'!$B$12:$B$16,'RE Calculations'!$C$12:$C$16,"ERROR - Check Input")/12,0))</f>
        <v>0</v>
      </c>
      <c r="AA384" s="142">
        <f t="shared" si="45"/>
        <v>0</v>
      </c>
    </row>
    <row r="385" spans="2:27" x14ac:dyDescent="0.35">
      <c r="B385" s="12">
        <v>363</v>
      </c>
      <c r="C385" s="142">
        <f>IF(F384&gt;0.01,-PMT($C$8,$C$9*12,$C$6)+$C$10*_xlfn.XLOOKUP($D$10,'RE Calculations'!$B$12:$B$16,'RE Calculations'!$C$12:$C$16,"ERROR - Check Input")/12,0)</f>
        <v>0</v>
      </c>
      <c r="D385" s="142">
        <f t="shared" si="46"/>
        <v>0</v>
      </c>
      <c r="E385" s="142">
        <f>IFERROR(-IPMT($C$8,B385,$C$9*12,$C$6)+$C$10*_xlfn.XLOOKUP($D$10,'RE Calculations'!$B$12:$B$16,'RE Calculations'!$C$12:$C$16,"ERROR - Check Input")/12,0)</f>
        <v>0</v>
      </c>
      <c r="F385" s="142">
        <f t="shared" si="47"/>
        <v>0</v>
      </c>
      <c r="I385" s="12">
        <v>363</v>
      </c>
      <c r="J385" s="142">
        <f>IF(M384&gt;0.01,IF(I385&lt;=($J$9*12),$J$15,-PMT($J$11,($J$12-$J$9)*12,$J$6)+$J$13*_xlfn.XLOOKUP($K$13,'RE Calculations'!$B$12:$B$16,'RE Calculations'!$C$12:$C$16,"ERROR - Check Input")/12),0)</f>
        <v>0</v>
      </c>
      <c r="K385" s="142">
        <f t="shared" si="40"/>
        <v>0</v>
      </c>
      <c r="L385" s="142">
        <f>IF(I385&lt;=($J$9*12),$J$15,IFERROR(-IPMT($J$11,I385-$J$9*12,($J$12-$J$9)*12,$J$6)+$J$13*_xlfn.XLOOKUP($K$13,'RE Calculations'!$B$12:$B$16,'RE Calculations'!$C$12:$C$16,"ERROR - Check Input")/12,0))</f>
        <v>0</v>
      </c>
      <c r="M385" s="142">
        <f t="shared" si="41"/>
        <v>0</v>
      </c>
      <c r="P385" s="12">
        <v>363</v>
      </c>
      <c r="Q385" s="142">
        <f>IF(T384&gt;0.01,-PMT($Q$8,$Q$9*12,$Q$6)+$Q$10*_xlfn.XLOOKUP($R$10,'RE Calculations'!$B$12:$B$16,'RE Calculations'!$C$12:$C$16,"ERROR - Check Input")/12,0)</f>
        <v>0</v>
      </c>
      <c r="R385" s="142">
        <f t="shared" si="42"/>
        <v>0</v>
      </c>
      <c r="S385" s="142">
        <f>IFERROR(-IPMT($Q$8,P385,$Q$9*12,$Q$6)+$Q$10*_xlfn.XLOOKUP($R$10,'RE Calculations'!$B$12:$B$16,'RE Calculations'!$C$12:$C$16,"ERROR - Check Input")/12,0)</f>
        <v>0</v>
      </c>
      <c r="T385" s="142">
        <f t="shared" si="43"/>
        <v>0</v>
      </c>
      <c r="W385" s="12">
        <v>363</v>
      </c>
      <c r="X385" s="142">
        <f>IF(AA384&gt;0.01,IF(W385&lt;=($X$9*12),$X$15,-PMT($X$11,($X$12-$X$9)*12,$X$6)+$X$13*_xlfn.XLOOKUP($Y$13,'RE Calculations'!$B$12:$B$16,'RE Calculations'!$C$12:$C$16,"ERROR - Check Input")/12),0)</f>
        <v>0</v>
      </c>
      <c r="Y385" s="142">
        <f t="shared" si="44"/>
        <v>0</v>
      </c>
      <c r="Z385" s="142">
        <f>IF(W385&lt;=($X$9*12),$X$15,IFERROR(-IPMT($X$11,W385-$X$9*12,($X$12-$X$9)*12,$X$6)+$X$13*_xlfn.XLOOKUP($Y$13,'RE Calculations'!$B$12:$B$16,'RE Calculations'!$C$12:$C$16,"ERROR - Check Input")/12,0))</f>
        <v>0</v>
      </c>
      <c r="AA385" s="142">
        <f t="shared" si="45"/>
        <v>0</v>
      </c>
    </row>
    <row r="386" spans="2:27" x14ac:dyDescent="0.35">
      <c r="B386" s="12">
        <v>364</v>
      </c>
      <c r="C386" s="142">
        <f>IF(F385&gt;0.01,-PMT($C$8,$C$9*12,$C$6)+$C$10*_xlfn.XLOOKUP($D$10,'RE Calculations'!$B$12:$B$16,'RE Calculations'!$C$12:$C$16,"ERROR - Check Input")/12,0)</f>
        <v>0</v>
      </c>
      <c r="D386" s="142">
        <f t="shared" si="46"/>
        <v>0</v>
      </c>
      <c r="E386" s="142">
        <f>IFERROR(-IPMT($C$8,B386,$C$9*12,$C$6)+$C$10*_xlfn.XLOOKUP($D$10,'RE Calculations'!$B$12:$B$16,'RE Calculations'!$C$12:$C$16,"ERROR - Check Input")/12,0)</f>
        <v>0</v>
      </c>
      <c r="F386" s="142">
        <f t="shared" si="47"/>
        <v>0</v>
      </c>
      <c r="I386" s="12">
        <v>364</v>
      </c>
      <c r="J386" s="142">
        <f>IF(M385&gt;0.01,IF(I386&lt;=($J$9*12),$J$15,-PMT($J$11,($J$12-$J$9)*12,$J$6)+$J$13*_xlfn.XLOOKUP($K$13,'RE Calculations'!$B$12:$B$16,'RE Calculations'!$C$12:$C$16,"ERROR - Check Input")/12),0)</f>
        <v>0</v>
      </c>
      <c r="K386" s="142">
        <f t="shared" si="40"/>
        <v>0</v>
      </c>
      <c r="L386" s="142">
        <f>IF(I386&lt;=($J$9*12),$J$15,IFERROR(-IPMT($J$11,I386-$J$9*12,($J$12-$J$9)*12,$J$6)+$J$13*_xlfn.XLOOKUP($K$13,'RE Calculations'!$B$12:$B$16,'RE Calculations'!$C$12:$C$16,"ERROR - Check Input")/12,0))</f>
        <v>0</v>
      </c>
      <c r="M386" s="142">
        <f t="shared" si="41"/>
        <v>0</v>
      </c>
      <c r="P386" s="12">
        <v>364</v>
      </c>
      <c r="Q386" s="142">
        <f>IF(T385&gt;0.01,-PMT($Q$8,$Q$9*12,$Q$6)+$Q$10*_xlfn.XLOOKUP($R$10,'RE Calculations'!$B$12:$B$16,'RE Calculations'!$C$12:$C$16,"ERROR - Check Input")/12,0)</f>
        <v>0</v>
      </c>
      <c r="R386" s="142">
        <f t="shared" si="42"/>
        <v>0</v>
      </c>
      <c r="S386" s="142">
        <f>IFERROR(-IPMT($Q$8,P386,$Q$9*12,$Q$6)+$Q$10*_xlfn.XLOOKUP($R$10,'RE Calculations'!$B$12:$B$16,'RE Calculations'!$C$12:$C$16,"ERROR - Check Input")/12,0)</f>
        <v>0</v>
      </c>
      <c r="T386" s="142">
        <f t="shared" si="43"/>
        <v>0</v>
      </c>
      <c r="W386" s="12">
        <v>364</v>
      </c>
      <c r="X386" s="142">
        <f>IF(AA385&gt;0.01,IF(W386&lt;=($X$9*12),$X$15,-PMT($X$11,($X$12-$X$9)*12,$X$6)+$X$13*_xlfn.XLOOKUP($Y$13,'RE Calculations'!$B$12:$B$16,'RE Calculations'!$C$12:$C$16,"ERROR - Check Input")/12),0)</f>
        <v>0</v>
      </c>
      <c r="Y386" s="142">
        <f t="shared" si="44"/>
        <v>0</v>
      </c>
      <c r="Z386" s="142">
        <f>IF(W386&lt;=($X$9*12),$X$15,IFERROR(-IPMT($X$11,W386-$X$9*12,($X$12-$X$9)*12,$X$6)+$X$13*_xlfn.XLOOKUP($Y$13,'RE Calculations'!$B$12:$B$16,'RE Calculations'!$C$12:$C$16,"ERROR - Check Input")/12,0))</f>
        <v>0</v>
      </c>
      <c r="AA386" s="142">
        <f t="shared" si="45"/>
        <v>0</v>
      </c>
    </row>
    <row r="387" spans="2:27" x14ac:dyDescent="0.35">
      <c r="B387" s="12">
        <v>365</v>
      </c>
      <c r="C387" s="142">
        <f>IF(F386&gt;0.01,-PMT($C$8,$C$9*12,$C$6)+$C$10*_xlfn.XLOOKUP($D$10,'RE Calculations'!$B$12:$B$16,'RE Calculations'!$C$12:$C$16,"ERROR - Check Input")/12,0)</f>
        <v>0</v>
      </c>
      <c r="D387" s="142">
        <f t="shared" si="46"/>
        <v>0</v>
      </c>
      <c r="E387" s="142">
        <f>IFERROR(-IPMT($C$8,B387,$C$9*12,$C$6)+$C$10*_xlfn.XLOOKUP($D$10,'RE Calculations'!$B$12:$B$16,'RE Calculations'!$C$12:$C$16,"ERROR - Check Input")/12,0)</f>
        <v>0</v>
      </c>
      <c r="F387" s="142">
        <f t="shared" si="47"/>
        <v>0</v>
      </c>
      <c r="I387" s="12">
        <v>365</v>
      </c>
      <c r="J387" s="142">
        <f>IF(M386&gt;0.01,IF(I387&lt;=($J$9*12),$J$15,-PMT($J$11,($J$12-$J$9)*12,$J$6)+$J$13*_xlfn.XLOOKUP($K$13,'RE Calculations'!$B$12:$B$16,'RE Calculations'!$C$12:$C$16,"ERROR - Check Input")/12),0)</f>
        <v>0</v>
      </c>
      <c r="K387" s="142">
        <f t="shared" si="40"/>
        <v>0</v>
      </c>
      <c r="L387" s="142">
        <f>IF(I387&lt;=($J$9*12),$J$15,IFERROR(-IPMT($J$11,I387-$J$9*12,($J$12-$J$9)*12,$J$6)+$J$13*_xlfn.XLOOKUP($K$13,'RE Calculations'!$B$12:$B$16,'RE Calculations'!$C$12:$C$16,"ERROR - Check Input")/12,0))</f>
        <v>0</v>
      </c>
      <c r="M387" s="142">
        <f t="shared" si="41"/>
        <v>0</v>
      </c>
      <c r="P387" s="12">
        <v>365</v>
      </c>
      <c r="Q387" s="142">
        <f>IF(T386&gt;0.01,-PMT($Q$8,$Q$9*12,$Q$6)+$Q$10*_xlfn.XLOOKUP($R$10,'RE Calculations'!$B$12:$B$16,'RE Calculations'!$C$12:$C$16,"ERROR - Check Input")/12,0)</f>
        <v>0</v>
      </c>
      <c r="R387" s="142">
        <f t="shared" si="42"/>
        <v>0</v>
      </c>
      <c r="S387" s="142">
        <f>IFERROR(-IPMT($Q$8,P387,$Q$9*12,$Q$6)+$Q$10*_xlfn.XLOOKUP($R$10,'RE Calculations'!$B$12:$B$16,'RE Calculations'!$C$12:$C$16,"ERROR - Check Input")/12,0)</f>
        <v>0</v>
      </c>
      <c r="T387" s="142">
        <f t="shared" si="43"/>
        <v>0</v>
      </c>
      <c r="W387" s="12">
        <v>365</v>
      </c>
      <c r="X387" s="142">
        <f>IF(AA386&gt;0.01,IF(W387&lt;=($X$9*12),$X$15,-PMT($X$11,($X$12-$X$9)*12,$X$6)+$X$13*_xlfn.XLOOKUP($Y$13,'RE Calculations'!$B$12:$B$16,'RE Calculations'!$C$12:$C$16,"ERROR - Check Input")/12),0)</f>
        <v>0</v>
      </c>
      <c r="Y387" s="142">
        <f t="shared" si="44"/>
        <v>0</v>
      </c>
      <c r="Z387" s="142">
        <f>IF(W387&lt;=($X$9*12),$X$15,IFERROR(-IPMT($X$11,W387-$X$9*12,($X$12-$X$9)*12,$X$6)+$X$13*_xlfn.XLOOKUP($Y$13,'RE Calculations'!$B$12:$B$16,'RE Calculations'!$C$12:$C$16,"ERROR - Check Input")/12,0))</f>
        <v>0</v>
      </c>
      <c r="AA387" s="142">
        <f t="shared" si="45"/>
        <v>0</v>
      </c>
    </row>
    <row r="388" spans="2:27" x14ac:dyDescent="0.35">
      <c r="B388" s="12">
        <v>366</v>
      </c>
      <c r="C388" s="142">
        <f>IF(F387&gt;0.01,-PMT($C$8,$C$9*12,$C$6)+$C$10*_xlfn.XLOOKUP($D$10,'RE Calculations'!$B$12:$B$16,'RE Calculations'!$C$12:$C$16,"ERROR - Check Input")/12,0)</f>
        <v>0</v>
      </c>
      <c r="D388" s="142">
        <f t="shared" si="46"/>
        <v>0</v>
      </c>
      <c r="E388" s="142">
        <f>IFERROR(-IPMT($C$8,B388,$C$9*12,$C$6)+$C$10*_xlfn.XLOOKUP($D$10,'RE Calculations'!$B$12:$B$16,'RE Calculations'!$C$12:$C$16,"ERROR - Check Input")/12,0)</f>
        <v>0</v>
      </c>
      <c r="F388" s="142">
        <f t="shared" si="47"/>
        <v>0</v>
      </c>
      <c r="I388" s="12">
        <v>366</v>
      </c>
      <c r="J388" s="142">
        <f>IF(M387&gt;0.01,IF(I388&lt;=($J$9*12),$J$15,-PMT($J$11,($J$12-$J$9)*12,$J$6)+$J$13*_xlfn.XLOOKUP($K$13,'RE Calculations'!$B$12:$B$16,'RE Calculations'!$C$12:$C$16,"ERROR - Check Input")/12),0)</f>
        <v>0</v>
      </c>
      <c r="K388" s="142">
        <f t="shared" si="40"/>
        <v>0</v>
      </c>
      <c r="L388" s="142">
        <f>IF(I388&lt;=($J$9*12),$J$15,IFERROR(-IPMT($J$11,I388-$J$9*12,($J$12-$J$9)*12,$J$6)+$J$13*_xlfn.XLOOKUP($K$13,'RE Calculations'!$B$12:$B$16,'RE Calculations'!$C$12:$C$16,"ERROR - Check Input")/12,0))</f>
        <v>0</v>
      </c>
      <c r="M388" s="142">
        <f t="shared" si="41"/>
        <v>0</v>
      </c>
      <c r="P388" s="12">
        <v>366</v>
      </c>
      <c r="Q388" s="142">
        <f>IF(T387&gt;0.01,-PMT($Q$8,$Q$9*12,$Q$6)+$Q$10*_xlfn.XLOOKUP($R$10,'RE Calculations'!$B$12:$B$16,'RE Calculations'!$C$12:$C$16,"ERROR - Check Input")/12,0)</f>
        <v>0</v>
      </c>
      <c r="R388" s="142">
        <f t="shared" si="42"/>
        <v>0</v>
      </c>
      <c r="S388" s="142">
        <f>IFERROR(-IPMT($Q$8,P388,$Q$9*12,$Q$6)+$Q$10*_xlfn.XLOOKUP($R$10,'RE Calculations'!$B$12:$B$16,'RE Calculations'!$C$12:$C$16,"ERROR - Check Input")/12,0)</f>
        <v>0</v>
      </c>
      <c r="T388" s="142">
        <f t="shared" si="43"/>
        <v>0</v>
      </c>
      <c r="W388" s="12">
        <v>366</v>
      </c>
      <c r="X388" s="142">
        <f>IF(AA387&gt;0.01,IF(W388&lt;=($X$9*12),$X$15,-PMT($X$11,($X$12-$X$9)*12,$X$6)+$X$13*_xlfn.XLOOKUP($Y$13,'RE Calculations'!$B$12:$B$16,'RE Calculations'!$C$12:$C$16,"ERROR - Check Input")/12),0)</f>
        <v>0</v>
      </c>
      <c r="Y388" s="142">
        <f t="shared" si="44"/>
        <v>0</v>
      </c>
      <c r="Z388" s="142">
        <f>IF(W388&lt;=($X$9*12),$X$15,IFERROR(-IPMT($X$11,W388-$X$9*12,($X$12-$X$9)*12,$X$6)+$X$13*_xlfn.XLOOKUP($Y$13,'RE Calculations'!$B$12:$B$16,'RE Calculations'!$C$12:$C$16,"ERROR - Check Input")/12,0))</f>
        <v>0</v>
      </c>
      <c r="AA388" s="142">
        <f t="shared" si="45"/>
        <v>0</v>
      </c>
    </row>
    <row r="389" spans="2:27" x14ac:dyDescent="0.35">
      <c r="B389" s="12">
        <v>367</v>
      </c>
      <c r="C389" s="142">
        <f>IF(F388&gt;0.01,-PMT($C$8,$C$9*12,$C$6)+$C$10*_xlfn.XLOOKUP($D$10,'RE Calculations'!$B$12:$B$16,'RE Calculations'!$C$12:$C$16,"ERROR - Check Input")/12,0)</f>
        <v>0</v>
      </c>
      <c r="D389" s="142">
        <f t="shared" si="46"/>
        <v>0</v>
      </c>
      <c r="E389" s="142">
        <f>IFERROR(-IPMT($C$8,B389,$C$9*12,$C$6)+$C$10*_xlfn.XLOOKUP($D$10,'RE Calculations'!$B$12:$B$16,'RE Calculations'!$C$12:$C$16,"ERROR - Check Input")/12,0)</f>
        <v>0</v>
      </c>
      <c r="F389" s="142">
        <f t="shared" si="47"/>
        <v>0</v>
      </c>
      <c r="I389" s="12">
        <v>367</v>
      </c>
      <c r="J389" s="142">
        <f>IF(M388&gt;0.01,IF(I389&lt;=($J$9*12),$J$15,-PMT($J$11,($J$12-$J$9)*12,$J$6)+$J$13*_xlfn.XLOOKUP($K$13,'RE Calculations'!$B$12:$B$16,'RE Calculations'!$C$12:$C$16,"ERROR - Check Input")/12),0)</f>
        <v>0</v>
      </c>
      <c r="K389" s="142">
        <f t="shared" si="40"/>
        <v>0</v>
      </c>
      <c r="L389" s="142">
        <f>IF(I389&lt;=($J$9*12),$J$15,IFERROR(-IPMT($J$11,I389-$J$9*12,($J$12-$J$9)*12,$J$6)+$J$13*_xlfn.XLOOKUP($K$13,'RE Calculations'!$B$12:$B$16,'RE Calculations'!$C$12:$C$16,"ERROR - Check Input")/12,0))</f>
        <v>0</v>
      </c>
      <c r="M389" s="142">
        <f t="shared" si="41"/>
        <v>0</v>
      </c>
      <c r="P389" s="12">
        <v>367</v>
      </c>
      <c r="Q389" s="142">
        <f>IF(T388&gt;0.01,-PMT($Q$8,$Q$9*12,$Q$6)+$Q$10*_xlfn.XLOOKUP($R$10,'RE Calculations'!$B$12:$B$16,'RE Calculations'!$C$12:$C$16,"ERROR - Check Input")/12,0)</f>
        <v>0</v>
      </c>
      <c r="R389" s="142">
        <f t="shared" si="42"/>
        <v>0</v>
      </c>
      <c r="S389" s="142">
        <f>IFERROR(-IPMT($Q$8,P389,$Q$9*12,$Q$6)+$Q$10*_xlfn.XLOOKUP($R$10,'RE Calculations'!$B$12:$B$16,'RE Calculations'!$C$12:$C$16,"ERROR - Check Input")/12,0)</f>
        <v>0</v>
      </c>
      <c r="T389" s="142">
        <f t="shared" si="43"/>
        <v>0</v>
      </c>
      <c r="W389" s="12">
        <v>367</v>
      </c>
      <c r="X389" s="142">
        <f>IF(AA388&gt;0.01,IF(W389&lt;=($X$9*12),$X$15,-PMT($X$11,($X$12-$X$9)*12,$X$6)+$X$13*_xlfn.XLOOKUP($Y$13,'RE Calculations'!$B$12:$B$16,'RE Calculations'!$C$12:$C$16,"ERROR - Check Input")/12),0)</f>
        <v>0</v>
      </c>
      <c r="Y389" s="142">
        <f t="shared" si="44"/>
        <v>0</v>
      </c>
      <c r="Z389" s="142">
        <f>IF(W389&lt;=($X$9*12),$X$15,IFERROR(-IPMT($X$11,W389-$X$9*12,($X$12-$X$9)*12,$X$6)+$X$13*_xlfn.XLOOKUP($Y$13,'RE Calculations'!$B$12:$B$16,'RE Calculations'!$C$12:$C$16,"ERROR - Check Input")/12,0))</f>
        <v>0</v>
      </c>
      <c r="AA389" s="142">
        <f t="shared" si="45"/>
        <v>0</v>
      </c>
    </row>
    <row r="390" spans="2:27" x14ac:dyDescent="0.35">
      <c r="B390" s="12">
        <v>368</v>
      </c>
      <c r="C390" s="142">
        <f>IF(F389&gt;0.01,-PMT($C$8,$C$9*12,$C$6)+$C$10*_xlfn.XLOOKUP($D$10,'RE Calculations'!$B$12:$B$16,'RE Calculations'!$C$12:$C$16,"ERROR - Check Input")/12,0)</f>
        <v>0</v>
      </c>
      <c r="D390" s="142">
        <f t="shared" si="46"/>
        <v>0</v>
      </c>
      <c r="E390" s="142">
        <f>IFERROR(-IPMT($C$8,B390,$C$9*12,$C$6)+$C$10*_xlfn.XLOOKUP($D$10,'RE Calculations'!$B$12:$B$16,'RE Calculations'!$C$12:$C$16,"ERROR - Check Input")/12,0)</f>
        <v>0</v>
      </c>
      <c r="F390" s="142">
        <f t="shared" si="47"/>
        <v>0</v>
      </c>
      <c r="I390" s="12">
        <v>368</v>
      </c>
      <c r="J390" s="142">
        <f>IF(M389&gt;0.01,IF(I390&lt;=($J$9*12),$J$15,-PMT($J$11,($J$12-$J$9)*12,$J$6)+$J$13*_xlfn.XLOOKUP($K$13,'RE Calculations'!$B$12:$B$16,'RE Calculations'!$C$12:$C$16,"ERROR - Check Input")/12),0)</f>
        <v>0</v>
      </c>
      <c r="K390" s="142">
        <f t="shared" si="40"/>
        <v>0</v>
      </c>
      <c r="L390" s="142">
        <f>IF(I390&lt;=($J$9*12),$J$15,IFERROR(-IPMT($J$11,I390-$J$9*12,($J$12-$J$9)*12,$J$6)+$J$13*_xlfn.XLOOKUP($K$13,'RE Calculations'!$B$12:$B$16,'RE Calculations'!$C$12:$C$16,"ERROR - Check Input")/12,0))</f>
        <v>0</v>
      </c>
      <c r="M390" s="142">
        <f t="shared" si="41"/>
        <v>0</v>
      </c>
      <c r="P390" s="12">
        <v>368</v>
      </c>
      <c r="Q390" s="142">
        <f>IF(T389&gt;0.01,-PMT($Q$8,$Q$9*12,$Q$6)+$Q$10*_xlfn.XLOOKUP($R$10,'RE Calculations'!$B$12:$B$16,'RE Calculations'!$C$12:$C$16,"ERROR - Check Input")/12,0)</f>
        <v>0</v>
      </c>
      <c r="R390" s="142">
        <f t="shared" si="42"/>
        <v>0</v>
      </c>
      <c r="S390" s="142">
        <f>IFERROR(-IPMT($Q$8,P390,$Q$9*12,$Q$6)+$Q$10*_xlfn.XLOOKUP($R$10,'RE Calculations'!$B$12:$B$16,'RE Calculations'!$C$12:$C$16,"ERROR - Check Input")/12,0)</f>
        <v>0</v>
      </c>
      <c r="T390" s="142">
        <f t="shared" si="43"/>
        <v>0</v>
      </c>
      <c r="W390" s="12">
        <v>368</v>
      </c>
      <c r="X390" s="142">
        <f>IF(AA389&gt;0.01,IF(W390&lt;=($X$9*12),$X$15,-PMT($X$11,($X$12-$X$9)*12,$X$6)+$X$13*_xlfn.XLOOKUP($Y$13,'RE Calculations'!$B$12:$B$16,'RE Calculations'!$C$12:$C$16,"ERROR - Check Input")/12),0)</f>
        <v>0</v>
      </c>
      <c r="Y390" s="142">
        <f t="shared" si="44"/>
        <v>0</v>
      </c>
      <c r="Z390" s="142">
        <f>IF(W390&lt;=($X$9*12),$X$15,IFERROR(-IPMT($X$11,W390-$X$9*12,($X$12-$X$9)*12,$X$6)+$X$13*_xlfn.XLOOKUP($Y$13,'RE Calculations'!$B$12:$B$16,'RE Calculations'!$C$12:$C$16,"ERROR - Check Input")/12,0))</f>
        <v>0</v>
      </c>
      <c r="AA390" s="142">
        <f t="shared" si="45"/>
        <v>0</v>
      </c>
    </row>
    <row r="391" spans="2:27" x14ac:dyDescent="0.35">
      <c r="B391" s="12">
        <v>369</v>
      </c>
      <c r="C391" s="142">
        <f>IF(F390&gt;0.01,-PMT($C$8,$C$9*12,$C$6)+$C$10*_xlfn.XLOOKUP($D$10,'RE Calculations'!$B$12:$B$16,'RE Calculations'!$C$12:$C$16,"ERROR - Check Input")/12,0)</f>
        <v>0</v>
      </c>
      <c r="D391" s="142">
        <f t="shared" si="46"/>
        <v>0</v>
      </c>
      <c r="E391" s="142">
        <f>IFERROR(-IPMT($C$8,B391,$C$9*12,$C$6)+$C$10*_xlfn.XLOOKUP($D$10,'RE Calculations'!$B$12:$B$16,'RE Calculations'!$C$12:$C$16,"ERROR - Check Input")/12,0)</f>
        <v>0</v>
      </c>
      <c r="F391" s="142">
        <f t="shared" si="47"/>
        <v>0</v>
      </c>
      <c r="I391" s="12">
        <v>369</v>
      </c>
      <c r="J391" s="142">
        <f>IF(M390&gt;0.01,IF(I391&lt;=($J$9*12),$J$15,-PMT($J$11,($J$12-$J$9)*12,$J$6)+$J$13*_xlfn.XLOOKUP($K$13,'RE Calculations'!$B$12:$B$16,'RE Calculations'!$C$12:$C$16,"ERROR - Check Input")/12),0)</f>
        <v>0</v>
      </c>
      <c r="K391" s="142">
        <f t="shared" si="40"/>
        <v>0</v>
      </c>
      <c r="L391" s="142">
        <f>IF(I391&lt;=($J$9*12),$J$15,IFERROR(-IPMT($J$11,I391-$J$9*12,($J$12-$J$9)*12,$J$6)+$J$13*_xlfn.XLOOKUP($K$13,'RE Calculations'!$B$12:$B$16,'RE Calculations'!$C$12:$C$16,"ERROR - Check Input")/12,0))</f>
        <v>0</v>
      </c>
      <c r="M391" s="142">
        <f t="shared" si="41"/>
        <v>0</v>
      </c>
      <c r="P391" s="12">
        <v>369</v>
      </c>
      <c r="Q391" s="142">
        <f>IF(T390&gt;0.01,-PMT($Q$8,$Q$9*12,$Q$6)+$Q$10*_xlfn.XLOOKUP($R$10,'RE Calculations'!$B$12:$B$16,'RE Calculations'!$C$12:$C$16,"ERROR - Check Input")/12,0)</f>
        <v>0</v>
      </c>
      <c r="R391" s="142">
        <f t="shared" si="42"/>
        <v>0</v>
      </c>
      <c r="S391" s="142">
        <f>IFERROR(-IPMT($Q$8,P391,$Q$9*12,$Q$6)+$Q$10*_xlfn.XLOOKUP($R$10,'RE Calculations'!$B$12:$B$16,'RE Calculations'!$C$12:$C$16,"ERROR - Check Input")/12,0)</f>
        <v>0</v>
      </c>
      <c r="T391" s="142">
        <f t="shared" si="43"/>
        <v>0</v>
      </c>
      <c r="W391" s="12">
        <v>369</v>
      </c>
      <c r="X391" s="142">
        <f>IF(AA390&gt;0.01,IF(W391&lt;=($X$9*12),$X$15,-PMT($X$11,($X$12-$X$9)*12,$X$6)+$X$13*_xlfn.XLOOKUP($Y$13,'RE Calculations'!$B$12:$B$16,'RE Calculations'!$C$12:$C$16,"ERROR - Check Input")/12),0)</f>
        <v>0</v>
      </c>
      <c r="Y391" s="142">
        <f t="shared" si="44"/>
        <v>0</v>
      </c>
      <c r="Z391" s="142">
        <f>IF(W391&lt;=($X$9*12),$X$15,IFERROR(-IPMT($X$11,W391-$X$9*12,($X$12-$X$9)*12,$X$6)+$X$13*_xlfn.XLOOKUP($Y$13,'RE Calculations'!$B$12:$B$16,'RE Calculations'!$C$12:$C$16,"ERROR - Check Input")/12,0))</f>
        <v>0</v>
      </c>
      <c r="AA391" s="142">
        <f t="shared" si="45"/>
        <v>0</v>
      </c>
    </row>
    <row r="392" spans="2:27" x14ac:dyDescent="0.35">
      <c r="B392" s="12">
        <v>370</v>
      </c>
      <c r="C392" s="142">
        <f>IF(F391&gt;0.01,-PMT($C$8,$C$9*12,$C$6)+$C$10*_xlfn.XLOOKUP($D$10,'RE Calculations'!$B$12:$B$16,'RE Calculations'!$C$12:$C$16,"ERROR - Check Input")/12,0)</f>
        <v>0</v>
      </c>
      <c r="D392" s="142">
        <f t="shared" si="46"/>
        <v>0</v>
      </c>
      <c r="E392" s="142">
        <f>IFERROR(-IPMT($C$8,B392,$C$9*12,$C$6)+$C$10*_xlfn.XLOOKUP($D$10,'RE Calculations'!$B$12:$B$16,'RE Calculations'!$C$12:$C$16,"ERROR - Check Input")/12,0)</f>
        <v>0</v>
      </c>
      <c r="F392" s="142">
        <f t="shared" si="47"/>
        <v>0</v>
      </c>
      <c r="I392" s="12">
        <v>370</v>
      </c>
      <c r="J392" s="142">
        <f>IF(M391&gt;0.01,IF(I392&lt;=($J$9*12),$J$15,-PMT($J$11,($J$12-$J$9)*12,$J$6)+$J$13*_xlfn.XLOOKUP($K$13,'RE Calculations'!$B$12:$B$16,'RE Calculations'!$C$12:$C$16,"ERROR - Check Input")/12),0)</f>
        <v>0</v>
      </c>
      <c r="K392" s="142">
        <f t="shared" si="40"/>
        <v>0</v>
      </c>
      <c r="L392" s="142">
        <f>IF(I392&lt;=($J$9*12),$J$15,IFERROR(-IPMT($J$11,I392-$J$9*12,($J$12-$J$9)*12,$J$6)+$J$13*_xlfn.XLOOKUP($K$13,'RE Calculations'!$B$12:$B$16,'RE Calculations'!$C$12:$C$16,"ERROR - Check Input")/12,0))</f>
        <v>0</v>
      </c>
      <c r="M392" s="142">
        <f t="shared" si="41"/>
        <v>0</v>
      </c>
      <c r="P392" s="12">
        <v>370</v>
      </c>
      <c r="Q392" s="142">
        <f>IF(T391&gt;0.01,-PMT($Q$8,$Q$9*12,$Q$6)+$Q$10*_xlfn.XLOOKUP($R$10,'RE Calculations'!$B$12:$B$16,'RE Calculations'!$C$12:$C$16,"ERROR - Check Input")/12,0)</f>
        <v>0</v>
      </c>
      <c r="R392" s="142">
        <f t="shared" si="42"/>
        <v>0</v>
      </c>
      <c r="S392" s="142">
        <f>IFERROR(-IPMT($Q$8,P392,$Q$9*12,$Q$6)+$Q$10*_xlfn.XLOOKUP($R$10,'RE Calculations'!$B$12:$B$16,'RE Calculations'!$C$12:$C$16,"ERROR - Check Input")/12,0)</f>
        <v>0</v>
      </c>
      <c r="T392" s="142">
        <f t="shared" si="43"/>
        <v>0</v>
      </c>
      <c r="W392" s="12">
        <v>370</v>
      </c>
      <c r="X392" s="142">
        <f>IF(AA391&gt;0.01,IF(W392&lt;=($X$9*12),$X$15,-PMT($X$11,($X$12-$X$9)*12,$X$6)+$X$13*_xlfn.XLOOKUP($Y$13,'RE Calculations'!$B$12:$B$16,'RE Calculations'!$C$12:$C$16,"ERROR - Check Input")/12),0)</f>
        <v>0</v>
      </c>
      <c r="Y392" s="142">
        <f t="shared" si="44"/>
        <v>0</v>
      </c>
      <c r="Z392" s="142">
        <f>IF(W392&lt;=($X$9*12),$X$15,IFERROR(-IPMT($X$11,W392-$X$9*12,($X$12-$X$9)*12,$X$6)+$X$13*_xlfn.XLOOKUP($Y$13,'RE Calculations'!$B$12:$B$16,'RE Calculations'!$C$12:$C$16,"ERROR - Check Input")/12,0))</f>
        <v>0</v>
      </c>
      <c r="AA392" s="142">
        <f t="shared" si="45"/>
        <v>0</v>
      </c>
    </row>
    <row r="393" spans="2:27" x14ac:dyDescent="0.35">
      <c r="B393" s="12">
        <v>371</v>
      </c>
      <c r="C393" s="142">
        <f>IF(F392&gt;0.01,-PMT($C$8,$C$9*12,$C$6)+$C$10*_xlfn.XLOOKUP($D$10,'RE Calculations'!$B$12:$B$16,'RE Calculations'!$C$12:$C$16,"ERROR - Check Input")/12,0)</f>
        <v>0</v>
      </c>
      <c r="D393" s="142">
        <f t="shared" si="46"/>
        <v>0</v>
      </c>
      <c r="E393" s="142">
        <f>IFERROR(-IPMT($C$8,B393,$C$9*12,$C$6)+$C$10*_xlfn.XLOOKUP($D$10,'RE Calculations'!$B$12:$B$16,'RE Calculations'!$C$12:$C$16,"ERROR - Check Input")/12,0)</f>
        <v>0</v>
      </c>
      <c r="F393" s="142">
        <f t="shared" si="47"/>
        <v>0</v>
      </c>
      <c r="I393" s="12">
        <v>371</v>
      </c>
      <c r="J393" s="142">
        <f>IF(M392&gt;0.01,IF(I393&lt;=($J$9*12),$J$15,-PMT($J$11,($J$12-$J$9)*12,$J$6)+$J$13*_xlfn.XLOOKUP($K$13,'RE Calculations'!$B$12:$B$16,'RE Calculations'!$C$12:$C$16,"ERROR - Check Input")/12),0)</f>
        <v>0</v>
      </c>
      <c r="K393" s="142">
        <f t="shared" si="40"/>
        <v>0</v>
      </c>
      <c r="L393" s="142">
        <f>IF(I393&lt;=($J$9*12),$J$15,IFERROR(-IPMT($J$11,I393-$J$9*12,($J$12-$J$9)*12,$J$6)+$J$13*_xlfn.XLOOKUP($K$13,'RE Calculations'!$B$12:$B$16,'RE Calculations'!$C$12:$C$16,"ERROR - Check Input")/12,0))</f>
        <v>0</v>
      </c>
      <c r="M393" s="142">
        <f t="shared" si="41"/>
        <v>0</v>
      </c>
      <c r="P393" s="12">
        <v>371</v>
      </c>
      <c r="Q393" s="142">
        <f>IF(T392&gt;0.01,-PMT($Q$8,$Q$9*12,$Q$6)+$Q$10*_xlfn.XLOOKUP($R$10,'RE Calculations'!$B$12:$B$16,'RE Calculations'!$C$12:$C$16,"ERROR - Check Input")/12,0)</f>
        <v>0</v>
      </c>
      <c r="R393" s="142">
        <f t="shared" si="42"/>
        <v>0</v>
      </c>
      <c r="S393" s="142">
        <f>IFERROR(-IPMT($Q$8,P393,$Q$9*12,$Q$6)+$Q$10*_xlfn.XLOOKUP($R$10,'RE Calculations'!$B$12:$B$16,'RE Calculations'!$C$12:$C$16,"ERROR - Check Input")/12,0)</f>
        <v>0</v>
      </c>
      <c r="T393" s="142">
        <f t="shared" si="43"/>
        <v>0</v>
      </c>
      <c r="W393" s="12">
        <v>371</v>
      </c>
      <c r="X393" s="142">
        <f>IF(AA392&gt;0.01,IF(W393&lt;=($X$9*12),$X$15,-PMT($X$11,($X$12-$X$9)*12,$X$6)+$X$13*_xlfn.XLOOKUP($Y$13,'RE Calculations'!$B$12:$B$16,'RE Calculations'!$C$12:$C$16,"ERROR - Check Input")/12),0)</f>
        <v>0</v>
      </c>
      <c r="Y393" s="142">
        <f t="shared" si="44"/>
        <v>0</v>
      </c>
      <c r="Z393" s="142">
        <f>IF(W393&lt;=($X$9*12),$X$15,IFERROR(-IPMT($X$11,W393-$X$9*12,($X$12-$X$9)*12,$X$6)+$X$13*_xlfn.XLOOKUP($Y$13,'RE Calculations'!$B$12:$B$16,'RE Calculations'!$C$12:$C$16,"ERROR - Check Input")/12,0))</f>
        <v>0</v>
      </c>
      <c r="AA393" s="142">
        <f t="shared" si="45"/>
        <v>0</v>
      </c>
    </row>
    <row r="394" spans="2:27" x14ac:dyDescent="0.35">
      <c r="B394" s="12">
        <v>372</v>
      </c>
      <c r="C394" s="142">
        <f>IF(F393&gt;0.01,-PMT($C$8,$C$9*12,$C$6)+$C$10*_xlfn.XLOOKUP($D$10,'RE Calculations'!$B$12:$B$16,'RE Calculations'!$C$12:$C$16,"ERROR - Check Input")/12,0)</f>
        <v>0</v>
      </c>
      <c r="D394" s="142">
        <f t="shared" si="46"/>
        <v>0</v>
      </c>
      <c r="E394" s="142">
        <f>IFERROR(-IPMT($C$8,B394,$C$9*12,$C$6)+$C$10*_xlfn.XLOOKUP($D$10,'RE Calculations'!$B$12:$B$16,'RE Calculations'!$C$12:$C$16,"ERROR - Check Input")/12,0)</f>
        <v>0</v>
      </c>
      <c r="F394" s="142">
        <f t="shared" si="47"/>
        <v>0</v>
      </c>
      <c r="I394" s="12">
        <v>372</v>
      </c>
      <c r="J394" s="142">
        <f>IF(M393&gt;0.01,IF(I394&lt;=($J$9*12),$J$15,-PMT($J$11,($J$12-$J$9)*12,$J$6)+$J$13*_xlfn.XLOOKUP($K$13,'RE Calculations'!$B$12:$B$16,'RE Calculations'!$C$12:$C$16,"ERROR - Check Input")/12),0)</f>
        <v>0</v>
      </c>
      <c r="K394" s="142">
        <f t="shared" si="40"/>
        <v>0</v>
      </c>
      <c r="L394" s="142">
        <f>IF(I394&lt;=($J$9*12),$J$15,IFERROR(-IPMT($J$11,I394-$J$9*12,($J$12-$J$9)*12,$J$6)+$J$13*_xlfn.XLOOKUP($K$13,'RE Calculations'!$B$12:$B$16,'RE Calculations'!$C$12:$C$16,"ERROR - Check Input")/12,0))</f>
        <v>0</v>
      </c>
      <c r="M394" s="142">
        <f t="shared" si="41"/>
        <v>0</v>
      </c>
      <c r="P394" s="12">
        <v>372</v>
      </c>
      <c r="Q394" s="142">
        <f>IF(T393&gt;0.01,-PMT($Q$8,$Q$9*12,$Q$6)+$Q$10*_xlfn.XLOOKUP($R$10,'RE Calculations'!$B$12:$B$16,'RE Calculations'!$C$12:$C$16,"ERROR - Check Input")/12,0)</f>
        <v>0</v>
      </c>
      <c r="R394" s="142">
        <f t="shared" si="42"/>
        <v>0</v>
      </c>
      <c r="S394" s="142">
        <f>IFERROR(-IPMT($Q$8,P394,$Q$9*12,$Q$6)+$Q$10*_xlfn.XLOOKUP($R$10,'RE Calculations'!$B$12:$B$16,'RE Calculations'!$C$12:$C$16,"ERROR - Check Input")/12,0)</f>
        <v>0</v>
      </c>
      <c r="T394" s="142">
        <f t="shared" si="43"/>
        <v>0</v>
      </c>
      <c r="W394" s="12">
        <v>372</v>
      </c>
      <c r="X394" s="142">
        <f>IF(AA393&gt;0.01,IF(W394&lt;=($X$9*12),$X$15,-PMT($X$11,($X$12-$X$9)*12,$X$6)+$X$13*_xlfn.XLOOKUP($Y$13,'RE Calculations'!$B$12:$B$16,'RE Calculations'!$C$12:$C$16,"ERROR - Check Input")/12),0)</f>
        <v>0</v>
      </c>
      <c r="Y394" s="142">
        <f t="shared" si="44"/>
        <v>0</v>
      </c>
      <c r="Z394" s="142">
        <f>IF(W394&lt;=($X$9*12),$X$15,IFERROR(-IPMT($X$11,W394-$X$9*12,($X$12-$X$9)*12,$X$6)+$X$13*_xlfn.XLOOKUP($Y$13,'RE Calculations'!$B$12:$B$16,'RE Calculations'!$C$12:$C$16,"ERROR - Check Input")/12,0))</f>
        <v>0</v>
      </c>
      <c r="AA394" s="142">
        <f t="shared" si="45"/>
        <v>0</v>
      </c>
    </row>
    <row r="395" spans="2:27" x14ac:dyDescent="0.35">
      <c r="B395" s="12">
        <v>373</v>
      </c>
      <c r="C395" s="142">
        <f>IF(F394&gt;0.01,-PMT($C$8,$C$9*12,$C$6)+$C$10*_xlfn.XLOOKUP($D$10,'RE Calculations'!$B$12:$B$16,'RE Calculations'!$C$12:$C$16,"ERROR - Check Input")/12,0)</f>
        <v>0</v>
      </c>
      <c r="D395" s="142">
        <f t="shared" si="46"/>
        <v>0</v>
      </c>
      <c r="E395" s="142">
        <f>IFERROR(-IPMT($C$8,B395,$C$9*12,$C$6)+$C$10*_xlfn.XLOOKUP($D$10,'RE Calculations'!$B$12:$B$16,'RE Calculations'!$C$12:$C$16,"ERROR - Check Input")/12,0)</f>
        <v>0</v>
      </c>
      <c r="F395" s="142">
        <f t="shared" si="47"/>
        <v>0</v>
      </c>
      <c r="I395" s="12">
        <v>373</v>
      </c>
      <c r="J395" s="142">
        <f>IF(M394&gt;0.01,IF(I395&lt;=($J$9*12),$J$15,-PMT($J$11,($J$12-$J$9)*12,$J$6)+$J$13*_xlfn.XLOOKUP($K$13,'RE Calculations'!$B$12:$B$16,'RE Calculations'!$C$12:$C$16,"ERROR - Check Input")/12),0)</f>
        <v>0</v>
      </c>
      <c r="K395" s="142">
        <f t="shared" si="40"/>
        <v>0</v>
      </c>
      <c r="L395" s="142">
        <f>IF(I395&lt;=($J$9*12),$J$15,IFERROR(-IPMT($J$11,I395-$J$9*12,($J$12-$J$9)*12,$J$6)+$J$13*_xlfn.XLOOKUP($K$13,'RE Calculations'!$B$12:$B$16,'RE Calculations'!$C$12:$C$16,"ERROR - Check Input")/12,0))</f>
        <v>0</v>
      </c>
      <c r="M395" s="142">
        <f t="shared" si="41"/>
        <v>0</v>
      </c>
      <c r="P395" s="12">
        <v>373</v>
      </c>
      <c r="Q395" s="142">
        <f>IF(T394&gt;0.01,-PMT($Q$8,$Q$9*12,$Q$6)+$Q$10*_xlfn.XLOOKUP($R$10,'RE Calculations'!$B$12:$B$16,'RE Calculations'!$C$12:$C$16,"ERROR - Check Input")/12,0)</f>
        <v>0</v>
      </c>
      <c r="R395" s="142">
        <f t="shared" si="42"/>
        <v>0</v>
      </c>
      <c r="S395" s="142">
        <f>IFERROR(-IPMT($Q$8,P395,$Q$9*12,$Q$6)+$Q$10*_xlfn.XLOOKUP($R$10,'RE Calculations'!$B$12:$B$16,'RE Calculations'!$C$12:$C$16,"ERROR - Check Input")/12,0)</f>
        <v>0</v>
      </c>
      <c r="T395" s="142">
        <f t="shared" si="43"/>
        <v>0</v>
      </c>
      <c r="W395" s="12">
        <v>373</v>
      </c>
      <c r="X395" s="142">
        <f>IF(AA394&gt;0.01,IF(W395&lt;=($X$9*12),$X$15,-PMT($X$11,($X$12-$X$9)*12,$X$6)+$X$13*_xlfn.XLOOKUP($Y$13,'RE Calculations'!$B$12:$B$16,'RE Calculations'!$C$12:$C$16,"ERROR - Check Input")/12),0)</f>
        <v>0</v>
      </c>
      <c r="Y395" s="142">
        <f t="shared" si="44"/>
        <v>0</v>
      </c>
      <c r="Z395" s="142">
        <f>IF(W395&lt;=($X$9*12),$X$15,IFERROR(-IPMT($X$11,W395-$X$9*12,($X$12-$X$9)*12,$X$6)+$X$13*_xlfn.XLOOKUP($Y$13,'RE Calculations'!$B$12:$B$16,'RE Calculations'!$C$12:$C$16,"ERROR - Check Input")/12,0))</f>
        <v>0</v>
      </c>
      <c r="AA395" s="142">
        <f t="shared" si="45"/>
        <v>0</v>
      </c>
    </row>
    <row r="396" spans="2:27" x14ac:dyDescent="0.35">
      <c r="B396" s="12">
        <v>374</v>
      </c>
      <c r="C396" s="142">
        <f>IF(F395&gt;0.01,-PMT($C$8,$C$9*12,$C$6)+$C$10*_xlfn.XLOOKUP($D$10,'RE Calculations'!$B$12:$B$16,'RE Calculations'!$C$12:$C$16,"ERROR - Check Input")/12,0)</f>
        <v>0</v>
      </c>
      <c r="D396" s="142">
        <f t="shared" si="46"/>
        <v>0</v>
      </c>
      <c r="E396" s="142">
        <f>IFERROR(-IPMT($C$8,B396,$C$9*12,$C$6)+$C$10*_xlfn.XLOOKUP($D$10,'RE Calculations'!$B$12:$B$16,'RE Calculations'!$C$12:$C$16,"ERROR - Check Input")/12,0)</f>
        <v>0</v>
      </c>
      <c r="F396" s="142">
        <f t="shared" si="47"/>
        <v>0</v>
      </c>
      <c r="I396" s="12">
        <v>374</v>
      </c>
      <c r="J396" s="142">
        <f>IF(M395&gt;0.01,IF(I396&lt;=($J$9*12),$J$15,-PMT($J$11,($J$12-$J$9)*12,$J$6)+$J$13*_xlfn.XLOOKUP($K$13,'RE Calculations'!$B$12:$B$16,'RE Calculations'!$C$12:$C$16,"ERROR - Check Input")/12),0)</f>
        <v>0</v>
      </c>
      <c r="K396" s="142">
        <f t="shared" si="40"/>
        <v>0</v>
      </c>
      <c r="L396" s="142">
        <f>IF(I396&lt;=($J$9*12),$J$15,IFERROR(-IPMT($J$11,I396-$J$9*12,($J$12-$J$9)*12,$J$6)+$J$13*_xlfn.XLOOKUP($K$13,'RE Calculations'!$B$12:$B$16,'RE Calculations'!$C$12:$C$16,"ERROR - Check Input")/12,0))</f>
        <v>0</v>
      </c>
      <c r="M396" s="142">
        <f t="shared" si="41"/>
        <v>0</v>
      </c>
      <c r="P396" s="12">
        <v>374</v>
      </c>
      <c r="Q396" s="142">
        <f>IF(T395&gt;0.01,-PMT($Q$8,$Q$9*12,$Q$6)+$Q$10*_xlfn.XLOOKUP($R$10,'RE Calculations'!$B$12:$B$16,'RE Calculations'!$C$12:$C$16,"ERROR - Check Input")/12,0)</f>
        <v>0</v>
      </c>
      <c r="R396" s="142">
        <f t="shared" si="42"/>
        <v>0</v>
      </c>
      <c r="S396" s="142">
        <f>IFERROR(-IPMT($Q$8,P396,$Q$9*12,$Q$6)+$Q$10*_xlfn.XLOOKUP($R$10,'RE Calculations'!$B$12:$B$16,'RE Calculations'!$C$12:$C$16,"ERROR - Check Input")/12,0)</f>
        <v>0</v>
      </c>
      <c r="T396" s="142">
        <f t="shared" si="43"/>
        <v>0</v>
      </c>
      <c r="W396" s="12">
        <v>374</v>
      </c>
      <c r="X396" s="142">
        <f>IF(AA395&gt;0.01,IF(W396&lt;=($X$9*12),$X$15,-PMT($X$11,($X$12-$X$9)*12,$X$6)+$X$13*_xlfn.XLOOKUP($Y$13,'RE Calculations'!$B$12:$B$16,'RE Calculations'!$C$12:$C$16,"ERROR - Check Input")/12),0)</f>
        <v>0</v>
      </c>
      <c r="Y396" s="142">
        <f t="shared" si="44"/>
        <v>0</v>
      </c>
      <c r="Z396" s="142">
        <f>IF(W396&lt;=($X$9*12),$X$15,IFERROR(-IPMT($X$11,W396-$X$9*12,($X$12-$X$9)*12,$X$6)+$X$13*_xlfn.XLOOKUP($Y$13,'RE Calculations'!$B$12:$B$16,'RE Calculations'!$C$12:$C$16,"ERROR - Check Input")/12,0))</f>
        <v>0</v>
      </c>
      <c r="AA396" s="142">
        <f t="shared" si="45"/>
        <v>0</v>
      </c>
    </row>
    <row r="397" spans="2:27" x14ac:dyDescent="0.35">
      <c r="B397" s="12">
        <v>375</v>
      </c>
      <c r="C397" s="142">
        <f>IF(F396&gt;0.01,-PMT($C$8,$C$9*12,$C$6)+$C$10*_xlfn.XLOOKUP($D$10,'RE Calculations'!$B$12:$B$16,'RE Calculations'!$C$12:$C$16,"ERROR - Check Input")/12,0)</f>
        <v>0</v>
      </c>
      <c r="D397" s="142">
        <f t="shared" si="46"/>
        <v>0</v>
      </c>
      <c r="E397" s="142">
        <f>IFERROR(-IPMT($C$8,B397,$C$9*12,$C$6)+$C$10*_xlfn.XLOOKUP($D$10,'RE Calculations'!$B$12:$B$16,'RE Calculations'!$C$12:$C$16,"ERROR - Check Input")/12,0)</f>
        <v>0</v>
      </c>
      <c r="F397" s="142">
        <f t="shared" si="47"/>
        <v>0</v>
      </c>
      <c r="I397" s="12">
        <v>375</v>
      </c>
      <c r="J397" s="142">
        <f>IF(M396&gt;0.01,IF(I397&lt;=($J$9*12),$J$15,-PMT($J$11,($J$12-$J$9)*12,$J$6)+$J$13*_xlfn.XLOOKUP($K$13,'RE Calculations'!$B$12:$B$16,'RE Calculations'!$C$12:$C$16,"ERROR - Check Input")/12),0)</f>
        <v>0</v>
      </c>
      <c r="K397" s="142">
        <f t="shared" si="40"/>
        <v>0</v>
      </c>
      <c r="L397" s="142">
        <f>IF(I397&lt;=($J$9*12),$J$15,IFERROR(-IPMT($J$11,I397-$J$9*12,($J$12-$J$9)*12,$J$6)+$J$13*_xlfn.XLOOKUP($K$13,'RE Calculations'!$B$12:$B$16,'RE Calculations'!$C$12:$C$16,"ERROR - Check Input")/12,0))</f>
        <v>0</v>
      </c>
      <c r="M397" s="142">
        <f t="shared" si="41"/>
        <v>0</v>
      </c>
      <c r="P397" s="12">
        <v>375</v>
      </c>
      <c r="Q397" s="142">
        <f>IF(T396&gt;0.01,-PMT($Q$8,$Q$9*12,$Q$6)+$Q$10*_xlfn.XLOOKUP($R$10,'RE Calculations'!$B$12:$B$16,'RE Calculations'!$C$12:$C$16,"ERROR - Check Input")/12,0)</f>
        <v>0</v>
      </c>
      <c r="R397" s="142">
        <f t="shared" si="42"/>
        <v>0</v>
      </c>
      <c r="S397" s="142">
        <f>IFERROR(-IPMT($Q$8,P397,$Q$9*12,$Q$6)+$Q$10*_xlfn.XLOOKUP($R$10,'RE Calculations'!$B$12:$B$16,'RE Calculations'!$C$12:$C$16,"ERROR - Check Input")/12,0)</f>
        <v>0</v>
      </c>
      <c r="T397" s="142">
        <f t="shared" si="43"/>
        <v>0</v>
      </c>
      <c r="W397" s="12">
        <v>375</v>
      </c>
      <c r="X397" s="142">
        <f>IF(AA396&gt;0.01,IF(W397&lt;=($X$9*12),$X$15,-PMT($X$11,($X$12-$X$9)*12,$X$6)+$X$13*_xlfn.XLOOKUP($Y$13,'RE Calculations'!$B$12:$B$16,'RE Calculations'!$C$12:$C$16,"ERROR - Check Input")/12),0)</f>
        <v>0</v>
      </c>
      <c r="Y397" s="142">
        <f t="shared" si="44"/>
        <v>0</v>
      </c>
      <c r="Z397" s="142">
        <f>IF(W397&lt;=($X$9*12),$X$15,IFERROR(-IPMT($X$11,W397-$X$9*12,($X$12-$X$9)*12,$X$6)+$X$13*_xlfn.XLOOKUP($Y$13,'RE Calculations'!$B$12:$B$16,'RE Calculations'!$C$12:$C$16,"ERROR - Check Input")/12,0))</f>
        <v>0</v>
      </c>
      <c r="AA397" s="142">
        <f t="shared" si="45"/>
        <v>0</v>
      </c>
    </row>
    <row r="398" spans="2:27" x14ac:dyDescent="0.35">
      <c r="B398" s="12">
        <v>376</v>
      </c>
      <c r="C398" s="142">
        <f>IF(F397&gt;0.01,-PMT($C$8,$C$9*12,$C$6)+$C$10*_xlfn.XLOOKUP($D$10,'RE Calculations'!$B$12:$B$16,'RE Calculations'!$C$12:$C$16,"ERROR - Check Input")/12,0)</f>
        <v>0</v>
      </c>
      <c r="D398" s="142">
        <f t="shared" si="46"/>
        <v>0</v>
      </c>
      <c r="E398" s="142">
        <f>IFERROR(-IPMT($C$8,B398,$C$9*12,$C$6)+$C$10*_xlfn.XLOOKUP($D$10,'RE Calculations'!$B$12:$B$16,'RE Calculations'!$C$12:$C$16,"ERROR - Check Input")/12,0)</f>
        <v>0</v>
      </c>
      <c r="F398" s="142">
        <f t="shared" si="47"/>
        <v>0</v>
      </c>
      <c r="I398" s="12">
        <v>376</v>
      </c>
      <c r="J398" s="142">
        <f>IF(M397&gt;0.01,IF(I398&lt;=($J$9*12),$J$15,-PMT($J$11,($J$12-$J$9)*12,$J$6)+$J$13*_xlfn.XLOOKUP($K$13,'RE Calculations'!$B$12:$B$16,'RE Calculations'!$C$12:$C$16,"ERROR - Check Input")/12),0)</f>
        <v>0</v>
      </c>
      <c r="K398" s="142">
        <f t="shared" si="40"/>
        <v>0</v>
      </c>
      <c r="L398" s="142">
        <f>IF(I398&lt;=($J$9*12),$J$15,IFERROR(-IPMT($J$11,I398-$J$9*12,($J$12-$J$9)*12,$J$6)+$J$13*_xlfn.XLOOKUP($K$13,'RE Calculations'!$B$12:$B$16,'RE Calculations'!$C$12:$C$16,"ERROR - Check Input")/12,0))</f>
        <v>0</v>
      </c>
      <c r="M398" s="142">
        <f t="shared" si="41"/>
        <v>0</v>
      </c>
      <c r="P398" s="12">
        <v>376</v>
      </c>
      <c r="Q398" s="142">
        <f>IF(T397&gt;0.01,-PMT($Q$8,$Q$9*12,$Q$6)+$Q$10*_xlfn.XLOOKUP($R$10,'RE Calculations'!$B$12:$B$16,'RE Calculations'!$C$12:$C$16,"ERROR - Check Input")/12,0)</f>
        <v>0</v>
      </c>
      <c r="R398" s="142">
        <f t="shared" si="42"/>
        <v>0</v>
      </c>
      <c r="S398" s="142">
        <f>IFERROR(-IPMT($Q$8,P398,$Q$9*12,$Q$6)+$Q$10*_xlfn.XLOOKUP($R$10,'RE Calculations'!$B$12:$B$16,'RE Calculations'!$C$12:$C$16,"ERROR - Check Input")/12,0)</f>
        <v>0</v>
      </c>
      <c r="T398" s="142">
        <f t="shared" si="43"/>
        <v>0</v>
      </c>
      <c r="W398" s="12">
        <v>376</v>
      </c>
      <c r="X398" s="142">
        <f>IF(AA397&gt;0.01,IF(W398&lt;=($X$9*12),$X$15,-PMT($X$11,($X$12-$X$9)*12,$X$6)+$X$13*_xlfn.XLOOKUP($Y$13,'RE Calculations'!$B$12:$B$16,'RE Calculations'!$C$12:$C$16,"ERROR - Check Input")/12),0)</f>
        <v>0</v>
      </c>
      <c r="Y398" s="142">
        <f t="shared" si="44"/>
        <v>0</v>
      </c>
      <c r="Z398" s="142">
        <f>IF(W398&lt;=($X$9*12),$X$15,IFERROR(-IPMT($X$11,W398-$X$9*12,($X$12-$X$9)*12,$X$6)+$X$13*_xlfn.XLOOKUP($Y$13,'RE Calculations'!$B$12:$B$16,'RE Calculations'!$C$12:$C$16,"ERROR - Check Input")/12,0))</f>
        <v>0</v>
      </c>
      <c r="AA398" s="142">
        <f t="shared" si="45"/>
        <v>0</v>
      </c>
    </row>
    <row r="399" spans="2:27" x14ac:dyDescent="0.35">
      <c r="B399" s="12">
        <v>377</v>
      </c>
      <c r="C399" s="142">
        <f>IF(F398&gt;0.01,-PMT($C$8,$C$9*12,$C$6)+$C$10*_xlfn.XLOOKUP($D$10,'RE Calculations'!$B$12:$B$16,'RE Calculations'!$C$12:$C$16,"ERROR - Check Input")/12,0)</f>
        <v>0</v>
      </c>
      <c r="D399" s="142">
        <f t="shared" si="46"/>
        <v>0</v>
      </c>
      <c r="E399" s="142">
        <f>IFERROR(-IPMT($C$8,B399,$C$9*12,$C$6)+$C$10*_xlfn.XLOOKUP($D$10,'RE Calculations'!$B$12:$B$16,'RE Calculations'!$C$12:$C$16,"ERROR - Check Input")/12,0)</f>
        <v>0</v>
      </c>
      <c r="F399" s="142">
        <f t="shared" si="47"/>
        <v>0</v>
      </c>
      <c r="I399" s="12">
        <v>377</v>
      </c>
      <c r="J399" s="142">
        <f>IF(M398&gt;0.01,IF(I399&lt;=($J$9*12),$J$15,-PMT($J$11,($J$12-$J$9)*12,$J$6)+$J$13*_xlfn.XLOOKUP($K$13,'RE Calculations'!$B$12:$B$16,'RE Calculations'!$C$12:$C$16,"ERROR - Check Input")/12),0)</f>
        <v>0</v>
      </c>
      <c r="K399" s="142">
        <f t="shared" si="40"/>
        <v>0</v>
      </c>
      <c r="L399" s="142">
        <f>IF(I399&lt;=($J$9*12),$J$15,IFERROR(-IPMT($J$11,I399-$J$9*12,($J$12-$J$9)*12,$J$6)+$J$13*_xlfn.XLOOKUP($K$13,'RE Calculations'!$B$12:$B$16,'RE Calculations'!$C$12:$C$16,"ERROR - Check Input")/12,0))</f>
        <v>0</v>
      </c>
      <c r="M399" s="142">
        <f t="shared" si="41"/>
        <v>0</v>
      </c>
      <c r="P399" s="12">
        <v>377</v>
      </c>
      <c r="Q399" s="142">
        <f>IF(T398&gt;0.01,-PMT($Q$8,$Q$9*12,$Q$6)+$Q$10*_xlfn.XLOOKUP($R$10,'RE Calculations'!$B$12:$B$16,'RE Calculations'!$C$12:$C$16,"ERROR - Check Input")/12,0)</f>
        <v>0</v>
      </c>
      <c r="R399" s="142">
        <f t="shared" si="42"/>
        <v>0</v>
      </c>
      <c r="S399" s="142">
        <f>IFERROR(-IPMT($Q$8,P399,$Q$9*12,$Q$6)+$Q$10*_xlfn.XLOOKUP($R$10,'RE Calculations'!$B$12:$B$16,'RE Calculations'!$C$12:$C$16,"ERROR - Check Input")/12,0)</f>
        <v>0</v>
      </c>
      <c r="T399" s="142">
        <f t="shared" si="43"/>
        <v>0</v>
      </c>
      <c r="W399" s="12">
        <v>377</v>
      </c>
      <c r="X399" s="142">
        <f>IF(AA398&gt;0.01,IF(W399&lt;=($X$9*12),$X$15,-PMT($X$11,($X$12-$X$9)*12,$X$6)+$X$13*_xlfn.XLOOKUP($Y$13,'RE Calculations'!$B$12:$B$16,'RE Calculations'!$C$12:$C$16,"ERROR - Check Input")/12),0)</f>
        <v>0</v>
      </c>
      <c r="Y399" s="142">
        <f t="shared" si="44"/>
        <v>0</v>
      </c>
      <c r="Z399" s="142">
        <f>IF(W399&lt;=($X$9*12),$X$15,IFERROR(-IPMT($X$11,W399-$X$9*12,($X$12-$X$9)*12,$X$6)+$X$13*_xlfn.XLOOKUP($Y$13,'RE Calculations'!$B$12:$B$16,'RE Calculations'!$C$12:$C$16,"ERROR - Check Input")/12,0))</f>
        <v>0</v>
      </c>
      <c r="AA399" s="142">
        <f t="shared" si="45"/>
        <v>0</v>
      </c>
    </row>
    <row r="400" spans="2:27" x14ac:dyDescent="0.35">
      <c r="B400" s="12">
        <v>378</v>
      </c>
      <c r="C400" s="142">
        <f>IF(F399&gt;0.01,-PMT($C$8,$C$9*12,$C$6)+$C$10*_xlfn.XLOOKUP($D$10,'RE Calculations'!$B$12:$B$16,'RE Calculations'!$C$12:$C$16,"ERROR - Check Input")/12,0)</f>
        <v>0</v>
      </c>
      <c r="D400" s="142">
        <f t="shared" si="46"/>
        <v>0</v>
      </c>
      <c r="E400" s="142">
        <f>IFERROR(-IPMT($C$8,B400,$C$9*12,$C$6)+$C$10*_xlfn.XLOOKUP($D$10,'RE Calculations'!$B$12:$B$16,'RE Calculations'!$C$12:$C$16,"ERROR - Check Input")/12,0)</f>
        <v>0</v>
      </c>
      <c r="F400" s="142">
        <f t="shared" si="47"/>
        <v>0</v>
      </c>
      <c r="I400" s="12">
        <v>378</v>
      </c>
      <c r="J400" s="142">
        <f>IF(M399&gt;0.01,IF(I400&lt;=($J$9*12),$J$15,-PMT($J$11,($J$12-$J$9)*12,$J$6)+$J$13*_xlfn.XLOOKUP($K$13,'RE Calculations'!$B$12:$B$16,'RE Calculations'!$C$12:$C$16,"ERROR - Check Input")/12),0)</f>
        <v>0</v>
      </c>
      <c r="K400" s="142">
        <f t="shared" si="40"/>
        <v>0</v>
      </c>
      <c r="L400" s="142">
        <f>IF(I400&lt;=($J$9*12),$J$15,IFERROR(-IPMT($J$11,I400-$J$9*12,($J$12-$J$9)*12,$J$6)+$J$13*_xlfn.XLOOKUP($K$13,'RE Calculations'!$B$12:$B$16,'RE Calculations'!$C$12:$C$16,"ERROR - Check Input")/12,0))</f>
        <v>0</v>
      </c>
      <c r="M400" s="142">
        <f t="shared" si="41"/>
        <v>0</v>
      </c>
      <c r="P400" s="12">
        <v>378</v>
      </c>
      <c r="Q400" s="142">
        <f>IF(T399&gt;0.01,-PMT($Q$8,$Q$9*12,$Q$6)+$Q$10*_xlfn.XLOOKUP($R$10,'RE Calculations'!$B$12:$B$16,'RE Calculations'!$C$12:$C$16,"ERROR - Check Input")/12,0)</f>
        <v>0</v>
      </c>
      <c r="R400" s="142">
        <f t="shared" si="42"/>
        <v>0</v>
      </c>
      <c r="S400" s="142">
        <f>IFERROR(-IPMT($Q$8,P400,$Q$9*12,$Q$6)+$Q$10*_xlfn.XLOOKUP($R$10,'RE Calculations'!$B$12:$B$16,'RE Calculations'!$C$12:$C$16,"ERROR - Check Input")/12,0)</f>
        <v>0</v>
      </c>
      <c r="T400" s="142">
        <f t="shared" si="43"/>
        <v>0</v>
      </c>
      <c r="W400" s="12">
        <v>378</v>
      </c>
      <c r="X400" s="142">
        <f>IF(AA399&gt;0.01,IF(W400&lt;=($X$9*12),$X$15,-PMT($X$11,($X$12-$X$9)*12,$X$6)+$X$13*_xlfn.XLOOKUP($Y$13,'RE Calculations'!$B$12:$B$16,'RE Calculations'!$C$12:$C$16,"ERROR - Check Input")/12),0)</f>
        <v>0</v>
      </c>
      <c r="Y400" s="142">
        <f t="shared" si="44"/>
        <v>0</v>
      </c>
      <c r="Z400" s="142">
        <f>IF(W400&lt;=($X$9*12),$X$15,IFERROR(-IPMT($X$11,W400-$X$9*12,($X$12-$X$9)*12,$X$6)+$X$13*_xlfn.XLOOKUP($Y$13,'RE Calculations'!$B$12:$B$16,'RE Calculations'!$C$12:$C$16,"ERROR - Check Input")/12,0))</f>
        <v>0</v>
      </c>
      <c r="AA400" s="142">
        <f t="shared" si="45"/>
        <v>0</v>
      </c>
    </row>
    <row r="401" spans="2:27" x14ac:dyDescent="0.35">
      <c r="B401" s="12">
        <v>379</v>
      </c>
      <c r="C401" s="142">
        <f>IF(F400&gt;0.01,-PMT($C$8,$C$9*12,$C$6)+$C$10*_xlfn.XLOOKUP($D$10,'RE Calculations'!$B$12:$B$16,'RE Calculations'!$C$12:$C$16,"ERROR - Check Input")/12,0)</f>
        <v>0</v>
      </c>
      <c r="D401" s="142">
        <f t="shared" si="46"/>
        <v>0</v>
      </c>
      <c r="E401" s="142">
        <f>IFERROR(-IPMT($C$8,B401,$C$9*12,$C$6)+$C$10*_xlfn.XLOOKUP($D$10,'RE Calculations'!$B$12:$B$16,'RE Calculations'!$C$12:$C$16,"ERROR - Check Input")/12,0)</f>
        <v>0</v>
      </c>
      <c r="F401" s="142">
        <f t="shared" si="47"/>
        <v>0</v>
      </c>
      <c r="I401" s="12">
        <v>379</v>
      </c>
      <c r="J401" s="142">
        <f>IF(M400&gt;0.01,IF(I401&lt;=($J$9*12),$J$15,-PMT($J$11,($J$12-$J$9)*12,$J$6)+$J$13*_xlfn.XLOOKUP($K$13,'RE Calculations'!$B$12:$B$16,'RE Calculations'!$C$12:$C$16,"ERROR - Check Input")/12),0)</f>
        <v>0</v>
      </c>
      <c r="K401" s="142">
        <f t="shared" si="40"/>
        <v>0</v>
      </c>
      <c r="L401" s="142">
        <f>IF(I401&lt;=($J$9*12),$J$15,IFERROR(-IPMT($J$11,I401-$J$9*12,($J$12-$J$9)*12,$J$6)+$J$13*_xlfn.XLOOKUP($K$13,'RE Calculations'!$B$12:$B$16,'RE Calculations'!$C$12:$C$16,"ERROR - Check Input")/12,0))</f>
        <v>0</v>
      </c>
      <c r="M401" s="142">
        <f t="shared" si="41"/>
        <v>0</v>
      </c>
      <c r="P401" s="12">
        <v>379</v>
      </c>
      <c r="Q401" s="142">
        <f>IF(T400&gt;0.01,-PMT($Q$8,$Q$9*12,$Q$6)+$Q$10*_xlfn.XLOOKUP($R$10,'RE Calculations'!$B$12:$B$16,'RE Calculations'!$C$12:$C$16,"ERROR - Check Input")/12,0)</f>
        <v>0</v>
      </c>
      <c r="R401" s="142">
        <f t="shared" si="42"/>
        <v>0</v>
      </c>
      <c r="S401" s="142">
        <f>IFERROR(-IPMT($Q$8,P401,$Q$9*12,$Q$6)+$Q$10*_xlfn.XLOOKUP($R$10,'RE Calculations'!$B$12:$B$16,'RE Calculations'!$C$12:$C$16,"ERROR - Check Input")/12,0)</f>
        <v>0</v>
      </c>
      <c r="T401" s="142">
        <f t="shared" si="43"/>
        <v>0</v>
      </c>
      <c r="W401" s="12">
        <v>379</v>
      </c>
      <c r="X401" s="142">
        <f>IF(AA400&gt;0.01,IF(W401&lt;=($X$9*12),$X$15,-PMT($X$11,($X$12-$X$9)*12,$X$6)+$X$13*_xlfn.XLOOKUP($Y$13,'RE Calculations'!$B$12:$B$16,'RE Calculations'!$C$12:$C$16,"ERROR - Check Input")/12),0)</f>
        <v>0</v>
      </c>
      <c r="Y401" s="142">
        <f t="shared" si="44"/>
        <v>0</v>
      </c>
      <c r="Z401" s="142">
        <f>IF(W401&lt;=($X$9*12),$X$15,IFERROR(-IPMT($X$11,W401-$X$9*12,($X$12-$X$9)*12,$X$6)+$X$13*_xlfn.XLOOKUP($Y$13,'RE Calculations'!$B$12:$B$16,'RE Calculations'!$C$12:$C$16,"ERROR - Check Input")/12,0))</f>
        <v>0</v>
      </c>
      <c r="AA401" s="142">
        <f t="shared" si="45"/>
        <v>0</v>
      </c>
    </row>
    <row r="402" spans="2:27" x14ac:dyDescent="0.35">
      <c r="B402" s="12">
        <v>380</v>
      </c>
      <c r="C402" s="142">
        <f>IF(F401&gt;0.01,-PMT($C$8,$C$9*12,$C$6)+$C$10*_xlfn.XLOOKUP($D$10,'RE Calculations'!$B$12:$B$16,'RE Calculations'!$C$12:$C$16,"ERROR - Check Input")/12,0)</f>
        <v>0</v>
      </c>
      <c r="D402" s="142">
        <f t="shared" si="46"/>
        <v>0</v>
      </c>
      <c r="E402" s="142">
        <f>IFERROR(-IPMT($C$8,B402,$C$9*12,$C$6)+$C$10*_xlfn.XLOOKUP($D$10,'RE Calculations'!$B$12:$B$16,'RE Calculations'!$C$12:$C$16,"ERROR - Check Input")/12,0)</f>
        <v>0</v>
      </c>
      <c r="F402" s="142">
        <f t="shared" si="47"/>
        <v>0</v>
      </c>
      <c r="I402" s="12">
        <v>380</v>
      </c>
      <c r="J402" s="142">
        <f>IF(M401&gt;0.01,IF(I402&lt;=($J$9*12),$J$15,-PMT($J$11,($J$12-$J$9)*12,$J$6)+$J$13*_xlfn.XLOOKUP($K$13,'RE Calculations'!$B$12:$B$16,'RE Calculations'!$C$12:$C$16,"ERROR - Check Input")/12),0)</f>
        <v>0</v>
      </c>
      <c r="K402" s="142">
        <f t="shared" si="40"/>
        <v>0</v>
      </c>
      <c r="L402" s="142">
        <f>IF(I402&lt;=($J$9*12),$J$15,IFERROR(-IPMT($J$11,I402-$J$9*12,($J$12-$J$9)*12,$J$6)+$J$13*_xlfn.XLOOKUP($K$13,'RE Calculations'!$B$12:$B$16,'RE Calculations'!$C$12:$C$16,"ERROR - Check Input")/12,0))</f>
        <v>0</v>
      </c>
      <c r="M402" s="142">
        <f t="shared" si="41"/>
        <v>0</v>
      </c>
      <c r="P402" s="12">
        <v>380</v>
      </c>
      <c r="Q402" s="142">
        <f>IF(T401&gt;0.01,-PMT($Q$8,$Q$9*12,$Q$6)+$Q$10*_xlfn.XLOOKUP($R$10,'RE Calculations'!$B$12:$B$16,'RE Calculations'!$C$12:$C$16,"ERROR - Check Input")/12,0)</f>
        <v>0</v>
      </c>
      <c r="R402" s="142">
        <f t="shared" si="42"/>
        <v>0</v>
      </c>
      <c r="S402" s="142">
        <f>IFERROR(-IPMT($Q$8,P402,$Q$9*12,$Q$6)+$Q$10*_xlfn.XLOOKUP($R$10,'RE Calculations'!$B$12:$B$16,'RE Calculations'!$C$12:$C$16,"ERROR - Check Input")/12,0)</f>
        <v>0</v>
      </c>
      <c r="T402" s="142">
        <f t="shared" si="43"/>
        <v>0</v>
      </c>
      <c r="W402" s="12">
        <v>380</v>
      </c>
      <c r="X402" s="142">
        <f>IF(AA401&gt;0.01,IF(W402&lt;=($X$9*12),$X$15,-PMT($X$11,($X$12-$X$9)*12,$X$6)+$X$13*_xlfn.XLOOKUP($Y$13,'RE Calculations'!$B$12:$B$16,'RE Calculations'!$C$12:$C$16,"ERROR - Check Input")/12),0)</f>
        <v>0</v>
      </c>
      <c r="Y402" s="142">
        <f t="shared" si="44"/>
        <v>0</v>
      </c>
      <c r="Z402" s="142">
        <f>IF(W402&lt;=($X$9*12),$X$15,IFERROR(-IPMT($X$11,W402-$X$9*12,($X$12-$X$9)*12,$X$6)+$X$13*_xlfn.XLOOKUP($Y$13,'RE Calculations'!$B$12:$B$16,'RE Calculations'!$C$12:$C$16,"ERROR - Check Input")/12,0))</f>
        <v>0</v>
      </c>
      <c r="AA402" s="142">
        <f t="shared" si="45"/>
        <v>0</v>
      </c>
    </row>
    <row r="403" spans="2:27" x14ac:dyDescent="0.35">
      <c r="B403" s="12">
        <v>381</v>
      </c>
      <c r="C403" s="142">
        <f>IF(F402&gt;0.01,-PMT($C$8,$C$9*12,$C$6)+$C$10*_xlfn.XLOOKUP($D$10,'RE Calculations'!$B$12:$B$16,'RE Calculations'!$C$12:$C$16,"ERROR - Check Input")/12,0)</f>
        <v>0</v>
      </c>
      <c r="D403" s="142">
        <f t="shared" si="46"/>
        <v>0</v>
      </c>
      <c r="E403" s="142">
        <f>IFERROR(-IPMT($C$8,B403,$C$9*12,$C$6)+$C$10*_xlfn.XLOOKUP($D$10,'RE Calculations'!$B$12:$B$16,'RE Calculations'!$C$12:$C$16,"ERROR - Check Input")/12,0)</f>
        <v>0</v>
      </c>
      <c r="F403" s="142">
        <f t="shared" si="47"/>
        <v>0</v>
      </c>
      <c r="I403" s="12">
        <v>381</v>
      </c>
      <c r="J403" s="142">
        <f>IF(M402&gt;0.01,IF(I403&lt;=($J$9*12),$J$15,-PMT($J$11,($J$12-$J$9)*12,$J$6)+$J$13*_xlfn.XLOOKUP($K$13,'RE Calculations'!$B$12:$B$16,'RE Calculations'!$C$12:$C$16,"ERROR - Check Input")/12),0)</f>
        <v>0</v>
      </c>
      <c r="K403" s="142">
        <f t="shared" si="40"/>
        <v>0</v>
      </c>
      <c r="L403" s="142">
        <f>IF(I403&lt;=($J$9*12),$J$15,IFERROR(-IPMT($J$11,I403-$J$9*12,($J$12-$J$9)*12,$J$6)+$J$13*_xlfn.XLOOKUP($K$13,'RE Calculations'!$B$12:$B$16,'RE Calculations'!$C$12:$C$16,"ERROR - Check Input")/12,0))</f>
        <v>0</v>
      </c>
      <c r="M403" s="142">
        <f t="shared" si="41"/>
        <v>0</v>
      </c>
      <c r="P403" s="12">
        <v>381</v>
      </c>
      <c r="Q403" s="142">
        <f>IF(T402&gt;0.01,-PMT($Q$8,$Q$9*12,$Q$6)+$Q$10*_xlfn.XLOOKUP($R$10,'RE Calculations'!$B$12:$B$16,'RE Calculations'!$C$12:$C$16,"ERROR - Check Input")/12,0)</f>
        <v>0</v>
      </c>
      <c r="R403" s="142">
        <f t="shared" si="42"/>
        <v>0</v>
      </c>
      <c r="S403" s="142">
        <f>IFERROR(-IPMT($Q$8,P403,$Q$9*12,$Q$6)+$Q$10*_xlfn.XLOOKUP($R$10,'RE Calculations'!$B$12:$B$16,'RE Calculations'!$C$12:$C$16,"ERROR - Check Input")/12,0)</f>
        <v>0</v>
      </c>
      <c r="T403" s="142">
        <f t="shared" si="43"/>
        <v>0</v>
      </c>
      <c r="W403" s="12">
        <v>381</v>
      </c>
      <c r="X403" s="142">
        <f>IF(AA402&gt;0.01,IF(W403&lt;=($X$9*12),$X$15,-PMT($X$11,($X$12-$X$9)*12,$X$6)+$X$13*_xlfn.XLOOKUP($Y$13,'RE Calculations'!$B$12:$B$16,'RE Calculations'!$C$12:$C$16,"ERROR - Check Input")/12),0)</f>
        <v>0</v>
      </c>
      <c r="Y403" s="142">
        <f t="shared" si="44"/>
        <v>0</v>
      </c>
      <c r="Z403" s="142">
        <f>IF(W403&lt;=($X$9*12),$X$15,IFERROR(-IPMT($X$11,W403-$X$9*12,($X$12-$X$9)*12,$X$6)+$X$13*_xlfn.XLOOKUP($Y$13,'RE Calculations'!$B$12:$B$16,'RE Calculations'!$C$12:$C$16,"ERROR - Check Input")/12,0))</f>
        <v>0</v>
      </c>
      <c r="AA403" s="142">
        <f t="shared" si="45"/>
        <v>0</v>
      </c>
    </row>
    <row r="404" spans="2:27" x14ac:dyDescent="0.35">
      <c r="B404" s="12">
        <v>382</v>
      </c>
      <c r="C404" s="142">
        <f>IF(F403&gt;0.01,-PMT($C$8,$C$9*12,$C$6)+$C$10*_xlfn.XLOOKUP($D$10,'RE Calculations'!$B$12:$B$16,'RE Calculations'!$C$12:$C$16,"ERROR - Check Input")/12,0)</f>
        <v>0</v>
      </c>
      <c r="D404" s="142">
        <f t="shared" si="46"/>
        <v>0</v>
      </c>
      <c r="E404" s="142">
        <f>IFERROR(-IPMT($C$8,B404,$C$9*12,$C$6)+$C$10*_xlfn.XLOOKUP($D$10,'RE Calculations'!$B$12:$B$16,'RE Calculations'!$C$12:$C$16,"ERROR - Check Input")/12,0)</f>
        <v>0</v>
      </c>
      <c r="F404" s="142">
        <f t="shared" si="47"/>
        <v>0</v>
      </c>
      <c r="I404" s="12">
        <v>382</v>
      </c>
      <c r="J404" s="142">
        <f>IF(M403&gt;0.01,IF(I404&lt;=($J$9*12),$J$15,-PMT($J$11,($J$12-$J$9)*12,$J$6)+$J$13*_xlfn.XLOOKUP($K$13,'RE Calculations'!$B$12:$B$16,'RE Calculations'!$C$12:$C$16,"ERROR - Check Input")/12),0)</f>
        <v>0</v>
      </c>
      <c r="K404" s="142">
        <f t="shared" si="40"/>
        <v>0</v>
      </c>
      <c r="L404" s="142">
        <f>IF(I404&lt;=($J$9*12),$J$15,IFERROR(-IPMT($J$11,I404-$J$9*12,($J$12-$J$9)*12,$J$6)+$J$13*_xlfn.XLOOKUP($K$13,'RE Calculations'!$B$12:$B$16,'RE Calculations'!$C$12:$C$16,"ERROR - Check Input")/12,0))</f>
        <v>0</v>
      </c>
      <c r="M404" s="142">
        <f t="shared" si="41"/>
        <v>0</v>
      </c>
      <c r="P404" s="12">
        <v>382</v>
      </c>
      <c r="Q404" s="142">
        <f>IF(T403&gt;0.01,-PMT($Q$8,$Q$9*12,$Q$6)+$Q$10*_xlfn.XLOOKUP($R$10,'RE Calculations'!$B$12:$B$16,'RE Calculations'!$C$12:$C$16,"ERROR - Check Input")/12,0)</f>
        <v>0</v>
      </c>
      <c r="R404" s="142">
        <f t="shared" si="42"/>
        <v>0</v>
      </c>
      <c r="S404" s="142">
        <f>IFERROR(-IPMT($Q$8,P404,$Q$9*12,$Q$6)+$Q$10*_xlfn.XLOOKUP($R$10,'RE Calculations'!$B$12:$B$16,'RE Calculations'!$C$12:$C$16,"ERROR - Check Input")/12,0)</f>
        <v>0</v>
      </c>
      <c r="T404" s="142">
        <f t="shared" si="43"/>
        <v>0</v>
      </c>
      <c r="W404" s="12">
        <v>382</v>
      </c>
      <c r="X404" s="142">
        <f>IF(AA403&gt;0.01,IF(W404&lt;=($X$9*12),$X$15,-PMT($X$11,($X$12-$X$9)*12,$X$6)+$X$13*_xlfn.XLOOKUP($Y$13,'RE Calculations'!$B$12:$B$16,'RE Calculations'!$C$12:$C$16,"ERROR - Check Input")/12),0)</f>
        <v>0</v>
      </c>
      <c r="Y404" s="142">
        <f t="shared" si="44"/>
        <v>0</v>
      </c>
      <c r="Z404" s="142">
        <f>IF(W404&lt;=($X$9*12),$X$15,IFERROR(-IPMT($X$11,W404-$X$9*12,($X$12-$X$9)*12,$X$6)+$X$13*_xlfn.XLOOKUP($Y$13,'RE Calculations'!$B$12:$B$16,'RE Calculations'!$C$12:$C$16,"ERROR - Check Input")/12,0))</f>
        <v>0</v>
      </c>
      <c r="AA404" s="142">
        <f t="shared" si="45"/>
        <v>0</v>
      </c>
    </row>
    <row r="405" spans="2:27" x14ac:dyDescent="0.35">
      <c r="B405" s="12">
        <v>383</v>
      </c>
      <c r="C405" s="142">
        <f>IF(F404&gt;0.01,-PMT($C$8,$C$9*12,$C$6)+$C$10*_xlfn.XLOOKUP($D$10,'RE Calculations'!$B$12:$B$16,'RE Calculations'!$C$12:$C$16,"ERROR - Check Input")/12,0)</f>
        <v>0</v>
      </c>
      <c r="D405" s="142">
        <f t="shared" si="46"/>
        <v>0</v>
      </c>
      <c r="E405" s="142">
        <f>IFERROR(-IPMT($C$8,B405,$C$9*12,$C$6)+$C$10*_xlfn.XLOOKUP($D$10,'RE Calculations'!$B$12:$B$16,'RE Calculations'!$C$12:$C$16,"ERROR - Check Input")/12,0)</f>
        <v>0</v>
      </c>
      <c r="F405" s="142">
        <f t="shared" si="47"/>
        <v>0</v>
      </c>
      <c r="I405" s="12">
        <v>383</v>
      </c>
      <c r="J405" s="142">
        <f>IF(M404&gt;0.01,IF(I405&lt;=($J$9*12),$J$15,-PMT($J$11,($J$12-$J$9)*12,$J$6)+$J$13*_xlfn.XLOOKUP($K$13,'RE Calculations'!$B$12:$B$16,'RE Calculations'!$C$12:$C$16,"ERROR - Check Input")/12),0)</f>
        <v>0</v>
      </c>
      <c r="K405" s="142">
        <f t="shared" si="40"/>
        <v>0</v>
      </c>
      <c r="L405" s="142">
        <f>IF(I405&lt;=($J$9*12),$J$15,IFERROR(-IPMT($J$11,I405-$J$9*12,($J$12-$J$9)*12,$J$6)+$J$13*_xlfn.XLOOKUP($K$13,'RE Calculations'!$B$12:$B$16,'RE Calculations'!$C$12:$C$16,"ERROR - Check Input")/12,0))</f>
        <v>0</v>
      </c>
      <c r="M405" s="142">
        <f t="shared" si="41"/>
        <v>0</v>
      </c>
      <c r="P405" s="12">
        <v>383</v>
      </c>
      <c r="Q405" s="142">
        <f>IF(T404&gt;0.01,-PMT($Q$8,$Q$9*12,$Q$6)+$Q$10*_xlfn.XLOOKUP($R$10,'RE Calculations'!$B$12:$B$16,'RE Calculations'!$C$12:$C$16,"ERROR - Check Input")/12,0)</f>
        <v>0</v>
      </c>
      <c r="R405" s="142">
        <f t="shared" si="42"/>
        <v>0</v>
      </c>
      <c r="S405" s="142">
        <f>IFERROR(-IPMT($Q$8,P405,$Q$9*12,$Q$6)+$Q$10*_xlfn.XLOOKUP($R$10,'RE Calculations'!$B$12:$B$16,'RE Calculations'!$C$12:$C$16,"ERROR - Check Input")/12,0)</f>
        <v>0</v>
      </c>
      <c r="T405" s="142">
        <f t="shared" si="43"/>
        <v>0</v>
      </c>
      <c r="W405" s="12">
        <v>383</v>
      </c>
      <c r="X405" s="142">
        <f>IF(AA404&gt;0.01,IF(W405&lt;=($X$9*12),$X$15,-PMT($X$11,($X$12-$X$9)*12,$X$6)+$X$13*_xlfn.XLOOKUP($Y$13,'RE Calculations'!$B$12:$B$16,'RE Calculations'!$C$12:$C$16,"ERROR - Check Input")/12),0)</f>
        <v>0</v>
      </c>
      <c r="Y405" s="142">
        <f t="shared" si="44"/>
        <v>0</v>
      </c>
      <c r="Z405" s="142">
        <f>IF(W405&lt;=($X$9*12),$X$15,IFERROR(-IPMT($X$11,W405-$X$9*12,($X$12-$X$9)*12,$X$6)+$X$13*_xlfn.XLOOKUP($Y$13,'RE Calculations'!$B$12:$B$16,'RE Calculations'!$C$12:$C$16,"ERROR - Check Input")/12,0))</f>
        <v>0</v>
      </c>
      <c r="AA405" s="142">
        <f t="shared" si="45"/>
        <v>0</v>
      </c>
    </row>
    <row r="406" spans="2:27" x14ac:dyDescent="0.35">
      <c r="B406" s="12">
        <v>384</v>
      </c>
      <c r="C406" s="142">
        <f>IF(F405&gt;0.01,-PMT($C$8,$C$9*12,$C$6)+$C$10*_xlfn.XLOOKUP($D$10,'RE Calculations'!$B$12:$B$16,'RE Calculations'!$C$12:$C$16,"ERROR - Check Input")/12,0)</f>
        <v>0</v>
      </c>
      <c r="D406" s="142">
        <f t="shared" si="46"/>
        <v>0</v>
      </c>
      <c r="E406" s="142">
        <f>IFERROR(-IPMT($C$8,B406,$C$9*12,$C$6)+$C$10*_xlfn.XLOOKUP($D$10,'RE Calculations'!$B$12:$B$16,'RE Calculations'!$C$12:$C$16,"ERROR - Check Input")/12,0)</f>
        <v>0</v>
      </c>
      <c r="F406" s="142">
        <f t="shared" si="47"/>
        <v>0</v>
      </c>
      <c r="I406" s="12">
        <v>384</v>
      </c>
      <c r="J406" s="142">
        <f>IF(M405&gt;0.01,IF(I406&lt;=($J$9*12),$J$15,-PMT($J$11,($J$12-$J$9)*12,$J$6)+$J$13*_xlfn.XLOOKUP($K$13,'RE Calculations'!$B$12:$B$16,'RE Calculations'!$C$12:$C$16,"ERROR - Check Input")/12),0)</f>
        <v>0</v>
      </c>
      <c r="K406" s="142">
        <f t="shared" si="40"/>
        <v>0</v>
      </c>
      <c r="L406" s="142">
        <f>IF(I406&lt;=($J$9*12),$J$15,IFERROR(-IPMT($J$11,I406-$J$9*12,($J$12-$J$9)*12,$J$6)+$J$13*_xlfn.XLOOKUP($K$13,'RE Calculations'!$B$12:$B$16,'RE Calculations'!$C$12:$C$16,"ERROR - Check Input")/12,0))</f>
        <v>0</v>
      </c>
      <c r="M406" s="142">
        <f t="shared" si="41"/>
        <v>0</v>
      </c>
      <c r="P406" s="12">
        <v>384</v>
      </c>
      <c r="Q406" s="142">
        <f>IF(T405&gt;0.01,-PMT($Q$8,$Q$9*12,$Q$6)+$Q$10*_xlfn.XLOOKUP($R$10,'RE Calculations'!$B$12:$B$16,'RE Calculations'!$C$12:$C$16,"ERROR - Check Input")/12,0)</f>
        <v>0</v>
      </c>
      <c r="R406" s="142">
        <f t="shared" si="42"/>
        <v>0</v>
      </c>
      <c r="S406" s="142">
        <f>IFERROR(-IPMT($Q$8,P406,$Q$9*12,$Q$6)+$Q$10*_xlfn.XLOOKUP($R$10,'RE Calculations'!$B$12:$B$16,'RE Calculations'!$C$12:$C$16,"ERROR - Check Input")/12,0)</f>
        <v>0</v>
      </c>
      <c r="T406" s="142">
        <f t="shared" si="43"/>
        <v>0</v>
      </c>
      <c r="W406" s="12">
        <v>384</v>
      </c>
      <c r="X406" s="142">
        <f>IF(AA405&gt;0.01,IF(W406&lt;=($X$9*12),$X$15,-PMT($X$11,($X$12-$X$9)*12,$X$6)+$X$13*_xlfn.XLOOKUP($Y$13,'RE Calculations'!$B$12:$B$16,'RE Calculations'!$C$12:$C$16,"ERROR - Check Input")/12),0)</f>
        <v>0</v>
      </c>
      <c r="Y406" s="142">
        <f t="shared" si="44"/>
        <v>0</v>
      </c>
      <c r="Z406" s="142">
        <f>IF(W406&lt;=($X$9*12),$X$15,IFERROR(-IPMT($X$11,W406-$X$9*12,($X$12-$X$9)*12,$X$6)+$X$13*_xlfn.XLOOKUP($Y$13,'RE Calculations'!$B$12:$B$16,'RE Calculations'!$C$12:$C$16,"ERROR - Check Input")/12,0))</f>
        <v>0</v>
      </c>
      <c r="AA406" s="142">
        <f t="shared" si="45"/>
        <v>0</v>
      </c>
    </row>
    <row r="407" spans="2:27" x14ac:dyDescent="0.35">
      <c r="B407" s="12">
        <v>385</v>
      </c>
      <c r="C407" s="142">
        <f>IF(F406&gt;0.01,-PMT($C$8,$C$9*12,$C$6)+$C$10*_xlfn.XLOOKUP($D$10,'RE Calculations'!$B$12:$B$16,'RE Calculations'!$C$12:$C$16,"ERROR - Check Input")/12,0)</f>
        <v>0</v>
      </c>
      <c r="D407" s="142">
        <f t="shared" si="46"/>
        <v>0</v>
      </c>
      <c r="E407" s="142">
        <f>IFERROR(-IPMT($C$8,B407,$C$9*12,$C$6)+$C$10*_xlfn.XLOOKUP($D$10,'RE Calculations'!$B$12:$B$16,'RE Calculations'!$C$12:$C$16,"ERROR - Check Input")/12,0)</f>
        <v>0</v>
      </c>
      <c r="F407" s="142">
        <f t="shared" si="47"/>
        <v>0</v>
      </c>
      <c r="I407" s="12">
        <v>385</v>
      </c>
      <c r="J407" s="142">
        <f>IF(M406&gt;0.01,IF(I407&lt;=($J$9*12),$J$15,-PMT($J$11,($J$12-$J$9)*12,$J$6)+$J$13*_xlfn.XLOOKUP($K$13,'RE Calculations'!$B$12:$B$16,'RE Calculations'!$C$12:$C$16,"ERROR - Check Input")/12),0)</f>
        <v>0</v>
      </c>
      <c r="K407" s="142">
        <f t="shared" ref="K407:K470" si="48">IF(I407&lt;=($J$9*12),0,IFERROR(-PPMT($J$11,I407-$J$9*12,($J$12-$J$9)*12,$J$6),0))</f>
        <v>0</v>
      </c>
      <c r="L407" s="142">
        <f>IF(I407&lt;=($J$9*12),$J$15,IFERROR(-IPMT($J$11,I407-$J$9*12,($J$12-$J$9)*12,$J$6)+$J$13*_xlfn.XLOOKUP($K$13,'RE Calculations'!$B$12:$B$16,'RE Calculations'!$C$12:$C$16,"ERROR - Check Input")/12,0))</f>
        <v>0</v>
      </c>
      <c r="M407" s="142">
        <f t="shared" ref="M407:M470" si="49">IFERROR(M406-K407,0)</f>
        <v>0</v>
      </c>
      <c r="P407" s="12">
        <v>385</v>
      </c>
      <c r="Q407" s="142">
        <f>IF(T406&gt;0.01,-PMT($Q$8,$Q$9*12,$Q$6)+$Q$10*_xlfn.XLOOKUP($R$10,'RE Calculations'!$B$12:$B$16,'RE Calculations'!$C$12:$C$16,"ERROR - Check Input")/12,0)</f>
        <v>0</v>
      </c>
      <c r="R407" s="142">
        <f t="shared" ref="R407:R470" si="50">IFERROR(-PPMT($Q$8,P407,$Q$9*12,$Q$6),0)</f>
        <v>0</v>
      </c>
      <c r="S407" s="142">
        <f>IFERROR(-IPMT($Q$8,P407,$Q$9*12,$Q$6)+$Q$10*_xlfn.XLOOKUP($R$10,'RE Calculations'!$B$12:$B$16,'RE Calculations'!$C$12:$C$16,"ERROR - Check Input")/12,0)</f>
        <v>0</v>
      </c>
      <c r="T407" s="142">
        <f t="shared" ref="T407:T470" si="51">IFERROR(T406-R407,0)</f>
        <v>0</v>
      </c>
      <c r="W407" s="12">
        <v>385</v>
      </c>
      <c r="X407" s="142">
        <f>IF(AA406&gt;0.01,IF(W407&lt;=($X$9*12),$X$15,-PMT($X$11,($X$12-$X$9)*12,$X$6)+$X$13*_xlfn.XLOOKUP($Y$13,'RE Calculations'!$B$12:$B$16,'RE Calculations'!$C$12:$C$16,"ERROR - Check Input")/12),0)</f>
        <v>0</v>
      </c>
      <c r="Y407" s="142">
        <f t="shared" ref="Y407:Y470" si="52">IF(W407&lt;=($X$9*12),0,IFERROR(-PPMT($X$11,W407-$X$9*12,($X$12-$X$9)*12,$X$6),0))</f>
        <v>0</v>
      </c>
      <c r="Z407" s="142">
        <f>IF(W407&lt;=($X$9*12),$X$15,IFERROR(-IPMT($X$11,W407-$X$9*12,($X$12-$X$9)*12,$X$6)+$X$13*_xlfn.XLOOKUP($Y$13,'RE Calculations'!$B$12:$B$16,'RE Calculations'!$C$12:$C$16,"ERROR - Check Input")/12,0))</f>
        <v>0</v>
      </c>
      <c r="AA407" s="142">
        <f t="shared" ref="AA407:AA470" si="53">IFERROR(AA406-Y407,0)</f>
        <v>0</v>
      </c>
    </row>
    <row r="408" spans="2:27" x14ac:dyDescent="0.35">
      <c r="B408" s="12">
        <v>386</v>
      </c>
      <c r="C408" s="142">
        <f>IF(F407&gt;0.01,-PMT($C$8,$C$9*12,$C$6)+$C$10*_xlfn.XLOOKUP($D$10,'RE Calculations'!$B$12:$B$16,'RE Calculations'!$C$12:$C$16,"ERROR - Check Input")/12,0)</f>
        <v>0</v>
      </c>
      <c r="D408" s="142">
        <f t="shared" ref="D408:D471" si="54">IFERROR(-PPMT($C$8,B408,$C$9*12,$C$6),0)</f>
        <v>0</v>
      </c>
      <c r="E408" s="142">
        <f>IFERROR(-IPMT($C$8,B408,$C$9*12,$C$6)+$C$10*_xlfn.XLOOKUP($D$10,'RE Calculations'!$B$12:$B$16,'RE Calculations'!$C$12:$C$16,"ERROR - Check Input")/12,0)</f>
        <v>0</v>
      </c>
      <c r="F408" s="142">
        <f t="shared" ref="F408:F471" si="55">IFERROR(F407-D408,0)</f>
        <v>0</v>
      </c>
      <c r="I408" s="12">
        <v>386</v>
      </c>
      <c r="J408" s="142">
        <f>IF(M407&gt;0.01,IF(I408&lt;=($J$9*12),$J$15,-PMT($J$11,($J$12-$J$9)*12,$J$6)+$J$13*_xlfn.XLOOKUP($K$13,'RE Calculations'!$B$12:$B$16,'RE Calculations'!$C$12:$C$16,"ERROR - Check Input")/12),0)</f>
        <v>0</v>
      </c>
      <c r="K408" s="142">
        <f t="shared" si="48"/>
        <v>0</v>
      </c>
      <c r="L408" s="142">
        <f>IF(I408&lt;=($J$9*12),$J$15,IFERROR(-IPMT($J$11,I408-$J$9*12,($J$12-$J$9)*12,$J$6)+$J$13*_xlfn.XLOOKUP($K$13,'RE Calculations'!$B$12:$B$16,'RE Calculations'!$C$12:$C$16,"ERROR - Check Input")/12,0))</f>
        <v>0</v>
      </c>
      <c r="M408" s="142">
        <f t="shared" si="49"/>
        <v>0</v>
      </c>
      <c r="P408" s="12">
        <v>386</v>
      </c>
      <c r="Q408" s="142">
        <f>IF(T407&gt;0.01,-PMT($Q$8,$Q$9*12,$Q$6)+$Q$10*_xlfn.XLOOKUP($R$10,'RE Calculations'!$B$12:$B$16,'RE Calculations'!$C$12:$C$16,"ERROR - Check Input")/12,0)</f>
        <v>0</v>
      </c>
      <c r="R408" s="142">
        <f t="shared" si="50"/>
        <v>0</v>
      </c>
      <c r="S408" s="142">
        <f>IFERROR(-IPMT($Q$8,P408,$Q$9*12,$Q$6)+$Q$10*_xlfn.XLOOKUP($R$10,'RE Calculations'!$B$12:$B$16,'RE Calculations'!$C$12:$C$16,"ERROR - Check Input")/12,0)</f>
        <v>0</v>
      </c>
      <c r="T408" s="142">
        <f t="shared" si="51"/>
        <v>0</v>
      </c>
      <c r="W408" s="12">
        <v>386</v>
      </c>
      <c r="X408" s="142">
        <f>IF(AA407&gt;0.01,IF(W408&lt;=($X$9*12),$X$15,-PMT($X$11,($X$12-$X$9)*12,$X$6)+$X$13*_xlfn.XLOOKUP($Y$13,'RE Calculations'!$B$12:$B$16,'RE Calculations'!$C$12:$C$16,"ERROR - Check Input")/12),0)</f>
        <v>0</v>
      </c>
      <c r="Y408" s="142">
        <f t="shared" si="52"/>
        <v>0</v>
      </c>
      <c r="Z408" s="142">
        <f>IF(W408&lt;=($X$9*12),$X$15,IFERROR(-IPMT($X$11,W408-$X$9*12,($X$12-$X$9)*12,$X$6)+$X$13*_xlfn.XLOOKUP($Y$13,'RE Calculations'!$B$12:$B$16,'RE Calculations'!$C$12:$C$16,"ERROR - Check Input")/12,0))</f>
        <v>0</v>
      </c>
      <c r="AA408" s="142">
        <f t="shared" si="53"/>
        <v>0</v>
      </c>
    </row>
    <row r="409" spans="2:27" x14ac:dyDescent="0.35">
      <c r="B409" s="12">
        <v>387</v>
      </c>
      <c r="C409" s="142">
        <f>IF(F408&gt;0.01,-PMT($C$8,$C$9*12,$C$6)+$C$10*_xlfn.XLOOKUP($D$10,'RE Calculations'!$B$12:$B$16,'RE Calculations'!$C$12:$C$16,"ERROR - Check Input")/12,0)</f>
        <v>0</v>
      </c>
      <c r="D409" s="142">
        <f t="shared" si="54"/>
        <v>0</v>
      </c>
      <c r="E409" s="142">
        <f>IFERROR(-IPMT($C$8,B409,$C$9*12,$C$6)+$C$10*_xlfn.XLOOKUP($D$10,'RE Calculations'!$B$12:$B$16,'RE Calculations'!$C$12:$C$16,"ERROR - Check Input")/12,0)</f>
        <v>0</v>
      </c>
      <c r="F409" s="142">
        <f t="shared" si="55"/>
        <v>0</v>
      </c>
      <c r="I409" s="12">
        <v>387</v>
      </c>
      <c r="J409" s="142">
        <f>IF(M408&gt;0.01,IF(I409&lt;=($J$9*12),$J$15,-PMT($J$11,($J$12-$J$9)*12,$J$6)+$J$13*_xlfn.XLOOKUP($K$13,'RE Calculations'!$B$12:$B$16,'RE Calculations'!$C$12:$C$16,"ERROR - Check Input")/12),0)</f>
        <v>0</v>
      </c>
      <c r="K409" s="142">
        <f t="shared" si="48"/>
        <v>0</v>
      </c>
      <c r="L409" s="142">
        <f>IF(I409&lt;=($J$9*12),$J$15,IFERROR(-IPMT($J$11,I409-$J$9*12,($J$12-$J$9)*12,$J$6)+$J$13*_xlfn.XLOOKUP($K$13,'RE Calculations'!$B$12:$B$16,'RE Calculations'!$C$12:$C$16,"ERROR - Check Input")/12,0))</f>
        <v>0</v>
      </c>
      <c r="M409" s="142">
        <f t="shared" si="49"/>
        <v>0</v>
      </c>
      <c r="P409" s="12">
        <v>387</v>
      </c>
      <c r="Q409" s="142">
        <f>IF(T408&gt;0.01,-PMT($Q$8,$Q$9*12,$Q$6)+$Q$10*_xlfn.XLOOKUP($R$10,'RE Calculations'!$B$12:$B$16,'RE Calculations'!$C$12:$C$16,"ERROR - Check Input")/12,0)</f>
        <v>0</v>
      </c>
      <c r="R409" s="142">
        <f t="shared" si="50"/>
        <v>0</v>
      </c>
      <c r="S409" s="142">
        <f>IFERROR(-IPMT($Q$8,P409,$Q$9*12,$Q$6)+$Q$10*_xlfn.XLOOKUP($R$10,'RE Calculations'!$B$12:$B$16,'RE Calculations'!$C$12:$C$16,"ERROR - Check Input")/12,0)</f>
        <v>0</v>
      </c>
      <c r="T409" s="142">
        <f t="shared" si="51"/>
        <v>0</v>
      </c>
      <c r="W409" s="12">
        <v>387</v>
      </c>
      <c r="X409" s="142">
        <f>IF(AA408&gt;0.01,IF(W409&lt;=($X$9*12),$X$15,-PMT($X$11,($X$12-$X$9)*12,$X$6)+$X$13*_xlfn.XLOOKUP($Y$13,'RE Calculations'!$B$12:$B$16,'RE Calculations'!$C$12:$C$16,"ERROR - Check Input")/12),0)</f>
        <v>0</v>
      </c>
      <c r="Y409" s="142">
        <f t="shared" si="52"/>
        <v>0</v>
      </c>
      <c r="Z409" s="142">
        <f>IF(W409&lt;=($X$9*12),$X$15,IFERROR(-IPMT($X$11,W409-$X$9*12,($X$12-$X$9)*12,$X$6)+$X$13*_xlfn.XLOOKUP($Y$13,'RE Calculations'!$B$12:$B$16,'RE Calculations'!$C$12:$C$16,"ERROR - Check Input")/12,0))</f>
        <v>0</v>
      </c>
      <c r="AA409" s="142">
        <f t="shared" si="53"/>
        <v>0</v>
      </c>
    </row>
    <row r="410" spans="2:27" x14ac:dyDescent="0.35">
      <c r="B410" s="12">
        <v>388</v>
      </c>
      <c r="C410" s="142">
        <f>IF(F409&gt;0.01,-PMT($C$8,$C$9*12,$C$6)+$C$10*_xlfn.XLOOKUP($D$10,'RE Calculations'!$B$12:$B$16,'RE Calculations'!$C$12:$C$16,"ERROR - Check Input")/12,0)</f>
        <v>0</v>
      </c>
      <c r="D410" s="142">
        <f t="shared" si="54"/>
        <v>0</v>
      </c>
      <c r="E410" s="142">
        <f>IFERROR(-IPMT($C$8,B410,$C$9*12,$C$6)+$C$10*_xlfn.XLOOKUP($D$10,'RE Calculations'!$B$12:$B$16,'RE Calculations'!$C$12:$C$16,"ERROR - Check Input")/12,0)</f>
        <v>0</v>
      </c>
      <c r="F410" s="142">
        <f t="shared" si="55"/>
        <v>0</v>
      </c>
      <c r="I410" s="12">
        <v>388</v>
      </c>
      <c r="J410" s="142">
        <f>IF(M409&gt;0.01,IF(I410&lt;=($J$9*12),$J$15,-PMT($J$11,($J$12-$J$9)*12,$J$6)+$J$13*_xlfn.XLOOKUP($K$13,'RE Calculations'!$B$12:$B$16,'RE Calculations'!$C$12:$C$16,"ERROR - Check Input")/12),0)</f>
        <v>0</v>
      </c>
      <c r="K410" s="142">
        <f t="shared" si="48"/>
        <v>0</v>
      </c>
      <c r="L410" s="142">
        <f>IF(I410&lt;=($J$9*12),$J$15,IFERROR(-IPMT($J$11,I410-$J$9*12,($J$12-$J$9)*12,$J$6)+$J$13*_xlfn.XLOOKUP($K$13,'RE Calculations'!$B$12:$B$16,'RE Calculations'!$C$12:$C$16,"ERROR - Check Input")/12,0))</f>
        <v>0</v>
      </c>
      <c r="M410" s="142">
        <f t="shared" si="49"/>
        <v>0</v>
      </c>
      <c r="P410" s="12">
        <v>388</v>
      </c>
      <c r="Q410" s="142">
        <f>IF(T409&gt;0.01,-PMT($Q$8,$Q$9*12,$Q$6)+$Q$10*_xlfn.XLOOKUP($R$10,'RE Calculations'!$B$12:$B$16,'RE Calculations'!$C$12:$C$16,"ERROR - Check Input")/12,0)</f>
        <v>0</v>
      </c>
      <c r="R410" s="142">
        <f t="shared" si="50"/>
        <v>0</v>
      </c>
      <c r="S410" s="142">
        <f>IFERROR(-IPMT($Q$8,P410,$Q$9*12,$Q$6)+$Q$10*_xlfn.XLOOKUP($R$10,'RE Calculations'!$B$12:$B$16,'RE Calculations'!$C$12:$C$16,"ERROR - Check Input")/12,0)</f>
        <v>0</v>
      </c>
      <c r="T410" s="142">
        <f t="shared" si="51"/>
        <v>0</v>
      </c>
      <c r="W410" s="12">
        <v>388</v>
      </c>
      <c r="X410" s="142">
        <f>IF(AA409&gt;0.01,IF(W410&lt;=($X$9*12),$X$15,-PMT($X$11,($X$12-$X$9)*12,$X$6)+$X$13*_xlfn.XLOOKUP($Y$13,'RE Calculations'!$B$12:$B$16,'RE Calculations'!$C$12:$C$16,"ERROR - Check Input")/12),0)</f>
        <v>0</v>
      </c>
      <c r="Y410" s="142">
        <f t="shared" si="52"/>
        <v>0</v>
      </c>
      <c r="Z410" s="142">
        <f>IF(W410&lt;=($X$9*12),$X$15,IFERROR(-IPMT($X$11,W410-$X$9*12,($X$12-$X$9)*12,$X$6)+$X$13*_xlfn.XLOOKUP($Y$13,'RE Calculations'!$B$12:$B$16,'RE Calculations'!$C$12:$C$16,"ERROR - Check Input")/12,0))</f>
        <v>0</v>
      </c>
      <c r="AA410" s="142">
        <f t="shared" si="53"/>
        <v>0</v>
      </c>
    </row>
    <row r="411" spans="2:27" x14ac:dyDescent="0.35">
      <c r="B411" s="12">
        <v>389</v>
      </c>
      <c r="C411" s="142">
        <f>IF(F410&gt;0.01,-PMT($C$8,$C$9*12,$C$6)+$C$10*_xlfn.XLOOKUP($D$10,'RE Calculations'!$B$12:$B$16,'RE Calculations'!$C$12:$C$16,"ERROR - Check Input")/12,0)</f>
        <v>0</v>
      </c>
      <c r="D411" s="142">
        <f t="shared" si="54"/>
        <v>0</v>
      </c>
      <c r="E411" s="142">
        <f>IFERROR(-IPMT($C$8,B411,$C$9*12,$C$6)+$C$10*_xlfn.XLOOKUP($D$10,'RE Calculations'!$B$12:$B$16,'RE Calculations'!$C$12:$C$16,"ERROR - Check Input")/12,0)</f>
        <v>0</v>
      </c>
      <c r="F411" s="142">
        <f t="shared" si="55"/>
        <v>0</v>
      </c>
      <c r="I411" s="12">
        <v>389</v>
      </c>
      <c r="J411" s="142">
        <f>IF(M410&gt;0.01,IF(I411&lt;=($J$9*12),$J$15,-PMT($J$11,($J$12-$J$9)*12,$J$6)+$J$13*_xlfn.XLOOKUP($K$13,'RE Calculations'!$B$12:$B$16,'RE Calculations'!$C$12:$C$16,"ERROR - Check Input")/12),0)</f>
        <v>0</v>
      </c>
      <c r="K411" s="142">
        <f t="shared" si="48"/>
        <v>0</v>
      </c>
      <c r="L411" s="142">
        <f>IF(I411&lt;=($J$9*12),$J$15,IFERROR(-IPMT($J$11,I411-$J$9*12,($J$12-$J$9)*12,$J$6)+$J$13*_xlfn.XLOOKUP($K$13,'RE Calculations'!$B$12:$B$16,'RE Calculations'!$C$12:$C$16,"ERROR - Check Input")/12,0))</f>
        <v>0</v>
      </c>
      <c r="M411" s="142">
        <f t="shared" si="49"/>
        <v>0</v>
      </c>
      <c r="P411" s="12">
        <v>389</v>
      </c>
      <c r="Q411" s="142">
        <f>IF(T410&gt;0.01,-PMT($Q$8,$Q$9*12,$Q$6)+$Q$10*_xlfn.XLOOKUP($R$10,'RE Calculations'!$B$12:$B$16,'RE Calculations'!$C$12:$C$16,"ERROR - Check Input")/12,0)</f>
        <v>0</v>
      </c>
      <c r="R411" s="142">
        <f t="shared" si="50"/>
        <v>0</v>
      </c>
      <c r="S411" s="142">
        <f>IFERROR(-IPMT($Q$8,P411,$Q$9*12,$Q$6)+$Q$10*_xlfn.XLOOKUP($R$10,'RE Calculations'!$B$12:$B$16,'RE Calculations'!$C$12:$C$16,"ERROR - Check Input")/12,0)</f>
        <v>0</v>
      </c>
      <c r="T411" s="142">
        <f t="shared" si="51"/>
        <v>0</v>
      </c>
      <c r="W411" s="12">
        <v>389</v>
      </c>
      <c r="X411" s="142">
        <f>IF(AA410&gt;0.01,IF(W411&lt;=($X$9*12),$X$15,-PMT($X$11,($X$12-$X$9)*12,$X$6)+$X$13*_xlfn.XLOOKUP($Y$13,'RE Calculations'!$B$12:$B$16,'RE Calculations'!$C$12:$C$16,"ERROR - Check Input")/12),0)</f>
        <v>0</v>
      </c>
      <c r="Y411" s="142">
        <f t="shared" si="52"/>
        <v>0</v>
      </c>
      <c r="Z411" s="142">
        <f>IF(W411&lt;=($X$9*12),$X$15,IFERROR(-IPMT($X$11,W411-$X$9*12,($X$12-$X$9)*12,$X$6)+$X$13*_xlfn.XLOOKUP($Y$13,'RE Calculations'!$B$12:$B$16,'RE Calculations'!$C$12:$C$16,"ERROR - Check Input")/12,0))</f>
        <v>0</v>
      </c>
      <c r="AA411" s="142">
        <f t="shared" si="53"/>
        <v>0</v>
      </c>
    </row>
    <row r="412" spans="2:27" x14ac:dyDescent="0.35">
      <c r="B412" s="12">
        <v>390</v>
      </c>
      <c r="C412" s="142">
        <f>IF(F411&gt;0.01,-PMT($C$8,$C$9*12,$C$6)+$C$10*_xlfn.XLOOKUP($D$10,'RE Calculations'!$B$12:$B$16,'RE Calculations'!$C$12:$C$16,"ERROR - Check Input")/12,0)</f>
        <v>0</v>
      </c>
      <c r="D412" s="142">
        <f t="shared" si="54"/>
        <v>0</v>
      </c>
      <c r="E412" s="142">
        <f>IFERROR(-IPMT($C$8,B412,$C$9*12,$C$6)+$C$10*_xlfn.XLOOKUP($D$10,'RE Calculations'!$B$12:$B$16,'RE Calculations'!$C$12:$C$16,"ERROR - Check Input")/12,0)</f>
        <v>0</v>
      </c>
      <c r="F412" s="142">
        <f t="shared" si="55"/>
        <v>0</v>
      </c>
      <c r="I412" s="12">
        <v>390</v>
      </c>
      <c r="J412" s="142">
        <f>IF(M411&gt;0.01,IF(I412&lt;=($J$9*12),$J$15,-PMT($J$11,($J$12-$J$9)*12,$J$6)+$J$13*_xlfn.XLOOKUP($K$13,'RE Calculations'!$B$12:$B$16,'RE Calculations'!$C$12:$C$16,"ERROR - Check Input")/12),0)</f>
        <v>0</v>
      </c>
      <c r="K412" s="142">
        <f t="shared" si="48"/>
        <v>0</v>
      </c>
      <c r="L412" s="142">
        <f>IF(I412&lt;=($J$9*12),$J$15,IFERROR(-IPMT($J$11,I412-$J$9*12,($J$12-$J$9)*12,$J$6)+$J$13*_xlfn.XLOOKUP($K$13,'RE Calculations'!$B$12:$B$16,'RE Calculations'!$C$12:$C$16,"ERROR - Check Input")/12,0))</f>
        <v>0</v>
      </c>
      <c r="M412" s="142">
        <f t="shared" si="49"/>
        <v>0</v>
      </c>
      <c r="P412" s="12">
        <v>390</v>
      </c>
      <c r="Q412" s="142">
        <f>IF(T411&gt;0.01,-PMT($Q$8,$Q$9*12,$Q$6)+$Q$10*_xlfn.XLOOKUP($R$10,'RE Calculations'!$B$12:$B$16,'RE Calculations'!$C$12:$C$16,"ERROR - Check Input")/12,0)</f>
        <v>0</v>
      </c>
      <c r="R412" s="142">
        <f t="shared" si="50"/>
        <v>0</v>
      </c>
      <c r="S412" s="142">
        <f>IFERROR(-IPMT($Q$8,P412,$Q$9*12,$Q$6)+$Q$10*_xlfn.XLOOKUP($R$10,'RE Calculations'!$B$12:$B$16,'RE Calculations'!$C$12:$C$16,"ERROR - Check Input")/12,0)</f>
        <v>0</v>
      </c>
      <c r="T412" s="142">
        <f t="shared" si="51"/>
        <v>0</v>
      </c>
      <c r="W412" s="12">
        <v>390</v>
      </c>
      <c r="X412" s="142">
        <f>IF(AA411&gt;0.01,IF(W412&lt;=($X$9*12),$X$15,-PMT($X$11,($X$12-$X$9)*12,$X$6)+$X$13*_xlfn.XLOOKUP($Y$13,'RE Calculations'!$B$12:$B$16,'RE Calculations'!$C$12:$C$16,"ERROR - Check Input")/12),0)</f>
        <v>0</v>
      </c>
      <c r="Y412" s="142">
        <f t="shared" si="52"/>
        <v>0</v>
      </c>
      <c r="Z412" s="142">
        <f>IF(W412&lt;=($X$9*12),$X$15,IFERROR(-IPMT($X$11,W412-$X$9*12,($X$12-$X$9)*12,$X$6)+$X$13*_xlfn.XLOOKUP($Y$13,'RE Calculations'!$B$12:$B$16,'RE Calculations'!$C$12:$C$16,"ERROR - Check Input")/12,0))</f>
        <v>0</v>
      </c>
      <c r="AA412" s="142">
        <f t="shared" si="53"/>
        <v>0</v>
      </c>
    </row>
    <row r="413" spans="2:27" x14ac:dyDescent="0.35">
      <c r="B413" s="12">
        <v>391</v>
      </c>
      <c r="C413" s="142">
        <f>IF(F412&gt;0.01,-PMT($C$8,$C$9*12,$C$6)+$C$10*_xlfn.XLOOKUP($D$10,'RE Calculations'!$B$12:$B$16,'RE Calculations'!$C$12:$C$16,"ERROR - Check Input")/12,0)</f>
        <v>0</v>
      </c>
      <c r="D413" s="142">
        <f t="shared" si="54"/>
        <v>0</v>
      </c>
      <c r="E413" s="142">
        <f>IFERROR(-IPMT($C$8,B413,$C$9*12,$C$6)+$C$10*_xlfn.XLOOKUP($D$10,'RE Calculations'!$B$12:$B$16,'RE Calculations'!$C$12:$C$16,"ERROR - Check Input")/12,0)</f>
        <v>0</v>
      </c>
      <c r="F413" s="142">
        <f t="shared" si="55"/>
        <v>0</v>
      </c>
      <c r="I413" s="12">
        <v>391</v>
      </c>
      <c r="J413" s="142">
        <f>IF(M412&gt;0.01,IF(I413&lt;=($J$9*12),$J$15,-PMT($J$11,($J$12-$J$9)*12,$J$6)+$J$13*_xlfn.XLOOKUP($K$13,'RE Calculations'!$B$12:$B$16,'RE Calculations'!$C$12:$C$16,"ERROR - Check Input")/12),0)</f>
        <v>0</v>
      </c>
      <c r="K413" s="142">
        <f t="shared" si="48"/>
        <v>0</v>
      </c>
      <c r="L413" s="142">
        <f>IF(I413&lt;=($J$9*12),$J$15,IFERROR(-IPMT($J$11,I413-$J$9*12,($J$12-$J$9)*12,$J$6)+$J$13*_xlfn.XLOOKUP($K$13,'RE Calculations'!$B$12:$B$16,'RE Calculations'!$C$12:$C$16,"ERROR - Check Input")/12,0))</f>
        <v>0</v>
      </c>
      <c r="M413" s="142">
        <f t="shared" si="49"/>
        <v>0</v>
      </c>
      <c r="P413" s="12">
        <v>391</v>
      </c>
      <c r="Q413" s="142">
        <f>IF(T412&gt;0.01,-PMT($Q$8,$Q$9*12,$Q$6)+$Q$10*_xlfn.XLOOKUP($R$10,'RE Calculations'!$B$12:$B$16,'RE Calculations'!$C$12:$C$16,"ERROR - Check Input")/12,0)</f>
        <v>0</v>
      </c>
      <c r="R413" s="142">
        <f t="shared" si="50"/>
        <v>0</v>
      </c>
      <c r="S413" s="142">
        <f>IFERROR(-IPMT($Q$8,P413,$Q$9*12,$Q$6)+$Q$10*_xlfn.XLOOKUP($R$10,'RE Calculations'!$B$12:$B$16,'RE Calculations'!$C$12:$C$16,"ERROR - Check Input")/12,0)</f>
        <v>0</v>
      </c>
      <c r="T413" s="142">
        <f t="shared" si="51"/>
        <v>0</v>
      </c>
      <c r="W413" s="12">
        <v>391</v>
      </c>
      <c r="X413" s="142">
        <f>IF(AA412&gt;0.01,IF(W413&lt;=($X$9*12),$X$15,-PMT($X$11,($X$12-$X$9)*12,$X$6)+$X$13*_xlfn.XLOOKUP($Y$13,'RE Calculations'!$B$12:$B$16,'RE Calculations'!$C$12:$C$16,"ERROR - Check Input")/12),0)</f>
        <v>0</v>
      </c>
      <c r="Y413" s="142">
        <f t="shared" si="52"/>
        <v>0</v>
      </c>
      <c r="Z413" s="142">
        <f>IF(W413&lt;=($X$9*12),$X$15,IFERROR(-IPMT($X$11,W413-$X$9*12,($X$12-$X$9)*12,$X$6)+$X$13*_xlfn.XLOOKUP($Y$13,'RE Calculations'!$B$12:$B$16,'RE Calculations'!$C$12:$C$16,"ERROR - Check Input")/12,0))</f>
        <v>0</v>
      </c>
      <c r="AA413" s="142">
        <f t="shared" si="53"/>
        <v>0</v>
      </c>
    </row>
    <row r="414" spans="2:27" x14ac:dyDescent="0.35">
      <c r="B414" s="12">
        <v>392</v>
      </c>
      <c r="C414" s="142">
        <f>IF(F413&gt;0.01,-PMT($C$8,$C$9*12,$C$6)+$C$10*_xlfn.XLOOKUP($D$10,'RE Calculations'!$B$12:$B$16,'RE Calculations'!$C$12:$C$16,"ERROR - Check Input")/12,0)</f>
        <v>0</v>
      </c>
      <c r="D414" s="142">
        <f t="shared" si="54"/>
        <v>0</v>
      </c>
      <c r="E414" s="142">
        <f>IFERROR(-IPMT($C$8,B414,$C$9*12,$C$6)+$C$10*_xlfn.XLOOKUP($D$10,'RE Calculations'!$B$12:$B$16,'RE Calculations'!$C$12:$C$16,"ERROR - Check Input")/12,0)</f>
        <v>0</v>
      </c>
      <c r="F414" s="142">
        <f t="shared" si="55"/>
        <v>0</v>
      </c>
      <c r="I414" s="12">
        <v>392</v>
      </c>
      <c r="J414" s="142">
        <f>IF(M413&gt;0.01,IF(I414&lt;=($J$9*12),$J$15,-PMT($J$11,($J$12-$J$9)*12,$J$6)+$J$13*_xlfn.XLOOKUP($K$13,'RE Calculations'!$B$12:$B$16,'RE Calculations'!$C$12:$C$16,"ERROR - Check Input")/12),0)</f>
        <v>0</v>
      </c>
      <c r="K414" s="142">
        <f t="shared" si="48"/>
        <v>0</v>
      </c>
      <c r="L414" s="142">
        <f>IF(I414&lt;=($J$9*12),$J$15,IFERROR(-IPMT($J$11,I414-$J$9*12,($J$12-$J$9)*12,$J$6)+$J$13*_xlfn.XLOOKUP($K$13,'RE Calculations'!$B$12:$B$16,'RE Calculations'!$C$12:$C$16,"ERROR - Check Input")/12,0))</f>
        <v>0</v>
      </c>
      <c r="M414" s="142">
        <f t="shared" si="49"/>
        <v>0</v>
      </c>
      <c r="P414" s="12">
        <v>392</v>
      </c>
      <c r="Q414" s="142">
        <f>IF(T413&gt;0.01,-PMT($Q$8,$Q$9*12,$Q$6)+$Q$10*_xlfn.XLOOKUP($R$10,'RE Calculations'!$B$12:$B$16,'RE Calculations'!$C$12:$C$16,"ERROR - Check Input")/12,0)</f>
        <v>0</v>
      </c>
      <c r="R414" s="142">
        <f t="shared" si="50"/>
        <v>0</v>
      </c>
      <c r="S414" s="142">
        <f>IFERROR(-IPMT($Q$8,P414,$Q$9*12,$Q$6)+$Q$10*_xlfn.XLOOKUP($R$10,'RE Calculations'!$B$12:$B$16,'RE Calculations'!$C$12:$C$16,"ERROR - Check Input")/12,0)</f>
        <v>0</v>
      </c>
      <c r="T414" s="142">
        <f t="shared" si="51"/>
        <v>0</v>
      </c>
      <c r="W414" s="12">
        <v>392</v>
      </c>
      <c r="X414" s="142">
        <f>IF(AA413&gt;0.01,IF(W414&lt;=($X$9*12),$X$15,-PMT($X$11,($X$12-$X$9)*12,$X$6)+$X$13*_xlfn.XLOOKUP($Y$13,'RE Calculations'!$B$12:$B$16,'RE Calculations'!$C$12:$C$16,"ERROR - Check Input")/12),0)</f>
        <v>0</v>
      </c>
      <c r="Y414" s="142">
        <f t="shared" si="52"/>
        <v>0</v>
      </c>
      <c r="Z414" s="142">
        <f>IF(W414&lt;=($X$9*12),$X$15,IFERROR(-IPMT($X$11,W414-$X$9*12,($X$12-$X$9)*12,$X$6)+$X$13*_xlfn.XLOOKUP($Y$13,'RE Calculations'!$B$12:$B$16,'RE Calculations'!$C$12:$C$16,"ERROR - Check Input")/12,0))</f>
        <v>0</v>
      </c>
      <c r="AA414" s="142">
        <f t="shared" si="53"/>
        <v>0</v>
      </c>
    </row>
    <row r="415" spans="2:27" x14ac:dyDescent="0.35">
      <c r="B415" s="12">
        <v>393</v>
      </c>
      <c r="C415" s="142">
        <f>IF(F414&gt;0.01,-PMT($C$8,$C$9*12,$C$6)+$C$10*_xlfn.XLOOKUP($D$10,'RE Calculations'!$B$12:$B$16,'RE Calculations'!$C$12:$C$16,"ERROR - Check Input")/12,0)</f>
        <v>0</v>
      </c>
      <c r="D415" s="142">
        <f t="shared" si="54"/>
        <v>0</v>
      </c>
      <c r="E415" s="142">
        <f>IFERROR(-IPMT($C$8,B415,$C$9*12,$C$6)+$C$10*_xlfn.XLOOKUP($D$10,'RE Calculations'!$B$12:$B$16,'RE Calculations'!$C$12:$C$16,"ERROR - Check Input")/12,0)</f>
        <v>0</v>
      </c>
      <c r="F415" s="142">
        <f t="shared" si="55"/>
        <v>0</v>
      </c>
      <c r="I415" s="12">
        <v>393</v>
      </c>
      <c r="J415" s="142">
        <f>IF(M414&gt;0.01,IF(I415&lt;=($J$9*12),$J$15,-PMT($J$11,($J$12-$J$9)*12,$J$6)+$J$13*_xlfn.XLOOKUP($K$13,'RE Calculations'!$B$12:$B$16,'RE Calculations'!$C$12:$C$16,"ERROR - Check Input")/12),0)</f>
        <v>0</v>
      </c>
      <c r="K415" s="142">
        <f t="shared" si="48"/>
        <v>0</v>
      </c>
      <c r="L415" s="142">
        <f>IF(I415&lt;=($J$9*12),$J$15,IFERROR(-IPMT($J$11,I415-$J$9*12,($J$12-$J$9)*12,$J$6)+$J$13*_xlfn.XLOOKUP($K$13,'RE Calculations'!$B$12:$B$16,'RE Calculations'!$C$12:$C$16,"ERROR - Check Input")/12,0))</f>
        <v>0</v>
      </c>
      <c r="M415" s="142">
        <f t="shared" si="49"/>
        <v>0</v>
      </c>
      <c r="P415" s="12">
        <v>393</v>
      </c>
      <c r="Q415" s="142">
        <f>IF(T414&gt;0.01,-PMT($Q$8,$Q$9*12,$Q$6)+$Q$10*_xlfn.XLOOKUP($R$10,'RE Calculations'!$B$12:$B$16,'RE Calculations'!$C$12:$C$16,"ERROR - Check Input")/12,0)</f>
        <v>0</v>
      </c>
      <c r="R415" s="142">
        <f t="shared" si="50"/>
        <v>0</v>
      </c>
      <c r="S415" s="142">
        <f>IFERROR(-IPMT($Q$8,P415,$Q$9*12,$Q$6)+$Q$10*_xlfn.XLOOKUP($R$10,'RE Calculations'!$B$12:$B$16,'RE Calculations'!$C$12:$C$16,"ERROR - Check Input")/12,0)</f>
        <v>0</v>
      </c>
      <c r="T415" s="142">
        <f t="shared" si="51"/>
        <v>0</v>
      </c>
      <c r="W415" s="12">
        <v>393</v>
      </c>
      <c r="X415" s="142">
        <f>IF(AA414&gt;0.01,IF(W415&lt;=($X$9*12),$X$15,-PMT($X$11,($X$12-$X$9)*12,$X$6)+$X$13*_xlfn.XLOOKUP($Y$13,'RE Calculations'!$B$12:$B$16,'RE Calculations'!$C$12:$C$16,"ERROR - Check Input")/12),0)</f>
        <v>0</v>
      </c>
      <c r="Y415" s="142">
        <f t="shared" si="52"/>
        <v>0</v>
      </c>
      <c r="Z415" s="142">
        <f>IF(W415&lt;=($X$9*12),$X$15,IFERROR(-IPMT($X$11,W415-$X$9*12,($X$12-$X$9)*12,$X$6)+$X$13*_xlfn.XLOOKUP($Y$13,'RE Calculations'!$B$12:$B$16,'RE Calculations'!$C$12:$C$16,"ERROR - Check Input")/12,0))</f>
        <v>0</v>
      </c>
      <c r="AA415" s="142">
        <f t="shared" si="53"/>
        <v>0</v>
      </c>
    </row>
    <row r="416" spans="2:27" x14ac:dyDescent="0.35">
      <c r="B416" s="12">
        <v>394</v>
      </c>
      <c r="C416" s="142">
        <f>IF(F415&gt;0.01,-PMT($C$8,$C$9*12,$C$6)+$C$10*_xlfn.XLOOKUP($D$10,'RE Calculations'!$B$12:$B$16,'RE Calculations'!$C$12:$C$16,"ERROR - Check Input")/12,0)</f>
        <v>0</v>
      </c>
      <c r="D416" s="142">
        <f t="shared" si="54"/>
        <v>0</v>
      </c>
      <c r="E416" s="142">
        <f>IFERROR(-IPMT($C$8,B416,$C$9*12,$C$6)+$C$10*_xlfn.XLOOKUP($D$10,'RE Calculations'!$B$12:$B$16,'RE Calculations'!$C$12:$C$16,"ERROR - Check Input")/12,0)</f>
        <v>0</v>
      </c>
      <c r="F416" s="142">
        <f t="shared" si="55"/>
        <v>0</v>
      </c>
      <c r="I416" s="12">
        <v>394</v>
      </c>
      <c r="J416" s="142">
        <f>IF(M415&gt;0.01,IF(I416&lt;=($J$9*12),$J$15,-PMT($J$11,($J$12-$J$9)*12,$J$6)+$J$13*_xlfn.XLOOKUP($K$13,'RE Calculations'!$B$12:$B$16,'RE Calculations'!$C$12:$C$16,"ERROR - Check Input")/12),0)</f>
        <v>0</v>
      </c>
      <c r="K416" s="142">
        <f t="shared" si="48"/>
        <v>0</v>
      </c>
      <c r="L416" s="142">
        <f>IF(I416&lt;=($J$9*12),$J$15,IFERROR(-IPMT($J$11,I416-$J$9*12,($J$12-$J$9)*12,$J$6)+$J$13*_xlfn.XLOOKUP($K$13,'RE Calculations'!$B$12:$B$16,'RE Calculations'!$C$12:$C$16,"ERROR - Check Input")/12,0))</f>
        <v>0</v>
      </c>
      <c r="M416" s="142">
        <f t="shared" si="49"/>
        <v>0</v>
      </c>
      <c r="P416" s="12">
        <v>394</v>
      </c>
      <c r="Q416" s="142">
        <f>IF(T415&gt;0.01,-PMT($Q$8,$Q$9*12,$Q$6)+$Q$10*_xlfn.XLOOKUP($R$10,'RE Calculations'!$B$12:$B$16,'RE Calculations'!$C$12:$C$16,"ERROR - Check Input")/12,0)</f>
        <v>0</v>
      </c>
      <c r="R416" s="142">
        <f t="shared" si="50"/>
        <v>0</v>
      </c>
      <c r="S416" s="142">
        <f>IFERROR(-IPMT($Q$8,P416,$Q$9*12,$Q$6)+$Q$10*_xlfn.XLOOKUP($R$10,'RE Calculations'!$B$12:$B$16,'RE Calculations'!$C$12:$C$16,"ERROR - Check Input")/12,0)</f>
        <v>0</v>
      </c>
      <c r="T416" s="142">
        <f t="shared" si="51"/>
        <v>0</v>
      </c>
      <c r="W416" s="12">
        <v>394</v>
      </c>
      <c r="X416" s="142">
        <f>IF(AA415&gt;0.01,IF(W416&lt;=($X$9*12),$X$15,-PMT($X$11,($X$12-$X$9)*12,$X$6)+$X$13*_xlfn.XLOOKUP($Y$13,'RE Calculations'!$B$12:$B$16,'RE Calculations'!$C$12:$C$16,"ERROR - Check Input")/12),0)</f>
        <v>0</v>
      </c>
      <c r="Y416" s="142">
        <f t="shared" si="52"/>
        <v>0</v>
      </c>
      <c r="Z416" s="142">
        <f>IF(W416&lt;=($X$9*12),$X$15,IFERROR(-IPMT($X$11,W416-$X$9*12,($X$12-$X$9)*12,$X$6)+$X$13*_xlfn.XLOOKUP($Y$13,'RE Calculations'!$B$12:$B$16,'RE Calculations'!$C$12:$C$16,"ERROR - Check Input")/12,0))</f>
        <v>0</v>
      </c>
      <c r="AA416" s="142">
        <f t="shared" si="53"/>
        <v>0</v>
      </c>
    </row>
    <row r="417" spans="2:27" x14ac:dyDescent="0.35">
      <c r="B417" s="12">
        <v>395</v>
      </c>
      <c r="C417" s="142">
        <f>IF(F416&gt;0.01,-PMT($C$8,$C$9*12,$C$6)+$C$10*_xlfn.XLOOKUP($D$10,'RE Calculations'!$B$12:$B$16,'RE Calculations'!$C$12:$C$16,"ERROR - Check Input")/12,0)</f>
        <v>0</v>
      </c>
      <c r="D417" s="142">
        <f t="shared" si="54"/>
        <v>0</v>
      </c>
      <c r="E417" s="142">
        <f>IFERROR(-IPMT($C$8,B417,$C$9*12,$C$6)+$C$10*_xlfn.XLOOKUP($D$10,'RE Calculations'!$B$12:$B$16,'RE Calculations'!$C$12:$C$16,"ERROR - Check Input")/12,0)</f>
        <v>0</v>
      </c>
      <c r="F417" s="142">
        <f t="shared" si="55"/>
        <v>0</v>
      </c>
      <c r="I417" s="12">
        <v>395</v>
      </c>
      <c r="J417" s="142">
        <f>IF(M416&gt;0.01,IF(I417&lt;=($J$9*12),$J$15,-PMT($J$11,($J$12-$J$9)*12,$J$6)+$J$13*_xlfn.XLOOKUP($K$13,'RE Calculations'!$B$12:$B$16,'RE Calculations'!$C$12:$C$16,"ERROR - Check Input")/12),0)</f>
        <v>0</v>
      </c>
      <c r="K417" s="142">
        <f t="shared" si="48"/>
        <v>0</v>
      </c>
      <c r="L417" s="142">
        <f>IF(I417&lt;=($J$9*12),$J$15,IFERROR(-IPMT($J$11,I417-$J$9*12,($J$12-$J$9)*12,$J$6)+$J$13*_xlfn.XLOOKUP($K$13,'RE Calculations'!$B$12:$B$16,'RE Calculations'!$C$12:$C$16,"ERROR - Check Input")/12,0))</f>
        <v>0</v>
      </c>
      <c r="M417" s="142">
        <f t="shared" si="49"/>
        <v>0</v>
      </c>
      <c r="P417" s="12">
        <v>395</v>
      </c>
      <c r="Q417" s="142">
        <f>IF(T416&gt;0.01,-PMT($Q$8,$Q$9*12,$Q$6)+$Q$10*_xlfn.XLOOKUP($R$10,'RE Calculations'!$B$12:$B$16,'RE Calculations'!$C$12:$C$16,"ERROR - Check Input")/12,0)</f>
        <v>0</v>
      </c>
      <c r="R417" s="142">
        <f t="shared" si="50"/>
        <v>0</v>
      </c>
      <c r="S417" s="142">
        <f>IFERROR(-IPMT($Q$8,P417,$Q$9*12,$Q$6)+$Q$10*_xlfn.XLOOKUP($R$10,'RE Calculations'!$B$12:$B$16,'RE Calculations'!$C$12:$C$16,"ERROR - Check Input")/12,0)</f>
        <v>0</v>
      </c>
      <c r="T417" s="142">
        <f t="shared" si="51"/>
        <v>0</v>
      </c>
      <c r="W417" s="12">
        <v>395</v>
      </c>
      <c r="X417" s="142">
        <f>IF(AA416&gt;0.01,IF(W417&lt;=($X$9*12),$X$15,-PMT($X$11,($X$12-$X$9)*12,$X$6)+$X$13*_xlfn.XLOOKUP($Y$13,'RE Calculations'!$B$12:$B$16,'RE Calculations'!$C$12:$C$16,"ERROR - Check Input")/12),0)</f>
        <v>0</v>
      </c>
      <c r="Y417" s="142">
        <f t="shared" si="52"/>
        <v>0</v>
      </c>
      <c r="Z417" s="142">
        <f>IF(W417&lt;=($X$9*12),$X$15,IFERROR(-IPMT($X$11,W417-$X$9*12,($X$12-$X$9)*12,$X$6)+$X$13*_xlfn.XLOOKUP($Y$13,'RE Calculations'!$B$12:$B$16,'RE Calculations'!$C$12:$C$16,"ERROR - Check Input")/12,0))</f>
        <v>0</v>
      </c>
      <c r="AA417" s="142">
        <f t="shared" si="53"/>
        <v>0</v>
      </c>
    </row>
    <row r="418" spans="2:27" x14ac:dyDescent="0.35">
      <c r="B418" s="12">
        <v>396</v>
      </c>
      <c r="C418" s="142">
        <f>IF(F417&gt;0.01,-PMT($C$8,$C$9*12,$C$6)+$C$10*_xlfn.XLOOKUP($D$10,'RE Calculations'!$B$12:$B$16,'RE Calculations'!$C$12:$C$16,"ERROR - Check Input")/12,0)</f>
        <v>0</v>
      </c>
      <c r="D418" s="142">
        <f t="shared" si="54"/>
        <v>0</v>
      </c>
      <c r="E418" s="142">
        <f>IFERROR(-IPMT($C$8,B418,$C$9*12,$C$6)+$C$10*_xlfn.XLOOKUP($D$10,'RE Calculations'!$B$12:$B$16,'RE Calculations'!$C$12:$C$16,"ERROR - Check Input")/12,0)</f>
        <v>0</v>
      </c>
      <c r="F418" s="142">
        <f t="shared" si="55"/>
        <v>0</v>
      </c>
      <c r="I418" s="12">
        <v>396</v>
      </c>
      <c r="J418" s="142">
        <f>IF(M417&gt;0.01,IF(I418&lt;=($J$9*12),$J$15,-PMT($J$11,($J$12-$J$9)*12,$J$6)+$J$13*_xlfn.XLOOKUP($K$13,'RE Calculations'!$B$12:$B$16,'RE Calculations'!$C$12:$C$16,"ERROR - Check Input")/12),0)</f>
        <v>0</v>
      </c>
      <c r="K418" s="142">
        <f t="shared" si="48"/>
        <v>0</v>
      </c>
      <c r="L418" s="142">
        <f>IF(I418&lt;=($J$9*12),$J$15,IFERROR(-IPMT($J$11,I418-$J$9*12,($J$12-$J$9)*12,$J$6)+$J$13*_xlfn.XLOOKUP($K$13,'RE Calculations'!$B$12:$B$16,'RE Calculations'!$C$12:$C$16,"ERROR - Check Input")/12,0))</f>
        <v>0</v>
      </c>
      <c r="M418" s="142">
        <f t="shared" si="49"/>
        <v>0</v>
      </c>
      <c r="P418" s="12">
        <v>396</v>
      </c>
      <c r="Q418" s="142">
        <f>IF(T417&gt;0.01,-PMT($Q$8,$Q$9*12,$Q$6)+$Q$10*_xlfn.XLOOKUP($R$10,'RE Calculations'!$B$12:$B$16,'RE Calculations'!$C$12:$C$16,"ERROR - Check Input")/12,0)</f>
        <v>0</v>
      </c>
      <c r="R418" s="142">
        <f t="shared" si="50"/>
        <v>0</v>
      </c>
      <c r="S418" s="142">
        <f>IFERROR(-IPMT($Q$8,P418,$Q$9*12,$Q$6)+$Q$10*_xlfn.XLOOKUP($R$10,'RE Calculations'!$B$12:$B$16,'RE Calculations'!$C$12:$C$16,"ERROR - Check Input")/12,0)</f>
        <v>0</v>
      </c>
      <c r="T418" s="142">
        <f t="shared" si="51"/>
        <v>0</v>
      </c>
      <c r="W418" s="12">
        <v>396</v>
      </c>
      <c r="X418" s="142">
        <f>IF(AA417&gt;0.01,IF(W418&lt;=($X$9*12),$X$15,-PMT($X$11,($X$12-$X$9)*12,$X$6)+$X$13*_xlfn.XLOOKUP($Y$13,'RE Calculations'!$B$12:$B$16,'RE Calculations'!$C$12:$C$16,"ERROR - Check Input")/12),0)</f>
        <v>0</v>
      </c>
      <c r="Y418" s="142">
        <f t="shared" si="52"/>
        <v>0</v>
      </c>
      <c r="Z418" s="142">
        <f>IF(W418&lt;=($X$9*12),$X$15,IFERROR(-IPMT($X$11,W418-$X$9*12,($X$12-$X$9)*12,$X$6)+$X$13*_xlfn.XLOOKUP($Y$13,'RE Calculations'!$B$12:$B$16,'RE Calculations'!$C$12:$C$16,"ERROR - Check Input")/12,0))</f>
        <v>0</v>
      </c>
      <c r="AA418" s="142">
        <f t="shared" si="53"/>
        <v>0</v>
      </c>
    </row>
    <row r="419" spans="2:27" x14ac:dyDescent="0.35">
      <c r="B419" s="12">
        <v>397</v>
      </c>
      <c r="C419" s="142">
        <f>IF(F418&gt;0.01,-PMT($C$8,$C$9*12,$C$6)+$C$10*_xlfn.XLOOKUP($D$10,'RE Calculations'!$B$12:$B$16,'RE Calculations'!$C$12:$C$16,"ERROR - Check Input")/12,0)</f>
        <v>0</v>
      </c>
      <c r="D419" s="142">
        <f t="shared" si="54"/>
        <v>0</v>
      </c>
      <c r="E419" s="142">
        <f>IFERROR(-IPMT($C$8,B419,$C$9*12,$C$6)+$C$10*_xlfn.XLOOKUP($D$10,'RE Calculations'!$B$12:$B$16,'RE Calculations'!$C$12:$C$16,"ERROR - Check Input")/12,0)</f>
        <v>0</v>
      </c>
      <c r="F419" s="142">
        <f t="shared" si="55"/>
        <v>0</v>
      </c>
      <c r="I419" s="12">
        <v>397</v>
      </c>
      <c r="J419" s="142">
        <f>IF(M418&gt;0.01,IF(I419&lt;=($J$9*12),$J$15,-PMT($J$11,($J$12-$J$9)*12,$J$6)+$J$13*_xlfn.XLOOKUP($K$13,'RE Calculations'!$B$12:$B$16,'RE Calculations'!$C$12:$C$16,"ERROR - Check Input")/12),0)</f>
        <v>0</v>
      </c>
      <c r="K419" s="142">
        <f t="shared" si="48"/>
        <v>0</v>
      </c>
      <c r="L419" s="142">
        <f>IF(I419&lt;=($J$9*12),$J$15,IFERROR(-IPMT($J$11,I419-$J$9*12,($J$12-$J$9)*12,$J$6)+$J$13*_xlfn.XLOOKUP($K$13,'RE Calculations'!$B$12:$B$16,'RE Calculations'!$C$12:$C$16,"ERROR - Check Input")/12,0))</f>
        <v>0</v>
      </c>
      <c r="M419" s="142">
        <f t="shared" si="49"/>
        <v>0</v>
      </c>
      <c r="P419" s="12">
        <v>397</v>
      </c>
      <c r="Q419" s="142">
        <f>IF(T418&gt;0.01,-PMT($Q$8,$Q$9*12,$Q$6)+$Q$10*_xlfn.XLOOKUP($R$10,'RE Calculations'!$B$12:$B$16,'RE Calculations'!$C$12:$C$16,"ERROR - Check Input")/12,0)</f>
        <v>0</v>
      </c>
      <c r="R419" s="142">
        <f t="shared" si="50"/>
        <v>0</v>
      </c>
      <c r="S419" s="142">
        <f>IFERROR(-IPMT($Q$8,P419,$Q$9*12,$Q$6)+$Q$10*_xlfn.XLOOKUP($R$10,'RE Calculations'!$B$12:$B$16,'RE Calculations'!$C$12:$C$16,"ERROR - Check Input")/12,0)</f>
        <v>0</v>
      </c>
      <c r="T419" s="142">
        <f t="shared" si="51"/>
        <v>0</v>
      </c>
      <c r="W419" s="12">
        <v>397</v>
      </c>
      <c r="X419" s="142">
        <f>IF(AA418&gt;0.01,IF(W419&lt;=($X$9*12),$X$15,-PMT($X$11,($X$12-$X$9)*12,$X$6)+$X$13*_xlfn.XLOOKUP($Y$13,'RE Calculations'!$B$12:$B$16,'RE Calculations'!$C$12:$C$16,"ERROR - Check Input")/12),0)</f>
        <v>0</v>
      </c>
      <c r="Y419" s="142">
        <f t="shared" si="52"/>
        <v>0</v>
      </c>
      <c r="Z419" s="142">
        <f>IF(W419&lt;=($X$9*12),$X$15,IFERROR(-IPMT($X$11,W419-$X$9*12,($X$12-$X$9)*12,$X$6)+$X$13*_xlfn.XLOOKUP($Y$13,'RE Calculations'!$B$12:$B$16,'RE Calculations'!$C$12:$C$16,"ERROR - Check Input")/12,0))</f>
        <v>0</v>
      </c>
      <c r="AA419" s="142">
        <f t="shared" si="53"/>
        <v>0</v>
      </c>
    </row>
    <row r="420" spans="2:27" x14ac:dyDescent="0.35">
      <c r="B420" s="12">
        <v>398</v>
      </c>
      <c r="C420" s="142">
        <f>IF(F419&gt;0.01,-PMT($C$8,$C$9*12,$C$6)+$C$10*_xlfn.XLOOKUP($D$10,'RE Calculations'!$B$12:$B$16,'RE Calculations'!$C$12:$C$16,"ERROR - Check Input")/12,0)</f>
        <v>0</v>
      </c>
      <c r="D420" s="142">
        <f t="shared" si="54"/>
        <v>0</v>
      </c>
      <c r="E420" s="142">
        <f>IFERROR(-IPMT($C$8,B420,$C$9*12,$C$6)+$C$10*_xlfn.XLOOKUP($D$10,'RE Calculations'!$B$12:$B$16,'RE Calculations'!$C$12:$C$16,"ERROR - Check Input")/12,0)</f>
        <v>0</v>
      </c>
      <c r="F420" s="142">
        <f t="shared" si="55"/>
        <v>0</v>
      </c>
      <c r="I420" s="12">
        <v>398</v>
      </c>
      <c r="J420" s="142">
        <f>IF(M419&gt;0.01,IF(I420&lt;=($J$9*12),$J$15,-PMT($J$11,($J$12-$J$9)*12,$J$6)+$J$13*_xlfn.XLOOKUP($K$13,'RE Calculations'!$B$12:$B$16,'RE Calculations'!$C$12:$C$16,"ERROR - Check Input")/12),0)</f>
        <v>0</v>
      </c>
      <c r="K420" s="142">
        <f t="shared" si="48"/>
        <v>0</v>
      </c>
      <c r="L420" s="142">
        <f>IF(I420&lt;=($J$9*12),$J$15,IFERROR(-IPMT($J$11,I420-$J$9*12,($J$12-$J$9)*12,$J$6)+$J$13*_xlfn.XLOOKUP($K$13,'RE Calculations'!$B$12:$B$16,'RE Calculations'!$C$12:$C$16,"ERROR - Check Input")/12,0))</f>
        <v>0</v>
      </c>
      <c r="M420" s="142">
        <f t="shared" si="49"/>
        <v>0</v>
      </c>
      <c r="P420" s="12">
        <v>398</v>
      </c>
      <c r="Q420" s="142">
        <f>IF(T419&gt;0.01,-PMT($Q$8,$Q$9*12,$Q$6)+$Q$10*_xlfn.XLOOKUP($R$10,'RE Calculations'!$B$12:$B$16,'RE Calculations'!$C$12:$C$16,"ERROR - Check Input")/12,0)</f>
        <v>0</v>
      </c>
      <c r="R420" s="142">
        <f t="shared" si="50"/>
        <v>0</v>
      </c>
      <c r="S420" s="142">
        <f>IFERROR(-IPMT($Q$8,P420,$Q$9*12,$Q$6)+$Q$10*_xlfn.XLOOKUP($R$10,'RE Calculations'!$B$12:$B$16,'RE Calculations'!$C$12:$C$16,"ERROR - Check Input")/12,0)</f>
        <v>0</v>
      </c>
      <c r="T420" s="142">
        <f t="shared" si="51"/>
        <v>0</v>
      </c>
      <c r="W420" s="12">
        <v>398</v>
      </c>
      <c r="X420" s="142">
        <f>IF(AA419&gt;0.01,IF(W420&lt;=($X$9*12),$X$15,-PMT($X$11,($X$12-$X$9)*12,$X$6)+$X$13*_xlfn.XLOOKUP($Y$13,'RE Calculations'!$B$12:$B$16,'RE Calculations'!$C$12:$C$16,"ERROR - Check Input")/12),0)</f>
        <v>0</v>
      </c>
      <c r="Y420" s="142">
        <f t="shared" si="52"/>
        <v>0</v>
      </c>
      <c r="Z420" s="142">
        <f>IF(W420&lt;=($X$9*12),$X$15,IFERROR(-IPMT($X$11,W420-$X$9*12,($X$12-$X$9)*12,$X$6)+$X$13*_xlfn.XLOOKUP($Y$13,'RE Calculations'!$B$12:$B$16,'RE Calculations'!$C$12:$C$16,"ERROR - Check Input")/12,0))</f>
        <v>0</v>
      </c>
      <c r="AA420" s="142">
        <f t="shared" si="53"/>
        <v>0</v>
      </c>
    </row>
    <row r="421" spans="2:27" x14ac:dyDescent="0.35">
      <c r="B421" s="12">
        <v>399</v>
      </c>
      <c r="C421" s="142">
        <f>IF(F420&gt;0.01,-PMT($C$8,$C$9*12,$C$6)+$C$10*_xlfn.XLOOKUP($D$10,'RE Calculations'!$B$12:$B$16,'RE Calculations'!$C$12:$C$16,"ERROR - Check Input")/12,0)</f>
        <v>0</v>
      </c>
      <c r="D421" s="142">
        <f t="shared" si="54"/>
        <v>0</v>
      </c>
      <c r="E421" s="142">
        <f>IFERROR(-IPMT($C$8,B421,$C$9*12,$C$6)+$C$10*_xlfn.XLOOKUP($D$10,'RE Calculations'!$B$12:$B$16,'RE Calculations'!$C$12:$C$16,"ERROR - Check Input")/12,0)</f>
        <v>0</v>
      </c>
      <c r="F421" s="142">
        <f t="shared" si="55"/>
        <v>0</v>
      </c>
      <c r="I421" s="12">
        <v>399</v>
      </c>
      <c r="J421" s="142">
        <f>IF(M420&gt;0.01,IF(I421&lt;=($J$9*12),$J$15,-PMT($J$11,($J$12-$J$9)*12,$J$6)+$J$13*_xlfn.XLOOKUP($K$13,'RE Calculations'!$B$12:$B$16,'RE Calculations'!$C$12:$C$16,"ERROR - Check Input")/12),0)</f>
        <v>0</v>
      </c>
      <c r="K421" s="142">
        <f t="shared" si="48"/>
        <v>0</v>
      </c>
      <c r="L421" s="142">
        <f>IF(I421&lt;=($J$9*12),$J$15,IFERROR(-IPMT($J$11,I421-$J$9*12,($J$12-$J$9)*12,$J$6)+$J$13*_xlfn.XLOOKUP($K$13,'RE Calculations'!$B$12:$B$16,'RE Calculations'!$C$12:$C$16,"ERROR - Check Input")/12,0))</f>
        <v>0</v>
      </c>
      <c r="M421" s="142">
        <f t="shared" si="49"/>
        <v>0</v>
      </c>
      <c r="P421" s="12">
        <v>399</v>
      </c>
      <c r="Q421" s="142">
        <f>IF(T420&gt;0.01,-PMT($Q$8,$Q$9*12,$Q$6)+$Q$10*_xlfn.XLOOKUP($R$10,'RE Calculations'!$B$12:$B$16,'RE Calculations'!$C$12:$C$16,"ERROR - Check Input")/12,0)</f>
        <v>0</v>
      </c>
      <c r="R421" s="142">
        <f t="shared" si="50"/>
        <v>0</v>
      </c>
      <c r="S421" s="142">
        <f>IFERROR(-IPMT($Q$8,P421,$Q$9*12,$Q$6)+$Q$10*_xlfn.XLOOKUP($R$10,'RE Calculations'!$B$12:$B$16,'RE Calculations'!$C$12:$C$16,"ERROR - Check Input")/12,0)</f>
        <v>0</v>
      </c>
      <c r="T421" s="142">
        <f t="shared" si="51"/>
        <v>0</v>
      </c>
      <c r="W421" s="12">
        <v>399</v>
      </c>
      <c r="X421" s="142">
        <f>IF(AA420&gt;0.01,IF(W421&lt;=($X$9*12),$X$15,-PMT($X$11,($X$12-$X$9)*12,$X$6)+$X$13*_xlfn.XLOOKUP($Y$13,'RE Calculations'!$B$12:$B$16,'RE Calculations'!$C$12:$C$16,"ERROR - Check Input")/12),0)</f>
        <v>0</v>
      </c>
      <c r="Y421" s="142">
        <f t="shared" si="52"/>
        <v>0</v>
      </c>
      <c r="Z421" s="142">
        <f>IF(W421&lt;=($X$9*12),$X$15,IFERROR(-IPMT($X$11,W421-$X$9*12,($X$12-$X$9)*12,$X$6)+$X$13*_xlfn.XLOOKUP($Y$13,'RE Calculations'!$B$12:$B$16,'RE Calculations'!$C$12:$C$16,"ERROR - Check Input")/12,0))</f>
        <v>0</v>
      </c>
      <c r="AA421" s="142">
        <f t="shared" si="53"/>
        <v>0</v>
      </c>
    </row>
    <row r="422" spans="2:27" x14ac:dyDescent="0.35">
      <c r="B422" s="12">
        <v>400</v>
      </c>
      <c r="C422" s="142">
        <f>IF(F421&gt;0.01,-PMT($C$8,$C$9*12,$C$6)+$C$10*_xlfn.XLOOKUP($D$10,'RE Calculations'!$B$12:$B$16,'RE Calculations'!$C$12:$C$16,"ERROR - Check Input")/12,0)</f>
        <v>0</v>
      </c>
      <c r="D422" s="142">
        <f t="shared" si="54"/>
        <v>0</v>
      </c>
      <c r="E422" s="142">
        <f>IFERROR(-IPMT($C$8,B422,$C$9*12,$C$6)+$C$10*_xlfn.XLOOKUP($D$10,'RE Calculations'!$B$12:$B$16,'RE Calculations'!$C$12:$C$16,"ERROR - Check Input")/12,0)</f>
        <v>0</v>
      </c>
      <c r="F422" s="142">
        <f t="shared" si="55"/>
        <v>0</v>
      </c>
      <c r="I422" s="12">
        <v>400</v>
      </c>
      <c r="J422" s="142">
        <f>IF(M421&gt;0.01,IF(I422&lt;=($J$9*12),$J$15,-PMT($J$11,($J$12-$J$9)*12,$J$6)+$J$13*_xlfn.XLOOKUP($K$13,'RE Calculations'!$B$12:$B$16,'RE Calculations'!$C$12:$C$16,"ERROR - Check Input")/12),0)</f>
        <v>0</v>
      </c>
      <c r="K422" s="142">
        <f t="shared" si="48"/>
        <v>0</v>
      </c>
      <c r="L422" s="142">
        <f>IF(I422&lt;=($J$9*12),$J$15,IFERROR(-IPMT($J$11,I422-$J$9*12,($J$12-$J$9)*12,$J$6)+$J$13*_xlfn.XLOOKUP($K$13,'RE Calculations'!$B$12:$B$16,'RE Calculations'!$C$12:$C$16,"ERROR - Check Input")/12,0))</f>
        <v>0</v>
      </c>
      <c r="M422" s="142">
        <f t="shared" si="49"/>
        <v>0</v>
      </c>
      <c r="P422" s="12">
        <v>400</v>
      </c>
      <c r="Q422" s="142">
        <f>IF(T421&gt;0.01,-PMT($Q$8,$Q$9*12,$Q$6)+$Q$10*_xlfn.XLOOKUP($R$10,'RE Calculations'!$B$12:$B$16,'RE Calculations'!$C$12:$C$16,"ERROR - Check Input")/12,0)</f>
        <v>0</v>
      </c>
      <c r="R422" s="142">
        <f t="shared" si="50"/>
        <v>0</v>
      </c>
      <c r="S422" s="142">
        <f>IFERROR(-IPMT($Q$8,P422,$Q$9*12,$Q$6)+$Q$10*_xlfn.XLOOKUP($R$10,'RE Calculations'!$B$12:$B$16,'RE Calculations'!$C$12:$C$16,"ERROR - Check Input")/12,0)</f>
        <v>0</v>
      </c>
      <c r="T422" s="142">
        <f t="shared" si="51"/>
        <v>0</v>
      </c>
      <c r="W422" s="12">
        <v>400</v>
      </c>
      <c r="X422" s="142">
        <f>IF(AA421&gt;0.01,IF(W422&lt;=($X$9*12),$X$15,-PMT($X$11,($X$12-$X$9)*12,$X$6)+$X$13*_xlfn.XLOOKUP($Y$13,'RE Calculations'!$B$12:$B$16,'RE Calculations'!$C$12:$C$16,"ERROR - Check Input")/12),0)</f>
        <v>0</v>
      </c>
      <c r="Y422" s="142">
        <f t="shared" si="52"/>
        <v>0</v>
      </c>
      <c r="Z422" s="142">
        <f>IF(W422&lt;=($X$9*12),$X$15,IFERROR(-IPMT($X$11,W422-$X$9*12,($X$12-$X$9)*12,$X$6)+$X$13*_xlfn.XLOOKUP($Y$13,'RE Calculations'!$B$12:$B$16,'RE Calculations'!$C$12:$C$16,"ERROR - Check Input")/12,0))</f>
        <v>0</v>
      </c>
      <c r="AA422" s="142">
        <f t="shared" si="53"/>
        <v>0</v>
      </c>
    </row>
    <row r="423" spans="2:27" x14ac:dyDescent="0.35">
      <c r="B423" s="12">
        <v>401</v>
      </c>
      <c r="C423" s="142">
        <f>IF(F422&gt;0.01,-PMT($C$8,$C$9*12,$C$6)+$C$10*_xlfn.XLOOKUP($D$10,'RE Calculations'!$B$12:$B$16,'RE Calculations'!$C$12:$C$16,"ERROR - Check Input")/12,0)</f>
        <v>0</v>
      </c>
      <c r="D423" s="142">
        <f t="shared" si="54"/>
        <v>0</v>
      </c>
      <c r="E423" s="142">
        <f>IFERROR(-IPMT($C$8,B423,$C$9*12,$C$6)+$C$10*_xlfn.XLOOKUP($D$10,'RE Calculations'!$B$12:$B$16,'RE Calculations'!$C$12:$C$16,"ERROR - Check Input")/12,0)</f>
        <v>0</v>
      </c>
      <c r="F423" s="142">
        <f t="shared" si="55"/>
        <v>0</v>
      </c>
      <c r="I423" s="12">
        <v>401</v>
      </c>
      <c r="J423" s="142">
        <f>IF(M422&gt;0.01,IF(I423&lt;=($J$9*12),$J$15,-PMT($J$11,($J$12-$J$9)*12,$J$6)+$J$13*_xlfn.XLOOKUP($K$13,'RE Calculations'!$B$12:$B$16,'RE Calculations'!$C$12:$C$16,"ERROR - Check Input")/12),0)</f>
        <v>0</v>
      </c>
      <c r="K423" s="142">
        <f t="shared" si="48"/>
        <v>0</v>
      </c>
      <c r="L423" s="142">
        <f>IF(I423&lt;=($J$9*12),$J$15,IFERROR(-IPMT($J$11,I423-$J$9*12,($J$12-$J$9)*12,$J$6)+$J$13*_xlfn.XLOOKUP($K$13,'RE Calculations'!$B$12:$B$16,'RE Calculations'!$C$12:$C$16,"ERROR - Check Input")/12,0))</f>
        <v>0</v>
      </c>
      <c r="M423" s="142">
        <f t="shared" si="49"/>
        <v>0</v>
      </c>
      <c r="P423" s="12">
        <v>401</v>
      </c>
      <c r="Q423" s="142">
        <f>IF(T422&gt;0.01,-PMT($Q$8,$Q$9*12,$Q$6)+$Q$10*_xlfn.XLOOKUP($R$10,'RE Calculations'!$B$12:$B$16,'RE Calculations'!$C$12:$C$16,"ERROR - Check Input")/12,0)</f>
        <v>0</v>
      </c>
      <c r="R423" s="142">
        <f t="shared" si="50"/>
        <v>0</v>
      </c>
      <c r="S423" s="142">
        <f>IFERROR(-IPMT($Q$8,P423,$Q$9*12,$Q$6)+$Q$10*_xlfn.XLOOKUP($R$10,'RE Calculations'!$B$12:$B$16,'RE Calculations'!$C$12:$C$16,"ERROR - Check Input")/12,0)</f>
        <v>0</v>
      </c>
      <c r="T423" s="142">
        <f t="shared" si="51"/>
        <v>0</v>
      </c>
      <c r="W423" s="12">
        <v>401</v>
      </c>
      <c r="X423" s="142">
        <f>IF(AA422&gt;0.01,IF(W423&lt;=($X$9*12),$X$15,-PMT($X$11,($X$12-$X$9)*12,$X$6)+$X$13*_xlfn.XLOOKUP($Y$13,'RE Calculations'!$B$12:$B$16,'RE Calculations'!$C$12:$C$16,"ERROR - Check Input")/12),0)</f>
        <v>0</v>
      </c>
      <c r="Y423" s="142">
        <f t="shared" si="52"/>
        <v>0</v>
      </c>
      <c r="Z423" s="142">
        <f>IF(W423&lt;=($X$9*12),$X$15,IFERROR(-IPMT($X$11,W423-$X$9*12,($X$12-$X$9)*12,$X$6)+$X$13*_xlfn.XLOOKUP($Y$13,'RE Calculations'!$B$12:$B$16,'RE Calculations'!$C$12:$C$16,"ERROR - Check Input")/12,0))</f>
        <v>0</v>
      </c>
      <c r="AA423" s="142">
        <f t="shared" si="53"/>
        <v>0</v>
      </c>
    </row>
    <row r="424" spans="2:27" x14ac:dyDescent="0.35">
      <c r="B424" s="12">
        <v>402</v>
      </c>
      <c r="C424" s="142">
        <f>IF(F423&gt;0.01,-PMT($C$8,$C$9*12,$C$6)+$C$10*_xlfn.XLOOKUP($D$10,'RE Calculations'!$B$12:$B$16,'RE Calculations'!$C$12:$C$16,"ERROR - Check Input")/12,0)</f>
        <v>0</v>
      </c>
      <c r="D424" s="142">
        <f t="shared" si="54"/>
        <v>0</v>
      </c>
      <c r="E424" s="142">
        <f>IFERROR(-IPMT($C$8,B424,$C$9*12,$C$6)+$C$10*_xlfn.XLOOKUP($D$10,'RE Calculations'!$B$12:$B$16,'RE Calculations'!$C$12:$C$16,"ERROR - Check Input")/12,0)</f>
        <v>0</v>
      </c>
      <c r="F424" s="142">
        <f t="shared" si="55"/>
        <v>0</v>
      </c>
      <c r="I424" s="12">
        <v>402</v>
      </c>
      <c r="J424" s="142">
        <f>IF(M423&gt;0.01,IF(I424&lt;=($J$9*12),$J$15,-PMT($J$11,($J$12-$J$9)*12,$J$6)+$J$13*_xlfn.XLOOKUP($K$13,'RE Calculations'!$B$12:$B$16,'RE Calculations'!$C$12:$C$16,"ERROR - Check Input")/12),0)</f>
        <v>0</v>
      </c>
      <c r="K424" s="142">
        <f t="shared" si="48"/>
        <v>0</v>
      </c>
      <c r="L424" s="142">
        <f>IF(I424&lt;=($J$9*12),$J$15,IFERROR(-IPMT($J$11,I424-$J$9*12,($J$12-$J$9)*12,$J$6)+$J$13*_xlfn.XLOOKUP($K$13,'RE Calculations'!$B$12:$B$16,'RE Calculations'!$C$12:$C$16,"ERROR - Check Input")/12,0))</f>
        <v>0</v>
      </c>
      <c r="M424" s="142">
        <f t="shared" si="49"/>
        <v>0</v>
      </c>
      <c r="P424" s="12">
        <v>402</v>
      </c>
      <c r="Q424" s="142">
        <f>IF(T423&gt;0.01,-PMT($Q$8,$Q$9*12,$Q$6)+$Q$10*_xlfn.XLOOKUP($R$10,'RE Calculations'!$B$12:$B$16,'RE Calculations'!$C$12:$C$16,"ERROR - Check Input")/12,0)</f>
        <v>0</v>
      </c>
      <c r="R424" s="142">
        <f t="shared" si="50"/>
        <v>0</v>
      </c>
      <c r="S424" s="142">
        <f>IFERROR(-IPMT($Q$8,P424,$Q$9*12,$Q$6)+$Q$10*_xlfn.XLOOKUP($R$10,'RE Calculations'!$B$12:$B$16,'RE Calculations'!$C$12:$C$16,"ERROR - Check Input")/12,0)</f>
        <v>0</v>
      </c>
      <c r="T424" s="142">
        <f t="shared" si="51"/>
        <v>0</v>
      </c>
      <c r="W424" s="12">
        <v>402</v>
      </c>
      <c r="X424" s="142">
        <f>IF(AA423&gt;0.01,IF(W424&lt;=($X$9*12),$X$15,-PMT($X$11,($X$12-$X$9)*12,$X$6)+$X$13*_xlfn.XLOOKUP($Y$13,'RE Calculations'!$B$12:$B$16,'RE Calculations'!$C$12:$C$16,"ERROR - Check Input")/12),0)</f>
        <v>0</v>
      </c>
      <c r="Y424" s="142">
        <f t="shared" si="52"/>
        <v>0</v>
      </c>
      <c r="Z424" s="142">
        <f>IF(W424&lt;=($X$9*12),$X$15,IFERROR(-IPMT($X$11,W424-$X$9*12,($X$12-$X$9)*12,$X$6)+$X$13*_xlfn.XLOOKUP($Y$13,'RE Calculations'!$B$12:$B$16,'RE Calculations'!$C$12:$C$16,"ERROR - Check Input")/12,0))</f>
        <v>0</v>
      </c>
      <c r="AA424" s="142">
        <f t="shared" si="53"/>
        <v>0</v>
      </c>
    </row>
    <row r="425" spans="2:27" x14ac:dyDescent="0.35">
      <c r="B425" s="12">
        <v>403</v>
      </c>
      <c r="C425" s="142">
        <f>IF(F424&gt;0.01,-PMT($C$8,$C$9*12,$C$6)+$C$10*_xlfn.XLOOKUP($D$10,'RE Calculations'!$B$12:$B$16,'RE Calculations'!$C$12:$C$16,"ERROR - Check Input")/12,0)</f>
        <v>0</v>
      </c>
      <c r="D425" s="142">
        <f t="shared" si="54"/>
        <v>0</v>
      </c>
      <c r="E425" s="142">
        <f>IFERROR(-IPMT($C$8,B425,$C$9*12,$C$6)+$C$10*_xlfn.XLOOKUP($D$10,'RE Calculations'!$B$12:$B$16,'RE Calculations'!$C$12:$C$16,"ERROR - Check Input")/12,0)</f>
        <v>0</v>
      </c>
      <c r="F425" s="142">
        <f t="shared" si="55"/>
        <v>0</v>
      </c>
      <c r="I425" s="12">
        <v>403</v>
      </c>
      <c r="J425" s="142">
        <f>IF(M424&gt;0.01,IF(I425&lt;=($J$9*12),$J$15,-PMT($J$11,($J$12-$J$9)*12,$J$6)+$J$13*_xlfn.XLOOKUP($K$13,'RE Calculations'!$B$12:$B$16,'RE Calculations'!$C$12:$C$16,"ERROR - Check Input")/12),0)</f>
        <v>0</v>
      </c>
      <c r="K425" s="142">
        <f t="shared" si="48"/>
        <v>0</v>
      </c>
      <c r="L425" s="142">
        <f>IF(I425&lt;=($J$9*12),$J$15,IFERROR(-IPMT($J$11,I425-$J$9*12,($J$12-$J$9)*12,$J$6)+$J$13*_xlfn.XLOOKUP($K$13,'RE Calculations'!$B$12:$B$16,'RE Calculations'!$C$12:$C$16,"ERROR - Check Input")/12,0))</f>
        <v>0</v>
      </c>
      <c r="M425" s="142">
        <f t="shared" si="49"/>
        <v>0</v>
      </c>
      <c r="P425" s="12">
        <v>403</v>
      </c>
      <c r="Q425" s="142">
        <f>IF(T424&gt;0.01,-PMT($Q$8,$Q$9*12,$Q$6)+$Q$10*_xlfn.XLOOKUP($R$10,'RE Calculations'!$B$12:$B$16,'RE Calculations'!$C$12:$C$16,"ERROR - Check Input")/12,0)</f>
        <v>0</v>
      </c>
      <c r="R425" s="142">
        <f t="shared" si="50"/>
        <v>0</v>
      </c>
      <c r="S425" s="142">
        <f>IFERROR(-IPMT($Q$8,P425,$Q$9*12,$Q$6)+$Q$10*_xlfn.XLOOKUP($R$10,'RE Calculations'!$B$12:$B$16,'RE Calculations'!$C$12:$C$16,"ERROR - Check Input")/12,0)</f>
        <v>0</v>
      </c>
      <c r="T425" s="142">
        <f t="shared" si="51"/>
        <v>0</v>
      </c>
      <c r="W425" s="12">
        <v>403</v>
      </c>
      <c r="X425" s="142">
        <f>IF(AA424&gt;0.01,IF(W425&lt;=($X$9*12),$X$15,-PMT($X$11,($X$12-$X$9)*12,$X$6)+$X$13*_xlfn.XLOOKUP($Y$13,'RE Calculations'!$B$12:$B$16,'RE Calculations'!$C$12:$C$16,"ERROR - Check Input")/12),0)</f>
        <v>0</v>
      </c>
      <c r="Y425" s="142">
        <f t="shared" si="52"/>
        <v>0</v>
      </c>
      <c r="Z425" s="142">
        <f>IF(W425&lt;=($X$9*12),$X$15,IFERROR(-IPMT($X$11,W425-$X$9*12,($X$12-$X$9)*12,$X$6)+$X$13*_xlfn.XLOOKUP($Y$13,'RE Calculations'!$B$12:$B$16,'RE Calculations'!$C$12:$C$16,"ERROR - Check Input")/12,0))</f>
        <v>0</v>
      </c>
      <c r="AA425" s="142">
        <f t="shared" si="53"/>
        <v>0</v>
      </c>
    </row>
    <row r="426" spans="2:27" x14ac:dyDescent="0.35">
      <c r="B426" s="12">
        <v>404</v>
      </c>
      <c r="C426" s="142">
        <f>IF(F425&gt;0.01,-PMT($C$8,$C$9*12,$C$6)+$C$10*_xlfn.XLOOKUP($D$10,'RE Calculations'!$B$12:$B$16,'RE Calculations'!$C$12:$C$16,"ERROR - Check Input")/12,0)</f>
        <v>0</v>
      </c>
      <c r="D426" s="142">
        <f t="shared" si="54"/>
        <v>0</v>
      </c>
      <c r="E426" s="142">
        <f>IFERROR(-IPMT($C$8,B426,$C$9*12,$C$6)+$C$10*_xlfn.XLOOKUP($D$10,'RE Calculations'!$B$12:$B$16,'RE Calculations'!$C$12:$C$16,"ERROR - Check Input")/12,0)</f>
        <v>0</v>
      </c>
      <c r="F426" s="142">
        <f t="shared" si="55"/>
        <v>0</v>
      </c>
      <c r="I426" s="12">
        <v>404</v>
      </c>
      <c r="J426" s="142">
        <f>IF(M425&gt;0.01,IF(I426&lt;=($J$9*12),$J$15,-PMT($J$11,($J$12-$J$9)*12,$J$6)+$J$13*_xlfn.XLOOKUP($K$13,'RE Calculations'!$B$12:$B$16,'RE Calculations'!$C$12:$C$16,"ERROR - Check Input")/12),0)</f>
        <v>0</v>
      </c>
      <c r="K426" s="142">
        <f t="shared" si="48"/>
        <v>0</v>
      </c>
      <c r="L426" s="142">
        <f>IF(I426&lt;=($J$9*12),$J$15,IFERROR(-IPMT($J$11,I426-$J$9*12,($J$12-$J$9)*12,$J$6)+$J$13*_xlfn.XLOOKUP($K$13,'RE Calculations'!$B$12:$B$16,'RE Calculations'!$C$12:$C$16,"ERROR - Check Input")/12,0))</f>
        <v>0</v>
      </c>
      <c r="M426" s="142">
        <f t="shared" si="49"/>
        <v>0</v>
      </c>
      <c r="P426" s="12">
        <v>404</v>
      </c>
      <c r="Q426" s="142">
        <f>IF(T425&gt;0.01,-PMT($Q$8,$Q$9*12,$Q$6)+$Q$10*_xlfn.XLOOKUP($R$10,'RE Calculations'!$B$12:$B$16,'RE Calculations'!$C$12:$C$16,"ERROR - Check Input")/12,0)</f>
        <v>0</v>
      </c>
      <c r="R426" s="142">
        <f t="shared" si="50"/>
        <v>0</v>
      </c>
      <c r="S426" s="142">
        <f>IFERROR(-IPMT($Q$8,P426,$Q$9*12,$Q$6)+$Q$10*_xlfn.XLOOKUP($R$10,'RE Calculations'!$B$12:$B$16,'RE Calculations'!$C$12:$C$16,"ERROR - Check Input")/12,0)</f>
        <v>0</v>
      </c>
      <c r="T426" s="142">
        <f t="shared" si="51"/>
        <v>0</v>
      </c>
      <c r="W426" s="12">
        <v>404</v>
      </c>
      <c r="X426" s="142">
        <f>IF(AA425&gt;0.01,IF(W426&lt;=($X$9*12),$X$15,-PMT($X$11,($X$12-$X$9)*12,$X$6)+$X$13*_xlfn.XLOOKUP($Y$13,'RE Calculations'!$B$12:$B$16,'RE Calculations'!$C$12:$C$16,"ERROR - Check Input")/12),0)</f>
        <v>0</v>
      </c>
      <c r="Y426" s="142">
        <f t="shared" si="52"/>
        <v>0</v>
      </c>
      <c r="Z426" s="142">
        <f>IF(W426&lt;=($X$9*12),$X$15,IFERROR(-IPMT($X$11,W426-$X$9*12,($X$12-$X$9)*12,$X$6)+$X$13*_xlfn.XLOOKUP($Y$13,'RE Calculations'!$B$12:$B$16,'RE Calculations'!$C$12:$C$16,"ERROR - Check Input")/12,0))</f>
        <v>0</v>
      </c>
      <c r="AA426" s="142">
        <f t="shared" si="53"/>
        <v>0</v>
      </c>
    </row>
    <row r="427" spans="2:27" x14ac:dyDescent="0.35">
      <c r="B427" s="12">
        <v>405</v>
      </c>
      <c r="C427" s="142">
        <f>IF(F426&gt;0.01,-PMT($C$8,$C$9*12,$C$6)+$C$10*_xlfn.XLOOKUP($D$10,'RE Calculations'!$B$12:$B$16,'RE Calculations'!$C$12:$C$16,"ERROR - Check Input")/12,0)</f>
        <v>0</v>
      </c>
      <c r="D427" s="142">
        <f t="shared" si="54"/>
        <v>0</v>
      </c>
      <c r="E427" s="142">
        <f>IFERROR(-IPMT($C$8,B427,$C$9*12,$C$6)+$C$10*_xlfn.XLOOKUP($D$10,'RE Calculations'!$B$12:$B$16,'RE Calculations'!$C$12:$C$16,"ERROR - Check Input")/12,0)</f>
        <v>0</v>
      </c>
      <c r="F427" s="142">
        <f t="shared" si="55"/>
        <v>0</v>
      </c>
      <c r="I427" s="12">
        <v>405</v>
      </c>
      <c r="J427" s="142">
        <f>IF(M426&gt;0.01,IF(I427&lt;=($J$9*12),$J$15,-PMT($J$11,($J$12-$J$9)*12,$J$6)+$J$13*_xlfn.XLOOKUP($K$13,'RE Calculations'!$B$12:$B$16,'RE Calculations'!$C$12:$C$16,"ERROR - Check Input")/12),0)</f>
        <v>0</v>
      </c>
      <c r="K427" s="142">
        <f t="shared" si="48"/>
        <v>0</v>
      </c>
      <c r="L427" s="142">
        <f>IF(I427&lt;=($J$9*12),$J$15,IFERROR(-IPMT($J$11,I427-$J$9*12,($J$12-$J$9)*12,$J$6)+$J$13*_xlfn.XLOOKUP($K$13,'RE Calculations'!$B$12:$B$16,'RE Calculations'!$C$12:$C$16,"ERROR - Check Input")/12,0))</f>
        <v>0</v>
      </c>
      <c r="M427" s="142">
        <f t="shared" si="49"/>
        <v>0</v>
      </c>
      <c r="P427" s="12">
        <v>405</v>
      </c>
      <c r="Q427" s="142">
        <f>IF(T426&gt;0.01,-PMT($Q$8,$Q$9*12,$Q$6)+$Q$10*_xlfn.XLOOKUP($R$10,'RE Calculations'!$B$12:$B$16,'RE Calculations'!$C$12:$C$16,"ERROR - Check Input")/12,0)</f>
        <v>0</v>
      </c>
      <c r="R427" s="142">
        <f t="shared" si="50"/>
        <v>0</v>
      </c>
      <c r="S427" s="142">
        <f>IFERROR(-IPMT($Q$8,P427,$Q$9*12,$Q$6)+$Q$10*_xlfn.XLOOKUP($R$10,'RE Calculations'!$B$12:$B$16,'RE Calculations'!$C$12:$C$16,"ERROR - Check Input")/12,0)</f>
        <v>0</v>
      </c>
      <c r="T427" s="142">
        <f t="shared" si="51"/>
        <v>0</v>
      </c>
      <c r="W427" s="12">
        <v>405</v>
      </c>
      <c r="X427" s="142">
        <f>IF(AA426&gt;0.01,IF(W427&lt;=($X$9*12),$X$15,-PMT($X$11,($X$12-$X$9)*12,$X$6)+$X$13*_xlfn.XLOOKUP($Y$13,'RE Calculations'!$B$12:$B$16,'RE Calculations'!$C$12:$C$16,"ERROR - Check Input")/12),0)</f>
        <v>0</v>
      </c>
      <c r="Y427" s="142">
        <f t="shared" si="52"/>
        <v>0</v>
      </c>
      <c r="Z427" s="142">
        <f>IF(W427&lt;=($X$9*12),$X$15,IFERROR(-IPMT($X$11,W427-$X$9*12,($X$12-$X$9)*12,$X$6)+$X$13*_xlfn.XLOOKUP($Y$13,'RE Calculations'!$B$12:$B$16,'RE Calculations'!$C$12:$C$16,"ERROR - Check Input")/12,0))</f>
        <v>0</v>
      </c>
      <c r="AA427" s="142">
        <f t="shared" si="53"/>
        <v>0</v>
      </c>
    </row>
    <row r="428" spans="2:27" x14ac:dyDescent="0.35">
      <c r="B428" s="12">
        <v>406</v>
      </c>
      <c r="C428" s="142">
        <f>IF(F427&gt;0.01,-PMT($C$8,$C$9*12,$C$6)+$C$10*_xlfn.XLOOKUP($D$10,'RE Calculations'!$B$12:$B$16,'RE Calculations'!$C$12:$C$16,"ERROR - Check Input")/12,0)</f>
        <v>0</v>
      </c>
      <c r="D428" s="142">
        <f t="shared" si="54"/>
        <v>0</v>
      </c>
      <c r="E428" s="142">
        <f>IFERROR(-IPMT($C$8,B428,$C$9*12,$C$6)+$C$10*_xlfn.XLOOKUP($D$10,'RE Calculations'!$B$12:$B$16,'RE Calculations'!$C$12:$C$16,"ERROR - Check Input")/12,0)</f>
        <v>0</v>
      </c>
      <c r="F428" s="142">
        <f t="shared" si="55"/>
        <v>0</v>
      </c>
      <c r="I428" s="12">
        <v>406</v>
      </c>
      <c r="J428" s="142">
        <f>IF(M427&gt;0.01,IF(I428&lt;=($J$9*12),$J$15,-PMT($J$11,($J$12-$J$9)*12,$J$6)+$J$13*_xlfn.XLOOKUP($K$13,'RE Calculations'!$B$12:$B$16,'RE Calculations'!$C$12:$C$16,"ERROR - Check Input")/12),0)</f>
        <v>0</v>
      </c>
      <c r="K428" s="142">
        <f t="shared" si="48"/>
        <v>0</v>
      </c>
      <c r="L428" s="142">
        <f>IF(I428&lt;=($J$9*12),$J$15,IFERROR(-IPMT($J$11,I428-$J$9*12,($J$12-$J$9)*12,$J$6)+$J$13*_xlfn.XLOOKUP($K$13,'RE Calculations'!$B$12:$B$16,'RE Calculations'!$C$12:$C$16,"ERROR - Check Input")/12,0))</f>
        <v>0</v>
      </c>
      <c r="M428" s="142">
        <f t="shared" si="49"/>
        <v>0</v>
      </c>
      <c r="P428" s="12">
        <v>406</v>
      </c>
      <c r="Q428" s="142">
        <f>IF(T427&gt;0.01,-PMT($Q$8,$Q$9*12,$Q$6)+$Q$10*_xlfn.XLOOKUP($R$10,'RE Calculations'!$B$12:$B$16,'RE Calculations'!$C$12:$C$16,"ERROR - Check Input")/12,0)</f>
        <v>0</v>
      </c>
      <c r="R428" s="142">
        <f t="shared" si="50"/>
        <v>0</v>
      </c>
      <c r="S428" s="142">
        <f>IFERROR(-IPMT($Q$8,P428,$Q$9*12,$Q$6)+$Q$10*_xlfn.XLOOKUP($R$10,'RE Calculations'!$B$12:$B$16,'RE Calculations'!$C$12:$C$16,"ERROR - Check Input")/12,0)</f>
        <v>0</v>
      </c>
      <c r="T428" s="142">
        <f t="shared" si="51"/>
        <v>0</v>
      </c>
      <c r="W428" s="12">
        <v>406</v>
      </c>
      <c r="X428" s="142">
        <f>IF(AA427&gt;0.01,IF(W428&lt;=($X$9*12),$X$15,-PMT($X$11,($X$12-$X$9)*12,$X$6)+$X$13*_xlfn.XLOOKUP($Y$13,'RE Calculations'!$B$12:$B$16,'RE Calculations'!$C$12:$C$16,"ERROR - Check Input")/12),0)</f>
        <v>0</v>
      </c>
      <c r="Y428" s="142">
        <f t="shared" si="52"/>
        <v>0</v>
      </c>
      <c r="Z428" s="142">
        <f>IF(W428&lt;=($X$9*12),$X$15,IFERROR(-IPMT($X$11,W428-$X$9*12,($X$12-$X$9)*12,$X$6)+$X$13*_xlfn.XLOOKUP($Y$13,'RE Calculations'!$B$12:$B$16,'RE Calculations'!$C$12:$C$16,"ERROR - Check Input")/12,0))</f>
        <v>0</v>
      </c>
      <c r="AA428" s="142">
        <f t="shared" si="53"/>
        <v>0</v>
      </c>
    </row>
    <row r="429" spans="2:27" x14ac:dyDescent="0.35">
      <c r="B429" s="12">
        <v>407</v>
      </c>
      <c r="C429" s="142">
        <f>IF(F428&gt;0.01,-PMT($C$8,$C$9*12,$C$6)+$C$10*_xlfn.XLOOKUP($D$10,'RE Calculations'!$B$12:$B$16,'RE Calculations'!$C$12:$C$16,"ERROR - Check Input")/12,0)</f>
        <v>0</v>
      </c>
      <c r="D429" s="142">
        <f t="shared" si="54"/>
        <v>0</v>
      </c>
      <c r="E429" s="142">
        <f>IFERROR(-IPMT($C$8,B429,$C$9*12,$C$6)+$C$10*_xlfn.XLOOKUP($D$10,'RE Calculations'!$B$12:$B$16,'RE Calculations'!$C$12:$C$16,"ERROR - Check Input")/12,0)</f>
        <v>0</v>
      </c>
      <c r="F429" s="142">
        <f t="shared" si="55"/>
        <v>0</v>
      </c>
      <c r="I429" s="12">
        <v>407</v>
      </c>
      <c r="J429" s="142">
        <f>IF(M428&gt;0.01,IF(I429&lt;=($J$9*12),$J$15,-PMT($J$11,($J$12-$J$9)*12,$J$6)+$J$13*_xlfn.XLOOKUP($K$13,'RE Calculations'!$B$12:$B$16,'RE Calculations'!$C$12:$C$16,"ERROR - Check Input")/12),0)</f>
        <v>0</v>
      </c>
      <c r="K429" s="142">
        <f t="shared" si="48"/>
        <v>0</v>
      </c>
      <c r="L429" s="142">
        <f>IF(I429&lt;=($J$9*12),$J$15,IFERROR(-IPMT($J$11,I429-$J$9*12,($J$12-$J$9)*12,$J$6)+$J$13*_xlfn.XLOOKUP($K$13,'RE Calculations'!$B$12:$B$16,'RE Calculations'!$C$12:$C$16,"ERROR - Check Input")/12,0))</f>
        <v>0</v>
      </c>
      <c r="M429" s="142">
        <f t="shared" si="49"/>
        <v>0</v>
      </c>
      <c r="P429" s="12">
        <v>407</v>
      </c>
      <c r="Q429" s="142">
        <f>IF(T428&gt;0.01,-PMT($Q$8,$Q$9*12,$Q$6)+$Q$10*_xlfn.XLOOKUP($R$10,'RE Calculations'!$B$12:$B$16,'RE Calculations'!$C$12:$C$16,"ERROR - Check Input")/12,0)</f>
        <v>0</v>
      </c>
      <c r="R429" s="142">
        <f t="shared" si="50"/>
        <v>0</v>
      </c>
      <c r="S429" s="142">
        <f>IFERROR(-IPMT($Q$8,P429,$Q$9*12,$Q$6)+$Q$10*_xlfn.XLOOKUP($R$10,'RE Calculations'!$B$12:$B$16,'RE Calculations'!$C$12:$C$16,"ERROR - Check Input")/12,0)</f>
        <v>0</v>
      </c>
      <c r="T429" s="142">
        <f t="shared" si="51"/>
        <v>0</v>
      </c>
      <c r="W429" s="12">
        <v>407</v>
      </c>
      <c r="X429" s="142">
        <f>IF(AA428&gt;0.01,IF(W429&lt;=($X$9*12),$X$15,-PMT($X$11,($X$12-$X$9)*12,$X$6)+$X$13*_xlfn.XLOOKUP($Y$13,'RE Calculations'!$B$12:$B$16,'RE Calculations'!$C$12:$C$16,"ERROR - Check Input")/12),0)</f>
        <v>0</v>
      </c>
      <c r="Y429" s="142">
        <f t="shared" si="52"/>
        <v>0</v>
      </c>
      <c r="Z429" s="142">
        <f>IF(W429&lt;=($X$9*12),$X$15,IFERROR(-IPMT($X$11,W429-$X$9*12,($X$12-$X$9)*12,$X$6)+$X$13*_xlfn.XLOOKUP($Y$13,'RE Calculations'!$B$12:$B$16,'RE Calculations'!$C$12:$C$16,"ERROR - Check Input")/12,0))</f>
        <v>0</v>
      </c>
      <c r="AA429" s="142">
        <f t="shared" si="53"/>
        <v>0</v>
      </c>
    </row>
    <row r="430" spans="2:27" x14ac:dyDescent="0.35">
      <c r="B430" s="12">
        <v>408</v>
      </c>
      <c r="C430" s="142">
        <f>IF(F429&gt;0.01,-PMT($C$8,$C$9*12,$C$6)+$C$10*_xlfn.XLOOKUP($D$10,'RE Calculations'!$B$12:$B$16,'RE Calculations'!$C$12:$C$16,"ERROR - Check Input")/12,0)</f>
        <v>0</v>
      </c>
      <c r="D430" s="142">
        <f t="shared" si="54"/>
        <v>0</v>
      </c>
      <c r="E430" s="142">
        <f>IFERROR(-IPMT($C$8,B430,$C$9*12,$C$6)+$C$10*_xlfn.XLOOKUP($D$10,'RE Calculations'!$B$12:$B$16,'RE Calculations'!$C$12:$C$16,"ERROR - Check Input")/12,0)</f>
        <v>0</v>
      </c>
      <c r="F430" s="142">
        <f t="shared" si="55"/>
        <v>0</v>
      </c>
      <c r="I430" s="12">
        <v>408</v>
      </c>
      <c r="J430" s="142">
        <f>IF(M429&gt;0.01,IF(I430&lt;=($J$9*12),$J$15,-PMT($J$11,($J$12-$J$9)*12,$J$6)+$J$13*_xlfn.XLOOKUP($K$13,'RE Calculations'!$B$12:$B$16,'RE Calculations'!$C$12:$C$16,"ERROR - Check Input")/12),0)</f>
        <v>0</v>
      </c>
      <c r="K430" s="142">
        <f t="shared" si="48"/>
        <v>0</v>
      </c>
      <c r="L430" s="142">
        <f>IF(I430&lt;=($J$9*12),$J$15,IFERROR(-IPMT($J$11,I430-$J$9*12,($J$12-$J$9)*12,$J$6)+$J$13*_xlfn.XLOOKUP($K$13,'RE Calculations'!$B$12:$B$16,'RE Calculations'!$C$12:$C$16,"ERROR - Check Input")/12,0))</f>
        <v>0</v>
      </c>
      <c r="M430" s="142">
        <f t="shared" si="49"/>
        <v>0</v>
      </c>
      <c r="P430" s="12">
        <v>408</v>
      </c>
      <c r="Q430" s="142">
        <f>IF(T429&gt;0.01,-PMT($Q$8,$Q$9*12,$Q$6)+$Q$10*_xlfn.XLOOKUP($R$10,'RE Calculations'!$B$12:$B$16,'RE Calculations'!$C$12:$C$16,"ERROR - Check Input")/12,0)</f>
        <v>0</v>
      </c>
      <c r="R430" s="142">
        <f t="shared" si="50"/>
        <v>0</v>
      </c>
      <c r="S430" s="142">
        <f>IFERROR(-IPMT($Q$8,P430,$Q$9*12,$Q$6)+$Q$10*_xlfn.XLOOKUP($R$10,'RE Calculations'!$B$12:$B$16,'RE Calculations'!$C$12:$C$16,"ERROR - Check Input")/12,0)</f>
        <v>0</v>
      </c>
      <c r="T430" s="142">
        <f t="shared" si="51"/>
        <v>0</v>
      </c>
      <c r="W430" s="12">
        <v>408</v>
      </c>
      <c r="X430" s="142">
        <f>IF(AA429&gt;0.01,IF(W430&lt;=($X$9*12),$X$15,-PMT($X$11,($X$12-$X$9)*12,$X$6)+$X$13*_xlfn.XLOOKUP($Y$13,'RE Calculations'!$B$12:$B$16,'RE Calculations'!$C$12:$C$16,"ERROR - Check Input")/12),0)</f>
        <v>0</v>
      </c>
      <c r="Y430" s="142">
        <f t="shared" si="52"/>
        <v>0</v>
      </c>
      <c r="Z430" s="142">
        <f>IF(W430&lt;=($X$9*12),$X$15,IFERROR(-IPMT($X$11,W430-$X$9*12,($X$12-$X$9)*12,$X$6)+$X$13*_xlfn.XLOOKUP($Y$13,'RE Calculations'!$B$12:$B$16,'RE Calculations'!$C$12:$C$16,"ERROR - Check Input")/12,0))</f>
        <v>0</v>
      </c>
      <c r="AA430" s="142">
        <f t="shared" si="53"/>
        <v>0</v>
      </c>
    </row>
    <row r="431" spans="2:27" x14ac:dyDescent="0.35">
      <c r="B431" s="12">
        <v>409</v>
      </c>
      <c r="C431" s="142">
        <f>IF(F430&gt;0.01,-PMT($C$8,$C$9*12,$C$6)+$C$10*_xlfn.XLOOKUP($D$10,'RE Calculations'!$B$12:$B$16,'RE Calculations'!$C$12:$C$16,"ERROR - Check Input")/12,0)</f>
        <v>0</v>
      </c>
      <c r="D431" s="142">
        <f t="shared" si="54"/>
        <v>0</v>
      </c>
      <c r="E431" s="142">
        <f>IFERROR(-IPMT($C$8,B431,$C$9*12,$C$6)+$C$10*_xlfn.XLOOKUP($D$10,'RE Calculations'!$B$12:$B$16,'RE Calculations'!$C$12:$C$16,"ERROR - Check Input")/12,0)</f>
        <v>0</v>
      </c>
      <c r="F431" s="142">
        <f t="shared" si="55"/>
        <v>0</v>
      </c>
      <c r="I431" s="12">
        <v>409</v>
      </c>
      <c r="J431" s="142">
        <f>IF(M430&gt;0.01,IF(I431&lt;=($J$9*12),$J$15,-PMT($J$11,($J$12-$J$9)*12,$J$6)+$J$13*_xlfn.XLOOKUP($K$13,'RE Calculations'!$B$12:$B$16,'RE Calculations'!$C$12:$C$16,"ERROR - Check Input")/12),0)</f>
        <v>0</v>
      </c>
      <c r="K431" s="142">
        <f t="shared" si="48"/>
        <v>0</v>
      </c>
      <c r="L431" s="142">
        <f>IF(I431&lt;=($J$9*12),$J$15,IFERROR(-IPMT($J$11,I431-$J$9*12,($J$12-$J$9)*12,$J$6)+$J$13*_xlfn.XLOOKUP($K$13,'RE Calculations'!$B$12:$B$16,'RE Calculations'!$C$12:$C$16,"ERROR - Check Input")/12,0))</f>
        <v>0</v>
      </c>
      <c r="M431" s="142">
        <f t="shared" si="49"/>
        <v>0</v>
      </c>
      <c r="P431" s="12">
        <v>409</v>
      </c>
      <c r="Q431" s="142">
        <f>IF(T430&gt;0.01,-PMT($Q$8,$Q$9*12,$Q$6)+$Q$10*_xlfn.XLOOKUP($R$10,'RE Calculations'!$B$12:$B$16,'RE Calculations'!$C$12:$C$16,"ERROR - Check Input")/12,0)</f>
        <v>0</v>
      </c>
      <c r="R431" s="142">
        <f t="shared" si="50"/>
        <v>0</v>
      </c>
      <c r="S431" s="142">
        <f>IFERROR(-IPMT($Q$8,P431,$Q$9*12,$Q$6)+$Q$10*_xlfn.XLOOKUP($R$10,'RE Calculations'!$B$12:$B$16,'RE Calculations'!$C$12:$C$16,"ERROR - Check Input")/12,0)</f>
        <v>0</v>
      </c>
      <c r="T431" s="142">
        <f t="shared" si="51"/>
        <v>0</v>
      </c>
      <c r="W431" s="12">
        <v>409</v>
      </c>
      <c r="X431" s="142">
        <f>IF(AA430&gt;0.01,IF(W431&lt;=($X$9*12),$X$15,-PMT($X$11,($X$12-$X$9)*12,$X$6)+$X$13*_xlfn.XLOOKUP($Y$13,'RE Calculations'!$B$12:$B$16,'RE Calculations'!$C$12:$C$16,"ERROR - Check Input")/12),0)</f>
        <v>0</v>
      </c>
      <c r="Y431" s="142">
        <f t="shared" si="52"/>
        <v>0</v>
      </c>
      <c r="Z431" s="142">
        <f>IF(W431&lt;=($X$9*12),$X$15,IFERROR(-IPMT($X$11,W431-$X$9*12,($X$12-$X$9)*12,$X$6)+$X$13*_xlfn.XLOOKUP($Y$13,'RE Calculations'!$B$12:$B$16,'RE Calculations'!$C$12:$C$16,"ERROR - Check Input")/12,0))</f>
        <v>0</v>
      </c>
      <c r="AA431" s="142">
        <f t="shared" si="53"/>
        <v>0</v>
      </c>
    </row>
    <row r="432" spans="2:27" x14ac:dyDescent="0.35">
      <c r="B432" s="12">
        <v>410</v>
      </c>
      <c r="C432" s="142">
        <f>IF(F431&gt;0.01,-PMT($C$8,$C$9*12,$C$6)+$C$10*_xlfn.XLOOKUP($D$10,'RE Calculations'!$B$12:$B$16,'RE Calculations'!$C$12:$C$16,"ERROR - Check Input")/12,0)</f>
        <v>0</v>
      </c>
      <c r="D432" s="142">
        <f t="shared" si="54"/>
        <v>0</v>
      </c>
      <c r="E432" s="142">
        <f>IFERROR(-IPMT($C$8,B432,$C$9*12,$C$6)+$C$10*_xlfn.XLOOKUP($D$10,'RE Calculations'!$B$12:$B$16,'RE Calculations'!$C$12:$C$16,"ERROR - Check Input")/12,0)</f>
        <v>0</v>
      </c>
      <c r="F432" s="142">
        <f t="shared" si="55"/>
        <v>0</v>
      </c>
      <c r="I432" s="12">
        <v>410</v>
      </c>
      <c r="J432" s="142">
        <f>IF(M431&gt;0.01,IF(I432&lt;=($J$9*12),$J$15,-PMT($J$11,($J$12-$J$9)*12,$J$6)+$J$13*_xlfn.XLOOKUP($K$13,'RE Calculations'!$B$12:$B$16,'RE Calculations'!$C$12:$C$16,"ERROR - Check Input")/12),0)</f>
        <v>0</v>
      </c>
      <c r="K432" s="142">
        <f t="shared" si="48"/>
        <v>0</v>
      </c>
      <c r="L432" s="142">
        <f>IF(I432&lt;=($J$9*12),$J$15,IFERROR(-IPMT($J$11,I432-$J$9*12,($J$12-$J$9)*12,$J$6)+$J$13*_xlfn.XLOOKUP($K$13,'RE Calculations'!$B$12:$B$16,'RE Calculations'!$C$12:$C$16,"ERROR - Check Input")/12,0))</f>
        <v>0</v>
      </c>
      <c r="M432" s="142">
        <f t="shared" si="49"/>
        <v>0</v>
      </c>
      <c r="P432" s="12">
        <v>410</v>
      </c>
      <c r="Q432" s="142">
        <f>IF(T431&gt;0.01,-PMT($Q$8,$Q$9*12,$Q$6)+$Q$10*_xlfn.XLOOKUP($R$10,'RE Calculations'!$B$12:$B$16,'RE Calculations'!$C$12:$C$16,"ERROR - Check Input")/12,0)</f>
        <v>0</v>
      </c>
      <c r="R432" s="142">
        <f t="shared" si="50"/>
        <v>0</v>
      </c>
      <c r="S432" s="142">
        <f>IFERROR(-IPMT($Q$8,P432,$Q$9*12,$Q$6)+$Q$10*_xlfn.XLOOKUP($R$10,'RE Calculations'!$B$12:$B$16,'RE Calculations'!$C$12:$C$16,"ERROR - Check Input")/12,0)</f>
        <v>0</v>
      </c>
      <c r="T432" s="142">
        <f t="shared" si="51"/>
        <v>0</v>
      </c>
      <c r="W432" s="12">
        <v>410</v>
      </c>
      <c r="X432" s="142">
        <f>IF(AA431&gt;0.01,IF(W432&lt;=($X$9*12),$X$15,-PMT($X$11,($X$12-$X$9)*12,$X$6)+$X$13*_xlfn.XLOOKUP($Y$13,'RE Calculations'!$B$12:$B$16,'RE Calculations'!$C$12:$C$16,"ERROR - Check Input")/12),0)</f>
        <v>0</v>
      </c>
      <c r="Y432" s="142">
        <f t="shared" si="52"/>
        <v>0</v>
      </c>
      <c r="Z432" s="142">
        <f>IF(W432&lt;=($X$9*12),$X$15,IFERROR(-IPMT($X$11,W432-$X$9*12,($X$12-$X$9)*12,$X$6)+$X$13*_xlfn.XLOOKUP($Y$13,'RE Calculations'!$B$12:$B$16,'RE Calculations'!$C$12:$C$16,"ERROR - Check Input")/12,0))</f>
        <v>0</v>
      </c>
      <c r="AA432" s="142">
        <f t="shared" si="53"/>
        <v>0</v>
      </c>
    </row>
    <row r="433" spans="2:27" x14ac:dyDescent="0.35">
      <c r="B433" s="12">
        <v>411</v>
      </c>
      <c r="C433" s="142">
        <f>IF(F432&gt;0.01,-PMT($C$8,$C$9*12,$C$6)+$C$10*_xlfn.XLOOKUP($D$10,'RE Calculations'!$B$12:$B$16,'RE Calculations'!$C$12:$C$16,"ERROR - Check Input")/12,0)</f>
        <v>0</v>
      </c>
      <c r="D433" s="142">
        <f t="shared" si="54"/>
        <v>0</v>
      </c>
      <c r="E433" s="142">
        <f>IFERROR(-IPMT($C$8,B433,$C$9*12,$C$6)+$C$10*_xlfn.XLOOKUP($D$10,'RE Calculations'!$B$12:$B$16,'RE Calculations'!$C$12:$C$16,"ERROR - Check Input")/12,0)</f>
        <v>0</v>
      </c>
      <c r="F433" s="142">
        <f t="shared" si="55"/>
        <v>0</v>
      </c>
      <c r="I433" s="12">
        <v>411</v>
      </c>
      <c r="J433" s="142">
        <f>IF(M432&gt;0.01,IF(I433&lt;=($J$9*12),$J$15,-PMT($J$11,($J$12-$J$9)*12,$J$6)+$J$13*_xlfn.XLOOKUP($K$13,'RE Calculations'!$B$12:$B$16,'RE Calculations'!$C$12:$C$16,"ERROR - Check Input")/12),0)</f>
        <v>0</v>
      </c>
      <c r="K433" s="142">
        <f t="shared" si="48"/>
        <v>0</v>
      </c>
      <c r="L433" s="142">
        <f>IF(I433&lt;=($J$9*12),$J$15,IFERROR(-IPMT($J$11,I433-$J$9*12,($J$12-$J$9)*12,$J$6)+$J$13*_xlfn.XLOOKUP($K$13,'RE Calculations'!$B$12:$B$16,'RE Calculations'!$C$12:$C$16,"ERROR - Check Input")/12,0))</f>
        <v>0</v>
      </c>
      <c r="M433" s="142">
        <f t="shared" si="49"/>
        <v>0</v>
      </c>
      <c r="P433" s="12">
        <v>411</v>
      </c>
      <c r="Q433" s="142">
        <f>IF(T432&gt;0.01,-PMT($Q$8,$Q$9*12,$Q$6)+$Q$10*_xlfn.XLOOKUP($R$10,'RE Calculations'!$B$12:$B$16,'RE Calculations'!$C$12:$C$16,"ERROR - Check Input")/12,0)</f>
        <v>0</v>
      </c>
      <c r="R433" s="142">
        <f t="shared" si="50"/>
        <v>0</v>
      </c>
      <c r="S433" s="142">
        <f>IFERROR(-IPMT($Q$8,P433,$Q$9*12,$Q$6)+$Q$10*_xlfn.XLOOKUP($R$10,'RE Calculations'!$B$12:$B$16,'RE Calculations'!$C$12:$C$16,"ERROR - Check Input")/12,0)</f>
        <v>0</v>
      </c>
      <c r="T433" s="142">
        <f t="shared" si="51"/>
        <v>0</v>
      </c>
      <c r="W433" s="12">
        <v>411</v>
      </c>
      <c r="X433" s="142">
        <f>IF(AA432&gt;0.01,IF(W433&lt;=($X$9*12),$X$15,-PMT($X$11,($X$12-$X$9)*12,$X$6)+$X$13*_xlfn.XLOOKUP($Y$13,'RE Calculations'!$B$12:$B$16,'RE Calculations'!$C$12:$C$16,"ERROR - Check Input")/12),0)</f>
        <v>0</v>
      </c>
      <c r="Y433" s="142">
        <f t="shared" si="52"/>
        <v>0</v>
      </c>
      <c r="Z433" s="142">
        <f>IF(W433&lt;=($X$9*12),$X$15,IFERROR(-IPMT($X$11,W433-$X$9*12,($X$12-$X$9)*12,$X$6)+$X$13*_xlfn.XLOOKUP($Y$13,'RE Calculations'!$B$12:$B$16,'RE Calculations'!$C$12:$C$16,"ERROR - Check Input")/12,0))</f>
        <v>0</v>
      </c>
      <c r="AA433" s="142">
        <f t="shared" si="53"/>
        <v>0</v>
      </c>
    </row>
    <row r="434" spans="2:27" x14ac:dyDescent="0.35">
      <c r="B434" s="12">
        <v>412</v>
      </c>
      <c r="C434" s="142">
        <f>IF(F433&gt;0.01,-PMT($C$8,$C$9*12,$C$6)+$C$10*_xlfn.XLOOKUP($D$10,'RE Calculations'!$B$12:$B$16,'RE Calculations'!$C$12:$C$16,"ERROR - Check Input")/12,0)</f>
        <v>0</v>
      </c>
      <c r="D434" s="142">
        <f t="shared" si="54"/>
        <v>0</v>
      </c>
      <c r="E434" s="142">
        <f>IFERROR(-IPMT($C$8,B434,$C$9*12,$C$6)+$C$10*_xlfn.XLOOKUP($D$10,'RE Calculations'!$B$12:$B$16,'RE Calculations'!$C$12:$C$16,"ERROR - Check Input")/12,0)</f>
        <v>0</v>
      </c>
      <c r="F434" s="142">
        <f t="shared" si="55"/>
        <v>0</v>
      </c>
      <c r="I434" s="12">
        <v>412</v>
      </c>
      <c r="J434" s="142">
        <f>IF(M433&gt;0.01,IF(I434&lt;=($J$9*12),$J$15,-PMT($J$11,($J$12-$J$9)*12,$J$6)+$J$13*_xlfn.XLOOKUP($K$13,'RE Calculations'!$B$12:$B$16,'RE Calculations'!$C$12:$C$16,"ERROR - Check Input")/12),0)</f>
        <v>0</v>
      </c>
      <c r="K434" s="142">
        <f t="shared" si="48"/>
        <v>0</v>
      </c>
      <c r="L434" s="142">
        <f>IF(I434&lt;=($J$9*12),$J$15,IFERROR(-IPMT($J$11,I434-$J$9*12,($J$12-$J$9)*12,$J$6)+$J$13*_xlfn.XLOOKUP($K$13,'RE Calculations'!$B$12:$B$16,'RE Calculations'!$C$12:$C$16,"ERROR - Check Input")/12,0))</f>
        <v>0</v>
      </c>
      <c r="M434" s="142">
        <f t="shared" si="49"/>
        <v>0</v>
      </c>
      <c r="P434" s="12">
        <v>412</v>
      </c>
      <c r="Q434" s="142">
        <f>IF(T433&gt;0.01,-PMT($Q$8,$Q$9*12,$Q$6)+$Q$10*_xlfn.XLOOKUP($R$10,'RE Calculations'!$B$12:$B$16,'RE Calculations'!$C$12:$C$16,"ERROR - Check Input")/12,0)</f>
        <v>0</v>
      </c>
      <c r="R434" s="142">
        <f t="shared" si="50"/>
        <v>0</v>
      </c>
      <c r="S434" s="142">
        <f>IFERROR(-IPMT($Q$8,P434,$Q$9*12,$Q$6)+$Q$10*_xlfn.XLOOKUP($R$10,'RE Calculations'!$B$12:$B$16,'RE Calculations'!$C$12:$C$16,"ERROR - Check Input")/12,0)</f>
        <v>0</v>
      </c>
      <c r="T434" s="142">
        <f t="shared" si="51"/>
        <v>0</v>
      </c>
      <c r="W434" s="12">
        <v>412</v>
      </c>
      <c r="X434" s="142">
        <f>IF(AA433&gt;0.01,IF(W434&lt;=($X$9*12),$X$15,-PMT($X$11,($X$12-$X$9)*12,$X$6)+$X$13*_xlfn.XLOOKUP($Y$13,'RE Calculations'!$B$12:$B$16,'RE Calculations'!$C$12:$C$16,"ERROR - Check Input")/12),0)</f>
        <v>0</v>
      </c>
      <c r="Y434" s="142">
        <f t="shared" si="52"/>
        <v>0</v>
      </c>
      <c r="Z434" s="142">
        <f>IF(W434&lt;=($X$9*12),$X$15,IFERROR(-IPMT($X$11,W434-$X$9*12,($X$12-$X$9)*12,$X$6)+$X$13*_xlfn.XLOOKUP($Y$13,'RE Calculations'!$B$12:$B$16,'RE Calculations'!$C$12:$C$16,"ERROR - Check Input")/12,0))</f>
        <v>0</v>
      </c>
      <c r="AA434" s="142">
        <f t="shared" si="53"/>
        <v>0</v>
      </c>
    </row>
    <row r="435" spans="2:27" x14ac:dyDescent="0.35">
      <c r="B435" s="12">
        <v>413</v>
      </c>
      <c r="C435" s="142">
        <f>IF(F434&gt;0.01,-PMT($C$8,$C$9*12,$C$6)+$C$10*_xlfn.XLOOKUP($D$10,'RE Calculations'!$B$12:$B$16,'RE Calculations'!$C$12:$C$16,"ERROR - Check Input")/12,0)</f>
        <v>0</v>
      </c>
      <c r="D435" s="142">
        <f t="shared" si="54"/>
        <v>0</v>
      </c>
      <c r="E435" s="142">
        <f>IFERROR(-IPMT($C$8,B435,$C$9*12,$C$6)+$C$10*_xlfn.XLOOKUP($D$10,'RE Calculations'!$B$12:$B$16,'RE Calculations'!$C$12:$C$16,"ERROR - Check Input")/12,0)</f>
        <v>0</v>
      </c>
      <c r="F435" s="142">
        <f t="shared" si="55"/>
        <v>0</v>
      </c>
      <c r="I435" s="12">
        <v>413</v>
      </c>
      <c r="J435" s="142">
        <f>IF(M434&gt;0.01,IF(I435&lt;=($J$9*12),$J$15,-PMT($J$11,($J$12-$J$9)*12,$J$6)+$J$13*_xlfn.XLOOKUP($K$13,'RE Calculations'!$B$12:$B$16,'RE Calculations'!$C$12:$C$16,"ERROR - Check Input")/12),0)</f>
        <v>0</v>
      </c>
      <c r="K435" s="142">
        <f t="shared" si="48"/>
        <v>0</v>
      </c>
      <c r="L435" s="142">
        <f>IF(I435&lt;=($J$9*12),$J$15,IFERROR(-IPMT($J$11,I435-$J$9*12,($J$12-$J$9)*12,$J$6)+$J$13*_xlfn.XLOOKUP($K$13,'RE Calculations'!$B$12:$B$16,'RE Calculations'!$C$12:$C$16,"ERROR - Check Input")/12,0))</f>
        <v>0</v>
      </c>
      <c r="M435" s="142">
        <f t="shared" si="49"/>
        <v>0</v>
      </c>
      <c r="P435" s="12">
        <v>413</v>
      </c>
      <c r="Q435" s="142">
        <f>IF(T434&gt;0.01,-PMT($Q$8,$Q$9*12,$Q$6)+$Q$10*_xlfn.XLOOKUP($R$10,'RE Calculations'!$B$12:$B$16,'RE Calculations'!$C$12:$C$16,"ERROR - Check Input")/12,0)</f>
        <v>0</v>
      </c>
      <c r="R435" s="142">
        <f t="shared" si="50"/>
        <v>0</v>
      </c>
      <c r="S435" s="142">
        <f>IFERROR(-IPMT($Q$8,P435,$Q$9*12,$Q$6)+$Q$10*_xlfn.XLOOKUP($R$10,'RE Calculations'!$B$12:$B$16,'RE Calculations'!$C$12:$C$16,"ERROR - Check Input")/12,0)</f>
        <v>0</v>
      </c>
      <c r="T435" s="142">
        <f t="shared" si="51"/>
        <v>0</v>
      </c>
      <c r="W435" s="12">
        <v>413</v>
      </c>
      <c r="X435" s="142">
        <f>IF(AA434&gt;0.01,IF(W435&lt;=($X$9*12),$X$15,-PMT($X$11,($X$12-$X$9)*12,$X$6)+$X$13*_xlfn.XLOOKUP($Y$13,'RE Calculations'!$B$12:$B$16,'RE Calculations'!$C$12:$C$16,"ERROR - Check Input")/12),0)</f>
        <v>0</v>
      </c>
      <c r="Y435" s="142">
        <f t="shared" si="52"/>
        <v>0</v>
      </c>
      <c r="Z435" s="142">
        <f>IF(W435&lt;=($X$9*12),$X$15,IFERROR(-IPMT($X$11,W435-$X$9*12,($X$12-$X$9)*12,$X$6)+$X$13*_xlfn.XLOOKUP($Y$13,'RE Calculations'!$B$12:$B$16,'RE Calculations'!$C$12:$C$16,"ERROR - Check Input")/12,0))</f>
        <v>0</v>
      </c>
      <c r="AA435" s="142">
        <f t="shared" si="53"/>
        <v>0</v>
      </c>
    </row>
    <row r="436" spans="2:27" x14ac:dyDescent="0.35">
      <c r="B436" s="12">
        <v>414</v>
      </c>
      <c r="C436" s="142">
        <f>IF(F435&gt;0.01,-PMT($C$8,$C$9*12,$C$6)+$C$10*_xlfn.XLOOKUP($D$10,'RE Calculations'!$B$12:$B$16,'RE Calculations'!$C$12:$C$16,"ERROR - Check Input")/12,0)</f>
        <v>0</v>
      </c>
      <c r="D436" s="142">
        <f t="shared" si="54"/>
        <v>0</v>
      </c>
      <c r="E436" s="142">
        <f>IFERROR(-IPMT($C$8,B436,$C$9*12,$C$6)+$C$10*_xlfn.XLOOKUP($D$10,'RE Calculations'!$B$12:$B$16,'RE Calculations'!$C$12:$C$16,"ERROR - Check Input")/12,0)</f>
        <v>0</v>
      </c>
      <c r="F436" s="142">
        <f t="shared" si="55"/>
        <v>0</v>
      </c>
      <c r="I436" s="12">
        <v>414</v>
      </c>
      <c r="J436" s="142">
        <f>IF(M435&gt;0.01,IF(I436&lt;=($J$9*12),$J$15,-PMT($J$11,($J$12-$J$9)*12,$J$6)+$J$13*_xlfn.XLOOKUP($K$13,'RE Calculations'!$B$12:$B$16,'RE Calculations'!$C$12:$C$16,"ERROR - Check Input")/12),0)</f>
        <v>0</v>
      </c>
      <c r="K436" s="142">
        <f t="shared" si="48"/>
        <v>0</v>
      </c>
      <c r="L436" s="142">
        <f>IF(I436&lt;=($J$9*12),$J$15,IFERROR(-IPMT($J$11,I436-$J$9*12,($J$12-$J$9)*12,$J$6)+$J$13*_xlfn.XLOOKUP($K$13,'RE Calculations'!$B$12:$B$16,'RE Calculations'!$C$12:$C$16,"ERROR - Check Input")/12,0))</f>
        <v>0</v>
      </c>
      <c r="M436" s="142">
        <f t="shared" si="49"/>
        <v>0</v>
      </c>
      <c r="P436" s="12">
        <v>414</v>
      </c>
      <c r="Q436" s="142">
        <f>IF(T435&gt;0.01,-PMT($Q$8,$Q$9*12,$Q$6)+$Q$10*_xlfn.XLOOKUP($R$10,'RE Calculations'!$B$12:$B$16,'RE Calculations'!$C$12:$C$16,"ERROR - Check Input")/12,0)</f>
        <v>0</v>
      </c>
      <c r="R436" s="142">
        <f t="shared" si="50"/>
        <v>0</v>
      </c>
      <c r="S436" s="142">
        <f>IFERROR(-IPMT($Q$8,P436,$Q$9*12,$Q$6)+$Q$10*_xlfn.XLOOKUP($R$10,'RE Calculations'!$B$12:$B$16,'RE Calculations'!$C$12:$C$16,"ERROR - Check Input")/12,0)</f>
        <v>0</v>
      </c>
      <c r="T436" s="142">
        <f t="shared" si="51"/>
        <v>0</v>
      </c>
      <c r="W436" s="12">
        <v>414</v>
      </c>
      <c r="X436" s="142">
        <f>IF(AA435&gt;0.01,IF(W436&lt;=($X$9*12),$X$15,-PMT($X$11,($X$12-$X$9)*12,$X$6)+$X$13*_xlfn.XLOOKUP($Y$13,'RE Calculations'!$B$12:$B$16,'RE Calculations'!$C$12:$C$16,"ERROR - Check Input")/12),0)</f>
        <v>0</v>
      </c>
      <c r="Y436" s="142">
        <f t="shared" si="52"/>
        <v>0</v>
      </c>
      <c r="Z436" s="142">
        <f>IF(W436&lt;=($X$9*12),$X$15,IFERROR(-IPMT($X$11,W436-$X$9*12,($X$12-$X$9)*12,$X$6)+$X$13*_xlfn.XLOOKUP($Y$13,'RE Calculations'!$B$12:$B$16,'RE Calculations'!$C$12:$C$16,"ERROR - Check Input")/12,0))</f>
        <v>0</v>
      </c>
      <c r="AA436" s="142">
        <f t="shared" si="53"/>
        <v>0</v>
      </c>
    </row>
    <row r="437" spans="2:27" x14ac:dyDescent="0.35">
      <c r="B437" s="12">
        <v>415</v>
      </c>
      <c r="C437" s="142">
        <f>IF(F436&gt;0.01,-PMT($C$8,$C$9*12,$C$6)+$C$10*_xlfn.XLOOKUP($D$10,'RE Calculations'!$B$12:$B$16,'RE Calculations'!$C$12:$C$16,"ERROR - Check Input")/12,0)</f>
        <v>0</v>
      </c>
      <c r="D437" s="142">
        <f t="shared" si="54"/>
        <v>0</v>
      </c>
      <c r="E437" s="142">
        <f>IFERROR(-IPMT($C$8,B437,$C$9*12,$C$6)+$C$10*_xlfn.XLOOKUP($D$10,'RE Calculations'!$B$12:$B$16,'RE Calculations'!$C$12:$C$16,"ERROR - Check Input")/12,0)</f>
        <v>0</v>
      </c>
      <c r="F437" s="142">
        <f t="shared" si="55"/>
        <v>0</v>
      </c>
      <c r="I437" s="12">
        <v>415</v>
      </c>
      <c r="J437" s="142">
        <f>IF(M436&gt;0.01,IF(I437&lt;=($J$9*12),$J$15,-PMT($J$11,($J$12-$J$9)*12,$J$6)+$J$13*_xlfn.XLOOKUP($K$13,'RE Calculations'!$B$12:$B$16,'RE Calculations'!$C$12:$C$16,"ERROR - Check Input")/12),0)</f>
        <v>0</v>
      </c>
      <c r="K437" s="142">
        <f t="shared" si="48"/>
        <v>0</v>
      </c>
      <c r="L437" s="142">
        <f>IF(I437&lt;=($J$9*12),$J$15,IFERROR(-IPMT($J$11,I437-$J$9*12,($J$12-$J$9)*12,$J$6)+$J$13*_xlfn.XLOOKUP($K$13,'RE Calculations'!$B$12:$B$16,'RE Calculations'!$C$12:$C$16,"ERROR - Check Input")/12,0))</f>
        <v>0</v>
      </c>
      <c r="M437" s="142">
        <f t="shared" si="49"/>
        <v>0</v>
      </c>
      <c r="P437" s="12">
        <v>415</v>
      </c>
      <c r="Q437" s="142">
        <f>IF(T436&gt;0.01,-PMT($Q$8,$Q$9*12,$Q$6)+$Q$10*_xlfn.XLOOKUP($R$10,'RE Calculations'!$B$12:$B$16,'RE Calculations'!$C$12:$C$16,"ERROR - Check Input")/12,0)</f>
        <v>0</v>
      </c>
      <c r="R437" s="142">
        <f t="shared" si="50"/>
        <v>0</v>
      </c>
      <c r="S437" s="142">
        <f>IFERROR(-IPMT($Q$8,P437,$Q$9*12,$Q$6)+$Q$10*_xlfn.XLOOKUP($R$10,'RE Calculations'!$B$12:$B$16,'RE Calculations'!$C$12:$C$16,"ERROR - Check Input")/12,0)</f>
        <v>0</v>
      </c>
      <c r="T437" s="142">
        <f t="shared" si="51"/>
        <v>0</v>
      </c>
      <c r="W437" s="12">
        <v>415</v>
      </c>
      <c r="X437" s="142">
        <f>IF(AA436&gt;0.01,IF(W437&lt;=($X$9*12),$X$15,-PMT($X$11,($X$12-$X$9)*12,$X$6)+$X$13*_xlfn.XLOOKUP($Y$13,'RE Calculations'!$B$12:$B$16,'RE Calculations'!$C$12:$C$16,"ERROR - Check Input")/12),0)</f>
        <v>0</v>
      </c>
      <c r="Y437" s="142">
        <f t="shared" si="52"/>
        <v>0</v>
      </c>
      <c r="Z437" s="142">
        <f>IF(W437&lt;=($X$9*12),$X$15,IFERROR(-IPMT($X$11,W437-$X$9*12,($X$12-$X$9)*12,$X$6)+$X$13*_xlfn.XLOOKUP($Y$13,'RE Calculations'!$B$12:$B$16,'RE Calculations'!$C$12:$C$16,"ERROR - Check Input")/12,0))</f>
        <v>0</v>
      </c>
      <c r="AA437" s="142">
        <f t="shared" si="53"/>
        <v>0</v>
      </c>
    </row>
    <row r="438" spans="2:27" x14ac:dyDescent="0.35">
      <c r="B438" s="12">
        <v>416</v>
      </c>
      <c r="C438" s="142">
        <f>IF(F437&gt;0.01,-PMT($C$8,$C$9*12,$C$6)+$C$10*_xlfn.XLOOKUP($D$10,'RE Calculations'!$B$12:$B$16,'RE Calculations'!$C$12:$C$16,"ERROR - Check Input")/12,0)</f>
        <v>0</v>
      </c>
      <c r="D438" s="142">
        <f t="shared" si="54"/>
        <v>0</v>
      </c>
      <c r="E438" s="142">
        <f>IFERROR(-IPMT($C$8,B438,$C$9*12,$C$6)+$C$10*_xlfn.XLOOKUP($D$10,'RE Calculations'!$B$12:$B$16,'RE Calculations'!$C$12:$C$16,"ERROR - Check Input")/12,0)</f>
        <v>0</v>
      </c>
      <c r="F438" s="142">
        <f t="shared" si="55"/>
        <v>0</v>
      </c>
      <c r="I438" s="12">
        <v>416</v>
      </c>
      <c r="J438" s="142">
        <f>IF(M437&gt;0.01,IF(I438&lt;=($J$9*12),$J$15,-PMT($J$11,($J$12-$J$9)*12,$J$6)+$J$13*_xlfn.XLOOKUP($K$13,'RE Calculations'!$B$12:$B$16,'RE Calculations'!$C$12:$C$16,"ERROR - Check Input")/12),0)</f>
        <v>0</v>
      </c>
      <c r="K438" s="142">
        <f t="shared" si="48"/>
        <v>0</v>
      </c>
      <c r="L438" s="142">
        <f>IF(I438&lt;=($J$9*12),$J$15,IFERROR(-IPMT($J$11,I438-$J$9*12,($J$12-$J$9)*12,$J$6)+$J$13*_xlfn.XLOOKUP($K$13,'RE Calculations'!$B$12:$B$16,'RE Calculations'!$C$12:$C$16,"ERROR - Check Input")/12,0))</f>
        <v>0</v>
      </c>
      <c r="M438" s="142">
        <f t="shared" si="49"/>
        <v>0</v>
      </c>
      <c r="P438" s="12">
        <v>416</v>
      </c>
      <c r="Q438" s="142">
        <f>IF(T437&gt;0.01,-PMT($Q$8,$Q$9*12,$Q$6)+$Q$10*_xlfn.XLOOKUP($R$10,'RE Calculations'!$B$12:$B$16,'RE Calculations'!$C$12:$C$16,"ERROR - Check Input")/12,0)</f>
        <v>0</v>
      </c>
      <c r="R438" s="142">
        <f t="shared" si="50"/>
        <v>0</v>
      </c>
      <c r="S438" s="142">
        <f>IFERROR(-IPMT($Q$8,P438,$Q$9*12,$Q$6)+$Q$10*_xlfn.XLOOKUP($R$10,'RE Calculations'!$B$12:$B$16,'RE Calculations'!$C$12:$C$16,"ERROR - Check Input")/12,0)</f>
        <v>0</v>
      </c>
      <c r="T438" s="142">
        <f t="shared" si="51"/>
        <v>0</v>
      </c>
      <c r="W438" s="12">
        <v>416</v>
      </c>
      <c r="X438" s="142">
        <f>IF(AA437&gt;0.01,IF(W438&lt;=($X$9*12),$X$15,-PMT($X$11,($X$12-$X$9)*12,$X$6)+$X$13*_xlfn.XLOOKUP($Y$13,'RE Calculations'!$B$12:$B$16,'RE Calculations'!$C$12:$C$16,"ERROR - Check Input")/12),0)</f>
        <v>0</v>
      </c>
      <c r="Y438" s="142">
        <f t="shared" si="52"/>
        <v>0</v>
      </c>
      <c r="Z438" s="142">
        <f>IF(W438&lt;=($X$9*12),$X$15,IFERROR(-IPMT($X$11,W438-$X$9*12,($X$12-$X$9)*12,$X$6)+$X$13*_xlfn.XLOOKUP($Y$13,'RE Calculations'!$B$12:$B$16,'RE Calculations'!$C$12:$C$16,"ERROR - Check Input")/12,0))</f>
        <v>0</v>
      </c>
      <c r="AA438" s="142">
        <f t="shared" si="53"/>
        <v>0</v>
      </c>
    </row>
    <row r="439" spans="2:27" x14ac:dyDescent="0.35">
      <c r="B439" s="12">
        <v>417</v>
      </c>
      <c r="C439" s="142">
        <f>IF(F438&gt;0.01,-PMT($C$8,$C$9*12,$C$6)+$C$10*_xlfn.XLOOKUP($D$10,'RE Calculations'!$B$12:$B$16,'RE Calculations'!$C$12:$C$16,"ERROR - Check Input")/12,0)</f>
        <v>0</v>
      </c>
      <c r="D439" s="142">
        <f t="shared" si="54"/>
        <v>0</v>
      </c>
      <c r="E439" s="142">
        <f>IFERROR(-IPMT($C$8,B439,$C$9*12,$C$6)+$C$10*_xlfn.XLOOKUP($D$10,'RE Calculations'!$B$12:$B$16,'RE Calculations'!$C$12:$C$16,"ERROR - Check Input")/12,0)</f>
        <v>0</v>
      </c>
      <c r="F439" s="142">
        <f t="shared" si="55"/>
        <v>0</v>
      </c>
      <c r="I439" s="12">
        <v>417</v>
      </c>
      <c r="J439" s="142">
        <f>IF(M438&gt;0.01,IF(I439&lt;=($J$9*12),$J$15,-PMT($J$11,($J$12-$J$9)*12,$J$6)+$J$13*_xlfn.XLOOKUP($K$13,'RE Calculations'!$B$12:$B$16,'RE Calculations'!$C$12:$C$16,"ERROR - Check Input")/12),0)</f>
        <v>0</v>
      </c>
      <c r="K439" s="142">
        <f t="shared" si="48"/>
        <v>0</v>
      </c>
      <c r="L439" s="142">
        <f>IF(I439&lt;=($J$9*12),$J$15,IFERROR(-IPMT($J$11,I439-$J$9*12,($J$12-$J$9)*12,$J$6)+$J$13*_xlfn.XLOOKUP($K$13,'RE Calculations'!$B$12:$B$16,'RE Calculations'!$C$12:$C$16,"ERROR - Check Input")/12,0))</f>
        <v>0</v>
      </c>
      <c r="M439" s="142">
        <f t="shared" si="49"/>
        <v>0</v>
      </c>
      <c r="P439" s="12">
        <v>417</v>
      </c>
      <c r="Q439" s="142">
        <f>IF(T438&gt;0.01,-PMT($Q$8,$Q$9*12,$Q$6)+$Q$10*_xlfn.XLOOKUP($R$10,'RE Calculations'!$B$12:$B$16,'RE Calculations'!$C$12:$C$16,"ERROR - Check Input")/12,0)</f>
        <v>0</v>
      </c>
      <c r="R439" s="142">
        <f t="shared" si="50"/>
        <v>0</v>
      </c>
      <c r="S439" s="142">
        <f>IFERROR(-IPMT($Q$8,P439,$Q$9*12,$Q$6)+$Q$10*_xlfn.XLOOKUP($R$10,'RE Calculations'!$B$12:$B$16,'RE Calculations'!$C$12:$C$16,"ERROR - Check Input")/12,0)</f>
        <v>0</v>
      </c>
      <c r="T439" s="142">
        <f t="shared" si="51"/>
        <v>0</v>
      </c>
      <c r="W439" s="12">
        <v>417</v>
      </c>
      <c r="X439" s="142">
        <f>IF(AA438&gt;0.01,IF(W439&lt;=($X$9*12),$X$15,-PMT($X$11,($X$12-$X$9)*12,$X$6)+$X$13*_xlfn.XLOOKUP($Y$13,'RE Calculations'!$B$12:$B$16,'RE Calculations'!$C$12:$C$16,"ERROR - Check Input")/12),0)</f>
        <v>0</v>
      </c>
      <c r="Y439" s="142">
        <f t="shared" si="52"/>
        <v>0</v>
      </c>
      <c r="Z439" s="142">
        <f>IF(W439&lt;=($X$9*12),$X$15,IFERROR(-IPMT($X$11,W439-$X$9*12,($X$12-$X$9)*12,$X$6)+$X$13*_xlfn.XLOOKUP($Y$13,'RE Calculations'!$B$12:$B$16,'RE Calculations'!$C$12:$C$16,"ERROR - Check Input")/12,0))</f>
        <v>0</v>
      </c>
      <c r="AA439" s="142">
        <f t="shared" si="53"/>
        <v>0</v>
      </c>
    </row>
    <row r="440" spans="2:27" x14ac:dyDescent="0.35">
      <c r="B440" s="12">
        <v>418</v>
      </c>
      <c r="C440" s="142">
        <f>IF(F439&gt;0.01,-PMT($C$8,$C$9*12,$C$6)+$C$10*_xlfn.XLOOKUP($D$10,'RE Calculations'!$B$12:$B$16,'RE Calculations'!$C$12:$C$16,"ERROR - Check Input")/12,0)</f>
        <v>0</v>
      </c>
      <c r="D440" s="142">
        <f t="shared" si="54"/>
        <v>0</v>
      </c>
      <c r="E440" s="142">
        <f>IFERROR(-IPMT($C$8,B440,$C$9*12,$C$6)+$C$10*_xlfn.XLOOKUP($D$10,'RE Calculations'!$B$12:$B$16,'RE Calculations'!$C$12:$C$16,"ERROR - Check Input")/12,0)</f>
        <v>0</v>
      </c>
      <c r="F440" s="142">
        <f t="shared" si="55"/>
        <v>0</v>
      </c>
      <c r="I440" s="12">
        <v>418</v>
      </c>
      <c r="J440" s="142">
        <f>IF(M439&gt;0.01,IF(I440&lt;=($J$9*12),$J$15,-PMT($J$11,($J$12-$J$9)*12,$J$6)+$J$13*_xlfn.XLOOKUP($K$13,'RE Calculations'!$B$12:$B$16,'RE Calculations'!$C$12:$C$16,"ERROR - Check Input")/12),0)</f>
        <v>0</v>
      </c>
      <c r="K440" s="142">
        <f t="shared" si="48"/>
        <v>0</v>
      </c>
      <c r="L440" s="142">
        <f>IF(I440&lt;=($J$9*12),$J$15,IFERROR(-IPMT($J$11,I440-$J$9*12,($J$12-$J$9)*12,$J$6)+$J$13*_xlfn.XLOOKUP($K$13,'RE Calculations'!$B$12:$B$16,'RE Calculations'!$C$12:$C$16,"ERROR - Check Input")/12,0))</f>
        <v>0</v>
      </c>
      <c r="M440" s="142">
        <f t="shared" si="49"/>
        <v>0</v>
      </c>
      <c r="P440" s="12">
        <v>418</v>
      </c>
      <c r="Q440" s="142">
        <f>IF(T439&gt;0.01,-PMT($Q$8,$Q$9*12,$Q$6)+$Q$10*_xlfn.XLOOKUP($R$10,'RE Calculations'!$B$12:$B$16,'RE Calculations'!$C$12:$C$16,"ERROR - Check Input")/12,0)</f>
        <v>0</v>
      </c>
      <c r="R440" s="142">
        <f t="shared" si="50"/>
        <v>0</v>
      </c>
      <c r="S440" s="142">
        <f>IFERROR(-IPMT($Q$8,P440,$Q$9*12,$Q$6)+$Q$10*_xlfn.XLOOKUP($R$10,'RE Calculations'!$B$12:$B$16,'RE Calculations'!$C$12:$C$16,"ERROR - Check Input")/12,0)</f>
        <v>0</v>
      </c>
      <c r="T440" s="142">
        <f t="shared" si="51"/>
        <v>0</v>
      </c>
      <c r="W440" s="12">
        <v>418</v>
      </c>
      <c r="X440" s="142">
        <f>IF(AA439&gt;0.01,IF(W440&lt;=($X$9*12),$X$15,-PMT($X$11,($X$12-$X$9)*12,$X$6)+$X$13*_xlfn.XLOOKUP($Y$13,'RE Calculations'!$B$12:$B$16,'RE Calculations'!$C$12:$C$16,"ERROR - Check Input")/12),0)</f>
        <v>0</v>
      </c>
      <c r="Y440" s="142">
        <f t="shared" si="52"/>
        <v>0</v>
      </c>
      <c r="Z440" s="142">
        <f>IF(W440&lt;=($X$9*12),$X$15,IFERROR(-IPMT($X$11,W440-$X$9*12,($X$12-$X$9)*12,$X$6)+$X$13*_xlfn.XLOOKUP($Y$13,'RE Calculations'!$B$12:$B$16,'RE Calculations'!$C$12:$C$16,"ERROR - Check Input")/12,0))</f>
        <v>0</v>
      </c>
      <c r="AA440" s="142">
        <f t="shared" si="53"/>
        <v>0</v>
      </c>
    </row>
    <row r="441" spans="2:27" x14ac:dyDescent="0.35">
      <c r="B441" s="12">
        <v>419</v>
      </c>
      <c r="C441" s="142">
        <f>IF(F440&gt;0.01,-PMT($C$8,$C$9*12,$C$6)+$C$10*_xlfn.XLOOKUP($D$10,'RE Calculations'!$B$12:$B$16,'RE Calculations'!$C$12:$C$16,"ERROR - Check Input")/12,0)</f>
        <v>0</v>
      </c>
      <c r="D441" s="142">
        <f t="shared" si="54"/>
        <v>0</v>
      </c>
      <c r="E441" s="142">
        <f>IFERROR(-IPMT($C$8,B441,$C$9*12,$C$6)+$C$10*_xlfn.XLOOKUP($D$10,'RE Calculations'!$B$12:$B$16,'RE Calculations'!$C$12:$C$16,"ERROR - Check Input")/12,0)</f>
        <v>0</v>
      </c>
      <c r="F441" s="142">
        <f t="shared" si="55"/>
        <v>0</v>
      </c>
      <c r="I441" s="12">
        <v>419</v>
      </c>
      <c r="J441" s="142">
        <f>IF(M440&gt;0.01,IF(I441&lt;=($J$9*12),$J$15,-PMT($J$11,($J$12-$J$9)*12,$J$6)+$J$13*_xlfn.XLOOKUP($K$13,'RE Calculations'!$B$12:$B$16,'RE Calculations'!$C$12:$C$16,"ERROR - Check Input")/12),0)</f>
        <v>0</v>
      </c>
      <c r="K441" s="142">
        <f t="shared" si="48"/>
        <v>0</v>
      </c>
      <c r="L441" s="142">
        <f>IF(I441&lt;=($J$9*12),$J$15,IFERROR(-IPMT($J$11,I441-$J$9*12,($J$12-$J$9)*12,$J$6)+$J$13*_xlfn.XLOOKUP($K$13,'RE Calculations'!$B$12:$B$16,'RE Calculations'!$C$12:$C$16,"ERROR - Check Input")/12,0))</f>
        <v>0</v>
      </c>
      <c r="M441" s="142">
        <f t="shared" si="49"/>
        <v>0</v>
      </c>
      <c r="P441" s="12">
        <v>419</v>
      </c>
      <c r="Q441" s="142">
        <f>IF(T440&gt;0.01,-PMT($Q$8,$Q$9*12,$Q$6)+$Q$10*_xlfn.XLOOKUP($R$10,'RE Calculations'!$B$12:$B$16,'RE Calculations'!$C$12:$C$16,"ERROR - Check Input")/12,0)</f>
        <v>0</v>
      </c>
      <c r="R441" s="142">
        <f t="shared" si="50"/>
        <v>0</v>
      </c>
      <c r="S441" s="142">
        <f>IFERROR(-IPMT($Q$8,P441,$Q$9*12,$Q$6)+$Q$10*_xlfn.XLOOKUP($R$10,'RE Calculations'!$B$12:$B$16,'RE Calculations'!$C$12:$C$16,"ERROR - Check Input")/12,0)</f>
        <v>0</v>
      </c>
      <c r="T441" s="142">
        <f t="shared" si="51"/>
        <v>0</v>
      </c>
      <c r="W441" s="12">
        <v>419</v>
      </c>
      <c r="X441" s="142">
        <f>IF(AA440&gt;0.01,IF(W441&lt;=($X$9*12),$X$15,-PMT($X$11,($X$12-$X$9)*12,$X$6)+$X$13*_xlfn.XLOOKUP($Y$13,'RE Calculations'!$B$12:$B$16,'RE Calculations'!$C$12:$C$16,"ERROR - Check Input")/12),0)</f>
        <v>0</v>
      </c>
      <c r="Y441" s="142">
        <f t="shared" si="52"/>
        <v>0</v>
      </c>
      <c r="Z441" s="142">
        <f>IF(W441&lt;=($X$9*12),$X$15,IFERROR(-IPMT($X$11,W441-$X$9*12,($X$12-$X$9)*12,$X$6)+$X$13*_xlfn.XLOOKUP($Y$13,'RE Calculations'!$B$12:$B$16,'RE Calculations'!$C$12:$C$16,"ERROR - Check Input")/12,0))</f>
        <v>0</v>
      </c>
      <c r="AA441" s="142">
        <f t="shared" si="53"/>
        <v>0</v>
      </c>
    </row>
    <row r="442" spans="2:27" x14ac:dyDescent="0.35">
      <c r="B442" s="12">
        <v>420</v>
      </c>
      <c r="C442" s="142">
        <f>IF(F441&gt;0.01,-PMT($C$8,$C$9*12,$C$6)+$C$10*_xlfn.XLOOKUP($D$10,'RE Calculations'!$B$12:$B$16,'RE Calculations'!$C$12:$C$16,"ERROR - Check Input")/12,0)</f>
        <v>0</v>
      </c>
      <c r="D442" s="142">
        <f t="shared" si="54"/>
        <v>0</v>
      </c>
      <c r="E442" s="142">
        <f>IFERROR(-IPMT($C$8,B442,$C$9*12,$C$6)+$C$10*_xlfn.XLOOKUP($D$10,'RE Calculations'!$B$12:$B$16,'RE Calculations'!$C$12:$C$16,"ERROR - Check Input")/12,0)</f>
        <v>0</v>
      </c>
      <c r="F442" s="142">
        <f t="shared" si="55"/>
        <v>0</v>
      </c>
      <c r="I442" s="12">
        <v>420</v>
      </c>
      <c r="J442" s="142">
        <f>IF(M441&gt;0.01,IF(I442&lt;=($J$9*12),$J$15,-PMT($J$11,($J$12-$J$9)*12,$J$6)+$J$13*_xlfn.XLOOKUP($K$13,'RE Calculations'!$B$12:$B$16,'RE Calculations'!$C$12:$C$16,"ERROR - Check Input")/12),0)</f>
        <v>0</v>
      </c>
      <c r="K442" s="142">
        <f t="shared" si="48"/>
        <v>0</v>
      </c>
      <c r="L442" s="142">
        <f>IF(I442&lt;=($J$9*12),$J$15,IFERROR(-IPMT($J$11,I442-$J$9*12,($J$12-$J$9)*12,$J$6)+$J$13*_xlfn.XLOOKUP($K$13,'RE Calculations'!$B$12:$B$16,'RE Calculations'!$C$12:$C$16,"ERROR - Check Input")/12,0))</f>
        <v>0</v>
      </c>
      <c r="M442" s="142">
        <f t="shared" si="49"/>
        <v>0</v>
      </c>
      <c r="P442" s="12">
        <v>420</v>
      </c>
      <c r="Q442" s="142">
        <f>IF(T441&gt;0.01,-PMT($Q$8,$Q$9*12,$Q$6)+$Q$10*_xlfn.XLOOKUP($R$10,'RE Calculations'!$B$12:$B$16,'RE Calculations'!$C$12:$C$16,"ERROR - Check Input")/12,0)</f>
        <v>0</v>
      </c>
      <c r="R442" s="142">
        <f t="shared" si="50"/>
        <v>0</v>
      </c>
      <c r="S442" s="142">
        <f>IFERROR(-IPMT($Q$8,P442,$Q$9*12,$Q$6)+$Q$10*_xlfn.XLOOKUP($R$10,'RE Calculations'!$B$12:$B$16,'RE Calculations'!$C$12:$C$16,"ERROR - Check Input")/12,0)</f>
        <v>0</v>
      </c>
      <c r="T442" s="142">
        <f t="shared" si="51"/>
        <v>0</v>
      </c>
      <c r="W442" s="12">
        <v>420</v>
      </c>
      <c r="X442" s="142">
        <f>IF(AA441&gt;0.01,IF(W442&lt;=($X$9*12),$X$15,-PMT($X$11,($X$12-$X$9)*12,$X$6)+$X$13*_xlfn.XLOOKUP($Y$13,'RE Calculations'!$B$12:$B$16,'RE Calculations'!$C$12:$C$16,"ERROR - Check Input")/12),0)</f>
        <v>0</v>
      </c>
      <c r="Y442" s="142">
        <f t="shared" si="52"/>
        <v>0</v>
      </c>
      <c r="Z442" s="142">
        <f>IF(W442&lt;=($X$9*12),$X$15,IFERROR(-IPMT($X$11,W442-$X$9*12,($X$12-$X$9)*12,$X$6)+$X$13*_xlfn.XLOOKUP($Y$13,'RE Calculations'!$B$12:$B$16,'RE Calculations'!$C$12:$C$16,"ERROR - Check Input")/12,0))</f>
        <v>0</v>
      </c>
      <c r="AA442" s="142">
        <f t="shared" si="53"/>
        <v>0</v>
      </c>
    </row>
    <row r="443" spans="2:27" x14ac:dyDescent="0.35">
      <c r="B443" s="12">
        <v>421</v>
      </c>
      <c r="C443" s="142">
        <f>IF(F442&gt;0.01,-PMT($C$8,$C$9*12,$C$6)+$C$10*_xlfn.XLOOKUP($D$10,'RE Calculations'!$B$12:$B$16,'RE Calculations'!$C$12:$C$16,"ERROR - Check Input")/12,0)</f>
        <v>0</v>
      </c>
      <c r="D443" s="142">
        <f t="shared" si="54"/>
        <v>0</v>
      </c>
      <c r="E443" s="142">
        <f>IFERROR(-IPMT($C$8,B443,$C$9*12,$C$6)+$C$10*_xlfn.XLOOKUP($D$10,'RE Calculations'!$B$12:$B$16,'RE Calculations'!$C$12:$C$16,"ERROR - Check Input")/12,0)</f>
        <v>0</v>
      </c>
      <c r="F443" s="142">
        <f t="shared" si="55"/>
        <v>0</v>
      </c>
      <c r="I443" s="12">
        <v>421</v>
      </c>
      <c r="J443" s="142">
        <f>IF(M442&gt;0.01,IF(I443&lt;=($J$9*12),$J$15,-PMT($J$11,($J$12-$J$9)*12,$J$6)+$J$13*_xlfn.XLOOKUP($K$13,'RE Calculations'!$B$12:$B$16,'RE Calculations'!$C$12:$C$16,"ERROR - Check Input")/12),0)</f>
        <v>0</v>
      </c>
      <c r="K443" s="142">
        <f t="shared" si="48"/>
        <v>0</v>
      </c>
      <c r="L443" s="142">
        <f>IF(I443&lt;=($J$9*12),$J$15,IFERROR(-IPMT($J$11,I443-$J$9*12,($J$12-$J$9)*12,$J$6)+$J$13*_xlfn.XLOOKUP($K$13,'RE Calculations'!$B$12:$B$16,'RE Calculations'!$C$12:$C$16,"ERROR - Check Input")/12,0))</f>
        <v>0</v>
      </c>
      <c r="M443" s="142">
        <f t="shared" si="49"/>
        <v>0</v>
      </c>
      <c r="P443" s="12">
        <v>421</v>
      </c>
      <c r="Q443" s="142">
        <f>IF(T442&gt;0.01,-PMT($Q$8,$Q$9*12,$Q$6)+$Q$10*_xlfn.XLOOKUP($R$10,'RE Calculations'!$B$12:$B$16,'RE Calculations'!$C$12:$C$16,"ERROR - Check Input")/12,0)</f>
        <v>0</v>
      </c>
      <c r="R443" s="142">
        <f t="shared" si="50"/>
        <v>0</v>
      </c>
      <c r="S443" s="142">
        <f>IFERROR(-IPMT($Q$8,P443,$Q$9*12,$Q$6)+$Q$10*_xlfn.XLOOKUP($R$10,'RE Calculations'!$B$12:$B$16,'RE Calculations'!$C$12:$C$16,"ERROR - Check Input")/12,0)</f>
        <v>0</v>
      </c>
      <c r="T443" s="142">
        <f t="shared" si="51"/>
        <v>0</v>
      </c>
      <c r="W443" s="12">
        <v>421</v>
      </c>
      <c r="X443" s="142">
        <f>IF(AA442&gt;0.01,IF(W443&lt;=($X$9*12),$X$15,-PMT($X$11,($X$12-$X$9)*12,$X$6)+$X$13*_xlfn.XLOOKUP($Y$13,'RE Calculations'!$B$12:$B$16,'RE Calculations'!$C$12:$C$16,"ERROR - Check Input")/12),0)</f>
        <v>0</v>
      </c>
      <c r="Y443" s="142">
        <f t="shared" si="52"/>
        <v>0</v>
      </c>
      <c r="Z443" s="142">
        <f>IF(W443&lt;=($X$9*12),$X$15,IFERROR(-IPMT($X$11,W443-$X$9*12,($X$12-$X$9)*12,$X$6)+$X$13*_xlfn.XLOOKUP($Y$13,'RE Calculations'!$B$12:$B$16,'RE Calculations'!$C$12:$C$16,"ERROR - Check Input")/12,0))</f>
        <v>0</v>
      </c>
      <c r="AA443" s="142">
        <f t="shared" si="53"/>
        <v>0</v>
      </c>
    </row>
    <row r="444" spans="2:27" x14ac:dyDescent="0.35">
      <c r="B444" s="12">
        <v>422</v>
      </c>
      <c r="C444" s="142">
        <f>IF(F443&gt;0.01,-PMT($C$8,$C$9*12,$C$6)+$C$10*_xlfn.XLOOKUP($D$10,'RE Calculations'!$B$12:$B$16,'RE Calculations'!$C$12:$C$16,"ERROR - Check Input")/12,0)</f>
        <v>0</v>
      </c>
      <c r="D444" s="142">
        <f t="shared" si="54"/>
        <v>0</v>
      </c>
      <c r="E444" s="142">
        <f>IFERROR(-IPMT($C$8,B444,$C$9*12,$C$6)+$C$10*_xlfn.XLOOKUP($D$10,'RE Calculations'!$B$12:$B$16,'RE Calculations'!$C$12:$C$16,"ERROR - Check Input")/12,0)</f>
        <v>0</v>
      </c>
      <c r="F444" s="142">
        <f t="shared" si="55"/>
        <v>0</v>
      </c>
      <c r="I444" s="12">
        <v>422</v>
      </c>
      <c r="J444" s="142">
        <f>IF(M443&gt;0.01,IF(I444&lt;=($J$9*12),$J$15,-PMT($J$11,($J$12-$J$9)*12,$J$6)+$J$13*_xlfn.XLOOKUP($K$13,'RE Calculations'!$B$12:$B$16,'RE Calculations'!$C$12:$C$16,"ERROR - Check Input")/12),0)</f>
        <v>0</v>
      </c>
      <c r="K444" s="142">
        <f t="shared" si="48"/>
        <v>0</v>
      </c>
      <c r="L444" s="142">
        <f>IF(I444&lt;=($J$9*12),$J$15,IFERROR(-IPMT($J$11,I444-$J$9*12,($J$12-$J$9)*12,$J$6)+$J$13*_xlfn.XLOOKUP($K$13,'RE Calculations'!$B$12:$B$16,'RE Calculations'!$C$12:$C$16,"ERROR - Check Input")/12,0))</f>
        <v>0</v>
      </c>
      <c r="M444" s="142">
        <f t="shared" si="49"/>
        <v>0</v>
      </c>
      <c r="P444" s="12">
        <v>422</v>
      </c>
      <c r="Q444" s="142">
        <f>IF(T443&gt;0.01,-PMT($Q$8,$Q$9*12,$Q$6)+$Q$10*_xlfn.XLOOKUP($R$10,'RE Calculations'!$B$12:$B$16,'RE Calculations'!$C$12:$C$16,"ERROR - Check Input")/12,0)</f>
        <v>0</v>
      </c>
      <c r="R444" s="142">
        <f t="shared" si="50"/>
        <v>0</v>
      </c>
      <c r="S444" s="142">
        <f>IFERROR(-IPMT($Q$8,P444,$Q$9*12,$Q$6)+$Q$10*_xlfn.XLOOKUP($R$10,'RE Calculations'!$B$12:$B$16,'RE Calculations'!$C$12:$C$16,"ERROR - Check Input")/12,0)</f>
        <v>0</v>
      </c>
      <c r="T444" s="142">
        <f t="shared" si="51"/>
        <v>0</v>
      </c>
      <c r="W444" s="12">
        <v>422</v>
      </c>
      <c r="X444" s="142">
        <f>IF(AA443&gt;0.01,IF(W444&lt;=($X$9*12),$X$15,-PMT($X$11,($X$12-$X$9)*12,$X$6)+$X$13*_xlfn.XLOOKUP($Y$13,'RE Calculations'!$B$12:$B$16,'RE Calculations'!$C$12:$C$16,"ERROR - Check Input")/12),0)</f>
        <v>0</v>
      </c>
      <c r="Y444" s="142">
        <f t="shared" si="52"/>
        <v>0</v>
      </c>
      <c r="Z444" s="142">
        <f>IF(W444&lt;=($X$9*12),$X$15,IFERROR(-IPMT($X$11,W444-$X$9*12,($X$12-$X$9)*12,$X$6)+$X$13*_xlfn.XLOOKUP($Y$13,'RE Calculations'!$B$12:$B$16,'RE Calculations'!$C$12:$C$16,"ERROR - Check Input")/12,0))</f>
        <v>0</v>
      </c>
      <c r="AA444" s="142">
        <f t="shared" si="53"/>
        <v>0</v>
      </c>
    </row>
    <row r="445" spans="2:27" x14ac:dyDescent="0.35">
      <c r="B445" s="12">
        <v>423</v>
      </c>
      <c r="C445" s="142">
        <f>IF(F444&gt;0.01,-PMT($C$8,$C$9*12,$C$6)+$C$10*_xlfn.XLOOKUP($D$10,'RE Calculations'!$B$12:$B$16,'RE Calculations'!$C$12:$C$16,"ERROR - Check Input")/12,0)</f>
        <v>0</v>
      </c>
      <c r="D445" s="142">
        <f t="shared" si="54"/>
        <v>0</v>
      </c>
      <c r="E445" s="142">
        <f>IFERROR(-IPMT($C$8,B445,$C$9*12,$C$6)+$C$10*_xlfn.XLOOKUP($D$10,'RE Calculations'!$B$12:$B$16,'RE Calculations'!$C$12:$C$16,"ERROR - Check Input")/12,0)</f>
        <v>0</v>
      </c>
      <c r="F445" s="142">
        <f t="shared" si="55"/>
        <v>0</v>
      </c>
      <c r="I445" s="12">
        <v>423</v>
      </c>
      <c r="J445" s="142">
        <f>IF(M444&gt;0.01,IF(I445&lt;=($J$9*12),$J$15,-PMT($J$11,($J$12-$J$9)*12,$J$6)+$J$13*_xlfn.XLOOKUP($K$13,'RE Calculations'!$B$12:$B$16,'RE Calculations'!$C$12:$C$16,"ERROR - Check Input")/12),0)</f>
        <v>0</v>
      </c>
      <c r="K445" s="142">
        <f t="shared" si="48"/>
        <v>0</v>
      </c>
      <c r="L445" s="142">
        <f>IF(I445&lt;=($J$9*12),$J$15,IFERROR(-IPMT($J$11,I445-$J$9*12,($J$12-$J$9)*12,$J$6)+$J$13*_xlfn.XLOOKUP($K$13,'RE Calculations'!$B$12:$B$16,'RE Calculations'!$C$12:$C$16,"ERROR - Check Input")/12,0))</f>
        <v>0</v>
      </c>
      <c r="M445" s="142">
        <f t="shared" si="49"/>
        <v>0</v>
      </c>
      <c r="P445" s="12">
        <v>423</v>
      </c>
      <c r="Q445" s="142">
        <f>IF(T444&gt;0.01,-PMT($Q$8,$Q$9*12,$Q$6)+$Q$10*_xlfn.XLOOKUP($R$10,'RE Calculations'!$B$12:$B$16,'RE Calculations'!$C$12:$C$16,"ERROR - Check Input")/12,0)</f>
        <v>0</v>
      </c>
      <c r="R445" s="142">
        <f t="shared" si="50"/>
        <v>0</v>
      </c>
      <c r="S445" s="142">
        <f>IFERROR(-IPMT($Q$8,P445,$Q$9*12,$Q$6)+$Q$10*_xlfn.XLOOKUP($R$10,'RE Calculations'!$B$12:$B$16,'RE Calculations'!$C$12:$C$16,"ERROR - Check Input")/12,0)</f>
        <v>0</v>
      </c>
      <c r="T445" s="142">
        <f t="shared" si="51"/>
        <v>0</v>
      </c>
      <c r="W445" s="12">
        <v>423</v>
      </c>
      <c r="X445" s="142">
        <f>IF(AA444&gt;0.01,IF(W445&lt;=($X$9*12),$X$15,-PMT($X$11,($X$12-$X$9)*12,$X$6)+$X$13*_xlfn.XLOOKUP($Y$13,'RE Calculations'!$B$12:$B$16,'RE Calculations'!$C$12:$C$16,"ERROR - Check Input")/12),0)</f>
        <v>0</v>
      </c>
      <c r="Y445" s="142">
        <f t="shared" si="52"/>
        <v>0</v>
      </c>
      <c r="Z445" s="142">
        <f>IF(W445&lt;=($X$9*12),$X$15,IFERROR(-IPMT($X$11,W445-$X$9*12,($X$12-$X$9)*12,$X$6)+$X$13*_xlfn.XLOOKUP($Y$13,'RE Calculations'!$B$12:$B$16,'RE Calculations'!$C$12:$C$16,"ERROR - Check Input")/12,0))</f>
        <v>0</v>
      </c>
      <c r="AA445" s="142">
        <f t="shared" si="53"/>
        <v>0</v>
      </c>
    </row>
    <row r="446" spans="2:27" x14ac:dyDescent="0.35">
      <c r="B446" s="12">
        <v>424</v>
      </c>
      <c r="C446" s="142">
        <f>IF(F445&gt;0.01,-PMT($C$8,$C$9*12,$C$6)+$C$10*_xlfn.XLOOKUP($D$10,'RE Calculations'!$B$12:$B$16,'RE Calculations'!$C$12:$C$16,"ERROR - Check Input")/12,0)</f>
        <v>0</v>
      </c>
      <c r="D446" s="142">
        <f t="shared" si="54"/>
        <v>0</v>
      </c>
      <c r="E446" s="142">
        <f>IFERROR(-IPMT($C$8,B446,$C$9*12,$C$6)+$C$10*_xlfn.XLOOKUP($D$10,'RE Calculations'!$B$12:$B$16,'RE Calculations'!$C$12:$C$16,"ERROR - Check Input")/12,0)</f>
        <v>0</v>
      </c>
      <c r="F446" s="142">
        <f t="shared" si="55"/>
        <v>0</v>
      </c>
      <c r="I446" s="12">
        <v>424</v>
      </c>
      <c r="J446" s="142">
        <f>IF(M445&gt;0.01,IF(I446&lt;=($J$9*12),$J$15,-PMT($J$11,($J$12-$J$9)*12,$J$6)+$J$13*_xlfn.XLOOKUP($K$13,'RE Calculations'!$B$12:$B$16,'RE Calculations'!$C$12:$C$16,"ERROR - Check Input")/12),0)</f>
        <v>0</v>
      </c>
      <c r="K446" s="142">
        <f t="shared" si="48"/>
        <v>0</v>
      </c>
      <c r="L446" s="142">
        <f>IF(I446&lt;=($J$9*12),$J$15,IFERROR(-IPMT($J$11,I446-$J$9*12,($J$12-$J$9)*12,$J$6)+$J$13*_xlfn.XLOOKUP($K$13,'RE Calculations'!$B$12:$B$16,'RE Calculations'!$C$12:$C$16,"ERROR - Check Input")/12,0))</f>
        <v>0</v>
      </c>
      <c r="M446" s="142">
        <f t="shared" si="49"/>
        <v>0</v>
      </c>
      <c r="P446" s="12">
        <v>424</v>
      </c>
      <c r="Q446" s="142">
        <f>IF(T445&gt;0.01,-PMT($Q$8,$Q$9*12,$Q$6)+$Q$10*_xlfn.XLOOKUP($R$10,'RE Calculations'!$B$12:$B$16,'RE Calculations'!$C$12:$C$16,"ERROR - Check Input")/12,0)</f>
        <v>0</v>
      </c>
      <c r="R446" s="142">
        <f t="shared" si="50"/>
        <v>0</v>
      </c>
      <c r="S446" s="142">
        <f>IFERROR(-IPMT($Q$8,P446,$Q$9*12,$Q$6)+$Q$10*_xlfn.XLOOKUP($R$10,'RE Calculations'!$B$12:$B$16,'RE Calculations'!$C$12:$C$16,"ERROR - Check Input")/12,0)</f>
        <v>0</v>
      </c>
      <c r="T446" s="142">
        <f t="shared" si="51"/>
        <v>0</v>
      </c>
      <c r="W446" s="12">
        <v>424</v>
      </c>
      <c r="X446" s="142">
        <f>IF(AA445&gt;0.01,IF(W446&lt;=($X$9*12),$X$15,-PMT($X$11,($X$12-$X$9)*12,$X$6)+$X$13*_xlfn.XLOOKUP($Y$13,'RE Calculations'!$B$12:$B$16,'RE Calculations'!$C$12:$C$16,"ERROR - Check Input")/12),0)</f>
        <v>0</v>
      </c>
      <c r="Y446" s="142">
        <f t="shared" si="52"/>
        <v>0</v>
      </c>
      <c r="Z446" s="142">
        <f>IF(W446&lt;=($X$9*12),$X$15,IFERROR(-IPMT($X$11,W446-$X$9*12,($X$12-$X$9)*12,$X$6)+$X$13*_xlfn.XLOOKUP($Y$13,'RE Calculations'!$B$12:$B$16,'RE Calculations'!$C$12:$C$16,"ERROR - Check Input")/12,0))</f>
        <v>0</v>
      </c>
      <c r="AA446" s="142">
        <f t="shared" si="53"/>
        <v>0</v>
      </c>
    </row>
    <row r="447" spans="2:27" x14ac:dyDescent="0.35">
      <c r="B447" s="12">
        <v>425</v>
      </c>
      <c r="C447" s="142">
        <f>IF(F446&gt;0.01,-PMT($C$8,$C$9*12,$C$6)+$C$10*_xlfn.XLOOKUP($D$10,'RE Calculations'!$B$12:$B$16,'RE Calculations'!$C$12:$C$16,"ERROR - Check Input")/12,0)</f>
        <v>0</v>
      </c>
      <c r="D447" s="142">
        <f t="shared" si="54"/>
        <v>0</v>
      </c>
      <c r="E447" s="142">
        <f>IFERROR(-IPMT($C$8,B447,$C$9*12,$C$6)+$C$10*_xlfn.XLOOKUP($D$10,'RE Calculations'!$B$12:$B$16,'RE Calculations'!$C$12:$C$16,"ERROR - Check Input")/12,0)</f>
        <v>0</v>
      </c>
      <c r="F447" s="142">
        <f t="shared" si="55"/>
        <v>0</v>
      </c>
      <c r="I447" s="12">
        <v>425</v>
      </c>
      <c r="J447" s="142">
        <f>IF(M446&gt;0.01,IF(I447&lt;=($J$9*12),$J$15,-PMT($J$11,($J$12-$J$9)*12,$J$6)+$J$13*_xlfn.XLOOKUP($K$13,'RE Calculations'!$B$12:$B$16,'RE Calculations'!$C$12:$C$16,"ERROR - Check Input")/12),0)</f>
        <v>0</v>
      </c>
      <c r="K447" s="142">
        <f t="shared" si="48"/>
        <v>0</v>
      </c>
      <c r="L447" s="142">
        <f>IF(I447&lt;=($J$9*12),$J$15,IFERROR(-IPMT($J$11,I447-$J$9*12,($J$12-$J$9)*12,$J$6)+$J$13*_xlfn.XLOOKUP($K$13,'RE Calculations'!$B$12:$B$16,'RE Calculations'!$C$12:$C$16,"ERROR - Check Input")/12,0))</f>
        <v>0</v>
      </c>
      <c r="M447" s="142">
        <f t="shared" si="49"/>
        <v>0</v>
      </c>
      <c r="P447" s="12">
        <v>425</v>
      </c>
      <c r="Q447" s="142">
        <f>IF(T446&gt;0.01,-PMT($Q$8,$Q$9*12,$Q$6)+$Q$10*_xlfn.XLOOKUP($R$10,'RE Calculations'!$B$12:$B$16,'RE Calculations'!$C$12:$C$16,"ERROR - Check Input")/12,0)</f>
        <v>0</v>
      </c>
      <c r="R447" s="142">
        <f t="shared" si="50"/>
        <v>0</v>
      </c>
      <c r="S447" s="142">
        <f>IFERROR(-IPMT($Q$8,P447,$Q$9*12,$Q$6)+$Q$10*_xlfn.XLOOKUP($R$10,'RE Calculations'!$B$12:$B$16,'RE Calculations'!$C$12:$C$16,"ERROR - Check Input")/12,0)</f>
        <v>0</v>
      </c>
      <c r="T447" s="142">
        <f t="shared" si="51"/>
        <v>0</v>
      </c>
      <c r="W447" s="12">
        <v>425</v>
      </c>
      <c r="X447" s="142">
        <f>IF(AA446&gt;0.01,IF(W447&lt;=($X$9*12),$X$15,-PMT($X$11,($X$12-$X$9)*12,$X$6)+$X$13*_xlfn.XLOOKUP($Y$13,'RE Calculations'!$B$12:$B$16,'RE Calculations'!$C$12:$C$16,"ERROR - Check Input")/12),0)</f>
        <v>0</v>
      </c>
      <c r="Y447" s="142">
        <f t="shared" si="52"/>
        <v>0</v>
      </c>
      <c r="Z447" s="142">
        <f>IF(W447&lt;=($X$9*12),$X$15,IFERROR(-IPMT($X$11,W447-$X$9*12,($X$12-$X$9)*12,$X$6)+$X$13*_xlfn.XLOOKUP($Y$13,'RE Calculations'!$B$12:$B$16,'RE Calculations'!$C$12:$C$16,"ERROR - Check Input")/12,0))</f>
        <v>0</v>
      </c>
      <c r="AA447" s="142">
        <f t="shared" si="53"/>
        <v>0</v>
      </c>
    </row>
    <row r="448" spans="2:27" x14ac:dyDescent="0.35">
      <c r="B448" s="12">
        <v>426</v>
      </c>
      <c r="C448" s="142">
        <f>IF(F447&gt;0.01,-PMT($C$8,$C$9*12,$C$6)+$C$10*_xlfn.XLOOKUP($D$10,'RE Calculations'!$B$12:$B$16,'RE Calculations'!$C$12:$C$16,"ERROR - Check Input")/12,0)</f>
        <v>0</v>
      </c>
      <c r="D448" s="142">
        <f t="shared" si="54"/>
        <v>0</v>
      </c>
      <c r="E448" s="142">
        <f>IFERROR(-IPMT($C$8,B448,$C$9*12,$C$6)+$C$10*_xlfn.XLOOKUP($D$10,'RE Calculations'!$B$12:$B$16,'RE Calculations'!$C$12:$C$16,"ERROR - Check Input")/12,0)</f>
        <v>0</v>
      </c>
      <c r="F448" s="142">
        <f t="shared" si="55"/>
        <v>0</v>
      </c>
      <c r="I448" s="12">
        <v>426</v>
      </c>
      <c r="J448" s="142">
        <f>IF(M447&gt;0.01,IF(I448&lt;=($J$9*12),$J$15,-PMT($J$11,($J$12-$J$9)*12,$J$6)+$J$13*_xlfn.XLOOKUP($K$13,'RE Calculations'!$B$12:$B$16,'RE Calculations'!$C$12:$C$16,"ERROR - Check Input")/12),0)</f>
        <v>0</v>
      </c>
      <c r="K448" s="142">
        <f t="shared" si="48"/>
        <v>0</v>
      </c>
      <c r="L448" s="142">
        <f>IF(I448&lt;=($J$9*12),$J$15,IFERROR(-IPMT($J$11,I448-$J$9*12,($J$12-$J$9)*12,$J$6)+$J$13*_xlfn.XLOOKUP($K$13,'RE Calculations'!$B$12:$B$16,'RE Calculations'!$C$12:$C$16,"ERROR - Check Input")/12,0))</f>
        <v>0</v>
      </c>
      <c r="M448" s="142">
        <f t="shared" si="49"/>
        <v>0</v>
      </c>
      <c r="P448" s="12">
        <v>426</v>
      </c>
      <c r="Q448" s="142">
        <f>IF(T447&gt;0.01,-PMT($Q$8,$Q$9*12,$Q$6)+$Q$10*_xlfn.XLOOKUP($R$10,'RE Calculations'!$B$12:$B$16,'RE Calculations'!$C$12:$C$16,"ERROR - Check Input")/12,0)</f>
        <v>0</v>
      </c>
      <c r="R448" s="142">
        <f t="shared" si="50"/>
        <v>0</v>
      </c>
      <c r="S448" s="142">
        <f>IFERROR(-IPMT($Q$8,P448,$Q$9*12,$Q$6)+$Q$10*_xlfn.XLOOKUP($R$10,'RE Calculations'!$B$12:$B$16,'RE Calculations'!$C$12:$C$16,"ERROR - Check Input")/12,0)</f>
        <v>0</v>
      </c>
      <c r="T448" s="142">
        <f t="shared" si="51"/>
        <v>0</v>
      </c>
      <c r="W448" s="12">
        <v>426</v>
      </c>
      <c r="X448" s="142">
        <f>IF(AA447&gt;0.01,IF(W448&lt;=($X$9*12),$X$15,-PMT($X$11,($X$12-$X$9)*12,$X$6)+$X$13*_xlfn.XLOOKUP($Y$13,'RE Calculations'!$B$12:$B$16,'RE Calculations'!$C$12:$C$16,"ERROR - Check Input")/12),0)</f>
        <v>0</v>
      </c>
      <c r="Y448" s="142">
        <f t="shared" si="52"/>
        <v>0</v>
      </c>
      <c r="Z448" s="142">
        <f>IF(W448&lt;=($X$9*12),$X$15,IFERROR(-IPMT($X$11,W448-$X$9*12,($X$12-$X$9)*12,$X$6)+$X$13*_xlfn.XLOOKUP($Y$13,'RE Calculations'!$B$12:$B$16,'RE Calculations'!$C$12:$C$16,"ERROR - Check Input")/12,0))</f>
        <v>0</v>
      </c>
      <c r="AA448" s="142">
        <f t="shared" si="53"/>
        <v>0</v>
      </c>
    </row>
    <row r="449" spans="2:27" x14ac:dyDescent="0.35">
      <c r="B449" s="12">
        <v>427</v>
      </c>
      <c r="C449" s="142">
        <f>IF(F448&gt;0.01,-PMT($C$8,$C$9*12,$C$6)+$C$10*_xlfn.XLOOKUP($D$10,'RE Calculations'!$B$12:$B$16,'RE Calculations'!$C$12:$C$16,"ERROR - Check Input")/12,0)</f>
        <v>0</v>
      </c>
      <c r="D449" s="142">
        <f t="shared" si="54"/>
        <v>0</v>
      </c>
      <c r="E449" s="142">
        <f>IFERROR(-IPMT($C$8,B449,$C$9*12,$C$6)+$C$10*_xlfn.XLOOKUP($D$10,'RE Calculations'!$B$12:$B$16,'RE Calculations'!$C$12:$C$16,"ERROR - Check Input")/12,0)</f>
        <v>0</v>
      </c>
      <c r="F449" s="142">
        <f t="shared" si="55"/>
        <v>0</v>
      </c>
      <c r="I449" s="12">
        <v>427</v>
      </c>
      <c r="J449" s="142">
        <f>IF(M448&gt;0.01,IF(I449&lt;=($J$9*12),$J$15,-PMT($J$11,($J$12-$J$9)*12,$J$6)+$J$13*_xlfn.XLOOKUP($K$13,'RE Calculations'!$B$12:$B$16,'RE Calculations'!$C$12:$C$16,"ERROR - Check Input")/12),0)</f>
        <v>0</v>
      </c>
      <c r="K449" s="142">
        <f t="shared" si="48"/>
        <v>0</v>
      </c>
      <c r="L449" s="142">
        <f>IF(I449&lt;=($J$9*12),$J$15,IFERROR(-IPMT($J$11,I449-$J$9*12,($J$12-$J$9)*12,$J$6)+$J$13*_xlfn.XLOOKUP($K$13,'RE Calculations'!$B$12:$B$16,'RE Calculations'!$C$12:$C$16,"ERROR - Check Input")/12,0))</f>
        <v>0</v>
      </c>
      <c r="M449" s="142">
        <f t="shared" si="49"/>
        <v>0</v>
      </c>
      <c r="P449" s="12">
        <v>427</v>
      </c>
      <c r="Q449" s="142">
        <f>IF(T448&gt;0.01,-PMT($Q$8,$Q$9*12,$Q$6)+$Q$10*_xlfn.XLOOKUP($R$10,'RE Calculations'!$B$12:$B$16,'RE Calculations'!$C$12:$C$16,"ERROR - Check Input")/12,0)</f>
        <v>0</v>
      </c>
      <c r="R449" s="142">
        <f t="shared" si="50"/>
        <v>0</v>
      </c>
      <c r="S449" s="142">
        <f>IFERROR(-IPMT($Q$8,P449,$Q$9*12,$Q$6)+$Q$10*_xlfn.XLOOKUP($R$10,'RE Calculations'!$B$12:$B$16,'RE Calculations'!$C$12:$C$16,"ERROR - Check Input")/12,0)</f>
        <v>0</v>
      </c>
      <c r="T449" s="142">
        <f t="shared" si="51"/>
        <v>0</v>
      </c>
      <c r="W449" s="12">
        <v>427</v>
      </c>
      <c r="X449" s="142">
        <f>IF(AA448&gt;0.01,IF(W449&lt;=($X$9*12),$X$15,-PMT($X$11,($X$12-$X$9)*12,$X$6)+$X$13*_xlfn.XLOOKUP($Y$13,'RE Calculations'!$B$12:$B$16,'RE Calculations'!$C$12:$C$16,"ERROR - Check Input")/12),0)</f>
        <v>0</v>
      </c>
      <c r="Y449" s="142">
        <f t="shared" si="52"/>
        <v>0</v>
      </c>
      <c r="Z449" s="142">
        <f>IF(W449&lt;=($X$9*12),$X$15,IFERROR(-IPMT($X$11,W449-$X$9*12,($X$12-$X$9)*12,$X$6)+$X$13*_xlfn.XLOOKUP($Y$13,'RE Calculations'!$B$12:$B$16,'RE Calculations'!$C$12:$C$16,"ERROR - Check Input")/12,0))</f>
        <v>0</v>
      </c>
      <c r="AA449" s="142">
        <f t="shared" si="53"/>
        <v>0</v>
      </c>
    </row>
    <row r="450" spans="2:27" x14ac:dyDescent="0.35">
      <c r="B450" s="12">
        <v>428</v>
      </c>
      <c r="C450" s="142">
        <f>IF(F449&gt;0.01,-PMT($C$8,$C$9*12,$C$6)+$C$10*_xlfn.XLOOKUP($D$10,'RE Calculations'!$B$12:$B$16,'RE Calculations'!$C$12:$C$16,"ERROR - Check Input")/12,0)</f>
        <v>0</v>
      </c>
      <c r="D450" s="142">
        <f t="shared" si="54"/>
        <v>0</v>
      </c>
      <c r="E450" s="142">
        <f>IFERROR(-IPMT($C$8,B450,$C$9*12,$C$6)+$C$10*_xlfn.XLOOKUP($D$10,'RE Calculations'!$B$12:$B$16,'RE Calculations'!$C$12:$C$16,"ERROR - Check Input")/12,0)</f>
        <v>0</v>
      </c>
      <c r="F450" s="142">
        <f t="shared" si="55"/>
        <v>0</v>
      </c>
      <c r="I450" s="12">
        <v>428</v>
      </c>
      <c r="J450" s="142">
        <f>IF(M449&gt;0.01,IF(I450&lt;=($J$9*12),$J$15,-PMT($J$11,($J$12-$J$9)*12,$J$6)+$J$13*_xlfn.XLOOKUP($K$13,'RE Calculations'!$B$12:$B$16,'RE Calculations'!$C$12:$C$16,"ERROR - Check Input")/12),0)</f>
        <v>0</v>
      </c>
      <c r="K450" s="142">
        <f t="shared" si="48"/>
        <v>0</v>
      </c>
      <c r="L450" s="142">
        <f>IF(I450&lt;=($J$9*12),$J$15,IFERROR(-IPMT($J$11,I450-$J$9*12,($J$12-$J$9)*12,$J$6)+$J$13*_xlfn.XLOOKUP($K$13,'RE Calculations'!$B$12:$B$16,'RE Calculations'!$C$12:$C$16,"ERROR - Check Input")/12,0))</f>
        <v>0</v>
      </c>
      <c r="M450" s="142">
        <f t="shared" si="49"/>
        <v>0</v>
      </c>
      <c r="P450" s="12">
        <v>428</v>
      </c>
      <c r="Q450" s="142">
        <f>IF(T449&gt;0.01,-PMT($Q$8,$Q$9*12,$Q$6)+$Q$10*_xlfn.XLOOKUP($R$10,'RE Calculations'!$B$12:$B$16,'RE Calculations'!$C$12:$C$16,"ERROR - Check Input")/12,0)</f>
        <v>0</v>
      </c>
      <c r="R450" s="142">
        <f t="shared" si="50"/>
        <v>0</v>
      </c>
      <c r="S450" s="142">
        <f>IFERROR(-IPMT($Q$8,P450,$Q$9*12,$Q$6)+$Q$10*_xlfn.XLOOKUP($R$10,'RE Calculations'!$B$12:$B$16,'RE Calculations'!$C$12:$C$16,"ERROR - Check Input")/12,0)</f>
        <v>0</v>
      </c>
      <c r="T450" s="142">
        <f t="shared" si="51"/>
        <v>0</v>
      </c>
      <c r="W450" s="12">
        <v>428</v>
      </c>
      <c r="X450" s="142">
        <f>IF(AA449&gt;0.01,IF(W450&lt;=($X$9*12),$X$15,-PMT($X$11,($X$12-$X$9)*12,$X$6)+$X$13*_xlfn.XLOOKUP($Y$13,'RE Calculations'!$B$12:$B$16,'RE Calculations'!$C$12:$C$16,"ERROR - Check Input")/12),0)</f>
        <v>0</v>
      </c>
      <c r="Y450" s="142">
        <f t="shared" si="52"/>
        <v>0</v>
      </c>
      <c r="Z450" s="142">
        <f>IF(W450&lt;=($X$9*12),$X$15,IFERROR(-IPMT($X$11,W450-$X$9*12,($X$12-$X$9)*12,$X$6)+$X$13*_xlfn.XLOOKUP($Y$13,'RE Calculations'!$B$12:$B$16,'RE Calculations'!$C$12:$C$16,"ERROR - Check Input")/12,0))</f>
        <v>0</v>
      </c>
      <c r="AA450" s="142">
        <f t="shared" si="53"/>
        <v>0</v>
      </c>
    </row>
    <row r="451" spans="2:27" x14ac:dyDescent="0.35">
      <c r="B451" s="12">
        <v>429</v>
      </c>
      <c r="C451" s="142">
        <f>IF(F450&gt;0.01,-PMT($C$8,$C$9*12,$C$6)+$C$10*_xlfn.XLOOKUP($D$10,'RE Calculations'!$B$12:$B$16,'RE Calculations'!$C$12:$C$16,"ERROR - Check Input")/12,0)</f>
        <v>0</v>
      </c>
      <c r="D451" s="142">
        <f t="shared" si="54"/>
        <v>0</v>
      </c>
      <c r="E451" s="142">
        <f>IFERROR(-IPMT($C$8,B451,$C$9*12,$C$6)+$C$10*_xlfn.XLOOKUP($D$10,'RE Calculations'!$B$12:$B$16,'RE Calculations'!$C$12:$C$16,"ERROR - Check Input")/12,0)</f>
        <v>0</v>
      </c>
      <c r="F451" s="142">
        <f t="shared" si="55"/>
        <v>0</v>
      </c>
      <c r="I451" s="12">
        <v>429</v>
      </c>
      <c r="J451" s="142">
        <f>IF(M450&gt;0.01,IF(I451&lt;=($J$9*12),$J$15,-PMT($J$11,($J$12-$J$9)*12,$J$6)+$J$13*_xlfn.XLOOKUP($K$13,'RE Calculations'!$B$12:$B$16,'RE Calculations'!$C$12:$C$16,"ERROR - Check Input")/12),0)</f>
        <v>0</v>
      </c>
      <c r="K451" s="142">
        <f t="shared" si="48"/>
        <v>0</v>
      </c>
      <c r="L451" s="142">
        <f>IF(I451&lt;=($J$9*12),$J$15,IFERROR(-IPMT($J$11,I451-$J$9*12,($J$12-$J$9)*12,$J$6)+$J$13*_xlfn.XLOOKUP($K$13,'RE Calculations'!$B$12:$B$16,'RE Calculations'!$C$12:$C$16,"ERROR - Check Input")/12,0))</f>
        <v>0</v>
      </c>
      <c r="M451" s="142">
        <f t="shared" si="49"/>
        <v>0</v>
      </c>
      <c r="P451" s="12">
        <v>429</v>
      </c>
      <c r="Q451" s="142">
        <f>IF(T450&gt;0.01,-PMT($Q$8,$Q$9*12,$Q$6)+$Q$10*_xlfn.XLOOKUP($R$10,'RE Calculations'!$B$12:$B$16,'RE Calculations'!$C$12:$C$16,"ERROR - Check Input")/12,0)</f>
        <v>0</v>
      </c>
      <c r="R451" s="142">
        <f t="shared" si="50"/>
        <v>0</v>
      </c>
      <c r="S451" s="142">
        <f>IFERROR(-IPMT($Q$8,P451,$Q$9*12,$Q$6)+$Q$10*_xlfn.XLOOKUP($R$10,'RE Calculations'!$B$12:$B$16,'RE Calculations'!$C$12:$C$16,"ERROR - Check Input")/12,0)</f>
        <v>0</v>
      </c>
      <c r="T451" s="142">
        <f t="shared" si="51"/>
        <v>0</v>
      </c>
      <c r="W451" s="12">
        <v>429</v>
      </c>
      <c r="X451" s="142">
        <f>IF(AA450&gt;0.01,IF(W451&lt;=($X$9*12),$X$15,-PMT($X$11,($X$12-$X$9)*12,$X$6)+$X$13*_xlfn.XLOOKUP($Y$13,'RE Calculations'!$B$12:$B$16,'RE Calculations'!$C$12:$C$16,"ERROR - Check Input")/12),0)</f>
        <v>0</v>
      </c>
      <c r="Y451" s="142">
        <f t="shared" si="52"/>
        <v>0</v>
      </c>
      <c r="Z451" s="142">
        <f>IF(W451&lt;=($X$9*12),$X$15,IFERROR(-IPMT($X$11,W451-$X$9*12,($X$12-$X$9)*12,$X$6)+$X$13*_xlfn.XLOOKUP($Y$13,'RE Calculations'!$B$12:$B$16,'RE Calculations'!$C$12:$C$16,"ERROR - Check Input")/12,0))</f>
        <v>0</v>
      </c>
      <c r="AA451" s="142">
        <f t="shared" si="53"/>
        <v>0</v>
      </c>
    </row>
    <row r="452" spans="2:27" x14ac:dyDescent="0.35">
      <c r="B452" s="12">
        <v>430</v>
      </c>
      <c r="C452" s="142">
        <f>IF(F451&gt;0.01,-PMT($C$8,$C$9*12,$C$6)+$C$10*_xlfn.XLOOKUP($D$10,'RE Calculations'!$B$12:$B$16,'RE Calculations'!$C$12:$C$16,"ERROR - Check Input")/12,0)</f>
        <v>0</v>
      </c>
      <c r="D452" s="142">
        <f t="shared" si="54"/>
        <v>0</v>
      </c>
      <c r="E452" s="142">
        <f>IFERROR(-IPMT($C$8,B452,$C$9*12,$C$6)+$C$10*_xlfn.XLOOKUP($D$10,'RE Calculations'!$B$12:$B$16,'RE Calculations'!$C$12:$C$16,"ERROR - Check Input")/12,0)</f>
        <v>0</v>
      </c>
      <c r="F452" s="142">
        <f t="shared" si="55"/>
        <v>0</v>
      </c>
      <c r="I452" s="12">
        <v>430</v>
      </c>
      <c r="J452" s="142">
        <f>IF(M451&gt;0.01,IF(I452&lt;=($J$9*12),$J$15,-PMT($J$11,($J$12-$J$9)*12,$J$6)+$J$13*_xlfn.XLOOKUP($K$13,'RE Calculations'!$B$12:$B$16,'RE Calculations'!$C$12:$C$16,"ERROR - Check Input")/12),0)</f>
        <v>0</v>
      </c>
      <c r="K452" s="142">
        <f t="shared" si="48"/>
        <v>0</v>
      </c>
      <c r="L452" s="142">
        <f>IF(I452&lt;=($J$9*12),$J$15,IFERROR(-IPMT($J$11,I452-$J$9*12,($J$12-$J$9)*12,$J$6)+$J$13*_xlfn.XLOOKUP($K$13,'RE Calculations'!$B$12:$B$16,'RE Calculations'!$C$12:$C$16,"ERROR - Check Input")/12,0))</f>
        <v>0</v>
      </c>
      <c r="M452" s="142">
        <f t="shared" si="49"/>
        <v>0</v>
      </c>
      <c r="P452" s="12">
        <v>430</v>
      </c>
      <c r="Q452" s="142">
        <f>IF(T451&gt;0.01,-PMT($Q$8,$Q$9*12,$Q$6)+$Q$10*_xlfn.XLOOKUP($R$10,'RE Calculations'!$B$12:$B$16,'RE Calculations'!$C$12:$C$16,"ERROR - Check Input")/12,0)</f>
        <v>0</v>
      </c>
      <c r="R452" s="142">
        <f t="shared" si="50"/>
        <v>0</v>
      </c>
      <c r="S452" s="142">
        <f>IFERROR(-IPMT($Q$8,P452,$Q$9*12,$Q$6)+$Q$10*_xlfn.XLOOKUP($R$10,'RE Calculations'!$B$12:$B$16,'RE Calculations'!$C$12:$C$16,"ERROR - Check Input")/12,0)</f>
        <v>0</v>
      </c>
      <c r="T452" s="142">
        <f t="shared" si="51"/>
        <v>0</v>
      </c>
      <c r="W452" s="12">
        <v>430</v>
      </c>
      <c r="X452" s="142">
        <f>IF(AA451&gt;0.01,IF(W452&lt;=($X$9*12),$X$15,-PMT($X$11,($X$12-$X$9)*12,$X$6)+$X$13*_xlfn.XLOOKUP($Y$13,'RE Calculations'!$B$12:$B$16,'RE Calculations'!$C$12:$C$16,"ERROR - Check Input")/12),0)</f>
        <v>0</v>
      </c>
      <c r="Y452" s="142">
        <f t="shared" si="52"/>
        <v>0</v>
      </c>
      <c r="Z452" s="142">
        <f>IF(W452&lt;=($X$9*12),$X$15,IFERROR(-IPMT($X$11,W452-$X$9*12,($X$12-$X$9)*12,$X$6)+$X$13*_xlfn.XLOOKUP($Y$13,'RE Calculations'!$B$12:$B$16,'RE Calculations'!$C$12:$C$16,"ERROR - Check Input")/12,0))</f>
        <v>0</v>
      </c>
      <c r="AA452" s="142">
        <f t="shared" si="53"/>
        <v>0</v>
      </c>
    </row>
    <row r="453" spans="2:27" x14ac:dyDescent="0.35">
      <c r="B453" s="12">
        <v>431</v>
      </c>
      <c r="C453" s="142">
        <f>IF(F452&gt;0.01,-PMT($C$8,$C$9*12,$C$6)+$C$10*_xlfn.XLOOKUP($D$10,'RE Calculations'!$B$12:$B$16,'RE Calculations'!$C$12:$C$16,"ERROR - Check Input")/12,0)</f>
        <v>0</v>
      </c>
      <c r="D453" s="142">
        <f t="shared" si="54"/>
        <v>0</v>
      </c>
      <c r="E453" s="142">
        <f>IFERROR(-IPMT($C$8,B453,$C$9*12,$C$6)+$C$10*_xlfn.XLOOKUP($D$10,'RE Calculations'!$B$12:$B$16,'RE Calculations'!$C$12:$C$16,"ERROR - Check Input")/12,0)</f>
        <v>0</v>
      </c>
      <c r="F453" s="142">
        <f t="shared" si="55"/>
        <v>0</v>
      </c>
      <c r="I453" s="12">
        <v>431</v>
      </c>
      <c r="J453" s="142">
        <f>IF(M452&gt;0.01,IF(I453&lt;=($J$9*12),$J$15,-PMT($J$11,($J$12-$J$9)*12,$J$6)+$J$13*_xlfn.XLOOKUP($K$13,'RE Calculations'!$B$12:$B$16,'RE Calculations'!$C$12:$C$16,"ERROR - Check Input")/12),0)</f>
        <v>0</v>
      </c>
      <c r="K453" s="142">
        <f t="shared" si="48"/>
        <v>0</v>
      </c>
      <c r="L453" s="142">
        <f>IF(I453&lt;=($J$9*12),$J$15,IFERROR(-IPMT($J$11,I453-$J$9*12,($J$12-$J$9)*12,$J$6)+$J$13*_xlfn.XLOOKUP($K$13,'RE Calculations'!$B$12:$B$16,'RE Calculations'!$C$12:$C$16,"ERROR - Check Input")/12,0))</f>
        <v>0</v>
      </c>
      <c r="M453" s="142">
        <f t="shared" si="49"/>
        <v>0</v>
      </c>
      <c r="P453" s="12">
        <v>431</v>
      </c>
      <c r="Q453" s="142">
        <f>IF(T452&gt;0.01,-PMT($Q$8,$Q$9*12,$Q$6)+$Q$10*_xlfn.XLOOKUP($R$10,'RE Calculations'!$B$12:$B$16,'RE Calculations'!$C$12:$C$16,"ERROR - Check Input")/12,0)</f>
        <v>0</v>
      </c>
      <c r="R453" s="142">
        <f t="shared" si="50"/>
        <v>0</v>
      </c>
      <c r="S453" s="142">
        <f>IFERROR(-IPMT($Q$8,P453,$Q$9*12,$Q$6)+$Q$10*_xlfn.XLOOKUP($R$10,'RE Calculations'!$B$12:$B$16,'RE Calculations'!$C$12:$C$16,"ERROR - Check Input")/12,0)</f>
        <v>0</v>
      </c>
      <c r="T453" s="142">
        <f t="shared" si="51"/>
        <v>0</v>
      </c>
      <c r="W453" s="12">
        <v>431</v>
      </c>
      <c r="X453" s="142">
        <f>IF(AA452&gt;0.01,IF(W453&lt;=($X$9*12),$X$15,-PMT($X$11,($X$12-$X$9)*12,$X$6)+$X$13*_xlfn.XLOOKUP($Y$13,'RE Calculations'!$B$12:$B$16,'RE Calculations'!$C$12:$C$16,"ERROR - Check Input")/12),0)</f>
        <v>0</v>
      </c>
      <c r="Y453" s="142">
        <f t="shared" si="52"/>
        <v>0</v>
      </c>
      <c r="Z453" s="142">
        <f>IF(W453&lt;=($X$9*12),$X$15,IFERROR(-IPMT($X$11,W453-$X$9*12,($X$12-$X$9)*12,$X$6)+$X$13*_xlfn.XLOOKUP($Y$13,'RE Calculations'!$B$12:$B$16,'RE Calculations'!$C$12:$C$16,"ERROR - Check Input")/12,0))</f>
        <v>0</v>
      </c>
      <c r="AA453" s="142">
        <f t="shared" si="53"/>
        <v>0</v>
      </c>
    </row>
    <row r="454" spans="2:27" x14ac:dyDescent="0.35">
      <c r="B454" s="12">
        <v>432</v>
      </c>
      <c r="C454" s="142">
        <f>IF(F453&gt;0.01,-PMT($C$8,$C$9*12,$C$6)+$C$10*_xlfn.XLOOKUP($D$10,'RE Calculations'!$B$12:$B$16,'RE Calculations'!$C$12:$C$16,"ERROR - Check Input")/12,0)</f>
        <v>0</v>
      </c>
      <c r="D454" s="142">
        <f t="shared" si="54"/>
        <v>0</v>
      </c>
      <c r="E454" s="142">
        <f>IFERROR(-IPMT($C$8,B454,$C$9*12,$C$6)+$C$10*_xlfn.XLOOKUP($D$10,'RE Calculations'!$B$12:$B$16,'RE Calculations'!$C$12:$C$16,"ERROR - Check Input")/12,0)</f>
        <v>0</v>
      </c>
      <c r="F454" s="142">
        <f t="shared" si="55"/>
        <v>0</v>
      </c>
      <c r="I454" s="12">
        <v>432</v>
      </c>
      <c r="J454" s="142">
        <f>IF(M453&gt;0.01,IF(I454&lt;=($J$9*12),$J$15,-PMT($J$11,($J$12-$J$9)*12,$J$6)+$J$13*_xlfn.XLOOKUP($K$13,'RE Calculations'!$B$12:$B$16,'RE Calculations'!$C$12:$C$16,"ERROR - Check Input")/12),0)</f>
        <v>0</v>
      </c>
      <c r="K454" s="142">
        <f t="shared" si="48"/>
        <v>0</v>
      </c>
      <c r="L454" s="142">
        <f>IF(I454&lt;=($J$9*12),$J$15,IFERROR(-IPMT($J$11,I454-$J$9*12,($J$12-$J$9)*12,$J$6)+$J$13*_xlfn.XLOOKUP($K$13,'RE Calculations'!$B$12:$B$16,'RE Calculations'!$C$12:$C$16,"ERROR - Check Input")/12,0))</f>
        <v>0</v>
      </c>
      <c r="M454" s="142">
        <f t="shared" si="49"/>
        <v>0</v>
      </c>
      <c r="P454" s="12">
        <v>432</v>
      </c>
      <c r="Q454" s="142">
        <f>IF(T453&gt;0.01,-PMT($Q$8,$Q$9*12,$Q$6)+$Q$10*_xlfn.XLOOKUP($R$10,'RE Calculations'!$B$12:$B$16,'RE Calculations'!$C$12:$C$16,"ERROR - Check Input")/12,0)</f>
        <v>0</v>
      </c>
      <c r="R454" s="142">
        <f t="shared" si="50"/>
        <v>0</v>
      </c>
      <c r="S454" s="142">
        <f>IFERROR(-IPMT($Q$8,P454,$Q$9*12,$Q$6)+$Q$10*_xlfn.XLOOKUP($R$10,'RE Calculations'!$B$12:$B$16,'RE Calculations'!$C$12:$C$16,"ERROR - Check Input")/12,0)</f>
        <v>0</v>
      </c>
      <c r="T454" s="142">
        <f t="shared" si="51"/>
        <v>0</v>
      </c>
      <c r="W454" s="12">
        <v>432</v>
      </c>
      <c r="X454" s="142">
        <f>IF(AA453&gt;0.01,IF(W454&lt;=($X$9*12),$X$15,-PMT($X$11,($X$12-$X$9)*12,$X$6)+$X$13*_xlfn.XLOOKUP($Y$13,'RE Calculations'!$B$12:$B$16,'RE Calculations'!$C$12:$C$16,"ERROR - Check Input")/12),0)</f>
        <v>0</v>
      </c>
      <c r="Y454" s="142">
        <f t="shared" si="52"/>
        <v>0</v>
      </c>
      <c r="Z454" s="142">
        <f>IF(W454&lt;=($X$9*12),$X$15,IFERROR(-IPMT($X$11,W454-$X$9*12,($X$12-$X$9)*12,$X$6)+$X$13*_xlfn.XLOOKUP($Y$13,'RE Calculations'!$B$12:$B$16,'RE Calculations'!$C$12:$C$16,"ERROR - Check Input")/12,0))</f>
        <v>0</v>
      </c>
      <c r="AA454" s="142">
        <f t="shared" si="53"/>
        <v>0</v>
      </c>
    </row>
    <row r="455" spans="2:27" x14ac:dyDescent="0.35">
      <c r="B455" s="12">
        <v>433</v>
      </c>
      <c r="C455" s="142">
        <f>IF(F454&gt;0.01,-PMT($C$8,$C$9*12,$C$6)+$C$10*_xlfn.XLOOKUP($D$10,'RE Calculations'!$B$12:$B$16,'RE Calculations'!$C$12:$C$16,"ERROR - Check Input")/12,0)</f>
        <v>0</v>
      </c>
      <c r="D455" s="142">
        <f t="shared" si="54"/>
        <v>0</v>
      </c>
      <c r="E455" s="142">
        <f>IFERROR(-IPMT($C$8,B455,$C$9*12,$C$6)+$C$10*_xlfn.XLOOKUP($D$10,'RE Calculations'!$B$12:$B$16,'RE Calculations'!$C$12:$C$16,"ERROR - Check Input")/12,0)</f>
        <v>0</v>
      </c>
      <c r="F455" s="142">
        <f t="shared" si="55"/>
        <v>0</v>
      </c>
      <c r="I455" s="12">
        <v>433</v>
      </c>
      <c r="J455" s="142">
        <f>IF(M454&gt;0.01,IF(I455&lt;=($J$9*12),$J$15,-PMT($J$11,($J$12-$J$9)*12,$J$6)+$J$13*_xlfn.XLOOKUP($K$13,'RE Calculations'!$B$12:$B$16,'RE Calculations'!$C$12:$C$16,"ERROR - Check Input")/12),0)</f>
        <v>0</v>
      </c>
      <c r="K455" s="142">
        <f t="shared" si="48"/>
        <v>0</v>
      </c>
      <c r="L455" s="142">
        <f>IF(I455&lt;=($J$9*12),$J$15,IFERROR(-IPMT($J$11,I455-$J$9*12,($J$12-$J$9)*12,$J$6)+$J$13*_xlfn.XLOOKUP($K$13,'RE Calculations'!$B$12:$B$16,'RE Calculations'!$C$12:$C$16,"ERROR - Check Input")/12,0))</f>
        <v>0</v>
      </c>
      <c r="M455" s="142">
        <f t="shared" si="49"/>
        <v>0</v>
      </c>
      <c r="P455" s="12">
        <v>433</v>
      </c>
      <c r="Q455" s="142">
        <f>IF(T454&gt;0.01,-PMT($Q$8,$Q$9*12,$Q$6)+$Q$10*_xlfn.XLOOKUP($R$10,'RE Calculations'!$B$12:$B$16,'RE Calculations'!$C$12:$C$16,"ERROR - Check Input")/12,0)</f>
        <v>0</v>
      </c>
      <c r="R455" s="142">
        <f t="shared" si="50"/>
        <v>0</v>
      </c>
      <c r="S455" s="142">
        <f>IFERROR(-IPMT($Q$8,P455,$Q$9*12,$Q$6)+$Q$10*_xlfn.XLOOKUP($R$10,'RE Calculations'!$B$12:$B$16,'RE Calculations'!$C$12:$C$16,"ERROR - Check Input")/12,0)</f>
        <v>0</v>
      </c>
      <c r="T455" s="142">
        <f t="shared" si="51"/>
        <v>0</v>
      </c>
      <c r="W455" s="12">
        <v>433</v>
      </c>
      <c r="X455" s="142">
        <f>IF(AA454&gt;0.01,IF(W455&lt;=($X$9*12),$X$15,-PMT($X$11,($X$12-$X$9)*12,$X$6)+$X$13*_xlfn.XLOOKUP($Y$13,'RE Calculations'!$B$12:$B$16,'RE Calculations'!$C$12:$C$16,"ERROR - Check Input")/12),0)</f>
        <v>0</v>
      </c>
      <c r="Y455" s="142">
        <f t="shared" si="52"/>
        <v>0</v>
      </c>
      <c r="Z455" s="142">
        <f>IF(W455&lt;=($X$9*12),$X$15,IFERROR(-IPMT($X$11,W455-$X$9*12,($X$12-$X$9)*12,$X$6)+$X$13*_xlfn.XLOOKUP($Y$13,'RE Calculations'!$B$12:$B$16,'RE Calculations'!$C$12:$C$16,"ERROR - Check Input")/12,0))</f>
        <v>0</v>
      </c>
      <c r="AA455" s="142">
        <f t="shared" si="53"/>
        <v>0</v>
      </c>
    </row>
    <row r="456" spans="2:27" x14ac:dyDescent="0.35">
      <c r="B456" s="12">
        <v>434</v>
      </c>
      <c r="C456" s="142">
        <f>IF(F455&gt;0.01,-PMT($C$8,$C$9*12,$C$6)+$C$10*_xlfn.XLOOKUP($D$10,'RE Calculations'!$B$12:$B$16,'RE Calculations'!$C$12:$C$16,"ERROR - Check Input")/12,0)</f>
        <v>0</v>
      </c>
      <c r="D456" s="142">
        <f t="shared" si="54"/>
        <v>0</v>
      </c>
      <c r="E456" s="142">
        <f>IFERROR(-IPMT($C$8,B456,$C$9*12,$C$6)+$C$10*_xlfn.XLOOKUP($D$10,'RE Calculations'!$B$12:$B$16,'RE Calculations'!$C$12:$C$16,"ERROR - Check Input")/12,0)</f>
        <v>0</v>
      </c>
      <c r="F456" s="142">
        <f t="shared" si="55"/>
        <v>0</v>
      </c>
      <c r="I456" s="12">
        <v>434</v>
      </c>
      <c r="J456" s="142">
        <f>IF(M455&gt;0.01,IF(I456&lt;=($J$9*12),$J$15,-PMT($J$11,($J$12-$J$9)*12,$J$6)+$J$13*_xlfn.XLOOKUP($K$13,'RE Calculations'!$B$12:$B$16,'RE Calculations'!$C$12:$C$16,"ERROR - Check Input")/12),0)</f>
        <v>0</v>
      </c>
      <c r="K456" s="142">
        <f t="shared" si="48"/>
        <v>0</v>
      </c>
      <c r="L456" s="142">
        <f>IF(I456&lt;=($J$9*12),$J$15,IFERROR(-IPMT($J$11,I456-$J$9*12,($J$12-$J$9)*12,$J$6)+$J$13*_xlfn.XLOOKUP($K$13,'RE Calculations'!$B$12:$B$16,'RE Calculations'!$C$12:$C$16,"ERROR - Check Input")/12,0))</f>
        <v>0</v>
      </c>
      <c r="M456" s="142">
        <f t="shared" si="49"/>
        <v>0</v>
      </c>
      <c r="P456" s="12">
        <v>434</v>
      </c>
      <c r="Q456" s="142">
        <f>IF(T455&gt;0.01,-PMT($Q$8,$Q$9*12,$Q$6)+$Q$10*_xlfn.XLOOKUP($R$10,'RE Calculations'!$B$12:$B$16,'RE Calculations'!$C$12:$C$16,"ERROR - Check Input")/12,0)</f>
        <v>0</v>
      </c>
      <c r="R456" s="142">
        <f t="shared" si="50"/>
        <v>0</v>
      </c>
      <c r="S456" s="142">
        <f>IFERROR(-IPMT($Q$8,P456,$Q$9*12,$Q$6)+$Q$10*_xlfn.XLOOKUP($R$10,'RE Calculations'!$B$12:$B$16,'RE Calculations'!$C$12:$C$16,"ERROR - Check Input")/12,0)</f>
        <v>0</v>
      </c>
      <c r="T456" s="142">
        <f t="shared" si="51"/>
        <v>0</v>
      </c>
      <c r="W456" s="12">
        <v>434</v>
      </c>
      <c r="X456" s="142">
        <f>IF(AA455&gt;0.01,IF(W456&lt;=($X$9*12),$X$15,-PMT($X$11,($X$12-$X$9)*12,$X$6)+$X$13*_xlfn.XLOOKUP($Y$13,'RE Calculations'!$B$12:$B$16,'RE Calculations'!$C$12:$C$16,"ERROR - Check Input")/12),0)</f>
        <v>0</v>
      </c>
      <c r="Y456" s="142">
        <f t="shared" si="52"/>
        <v>0</v>
      </c>
      <c r="Z456" s="142">
        <f>IF(W456&lt;=($X$9*12),$X$15,IFERROR(-IPMT($X$11,W456-$X$9*12,($X$12-$X$9)*12,$X$6)+$X$13*_xlfn.XLOOKUP($Y$13,'RE Calculations'!$B$12:$B$16,'RE Calculations'!$C$12:$C$16,"ERROR - Check Input")/12,0))</f>
        <v>0</v>
      </c>
      <c r="AA456" s="142">
        <f t="shared" si="53"/>
        <v>0</v>
      </c>
    </row>
    <row r="457" spans="2:27" x14ac:dyDescent="0.35">
      <c r="B457" s="12">
        <v>435</v>
      </c>
      <c r="C457" s="142">
        <f>IF(F456&gt;0.01,-PMT($C$8,$C$9*12,$C$6)+$C$10*_xlfn.XLOOKUP($D$10,'RE Calculations'!$B$12:$B$16,'RE Calculations'!$C$12:$C$16,"ERROR - Check Input")/12,0)</f>
        <v>0</v>
      </c>
      <c r="D457" s="142">
        <f t="shared" si="54"/>
        <v>0</v>
      </c>
      <c r="E457" s="142">
        <f>IFERROR(-IPMT($C$8,B457,$C$9*12,$C$6)+$C$10*_xlfn.XLOOKUP($D$10,'RE Calculations'!$B$12:$B$16,'RE Calculations'!$C$12:$C$16,"ERROR - Check Input")/12,0)</f>
        <v>0</v>
      </c>
      <c r="F457" s="142">
        <f t="shared" si="55"/>
        <v>0</v>
      </c>
      <c r="I457" s="12">
        <v>435</v>
      </c>
      <c r="J457" s="142">
        <f>IF(M456&gt;0.01,IF(I457&lt;=($J$9*12),$J$15,-PMT($J$11,($J$12-$J$9)*12,$J$6)+$J$13*_xlfn.XLOOKUP($K$13,'RE Calculations'!$B$12:$B$16,'RE Calculations'!$C$12:$C$16,"ERROR - Check Input")/12),0)</f>
        <v>0</v>
      </c>
      <c r="K457" s="142">
        <f t="shared" si="48"/>
        <v>0</v>
      </c>
      <c r="L457" s="142">
        <f>IF(I457&lt;=($J$9*12),$J$15,IFERROR(-IPMT($J$11,I457-$J$9*12,($J$12-$J$9)*12,$J$6)+$J$13*_xlfn.XLOOKUP($K$13,'RE Calculations'!$B$12:$B$16,'RE Calculations'!$C$12:$C$16,"ERROR - Check Input")/12,0))</f>
        <v>0</v>
      </c>
      <c r="M457" s="142">
        <f t="shared" si="49"/>
        <v>0</v>
      </c>
      <c r="P457" s="12">
        <v>435</v>
      </c>
      <c r="Q457" s="142">
        <f>IF(T456&gt;0.01,-PMT($Q$8,$Q$9*12,$Q$6)+$Q$10*_xlfn.XLOOKUP($R$10,'RE Calculations'!$B$12:$B$16,'RE Calculations'!$C$12:$C$16,"ERROR - Check Input")/12,0)</f>
        <v>0</v>
      </c>
      <c r="R457" s="142">
        <f t="shared" si="50"/>
        <v>0</v>
      </c>
      <c r="S457" s="142">
        <f>IFERROR(-IPMT($Q$8,P457,$Q$9*12,$Q$6)+$Q$10*_xlfn.XLOOKUP($R$10,'RE Calculations'!$B$12:$B$16,'RE Calculations'!$C$12:$C$16,"ERROR - Check Input")/12,0)</f>
        <v>0</v>
      </c>
      <c r="T457" s="142">
        <f t="shared" si="51"/>
        <v>0</v>
      </c>
      <c r="W457" s="12">
        <v>435</v>
      </c>
      <c r="X457" s="142">
        <f>IF(AA456&gt;0.01,IF(W457&lt;=($X$9*12),$X$15,-PMT($X$11,($X$12-$X$9)*12,$X$6)+$X$13*_xlfn.XLOOKUP($Y$13,'RE Calculations'!$B$12:$B$16,'RE Calculations'!$C$12:$C$16,"ERROR - Check Input")/12),0)</f>
        <v>0</v>
      </c>
      <c r="Y457" s="142">
        <f t="shared" si="52"/>
        <v>0</v>
      </c>
      <c r="Z457" s="142">
        <f>IF(W457&lt;=($X$9*12),$X$15,IFERROR(-IPMT($X$11,W457-$X$9*12,($X$12-$X$9)*12,$X$6)+$X$13*_xlfn.XLOOKUP($Y$13,'RE Calculations'!$B$12:$B$16,'RE Calculations'!$C$12:$C$16,"ERROR - Check Input")/12,0))</f>
        <v>0</v>
      </c>
      <c r="AA457" s="142">
        <f t="shared" si="53"/>
        <v>0</v>
      </c>
    </row>
    <row r="458" spans="2:27" x14ac:dyDescent="0.35">
      <c r="B458" s="12">
        <v>436</v>
      </c>
      <c r="C458" s="142">
        <f>IF(F457&gt;0.01,-PMT($C$8,$C$9*12,$C$6)+$C$10*_xlfn.XLOOKUP($D$10,'RE Calculations'!$B$12:$B$16,'RE Calculations'!$C$12:$C$16,"ERROR - Check Input")/12,0)</f>
        <v>0</v>
      </c>
      <c r="D458" s="142">
        <f t="shared" si="54"/>
        <v>0</v>
      </c>
      <c r="E458" s="142">
        <f>IFERROR(-IPMT($C$8,B458,$C$9*12,$C$6)+$C$10*_xlfn.XLOOKUP($D$10,'RE Calculations'!$B$12:$B$16,'RE Calculations'!$C$12:$C$16,"ERROR - Check Input")/12,0)</f>
        <v>0</v>
      </c>
      <c r="F458" s="142">
        <f t="shared" si="55"/>
        <v>0</v>
      </c>
      <c r="I458" s="12">
        <v>436</v>
      </c>
      <c r="J458" s="142">
        <f>IF(M457&gt;0.01,IF(I458&lt;=($J$9*12),$J$15,-PMT($J$11,($J$12-$J$9)*12,$J$6)+$J$13*_xlfn.XLOOKUP($K$13,'RE Calculations'!$B$12:$B$16,'RE Calculations'!$C$12:$C$16,"ERROR - Check Input")/12),0)</f>
        <v>0</v>
      </c>
      <c r="K458" s="142">
        <f t="shared" si="48"/>
        <v>0</v>
      </c>
      <c r="L458" s="142">
        <f>IF(I458&lt;=($J$9*12),$J$15,IFERROR(-IPMT($J$11,I458-$J$9*12,($J$12-$J$9)*12,$J$6)+$J$13*_xlfn.XLOOKUP($K$13,'RE Calculations'!$B$12:$B$16,'RE Calculations'!$C$12:$C$16,"ERROR - Check Input")/12,0))</f>
        <v>0</v>
      </c>
      <c r="M458" s="142">
        <f t="shared" si="49"/>
        <v>0</v>
      </c>
      <c r="P458" s="12">
        <v>436</v>
      </c>
      <c r="Q458" s="142">
        <f>IF(T457&gt;0.01,-PMT($Q$8,$Q$9*12,$Q$6)+$Q$10*_xlfn.XLOOKUP($R$10,'RE Calculations'!$B$12:$B$16,'RE Calculations'!$C$12:$C$16,"ERROR - Check Input")/12,0)</f>
        <v>0</v>
      </c>
      <c r="R458" s="142">
        <f t="shared" si="50"/>
        <v>0</v>
      </c>
      <c r="S458" s="142">
        <f>IFERROR(-IPMT($Q$8,P458,$Q$9*12,$Q$6)+$Q$10*_xlfn.XLOOKUP($R$10,'RE Calculations'!$B$12:$B$16,'RE Calculations'!$C$12:$C$16,"ERROR - Check Input")/12,0)</f>
        <v>0</v>
      </c>
      <c r="T458" s="142">
        <f t="shared" si="51"/>
        <v>0</v>
      </c>
      <c r="W458" s="12">
        <v>436</v>
      </c>
      <c r="X458" s="142">
        <f>IF(AA457&gt;0.01,IF(W458&lt;=($X$9*12),$X$15,-PMT($X$11,($X$12-$X$9)*12,$X$6)+$X$13*_xlfn.XLOOKUP($Y$13,'RE Calculations'!$B$12:$B$16,'RE Calculations'!$C$12:$C$16,"ERROR - Check Input")/12),0)</f>
        <v>0</v>
      </c>
      <c r="Y458" s="142">
        <f t="shared" si="52"/>
        <v>0</v>
      </c>
      <c r="Z458" s="142">
        <f>IF(W458&lt;=($X$9*12),$X$15,IFERROR(-IPMT($X$11,W458-$X$9*12,($X$12-$X$9)*12,$X$6)+$X$13*_xlfn.XLOOKUP($Y$13,'RE Calculations'!$B$12:$B$16,'RE Calculations'!$C$12:$C$16,"ERROR - Check Input")/12,0))</f>
        <v>0</v>
      </c>
      <c r="AA458" s="142">
        <f t="shared" si="53"/>
        <v>0</v>
      </c>
    </row>
    <row r="459" spans="2:27" x14ac:dyDescent="0.35">
      <c r="B459" s="12">
        <v>437</v>
      </c>
      <c r="C459" s="142">
        <f>IF(F458&gt;0.01,-PMT($C$8,$C$9*12,$C$6)+$C$10*_xlfn.XLOOKUP($D$10,'RE Calculations'!$B$12:$B$16,'RE Calculations'!$C$12:$C$16,"ERROR - Check Input")/12,0)</f>
        <v>0</v>
      </c>
      <c r="D459" s="142">
        <f t="shared" si="54"/>
        <v>0</v>
      </c>
      <c r="E459" s="142">
        <f>IFERROR(-IPMT($C$8,B459,$C$9*12,$C$6)+$C$10*_xlfn.XLOOKUP($D$10,'RE Calculations'!$B$12:$B$16,'RE Calculations'!$C$12:$C$16,"ERROR - Check Input")/12,0)</f>
        <v>0</v>
      </c>
      <c r="F459" s="142">
        <f t="shared" si="55"/>
        <v>0</v>
      </c>
      <c r="I459" s="12">
        <v>437</v>
      </c>
      <c r="J459" s="142">
        <f>IF(M458&gt;0.01,IF(I459&lt;=($J$9*12),$J$15,-PMT($J$11,($J$12-$J$9)*12,$J$6)+$J$13*_xlfn.XLOOKUP($K$13,'RE Calculations'!$B$12:$B$16,'RE Calculations'!$C$12:$C$16,"ERROR - Check Input")/12),0)</f>
        <v>0</v>
      </c>
      <c r="K459" s="142">
        <f t="shared" si="48"/>
        <v>0</v>
      </c>
      <c r="L459" s="142">
        <f>IF(I459&lt;=($J$9*12),$J$15,IFERROR(-IPMT($J$11,I459-$J$9*12,($J$12-$J$9)*12,$J$6)+$J$13*_xlfn.XLOOKUP($K$13,'RE Calculations'!$B$12:$B$16,'RE Calculations'!$C$12:$C$16,"ERROR - Check Input")/12,0))</f>
        <v>0</v>
      </c>
      <c r="M459" s="142">
        <f t="shared" si="49"/>
        <v>0</v>
      </c>
      <c r="P459" s="12">
        <v>437</v>
      </c>
      <c r="Q459" s="142">
        <f>IF(T458&gt;0.01,-PMT($Q$8,$Q$9*12,$Q$6)+$Q$10*_xlfn.XLOOKUP($R$10,'RE Calculations'!$B$12:$B$16,'RE Calculations'!$C$12:$C$16,"ERROR - Check Input")/12,0)</f>
        <v>0</v>
      </c>
      <c r="R459" s="142">
        <f t="shared" si="50"/>
        <v>0</v>
      </c>
      <c r="S459" s="142">
        <f>IFERROR(-IPMT($Q$8,P459,$Q$9*12,$Q$6)+$Q$10*_xlfn.XLOOKUP($R$10,'RE Calculations'!$B$12:$B$16,'RE Calculations'!$C$12:$C$16,"ERROR - Check Input")/12,0)</f>
        <v>0</v>
      </c>
      <c r="T459" s="142">
        <f t="shared" si="51"/>
        <v>0</v>
      </c>
      <c r="W459" s="12">
        <v>437</v>
      </c>
      <c r="X459" s="142">
        <f>IF(AA458&gt;0.01,IF(W459&lt;=($X$9*12),$X$15,-PMT($X$11,($X$12-$X$9)*12,$X$6)+$X$13*_xlfn.XLOOKUP($Y$13,'RE Calculations'!$B$12:$B$16,'RE Calculations'!$C$12:$C$16,"ERROR - Check Input")/12),0)</f>
        <v>0</v>
      </c>
      <c r="Y459" s="142">
        <f t="shared" si="52"/>
        <v>0</v>
      </c>
      <c r="Z459" s="142">
        <f>IF(W459&lt;=($X$9*12),$X$15,IFERROR(-IPMT($X$11,W459-$X$9*12,($X$12-$X$9)*12,$X$6)+$X$13*_xlfn.XLOOKUP($Y$13,'RE Calculations'!$B$12:$B$16,'RE Calculations'!$C$12:$C$16,"ERROR - Check Input")/12,0))</f>
        <v>0</v>
      </c>
      <c r="AA459" s="142">
        <f t="shared" si="53"/>
        <v>0</v>
      </c>
    </row>
    <row r="460" spans="2:27" x14ac:dyDescent="0.35">
      <c r="B460" s="12">
        <v>438</v>
      </c>
      <c r="C460" s="142">
        <f>IF(F459&gt;0.01,-PMT($C$8,$C$9*12,$C$6)+$C$10*_xlfn.XLOOKUP($D$10,'RE Calculations'!$B$12:$B$16,'RE Calculations'!$C$12:$C$16,"ERROR - Check Input")/12,0)</f>
        <v>0</v>
      </c>
      <c r="D460" s="142">
        <f t="shared" si="54"/>
        <v>0</v>
      </c>
      <c r="E460" s="142">
        <f>IFERROR(-IPMT($C$8,B460,$C$9*12,$C$6)+$C$10*_xlfn.XLOOKUP($D$10,'RE Calculations'!$B$12:$B$16,'RE Calculations'!$C$12:$C$16,"ERROR - Check Input")/12,0)</f>
        <v>0</v>
      </c>
      <c r="F460" s="142">
        <f t="shared" si="55"/>
        <v>0</v>
      </c>
      <c r="I460" s="12">
        <v>438</v>
      </c>
      <c r="J460" s="142">
        <f>IF(M459&gt;0.01,IF(I460&lt;=($J$9*12),$J$15,-PMT($J$11,($J$12-$J$9)*12,$J$6)+$J$13*_xlfn.XLOOKUP($K$13,'RE Calculations'!$B$12:$B$16,'RE Calculations'!$C$12:$C$16,"ERROR - Check Input")/12),0)</f>
        <v>0</v>
      </c>
      <c r="K460" s="142">
        <f t="shared" si="48"/>
        <v>0</v>
      </c>
      <c r="L460" s="142">
        <f>IF(I460&lt;=($J$9*12),$J$15,IFERROR(-IPMT($J$11,I460-$J$9*12,($J$12-$J$9)*12,$J$6)+$J$13*_xlfn.XLOOKUP($K$13,'RE Calculations'!$B$12:$B$16,'RE Calculations'!$C$12:$C$16,"ERROR - Check Input")/12,0))</f>
        <v>0</v>
      </c>
      <c r="M460" s="142">
        <f t="shared" si="49"/>
        <v>0</v>
      </c>
      <c r="P460" s="12">
        <v>438</v>
      </c>
      <c r="Q460" s="142">
        <f>IF(T459&gt;0.01,-PMT($Q$8,$Q$9*12,$Q$6)+$Q$10*_xlfn.XLOOKUP($R$10,'RE Calculations'!$B$12:$B$16,'RE Calculations'!$C$12:$C$16,"ERROR - Check Input")/12,0)</f>
        <v>0</v>
      </c>
      <c r="R460" s="142">
        <f t="shared" si="50"/>
        <v>0</v>
      </c>
      <c r="S460" s="142">
        <f>IFERROR(-IPMT($Q$8,P460,$Q$9*12,$Q$6)+$Q$10*_xlfn.XLOOKUP($R$10,'RE Calculations'!$B$12:$B$16,'RE Calculations'!$C$12:$C$16,"ERROR - Check Input")/12,0)</f>
        <v>0</v>
      </c>
      <c r="T460" s="142">
        <f t="shared" si="51"/>
        <v>0</v>
      </c>
      <c r="W460" s="12">
        <v>438</v>
      </c>
      <c r="X460" s="142">
        <f>IF(AA459&gt;0.01,IF(W460&lt;=($X$9*12),$X$15,-PMT($X$11,($X$12-$X$9)*12,$X$6)+$X$13*_xlfn.XLOOKUP($Y$13,'RE Calculations'!$B$12:$B$16,'RE Calculations'!$C$12:$C$16,"ERROR - Check Input")/12),0)</f>
        <v>0</v>
      </c>
      <c r="Y460" s="142">
        <f t="shared" si="52"/>
        <v>0</v>
      </c>
      <c r="Z460" s="142">
        <f>IF(W460&lt;=($X$9*12),$X$15,IFERROR(-IPMT($X$11,W460-$X$9*12,($X$12-$X$9)*12,$X$6)+$X$13*_xlfn.XLOOKUP($Y$13,'RE Calculations'!$B$12:$B$16,'RE Calculations'!$C$12:$C$16,"ERROR - Check Input")/12,0))</f>
        <v>0</v>
      </c>
      <c r="AA460" s="142">
        <f t="shared" si="53"/>
        <v>0</v>
      </c>
    </row>
    <row r="461" spans="2:27" x14ac:dyDescent="0.35">
      <c r="B461" s="12">
        <v>439</v>
      </c>
      <c r="C461" s="142">
        <f>IF(F460&gt;0.01,-PMT($C$8,$C$9*12,$C$6)+$C$10*_xlfn.XLOOKUP($D$10,'RE Calculations'!$B$12:$B$16,'RE Calculations'!$C$12:$C$16,"ERROR - Check Input")/12,0)</f>
        <v>0</v>
      </c>
      <c r="D461" s="142">
        <f t="shared" si="54"/>
        <v>0</v>
      </c>
      <c r="E461" s="142">
        <f>IFERROR(-IPMT($C$8,B461,$C$9*12,$C$6)+$C$10*_xlfn.XLOOKUP($D$10,'RE Calculations'!$B$12:$B$16,'RE Calculations'!$C$12:$C$16,"ERROR - Check Input")/12,0)</f>
        <v>0</v>
      </c>
      <c r="F461" s="142">
        <f t="shared" si="55"/>
        <v>0</v>
      </c>
      <c r="I461" s="12">
        <v>439</v>
      </c>
      <c r="J461" s="142">
        <f>IF(M460&gt;0.01,IF(I461&lt;=($J$9*12),$J$15,-PMT($J$11,($J$12-$J$9)*12,$J$6)+$J$13*_xlfn.XLOOKUP($K$13,'RE Calculations'!$B$12:$B$16,'RE Calculations'!$C$12:$C$16,"ERROR - Check Input")/12),0)</f>
        <v>0</v>
      </c>
      <c r="K461" s="142">
        <f t="shared" si="48"/>
        <v>0</v>
      </c>
      <c r="L461" s="142">
        <f>IF(I461&lt;=($J$9*12),$J$15,IFERROR(-IPMT($J$11,I461-$J$9*12,($J$12-$J$9)*12,$J$6)+$J$13*_xlfn.XLOOKUP($K$13,'RE Calculations'!$B$12:$B$16,'RE Calculations'!$C$12:$C$16,"ERROR - Check Input")/12,0))</f>
        <v>0</v>
      </c>
      <c r="M461" s="142">
        <f t="shared" si="49"/>
        <v>0</v>
      </c>
      <c r="P461" s="12">
        <v>439</v>
      </c>
      <c r="Q461" s="142">
        <f>IF(T460&gt;0.01,-PMT($Q$8,$Q$9*12,$Q$6)+$Q$10*_xlfn.XLOOKUP($R$10,'RE Calculations'!$B$12:$B$16,'RE Calculations'!$C$12:$C$16,"ERROR - Check Input")/12,0)</f>
        <v>0</v>
      </c>
      <c r="R461" s="142">
        <f t="shared" si="50"/>
        <v>0</v>
      </c>
      <c r="S461" s="142">
        <f>IFERROR(-IPMT($Q$8,P461,$Q$9*12,$Q$6)+$Q$10*_xlfn.XLOOKUP($R$10,'RE Calculations'!$B$12:$B$16,'RE Calculations'!$C$12:$C$16,"ERROR - Check Input")/12,0)</f>
        <v>0</v>
      </c>
      <c r="T461" s="142">
        <f t="shared" si="51"/>
        <v>0</v>
      </c>
      <c r="W461" s="12">
        <v>439</v>
      </c>
      <c r="X461" s="142">
        <f>IF(AA460&gt;0.01,IF(W461&lt;=($X$9*12),$X$15,-PMT($X$11,($X$12-$X$9)*12,$X$6)+$X$13*_xlfn.XLOOKUP($Y$13,'RE Calculations'!$B$12:$B$16,'RE Calculations'!$C$12:$C$16,"ERROR - Check Input")/12),0)</f>
        <v>0</v>
      </c>
      <c r="Y461" s="142">
        <f t="shared" si="52"/>
        <v>0</v>
      </c>
      <c r="Z461" s="142">
        <f>IF(W461&lt;=($X$9*12),$X$15,IFERROR(-IPMT($X$11,W461-$X$9*12,($X$12-$X$9)*12,$X$6)+$X$13*_xlfn.XLOOKUP($Y$13,'RE Calculations'!$B$12:$B$16,'RE Calculations'!$C$12:$C$16,"ERROR - Check Input")/12,0))</f>
        <v>0</v>
      </c>
      <c r="AA461" s="142">
        <f t="shared" si="53"/>
        <v>0</v>
      </c>
    </row>
    <row r="462" spans="2:27" x14ac:dyDescent="0.35">
      <c r="B462" s="12">
        <v>440</v>
      </c>
      <c r="C462" s="142">
        <f>IF(F461&gt;0.01,-PMT($C$8,$C$9*12,$C$6)+$C$10*_xlfn.XLOOKUP($D$10,'RE Calculations'!$B$12:$B$16,'RE Calculations'!$C$12:$C$16,"ERROR - Check Input")/12,0)</f>
        <v>0</v>
      </c>
      <c r="D462" s="142">
        <f t="shared" si="54"/>
        <v>0</v>
      </c>
      <c r="E462" s="142">
        <f>IFERROR(-IPMT($C$8,B462,$C$9*12,$C$6)+$C$10*_xlfn.XLOOKUP($D$10,'RE Calculations'!$B$12:$B$16,'RE Calculations'!$C$12:$C$16,"ERROR - Check Input")/12,0)</f>
        <v>0</v>
      </c>
      <c r="F462" s="142">
        <f t="shared" si="55"/>
        <v>0</v>
      </c>
      <c r="I462" s="12">
        <v>440</v>
      </c>
      <c r="J462" s="142">
        <f>IF(M461&gt;0.01,IF(I462&lt;=($J$9*12),$J$15,-PMT($J$11,($J$12-$J$9)*12,$J$6)+$J$13*_xlfn.XLOOKUP($K$13,'RE Calculations'!$B$12:$B$16,'RE Calculations'!$C$12:$C$16,"ERROR - Check Input")/12),0)</f>
        <v>0</v>
      </c>
      <c r="K462" s="142">
        <f t="shared" si="48"/>
        <v>0</v>
      </c>
      <c r="L462" s="142">
        <f>IF(I462&lt;=($J$9*12),$J$15,IFERROR(-IPMT($J$11,I462-$J$9*12,($J$12-$J$9)*12,$J$6)+$J$13*_xlfn.XLOOKUP($K$13,'RE Calculations'!$B$12:$B$16,'RE Calculations'!$C$12:$C$16,"ERROR - Check Input")/12,0))</f>
        <v>0</v>
      </c>
      <c r="M462" s="142">
        <f t="shared" si="49"/>
        <v>0</v>
      </c>
      <c r="P462" s="12">
        <v>440</v>
      </c>
      <c r="Q462" s="142">
        <f>IF(T461&gt;0.01,-PMT($Q$8,$Q$9*12,$Q$6)+$Q$10*_xlfn.XLOOKUP($R$10,'RE Calculations'!$B$12:$B$16,'RE Calculations'!$C$12:$C$16,"ERROR - Check Input")/12,0)</f>
        <v>0</v>
      </c>
      <c r="R462" s="142">
        <f t="shared" si="50"/>
        <v>0</v>
      </c>
      <c r="S462" s="142">
        <f>IFERROR(-IPMT($Q$8,P462,$Q$9*12,$Q$6)+$Q$10*_xlfn.XLOOKUP($R$10,'RE Calculations'!$B$12:$B$16,'RE Calculations'!$C$12:$C$16,"ERROR - Check Input")/12,0)</f>
        <v>0</v>
      </c>
      <c r="T462" s="142">
        <f t="shared" si="51"/>
        <v>0</v>
      </c>
      <c r="W462" s="12">
        <v>440</v>
      </c>
      <c r="X462" s="142">
        <f>IF(AA461&gt;0.01,IF(W462&lt;=($X$9*12),$X$15,-PMT($X$11,($X$12-$X$9)*12,$X$6)+$X$13*_xlfn.XLOOKUP($Y$13,'RE Calculations'!$B$12:$B$16,'RE Calculations'!$C$12:$C$16,"ERROR - Check Input")/12),0)</f>
        <v>0</v>
      </c>
      <c r="Y462" s="142">
        <f t="shared" si="52"/>
        <v>0</v>
      </c>
      <c r="Z462" s="142">
        <f>IF(W462&lt;=($X$9*12),$X$15,IFERROR(-IPMT($X$11,W462-$X$9*12,($X$12-$X$9)*12,$X$6)+$X$13*_xlfn.XLOOKUP($Y$13,'RE Calculations'!$B$12:$B$16,'RE Calculations'!$C$12:$C$16,"ERROR - Check Input")/12,0))</f>
        <v>0</v>
      </c>
      <c r="AA462" s="142">
        <f t="shared" si="53"/>
        <v>0</v>
      </c>
    </row>
    <row r="463" spans="2:27" x14ac:dyDescent="0.35">
      <c r="B463" s="12">
        <v>441</v>
      </c>
      <c r="C463" s="142">
        <f>IF(F462&gt;0.01,-PMT($C$8,$C$9*12,$C$6)+$C$10*_xlfn.XLOOKUP($D$10,'RE Calculations'!$B$12:$B$16,'RE Calculations'!$C$12:$C$16,"ERROR - Check Input")/12,0)</f>
        <v>0</v>
      </c>
      <c r="D463" s="142">
        <f t="shared" si="54"/>
        <v>0</v>
      </c>
      <c r="E463" s="142">
        <f>IFERROR(-IPMT($C$8,B463,$C$9*12,$C$6)+$C$10*_xlfn.XLOOKUP($D$10,'RE Calculations'!$B$12:$B$16,'RE Calculations'!$C$12:$C$16,"ERROR - Check Input")/12,0)</f>
        <v>0</v>
      </c>
      <c r="F463" s="142">
        <f t="shared" si="55"/>
        <v>0</v>
      </c>
      <c r="I463" s="12">
        <v>441</v>
      </c>
      <c r="J463" s="142">
        <f>IF(M462&gt;0.01,IF(I463&lt;=($J$9*12),$J$15,-PMT($J$11,($J$12-$J$9)*12,$J$6)+$J$13*_xlfn.XLOOKUP($K$13,'RE Calculations'!$B$12:$B$16,'RE Calculations'!$C$12:$C$16,"ERROR - Check Input")/12),0)</f>
        <v>0</v>
      </c>
      <c r="K463" s="142">
        <f t="shared" si="48"/>
        <v>0</v>
      </c>
      <c r="L463" s="142">
        <f>IF(I463&lt;=($J$9*12),$J$15,IFERROR(-IPMT($J$11,I463-$J$9*12,($J$12-$J$9)*12,$J$6)+$J$13*_xlfn.XLOOKUP($K$13,'RE Calculations'!$B$12:$B$16,'RE Calculations'!$C$12:$C$16,"ERROR - Check Input")/12,0))</f>
        <v>0</v>
      </c>
      <c r="M463" s="142">
        <f t="shared" si="49"/>
        <v>0</v>
      </c>
      <c r="P463" s="12">
        <v>441</v>
      </c>
      <c r="Q463" s="142">
        <f>IF(T462&gt;0.01,-PMT($Q$8,$Q$9*12,$Q$6)+$Q$10*_xlfn.XLOOKUP($R$10,'RE Calculations'!$B$12:$B$16,'RE Calculations'!$C$12:$C$16,"ERROR - Check Input")/12,0)</f>
        <v>0</v>
      </c>
      <c r="R463" s="142">
        <f t="shared" si="50"/>
        <v>0</v>
      </c>
      <c r="S463" s="142">
        <f>IFERROR(-IPMT($Q$8,P463,$Q$9*12,$Q$6)+$Q$10*_xlfn.XLOOKUP($R$10,'RE Calculations'!$B$12:$B$16,'RE Calculations'!$C$12:$C$16,"ERROR - Check Input")/12,0)</f>
        <v>0</v>
      </c>
      <c r="T463" s="142">
        <f t="shared" si="51"/>
        <v>0</v>
      </c>
      <c r="W463" s="12">
        <v>441</v>
      </c>
      <c r="X463" s="142">
        <f>IF(AA462&gt;0.01,IF(W463&lt;=($X$9*12),$X$15,-PMT($X$11,($X$12-$X$9)*12,$X$6)+$X$13*_xlfn.XLOOKUP($Y$13,'RE Calculations'!$B$12:$B$16,'RE Calculations'!$C$12:$C$16,"ERROR - Check Input")/12),0)</f>
        <v>0</v>
      </c>
      <c r="Y463" s="142">
        <f t="shared" si="52"/>
        <v>0</v>
      </c>
      <c r="Z463" s="142">
        <f>IF(W463&lt;=($X$9*12),$X$15,IFERROR(-IPMT($X$11,W463-$X$9*12,($X$12-$X$9)*12,$X$6)+$X$13*_xlfn.XLOOKUP($Y$13,'RE Calculations'!$B$12:$B$16,'RE Calculations'!$C$12:$C$16,"ERROR - Check Input")/12,0))</f>
        <v>0</v>
      </c>
      <c r="AA463" s="142">
        <f t="shared" si="53"/>
        <v>0</v>
      </c>
    </row>
    <row r="464" spans="2:27" x14ac:dyDescent="0.35">
      <c r="B464" s="12">
        <v>442</v>
      </c>
      <c r="C464" s="142">
        <f>IF(F463&gt;0.01,-PMT($C$8,$C$9*12,$C$6)+$C$10*_xlfn.XLOOKUP($D$10,'RE Calculations'!$B$12:$B$16,'RE Calculations'!$C$12:$C$16,"ERROR - Check Input")/12,0)</f>
        <v>0</v>
      </c>
      <c r="D464" s="142">
        <f t="shared" si="54"/>
        <v>0</v>
      </c>
      <c r="E464" s="142">
        <f>IFERROR(-IPMT($C$8,B464,$C$9*12,$C$6)+$C$10*_xlfn.XLOOKUP($D$10,'RE Calculations'!$B$12:$B$16,'RE Calculations'!$C$12:$C$16,"ERROR - Check Input")/12,0)</f>
        <v>0</v>
      </c>
      <c r="F464" s="142">
        <f t="shared" si="55"/>
        <v>0</v>
      </c>
      <c r="I464" s="12">
        <v>442</v>
      </c>
      <c r="J464" s="142">
        <f>IF(M463&gt;0.01,IF(I464&lt;=($J$9*12),$J$15,-PMT($J$11,($J$12-$J$9)*12,$J$6)+$J$13*_xlfn.XLOOKUP($K$13,'RE Calculations'!$B$12:$B$16,'RE Calculations'!$C$12:$C$16,"ERROR - Check Input")/12),0)</f>
        <v>0</v>
      </c>
      <c r="K464" s="142">
        <f t="shared" si="48"/>
        <v>0</v>
      </c>
      <c r="L464" s="142">
        <f>IF(I464&lt;=($J$9*12),$J$15,IFERROR(-IPMT($J$11,I464-$J$9*12,($J$12-$J$9)*12,$J$6)+$J$13*_xlfn.XLOOKUP($K$13,'RE Calculations'!$B$12:$B$16,'RE Calculations'!$C$12:$C$16,"ERROR - Check Input")/12,0))</f>
        <v>0</v>
      </c>
      <c r="M464" s="142">
        <f t="shared" si="49"/>
        <v>0</v>
      </c>
      <c r="P464" s="12">
        <v>442</v>
      </c>
      <c r="Q464" s="142">
        <f>IF(T463&gt;0.01,-PMT($Q$8,$Q$9*12,$Q$6)+$Q$10*_xlfn.XLOOKUP($R$10,'RE Calculations'!$B$12:$B$16,'RE Calculations'!$C$12:$C$16,"ERROR - Check Input")/12,0)</f>
        <v>0</v>
      </c>
      <c r="R464" s="142">
        <f t="shared" si="50"/>
        <v>0</v>
      </c>
      <c r="S464" s="142">
        <f>IFERROR(-IPMT($Q$8,P464,$Q$9*12,$Q$6)+$Q$10*_xlfn.XLOOKUP($R$10,'RE Calculations'!$B$12:$B$16,'RE Calculations'!$C$12:$C$16,"ERROR - Check Input")/12,0)</f>
        <v>0</v>
      </c>
      <c r="T464" s="142">
        <f t="shared" si="51"/>
        <v>0</v>
      </c>
      <c r="W464" s="12">
        <v>442</v>
      </c>
      <c r="X464" s="142">
        <f>IF(AA463&gt;0.01,IF(W464&lt;=($X$9*12),$X$15,-PMT($X$11,($X$12-$X$9)*12,$X$6)+$X$13*_xlfn.XLOOKUP($Y$13,'RE Calculations'!$B$12:$B$16,'RE Calculations'!$C$12:$C$16,"ERROR - Check Input")/12),0)</f>
        <v>0</v>
      </c>
      <c r="Y464" s="142">
        <f t="shared" si="52"/>
        <v>0</v>
      </c>
      <c r="Z464" s="142">
        <f>IF(W464&lt;=($X$9*12),$X$15,IFERROR(-IPMT($X$11,W464-$X$9*12,($X$12-$X$9)*12,$X$6)+$X$13*_xlfn.XLOOKUP($Y$13,'RE Calculations'!$B$12:$B$16,'RE Calculations'!$C$12:$C$16,"ERROR - Check Input")/12,0))</f>
        <v>0</v>
      </c>
      <c r="AA464" s="142">
        <f t="shared" si="53"/>
        <v>0</v>
      </c>
    </row>
    <row r="465" spans="2:27" x14ac:dyDescent="0.35">
      <c r="B465" s="12">
        <v>443</v>
      </c>
      <c r="C465" s="142">
        <f>IF(F464&gt;0.01,-PMT($C$8,$C$9*12,$C$6)+$C$10*_xlfn.XLOOKUP($D$10,'RE Calculations'!$B$12:$B$16,'RE Calculations'!$C$12:$C$16,"ERROR - Check Input")/12,0)</f>
        <v>0</v>
      </c>
      <c r="D465" s="142">
        <f t="shared" si="54"/>
        <v>0</v>
      </c>
      <c r="E465" s="142">
        <f>IFERROR(-IPMT($C$8,B465,$C$9*12,$C$6)+$C$10*_xlfn.XLOOKUP($D$10,'RE Calculations'!$B$12:$B$16,'RE Calculations'!$C$12:$C$16,"ERROR - Check Input")/12,0)</f>
        <v>0</v>
      </c>
      <c r="F465" s="142">
        <f t="shared" si="55"/>
        <v>0</v>
      </c>
      <c r="I465" s="12">
        <v>443</v>
      </c>
      <c r="J465" s="142">
        <f>IF(M464&gt;0.01,IF(I465&lt;=($J$9*12),$J$15,-PMT($J$11,($J$12-$J$9)*12,$J$6)+$J$13*_xlfn.XLOOKUP($K$13,'RE Calculations'!$B$12:$B$16,'RE Calculations'!$C$12:$C$16,"ERROR - Check Input")/12),0)</f>
        <v>0</v>
      </c>
      <c r="K465" s="142">
        <f t="shared" si="48"/>
        <v>0</v>
      </c>
      <c r="L465" s="142">
        <f>IF(I465&lt;=($J$9*12),$J$15,IFERROR(-IPMT($J$11,I465-$J$9*12,($J$12-$J$9)*12,$J$6)+$J$13*_xlfn.XLOOKUP($K$13,'RE Calculations'!$B$12:$B$16,'RE Calculations'!$C$12:$C$16,"ERROR - Check Input")/12,0))</f>
        <v>0</v>
      </c>
      <c r="M465" s="142">
        <f t="shared" si="49"/>
        <v>0</v>
      </c>
      <c r="P465" s="12">
        <v>443</v>
      </c>
      <c r="Q465" s="142">
        <f>IF(T464&gt;0.01,-PMT($Q$8,$Q$9*12,$Q$6)+$Q$10*_xlfn.XLOOKUP($R$10,'RE Calculations'!$B$12:$B$16,'RE Calculations'!$C$12:$C$16,"ERROR - Check Input")/12,0)</f>
        <v>0</v>
      </c>
      <c r="R465" s="142">
        <f t="shared" si="50"/>
        <v>0</v>
      </c>
      <c r="S465" s="142">
        <f>IFERROR(-IPMT($Q$8,P465,$Q$9*12,$Q$6)+$Q$10*_xlfn.XLOOKUP($R$10,'RE Calculations'!$B$12:$B$16,'RE Calculations'!$C$12:$C$16,"ERROR - Check Input")/12,0)</f>
        <v>0</v>
      </c>
      <c r="T465" s="142">
        <f t="shared" si="51"/>
        <v>0</v>
      </c>
      <c r="W465" s="12">
        <v>443</v>
      </c>
      <c r="X465" s="142">
        <f>IF(AA464&gt;0.01,IF(W465&lt;=($X$9*12),$X$15,-PMT($X$11,($X$12-$X$9)*12,$X$6)+$X$13*_xlfn.XLOOKUP($Y$13,'RE Calculations'!$B$12:$B$16,'RE Calculations'!$C$12:$C$16,"ERROR - Check Input")/12),0)</f>
        <v>0</v>
      </c>
      <c r="Y465" s="142">
        <f t="shared" si="52"/>
        <v>0</v>
      </c>
      <c r="Z465" s="142">
        <f>IF(W465&lt;=($X$9*12),$X$15,IFERROR(-IPMT($X$11,W465-$X$9*12,($X$12-$X$9)*12,$X$6)+$X$13*_xlfn.XLOOKUP($Y$13,'RE Calculations'!$B$12:$B$16,'RE Calculations'!$C$12:$C$16,"ERROR - Check Input")/12,0))</f>
        <v>0</v>
      </c>
      <c r="AA465" s="142">
        <f t="shared" si="53"/>
        <v>0</v>
      </c>
    </row>
    <row r="466" spans="2:27" x14ac:dyDescent="0.35">
      <c r="B466" s="12">
        <v>444</v>
      </c>
      <c r="C466" s="142">
        <f>IF(F465&gt;0.01,-PMT($C$8,$C$9*12,$C$6)+$C$10*_xlfn.XLOOKUP($D$10,'RE Calculations'!$B$12:$B$16,'RE Calculations'!$C$12:$C$16,"ERROR - Check Input")/12,0)</f>
        <v>0</v>
      </c>
      <c r="D466" s="142">
        <f t="shared" si="54"/>
        <v>0</v>
      </c>
      <c r="E466" s="142">
        <f>IFERROR(-IPMT($C$8,B466,$C$9*12,$C$6)+$C$10*_xlfn.XLOOKUP($D$10,'RE Calculations'!$B$12:$B$16,'RE Calculations'!$C$12:$C$16,"ERROR - Check Input")/12,0)</f>
        <v>0</v>
      </c>
      <c r="F466" s="142">
        <f t="shared" si="55"/>
        <v>0</v>
      </c>
      <c r="I466" s="12">
        <v>444</v>
      </c>
      <c r="J466" s="142">
        <f>IF(M465&gt;0.01,IF(I466&lt;=($J$9*12),$J$15,-PMT($J$11,($J$12-$J$9)*12,$J$6)+$J$13*_xlfn.XLOOKUP($K$13,'RE Calculations'!$B$12:$B$16,'RE Calculations'!$C$12:$C$16,"ERROR - Check Input")/12),0)</f>
        <v>0</v>
      </c>
      <c r="K466" s="142">
        <f t="shared" si="48"/>
        <v>0</v>
      </c>
      <c r="L466" s="142">
        <f>IF(I466&lt;=($J$9*12),$J$15,IFERROR(-IPMT($J$11,I466-$J$9*12,($J$12-$J$9)*12,$J$6)+$J$13*_xlfn.XLOOKUP($K$13,'RE Calculations'!$B$12:$B$16,'RE Calculations'!$C$12:$C$16,"ERROR - Check Input")/12,0))</f>
        <v>0</v>
      </c>
      <c r="M466" s="142">
        <f t="shared" si="49"/>
        <v>0</v>
      </c>
      <c r="P466" s="12">
        <v>444</v>
      </c>
      <c r="Q466" s="142">
        <f>IF(T465&gt;0.01,-PMT($Q$8,$Q$9*12,$Q$6)+$Q$10*_xlfn.XLOOKUP($R$10,'RE Calculations'!$B$12:$B$16,'RE Calculations'!$C$12:$C$16,"ERROR - Check Input")/12,0)</f>
        <v>0</v>
      </c>
      <c r="R466" s="142">
        <f t="shared" si="50"/>
        <v>0</v>
      </c>
      <c r="S466" s="142">
        <f>IFERROR(-IPMT($Q$8,P466,$Q$9*12,$Q$6)+$Q$10*_xlfn.XLOOKUP($R$10,'RE Calculations'!$B$12:$B$16,'RE Calculations'!$C$12:$C$16,"ERROR - Check Input")/12,0)</f>
        <v>0</v>
      </c>
      <c r="T466" s="142">
        <f t="shared" si="51"/>
        <v>0</v>
      </c>
      <c r="W466" s="12">
        <v>444</v>
      </c>
      <c r="X466" s="142">
        <f>IF(AA465&gt;0.01,IF(W466&lt;=($X$9*12),$X$15,-PMT($X$11,($X$12-$X$9)*12,$X$6)+$X$13*_xlfn.XLOOKUP($Y$13,'RE Calculations'!$B$12:$B$16,'RE Calculations'!$C$12:$C$16,"ERROR - Check Input")/12),0)</f>
        <v>0</v>
      </c>
      <c r="Y466" s="142">
        <f t="shared" si="52"/>
        <v>0</v>
      </c>
      <c r="Z466" s="142">
        <f>IF(W466&lt;=($X$9*12),$X$15,IFERROR(-IPMT($X$11,W466-$X$9*12,($X$12-$X$9)*12,$X$6)+$X$13*_xlfn.XLOOKUP($Y$13,'RE Calculations'!$B$12:$B$16,'RE Calculations'!$C$12:$C$16,"ERROR - Check Input")/12,0))</f>
        <v>0</v>
      </c>
      <c r="AA466" s="142">
        <f t="shared" si="53"/>
        <v>0</v>
      </c>
    </row>
    <row r="467" spans="2:27" x14ac:dyDescent="0.35">
      <c r="B467" s="12">
        <v>445</v>
      </c>
      <c r="C467" s="142">
        <f>IF(F466&gt;0.01,-PMT($C$8,$C$9*12,$C$6)+$C$10*_xlfn.XLOOKUP($D$10,'RE Calculations'!$B$12:$B$16,'RE Calculations'!$C$12:$C$16,"ERROR - Check Input")/12,0)</f>
        <v>0</v>
      </c>
      <c r="D467" s="142">
        <f t="shared" si="54"/>
        <v>0</v>
      </c>
      <c r="E467" s="142">
        <f>IFERROR(-IPMT($C$8,B467,$C$9*12,$C$6)+$C$10*_xlfn.XLOOKUP($D$10,'RE Calculations'!$B$12:$B$16,'RE Calculations'!$C$12:$C$16,"ERROR - Check Input")/12,0)</f>
        <v>0</v>
      </c>
      <c r="F467" s="142">
        <f t="shared" si="55"/>
        <v>0</v>
      </c>
      <c r="I467" s="12">
        <v>445</v>
      </c>
      <c r="J467" s="142">
        <f>IF(M466&gt;0.01,IF(I467&lt;=($J$9*12),$J$15,-PMT($J$11,($J$12-$J$9)*12,$J$6)+$J$13*_xlfn.XLOOKUP($K$13,'RE Calculations'!$B$12:$B$16,'RE Calculations'!$C$12:$C$16,"ERROR - Check Input")/12),0)</f>
        <v>0</v>
      </c>
      <c r="K467" s="142">
        <f t="shared" si="48"/>
        <v>0</v>
      </c>
      <c r="L467" s="142">
        <f>IF(I467&lt;=($J$9*12),$J$15,IFERROR(-IPMT($J$11,I467-$J$9*12,($J$12-$J$9)*12,$J$6)+$J$13*_xlfn.XLOOKUP($K$13,'RE Calculations'!$B$12:$B$16,'RE Calculations'!$C$12:$C$16,"ERROR - Check Input")/12,0))</f>
        <v>0</v>
      </c>
      <c r="M467" s="142">
        <f t="shared" si="49"/>
        <v>0</v>
      </c>
      <c r="P467" s="12">
        <v>445</v>
      </c>
      <c r="Q467" s="142">
        <f>IF(T466&gt;0.01,-PMT($Q$8,$Q$9*12,$Q$6)+$Q$10*_xlfn.XLOOKUP($R$10,'RE Calculations'!$B$12:$B$16,'RE Calculations'!$C$12:$C$16,"ERROR - Check Input")/12,0)</f>
        <v>0</v>
      </c>
      <c r="R467" s="142">
        <f t="shared" si="50"/>
        <v>0</v>
      </c>
      <c r="S467" s="142">
        <f>IFERROR(-IPMT($Q$8,P467,$Q$9*12,$Q$6)+$Q$10*_xlfn.XLOOKUP($R$10,'RE Calculations'!$B$12:$B$16,'RE Calculations'!$C$12:$C$16,"ERROR - Check Input")/12,0)</f>
        <v>0</v>
      </c>
      <c r="T467" s="142">
        <f t="shared" si="51"/>
        <v>0</v>
      </c>
      <c r="W467" s="12">
        <v>445</v>
      </c>
      <c r="X467" s="142">
        <f>IF(AA466&gt;0.01,IF(W467&lt;=($X$9*12),$X$15,-PMT($X$11,($X$12-$X$9)*12,$X$6)+$X$13*_xlfn.XLOOKUP($Y$13,'RE Calculations'!$B$12:$B$16,'RE Calculations'!$C$12:$C$16,"ERROR - Check Input")/12),0)</f>
        <v>0</v>
      </c>
      <c r="Y467" s="142">
        <f t="shared" si="52"/>
        <v>0</v>
      </c>
      <c r="Z467" s="142">
        <f>IF(W467&lt;=($X$9*12),$X$15,IFERROR(-IPMT($X$11,W467-$X$9*12,($X$12-$X$9)*12,$X$6)+$X$13*_xlfn.XLOOKUP($Y$13,'RE Calculations'!$B$12:$B$16,'RE Calculations'!$C$12:$C$16,"ERROR - Check Input")/12,0))</f>
        <v>0</v>
      </c>
      <c r="AA467" s="142">
        <f t="shared" si="53"/>
        <v>0</v>
      </c>
    </row>
    <row r="468" spans="2:27" x14ac:dyDescent="0.35">
      <c r="B468" s="12">
        <v>446</v>
      </c>
      <c r="C468" s="142">
        <f>IF(F467&gt;0.01,-PMT($C$8,$C$9*12,$C$6)+$C$10*_xlfn.XLOOKUP($D$10,'RE Calculations'!$B$12:$B$16,'RE Calculations'!$C$12:$C$16,"ERROR - Check Input")/12,0)</f>
        <v>0</v>
      </c>
      <c r="D468" s="142">
        <f t="shared" si="54"/>
        <v>0</v>
      </c>
      <c r="E468" s="142">
        <f>IFERROR(-IPMT($C$8,B468,$C$9*12,$C$6)+$C$10*_xlfn.XLOOKUP($D$10,'RE Calculations'!$B$12:$B$16,'RE Calculations'!$C$12:$C$16,"ERROR - Check Input")/12,0)</f>
        <v>0</v>
      </c>
      <c r="F468" s="142">
        <f t="shared" si="55"/>
        <v>0</v>
      </c>
      <c r="I468" s="12">
        <v>446</v>
      </c>
      <c r="J468" s="142">
        <f>IF(M467&gt;0.01,IF(I468&lt;=($J$9*12),$J$15,-PMT($J$11,($J$12-$J$9)*12,$J$6)+$J$13*_xlfn.XLOOKUP($K$13,'RE Calculations'!$B$12:$B$16,'RE Calculations'!$C$12:$C$16,"ERROR - Check Input")/12),0)</f>
        <v>0</v>
      </c>
      <c r="K468" s="142">
        <f t="shared" si="48"/>
        <v>0</v>
      </c>
      <c r="L468" s="142">
        <f>IF(I468&lt;=($J$9*12),$J$15,IFERROR(-IPMT($J$11,I468-$J$9*12,($J$12-$J$9)*12,$J$6)+$J$13*_xlfn.XLOOKUP($K$13,'RE Calculations'!$B$12:$B$16,'RE Calculations'!$C$12:$C$16,"ERROR - Check Input")/12,0))</f>
        <v>0</v>
      </c>
      <c r="M468" s="142">
        <f t="shared" si="49"/>
        <v>0</v>
      </c>
      <c r="P468" s="12">
        <v>446</v>
      </c>
      <c r="Q468" s="142">
        <f>IF(T467&gt;0.01,-PMT($Q$8,$Q$9*12,$Q$6)+$Q$10*_xlfn.XLOOKUP($R$10,'RE Calculations'!$B$12:$B$16,'RE Calculations'!$C$12:$C$16,"ERROR - Check Input")/12,0)</f>
        <v>0</v>
      </c>
      <c r="R468" s="142">
        <f t="shared" si="50"/>
        <v>0</v>
      </c>
      <c r="S468" s="142">
        <f>IFERROR(-IPMT($Q$8,P468,$Q$9*12,$Q$6)+$Q$10*_xlfn.XLOOKUP($R$10,'RE Calculations'!$B$12:$B$16,'RE Calculations'!$C$12:$C$16,"ERROR - Check Input")/12,0)</f>
        <v>0</v>
      </c>
      <c r="T468" s="142">
        <f t="shared" si="51"/>
        <v>0</v>
      </c>
      <c r="W468" s="12">
        <v>446</v>
      </c>
      <c r="X468" s="142">
        <f>IF(AA467&gt;0.01,IF(W468&lt;=($X$9*12),$X$15,-PMT($X$11,($X$12-$X$9)*12,$X$6)+$X$13*_xlfn.XLOOKUP($Y$13,'RE Calculations'!$B$12:$B$16,'RE Calculations'!$C$12:$C$16,"ERROR - Check Input")/12),0)</f>
        <v>0</v>
      </c>
      <c r="Y468" s="142">
        <f t="shared" si="52"/>
        <v>0</v>
      </c>
      <c r="Z468" s="142">
        <f>IF(W468&lt;=($X$9*12),$X$15,IFERROR(-IPMT($X$11,W468-$X$9*12,($X$12-$X$9)*12,$X$6)+$X$13*_xlfn.XLOOKUP($Y$13,'RE Calculations'!$B$12:$B$16,'RE Calculations'!$C$12:$C$16,"ERROR - Check Input")/12,0))</f>
        <v>0</v>
      </c>
      <c r="AA468" s="142">
        <f t="shared" si="53"/>
        <v>0</v>
      </c>
    </row>
    <row r="469" spans="2:27" x14ac:dyDescent="0.35">
      <c r="B469" s="12">
        <v>447</v>
      </c>
      <c r="C469" s="142">
        <f>IF(F468&gt;0.01,-PMT($C$8,$C$9*12,$C$6)+$C$10*_xlfn.XLOOKUP($D$10,'RE Calculations'!$B$12:$B$16,'RE Calculations'!$C$12:$C$16,"ERROR - Check Input")/12,0)</f>
        <v>0</v>
      </c>
      <c r="D469" s="142">
        <f t="shared" si="54"/>
        <v>0</v>
      </c>
      <c r="E469" s="142">
        <f>IFERROR(-IPMT($C$8,B469,$C$9*12,$C$6)+$C$10*_xlfn.XLOOKUP($D$10,'RE Calculations'!$B$12:$B$16,'RE Calculations'!$C$12:$C$16,"ERROR - Check Input")/12,0)</f>
        <v>0</v>
      </c>
      <c r="F469" s="142">
        <f t="shared" si="55"/>
        <v>0</v>
      </c>
      <c r="I469" s="12">
        <v>447</v>
      </c>
      <c r="J469" s="142">
        <f>IF(M468&gt;0.01,IF(I469&lt;=($J$9*12),$J$15,-PMT($J$11,($J$12-$J$9)*12,$J$6)+$J$13*_xlfn.XLOOKUP($K$13,'RE Calculations'!$B$12:$B$16,'RE Calculations'!$C$12:$C$16,"ERROR - Check Input")/12),0)</f>
        <v>0</v>
      </c>
      <c r="K469" s="142">
        <f t="shared" si="48"/>
        <v>0</v>
      </c>
      <c r="L469" s="142">
        <f>IF(I469&lt;=($J$9*12),$J$15,IFERROR(-IPMT($J$11,I469-$J$9*12,($J$12-$J$9)*12,$J$6)+$J$13*_xlfn.XLOOKUP($K$13,'RE Calculations'!$B$12:$B$16,'RE Calculations'!$C$12:$C$16,"ERROR - Check Input")/12,0))</f>
        <v>0</v>
      </c>
      <c r="M469" s="142">
        <f t="shared" si="49"/>
        <v>0</v>
      </c>
      <c r="P469" s="12">
        <v>447</v>
      </c>
      <c r="Q469" s="142">
        <f>IF(T468&gt;0.01,-PMT($Q$8,$Q$9*12,$Q$6)+$Q$10*_xlfn.XLOOKUP($R$10,'RE Calculations'!$B$12:$B$16,'RE Calculations'!$C$12:$C$16,"ERROR - Check Input")/12,0)</f>
        <v>0</v>
      </c>
      <c r="R469" s="142">
        <f t="shared" si="50"/>
        <v>0</v>
      </c>
      <c r="S469" s="142">
        <f>IFERROR(-IPMT($Q$8,P469,$Q$9*12,$Q$6)+$Q$10*_xlfn.XLOOKUP($R$10,'RE Calculations'!$B$12:$B$16,'RE Calculations'!$C$12:$C$16,"ERROR - Check Input")/12,0)</f>
        <v>0</v>
      </c>
      <c r="T469" s="142">
        <f t="shared" si="51"/>
        <v>0</v>
      </c>
      <c r="W469" s="12">
        <v>447</v>
      </c>
      <c r="X469" s="142">
        <f>IF(AA468&gt;0.01,IF(W469&lt;=($X$9*12),$X$15,-PMT($X$11,($X$12-$X$9)*12,$X$6)+$X$13*_xlfn.XLOOKUP($Y$13,'RE Calculations'!$B$12:$B$16,'RE Calculations'!$C$12:$C$16,"ERROR - Check Input")/12),0)</f>
        <v>0</v>
      </c>
      <c r="Y469" s="142">
        <f t="shared" si="52"/>
        <v>0</v>
      </c>
      <c r="Z469" s="142">
        <f>IF(W469&lt;=($X$9*12),$X$15,IFERROR(-IPMT($X$11,W469-$X$9*12,($X$12-$X$9)*12,$X$6)+$X$13*_xlfn.XLOOKUP($Y$13,'RE Calculations'!$B$12:$B$16,'RE Calculations'!$C$12:$C$16,"ERROR - Check Input")/12,0))</f>
        <v>0</v>
      </c>
      <c r="AA469" s="142">
        <f t="shared" si="53"/>
        <v>0</v>
      </c>
    </row>
    <row r="470" spans="2:27" x14ac:dyDescent="0.35">
      <c r="B470" s="12">
        <v>448</v>
      </c>
      <c r="C470" s="142">
        <f>IF(F469&gt;0.01,-PMT($C$8,$C$9*12,$C$6)+$C$10*_xlfn.XLOOKUP($D$10,'RE Calculations'!$B$12:$B$16,'RE Calculations'!$C$12:$C$16,"ERROR - Check Input")/12,0)</f>
        <v>0</v>
      </c>
      <c r="D470" s="142">
        <f t="shared" si="54"/>
        <v>0</v>
      </c>
      <c r="E470" s="142">
        <f>IFERROR(-IPMT($C$8,B470,$C$9*12,$C$6)+$C$10*_xlfn.XLOOKUP($D$10,'RE Calculations'!$B$12:$B$16,'RE Calculations'!$C$12:$C$16,"ERROR - Check Input")/12,0)</f>
        <v>0</v>
      </c>
      <c r="F470" s="142">
        <f t="shared" si="55"/>
        <v>0</v>
      </c>
      <c r="I470" s="12">
        <v>448</v>
      </c>
      <c r="J470" s="142">
        <f>IF(M469&gt;0.01,IF(I470&lt;=($J$9*12),$J$15,-PMT($J$11,($J$12-$J$9)*12,$J$6)+$J$13*_xlfn.XLOOKUP($K$13,'RE Calculations'!$B$12:$B$16,'RE Calculations'!$C$12:$C$16,"ERROR - Check Input")/12),0)</f>
        <v>0</v>
      </c>
      <c r="K470" s="142">
        <f t="shared" si="48"/>
        <v>0</v>
      </c>
      <c r="L470" s="142">
        <f>IF(I470&lt;=($J$9*12),$J$15,IFERROR(-IPMT($J$11,I470-$J$9*12,($J$12-$J$9)*12,$J$6)+$J$13*_xlfn.XLOOKUP($K$13,'RE Calculations'!$B$12:$B$16,'RE Calculations'!$C$12:$C$16,"ERROR - Check Input")/12,0))</f>
        <v>0</v>
      </c>
      <c r="M470" s="142">
        <f t="shared" si="49"/>
        <v>0</v>
      </c>
      <c r="P470" s="12">
        <v>448</v>
      </c>
      <c r="Q470" s="142">
        <f>IF(T469&gt;0.01,-PMT($Q$8,$Q$9*12,$Q$6)+$Q$10*_xlfn.XLOOKUP($R$10,'RE Calculations'!$B$12:$B$16,'RE Calculations'!$C$12:$C$16,"ERROR - Check Input")/12,0)</f>
        <v>0</v>
      </c>
      <c r="R470" s="142">
        <f t="shared" si="50"/>
        <v>0</v>
      </c>
      <c r="S470" s="142">
        <f>IFERROR(-IPMT($Q$8,P470,$Q$9*12,$Q$6)+$Q$10*_xlfn.XLOOKUP($R$10,'RE Calculations'!$B$12:$B$16,'RE Calculations'!$C$12:$C$16,"ERROR - Check Input")/12,0)</f>
        <v>0</v>
      </c>
      <c r="T470" s="142">
        <f t="shared" si="51"/>
        <v>0</v>
      </c>
      <c r="W470" s="12">
        <v>448</v>
      </c>
      <c r="X470" s="142">
        <f>IF(AA469&gt;0.01,IF(W470&lt;=($X$9*12),$X$15,-PMT($X$11,($X$12-$X$9)*12,$X$6)+$X$13*_xlfn.XLOOKUP($Y$13,'RE Calculations'!$B$12:$B$16,'RE Calculations'!$C$12:$C$16,"ERROR - Check Input")/12),0)</f>
        <v>0</v>
      </c>
      <c r="Y470" s="142">
        <f t="shared" si="52"/>
        <v>0</v>
      </c>
      <c r="Z470" s="142">
        <f>IF(W470&lt;=($X$9*12),$X$15,IFERROR(-IPMT($X$11,W470-$X$9*12,($X$12-$X$9)*12,$X$6)+$X$13*_xlfn.XLOOKUP($Y$13,'RE Calculations'!$B$12:$B$16,'RE Calculations'!$C$12:$C$16,"ERROR - Check Input")/12,0))</f>
        <v>0</v>
      </c>
      <c r="AA470" s="142">
        <f t="shared" si="53"/>
        <v>0</v>
      </c>
    </row>
    <row r="471" spans="2:27" x14ac:dyDescent="0.35">
      <c r="B471" s="12">
        <v>449</v>
      </c>
      <c r="C471" s="142">
        <f>IF(F470&gt;0.01,-PMT($C$8,$C$9*12,$C$6)+$C$10*_xlfn.XLOOKUP($D$10,'RE Calculations'!$B$12:$B$16,'RE Calculations'!$C$12:$C$16,"ERROR - Check Input")/12,0)</f>
        <v>0</v>
      </c>
      <c r="D471" s="142">
        <f t="shared" si="54"/>
        <v>0</v>
      </c>
      <c r="E471" s="142">
        <f>IFERROR(-IPMT($C$8,B471,$C$9*12,$C$6)+$C$10*_xlfn.XLOOKUP($D$10,'RE Calculations'!$B$12:$B$16,'RE Calculations'!$C$12:$C$16,"ERROR - Check Input")/12,0)</f>
        <v>0</v>
      </c>
      <c r="F471" s="142">
        <f t="shared" si="55"/>
        <v>0</v>
      </c>
      <c r="I471" s="12">
        <v>449</v>
      </c>
      <c r="J471" s="142">
        <f>IF(M470&gt;0.01,IF(I471&lt;=($J$9*12),$J$15,-PMT($J$11,($J$12-$J$9)*12,$J$6)+$J$13*_xlfn.XLOOKUP($K$13,'RE Calculations'!$B$12:$B$16,'RE Calculations'!$C$12:$C$16,"ERROR - Check Input")/12),0)</f>
        <v>0</v>
      </c>
      <c r="K471" s="142">
        <f t="shared" ref="K471:K534" si="56">IF(I471&lt;=($J$9*12),0,IFERROR(-PPMT($J$11,I471-$J$9*12,($J$12-$J$9)*12,$J$6),0))</f>
        <v>0</v>
      </c>
      <c r="L471" s="142">
        <f>IF(I471&lt;=($J$9*12),$J$15,IFERROR(-IPMT($J$11,I471-$J$9*12,($J$12-$J$9)*12,$J$6)+$J$13*_xlfn.XLOOKUP($K$13,'RE Calculations'!$B$12:$B$16,'RE Calculations'!$C$12:$C$16,"ERROR - Check Input")/12,0))</f>
        <v>0</v>
      </c>
      <c r="M471" s="142">
        <f t="shared" ref="M471:M534" si="57">IFERROR(M470-K471,0)</f>
        <v>0</v>
      </c>
      <c r="P471" s="12">
        <v>449</v>
      </c>
      <c r="Q471" s="142">
        <f>IF(T470&gt;0.01,-PMT($Q$8,$Q$9*12,$Q$6)+$Q$10*_xlfn.XLOOKUP($R$10,'RE Calculations'!$B$12:$B$16,'RE Calculations'!$C$12:$C$16,"ERROR - Check Input")/12,0)</f>
        <v>0</v>
      </c>
      <c r="R471" s="142">
        <f t="shared" ref="R471:R534" si="58">IFERROR(-PPMT($Q$8,P471,$Q$9*12,$Q$6),0)</f>
        <v>0</v>
      </c>
      <c r="S471" s="142">
        <f>IFERROR(-IPMT($Q$8,P471,$Q$9*12,$Q$6)+$Q$10*_xlfn.XLOOKUP($R$10,'RE Calculations'!$B$12:$B$16,'RE Calculations'!$C$12:$C$16,"ERROR - Check Input")/12,0)</f>
        <v>0</v>
      </c>
      <c r="T471" s="142">
        <f t="shared" ref="T471:T534" si="59">IFERROR(T470-R471,0)</f>
        <v>0</v>
      </c>
      <c r="W471" s="12">
        <v>449</v>
      </c>
      <c r="X471" s="142">
        <f>IF(AA470&gt;0.01,IF(W471&lt;=($X$9*12),$X$15,-PMT($X$11,($X$12-$X$9)*12,$X$6)+$X$13*_xlfn.XLOOKUP($Y$13,'RE Calculations'!$B$12:$B$16,'RE Calculations'!$C$12:$C$16,"ERROR - Check Input")/12),0)</f>
        <v>0</v>
      </c>
      <c r="Y471" s="142">
        <f t="shared" ref="Y471:Y534" si="60">IF(W471&lt;=($X$9*12),0,IFERROR(-PPMT($X$11,W471-$X$9*12,($X$12-$X$9)*12,$X$6),0))</f>
        <v>0</v>
      </c>
      <c r="Z471" s="142">
        <f>IF(W471&lt;=($X$9*12),$X$15,IFERROR(-IPMT($X$11,W471-$X$9*12,($X$12-$X$9)*12,$X$6)+$X$13*_xlfn.XLOOKUP($Y$13,'RE Calculations'!$B$12:$B$16,'RE Calculations'!$C$12:$C$16,"ERROR - Check Input")/12,0))</f>
        <v>0</v>
      </c>
      <c r="AA471" s="142">
        <f t="shared" ref="AA471:AA534" si="61">IFERROR(AA470-Y471,0)</f>
        <v>0</v>
      </c>
    </row>
    <row r="472" spans="2:27" x14ac:dyDescent="0.35">
      <c r="B472" s="12">
        <v>450</v>
      </c>
      <c r="C472" s="142">
        <f>IF(F471&gt;0.01,-PMT($C$8,$C$9*12,$C$6)+$C$10*_xlfn.XLOOKUP($D$10,'RE Calculations'!$B$12:$B$16,'RE Calculations'!$C$12:$C$16,"ERROR - Check Input")/12,0)</f>
        <v>0</v>
      </c>
      <c r="D472" s="142">
        <f t="shared" ref="D472:D535" si="62">IFERROR(-PPMT($C$8,B472,$C$9*12,$C$6),0)</f>
        <v>0</v>
      </c>
      <c r="E472" s="142">
        <f>IFERROR(-IPMT($C$8,B472,$C$9*12,$C$6)+$C$10*_xlfn.XLOOKUP($D$10,'RE Calculations'!$B$12:$B$16,'RE Calculations'!$C$12:$C$16,"ERROR - Check Input")/12,0)</f>
        <v>0</v>
      </c>
      <c r="F472" s="142">
        <f t="shared" ref="F472:F535" si="63">IFERROR(F471-D472,0)</f>
        <v>0</v>
      </c>
      <c r="I472" s="12">
        <v>450</v>
      </c>
      <c r="J472" s="142">
        <f>IF(M471&gt;0.01,IF(I472&lt;=($J$9*12),$J$15,-PMT($J$11,($J$12-$J$9)*12,$J$6)+$J$13*_xlfn.XLOOKUP($K$13,'RE Calculations'!$B$12:$B$16,'RE Calculations'!$C$12:$C$16,"ERROR - Check Input")/12),0)</f>
        <v>0</v>
      </c>
      <c r="K472" s="142">
        <f t="shared" si="56"/>
        <v>0</v>
      </c>
      <c r="L472" s="142">
        <f>IF(I472&lt;=($J$9*12),$J$15,IFERROR(-IPMT($J$11,I472-$J$9*12,($J$12-$J$9)*12,$J$6)+$J$13*_xlfn.XLOOKUP($K$13,'RE Calculations'!$B$12:$B$16,'RE Calculations'!$C$12:$C$16,"ERROR - Check Input")/12,0))</f>
        <v>0</v>
      </c>
      <c r="M472" s="142">
        <f t="shared" si="57"/>
        <v>0</v>
      </c>
      <c r="P472" s="12">
        <v>450</v>
      </c>
      <c r="Q472" s="142">
        <f>IF(T471&gt;0.01,-PMT($Q$8,$Q$9*12,$Q$6)+$Q$10*_xlfn.XLOOKUP($R$10,'RE Calculations'!$B$12:$B$16,'RE Calculations'!$C$12:$C$16,"ERROR - Check Input")/12,0)</f>
        <v>0</v>
      </c>
      <c r="R472" s="142">
        <f t="shared" si="58"/>
        <v>0</v>
      </c>
      <c r="S472" s="142">
        <f>IFERROR(-IPMT($Q$8,P472,$Q$9*12,$Q$6)+$Q$10*_xlfn.XLOOKUP($R$10,'RE Calculations'!$B$12:$B$16,'RE Calculations'!$C$12:$C$16,"ERROR - Check Input")/12,0)</f>
        <v>0</v>
      </c>
      <c r="T472" s="142">
        <f t="shared" si="59"/>
        <v>0</v>
      </c>
      <c r="W472" s="12">
        <v>450</v>
      </c>
      <c r="X472" s="142">
        <f>IF(AA471&gt;0.01,IF(W472&lt;=($X$9*12),$X$15,-PMT($X$11,($X$12-$X$9)*12,$X$6)+$X$13*_xlfn.XLOOKUP($Y$13,'RE Calculations'!$B$12:$B$16,'RE Calculations'!$C$12:$C$16,"ERROR - Check Input")/12),0)</f>
        <v>0</v>
      </c>
      <c r="Y472" s="142">
        <f t="shared" si="60"/>
        <v>0</v>
      </c>
      <c r="Z472" s="142">
        <f>IF(W472&lt;=($X$9*12),$X$15,IFERROR(-IPMT($X$11,W472-$X$9*12,($X$12-$X$9)*12,$X$6)+$X$13*_xlfn.XLOOKUP($Y$13,'RE Calculations'!$B$12:$B$16,'RE Calculations'!$C$12:$C$16,"ERROR - Check Input")/12,0))</f>
        <v>0</v>
      </c>
      <c r="AA472" s="142">
        <f t="shared" si="61"/>
        <v>0</v>
      </c>
    </row>
    <row r="473" spans="2:27" x14ac:dyDescent="0.35">
      <c r="B473" s="12">
        <v>451</v>
      </c>
      <c r="C473" s="142">
        <f>IF(F472&gt;0.01,-PMT($C$8,$C$9*12,$C$6)+$C$10*_xlfn.XLOOKUP($D$10,'RE Calculations'!$B$12:$B$16,'RE Calculations'!$C$12:$C$16,"ERROR - Check Input")/12,0)</f>
        <v>0</v>
      </c>
      <c r="D473" s="142">
        <f t="shared" si="62"/>
        <v>0</v>
      </c>
      <c r="E473" s="142">
        <f>IFERROR(-IPMT($C$8,B473,$C$9*12,$C$6)+$C$10*_xlfn.XLOOKUP($D$10,'RE Calculations'!$B$12:$B$16,'RE Calculations'!$C$12:$C$16,"ERROR - Check Input")/12,0)</f>
        <v>0</v>
      </c>
      <c r="F473" s="142">
        <f t="shared" si="63"/>
        <v>0</v>
      </c>
      <c r="I473" s="12">
        <v>451</v>
      </c>
      <c r="J473" s="142">
        <f>IF(M472&gt;0.01,IF(I473&lt;=($J$9*12),$J$15,-PMT($J$11,($J$12-$J$9)*12,$J$6)+$J$13*_xlfn.XLOOKUP($K$13,'RE Calculations'!$B$12:$B$16,'RE Calculations'!$C$12:$C$16,"ERROR - Check Input")/12),0)</f>
        <v>0</v>
      </c>
      <c r="K473" s="142">
        <f t="shared" si="56"/>
        <v>0</v>
      </c>
      <c r="L473" s="142">
        <f>IF(I473&lt;=($J$9*12),$J$15,IFERROR(-IPMT($J$11,I473-$J$9*12,($J$12-$J$9)*12,$J$6)+$J$13*_xlfn.XLOOKUP($K$13,'RE Calculations'!$B$12:$B$16,'RE Calculations'!$C$12:$C$16,"ERROR - Check Input")/12,0))</f>
        <v>0</v>
      </c>
      <c r="M473" s="142">
        <f t="shared" si="57"/>
        <v>0</v>
      </c>
      <c r="P473" s="12">
        <v>451</v>
      </c>
      <c r="Q473" s="142">
        <f>IF(T472&gt;0.01,-PMT($Q$8,$Q$9*12,$Q$6)+$Q$10*_xlfn.XLOOKUP($R$10,'RE Calculations'!$B$12:$B$16,'RE Calculations'!$C$12:$C$16,"ERROR - Check Input")/12,0)</f>
        <v>0</v>
      </c>
      <c r="R473" s="142">
        <f t="shared" si="58"/>
        <v>0</v>
      </c>
      <c r="S473" s="142">
        <f>IFERROR(-IPMT($Q$8,P473,$Q$9*12,$Q$6)+$Q$10*_xlfn.XLOOKUP($R$10,'RE Calculations'!$B$12:$B$16,'RE Calculations'!$C$12:$C$16,"ERROR - Check Input")/12,0)</f>
        <v>0</v>
      </c>
      <c r="T473" s="142">
        <f t="shared" si="59"/>
        <v>0</v>
      </c>
      <c r="W473" s="12">
        <v>451</v>
      </c>
      <c r="X473" s="142">
        <f>IF(AA472&gt;0.01,IF(W473&lt;=($X$9*12),$X$15,-PMT($X$11,($X$12-$X$9)*12,$X$6)+$X$13*_xlfn.XLOOKUP($Y$13,'RE Calculations'!$B$12:$B$16,'RE Calculations'!$C$12:$C$16,"ERROR - Check Input")/12),0)</f>
        <v>0</v>
      </c>
      <c r="Y473" s="142">
        <f t="shared" si="60"/>
        <v>0</v>
      </c>
      <c r="Z473" s="142">
        <f>IF(W473&lt;=($X$9*12),$X$15,IFERROR(-IPMT($X$11,W473-$X$9*12,($X$12-$X$9)*12,$X$6)+$X$13*_xlfn.XLOOKUP($Y$13,'RE Calculations'!$B$12:$B$16,'RE Calculations'!$C$12:$C$16,"ERROR - Check Input")/12,0))</f>
        <v>0</v>
      </c>
      <c r="AA473" s="142">
        <f t="shared" si="61"/>
        <v>0</v>
      </c>
    </row>
    <row r="474" spans="2:27" x14ac:dyDescent="0.35">
      <c r="B474" s="12">
        <v>452</v>
      </c>
      <c r="C474" s="142">
        <f>IF(F473&gt;0.01,-PMT($C$8,$C$9*12,$C$6)+$C$10*_xlfn.XLOOKUP($D$10,'RE Calculations'!$B$12:$B$16,'RE Calculations'!$C$12:$C$16,"ERROR - Check Input")/12,0)</f>
        <v>0</v>
      </c>
      <c r="D474" s="142">
        <f t="shared" si="62"/>
        <v>0</v>
      </c>
      <c r="E474" s="142">
        <f>IFERROR(-IPMT($C$8,B474,$C$9*12,$C$6)+$C$10*_xlfn.XLOOKUP($D$10,'RE Calculations'!$B$12:$B$16,'RE Calculations'!$C$12:$C$16,"ERROR - Check Input")/12,0)</f>
        <v>0</v>
      </c>
      <c r="F474" s="142">
        <f t="shared" si="63"/>
        <v>0</v>
      </c>
      <c r="I474" s="12">
        <v>452</v>
      </c>
      <c r="J474" s="142">
        <f>IF(M473&gt;0.01,IF(I474&lt;=($J$9*12),$J$15,-PMT($J$11,($J$12-$J$9)*12,$J$6)+$J$13*_xlfn.XLOOKUP($K$13,'RE Calculations'!$B$12:$B$16,'RE Calculations'!$C$12:$C$16,"ERROR - Check Input")/12),0)</f>
        <v>0</v>
      </c>
      <c r="K474" s="142">
        <f t="shared" si="56"/>
        <v>0</v>
      </c>
      <c r="L474" s="142">
        <f>IF(I474&lt;=($J$9*12),$J$15,IFERROR(-IPMT($J$11,I474-$J$9*12,($J$12-$J$9)*12,$J$6)+$J$13*_xlfn.XLOOKUP($K$13,'RE Calculations'!$B$12:$B$16,'RE Calculations'!$C$12:$C$16,"ERROR - Check Input")/12,0))</f>
        <v>0</v>
      </c>
      <c r="M474" s="142">
        <f t="shared" si="57"/>
        <v>0</v>
      </c>
      <c r="P474" s="12">
        <v>452</v>
      </c>
      <c r="Q474" s="142">
        <f>IF(T473&gt;0.01,-PMT($Q$8,$Q$9*12,$Q$6)+$Q$10*_xlfn.XLOOKUP($R$10,'RE Calculations'!$B$12:$B$16,'RE Calculations'!$C$12:$C$16,"ERROR - Check Input")/12,0)</f>
        <v>0</v>
      </c>
      <c r="R474" s="142">
        <f t="shared" si="58"/>
        <v>0</v>
      </c>
      <c r="S474" s="142">
        <f>IFERROR(-IPMT($Q$8,P474,$Q$9*12,$Q$6)+$Q$10*_xlfn.XLOOKUP($R$10,'RE Calculations'!$B$12:$B$16,'RE Calculations'!$C$12:$C$16,"ERROR - Check Input")/12,0)</f>
        <v>0</v>
      </c>
      <c r="T474" s="142">
        <f t="shared" si="59"/>
        <v>0</v>
      </c>
      <c r="W474" s="12">
        <v>452</v>
      </c>
      <c r="X474" s="142">
        <f>IF(AA473&gt;0.01,IF(W474&lt;=($X$9*12),$X$15,-PMT($X$11,($X$12-$X$9)*12,$X$6)+$X$13*_xlfn.XLOOKUP($Y$13,'RE Calculations'!$B$12:$B$16,'RE Calculations'!$C$12:$C$16,"ERROR - Check Input")/12),0)</f>
        <v>0</v>
      </c>
      <c r="Y474" s="142">
        <f t="shared" si="60"/>
        <v>0</v>
      </c>
      <c r="Z474" s="142">
        <f>IF(W474&lt;=($X$9*12),$X$15,IFERROR(-IPMT($X$11,W474-$X$9*12,($X$12-$X$9)*12,$X$6)+$X$13*_xlfn.XLOOKUP($Y$13,'RE Calculations'!$B$12:$B$16,'RE Calculations'!$C$12:$C$16,"ERROR - Check Input")/12,0))</f>
        <v>0</v>
      </c>
      <c r="AA474" s="142">
        <f t="shared" si="61"/>
        <v>0</v>
      </c>
    </row>
    <row r="475" spans="2:27" x14ac:dyDescent="0.35">
      <c r="B475" s="12">
        <v>453</v>
      </c>
      <c r="C475" s="142">
        <f>IF(F474&gt;0.01,-PMT($C$8,$C$9*12,$C$6)+$C$10*_xlfn.XLOOKUP($D$10,'RE Calculations'!$B$12:$B$16,'RE Calculations'!$C$12:$C$16,"ERROR - Check Input")/12,0)</f>
        <v>0</v>
      </c>
      <c r="D475" s="142">
        <f t="shared" si="62"/>
        <v>0</v>
      </c>
      <c r="E475" s="142">
        <f>IFERROR(-IPMT($C$8,B475,$C$9*12,$C$6)+$C$10*_xlfn.XLOOKUP($D$10,'RE Calculations'!$B$12:$B$16,'RE Calculations'!$C$12:$C$16,"ERROR - Check Input")/12,0)</f>
        <v>0</v>
      </c>
      <c r="F475" s="142">
        <f t="shared" si="63"/>
        <v>0</v>
      </c>
      <c r="I475" s="12">
        <v>453</v>
      </c>
      <c r="J475" s="142">
        <f>IF(M474&gt;0.01,IF(I475&lt;=($J$9*12),$J$15,-PMT($J$11,($J$12-$J$9)*12,$J$6)+$J$13*_xlfn.XLOOKUP($K$13,'RE Calculations'!$B$12:$B$16,'RE Calculations'!$C$12:$C$16,"ERROR - Check Input")/12),0)</f>
        <v>0</v>
      </c>
      <c r="K475" s="142">
        <f t="shared" si="56"/>
        <v>0</v>
      </c>
      <c r="L475" s="142">
        <f>IF(I475&lt;=($J$9*12),$J$15,IFERROR(-IPMT($J$11,I475-$J$9*12,($J$12-$J$9)*12,$J$6)+$J$13*_xlfn.XLOOKUP($K$13,'RE Calculations'!$B$12:$B$16,'RE Calculations'!$C$12:$C$16,"ERROR - Check Input")/12,0))</f>
        <v>0</v>
      </c>
      <c r="M475" s="142">
        <f t="shared" si="57"/>
        <v>0</v>
      </c>
      <c r="P475" s="12">
        <v>453</v>
      </c>
      <c r="Q475" s="142">
        <f>IF(T474&gt;0.01,-PMT($Q$8,$Q$9*12,$Q$6)+$Q$10*_xlfn.XLOOKUP($R$10,'RE Calculations'!$B$12:$B$16,'RE Calculations'!$C$12:$C$16,"ERROR - Check Input")/12,0)</f>
        <v>0</v>
      </c>
      <c r="R475" s="142">
        <f t="shared" si="58"/>
        <v>0</v>
      </c>
      <c r="S475" s="142">
        <f>IFERROR(-IPMT($Q$8,P475,$Q$9*12,$Q$6)+$Q$10*_xlfn.XLOOKUP($R$10,'RE Calculations'!$B$12:$B$16,'RE Calculations'!$C$12:$C$16,"ERROR - Check Input")/12,0)</f>
        <v>0</v>
      </c>
      <c r="T475" s="142">
        <f t="shared" si="59"/>
        <v>0</v>
      </c>
      <c r="W475" s="12">
        <v>453</v>
      </c>
      <c r="X475" s="142">
        <f>IF(AA474&gt;0.01,IF(W475&lt;=($X$9*12),$X$15,-PMT($X$11,($X$12-$X$9)*12,$X$6)+$X$13*_xlfn.XLOOKUP($Y$13,'RE Calculations'!$B$12:$B$16,'RE Calculations'!$C$12:$C$16,"ERROR - Check Input")/12),0)</f>
        <v>0</v>
      </c>
      <c r="Y475" s="142">
        <f t="shared" si="60"/>
        <v>0</v>
      </c>
      <c r="Z475" s="142">
        <f>IF(W475&lt;=($X$9*12),$X$15,IFERROR(-IPMT($X$11,W475-$X$9*12,($X$12-$X$9)*12,$X$6)+$X$13*_xlfn.XLOOKUP($Y$13,'RE Calculations'!$B$12:$B$16,'RE Calculations'!$C$12:$C$16,"ERROR - Check Input")/12,0))</f>
        <v>0</v>
      </c>
      <c r="AA475" s="142">
        <f t="shared" si="61"/>
        <v>0</v>
      </c>
    </row>
    <row r="476" spans="2:27" x14ac:dyDescent="0.35">
      <c r="B476" s="12">
        <v>454</v>
      </c>
      <c r="C476" s="142">
        <f>IF(F475&gt;0.01,-PMT($C$8,$C$9*12,$C$6)+$C$10*_xlfn.XLOOKUP($D$10,'RE Calculations'!$B$12:$B$16,'RE Calculations'!$C$12:$C$16,"ERROR - Check Input")/12,0)</f>
        <v>0</v>
      </c>
      <c r="D476" s="142">
        <f t="shared" si="62"/>
        <v>0</v>
      </c>
      <c r="E476" s="142">
        <f>IFERROR(-IPMT($C$8,B476,$C$9*12,$C$6)+$C$10*_xlfn.XLOOKUP($D$10,'RE Calculations'!$B$12:$B$16,'RE Calculations'!$C$12:$C$16,"ERROR - Check Input")/12,0)</f>
        <v>0</v>
      </c>
      <c r="F476" s="142">
        <f t="shared" si="63"/>
        <v>0</v>
      </c>
      <c r="I476" s="12">
        <v>454</v>
      </c>
      <c r="J476" s="142">
        <f>IF(M475&gt;0.01,IF(I476&lt;=($J$9*12),$J$15,-PMT($J$11,($J$12-$J$9)*12,$J$6)+$J$13*_xlfn.XLOOKUP($K$13,'RE Calculations'!$B$12:$B$16,'RE Calculations'!$C$12:$C$16,"ERROR - Check Input")/12),0)</f>
        <v>0</v>
      </c>
      <c r="K476" s="142">
        <f t="shared" si="56"/>
        <v>0</v>
      </c>
      <c r="L476" s="142">
        <f>IF(I476&lt;=($J$9*12),$J$15,IFERROR(-IPMT($J$11,I476-$J$9*12,($J$12-$J$9)*12,$J$6)+$J$13*_xlfn.XLOOKUP($K$13,'RE Calculations'!$B$12:$B$16,'RE Calculations'!$C$12:$C$16,"ERROR - Check Input")/12,0))</f>
        <v>0</v>
      </c>
      <c r="M476" s="142">
        <f t="shared" si="57"/>
        <v>0</v>
      </c>
      <c r="P476" s="12">
        <v>454</v>
      </c>
      <c r="Q476" s="142">
        <f>IF(T475&gt;0.01,-PMT($Q$8,$Q$9*12,$Q$6)+$Q$10*_xlfn.XLOOKUP($R$10,'RE Calculations'!$B$12:$B$16,'RE Calculations'!$C$12:$C$16,"ERROR - Check Input")/12,0)</f>
        <v>0</v>
      </c>
      <c r="R476" s="142">
        <f t="shared" si="58"/>
        <v>0</v>
      </c>
      <c r="S476" s="142">
        <f>IFERROR(-IPMT($Q$8,P476,$Q$9*12,$Q$6)+$Q$10*_xlfn.XLOOKUP($R$10,'RE Calculations'!$B$12:$B$16,'RE Calculations'!$C$12:$C$16,"ERROR - Check Input")/12,0)</f>
        <v>0</v>
      </c>
      <c r="T476" s="142">
        <f t="shared" si="59"/>
        <v>0</v>
      </c>
      <c r="W476" s="12">
        <v>454</v>
      </c>
      <c r="X476" s="142">
        <f>IF(AA475&gt;0.01,IF(W476&lt;=($X$9*12),$X$15,-PMT($X$11,($X$12-$X$9)*12,$X$6)+$X$13*_xlfn.XLOOKUP($Y$13,'RE Calculations'!$B$12:$B$16,'RE Calculations'!$C$12:$C$16,"ERROR - Check Input")/12),0)</f>
        <v>0</v>
      </c>
      <c r="Y476" s="142">
        <f t="shared" si="60"/>
        <v>0</v>
      </c>
      <c r="Z476" s="142">
        <f>IF(W476&lt;=($X$9*12),$X$15,IFERROR(-IPMT($X$11,W476-$X$9*12,($X$12-$X$9)*12,$X$6)+$X$13*_xlfn.XLOOKUP($Y$13,'RE Calculations'!$B$12:$B$16,'RE Calculations'!$C$12:$C$16,"ERROR - Check Input")/12,0))</f>
        <v>0</v>
      </c>
      <c r="AA476" s="142">
        <f t="shared" si="61"/>
        <v>0</v>
      </c>
    </row>
    <row r="477" spans="2:27" x14ac:dyDescent="0.35">
      <c r="B477" s="12">
        <v>455</v>
      </c>
      <c r="C477" s="142">
        <f>IF(F476&gt;0.01,-PMT($C$8,$C$9*12,$C$6)+$C$10*_xlfn.XLOOKUP($D$10,'RE Calculations'!$B$12:$B$16,'RE Calculations'!$C$12:$C$16,"ERROR - Check Input")/12,0)</f>
        <v>0</v>
      </c>
      <c r="D477" s="142">
        <f t="shared" si="62"/>
        <v>0</v>
      </c>
      <c r="E477" s="142">
        <f>IFERROR(-IPMT($C$8,B477,$C$9*12,$C$6)+$C$10*_xlfn.XLOOKUP($D$10,'RE Calculations'!$B$12:$B$16,'RE Calculations'!$C$12:$C$16,"ERROR - Check Input")/12,0)</f>
        <v>0</v>
      </c>
      <c r="F477" s="142">
        <f t="shared" si="63"/>
        <v>0</v>
      </c>
      <c r="I477" s="12">
        <v>455</v>
      </c>
      <c r="J477" s="142">
        <f>IF(M476&gt;0.01,IF(I477&lt;=($J$9*12),$J$15,-PMT($J$11,($J$12-$J$9)*12,$J$6)+$J$13*_xlfn.XLOOKUP($K$13,'RE Calculations'!$B$12:$B$16,'RE Calculations'!$C$12:$C$16,"ERROR - Check Input")/12),0)</f>
        <v>0</v>
      </c>
      <c r="K477" s="142">
        <f t="shared" si="56"/>
        <v>0</v>
      </c>
      <c r="L477" s="142">
        <f>IF(I477&lt;=($J$9*12),$J$15,IFERROR(-IPMT($J$11,I477-$J$9*12,($J$12-$J$9)*12,$J$6)+$J$13*_xlfn.XLOOKUP($K$13,'RE Calculations'!$B$12:$B$16,'RE Calculations'!$C$12:$C$16,"ERROR - Check Input")/12,0))</f>
        <v>0</v>
      </c>
      <c r="M477" s="142">
        <f t="shared" si="57"/>
        <v>0</v>
      </c>
      <c r="P477" s="12">
        <v>455</v>
      </c>
      <c r="Q477" s="142">
        <f>IF(T476&gt;0.01,-PMT($Q$8,$Q$9*12,$Q$6)+$Q$10*_xlfn.XLOOKUP($R$10,'RE Calculations'!$B$12:$B$16,'RE Calculations'!$C$12:$C$16,"ERROR - Check Input")/12,0)</f>
        <v>0</v>
      </c>
      <c r="R477" s="142">
        <f t="shared" si="58"/>
        <v>0</v>
      </c>
      <c r="S477" s="142">
        <f>IFERROR(-IPMT($Q$8,P477,$Q$9*12,$Q$6)+$Q$10*_xlfn.XLOOKUP($R$10,'RE Calculations'!$B$12:$B$16,'RE Calculations'!$C$12:$C$16,"ERROR - Check Input")/12,0)</f>
        <v>0</v>
      </c>
      <c r="T477" s="142">
        <f t="shared" si="59"/>
        <v>0</v>
      </c>
      <c r="W477" s="12">
        <v>455</v>
      </c>
      <c r="X477" s="142">
        <f>IF(AA476&gt;0.01,IF(W477&lt;=($X$9*12),$X$15,-PMT($X$11,($X$12-$X$9)*12,$X$6)+$X$13*_xlfn.XLOOKUP($Y$13,'RE Calculations'!$B$12:$B$16,'RE Calculations'!$C$12:$C$16,"ERROR - Check Input")/12),0)</f>
        <v>0</v>
      </c>
      <c r="Y477" s="142">
        <f t="shared" si="60"/>
        <v>0</v>
      </c>
      <c r="Z477" s="142">
        <f>IF(W477&lt;=($X$9*12),$X$15,IFERROR(-IPMT($X$11,W477-$X$9*12,($X$12-$X$9)*12,$X$6)+$X$13*_xlfn.XLOOKUP($Y$13,'RE Calculations'!$B$12:$B$16,'RE Calculations'!$C$12:$C$16,"ERROR - Check Input")/12,0))</f>
        <v>0</v>
      </c>
      <c r="AA477" s="142">
        <f t="shared" si="61"/>
        <v>0</v>
      </c>
    </row>
    <row r="478" spans="2:27" x14ac:dyDescent="0.35">
      <c r="B478" s="12">
        <v>456</v>
      </c>
      <c r="C478" s="142">
        <f>IF(F477&gt;0.01,-PMT($C$8,$C$9*12,$C$6)+$C$10*_xlfn.XLOOKUP($D$10,'RE Calculations'!$B$12:$B$16,'RE Calculations'!$C$12:$C$16,"ERROR - Check Input")/12,0)</f>
        <v>0</v>
      </c>
      <c r="D478" s="142">
        <f t="shared" si="62"/>
        <v>0</v>
      </c>
      <c r="E478" s="142">
        <f>IFERROR(-IPMT($C$8,B478,$C$9*12,$C$6)+$C$10*_xlfn.XLOOKUP($D$10,'RE Calculations'!$B$12:$B$16,'RE Calculations'!$C$12:$C$16,"ERROR - Check Input")/12,0)</f>
        <v>0</v>
      </c>
      <c r="F478" s="142">
        <f t="shared" si="63"/>
        <v>0</v>
      </c>
      <c r="I478" s="12">
        <v>456</v>
      </c>
      <c r="J478" s="142">
        <f>IF(M477&gt;0.01,IF(I478&lt;=($J$9*12),$J$15,-PMT($J$11,($J$12-$J$9)*12,$J$6)+$J$13*_xlfn.XLOOKUP($K$13,'RE Calculations'!$B$12:$B$16,'RE Calculations'!$C$12:$C$16,"ERROR - Check Input")/12),0)</f>
        <v>0</v>
      </c>
      <c r="K478" s="142">
        <f t="shared" si="56"/>
        <v>0</v>
      </c>
      <c r="L478" s="142">
        <f>IF(I478&lt;=($J$9*12),$J$15,IFERROR(-IPMT($J$11,I478-$J$9*12,($J$12-$J$9)*12,$J$6)+$J$13*_xlfn.XLOOKUP($K$13,'RE Calculations'!$B$12:$B$16,'RE Calculations'!$C$12:$C$16,"ERROR - Check Input")/12,0))</f>
        <v>0</v>
      </c>
      <c r="M478" s="142">
        <f t="shared" si="57"/>
        <v>0</v>
      </c>
      <c r="P478" s="12">
        <v>456</v>
      </c>
      <c r="Q478" s="142">
        <f>IF(T477&gt;0.01,-PMT($Q$8,$Q$9*12,$Q$6)+$Q$10*_xlfn.XLOOKUP($R$10,'RE Calculations'!$B$12:$B$16,'RE Calculations'!$C$12:$C$16,"ERROR - Check Input")/12,0)</f>
        <v>0</v>
      </c>
      <c r="R478" s="142">
        <f t="shared" si="58"/>
        <v>0</v>
      </c>
      <c r="S478" s="142">
        <f>IFERROR(-IPMT($Q$8,P478,$Q$9*12,$Q$6)+$Q$10*_xlfn.XLOOKUP($R$10,'RE Calculations'!$B$12:$B$16,'RE Calculations'!$C$12:$C$16,"ERROR - Check Input")/12,0)</f>
        <v>0</v>
      </c>
      <c r="T478" s="142">
        <f t="shared" si="59"/>
        <v>0</v>
      </c>
      <c r="W478" s="12">
        <v>456</v>
      </c>
      <c r="X478" s="142">
        <f>IF(AA477&gt;0.01,IF(W478&lt;=($X$9*12),$X$15,-PMT($X$11,($X$12-$X$9)*12,$X$6)+$X$13*_xlfn.XLOOKUP($Y$13,'RE Calculations'!$B$12:$B$16,'RE Calculations'!$C$12:$C$16,"ERROR - Check Input")/12),0)</f>
        <v>0</v>
      </c>
      <c r="Y478" s="142">
        <f t="shared" si="60"/>
        <v>0</v>
      </c>
      <c r="Z478" s="142">
        <f>IF(W478&lt;=($X$9*12),$X$15,IFERROR(-IPMT($X$11,W478-$X$9*12,($X$12-$X$9)*12,$X$6)+$X$13*_xlfn.XLOOKUP($Y$13,'RE Calculations'!$B$12:$B$16,'RE Calculations'!$C$12:$C$16,"ERROR - Check Input")/12,0))</f>
        <v>0</v>
      </c>
      <c r="AA478" s="142">
        <f t="shared" si="61"/>
        <v>0</v>
      </c>
    </row>
    <row r="479" spans="2:27" x14ac:dyDescent="0.35">
      <c r="B479" s="12">
        <v>457</v>
      </c>
      <c r="C479" s="142">
        <f>IF(F478&gt;0.01,-PMT($C$8,$C$9*12,$C$6)+$C$10*_xlfn.XLOOKUP($D$10,'RE Calculations'!$B$12:$B$16,'RE Calculations'!$C$12:$C$16,"ERROR - Check Input")/12,0)</f>
        <v>0</v>
      </c>
      <c r="D479" s="142">
        <f t="shared" si="62"/>
        <v>0</v>
      </c>
      <c r="E479" s="142">
        <f>IFERROR(-IPMT($C$8,B479,$C$9*12,$C$6)+$C$10*_xlfn.XLOOKUP($D$10,'RE Calculations'!$B$12:$B$16,'RE Calculations'!$C$12:$C$16,"ERROR - Check Input")/12,0)</f>
        <v>0</v>
      </c>
      <c r="F479" s="142">
        <f t="shared" si="63"/>
        <v>0</v>
      </c>
      <c r="I479" s="12">
        <v>457</v>
      </c>
      <c r="J479" s="142">
        <f>IF(M478&gt;0.01,IF(I479&lt;=($J$9*12),$J$15,-PMT($J$11,($J$12-$J$9)*12,$J$6)+$J$13*_xlfn.XLOOKUP($K$13,'RE Calculations'!$B$12:$B$16,'RE Calculations'!$C$12:$C$16,"ERROR - Check Input")/12),0)</f>
        <v>0</v>
      </c>
      <c r="K479" s="142">
        <f t="shared" si="56"/>
        <v>0</v>
      </c>
      <c r="L479" s="142">
        <f>IF(I479&lt;=($J$9*12),$J$15,IFERROR(-IPMT($J$11,I479-$J$9*12,($J$12-$J$9)*12,$J$6)+$J$13*_xlfn.XLOOKUP($K$13,'RE Calculations'!$B$12:$B$16,'RE Calculations'!$C$12:$C$16,"ERROR - Check Input")/12,0))</f>
        <v>0</v>
      </c>
      <c r="M479" s="142">
        <f t="shared" si="57"/>
        <v>0</v>
      </c>
      <c r="P479" s="12">
        <v>457</v>
      </c>
      <c r="Q479" s="142">
        <f>IF(T478&gt;0.01,-PMT($Q$8,$Q$9*12,$Q$6)+$Q$10*_xlfn.XLOOKUP($R$10,'RE Calculations'!$B$12:$B$16,'RE Calculations'!$C$12:$C$16,"ERROR - Check Input")/12,0)</f>
        <v>0</v>
      </c>
      <c r="R479" s="142">
        <f t="shared" si="58"/>
        <v>0</v>
      </c>
      <c r="S479" s="142">
        <f>IFERROR(-IPMT($Q$8,P479,$Q$9*12,$Q$6)+$Q$10*_xlfn.XLOOKUP($R$10,'RE Calculations'!$B$12:$B$16,'RE Calculations'!$C$12:$C$16,"ERROR - Check Input")/12,0)</f>
        <v>0</v>
      </c>
      <c r="T479" s="142">
        <f t="shared" si="59"/>
        <v>0</v>
      </c>
      <c r="W479" s="12">
        <v>457</v>
      </c>
      <c r="X479" s="142">
        <f>IF(AA478&gt;0.01,IF(W479&lt;=($X$9*12),$X$15,-PMT($X$11,($X$12-$X$9)*12,$X$6)+$X$13*_xlfn.XLOOKUP($Y$13,'RE Calculations'!$B$12:$B$16,'RE Calculations'!$C$12:$C$16,"ERROR - Check Input")/12),0)</f>
        <v>0</v>
      </c>
      <c r="Y479" s="142">
        <f t="shared" si="60"/>
        <v>0</v>
      </c>
      <c r="Z479" s="142">
        <f>IF(W479&lt;=($X$9*12),$X$15,IFERROR(-IPMT($X$11,W479-$X$9*12,($X$12-$X$9)*12,$X$6)+$X$13*_xlfn.XLOOKUP($Y$13,'RE Calculations'!$B$12:$B$16,'RE Calculations'!$C$12:$C$16,"ERROR - Check Input")/12,0))</f>
        <v>0</v>
      </c>
      <c r="AA479" s="142">
        <f t="shared" si="61"/>
        <v>0</v>
      </c>
    </row>
    <row r="480" spans="2:27" x14ac:dyDescent="0.35">
      <c r="B480" s="12">
        <v>458</v>
      </c>
      <c r="C480" s="142">
        <f>IF(F479&gt;0.01,-PMT($C$8,$C$9*12,$C$6)+$C$10*_xlfn.XLOOKUP($D$10,'RE Calculations'!$B$12:$B$16,'RE Calculations'!$C$12:$C$16,"ERROR - Check Input")/12,0)</f>
        <v>0</v>
      </c>
      <c r="D480" s="142">
        <f t="shared" si="62"/>
        <v>0</v>
      </c>
      <c r="E480" s="142">
        <f>IFERROR(-IPMT($C$8,B480,$C$9*12,$C$6)+$C$10*_xlfn.XLOOKUP($D$10,'RE Calculations'!$B$12:$B$16,'RE Calculations'!$C$12:$C$16,"ERROR - Check Input")/12,0)</f>
        <v>0</v>
      </c>
      <c r="F480" s="142">
        <f t="shared" si="63"/>
        <v>0</v>
      </c>
      <c r="I480" s="12">
        <v>458</v>
      </c>
      <c r="J480" s="142">
        <f>IF(M479&gt;0.01,IF(I480&lt;=($J$9*12),$J$15,-PMT($J$11,($J$12-$J$9)*12,$J$6)+$J$13*_xlfn.XLOOKUP($K$13,'RE Calculations'!$B$12:$B$16,'RE Calculations'!$C$12:$C$16,"ERROR - Check Input")/12),0)</f>
        <v>0</v>
      </c>
      <c r="K480" s="142">
        <f t="shared" si="56"/>
        <v>0</v>
      </c>
      <c r="L480" s="142">
        <f>IF(I480&lt;=($J$9*12),$J$15,IFERROR(-IPMT($J$11,I480-$J$9*12,($J$12-$J$9)*12,$J$6)+$J$13*_xlfn.XLOOKUP($K$13,'RE Calculations'!$B$12:$B$16,'RE Calculations'!$C$12:$C$16,"ERROR - Check Input")/12,0))</f>
        <v>0</v>
      </c>
      <c r="M480" s="142">
        <f t="shared" si="57"/>
        <v>0</v>
      </c>
      <c r="P480" s="12">
        <v>458</v>
      </c>
      <c r="Q480" s="142">
        <f>IF(T479&gt;0.01,-PMT($Q$8,$Q$9*12,$Q$6)+$Q$10*_xlfn.XLOOKUP($R$10,'RE Calculations'!$B$12:$B$16,'RE Calculations'!$C$12:$C$16,"ERROR - Check Input")/12,0)</f>
        <v>0</v>
      </c>
      <c r="R480" s="142">
        <f t="shared" si="58"/>
        <v>0</v>
      </c>
      <c r="S480" s="142">
        <f>IFERROR(-IPMT($Q$8,P480,$Q$9*12,$Q$6)+$Q$10*_xlfn.XLOOKUP($R$10,'RE Calculations'!$B$12:$B$16,'RE Calculations'!$C$12:$C$16,"ERROR - Check Input")/12,0)</f>
        <v>0</v>
      </c>
      <c r="T480" s="142">
        <f t="shared" si="59"/>
        <v>0</v>
      </c>
      <c r="W480" s="12">
        <v>458</v>
      </c>
      <c r="X480" s="142">
        <f>IF(AA479&gt;0.01,IF(W480&lt;=($X$9*12),$X$15,-PMT($X$11,($X$12-$X$9)*12,$X$6)+$X$13*_xlfn.XLOOKUP($Y$13,'RE Calculations'!$B$12:$B$16,'RE Calculations'!$C$12:$C$16,"ERROR - Check Input")/12),0)</f>
        <v>0</v>
      </c>
      <c r="Y480" s="142">
        <f t="shared" si="60"/>
        <v>0</v>
      </c>
      <c r="Z480" s="142">
        <f>IF(W480&lt;=($X$9*12),$X$15,IFERROR(-IPMT($X$11,W480-$X$9*12,($X$12-$X$9)*12,$X$6)+$X$13*_xlfn.XLOOKUP($Y$13,'RE Calculations'!$B$12:$B$16,'RE Calculations'!$C$12:$C$16,"ERROR - Check Input")/12,0))</f>
        <v>0</v>
      </c>
      <c r="AA480" s="142">
        <f t="shared" si="61"/>
        <v>0</v>
      </c>
    </row>
    <row r="481" spans="2:27" x14ac:dyDescent="0.35">
      <c r="B481" s="12">
        <v>459</v>
      </c>
      <c r="C481" s="142">
        <f>IF(F480&gt;0.01,-PMT($C$8,$C$9*12,$C$6)+$C$10*_xlfn.XLOOKUP($D$10,'RE Calculations'!$B$12:$B$16,'RE Calculations'!$C$12:$C$16,"ERROR - Check Input")/12,0)</f>
        <v>0</v>
      </c>
      <c r="D481" s="142">
        <f t="shared" si="62"/>
        <v>0</v>
      </c>
      <c r="E481" s="142">
        <f>IFERROR(-IPMT($C$8,B481,$C$9*12,$C$6)+$C$10*_xlfn.XLOOKUP($D$10,'RE Calculations'!$B$12:$B$16,'RE Calculations'!$C$12:$C$16,"ERROR - Check Input")/12,0)</f>
        <v>0</v>
      </c>
      <c r="F481" s="142">
        <f t="shared" si="63"/>
        <v>0</v>
      </c>
      <c r="I481" s="12">
        <v>459</v>
      </c>
      <c r="J481" s="142">
        <f>IF(M480&gt;0.01,IF(I481&lt;=($J$9*12),$J$15,-PMT($J$11,($J$12-$J$9)*12,$J$6)+$J$13*_xlfn.XLOOKUP($K$13,'RE Calculations'!$B$12:$B$16,'RE Calculations'!$C$12:$C$16,"ERROR - Check Input")/12),0)</f>
        <v>0</v>
      </c>
      <c r="K481" s="142">
        <f t="shared" si="56"/>
        <v>0</v>
      </c>
      <c r="L481" s="142">
        <f>IF(I481&lt;=($J$9*12),$J$15,IFERROR(-IPMT($J$11,I481-$J$9*12,($J$12-$J$9)*12,$J$6)+$J$13*_xlfn.XLOOKUP($K$13,'RE Calculations'!$B$12:$B$16,'RE Calculations'!$C$12:$C$16,"ERROR - Check Input")/12,0))</f>
        <v>0</v>
      </c>
      <c r="M481" s="142">
        <f t="shared" si="57"/>
        <v>0</v>
      </c>
      <c r="P481" s="12">
        <v>459</v>
      </c>
      <c r="Q481" s="142">
        <f>IF(T480&gt;0.01,-PMT($Q$8,$Q$9*12,$Q$6)+$Q$10*_xlfn.XLOOKUP($R$10,'RE Calculations'!$B$12:$B$16,'RE Calculations'!$C$12:$C$16,"ERROR - Check Input")/12,0)</f>
        <v>0</v>
      </c>
      <c r="R481" s="142">
        <f t="shared" si="58"/>
        <v>0</v>
      </c>
      <c r="S481" s="142">
        <f>IFERROR(-IPMT($Q$8,P481,$Q$9*12,$Q$6)+$Q$10*_xlfn.XLOOKUP($R$10,'RE Calculations'!$B$12:$B$16,'RE Calculations'!$C$12:$C$16,"ERROR - Check Input")/12,0)</f>
        <v>0</v>
      </c>
      <c r="T481" s="142">
        <f t="shared" si="59"/>
        <v>0</v>
      </c>
      <c r="W481" s="12">
        <v>459</v>
      </c>
      <c r="X481" s="142">
        <f>IF(AA480&gt;0.01,IF(W481&lt;=($X$9*12),$X$15,-PMT($X$11,($X$12-$X$9)*12,$X$6)+$X$13*_xlfn.XLOOKUP($Y$13,'RE Calculations'!$B$12:$B$16,'RE Calculations'!$C$12:$C$16,"ERROR - Check Input")/12),0)</f>
        <v>0</v>
      </c>
      <c r="Y481" s="142">
        <f t="shared" si="60"/>
        <v>0</v>
      </c>
      <c r="Z481" s="142">
        <f>IF(W481&lt;=($X$9*12),$X$15,IFERROR(-IPMT($X$11,W481-$X$9*12,($X$12-$X$9)*12,$X$6)+$X$13*_xlfn.XLOOKUP($Y$13,'RE Calculations'!$B$12:$B$16,'RE Calculations'!$C$12:$C$16,"ERROR - Check Input")/12,0))</f>
        <v>0</v>
      </c>
      <c r="AA481" s="142">
        <f t="shared" si="61"/>
        <v>0</v>
      </c>
    </row>
    <row r="482" spans="2:27" x14ac:dyDescent="0.35">
      <c r="B482" s="12">
        <v>460</v>
      </c>
      <c r="C482" s="142">
        <f>IF(F481&gt;0.01,-PMT($C$8,$C$9*12,$C$6)+$C$10*_xlfn.XLOOKUP($D$10,'RE Calculations'!$B$12:$B$16,'RE Calculations'!$C$12:$C$16,"ERROR - Check Input")/12,0)</f>
        <v>0</v>
      </c>
      <c r="D482" s="142">
        <f t="shared" si="62"/>
        <v>0</v>
      </c>
      <c r="E482" s="142">
        <f>IFERROR(-IPMT($C$8,B482,$C$9*12,$C$6)+$C$10*_xlfn.XLOOKUP($D$10,'RE Calculations'!$B$12:$B$16,'RE Calculations'!$C$12:$C$16,"ERROR - Check Input")/12,0)</f>
        <v>0</v>
      </c>
      <c r="F482" s="142">
        <f t="shared" si="63"/>
        <v>0</v>
      </c>
      <c r="I482" s="12">
        <v>460</v>
      </c>
      <c r="J482" s="142">
        <f>IF(M481&gt;0.01,IF(I482&lt;=($J$9*12),$J$15,-PMT($J$11,($J$12-$J$9)*12,$J$6)+$J$13*_xlfn.XLOOKUP($K$13,'RE Calculations'!$B$12:$B$16,'RE Calculations'!$C$12:$C$16,"ERROR - Check Input")/12),0)</f>
        <v>0</v>
      </c>
      <c r="K482" s="142">
        <f t="shared" si="56"/>
        <v>0</v>
      </c>
      <c r="L482" s="142">
        <f>IF(I482&lt;=($J$9*12),$J$15,IFERROR(-IPMT($J$11,I482-$J$9*12,($J$12-$J$9)*12,$J$6)+$J$13*_xlfn.XLOOKUP($K$13,'RE Calculations'!$B$12:$B$16,'RE Calculations'!$C$12:$C$16,"ERROR - Check Input")/12,0))</f>
        <v>0</v>
      </c>
      <c r="M482" s="142">
        <f t="shared" si="57"/>
        <v>0</v>
      </c>
      <c r="P482" s="12">
        <v>460</v>
      </c>
      <c r="Q482" s="142">
        <f>IF(T481&gt;0.01,-PMT($Q$8,$Q$9*12,$Q$6)+$Q$10*_xlfn.XLOOKUP($R$10,'RE Calculations'!$B$12:$B$16,'RE Calculations'!$C$12:$C$16,"ERROR - Check Input")/12,0)</f>
        <v>0</v>
      </c>
      <c r="R482" s="142">
        <f t="shared" si="58"/>
        <v>0</v>
      </c>
      <c r="S482" s="142">
        <f>IFERROR(-IPMT($Q$8,P482,$Q$9*12,$Q$6)+$Q$10*_xlfn.XLOOKUP($R$10,'RE Calculations'!$B$12:$B$16,'RE Calculations'!$C$12:$C$16,"ERROR - Check Input")/12,0)</f>
        <v>0</v>
      </c>
      <c r="T482" s="142">
        <f t="shared" si="59"/>
        <v>0</v>
      </c>
      <c r="W482" s="12">
        <v>460</v>
      </c>
      <c r="X482" s="142">
        <f>IF(AA481&gt;0.01,IF(W482&lt;=($X$9*12),$X$15,-PMT($X$11,($X$12-$X$9)*12,$X$6)+$X$13*_xlfn.XLOOKUP($Y$13,'RE Calculations'!$B$12:$B$16,'RE Calculations'!$C$12:$C$16,"ERROR - Check Input")/12),0)</f>
        <v>0</v>
      </c>
      <c r="Y482" s="142">
        <f t="shared" si="60"/>
        <v>0</v>
      </c>
      <c r="Z482" s="142">
        <f>IF(W482&lt;=($X$9*12),$X$15,IFERROR(-IPMT($X$11,W482-$X$9*12,($X$12-$X$9)*12,$X$6)+$X$13*_xlfn.XLOOKUP($Y$13,'RE Calculations'!$B$12:$B$16,'RE Calculations'!$C$12:$C$16,"ERROR - Check Input")/12,0))</f>
        <v>0</v>
      </c>
      <c r="AA482" s="142">
        <f t="shared" si="61"/>
        <v>0</v>
      </c>
    </row>
    <row r="483" spans="2:27" x14ac:dyDescent="0.35">
      <c r="B483" s="12">
        <v>461</v>
      </c>
      <c r="C483" s="142">
        <f>IF(F482&gt;0.01,-PMT($C$8,$C$9*12,$C$6)+$C$10*_xlfn.XLOOKUP($D$10,'RE Calculations'!$B$12:$B$16,'RE Calculations'!$C$12:$C$16,"ERROR - Check Input")/12,0)</f>
        <v>0</v>
      </c>
      <c r="D483" s="142">
        <f t="shared" si="62"/>
        <v>0</v>
      </c>
      <c r="E483" s="142">
        <f>IFERROR(-IPMT($C$8,B483,$C$9*12,$C$6)+$C$10*_xlfn.XLOOKUP($D$10,'RE Calculations'!$B$12:$B$16,'RE Calculations'!$C$12:$C$16,"ERROR - Check Input")/12,0)</f>
        <v>0</v>
      </c>
      <c r="F483" s="142">
        <f t="shared" si="63"/>
        <v>0</v>
      </c>
      <c r="I483" s="12">
        <v>461</v>
      </c>
      <c r="J483" s="142">
        <f>IF(M482&gt;0.01,IF(I483&lt;=($J$9*12),$J$15,-PMT($J$11,($J$12-$J$9)*12,$J$6)+$J$13*_xlfn.XLOOKUP($K$13,'RE Calculations'!$B$12:$B$16,'RE Calculations'!$C$12:$C$16,"ERROR - Check Input")/12),0)</f>
        <v>0</v>
      </c>
      <c r="K483" s="142">
        <f t="shared" si="56"/>
        <v>0</v>
      </c>
      <c r="L483" s="142">
        <f>IF(I483&lt;=($J$9*12),$J$15,IFERROR(-IPMT($J$11,I483-$J$9*12,($J$12-$J$9)*12,$J$6)+$J$13*_xlfn.XLOOKUP($K$13,'RE Calculations'!$B$12:$B$16,'RE Calculations'!$C$12:$C$16,"ERROR - Check Input")/12,0))</f>
        <v>0</v>
      </c>
      <c r="M483" s="142">
        <f t="shared" si="57"/>
        <v>0</v>
      </c>
      <c r="P483" s="12">
        <v>461</v>
      </c>
      <c r="Q483" s="142">
        <f>IF(T482&gt;0.01,-PMT($Q$8,$Q$9*12,$Q$6)+$Q$10*_xlfn.XLOOKUP($R$10,'RE Calculations'!$B$12:$B$16,'RE Calculations'!$C$12:$C$16,"ERROR - Check Input")/12,0)</f>
        <v>0</v>
      </c>
      <c r="R483" s="142">
        <f t="shared" si="58"/>
        <v>0</v>
      </c>
      <c r="S483" s="142">
        <f>IFERROR(-IPMT($Q$8,P483,$Q$9*12,$Q$6)+$Q$10*_xlfn.XLOOKUP($R$10,'RE Calculations'!$B$12:$B$16,'RE Calculations'!$C$12:$C$16,"ERROR - Check Input")/12,0)</f>
        <v>0</v>
      </c>
      <c r="T483" s="142">
        <f t="shared" si="59"/>
        <v>0</v>
      </c>
      <c r="W483" s="12">
        <v>461</v>
      </c>
      <c r="X483" s="142">
        <f>IF(AA482&gt;0.01,IF(W483&lt;=($X$9*12),$X$15,-PMT($X$11,($X$12-$X$9)*12,$X$6)+$X$13*_xlfn.XLOOKUP($Y$13,'RE Calculations'!$B$12:$B$16,'RE Calculations'!$C$12:$C$16,"ERROR - Check Input")/12),0)</f>
        <v>0</v>
      </c>
      <c r="Y483" s="142">
        <f t="shared" si="60"/>
        <v>0</v>
      </c>
      <c r="Z483" s="142">
        <f>IF(W483&lt;=($X$9*12),$X$15,IFERROR(-IPMT($X$11,W483-$X$9*12,($X$12-$X$9)*12,$X$6)+$X$13*_xlfn.XLOOKUP($Y$13,'RE Calculations'!$B$12:$B$16,'RE Calculations'!$C$12:$C$16,"ERROR - Check Input")/12,0))</f>
        <v>0</v>
      </c>
      <c r="AA483" s="142">
        <f t="shared" si="61"/>
        <v>0</v>
      </c>
    </row>
    <row r="484" spans="2:27" x14ac:dyDescent="0.35">
      <c r="B484" s="12">
        <v>462</v>
      </c>
      <c r="C484" s="142">
        <f>IF(F483&gt;0.01,-PMT($C$8,$C$9*12,$C$6)+$C$10*_xlfn.XLOOKUP($D$10,'RE Calculations'!$B$12:$B$16,'RE Calculations'!$C$12:$C$16,"ERROR - Check Input")/12,0)</f>
        <v>0</v>
      </c>
      <c r="D484" s="142">
        <f t="shared" si="62"/>
        <v>0</v>
      </c>
      <c r="E484" s="142">
        <f>IFERROR(-IPMT($C$8,B484,$C$9*12,$C$6)+$C$10*_xlfn.XLOOKUP($D$10,'RE Calculations'!$B$12:$B$16,'RE Calculations'!$C$12:$C$16,"ERROR - Check Input")/12,0)</f>
        <v>0</v>
      </c>
      <c r="F484" s="142">
        <f t="shared" si="63"/>
        <v>0</v>
      </c>
      <c r="I484" s="12">
        <v>462</v>
      </c>
      <c r="J484" s="142">
        <f>IF(M483&gt;0.01,IF(I484&lt;=($J$9*12),$J$15,-PMT($J$11,($J$12-$J$9)*12,$J$6)+$J$13*_xlfn.XLOOKUP($K$13,'RE Calculations'!$B$12:$B$16,'RE Calculations'!$C$12:$C$16,"ERROR - Check Input")/12),0)</f>
        <v>0</v>
      </c>
      <c r="K484" s="142">
        <f t="shared" si="56"/>
        <v>0</v>
      </c>
      <c r="L484" s="142">
        <f>IF(I484&lt;=($J$9*12),$J$15,IFERROR(-IPMT($J$11,I484-$J$9*12,($J$12-$J$9)*12,$J$6)+$J$13*_xlfn.XLOOKUP($K$13,'RE Calculations'!$B$12:$B$16,'RE Calculations'!$C$12:$C$16,"ERROR - Check Input")/12,0))</f>
        <v>0</v>
      </c>
      <c r="M484" s="142">
        <f t="shared" si="57"/>
        <v>0</v>
      </c>
      <c r="P484" s="12">
        <v>462</v>
      </c>
      <c r="Q484" s="142">
        <f>IF(T483&gt;0.01,-PMT($Q$8,$Q$9*12,$Q$6)+$Q$10*_xlfn.XLOOKUP($R$10,'RE Calculations'!$B$12:$B$16,'RE Calculations'!$C$12:$C$16,"ERROR - Check Input")/12,0)</f>
        <v>0</v>
      </c>
      <c r="R484" s="142">
        <f t="shared" si="58"/>
        <v>0</v>
      </c>
      <c r="S484" s="142">
        <f>IFERROR(-IPMT($Q$8,P484,$Q$9*12,$Q$6)+$Q$10*_xlfn.XLOOKUP($R$10,'RE Calculations'!$B$12:$B$16,'RE Calculations'!$C$12:$C$16,"ERROR - Check Input")/12,0)</f>
        <v>0</v>
      </c>
      <c r="T484" s="142">
        <f t="shared" si="59"/>
        <v>0</v>
      </c>
      <c r="W484" s="12">
        <v>462</v>
      </c>
      <c r="X484" s="142">
        <f>IF(AA483&gt;0.01,IF(W484&lt;=($X$9*12),$X$15,-PMT($X$11,($X$12-$X$9)*12,$X$6)+$X$13*_xlfn.XLOOKUP($Y$13,'RE Calculations'!$B$12:$B$16,'RE Calculations'!$C$12:$C$16,"ERROR - Check Input")/12),0)</f>
        <v>0</v>
      </c>
      <c r="Y484" s="142">
        <f t="shared" si="60"/>
        <v>0</v>
      </c>
      <c r="Z484" s="142">
        <f>IF(W484&lt;=($X$9*12),$X$15,IFERROR(-IPMT($X$11,W484-$X$9*12,($X$12-$X$9)*12,$X$6)+$X$13*_xlfn.XLOOKUP($Y$13,'RE Calculations'!$B$12:$B$16,'RE Calculations'!$C$12:$C$16,"ERROR - Check Input")/12,0))</f>
        <v>0</v>
      </c>
      <c r="AA484" s="142">
        <f t="shared" si="61"/>
        <v>0</v>
      </c>
    </row>
    <row r="485" spans="2:27" x14ac:dyDescent="0.35">
      <c r="B485" s="12">
        <v>463</v>
      </c>
      <c r="C485" s="142">
        <f>IF(F484&gt;0.01,-PMT($C$8,$C$9*12,$C$6)+$C$10*_xlfn.XLOOKUP($D$10,'RE Calculations'!$B$12:$B$16,'RE Calculations'!$C$12:$C$16,"ERROR - Check Input")/12,0)</f>
        <v>0</v>
      </c>
      <c r="D485" s="142">
        <f t="shared" si="62"/>
        <v>0</v>
      </c>
      <c r="E485" s="142">
        <f>IFERROR(-IPMT($C$8,B485,$C$9*12,$C$6)+$C$10*_xlfn.XLOOKUP($D$10,'RE Calculations'!$B$12:$B$16,'RE Calculations'!$C$12:$C$16,"ERROR - Check Input")/12,0)</f>
        <v>0</v>
      </c>
      <c r="F485" s="142">
        <f t="shared" si="63"/>
        <v>0</v>
      </c>
      <c r="I485" s="12">
        <v>463</v>
      </c>
      <c r="J485" s="142">
        <f>IF(M484&gt;0.01,IF(I485&lt;=($J$9*12),$J$15,-PMT($J$11,($J$12-$J$9)*12,$J$6)+$J$13*_xlfn.XLOOKUP($K$13,'RE Calculations'!$B$12:$B$16,'RE Calculations'!$C$12:$C$16,"ERROR - Check Input")/12),0)</f>
        <v>0</v>
      </c>
      <c r="K485" s="142">
        <f t="shared" si="56"/>
        <v>0</v>
      </c>
      <c r="L485" s="142">
        <f>IF(I485&lt;=($J$9*12),$J$15,IFERROR(-IPMT($J$11,I485-$J$9*12,($J$12-$J$9)*12,$J$6)+$J$13*_xlfn.XLOOKUP($K$13,'RE Calculations'!$B$12:$B$16,'RE Calculations'!$C$12:$C$16,"ERROR - Check Input")/12,0))</f>
        <v>0</v>
      </c>
      <c r="M485" s="142">
        <f t="shared" si="57"/>
        <v>0</v>
      </c>
      <c r="P485" s="12">
        <v>463</v>
      </c>
      <c r="Q485" s="142">
        <f>IF(T484&gt;0.01,-PMT($Q$8,$Q$9*12,$Q$6)+$Q$10*_xlfn.XLOOKUP($R$10,'RE Calculations'!$B$12:$B$16,'RE Calculations'!$C$12:$C$16,"ERROR - Check Input")/12,0)</f>
        <v>0</v>
      </c>
      <c r="R485" s="142">
        <f t="shared" si="58"/>
        <v>0</v>
      </c>
      <c r="S485" s="142">
        <f>IFERROR(-IPMT($Q$8,P485,$Q$9*12,$Q$6)+$Q$10*_xlfn.XLOOKUP($R$10,'RE Calculations'!$B$12:$B$16,'RE Calculations'!$C$12:$C$16,"ERROR - Check Input")/12,0)</f>
        <v>0</v>
      </c>
      <c r="T485" s="142">
        <f t="shared" si="59"/>
        <v>0</v>
      </c>
      <c r="W485" s="12">
        <v>463</v>
      </c>
      <c r="X485" s="142">
        <f>IF(AA484&gt;0.01,IF(W485&lt;=($X$9*12),$X$15,-PMT($X$11,($X$12-$X$9)*12,$X$6)+$X$13*_xlfn.XLOOKUP($Y$13,'RE Calculations'!$B$12:$B$16,'RE Calculations'!$C$12:$C$16,"ERROR - Check Input")/12),0)</f>
        <v>0</v>
      </c>
      <c r="Y485" s="142">
        <f t="shared" si="60"/>
        <v>0</v>
      </c>
      <c r="Z485" s="142">
        <f>IF(W485&lt;=($X$9*12),$X$15,IFERROR(-IPMT($X$11,W485-$X$9*12,($X$12-$X$9)*12,$X$6)+$X$13*_xlfn.XLOOKUP($Y$13,'RE Calculations'!$B$12:$B$16,'RE Calculations'!$C$12:$C$16,"ERROR - Check Input")/12,0))</f>
        <v>0</v>
      </c>
      <c r="AA485" s="142">
        <f t="shared" si="61"/>
        <v>0</v>
      </c>
    </row>
    <row r="486" spans="2:27" x14ac:dyDescent="0.35">
      <c r="B486" s="12">
        <v>464</v>
      </c>
      <c r="C486" s="142">
        <f>IF(F485&gt;0.01,-PMT($C$8,$C$9*12,$C$6)+$C$10*_xlfn.XLOOKUP($D$10,'RE Calculations'!$B$12:$B$16,'RE Calculations'!$C$12:$C$16,"ERROR - Check Input")/12,0)</f>
        <v>0</v>
      </c>
      <c r="D486" s="142">
        <f t="shared" si="62"/>
        <v>0</v>
      </c>
      <c r="E486" s="142">
        <f>IFERROR(-IPMT($C$8,B486,$C$9*12,$C$6)+$C$10*_xlfn.XLOOKUP($D$10,'RE Calculations'!$B$12:$B$16,'RE Calculations'!$C$12:$C$16,"ERROR - Check Input")/12,0)</f>
        <v>0</v>
      </c>
      <c r="F486" s="142">
        <f t="shared" si="63"/>
        <v>0</v>
      </c>
      <c r="I486" s="12">
        <v>464</v>
      </c>
      <c r="J486" s="142">
        <f>IF(M485&gt;0.01,IF(I486&lt;=($J$9*12),$J$15,-PMT($J$11,($J$12-$J$9)*12,$J$6)+$J$13*_xlfn.XLOOKUP($K$13,'RE Calculations'!$B$12:$B$16,'RE Calculations'!$C$12:$C$16,"ERROR - Check Input")/12),0)</f>
        <v>0</v>
      </c>
      <c r="K486" s="142">
        <f t="shared" si="56"/>
        <v>0</v>
      </c>
      <c r="L486" s="142">
        <f>IF(I486&lt;=($J$9*12),$J$15,IFERROR(-IPMT($J$11,I486-$J$9*12,($J$12-$J$9)*12,$J$6)+$J$13*_xlfn.XLOOKUP($K$13,'RE Calculations'!$B$12:$B$16,'RE Calculations'!$C$12:$C$16,"ERROR - Check Input")/12,0))</f>
        <v>0</v>
      </c>
      <c r="M486" s="142">
        <f t="shared" si="57"/>
        <v>0</v>
      </c>
      <c r="P486" s="12">
        <v>464</v>
      </c>
      <c r="Q486" s="142">
        <f>IF(T485&gt;0.01,-PMT($Q$8,$Q$9*12,$Q$6)+$Q$10*_xlfn.XLOOKUP($R$10,'RE Calculations'!$B$12:$B$16,'RE Calculations'!$C$12:$C$16,"ERROR - Check Input")/12,0)</f>
        <v>0</v>
      </c>
      <c r="R486" s="142">
        <f t="shared" si="58"/>
        <v>0</v>
      </c>
      <c r="S486" s="142">
        <f>IFERROR(-IPMT($Q$8,P486,$Q$9*12,$Q$6)+$Q$10*_xlfn.XLOOKUP($R$10,'RE Calculations'!$B$12:$B$16,'RE Calculations'!$C$12:$C$16,"ERROR - Check Input")/12,0)</f>
        <v>0</v>
      </c>
      <c r="T486" s="142">
        <f t="shared" si="59"/>
        <v>0</v>
      </c>
      <c r="W486" s="12">
        <v>464</v>
      </c>
      <c r="X486" s="142">
        <f>IF(AA485&gt;0.01,IF(W486&lt;=($X$9*12),$X$15,-PMT($X$11,($X$12-$X$9)*12,$X$6)+$X$13*_xlfn.XLOOKUP($Y$13,'RE Calculations'!$B$12:$B$16,'RE Calculations'!$C$12:$C$16,"ERROR - Check Input")/12),0)</f>
        <v>0</v>
      </c>
      <c r="Y486" s="142">
        <f t="shared" si="60"/>
        <v>0</v>
      </c>
      <c r="Z486" s="142">
        <f>IF(W486&lt;=($X$9*12),$X$15,IFERROR(-IPMT($X$11,W486-$X$9*12,($X$12-$X$9)*12,$X$6)+$X$13*_xlfn.XLOOKUP($Y$13,'RE Calculations'!$B$12:$B$16,'RE Calculations'!$C$12:$C$16,"ERROR - Check Input")/12,0))</f>
        <v>0</v>
      </c>
      <c r="AA486" s="142">
        <f t="shared" si="61"/>
        <v>0</v>
      </c>
    </row>
    <row r="487" spans="2:27" x14ac:dyDescent="0.35">
      <c r="B487" s="12">
        <v>465</v>
      </c>
      <c r="C487" s="142">
        <f>IF(F486&gt;0.01,-PMT($C$8,$C$9*12,$C$6)+$C$10*_xlfn.XLOOKUP($D$10,'RE Calculations'!$B$12:$B$16,'RE Calculations'!$C$12:$C$16,"ERROR - Check Input")/12,0)</f>
        <v>0</v>
      </c>
      <c r="D487" s="142">
        <f t="shared" si="62"/>
        <v>0</v>
      </c>
      <c r="E487" s="142">
        <f>IFERROR(-IPMT($C$8,B487,$C$9*12,$C$6)+$C$10*_xlfn.XLOOKUP($D$10,'RE Calculations'!$B$12:$B$16,'RE Calculations'!$C$12:$C$16,"ERROR - Check Input")/12,0)</f>
        <v>0</v>
      </c>
      <c r="F487" s="142">
        <f t="shared" si="63"/>
        <v>0</v>
      </c>
      <c r="I487" s="12">
        <v>465</v>
      </c>
      <c r="J487" s="142">
        <f>IF(M486&gt;0.01,IF(I487&lt;=($J$9*12),$J$15,-PMT($J$11,($J$12-$J$9)*12,$J$6)+$J$13*_xlfn.XLOOKUP($K$13,'RE Calculations'!$B$12:$B$16,'RE Calculations'!$C$12:$C$16,"ERROR - Check Input")/12),0)</f>
        <v>0</v>
      </c>
      <c r="K487" s="142">
        <f t="shared" si="56"/>
        <v>0</v>
      </c>
      <c r="L487" s="142">
        <f>IF(I487&lt;=($J$9*12),$J$15,IFERROR(-IPMT($J$11,I487-$J$9*12,($J$12-$J$9)*12,$J$6)+$J$13*_xlfn.XLOOKUP($K$13,'RE Calculations'!$B$12:$B$16,'RE Calculations'!$C$12:$C$16,"ERROR - Check Input")/12,0))</f>
        <v>0</v>
      </c>
      <c r="M487" s="142">
        <f t="shared" si="57"/>
        <v>0</v>
      </c>
      <c r="P487" s="12">
        <v>465</v>
      </c>
      <c r="Q487" s="142">
        <f>IF(T486&gt;0.01,-PMT($Q$8,$Q$9*12,$Q$6)+$Q$10*_xlfn.XLOOKUP($R$10,'RE Calculations'!$B$12:$B$16,'RE Calculations'!$C$12:$C$16,"ERROR - Check Input")/12,0)</f>
        <v>0</v>
      </c>
      <c r="R487" s="142">
        <f t="shared" si="58"/>
        <v>0</v>
      </c>
      <c r="S487" s="142">
        <f>IFERROR(-IPMT($Q$8,P487,$Q$9*12,$Q$6)+$Q$10*_xlfn.XLOOKUP($R$10,'RE Calculations'!$B$12:$B$16,'RE Calculations'!$C$12:$C$16,"ERROR - Check Input")/12,0)</f>
        <v>0</v>
      </c>
      <c r="T487" s="142">
        <f t="shared" si="59"/>
        <v>0</v>
      </c>
      <c r="W487" s="12">
        <v>465</v>
      </c>
      <c r="X487" s="142">
        <f>IF(AA486&gt;0.01,IF(W487&lt;=($X$9*12),$X$15,-PMT($X$11,($X$12-$X$9)*12,$X$6)+$X$13*_xlfn.XLOOKUP($Y$13,'RE Calculations'!$B$12:$B$16,'RE Calculations'!$C$12:$C$16,"ERROR - Check Input")/12),0)</f>
        <v>0</v>
      </c>
      <c r="Y487" s="142">
        <f t="shared" si="60"/>
        <v>0</v>
      </c>
      <c r="Z487" s="142">
        <f>IF(W487&lt;=($X$9*12),$X$15,IFERROR(-IPMT($X$11,W487-$X$9*12,($X$12-$X$9)*12,$X$6)+$X$13*_xlfn.XLOOKUP($Y$13,'RE Calculations'!$B$12:$B$16,'RE Calculations'!$C$12:$C$16,"ERROR - Check Input")/12,0))</f>
        <v>0</v>
      </c>
      <c r="AA487" s="142">
        <f t="shared" si="61"/>
        <v>0</v>
      </c>
    </row>
    <row r="488" spans="2:27" x14ac:dyDescent="0.35">
      <c r="B488" s="12">
        <v>466</v>
      </c>
      <c r="C488" s="142">
        <f>IF(F487&gt;0.01,-PMT($C$8,$C$9*12,$C$6)+$C$10*_xlfn.XLOOKUP($D$10,'RE Calculations'!$B$12:$B$16,'RE Calculations'!$C$12:$C$16,"ERROR - Check Input")/12,0)</f>
        <v>0</v>
      </c>
      <c r="D488" s="142">
        <f t="shared" si="62"/>
        <v>0</v>
      </c>
      <c r="E488" s="142">
        <f>IFERROR(-IPMT($C$8,B488,$C$9*12,$C$6)+$C$10*_xlfn.XLOOKUP($D$10,'RE Calculations'!$B$12:$B$16,'RE Calculations'!$C$12:$C$16,"ERROR - Check Input")/12,0)</f>
        <v>0</v>
      </c>
      <c r="F488" s="142">
        <f t="shared" si="63"/>
        <v>0</v>
      </c>
      <c r="I488" s="12">
        <v>466</v>
      </c>
      <c r="J488" s="142">
        <f>IF(M487&gt;0.01,IF(I488&lt;=($J$9*12),$J$15,-PMT($J$11,($J$12-$J$9)*12,$J$6)+$J$13*_xlfn.XLOOKUP($K$13,'RE Calculations'!$B$12:$B$16,'RE Calculations'!$C$12:$C$16,"ERROR - Check Input")/12),0)</f>
        <v>0</v>
      </c>
      <c r="K488" s="142">
        <f t="shared" si="56"/>
        <v>0</v>
      </c>
      <c r="L488" s="142">
        <f>IF(I488&lt;=($J$9*12),$J$15,IFERROR(-IPMT($J$11,I488-$J$9*12,($J$12-$J$9)*12,$J$6)+$J$13*_xlfn.XLOOKUP($K$13,'RE Calculations'!$B$12:$B$16,'RE Calculations'!$C$12:$C$16,"ERROR - Check Input")/12,0))</f>
        <v>0</v>
      </c>
      <c r="M488" s="142">
        <f t="shared" si="57"/>
        <v>0</v>
      </c>
      <c r="P488" s="12">
        <v>466</v>
      </c>
      <c r="Q488" s="142">
        <f>IF(T487&gt;0.01,-PMT($Q$8,$Q$9*12,$Q$6)+$Q$10*_xlfn.XLOOKUP($R$10,'RE Calculations'!$B$12:$B$16,'RE Calculations'!$C$12:$C$16,"ERROR - Check Input")/12,0)</f>
        <v>0</v>
      </c>
      <c r="R488" s="142">
        <f t="shared" si="58"/>
        <v>0</v>
      </c>
      <c r="S488" s="142">
        <f>IFERROR(-IPMT($Q$8,P488,$Q$9*12,$Q$6)+$Q$10*_xlfn.XLOOKUP($R$10,'RE Calculations'!$B$12:$B$16,'RE Calculations'!$C$12:$C$16,"ERROR - Check Input")/12,0)</f>
        <v>0</v>
      </c>
      <c r="T488" s="142">
        <f t="shared" si="59"/>
        <v>0</v>
      </c>
      <c r="W488" s="12">
        <v>466</v>
      </c>
      <c r="X488" s="142">
        <f>IF(AA487&gt;0.01,IF(W488&lt;=($X$9*12),$X$15,-PMT($X$11,($X$12-$X$9)*12,$X$6)+$X$13*_xlfn.XLOOKUP($Y$13,'RE Calculations'!$B$12:$B$16,'RE Calculations'!$C$12:$C$16,"ERROR - Check Input")/12),0)</f>
        <v>0</v>
      </c>
      <c r="Y488" s="142">
        <f t="shared" si="60"/>
        <v>0</v>
      </c>
      <c r="Z488" s="142">
        <f>IF(W488&lt;=($X$9*12),$X$15,IFERROR(-IPMT($X$11,W488-$X$9*12,($X$12-$X$9)*12,$X$6)+$X$13*_xlfn.XLOOKUP($Y$13,'RE Calculations'!$B$12:$B$16,'RE Calculations'!$C$12:$C$16,"ERROR - Check Input")/12,0))</f>
        <v>0</v>
      </c>
      <c r="AA488" s="142">
        <f t="shared" si="61"/>
        <v>0</v>
      </c>
    </row>
    <row r="489" spans="2:27" x14ac:dyDescent="0.35">
      <c r="B489" s="12">
        <v>467</v>
      </c>
      <c r="C489" s="142">
        <f>IF(F488&gt;0.01,-PMT($C$8,$C$9*12,$C$6)+$C$10*_xlfn.XLOOKUP($D$10,'RE Calculations'!$B$12:$B$16,'RE Calculations'!$C$12:$C$16,"ERROR - Check Input")/12,0)</f>
        <v>0</v>
      </c>
      <c r="D489" s="142">
        <f t="shared" si="62"/>
        <v>0</v>
      </c>
      <c r="E489" s="142">
        <f>IFERROR(-IPMT($C$8,B489,$C$9*12,$C$6)+$C$10*_xlfn.XLOOKUP($D$10,'RE Calculations'!$B$12:$B$16,'RE Calculations'!$C$12:$C$16,"ERROR - Check Input")/12,0)</f>
        <v>0</v>
      </c>
      <c r="F489" s="142">
        <f t="shared" si="63"/>
        <v>0</v>
      </c>
      <c r="I489" s="12">
        <v>467</v>
      </c>
      <c r="J489" s="142">
        <f>IF(M488&gt;0.01,IF(I489&lt;=($J$9*12),$J$15,-PMT($J$11,($J$12-$J$9)*12,$J$6)+$J$13*_xlfn.XLOOKUP($K$13,'RE Calculations'!$B$12:$B$16,'RE Calculations'!$C$12:$C$16,"ERROR - Check Input")/12),0)</f>
        <v>0</v>
      </c>
      <c r="K489" s="142">
        <f t="shared" si="56"/>
        <v>0</v>
      </c>
      <c r="L489" s="142">
        <f>IF(I489&lt;=($J$9*12),$J$15,IFERROR(-IPMT($J$11,I489-$J$9*12,($J$12-$J$9)*12,$J$6)+$J$13*_xlfn.XLOOKUP($K$13,'RE Calculations'!$B$12:$B$16,'RE Calculations'!$C$12:$C$16,"ERROR - Check Input")/12,0))</f>
        <v>0</v>
      </c>
      <c r="M489" s="142">
        <f t="shared" si="57"/>
        <v>0</v>
      </c>
      <c r="P489" s="12">
        <v>467</v>
      </c>
      <c r="Q489" s="142">
        <f>IF(T488&gt;0.01,-PMT($Q$8,$Q$9*12,$Q$6)+$Q$10*_xlfn.XLOOKUP($R$10,'RE Calculations'!$B$12:$B$16,'RE Calculations'!$C$12:$C$16,"ERROR - Check Input")/12,0)</f>
        <v>0</v>
      </c>
      <c r="R489" s="142">
        <f t="shared" si="58"/>
        <v>0</v>
      </c>
      <c r="S489" s="142">
        <f>IFERROR(-IPMT($Q$8,P489,$Q$9*12,$Q$6)+$Q$10*_xlfn.XLOOKUP($R$10,'RE Calculations'!$B$12:$B$16,'RE Calculations'!$C$12:$C$16,"ERROR - Check Input")/12,0)</f>
        <v>0</v>
      </c>
      <c r="T489" s="142">
        <f t="shared" si="59"/>
        <v>0</v>
      </c>
      <c r="W489" s="12">
        <v>467</v>
      </c>
      <c r="X489" s="142">
        <f>IF(AA488&gt;0.01,IF(W489&lt;=($X$9*12),$X$15,-PMT($X$11,($X$12-$X$9)*12,$X$6)+$X$13*_xlfn.XLOOKUP($Y$13,'RE Calculations'!$B$12:$B$16,'RE Calculations'!$C$12:$C$16,"ERROR - Check Input")/12),0)</f>
        <v>0</v>
      </c>
      <c r="Y489" s="142">
        <f t="shared" si="60"/>
        <v>0</v>
      </c>
      <c r="Z489" s="142">
        <f>IF(W489&lt;=($X$9*12),$X$15,IFERROR(-IPMT($X$11,W489-$X$9*12,($X$12-$X$9)*12,$X$6)+$X$13*_xlfn.XLOOKUP($Y$13,'RE Calculations'!$B$12:$B$16,'RE Calculations'!$C$12:$C$16,"ERROR - Check Input")/12,0))</f>
        <v>0</v>
      </c>
      <c r="AA489" s="142">
        <f t="shared" si="61"/>
        <v>0</v>
      </c>
    </row>
    <row r="490" spans="2:27" x14ac:dyDescent="0.35">
      <c r="B490" s="12">
        <v>468</v>
      </c>
      <c r="C490" s="142">
        <f>IF(F489&gt;0.01,-PMT($C$8,$C$9*12,$C$6)+$C$10*_xlfn.XLOOKUP($D$10,'RE Calculations'!$B$12:$B$16,'RE Calculations'!$C$12:$C$16,"ERROR - Check Input")/12,0)</f>
        <v>0</v>
      </c>
      <c r="D490" s="142">
        <f t="shared" si="62"/>
        <v>0</v>
      </c>
      <c r="E490" s="142">
        <f>IFERROR(-IPMT($C$8,B490,$C$9*12,$C$6)+$C$10*_xlfn.XLOOKUP($D$10,'RE Calculations'!$B$12:$B$16,'RE Calculations'!$C$12:$C$16,"ERROR - Check Input")/12,0)</f>
        <v>0</v>
      </c>
      <c r="F490" s="142">
        <f t="shared" si="63"/>
        <v>0</v>
      </c>
      <c r="I490" s="12">
        <v>468</v>
      </c>
      <c r="J490" s="142">
        <f>IF(M489&gt;0.01,IF(I490&lt;=($J$9*12),$J$15,-PMT($J$11,($J$12-$J$9)*12,$J$6)+$J$13*_xlfn.XLOOKUP($K$13,'RE Calculations'!$B$12:$B$16,'RE Calculations'!$C$12:$C$16,"ERROR - Check Input")/12),0)</f>
        <v>0</v>
      </c>
      <c r="K490" s="142">
        <f t="shared" si="56"/>
        <v>0</v>
      </c>
      <c r="L490" s="142">
        <f>IF(I490&lt;=($J$9*12),$J$15,IFERROR(-IPMT($J$11,I490-$J$9*12,($J$12-$J$9)*12,$J$6)+$J$13*_xlfn.XLOOKUP($K$13,'RE Calculations'!$B$12:$B$16,'RE Calculations'!$C$12:$C$16,"ERROR - Check Input")/12,0))</f>
        <v>0</v>
      </c>
      <c r="M490" s="142">
        <f t="shared" si="57"/>
        <v>0</v>
      </c>
      <c r="P490" s="12">
        <v>468</v>
      </c>
      <c r="Q490" s="142">
        <f>IF(T489&gt;0.01,-PMT($Q$8,$Q$9*12,$Q$6)+$Q$10*_xlfn.XLOOKUP($R$10,'RE Calculations'!$B$12:$B$16,'RE Calculations'!$C$12:$C$16,"ERROR - Check Input")/12,0)</f>
        <v>0</v>
      </c>
      <c r="R490" s="142">
        <f t="shared" si="58"/>
        <v>0</v>
      </c>
      <c r="S490" s="142">
        <f>IFERROR(-IPMT($Q$8,P490,$Q$9*12,$Q$6)+$Q$10*_xlfn.XLOOKUP($R$10,'RE Calculations'!$B$12:$B$16,'RE Calculations'!$C$12:$C$16,"ERROR - Check Input")/12,0)</f>
        <v>0</v>
      </c>
      <c r="T490" s="142">
        <f t="shared" si="59"/>
        <v>0</v>
      </c>
      <c r="W490" s="12">
        <v>468</v>
      </c>
      <c r="X490" s="142">
        <f>IF(AA489&gt;0.01,IF(W490&lt;=($X$9*12),$X$15,-PMT($X$11,($X$12-$X$9)*12,$X$6)+$X$13*_xlfn.XLOOKUP($Y$13,'RE Calculations'!$B$12:$B$16,'RE Calculations'!$C$12:$C$16,"ERROR - Check Input")/12),0)</f>
        <v>0</v>
      </c>
      <c r="Y490" s="142">
        <f t="shared" si="60"/>
        <v>0</v>
      </c>
      <c r="Z490" s="142">
        <f>IF(W490&lt;=($X$9*12),$X$15,IFERROR(-IPMT($X$11,W490-$X$9*12,($X$12-$X$9)*12,$X$6)+$X$13*_xlfn.XLOOKUP($Y$13,'RE Calculations'!$B$12:$B$16,'RE Calculations'!$C$12:$C$16,"ERROR - Check Input")/12,0))</f>
        <v>0</v>
      </c>
      <c r="AA490" s="142">
        <f t="shared" si="61"/>
        <v>0</v>
      </c>
    </row>
    <row r="491" spans="2:27" x14ac:dyDescent="0.35">
      <c r="B491" s="12">
        <v>469</v>
      </c>
      <c r="C491" s="142">
        <f>IF(F490&gt;0.01,-PMT($C$8,$C$9*12,$C$6)+$C$10*_xlfn.XLOOKUP($D$10,'RE Calculations'!$B$12:$B$16,'RE Calculations'!$C$12:$C$16,"ERROR - Check Input")/12,0)</f>
        <v>0</v>
      </c>
      <c r="D491" s="142">
        <f t="shared" si="62"/>
        <v>0</v>
      </c>
      <c r="E491" s="142">
        <f>IFERROR(-IPMT($C$8,B491,$C$9*12,$C$6)+$C$10*_xlfn.XLOOKUP($D$10,'RE Calculations'!$B$12:$B$16,'RE Calculations'!$C$12:$C$16,"ERROR - Check Input")/12,0)</f>
        <v>0</v>
      </c>
      <c r="F491" s="142">
        <f t="shared" si="63"/>
        <v>0</v>
      </c>
      <c r="I491" s="12">
        <v>469</v>
      </c>
      <c r="J491" s="142">
        <f>IF(M490&gt;0.01,IF(I491&lt;=($J$9*12),$J$15,-PMT($J$11,($J$12-$J$9)*12,$J$6)+$J$13*_xlfn.XLOOKUP($K$13,'RE Calculations'!$B$12:$B$16,'RE Calculations'!$C$12:$C$16,"ERROR - Check Input")/12),0)</f>
        <v>0</v>
      </c>
      <c r="K491" s="142">
        <f t="shared" si="56"/>
        <v>0</v>
      </c>
      <c r="L491" s="142">
        <f>IF(I491&lt;=($J$9*12),$J$15,IFERROR(-IPMT($J$11,I491-$J$9*12,($J$12-$J$9)*12,$J$6)+$J$13*_xlfn.XLOOKUP($K$13,'RE Calculations'!$B$12:$B$16,'RE Calculations'!$C$12:$C$16,"ERROR - Check Input")/12,0))</f>
        <v>0</v>
      </c>
      <c r="M491" s="142">
        <f t="shared" si="57"/>
        <v>0</v>
      </c>
      <c r="P491" s="12">
        <v>469</v>
      </c>
      <c r="Q491" s="142">
        <f>IF(T490&gt;0.01,-PMT($Q$8,$Q$9*12,$Q$6)+$Q$10*_xlfn.XLOOKUP($R$10,'RE Calculations'!$B$12:$B$16,'RE Calculations'!$C$12:$C$16,"ERROR - Check Input")/12,0)</f>
        <v>0</v>
      </c>
      <c r="R491" s="142">
        <f t="shared" si="58"/>
        <v>0</v>
      </c>
      <c r="S491" s="142">
        <f>IFERROR(-IPMT($Q$8,P491,$Q$9*12,$Q$6)+$Q$10*_xlfn.XLOOKUP($R$10,'RE Calculations'!$B$12:$B$16,'RE Calculations'!$C$12:$C$16,"ERROR - Check Input")/12,0)</f>
        <v>0</v>
      </c>
      <c r="T491" s="142">
        <f t="shared" si="59"/>
        <v>0</v>
      </c>
      <c r="W491" s="12">
        <v>469</v>
      </c>
      <c r="X491" s="142">
        <f>IF(AA490&gt;0.01,IF(W491&lt;=($X$9*12),$X$15,-PMT($X$11,($X$12-$X$9)*12,$X$6)+$X$13*_xlfn.XLOOKUP($Y$13,'RE Calculations'!$B$12:$B$16,'RE Calculations'!$C$12:$C$16,"ERROR - Check Input")/12),0)</f>
        <v>0</v>
      </c>
      <c r="Y491" s="142">
        <f t="shared" si="60"/>
        <v>0</v>
      </c>
      <c r="Z491" s="142">
        <f>IF(W491&lt;=($X$9*12),$X$15,IFERROR(-IPMT($X$11,W491-$X$9*12,($X$12-$X$9)*12,$X$6)+$X$13*_xlfn.XLOOKUP($Y$13,'RE Calculations'!$B$12:$B$16,'RE Calculations'!$C$12:$C$16,"ERROR - Check Input")/12,0))</f>
        <v>0</v>
      </c>
      <c r="AA491" s="142">
        <f t="shared" si="61"/>
        <v>0</v>
      </c>
    </row>
    <row r="492" spans="2:27" x14ac:dyDescent="0.35">
      <c r="B492" s="12">
        <v>470</v>
      </c>
      <c r="C492" s="142">
        <f>IF(F491&gt;0.01,-PMT($C$8,$C$9*12,$C$6)+$C$10*_xlfn.XLOOKUP($D$10,'RE Calculations'!$B$12:$B$16,'RE Calculations'!$C$12:$C$16,"ERROR - Check Input")/12,0)</f>
        <v>0</v>
      </c>
      <c r="D492" s="142">
        <f t="shared" si="62"/>
        <v>0</v>
      </c>
      <c r="E492" s="142">
        <f>IFERROR(-IPMT($C$8,B492,$C$9*12,$C$6)+$C$10*_xlfn.XLOOKUP($D$10,'RE Calculations'!$B$12:$B$16,'RE Calculations'!$C$12:$C$16,"ERROR - Check Input")/12,0)</f>
        <v>0</v>
      </c>
      <c r="F492" s="142">
        <f t="shared" si="63"/>
        <v>0</v>
      </c>
      <c r="I492" s="12">
        <v>470</v>
      </c>
      <c r="J492" s="142">
        <f>IF(M491&gt;0.01,IF(I492&lt;=($J$9*12),$J$15,-PMT($J$11,($J$12-$J$9)*12,$J$6)+$J$13*_xlfn.XLOOKUP($K$13,'RE Calculations'!$B$12:$B$16,'RE Calculations'!$C$12:$C$16,"ERROR - Check Input")/12),0)</f>
        <v>0</v>
      </c>
      <c r="K492" s="142">
        <f t="shared" si="56"/>
        <v>0</v>
      </c>
      <c r="L492" s="142">
        <f>IF(I492&lt;=($J$9*12),$J$15,IFERROR(-IPMT($J$11,I492-$J$9*12,($J$12-$J$9)*12,$J$6)+$J$13*_xlfn.XLOOKUP($K$13,'RE Calculations'!$B$12:$B$16,'RE Calculations'!$C$12:$C$16,"ERROR - Check Input")/12,0))</f>
        <v>0</v>
      </c>
      <c r="M492" s="142">
        <f t="shared" si="57"/>
        <v>0</v>
      </c>
      <c r="P492" s="12">
        <v>470</v>
      </c>
      <c r="Q492" s="142">
        <f>IF(T491&gt;0.01,-PMT($Q$8,$Q$9*12,$Q$6)+$Q$10*_xlfn.XLOOKUP($R$10,'RE Calculations'!$B$12:$B$16,'RE Calculations'!$C$12:$C$16,"ERROR - Check Input")/12,0)</f>
        <v>0</v>
      </c>
      <c r="R492" s="142">
        <f t="shared" si="58"/>
        <v>0</v>
      </c>
      <c r="S492" s="142">
        <f>IFERROR(-IPMT($Q$8,P492,$Q$9*12,$Q$6)+$Q$10*_xlfn.XLOOKUP($R$10,'RE Calculations'!$B$12:$B$16,'RE Calculations'!$C$12:$C$16,"ERROR - Check Input")/12,0)</f>
        <v>0</v>
      </c>
      <c r="T492" s="142">
        <f t="shared" si="59"/>
        <v>0</v>
      </c>
      <c r="W492" s="12">
        <v>470</v>
      </c>
      <c r="X492" s="142">
        <f>IF(AA491&gt;0.01,IF(W492&lt;=($X$9*12),$X$15,-PMT($X$11,($X$12-$X$9)*12,$X$6)+$X$13*_xlfn.XLOOKUP($Y$13,'RE Calculations'!$B$12:$B$16,'RE Calculations'!$C$12:$C$16,"ERROR - Check Input")/12),0)</f>
        <v>0</v>
      </c>
      <c r="Y492" s="142">
        <f t="shared" si="60"/>
        <v>0</v>
      </c>
      <c r="Z492" s="142">
        <f>IF(W492&lt;=($X$9*12),$X$15,IFERROR(-IPMT($X$11,W492-$X$9*12,($X$12-$X$9)*12,$X$6)+$X$13*_xlfn.XLOOKUP($Y$13,'RE Calculations'!$B$12:$B$16,'RE Calculations'!$C$12:$C$16,"ERROR - Check Input")/12,0))</f>
        <v>0</v>
      </c>
      <c r="AA492" s="142">
        <f t="shared" si="61"/>
        <v>0</v>
      </c>
    </row>
    <row r="493" spans="2:27" x14ac:dyDescent="0.35">
      <c r="B493" s="12">
        <v>471</v>
      </c>
      <c r="C493" s="142">
        <f>IF(F492&gt;0.01,-PMT($C$8,$C$9*12,$C$6)+$C$10*_xlfn.XLOOKUP($D$10,'RE Calculations'!$B$12:$B$16,'RE Calculations'!$C$12:$C$16,"ERROR - Check Input")/12,0)</f>
        <v>0</v>
      </c>
      <c r="D493" s="142">
        <f t="shared" si="62"/>
        <v>0</v>
      </c>
      <c r="E493" s="142">
        <f>IFERROR(-IPMT($C$8,B493,$C$9*12,$C$6)+$C$10*_xlfn.XLOOKUP($D$10,'RE Calculations'!$B$12:$B$16,'RE Calculations'!$C$12:$C$16,"ERROR - Check Input")/12,0)</f>
        <v>0</v>
      </c>
      <c r="F493" s="142">
        <f t="shared" si="63"/>
        <v>0</v>
      </c>
      <c r="I493" s="12">
        <v>471</v>
      </c>
      <c r="J493" s="142">
        <f>IF(M492&gt;0.01,IF(I493&lt;=($J$9*12),$J$15,-PMT($J$11,($J$12-$J$9)*12,$J$6)+$J$13*_xlfn.XLOOKUP($K$13,'RE Calculations'!$B$12:$B$16,'RE Calculations'!$C$12:$C$16,"ERROR - Check Input")/12),0)</f>
        <v>0</v>
      </c>
      <c r="K493" s="142">
        <f t="shared" si="56"/>
        <v>0</v>
      </c>
      <c r="L493" s="142">
        <f>IF(I493&lt;=($J$9*12),$J$15,IFERROR(-IPMT($J$11,I493-$J$9*12,($J$12-$J$9)*12,$J$6)+$J$13*_xlfn.XLOOKUP($K$13,'RE Calculations'!$B$12:$B$16,'RE Calculations'!$C$12:$C$16,"ERROR - Check Input")/12,0))</f>
        <v>0</v>
      </c>
      <c r="M493" s="142">
        <f t="shared" si="57"/>
        <v>0</v>
      </c>
      <c r="P493" s="12">
        <v>471</v>
      </c>
      <c r="Q493" s="142">
        <f>IF(T492&gt;0.01,-PMT($Q$8,$Q$9*12,$Q$6)+$Q$10*_xlfn.XLOOKUP($R$10,'RE Calculations'!$B$12:$B$16,'RE Calculations'!$C$12:$C$16,"ERROR - Check Input")/12,0)</f>
        <v>0</v>
      </c>
      <c r="R493" s="142">
        <f t="shared" si="58"/>
        <v>0</v>
      </c>
      <c r="S493" s="142">
        <f>IFERROR(-IPMT($Q$8,P493,$Q$9*12,$Q$6)+$Q$10*_xlfn.XLOOKUP($R$10,'RE Calculations'!$B$12:$B$16,'RE Calculations'!$C$12:$C$16,"ERROR - Check Input")/12,0)</f>
        <v>0</v>
      </c>
      <c r="T493" s="142">
        <f t="shared" si="59"/>
        <v>0</v>
      </c>
      <c r="W493" s="12">
        <v>471</v>
      </c>
      <c r="X493" s="142">
        <f>IF(AA492&gt;0.01,IF(W493&lt;=($X$9*12),$X$15,-PMT($X$11,($X$12-$X$9)*12,$X$6)+$X$13*_xlfn.XLOOKUP($Y$13,'RE Calculations'!$B$12:$B$16,'RE Calculations'!$C$12:$C$16,"ERROR - Check Input")/12),0)</f>
        <v>0</v>
      </c>
      <c r="Y493" s="142">
        <f t="shared" si="60"/>
        <v>0</v>
      </c>
      <c r="Z493" s="142">
        <f>IF(W493&lt;=($X$9*12),$X$15,IFERROR(-IPMT($X$11,W493-$X$9*12,($X$12-$X$9)*12,$X$6)+$X$13*_xlfn.XLOOKUP($Y$13,'RE Calculations'!$B$12:$B$16,'RE Calculations'!$C$12:$C$16,"ERROR - Check Input")/12,0))</f>
        <v>0</v>
      </c>
      <c r="AA493" s="142">
        <f t="shared" si="61"/>
        <v>0</v>
      </c>
    </row>
    <row r="494" spans="2:27" x14ac:dyDescent="0.35">
      <c r="B494" s="12">
        <v>472</v>
      </c>
      <c r="C494" s="142">
        <f>IF(F493&gt;0.01,-PMT($C$8,$C$9*12,$C$6)+$C$10*_xlfn.XLOOKUP($D$10,'RE Calculations'!$B$12:$B$16,'RE Calculations'!$C$12:$C$16,"ERROR - Check Input")/12,0)</f>
        <v>0</v>
      </c>
      <c r="D494" s="142">
        <f t="shared" si="62"/>
        <v>0</v>
      </c>
      <c r="E494" s="142">
        <f>IFERROR(-IPMT($C$8,B494,$C$9*12,$C$6)+$C$10*_xlfn.XLOOKUP($D$10,'RE Calculations'!$B$12:$B$16,'RE Calculations'!$C$12:$C$16,"ERROR - Check Input")/12,0)</f>
        <v>0</v>
      </c>
      <c r="F494" s="142">
        <f t="shared" si="63"/>
        <v>0</v>
      </c>
      <c r="I494" s="12">
        <v>472</v>
      </c>
      <c r="J494" s="142">
        <f>IF(M493&gt;0.01,IF(I494&lt;=($J$9*12),$J$15,-PMT($J$11,($J$12-$J$9)*12,$J$6)+$J$13*_xlfn.XLOOKUP($K$13,'RE Calculations'!$B$12:$B$16,'RE Calculations'!$C$12:$C$16,"ERROR - Check Input")/12),0)</f>
        <v>0</v>
      </c>
      <c r="K494" s="142">
        <f t="shared" si="56"/>
        <v>0</v>
      </c>
      <c r="L494" s="142">
        <f>IF(I494&lt;=($J$9*12),$J$15,IFERROR(-IPMT($J$11,I494-$J$9*12,($J$12-$J$9)*12,$J$6)+$J$13*_xlfn.XLOOKUP($K$13,'RE Calculations'!$B$12:$B$16,'RE Calculations'!$C$12:$C$16,"ERROR - Check Input")/12,0))</f>
        <v>0</v>
      </c>
      <c r="M494" s="142">
        <f t="shared" si="57"/>
        <v>0</v>
      </c>
      <c r="P494" s="12">
        <v>472</v>
      </c>
      <c r="Q494" s="142">
        <f>IF(T493&gt;0.01,-PMT($Q$8,$Q$9*12,$Q$6)+$Q$10*_xlfn.XLOOKUP($R$10,'RE Calculations'!$B$12:$B$16,'RE Calculations'!$C$12:$C$16,"ERROR - Check Input")/12,0)</f>
        <v>0</v>
      </c>
      <c r="R494" s="142">
        <f t="shared" si="58"/>
        <v>0</v>
      </c>
      <c r="S494" s="142">
        <f>IFERROR(-IPMT($Q$8,P494,$Q$9*12,$Q$6)+$Q$10*_xlfn.XLOOKUP($R$10,'RE Calculations'!$B$12:$B$16,'RE Calculations'!$C$12:$C$16,"ERROR - Check Input")/12,0)</f>
        <v>0</v>
      </c>
      <c r="T494" s="142">
        <f t="shared" si="59"/>
        <v>0</v>
      </c>
      <c r="W494" s="12">
        <v>472</v>
      </c>
      <c r="X494" s="142">
        <f>IF(AA493&gt;0.01,IF(W494&lt;=($X$9*12),$X$15,-PMT($X$11,($X$12-$X$9)*12,$X$6)+$X$13*_xlfn.XLOOKUP($Y$13,'RE Calculations'!$B$12:$B$16,'RE Calculations'!$C$12:$C$16,"ERROR - Check Input")/12),0)</f>
        <v>0</v>
      </c>
      <c r="Y494" s="142">
        <f t="shared" si="60"/>
        <v>0</v>
      </c>
      <c r="Z494" s="142">
        <f>IF(W494&lt;=($X$9*12),$X$15,IFERROR(-IPMT($X$11,W494-$X$9*12,($X$12-$X$9)*12,$X$6)+$X$13*_xlfn.XLOOKUP($Y$13,'RE Calculations'!$B$12:$B$16,'RE Calculations'!$C$12:$C$16,"ERROR - Check Input")/12,0))</f>
        <v>0</v>
      </c>
      <c r="AA494" s="142">
        <f t="shared" si="61"/>
        <v>0</v>
      </c>
    </row>
    <row r="495" spans="2:27" x14ac:dyDescent="0.35">
      <c r="B495" s="12">
        <v>473</v>
      </c>
      <c r="C495" s="142">
        <f>IF(F494&gt;0.01,-PMT($C$8,$C$9*12,$C$6)+$C$10*_xlfn.XLOOKUP($D$10,'RE Calculations'!$B$12:$B$16,'RE Calculations'!$C$12:$C$16,"ERROR - Check Input")/12,0)</f>
        <v>0</v>
      </c>
      <c r="D495" s="142">
        <f t="shared" si="62"/>
        <v>0</v>
      </c>
      <c r="E495" s="142">
        <f>IFERROR(-IPMT($C$8,B495,$C$9*12,$C$6)+$C$10*_xlfn.XLOOKUP($D$10,'RE Calculations'!$B$12:$B$16,'RE Calculations'!$C$12:$C$16,"ERROR - Check Input")/12,0)</f>
        <v>0</v>
      </c>
      <c r="F495" s="142">
        <f t="shared" si="63"/>
        <v>0</v>
      </c>
      <c r="I495" s="12">
        <v>473</v>
      </c>
      <c r="J495" s="142">
        <f>IF(M494&gt;0.01,IF(I495&lt;=($J$9*12),$J$15,-PMT($J$11,($J$12-$J$9)*12,$J$6)+$J$13*_xlfn.XLOOKUP($K$13,'RE Calculations'!$B$12:$B$16,'RE Calculations'!$C$12:$C$16,"ERROR - Check Input")/12),0)</f>
        <v>0</v>
      </c>
      <c r="K495" s="142">
        <f t="shared" si="56"/>
        <v>0</v>
      </c>
      <c r="L495" s="142">
        <f>IF(I495&lt;=($J$9*12),$J$15,IFERROR(-IPMT($J$11,I495-$J$9*12,($J$12-$J$9)*12,$J$6)+$J$13*_xlfn.XLOOKUP($K$13,'RE Calculations'!$B$12:$B$16,'RE Calculations'!$C$12:$C$16,"ERROR - Check Input")/12,0))</f>
        <v>0</v>
      </c>
      <c r="M495" s="142">
        <f t="shared" si="57"/>
        <v>0</v>
      </c>
      <c r="P495" s="12">
        <v>473</v>
      </c>
      <c r="Q495" s="142">
        <f>IF(T494&gt;0.01,-PMT($Q$8,$Q$9*12,$Q$6)+$Q$10*_xlfn.XLOOKUP($R$10,'RE Calculations'!$B$12:$B$16,'RE Calculations'!$C$12:$C$16,"ERROR - Check Input")/12,0)</f>
        <v>0</v>
      </c>
      <c r="R495" s="142">
        <f t="shared" si="58"/>
        <v>0</v>
      </c>
      <c r="S495" s="142">
        <f>IFERROR(-IPMT($Q$8,P495,$Q$9*12,$Q$6)+$Q$10*_xlfn.XLOOKUP($R$10,'RE Calculations'!$B$12:$B$16,'RE Calculations'!$C$12:$C$16,"ERROR - Check Input")/12,0)</f>
        <v>0</v>
      </c>
      <c r="T495" s="142">
        <f t="shared" si="59"/>
        <v>0</v>
      </c>
      <c r="W495" s="12">
        <v>473</v>
      </c>
      <c r="X495" s="142">
        <f>IF(AA494&gt;0.01,IF(W495&lt;=($X$9*12),$X$15,-PMT($X$11,($X$12-$X$9)*12,$X$6)+$X$13*_xlfn.XLOOKUP($Y$13,'RE Calculations'!$B$12:$B$16,'RE Calculations'!$C$12:$C$16,"ERROR - Check Input")/12),0)</f>
        <v>0</v>
      </c>
      <c r="Y495" s="142">
        <f t="shared" si="60"/>
        <v>0</v>
      </c>
      <c r="Z495" s="142">
        <f>IF(W495&lt;=($X$9*12),$X$15,IFERROR(-IPMT($X$11,W495-$X$9*12,($X$12-$X$9)*12,$X$6)+$X$13*_xlfn.XLOOKUP($Y$13,'RE Calculations'!$B$12:$B$16,'RE Calculations'!$C$12:$C$16,"ERROR - Check Input")/12,0))</f>
        <v>0</v>
      </c>
      <c r="AA495" s="142">
        <f t="shared" si="61"/>
        <v>0</v>
      </c>
    </row>
    <row r="496" spans="2:27" x14ac:dyDescent="0.35">
      <c r="B496" s="12">
        <v>474</v>
      </c>
      <c r="C496" s="142">
        <f>IF(F495&gt;0.01,-PMT($C$8,$C$9*12,$C$6)+$C$10*_xlfn.XLOOKUP($D$10,'RE Calculations'!$B$12:$B$16,'RE Calculations'!$C$12:$C$16,"ERROR - Check Input")/12,0)</f>
        <v>0</v>
      </c>
      <c r="D496" s="142">
        <f t="shared" si="62"/>
        <v>0</v>
      </c>
      <c r="E496" s="142">
        <f>IFERROR(-IPMT($C$8,B496,$C$9*12,$C$6)+$C$10*_xlfn.XLOOKUP($D$10,'RE Calculations'!$B$12:$B$16,'RE Calculations'!$C$12:$C$16,"ERROR - Check Input")/12,0)</f>
        <v>0</v>
      </c>
      <c r="F496" s="142">
        <f t="shared" si="63"/>
        <v>0</v>
      </c>
      <c r="I496" s="12">
        <v>474</v>
      </c>
      <c r="J496" s="142">
        <f>IF(M495&gt;0.01,IF(I496&lt;=($J$9*12),$J$15,-PMT($J$11,($J$12-$J$9)*12,$J$6)+$J$13*_xlfn.XLOOKUP($K$13,'RE Calculations'!$B$12:$B$16,'RE Calculations'!$C$12:$C$16,"ERROR - Check Input")/12),0)</f>
        <v>0</v>
      </c>
      <c r="K496" s="142">
        <f t="shared" si="56"/>
        <v>0</v>
      </c>
      <c r="L496" s="142">
        <f>IF(I496&lt;=($J$9*12),$J$15,IFERROR(-IPMT($J$11,I496-$J$9*12,($J$12-$J$9)*12,$J$6)+$J$13*_xlfn.XLOOKUP($K$13,'RE Calculations'!$B$12:$B$16,'RE Calculations'!$C$12:$C$16,"ERROR - Check Input")/12,0))</f>
        <v>0</v>
      </c>
      <c r="M496" s="142">
        <f t="shared" si="57"/>
        <v>0</v>
      </c>
      <c r="P496" s="12">
        <v>474</v>
      </c>
      <c r="Q496" s="142">
        <f>IF(T495&gt;0.01,-PMT($Q$8,$Q$9*12,$Q$6)+$Q$10*_xlfn.XLOOKUP($R$10,'RE Calculations'!$B$12:$B$16,'RE Calculations'!$C$12:$C$16,"ERROR - Check Input")/12,0)</f>
        <v>0</v>
      </c>
      <c r="R496" s="142">
        <f t="shared" si="58"/>
        <v>0</v>
      </c>
      <c r="S496" s="142">
        <f>IFERROR(-IPMT($Q$8,P496,$Q$9*12,$Q$6)+$Q$10*_xlfn.XLOOKUP($R$10,'RE Calculations'!$B$12:$B$16,'RE Calculations'!$C$12:$C$16,"ERROR - Check Input")/12,0)</f>
        <v>0</v>
      </c>
      <c r="T496" s="142">
        <f t="shared" si="59"/>
        <v>0</v>
      </c>
      <c r="W496" s="12">
        <v>474</v>
      </c>
      <c r="X496" s="142">
        <f>IF(AA495&gt;0.01,IF(W496&lt;=($X$9*12),$X$15,-PMT($X$11,($X$12-$X$9)*12,$X$6)+$X$13*_xlfn.XLOOKUP($Y$13,'RE Calculations'!$B$12:$B$16,'RE Calculations'!$C$12:$C$16,"ERROR - Check Input")/12),0)</f>
        <v>0</v>
      </c>
      <c r="Y496" s="142">
        <f t="shared" si="60"/>
        <v>0</v>
      </c>
      <c r="Z496" s="142">
        <f>IF(W496&lt;=($X$9*12),$X$15,IFERROR(-IPMT($X$11,W496-$X$9*12,($X$12-$X$9)*12,$X$6)+$X$13*_xlfn.XLOOKUP($Y$13,'RE Calculations'!$B$12:$B$16,'RE Calculations'!$C$12:$C$16,"ERROR - Check Input")/12,0))</f>
        <v>0</v>
      </c>
      <c r="AA496" s="142">
        <f t="shared" si="61"/>
        <v>0</v>
      </c>
    </row>
    <row r="497" spans="2:27" x14ac:dyDescent="0.35">
      <c r="B497" s="12">
        <v>475</v>
      </c>
      <c r="C497" s="142">
        <f>IF(F496&gt;0.01,-PMT($C$8,$C$9*12,$C$6)+$C$10*_xlfn.XLOOKUP($D$10,'RE Calculations'!$B$12:$B$16,'RE Calculations'!$C$12:$C$16,"ERROR - Check Input")/12,0)</f>
        <v>0</v>
      </c>
      <c r="D497" s="142">
        <f t="shared" si="62"/>
        <v>0</v>
      </c>
      <c r="E497" s="142">
        <f>IFERROR(-IPMT($C$8,B497,$C$9*12,$C$6)+$C$10*_xlfn.XLOOKUP($D$10,'RE Calculations'!$B$12:$B$16,'RE Calculations'!$C$12:$C$16,"ERROR - Check Input")/12,0)</f>
        <v>0</v>
      </c>
      <c r="F497" s="142">
        <f t="shared" si="63"/>
        <v>0</v>
      </c>
      <c r="I497" s="12">
        <v>475</v>
      </c>
      <c r="J497" s="142">
        <f>IF(M496&gt;0.01,IF(I497&lt;=($J$9*12),$J$15,-PMT($J$11,($J$12-$J$9)*12,$J$6)+$J$13*_xlfn.XLOOKUP($K$13,'RE Calculations'!$B$12:$B$16,'RE Calculations'!$C$12:$C$16,"ERROR - Check Input")/12),0)</f>
        <v>0</v>
      </c>
      <c r="K497" s="142">
        <f t="shared" si="56"/>
        <v>0</v>
      </c>
      <c r="L497" s="142">
        <f>IF(I497&lt;=($J$9*12),$J$15,IFERROR(-IPMT($J$11,I497-$J$9*12,($J$12-$J$9)*12,$J$6)+$J$13*_xlfn.XLOOKUP($K$13,'RE Calculations'!$B$12:$B$16,'RE Calculations'!$C$12:$C$16,"ERROR - Check Input")/12,0))</f>
        <v>0</v>
      </c>
      <c r="M497" s="142">
        <f t="shared" si="57"/>
        <v>0</v>
      </c>
      <c r="P497" s="12">
        <v>475</v>
      </c>
      <c r="Q497" s="142">
        <f>IF(T496&gt;0.01,-PMT($Q$8,$Q$9*12,$Q$6)+$Q$10*_xlfn.XLOOKUP($R$10,'RE Calculations'!$B$12:$B$16,'RE Calculations'!$C$12:$C$16,"ERROR - Check Input")/12,0)</f>
        <v>0</v>
      </c>
      <c r="R497" s="142">
        <f t="shared" si="58"/>
        <v>0</v>
      </c>
      <c r="S497" s="142">
        <f>IFERROR(-IPMT($Q$8,P497,$Q$9*12,$Q$6)+$Q$10*_xlfn.XLOOKUP($R$10,'RE Calculations'!$B$12:$B$16,'RE Calculations'!$C$12:$C$16,"ERROR - Check Input")/12,0)</f>
        <v>0</v>
      </c>
      <c r="T497" s="142">
        <f t="shared" si="59"/>
        <v>0</v>
      </c>
      <c r="W497" s="12">
        <v>475</v>
      </c>
      <c r="X497" s="142">
        <f>IF(AA496&gt;0.01,IF(W497&lt;=($X$9*12),$X$15,-PMT($X$11,($X$12-$X$9)*12,$X$6)+$X$13*_xlfn.XLOOKUP($Y$13,'RE Calculations'!$B$12:$B$16,'RE Calculations'!$C$12:$C$16,"ERROR - Check Input")/12),0)</f>
        <v>0</v>
      </c>
      <c r="Y497" s="142">
        <f t="shared" si="60"/>
        <v>0</v>
      </c>
      <c r="Z497" s="142">
        <f>IF(W497&lt;=($X$9*12),$X$15,IFERROR(-IPMT($X$11,W497-$X$9*12,($X$12-$X$9)*12,$X$6)+$X$13*_xlfn.XLOOKUP($Y$13,'RE Calculations'!$B$12:$B$16,'RE Calculations'!$C$12:$C$16,"ERROR - Check Input")/12,0))</f>
        <v>0</v>
      </c>
      <c r="AA497" s="142">
        <f t="shared" si="61"/>
        <v>0</v>
      </c>
    </row>
    <row r="498" spans="2:27" x14ac:dyDescent="0.35">
      <c r="B498" s="12">
        <v>476</v>
      </c>
      <c r="C498" s="142">
        <f>IF(F497&gt;0.01,-PMT($C$8,$C$9*12,$C$6)+$C$10*_xlfn.XLOOKUP($D$10,'RE Calculations'!$B$12:$B$16,'RE Calculations'!$C$12:$C$16,"ERROR - Check Input")/12,0)</f>
        <v>0</v>
      </c>
      <c r="D498" s="142">
        <f t="shared" si="62"/>
        <v>0</v>
      </c>
      <c r="E498" s="142">
        <f>IFERROR(-IPMT($C$8,B498,$C$9*12,$C$6)+$C$10*_xlfn.XLOOKUP($D$10,'RE Calculations'!$B$12:$B$16,'RE Calculations'!$C$12:$C$16,"ERROR - Check Input")/12,0)</f>
        <v>0</v>
      </c>
      <c r="F498" s="142">
        <f t="shared" si="63"/>
        <v>0</v>
      </c>
      <c r="I498" s="12">
        <v>476</v>
      </c>
      <c r="J498" s="142">
        <f>IF(M497&gt;0.01,IF(I498&lt;=($J$9*12),$J$15,-PMT($J$11,($J$12-$J$9)*12,$J$6)+$J$13*_xlfn.XLOOKUP($K$13,'RE Calculations'!$B$12:$B$16,'RE Calculations'!$C$12:$C$16,"ERROR - Check Input")/12),0)</f>
        <v>0</v>
      </c>
      <c r="K498" s="142">
        <f t="shared" si="56"/>
        <v>0</v>
      </c>
      <c r="L498" s="142">
        <f>IF(I498&lt;=($J$9*12),$J$15,IFERROR(-IPMT($J$11,I498-$J$9*12,($J$12-$J$9)*12,$J$6)+$J$13*_xlfn.XLOOKUP($K$13,'RE Calculations'!$B$12:$B$16,'RE Calculations'!$C$12:$C$16,"ERROR - Check Input")/12,0))</f>
        <v>0</v>
      </c>
      <c r="M498" s="142">
        <f t="shared" si="57"/>
        <v>0</v>
      </c>
      <c r="P498" s="12">
        <v>476</v>
      </c>
      <c r="Q498" s="142">
        <f>IF(T497&gt;0.01,-PMT($Q$8,$Q$9*12,$Q$6)+$Q$10*_xlfn.XLOOKUP($R$10,'RE Calculations'!$B$12:$B$16,'RE Calculations'!$C$12:$C$16,"ERROR - Check Input")/12,0)</f>
        <v>0</v>
      </c>
      <c r="R498" s="142">
        <f t="shared" si="58"/>
        <v>0</v>
      </c>
      <c r="S498" s="142">
        <f>IFERROR(-IPMT($Q$8,P498,$Q$9*12,$Q$6)+$Q$10*_xlfn.XLOOKUP($R$10,'RE Calculations'!$B$12:$B$16,'RE Calculations'!$C$12:$C$16,"ERROR - Check Input")/12,0)</f>
        <v>0</v>
      </c>
      <c r="T498" s="142">
        <f t="shared" si="59"/>
        <v>0</v>
      </c>
      <c r="W498" s="12">
        <v>476</v>
      </c>
      <c r="X498" s="142">
        <f>IF(AA497&gt;0.01,IF(W498&lt;=($X$9*12),$X$15,-PMT($X$11,($X$12-$X$9)*12,$X$6)+$X$13*_xlfn.XLOOKUP($Y$13,'RE Calculations'!$B$12:$B$16,'RE Calculations'!$C$12:$C$16,"ERROR - Check Input")/12),0)</f>
        <v>0</v>
      </c>
      <c r="Y498" s="142">
        <f t="shared" si="60"/>
        <v>0</v>
      </c>
      <c r="Z498" s="142">
        <f>IF(W498&lt;=($X$9*12),$X$15,IFERROR(-IPMT($X$11,W498-$X$9*12,($X$12-$X$9)*12,$X$6)+$X$13*_xlfn.XLOOKUP($Y$13,'RE Calculations'!$B$12:$B$16,'RE Calculations'!$C$12:$C$16,"ERROR - Check Input")/12,0))</f>
        <v>0</v>
      </c>
      <c r="AA498" s="142">
        <f t="shared" si="61"/>
        <v>0</v>
      </c>
    </row>
    <row r="499" spans="2:27" x14ac:dyDescent="0.35">
      <c r="B499" s="12">
        <v>477</v>
      </c>
      <c r="C499" s="142">
        <f>IF(F498&gt;0.01,-PMT($C$8,$C$9*12,$C$6)+$C$10*_xlfn.XLOOKUP($D$10,'RE Calculations'!$B$12:$B$16,'RE Calculations'!$C$12:$C$16,"ERROR - Check Input")/12,0)</f>
        <v>0</v>
      </c>
      <c r="D499" s="142">
        <f t="shared" si="62"/>
        <v>0</v>
      </c>
      <c r="E499" s="142">
        <f>IFERROR(-IPMT($C$8,B499,$C$9*12,$C$6)+$C$10*_xlfn.XLOOKUP($D$10,'RE Calculations'!$B$12:$B$16,'RE Calculations'!$C$12:$C$16,"ERROR - Check Input")/12,0)</f>
        <v>0</v>
      </c>
      <c r="F499" s="142">
        <f t="shared" si="63"/>
        <v>0</v>
      </c>
      <c r="I499" s="12">
        <v>477</v>
      </c>
      <c r="J499" s="142">
        <f>IF(M498&gt;0.01,IF(I499&lt;=($J$9*12),$J$15,-PMT($J$11,($J$12-$J$9)*12,$J$6)+$J$13*_xlfn.XLOOKUP($K$13,'RE Calculations'!$B$12:$B$16,'RE Calculations'!$C$12:$C$16,"ERROR - Check Input")/12),0)</f>
        <v>0</v>
      </c>
      <c r="K499" s="142">
        <f t="shared" si="56"/>
        <v>0</v>
      </c>
      <c r="L499" s="142">
        <f>IF(I499&lt;=($J$9*12),$J$15,IFERROR(-IPMT($J$11,I499-$J$9*12,($J$12-$J$9)*12,$J$6)+$J$13*_xlfn.XLOOKUP($K$13,'RE Calculations'!$B$12:$B$16,'RE Calculations'!$C$12:$C$16,"ERROR - Check Input")/12,0))</f>
        <v>0</v>
      </c>
      <c r="M499" s="142">
        <f t="shared" si="57"/>
        <v>0</v>
      </c>
      <c r="P499" s="12">
        <v>477</v>
      </c>
      <c r="Q499" s="142">
        <f>IF(T498&gt;0.01,-PMT($Q$8,$Q$9*12,$Q$6)+$Q$10*_xlfn.XLOOKUP($R$10,'RE Calculations'!$B$12:$B$16,'RE Calculations'!$C$12:$C$16,"ERROR - Check Input")/12,0)</f>
        <v>0</v>
      </c>
      <c r="R499" s="142">
        <f t="shared" si="58"/>
        <v>0</v>
      </c>
      <c r="S499" s="142">
        <f>IFERROR(-IPMT($Q$8,P499,$Q$9*12,$Q$6)+$Q$10*_xlfn.XLOOKUP($R$10,'RE Calculations'!$B$12:$B$16,'RE Calculations'!$C$12:$C$16,"ERROR - Check Input")/12,0)</f>
        <v>0</v>
      </c>
      <c r="T499" s="142">
        <f t="shared" si="59"/>
        <v>0</v>
      </c>
      <c r="W499" s="12">
        <v>477</v>
      </c>
      <c r="X499" s="142">
        <f>IF(AA498&gt;0.01,IF(W499&lt;=($X$9*12),$X$15,-PMT($X$11,($X$12-$X$9)*12,$X$6)+$X$13*_xlfn.XLOOKUP($Y$13,'RE Calculations'!$B$12:$B$16,'RE Calculations'!$C$12:$C$16,"ERROR - Check Input")/12),0)</f>
        <v>0</v>
      </c>
      <c r="Y499" s="142">
        <f t="shared" si="60"/>
        <v>0</v>
      </c>
      <c r="Z499" s="142">
        <f>IF(W499&lt;=($X$9*12),$X$15,IFERROR(-IPMT($X$11,W499-$X$9*12,($X$12-$X$9)*12,$X$6)+$X$13*_xlfn.XLOOKUP($Y$13,'RE Calculations'!$B$12:$B$16,'RE Calculations'!$C$12:$C$16,"ERROR - Check Input")/12,0))</f>
        <v>0</v>
      </c>
      <c r="AA499" s="142">
        <f t="shared" si="61"/>
        <v>0</v>
      </c>
    </row>
    <row r="500" spans="2:27" x14ac:dyDescent="0.35">
      <c r="B500" s="12">
        <v>478</v>
      </c>
      <c r="C500" s="142">
        <f>IF(F499&gt;0.01,-PMT($C$8,$C$9*12,$C$6)+$C$10*_xlfn.XLOOKUP($D$10,'RE Calculations'!$B$12:$B$16,'RE Calculations'!$C$12:$C$16,"ERROR - Check Input")/12,0)</f>
        <v>0</v>
      </c>
      <c r="D500" s="142">
        <f t="shared" si="62"/>
        <v>0</v>
      </c>
      <c r="E500" s="142">
        <f>IFERROR(-IPMT($C$8,B500,$C$9*12,$C$6)+$C$10*_xlfn.XLOOKUP($D$10,'RE Calculations'!$B$12:$B$16,'RE Calculations'!$C$12:$C$16,"ERROR - Check Input")/12,0)</f>
        <v>0</v>
      </c>
      <c r="F500" s="142">
        <f t="shared" si="63"/>
        <v>0</v>
      </c>
      <c r="I500" s="12">
        <v>478</v>
      </c>
      <c r="J500" s="142">
        <f>IF(M499&gt;0.01,IF(I500&lt;=($J$9*12),$J$15,-PMT($J$11,($J$12-$J$9)*12,$J$6)+$J$13*_xlfn.XLOOKUP($K$13,'RE Calculations'!$B$12:$B$16,'RE Calculations'!$C$12:$C$16,"ERROR - Check Input")/12),0)</f>
        <v>0</v>
      </c>
      <c r="K500" s="142">
        <f t="shared" si="56"/>
        <v>0</v>
      </c>
      <c r="L500" s="142">
        <f>IF(I500&lt;=($J$9*12),$J$15,IFERROR(-IPMT($J$11,I500-$J$9*12,($J$12-$J$9)*12,$J$6)+$J$13*_xlfn.XLOOKUP($K$13,'RE Calculations'!$B$12:$B$16,'RE Calculations'!$C$12:$C$16,"ERROR - Check Input")/12,0))</f>
        <v>0</v>
      </c>
      <c r="M500" s="142">
        <f t="shared" si="57"/>
        <v>0</v>
      </c>
      <c r="P500" s="12">
        <v>478</v>
      </c>
      <c r="Q500" s="142">
        <f>IF(T499&gt;0.01,-PMT($Q$8,$Q$9*12,$Q$6)+$Q$10*_xlfn.XLOOKUP($R$10,'RE Calculations'!$B$12:$B$16,'RE Calculations'!$C$12:$C$16,"ERROR - Check Input")/12,0)</f>
        <v>0</v>
      </c>
      <c r="R500" s="142">
        <f t="shared" si="58"/>
        <v>0</v>
      </c>
      <c r="S500" s="142">
        <f>IFERROR(-IPMT($Q$8,P500,$Q$9*12,$Q$6)+$Q$10*_xlfn.XLOOKUP($R$10,'RE Calculations'!$B$12:$B$16,'RE Calculations'!$C$12:$C$16,"ERROR - Check Input")/12,0)</f>
        <v>0</v>
      </c>
      <c r="T500" s="142">
        <f t="shared" si="59"/>
        <v>0</v>
      </c>
      <c r="W500" s="12">
        <v>478</v>
      </c>
      <c r="X500" s="142">
        <f>IF(AA499&gt;0.01,IF(W500&lt;=($X$9*12),$X$15,-PMT($X$11,($X$12-$X$9)*12,$X$6)+$X$13*_xlfn.XLOOKUP($Y$13,'RE Calculations'!$B$12:$B$16,'RE Calculations'!$C$12:$C$16,"ERROR - Check Input")/12),0)</f>
        <v>0</v>
      </c>
      <c r="Y500" s="142">
        <f t="shared" si="60"/>
        <v>0</v>
      </c>
      <c r="Z500" s="142">
        <f>IF(W500&lt;=($X$9*12),$X$15,IFERROR(-IPMT($X$11,W500-$X$9*12,($X$12-$X$9)*12,$X$6)+$X$13*_xlfn.XLOOKUP($Y$13,'RE Calculations'!$B$12:$B$16,'RE Calculations'!$C$12:$C$16,"ERROR - Check Input")/12,0))</f>
        <v>0</v>
      </c>
      <c r="AA500" s="142">
        <f t="shared" si="61"/>
        <v>0</v>
      </c>
    </row>
    <row r="501" spans="2:27" x14ac:dyDescent="0.35">
      <c r="B501" s="12">
        <v>479</v>
      </c>
      <c r="C501" s="142">
        <f>IF(F500&gt;0.01,-PMT($C$8,$C$9*12,$C$6)+$C$10*_xlfn.XLOOKUP($D$10,'RE Calculations'!$B$12:$B$16,'RE Calculations'!$C$12:$C$16,"ERROR - Check Input")/12,0)</f>
        <v>0</v>
      </c>
      <c r="D501" s="142">
        <f t="shared" si="62"/>
        <v>0</v>
      </c>
      <c r="E501" s="142">
        <f>IFERROR(-IPMT($C$8,B501,$C$9*12,$C$6)+$C$10*_xlfn.XLOOKUP($D$10,'RE Calculations'!$B$12:$B$16,'RE Calculations'!$C$12:$C$16,"ERROR - Check Input")/12,0)</f>
        <v>0</v>
      </c>
      <c r="F501" s="142">
        <f t="shared" si="63"/>
        <v>0</v>
      </c>
      <c r="I501" s="12">
        <v>479</v>
      </c>
      <c r="J501" s="142">
        <f>IF(M500&gt;0.01,IF(I501&lt;=($J$9*12),$J$15,-PMT($J$11,($J$12-$J$9)*12,$J$6)+$J$13*_xlfn.XLOOKUP($K$13,'RE Calculations'!$B$12:$B$16,'RE Calculations'!$C$12:$C$16,"ERROR - Check Input")/12),0)</f>
        <v>0</v>
      </c>
      <c r="K501" s="142">
        <f t="shared" si="56"/>
        <v>0</v>
      </c>
      <c r="L501" s="142">
        <f>IF(I501&lt;=($J$9*12),$J$15,IFERROR(-IPMT($J$11,I501-$J$9*12,($J$12-$J$9)*12,$J$6)+$J$13*_xlfn.XLOOKUP($K$13,'RE Calculations'!$B$12:$B$16,'RE Calculations'!$C$12:$C$16,"ERROR - Check Input")/12,0))</f>
        <v>0</v>
      </c>
      <c r="M501" s="142">
        <f t="shared" si="57"/>
        <v>0</v>
      </c>
      <c r="P501" s="12">
        <v>479</v>
      </c>
      <c r="Q501" s="142">
        <f>IF(T500&gt;0.01,-PMT($Q$8,$Q$9*12,$Q$6)+$Q$10*_xlfn.XLOOKUP($R$10,'RE Calculations'!$B$12:$B$16,'RE Calculations'!$C$12:$C$16,"ERROR - Check Input")/12,0)</f>
        <v>0</v>
      </c>
      <c r="R501" s="142">
        <f t="shared" si="58"/>
        <v>0</v>
      </c>
      <c r="S501" s="142">
        <f>IFERROR(-IPMT($Q$8,P501,$Q$9*12,$Q$6)+$Q$10*_xlfn.XLOOKUP($R$10,'RE Calculations'!$B$12:$B$16,'RE Calculations'!$C$12:$C$16,"ERROR - Check Input")/12,0)</f>
        <v>0</v>
      </c>
      <c r="T501" s="142">
        <f t="shared" si="59"/>
        <v>0</v>
      </c>
      <c r="W501" s="12">
        <v>479</v>
      </c>
      <c r="X501" s="142">
        <f>IF(AA500&gt;0.01,IF(W501&lt;=($X$9*12),$X$15,-PMT($X$11,($X$12-$X$9)*12,$X$6)+$X$13*_xlfn.XLOOKUP($Y$13,'RE Calculations'!$B$12:$B$16,'RE Calculations'!$C$12:$C$16,"ERROR - Check Input")/12),0)</f>
        <v>0</v>
      </c>
      <c r="Y501" s="142">
        <f t="shared" si="60"/>
        <v>0</v>
      </c>
      <c r="Z501" s="142">
        <f>IF(W501&lt;=($X$9*12),$X$15,IFERROR(-IPMT($X$11,W501-$X$9*12,($X$12-$X$9)*12,$X$6)+$X$13*_xlfn.XLOOKUP($Y$13,'RE Calculations'!$B$12:$B$16,'RE Calculations'!$C$12:$C$16,"ERROR - Check Input")/12,0))</f>
        <v>0</v>
      </c>
      <c r="AA501" s="142">
        <f t="shared" si="61"/>
        <v>0</v>
      </c>
    </row>
    <row r="502" spans="2:27" x14ac:dyDescent="0.35">
      <c r="B502" s="12">
        <v>480</v>
      </c>
      <c r="C502" s="142">
        <f>IF(F501&gt;0.01,-PMT($C$8,$C$9*12,$C$6)+$C$10*_xlfn.XLOOKUP($D$10,'RE Calculations'!$B$12:$B$16,'RE Calculations'!$C$12:$C$16,"ERROR - Check Input")/12,0)</f>
        <v>0</v>
      </c>
      <c r="D502" s="142">
        <f t="shared" si="62"/>
        <v>0</v>
      </c>
      <c r="E502" s="142">
        <f>IFERROR(-IPMT($C$8,B502,$C$9*12,$C$6)+$C$10*_xlfn.XLOOKUP($D$10,'RE Calculations'!$B$12:$B$16,'RE Calculations'!$C$12:$C$16,"ERROR - Check Input")/12,0)</f>
        <v>0</v>
      </c>
      <c r="F502" s="142">
        <f t="shared" si="63"/>
        <v>0</v>
      </c>
      <c r="I502" s="12">
        <v>480</v>
      </c>
      <c r="J502" s="142">
        <f>IF(M501&gt;0.01,IF(I502&lt;=($J$9*12),$J$15,-PMT($J$11,($J$12-$J$9)*12,$J$6)+$J$13*_xlfn.XLOOKUP($K$13,'RE Calculations'!$B$12:$B$16,'RE Calculations'!$C$12:$C$16,"ERROR - Check Input")/12),0)</f>
        <v>0</v>
      </c>
      <c r="K502" s="142">
        <f t="shared" si="56"/>
        <v>0</v>
      </c>
      <c r="L502" s="142">
        <f>IF(I502&lt;=($J$9*12),$J$15,IFERROR(-IPMT($J$11,I502-$J$9*12,($J$12-$J$9)*12,$J$6)+$J$13*_xlfn.XLOOKUP($K$13,'RE Calculations'!$B$12:$B$16,'RE Calculations'!$C$12:$C$16,"ERROR - Check Input")/12,0))</f>
        <v>0</v>
      </c>
      <c r="M502" s="142">
        <f t="shared" si="57"/>
        <v>0</v>
      </c>
      <c r="P502" s="12">
        <v>480</v>
      </c>
      <c r="Q502" s="142">
        <f>IF(T501&gt;0.01,-PMT($Q$8,$Q$9*12,$Q$6)+$Q$10*_xlfn.XLOOKUP($R$10,'RE Calculations'!$B$12:$B$16,'RE Calculations'!$C$12:$C$16,"ERROR - Check Input")/12,0)</f>
        <v>0</v>
      </c>
      <c r="R502" s="142">
        <f t="shared" si="58"/>
        <v>0</v>
      </c>
      <c r="S502" s="142">
        <f>IFERROR(-IPMT($Q$8,P502,$Q$9*12,$Q$6)+$Q$10*_xlfn.XLOOKUP($R$10,'RE Calculations'!$B$12:$B$16,'RE Calculations'!$C$12:$C$16,"ERROR - Check Input")/12,0)</f>
        <v>0</v>
      </c>
      <c r="T502" s="142">
        <f t="shared" si="59"/>
        <v>0</v>
      </c>
      <c r="W502" s="12">
        <v>480</v>
      </c>
      <c r="X502" s="142">
        <f>IF(AA501&gt;0.01,IF(W502&lt;=($X$9*12),$X$15,-PMT($X$11,($X$12-$X$9)*12,$X$6)+$X$13*_xlfn.XLOOKUP($Y$13,'RE Calculations'!$B$12:$B$16,'RE Calculations'!$C$12:$C$16,"ERROR - Check Input")/12),0)</f>
        <v>0</v>
      </c>
      <c r="Y502" s="142">
        <f t="shared" si="60"/>
        <v>0</v>
      </c>
      <c r="Z502" s="142">
        <f>IF(W502&lt;=($X$9*12),$X$15,IFERROR(-IPMT($X$11,W502-$X$9*12,($X$12-$X$9)*12,$X$6)+$X$13*_xlfn.XLOOKUP($Y$13,'RE Calculations'!$B$12:$B$16,'RE Calculations'!$C$12:$C$16,"ERROR - Check Input")/12,0))</f>
        <v>0</v>
      </c>
      <c r="AA502" s="142">
        <f t="shared" si="61"/>
        <v>0</v>
      </c>
    </row>
    <row r="503" spans="2:27" x14ac:dyDescent="0.35">
      <c r="B503" s="12">
        <v>481</v>
      </c>
      <c r="C503" s="142">
        <f>IF(F502&gt;0.01,-PMT($C$8,$C$9*12,$C$6)+$C$10*_xlfn.XLOOKUP($D$10,'RE Calculations'!$B$12:$B$16,'RE Calculations'!$C$12:$C$16,"ERROR - Check Input")/12,0)</f>
        <v>0</v>
      </c>
      <c r="D503" s="142">
        <f t="shared" si="62"/>
        <v>0</v>
      </c>
      <c r="E503" s="142">
        <f>IFERROR(-IPMT($C$8,B503,$C$9*12,$C$6)+$C$10*_xlfn.XLOOKUP($D$10,'RE Calculations'!$B$12:$B$16,'RE Calculations'!$C$12:$C$16,"ERROR - Check Input")/12,0)</f>
        <v>0</v>
      </c>
      <c r="F503" s="142">
        <f t="shared" si="63"/>
        <v>0</v>
      </c>
      <c r="I503" s="12">
        <v>481</v>
      </c>
      <c r="J503" s="142">
        <f>IF(M502&gt;0.01,IF(I503&lt;=($J$9*12),$J$15,-PMT($J$11,($J$12-$J$9)*12,$J$6)+$J$13*_xlfn.XLOOKUP($K$13,'RE Calculations'!$B$12:$B$16,'RE Calculations'!$C$12:$C$16,"ERROR - Check Input")/12),0)</f>
        <v>0</v>
      </c>
      <c r="K503" s="142">
        <f t="shared" si="56"/>
        <v>0</v>
      </c>
      <c r="L503" s="142">
        <f>IF(I503&lt;=($J$9*12),$J$15,IFERROR(-IPMT($J$11,I503-$J$9*12,($J$12-$J$9)*12,$J$6)+$J$13*_xlfn.XLOOKUP($K$13,'RE Calculations'!$B$12:$B$16,'RE Calculations'!$C$12:$C$16,"ERROR - Check Input")/12,0))</f>
        <v>0</v>
      </c>
      <c r="M503" s="142">
        <f t="shared" si="57"/>
        <v>0</v>
      </c>
      <c r="P503" s="12">
        <v>481</v>
      </c>
      <c r="Q503" s="142">
        <f>IF(T502&gt;0.01,-PMT($Q$8,$Q$9*12,$Q$6)+$Q$10*_xlfn.XLOOKUP($R$10,'RE Calculations'!$B$12:$B$16,'RE Calculations'!$C$12:$C$16,"ERROR - Check Input")/12,0)</f>
        <v>0</v>
      </c>
      <c r="R503" s="142">
        <f t="shared" si="58"/>
        <v>0</v>
      </c>
      <c r="S503" s="142">
        <f>IFERROR(-IPMT($Q$8,P503,$Q$9*12,$Q$6)+$Q$10*_xlfn.XLOOKUP($R$10,'RE Calculations'!$B$12:$B$16,'RE Calculations'!$C$12:$C$16,"ERROR - Check Input")/12,0)</f>
        <v>0</v>
      </c>
      <c r="T503" s="142">
        <f t="shared" si="59"/>
        <v>0</v>
      </c>
      <c r="W503" s="12">
        <v>481</v>
      </c>
      <c r="X503" s="142">
        <f>IF(AA502&gt;0.01,IF(W503&lt;=($X$9*12),$X$15,-PMT($X$11,($X$12-$X$9)*12,$X$6)+$X$13*_xlfn.XLOOKUP($Y$13,'RE Calculations'!$B$12:$B$16,'RE Calculations'!$C$12:$C$16,"ERROR - Check Input")/12),0)</f>
        <v>0</v>
      </c>
      <c r="Y503" s="142">
        <f t="shared" si="60"/>
        <v>0</v>
      </c>
      <c r="Z503" s="142">
        <f>IF(W503&lt;=($X$9*12),$X$15,IFERROR(-IPMT($X$11,W503-$X$9*12,($X$12-$X$9)*12,$X$6)+$X$13*_xlfn.XLOOKUP($Y$13,'RE Calculations'!$B$12:$B$16,'RE Calculations'!$C$12:$C$16,"ERROR - Check Input")/12,0))</f>
        <v>0</v>
      </c>
      <c r="AA503" s="142">
        <f t="shared" si="61"/>
        <v>0</v>
      </c>
    </row>
    <row r="504" spans="2:27" x14ac:dyDescent="0.35">
      <c r="B504" s="12">
        <v>482</v>
      </c>
      <c r="C504" s="142">
        <f>IF(F503&gt;0.01,-PMT($C$8,$C$9*12,$C$6)+$C$10*_xlfn.XLOOKUP($D$10,'RE Calculations'!$B$12:$B$16,'RE Calculations'!$C$12:$C$16,"ERROR - Check Input")/12,0)</f>
        <v>0</v>
      </c>
      <c r="D504" s="142">
        <f t="shared" si="62"/>
        <v>0</v>
      </c>
      <c r="E504" s="142">
        <f>IFERROR(-IPMT($C$8,B504,$C$9*12,$C$6)+$C$10*_xlfn.XLOOKUP($D$10,'RE Calculations'!$B$12:$B$16,'RE Calculations'!$C$12:$C$16,"ERROR - Check Input")/12,0)</f>
        <v>0</v>
      </c>
      <c r="F504" s="142">
        <f t="shared" si="63"/>
        <v>0</v>
      </c>
      <c r="I504" s="12">
        <v>482</v>
      </c>
      <c r="J504" s="142">
        <f>IF(M503&gt;0.01,IF(I504&lt;=($J$9*12),$J$15,-PMT($J$11,($J$12-$J$9)*12,$J$6)+$J$13*_xlfn.XLOOKUP($K$13,'RE Calculations'!$B$12:$B$16,'RE Calculations'!$C$12:$C$16,"ERROR - Check Input")/12),0)</f>
        <v>0</v>
      </c>
      <c r="K504" s="142">
        <f t="shared" si="56"/>
        <v>0</v>
      </c>
      <c r="L504" s="142">
        <f>IF(I504&lt;=($J$9*12),$J$15,IFERROR(-IPMT($J$11,I504-$J$9*12,($J$12-$J$9)*12,$J$6)+$J$13*_xlfn.XLOOKUP($K$13,'RE Calculations'!$B$12:$B$16,'RE Calculations'!$C$12:$C$16,"ERROR - Check Input")/12,0))</f>
        <v>0</v>
      </c>
      <c r="M504" s="142">
        <f t="shared" si="57"/>
        <v>0</v>
      </c>
      <c r="P504" s="12">
        <v>482</v>
      </c>
      <c r="Q504" s="142">
        <f>IF(T503&gt;0.01,-PMT($Q$8,$Q$9*12,$Q$6)+$Q$10*_xlfn.XLOOKUP($R$10,'RE Calculations'!$B$12:$B$16,'RE Calculations'!$C$12:$C$16,"ERROR - Check Input")/12,0)</f>
        <v>0</v>
      </c>
      <c r="R504" s="142">
        <f t="shared" si="58"/>
        <v>0</v>
      </c>
      <c r="S504" s="142">
        <f>IFERROR(-IPMT($Q$8,P504,$Q$9*12,$Q$6)+$Q$10*_xlfn.XLOOKUP($R$10,'RE Calculations'!$B$12:$B$16,'RE Calculations'!$C$12:$C$16,"ERROR - Check Input")/12,0)</f>
        <v>0</v>
      </c>
      <c r="T504" s="142">
        <f t="shared" si="59"/>
        <v>0</v>
      </c>
      <c r="W504" s="12">
        <v>482</v>
      </c>
      <c r="X504" s="142">
        <f>IF(AA503&gt;0.01,IF(W504&lt;=($X$9*12),$X$15,-PMT($X$11,($X$12-$X$9)*12,$X$6)+$X$13*_xlfn.XLOOKUP($Y$13,'RE Calculations'!$B$12:$B$16,'RE Calculations'!$C$12:$C$16,"ERROR - Check Input")/12),0)</f>
        <v>0</v>
      </c>
      <c r="Y504" s="142">
        <f t="shared" si="60"/>
        <v>0</v>
      </c>
      <c r="Z504" s="142">
        <f>IF(W504&lt;=($X$9*12),$X$15,IFERROR(-IPMT($X$11,W504-$X$9*12,($X$12-$X$9)*12,$X$6)+$X$13*_xlfn.XLOOKUP($Y$13,'RE Calculations'!$B$12:$B$16,'RE Calculations'!$C$12:$C$16,"ERROR - Check Input")/12,0))</f>
        <v>0</v>
      </c>
      <c r="AA504" s="142">
        <f t="shared" si="61"/>
        <v>0</v>
      </c>
    </row>
    <row r="505" spans="2:27" x14ac:dyDescent="0.35">
      <c r="B505" s="12">
        <v>483</v>
      </c>
      <c r="C505" s="142">
        <f>IF(F504&gt;0.01,-PMT($C$8,$C$9*12,$C$6)+$C$10*_xlfn.XLOOKUP($D$10,'RE Calculations'!$B$12:$B$16,'RE Calculations'!$C$12:$C$16,"ERROR - Check Input")/12,0)</f>
        <v>0</v>
      </c>
      <c r="D505" s="142">
        <f t="shared" si="62"/>
        <v>0</v>
      </c>
      <c r="E505" s="142">
        <f>IFERROR(-IPMT($C$8,B505,$C$9*12,$C$6)+$C$10*_xlfn.XLOOKUP($D$10,'RE Calculations'!$B$12:$B$16,'RE Calculations'!$C$12:$C$16,"ERROR - Check Input")/12,0)</f>
        <v>0</v>
      </c>
      <c r="F505" s="142">
        <f t="shared" si="63"/>
        <v>0</v>
      </c>
      <c r="I505" s="12">
        <v>483</v>
      </c>
      <c r="J505" s="142">
        <f>IF(M504&gt;0.01,IF(I505&lt;=($J$9*12),$J$15,-PMT($J$11,($J$12-$J$9)*12,$J$6)+$J$13*_xlfn.XLOOKUP($K$13,'RE Calculations'!$B$12:$B$16,'RE Calculations'!$C$12:$C$16,"ERROR - Check Input")/12),0)</f>
        <v>0</v>
      </c>
      <c r="K505" s="142">
        <f t="shared" si="56"/>
        <v>0</v>
      </c>
      <c r="L505" s="142">
        <f>IF(I505&lt;=($J$9*12),$J$15,IFERROR(-IPMT($J$11,I505-$J$9*12,($J$12-$J$9)*12,$J$6)+$J$13*_xlfn.XLOOKUP($K$13,'RE Calculations'!$B$12:$B$16,'RE Calculations'!$C$12:$C$16,"ERROR - Check Input")/12,0))</f>
        <v>0</v>
      </c>
      <c r="M505" s="142">
        <f t="shared" si="57"/>
        <v>0</v>
      </c>
      <c r="P505" s="12">
        <v>483</v>
      </c>
      <c r="Q505" s="142">
        <f>IF(T504&gt;0.01,-PMT($Q$8,$Q$9*12,$Q$6)+$Q$10*_xlfn.XLOOKUP($R$10,'RE Calculations'!$B$12:$B$16,'RE Calculations'!$C$12:$C$16,"ERROR - Check Input")/12,0)</f>
        <v>0</v>
      </c>
      <c r="R505" s="142">
        <f t="shared" si="58"/>
        <v>0</v>
      </c>
      <c r="S505" s="142">
        <f>IFERROR(-IPMT($Q$8,P505,$Q$9*12,$Q$6)+$Q$10*_xlfn.XLOOKUP($R$10,'RE Calculations'!$B$12:$B$16,'RE Calculations'!$C$12:$C$16,"ERROR - Check Input")/12,0)</f>
        <v>0</v>
      </c>
      <c r="T505" s="142">
        <f t="shared" si="59"/>
        <v>0</v>
      </c>
      <c r="W505" s="12">
        <v>483</v>
      </c>
      <c r="X505" s="142">
        <f>IF(AA504&gt;0.01,IF(W505&lt;=($X$9*12),$X$15,-PMT($X$11,($X$12-$X$9)*12,$X$6)+$X$13*_xlfn.XLOOKUP($Y$13,'RE Calculations'!$B$12:$B$16,'RE Calculations'!$C$12:$C$16,"ERROR - Check Input")/12),0)</f>
        <v>0</v>
      </c>
      <c r="Y505" s="142">
        <f t="shared" si="60"/>
        <v>0</v>
      </c>
      <c r="Z505" s="142">
        <f>IF(W505&lt;=($X$9*12),$X$15,IFERROR(-IPMT($X$11,W505-$X$9*12,($X$12-$X$9)*12,$X$6)+$X$13*_xlfn.XLOOKUP($Y$13,'RE Calculations'!$B$12:$B$16,'RE Calculations'!$C$12:$C$16,"ERROR - Check Input")/12,0))</f>
        <v>0</v>
      </c>
      <c r="AA505" s="142">
        <f t="shared" si="61"/>
        <v>0</v>
      </c>
    </row>
    <row r="506" spans="2:27" x14ac:dyDescent="0.35">
      <c r="B506" s="12">
        <v>484</v>
      </c>
      <c r="C506" s="142">
        <f>IF(F505&gt;0.01,-PMT($C$8,$C$9*12,$C$6)+$C$10*_xlfn.XLOOKUP($D$10,'RE Calculations'!$B$12:$B$16,'RE Calculations'!$C$12:$C$16,"ERROR - Check Input")/12,0)</f>
        <v>0</v>
      </c>
      <c r="D506" s="142">
        <f t="shared" si="62"/>
        <v>0</v>
      </c>
      <c r="E506" s="142">
        <f>IFERROR(-IPMT($C$8,B506,$C$9*12,$C$6)+$C$10*_xlfn.XLOOKUP($D$10,'RE Calculations'!$B$12:$B$16,'RE Calculations'!$C$12:$C$16,"ERROR - Check Input")/12,0)</f>
        <v>0</v>
      </c>
      <c r="F506" s="142">
        <f t="shared" si="63"/>
        <v>0</v>
      </c>
      <c r="I506" s="12">
        <v>484</v>
      </c>
      <c r="J506" s="142">
        <f>IF(M505&gt;0.01,IF(I506&lt;=($J$9*12),$J$15,-PMT($J$11,($J$12-$J$9)*12,$J$6)+$J$13*_xlfn.XLOOKUP($K$13,'RE Calculations'!$B$12:$B$16,'RE Calculations'!$C$12:$C$16,"ERROR - Check Input")/12),0)</f>
        <v>0</v>
      </c>
      <c r="K506" s="142">
        <f t="shared" si="56"/>
        <v>0</v>
      </c>
      <c r="L506" s="142">
        <f>IF(I506&lt;=($J$9*12),$J$15,IFERROR(-IPMT($J$11,I506-$J$9*12,($J$12-$J$9)*12,$J$6)+$J$13*_xlfn.XLOOKUP($K$13,'RE Calculations'!$B$12:$B$16,'RE Calculations'!$C$12:$C$16,"ERROR - Check Input")/12,0))</f>
        <v>0</v>
      </c>
      <c r="M506" s="142">
        <f t="shared" si="57"/>
        <v>0</v>
      </c>
      <c r="P506" s="12">
        <v>484</v>
      </c>
      <c r="Q506" s="142">
        <f>IF(T505&gt;0.01,-PMT($Q$8,$Q$9*12,$Q$6)+$Q$10*_xlfn.XLOOKUP($R$10,'RE Calculations'!$B$12:$B$16,'RE Calculations'!$C$12:$C$16,"ERROR - Check Input")/12,0)</f>
        <v>0</v>
      </c>
      <c r="R506" s="142">
        <f t="shared" si="58"/>
        <v>0</v>
      </c>
      <c r="S506" s="142">
        <f>IFERROR(-IPMT($Q$8,P506,$Q$9*12,$Q$6)+$Q$10*_xlfn.XLOOKUP($R$10,'RE Calculations'!$B$12:$B$16,'RE Calculations'!$C$12:$C$16,"ERROR - Check Input")/12,0)</f>
        <v>0</v>
      </c>
      <c r="T506" s="142">
        <f t="shared" si="59"/>
        <v>0</v>
      </c>
      <c r="W506" s="12">
        <v>484</v>
      </c>
      <c r="X506" s="142">
        <f>IF(AA505&gt;0.01,IF(W506&lt;=($X$9*12),$X$15,-PMT($X$11,($X$12-$X$9)*12,$X$6)+$X$13*_xlfn.XLOOKUP($Y$13,'RE Calculations'!$B$12:$B$16,'RE Calculations'!$C$12:$C$16,"ERROR - Check Input")/12),0)</f>
        <v>0</v>
      </c>
      <c r="Y506" s="142">
        <f t="shared" si="60"/>
        <v>0</v>
      </c>
      <c r="Z506" s="142">
        <f>IF(W506&lt;=($X$9*12),$X$15,IFERROR(-IPMT($X$11,W506-$X$9*12,($X$12-$X$9)*12,$X$6)+$X$13*_xlfn.XLOOKUP($Y$13,'RE Calculations'!$B$12:$B$16,'RE Calculations'!$C$12:$C$16,"ERROR - Check Input")/12,0))</f>
        <v>0</v>
      </c>
      <c r="AA506" s="142">
        <f t="shared" si="61"/>
        <v>0</v>
      </c>
    </row>
    <row r="507" spans="2:27" x14ac:dyDescent="0.35">
      <c r="B507" s="12">
        <v>485</v>
      </c>
      <c r="C507" s="142">
        <f>IF(F506&gt;0.01,-PMT($C$8,$C$9*12,$C$6)+$C$10*_xlfn.XLOOKUP($D$10,'RE Calculations'!$B$12:$B$16,'RE Calculations'!$C$12:$C$16,"ERROR - Check Input")/12,0)</f>
        <v>0</v>
      </c>
      <c r="D507" s="142">
        <f t="shared" si="62"/>
        <v>0</v>
      </c>
      <c r="E507" s="142">
        <f>IFERROR(-IPMT($C$8,B507,$C$9*12,$C$6)+$C$10*_xlfn.XLOOKUP($D$10,'RE Calculations'!$B$12:$B$16,'RE Calculations'!$C$12:$C$16,"ERROR - Check Input")/12,0)</f>
        <v>0</v>
      </c>
      <c r="F507" s="142">
        <f t="shared" si="63"/>
        <v>0</v>
      </c>
      <c r="I507" s="12">
        <v>485</v>
      </c>
      <c r="J507" s="142">
        <f>IF(M506&gt;0.01,IF(I507&lt;=($J$9*12),$J$15,-PMT($J$11,($J$12-$J$9)*12,$J$6)+$J$13*_xlfn.XLOOKUP($K$13,'RE Calculations'!$B$12:$B$16,'RE Calculations'!$C$12:$C$16,"ERROR - Check Input")/12),0)</f>
        <v>0</v>
      </c>
      <c r="K507" s="142">
        <f t="shared" si="56"/>
        <v>0</v>
      </c>
      <c r="L507" s="142">
        <f>IF(I507&lt;=($J$9*12),$J$15,IFERROR(-IPMT($J$11,I507-$J$9*12,($J$12-$J$9)*12,$J$6)+$J$13*_xlfn.XLOOKUP($K$13,'RE Calculations'!$B$12:$B$16,'RE Calculations'!$C$12:$C$16,"ERROR - Check Input")/12,0))</f>
        <v>0</v>
      </c>
      <c r="M507" s="142">
        <f t="shared" si="57"/>
        <v>0</v>
      </c>
      <c r="P507" s="12">
        <v>485</v>
      </c>
      <c r="Q507" s="142">
        <f>IF(T506&gt;0.01,-PMT($Q$8,$Q$9*12,$Q$6)+$Q$10*_xlfn.XLOOKUP($R$10,'RE Calculations'!$B$12:$B$16,'RE Calculations'!$C$12:$C$16,"ERROR - Check Input")/12,0)</f>
        <v>0</v>
      </c>
      <c r="R507" s="142">
        <f t="shared" si="58"/>
        <v>0</v>
      </c>
      <c r="S507" s="142">
        <f>IFERROR(-IPMT($Q$8,P507,$Q$9*12,$Q$6)+$Q$10*_xlfn.XLOOKUP($R$10,'RE Calculations'!$B$12:$B$16,'RE Calculations'!$C$12:$C$16,"ERROR - Check Input")/12,0)</f>
        <v>0</v>
      </c>
      <c r="T507" s="142">
        <f t="shared" si="59"/>
        <v>0</v>
      </c>
      <c r="W507" s="12">
        <v>485</v>
      </c>
      <c r="X507" s="142">
        <f>IF(AA506&gt;0.01,IF(W507&lt;=($X$9*12),$X$15,-PMT($X$11,($X$12-$X$9)*12,$X$6)+$X$13*_xlfn.XLOOKUP($Y$13,'RE Calculations'!$B$12:$B$16,'RE Calculations'!$C$12:$C$16,"ERROR - Check Input")/12),0)</f>
        <v>0</v>
      </c>
      <c r="Y507" s="142">
        <f t="shared" si="60"/>
        <v>0</v>
      </c>
      <c r="Z507" s="142">
        <f>IF(W507&lt;=($X$9*12),$X$15,IFERROR(-IPMT($X$11,W507-$X$9*12,($X$12-$X$9)*12,$X$6)+$X$13*_xlfn.XLOOKUP($Y$13,'RE Calculations'!$B$12:$B$16,'RE Calculations'!$C$12:$C$16,"ERROR - Check Input")/12,0))</f>
        <v>0</v>
      </c>
      <c r="AA507" s="142">
        <f t="shared" si="61"/>
        <v>0</v>
      </c>
    </row>
    <row r="508" spans="2:27" x14ac:dyDescent="0.35">
      <c r="B508" s="12">
        <v>486</v>
      </c>
      <c r="C508" s="142">
        <f>IF(F507&gt;0.01,-PMT($C$8,$C$9*12,$C$6)+$C$10*_xlfn.XLOOKUP($D$10,'RE Calculations'!$B$12:$B$16,'RE Calculations'!$C$12:$C$16,"ERROR - Check Input")/12,0)</f>
        <v>0</v>
      </c>
      <c r="D508" s="142">
        <f t="shared" si="62"/>
        <v>0</v>
      </c>
      <c r="E508" s="142">
        <f>IFERROR(-IPMT($C$8,B508,$C$9*12,$C$6)+$C$10*_xlfn.XLOOKUP($D$10,'RE Calculations'!$B$12:$B$16,'RE Calculations'!$C$12:$C$16,"ERROR - Check Input")/12,0)</f>
        <v>0</v>
      </c>
      <c r="F508" s="142">
        <f t="shared" si="63"/>
        <v>0</v>
      </c>
      <c r="I508" s="12">
        <v>486</v>
      </c>
      <c r="J508" s="142">
        <f>IF(M507&gt;0.01,IF(I508&lt;=($J$9*12),$J$15,-PMT($J$11,($J$12-$J$9)*12,$J$6)+$J$13*_xlfn.XLOOKUP($K$13,'RE Calculations'!$B$12:$B$16,'RE Calculations'!$C$12:$C$16,"ERROR - Check Input")/12),0)</f>
        <v>0</v>
      </c>
      <c r="K508" s="142">
        <f t="shared" si="56"/>
        <v>0</v>
      </c>
      <c r="L508" s="142">
        <f>IF(I508&lt;=($J$9*12),$J$15,IFERROR(-IPMT($J$11,I508-$J$9*12,($J$12-$J$9)*12,$J$6)+$J$13*_xlfn.XLOOKUP($K$13,'RE Calculations'!$B$12:$B$16,'RE Calculations'!$C$12:$C$16,"ERROR - Check Input")/12,0))</f>
        <v>0</v>
      </c>
      <c r="M508" s="142">
        <f t="shared" si="57"/>
        <v>0</v>
      </c>
      <c r="P508" s="12">
        <v>486</v>
      </c>
      <c r="Q508" s="142">
        <f>IF(T507&gt;0.01,-PMT($Q$8,$Q$9*12,$Q$6)+$Q$10*_xlfn.XLOOKUP($R$10,'RE Calculations'!$B$12:$B$16,'RE Calculations'!$C$12:$C$16,"ERROR - Check Input")/12,0)</f>
        <v>0</v>
      </c>
      <c r="R508" s="142">
        <f t="shared" si="58"/>
        <v>0</v>
      </c>
      <c r="S508" s="142">
        <f>IFERROR(-IPMT($Q$8,P508,$Q$9*12,$Q$6)+$Q$10*_xlfn.XLOOKUP($R$10,'RE Calculations'!$B$12:$B$16,'RE Calculations'!$C$12:$C$16,"ERROR - Check Input")/12,0)</f>
        <v>0</v>
      </c>
      <c r="T508" s="142">
        <f t="shared" si="59"/>
        <v>0</v>
      </c>
      <c r="W508" s="12">
        <v>486</v>
      </c>
      <c r="X508" s="142">
        <f>IF(AA507&gt;0.01,IF(W508&lt;=($X$9*12),$X$15,-PMT($X$11,($X$12-$X$9)*12,$X$6)+$X$13*_xlfn.XLOOKUP($Y$13,'RE Calculations'!$B$12:$B$16,'RE Calculations'!$C$12:$C$16,"ERROR - Check Input")/12),0)</f>
        <v>0</v>
      </c>
      <c r="Y508" s="142">
        <f t="shared" si="60"/>
        <v>0</v>
      </c>
      <c r="Z508" s="142">
        <f>IF(W508&lt;=($X$9*12),$X$15,IFERROR(-IPMT($X$11,W508-$X$9*12,($X$12-$X$9)*12,$X$6)+$X$13*_xlfn.XLOOKUP($Y$13,'RE Calculations'!$B$12:$B$16,'RE Calculations'!$C$12:$C$16,"ERROR - Check Input")/12,0))</f>
        <v>0</v>
      </c>
      <c r="AA508" s="142">
        <f t="shared" si="61"/>
        <v>0</v>
      </c>
    </row>
    <row r="509" spans="2:27" x14ac:dyDescent="0.35">
      <c r="B509" s="12">
        <v>487</v>
      </c>
      <c r="C509" s="142">
        <f>IF(F508&gt;0.01,-PMT($C$8,$C$9*12,$C$6)+$C$10*_xlfn.XLOOKUP($D$10,'RE Calculations'!$B$12:$B$16,'RE Calculations'!$C$12:$C$16,"ERROR - Check Input")/12,0)</f>
        <v>0</v>
      </c>
      <c r="D509" s="142">
        <f t="shared" si="62"/>
        <v>0</v>
      </c>
      <c r="E509" s="142">
        <f>IFERROR(-IPMT($C$8,B509,$C$9*12,$C$6)+$C$10*_xlfn.XLOOKUP($D$10,'RE Calculations'!$B$12:$B$16,'RE Calculations'!$C$12:$C$16,"ERROR - Check Input")/12,0)</f>
        <v>0</v>
      </c>
      <c r="F509" s="142">
        <f t="shared" si="63"/>
        <v>0</v>
      </c>
      <c r="I509" s="12">
        <v>487</v>
      </c>
      <c r="J509" s="142">
        <f>IF(M508&gt;0.01,IF(I509&lt;=($J$9*12),$J$15,-PMT($J$11,($J$12-$J$9)*12,$J$6)+$J$13*_xlfn.XLOOKUP($K$13,'RE Calculations'!$B$12:$B$16,'RE Calculations'!$C$12:$C$16,"ERROR - Check Input")/12),0)</f>
        <v>0</v>
      </c>
      <c r="K509" s="142">
        <f t="shared" si="56"/>
        <v>0</v>
      </c>
      <c r="L509" s="142">
        <f>IF(I509&lt;=($J$9*12),$J$15,IFERROR(-IPMT($J$11,I509-$J$9*12,($J$12-$J$9)*12,$J$6)+$J$13*_xlfn.XLOOKUP($K$13,'RE Calculations'!$B$12:$B$16,'RE Calculations'!$C$12:$C$16,"ERROR - Check Input")/12,0))</f>
        <v>0</v>
      </c>
      <c r="M509" s="142">
        <f t="shared" si="57"/>
        <v>0</v>
      </c>
      <c r="P509" s="12">
        <v>487</v>
      </c>
      <c r="Q509" s="142">
        <f>IF(T508&gt;0.01,-PMT($Q$8,$Q$9*12,$Q$6)+$Q$10*_xlfn.XLOOKUP($R$10,'RE Calculations'!$B$12:$B$16,'RE Calculations'!$C$12:$C$16,"ERROR - Check Input")/12,0)</f>
        <v>0</v>
      </c>
      <c r="R509" s="142">
        <f t="shared" si="58"/>
        <v>0</v>
      </c>
      <c r="S509" s="142">
        <f>IFERROR(-IPMT($Q$8,P509,$Q$9*12,$Q$6)+$Q$10*_xlfn.XLOOKUP($R$10,'RE Calculations'!$B$12:$B$16,'RE Calculations'!$C$12:$C$16,"ERROR - Check Input")/12,0)</f>
        <v>0</v>
      </c>
      <c r="T509" s="142">
        <f t="shared" si="59"/>
        <v>0</v>
      </c>
      <c r="W509" s="12">
        <v>487</v>
      </c>
      <c r="X509" s="142">
        <f>IF(AA508&gt;0.01,IF(W509&lt;=($X$9*12),$X$15,-PMT($X$11,($X$12-$X$9)*12,$X$6)+$X$13*_xlfn.XLOOKUP($Y$13,'RE Calculations'!$B$12:$B$16,'RE Calculations'!$C$12:$C$16,"ERROR - Check Input")/12),0)</f>
        <v>0</v>
      </c>
      <c r="Y509" s="142">
        <f t="shared" si="60"/>
        <v>0</v>
      </c>
      <c r="Z509" s="142">
        <f>IF(W509&lt;=($X$9*12),$X$15,IFERROR(-IPMT($X$11,W509-$X$9*12,($X$12-$X$9)*12,$X$6)+$X$13*_xlfn.XLOOKUP($Y$13,'RE Calculations'!$B$12:$B$16,'RE Calculations'!$C$12:$C$16,"ERROR - Check Input")/12,0))</f>
        <v>0</v>
      </c>
      <c r="AA509" s="142">
        <f t="shared" si="61"/>
        <v>0</v>
      </c>
    </row>
    <row r="510" spans="2:27" x14ac:dyDescent="0.35">
      <c r="B510" s="12">
        <v>488</v>
      </c>
      <c r="C510" s="142">
        <f>IF(F509&gt;0.01,-PMT($C$8,$C$9*12,$C$6)+$C$10*_xlfn.XLOOKUP($D$10,'RE Calculations'!$B$12:$B$16,'RE Calculations'!$C$12:$C$16,"ERROR - Check Input")/12,0)</f>
        <v>0</v>
      </c>
      <c r="D510" s="142">
        <f t="shared" si="62"/>
        <v>0</v>
      </c>
      <c r="E510" s="142">
        <f>IFERROR(-IPMT($C$8,B510,$C$9*12,$C$6)+$C$10*_xlfn.XLOOKUP($D$10,'RE Calculations'!$B$12:$B$16,'RE Calculations'!$C$12:$C$16,"ERROR - Check Input")/12,0)</f>
        <v>0</v>
      </c>
      <c r="F510" s="142">
        <f t="shared" si="63"/>
        <v>0</v>
      </c>
      <c r="I510" s="12">
        <v>488</v>
      </c>
      <c r="J510" s="142">
        <f>IF(M509&gt;0.01,IF(I510&lt;=($J$9*12),$J$15,-PMT($J$11,($J$12-$J$9)*12,$J$6)+$J$13*_xlfn.XLOOKUP($K$13,'RE Calculations'!$B$12:$B$16,'RE Calculations'!$C$12:$C$16,"ERROR - Check Input")/12),0)</f>
        <v>0</v>
      </c>
      <c r="K510" s="142">
        <f t="shared" si="56"/>
        <v>0</v>
      </c>
      <c r="L510" s="142">
        <f>IF(I510&lt;=($J$9*12),$J$15,IFERROR(-IPMT($J$11,I510-$J$9*12,($J$12-$J$9)*12,$J$6)+$J$13*_xlfn.XLOOKUP($K$13,'RE Calculations'!$B$12:$B$16,'RE Calculations'!$C$12:$C$16,"ERROR - Check Input")/12,0))</f>
        <v>0</v>
      </c>
      <c r="M510" s="142">
        <f t="shared" si="57"/>
        <v>0</v>
      </c>
      <c r="P510" s="12">
        <v>488</v>
      </c>
      <c r="Q510" s="142">
        <f>IF(T509&gt;0.01,-PMT($Q$8,$Q$9*12,$Q$6)+$Q$10*_xlfn.XLOOKUP($R$10,'RE Calculations'!$B$12:$B$16,'RE Calculations'!$C$12:$C$16,"ERROR - Check Input")/12,0)</f>
        <v>0</v>
      </c>
      <c r="R510" s="142">
        <f t="shared" si="58"/>
        <v>0</v>
      </c>
      <c r="S510" s="142">
        <f>IFERROR(-IPMT($Q$8,P510,$Q$9*12,$Q$6)+$Q$10*_xlfn.XLOOKUP($R$10,'RE Calculations'!$B$12:$B$16,'RE Calculations'!$C$12:$C$16,"ERROR - Check Input")/12,0)</f>
        <v>0</v>
      </c>
      <c r="T510" s="142">
        <f t="shared" si="59"/>
        <v>0</v>
      </c>
      <c r="W510" s="12">
        <v>488</v>
      </c>
      <c r="X510" s="142">
        <f>IF(AA509&gt;0.01,IF(W510&lt;=($X$9*12),$X$15,-PMT($X$11,($X$12-$X$9)*12,$X$6)+$X$13*_xlfn.XLOOKUP($Y$13,'RE Calculations'!$B$12:$B$16,'RE Calculations'!$C$12:$C$16,"ERROR - Check Input")/12),0)</f>
        <v>0</v>
      </c>
      <c r="Y510" s="142">
        <f t="shared" si="60"/>
        <v>0</v>
      </c>
      <c r="Z510" s="142">
        <f>IF(W510&lt;=($X$9*12),$X$15,IFERROR(-IPMT($X$11,W510-$X$9*12,($X$12-$X$9)*12,$X$6)+$X$13*_xlfn.XLOOKUP($Y$13,'RE Calculations'!$B$12:$B$16,'RE Calculations'!$C$12:$C$16,"ERROR - Check Input")/12,0))</f>
        <v>0</v>
      </c>
      <c r="AA510" s="142">
        <f t="shared" si="61"/>
        <v>0</v>
      </c>
    </row>
    <row r="511" spans="2:27" x14ac:dyDescent="0.35">
      <c r="B511" s="12">
        <v>489</v>
      </c>
      <c r="C511" s="142">
        <f>IF(F510&gt;0.01,-PMT($C$8,$C$9*12,$C$6)+$C$10*_xlfn.XLOOKUP($D$10,'RE Calculations'!$B$12:$B$16,'RE Calculations'!$C$12:$C$16,"ERROR - Check Input")/12,0)</f>
        <v>0</v>
      </c>
      <c r="D511" s="142">
        <f t="shared" si="62"/>
        <v>0</v>
      </c>
      <c r="E511" s="142">
        <f>IFERROR(-IPMT($C$8,B511,$C$9*12,$C$6)+$C$10*_xlfn.XLOOKUP($D$10,'RE Calculations'!$B$12:$B$16,'RE Calculations'!$C$12:$C$16,"ERROR - Check Input")/12,0)</f>
        <v>0</v>
      </c>
      <c r="F511" s="142">
        <f t="shared" si="63"/>
        <v>0</v>
      </c>
      <c r="I511" s="12">
        <v>489</v>
      </c>
      <c r="J511" s="142">
        <f>IF(M510&gt;0.01,IF(I511&lt;=($J$9*12),$J$15,-PMT($J$11,($J$12-$J$9)*12,$J$6)+$J$13*_xlfn.XLOOKUP($K$13,'RE Calculations'!$B$12:$B$16,'RE Calculations'!$C$12:$C$16,"ERROR - Check Input")/12),0)</f>
        <v>0</v>
      </c>
      <c r="K511" s="142">
        <f t="shared" si="56"/>
        <v>0</v>
      </c>
      <c r="L511" s="142">
        <f>IF(I511&lt;=($J$9*12),$J$15,IFERROR(-IPMT($J$11,I511-$J$9*12,($J$12-$J$9)*12,$J$6)+$J$13*_xlfn.XLOOKUP($K$13,'RE Calculations'!$B$12:$B$16,'RE Calculations'!$C$12:$C$16,"ERROR - Check Input")/12,0))</f>
        <v>0</v>
      </c>
      <c r="M511" s="142">
        <f t="shared" si="57"/>
        <v>0</v>
      </c>
      <c r="P511" s="12">
        <v>489</v>
      </c>
      <c r="Q511" s="142">
        <f>IF(T510&gt;0.01,-PMT($Q$8,$Q$9*12,$Q$6)+$Q$10*_xlfn.XLOOKUP($R$10,'RE Calculations'!$B$12:$B$16,'RE Calculations'!$C$12:$C$16,"ERROR - Check Input")/12,0)</f>
        <v>0</v>
      </c>
      <c r="R511" s="142">
        <f t="shared" si="58"/>
        <v>0</v>
      </c>
      <c r="S511" s="142">
        <f>IFERROR(-IPMT($Q$8,P511,$Q$9*12,$Q$6)+$Q$10*_xlfn.XLOOKUP($R$10,'RE Calculations'!$B$12:$B$16,'RE Calculations'!$C$12:$C$16,"ERROR - Check Input")/12,0)</f>
        <v>0</v>
      </c>
      <c r="T511" s="142">
        <f t="shared" si="59"/>
        <v>0</v>
      </c>
      <c r="W511" s="12">
        <v>489</v>
      </c>
      <c r="X511" s="142">
        <f>IF(AA510&gt;0.01,IF(W511&lt;=($X$9*12),$X$15,-PMT($X$11,($X$12-$X$9)*12,$X$6)+$X$13*_xlfn.XLOOKUP($Y$13,'RE Calculations'!$B$12:$B$16,'RE Calculations'!$C$12:$C$16,"ERROR - Check Input")/12),0)</f>
        <v>0</v>
      </c>
      <c r="Y511" s="142">
        <f t="shared" si="60"/>
        <v>0</v>
      </c>
      <c r="Z511" s="142">
        <f>IF(W511&lt;=($X$9*12),$X$15,IFERROR(-IPMT($X$11,W511-$X$9*12,($X$12-$X$9)*12,$X$6)+$X$13*_xlfn.XLOOKUP($Y$13,'RE Calculations'!$B$12:$B$16,'RE Calculations'!$C$12:$C$16,"ERROR - Check Input")/12,0))</f>
        <v>0</v>
      </c>
      <c r="AA511" s="142">
        <f t="shared" si="61"/>
        <v>0</v>
      </c>
    </row>
    <row r="512" spans="2:27" x14ac:dyDescent="0.35">
      <c r="B512" s="12">
        <v>490</v>
      </c>
      <c r="C512" s="142">
        <f>IF(F511&gt;0.01,-PMT($C$8,$C$9*12,$C$6)+$C$10*_xlfn.XLOOKUP($D$10,'RE Calculations'!$B$12:$B$16,'RE Calculations'!$C$12:$C$16,"ERROR - Check Input")/12,0)</f>
        <v>0</v>
      </c>
      <c r="D512" s="142">
        <f t="shared" si="62"/>
        <v>0</v>
      </c>
      <c r="E512" s="142">
        <f>IFERROR(-IPMT($C$8,B512,$C$9*12,$C$6)+$C$10*_xlfn.XLOOKUP($D$10,'RE Calculations'!$B$12:$B$16,'RE Calculations'!$C$12:$C$16,"ERROR - Check Input")/12,0)</f>
        <v>0</v>
      </c>
      <c r="F512" s="142">
        <f t="shared" si="63"/>
        <v>0</v>
      </c>
      <c r="I512" s="12">
        <v>490</v>
      </c>
      <c r="J512" s="142">
        <f>IF(M511&gt;0.01,IF(I512&lt;=($J$9*12),$J$15,-PMT($J$11,($J$12-$J$9)*12,$J$6)+$J$13*_xlfn.XLOOKUP($K$13,'RE Calculations'!$B$12:$B$16,'RE Calculations'!$C$12:$C$16,"ERROR - Check Input")/12),0)</f>
        <v>0</v>
      </c>
      <c r="K512" s="142">
        <f t="shared" si="56"/>
        <v>0</v>
      </c>
      <c r="L512" s="142">
        <f>IF(I512&lt;=($J$9*12),$J$15,IFERROR(-IPMT($J$11,I512-$J$9*12,($J$12-$J$9)*12,$J$6)+$J$13*_xlfn.XLOOKUP($K$13,'RE Calculations'!$B$12:$B$16,'RE Calculations'!$C$12:$C$16,"ERROR - Check Input")/12,0))</f>
        <v>0</v>
      </c>
      <c r="M512" s="142">
        <f t="shared" si="57"/>
        <v>0</v>
      </c>
      <c r="P512" s="12">
        <v>490</v>
      </c>
      <c r="Q512" s="142">
        <f>IF(T511&gt;0.01,-PMT($Q$8,$Q$9*12,$Q$6)+$Q$10*_xlfn.XLOOKUP($R$10,'RE Calculations'!$B$12:$B$16,'RE Calculations'!$C$12:$C$16,"ERROR - Check Input")/12,0)</f>
        <v>0</v>
      </c>
      <c r="R512" s="142">
        <f t="shared" si="58"/>
        <v>0</v>
      </c>
      <c r="S512" s="142">
        <f>IFERROR(-IPMT($Q$8,P512,$Q$9*12,$Q$6)+$Q$10*_xlfn.XLOOKUP($R$10,'RE Calculations'!$B$12:$B$16,'RE Calculations'!$C$12:$C$16,"ERROR - Check Input")/12,0)</f>
        <v>0</v>
      </c>
      <c r="T512" s="142">
        <f t="shared" si="59"/>
        <v>0</v>
      </c>
      <c r="W512" s="12">
        <v>490</v>
      </c>
      <c r="X512" s="142">
        <f>IF(AA511&gt;0.01,IF(W512&lt;=($X$9*12),$X$15,-PMT($X$11,($X$12-$X$9)*12,$X$6)+$X$13*_xlfn.XLOOKUP($Y$13,'RE Calculations'!$B$12:$B$16,'RE Calculations'!$C$12:$C$16,"ERROR - Check Input")/12),0)</f>
        <v>0</v>
      </c>
      <c r="Y512" s="142">
        <f t="shared" si="60"/>
        <v>0</v>
      </c>
      <c r="Z512" s="142">
        <f>IF(W512&lt;=($X$9*12),$X$15,IFERROR(-IPMT($X$11,W512-$X$9*12,($X$12-$X$9)*12,$X$6)+$X$13*_xlfn.XLOOKUP($Y$13,'RE Calculations'!$B$12:$B$16,'RE Calculations'!$C$12:$C$16,"ERROR - Check Input")/12,0))</f>
        <v>0</v>
      </c>
      <c r="AA512" s="142">
        <f t="shared" si="61"/>
        <v>0</v>
      </c>
    </row>
    <row r="513" spans="2:27" x14ac:dyDescent="0.35">
      <c r="B513" s="12">
        <v>491</v>
      </c>
      <c r="C513" s="142">
        <f>IF(F512&gt;0.01,-PMT($C$8,$C$9*12,$C$6)+$C$10*_xlfn.XLOOKUP($D$10,'RE Calculations'!$B$12:$B$16,'RE Calculations'!$C$12:$C$16,"ERROR - Check Input")/12,0)</f>
        <v>0</v>
      </c>
      <c r="D513" s="142">
        <f t="shared" si="62"/>
        <v>0</v>
      </c>
      <c r="E513" s="142">
        <f>IFERROR(-IPMT($C$8,B513,$C$9*12,$C$6)+$C$10*_xlfn.XLOOKUP($D$10,'RE Calculations'!$B$12:$B$16,'RE Calculations'!$C$12:$C$16,"ERROR - Check Input")/12,0)</f>
        <v>0</v>
      </c>
      <c r="F513" s="142">
        <f t="shared" si="63"/>
        <v>0</v>
      </c>
      <c r="I513" s="12">
        <v>491</v>
      </c>
      <c r="J513" s="142">
        <f>IF(M512&gt;0.01,IF(I513&lt;=($J$9*12),$J$15,-PMT($J$11,($J$12-$J$9)*12,$J$6)+$J$13*_xlfn.XLOOKUP($K$13,'RE Calculations'!$B$12:$B$16,'RE Calculations'!$C$12:$C$16,"ERROR - Check Input")/12),0)</f>
        <v>0</v>
      </c>
      <c r="K513" s="142">
        <f t="shared" si="56"/>
        <v>0</v>
      </c>
      <c r="L513" s="142">
        <f>IF(I513&lt;=($J$9*12),$J$15,IFERROR(-IPMT($J$11,I513-$J$9*12,($J$12-$J$9)*12,$J$6)+$J$13*_xlfn.XLOOKUP($K$13,'RE Calculations'!$B$12:$B$16,'RE Calculations'!$C$12:$C$16,"ERROR - Check Input")/12,0))</f>
        <v>0</v>
      </c>
      <c r="M513" s="142">
        <f t="shared" si="57"/>
        <v>0</v>
      </c>
      <c r="P513" s="12">
        <v>491</v>
      </c>
      <c r="Q513" s="142">
        <f>IF(T512&gt;0.01,-PMT($Q$8,$Q$9*12,$Q$6)+$Q$10*_xlfn.XLOOKUP($R$10,'RE Calculations'!$B$12:$B$16,'RE Calculations'!$C$12:$C$16,"ERROR - Check Input")/12,0)</f>
        <v>0</v>
      </c>
      <c r="R513" s="142">
        <f t="shared" si="58"/>
        <v>0</v>
      </c>
      <c r="S513" s="142">
        <f>IFERROR(-IPMT($Q$8,P513,$Q$9*12,$Q$6)+$Q$10*_xlfn.XLOOKUP($R$10,'RE Calculations'!$B$12:$B$16,'RE Calculations'!$C$12:$C$16,"ERROR - Check Input")/12,0)</f>
        <v>0</v>
      </c>
      <c r="T513" s="142">
        <f t="shared" si="59"/>
        <v>0</v>
      </c>
      <c r="W513" s="12">
        <v>491</v>
      </c>
      <c r="X513" s="142">
        <f>IF(AA512&gt;0.01,IF(W513&lt;=($X$9*12),$X$15,-PMT($X$11,($X$12-$X$9)*12,$X$6)+$X$13*_xlfn.XLOOKUP($Y$13,'RE Calculations'!$B$12:$B$16,'RE Calculations'!$C$12:$C$16,"ERROR - Check Input")/12),0)</f>
        <v>0</v>
      </c>
      <c r="Y513" s="142">
        <f t="shared" si="60"/>
        <v>0</v>
      </c>
      <c r="Z513" s="142">
        <f>IF(W513&lt;=($X$9*12),$X$15,IFERROR(-IPMT($X$11,W513-$X$9*12,($X$12-$X$9)*12,$X$6)+$X$13*_xlfn.XLOOKUP($Y$13,'RE Calculations'!$B$12:$B$16,'RE Calculations'!$C$12:$C$16,"ERROR - Check Input")/12,0))</f>
        <v>0</v>
      </c>
      <c r="AA513" s="142">
        <f t="shared" si="61"/>
        <v>0</v>
      </c>
    </row>
    <row r="514" spans="2:27" x14ac:dyDescent="0.35">
      <c r="B514" s="12">
        <v>492</v>
      </c>
      <c r="C514" s="142">
        <f>IF(F513&gt;0.01,-PMT($C$8,$C$9*12,$C$6)+$C$10*_xlfn.XLOOKUP($D$10,'RE Calculations'!$B$12:$B$16,'RE Calculations'!$C$12:$C$16,"ERROR - Check Input")/12,0)</f>
        <v>0</v>
      </c>
      <c r="D514" s="142">
        <f t="shared" si="62"/>
        <v>0</v>
      </c>
      <c r="E514" s="142">
        <f>IFERROR(-IPMT($C$8,B514,$C$9*12,$C$6)+$C$10*_xlfn.XLOOKUP($D$10,'RE Calculations'!$B$12:$B$16,'RE Calculations'!$C$12:$C$16,"ERROR - Check Input")/12,0)</f>
        <v>0</v>
      </c>
      <c r="F514" s="142">
        <f t="shared" si="63"/>
        <v>0</v>
      </c>
      <c r="I514" s="12">
        <v>492</v>
      </c>
      <c r="J514" s="142">
        <f>IF(M513&gt;0.01,IF(I514&lt;=($J$9*12),$J$15,-PMT($J$11,($J$12-$J$9)*12,$J$6)+$J$13*_xlfn.XLOOKUP($K$13,'RE Calculations'!$B$12:$B$16,'RE Calculations'!$C$12:$C$16,"ERROR - Check Input")/12),0)</f>
        <v>0</v>
      </c>
      <c r="K514" s="142">
        <f t="shared" si="56"/>
        <v>0</v>
      </c>
      <c r="L514" s="142">
        <f>IF(I514&lt;=($J$9*12),$J$15,IFERROR(-IPMT($J$11,I514-$J$9*12,($J$12-$J$9)*12,$J$6)+$J$13*_xlfn.XLOOKUP($K$13,'RE Calculations'!$B$12:$B$16,'RE Calculations'!$C$12:$C$16,"ERROR - Check Input")/12,0))</f>
        <v>0</v>
      </c>
      <c r="M514" s="142">
        <f t="shared" si="57"/>
        <v>0</v>
      </c>
      <c r="P514" s="12">
        <v>492</v>
      </c>
      <c r="Q514" s="142">
        <f>IF(T513&gt;0.01,-PMT($Q$8,$Q$9*12,$Q$6)+$Q$10*_xlfn.XLOOKUP($R$10,'RE Calculations'!$B$12:$B$16,'RE Calculations'!$C$12:$C$16,"ERROR - Check Input")/12,0)</f>
        <v>0</v>
      </c>
      <c r="R514" s="142">
        <f t="shared" si="58"/>
        <v>0</v>
      </c>
      <c r="S514" s="142">
        <f>IFERROR(-IPMT($Q$8,P514,$Q$9*12,$Q$6)+$Q$10*_xlfn.XLOOKUP($R$10,'RE Calculations'!$B$12:$B$16,'RE Calculations'!$C$12:$C$16,"ERROR - Check Input")/12,0)</f>
        <v>0</v>
      </c>
      <c r="T514" s="142">
        <f t="shared" si="59"/>
        <v>0</v>
      </c>
      <c r="W514" s="12">
        <v>492</v>
      </c>
      <c r="X514" s="142">
        <f>IF(AA513&gt;0.01,IF(W514&lt;=($X$9*12),$X$15,-PMT($X$11,($X$12-$X$9)*12,$X$6)+$X$13*_xlfn.XLOOKUP($Y$13,'RE Calculations'!$B$12:$B$16,'RE Calculations'!$C$12:$C$16,"ERROR - Check Input")/12),0)</f>
        <v>0</v>
      </c>
      <c r="Y514" s="142">
        <f t="shared" si="60"/>
        <v>0</v>
      </c>
      <c r="Z514" s="142">
        <f>IF(W514&lt;=($X$9*12),$X$15,IFERROR(-IPMT($X$11,W514-$X$9*12,($X$12-$X$9)*12,$X$6)+$X$13*_xlfn.XLOOKUP($Y$13,'RE Calculations'!$B$12:$B$16,'RE Calculations'!$C$12:$C$16,"ERROR - Check Input")/12,0))</f>
        <v>0</v>
      </c>
      <c r="AA514" s="142">
        <f t="shared" si="61"/>
        <v>0</v>
      </c>
    </row>
    <row r="515" spans="2:27" x14ac:dyDescent="0.35">
      <c r="B515" s="12">
        <v>493</v>
      </c>
      <c r="C515" s="142">
        <f>IF(F514&gt;0.01,-PMT($C$8,$C$9*12,$C$6)+$C$10*_xlfn.XLOOKUP($D$10,'RE Calculations'!$B$12:$B$16,'RE Calculations'!$C$12:$C$16,"ERROR - Check Input")/12,0)</f>
        <v>0</v>
      </c>
      <c r="D515" s="142">
        <f t="shared" si="62"/>
        <v>0</v>
      </c>
      <c r="E515" s="142">
        <f>IFERROR(-IPMT($C$8,B515,$C$9*12,$C$6)+$C$10*_xlfn.XLOOKUP($D$10,'RE Calculations'!$B$12:$B$16,'RE Calculations'!$C$12:$C$16,"ERROR - Check Input")/12,0)</f>
        <v>0</v>
      </c>
      <c r="F515" s="142">
        <f t="shared" si="63"/>
        <v>0</v>
      </c>
      <c r="I515" s="12">
        <v>493</v>
      </c>
      <c r="J515" s="142">
        <f>IF(M514&gt;0.01,IF(I515&lt;=($J$9*12),$J$15,-PMT($J$11,($J$12-$J$9)*12,$J$6)+$J$13*_xlfn.XLOOKUP($K$13,'RE Calculations'!$B$12:$B$16,'RE Calculations'!$C$12:$C$16,"ERROR - Check Input")/12),0)</f>
        <v>0</v>
      </c>
      <c r="K515" s="142">
        <f t="shared" si="56"/>
        <v>0</v>
      </c>
      <c r="L515" s="142">
        <f>IF(I515&lt;=($J$9*12),$J$15,IFERROR(-IPMT($J$11,I515-$J$9*12,($J$12-$J$9)*12,$J$6)+$J$13*_xlfn.XLOOKUP($K$13,'RE Calculations'!$B$12:$B$16,'RE Calculations'!$C$12:$C$16,"ERROR - Check Input")/12,0))</f>
        <v>0</v>
      </c>
      <c r="M515" s="142">
        <f t="shared" si="57"/>
        <v>0</v>
      </c>
      <c r="P515" s="12">
        <v>493</v>
      </c>
      <c r="Q515" s="142">
        <f>IF(T514&gt;0.01,-PMT($Q$8,$Q$9*12,$Q$6)+$Q$10*_xlfn.XLOOKUP($R$10,'RE Calculations'!$B$12:$B$16,'RE Calculations'!$C$12:$C$16,"ERROR - Check Input")/12,0)</f>
        <v>0</v>
      </c>
      <c r="R515" s="142">
        <f t="shared" si="58"/>
        <v>0</v>
      </c>
      <c r="S515" s="142">
        <f>IFERROR(-IPMT($Q$8,P515,$Q$9*12,$Q$6)+$Q$10*_xlfn.XLOOKUP($R$10,'RE Calculations'!$B$12:$B$16,'RE Calculations'!$C$12:$C$16,"ERROR - Check Input")/12,0)</f>
        <v>0</v>
      </c>
      <c r="T515" s="142">
        <f t="shared" si="59"/>
        <v>0</v>
      </c>
      <c r="W515" s="12">
        <v>493</v>
      </c>
      <c r="X515" s="142">
        <f>IF(AA514&gt;0.01,IF(W515&lt;=($X$9*12),$X$15,-PMT($X$11,($X$12-$X$9)*12,$X$6)+$X$13*_xlfn.XLOOKUP($Y$13,'RE Calculations'!$B$12:$B$16,'RE Calculations'!$C$12:$C$16,"ERROR - Check Input")/12),0)</f>
        <v>0</v>
      </c>
      <c r="Y515" s="142">
        <f t="shared" si="60"/>
        <v>0</v>
      </c>
      <c r="Z515" s="142">
        <f>IF(W515&lt;=($X$9*12),$X$15,IFERROR(-IPMT($X$11,W515-$X$9*12,($X$12-$X$9)*12,$X$6)+$X$13*_xlfn.XLOOKUP($Y$13,'RE Calculations'!$B$12:$B$16,'RE Calculations'!$C$12:$C$16,"ERROR - Check Input")/12,0))</f>
        <v>0</v>
      </c>
      <c r="AA515" s="142">
        <f t="shared" si="61"/>
        <v>0</v>
      </c>
    </row>
    <row r="516" spans="2:27" x14ac:dyDescent="0.35">
      <c r="B516" s="12">
        <v>494</v>
      </c>
      <c r="C516" s="142">
        <f>IF(F515&gt;0.01,-PMT($C$8,$C$9*12,$C$6)+$C$10*_xlfn.XLOOKUP($D$10,'RE Calculations'!$B$12:$B$16,'RE Calculations'!$C$12:$C$16,"ERROR - Check Input")/12,0)</f>
        <v>0</v>
      </c>
      <c r="D516" s="142">
        <f t="shared" si="62"/>
        <v>0</v>
      </c>
      <c r="E516" s="142">
        <f>IFERROR(-IPMT($C$8,B516,$C$9*12,$C$6)+$C$10*_xlfn.XLOOKUP($D$10,'RE Calculations'!$B$12:$B$16,'RE Calculations'!$C$12:$C$16,"ERROR - Check Input")/12,0)</f>
        <v>0</v>
      </c>
      <c r="F516" s="142">
        <f t="shared" si="63"/>
        <v>0</v>
      </c>
      <c r="I516" s="12">
        <v>494</v>
      </c>
      <c r="J516" s="142">
        <f>IF(M515&gt;0.01,IF(I516&lt;=($J$9*12),$J$15,-PMT($J$11,($J$12-$J$9)*12,$J$6)+$J$13*_xlfn.XLOOKUP($K$13,'RE Calculations'!$B$12:$B$16,'RE Calculations'!$C$12:$C$16,"ERROR - Check Input")/12),0)</f>
        <v>0</v>
      </c>
      <c r="K516" s="142">
        <f t="shared" si="56"/>
        <v>0</v>
      </c>
      <c r="L516" s="142">
        <f>IF(I516&lt;=($J$9*12),$J$15,IFERROR(-IPMT($J$11,I516-$J$9*12,($J$12-$J$9)*12,$J$6)+$J$13*_xlfn.XLOOKUP($K$13,'RE Calculations'!$B$12:$B$16,'RE Calculations'!$C$12:$C$16,"ERROR - Check Input")/12,0))</f>
        <v>0</v>
      </c>
      <c r="M516" s="142">
        <f t="shared" si="57"/>
        <v>0</v>
      </c>
      <c r="P516" s="12">
        <v>494</v>
      </c>
      <c r="Q516" s="142">
        <f>IF(T515&gt;0.01,-PMT($Q$8,$Q$9*12,$Q$6)+$Q$10*_xlfn.XLOOKUP($R$10,'RE Calculations'!$B$12:$B$16,'RE Calculations'!$C$12:$C$16,"ERROR - Check Input")/12,0)</f>
        <v>0</v>
      </c>
      <c r="R516" s="142">
        <f t="shared" si="58"/>
        <v>0</v>
      </c>
      <c r="S516" s="142">
        <f>IFERROR(-IPMT($Q$8,P516,$Q$9*12,$Q$6)+$Q$10*_xlfn.XLOOKUP($R$10,'RE Calculations'!$B$12:$B$16,'RE Calculations'!$C$12:$C$16,"ERROR - Check Input")/12,0)</f>
        <v>0</v>
      </c>
      <c r="T516" s="142">
        <f t="shared" si="59"/>
        <v>0</v>
      </c>
      <c r="W516" s="12">
        <v>494</v>
      </c>
      <c r="X516" s="142">
        <f>IF(AA515&gt;0.01,IF(W516&lt;=($X$9*12),$X$15,-PMT($X$11,($X$12-$X$9)*12,$X$6)+$X$13*_xlfn.XLOOKUP($Y$13,'RE Calculations'!$B$12:$B$16,'RE Calculations'!$C$12:$C$16,"ERROR - Check Input")/12),0)</f>
        <v>0</v>
      </c>
      <c r="Y516" s="142">
        <f t="shared" si="60"/>
        <v>0</v>
      </c>
      <c r="Z516" s="142">
        <f>IF(W516&lt;=($X$9*12),$X$15,IFERROR(-IPMT($X$11,W516-$X$9*12,($X$12-$X$9)*12,$X$6)+$X$13*_xlfn.XLOOKUP($Y$13,'RE Calculations'!$B$12:$B$16,'RE Calculations'!$C$12:$C$16,"ERROR - Check Input")/12,0))</f>
        <v>0</v>
      </c>
      <c r="AA516" s="142">
        <f t="shared" si="61"/>
        <v>0</v>
      </c>
    </row>
    <row r="517" spans="2:27" x14ac:dyDescent="0.35">
      <c r="B517" s="12">
        <v>495</v>
      </c>
      <c r="C517" s="142">
        <f>IF(F516&gt;0.01,-PMT($C$8,$C$9*12,$C$6)+$C$10*_xlfn.XLOOKUP($D$10,'RE Calculations'!$B$12:$B$16,'RE Calculations'!$C$12:$C$16,"ERROR - Check Input")/12,0)</f>
        <v>0</v>
      </c>
      <c r="D517" s="142">
        <f t="shared" si="62"/>
        <v>0</v>
      </c>
      <c r="E517" s="142">
        <f>IFERROR(-IPMT($C$8,B517,$C$9*12,$C$6)+$C$10*_xlfn.XLOOKUP($D$10,'RE Calculations'!$B$12:$B$16,'RE Calculations'!$C$12:$C$16,"ERROR - Check Input")/12,0)</f>
        <v>0</v>
      </c>
      <c r="F517" s="142">
        <f t="shared" si="63"/>
        <v>0</v>
      </c>
      <c r="I517" s="12">
        <v>495</v>
      </c>
      <c r="J517" s="142">
        <f>IF(M516&gt;0.01,IF(I517&lt;=($J$9*12),$J$15,-PMT($J$11,($J$12-$J$9)*12,$J$6)+$J$13*_xlfn.XLOOKUP($K$13,'RE Calculations'!$B$12:$B$16,'RE Calculations'!$C$12:$C$16,"ERROR - Check Input")/12),0)</f>
        <v>0</v>
      </c>
      <c r="K517" s="142">
        <f t="shared" si="56"/>
        <v>0</v>
      </c>
      <c r="L517" s="142">
        <f>IF(I517&lt;=($J$9*12),$J$15,IFERROR(-IPMT($J$11,I517-$J$9*12,($J$12-$J$9)*12,$J$6)+$J$13*_xlfn.XLOOKUP($K$13,'RE Calculations'!$B$12:$B$16,'RE Calculations'!$C$12:$C$16,"ERROR - Check Input")/12,0))</f>
        <v>0</v>
      </c>
      <c r="M517" s="142">
        <f t="shared" si="57"/>
        <v>0</v>
      </c>
      <c r="P517" s="12">
        <v>495</v>
      </c>
      <c r="Q517" s="142">
        <f>IF(T516&gt;0.01,-PMT($Q$8,$Q$9*12,$Q$6)+$Q$10*_xlfn.XLOOKUP($R$10,'RE Calculations'!$B$12:$B$16,'RE Calculations'!$C$12:$C$16,"ERROR - Check Input")/12,0)</f>
        <v>0</v>
      </c>
      <c r="R517" s="142">
        <f t="shared" si="58"/>
        <v>0</v>
      </c>
      <c r="S517" s="142">
        <f>IFERROR(-IPMT($Q$8,P517,$Q$9*12,$Q$6)+$Q$10*_xlfn.XLOOKUP($R$10,'RE Calculations'!$B$12:$B$16,'RE Calculations'!$C$12:$C$16,"ERROR - Check Input")/12,0)</f>
        <v>0</v>
      </c>
      <c r="T517" s="142">
        <f t="shared" si="59"/>
        <v>0</v>
      </c>
      <c r="W517" s="12">
        <v>495</v>
      </c>
      <c r="X517" s="142">
        <f>IF(AA516&gt;0.01,IF(W517&lt;=($X$9*12),$X$15,-PMT($X$11,($X$12-$X$9)*12,$X$6)+$X$13*_xlfn.XLOOKUP($Y$13,'RE Calculations'!$B$12:$B$16,'RE Calculations'!$C$12:$C$16,"ERROR - Check Input")/12),0)</f>
        <v>0</v>
      </c>
      <c r="Y517" s="142">
        <f t="shared" si="60"/>
        <v>0</v>
      </c>
      <c r="Z517" s="142">
        <f>IF(W517&lt;=($X$9*12),$X$15,IFERROR(-IPMT($X$11,W517-$X$9*12,($X$12-$X$9)*12,$X$6)+$X$13*_xlfn.XLOOKUP($Y$13,'RE Calculations'!$B$12:$B$16,'RE Calculations'!$C$12:$C$16,"ERROR - Check Input")/12,0))</f>
        <v>0</v>
      </c>
      <c r="AA517" s="142">
        <f t="shared" si="61"/>
        <v>0</v>
      </c>
    </row>
    <row r="518" spans="2:27" x14ac:dyDescent="0.35">
      <c r="B518" s="12">
        <v>496</v>
      </c>
      <c r="C518" s="142">
        <f>IF(F517&gt;0.01,-PMT($C$8,$C$9*12,$C$6)+$C$10*_xlfn.XLOOKUP($D$10,'RE Calculations'!$B$12:$B$16,'RE Calculations'!$C$12:$C$16,"ERROR - Check Input")/12,0)</f>
        <v>0</v>
      </c>
      <c r="D518" s="142">
        <f t="shared" si="62"/>
        <v>0</v>
      </c>
      <c r="E518" s="142">
        <f>IFERROR(-IPMT($C$8,B518,$C$9*12,$C$6)+$C$10*_xlfn.XLOOKUP($D$10,'RE Calculations'!$B$12:$B$16,'RE Calculations'!$C$12:$C$16,"ERROR - Check Input")/12,0)</f>
        <v>0</v>
      </c>
      <c r="F518" s="142">
        <f t="shared" si="63"/>
        <v>0</v>
      </c>
      <c r="I518" s="12">
        <v>496</v>
      </c>
      <c r="J518" s="142">
        <f>IF(M517&gt;0.01,IF(I518&lt;=($J$9*12),$J$15,-PMT($J$11,($J$12-$J$9)*12,$J$6)+$J$13*_xlfn.XLOOKUP($K$13,'RE Calculations'!$B$12:$B$16,'RE Calculations'!$C$12:$C$16,"ERROR - Check Input")/12),0)</f>
        <v>0</v>
      </c>
      <c r="K518" s="142">
        <f t="shared" si="56"/>
        <v>0</v>
      </c>
      <c r="L518" s="142">
        <f>IF(I518&lt;=($J$9*12),$J$15,IFERROR(-IPMT($J$11,I518-$J$9*12,($J$12-$J$9)*12,$J$6)+$J$13*_xlfn.XLOOKUP($K$13,'RE Calculations'!$B$12:$B$16,'RE Calculations'!$C$12:$C$16,"ERROR - Check Input")/12,0))</f>
        <v>0</v>
      </c>
      <c r="M518" s="142">
        <f t="shared" si="57"/>
        <v>0</v>
      </c>
      <c r="P518" s="12">
        <v>496</v>
      </c>
      <c r="Q518" s="142">
        <f>IF(T517&gt;0.01,-PMT($Q$8,$Q$9*12,$Q$6)+$Q$10*_xlfn.XLOOKUP($R$10,'RE Calculations'!$B$12:$B$16,'RE Calculations'!$C$12:$C$16,"ERROR - Check Input")/12,0)</f>
        <v>0</v>
      </c>
      <c r="R518" s="142">
        <f t="shared" si="58"/>
        <v>0</v>
      </c>
      <c r="S518" s="142">
        <f>IFERROR(-IPMT($Q$8,P518,$Q$9*12,$Q$6)+$Q$10*_xlfn.XLOOKUP($R$10,'RE Calculations'!$B$12:$B$16,'RE Calculations'!$C$12:$C$16,"ERROR - Check Input")/12,0)</f>
        <v>0</v>
      </c>
      <c r="T518" s="142">
        <f t="shared" si="59"/>
        <v>0</v>
      </c>
      <c r="W518" s="12">
        <v>496</v>
      </c>
      <c r="X518" s="142">
        <f>IF(AA517&gt;0.01,IF(W518&lt;=($X$9*12),$X$15,-PMT($X$11,($X$12-$X$9)*12,$X$6)+$X$13*_xlfn.XLOOKUP($Y$13,'RE Calculations'!$B$12:$B$16,'RE Calculations'!$C$12:$C$16,"ERROR - Check Input")/12),0)</f>
        <v>0</v>
      </c>
      <c r="Y518" s="142">
        <f t="shared" si="60"/>
        <v>0</v>
      </c>
      <c r="Z518" s="142">
        <f>IF(W518&lt;=($X$9*12),$X$15,IFERROR(-IPMT($X$11,W518-$X$9*12,($X$12-$X$9)*12,$X$6)+$X$13*_xlfn.XLOOKUP($Y$13,'RE Calculations'!$B$12:$B$16,'RE Calculations'!$C$12:$C$16,"ERROR - Check Input")/12,0))</f>
        <v>0</v>
      </c>
      <c r="AA518" s="142">
        <f t="shared" si="61"/>
        <v>0</v>
      </c>
    </row>
    <row r="519" spans="2:27" x14ac:dyDescent="0.35">
      <c r="B519" s="12">
        <v>497</v>
      </c>
      <c r="C519" s="142">
        <f>IF(F518&gt;0.01,-PMT($C$8,$C$9*12,$C$6)+$C$10*_xlfn.XLOOKUP($D$10,'RE Calculations'!$B$12:$B$16,'RE Calculations'!$C$12:$C$16,"ERROR - Check Input")/12,0)</f>
        <v>0</v>
      </c>
      <c r="D519" s="142">
        <f t="shared" si="62"/>
        <v>0</v>
      </c>
      <c r="E519" s="142">
        <f>IFERROR(-IPMT($C$8,B519,$C$9*12,$C$6)+$C$10*_xlfn.XLOOKUP($D$10,'RE Calculations'!$B$12:$B$16,'RE Calculations'!$C$12:$C$16,"ERROR - Check Input")/12,0)</f>
        <v>0</v>
      </c>
      <c r="F519" s="142">
        <f t="shared" si="63"/>
        <v>0</v>
      </c>
      <c r="I519" s="12">
        <v>497</v>
      </c>
      <c r="J519" s="142">
        <f>IF(M518&gt;0.01,IF(I519&lt;=($J$9*12),$J$15,-PMT($J$11,($J$12-$J$9)*12,$J$6)+$J$13*_xlfn.XLOOKUP($K$13,'RE Calculations'!$B$12:$B$16,'RE Calculations'!$C$12:$C$16,"ERROR - Check Input")/12),0)</f>
        <v>0</v>
      </c>
      <c r="K519" s="142">
        <f t="shared" si="56"/>
        <v>0</v>
      </c>
      <c r="L519" s="142">
        <f>IF(I519&lt;=($J$9*12),$J$15,IFERROR(-IPMT($J$11,I519-$J$9*12,($J$12-$J$9)*12,$J$6)+$J$13*_xlfn.XLOOKUP($K$13,'RE Calculations'!$B$12:$B$16,'RE Calculations'!$C$12:$C$16,"ERROR - Check Input")/12,0))</f>
        <v>0</v>
      </c>
      <c r="M519" s="142">
        <f t="shared" si="57"/>
        <v>0</v>
      </c>
      <c r="P519" s="12">
        <v>497</v>
      </c>
      <c r="Q519" s="142">
        <f>IF(T518&gt;0.01,-PMT($Q$8,$Q$9*12,$Q$6)+$Q$10*_xlfn.XLOOKUP($R$10,'RE Calculations'!$B$12:$B$16,'RE Calculations'!$C$12:$C$16,"ERROR - Check Input")/12,0)</f>
        <v>0</v>
      </c>
      <c r="R519" s="142">
        <f t="shared" si="58"/>
        <v>0</v>
      </c>
      <c r="S519" s="142">
        <f>IFERROR(-IPMT($Q$8,P519,$Q$9*12,$Q$6)+$Q$10*_xlfn.XLOOKUP($R$10,'RE Calculations'!$B$12:$B$16,'RE Calculations'!$C$12:$C$16,"ERROR - Check Input")/12,0)</f>
        <v>0</v>
      </c>
      <c r="T519" s="142">
        <f t="shared" si="59"/>
        <v>0</v>
      </c>
      <c r="W519" s="12">
        <v>497</v>
      </c>
      <c r="X519" s="142">
        <f>IF(AA518&gt;0.01,IF(W519&lt;=($X$9*12),$X$15,-PMT($X$11,($X$12-$X$9)*12,$X$6)+$X$13*_xlfn.XLOOKUP($Y$13,'RE Calculations'!$B$12:$B$16,'RE Calculations'!$C$12:$C$16,"ERROR - Check Input")/12),0)</f>
        <v>0</v>
      </c>
      <c r="Y519" s="142">
        <f t="shared" si="60"/>
        <v>0</v>
      </c>
      <c r="Z519" s="142">
        <f>IF(W519&lt;=($X$9*12),$X$15,IFERROR(-IPMT($X$11,W519-$X$9*12,($X$12-$X$9)*12,$X$6)+$X$13*_xlfn.XLOOKUP($Y$13,'RE Calculations'!$B$12:$B$16,'RE Calculations'!$C$12:$C$16,"ERROR - Check Input")/12,0))</f>
        <v>0</v>
      </c>
      <c r="AA519" s="142">
        <f t="shared" si="61"/>
        <v>0</v>
      </c>
    </row>
    <row r="520" spans="2:27" x14ac:dyDescent="0.35">
      <c r="B520" s="12">
        <v>498</v>
      </c>
      <c r="C520" s="142">
        <f>IF(F519&gt;0.01,-PMT($C$8,$C$9*12,$C$6)+$C$10*_xlfn.XLOOKUP($D$10,'RE Calculations'!$B$12:$B$16,'RE Calculations'!$C$12:$C$16,"ERROR - Check Input")/12,0)</f>
        <v>0</v>
      </c>
      <c r="D520" s="142">
        <f t="shared" si="62"/>
        <v>0</v>
      </c>
      <c r="E520" s="142">
        <f>IFERROR(-IPMT($C$8,B520,$C$9*12,$C$6)+$C$10*_xlfn.XLOOKUP($D$10,'RE Calculations'!$B$12:$B$16,'RE Calculations'!$C$12:$C$16,"ERROR - Check Input")/12,0)</f>
        <v>0</v>
      </c>
      <c r="F520" s="142">
        <f t="shared" si="63"/>
        <v>0</v>
      </c>
      <c r="I520" s="12">
        <v>498</v>
      </c>
      <c r="J520" s="142">
        <f>IF(M519&gt;0.01,IF(I520&lt;=($J$9*12),$J$15,-PMT($J$11,($J$12-$J$9)*12,$J$6)+$J$13*_xlfn.XLOOKUP($K$13,'RE Calculations'!$B$12:$B$16,'RE Calculations'!$C$12:$C$16,"ERROR - Check Input")/12),0)</f>
        <v>0</v>
      </c>
      <c r="K520" s="142">
        <f t="shared" si="56"/>
        <v>0</v>
      </c>
      <c r="L520" s="142">
        <f>IF(I520&lt;=($J$9*12),$J$15,IFERROR(-IPMT($J$11,I520-$J$9*12,($J$12-$J$9)*12,$J$6)+$J$13*_xlfn.XLOOKUP($K$13,'RE Calculations'!$B$12:$B$16,'RE Calculations'!$C$12:$C$16,"ERROR - Check Input")/12,0))</f>
        <v>0</v>
      </c>
      <c r="M520" s="142">
        <f t="shared" si="57"/>
        <v>0</v>
      </c>
      <c r="P520" s="12">
        <v>498</v>
      </c>
      <c r="Q520" s="142">
        <f>IF(T519&gt;0.01,-PMT($Q$8,$Q$9*12,$Q$6)+$Q$10*_xlfn.XLOOKUP($R$10,'RE Calculations'!$B$12:$B$16,'RE Calculations'!$C$12:$C$16,"ERROR - Check Input")/12,0)</f>
        <v>0</v>
      </c>
      <c r="R520" s="142">
        <f t="shared" si="58"/>
        <v>0</v>
      </c>
      <c r="S520" s="142">
        <f>IFERROR(-IPMT($Q$8,P520,$Q$9*12,$Q$6)+$Q$10*_xlfn.XLOOKUP($R$10,'RE Calculations'!$B$12:$B$16,'RE Calculations'!$C$12:$C$16,"ERROR - Check Input")/12,0)</f>
        <v>0</v>
      </c>
      <c r="T520" s="142">
        <f t="shared" si="59"/>
        <v>0</v>
      </c>
      <c r="W520" s="12">
        <v>498</v>
      </c>
      <c r="X520" s="142">
        <f>IF(AA519&gt;0.01,IF(W520&lt;=($X$9*12),$X$15,-PMT($X$11,($X$12-$X$9)*12,$X$6)+$X$13*_xlfn.XLOOKUP($Y$13,'RE Calculations'!$B$12:$B$16,'RE Calculations'!$C$12:$C$16,"ERROR - Check Input")/12),0)</f>
        <v>0</v>
      </c>
      <c r="Y520" s="142">
        <f t="shared" si="60"/>
        <v>0</v>
      </c>
      <c r="Z520" s="142">
        <f>IF(W520&lt;=($X$9*12),$X$15,IFERROR(-IPMT($X$11,W520-$X$9*12,($X$12-$X$9)*12,$X$6)+$X$13*_xlfn.XLOOKUP($Y$13,'RE Calculations'!$B$12:$B$16,'RE Calculations'!$C$12:$C$16,"ERROR - Check Input")/12,0))</f>
        <v>0</v>
      </c>
      <c r="AA520" s="142">
        <f t="shared" si="61"/>
        <v>0</v>
      </c>
    </row>
    <row r="521" spans="2:27" x14ac:dyDescent="0.35">
      <c r="B521" s="12">
        <v>499</v>
      </c>
      <c r="C521" s="142">
        <f>IF(F520&gt;0.01,-PMT($C$8,$C$9*12,$C$6)+$C$10*_xlfn.XLOOKUP($D$10,'RE Calculations'!$B$12:$B$16,'RE Calculations'!$C$12:$C$16,"ERROR - Check Input")/12,0)</f>
        <v>0</v>
      </c>
      <c r="D521" s="142">
        <f t="shared" si="62"/>
        <v>0</v>
      </c>
      <c r="E521" s="142">
        <f>IFERROR(-IPMT($C$8,B521,$C$9*12,$C$6)+$C$10*_xlfn.XLOOKUP($D$10,'RE Calculations'!$B$12:$B$16,'RE Calculations'!$C$12:$C$16,"ERROR - Check Input")/12,0)</f>
        <v>0</v>
      </c>
      <c r="F521" s="142">
        <f t="shared" si="63"/>
        <v>0</v>
      </c>
      <c r="I521" s="12">
        <v>499</v>
      </c>
      <c r="J521" s="142">
        <f>IF(M520&gt;0.01,IF(I521&lt;=($J$9*12),$J$15,-PMT($J$11,($J$12-$J$9)*12,$J$6)+$J$13*_xlfn.XLOOKUP($K$13,'RE Calculations'!$B$12:$B$16,'RE Calculations'!$C$12:$C$16,"ERROR - Check Input")/12),0)</f>
        <v>0</v>
      </c>
      <c r="K521" s="142">
        <f t="shared" si="56"/>
        <v>0</v>
      </c>
      <c r="L521" s="142">
        <f>IF(I521&lt;=($J$9*12),$J$15,IFERROR(-IPMT($J$11,I521-$J$9*12,($J$12-$J$9)*12,$J$6)+$J$13*_xlfn.XLOOKUP($K$13,'RE Calculations'!$B$12:$B$16,'RE Calculations'!$C$12:$C$16,"ERROR - Check Input")/12,0))</f>
        <v>0</v>
      </c>
      <c r="M521" s="142">
        <f t="shared" si="57"/>
        <v>0</v>
      </c>
      <c r="P521" s="12">
        <v>499</v>
      </c>
      <c r="Q521" s="142">
        <f>IF(T520&gt;0.01,-PMT($Q$8,$Q$9*12,$Q$6)+$Q$10*_xlfn.XLOOKUP($R$10,'RE Calculations'!$B$12:$B$16,'RE Calculations'!$C$12:$C$16,"ERROR - Check Input")/12,0)</f>
        <v>0</v>
      </c>
      <c r="R521" s="142">
        <f t="shared" si="58"/>
        <v>0</v>
      </c>
      <c r="S521" s="142">
        <f>IFERROR(-IPMT($Q$8,P521,$Q$9*12,$Q$6)+$Q$10*_xlfn.XLOOKUP($R$10,'RE Calculations'!$B$12:$B$16,'RE Calculations'!$C$12:$C$16,"ERROR - Check Input")/12,0)</f>
        <v>0</v>
      </c>
      <c r="T521" s="142">
        <f t="shared" si="59"/>
        <v>0</v>
      </c>
      <c r="W521" s="12">
        <v>499</v>
      </c>
      <c r="X521" s="142">
        <f>IF(AA520&gt;0.01,IF(W521&lt;=($X$9*12),$X$15,-PMT($X$11,($X$12-$X$9)*12,$X$6)+$X$13*_xlfn.XLOOKUP($Y$13,'RE Calculations'!$B$12:$B$16,'RE Calculations'!$C$12:$C$16,"ERROR - Check Input")/12),0)</f>
        <v>0</v>
      </c>
      <c r="Y521" s="142">
        <f t="shared" si="60"/>
        <v>0</v>
      </c>
      <c r="Z521" s="142">
        <f>IF(W521&lt;=($X$9*12),$X$15,IFERROR(-IPMT($X$11,W521-$X$9*12,($X$12-$X$9)*12,$X$6)+$X$13*_xlfn.XLOOKUP($Y$13,'RE Calculations'!$B$12:$B$16,'RE Calculations'!$C$12:$C$16,"ERROR - Check Input")/12,0))</f>
        <v>0</v>
      </c>
      <c r="AA521" s="142">
        <f t="shared" si="61"/>
        <v>0</v>
      </c>
    </row>
    <row r="522" spans="2:27" x14ac:dyDescent="0.35">
      <c r="B522" s="12">
        <v>500</v>
      </c>
      <c r="C522" s="142">
        <f>IF(F521&gt;0.01,-PMT($C$8,$C$9*12,$C$6)+$C$10*_xlfn.XLOOKUP($D$10,'RE Calculations'!$B$12:$B$16,'RE Calculations'!$C$12:$C$16,"ERROR - Check Input")/12,0)</f>
        <v>0</v>
      </c>
      <c r="D522" s="142">
        <f t="shared" si="62"/>
        <v>0</v>
      </c>
      <c r="E522" s="142">
        <f>IFERROR(-IPMT($C$8,B522,$C$9*12,$C$6)+$C$10*_xlfn.XLOOKUP($D$10,'RE Calculations'!$B$12:$B$16,'RE Calculations'!$C$12:$C$16,"ERROR - Check Input")/12,0)</f>
        <v>0</v>
      </c>
      <c r="F522" s="142">
        <f t="shared" si="63"/>
        <v>0</v>
      </c>
      <c r="I522" s="12">
        <v>500</v>
      </c>
      <c r="J522" s="142">
        <f>IF(M521&gt;0.01,IF(I522&lt;=($J$9*12),$J$15,-PMT($J$11,($J$12-$J$9)*12,$J$6)+$J$13*_xlfn.XLOOKUP($K$13,'RE Calculations'!$B$12:$B$16,'RE Calculations'!$C$12:$C$16,"ERROR - Check Input")/12),0)</f>
        <v>0</v>
      </c>
      <c r="K522" s="142">
        <f t="shared" si="56"/>
        <v>0</v>
      </c>
      <c r="L522" s="142">
        <f>IF(I522&lt;=($J$9*12),$J$15,IFERROR(-IPMT($J$11,I522-$J$9*12,($J$12-$J$9)*12,$J$6)+$J$13*_xlfn.XLOOKUP($K$13,'RE Calculations'!$B$12:$B$16,'RE Calculations'!$C$12:$C$16,"ERROR - Check Input")/12,0))</f>
        <v>0</v>
      </c>
      <c r="M522" s="142">
        <f t="shared" si="57"/>
        <v>0</v>
      </c>
      <c r="P522" s="12">
        <v>500</v>
      </c>
      <c r="Q522" s="142">
        <f>IF(T521&gt;0.01,-PMT($Q$8,$Q$9*12,$Q$6)+$Q$10*_xlfn.XLOOKUP($R$10,'RE Calculations'!$B$12:$B$16,'RE Calculations'!$C$12:$C$16,"ERROR - Check Input")/12,0)</f>
        <v>0</v>
      </c>
      <c r="R522" s="142">
        <f t="shared" si="58"/>
        <v>0</v>
      </c>
      <c r="S522" s="142">
        <f>IFERROR(-IPMT($Q$8,P522,$Q$9*12,$Q$6)+$Q$10*_xlfn.XLOOKUP($R$10,'RE Calculations'!$B$12:$B$16,'RE Calculations'!$C$12:$C$16,"ERROR - Check Input")/12,0)</f>
        <v>0</v>
      </c>
      <c r="T522" s="142">
        <f t="shared" si="59"/>
        <v>0</v>
      </c>
      <c r="W522" s="12">
        <v>500</v>
      </c>
      <c r="X522" s="142">
        <f>IF(AA521&gt;0.01,IF(W522&lt;=($X$9*12),$X$15,-PMT($X$11,($X$12-$X$9)*12,$X$6)+$X$13*_xlfn.XLOOKUP($Y$13,'RE Calculations'!$B$12:$B$16,'RE Calculations'!$C$12:$C$16,"ERROR - Check Input")/12),0)</f>
        <v>0</v>
      </c>
      <c r="Y522" s="142">
        <f t="shared" si="60"/>
        <v>0</v>
      </c>
      <c r="Z522" s="142">
        <f>IF(W522&lt;=($X$9*12),$X$15,IFERROR(-IPMT($X$11,W522-$X$9*12,($X$12-$X$9)*12,$X$6)+$X$13*_xlfn.XLOOKUP($Y$13,'RE Calculations'!$B$12:$B$16,'RE Calculations'!$C$12:$C$16,"ERROR - Check Input")/12,0))</f>
        <v>0</v>
      </c>
      <c r="AA522" s="142">
        <f t="shared" si="61"/>
        <v>0</v>
      </c>
    </row>
    <row r="523" spans="2:27" x14ac:dyDescent="0.35">
      <c r="B523" s="12">
        <v>501</v>
      </c>
      <c r="C523" s="142">
        <f>IF(F522&gt;0.01,-PMT($C$8,$C$9*12,$C$6)+$C$10*_xlfn.XLOOKUP($D$10,'RE Calculations'!$B$12:$B$16,'RE Calculations'!$C$12:$C$16,"ERROR - Check Input")/12,0)</f>
        <v>0</v>
      </c>
      <c r="D523" s="142">
        <f t="shared" si="62"/>
        <v>0</v>
      </c>
      <c r="E523" s="142">
        <f>IFERROR(-IPMT($C$8,B523,$C$9*12,$C$6)+$C$10*_xlfn.XLOOKUP($D$10,'RE Calculations'!$B$12:$B$16,'RE Calculations'!$C$12:$C$16,"ERROR - Check Input")/12,0)</f>
        <v>0</v>
      </c>
      <c r="F523" s="142">
        <f t="shared" si="63"/>
        <v>0</v>
      </c>
      <c r="I523" s="12">
        <v>501</v>
      </c>
      <c r="J523" s="142">
        <f>IF(M522&gt;0.01,IF(I523&lt;=($J$9*12),$J$15,-PMT($J$11,($J$12-$J$9)*12,$J$6)+$J$13*_xlfn.XLOOKUP($K$13,'RE Calculations'!$B$12:$B$16,'RE Calculations'!$C$12:$C$16,"ERROR - Check Input")/12),0)</f>
        <v>0</v>
      </c>
      <c r="K523" s="142">
        <f t="shared" si="56"/>
        <v>0</v>
      </c>
      <c r="L523" s="142">
        <f>IF(I523&lt;=($J$9*12),$J$15,IFERROR(-IPMT($J$11,I523-$J$9*12,($J$12-$J$9)*12,$J$6)+$J$13*_xlfn.XLOOKUP($K$13,'RE Calculations'!$B$12:$B$16,'RE Calculations'!$C$12:$C$16,"ERROR - Check Input")/12,0))</f>
        <v>0</v>
      </c>
      <c r="M523" s="142">
        <f t="shared" si="57"/>
        <v>0</v>
      </c>
      <c r="P523" s="12">
        <v>501</v>
      </c>
      <c r="Q523" s="142">
        <f>IF(T522&gt;0.01,-PMT($Q$8,$Q$9*12,$Q$6)+$Q$10*_xlfn.XLOOKUP($R$10,'RE Calculations'!$B$12:$B$16,'RE Calculations'!$C$12:$C$16,"ERROR - Check Input")/12,0)</f>
        <v>0</v>
      </c>
      <c r="R523" s="142">
        <f t="shared" si="58"/>
        <v>0</v>
      </c>
      <c r="S523" s="142">
        <f>IFERROR(-IPMT($Q$8,P523,$Q$9*12,$Q$6)+$Q$10*_xlfn.XLOOKUP($R$10,'RE Calculations'!$B$12:$B$16,'RE Calculations'!$C$12:$C$16,"ERROR - Check Input")/12,0)</f>
        <v>0</v>
      </c>
      <c r="T523" s="142">
        <f t="shared" si="59"/>
        <v>0</v>
      </c>
      <c r="W523" s="12">
        <v>501</v>
      </c>
      <c r="X523" s="142">
        <f>IF(AA522&gt;0.01,IF(W523&lt;=($X$9*12),$X$15,-PMT($X$11,($X$12-$X$9)*12,$X$6)+$X$13*_xlfn.XLOOKUP($Y$13,'RE Calculations'!$B$12:$B$16,'RE Calculations'!$C$12:$C$16,"ERROR - Check Input")/12),0)</f>
        <v>0</v>
      </c>
      <c r="Y523" s="142">
        <f t="shared" si="60"/>
        <v>0</v>
      </c>
      <c r="Z523" s="142">
        <f>IF(W523&lt;=($X$9*12),$X$15,IFERROR(-IPMT($X$11,W523-$X$9*12,($X$12-$X$9)*12,$X$6)+$X$13*_xlfn.XLOOKUP($Y$13,'RE Calculations'!$B$12:$B$16,'RE Calculations'!$C$12:$C$16,"ERROR - Check Input")/12,0))</f>
        <v>0</v>
      </c>
      <c r="AA523" s="142">
        <f t="shared" si="61"/>
        <v>0</v>
      </c>
    </row>
    <row r="524" spans="2:27" x14ac:dyDescent="0.35">
      <c r="B524" s="12">
        <v>502</v>
      </c>
      <c r="C524" s="142">
        <f>IF(F523&gt;0.01,-PMT($C$8,$C$9*12,$C$6)+$C$10*_xlfn.XLOOKUP($D$10,'RE Calculations'!$B$12:$B$16,'RE Calculations'!$C$12:$C$16,"ERROR - Check Input")/12,0)</f>
        <v>0</v>
      </c>
      <c r="D524" s="142">
        <f t="shared" si="62"/>
        <v>0</v>
      </c>
      <c r="E524" s="142">
        <f>IFERROR(-IPMT($C$8,B524,$C$9*12,$C$6)+$C$10*_xlfn.XLOOKUP($D$10,'RE Calculations'!$B$12:$B$16,'RE Calculations'!$C$12:$C$16,"ERROR - Check Input")/12,0)</f>
        <v>0</v>
      </c>
      <c r="F524" s="142">
        <f t="shared" si="63"/>
        <v>0</v>
      </c>
      <c r="I524" s="12">
        <v>502</v>
      </c>
      <c r="J524" s="142">
        <f>IF(M523&gt;0.01,IF(I524&lt;=($J$9*12),$J$15,-PMT($J$11,($J$12-$J$9)*12,$J$6)+$J$13*_xlfn.XLOOKUP($K$13,'RE Calculations'!$B$12:$B$16,'RE Calculations'!$C$12:$C$16,"ERROR - Check Input")/12),0)</f>
        <v>0</v>
      </c>
      <c r="K524" s="142">
        <f t="shared" si="56"/>
        <v>0</v>
      </c>
      <c r="L524" s="142">
        <f>IF(I524&lt;=($J$9*12),$J$15,IFERROR(-IPMT($J$11,I524-$J$9*12,($J$12-$J$9)*12,$J$6)+$J$13*_xlfn.XLOOKUP($K$13,'RE Calculations'!$B$12:$B$16,'RE Calculations'!$C$12:$C$16,"ERROR - Check Input")/12,0))</f>
        <v>0</v>
      </c>
      <c r="M524" s="142">
        <f t="shared" si="57"/>
        <v>0</v>
      </c>
      <c r="P524" s="12">
        <v>502</v>
      </c>
      <c r="Q524" s="142">
        <f>IF(T523&gt;0.01,-PMT($Q$8,$Q$9*12,$Q$6)+$Q$10*_xlfn.XLOOKUP($R$10,'RE Calculations'!$B$12:$B$16,'RE Calculations'!$C$12:$C$16,"ERROR - Check Input")/12,0)</f>
        <v>0</v>
      </c>
      <c r="R524" s="142">
        <f t="shared" si="58"/>
        <v>0</v>
      </c>
      <c r="S524" s="142">
        <f>IFERROR(-IPMT($Q$8,P524,$Q$9*12,$Q$6)+$Q$10*_xlfn.XLOOKUP($R$10,'RE Calculations'!$B$12:$B$16,'RE Calculations'!$C$12:$C$16,"ERROR - Check Input")/12,0)</f>
        <v>0</v>
      </c>
      <c r="T524" s="142">
        <f t="shared" si="59"/>
        <v>0</v>
      </c>
      <c r="W524" s="12">
        <v>502</v>
      </c>
      <c r="X524" s="142">
        <f>IF(AA523&gt;0.01,IF(W524&lt;=($X$9*12),$X$15,-PMT($X$11,($X$12-$X$9)*12,$X$6)+$X$13*_xlfn.XLOOKUP($Y$13,'RE Calculations'!$B$12:$B$16,'RE Calculations'!$C$12:$C$16,"ERROR - Check Input")/12),0)</f>
        <v>0</v>
      </c>
      <c r="Y524" s="142">
        <f t="shared" si="60"/>
        <v>0</v>
      </c>
      <c r="Z524" s="142">
        <f>IF(W524&lt;=($X$9*12),$X$15,IFERROR(-IPMT($X$11,W524-$X$9*12,($X$12-$X$9)*12,$X$6)+$X$13*_xlfn.XLOOKUP($Y$13,'RE Calculations'!$B$12:$B$16,'RE Calculations'!$C$12:$C$16,"ERROR - Check Input")/12,0))</f>
        <v>0</v>
      </c>
      <c r="AA524" s="142">
        <f t="shared" si="61"/>
        <v>0</v>
      </c>
    </row>
    <row r="525" spans="2:27" x14ac:dyDescent="0.35">
      <c r="B525" s="12">
        <v>503</v>
      </c>
      <c r="C525" s="142">
        <f>IF(F524&gt;0.01,-PMT($C$8,$C$9*12,$C$6)+$C$10*_xlfn.XLOOKUP($D$10,'RE Calculations'!$B$12:$B$16,'RE Calculations'!$C$12:$C$16,"ERROR - Check Input")/12,0)</f>
        <v>0</v>
      </c>
      <c r="D525" s="142">
        <f t="shared" si="62"/>
        <v>0</v>
      </c>
      <c r="E525" s="142">
        <f>IFERROR(-IPMT($C$8,B525,$C$9*12,$C$6)+$C$10*_xlfn.XLOOKUP($D$10,'RE Calculations'!$B$12:$B$16,'RE Calculations'!$C$12:$C$16,"ERROR - Check Input")/12,0)</f>
        <v>0</v>
      </c>
      <c r="F525" s="142">
        <f t="shared" si="63"/>
        <v>0</v>
      </c>
      <c r="I525" s="12">
        <v>503</v>
      </c>
      <c r="J525" s="142">
        <f>IF(M524&gt;0.01,IF(I525&lt;=($J$9*12),$J$15,-PMT($J$11,($J$12-$J$9)*12,$J$6)+$J$13*_xlfn.XLOOKUP($K$13,'RE Calculations'!$B$12:$B$16,'RE Calculations'!$C$12:$C$16,"ERROR - Check Input")/12),0)</f>
        <v>0</v>
      </c>
      <c r="K525" s="142">
        <f t="shared" si="56"/>
        <v>0</v>
      </c>
      <c r="L525" s="142">
        <f>IF(I525&lt;=($J$9*12),$J$15,IFERROR(-IPMT($J$11,I525-$J$9*12,($J$12-$J$9)*12,$J$6)+$J$13*_xlfn.XLOOKUP($K$13,'RE Calculations'!$B$12:$B$16,'RE Calculations'!$C$12:$C$16,"ERROR - Check Input")/12,0))</f>
        <v>0</v>
      </c>
      <c r="M525" s="142">
        <f t="shared" si="57"/>
        <v>0</v>
      </c>
      <c r="P525" s="12">
        <v>503</v>
      </c>
      <c r="Q525" s="142">
        <f>IF(T524&gt;0.01,-PMT($Q$8,$Q$9*12,$Q$6)+$Q$10*_xlfn.XLOOKUP($R$10,'RE Calculations'!$B$12:$B$16,'RE Calculations'!$C$12:$C$16,"ERROR - Check Input")/12,0)</f>
        <v>0</v>
      </c>
      <c r="R525" s="142">
        <f t="shared" si="58"/>
        <v>0</v>
      </c>
      <c r="S525" s="142">
        <f>IFERROR(-IPMT($Q$8,P525,$Q$9*12,$Q$6)+$Q$10*_xlfn.XLOOKUP($R$10,'RE Calculations'!$B$12:$B$16,'RE Calculations'!$C$12:$C$16,"ERROR - Check Input")/12,0)</f>
        <v>0</v>
      </c>
      <c r="T525" s="142">
        <f t="shared" si="59"/>
        <v>0</v>
      </c>
      <c r="W525" s="12">
        <v>503</v>
      </c>
      <c r="X525" s="142">
        <f>IF(AA524&gt;0.01,IF(W525&lt;=($X$9*12),$X$15,-PMT($X$11,($X$12-$X$9)*12,$X$6)+$X$13*_xlfn.XLOOKUP($Y$13,'RE Calculations'!$B$12:$B$16,'RE Calculations'!$C$12:$C$16,"ERROR - Check Input")/12),0)</f>
        <v>0</v>
      </c>
      <c r="Y525" s="142">
        <f t="shared" si="60"/>
        <v>0</v>
      </c>
      <c r="Z525" s="142">
        <f>IF(W525&lt;=($X$9*12),$X$15,IFERROR(-IPMT($X$11,W525-$X$9*12,($X$12-$X$9)*12,$X$6)+$X$13*_xlfn.XLOOKUP($Y$13,'RE Calculations'!$B$12:$B$16,'RE Calculations'!$C$12:$C$16,"ERROR - Check Input")/12,0))</f>
        <v>0</v>
      </c>
      <c r="AA525" s="142">
        <f t="shared" si="61"/>
        <v>0</v>
      </c>
    </row>
    <row r="526" spans="2:27" x14ac:dyDescent="0.35">
      <c r="B526" s="12">
        <v>504</v>
      </c>
      <c r="C526" s="142">
        <f>IF(F525&gt;0.01,-PMT($C$8,$C$9*12,$C$6)+$C$10*_xlfn.XLOOKUP($D$10,'RE Calculations'!$B$12:$B$16,'RE Calculations'!$C$12:$C$16,"ERROR - Check Input")/12,0)</f>
        <v>0</v>
      </c>
      <c r="D526" s="142">
        <f t="shared" si="62"/>
        <v>0</v>
      </c>
      <c r="E526" s="142">
        <f>IFERROR(-IPMT($C$8,B526,$C$9*12,$C$6)+$C$10*_xlfn.XLOOKUP($D$10,'RE Calculations'!$B$12:$B$16,'RE Calculations'!$C$12:$C$16,"ERROR - Check Input")/12,0)</f>
        <v>0</v>
      </c>
      <c r="F526" s="142">
        <f t="shared" si="63"/>
        <v>0</v>
      </c>
      <c r="I526" s="12">
        <v>504</v>
      </c>
      <c r="J526" s="142">
        <f>IF(M525&gt;0.01,IF(I526&lt;=($J$9*12),$J$15,-PMT($J$11,($J$12-$J$9)*12,$J$6)+$J$13*_xlfn.XLOOKUP($K$13,'RE Calculations'!$B$12:$B$16,'RE Calculations'!$C$12:$C$16,"ERROR - Check Input")/12),0)</f>
        <v>0</v>
      </c>
      <c r="K526" s="142">
        <f t="shared" si="56"/>
        <v>0</v>
      </c>
      <c r="L526" s="142">
        <f>IF(I526&lt;=($J$9*12),$J$15,IFERROR(-IPMT($J$11,I526-$J$9*12,($J$12-$J$9)*12,$J$6)+$J$13*_xlfn.XLOOKUP($K$13,'RE Calculations'!$B$12:$B$16,'RE Calculations'!$C$12:$C$16,"ERROR - Check Input")/12,0))</f>
        <v>0</v>
      </c>
      <c r="M526" s="142">
        <f t="shared" si="57"/>
        <v>0</v>
      </c>
      <c r="P526" s="12">
        <v>504</v>
      </c>
      <c r="Q526" s="142">
        <f>IF(T525&gt;0.01,-PMT($Q$8,$Q$9*12,$Q$6)+$Q$10*_xlfn.XLOOKUP($R$10,'RE Calculations'!$B$12:$B$16,'RE Calculations'!$C$12:$C$16,"ERROR - Check Input")/12,0)</f>
        <v>0</v>
      </c>
      <c r="R526" s="142">
        <f t="shared" si="58"/>
        <v>0</v>
      </c>
      <c r="S526" s="142">
        <f>IFERROR(-IPMT($Q$8,P526,$Q$9*12,$Q$6)+$Q$10*_xlfn.XLOOKUP($R$10,'RE Calculations'!$B$12:$B$16,'RE Calculations'!$C$12:$C$16,"ERROR - Check Input")/12,0)</f>
        <v>0</v>
      </c>
      <c r="T526" s="142">
        <f t="shared" si="59"/>
        <v>0</v>
      </c>
      <c r="W526" s="12">
        <v>504</v>
      </c>
      <c r="X526" s="142">
        <f>IF(AA525&gt;0.01,IF(W526&lt;=($X$9*12),$X$15,-PMT($X$11,($X$12-$X$9)*12,$X$6)+$X$13*_xlfn.XLOOKUP($Y$13,'RE Calculations'!$B$12:$B$16,'RE Calculations'!$C$12:$C$16,"ERROR - Check Input")/12),0)</f>
        <v>0</v>
      </c>
      <c r="Y526" s="142">
        <f t="shared" si="60"/>
        <v>0</v>
      </c>
      <c r="Z526" s="142">
        <f>IF(W526&lt;=($X$9*12),$X$15,IFERROR(-IPMT($X$11,W526-$X$9*12,($X$12-$X$9)*12,$X$6)+$X$13*_xlfn.XLOOKUP($Y$13,'RE Calculations'!$B$12:$B$16,'RE Calculations'!$C$12:$C$16,"ERROR - Check Input")/12,0))</f>
        <v>0</v>
      </c>
      <c r="AA526" s="142">
        <f t="shared" si="61"/>
        <v>0</v>
      </c>
    </row>
    <row r="527" spans="2:27" x14ac:dyDescent="0.35">
      <c r="B527" s="12">
        <v>505</v>
      </c>
      <c r="C527" s="142">
        <f>IF(F526&gt;0.01,-PMT($C$8,$C$9*12,$C$6)+$C$10*_xlfn.XLOOKUP($D$10,'RE Calculations'!$B$12:$B$16,'RE Calculations'!$C$12:$C$16,"ERROR - Check Input")/12,0)</f>
        <v>0</v>
      </c>
      <c r="D527" s="142">
        <f t="shared" si="62"/>
        <v>0</v>
      </c>
      <c r="E527" s="142">
        <f>IFERROR(-IPMT($C$8,B527,$C$9*12,$C$6)+$C$10*_xlfn.XLOOKUP($D$10,'RE Calculations'!$B$12:$B$16,'RE Calculations'!$C$12:$C$16,"ERROR - Check Input")/12,0)</f>
        <v>0</v>
      </c>
      <c r="F527" s="142">
        <f t="shared" si="63"/>
        <v>0</v>
      </c>
      <c r="I527" s="12">
        <v>505</v>
      </c>
      <c r="J527" s="142">
        <f>IF(M526&gt;0.01,IF(I527&lt;=($J$9*12),$J$15,-PMT($J$11,($J$12-$J$9)*12,$J$6)+$J$13*_xlfn.XLOOKUP($K$13,'RE Calculations'!$B$12:$B$16,'RE Calculations'!$C$12:$C$16,"ERROR - Check Input")/12),0)</f>
        <v>0</v>
      </c>
      <c r="K527" s="142">
        <f t="shared" si="56"/>
        <v>0</v>
      </c>
      <c r="L527" s="142">
        <f>IF(I527&lt;=($J$9*12),$J$15,IFERROR(-IPMT($J$11,I527-$J$9*12,($J$12-$J$9)*12,$J$6)+$J$13*_xlfn.XLOOKUP($K$13,'RE Calculations'!$B$12:$B$16,'RE Calculations'!$C$12:$C$16,"ERROR - Check Input")/12,0))</f>
        <v>0</v>
      </c>
      <c r="M527" s="142">
        <f t="shared" si="57"/>
        <v>0</v>
      </c>
      <c r="P527" s="12">
        <v>505</v>
      </c>
      <c r="Q527" s="142">
        <f>IF(T526&gt;0.01,-PMT($Q$8,$Q$9*12,$Q$6)+$Q$10*_xlfn.XLOOKUP($R$10,'RE Calculations'!$B$12:$B$16,'RE Calculations'!$C$12:$C$16,"ERROR - Check Input")/12,0)</f>
        <v>0</v>
      </c>
      <c r="R527" s="142">
        <f t="shared" si="58"/>
        <v>0</v>
      </c>
      <c r="S527" s="142">
        <f>IFERROR(-IPMT($Q$8,P527,$Q$9*12,$Q$6)+$Q$10*_xlfn.XLOOKUP($R$10,'RE Calculations'!$B$12:$B$16,'RE Calculations'!$C$12:$C$16,"ERROR - Check Input")/12,0)</f>
        <v>0</v>
      </c>
      <c r="T527" s="142">
        <f t="shared" si="59"/>
        <v>0</v>
      </c>
      <c r="W527" s="12">
        <v>505</v>
      </c>
      <c r="X527" s="142">
        <f>IF(AA526&gt;0.01,IF(W527&lt;=($X$9*12),$X$15,-PMT($X$11,($X$12-$X$9)*12,$X$6)+$X$13*_xlfn.XLOOKUP($Y$13,'RE Calculations'!$B$12:$B$16,'RE Calculations'!$C$12:$C$16,"ERROR - Check Input")/12),0)</f>
        <v>0</v>
      </c>
      <c r="Y527" s="142">
        <f t="shared" si="60"/>
        <v>0</v>
      </c>
      <c r="Z527" s="142">
        <f>IF(W527&lt;=($X$9*12),$X$15,IFERROR(-IPMT($X$11,W527-$X$9*12,($X$12-$X$9)*12,$X$6)+$X$13*_xlfn.XLOOKUP($Y$13,'RE Calculations'!$B$12:$B$16,'RE Calculations'!$C$12:$C$16,"ERROR - Check Input")/12,0))</f>
        <v>0</v>
      </c>
      <c r="AA527" s="142">
        <f t="shared" si="61"/>
        <v>0</v>
      </c>
    </row>
    <row r="528" spans="2:27" x14ac:dyDescent="0.35">
      <c r="B528" s="12">
        <v>506</v>
      </c>
      <c r="C528" s="142">
        <f>IF(F527&gt;0.01,-PMT($C$8,$C$9*12,$C$6)+$C$10*_xlfn.XLOOKUP($D$10,'RE Calculations'!$B$12:$B$16,'RE Calculations'!$C$12:$C$16,"ERROR - Check Input")/12,0)</f>
        <v>0</v>
      </c>
      <c r="D528" s="142">
        <f t="shared" si="62"/>
        <v>0</v>
      </c>
      <c r="E528" s="142">
        <f>IFERROR(-IPMT($C$8,B528,$C$9*12,$C$6)+$C$10*_xlfn.XLOOKUP($D$10,'RE Calculations'!$B$12:$B$16,'RE Calculations'!$C$12:$C$16,"ERROR - Check Input")/12,0)</f>
        <v>0</v>
      </c>
      <c r="F528" s="142">
        <f t="shared" si="63"/>
        <v>0</v>
      </c>
      <c r="I528" s="12">
        <v>506</v>
      </c>
      <c r="J528" s="142">
        <f>IF(M527&gt;0.01,IF(I528&lt;=($J$9*12),$J$15,-PMT($J$11,($J$12-$J$9)*12,$J$6)+$J$13*_xlfn.XLOOKUP($K$13,'RE Calculations'!$B$12:$B$16,'RE Calculations'!$C$12:$C$16,"ERROR - Check Input")/12),0)</f>
        <v>0</v>
      </c>
      <c r="K528" s="142">
        <f t="shared" si="56"/>
        <v>0</v>
      </c>
      <c r="L528" s="142">
        <f>IF(I528&lt;=($J$9*12),$J$15,IFERROR(-IPMT($J$11,I528-$J$9*12,($J$12-$J$9)*12,$J$6)+$J$13*_xlfn.XLOOKUP($K$13,'RE Calculations'!$B$12:$B$16,'RE Calculations'!$C$12:$C$16,"ERROR - Check Input")/12,0))</f>
        <v>0</v>
      </c>
      <c r="M528" s="142">
        <f t="shared" si="57"/>
        <v>0</v>
      </c>
      <c r="P528" s="12">
        <v>506</v>
      </c>
      <c r="Q528" s="142">
        <f>IF(T527&gt;0.01,-PMT($Q$8,$Q$9*12,$Q$6)+$Q$10*_xlfn.XLOOKUP($R$10,'RE Calculations'!$B$12:$B$16,'RE Calculations'!$C$12:$C$16,"ERROR - Check Input")/12,0)</f>
        <v>0</v>
      </c>
      <c r="R528" s="142">
        <f t="shared" si="58"/>
        <v>0</v>
      </c>
      <c r="S528" s="142">
        <f>IFERROR(-IPMT($Q$8,P528,$Q$9*12,$Q$6)+$Q$10*_xlfn.XLOOKUP($R$10,'RE Calculations'!$B$12:$B$16,'RE Calculations'!$C$12:$C$16,"ERROR - Check Input")/12,0)</f>
        <v>0</v>
      </c>
      <c r="T528" s="142">
        <f t="shared" si="59"/>
        <v>0</v>
      </c>
      <c r="W528" s="12">
        <v>506</v>
      </c>
      <c r="X528" s="142">
        <f>IF(AA527&gt;0.01,IF(W528&lt;=($X$9*12),$X$15,-PMT($X$11,($X$12-$X$9)*12,$X$6)+$X$13*_xlfn.XLOOKUP($Y$13,'RE Calculations'!$B$12:$B$16,'RE Calculations'!$C$12:$C$16,"ERROR - Check Input")/12),0)</f>
        <v>0</v>
      </c>
      <c r="Y528" s="142">
        <f t="shared" si="60"/>
        <v>0</v>
      </c>
      <c r="Z528" s="142">
        <f>IF(W528&lt;=($X$9*12),$X$15,IFERROR(-IPMT($X$11,W528-$X$9*12,($X$12-$X$9)*12,$X$6)+$X$13*_xlfn.XLOOKUP($Y$13,'RE Calculations'!$B$12:$B$16,'RE Calculations'!$C$12:$C$16,"ERROR - Check Input")/12,0))</f>
        <v>0</v>
      </c>
      <c r="AA528" s="142">
        <f t="shared" si="61"/>
        <v>0</v>
      </c>
    </row>
    <row r="529" spans="2:27" x14ac:dyDescent="0.35">
      <c r="B529" s="12">
        <v>507</v>
      </c>
      <c r="C529" s="142">
        <f>IF(F528&gt;0.01,-PMT($C$8,$C$9*12,$C$6)+$C$10*_xlfn.XLOOKUP($D$10,'RE Calculations'!$B$12:$B$16,'RE Calculations'!$C$12:$C$16,"ERROR - Check Input")/12,0)</f>
        <v>0</v>
      </c>
      <c r="D529" s="142">
        <f t="shared" si="62"/>
        <v>0</v>
      </c>
      <c r="E529" s="142">
        <f>IFERROR(-IPMT($C$8,B529,$C$9*12,$C$6)+$C$10*_xlfn.XLOOKUP($D$10,'RE Calculations'!$B$12:$B$16,'RE Calculations'!$C$12:$C$16,"ERROR - Check Input")/12,0)</f>
        <v>0</v>
      </c>
      <c r="F529" s="142">
        <f t="shared" si="63"/>
        <v>0</v>
      </c>
      <c r="I529" s="12">
        <v>507</v>
      </c>
      <c r="J529" s="142">
        <f>IF(M528&gt;0.01,IF(I529&lt;=($J$9*12),$J$15,-PMT($J$11,($J$12-$J$9)*12,$J$6)+$J$13*_xlfn.XLOOKUP($K$13,'RE Calculations'!$B$12:$B$16,'RE Calculations'!$C$12:$C$16,"ERROR - Check Input")/12),0)</f>
        <v>0</v>
      </c>
      <c r="K529" s="142">
        <f t="shared" si="56"/>
        <v>0</v>
      </c>
      <c r="L529" s="142">
        <f>IF(I529&lt;=($J$9*12),$J$15,IFERROR(-IPMT($J$11,I529-$J$9*12,($J$12-$J$9)*12,$J$6)+$J$13*_xlfn.XLOOKUP($K$13,'RE Calculations'!$B$12:$B$16,'RE Calculations'!$C$12:$C$16,"ERROR - Check Input")/12,0))</f>
        <v>0</v>
      </c>
      <c r="M529" s="142">
        <f t="shared" si="57"/>
        <v>0</v>
      </c>
      <c r="P529" s="12">
        <v>507</v>
      </c>
      <c r="Q529" s="142">
        <f>IF(T528&gt;0.01,-PMT($Q$8,$Q$9*12,$Q$6)+$Q$10*_xlfn.XLOOKUP($R$10,'RE Calculations'!$B$12:$B$16,'RE Calculations'!$C$12:$C$16,"ERROR - Check Input")/12,0)</f>
        <v>0</v>
      </c>
      <c r="R529" s="142">
        <f t="shared" si="58"/>
        <v>0</v>
      </c>
      <c r="S529" s="142">
        <f>IFERROR(-IPMT($Q$8,P529,$Q$9*12,$Q$6)+$Q$10*_xlfn.XLOOKUP($R$10,'RE Calculations'!$B$12:$B$16,'RE Calculations'!$C$12:$C$16,"ERROR - Check Input")/12,0)</f>
        <v>0</v>
      </c>
      <c r="T529" s="142">
        <f t="shared" si="59"/>
        <v>0</v>
      </c>
      <c r="W529" s="12">
        <v>507</v>
      </c>
      <c r="X529" s="142">
        <f>IF(AA528&gt;0.01,IF(W529&lt;=($X$9*12),$X$15,-PMT($X$11,($X$12-$X$9)*12,$X$6)+$X$13*_xlfn.XLOOKUP($Y$13,'RE Calculations'!$B$12:$B$16,'RE Calculations'!$C$12:$C$16,"ERROR - Check Input")/12),0)</f>
        <v>0</v>
      </c>
      <c r="Y529" s="142">
        <f t="shared" si="60"/>
        <v>0</v>
      </c>
      <c r="Z529" s="142">
        <f>IF(W529&lt;=($X$9*12),$X$15,IFERROR(-IPMT($X$11,W529-$X$9*12,($X$12-$X$9)*12,$X$6)+$X$13*_xlfn.XLOOKUP($Y$13,'RE Calculations'!$B$12:$B$16,'RE Calculations'!$C$12:$C$16,"ERROR - Check Input")/12,0))</f>
        <v>0</v>
      </c>
      <c r="AA529" s="142">
        <f t="shared" si="61"/>
        <v>0</v>
      </c>
    </row>
    <row r="530" spans="2:27" x14ac:dyDescent="0.35">
      <c r="B530" s="12">
        <v>508</v>
      </c>
      <c r="C530" s="142">
        <f>IF(F529&gt;0.01,-PMT($C$8,$C$9*12,$C$6)+$C$10*_xlfn.XLOOKUP($D$10,'RE Calculations'!$B$12:$B$16,'RE Calculations'!$C$12:$C$16,"ERROR - Check Input")/12,0)</f>
        <v>0</v>
      </c>
      <c r="D530" s="142">
        <f t="shared" si="62"/>
        <v>0</v>
      </c>
      <c r="E530" s="142">
        <f>IFERROR(-IPMT($C$8,B530,$C$9*12,$C$6)+$C$10*_xlfn.XLOOKUP($D$10,'RE Calculations'!$B$12:$B$16,'RE Calculations'!$C$12:$C$16,"ERROR - Check Input")/12,0)</f>
        <v>0</v>
      </c>
      <c r="F530" s="142">
        <f t="shared" si="63"/>
        <v>0</v>
      </c>
      <c r="I530" s="12">
        <v>508</v>
      </c>
      <c r="J530" s="142">
        <f>IF(M529&gt;0.01,IF(I530&lt;=($J$9*12),$J$15,-PMT($J$11,($J$12-$J$9)*12,$J$6)+$J$13*_xlfn.XLOOKUP($K$13,'RE Calculations'!$B$12:$B$16,'RE Calculations'!$C$12:$C$16,"ERROR - Check Input")/12),0)</f>
        <v>0</v>
      </c>
      <c r="K530" s="142">
        <f t="shared" si="56"/>
        <v>0</v>
      </c>
      <c r="L530" s="142">
        <f>IF(I530&lt;=($J$9*12),$J$15,IFERROR(-IPMT($J$11,I530-$J$9*12,($J$12-$J$9)*12,$J$6)+$J$13*_xlfn.XLOOKUP($K$13,'RE Calculations'!$B$12:$B$16,'RE Calculations'!$C$12:$C$16,"ERROR - Check Input")/12,0))</f>
        <v>0</v>
      </c>
      <c r="M530" s="142">
        <f t="shared" si="57"/>
        <v>0</v>
      </c>
      <c r="P530" s="12">
        <v>508</v>
      </c>
      <c r="Q530" s="142">
        <f>IF(T529&gt;0.01,-PMT($Q$8,$Q$9*12,$Q$6)+$Q$10*_xlfn.XLOOKUP($R$10,'RE Calculations'!$B$12:$B$16,'RE Calculations'!$C$12:$C$16,"ERROR - Check Input")/12,0)</f>
        <v>0</v>
      </c>
      <c r="R530" s="142">
        <f t="shared" si="58"/>
        <v>0</v>
      </c>
      <c r="S530" s="142">
        <f>IFERROR(-IPMT($Q$8,P530,$Q$9*12,$Q$6)+$Q$10*_xlfn.XLOOKUP($R$10,'RE Calculations'!$B$12:$B$16,'RE Calculations'!$C$12:$C$16,"ERROR - Check Input")/12,0)</f>
        <v>0</v>
      </c>
      <c r="T530" s="142">
        <f t="shared" si="59"/>
        <v>0</v>
      </c>
      <c r="W530" s="12">
        <v>508</v>
      </c>
      <c r="X530" s="142">
        <f>IF(AA529&gt;0.01,IF(W530&lt;=($X$9*12),$X$15,-PMT($X$11,($X$12-$X$9)*12,$X$6)+$X$13*_xlfn.XLOOKUP($Y$13,'RE Calculations'!$B$12:$B$16,'RE Calculations'!$C$12:$C$16,"ERROR - Check Input")/12),0)</f>
        <v>0</v>
      </c>
      <c r="Y530" s="142">
        <f t="shared" si="60"/>
        <v>0</v>
      </c>
      <c r="Z530" s="142">
        <f>IF(W530&lt;=($X$9*12),$X$15,IFERROR(-IPMT($X$11,W530-$X$9*12,($X$12-$X$9)*12,$X$6)+$X$13*_xlfn.XLOOKUP($Y$13,'RE Calculations'!$B$12:$B$16,'RE Calculations'!$C$12:$C$16,"ERROR - Check Input")/12,0))</f>
        <v>0</v>
      </c>
      <c r="AA530" s="142">
        <f t="shared" si="61"/>
        <v>0</v>
      </c>
    </row>
    <row r="531" spans="2:27" x14ac:dyDescent="0.35">
      <c r="B531" s="12">
        <v>509</v>
      </c>
      <c r="C531" s="142">
        <f>IF(F530&gt;0.01,-PMT($C$8,$C$9*12,$C$6)+$C$10*_xlfn.XLOOKUP($D$10,'RE Calculations'!$B$12:$B$16,'RE Calculations'!$C$12:$C$16,"ERROR - Check Input")/12,0)</f>
        <v>0</v>
      </c>
      <c r="D531" s="142">
        <f t="shared" si="62"/>
        <v>0</v>
      </c>
      <c r="E531" s="142">
        <f>IFERROR(-IPMT($C$8,B531,$C$9*12,$C$6)+$C$10*_xlfn.XLOOKUP($D$10,'RE Calculations'!$B$12:$B$16,'RE Calculations'!$C$12:$C$16,"ERROR - Check Input")/12,0)</f>
        <v>0</v>
      </c>
      <c r="F531" s="142">
        <f t="shared" si="63"/>
        <v>0</v>
      </c>
      <c r="I531" s="12">
        <v>509</v>
      </c>
      <c r="J531" s="142">
        <f>IF(M530&gt;0.01,IF(I531&lt;=($J$9*12),$J$15,-PMT($J$11,($J$12-$J$9)*12,$J$6)+$J$13*_xlfn.XLOOKUP($K$13,'RE Calculations'!$B$12:$B$16,'RE Calculations'!$C$12:$C$16,"ERROR - Check Input")/12),0)</f>
        <v>0</v>
      </c>
      <c r="K531" s="142">
        <f t="shared" si="56"/>
        <v>0</v>
      </c>
      <c r="L531" s="142">
        <f>IF(I531&lt;=($J$9*12),$J$15,IFERROR(-IPMT($J$11,I531-$J$9*12,($J$12-$J$9)*12,$J$6)+$J$13*_xlfn.XLOOKUP($K$13,'RE Calculations'!$B$12:$B$16,'RE Calculations'!$C$12:$C$16,"ERROR - Check Input")/12,0))</f>
        <v>0</v>
      </c>
      <c r="M531" s="142">
        <f t="shared" si="57"/>
        <v>0</v>
      </c>
      <c r="P531" s="12">
        <v>509</v>
      </c>
      <c r="Q531" s="142">
        <f>IF(T530&gt;0.01,-PMT($Q$8,$Q$9*12,$Q$6)+$Q$10*_xlfn.XLOOKUP($R$10,'RE Calculations'!$B$12:$B$16,'RE Calculations'!$C$12:$C$16,"ERROR - Check Input")/12,0)</f>
        <v>0</v>
      </c>
      <c r="R531" s="142">
        <f t="shared" si="58"/>
        <v>0</v>
      </c>
      <c r="S531" s="142">
        <f>IFERROR(-IPMT($Q$8,P531,$Q$9*12,$Q$6)+$Q$10*_xlfn.XLOOKUP($R$10,'RE Calculations'!$B$12:$B$16,'RE Calculations'!$C$12:$C$16,"ERROR - Check Input")/12,0)</f>
        <v>0</v>
      </c>
      <c r="T531" s="142">
        <f t="shared" si="59"/>
        <v>0</v>
      </c>
      <c r="W531" s="12">
        <v>509</v>
      </c>
      <c r="X531" s="142">
        <f>IF(AA530&gt;0.01,IF(W531&lt;=($X$9*12),$X$15,-PMT($X$11,($X$12-$X$9)*12,$X$6)+$X$13*_xlfn.XLOOKUP($Y$13,'RE Calculations'!$B$12:$B$16,'RE Calculations'!$C$12:$C$16,"ERROR - Check Input")/12),0)</f>
        <v>0</v>
      </c>
      <c r="Y531" s="142">
        <f t="shared" si="60"/>
        <v>0</v>
      </c>
      <c r="Z531" s="142">
        <f>IF(W531&lt;=($X$9*12),$X$15,IFERROR(-IPMT($X$11,W531-$X$9*12,($X$12-$X$9)*12,$X$6)+$X$13*_xlfn.XLOOKUP($Y$13,'RE Calculations'!$B$12:$B$16,'RE Calculations'!$C$12:$C$16,"ERROR - Check Input")/12,0))</f>
        <v>0</v>
      </c>
      <c r="AA531" s="142">
        <f t="shared" si="61"/>
        <v>0</v>
      </c>
    </row>
    <row r="532" spans="2:27" x14ac:dyDescent="0.35">
      <c r="B532" s="12">
        <v>510</v>
      </c>
      <c r="C532" s="142">
        <f>IF(F531&gt;0.01,-PMT($C$8,$C$9*12,$C$6)+$C$10*_xlfn.XLOOKUP($D$10,'RE Calculations'!$B$12:$B$16,'RE Calculations'!$C$12:$C$16,"ERROR - Check Input")/12,0)</f>
        <v>0</v>
      </c>
      <c r="D532" s="142">
        <f t="shared" si="62"/>
        <v>0</v>
      </c>
      <c r="E532" s="142">
        <f>IFERROR(-IPMT($C$8,B532,$C$9*12,$C$6)+$C$10*_xlfn.XLOOKUP($D$10,'RE Calculations'!$B$12:$B$16,'RE Calculations'!$C$12:$C$16,"ERROR - Check Input")/12,0)</f>
        <v>0</v>
      </c>
      <c r="F532" s="142">
        <f t="shared" si="63"/>
        <v>0</v>
      </c>
      <c r="I532" s="12">
        <v>510</v>
      </c>
      <c r="J532" s="142">
        <f>IF(M531&gt;0.01,IF(I532&lt;=($J$9*12),$J$15,-PMT($J$11,($J$12-$J$9)*12,$J$6)+$J$13*_xlfn.XLOOKUP($K$13,'RE Calculations'!$B$12:$B$16,'RE Calculations'!$C$12:$C$16,"ERROR - Check Input")/12),0)</f>
        <v>0</v>
      </c>
      <c r="K532" s="142">
        <f t="shared" si="56"/>
        <v>0</v>
      </c>
      <c r="L532" s="142">
        <f>IF(I532&lt;=($J$9*12),$J$15,IFERROR(-IPMT($J$11,I532-$J$9*12,($J$12-$J$9)*12,$J$6)+$J$13*_xlfn.XLOOKUP($K$13,'RE Calculations'!$B$12:$B$16,'RE Calculations'!$C$12:$C$16,"ERROR - Check Input")/12,0))</f>
        <v>0</v>
      </c>
      <c r="M532" s="142">
        <f t="shared" si="57"/>
        <v>0</v>
      </c>
      <c r="P532" s="12">
        <v>510</v>
      </c>
      <c r="Q532" s="142">
        <f>IF(T531&gt;0.01,-PMT($Q$8,$Q$9*12,$Q$6)+$Q$10*_xlfn.XLOOKUP($R$10,'RE Calculations'!$B$12:$B$16,'RE Calculations'!$C$12:$C$16,"ERROR - Check Input")/12,0)</f>
        <v>0</v>
      </c>
      <c r="R532" s="142">
        <f t="shared" si="58"/>
        <v>0</v>
      </c>
      <c r="S532" s="142">
        <f>IFERROR(-IPMT($Q$8,P532,$Q$9*12,$Q$6)+$Q$10*_xlfn.XLOOKUP($R$10,'RE Calculations'!$B$12:$B$16,'RE Calculations'!$C$12:$C$16,"ERROR - Check Input")/12,0)</f>
        <v>0</v>
      </c>
      <c r="T532" s="142">
        <f t="shared" si="59"/>
        <v>0</v>
      </c>
      <c r="W532" s="12">
        <v>510</v>
      </c>
      <c r="X532" s="142">
        <f>IF(AA531&gt;0.01,IF(W532&lt;=($X$9*12),$X$15,-PMT($X$11,($X$12-$X$9)*12,$X$6)+$X$13*_xlfn.XLOOKUP($Y$13,'RE Calculations'!$B$12:$B$16,'RE Calculations'!$C$12:$C$16,"ERROR - Check Input")/12),0)</f>
        <v>0</v>
      </c>
      <c r="Y532" s="142">
        <f t="shared" si="60"/>
        <v>0</v>
      </c>
      <c r="Z532" s="142">
        <f>IF(W532&lt;=($X$9*12),$X$15,IFERROR(-IPMT($X$11,W532-$X$9*12,($X$12-$X$9)*12,$X$6)+$X$13*_xlfn.XLOOKUP($Y$13,'RE Calculations'!$B$12:$B$16,'RE Calculations'!$C$12:$C$16,"ERROR - Check Input")/12,0))</f>
        <v>0</v>
      </c>
      <c r="AA532" s="142">
        <f t="shared" si="61"/>
        <v>0</v>
      </c>
    </row>
    <row r="533" spans="2:27" x14ac:dyDescent="0.35">
      <c r="B533" s="12">
        <v>511</v>
      </c>
      <c r="C533" s="142">
        <f>IF(F532&gt;0.01,-PMT($C$8,$C$9*12,$C$6)+$C$10*_xlfn.XLOOKUP($D$10,'RE Calculations'!$B$12:$B$16,'RE Calculations'!$C$12:$C$16,"ERROR - Check Input")/12,0)</f>
        <v>0</v>
      </c>
      <c r="D533" s="142">
        <f t="shared" si="62"/>
        <v>0</v>
      </c>
      <c r="E533" s="142">
        <f>IFERROR(-IPMT($C$8,B533,$C$9*12,$C$6)+$C$10*_xlfn.XLOOKUP($D$10,'RE Calculations'!$B$12:$B$16,'RE Calculations'!$C$12:$C$16,"ERROR - Check Input")/12,0)</f>
        <v>0</v>
      </c>
      <c r="F533" s="142">
        <f t="shared" si="63"/>
        <v>0</v>
      </c>
      <c r="I533" s="12">
        <v>511</v>
      </c>
      <c r="J533" s="142">
        <f>IF(M532&gt;0.01,IF(I533&lt;=($J$9*12),$J$15,-PMT($J$11,($J$12-$J$9)*12,$J$6)+$J$13*_xlfn.XLOOKUP($K$13,'RE Calculations'!$B$12:$B$16,'RE Calculations'!$C$12:$C$16,"ERROR - Check Input")/12),0)</f>
        <v>0</v>
      </c>
      <c r="K533" s="142">
        <f t="shared" si="56"/>
        <v>0</v>
      </c>
      <c r="L533" s="142">
        <f>IF(I533&lt;=($J$9*12),$J$15,IFERROR(-IPMT($J$11,I533-$J$9*12,($J$12-$J$9)*12,$J$6)+$J$13*_xlfn.XLOOKUP($K$13,'RE Calculations'!$B$12:$B$16,'RE Calculations'!$C$12:$C$16,"ERROR - Check Input")/12,0))</f>
        <v>0</v>
      </c>
      <c r="M533" s="142">
        <f t="shared" si="57"/>
        <v>0</v>
      </c>
      <c r="P533" s="12">
        <v>511</v>
      </c>
      <c r="Q533" s="142">
        <f>IF(T532&gt;0.01,-PMT($Q$8,$Q$9*12,$Q$6)+$Q$10*_xlfn.XLOOKUP($R$10,'RE Calculations'!$B$12:$B$16,'RE Calculations'!$C$12:$C$16,"ERROR - Check Input")/12,0)</f>
        <v>0</v>
      </c>
      <c r="R533" s="142">
        <f t="shared" si="58"/>
        <v>0</v>
      </c>
      <c r="S533" s="142">
        <f>IFERROR(-IPMT($Q$8,P533,$Q$9*12,$Q$6)+$Q$10*_xlfn.XLOOKUP($R$10,'RE Calculations'!$B$12:$B$16,'RE Calculations'!$C$12:$C$16,"ERROR - Check Input")/12,0)</f>
        <v>0</v>
      </c>
      <c r="T533" s="142">
        <f t="shared" si="59"/>
        <v>0</v>
      </c>
      <c r="W533" s="12">
        <v>511</v>
      </c>
      <c r="X533" s="142">
        <f>IF(AA532&gt;0.01,IF(W533&lt;=($X$9*12),$X$15,-PMT($X$11,($X$12-$X$9)*12,$X$6)+$X$13*_xlfn.XLOOKUP($Y$13,'RE Calculations'!$B$12:$B$16,'RE Calculations'!$C$12:$C$16,"ERROR - Check Input")/12),0)</f>
        <v>0</v>
      </c>
      <c r="Y533" s="142">
        <f t="shared" si="60"/>
        <v>0</v>
      </c>
      <c r="Z533" s="142">
        <f>IF(W533&lt;=($X$9*12),$X$15,IFERROR(-IPMT($X$11,W533-$X$9*12,($X$12-$X$9)*12,$X$6)+$X$13*_xlfn.XLOOKUP($Y$13,'RE Calculations'!$B$12:$B$16,'RE Calculations'!$C$12:$C$16,"ERROR - Check Input")/12,0))</f>
        <v>0</v>
      </c>
      <c r="AA533" s="142">
        <f t="shared" si="61"/>
        <v>0</v>
      </c>
    </row>
    <row r="534" spans="2:27" x14ac:dyDescent="0.35">
      <c r="B534" s="12">
        <v>512</v>
      </c>
      <c r="C534" s="142">
        <f>IF(F533&gt;0.01,-PMT($C$8,$C$9*12,$C$6)+$C$10*_xlfn.XLOOKUP($D$10,'RE Calculations'!$B$12:$B$16,'RE Calculations'!$C$12:$C$16,"ERROR - Check Input")/12,0)</f>
        <v>0</v>
      </c>
      <c r="D534" s="142">
        <f t="shared" si="62"/>
        <v>0</v>
      </c>
      <c r="E534" s="142">
        <f>IFERROR(-IPMT($C$8,B534,$C$9*12,$C$6)+$C$10*_xlfn.XLOOKUP($D$10,'RE Calculations'!$B$12:$B$16,'RE Calculations'!$C$12:$C$16,"ERROR - Check Input")/12,0)</f>
        <v>0</v>
      </c>
      <c r="F534" s="142">
        <f t="shared" si="63"/>
        <v>0</v>
      </c>
      <c r="I534" s="12">
        <v>512</v>
      </c>
      <c r="J534" s="142">
        <f>IF(M533&gt;0.01,IF(I534&lt;=($J$9*12),$J$15,-PMT($J$11,($J$12-$J$9)*12,$J$6)+$J$13*_xlfn.XLOOKUP($K$13,'RE Calculations'!$B$12:$B$16,'RE Calculations'!$C$12:$C$16,"ERROR - Check Input")/12),0)</f>
        <v>0</v>
      </c>
      <c r="K534" s="142">
        <f t="shared" si="56"/>
        <v>0</v>
      </c>
      <c r="L534" s="142">
        <f>IF(I534&lt;=($J$9*12),$J$15,IFERROR(-IPMT($J$11,I534-$J$9*12,($J$12-$J$9)*12,$J$6)+$J$13*_xlfn.XLOOKUP($K$13,'RE Calculations'!$B$12:$B$16,'RE Calculations'!$C$12:$C$16,"ERROR - Check Input")/12,0))</f>
        <v>0</v>
      </c>
      <c r="M534" s="142">
        <f t="shared" si="57"/>
        <v>0</v>
      </c>
      <c r="P534" s="12">
        <v>512</v>
      </c>
      <c r="Q534" s="142">
        <f>IF(T533&gt;0.01,-PMT($Q$8,$Q$9*12,$Q$6)+$Q$10*_xlfn.XLOOKUP($R$10,'RE Calculations'!$B$12:$B$16,'RE Calculations'!$C$12:$C$16,"ERROR - Check Input")/12,0)</f>
        <v>0</v>
      </c>
      <c r="R534" s="142">
        <f t="shared" si="58"/>
        <v>0</v>
      </c>
      <c r="S534" s="142">
        <f>IFERROR(-IPMT($Q$8,P534,$Q$9*12,$Q$6)+$Q$10*_xlfn.XLOOKUP($R$10,'RE Calculations'!$B$12:$B$16,'RE Calculations'!$C$12:$C$16,"ERROR - Check Input")/12,0)</f>
        <v>0</v>
      </c>
      <c r="T534" s="142">
        <f t="shared" si="59"/>
        <v>0</v>
      </c>
      <c r="W534" s="12">
        <v>512</v>
      </c>
      <c r="X534" s="142">
        <f>IF(AA533&gt;0.01,IF(W534&lt;=($X$9*12),$X$15,-PMT($X$11,($X$12-$X$9)*12,$X$6)+$X$13*_xlfn.XLOOKUP($Y$13,'RE Calculations'!$B$12:$B$16,'RE Calculations'!$C$12:$C$16,"ERROR - Check Input")/12),0)</f>
        <v>0</v>
      </c>
      <c r="Y534" s="142">
        <f t="shared" si="60"/>
        <v>0</v>
      </c>
      <c r="Z534" s="142">
        <f>IF(W534&lt;=($X$9*12),$X$15,IFERROR(-IPMT($X$11,W534-$X$9*12,($X$12-$X$9)*12,$X$6)+$X$13*_xlfn.XLOOKUP($Y$13,'RE Calculations'!$B$12:$B$16,'RE Calculations'!$C$12:$C$16,"ERROR - Check Input")/12,0))</f>
        <v>0</v>
      </c>
      <c r="AA534" s="142">
        <f t="shared" si="61"/>
        <v>0</v>
      </c>
    </row>
    <row r="535" spans="2:27" x14ac:dyDescent="0.35">
      <c r="B535" s="12">
        <v>513</v>
      </c>
      <c r="C535" s="142">
        <f>IF(F534&gt;0.01,-PMT($C$8,$C$9*12,$C$6)+$C$10*_xlfn.XLOOKUP($D$10,'RE Calculations'!$B$12:$B$16,'RE Calculations'!$C$12:$C$16,"ERROR - Check Input")/12,0)</f>
        <v>0</v>
      </c>
      <c r="D535" s="142">
        <f t="shared" si="62"/>
        <v>0</v>
      </c>
      <c r="E535" s="142">
        <f>IFERROR(-IPMT($C$8,B535,$C$9*12,$C$6)+$C$10*_xlfn.XLOOKUP($D$10,'RE Calculations'!$B$12:$B$16,'RE Calculations'!$C$12:$C$16,"ERROR - Check Input")/12,0)</f>
        <v>0</v>
      </c>
      <c r="F535" s="142">
        <f t="shared" si="63"/>
        <v>0</v>
      </c>
      <c r="I535" s="12">
        <v>513</v>
      </c>
      <c r="J535" s="142">
        <f>IF(M534&gt;0.01,IF(I535&lt;=($J$9*12),$J$15,-PMT($J$11,($J$12-$J$9)*12,$J$6)+$J$13*_xlfn.XLOOKUP($K$13,'RE Calculations'!$B$12:$B$16,'RE Calculations'!$C$12:$C$16,"ERROR - Check Input")/12),0)</f>
        <v>0</v>
      </c>
      <c r="K535" s="142">
        <f t="shared" ref="K535:K598" si="64">IF(I535&lt;=($J$9*12),0,IFERROR(-PPMT($J$11,I535-$J$9*12,($J$12-$J$9)*12,$J$6),0))</f>
        <v>0</v>
      </c>
      <c r="L535" s="142">
        <f>IF(I535&lt;=($J$9*12),$J$15,IFERROR(-IPMT($J$11,I535-$J$9*12,($J$12-$J$9)*12,$J$6)+$J$13*_xlfn.XLOOKUP($K$13,'RE Calculations'!$B$12:$B$16,'RE Calculations'!$C$12:$C$16,"ERROR - Check Input")/12,0))</f>
        <v>0</v>
      </c>
      <c r="M535" s="142">
        <f t="shared" ref="M535:M598" si="65">IFERROR(M534-K535,0)</f>
        <v>0</v>
      </c>
      <c r="P535" s="12">
        <v>513</v>
      </c>
      <c r="Q535" s="142">
        <f>IF(T534&gt;0.01,-PMT($Q$8,$Q$9*12,$Q$6)+$Q$10*_xlfn.XLOOKUP($R$10,'RE Calculations'!$B$12:$B$16,'RE Calculations'!$C$12:$C$16,"ERROR - Check Input")/12,0)</f>
        <v>0</v>
      </c>
      <c r="R535" s="142">
        <f t="shared" ref="R535:R598" si="66">IFERROR(-PPMT($Q$8,P535,$Q$9*12,$Q$6),0)</f>
        <v>0</v>
      </c>
      <c r="S535" s="142">
        <f>IFERROR(-IPMT($Q$8,P535,$Q$9*12,$Q$6)+$Q$10*_xlfn.XLOOKUP($R$10,'RE Calculations'!$B$12:$B$16,'RE Calculations'!$C$12:$C$16,"ERROR - Check Input")/12,0)</f>
        <v>0</v>
      </c>
      <c r="T535" s="142">
        <f t="shared" ref="T535:T598" si="67">IFERROR(T534-R535,0)</f>
        <v>0</v>
      </c>
      <c r="W535" s="12">
        <v>513</v>
      </c>
      <c r="X535" s="142">
        <f>IF(AA534&gt;0.01,IF(W535&lt;=($X$9*12),$X$15,-PMT($X$11,($X$12-$X$9)*12,$X$6)+$X$13*_xlfn.XLOOKUP($Y$13,'RE Calculations'!$B$12:$B$16,'RE Calculations'!$C$12:$C$16,"ERROR - Check Input")/12),0)</f>
        <v>0</v>
      </c>
      <c r="Y535" s="142">
        <f t="shared" ref="Y535:Y598" si="68">IF(W535&lt;=($X$9*12),0,IFERROR(-PPMT($X$11,W535-$X$9*12,($X$12-$X$9)*12,$X$6),0))</f>
        <v>0</v>
      </c>
      <c r="Z535" s="142">
        <f>IF(W535&lt;=($X$9*12),$X$15,IFERROR(-IPMT($X$11,W535-$X$9*12,($X$12-$X$9)*12,$X$6)+$X$13*_xlfn.XLOOKUP($Y$13,'RE Calculations'!$B$12:$B$16,'RE Calculations'!$C$12:$C$16,"ERROR - Check Input")/12,0))</f>
        <v>0</v>
      </c>
      <c r="AA535" s="142">
        <f t="shared" ref="AA535:AA598" si="69">IFERROR(AA534-Y535,0)</f>
        <v>0</v>
      </c>
    </row>
    <row r="536" spans="2:27" x14ac:dyDescent="0.35">
      <c r="B536" s="12">
        <v>514</v>
      </c>
      <c r="C536" s="142">
        <f>IF(F535&gt;0.01,-PMT($C$8,$C$9*12,$C$6)+$C$10*_xlfn.XLOOKUP($D$10,'RE Calculations'!$B$12:$B$16,'RE Calculations'!$C$12:$C$16,"ERROR - Check Input")/12,0)</f>
        <v>0</v>
      </c>
      <c r="D536" s="142">
        <f t="shared" ref="D536:D599" si="70">IFERROR(-PPMT($C$8,B536,$C$9*12,$C$6),0)</f>
        <v>0</v>
      </c>
      <c r="E536" s="142">
        <f>IFERROR(-IPMT($C$8,B536,$C$9*12,$C$6)+$C$10*_xlfn.XLOOKUP($D$10,'RE Calculations'!$B$12:$B$16,'RE Calculations'!$C$12:$C$16,"ERROR - Check Input")/12,0)</f>
        <v>0</v>
      </c>
      <c r="F536" s="142">
        <f t="shared" ref="F536:F599" si="71">IFERROR(F535-D536,0)</f>
        <v>0</v>
      </c>
      <c r="I536" s="12">
        <v>514</v>
      </c>
      <c r="J536" s="142">
        <f>IF(M535&gt;0.01,IF(I536&lt;=($J$9*12),$J$15,-PMT($J$11,($J$12-$J$9)*12,$J$6)+$J$13*_xlfn.XLOOKUP($K$13,'RE Calculations'!$B$12:$B$16,'RE Calculations'!$C$12:$C$16,"ERROR - Check Input")/12),0)</f>
        <v>0</v>
      </c>
      <c r="K536" s="142">
        <f t="shared" si="64"/>
        <v>0</v>
      </c>
      <c r="L536" s="142">
        <f>IF(I536&lt;=($J$9*12),$J$15,IFERROR(-IPMT($J$11,I536-$J$9*12,($J$12-$J$9)*12,$J$6)+$J$13*_xlfn.XLOOKUP($K$13,'RE Calculations'!$B$12:$B$16,'RE Calculations'!$C$12:$C$16,"ERROR - Check Input")/12,0))</f>
        <v>0</v>
      </c>
      <c r="M536" s="142">
        <f t="shared" si="65"/>
        <v>0</v>
      </c>
      <c r="P536" s="12">
        <v>514</v>
      </c>
      <c r="Q536" s="142">
        <f>IF(T535&gt;0.01,-PMT($Q$8,$Q$9*12,$Q$6)+$Q$10*_xlfn.XLOOKUP($R$10,'RE Calculations'!$B$12:$B$16,'RE Calculations'!$C$12:$C$16,"ERROR - Check Input")/12,0)</f>
        <v>0</v>
      </c>
      <c r="R536" s="142">
        <f t="shared" si="66"/>
        <v>0</v>
      </c>
      <c r="S536" s="142">
        <f>IFERROR(-IPMT($Q$8,P536,$Q$9*12,$Q$6)+$Q$10*_xlfn.XLOOKUP($R$10,'RE Calculations'!$B$12:$B$16,'RE Calculations'!$C$12:$C$16,"ERROR - Check Input")/12,0)</f>
        <v>0</v>
      </c>
      <c r="T536" s="142">
        <f t="shared" si="67"/>
        <v>0</v>
      </c>
      <c r="W536" s="12">
        <v>514</v>
      </c>
      <c r="X536" s="142">
        <f>IF(AA535&gt;0.01,IF(W536&lt;=($X$9*12),$X$15,-PMT($X$11,($X$12-$X$9)*12,$X$6)+$X$13*_xlfn.XLOOKUP($Y$13,'RE Calculations'!$B$12:$B$16,'RE Calculations'!$C$12:$C$16,"ERROR - Check Input")/12),0)</f>
        <v>0</v>
      </c>
      <c r="Y536" s="142">
        <f t="shared" si="68"/>
        <v>0</v>
      </c>
      <c r="Z536" s="142">
        <f>IF(W536&lt;=($X$9*12),$X$15,IFERROR(-IPMT($X$11,W536-$X$9*12,($X$12-$X$9)*12,$X$6)+$X$13*_xlfn.XLOOKUP($Y$13,'RE Calculations'!$B$12:$B$16,'RE Calculations'!$C$12:$C$16,"ERROR - Check Input")/12,0))</f>
        <v>0</v>
      </c>
      <c r="AA536" s="142">
        <f t="shared" si="69"/>
        <v>0</v>
      </c>
    </row>
    <row r="537" spans="2:27" x14ac:dyDescent="0.35">
      <c r="B537" s="12">
        <v>515</v>
      </c>
      <c r="C537" s="142">
        <f>IF(F536&gt;0.01,-PMT($C$8,$C$9*12,$C$6)+$C$10*_xlfn.XLOOKUP($D$10,'RE Calculations'!$B$12:$B$16,'RE Calculations'!$C$12:$C$16,"ERROR - Check Input")/12,0)</f>
        <v>0</v>
      </c>
      <c r="D537" s="142">
        <f t="shared" si="70"/>
        <v>0</v>
      </c>
      <c r="E537" s="142">
        <f>IFERROR(-IPMT($C$8,B537,$C$9*12,$C$6)+$C$10*_xlfn.XLOOKUP($D$10,'RE Calculations'!$B$12:$B$16,'RE Calculations'!$C$12:$C$16,"ERROR - Check Input")/12,0)</f>
        <v>0</v>
      </c>
      <c r="F537" s="142">
        <f t="shared" si="71"/>
        <v>0</v>
      </c>
      <c r="I537" s="12">
        <v>515</v>
      </c>
      <c r="J537" s="142">
        <f>IF(M536&gt;0.01,IF(I537&lt;=($J$9*12),$J$15,-PMT($J$11,($J$12-$J$9)*12,$J$6)+$J$13*_xlfn.XLOOKUP($K$13,'RE Calculations'!$B$12:$B$16,'RE Calculations'!$C$12:$C$16,"ERROR - Check Input")/12),0)</f>
        <v>0</v>
      </c>
      <c r="K537" s="142">
        <f t="shared" si="64"/>
        <v>0</v>
      </c>
      <c r="L537" s="142">
        <f>IF(I537&lt;=($J$9*12),$J$15,IFERROR(-IPMT($J$11,I537-$J$9*12,($J$12-$J$9)*12,$J$6)+$J$13*_xlfn.XLOOKUP($K$13,'RE Calculations'!$B$12:$B$16,'RE Calculations'!$C$12:$C$16,"ERROR - Check Input")/12,0))</f>
        <v>0</v>
      </c>
      <c r="M537" s="142">
        <f t="shared" si="65"/>
        <v>0</v>
      </c>
      <c r="P537" s="12">
        <v>515</v>
      </c>
      <c r="Q537" s="142">
        <f>IF(T536&gt;0.01,-PMT($Q$8,$Q$9*12,$Q$6)+$Q$10*_xlfn.XLOOKUP($R$10,'RE Calculations'!$B$12:$B$16,'RE Calculations'!$C$12:$C$16,"ERROR - Check Input")/12,0)</f>
        <v>0</v>
      </c>
      <c r="R537" s="142">
        <f t="shared" si="66"/>
        <v>0</v>
      </c>
      <c r="S537" s="142">
        <f>IFERROR(-IPMT($Q$8,P537,$Q$9*12,$Q$6)+$Q$10*_xlfn.XLOOKUP($R$10,'RE Calculations'!$B$12:$B$16,'RE Calculations'!$C$12:$C$16,"ERROR - Check Input")/12,0)</f>
        <v>0</v>
      </c>
      <c r="T537" s="142">
        <f t="shared" si="67"/>
        <v>0</v>
      </c>
      <c r="W537" s="12">
        <v>515</v>
      </c>
      <c r="X537" s="142">
        <f>IF(AA536&gt;0.01,IF(W537&lt;=($X$9*12),$X$15,-PMT($X$11,($X$12-$X$9)*12,$X$6)+$X$13*_xlfn.XLOOKUP($Y$13,'RE Calculations'!$B$12:$B$16,'RE Calculations'!$C$12:$C$16,"ERROR - Check Input")/12),0)</f>
        <v>0</v>
      </c>
      <c r="Y537" s="142">
        <f t="shared" si="68"/>
        <v>0</v>
      </c>
      <c r="Z537" s="142">
        <f>IF(W537&lt;=($X$9*12),$X$15,IFERROR(-IPMT($X$11,W537-$X$9*12,($X$12-$X$9)*12,$X$6)+$X$13*_xlfn.XLOOKUP($Y$13,'RE Calculations'!$B$12:$B$16,'RE Calculations'!$C$12:$C$16,"ERROR - Check Input")/12,0))</f>
        <v>0</v>
      </c>
      <c r="AA537" s="142">
        <f t="shared" si="69"/>
        <v>0</v>
      </c>
    </row>
    <row r="538" spans="2:27" x14ac:dyDescent="0.35">
      <c r="B538" s="12">
        <v>516</v>
      </c>
      <c r="C538" s="142">
        <f>IF(F537&gt;0.01,-PMT($C$8,$C$9*12,$C$6)+$C$10*_xlfn.XLOOKUP($D$10,'RE Calculations'!$B$12:$B$16,'RE Calculations'!$C$12:$C$16,"ERROR - Check Input")/12,0)</f>
        <v>0</v>
      </c>
      <c r="D538" s="142">
        <f t="shared" si="70"/>
        <v>0</v>
      </c>
      <c r="E538" s="142">
        <f>IFERROR(-IPMT($C$8,B538,$C$9*12,$C$6)+$C$10*_xlfn.XLOOKUP($D$10,'RE Calculations'!$B$12:$B$16,'RE Calculations'!$C$12:$C$16,"ERROR - Check Input")/12,0)</f>
        <v>0</v>
      </c>
      <c r="F538" s="142">
        <f t="shared" si="71"/>
        <v>0</v>
      </c>
      <c r="I538" s="12">
        <v>516</v>
      </c>
      <c r="J538" s="142">
        <f>IF(M537&gt;0.01,IF(I538&lt;=($J$9*12),$J$15,-PMT($J$11,($J$12-$J$9)*12,$J$6)+$J$13*_xlfn.XLOOKUP($K$13,'RE Calculations'!$B$12:$B$16,'RE Calculations'!$C$12:$C$16,"ERROR - Check Input")/12),0)</f>
        <v>0</v>
      </c>
      <c r="K538" s="142">
        <f t="shared" si="64"/>
        <v>0</v>
      </c>
      <c r="L538" s="142">
        <f>IF(I538&lt;=($J$9*12),$J$15,IFERROR(-IPMT($J$11,I538-$J$9*12,($J$12-$J$9)*12,$J$6)+$J$13*_xlfn.XLOOKUP($K$13,'RE Calculations'!$B$12:$B$16,'RE Calculations'!$C$12:$C$16,"ERROR - Check Input")/12,0))</f>
        <v>0</v>
      </c>
      <c r="M538" s="142">
        <f t="shared" si="65"/>
        <v>0</v>
      </c>
      <c r="P538" s="12">
        <v>516</v>
      </c>
      <c r="Q538" s="142">
        <f>IF(T537&gt;0.01,-PMT($Q$8,$Q$9*12,$Q$6)+$Q$10*_xlfn.XLOOKUP($R$10,'RE Calculations'!$B$12:$B$16,'RE Calculations'!$C$12:$C$16,"ERROR - Check Input")/12,0)</f>
        <v>0</v>
      </c>
      <c r="R538" s="142">
        <f t="shared" si="66"/>
        <v>0</v>
      </c>
      <c r="S538" s="142">
        <f>IFERROR(-IPMT($Q$8,P538,$Q$9*12,$Q$6)+$Q$10*_xlfn.XLOOKUP($R$10,'RE Calculations'!$B$12:$B$16,'RE Calculations'!$C$12:$C$16,"ERROR - Check Input")/12,0)</f>
        <v>0</v>
      </c>
      <c r="T538" s="142">
        <f t="shared" si="67"/>
        <v>0</v>
      </c>
      <c r="W538" s="12">
        <v>516</v>
      </c>
      <c r="X538" s="142">
        <f>IF(AA537&gt;0.01,IF(W538&lt;=($X$9*12),$X$15,-PMT($X$11,($X$12-$X$9)*12,$X$6)+$X$13*_xlfn.XLOOKUP($Y$13,'RE Calculations'!$B$12:$B$16,'RE Calculations'!$C$12:$C$16,"ERROR - Check Input")/12),0)</f>
        <v>0</v>
      </c>
      <c r="Y538" s="142">
        <f t="shared" si="68"/>
        <v>0</v>
      </c>
      <c r="Z538" s="142">
        <f>IF(W538&lt;=($X$9*12),$X$15,IFERROR(-IPMT($X$11,W538-$X$9*12,($X$12-$X$9)*12,$X$6)+$X$13*_xlfn.XLOOKUP($Y$13,'RE Calculations'!$B$12:$B$16,'RE Calculations'!$C$12:$C$16,"ERROR - Check Input")/12,0))</f>
        <v>0</v>
      </c>
      <c r="AA538" s="142">
        <f t="shared" si="69"/>
        <v>0</v>
      </c>
    </row>
    <row r="539" spans="2:27" x14ac:dyDescent="0.35">
      <c r="B539" s="12">
        <v>517</v>
      </c>
      <c r="C539" s="142">
        <f>IF(F538&gt;0.01,-PMT($C$8,$C$9*12,$C$6)+$C$10*_xlfn.XLOOKUP($D$10,'RE Calculations'!$B$12:$B$16,'RE Calculations'!$C$12:$C$16,"ERROR - Check Input")/12,0)</f>
        <v>0</v>
      </c>
      <c r="D539" s="142">
        <f t="shared" si="70"/>
        <v>0</v>
      </c>
      <c r="E539" s="142">
        <f>IFERROR(-IPMT($C$8,B539,$C$9*12,$C$6)+$C$10*_xlfn.XLOOKUP($D$10,'RE Calculations'!$B$12:$B$16,'RE Calculations'!$C$12:$C$16,"ERROR - Check Input")/12,0)</f>
        <v>0</v>
      </c>
      <c r="F539" s="142">
        <f t="shared" si="71"/>
        <v>0</v>
      </c>
      <c r="I539" s="12">
        <v>517</v>
      </c>
      <c r="J539" s="142">
        <f>IF(M538&gt;0.01,IF(I539&lt;=($J$9*12),$J$15,-PMT($J$11,($J$12-$J$9)*12,$J$6)+$J$13*_xlfn.XLOOKUP($K$13,'RE Calculations'!$B$12:$B$16,'RE Calculations'!$C$12:$C$16,"ERROR - Check Input")/12),0)</f>
        <v>0</v>
      </c>
      <c r="K539" s="142">
        <f t="shared" si="64"/>
        <v>0</v>
      </c>
      <c r="L539" s="142">
        <f>IF(I539&lt;=($J$9*12),$J$15,IFERROR(-IPMT($J$11,I539-$J$9*12,($J$12-$J$9)*12,$J$6)+$J$13*_xlfn.XLOOKUP($K$13,'RE Calculations'!$B$12:$B$16,'RE Calculations'!$C$12:$C$16,"ERROR - Check Input")/12,0))</f>
        <v>0</v>
      </c>
      <c r="M539" s="142">
        <f t="shared" si="65"/>
        <v>0</v>
      </c>
      <c r="P539" s="12">
        <v>517</v>
      </c>
      <c r="Q539" s="142">
        <f>IF(T538&gt;0.01,-PMT($Q$8,$Q$9*12,$Q$6)+$Q$10*_xlfn.XLOOKUP($R$10,'RE Calculations'!$B$12:$B$16,'RE Calculations'!$C$12:$C$16,"ERROR - Check Input")/12,0)</f>
        <v>0</v>
      </c>
      <c r="R539" s="142">
        <f t="shared" si="66"/>
        <v>0</v>
      </c>
      <c r="S539" s="142">
        <f>IFERROR(-IPMT($Q$8,P539,$Q$9*12,$Q$6)+$Q$10*_xlfn.XLOOKUP($R$10,'RE Calculations'!$B$12:$B$16,'RE Calculations'!$C$12:$C$16,"ERROR - Check Input")/12,0)</f>
        <v>0</v>
      </c>
      <c r="T539" s="142">
        <f t="shared" si="67"/>
        <v>0</v>
      </c>
      <c r="W539" s="12">
        <v>517</v>
      </c>
      <c r="X539" s="142">
        <f>IF(AA538&gt;0.01,IF(W539&lt;=($X$9*12),$X$15,-PMT($X$11,($X$12-$X$9)*12,$X$6)+$X$13*_xlfn.XLOOKUP($Y$13,'RE Calculations'!$B$12:$B$16,'RE Calculations'!$C$12:$C$16,"ERROR - Check Input")/12),0)</f>
        <v>0</v>
      </c>
      <c r="Y539" s="142">
        <f t="shared" si="68"/>
        <v>0</v>
      </c>
      <c r="Z539" s="142">
        <f>IF(W539&lt;=($X$9*12),$X$15,IFERROR(-IPMT($X$11,W539-$X$9*12,($X$12-$X$9)*12,$X$6)+$X$13*_xlfn.XLOOKUP($Y$13,'RE Calculations'!$B$12:$B$16,'RE Calculations'!$C$12:$C$16,"ERROR - Check Input")/12,0))</f>
        <v>0</v>
      </c>
      <c r="AA539" s="142">
        <f t="shared" si="69"/>
        <v>0</v>
      </c>
    </row>
    <row r="540" spans="2:27" x14ac:dyDescent="0.35">
      <c r="B540" s="12">
        <v>518</v>
      </c>
      <c r="C540" s="142">
        <f>IF(F539&gt;0.01,-PMT($C$8,$C$9*12,$C$6)+$C$10*_xlfn.XLOOKUP($D$10,'RE Calculations'!$B$12:$B$16,'RE Calculations'!$C$12:$C$16,"ERROR - Check Input")/12,0)</f>
        <v>0</v>
      </c>
      <c r="D540" s="142">
        <f t="shared" si="70"/>
        <v>0</v>
      </c>
      <c r="E540" s="142">
        <f>IFERROR(-IPMT($C$8,B540,$C$9*12,$C$6)+$C$10*_xlfn.XLOOKUP($D$10,'RE Calculations'!$B$12:$B$16,'RE Calculations'!$C$12:$C$16,"ERROR - Check Input")/12,0)</f>
        <v>0</v>
      </c>
      <c r="F540" s="142">
        <f t="shared" si="71"/>
        <v>0</v>
      </c>
      <c r="I540" s="12">
        <v>518</v>
      </c>
      <c r="J540" s="142">
        <f>IF(M539&gt;0.01,IF(I540&lt;=($J$9*12),$J$15,-PMT($J$11,($J$12-$J$9)*12,$J$6)+$J$13*_xlfn.XLOOKUP($K$13,'RE Calculations'!$B$12:$B$16,'RE Calculations'!$C$12:$C$16,"ERROR - Check Input")/12),0)</f>
        <v>0</v>
      </c>
      <c r="K540" s="142">
        <f t="shared" si="64"/>
        <v>0</v>
      </c>
      <c r="L540" s="142">
        <f>IF(I540&lt;=($J$9*12),$J$15,IFERROR(-IPMT($J$11,I540-$J$9*12,($J$12-$J$9)*12,$J$6)+$J$13*_xlfn.XLOOKUP($K$13,'RE Calculations'!$B$12:$B$16,'RE Calculations'!$C$12:$C$16,"ERROR - Check Input")/12,0))</f>
        <v>0</v>
      </c>
      <c r="M540" s="142">
        <f t="shared" si="65"/>
        <v>0</v>
      </c>
      <c r="P540" s="12">
        <v>518</v>
      </c>
      <c r="Q540" s="142">
        <f>IF(T539&gt;0.01,-PMT($Q$8,$Q$9*12,$Q$6)+$Q$10*_xlfn.XLOOKUP($R$10,'RE Calculations'!$B$12:$B$16,'RE Calculations'!$C$12:$C$16,"ERROR - Check Input")/12,0)</f>
        <v>0</v>
      </c>
      <c r="R540" s="142">
        <f t="shared" si="66"/>
        <v>0</v>
      </c>
      <c r="S540" s="142">
        <f>IFERROR(-IPMT($Q$8,P540,$Q$9*12,$Q$6)+$Q$10*_xlfn.XLOOKUP($R$10,'RE Calculations'!$B$12:$B$16,'RE Calculations'!$C$12:$C$16,"ERROR - Check Input")/12,0)</f>
        <v>0</v>
      </c>
      <c r="T540" s="142">
        <f t="shared" si="67"/>
        <v>0</v>
      </c>
      <c r="W540" s="12">
        <v>518</v>
      </c>
      <c r="X540" s="142">
        <f>IF(AA539&gt;0.01,IF(W540&lt;=($X$9*12),$X$15,-PMT($X$11,($X$12-$X$9)*12,$X$6)+$X$13*_xlfn.XLOOKUP($Y$13,'RE Calculations'!$B$12:$B$16,'RE Calculations'!$C$12:$C$16,"ERROR - Check Input")/12),0)</f>
        <v>0</v>
      </c>
      <c r="Y540" s="142">
        <f t="shared" si="68"/>
        <v>0</v>
      </c>
      <c r="Z540" s="142">
        <f>IF(W540&lt;=($X$9*12),$X$15,IFERROR(-IPMT($X$11,W540-$X$9*12,($X$12-$X$9)*12,$X$6)+$X$13*_xlfn.XLOOKUP($Y$13,'RE Calculations'!$B$12:$B$16,'RE Calculations'!$C$12:$C$16,"ERROR - Check Input")/12,0))</f>
        <v>0</v>
      </c>
      <c r="AA540" s="142">
        <f t="shared" si="69"/>
        <v>0</v>
      </c>
    </row>
    <row r="541" spans="2:27" x14ac:dyDescent="0.35">
      <c r="B541" s="12">
        <v>519</v>
      </c>
      <c r="C541" s="142">
        <f>IF(F540&gt;0.01,-PMT($C$8,$C$9*12,$C$6)+$C$10*_xlfn.XLOOKUP($D$10,'RE Calculations'!$B$12:$B$16,'RE Calculations'!$C$12:$C$16,"ERROR - Check Input")/12,0)</f>
        <v>0</v>
      </c>
      <c r="D541" s="142">
        <f t="shared" si="70"/>
        <v>0</v>
      </c>
      <c r="E541" s="142">
        <f>IFERROR(-IPMT($C$8,B541,$C$9*12,$C$6)+$C$10*_xlfn.XLOOKUP($D$10,'RE Calculations'!$B$12:$B$16,'RE Calculations'!$C$12:$C$16,"ERROR - Check Input")/12,0)</f>
        <v>0</v>
      </c>
      <c r="F541" s="142">
        <f t="shared" si="71"/>
        <v>0</v>
      </c>
      <c r="I541" s="12">
        <v>519</v>
      </c>
      <c r="J541" s="142">
        <f>IF(M540&gt;0.01,IF(I541&lt;=($J$9*12),$J$15,-PMT($J$11,($J$12-$J$9)*12,$J$6)+$J$13*_xlfn.XLOOKUP($K$13,'RE Calculations'!$B$12:$B$16,'RE Calculations'!$C$12:$C$16,"ERROR - Check Input")/12),0)</f>
        <v>0</v>
      </c>
      <c r="K541" s="142">
        <f t="shared" si="64"/>
        <v>0</v>
      </c>
      <c r="L541" s="142">
        <f>IF(I541&lt;=($J$9*12),$J$15,IFERROR(-IPMT($J$11,I541-$J$9*12,($J$12-$J$9)*12,$J$6)+$J$13*_xlfn.XLOOKUP($K$13,'RE Calculations'!$B$12:$B$16,'RE Calculations'!$C$12:$C$16,"ERROR - Check Input")/12,0))</f>
        <v>0</v>
      </c>
      <c r="M541" s="142">
        <f t="shared" si="65"/>
        <v>0</v>
      </c>
      <c r="P541" s="12">
        <v>519</v>
      </c>
      <c r="Q541" s="142">
        <f>IF(T540&gt;0.01,-PMT($Q$8,$Q$9*12,$Q$6)+$Q$10*_xlfn.XLOOKUP($R$10,'RE Calculations'!$B$12:$B$16,'RE Calculations'!$C$12:$C$16,"ERROR - Check Input")/12,0)</f>
        <v>0</v>
      </c>
      <c r="R541" s="142">
        <f t="shared" si="66"/>
        <v>0</v>
      </c>
      <c r="S541" s="142">
        <f>IFERROR(-IPMT($Q$8,P541,$Q$9*12,$Q$6)+$Q$10*_xlfn.XLOOKUP($R$10,'RE Calculations'!$B$12:$B$16,'RE Calculations'!$C$12:$C$16,"ERROR - Check Input")/12,0)</f>
        <v>0</v>
      </c>
      <c r="T541" s="142">
        <f t="shared" si="67"/>
        <v>0</v>
      </c>
      <c r="W541" s="12">
        <v>519</v>
      </c>
      <c r="X541" s="142">
        <f>IF(AA540&gt;0.01,IF(W541&lt;=($X$9*12),$X$15,-PMT($X$11,($X$12-$X$9)*12,$X$6)+$X$13*_xlfn.XLOOKUP($Y$13,'RE Calculations'!$B$12:$B$16,'RE Calculations'!$C$12:$C$16,"ERROR - Check Input")/12),0)</f>
        <v>0</v>
      </c>
      <c r="Y541" s="142">
        <f t="shared" si="68"/>
        <v>0</v>
      </c>
      <c r="Z541" s="142">
        <f>IF(W541&lt;=($X$9*12),$X$15,IFERROR(-IPMT($X$11,W541-$X$9*12,($X$12-$X$9)*12,$X$6)+$X$13*_xlfn.XLOOKUP($Y$13,'RE Calculations'!$B$12:$B$16,'RE Calculations'!$C$12:$C$16,"ERROR - Check Input")/12,0))</f>
        <v>0</v>
      </c>
      <c r="AA541" s="142">
        <f t="shared" si="69"/>
        <v>0</v>
      </c>
    </row>
    <row r="542" spans="2:27" x14ac:dyDescent="0.35">
      <c r="B542" s="12">
        <v>520</v>
      </c>
      <c r="C542" s="142">
        <f>IF(F541&gt;0.01,-PMT($C$8,$C$9*12,$C$6)+$C$10*_xlfn.XLOOKUP($D$10,'RE Calculations'!$B$12:$B$16,'RE Calculations'!$C$12:$C$16,"ERROR - Check Input")/12,0)</f>
        <v>0</v>
      </c>
      <c r="D542" s="142">
        <f t="shared" si="70"/>
        <v>0</v>
      </c>
      <c r="E542" s="142">
        <f>IFERROR(-IPMT($C$8,B542,$C$9*12,$C$6)+$C$10*_xlfn.XLOOKUP($D$10,'RE Calculations'!$B$12:$B$16,'RE Calculations'!$C$12:$C$16,"ERROR - Check Input")/12,0)</f>
        <v>0</v>
      </c>
      <c r="F542" s="142">
        <f t="shared" si="71"/>
        <v>0</v>
      </c>
      <c r="I542" s="12">
        <v>520</v>
      </c>
      <c r="J542" s="142">
        <f>IF(M541&gt;0.01,IF(I542&lt;=($J$9*12),$J$15,-PMT($J$11,($J$12-$J$9)*12,$J$6)+$J$13*_xlfn.XLOOKUP($K$13,'RE Calculations'!$B$12:$B$16,'RE Calculations'!$C$12:$C$16,"ERROR - Check Input")/12),0)</f>
        <v>0</v>
      </c>
      <c r="K542" s="142">
        <f t="shared" si="64"/>
        <v>0</v>
      </c>
      <c r="L542" s="142">
        <f>IF(I542&lt;=($J$9*12),$J$15,IFERROR(-IPMT($J$11,I542-$J$9*12,($J$12-$J$9)*12,$J$6)+$J$13*_xlfn.XLOOKUP($K$13,'RE Calculations'!$B$12:$B$16,'RE Calculations'!$C$12:$C$16,"ERROR - Check Input")/12,0))</f>
        <v>0</v>
      </c>
      <c r="M542" s="142">
        <f t="shared" si="65"/>
        <v>0</v>
      </c>
      <c r="P542" s="12">
        <v>520</v>
      </c>
      <c r="Q542" s="142">
        <f>IF(T541&gt;0.01,-PMT($Q$8,$Q$9*12,$Q$6)+$Q$10*_xlfn.XLOOKUP($R$10,'RE Calculations'!$B$12:$B$16,'RE Calculations'!$C$12:$C$16,"ERROR - Check Input")/12,0)</f>
        <v>0</v>
      </c>
      <c r="R542" s="142">
        <f t="shared" si="66"/>
        <v>0</v>
      </c>
      <c r="S542" s="142">
        <f>IFERROR(-IPMT($Q$8,P542,$Q$9*12,$Q$6)+$Q$10*_xlfn.XLOOKUP($R$10,'RE Calculations'!$B$12:$B$16,'RE Calculations'!$C$12:$C$16,"ERROR - Check Input")/12,0)</f>
        <v>0</v>
      </c>
      <c r="T542" s="142">
        <f t="shared" si="67"/>
        <v>0</v>
      </c>
      <c r="W542" s="12">
        <v>520</v>
      </c>
      <c r="X542" s="142">
        <f>IF(AA541&gt;0.01,IF(W542&lt;=($X$9*12),$X$15,-PMT($X$11,($X$12-$X$9)*12,$X$6)+$X$13*_xlfn.XLOOKUP($Y$13,'RE Calculations'!$B$12:$B$16,'RE Calculations'!$C$12:$C$16,"ERROR - Check Input")/12),0)</f>
        <v>0</v>
      </c>
      <c r="Y542" s="142">
        <f t="shared" si="68"/>
        <v>0</v>
      </c>
      <c r="Z542" s="142">
        <f>IF(W542&lt;=($X$9*12),$X$15,IFERROR(-IPMT($X$11,W542-$X$9*12,($X$12-$X$9)*12,$X$6)+$X$13*_xlfn.XLOOKUP($Y$13,'RE Calculations'!$B$12:$B$16,'RE Calculations'!$C$12:$C$16,"ERROR - Check Input")/12,0))</f>
        <v>0</v>
      </c>
      <c r="AA542" s="142">
        <f t="shared" si="69"/>
        <v>0</v>
      </c>
    </row>
    <row r="543" spans="2:27" x14ac:dyDescent="0.35">
      <c r="B543" s="12">
        <v>521</v>
      </c>
      <c r="C543" s="142">
        <f>IF(F542&gt;0.01,-PMT($C$8,$C$9*12,$C$6)+$C$10*_xlfn.XLOOKUP($D$10,'RE Calculations'!$B$12:$B$16,'RE Calculations'!$C$12:$C$16,"ERROR - Check Input")/12,0)</f>
        <v>0</v>
      </c>
      <c r="D543" s="142">
        <f t="shared" si="70"/>
        <v>0</v>
      </c>
      <c r="E543" s="142">
        <f>IFERROR(-IPMT($C$8,B543,$C$9*12,$C$6)+$C$10*_xlfn.XLOOKUP($D$10,'RE Calculations'!$B$12:$B$16,'RE Calculations'!$C$12:$C$16,"ERROR - Check Input")/12,0)</f>
        <v>0</v>
      </c>
      <c r="F543" s="142">
        <f t="shared" si="71"/>
        <v>0</v>
      </c>
      <c r="I543" s="12">
        <v>521</v>
      </c>
      <c r="J543" s="142">
        <f>IF(M542&gt;0.01,IF(I543&lt;=($J$9*12),$J$15,-PMT($J$11,($J$12-$J$9)*12,$J$6)+$J$13*_xlfn.XLOOKUP($K$13,'RE Calculations'!$B$12:$B$16,'RE Calculations'!$C$12:$C$16,"ERROR - Check Input")/12),0)</f>
        <v>0</v>
      </c>
      <c r="K543" s="142">
        <f t="shared" si="64"/>
        <v>0</v>
      </c>
      <c r="L543" s="142">
        <f>IF(I543&lt;=($J$9*12),$J$15,IFERROR(-IPMT($J$11,I543-$J$9*12,($J$12-$J$9)*12,$J$6)+$J$13*_xlfn.XLOOKUP($K$13,'RE Calculations'!$B$12:$B$16,'RE Calculations'!$C$12:$C$16,"ERROR - Check Input")/12,0))</f>
        <v>0</v>
      </c>
      <c r="M543" s="142">
        <f t="shared" si="65"/>
        <v>0</v>
      </c>
      <c r="P543" s="12">
        <v>521</v>
      </c>
      <c r="Q543" s="142">
        <f>IF(T542&gt;0.01,-PMT($Q$8,$Q$9*12,$Q$6)+$Q$10*_xlfn.XLOOKUP($R$10,'RE Calculations'!$B$12:$B$16,'RE Calculations'!$C$12:$C$16,"ERROR - Check Input")/12,0)</f>
        <v>0</v>
      </c>
      <c r="R543" s="142">
        <f t="shared" si="66"/>
        <v>0</v>
      </c>
      <c r="S543" s="142">
        <f>IFERROR(-IPMT($Q$8,P543,$Q$9*12,$Q$6)+$Q$10*_xlfn.XLOOKUP($R$10,'RE Calculations'!$B$12:$B$16,'RE Calculations'!$C$12:$C$16,"ERROR - Check Input")/12,0)</f>
        <v>0</v>
      </c>
      <c r="T543" s="142">
        <f t="shared" si="67"/>
        <v>0</v>
      </c>
      <c r="W543" s="12">
        <v>521</v>
      </c>
      <c r="X543" s="142">
        <f>IF(AA542&gt;0.01,IF(W543&lt;=($X$9*12),$X$15,-PMT($X$11,($X$12-$X$9)*12,$X$6)+$X$13*_xlfn.XLOOKUP($Y$13,'RE Calculations'!$B$12:$B$16,'RE Calculations'!$C$12:$C$16,"ERROR - Check Input")/12),0)</f>
        <v>0</v>
      </c>
      <c r="Y543" s="142">
        <f t="shared" si="68"/>
        <v>0</v>
      </c>
      <c r="Z543" s="142">
        <f>IF(W543&lt;=($X$9*12),$X$15,IFERROR(-IPMT($X$11,W543-$X$9*12,($X$12-$X$9)*12,$X$6)+$X$13*_xlfn.XLOOKUP($Y$13,'RE Calculations'!$B$12:$B$16,'RE Calculations'!$C$12:$C$16,"ERROR - Check Input")/12,0))</f>
        <v>0</v>
      </c>
      <c r="AA543" s="142">
        <f t="shared" si="69"/>
        <v>0</v>
      </c>
    </row>
    <row r="544" spans="2:27" x14ac:dyDescent="0.35">
      <c r="B544" s="12">
        <v>522</v>
      </c>
      <c r="C544" s="142">
        <f>IF(F543&gt;0.01,-PMT($C$8,$C$9*12,$C$6)+$C$10*_xlfn.XLOOKUP($D$10,'RE Calculations'!$B$12:$B$16,'RE Calculations'!$C$12:$C$16,"ERROR - Check Input")/12,0)</f>
        <v>0</v>
      </c>
      <c r="D544" s="142">
        <f t="shared" si="70"/>
        <v>0</v>
      </c>
      <c r="E544" s="142">
        <f>IFERROR(-IPMT($C$8,B544,$C$9*12,$C$6)+$C$10*_xlfn.XLOOKUP($D$10,'RE Calculations'!$B$12:$B$16,'RE Calculations'!$C$12:$C$16,"ERROR - Check Input")/12,0)</f>
        <v>0</v>
      </c>
      <c r="F544" s="142">
        <f t="shared" si="71"/>
        <v>0</v>
      </c>
      <c r="I544" s="12">
        <v>522</v>
      </c>
      <c r="J544" s="142">
        <f>IF(M543&gt;0.01,IF(I544&lt;=($J$9*12),$J$15,-PMT($J$11,($J$12-$J$9)*12,$J$6)+$J$13*_xlfn.XLOOKUP($K$13,'RE Calculations'!$B$12:$B$16,'RE Calculations'!$C$12:$C$16,"ERROR - Check Input")/12),0)</f>
        <v>0</v>
      </c>
      <c r="K544" s="142">
        <f t="shared" si="64"/>
        <v>0</v>
      </c>
      <c r="L544" s="142">
        <f>IF(I544&lt;=($J$9*12),$J$15,IFERROR(-IPMT($J$11,I544-$J$9*12,($J$12-$J$9)*12,$J$6)+$J$13*_xlfn.XLOOKUP($K$13,'RE Calculations'!$B$12:$B$16,'RE Calculations'!$C$12:$C$16,"ERROR - Check Input")/12,0))</f>
        <v>0</v>
      </c>
      <c r="M544" s="142">
        <f t="shared" si="65"/>
        <v>0</v>
      </c>
      <c r="P544" s="12">
        <v>522</v>
      </c>
      <c r="Q544" s="142">
        <f>IF(T543&gt;0.01,-PMT($Q$8,$Q$9*12,$Q$6)+$Q$10*_xlfn.XLOOKUP($R$10,'RE Calculations'!$B$12:$B$16,'RE Calculations'!$C$12:$C$16,"ERROR - Check Input")/12,0)</f>
        <v>0</v>
      </c>
      <c r="R544" s="142">
        <f t="shared" si="66"/>
        <v>0</v>
      </c>
      <c r="S544" s="142">
        <f>IFERROR(-IPMT($Q$8,P544,$Q$9*12,$Q$6)+$Q$10*_xlfn.XLOOKUP($R$10,'RE Calculations'!$B$12:$B$16,'RE Calculations'!$C$12:$C$16,"ERROR - Check Input")/12,0)</f>
        <v>0</v>
      </c>
      <c r="T544" s="142">
        <f t="shared" si="67"/>
        <v>0</v>
      </c>
      <c r="W544" s="12">
        <v>522</v>
      </c>
      <c r="X544" s="142">
        <f>IF(AA543&gt;0.01,IF(W544&lt;=($X$9*12),$X$15,-PMT($X$11,($X$12-$X$9)*12,$X$6)+$X$13*_xlfn.XLOOKUP($Y$13,'RE Calculations'!$B$12:$B$16,'RE Calculations'!$C$12:$C$16,"ERROR - Check Input")/12),0)</f>
        <v>0</v>
      </c>
      <c r="Y544" s="142">
        <f t="shared" si="68"/>
        <v>0</v>
      </c>
      <c r="Z544" s="142">
        <f>IF(W544&lt;=($X$9*12),$X$15,IFERROR(-IPMT($X$11,W544-$X$9*12,($X$12-$X$9)*12,$X$6)+$X$13*_xlfn.XLOOKUP($Y$13,'RE Calculations'!$B$12:$B$16,'RE Calculations'!$C$12:$C$16,"ERROR - Check Input")/12,0))</f>
        <v>0</v>
      </c>
      <c r="AA544" s="142">
        <f t="shared" si="69"/>
        <v>0</v>
      </c>
    </row>
    <row r="545" spans="2:27" x14ac:dyDescent="0.35">
      <c r="B545" s="12">
        <v>523</v>
      </c>
      <c r="C545" s="142">
        <f>IF(F544&gt;0.01,-PMT($C$8,$C$9*12,$C$6)+$C$10*_xlfn.XLOOKUP($D$10,'RE Calculations'!$B$12:$B$16,'RE Calculations'!$C$12:$C$16,"ERROR - Check Input")/12,0)</f>
        <v>0</v>
      </c>
      <c r="D545" s="142">
        <f t="shared" si="70"/>
        <v>0</v>
      </c>
      <c r="E545" s="142">
        <f>IFERROR(-IPMT($C$8,B545,$C$9*12,$C$6)+$C$10*_xlfn.XLOOKUP($D$10,'RE Calculations'!$B$12:$B$16,'RE Calculations'!$C$12:$C$16,"ERROR - Check Input")/12,0)</f>
        <v>0</v>
      </c>
      <c r="F545" s="142">
        <f t="shared" si="71"/>
        <v>0</v>
      </c>
      <c r="I545" s="12">
        <v>523</v>
      </c>
      <c r="J545" s="142">
        <f>IF(M544&gt;0.01,IF(I545&lt;=($J$9*12),$J$15,-PMT($J$11,($J$12-$J$9)*12,$J$6)+$J$13*_xlfn.XLOOKUP($K$13,'RE Calculations'!$B$12:$B$16,'RE Calculations'!$C$12:$C$16,"ERROR - Check Input")/12),0)</f>
        <v>0</v>
      </c>
      <c r="K545" s="142">
        <f t="shared" si="64"/>
        <v>0</v>
      </c>
      <c r="L545" s="142">
        <f>IF(I545&lt;=($J$9*12),$J$15,IFERROR(-IPMT($J$11,I545-$J$9*12,($J$12-$J$9)*12,$J$6)+$J$13*_xlfn.XLOOKUP($K$13,'RE Calculations'!$B$12:$B$16,'RE Calculations'!$C$12:$C$16,"ERROR - Check Input")/12,0))</f>
        <v>0</v>
      </c>
      <c r="M545" s="142">
        <f t="shared" si="65"/>
        <v>0</v>
      </c>
      <c r="P545" s="12">
        <v>523</v>
      </c>
      <c r="Q545" s="142">
        <f>IF(T544&gt;0.01,-PMT($Q$8,$Q$9*12,$Q$6)+$Q$10*_xlfn.XLOOKUP($R$10,'RE Calculations'!$B$12:$B$16,'RE Calculations'!$C$12:$C$16,"ERROR - Check Input")/12,0)</f>
        <v>0</v>
      </c>
      <c r="R545" s="142">
        <f t="shared" si="66"/>
        <v>0</v>
      </c>
      <c r="S545" s="142">
        <f>IFERROR(-IPMT($Q$8,P545,$Q$9*12,$Q$6)+$Q$10*_xlfn.XLOOKUP($R$10,'RE Calculations'!$B$12:$B$16,'RE Calculations'!$C$12:$C$16,"ERROR - Check Input")/12,0)</f>
        <v>0</v>
      </c>
      <c r="T545" s="142">
        <f t="shared" si="67"/>
        <v>0</v>
      </c>
      <c r="W545" s="12">
        <v>523</v>
      </c>
      <c r="X545" s="142">
        <f>IF(AA544&gt;0.01,IF(W545&lt;=($X$9*12),$X$15,-PMT($X$11,($X$12-$X$9)*12,$X$6)+$X$13*_xlfn.XLOOKUP($Y$13,'RE Calculations'!$B$12:$B$16,'RE Calculations'!$C$12:$C$16,"ERROR - Check Input")/12),0)</f>
        <v>0</v>
      </c>
      <c r="Y545" s="142">
        <f t="shared" si="68"/>
        <v>0</v>
      </c>
      <c r="Z545" s="142">
        <f>IF(W545&lt;=($X$9*12),$X$15,IFERROR(-IPMT($X$11,W545-$X$9*12,($X$12-$X$9)*12,$X$6)+$X$13*_xlfn.XLOOKUP($Y$13,'RE Calculations'!$B$12:$B$16,'RE Calculations'!$C$12:$C$16,"ERROR - Check Input")/12,0))</f>
        <v>0</v>
      </c>
      <c r="AA545" s="142">
        <f t="shared" si="69"/>
        <v>0</v>
      </c>
    </row>
    <row r="546" spans="2:27" x14ac:dyDescent="0.35">
      <c r="B546" s="12">
        <v>524</v>
      </c>
      <c r="C546" s="142">
        <f>IF(F545&gt;0.01,-PMT($C$8,$C$9*12,$C$6)+$C$10*_xlfn.XLOOKUP($D$10,'RE Calculations'!$B$12:$B$16,'RE Calculations'!$C$12:$C$16,"ERROR - Check Input")/12,0)</f>
        <v>0</v>
      </c>
      <c r="D546" s="142">
        <f t="shared" si="70"/>
        <v>0</v>
      </c>
      <c r="E546" s="142">
        <f>IFERROR(-IPMT($C$8,B546,$C$9*12,$C$6)+$C$10*_xlfn.XLOOKUP($D$10,'RE Calculations'!$B$12:$B$16,'RE Calculations'!$C$12:$C$16,"ERROR - Check Input")/12,0)</f>
        <v>0</v>
      </c>
      <c r="F546" s="142">
        <f t="shared" si="71"/>
        <v>0</v>
      </c>
      <c r="I546" s="12">
        <v>524</v>
      </c>
      <c r="J546" s="142">
        <f>IF(M545&gt;0.01,IF(I546&lt;=($J$9*12),$J$15,-PMT($J$11,($J$12-$J$9)*12,$J$6)+$J$13*_xlfn.XLOOKUP($K$13,'RE Calculations'!$B$12:$B$16,'RE Calculations'!$C$12:$C$16,"ERROR - Check Input")/12),0)</f>
        <v>0</v>
      </c>
      <c r="K546" s="142">
        <f t="shared" si="64"/>
        <v>0</v>
      </c>
      <c r="L546" s="142">
        <f>IF(I546&lt;=($J$9*12),$J$15,IFERROR(-IPMT($J$11,I546-$J$9*12,($J$12-$J$9)*12,$J$6)+$J$13*_xlfn.XLOOKUP($K$13,'RE Calculations'!$B$12:$B$16,'RE Calculations'!$C$12:$C$16,"ERROR - Check Input")/12,0))</f>
        <v>0</v>
      </c>
      <c r="M546" s="142">
        <f t="shared" si="65"/>
        <v>0</v>
      </c>
      <c r="P546" s="12">
        <v>524</v>
      </c>
      <c r="Q546" s="142">
        <f>IF(T545&gt;0.01,-PMT($Q$8,$Q$9*12,$Q$6)+$Q$10*_xlfn.XLOOKUP($R$10,'RE Calculations'!$B$12:$B$16,'RE Calculations'!$C$12:$C$16,"ERROR - Check Input")/12,0)</f>
        <v>0</v>
      </c>
      <c r="R546" s="142">
        <f t="shared" si="66"/>
        <v>0</v>
      </c>
      <c r="S546" s="142">
        <f>IFERROR(-IPMT($Q$8,P546,$Q$9*12,$Q$6)+$Q$10*_xlfn.XLOOKUP($R$10,'RE Calculations'!$B$12:$B$16,'RE Calculations'!$C$12:$C$16,"ERROR - Check Input")/12,0)</f>
        <v>0</v>
      </c>
      <c r="T546" s="142">
        <f t="shared" si="67"/>
        <v>0</v>
      </c>
      <c r="W546" s="12">
        <v>524</v>
      </c>
      <c r="X546" s="142">
        <f>IF(AA545&gt;0.01,IF(W546&lt;=($X$9*12),$X$15,-PMT($X$11,($X$12-$X$9)*12,$X$6)+$X$13*_xlfn.XLOOKUP($Y$13,'RE Calculations'!$B$12:$B$16,'RE Calculations'!$C$12:$C$16,"ERROR - Check Input")/12),0)</f>
        <v>0</v>
      </c>
      <c r="Y546" s="142">
        <f t="shared" si="68"/>
        <v>0</v>
      </c>
      <c r="Z546" s="142">
        <f>IF(W546&lt;=($X$9*12),$X$15,IFERROR(-IPMT($X$11,W546-$X$9*12,($X$12-$X$9)*12,$X$6)+$X$13*_xlfn.XLOOKUP($Y$13,'RE Calculations'!$B$12:$B$16,'RE Calculations'!$C$12:$C$16,"ERROR - Check Input")/12,0))</f>
        <v>0</v>
      </c>
      <c r="AA546" s="142">
        <f t="shared" si="69"/>
        <v>0</v>
      </c>
    </row>
    <row r="547" spans="2:27" x14ac:dyDescent="0.35">
      <c r="B547" s="12">
        <v>525</v>
      </c>
      <c r="C547" s="142">
        <f>IF(F546&gt;0.01,-PMT($C$8,$C$9*12,$C$6)+$C$10*_xlfn.XLOOKUP($D$10,'RE Calculations'!$B$12:$B$16,'RE Calculations'!$C$12:$C$16,"ERROR - Check Input")/12,0)</f>
        <v>0</v>
      </c>
      <c r="D547" s="142">
        <f t="shared" si="70"/>
        <v>0</v>
      </c>
      <c r="E547" s="142">
        <f>IFERROR(-IPMT($C$8,B547,$C$9*12,$C$6)+$C$10*_xlfn.XLOOKUP($D$10,'RE Calculations'!$B$12:$B$16,'RE Calculations'!$C$12:$C$16,"ERROR - Check Input")/12,0)</f>
        <v>0</v>
      </c>
      <c r="F547" s="142">
        <f t="shared" si="71"/>
        <v>0</v>
      </c>
      <c r="I547" s="12">
        <v>525</v>
      </c>
      <c r="J547" s="142">
        <f>IF(M546&gt;0.01,IF(I547&lt;=($J$9*12),$J$15,-PMT($J$11,($J$12-$J$9)*12,$J$6)+$J$13*_xlfn.XLOOKUP($K$13,'RE Calculations'!$B$12:$B$16,'RE Calculations'!$C$12:$C$16,"ERROR - Check Input")/12),0)</f>
        <v>0</v>
      </c>
      <c r="K547" s="142">
        <f t="shared" si="64"/>
        <v>0</v>
      </c>
      <c r="L547" s="142">
        <f>IF(I547&lt;=($J$9*12),$J$15,IFERROR(-IPMT($J$11,I547-$J$9*12,($J$12-$J$9)*12,$J$6)+$J$13*_xlfn.XLOOKUP($K$13,'RE Calculations'!$B$12:$B$16,'RE Calculations'!$C$12:$C$16,"ERROR - Check Input")/12,0))</f>
        <v>0</v>
      </c>
      <c r="M547" s="142">
        <f t="shared" si="65"/>
        <v>0</v>
      </c>
      <c r="P547" s="12">
        <v>525</v>
      </c>
      <c r="Q547" s="142">
        <f>IF(T546&gt;0.01,-PMT($Q$8,$Q$9*12,$Q$6)+$Q$10*_xlfn.XLOOKUP($R$10,'RE Calculations'!$B$12:$B$16,'RE Calculations'!$C$12:$C$16,"ERROR - Check Input")/12,0)</f>
        <v>0</v>
      </c>
      <c r="R547" s="142">
        <f t="shared" si="66"/>
        <v>0</v>
      </c>
      <c r="S547" s="142">
        <f>IFERROR(-IPMT($Q$8,P547,$Q$9*12,$Q$6)+$Q$10*_xlfn.XLOOKUP($R$10,'RE Calculations'!$B$12:$B$16,'RE Calculations'!$C$12:$C$16,"ERROR - Check Input")/12,0)</f>
        <v>0</v>
      </c>
      <c r="T547" s="142">
        <f t="shared" si="67"/>
        <v>0</v>
      </c>
      <c r="W547" s="12">
        <v>525</v>
      </c>
      <c r="X547" s="142">
        <f>IF(AA546&gt;0.01,IF(W547&lt;=($X$9*12),$X$15,-PMT($X$11,($X$12-$X$9)*12,$X$6)+$X$13*_xlfn.XLOOKUP($Y$13,'RE Calculations'!$B$12:$B$16,'RE Calculations'!$C$12:$C$16,"ERROR - Check Input")/12),0)</f>
        <v>0</v>
      </c>
      <c r="Y547" s="142">
        <f t="shared" si="68"/>
        <v>0</v>
      </c>
      <c r="Z547" s="142">
        <f>IF(W547&lt;=($X$9*12),$X$15,IFERROR(-IPMT($X$11,W547-$X$9*12,($X$12-$X$9)*12,$X$6)+$X$13*_xlfn.XLOOKUP($Y$13,'RE Calculations'!$B$12:$B$16,'RE Calculations'!$C$12:$C$16,"ERROR - Check Input")/12,0))</f>
        <v>0</v>
      </c>
      <c r="AA547" s="142">
        <f t="shared" si="69"/>
        <v>0</v>
      </c>
    </row>
    <row r="548" spans="2:27" x14ac:dyDescent="0.35">
      <c r="B548" s="12">
        <v>526</v>
      </c>
      <c r="C548" s="142">
        <f>IF(F547&gt;0.01,-PMT($C$8,$C$9*12,$C$6)+$C$10*_xlfn.XLOOKUP($D$10,'RE Calculations'!$B$12:$B$16,'RE Calculations'!$C$12:$C$16,"ERROR - Check Input")/12,0)</f>
        <v>0</v>
      </c>
      <c r="D548" s="142">
        <f t="shared" si="70"/>
        <v>0</v>
      </c>
      <c r="E548" s="142">
        <f>IFERROR(-IPMT($C$8,B548,$C$9*12,$C$6)+$C$10*_xlfn.XLOOKUP($D$10,'RE Calculations'!$B$12:$B$16,'RE Calculations'!$C$12:$C$16,"ERROR - Check Input")/12,0)</f>
        <v>0</v>
      </c>
      <c r="F548" s="142">
        <f t="shared" si="71"/>
        <v>0</v>
      </c>
      <c r="I548" s="12">
        <v>526</v>
      </c>
      <c r="J548" s="142">
        <f>IF(M547&gt;0.01,IF(I548&lt;=($J$9*12),$J$15,-PMT($J$11,($J$12-$J$9)*12,$J$6)+$J$13*_xlfn.XLOOKUP($K$13,'RE Calculations'!$B$12:$B$16,'RE Calculations'!$C$12:$C$16,"ERROR - Check Input")/12),0)</f>
        <v>0</v>
      </c>
      <c r="K548" s="142">
        <f t="shared" si="64"/>
        <v>0</v>
      </c>
      <c r="L548" s="142">
        <f>IF(I548&lt;=($J$9*12),$J$15,IFERROR(-IPMT($J$11,I548-$J$9*12,($J$12-$J$9)*12,$J$6)+$J$13*_xlfn.XLOOKUP($K$13,'RE Calculations'!$B$12:$B$16,'RE Calculations'!$C$12:$C$16,"ERROR - Check Input")/12,0))</f>
        <v>0</v>
      </c>
      <c r="M548" s="142">
        <f t="shared" si="65"/>
        <v>0</v>
      </c>
      <c r="P548" s="12">
        <v>526</v>
      </c>
      <c r="Q548" s="142">
        <f>IF(T547&gt;0.01,-PMT($Q$8,$Q$9*12,$Q$6)+$Q$10*_xlfn.XLOOKUP($R$10,'RE Calculations'!$B$12:$B$16,'RE Calculations'!$C$12:$C$16,"ERROR - Check Input")/12,0)</f>
        <v>0</v>
      </c>
      <c r="R548" s="142">
        <f t="shared" si="66"/>
        <v>0</v>
      </c>
      <c r="S548" s="142">
        <f>IFERROR(-IPMT($Q$8,P548,$Q$9*12,$Q$6)+$Q$10*_xlfn.XLOOKUP($R$10,'RE Calculations'!$B$12:$B$16,'RE Calculations'!$C$12:$C$16,"ERROR - Check Input")/12,0)</f>
        <v>0</v>
      </c>
      <c r="T548" s="142">
        <f t="shared" si="67"/>
        <v>0</v>
      </c>
      <c r="W548" s="12">
        <v>526</v>
      </c>
      <c r="X548" s="142">
        <f>IF(AA547&gt;0.01,IF(W548&lt;=($X$9*12),$X$15,-PMT($X$11,($X$12-$X$9)*12,$X$6)+$X$13*_xlfn.XLOOKUP($Y$13,'RE Calculations'!$B$12:$B$16,'RE Calculations'!$C$12:$C$16,"ERROR - Check Input")/12),0)</f>
        <v>0</v>
      </c>
      <c r="Y548" s="142">
        <f t="shared" si="68"/>
        <v>0</v>
      </c>
      <c r="Z548" s="142">
        <f>IF(W548&lt;=($X$9*12),$X$15,IFERROR(-IPMT($X$11,W548-$X$9*12,($X$12-$X$9)*12,$X$6)+$X$13*_xlfn.XLOOKUP($Y$13,'RE Calculations'!$B$12:$B$16,'RE Calculations'!$C$12:$C$16,"ERROR - Check Input")/12,0))</f>
        <v>0</v>
      </c>
      <c r="AA548" s="142">
        <f t="shared" si="69"/>
        <v>0</v>
      </c>
    </row>
    <row r="549" spans="2:27" x14ac:dyDescent="0.35">
      <c r="B549" s="12">
        <v>527</v>
      </c>
      <c r="C549" s="142">
        <f>IF(F548&gt;0.01,-PMT($C$8,$C$9*12,$C$6)+$C$10*_xlfn.XLOOKUP($D$10,'RE Calculations'!$B$12:$B$16,'RE Calculations'!$C$12:$C$16,"ERROR - Check Input")/12,0)</f>
        <v>0</v>
      </c>
      <c r="D549" s="142">
        <f t="shared" si="70"/>
        <v>0</v>
      </c>
      <c r="E549" s="142">
        <f>IFERROR(-IPMT($C$8,B549,$C$9*12,$C$6)+$C$10*_xlfn.XLOOKUP($D$10,'RE Calculations'!$B$12:$B$16,'RE Calculations'!$C$12:$C$16,"ERROR - Check Input")/12,0)</f>
        <v>0</v>
      </c>
      <c r="F549" s="142">
        <f t="shared" si="71"/>
        <v>0</v>
      </c>
      <c r="I549" s="12">
        <v>527</v>
      </c>
      <c r="J549" s="142">
        <f>IF(M548&gt;0.01,IF(I549&lt;=($J$9*12),$J$15,-PMT($J$11,($J$12-$J$9)*12,$J$6)+$J$13*_xlfn.XLOOKUP($K$13,'RE Calculations'!$B$12:$B$16,'RE Calculations'!$C$12:$C$16,"ERROR - Check Input")/12),0)</f>
        <v>0</v>
      </c>
      <c r="K549" s="142">
        <f t="shared" si="64"/>
        <v>0</v>
      </c>
      <c r="L549" s="142">
        <f>IF(I549&lt;=($J$9*12),$J$15,IFERROR(-IPMT($J$11,I549-$J$9*12,($J$12-$J$9)*12,$J$6)+$J$13*_xlfn.XLOOKUP($K$13,'RE Calculations'!$B$12:$B$16,'RE Calculations'!$C$12:$C$16,"ERROR - Check Input")/12,0))</f>
        <v>0</v>
      </c>
      <c r="M549" s="142">
        <f t="shared" si="65"/>
        <v>0</v>
      </c>
      <c r="P549" s="12">
        <v>527</v>
      </c>
      <c r="Q549" s="142">
        <f>IF(T548&gt;0.01,-PMT($Q$8,$Q$9*12,$Q$6)+$Q$10*_xlfn.XLOOKUP($R$10,'RE Calculations'!$B$12:$B$16,'RE Calculations'!$C$12:$C$16,"ERROR - Check Input")/12,0)</f>
        <v>0</v>
      </c>
      <c r="R549" s="142">
        <f t="shared" si="66"/>
        <v>0</v>
      </c>
      <c r="S549" s="142">
        <f>IFERROR(-IPMT($Q$8,P549,$Q$9*12,$Q$6)+$Q$10*_xlfn.XLOOKUP($R$10,'RE Calculations'!$B$12:$B$16,'RE Calculations'!$C$12:$C$16,"ERROR - Check Input")/12,0)</f>
        <v>0</v>
      </c>
      <c r="T549" s="142">
        <f t="shared" si="67"/>
        <v>0</v>
      </c>
      <c r="W549" s="12">
        <v>527</v>
      </c>
      <c r="X549" s="142">
        <f>IF(AA548&gt;0.01,IF(W549&lt;=($X$9*12),$X$15,-PMT($X$11,($X$12-$X$9)*12,$X$6)+$X$13*_xlfn.XLOOKUP($Y$13,'RE Calculations'!$B$12:$B$16,'RE Calculations'!$C$12:$C$16,"ERROR - Check Input")/12),0)</f>
        <v>0</v>
      </c>
      <c r="Y549" s="142">
        <f t="shared" si="68"/>
        <v>0</v>
      </c>
      <c r="Z549" s="142">
        <f>IF(W549&lt;=($X$9*12),$X$15,IFERROR(-IPMT($X$11,W549-$X$9*12,($X$12-$X$9)*12,$X$6)+$X$13*_xlfn.XLOOKUP($Y$13,'RE Calculations'!$B$12:$B$16,'RE Calculations'!$C$12:$C$16,"ERROR - Check Input")/12,0))</f>
        <v>0</v>
      </c>
      <c r="AA549" s="142">
        <f t="shared" si="69"/>
        <v>0</v>
      </c>
    </row>
    <row r="550" spans="2:27" x14ac:dyDescent="0.35">
      <c r="B550" s="12">
        <v>528</v>
      </c>
      <c r="C550" s="142">
        <f>IF(F549&gt;0.01,-PMT($C$8,$C$9*12,$C$6)+$C$10*_xlfn.XLOOKUP($D$10,'RE Calculations'!$B$12:$B$16,'RE Calculations'!$C$12:$C$16,"ERROR - Check Input")/12,0)</f>
        <v>0</v>
      </c>
      <c r="D550" s="142">
        <f t="shared" si="70"/>
        <v>0</v>
      </c>
      <c r="E550" s="142">
        <f>IFERROR(-IPMT($C$8,B550,$C$9*12,$C$6)+$C$10*_xlfn.XLOOKUP($D$10,'RE Calculations'!$B$12:$B$16,'RE Calculations'!$C$12:$C$16,"ERROR - Check Input")/12,0)</f>
        <v>0</v>
      </c>
      <c r="F550" s="142">
        <f t="shared" si="71"/>
        <v>0</v>
      </c>
      <c r="I550" s="12">
        <v>528</v>
      </c>
      <c r="J550" s="142">
        <f>IF(M549&gt;0.01,IF(I550&lt;=($J$9*12),$J$15,-PMT($J$11,($J$12-$J$9)*12,$J$6)+$J$13*_xlfn.XLOOKUP($K$13,'RE Calculations'!$B$12:$B$16,'RE Calculations'!$C$12:$C$16,"ERROR - Check Input")/12),0)</f>
        <v>0</v>
      </c>
      <c r="K550" s="142">
        <f t="shared" si="64"/>
        <v>0</v>
      </c>
      <c r="L550" s="142">
        <f>IF(I550&lt;=($J$9*12),$J$15,IFERROR(-IPMT($J$11,I550-$J$9*12,($J$12-$J$9)*12,$J$6)+$J$13*_xlfn.XLOOKUP($K$13,'RE Calculations'!$B$12:$B$16,'RE Calculations'!$C$12:$C$16,"ERROR - Check Input")/12,0))</f>
        <v>0</v>
      </c>
      <c r="M550" s="142">
        <f t="shared" si="65"/>
        <v>0</v>
      </c>
      <c r="P550" s="12">
        <v>528</v>
      </c>
      <c r="Q550" s="142">
        <f>IF(T549&gt;0.01,-PMT($Q$8,$Q$9*12,$Q$6)+$Q$10*_xlfn.XLOOKUP($R$10,'RE Calculations'!$B$12:$B$16,'RE Calculations'!$C$12:$C$16,"ERROR - Check Input")/12,0)</f>
        <v>0</v>
      </c>
      <c r="R550" s="142">
        <f t="shared" si="66"/>
        <v>0</v>
      </c>
      <c r="S550" s="142">
        <f>IFERROR(-IPMT($Q$8,P550,$Q$9*12,$Q$6)+$Q$10*_xlfn.XLOOKUP($R$10,'RE Calculations'!$B$12:$B$16,'RE Calculations'!$C$12:$C$16,"ERROR - Check Input")/12,0)</f>
        <v>0</v>
      </c>
      <c r="T550" s="142">
        <f t="shared" si="67"/>
        <v>0</v>
      </c>
      <c r="W550" s="12">
        <v>528</v>
      </c>
      <c r="X550" s="142">
        <f>IF(AA549&gt;0.01,IF(W550&lt;=($X$9*12),$X$15,-PMT($X$11,($X$12-$X$9)*12,$X$6)+$X$13*_xlfn.XLOOKUP($Y$13,'RE Calculations'!$B$12:$B$16,'RE Calculations'!$C$12:$C$16,"ERROR - Check Input")/12),0)</f>
        <v>0</v>
      </c>
      <c r="Y550" s="142">
        <f t="shared" si="68"/>
        <v>0</v>
      </c>
      <c r="Z550" s="142">
        <f>IF(W550&lt;=($X$9*12),$X$15,IFERROR(-IPMT($X$11,W550-$X$9*12,($X$12-$X$9)*12,$X$6)+$X$13*_xlfn.XLOOKUP($Y$13,'RE Calculations'!$B$12:$B$16,'RE Calculations'!$C$12:$C$16,"ERROR - Check Input")/12,0))</f>
        <v>0</v>
      </c>
      <c r="AA550" s="142">
        <f t="shared" si="69"/>
        <v>0</v>
      </c>
    </row>
    <row r="551" spans="2:27" x14ac:dyDescent="0.35">
      <c r="B551" s="12">
        <v>529</v>
      </c>
      <c r="C551" s="142">
        <f>IF(F550&gt;0.01,-PMT($C$8,$C$9*12,$C$6)+$C$10*_xlfn.XLOOKUP($D$10,'RE Calculations'!$B$12:$B$16,'RE Calculations'!$C$12:$C$16,"ERROR - Check Input")/12,0)</f>
        <v>0</v>
      </c>
      <c r="D551" s="142">
        <f t="shared" si="70"/>
        <v>0</v>
      </c>
      <c r="E551" s="142">
        <f>IFERROR(-IPMT($C$8,B551,$C$9*12,$C$6)+$C$10*_xlfn.XLOOKUP($D$10,'RE Calculations'!$B$12:$B$16,'RE Calculations'!$C$12:$C$16,"ERROR - Check Input")/12,0)</f>
        <v>0</v>
      </c>
      <c r="F551" s="142">
        <f t="shared" si="71"/>
        <v>0</v>
      </c>
      <c r="I551" s="12">
        <v>529</v>
      </c>
      <c r="J551" s="142">
        <f>IF(M550&gt;0.01,IF(I551&lt;=($J$9*12),$J$15,-PMT($J$11,($J$12-$J$9)*12,$J$6)+$J$13*_xlfn.XLOOKUP($K$13,'RE Calculations'!$B$12:$B$16,'RE Calculations'!$C$12:$C$16,"ERROR - Check Input")/12),0)</f>
        <v>0</v>
      </c>
      <c r="K551" s="142">
        <f t="shared" si="64"/>
        <v>0</v>
      </c>
      <c r="L551" s="142">
        <f>IF(I551&lt;=($J$9*12),$J$15,IFERROR(-IPMT($J$11,I551-$J$9*12,($J$12-$J$9)*12,$J$6)+$J$13*_xlfn.XLOOKUP($K$13,'RE Calculations'!$B$12:$B$16,'RE Calculations'!$C$12:$C$16,"ERROR - Check Input")/12,0))</f>
        <v>0</v>
      </c>
      <c r="M551" s="142">
        <f t="shared" si="65"/>
        <v>0</v>
      </c>
      <c r="P551" s="12">
        <v>529</v>
      </c>
      <c r="Q551" s="142">
        <f>IF(T550&gt;0.01,-PMT($Q$8,$Q$9*12,$Q$6)+$Q$10*_xlfn.XLOOKUP($R$10,'RE Calculations'!$B$12:$B$16,'RE Calculations'!$C$12:$C$16,"ERROR - Check Input")/12,0)</f>
        <v>0</v>
      </c>
      <c r="R551" s="142">
        <f t="shared" si="66"/>
        <v>0</v>
      </c>
      <c r="S551" s="142">
        <f>IFERROR(-IPMT($Q$8,P551,$Q$9*12,$Q$6)+$Q$10*_xlfn.XLOOKUP($R$10,'RE Calculations'!$B$12:$B$16,'RE Calculations'!$C$12:$C$16,"ERROR - Check Input")/12,0)</f>
        <v>0</v>
      </c>
      <c r="T551" s="142">
        <f t="shared" si="67"/>
        <v>0</v>
      </c>
      <c r="W551" s="12">
        <v>529</v>
      </c>
      <c r="X551" s="142">
        <f>IF(AA550&gt;0.01,IF(W551&lt;=($X$9*12),$X$15,-PMT($X$11,($X$12-$X$9)*12,$X$6)+$X$13*_xlfn.XLOOKUP($Y$13,'RE Calculations'!$B$12:$B$16,'RE Calculations'!$C$12:$C$16,"ERROR - Check Input")/12),0)</f>
        <v>0</v>
      </c>
      <c r="Y551" s="142">
        <f t="shared" si="68"/>
        <v>0</v>
      </c>
      <c r="Z551" s="142">
        <f>IF(W551&lt;=($X$9*12),$X$15,IFERROR(-IPMT($X$11,W551-$X$9*12,($X$12-$X$9)*12,$X$6)+$X$13*_xlfn.XLOOKUP($Y$13,'RE Calculations'!$B$12:$B$16,'RE Calculations'!$C$12:$C$16,"ERROR - Check Input")/12,0))</f>
        <v>0</v>
      </c>
      <c r="AA551" s="142">
        <f t="shared" si="69"/>
        <v>0</v>
      </c>
    </row>
    <row r="552" spans="2:27" x14ac:dyDescent="0.35">
      <c r="B552" s="12">
        <v>530</v>
      </c>
      <c r="C552" s="142">
        <f>IF(F551&gt;0.01,-PMT($C$8,$C$9*12,$C$6)+$C$10*_xlfn.XLOOKUP($D$10,'RE Calculations'!$B$12:$B$16,'RE Calculations'!$C$12:$C$16,"ERROR - Check Input")/12,0)</f>
        <v>0</v>
      </c>
      <c r="D552" s="142">
        <f t="shared" si="70"/>
        <v>0</v>
      </c>
      <c r="E552" s="142">
        <f>IFERROR(-IPMT($C$8,B552,$C$9*12,$C$6)+$C$10*_xlfn.XLOOKUP($D$10,'RE Calculations'!$B$12:$B$16,'RE Calculations'!$C$12:$C$16,"ERROR - Check Input")/12,0)</f>
        <v>0</v>
      </c>
      <c r="F552" s="142">
        <f t="shared" si="71"/>
        <v>0</v>
      </c>
      <c r="I552" s="12">
        <v>530</v>
      </c>
      <c r="J552" s="142">
        <f>IF(M551&gt;0.01,IF(I552&lt;=($J$9*12),$J$15,-PMT($J$11,($J$12-$J$9)*12,$J$6)+$J$13*_xlfn.XLOOKUP($K$13,'RE Calculations'!$B$12:$B$16,'RE Calculations'!$C$12:$C$16,"ERROR - Check Input")/12),0)</f>
        <v>0</v>
      </c>
      <c r="K552" s="142">
        <f t="shared" si="64"/>
        <v>0</v>
      </c>
      <c r="L552" s="142">
        <f>IF(I552&lt;=($J$9*12),$J$15,IFERROR(-IPMT($J$11,I552-$J$9*12,($J$12-$J$9)*12,$J$6)+$J$13*_xlfn.XLOOKUP($K$13,'RE Calculations'!$B$12:$B$16,'RE Calculations'!$C$12:$C$16,"ERROR - Check Input")/12,0))</f>
        <v>0</v>
      </c>
      <c r="M552" s="142">
        <f t="shared" si="65"/>
        <v>0</v>
      </c>
      <c r="P552" s="12">
        <v>530</v>
      </c>
      <c r="Q552" s="142">
        <f>IF(T551&gt;0.01,-PMT($Q$8,$Q$9*12,$Q$6)+$Q$10*_xlfn.XLOOKUP($R$10,'RE Calculations'!$B$12:$B$16,'RE Calculations'!$C$12:$C$16,"ERROR - Check Input")/12,0)</f>
        <v>0</v>
      </c>
      <c r="R552" s="142">
        <f t="shared" si="66"/>
        <v>0</v>
      </c>
      <c r="S552" s="142">
        <f>IFERROR(-IPMT($Q$8,P552,$Q$9*12,$Q$6)+$Q$10*_xlfn.XLOOKUP($R$10,'RE Calculations'!$B$12:$B$16,'RE Calculations'!$C$12:$C$16,"ERROR - Check Input")/12,0)</f>
        <v>0</v>
      </c>
      <c r="T552" s="142">
        <f t="shared" si="67"/>
        <v>0</v>
      </c>
      <c r="W552" s="12">
        <v>530</v>
      </c>
      <c r="X552" s="142">
        <f>IF(AA551&gt;0.01,IF(W552&lt;=($X$9*12),$X$15,-PMT($X$11,($X$12-$X$9)*12,$X$6)+$X$13*_xlfn.XLOOKUP($Y$13,'RE Calculations'!$B$12:$B$16,'RE Calculations'!$C$12:$C$16,"ERROR - Check Input")/12),0)</f>
        <v>0</v>
      </c>
      <c r="Y552" s="142">
        <f t="shared" si="68"/>
        <v>0</v>
      </c>
      <c r="Z552" s="142">
        <f>IF(W552&lt;=($X$9*12),$X$15,IFERROR(-IPMT($X$11,W552-$X$9*12,($X$12-$X$9)*12,$X$6)+$X$13*_xlfn.XLOOKUP($Y$13,'RE Calculations'!$B$12:$B$16,'RE Calculations'!$C$12:$C$16,"ERROR - Check Input")/12,0))</f>
        <v>0</v>
      </c>
      <c r="AA552" s="142">
        <f t="shared" si="69"/>
        <v>0</v>
      </c>
    </row>
    <row r="553" spans="2:27" x14ac:dyDescent="0.35">
      <c r="B553" s="12">
        <v>531</v>
      </c>
      <c r="C553" s="142">
        <f>IF(F552&gt;0.01,-PMT($C$8,$C$9*12,$C$6)+$C$10*_xlfn.XLOOKUP($D$10,'RE Calculations'!$B$12:$B$16,'RE Calculations'!$C$12:$C$16,"ERROR - Check Input")/12,0)</f>
        <v>0</v>
      </c>
      <c r="D553" s="142">
        <f t="shared" si="70"/>
        <v>0</v>
      </c>
      <c r="E553" s="142">
        <f>IFERROR(-IPMT($C$8,B553,$C$9*12,$C$6)+$C$10*_xlfn.XLOOKUP($D$10,'RE Calculations'!$B$12:$B$16,'RE Calculations'!$C$12:$C$16,"ERROR - Check Input")/12,0)</f>
        <v>0</v>
      </c>
      <c r="F553" s="142">
        <f t="shared" si="71"/>
        <v>0</v>
      </c>
      <c r="I553" s="12">
        <v>531</v>
      </c>
      <c r="J553" s="142">
        <f>IF(M552&gt;0.01,IF(I553&lt;=($J$9*12),$J$15,-PMT($J$11,($J$12-$J$9)*12,$J$6)+$J$13*_xlfn.XLOOKUP($K$13,'RE Calculations'!$B$12:$B$16,'RE Calculations'!$C$12:$C$16,"ERROR - Check Input")/12),0)</f>
        <v>0</v>
      </c>
      <c r="K553" s="142">
        <f t="shared" si="64"/>
        <v>0</v>
      </c>
      <c r="L553" s="142">
        <f>IF(I553&lt;=($J$9*12),$J$15,IFERROR(-IPMT($J$11,I553-$J$9*12,($J$12-$J$9)*12,$J$6)+$J$13*_xlfn.XLOOKUP($K$13,'RE Calculations'!$B$12:$B$16,'RE Calculations'!$C$12:$C$16,"ERROR - Check Input")/12,0))</f>
        <v>0</v>
      </c>
      <c r="M553" s="142">
        <f t="shared" si="65"/>
        <v>0</v>
      </c>
      <c r="P553" s="12">
        <v>531</v>
      </c>
      <c r="Q553" s="142">
        <f>IF(T552&gt;0.01,-PMT($Q$8,$Q$9*12,$Q$6)+$Q$10*_xlfn.XLOOKUP($R$10,'RE Calculations'!$B$12:$B$16,'RE Calculations'!$C$12:$C$16,"ERROR - Check Input")/12,0)</f>
        <v>0</v>
      </c>
      <c r="R553" s="142">
        <f t="shared" si="66"/>
        <v>0</v>
      </c>
      <c r="S553" s="142">
        <f>IFERROR(-IPMT($Q$8,P553,$Q$9*12,$Q$6)+$Q$10*_xlfn.XLOOKUP($R$10,'RE Calculations'!$B$12:$B$16,'RE Calculations'!$C$12:$C$16,"ERROR - Check Input")/12,0)</f>
        <v>0</v>
      </c>
      <c r="T553" s="142">
        <f t="shared" si="67"/>
        <v>0</v>
      </c>
      <c r="W553" s="12">
        <v>531</v>
      </c>
      <c r="X553" s="142">
        <f>IF(AA552&gt;0.01,IF(W553&lt;=($X$9*12),$X$15,-PMT($X$11,($X$12-$X$9)*12,$X$6)+$X$13*_xlfn.XLOOKUP($Y$13,'RE Calculations'!$B$12:$B$16,'RE Calculations'!$C$12:$C$16,"ERROR - Check Input")/12),0)</f>
        <v>0</v>
      </c>
      <c r="Y553" s="142">
        <f t="shared" si="68"/>
        <v>0</v>
      </c>
      <c r="Z553" s="142">
        <f>IF(W553&lt;=($X$9*12),$X$15,IFERROR(-IPMT($X$11,W553-$X$9*12,($X$12-$X$9)*12,$X$6)+$X$13*_xlfn.XLOOKUP($Y$13,'RE Calculations'!$B$12:$B$16,'RE Calculations'!$C$12:$C$16,"ERROR - Check Input")/12,0))</f>
        <v>0</v>
      </c>
      <c r="AA553" s="142">
        <f t="shared" si="69"/>
        <v>0</v>
      </c>
    </row>
    <row r="554" spans="2:27" x14ac:dyDescent="0.35">
      <c r="B554" s="12">
        <v>532</v>
      </c>
      <c r="C554" s="142">
        <f>IF(F553&gt;0.01,-PMT($C$8,$C$9*12,$C$6)+$C$10*_xlfn.XLOOKUP($D$10,'RE Calculations'!$B$12:$B$16,'RE Calculations'!$C$12:$C$16,"ERROR - Check Input")/12,0)</f>
        <v>0</v>
      </c>
      <c r="D554" s="142">
        <f t="shared" si="70"/>
        <v>0</v>
      </c>
      <c r="E554" s="142">
        <f>IFERROR(-IPMT($C$8,B554,$C$9*12,$C$6)+$C$10*_xlfn.XLOOKUP($D$10,'RE Calculations'!$B$12:$B$16,'RE Calculations'!$C$12:$C$16,"ERROR - Check Input")/12,0)</f>
        <v>0</v>
      </c>
      <c r="F554" s="142">
        <f t="shared" si="71"/>
        <v>0</v>
      </c>
      <c r="I554" s="12">
        <v>532</v>
      </c>
      <c r="J554" s="142">
        <f>IF(M553&gt;0.01,IF(I554&lt;=($J$9*12),$J$15,-PMT($J$11,($J$12-$J$9)*12,$J$6)+$J$13*_xlfn.XLOOKUP($K$13,'RE Calculations'!$B$12:$B$16,'RE Calculations'!$C$12:$C$16,"ERROR - Check Input")/12),0)</f>
        <v>0</v>
      </c>
      <c r="K554" s="142">
        <f t="shared" si="64"/>
        <v>0</v>
      </c>
      <c r="L554" s="142">
        <f>IF(I554&lt;=($J$9*12),$J$15,IFERROR(-IPMT($J$11,I554-$J$9*12,($J$12-$J$9)*12,$J$6)+$J$13*_xlfn.XLOOKUP($K$13,'RE Calculations'!$B$12:$B$16,'RE Calculations'!$C$12:$C$16,"ERROR - Check Input")/12,0))</f>
        <v>0</v>
      </c>
      <c r="M554" s="142">
        <f t="shared" si="65"/>
        <v>0</v>
      </c>
      <c r="P554" s="12">
        <v>532</v>
      </c>
      <c r="Q554" s="142">
        <f>IF(T553&gt;0.01,-PMT($Q$8,$Q$9*12,$Q$6)+$Q$10*_xlfn.XLOOKUP($R$10,'RE Calculations'!$B$12:$B$16,'RE Calculations'!$C$12:$C$16,"ERROR - Check Input")/12,0)</f>
        <v>0</v>
      </c>
      <c r="R554" s="142">
        <f t="shared" si="66"/>
        <v>0</v>
      </c>
      <c r="S554" s="142">
        <f>IFERROR(-IPMT($Q$8,P554,$Q$9*12,$Q$6)+$Q$10*_xlfn.XLOOKUP($R$10,'RE Calculations'!$B$12:$B$16,'RE Calculations'!$C$12:$C$16,"ERROR - Check Input")/12,0)</f>
        <v>0</v>
      </c>
      <c r="T554" s="142">
        <f t="shared" si="67"/>
        <v>0</v>
      </c>
      <c r="W554" s="12">
        <v>532</v>
      </c>
      <c r="X554" s="142">
        <f>IF(AA553&gt;0.01,IF(W554&lt;=($X$9*12),$X$15,-PMT($X$11,($X$12-$X$9)*12,$X$6)+$X$13*_xlfn.XLOOKUP($Y$13,'RE Calculations'!$B$12:$B$16,'RE Calculations'!$C$12:$C$16,"ERROR - Check Input")/12),0)</f>
        <v>0</v>
      </c>
      <c r="Y554" s="142">
        <f t="shared" si="68"/>
        <v>0</v>
      </c>
      <c r="Z554" s="142">
        <f>IF(W554&lt;=($X$9*12),$X$15,IFERROR(-IPMT($X$11,W554-$X$9*12,($X$12-$X$9)*12,$X$6)+$X$13*_xlfn.XLOOKUP($Y$13,'RE Calculations'!$B$12:$B$16,'RE Calculations'!$C$12:$C$16,"ERROR - Check Input")/12,0))</f>
        <v>0</v>
      </c>
      <c r="AA554" s="142">
        <f t="shared" si="69"/>
        <v>0</v>
      </c>
    </row>
    <row r="555" spans="2:27" x14ac:dyDescent="0.35">
      <c r="B555" s="12">
        <v>533</v>
      </c>
      <c r="C555" s="142">
        <f>IF(F554&gt;0.01,-PMT($C$8,$C$9*12,$C$6)+$C$10*_xlfn.XLOOKUP($D$10,'RE Calculations'!$B$12:$B$16,'RE Calculations'!$C$12:$C$16,"ERROR - Check Input")/12,0)</f>
        <v>0</v>
      </c>
      <c r="D555" s="142">
        <f t="shared" si="70"/>
        <v>0</v>
      </c>
      <c r="E555" s="142">
        <f>IFERROR(-IPMT($C$8,B555,$C$9*12,$C$6)+$C$10*_xlfn.XLOOKUP($D$10,'RE Calculations'!$B$12:$B$16,'RE Calculations'!$C$12:$C$16,"ERROR - Check Input")/12,0)</f>
        <v>0</v>
      </c>
      <c r="F555" s="142">
        <f t="shared" si="71"/>
        <v>0</v>
      </c>
      <c r="I555" s="12">
        <v>533</v>
      </c>
      <c r="J555" s="142">
        <f>IF(M554&gt;0.01,IF(I555&lt;=($J$9*12),$J$15,-PMT($J$11,($J$12-$J$9)*12,$J$6)+$J$13*_xlfn.XLOOKUP($K$13,'RE Calculations'!$B$12:$B$16,'RE Calculations'!$C$12:$C$16,"ERROR - Check Input")/12),0)</f>
        <v>0</v>
      </c>
      <c r="K555" s="142">
        <f t="shared" si="64"/>
        <v>0</v>
      </c>
      <c r="L555" s="142">
        <f>IF(I555&lt;=($J$9*12),$J$15,IFERROR(-IPMT($J$11,I555-$J$9*12,($J$12-$J$9)*12,$J$6)+$J$13*_xlfn.XLOOKUP($K$13,'RE Calculations'!$B$12:$B$16,'RE Calculations'!$C$12:$C$16,"ERROR - Check Input")/12,0))</f>
        <v>0</v>
      </c>
      <c r="M555" s="142">
        <f t="shared" si="65"/>
        <v>0</v>
      </c>
      <c r="P555" s="12">
        <v>533</v>
      </c>
      <c r="Q555" s="142">
        <f>IF(T554&gt;0.01,-PMT($Q$8,$Q$9*12,$Q$6)+$Q$10*_xlfn.XLOOKUP($R$10,'RE Calculations'!$B$12:$B$16,'RE Calculations'!$C$12:$C$16,"ERROR - Check Input")/12,0)</f>
        <v>0</v>
      </c>
      <c r="R555" s="142">
        <f t="shared" si="66"/>
        <v>0</v>
      </c>
      <c r="S555" s="142">
        <f>IFERROR(-IPMT($Q$8,P555,$Q$9*12,$Q$6)+$Q$10*_xlfn.XLOOKUP($R$10,'RE Calculations'!$B$12:$B$16,'RE Calculations'!$C$12:$C$16,"ERROR - Check Input")/12,0)</f>
        <v>0</v>
      </c>
      <c r="T555" s="142">
        <f t="shared" si="67"/>
        <v>0</v>
      </c>
      <c r="W555" s="12">
        <v>533</v>
      </c>
      <c r="X555" s="142">
        <f>IF(AA554&gt;0.01,IF(W555&lt;=($X$9*12),$X$15,-PMT($X$11,($X$12-$X$9)*12,$X$6)+$X$13*_xlfn.XLOOKUP($Y$13,'RE Calculations'!$B$12:$B$16,'RE Calculations'!$C$12:$C$16,"ERROR - Check Input")/12),0)</f>
        <v>0</v>
      </c>
      <c r="Y555" s="142">
        <f t="shared" si="68"/>
        <v>0</v>
      </c>
      <c r="Z555" s="142">
        <f>IF(W555&lt;=($X$9*12),$X$15,IFERROR(-IPMT($X$11,W555-$X$9*12,($X$12-$X$9)*12,$X$6)+$X$13*_xlfn.XLOOKUP($Y$13,'RE Calculations'!$B$12:$B$16,'RE Calculations'!$C$12:$C$16,"ERROR - Check Input")/12,0))</f>
        <v>0</v>
      </c>
      <c r="AA555" s="142">
        <f t="shared" si="69"/>
        <v>0</v>
      </c>
    </row>
    <row r="556" spans="2:27" x14ac:dyDescent="0.35">
      <c r="B556" s="12">
        <v>534</v>
      </c>
      <c r="C556" s="142">
        <f>IF(F555&gt;0.01,-PMT($C$8,$C$9*12,$C$6)+$C$10*_xlfn.XLOOKUP($D$10,'RE Calculations'!$B$12:$B$16,'RE Calculations'!$C$12:$C$16,"ERROR - Check Input")/12,0)</f>
        <v>0</v>
      </c>
      <c r="D556" s="142">
        <f t="shared" si="70"/>
        <v>0</v>
      </c>
      <c r="E556" s="142">
        <f>IFERROR(-IPMT($C$8,B556,$C$9*12,$C$6)+$C$10*_xlfn.XLOOKUP($D$10,'RE Calculations'!$B$12:$B$16,'RE Calculations'!$C$12:$C$16,"ERROR - Check Input")/12,0)</f>
        <v>0</v>
      </c>
      <c r="F556" s="142">
        <f t="shared" si="71"/>
        <v>0</v>
      </c>
      <c r="I556" s="12">
        <v>534</v>
      </c>
      <c r="J556" s="142">
        <f>IF(M555&gt;0.01,IF(I556&lt;=($J$9*12),$J$15,-PMT($J$11,($J$12-$J$9)*12,$J$6)+$J$13*_xlfn.XLOOKUP($K$13,'RE Calculations'!$B$12:$B$16,'RE Calculations'!$C$12:$C$16,"ERROR - Check Input")/12),0)</f>
        <v>0</v>
      </c>
      <c r="K556" s="142">
        <f t="shared" si="64"/>
        <v>0</v>
      </c>
      <c r="L556" s="142">
        <f>IF(I556&lt;=($J$9*12),$J$15,IFERROR(-IPMT($J$11,I556-$J$9*12,($J$12-$J$9)*12,$J$6)+$J$13*_xlfn.XLOOKUP($K$13,'RE Calculations'!$B$12:$B$16,'RE Calculations'!$C$12:$C$16,"ERROR - Check Input")/12,0))</f>
        <v>0</v>
      </c>
      <c r="M556" s="142">
        <f t="shared" si="65"/>
        <v>0</v>
      </c>
      <c r="P556" s="12">
        <v>534</v>
      </c>
      <c r="Q556" s="142">
        <f>IF(T555&gt;0.01,-PMT($Q$8,$Q$9*12,$Q$6)+$Q$10*_xlfn.XLOOKUP($R$10,'RE Calculations'!$B$12:$B$16,'RE Calculations'!$C$12:$C$16,"ERROR - Check Input")/12,0)</f>
        <v>0</v>
      </c>
      <c r="R556" s="142">
        <f t="shared" si="66"/>
        <v>0</v>
      </c>
      <c r="S556" s="142">
        <f>IFERROR(-IPMT($Q$8,P556,$Q$9*12,$Q$6)+$Q$10*_xlfn.XLOOKUP($R$10,'RE Calculations'!$B$12:$B$16,'RE Calculations'!$C$12:$C$16,"ERROR - Check Input")/12,0)</f>
        <v>0</v>
      </c>
      <c r="T556" s="142">
        <f t="shared" si="67"/>
        <v>0</v>
      </c>
      <c r="W556" s="12">
        <v>534</v>
      </c>
      <c r="X556" s="142">
        <f>IF(AA555&gt;0.01,IF(W556&lt;=($X$9*12),$X$15,-PMT($X$11,($X$12-$X$9)*12,$X$6)+$X$13*_xlfn.XLOOKUP($Y$13,'RE Calculations'!$B$12:$B$16,'RE Calculations'!$C$12:$C$16,"ERROR - Check Input")/12),0)</f>
        <v>0</v>
      </c>
      <c r="Y556" s="142">
        <f t="shared" si="68"/>
        <v>0</v>
      </c>
      <c r="Z556" s="142">
        <f>IF(W556&lt;=($X$9*12),$X$15,IFERROR(-IPMT($X$11,W556-$X$9*12,($X$12-$X$9)*12,$X$6)+$X$13*_xlfn.XLOOKUP($Y$13,'RE Calculations'!$B$12:$B$16,'RE Calculations'!$C$12:$C$16,"ERROR - Check Input")/12,0))</f>
        <v>0</v>
      </c>
      <c r="AA556" s="142">
        <f t="shared" si="69"/>
        <v>0</v>
      </c>
    </row>
    <row r="557" spans="2:27" x14ac:dyDescent="0.35">
      <c r="B557" s="12">
        <v>535</v>
      </c>
      <c r="C557" s="142">
        <f>IF(F556&gt;0.01,-PMT($C$8,$C$9*12,$C$6)+$C$10*_xlfn.XLOOKUP($D$10,'RE Calculations'!$B$12:$B$16,'RE Calculations'!$C$12:$C$16,"ERROR - Check Input")/12,0)</f>
        <v>0</v>
      </c>
      <c r="D557" s="142">
        <f t="shared" si="70"/>
        <v>0</v>
      </c>
      <c r="E557" s="142">
        <f>IFERROR(-IPMT($C$8,B557,$C$9*12,$C$6)+$C$10*_xlfn.XLOOKUP($D$10,'RE Calculations'!$B$12:$B$16,'RE Calculations'!$C$12:$C$16,"ERROR - Check Input")/12,0)</f>
        <v>0</v>
      </c>
      <c r="F557" s="142">
        <f t="shared" si="71"/>
        <v>0</v>
      </c>
      <c r="I557" s="12">
        <v>535</v>
      </c>
      <c r="J557" s="142">
        <f>IF(M556&gt;0.01,IF(I557&lt;=($J$9*12),$J$15,-PMT($J$11,($J$12-$J$9)*12,$J$6)+$J$13*_xlfn.XLOOKUP($K$13,'RE Calculations'!$B$12:$B$16,'RE Calculations'!$C$12:$C$16,"ERROR - Check Input")/12),0)</f>
        <v>0</v>
      </c>
      <c r="K557" s="142">
        <f t="shared" si="64"/>
        <v>0</v>
      </c>
      <c r="L557" s="142">
        <f>IF(I557&lt;=($J$9*12),$J$15,IFERROR(-IPMT($J$11,I557-$J$9*12,($J$12-$J$9)*12,$J$6)+$J$13*_xlfn.XLOOKUP($K$13,'RE Calculations'!$B$12:$B$16,'RE Calculations'!$C$12:$C$16,"ERROR - Check Input")/12,0))</f>
        <v>0</v>
      </c>
      <c r="M557" s="142">
        <f t="shared" si="65"/>
        <v>0</v>
      </c>
      <c r="P557" s="12">
        <v>535</v>
      </c>
      <c r="Q557" s="142">
        <f>IF(T556&gt;0.01,-PMT($Q$8,$Q$9*12,$Q$6)+$Q$10*_xlfn.XLOOKUP($R$10,'RE Calculations'!$B$12:$B$16,'RE Calculations'!$C$12:$C$16,"ERROR - Check Input")/12,0)</f>
        <v>0</v>
      </c>
      <c r="R557" s="142">
        <f t="shared" si="66"/>
        <v>0</v>
      </c>
      <c r="S557" s="142">
        <f>IFERROR(-IPMT($Q$8,P557,$Q$9*12,$Q$6)+$Q$10*_xlfn.XLOOKUP($R$10,'RE Calculations'!$B$12:$B$16,'RE Calculations'!$C$12:$C$16,"ERROR - Check Input")/12,0)</f>
        <v>0</v>
      </c>
      <c r="T557" s="142">
        <f t="shared" si="67"/>
        <v>0</v>
      </c>
      <c r="W557" s="12">
        <v>535</v>
      </c>
      <c r="X557" s="142">
        <f>IF(AA556&gt;0.01,IF(W557&lt;=($X$9*12),$X$15,-PMT($X$11,($X$12-$X$9)*12,$X$6)+$X$13*_xlfn.XLOOKUP($Y$13,'RE Calculations'!$B$12:$B$16,'RE Calculations'!$C$12:$C$16,"ERROR - Check Input")/12),0)</f>
        <v>0</v>
      </c>
      <c r="Y557" s="142">
        <f t="shared" si="68"/>
        <v>0</v>
      </c>
      <c r="Z557" s="142">
        <f>IF(W557&lt;=($X$9*12),$X$15,IFERROR(-IPMT($X$11,W557-$X$9*12,($X$12-$X$9)*12,$X$6)+$X$13*_xlfn.XLOOKUP($Y$13,'RE Calculations'!$B$12:$B$16,'RE Calculations'!$C$12:$C$16,"ERROR - Check Input")/12,0))</f>
        <v>0</v>
      </c>
      <c r="AA557" s="142">
        <f t="shared" si="69"/>
        <v>0</v>
      </c>
    </row>
    <row r="558" spans="2:27" x14ac:dyDescent="0.35">
      <c r="B558" s="12">
        <v>536</v>
      </c>
      <c r="C558" s="142">
        <f>IF(F557&gt;0.01,-PMT($C$8,$C$9*12,$C$6)+$C$10*_xlfn.XLOOKUP($D$10,'RE Calculations'!$B$12:$B$16,'RE Calculations'!$C$12:$C$16,"ERROR - Check Input")/12,0)</f>
        <v>0</v>
      </c>
      <c r="D558" s="142">
        <f t="shared" si="70"/>
        <v>0</v>
      </c>
      <c r="E558" s="142">
        <f>IFERROR(-IPMT($C$8,B558,$C$9*12,$C$6)+$C$10*_xlfn.XLOOKUP($D$10,'RE Calculations'!$B$12:$B$16,'RE Calculations'!$C$12:$C$16,"ERROR - Check Input")/12,0)</f>
        <v>0</v>
      </c>
      <c r="F558" s="142">
        <f t="shared" si="71"/>
        <v>0</v>
      </c>
      <c r="I558" s="12">
        <v>536</v>
      </c>
      <c r="J558" s="142">
        <f>IF(M557&gt;0.01,IF(I558&lt;=($J$9*12),$J$15,-PMT($J$11,($J$12-$J$9)*12,$J$6)+$J$13*_xlfn.XLOOKUP($K$13,'RE Calculations'!$B$12:$B$16,'RE Calculations'!$C$12:$C$16,"ERROR - Check Input")/12),0)</f>
        <v>0</v>
      </c>
      <c r="K558" s="142">
        <f t="shared" si="64"/>
        <v>0</v>
      </c>
      <c r="L558" s="142">
        <f>IF(I558&lt;=($J$9*12),$J$15,IFERROR(-IPMT($J$11,I558-$J$9*12,($J$12-$J$9)*12,$J$6)+$J$13*_xlfn.XLOOKUP($K$13,'RE Calculations'!$B$12:$B$16,'RE Calculations'!$C$12:$C$16,"ERROR - Check Input")/12,0))</f>
        <v>0</v>
      </c>
      <c r="M558" s="142">
        <f t="shared" si="65"/>
        <v>0</v>
      </c>
      <c r="P558" s="12">
        <v>536</v>
      </c>
      <c r="Q558" s="142">
        <f>IF(T557&gt;0.01,-PMT($Q$8,$Q$9*12,$Q$6)+$Q$10*_xlfn.XLOOKUP($R$10,'RE Calculations'!$B$12:$B$16,'RE Calculations'!$C$12:$C$16,"ERROR - Check Input")/12,0)</f>
        <v>0</v>
      </c>
      <c r="R558" s="142">
        <f t="shared" si="66"/>
        <v>0</v>
      </c>
      <c r="S558" s="142">
        <f>IFERROR(-IPMT($Q$8,P558,$Q$9*12,$Q$6)+$Q$10*_xlfn.XLOOKUP($R$10,'RE Calculations'!$B$12:$B$16,'RE Calculations'!$C$12:$C$16,"ERROR - Check Input")/12,0)</f>
        <v>0</v>
      </c>
      <c r="T558" s="142">
        <f t="shared" si="67"/>
        <v>0</v>
      </c>
      <c r="W558" s="12">
        <v>536</v>
      </c>
      <c r="X558" s="142">
        <f>IF(AA557&gt;0.01,IF(W558&lt;=($X$9*12),$X$15,-PMT($X$11,($X$12-$X$9)*12,$X$6)+$X$13*_xlfn.XLOOKUP($Y$13,'RE Calculations'!$B$12:$B$16,'RE Calculations'!$C$12:$C$16,"ERROR - Check Input")/12),0)</f>
        <v>0</v>
      </c>
      <c r="Y558" s="142">
        <f t="shared" si="68"/>
        <v>0</v>
      </c>
      <c r="Z558" s="142">
        <f>IF(W558&lt;=($X$9*12),$X$15,IFERROR(-IPMT($X$11,W558-$X$9*12,($X$12-$X$9)*12,$X$6)+$X$13*_xlfn.XLOOKUP($Y$13,'RE Calculations'!$B$12:$B$16,'RE Calculations'!$C$12:$C$16,"ERROR - Check Input")/12,0))</f>
        <v>0</v>
      </c>
      <c r="AA558" s="142">
        <f t="shared" si="69"/>
        <v>0</v>
      </c>
    </row>
    <row r="559" spans="2:27" x14ac:dyDescent="0.35">
      <c r="B559" s="12">
        <v>537</v>
      </c>
      <c r="C559" s="142">
        <f>IF(F558&gt;0.01,-PMT($C$8,$C$9*12,$C$6)+$C$10*_xlfn.XLOOKUP($D$10,'RE Calculations'!$B$12:$B$16,'RE Calculations'!$C$12:$C$16,"ERROR - Check Input")/12,0)</f>
        <v>0</v>
      </c>
      <c r="D559" s="142">
        <f t="shared" si="70"/>
        <v>0</v>
      </c>
      <c r="E559" s="142">
        <f>IFERROR(-IPMT($C$8,B559,$C$9*12,$C$6)+$C$10*_xlfn.XLOOKUP($D$10,'RE Calculations'!$B$12:$B$16,'RE Calculations'!$C$12:$C$16,"ERROR - Check Input")/12,0)</f>
        <v>0</v>
      </c>
      <c r="F559" s="142">
        <f t="shared" si="71"/>
        <v>0</v>
      </c>
      <c r="I559" s="12">
        <v>537</v>
      </c>
      <c r="J559" s="142">
        <f>IF(M558&gt;0.01,IF(I559&lt;=($J$9*12),$J$15,-PMT($J$11,($J$12-$J$9)*12,$J$6)+$J$13*_xlfn.XLOOKUP($K$13,'RE Calculations'!$B$12:$B$16,'RE Calculations'!$C$12:$C$16,"ERROR - Check Input")/12),0)</f>
        <v>0</v>
      </c>
      <c r="K559" s="142">
        <f t="shared" si="64"/>
        <v>0</v>
      </c>
      <c r="L559" s="142">
        <f>IF(I559&lt;=($J$9*12),$J$15,IFERROR(-IPMT($J$11,I559-$J$9*12,($J$12-$J$9)*12,$J$6)+$J$13*_xlfn.XLOOKUP($K$13,'RE Calculations'!$B$12:$B$16,'RE Calculations'!$C$12:$C$16,"ERROR - Check Input")/12,0))</f>
        <v>0</v>
      </c>
      <c r="M559" s="142">
        <f t="shared" si="65"/>
        <v>0</v>
      </c>
      <c r="P559" s="12">
        <v>537</v>
      </c>
      <c r="Q559" s="142">
        <f>IF(T558&gt;0.01,-PMT($Q$8,$Q$9*12,$Q$6)+$Q$10*_xlfn.XLOOKUP($R$10,'RE Calculations'!$B$12:$B$16,'RE Calculations'!$C$12:$C$16,"ERROR - Check Input")/12,0)</f>
        <v>0</v>
      </c>
      <c r="R559" s="142">
        <f t="shared" si="66"/>
        <v>0</v>
      </c>
      <c r="S559" s="142">
        <f>IFERROR(-IPMT($Q$8,P559,$Q$9*12,$Q$6)+$Q$10*_xlfn.XLOOKUP($R$10,'RE Calculations'!$B$12:$B$16,'RE Calculations'!$C$12:$C$16,"ERROR - Check Input")/12,0)</f>
        <v>0</v>
      </c>
      <c r="T559" s="142">
        <f t="shared" si="67"/>
        <v>0</v>
      </c>
      <c r="W559" s="12">
        <v>537</v>
      </c>
      <c r="X559" s="142">
        <f>IF(AA558&gt;0.01,IF(W559&lt;=($X$9*12),$X$15,-PMT($X$11,($X$12-$X$9)*12,$X$6)+$X$13*_xlfn.XLOOKUP($Y$13,'RE Calculations'!$B$12:$B$16,'RE Calculations'!$C$12:$C$16,"ERROR - Check Input")/12),0)</f>
        <v>0</v>
      </c>
      <c r="Y559" s="142">
        <f t="shared" si="68"/>
        <v>0</v>
      </c>
      <c r="Z559" s="142">
        <f>IF(W559&lt;=($X$9*12),$X$15,IFERROR(-IPMT($X$11,W559-$X$9*12,($X$12-$X$9)*12,$X$6)+$X$13*_xlfn.XLOOKUP($Y$13,'RE Calculations'!$B$12:$B$16,'RE Calculations'!$C$12:$C$16,"ERROR - Check Input")/12,0))</f>
        <v>0</v>
      </c>
      <c r="AA559" s="142">
        <f t="shared" si="69"/>
        <v>0</v>
      </c>
    </row>
    <row r="560" spans="2:27" x14ac:dyDescent="0.35">
      <c r="B560" s="12">
        <v>538</v>
      </c>
      <c r="C560" s="142">
        <f>IF(F559&gt;0.01,-PMT($C$8,$C$9*12,$C$6)+$C$10*_xlfn.XLOOKUP($D$10,'RE Calculations'!$B$12:$B$16,'RE Calculations'!$C$12:$C$16,"ERROR - Check Input")/12,0)</f>
        <v>0</v>
      </c>
      <c r="D560" s="142">
        <f t="shared" si="70"/>
        <v>0</v>
      </c>
      <c r="E560" s="142">
        <f>IFERROR(-IPMT($C$8,B560,$C$9*12,$C$6)+$C$10*_xlfn.XLOOKUP($D$10,'RE Calculations'!$B$12:$B$16,'RE Calculations'!$C$12:$C$16,"ERROR - Check Input")/12,0)</f>
        <v>0</v>
      </c>
      <c r="F560" s="142">
        <f t="shared" si="71"/>
        <v>0</v>
      </c>
      <c r="I560" s="12">
        <v>538</v>
      </c>
      <c r="J560" s="142">
        <f>IF(M559&gt;0.01,IF(I560&lt;=($J$9*12),$J$15,-PMT($J$11,($J$12-$J$9)*12,$J$6)+$J$13*_xlfn.XLOOKUP($K$13,'RE Calculations'!$B$12:$B$16,'RE Calculations'!$C$12:$C$16,"ERROR - Check Input")/12),0)</f>
        <v>0</v>
      </c>
      <c r="K560" s="142">
        <f t="shared" si="64"/>
        <v>0</v>
      </c>
      <c r="L560" s="142">
        <f>IF(I560&lt;=($J$9*12),$J$15,IFERROR(-IPMT($J$11,I560-$J$9*12,($J$12-$J$9)*12,$J$6)+$J$13*_xlfn.XLOOKUP($K$13,'RE Calculations'!$B$12:$B$16,'RE Calculations'!$C$12:$C$16,"ERROR - Check Input")/12,0))</f>
        <v>0</v>
      </c>
      <c r="M560" s="142">
        <f t="shared" si="65"/>
        <v>0</v>
      </c>
      <c r="P560" s="12">
        <v>538</v>
      </c>
      <c r="Q560" s="142">
        <f>IF(T559&gt;0.01,-PMT($Q$8,$Q$9*12,$Q$6)+$Q$10*_xlfn.XLOOKUP($R$10,'RE Calculations'!$B$12:$B$16,'RE Calculations'!$C$12:$C$16,"ERROR - Check Input")/12,0)</f>
        <v>0</v>
      </c>
      <c r="R560" s="142">
        <f t="shared" si="66"/>
        <v>0</v>
      </c>
      <c r="S560" s="142">
        <f>IFERROR(-IPMT($Q$8,P560,$Q$9*12,$Q$6)+$Q$10*_xlfn.XLOOKUP($R$10,'RE Calculations'!$B$12:$B$16,'RE Calculations'!$C$12:$C$16,"ERROR - Check Input")/12,0)</f>
        <v>0</v>
      </c>
      <c r="T560" s="142">
        <f t="shared" si="67"/>
        <v>0</v>
      </c>
      <c r="W560" s="12">
        <v>538</v>
      </c>
      <c r="X560" s="142">
        <f>IF(AA559&gt;0.01,IF(W560&lt;=($X$9*12),$X$15,-PMT($X$11,($X$12-$X$9)*12,$X$6)+$X$13*_xlfn.XLOOKUP($Y$13,'RE Calculations'!$B$12:$B$16,'RE Calculations'!$C$12:$C$16,"ERROR - Check Input")/12),0)</f>
        <v>0</v>
      </c>
      <c r="Y560" s="142">
        <f t="shared" si="68"/>
        <v>0</v>
      </c>
      <c r="Z560" s="142">
        <f>IF(W560&lt;=($X$9*12),$X$15,IFERROR(-IPMT($X$11,W560-$X$9*12,($X$12-$X$9)*12,$X$6)+$X$13*_xlfn.XLOOKUP($Y$13,'RE Calculations'!$B$12:$B$16,'RE Calculations'!$C$12:$C$16,"ERROR - Check Input")/12,0))</f>
        <v>0</v>
      </c>
      <c r="AA560" s="142">
        <f t="shared" si="69"/>
        <v>0</v>
      </c>
    </row>
    <row r="561" spans="2:27" x14ac:dyDescent="0.35">
      <c r="B561" s="12">
        <v>539</v>
      </c>
      <c r="C561" s="142">
        <f>IF(F560&gt;0.01,-PMT($C$8,$C$9*12,$C$6)+$C$10*_xlfn.XLOOKUP($D$10,'RE Calculations'!$B$12:$B$16,'RE Calculations'!$C$12:$C$16,"ERROR - Check Input")/12,0)</f>
        <v>0</v>
      </c>
      <c r="D561" s="142">
        <f t="shared" si="70"/>
        <v>0</v>
      </c>
      <c r="E561" s="142">
        <f>IFERROR(-IPMT($C$8,B561,$C$9*12,$C$6)+$C$10*_xlfn.XLOOKUP($D$10,'RE Calculations'!$B$12:$B$16,'RE Calculations'!$C$12:$C$16,"ERROR - Check Input")/12,0)</f>
        <v>0</v>
      </c>
      <c r="F561" s="142">
        <f t="shared" si="71"/>
        <v>0</v>
      </c>
      <c r="I561" s="12">
        <v>539</v>
      </c>
      <c r="J561" s="142">
        <f>IF(M560&gt;0.01,IF(I561&lt;=($J$9*12),$J$15,-PMT($J$11,($J$12-$J$9)*12,$J$6)+$J$13*_xlfn.XLOOKUP($K$13,'RE Calculations'!$B$12:$B$16,'RE Calculations'!$C$12:$C$16,"ERROR - Check Input")/12),0)</f>
        <v>0</v>
      </c>
      <c r="K561" s="142">
        <f t="shared" si="64"/>
        <v>0</v>
      </c>
      <c r="L561" s="142">
        <f>IF(I561&lt;=($J$9*12),$J$15,IFERROR(-IPMT($J$11,I561-$J$9*12,($J$12-$J$9)*12,$J$6)+$J$13*_xlfn.XLOOKUP($K$13,'RE Calculations'!$B$12:$B$16,'RE Calculations'!$C$12:$C$16,"ERROR - Check Input")/12,0))</f>
        <v>0</v>
      </c>
      <c r="M561" s="142">
        <f t="shared" si="65"/>
        <v>0</v>
      </c>
      <c r="P561" s="12">
        <v>539</v>
      </c>
      <c r="Q561" s="142">
        <f>IF(T560&gt;0.01,-PMT($Q$8,$Q$9*12,$Q$6)+$Q$10*_xlfn.XLOOKUP($R$10,'RE Calculations'!$B$12:$B$16,'RE Calculations'!$C$12:$C$16,"ERROR - Check Input")/12,0)</f>
        <v>0</v>
      </c>
      <c r="R561" s="142">
        <f t="shared" si="66"/>
        <v>0</v>
      </c>
      <c r="S561" s="142">
        <f>IFERROR(-IPMT($Q$8,P561,$Q$9*12,$Q$6)+$Q$10*_xlfn.XLOOKUP($R$10,'RE Calculations'!$B$12:$B$16,'RE Calculations'!$C$12:$C$16,"ERROR - Check Input")/12,0)</f>
        <v>0</v>
      </c>
      <c r="T561" s="142">
        <f t="shared" si="67"/>
        <v>0</v>
      </c>
      <c r="W561" s="12">
        <v>539</v>
      </c>
      <c r="X561" s="142">
        <f>IF(AA560&gt;0.01,IF(W561&lt;=($X$9*12),$X$15,-PMT($X$11,($X$12-$X$9)*12,$X$6)+$X$13*_xlfn.XLOOKUP($Y$13,'RE Calculations'!$B$12:$B$16,'RE Calculations'!$C$12:$C$16,"ERROR - Check Input")/12),0)</f>
        <v>0</v>
      </c>
      <c r="Y561" s="142">
        <f t="shared" si="68"/>
        <v>0</v>
      </c>
      <c r="Z561" s="142">
        <f>IF(W561&lt;=($X$9*12),$X$15,IFERROR(-IPMT($X$11,W561-$X$9*12,($X$12-$X$9)*12,$X$6)+$X$13*_xlfn.XLOOKUP($Y$13,'RE Calculations'!$B$12:$B$16,'RE Calculations'!$C$12:$C$16,"ERROR - Check Input")/12,0))</f>
        <v>0</v>
      </c>
      <c r="AA561" s="142">
        <f t="shared" si="69"/>
        <v>0</v>
      </c>
    </row>
    <row r="562" spans="2:27" x14ac:dyDescent="0.35">
      <c r="B562" s="12">
        <v>540</v>
      </c>
      <c r="C562" s="142">
        <f>IF(F561&gt;0.01,-PMT($C$8,$C$9*12,$C$6)+$C$10*_xlfn.XLOOKUP($D$10,'RE Calculations'!$B$12:$B$16,'RE Calculations'!$C$12:$C$16,"ERROR - Check Input")/12,0)</f>
        <v>0</v>
      </c>
      <c r="D562" s="142">
        <f t="shared" si="70"/>
        <v>0</v>
      </c>
      <c r="E562" s="142">
        <f>IFERROR(-IPMT($C$8,B562,$C$9*12,$C$6)+$C$10*_xlfn.XLOOKUP($D$10,'RE Calculations'!$B$12:$B$16,'RE Calculations'!$C$12:$C$16,"ERROR - Check Input")/12,0)</f>
        <v>0</v>
      </c>
      <c r="F562" s="142">
        <f t="shared" si="71"/>
        <v>0</v>
      </c>
      <c r="I562" s="12">
        <v>540</v>
      </c>
      <c r="J562" s="142">
        <f>IF(M561&gt;0.01,IF(I562&lt;=($J$9*12),$J$15,-PMT($J$11,($J$12-$J$9)*12,$J$6)+$J$13*_xlfn.XLOOKUP($K$13,'RE Calculations'!$B$12:$B$16,'RE Calculations'!$C$12:$C$16,"ERROR - Check Input")/12),0)</f>
        <v>0</v>
      </c>
      <c r="K562" s="142">
        <f t="shared" si="64"/>
        <v>0</v>
      </c>
      <c r="L562" s="142">
        <f>IF(I562&lt;=($J$9*12),$J$15,IFERROR(-IPMT($J$11,I562-$J$9*12,($J$12-$J$9)*12,$J$6)+$J$13*_xlfn.XLOOKUP($K$13,'RE Calculations'!$B$12:$B$16,'RE Calculations'!$C$12:$C$16,"ERROR - Check Input")/12,0))</f>
        <v>0</v>
      </c>
      <c r="M562" s="142">
        <f t="shared" si="65"/>
        <v>0</v>
      </c>
      <c r="P562" s="12">
        <v>540</v>
      </c>
      <c r="Q562" s="142">
        <f>IF(T561&gt;0.01,-PMT($Q$8,$Q$9*12,$Q$6)+$Q$10*_xlfn.XLOOKUP($R$10,'RE Calculations'!$B$12:$B$16,'RE Calculations'!$C$12:$C$16,"ERROR - Check Input")/12,0)</f>
        <v>0</v>
      </c>
      <c r="R562" s="142">
        <f t="shared" si="66"/>
        <v>0</v>
      </c>
      <c r="S562" s="142">
        <f>IFERROR(-IPMT($Q$8,P562,$Q$9*12,$Q$6)+$Q$10*_xlfn.XLOOKUP($R$10,'RE Calculations'!$B$12:$B$16,'RE Calculations'!$C$12:$C$16,"ERROR - Check Input")/12,0)</f>
        <v>0</v>
      </c>
      <c r="T562" s="142">
        <f t="shared" si="67"/>
        <v>0</v>
      </c>
      <c r="W562" s="12">
        <v>540</v>
      </c>
      <c r="X562" s="142">
        <f>IF(AA561&gt;0.01,IF(W562&lt;=($X$9*12),$X$15,-PMT($X$11,($X$12-$X$9)*12,$X$6)+$X$13*_xlfn.XLOOKUP($Y$13,'RE Calculations'!$B$12:$B$16,'RE Calculations'!$C$12:$C$16,"ERROR - Check Input")/12),0)</f>
        <v>0</v>
      </c>
      <c r="Y562" s="142">
        <f t="shared" si="68"/>
        <v>0</v>
      </c>
      <c r="Z562" s="142">
        <f>IF(W562&lt;=($X$9*12),$X$15,IFERROR(-IPMT($X$11,W562-$X$9*12,($X$12-$X$9)*12,$X$6)+$X$13*_xlfn.XLOOKUP($Y$13,'RE Calculations'!$B$12:$B$16,'RE Calculations'!$C$12:$C$16,"ERROR - Check Input")/12,0))</f>
        <v>0</v>
      </c>
      <c r="AA562" s="142">
        <f t="shared" si="69"/>
        <v>0</v>
      </c>
    </row>
    <row r="563" spans="2:27" x14ac:dyDescent="0.35">
      <c r="B563" s="12">
        <v>541</v>
      </c>
      <c r="C563" s="142">
        <f>IF(F562&gt;0.01,-PMT($C$8,$C$9*12,$C$6)+$C$10*_xlfn.XLOOKUP($D$10,'RE Calculations'!$B$12:$B$16,'RE Calculations'!$C$12:$C$16,"ERROR - Check Input")/12,0)</f>
        <v>0</v>
      </c>
      <c r="D563" s="142">
        <f t="shared" si="70"/>
        <v>0</v>
      </c>
      <c r="E563" s="142">
        <f>IFERROR(-IPMT($C$8,B563,$C$9*12,$C$6)+$C$10*_xlfn.XLOOKUP($D$10,'RE Calculations'!$B$12:$B$16,'RE Calculations'!$C$12:$C$16,"ERROR - Check Input")/12,0)</f>
        <v>0</v>
      </c>
      <c r="F563" s="142">
        <f t="shared" si="71"/>
        <v>0</v>
      </c>
      <c r="I563" s="12">
        <v>541</v>
      </c>
      <c r="J563" s="142">
        <f>IF(M562&gt;0.01,IF(I563&lt;=($J$9*12),$J$15,-PMT($J$11,($J$12-$J$9)*12,$J$6)+$J$13*_xlfn.XLOOKUP($K$13,'RE Calculations'!$B$12:$B$16,'RE Calculations'!$C$12:$C$16,"ERROR - Check Input")/12),0)</f>
        <v>0</v>
      </c>
      <c r="K563" s="142">
        <f t="shared" si="64"/>
        <v>0</v>
      </c>
      <c r="L563" s="142">
        <f>IF(I563&lt;=($J$9*12),$J$15,IFERROR(-IPMT($J$11,I563-$J$9*12,($J$12-$J$9)*12,$J$6)+$J$13*_xlfn.XLOOKUP($K$13,'RE Calculations'!$B$12:$B$16,'RE Calculations'!$C$12:$C$16,"ERROR - Check Input")/12,0))</f>
        <v>0</v>
      </c>
      <c r="M563" s="142">
        <f t="shared" si="65"/>
        <v>0</v>
      </c>
      <c r="P563" s="12">
        <v>541</v>
      </c>
      <c r="Q563" s="142">
        <f>IF(T562&gt;0.01,-PMT($Q$8,$Q$9*12,$Q$6)+$Q$10*_xlfn.XLOOKUP($R$10,'RE Calculations'!$B$12:$B$16,'RE Calculations'!$C$12:$C$16,"ERROR - Check Input")/12,0)</f>
        <v>0</v>
      </c>
      <c r="R563" s="142">
        <f t="shared" si="66"/>
        <v>0</v>
      </c>
      <c r="S563" s="142">
        <f>IFERROR(-IPMT($Q$8,P563,$Q$9*12,$Q$6)+$Q$10*_xlfn.XLOOKUP($R$10,'RE Calculations'!$B$12:$B$16,'RE Calculations'!$C$12:$C$16,"ERROR - Check Input")/12,0)</f>
        <v>0</v>
      </c>
      <c r="T563" s="142">
        <f t="shared" si="67"/>
        <v>0</v>
      </c>
      <c r="W563" s="12">
        <v>541</v>
      </c>
      <c r="X563" s="142">
        <f>IF(AA562&gt;0.01,IF(W563&lt;=($X$9*12),$X$15,-PMT($X$11,($X$12-$X$9)*12,$X$6)+$X$13*_xlfn.XLOOKUP($Y$13,'RE Calculations'!$B$12:$B$16,'RE Calculations'!$C$12:$C$16,"ERROR - Check Input")/12),0)</f>
        <v>0</v>
      </c>
      <c r="Y563" s="142">
        <f t="shared" si="68"/>
        <v>0</v>
      </c>
      <c r="Z563" s="142">
        <f>IF(W563&lt;=($X$9*12),$X$15,IFERROR(-IPMT($X$11,W563-$X$9*12,($X$12-$X$9)*12,$X$6)+$X$13*_xlfn.XLOOKUP($Y$13,'RE Calculations'!$B$12:$B$16,'RE Calculations'!$C$12:$C$16,"ERROR - Check Input")/12,0))</f>
        <v>0</v>
      </c>
      <c r="AA563" s="142">
        <f t="shared" si="69"/>
        <v>0</v>
      </c>
    </row>
    <row r="564" spans="2:27" x14ac:dyDescent="0.35">
      <c r="B564" s="12">
        <v>542</v>
      </c>
      <c r="C564" s="142">
        <f>IF(F563&gt;0.01,-PMT($C$8,$C$9*12,$C$6)+$C$10*_xlfn.XLOOKUP($D$10,'RE Calculations'!$B$12:$B$16,'RE Calculations'!$C$12:$C$16,"ERROR - Check Input")/12,0)</f>
        <v>0</v>
      </c>
      <c r="D564" s="142">
        <f t="shared" si="70"/>
        <v>0</v>
      </c>
      <c r="E564" s="142">
        <f>IFERROR(-IPMT($C$8,B564,$C$9*12,$C$6)+$C$10*_xlfn.XLOOKUP($D$10,'RE Calculations'!$B$12:$B$16,'RE Calculations'!$C$12:$C$16,"ERROR - Check Input")/12,0)</f>
        <v>0</v>
      </c>
      <c r="F564" s="142">
        <f t="shared" si="71"/>
        <v>0</v>
      </c>
      <c r="I564" s="12">
        <v>542</v>
      </c>
      <c r="J564" s="142">
        <f>IF(M563&gt;0.01,IF(I564&lt;=($J$9*12),$J$15,-PMT($J$11,($J$12-$J$9)*12,$J$6)+$J$13*_xlfn.XLOOKUP($K$13,'RE Calculations'!$B$12:$B$16,'RE Calculations'!$C$12:$C$16,"ERROR - Check Input")/12),0)</f>
        <v>0</v>
      </c>
      <c r="K564" s="142">
        <f t="shared" si="64"/>
        <v>0</v>
      </c>
      <c r="L564" s="142">
        <f>IF(I564&lt;=($J$9*12),$J$15,IFERROR(-IPMT($J$11,I564-$J$9*12,($J$12-$J$9)*12,$J$6)+$J$13*_xlfn.XLOOKUP($K$13,'RE Calculations'!$B$12:$B$16,'RE Calculations'!$C$12:$C$16,"ERROR - Check Input")/12,0))</f>
        <v>0</v>
      </c>
      <c r="M564" s="142">
        <f t="shared" si="65"/>
        <v>0</v>
      </c>
      <c r="P564" s="12">
        <v>542</v>
      </c>
      <c r="Q564" s="142">
        <f>IF(T563&gt;0.01,-PMT($Q$8,$Q$9*12,$Q$6)+$Q$10*_xlfn.XLOOKUP($R$10,'RE Calculations'!$B$12:$B$16,'RE Calculations'!$C$12:$C$16,"ERROR - Check Input")/12,0)</f>
        <v>0</v>
      </c>
      <c r="R564" s="142">
        <f t="shared" si="66"/>
        <v>0</v>
      </c>
      <c r="S564" s="142">
        <f>IFERROR(-IPMT($Q$8,P564,$Q$9*12,$Q$6)+$Q$10*_xlfn.XLOOKUP($R$10,'RE Calculations'!$B$12:$B$16,'RE Calculations'!$C$12:$C$16,"ERROR - Check Input")/12,0)</f>
        <v>0</v>
      </c>
      <c r="T564" s="142">
        <f t="shared" si="67"/>
        <v>0</v>
      </c>
      <c r="W564" s="12">
        <v>542</v>
      </c>
      <c r="X564" s="142">
        <f>IF(AA563&gt;0.01,IF(W564&lt;=($X$9*12),$X$15,-PMT($X$11,($X$12-$X$9)*12,$X$6)+$X$13*_xlfn.XLOOKUP($Y$13,'RE Calculations'!$B$12:$B$16,'RE Calculations'!$C$12:$C$16,"ERROR - Check Input")/12),0)</f>
        <v>0</v>
      </c>
      <c r="Y564" s="142">
        <f t="shared" si="68"/>
        <v>0</v>
      </c>
      <c r="Z564" s="142">
        <f>IF(W564&lt;=($X$9*12),$X$15,IFERROR(-IPMT($X$11,W564-$X$9*12,($X$12-$X$9)*12,$X$6)+$X$13*_xlfn.XLOOKUP($Y$13,'RE Calculations'!$B$12:$B$16,'RE Calculations'!$C$12:$C$16,"ERROR - Check Input")/12,0))</f>
        <v>0</v>
      </c>
      <c r="AA564" s="142">
        <f t="shared" si="69"/>
        <v>0</v>
      </c>
    </row>
    <row r="565" spans="2:27" x14ac:dyDescent="0.35">
      <c r="B565" s="12">
        <v>543</v>
      </c>
      <c r="C565" s="142">
        <f>IF(F564&gt;0.01,-PMT($C$8,$C$9*12,$C$6)+$C$10*_xlfn.XLOOKUP($D$10,'RE Calculations'!$B$12:$B$16,'RE Calculations'!$C$12:$C$16,"ERROR - Check Input")/12,0)</f>
        <v>0</v>
      </c>
      <c r="D565" s="142">
        <f t="shared" si="70"/>
        <v>0</v>
      </c>
      <c r="E565" s="142">
        <f>IFERROR(-IPMT($C$8,B565,$C$9*12,$C$6)+$C$10*_xlfn.XLOOKUP($D$10,'RE Calculations'!$B$12:$B$16,'RE Calculations'!$C$12:$C$16,"ERROR - Check Input")/12,0)</f>
        <v>0</v>
      </c>
      <c r="F565" s="142">
        <f t="shared" si="71"/>
        <v>0</v>
      </c>
      <c r="I565" s="12">
        <v>543</v>
      </c>
      <c r="J565" s="142">
        <f>IF(M564&gt;0.01,IF(I565&lt;=($J$9*12),$J$15,-PMT($J$11,($J$12-$J$9)*12,$J$6)+$J$13*_xlfn.XLOOKUP($K$13,'RE Calculations'!$B$12:$B$16,'RE Calculations'!$C$12:$C$16,"ERROR - Check Input")/12),0)</f>
        <v>0</v>
      </c>
      <c r="K565" s="142">
        <f t="shared" si="64"/>
        <v>0</v>
      </c>
      <c r="L565" s="142">
        <f>IF(I565&lt;=($J$9*12),$J$15,IFERROR(-IPMT($J$11,I565-$J$9*12,($J$12-$J$9)*12,$J$6)+$J$13*_xlfn.XLOOKUP($K$13,'RE Calculations'!$B$12:$B$16,'RE Calculations'!$C$12:$C$16,"ERROR - Check Input")/12,0))</f>
        <v>0</v>
      </c>
      <c r="M565" s="142">
        <f t="shared" si="65"/>
        <v>0</v>
      </c>
      <c r="P565" s="12">
        <v>543</v>
      </c>
      <c r="Q565" s="142">
        <f>IF(T564&gt;0.01,-PMT($Q$8,$Q$9*12,$Q$6)+$Q$10*_xlfn.XLOOKUP($R$10,'RE Calculations'!$B$12:$B$16,'RE Calculations'!$C$12:$C$16,"ERROR - Check Input")/12,0)</f>
        <v>0</v>
      </c>
      <c r="R565" s="142">
        <f t="shared" si="66"/>
        <v>0</v>
      </c>
      <c r="S565" s="142">
        <f>IFERROR(-IPMT($Q$8,P565,$Q$9*12,$Q$6)+$Q$10*_xlfn.XLOOKUP($R$10,'RE Calculations'!$B$12:$B$16,'RE Calculations'!$C$12:$C$16,"ERROR - Check Input")/12,0)</f>
        <v>0</v>
      </c>
      <c r="T565" s="142">
        <f t="shared" si="67"/>
        <v>0</v>
      </c>
      <c r="W565" s="12">
        <v>543</v>
      </c>
      <c r="X565" s="142">
        <f>IF(AA564&gt;0.01,IF(W565&lt;=($X$9*12),$X$15,-PMT($X$11,($X$12-$X$9)*12,$X$6)+$X$13*_xlfn.XLOOKUP($Y$13,'RE Calculations'!$B$12:$B$16,'RE Calculations'!$C$12:$C$16,"ERROR - Check Input")/12),0)</f>
        <v>0</v>
      </c>
      <c r="Y565" s="142">
        <f t="shared" si="68"/>
        <v>0</v>
      </c>
      <c r="Z565" s="142">
        <f>IF(W565&lt;=($X$9*12),$X$15,IFERROR(-IPMT($X$11,W565-$X$9*12,($X$12-$X$9)*12,$X$6)+$X$13*_xlfn.XLOOKUP($Y$13,'RE Calculations'!$B$12:$B$16,'RE Calculations'!$C$12:$C$16,"ERROR - Check Input")/12,0))</f>
        <v>0</v>
      </c>
      <c r="AA565" s="142">
        <f t="shared" si="69"/>
        <v>0</v>
      </c>
    </row>
    <row r="566" spans="2:27" x14ac:dyDescent="0.35">
      <c r="B566" s="12">
        <v>544</v>
      </c>
      <c r="C566" s="142">
        <f>IF(F565&gt;0.01,-PMT($C$8,$C$9*12,$C$6)+$C$10*_xlfn.XLOOKUP($D$10,'RE Calculations'!$B$12:$B$16,'RE Calculations'!$C$12:$C$16,"ERROR - Check Input")/12,0)</f>
        <v>0</v>
      </c>
      <c r="D566" s="142">
        <f t="shared" si="70"/>
        <v>0</v>
      </c>
      <c r="E566" s="142">
        <f>IFERROR(-IPMT($C$8,B566,$C$9*12,$C$6)+$C$10*_xlfn.XLOOKUP($D$10,'RE Calculations'!$B$12:$B$16,'RE Calculations'!$C$12:$C$16,"ERROR - Check Input")/12,0)</f>
        <v>0</v>
      </c>
      <c r="F566" s="142">
        <f t="shared" si="71"/>
        <v>0</v>
      </c>
      <c r="I566" s="12">
        <v>544</v>
      </c>
      <c r="J566" s="142">
        <f>IF(M565&gt;0.01,IF(I566&lt;=($J$9*12),$J$15,-PMT($J$11,($J$12-$J$9)*12,$J$6)+$J$13*_xlfn.XLOOKUP($K$13,'RE Calculations'!$B$12:$B$16,'RE Calculations'!$C$12:$C$16,"ERROR - Check Input")/12),0)</f>
        <v>0</v>
      </c>
      <c r="K566" s="142">
        <f t="shared" si="64"/>
        <v>0</v>
      </c>
      <c r="L566" s="142">
        <f>IF(I566&lt;=($J$9*12),$J$15,IFERROR(-IPMT($J$11,I566-$J$9*12,($J$12-$J$9)*12,$J$6)+$J$13*_xlfn.XLOOKUP($K$13,'RE Calculations'!$B$12:$B$16,'RE Calculations'!$C$12:$C$16,"ERROR - Check Input")/12,0))</f>
        <v>0</v>
      </c>
      <c r="M566" s="142">
        <f t="shared" si="65"/>
        <v>0</v>
      </c>
      <c r="P566" s="12">
        <v>544</v>
      </c>
      <c r="Q566" s="142">
        <f>IF(T565&gt;0.01,-PMT($Q$8,$Q$9*12,$Q$6)+$Q$10*_xlfn.XLOOKUP($R$10,'RE Calculations'!$B$12:$B$16,'RE Calculations'!$C$12:$C$16,"ERROR - Check Input")/12,0)</f>
        <v>0</v>
      </c>
      <c r="R566" s="142">
        <f t="shared" si="66"/>
        <v>0</v>
      </c>
      <c r="S566" s="142">
        <f>IFERROR(-IPMT($Q$8,P566,$Q$9*12,$Q$6)+$Q$10*_xlfn.XLOOKUP($R$10,'RE Calculations'!$B$12:$B$16,'RE Calculations'!$C$12:$C$16,"ERROR - Check Input")/12,0)</f>
        <v>0</v>
      </c>
      <c r="T566" s="142">
        <f t="shared" si="67"/>
        <v>0</v>
      </c>
      <c r="W566" s="12">
        <v>544</v>
      </c>
      <c r="X566" s="142">
        <f>IF(AA565&gt;0.01,IF(W566&lt;=($X$9*12),$X$15,-PMT($X$11,($X$12-$X$9)*12,$X$6)+$X$13*_xlfn.XLOOKUP($Y$13,'RE Calculations'!$B$12:$B$16,'RE Calculations'!$C$12:$C$16,"ERROR - Check Input")/12),0)</f>
        <v>0</v>
      </c>
      <c r="Y566" s="142">
        <f t="shared" si="68"/>
        <v>0</v>
      </c>
      <c r="Z566" s="142">
        <f>IF(W566&lt;=($X$9*12),$X$15,IFERROR(-IPMT($X$11,W566-$X$9*12,($X$12-$X$9)*12,$X$6)+$X$13*_xlfn.XLOOKUP($Y$13,'RE Calculations'!$B$12:$B$16,'RE Calculations'!$C$12:$C$16,"ERROR - Check Input")/12,0))</f>
        <v>0</v>
      </c>
      <c r="AA566" s="142">
        <f t="shared" si="69"/>
        <v>0</v>
      </c>
    </row>
    <row r="567" spans="2:27" x14ac:dyDescent="0.35">
      <c r="B567" s="12">
        <v>545</v>
      </c>
      <c r="C567" s="142">
        <f>IF(F566&gt;0.01,-PMT($C$8,$C$9*12,$C$6)+$C$10*_xlfn.XLOOKUP($D$10,'RE Calculations'!$B$12:$B$16,'RE Calculations'!$C$12:$C$16,"ERROR - Check Input")/12,0)</f>
        <v>0</v>
      </c>
      <c r="D567" s="142">
        <f t="shared" si="70"/>
        <v>0</v>
      </c>
      <c r="E567" s="142">
        <f>IFERROR(-IPMT($C$8,B567,$C$9*12,$C$6)+$C$10*_xlfn.XLOOKUP($D$10,'RE Calculations'!$B$12:$B$16,'RE Calculations'!$C$12:$C$16,"ERROR - Check Input")/12,0)</f>
        <v>0</v>
      </c>
      <c r="F567" s="142">
        <f t="shared" si="71"/>
        <v>0</v>
      </c>
      <c r="I567" s="12">
        <v>545</v>
      </c>
      <c r="J567" s="142">
        <f>IF(M566&gt;0.01,IF(I567&lt;=($J$9*12),$J$15,-PMT($J$11,($J$12-$J$9)*12,$J$6)+$J$13*_xlfn.XLOOKUP($K$13,'RE Calculations'!$B$12:$B$16,'RE Calculations'!$C$12:$C$16,"ERROR - Check Input")/12),0)</f>
        <v>0</v>
      </c>
      <c r="K567" s="142">
        <f t="shared" si="64"/>
        <v>0</v>
      </c>
      <c r="L567" s="142">
        <f>IF(I567&lt;=($J$9*12),$J$15,IFERROR(-IPMT($J$11,I567-$J$9*12,($J$12-$J$9)*12,$J$6)+$J$13*_xlfn.XLOOKUP($K$13,'RE Calculations'!$B$12:$B$16,'RE Calculations'!$C$12:$C$16,"ERROR - Check Input")/12,0))</f>
        <v>0</v>
      </c>
      <c r="M567" s="142">
        <f t="shared" si="65"/>
        <v>0</v>
      </c>
      <c r="P567" s="12">
        <v>545</v>
      </c>
      <c r="Q567" s="142">
        <f>IF(T566&gt;0.01,-PMT($Q$8,$Q$9*12,$Q$6)+$Q$10*_xlfn.XLOOKUP($R$10,'RE Calculations'!$B$12:$B$16,'RE Calculations'!$C$12:$C$16,"ERROR - Check Input")/12,0)</f>
        <v>0</v>
      </c>
      <c r="R567" s="142">
        <f t="shared" si="66"/>
        <v>0</v>
      </c>
      <c r="S567" s="142">
        <f>IFERROR(-IPMT($Q$8,P567,$Q$9*12,$Q$6)+$Q$10*_xlfn.XLOOKUP($R$10,'RE Calculations'!$B$12:$B$16,'RE Calculations'!$C$12:$C$16,"ERROR - Check Input")/12,0)</f>
        <v>0</v>
      </c>
      <c r="T567" s="142">
        <f t="shared" si="67"/>
        <v>0</v>
      </c>
      <c r="W567" s="12">
        <v>545</v>
      </c>
      <c r="X567" s="142">
        <f>IF(AA566&gt;0.01,IF(W567&lt;=($X$9*12),$X$15,-PMT($X$11,($X$12-$X$9)*12,$X$6)+$X$13*_xlfn.XLOOKUP($Y$13,'RE Calculations'!$B$12:$B$16,'RE Calculations'!$C$12:$C$16,"ERROR - Check Input")/12),0)</f>
        <v>0</v>
      </c>
      <c r="Y567" s="142">
        <f t="shared" si="68"/>
        <v>0</v>
      </c>
      <c r="Z567" s="142">
        <f>IF(W567&lt;=($X$9*12),$X$15,IFERROR(-IPMT($X$11,W567-$X$9*12,($X$12-$X$9)*12,$X$6)+$X$13*_xlfn.XLOOKUP($Y$13,'RE Calculations'!$B$12:$B$16,'RE Calculations'!$C$12:$C$16,"ERROR - Check Input")/12,0))</f>
        <v>0</v>
      </c>
      <c r="AA567" s="142">
        <f t="shared" si="69"/>
        <v>0</v>
      </c>
    </row>
    <row r="568" spans="2:27" x14ac:dyDescent="0.35">
      <c r="B568" s="12">
        <v>546</v>
      </c>
      <c r="C568" s="142">
        <f>IF(F567&gt;0.01,-PMT($C$8,$C$9*12,$C$6)+$C$10*_xlfn.XLOOKUP($D$10,'RE Calculations'!$B$12:$B$16,'RE Calculations'!$C$12:$C$16,"ERROR - Check Input")/12,0)</f>
        <v>0</v>
      </c>
      <c r="D568" s="142">
        <f t="shared" si="70"/>
        <v>0</v>
      </c>
      <c r="E568" s="142">
        <f>IFERROR(-IPMT($C$8,B568,$C$9*12,$C$6)+$C$10*_xlfn.XLOOKUP($D$10,'RE Calculations'!$B$12:$B$16,'RE Calculations'!$C$12:$C$16,"ERROR - Check Input")/12,0)</f>
        <v>0</v>
      </c>
      <c r="F568" s="142">
        <f t="shared" si="71"/>
        <v>0</v>
      </c>
      <c r="I568" s="12">
        <v>546</v>
      </c>
      <c r="J568" s="142">
        <f>IF(M567&gt;0.01,IF(I568&lt;=($J$9*12),$J$15,-PMT($J$11,($J$12-$J$9)*12,$J$6)+$J$13*_xlfn.XLOOKUP($K$13,'RE Calculations'!$B$12:$B$16,'RE Calculations'!$C$12:$C$16,"ERROR - Check Input")/12),0)</f>
        <v>0</v>
      </c>
      <c r="K568" s="142">
        <f t="shared" si="64"/>
        <v>0</v>
      </c>
      <c r="L568" s="142">
        <f>IF(I568&lt;=($J$9*12),$J$15,IFERROR(-IPMT($J$11,I568-$J$9*12,($J$12-$J$9)*12,$J$6)+$J$13*_xlfn.XLOOKUP($K$13,'RE Calculations'!$B$12:$B$16,'RE Calculations'!$C$12:$C$16,"ERROR - Check Input")/12,0))</f>
        <v>0</v>
      </c>
      <c r="M568" s="142">
        <f t="shared" si="65"/>
        <v>0</v>
      </c>
      <c r="P568" s="12">
        <v>546</v>
      </c>
      <c r="Q568" s="142">
        <f>IF(T567&gt;0.01,-PMT($Q$8,$Q$9*12,$Q$6)+$Q$10*_xlfn.XLOOKUP($R$10,'RE Calculations'!$B$12:$B$16,'RE Calculations'!$C$12:$C$16,"ERROR - Check Input")/12,0)</f>
        <v>0</v>
      </c>
      <c r="R568" s="142">
        <f t="shared" si="66"/>
        <v>0</v>
      </c>
      <c r="S568" s="142">
        <f>IFERROR(-IPMT($Q$8,P568,$Q$9*12,$Q$6)+$Q$10*_xlfn.XLOOKUP($R$10,'RE Calculations'!$B$12:$B$16,'RE Calculations'!$C$12:$C$16,"ERROR - Check Input")/12,0)</f>
        <v>0</v>
      </c>
      <c r="T568" s="142">
        <f t="shared" si="67"/>
        <v>0</v>
      </c>
      <c r="W568" s="12">
        <v>546</v>
      </c>
      <c r="X568" s="142">
        <f>IF(AA567&gt;0.01,IF(W568&lt;=($X$9*12),$X$15,-PMT($X$11,($X$12-$X$9)*12,$X$6)+$X$13*_xlfn.XLOOKUP($Y$13,'RE Calculations'!$B$12:$B$16,'RE Calculations'!$C$12:$C$16,"ERROR - Check Input")/12),0)</f>
        <v>0</v>
      </c>
      <c r="Y568" s="142">
        <f t="shared" si="68"/>
        <v>0</v>
      </c>
      <c r="Z568" s="142">
        <f>IF(W568&lt;=($X$9*12),$X$15,IFERROR(-IPMT($X$11,W568-$X$9*12,($X$12-$X$9)*12,$X$6)+$X$13*_xlfn.XLOOKUP($Y$13,'RE Calculations'!$B$12:$B$16,'RE Calculations'!$C$12:$C$16,"ERROR - Check Input")/12,0))</f>
        <v>0</v>
      </c>
      <c r="AA568" s="142">
        <f t="shared" si="69"/>
        <v>0</v>
      </c>
    </row>
    <row r="569" spans="2:27" x14ac:dyDescent="0.35">
      <c r="B569" s="12">
        <v>547</v>
      </c>
      <c r="C569" s="142">
        <f>IF(F568&gt;0.01,-PMT($C$8,$C$9*12,$C$6)+$C$10*_xlfn.XLOOKUP($D$10,'RE Calculations'!$B$12:$B$16,'RE Calculations'!$C$12:$C$16,"ERROR - Check Input")/12,0)</f>
        <v>0</v>
      </c>
      <c r="D569" s="142">
        <f t="shared" si="70"/>
        <v>0</v>
      </c>
      <c r="E569" s="142">
        <f>IFERROR(-IPMT($C$8,B569,$C$9*12,$C$6)+$C$10*_xlfn.XLOOKUP($D$10,'RE Calculations'!$B$12:$B$16,'RE Calculations'!$C$12:$C$16,"ERROR - Check Input")/12,0)</f>
        <v>0</v>
      </c>
      <c r="F569" s="142">
        <f t="shared" si="71"/>
        <v>0</v>
      </c>
      <c r="I569" s="12">
        <v>547</v>
      </c>
      <c r="J569" s="142">
        <f>IF(M568&gt;0.01,IF(I569&lt;=($J$9*12),$J$15,-PMT($J$11,($J$12-$J$9)*12,$J$6)+$J$13*_xlfn.XLOOKUP($K$13,'RE Calculations'!$B$12:$B$16,'RE Calculations'!$C$12:$C$16,"ERROR - Check Input")/12),0)</f>
        <v>0</v>
      </c>
      <c r="K569" s="142">
        <f t="shared" si="64"/>
        <v>0</v>
      </c>
      <c r="L569" s="142">
        <f>IF(I569&lt;=($J$9*12),$J$15,IFERROR(-IPMT($J$11,I569-$J$9*12,($J$12-$J$9)*12,$J$6)+$J$13*_xlfn.XLOOKUP($K$13,'RE Calculations'!$B$12:$B$16,'RE Calculations'!$C$12:$C$16,"ERROR - Check Input")/12,0))</f>
        <v>0</v>
      </c>
      <c r="M569" s="142">
        <f t="shared" si="65"/>
        <v>0</v>
      </c>
      <c r="P569" s="12">
        <v>547</v>
      </c>
      <c r="Q569" s="142">
        <f>IF(T568&gt;0.01,-PMT($Q$8,$Q$9*12,$Q$6)+$Q$10*_xlfn.XLOOKUP($R$10,'RE Calculations'!$B$12:$B$16,'RE Calculations'!$C$12:$C$16,"ERROR - Check Input")/12,0)</f>
        <v>0</v>
      </c>
      <c r="R569" s="142">
        <f t="shared" si="66"/>
        <v>0</v>
      </c>
      <c r="S569" s="142">
        <f>IFERROR(-IPMT($Q$8,P569,$Q$9*12,$Q$6)+$Q$10*_xlfn.XLOOKUP($R$10,'RE Calculations'!$B$12:$B$16,'RE Calculations'!$C$12:$C$16,"ERROR - Check Input")/12,0)</f>
        <v>0</v>
      </c>
      <c r="T569" s="142">
        <f t="shared" si="67"/>
        <v>0</v>
      </c>
      <c r="W569" s="12">
        <v>547</v>
      </c>
      <c r="X569" s="142">
        <f>IF(AA568&gt;0.01,IF(W569&lt;=($X$9*12),$X$15,-PMT($X$11,($X$12-$X$9)*12,$X$6)+$X$13*_xlfn.XLOOKUP($Y$13,'RE Calculations'!$B$12:$B$16,'RE Calculations'!$C$12:$C$16,"ERROR - Check Input")/12),0)</f>
        <v>0</v>
      </c>
      <c r="Y569" s="142">
        <f t="shared" si="68"/>
        <v>0</v>
      </c>
      <c r="Z569" s="142">
        <f>IF(W569&lt;=($X$9*12),$X$15,IFERROR(-IPMT($X$11,W569-$X$9*12,($X$12-$X$9)*12,$X$6)+$X$13*_xlfn.XLOOKUP($Y$13,'RE Calculations'!$B$12:$B$16,'RE Calculations'!$C$12:$C$16,"ERROR - Check Input")/12,0))</f>
        <v>0</v>
      </c>
      <c r="AA569" s="142">
        <f t="shared" si="69"/>
        <v>0</v>
      </c>
    </row>
    <row r="570" spans="2:27" x14ac:dyDescent="0.35">
      <c r="B570" s="12">
        <v>548</v>
      </c>
      <c r="C570" s="142">
        <f>IF(F569&gt;0.01,-PMT($C$8,$C$9*12,$C$6)+$C$10*_xlfn.XLOOKUP($D$10,'RE Calculations'!$B$12:$B$16,'RE Calculations'!$C$12:$C$16,"ERROR - Check Input")/12,0)</f>
        <v>0</v>
      </c>
      <c r="D570" s="142">
        <f t="shared" si="70"/>
        <v>0</v>
      </c>
      <c r="E570" s="142">
        <f>IFERROR(-IPMT($C$8,B570,$C$9*12,$C$6)+$C$10*_xlfn.XLOOKUP($D$10,'RE Calculations'!$B$12:$B$16,'RE Calculations'!$C$12:$C$16,"ERROR - Check Input")/12,0)</f>
        <v>0</v>
      </c>
      <c r="F570" s="142">
        <f t="shared" si="71"/>
        <v>0</v>
      </c>
      <c r="I570" s="12">
        <v>548</v>
      </c>
      <c r="J570" s="142">
        <f>IF(M569&gt;0.01,IF(I570&lt;=($J$9*12),$J$15,-PMT($J$11,($J$12-$J$9)*12,$J$6)+$J$13*_xlfn.XLOOKUP($K$13,'RE Calculations'!$B$12:$B$16,'RE Calculations'!$C$12:$C$16,"ERROR - Check Input")/12),0)</f>
        <v>0</v>
      </c>
      <c r="K570" s="142">
        <f t="shared" si="64"/>
        <v>0</v>
      </c>
      <c r="L570" s="142">
        <f>IF(I570&lt;=($J$9*12),$J$15,IFERROR(-IPMT($J$11,I570-$J$9*12,($J$12-$J$9)*12,$J$6)+$J$13*_xlfn.XLOOKUP($K$13,'RE Calculations'!$B$12:$B$16,'RE Calculations'!$C$12:$C$16,"ERROR - Check Input")/12,0))</f>
        <v>0</v>
      </c>
      <c r="M570" s="142">
        <f t="shared" si="65"/>
        <v>0</v>
      </c>
      <c r="P570" s="12">
        <v>548</v>
      </c>
      <c r="Q570" s="142">
        <f>IF(T569&gt;0.01,-PMT($Q$8,$Q$9*12,$Q$6)+$Q$10*_xlfn.XLOOKUP($R$10,'RE Calculations'!$B$12:$B$16,'RE Calculations'!$C$12:$C$16,"ERROR - Check Input")/12,0)</f>
        <v>0</v>
      </c>
      <c r="R570" s="142">
        <f t="shared" si="66"/>
        <v>0</v>
      </c>
      <c r="S570" s="142">
        <f>IFERROR(-IPMT($Q$8,P570,$Q$9*12,$Q$6)+$Q$10*_xlfn.XLOOKUP($R$10,'RE Calculations'!$B$12:$B$16,'RE Calculations'!$C$12:$C$16,"ERROR - Check Input")/12,0)</f>
        <v>0</v>
      </c>
      <c r="T570" s="142">
        <f t="shared" si="67"/>
        <v>0</v>
      </c>
      <c r="W570" s="12">
        <v>548</v>
      </c>
      <c r="X570" s="142">
        <f>IF(AA569&gt;0.01,IF(W570&lt;=($X$9*12),$X$15,-PMT($X$11,($X$12-$X$9)*12,$X$6)+$X$13*_xlfn.XLOOKUP($Y$13,'RE Calculations'!$B$12:$B$16,'RE Calculations'!$C$12:$C$16,"ERROR - Check Input")/12),0)</f>
        <v>0</v>
      </c>
      <c r="Y570" s="142">
        <f t="shared" si="68"/>
        <v>0</v>
      </c>
      <c r="Z570" s="142">
        <f>IF(W570&lt;=($X$9*12),$X$15,IFERROR(-IPMT($X$11,W570-$X$9*12,($X$12-$X$9)*12,$X$6)+$X$13*_xlfn.XLOOKUP($Y$13,'RE Calculations'!$B$12:$B$16,'RE Calculations'!$C$12:$C$16,"ERROR - Check Input")/12,0))</f>
        <v>0</v>
      </c>
      <c r="AA570" s="142">
        <f t="shared" si="69"/>
        <v>0</v>
      </c>
    </row>
    <row r="571" spans="2:27" x14ac:dyDescent="0.35">
      <c r="B571" s="12">
        <v>549</v>
      </c>
      <c r="C571" s="142">
        <f>IF(F570&gt;0.01,-PMT($C$8,$C$9*12,$C$6)+$C$10*_xlfn.XLOOKUP($D$10,'RE Calculations'!$B$12:$B$16,'RE Calculations'!$C$12:$C$16,"ERROR - Check Input")/12,0)</f>
        <v>0</v>
      </c>
      <c r="D571" s="142">
        <f t="shared" si="70"/>
        <v>0</v>
      </c>
      <c r="E571" s="142">
        <f>IFERROR(-IPMT($C$8,B571,$C$9*12,$C$6)+$C$10*_xlfn.XLOOKUP($D$10,'RE Calculations'!$B$12:$B$16,'RE Calculations'!$C$12:$C$16,"ERROR - Check Input")/12,0)</f>
        <v>0</v>
      </c>
      <c r="F571" s="142">
        <f t="shared" si="71"/>
        <v>0</v>
      </c>
      <c r="I571" s="12">
        <v>549</v>
      </c>
      <c r="J571" s="142">
        <f>IF(M570&gt;0.01,IF(I571&lt;=($J$9*12),$J$15,-PMT($J$11,($J$12-$J$9)*12,$J$6)+$J$13*_xlfn.XLOOKUP($K$13,'RE Calculations'!$B$12:$B$16,'RE Calculations'!$C$12:$C$16,"ERROR - Check Input")/12),0)</f>
        <v>0</v>
      </c>
      <c r="K571" s="142">
        <f t="shared" si="64"/>
        <v>0</v>
      </c>
      <c r="L571" s="142">
        <f>IF(I571&lt;=($J$9*12),$J$15,IFERROR(-IPMT($J$11,I571-$J$9*12,($J$12-$J$9)*12,$J$6)+$J$13*_xlfn.XLOOKUP($K$13,'RE Calculations'!$B$12:$B$16,'RE Calculations'!$C$12:$C$16,"ERROR - Check Input")/12,0))</f>
        <v>0</v>
      </c>
      <c r="M571" s="142">
        <f t="shared" si="65"/>
        <v>0</v>
      </c>
      <c r="P571" s="12">
        <v>549</v>
      </c>
      <c r="Q571" s="142">
        <f>IF(T570&gt;0.01,-PMT($Q$8,$Q$9*12,$Q$6)+$Q$10*_xlfn.XLOOKUP($R$10,'RE Calculations'!$B$12:$B$16,'RE Calculations'!$C$12:$C$16,"ERROR - Check Input")/12,0)</f>
        <v>0</v>
      </c>
      <c r="R571" s="142">
        <f t="shared" si="66"/>
        <v>0</v>
      </c>
      <c r="S571" s="142">
        <f>IFERROR(-IPMT($Q$8,P571,$Q$9*12,$Q$6)+$Q$10*_xlfn.XLOOKUP($R$10,'RE Calculations'!$B$12:$B$16,'RE Calculations'!$C$12:$C$16,"ERROR - Check Input")/12,0)</f>
        <v>0</v>
      </c>
      <c r="T571" s="142">
        <f t="shared" si="67"/>
        <v>0</v>
      </c>
      <c r="W571" s="12">
        <v>549</v>
      </c>
      <c r="X571" s="142">
        <f>IF(AA570&gt;0.01,IF(W571&lt;=($X$9*12),$X$15,-PMT($X$11,($X$12-$X$9)*12,$X$6)+$X$13*_xlfn.XLOOKUP($Y$13,'RE Calculations'!$B$12:$B$16,'RE Calculations'!$C$12:$C$16,"ERROR - Check Input")/12),0)</f>
        <v>0</v>
      </c>
      <c r="Y571" s="142">
        <f t="shared" si="68"/>
        <v>0</v>
      </c>
      <c r="Z571" s="142">
        <f>IF(W571&lt;=($X$9*12),$X$15,IFERROR(-IPMT($X$11,W571-$X$9*12,($X$12-$X$9)*12,$X$6)+$X$13*_xlfn.XLOOKUP($Y$13,'RE Calculations'!$B$12:$B$16,'RE Calculations'!$C$12:$C$16,"ERROR - Check Input")/12,0))</f>
        <v>0</v>
      </c>
      <c r="AA571" s="142">
        <f t="shared" si="69"/>
        <v>0</v>
      </c>
    </row>
    <row r="572" spans="2:27" x14ac:dyDescent="0.35">
      <c r="B572" s="12">
        <v>550</v>
      </c>
      <c r="C572" s="142">
        <f>IF(F571&gt;0.01,-PMT($C$8,$C$9*12,$C$6)+$C$10*_xlfn.XLOOKUP($D$10,'RE Calculations'!$B$12:$B$16,'RE Calculations'!$C$12:$C$16,"ERROR - Check Input")/12,0)</f>
        <v>0</v>
      </c>
      <c r="D572" s="142">
        <f t="shared" si="70"/>
        <v>0</v>
      </c>
      <c r="E572" s="142">
        <f>IFERROR(-IPMT($C$8,B572,$C$9*12,$C$6)+$C$10*_xlfn.XLOOKUP($D$10,'RE Calculations'!$B$12:$B$16,'RE Calculations'!$C$12:$C$16,"ERROR - Check Input")/12,0)</f>
        <v>0</v>
      </c>
      <c r="F572" s="142">
        <f t="shared" si="71"/>
        <v>0</v>
      </c>
      <c r="I572" s="12">
        <v>550</v>
      </c>
      <c r="J572" s="142">
        <f>IF(M571&gt;0.01,IF(I572&lt;=($J$9*12),$J$15,-PMT($J$11,($J$12-$J$9)*12,$J$6)+$J$13*_xlfn.XLOOKUP($K$13,'RE Calculations'!$B$12:$B$16,'RE Calculations'!$C$12:$C$16,"ERROR - Check Input")/12),0)</f>
        <v>0</v>
      </c>
      <c r="K572" s="142">
        <f t="shared" si="64"/>
        <v>0</v>
      </c>
      <c r="L572" s="142">
        <f>IF(I572&lt;=($J$9*12),$J$15,IFERROR(-IPMT($J$11,I572-$J$9*12,($J$12-$J$9)*12,$J$6)+$J$13*_xlfn.XLOOKUP($K$13,'RE Calculations'!$B$12:$B$16,'RE Calculations'!$C$12:$C$16,"ERROR - Check Input")/12,0))</f>
        <v>0</v>
      </c>
      <c r="M572" s="142">
        <f t="shared" si="65"/>
        <v>0</v>
      </c>
      <c r="P572" s="12">
        <v>550</v>
      </c>
      <c r="Q572" s="142">
        <f>IF(T571&gt;0.01,-PMT($Q$8,$Q$9*12,$Q$6)+$Q$10*_xlfn.XLOOKUP($R$10,'RE Calculations'!$B$12:$B$16,'RE Calculations'!$C$12:$C$16,"ERROR - Check Input")/12,0)</f>
        <v>0</v>
      </c>
      <c r="R572" s="142">
        <f t="shared" si="66"/>
        <v>0</v>
      </c>
      <c r="S572" s="142">
        <f>IFERROR(-IPMT($Q$8,P572,$Q$9*12,$Q$6)+$Q$10*_xlfn.XLOOKUP($R$10,'RE Calculations'!$B$12:$B$16,'RE Calculations'!$C$12:$C$16,"ERROR - Check Input")/12,0)</f>
        <v>0</v>
      </c>
      <c r="T572" s="142">
        <f t="shared" si="67"/>
        <v>0</v>
      </c>
      <c r="W572" s="12">
        <v>550</v>
      </c>
      <c r="X572" s="142">
        <f>IF(AA571&gt;0.01,IF(W572&lt;=($X$9*12),$X$15,-PMT($X$11,($X$12-$X$9)*12,$X$6)+$X$13*_xlfn.XLOOKUP($Y$13,'RE Calculations'!$B$12:$B$16,'RE Calculations'!$C$12:$C$16,"ERROR - Check Input")/12),0)</f>
        <v>0</v>
      </c>
      <c r="Y572" s="142">
        <f t="shared" si="68"/>
        <v>0</v>
      </c>
      <c r="Z572" s="142">
        <f>IF(W572&lt;=($X$9*12),$X$15,IFERROR(-IPMT($X$11,W572-$X$9*12,($X$12-$X$9)*12,$X$6)+$X$13*_xlfn.XLOOKUP($Y$13,'RE Calculations'!$B$12:$B$16,'RE Calculations'!$C$12:$C$16,"ERROR - Check Input")/12,0))</f>
        <v>0</v>
      </c>
      <c r="AA572" s="142">
        <f t="shared" si="69"/>
        <v>0</v>
      </c>
    </row>
    <row r="573" spans="2:27" x14ac:dyDescent="0.35">
      <c r="B573" s="12">
        <v>551</v>
      </c>
      <c r="C573" s="142">
        <f>IF(F572&gt;0.01,-PMT($C$8,$C$9*12,$C$6)+$C$10*_xlfn.XLOOKUP($D$10,'RE Calculations'!$B$12:$B$16,'RE Calculations'!$C$12:$C$16,"ERROR - Check Input")/12,0)</f>
        <v>0</v>
      </c>
      <c r="D573" s="142">
        <f t="shared" si="70"/>
        <v>0</v>
      </c>
      <c r="E573" s="142">
        <f>IFERROR(-IPMT($C$8,B573,$C$9*12,$C$6)+$C$10*_xlfn.XLOOKUP($D$10,'RE Calculations'!$B$12:$B$16,'RE Calculations'!$C$12:$C$16,"ERROR - Check Input")/12,0)</f>
        <v>0</v>
      </c>
      <c r="F573" s="142">
        <f t="shared" si="71"/>
        <v>0</v>
      </c>
      <c r="I573" s="12">
        <v>551</v>
      </c>
      <c r="J573" s="142">
        <f>IF(M572&gt;0.01,IF(I573&lt;=($J$9*12),$J$15,-PMT($J$11,($J$12-$J$9)*12,$J$6)+$J$13*_xlfn.XLOOKUP($K$13,'RE Calculations'!$B$12:$B$16,'RE Calculations'!$C$12:$C$16,"ERROR - Check Input")/12),0)</f>
        <v>0</v>
      </c>
      <c r="K573" s="142">
        <f t="shared" si="64"/>
        <v>0</v>
      </c>
      <c r="L573" s="142">
        <f>IF(I573&lt;=($J$9*12),$J$15,IFERROR(-IPMT($J$11,I573-$J$9*12,($J$12-$J$9)*12,$J$6)+$J$13*_xlfn.XLOOKUP($K$13,'RE Calculations'!$B$12:$B$16,'RE Calculations'!$C$12:$C$16,"ERROR - Check Input")/12,0))</f>
        <v>0</v>
      </c>
      <c r="M573" s="142">
        <f t="shared" si="65"/>
        <v>0</v>
      </c>
      <c r="P573" s="12">
        <v>551</v>
      </c>
      <c r="Q573" s="142">
        <f>IF(T572&gt;0.01,-PMT($Q$8,$Q$9*12,$Q$6)+$Q$10*_xlfn.XLOOKUP($R$10,'RE Calculations'!$B$12:$B$16,'RE Calculations'!$C$12:$C$16,"ERROR - Check Input")/12,0)</f>
        <v>0</v>
      </c>
      <c r="R573" s="142">
        <f t="shared" si="66"/>
        <v>0</v>
      </c>
      <c r="S573" s="142">
        <f>IFERROR(-IPMT($Q$8,P573,$Q$9*12,$Q$6)+$Q$10*_xlfn.XLOOKUP($R$10,'RE Calculations'!$B$12:$B$16,'RE Calculations'!$C$12:$C$16,"ERROR - Check Input")/12,0)</f>
        <v>0</v>
      </c>
      <c r="T573" s="142">
        <f t="shared" si="67"/>
        <v>0</v>
      </c>
      <c r="W573" s="12">
        <v>551</v>
      </c>
      <c r="X573" s="142">
        <f>IF(AA572&gt;0.01,IF(W573&lt;=($X$9*12),$X$15,-PMT($X$11,($X$12-$X$9)*12,$X$6)+$X$13*_xlfn.XLOOKUP($Y$13,'RE Calculations'!$B$12:$B$16,'RE Calculations'!$C$12:$C$16,"ERROR - Check Input")/12),0)</f>
        <v>0</v>
      </c>
      <c r="Y573" s="142">
        <f t="shared" si="68"/>
        <v>0</v>
      </c>
      <c r="Z573" s="142">
        <f>IF(W573&lt;=($X$9*12),$X$15,IFERROR(-IPMT($X$11,W573-$X$9*12,($X$12-$X$9)*12,$X$6)+$X$13*_xlfn.XLOOKUP($Y$13,'RE Calculations'!$B$12:$B$16,'RE Calculations'!$C$12:$C$16,"ERROR - Check Input")/12,0))</f>
        <v>0</v>
      </c>
      <c r="AA573" s="142">
        <f t="shared" si="69"/>
        <v>0</v>
      </c>
    </row>
    <row r="574" spans="2:27" x14ac:dyDescent="0.35">
      <c r="B574" s="12">
        <v>552</v>
      </c>
      <c r="C574" s="142">
        <f>IF(F573&gt;0.01,-PMT($C$8,$C$9*12,$C$6)+$C$10*_xlfn.XLOOKUP($D$10,'RE Calculations'!$B$12:$B$16,'RE Calculations'!$C$12:$C$16,"ERROR - Check Input")/12,0)</f>
        <v>0</v>
      </c>
      <c r="D574" s="142">
        <f t="shared" si="70"/>
        <v>0</v>
      </c>
      <c r="E574" s="142">
        <f>IFERROR(-IPMT($C$8,B574,$C$9*12,$C$6)+$C$10*_xlfn.XLOOKUP($D$10,'RE Calculations'!$B$12:$B$16,'RE Calculations'!$C$12:$C$16,"ERROR - Check Input")/12,0)</f>
        <v>0</v>
      </c>
      <c r="F574" s="142">
        <f t="shared" si="71"/>
        <v>0</v>
      </c>
      <c r="I574" s="12">
        <v>552</v>
      </c>
      <c r="J574" s="142">
        <f>IF(M573&gt;0.01,IF(I574&lt;=($J$9*12),$J$15,-PMT($J$11,($J$12-$J$9)*12,$J$6)+$J$13*_xlfn.XLOOKUP($K$13,'RE Calculations'!$B$12:$B$16,'RE Calculations'!$C$12:$C$16,"ERROR - Check Input")/12),0)</f>
        <v>0</v>
      </c>
      <c r="K574" s="142">
        <f t="shared" si="64"/>
        <v>0</v>
      </c>
      <c r="L574" s="142">
        <f>IF(I574&lt;=($J$9*12),$J$15,IFERROR(-IPMT($J$11,I574-$J$9*12,($J$12-$J$9)*12,$J$6)+$J$13*_xlfn.XLOOKUP($K$13,'RE Calculations'!$B$12:$B$16,'RE Calculations'!$C$12:$C$16,"ERROR - Check Input")/12,0))</f>
        <v>0</v>
      </c>
      <c r="M574" s="142">
        <f t="shared" si="65"/>
        <v>0</v>
      </c>
      <c r="P574" s="12">
        <v>552</v>
      </c>
      <c r="Q574" s="142">
        <f>IF(T573&gt;0.01,-PMT($Q$8,$Q$9*12,$Q$6)+$Q$10*_xlfn.XLOOKUP($R$10,'RE Calculations'!$B$12:$B$16,'RE Calculations'!$C$12:$C$16,"ERROR - Check Input")/12,0)</f>
        <v>0</v>
      </c>
      <c r="R574" s="142">
        <f t="shared" si="66"/>
        <v>0</v>
      </c>
      <c r="S574" s="142">
        <f>IFERROR(-IPMT($Q$8,P574,$Q$9*12,$Q$6)+$Q$10*_xlfn.XLOOKUP($R$10,'RE Calculations'!$B$12:$B$16,'RE Calculations'!$C$12:$C$16,"ERROR - Check Input")/12,0)</f>
        <v>0</v>
      </c>
      <c r="T574" s="142">
        <f t="shared" si="67"/>
        <v>0</v>
      </c>
      <c r="W574" s="12">
        <v>552</v>
      </c>
      <c r="X574" s="142">
        <f>IF(AA573&gt;0.01,IF(W574&lt;=($X$9*12),$X$15,-PMT($X$11,($X$12-$X$9)*12,$X$6)+$X$13*_xlfn.XLOOKUP($Y$13,'RE Calculations'!$B$12:$B$16,'RE Calculations'!$C$12:$C$16,"ERROR - Check Input")/12),0)</f>
        <v>0</v>
      </c>
      <c r="Y574" s="142">
        <f t="shared" si="68"/>
        <v>0</v>
      </c>
      <c r="Z574" s="142">
        <f>IF(W574&lt;=($X$9*12),$X$15,IFERROR(-IPMT($X$11,W574-$X$9*12,($X$12-$X$9)*12,$X$6)+$X$13*_xlfn.XLOOKUP($Y$13,'RE Calculations'!$B$12:$B$16,'RE Calculations'!$C$12:$C$16,"ERROR - Check Input")/12,0))</f>
        <v>0</v>
      </c>
      <c r="AA574" s="142">
        <f t="shared" si="69"/>
        <v>0</v>
      </c>
    </row>
    <row r="575" spans="2:27" x14ac:dyDescent="0.35">
      <c r="B575" s="12">
        <v>553</v>
      </c>
      <c r="C575" s="142">
        <f>IF(F574&gt;0.01,-PMT($C$8,$C$9*12,$C$6)+$C$10*_xlfn.XLOOKUP($D$10,'RE Calculations'!$B$12:$B$16,'RE Calculations'!$C$12:$C$16,"ERROR - Check Input")/12,0)</f>
        <v>0</v>
      </c>
      <c r="D575" s="142">
        <f t="shared" si="70"/>
        <v>0</v>
      </c>
      <c r="E575" s="142">
        <f>IFERROR(-IPMT($C$8,B575,$C$9*12,$C$6)+$C$10*_xlfn.XLOOKUP($D$10,'RE Calculations'!$B$12:$B$16,'RE Calculations'!$C$12:$C$16,"ERROR - Check Input")/12,0)</f>
        <v>0</v>
      </c>
      <c r="F575" s="142">
        <f t="shared" si="71"/>
        <v>0</v>
      </c>
      <c r="I575" s="12">
        <v>553</v>
      </c>
      <c r="J575" s="142">
        <f>IF(M574&gt;0.01,IF(I575&lt;=($J$9*12),$J$15,-PMT($J$11,($J$12-$J$9)*12,$J$6)+$J$13*_xlfn.XLOOKUP($K$13,'RE Calculations'!$B$12:$B$16,'RE Calculations'!$C$12:$C$16,"ERROR - Check Input")/12),0)</f>
        <v>0</v>
      </c>
      <c r="K575" s="142">
        <f t="shared" si="64"/>
        <v>0</v>
      </c>
      <c r="L575" s="142">
        <f>IF(I575&lt;=($J$9*12),$J$15,IFERROR(-IPMT($J$11,I575-$J$9*12,($J$12-$J$9)*12,$J$6)+$J$13*_xlfn.XLOOKUP($K$13,'RE Calculations'!$B$12:$B$16,'RE Calculations'!$C$12:$C$16,"ERROR - Check Input")/12,0))</f>
        <v>0</v>
      </c>
      <c r="M575" s="142">
        <f t="shared" si="65"/>
        <v>0</v>
      </c>
      <c r="P575" s="12">
        <v>553</v>
      </c>
      <c r="Q575" s="142">
        <f>IF(T574&gt;0.01,-PMT($Q$8,$Q$9*12,$Q$6)+$Q$10*_xlfn.XLOOKUP($R$10,'RE Calculations'!$B$12:$B$16,'RE Calculations'!$C$12:$C$16,"ERROR - Check Input")/12,0)</f>
        <v>0</v>
      </c>
      <c r="R575" s="142">
        <f t="shared" si="66"/>
        <v>0</v>
      </c>
      <c r="S575" s="142">
        <f>IFERROR(-IPMT($Q$8,P575,$Q$9*12,$Q$6)+$Q$10*_xlfn.XLOOKUP($R$10,'RE Calculations'!$B$12:$B$16,'RE Calculations'!$C$12:$C$16,"ERROR - Check Input")/12,0)</f>
        <v>0</v>
      </c>
      <c r="T575" s="142">
        <f t="shared" si="67"/>
        <v>0</v>
      </c>
      <c r="W575" s="12">
        <v>553</v>
      </c>
      <c r="X575" s="142">
        <f>IF(AA574&gt;0.01,IF(W575&lt;=($X$9*12),$X$15,-PMT($X$11,($X$12-$X$9)*12,$X$6)+$X$13*_xlfn.XLOOKUP($Y$13,'RE Calculations'!$B$12:$B$16,'RE Calculations'!$C$12:$C$16,"ERROR - Check Input")/12),0)</f>
        <v>0</v>
      </c>
      <c r="Y575" s="142">
        <f t="shared" si="68"/>
        <v>0</v>
      </c>
      <c r="Z575" s="142">
        <f>IF(W575&lt;=($X$9*12),$X$15,IFERROR(-IPMT($X$11,W575-$X$9*12,($X$12-$X$9)*12,$X$6)+$X$13*_xlfn.XLOOKUP($Y$13,'RE Calculations'!$B$12:$B$16,'RE Calculations'!$C$12:$C$16,"ERROR - Check Input")/12,0))</f>
        <v>0</v>
      </c>
      <c r="AA575" s="142">
        <f t="shared" si="69"/>
        <v>0</v>
      </c>
    </row>
    <row r="576" spans="2:27" x14ac:dyDescent="0.35">
      <c r="B576" s="12">
        <v>554</v>
      </c>
      <c r="C576" s="142">
        <f>IF(F575&gt;0.01,-PMT($C$8,$C$9*12,$C$6)+$C$10*_xlfn.XLOOKUP($D$10,'RE Calculations'!$B$12:$B$16,'RE Calculations'!$C$12:$C$16,"ERROR - Check Input")/12,0)</f>
        <v>0</v>
      </c>
      <c r="D576" s="142">
        <f t="shared" si="70"/>
        <v>0</v>
      </c>
      <c r="E576" s="142">
        <f>IFERROR(-IPMT($C$8,B576,$C$9*12,$C$6)+$C$10*_xlfn.XLOOKUP($D$10,'RE Calculations'!$B$12:$B$16,'RE Calculations'!$C$12:$C$16,"ERROR - Check Input")/12,0)</f>
        <v>0</v>
      </c>
      <c r="F576" s="142">
        <f t="shared" si="71"/>
        <v>0</v>
      </c>
      <c r="I576" s="12">
        <v>554</v>
      </c>
      <c r="J576" s="142">
        <f>IF(M575&gt;0.01,IF(I576&lt;=($J$9*12),$J$15,-PMT($J$11,($J$12-$J$9)*12,$J$6)+$J$13*_xlfn.XLOOKUP($K$13,'RE Calculations'!$B$12:$B$16,'RE Calculations'!$C$12:$C$16,"ERROR - Check Input")/12),0)</f>
        <v>0</v>
      </c>
      <c r="K576" s="142">
        <f t="shared" si="64"/>
        <v>0</v>
      </c>
      <c r="L576" s="142">
        <f>IF(I576&lt;=($J$9*12),$J$15,IFERROR(-IPMT($J$11,I576-$J$9*12,($J$12-$J$9)*12,$J$6)+$J$13*_xlfn.XLOOKUP($K$13,'RE Calculations'!$B$12:$B$16,'RE Calculations'!$C$12:$C$16,"ERROR - Check Input")/12,0))</f>
        <v>0</v>
      </c>
      <c r="M576" s="142">
        <f t="shared" si="65"/>
        <v>0</v>
      </c>
      <c r="P576" s="12">
        <v>554</v>
      </c>
      <c r="Q576" s="142">
        <f>IF(T575&gt;0.01,-PMT($Q$8,$Q$9*12,$Q$6)+$Q$10*_xlfn.XLOOKUP($R$10,'RE Calculations'!$B$12:$B$16,'RE Calculations'!$C$12:$C$16,"ERROR - Check Input")/12,0)</f>
        <v>0</v>
      </c>
      <c r="R576" s="142">
        <f t="shared" si="66"/>
        <v>0</v>
      </c>
      <c r="S576" s="142">
        <f>IFERROR(-IPMT($Q$8,P576,$Q$9*12,$Q$6)+$Q$10*_xlfn.XLOOKUP($R$10,'RE Calculations'!$B$12:$B$16,'RE Calculations'!$C$12:$C$16,"ERROR - Check Input")/12,0)</f>
        <v>0</v>
      </c>
      <c r="T576" s="142">
        <f t="shared" si="67"/>
        <v>0</v>
      </c>
      <c r="W576" s="12">
        <v>554</v>
      </c>
      <c r="X576" s="142">
        <f>IF(AA575&gt;0.01,IF(W576&lt;=($X$9*12),$X$15,-PMT($X$11,($X$12-$X$9)*12,$X$6)+$X$13*_xlfn.XLOOKUP($Y$13,'RE Calculations'!$B$12:$B$16,'RE Calculations'!$C$12:$C$16,"ERROR - Check Input")/12),0)</f>
        <v>0</v>
      </c>
      <c r="Y576" s="142">
        <f t="shared" si="68"/>
        <v>0</v>
      </c>
      <c r="Z576" s="142">
        <f>IF(W576&lt;=($X$9*12),$X$15,IFERROR(-IPMT($X$11,W576-$X$9*12,($X$12-$X$9)*12,$X$6)+$X$13*_xlfn.XLOOKUP($Y$13,'RE Calculations'!$B$12:$B$16,'RE Calculations'!$C$12:$C$16,"ERROR - Check Input")/12,0))</f>
        <v>0</v>
      </c>
      <c r="AA576" s="142">
        <f t="shared" si="69"/>
        <v>0</v>
      </c>
    </row>
    <row r="577" spans="2:27" x14ac:dyDescent="0.35">
      <c r="B577" s="12">
        <v>555</v>
      </c>
      <c r="C577" s="142">
        <f>IF(F576&gt;0.01,-PMT($C$8,$C$9*12,$C$6)+$C$10*_xlfn.XLOOKUP($D$10,'RE Calculations'!$B$12:$B$16,'RE Calculations'!$C$12:$C$16,"ERROR - Check Input")/12,0)</f>
        <v>0</v>
      </c>
      <c r="D577" s="142">
        <f t="shared" si="70"/>
        <v>0</v>
      </c>
      <c r="E577" s="142">
        <f>IFERROR(-IPMT($C$8,B577,$C$9*12,$C$6)+$C$10*_xlfn.XLOOKUP($D$10,'RE Calculations'!$B$12:$B$16,'RE Calculations'!$C$12:$C$16,"ERROR - Check Input")/12,0)</f>
        <v>0</v>
      </c>
      <c r="F577" s="142">
        <f t="shared" si="71"/>
        <v>0</v>
      </c>
      <c r="I577" s="12">
        <v>555</v>
      </c>
      <c r="J577" s="142">
        <f>IF(M576&gt;0.01,IF(I577&lt;=($J$9*12),$J$15,-PMT($J$11,($J$12-$J$9)*12,$J$6)+$J$13*_xlfn.XLOOKUP($K$13,'RE Calculations'!$B$12:$B$16,'RE Calculations'!$C$12:$C$16,"ERROR - Check Input")/12),0)</f>
        <v>0</v>
      </c>
      <c r="K577" s="142">
        <f t="shared" si="64"/>
        <v>0</v>
      </c>
      <c r="L577" s="142">
        <f>IF(I577&lt;=($J$9*12),$J$15,IFERROR(-IPMT($J$11,I577-$J$9*12,($J$12-$J$9)*12,$J$6)+$J$13*_xlfn.XLOOKUP($K$13,'RE Calculations'!$B$12:$B$16,'RE Calculations'!$C$12:$C$16,"ERROR - Check Input")/12,0))</f>
        <v>0</v>
      </c>
      <c r="M577" s="142">
        <f t="shared" si="65"/>
        <v>0</v>
      </c>
      <c r="P577" s="12">
        <v>555</v>
      </c>
      <c r="Q577" s="142">
        <f>IF(T576&gt;0.01,-PMT($Q$8,$Q$9*12,$Q$6)+$Q$10*_xlfn.XLOOKUP($R$10,'RE Calculations'!$B$12:$B$16,'RE Calculations'!$C$12:$C$16,"ERROR - Check Input")/12,0)</f>
        <v>0</v>
      </c>
      <c r="R577" s="142">
        <f t="shared" si="66"/>
        <v>0</v>
      </c>
      <c r="S577" s="142">
        <f>IFERROR(-IPMT($Q$8,P577,$Q$9*12,$Q$6)+$Q$10*_xlfn.XLOOKUP($R$10,'RE Calculations'!$B$12:$B$16,'RE Calculations'!$C$12:$C$16,"ERROR - Check Input")/12,0)</f>
        <v>0</v>
      </c>
      <c r="T577" s="142">
        <f t="shared" si="67"/>
        <v>0</v>
      </c>
      <c r="W577" s="12">
        <v>555</v>
      </c>
      <c r="X577" s="142">
        <f>IF(AA576&gt;0.01,IF(W577&lt;=($X$9*12),$X$15,-PMT($X$11,($X$12-$X$9)*12,$X$6)+$X$13*_xlfn.XLOOKUP($Y$13,'RE Calculations'!$B$12:$B$16,'RE Calculations'!$C$12:$C$16,"ERROR - Check Input")/12),0)</f>
        <v>0</v>
      </c>
      <c r="Y577" s="142">
        <f t="shared" si="68"/>
        <v>0</v>
      </c>
      <c r="Z577" s="142">
        <f>IF(W577&lt;=($X$9*12),$X$15,IFERROR(-IPMT($X$11,W577-$X$9*12,($X$12-$X$9)*12,$X$6)+$X$13*_xlfn.XLOOKUP($Y$13,'RE Calculations'!$B$12:$B$16,'RE Calculations'!$C$12:$C$16,"ERROR - Check Input")/12,0))</f>
        <v>0</v>
      </c>
      <c r="AA577" s="142">
        <f t="shared" si="69"/>
        <v>0</v>
      </c>
    </row>
    <row r="578" spans="2:27" x14ac:dyDescent="0.35">
      <c r="B578" s="12">
        <v>556</v>
      </c>
      <c r="C578" s="142">
        <f>IF(F577&gt;0.01,-PMT($C$8,$C$9*12,$C$6)+$C$10*_xlfn.XLOOKUP($D$10,'RE Calculations'!$B$12:$B$16,'RE Calculations'!$C$12:$C$16,"ERROR - Check Input")/12,0)</f>
        <v>0</v>
      </c>
      <c r="D578" s="142">
        <f t="shared" si="70"/>
        <v>0</v>
      </c>
      <c r="E578" s="142">
        <f>IFERROR(-IPMT($C$8,B578,$C$9*12,$C$6)+$C$10*_xlfn.XLOOKUP($D$10,'RE Calculations'!$B$12:$B$16,'RE Calculations'!$C$12:$C$16,"ERROR - Check Input")/12,0)</f>
        <v>0</v>
      </c>
      <c r="F578" s="142">
        <f t="shared" si="71"/>
        <v>0</v>
      </c>
      <c r="I578" s="12">
        <v>556</v>
      </c>
      <c r="J578" s="142">
        <f>IF(M577&gt;0.01,IF(I578&lt;=($J$9*12),$J$15,-PMT($J$11,($J$12-$J$9)*12,$J$6)+$J$13*_xlfn.XLOOKUP($K$13,'RE Calculations'!$B$12:$B$16,'RE Calculations'!$C$12:$C$16,"ERROR - Check Input")/12),0)</f>
        <v>0</v>
      </c>
      <c r="K578" s="142">
        <f t="shared" si="64"/>
        <v>0</v>
      </c>
      <c r="L578" s="142">
        <f>IF(I578&lt;=($J$9*12),$J$15,IFERROR(-IPMT($J$11,I578-$J$9*12,($J$12-$J$9)*12,$J$6)+$J$13*_xlfn.XLOOKUP($K$13,'RE Calculations'!$B$12:$B$16,'RE Calculations'!$C$12:$C$16,"ERROR - Check Input")/12,0))</f>
        <v>0</v>
      </c>
      <c r="M578" s="142">
        <f t="shared" si="65"/>
        <v>0</v>
      </c>
      <c r="P578" s="12">
        <v>556</v>
      </c>
      <c r="Q578" s="142">
        <f>IF(T577&gt;0.01,-PMT($Q$8,$Q$9*12,$Q$6)+$Q$10*_xlfn.XLOOKUP($R$10,'RE Calculations'!$B$12:$B$16,'RE Calculations'!$C$12:$C$16,"ERROR - Check Input")/12,0)</f>
        <v>0</v>
      </c>
      <c r="R578" s="142">
        <f t="shared" si="66"/>
        <v>0</v>
      </c>
      <c r="S578" s="142">
        <f>IFERROR(-IPMT($Q$8,P578,$Q$9*12,$Q$6)+$Q$10*_xlfn.XLOOKUP($R$10,'RE Calculations'!$B$12:$B$16,'RE Calculations'!$C$12:$C$16,"ERROR - Check Input")/12,0)</f>
        <v>0</v>
      </c>
      <c r="T578" s="142">
        <f t="shared" si="67"/>
        <v>0</v>
      </c>
      <c r="W578" s="12">
        <v>556</v>
      </c>
      <c r="X578" s="142">
        <f>IF(AA577&gt;0.01,IF(W578&lt;=($X$9*12),$X$15,-PMT($X$11,($X$12-$X$9)*12,$X$6)+$X$13*_xlfn.XLOOKUP($Y$13,'RE Calculations'!$B$12:$B$16,'RE Calculations'!$C$12:$C$16,"ERROR - Check Input")/12),0)</f>
        <v>0</v>
      </c>
      <c r="Y578" s="142">
        <f t="shared" si="68"/>
        <v>0</v>
      </c>
      <c r="Z578" s="142">
        <f>IF(W578&lt;=($X$9*12),$X$15,IFERROR(-IPMT($X$11,W578-$X$9*12,($X$12-$X$9)*12,$X$6)+$X$13*_xlfn.XLOOKUP($Y$13,'RE Calculations'!$B$12:$B$16,'RE Calculations'!$C$12:$C$16,"ERROR - Check Input")/12,0))</f>
        <v>0</v>
      </c>
      <c r="AA578" s="142">
        <f t="shared" si="69"/>
        <v>0</v>
      </c>
    </row>
    <row r="579" spans="2:27" x14ac:dyDescent="0.35">
      <c r="B579" s="12">
        <v>557</v>
      </c>
      <c r="C579" s="142">
        <f>IF(F578&gt;0.01,-PMT($C$8,$C$9*12,$C$6)+$C$10*_xlfn.XLOOKUP($D$10,'RE Calculations'!$B$12:$B$16,'RE Calculations'!$C$12:$C$16,"ERROR - Check Input")/12,0)</f>
        <v>0</v>
      </c>
      <c r="D579" s="142">
        <f t="shared" si="70"/>
        <v>0</v>
      </c>
      <c r="E579" s="142">
        <f>IFERROR(-IPMT($C$8,B579,$C$9*12,$C$6)+$C$10*_xlfn.XLOOKUP($D$10,'RE Calculations'!$B$12:$B$16,'RE Calculations'!$C$12:$C$16,"ERROR - Check Input")/12,0)</f>
        <v>0</v>
      </c>
      <c r="F579" s="142">
        <f t="shared" si="71"/>
        <v>0</v>
      </c>
      <c r="I579" s="12">
        <v>557</v>
      </c>
      <c r="J579" s="142">
        <f>IF(M578&gt;0.01,IF(I579&lt;=($J$9*12),$J$15,-PMT($J$11,($J$12-$J$9)*12,$J$6)+$J$13*_xlfn.XLOOKUP($K$13,'RE Calculations'!$B$12:$B$16,'RE Calculations'!$C$12:$C$16,"ERROR - Check Input")/12),0)</f>
        <v>0</v>
      </c>
      <c r="K579" s="142">
        <f t="shared" si="64"/>
        <v>0</v>
      </c>
      <c r="L579" s="142">
        <f>IF(I579&lt;=($J$9*12),$J$15,IFERROR(-IPMT($J$11,I579-$J$9*12,($J$12-$J$9)*12,$J$6)+$J$13*_xlfn.XLOOKUP($K$13,'RE Calculations'!$B$12:$B$16,'RE Calculations'!$C$12:$C$16,"ERROR - Check Input")/12,0))</f>
        <v>0</v>
      </c>
      <c r="M579" s="142">
        <f t="shared" si="65"/>
        <v>0</v>
      </c>
      <c r="P579" s="12">
        <v>557</v>
      </c>
      <c r="Q579" s="142">
        <f>IF(T578&gt;0.01,-PMT($Q$8,$Q$9*12,$Q$6)+$Q$10*_xlfn.XLOOKUP($R$10,'RE Calculations'!$B$12:$B$16,'RE Calculations'!$C$12:$C$16,"ERROR - Check Input")/12,0)</f>
        <v>0</v>
      </c>
      <c r="R579" s="142">
        <f t="shared" si="66"/>
        <v>0</v>
      </c>
      <c r="S579" s="142">
        <f>IFERROR(-IPMT($Q$8,P579,$Q$9*12,$Q$6)+$Q$10*_xlfn.XLOOKUP($R$10,'RE Calculations'!$B$12:$B$16,'RE Calculations'!$C$12:$C$16,"ERROR - Check Input")/12,0)</f>
        <v>0</v>
      </c>
      <c r="T579" s="142">
        <f t="shared" si="67"/>
        <v>0</v>
      </c>
      <c r="W579" s="12">
        <v>557</v>
      </c>
      <c r="X579" s="142">
        <f>IF(AA578&gt;0.01,IF(W579&lt;=($X$9*12),$X$15,-PMT($X$11,($X$12-$X$9)*12,$X$6)+$X$13*_xlfn.XLOOKUP($Y$13,'RE Calculations'!$B$12:$B$16,'RE Calculations'!$C$12:$C$16,"ERROR - Check Input")/12),0)</f>
        <v>0</v>
      </c>
      <c r="Y579" s="142">
        <f t="shared" si="68"/>
        <v>0</v>
      </c>
      <c r="Z579" s="142">
        <f>IF(W579&lt;=($X$9*12),$X$15,IFERROR(-IPMT($X$11,W579-$X$9*12,($X$12-$X$9)*12,$X$6)+$X$13*_xlfn.XLOOKUP($Y$13,'RE Calculations'!$B$12:$B$16,'RE Calculations'!$C$12:$C$16,"ERROR - Check Input")/12,0))</f>
        <v>0</v>
      </c>
      <c r="AA579" s="142">
        <f t="shared" si="69"/>
        <v>0</v>
      </c>
    </row>
    <row r="580" spans="2:27" x14ac:dyDescent="0.35">
      <c r="B580" s="12">
        <v>558</v>
      </c>
      <c r="C580" s="142">
        <f>IF(F579&gt;0.01,-PMT($C$8,$C$9*12,$C$6)+$C$10*_xlfn.XLOOKUP($D$10,'RE Calculations'!$B$12:$B$16,'RE Calculations'!$C$12:$C$16,"ERROR - Check Input")/12,0)</f>
        <v>0</v>
      </c>
      <c r="D580" s="142">
        <f t="shared" si="70"/>
        <v>0</v>
      </c>
      <c r="E580" s="142">
        <f>IFERROR(-IPMT($C$8,B580,$C$9*12,$C$6)+$C$10*_xlfn.XLOOKUP($D$10,'RE Calculations'!$B$12:$B$16,'RE Calculations'!$C$12:$C$16,"ERROR - Check Input")/12,0)</f>
        <v>0</v>
      </c>
      <c r="F580" s="142">
        <f t="shared" si="71"/>
        <v>0</v>
      </c>
      <c r="I580" s="12">
        <v>558</v>
      </c>
      <c r="J580" s="142">
        <f>IF(M579&gt;0.01,IF(I580&lt;=($J$9*12),$J$15,-PMT($J$11,($J$12-$J$9)*12,$J$6)+$J$13*_xlfn.XLOOKUP($K$13,'RE Calculations'!$B$12:$B$16,'RE Calculations'!$C$12:$C$16,"ERROR - Check Input")/12),0)</f>
        <v>0</v>
      </c>
      <c r="K580" s="142">
        <f t="shared" si="64"/>
        <v>0</v>
      </c>
      <c r="L580" s="142">
        <f>IF(I580&lt;=($J$9*12),$J$15,IFERROR(-IPMT($J$11,I580-$J$9*12,($J$12-$J$9)*12,$J$6)+$J$13*_xlfn.XLOOKUP($K$13,'RE Calculations'!$B$12:$B$16,'RE Calculations'!$C$12:$C$16,"ERROR - Check Input")/12,0))</f>
        <v>0</v>
      </c>
      <c r="M580" s="142">
        <f t="shared" si="65"/>
        <v>0</v>
      </c>
      <c r="P580" s="12">
        <v>558</v>
      </c>
      <c r="Q580" s="142">
        <f>IF(T579&gt;0.01,-PMT($Q$8,$Q$9*12,$Q$6)+$Q$10*_xlfn.XLOOKUP($R$10,'RE Calculations'!$B$12:$B$16,'RE Calculations'!$C$12:$C$16,"ERROR - Check Input")/12,0)</f>
        <v>0</v>
      </c>
      <c r="R580" s="142">
        <f t="shared" si="66"/>
        <v>0</v>
      </c>
      <c r="S580" s="142">
        <f>IFERROR(-IPMT($Q$8,P580,$Q$9*12,$Q$6)+$Q$10*_xlfn.XLOOKUP($R$10,'RE Calculations'!$B$12:$B$16,'RE Calculations'!$C$12:$C$16,"ERROR - Check Input")/12,0)</f>
        <v>0</v>
      </c>
      <c r="T580" s="142">
        <f t="shared" si="67"/>
        <v>0</v>
      </c>
      <c r="W580" s="12">
        <v>558</v>
      </c>
      <c r="X580" s="142">
        <f>IF(AA579&gt;0.01,IF(W580&lt;=($X$9*12),$X$15,-PMT($X$11,($X$12-$X$9)*12,$X$6)+$X$13*_xlfn.XLOOKUP($Y$13,'RE Calculations'!$B$12:$B$16,'RE Calculations'!$C$12:$C$16,"ERROR - Check Input")/12),0)</f>
        <v>0</v>
      </c>
      <c r="Y580" s="142">
        <f t="shared" si="68"/>
        <v>0</v>
      </c>
      <c r="Z580" s="142">
        <f>IF(W580&lt;=($X$9*12),$X$15,IFERROR(-IPMT($X$11,W580-$X$9*12,($X$12-$X$9)*12,$X$6)+$X$13*_xlfn.XLOOKUP($Y$13,'RE Calculations'!$B$12:$B$16,'RE Calculations'!$C$12:$C$16,"ERROR - Check Input")/12,0))</f>
        <v>0</v>
      </c>
      <c r="AA580" s="142">
        <f t="shared" si="69"/>
        <v>0</v>
      </c>
    </row>
    <row r="581" spans="2:27" x14ac:dyDescent="0.35">
      <c r="B581" s="12">
        <v>559</v>
      </c>
      <c r="C581" s="142">
        <f>IF(F580&gt;0.01,-PMT($C$8,$C$9*12,$C$6)+$C$10*_xlfn.XLOOKUP($D$10,'RE Calculations'!$B$12:$B$16,'RE Calculations'!$C$12:$C$16,"ERROR - Check Input")/12,0)</f>
        <v>0</v>
      </c>
      <c r="D581" s="142">
        <f t="shared" si="70"/>
        <v>0</v>
      </c>
      <c r="E581" s="142">
        <f>IFERROR(-IPMT($C$8,B581,$C$9*12,$C$6)+$C$10*_xlfn.XLOOKUP($D$10,'RE Calculations'!$B$12:$B$16,'RE Calculations'!$C$12:$C$16,"ERROR - Check Input")/12,0)</f>
        <v>0</v>
      </c>
      <c r="F581" s="142">
        <f t="shared" si="71"/>
        <v>0</v>
      </c>
      <c r="I581" s="12">
        <v>559</v>
      </c>
      <c r="J581" s="142">
        <f>IF(M580&gt;0.01,IF(I581&lt;=($J$9*12),$J$15,-PMT($J$11,($J$12-$J$9)*12,$J$6)+$J$13*_xlfn.XLOOKUP($K$13,'RE Calculations'!$B$12:$B$16,'RE Calculations'!$C$12:$C$16,"ERROR - Check Input")/12),0)</f>
        <v>0</v>
      </c>
      <c r="K581" s="142">
        <f t="shared" si="64"/>
        <v>0</v>
      </c>
      <c r="L581" s="142">
        <f>IF(I581&lt;=($J$9*12),$J$15,IFERROR(-IPMT($J$11,I581-$J$9*12,($J$12-$J$9)*12,$J$6)+$J$13*_xlfn.XLOOKUP($K$13,'RE Calculations'!$B$12:$B$16,'RE Calculations'!$C$12:$C$16,"ERROR - Check Input")/12,0))</f>
        <v>0</v>
      </c>
      <c r="M581" s="142">
        <f t="shared" si="65"/>
        <v>0</v>
      </c>
      <c r="P581" s="12">
        <v>559</v>
      </c>
      <c r="Q581" s="142">
        <f>IF(T580&gt;0.01,-PMT($Q$8,$Q$9*12,$Q$6)+$Q$10*_xlfn.XLOOKUP($R$10,'RE Calculations'!$B$12:$B$16,'RE Calculations'!$C$12:$C$16,"ERROR - Check Input")/12,0)</f>
        <v>0</v>
      </c>
      <c r="R581" s="142">
        <f t="shared" si="66"/>
        <v>0</v>
      </c>
      <c r="S581" s="142">
        <f>IFERROR(-IPMT($Q$8,P581,$Q$9*12,$Q$6)+$Q$10*_xlfn.XLOOKUP($R$10,'RE Calculations'!$B$12:$B$16,'RE Calculations'!$C$12:$C$16,"ERROR - Check Input")/12,0)</f>
        <v>0</v>
      </c>
      <c r="T581" s="142">
        <f t="shared" si="67"/>
        <v>0</v>
      </c>
      <c r="W581" s="12">
        <v>559</v>
      </c>
      <c r="X581" s="142">
        <f>IF(AA580&gt;0.01,IF(W581&lt;=($X$9*12),$X$15,-PMT($X$11,($X$12-$X$9)*12,$X$6)+$X$13*_xlfn.XLOOKUP($Y$13,'RE Calculations'!$B$12:$B$16,'RE Calculations'!$C$12:$C$16,"ERROR - Check Input")/12),0)</f>
        <v>0</v>
      </c>
      <c r="Y581" s="142">
        <f t="shared" si="68"/>
        <v>0</v>
      </c>
      <c r="Z581" s="142">
        <f>IF(W581&lt;=($X$9*12),$X$15,IFERROR(-IPMT($X$11,W581-$X$9*12,($X$12-$X$9)*12,$X$6)+$X$13*_xlfn.XLOOKUP($Y$13,'RE Calculations'!$B$12:$B$16,'RE Calculations'!$C$12:$C$16,"ERROR - Check Input")/12,0))</f>
        <v>0</v>
      </c>
      <c r="AA581" s="142">
        <f t="shared" si="69"/>
        <v>0</v>
      </c>
    </row>
    <row r="582" spans="2:27" x14ac:dyDescent="0.35">
      <c r="B582" s="12">
        <v>560</v>
      </c>
      <c r="C582" s="142">
        <f>IF(F581&gt;0.01,-PMT($C$8,$C$9*12,$C$6)+$C$10*_xlfn.XLOOKUP($D$10,'RE Calculations'!$B$12:$B$16,'RE Calculations'!$C$12:$C$16,"ERROR - Check Input")/12,0)</f>
        <v>0</v>
      </c>
      <c r="D582" s="142">
        <f t="shared" si="70"/>
        <v>0</v>
      </c>
      <c r="E582" s="142">
        <f>IFERROR(-IPMT($C$8,B582,$C$9*12,$C$6)+$C$10*_xlfn.XLOOKUP($D$10,'RE Calculations'!$B$12:$B$16,'RE Calculations'!$C$12:$C$16,"ERROR - Check Input")/12,0)</f>
        <v>0</v>
      </c>
      <c r="F582" s="142">
        <f t="shared" si="71"/>
        <v>0</v>
      </c>
      <c r="I582" s="12">
        <v>560</v>
      </c>
      <c r="J582" s="142">
        <f>IF(M581&gt;0.01,IF(I582&lt;=($J$9*12),$J$15,-PMT($J$11,($J$12-$J$9)*12,$J$6)+$J$13*_xlfn.XLOOKUP($K$13,'RE Calculations'!$B$12:$B$16,'RE Calculations'!$C$12:$C$16,"ERROR - Check Input")/12),0)</f>
        <v>0</v>
      </c>
      <c r="K582" s="142">
        <f t="shared" si="64"/>
        <v>0</v>
      </c>
      <c r="L582" s="142">
        <f>IF(I582&lt;=($J$9*12),$J$15,IFERROR(-IPMT($J$11,I582-$J$9*12,($J$12-$J$9)*12,$J$6)+$J$13*_xlfn.XLOOKUP($K$13,'RE Calculations'!$B$12:$B$16,'RE Calculations'!$C$12:$C$16,"ERROR - Check Input")/12,0))</f>
        <v>0</v>
      </c>
      <c r="M582" s="142">
        <f t="shared" si="65"/>
        <v>0</v>
      </c>
      <c r="P582" s="12">
        <v>560</v>
      </c>
      <c r="Q582" s="142">
        <f>IF(T581&gt;0.01,-PMT($Q$8,$Q$9*12,$Q$6)+$Q$10*_xlfn.XLOOKUP($R$10,'RE Calculations'!$B$12:$B$16,'RE Calculations'!$C$12:$C$16,"ERROR - Check Input")/12,0)</f>
        <v>0</v>
      </c>
      <c r="R582" s="142">
        <f t="shared" si="66"/>
        <v>0</v>
      </c>
      <c r="S582" s="142">
        <f>IFERROR(-IPMT($Q$8,P582,$Q$9*12,$Q$6)+$Q$10*_xlfn.XLOOKUP($R$10,'RE Calculations'!$B$12:$B$16,'RE Calculations'!$C$12:$C$16,"ERROR - Check Input")/12,0)</f>
        <v>0</v>
      </c>
      <c r="T582" s="142">
        <f t="shared" si="67"/>
        <v>0</v>
      </c>
      <c r="W582" s="12">
        <v>560</v>
      </c>
      <c r="X582" s="142">
        <f>IF(AA581&gt;0.01,IF(W582&lt;=($X$9*12),$X$15,-PMT($X$11,($X$12-$X$9)*12,$X$6)+$X$13*_xlfn.XLOOKUP($Y$13,'RE Calculations'!$B$12:$B$16,'RE Calculations'!$C$12:$C$16,"ERROR - Check Input")/12),0)</f>
        <v>0</v>
      </c>
      <c r="Y582" s="142">
        <f t="shared" si="68"/>
        <v>0</v>
      </c>
      <c r="Z582" s="142">
        <f>IF(W582&lt;=($X$9*12),$X$15,IFERROR(-IPMT($X$11,W582-$X$9*12,($X$12-$X$9)*12,$X$6)+$X$13*_xlfn.XLOOKUP($Y$13,'RE Calculations'!$B$12:$B$16,'RE Calculations'!$C$12:$C$16,"ERROR - Check Input")/12,0))</f>
        <v>0</v>
      </c>
      <c r="AA582" s="142">
        <f t="shared" si="69"/>
        <v>0</v>
      </c>
    </row>
    <row r="583" spans="2:27" x14ac:dyDescent="0.35">
      <c r="B583" s="12">
        <v>561</v>
      </c>
      <c r="C583" s="142">
        <f>IF(F582&gt;0.01,-PMT($C$8,$C$9*12,$C$6)+$C$10*_xlfn.XLOOKUP($D$10,'RE Calculations'!$B$12:$B$16,'RE Calculations'!$C$12:$C$16,"ERROR - Check Input")/12,0)</f>
        <v>0</v>
      </c>
      <c r="D583" s="142">
        <f t="shared" si="70"/>
        <v>0</v>
      </c>
      <c r="E583" s="142">
        <f>IFERROR(-IPMT($C$8,B583,$C$9*12,$C$6)+$C$10*_xlfn.XLOOKUP($D$10,'RE Calculations'!$B$12:$B$16,'RE Calculations'!$C$12:$C$16,"ERROR - Check Input")/12,0)</f>
        <v>0</v>
      </c>
      <c r="F583" s="142">
        <f t="shared" si="71"/>
        <v>0</v>
      </c>
      <c r="I583" s="12">
        <v>561</v>
      </c>
      <c r="J583" s="142">
        <f>IF(M582&gt;0.01,IF(I583&lt;=($J$9*12),$J$15,-PMT($J$11,($J$12-$J$9)*12,$J$6)+$J$13*_xlfn.XLOOKUP($K$13,'RE Calculations'!$B$12:$B$16,'RE Calculations'!$C$12:$C$16,"ERROR - Check Input")/12),0)</f>
        <v>0</v>
      </c>
      <c r="K583" s="142">
        <f t="shared" si="64"/>
        <v>0</v>
      </c>
      <c r="L583" s="142">
        <f>IF(I583&lt;=($J$9*12),$J$15,IFERROR(-IPMT($J$11,I583-$J$9*12,($J$12-$J$9)*12,$J$6)+$J$13*_xlfn.XLOOKUP($K$13,'RE Calculations'!$B$12:$B$16,'RE Calculations'!$C$12:$C$16,"ERROR - Check Input")/12,0))</f>
        <v>0</v>
      </c>
      <c r="M583" s="142">
        <f t="shared" si="65"/>
        <v>0</v>
      </c>
      <c r="P583" s="12">
        <v>561</v>
      </c>
      <c r="Q583" s="142">
        <f>IF(T582&gt;0.01,-PMT($Q$8,$Q$9*12,$Q$6)+$Q$10*_xlfn.XLOOKUP($R$10,'RE Calculations'!$B$12:$B$16,'RE Calculations'!$C$12:$C$16,"ERROR - Check Input")/12,0)</f>
        <v>0</v>
      </c>
      <c r="R583" s="142">
        <f t="shared" si="66"/>
        <v>0</v>
      </c>
      <c r="S583" s="142">
        <f>IFERROR(-IPMT($Q$8,P583,$Q$9*12,$Q$6)+$Q$10*_xlfn.XLOOKUP($R$10,'RE Calculations'!$B$12:$B$16,'RE Calculations'!$C$12:$C$16,"ERROR - Check Input")/12,0)</f>
        <v>0</v>
      </c>
      <c r="T583" s="142">
        <f t="shared" si="67"/>
        <v>0</v>
      </c>
      <c r="W583" s="12">
        <v>561</v>
      </c>
      <c r="X583" s="142">
        <f>IF(AA582&gt;0.01,IF(W583&lt;=($X$9*12),$X$15,-PMT($X$11,($X$12-$X$9)*12,$X$6)+$X$13*_xlfn.XLOOKUP($Y$13,'RE Calculations'!$B$12:$B$16,'RE Calculations'!$C$12:$C$16,"ERROR - Check Input")/12),0)</f>
        <v>0</v>
      </c>
      <c r="Y583" s="142">
        <f t="shared" si="68"/>
        <v>0</v>
      </c>
      <c r="Z583" s="142">
        <f>IF(W583&lt;=($X$9*12),$X$15,IFERROR(-IPMT($X$11,W583-$X$9*12,($X$12-$X$9)*12,$X$6)+$X$13*_xlfn.XLOOKUP($Y$13,'RE Calculations'!$B$12:$B$16,'RE Calculations'!$C$12:$C$16,"ERROR - Check Input")/12,0))</f>
        <v>0</v>
      </c>
      <c r="AA583" s="142">
        <f t="shared" si="69"/>
        <v>0</v>
      </c>
    </row>
    <row r="584" spans="2:27" x14ac:dyDescent="0.35">
      <c r="B584" s="12">
        <v>562</v>
      </c>
      <c r="C584" s="142">
        <f>IF(F583&gt;0.01,-PMT($C$8,$C$9*12,$C$6)+$C$10*_xlfn.XLOOKUP($D$10,'RE Calculations'!$B$12:$B$16,'RE Calculations'!$C$12:$C$16,"ERROR - Check Input")/12,0)</f>
        <v>0</v>
      </c>
      <c r="D584" s="142">
        <f t="shared" si="70"/>
        <v>0</v>
      </c>
      <c r="E584" s="142">
        <f>IFERROR(-IPMT($C$8,B584,$C$9*12,$C$6)+$C$10*_xlfn.XLOOKUP($D$10,'RE Calculations'!$B$12:$B$16,'RE Calculations'!$C$12:$C$16,"ERROR - Check Input")/12,0)</f>
        <v>0</v>
      </c>
      <c r="F584" s="142">
        <f t="shared" si="71"/>
        <v>0</v>
      </c>
      <c r="I584" s="12">
        <v>562</v>
      </c>
      <c r="J584" s="142">
        <f>IF(M583&gt;0.01,IF(I584&lt;=($J$9*12),$J$15,-PMT($J$11,($J$12-$J$9)*12,$J$6)+$J$13*_xlfn.XLOOKUP($K$13,'RE Calculations'!$B$12:$B$16,'RE Calculations'!$C$12:$C$16,"ERROR - Check Input")/12),0)</f>
        <v>0</v>
      </c>
      <c r="K584" s="142">
        <f t="shared" si="64"/>
        <v>0</v>
      </c>
      <c r="L584" s="142">
        <f>IF(I584&lt;=($J$9*12),$J$15,IFERROR(-IPMT($J$11,I584-$J$9*12,($J$12-$J$9)*12,$J$6)+$J$13*_xlfn.XLOOKUP($K$13,'RE Calculations'!$B$12:$B$16,'RE Calculations'!$C$12:$C$16,"ERROR - Check Input")/12,0))</f>
        <v>0</v>
      </c>
      <c r="M584" s="142">
        <f t="shared" si="65"/>
        <v>0</v>
      </c>
      <c r="P584" s="12">
        <v>562</v>
      </c>
      <c r="Q584" s="142">
        <f>IF(T583&gt;0.01,-PMT($Q$8,$Q$9*12,$Q$6)+$Q$10*_xlfn.XLOOKUP($R$10,'RE Calculations'!$B$12:$B$16,'RE Calculations'!$C$12:$C$16,"ERROR - Check Input")/12,0)</f>
        <v>0</v>
      </c>
      <c r="R584" s="142">
        <f t="shared" si="66"/>
        <v>0</v>
      </c>
      <c r="S584" s="142">
        <f>IFERROR(-IPMT($Q$8,P584,$Q$9*12,$Q$6)+$Q$10*_xlfn.XLOOKUP($R$10,'RE Calculations'!$B$12:$B$16,'RE Calculations'!$C$12:$C$16,"ERROR - Check Input")/12,0)</f>
        <v>0</v>
      </c>
      <c r="T584" s="142">
        <f t="shared" si="67"/>
        <v>0</v>
      </c>
      <c r="W584" s="12">
        <v>562</v>
      </c>
      <c r="X584" s="142">
        <f>IF(AA583&gt;0.01,IF(W584&lt;=($X$9*12),$X$15,-PMT($X$11,($X$12-$X$9)*12,$X$6)+$X$13*_xlfn.XLOOKUP($Y$13,'RE Calculations'!$B$12:$B$16,'RE Calculations'!$C$12:$C$16,"ERROR - Check Input")/12),0)</f>
        <v>0</v>
      </c>
      <c r="Y584" s="142">
        <f t="shared" si="68"/>
        <v>0</v>
      </c>
      <c r="Z584" s="142">
        <f>IF(W584&lt;=($X$9*12),$X$15,IFERROR(-IPMT($X$11,W584-$X$9*12,($X$12-$X$9)*12,$X$6)+$X$13*_xlfn.XLOOKUP($Y$13,'RE Calculations'!$B$12:$B$16,'RE Calculations'!$C$12:$C$16,"ERROR - Check Input")/12,0))</f>
        <v>0</v>
      </c>
      <c r="AA584" s="142">
        <f t="shared" si="69"/>
        <v>0</v>
      </c>
    </row>
    <row r="585" spans="2:27" x14ac:dyDescent="0.35">
      <c r="B585" s="12">
        <v>563</v>
      </c>
      <c r="C585" s="142">
        <f>IF(F584&gt;0.01,-PMT($C$8,$C$9*12,$C$6)+$C$10*_xlfn.XLOOKUP($D$10,'RE Calculations'!$B$12:$B$16,'RE Calculations'!$C$12:$C$16,"ERROR - Check Input")/12,0)</f>
        <v>0</v>
      </c>
      <c r="D585" s="142">
        <f t="shared" si="70"/>
        <v>0</v>
      </c>
      <c r="E585" s="142">
        <f>IFERROR(-IPMT($C$8,B585,$C$9*12,$C$6)+$C$10*_xlfn.XLOOKUP($D$10,'RE Calculations'!$B$12:$B$16,'RE Calculations'!$C$12:$C$16,"ERROR - Check Input")/12,0)</f>
        <v>0</v>
      </c>
      <c r="F585" s="142">
        <f t="shared" si="71"/>
        <v>0</v>
      </c>
      <c r="I585" s="12">
        <v>563</v>
      </c>
      <c r="J585" s="142">
        <f>IF(M584&gt;0.01,IF(I585&lt;=($J$9*12),$J$15,-PMT($J$11,($J$12-$J$9)*12,$J$6)+$J$13*_xlfn.XLOOKUP($K$13,'RE Calculations'!$B$12:$B$16,'RE Calculations'!$C$12:$C$16,"ERROR - Check Input")/12),0)</f>
        <v>0</v>
      </c>
      <c r="K585" s="142">
        <f t="shared" si="64"/>
        <v>0</v>
      </c>
      <c r="L585" s="142">
        <f>IF(I585&lt;=($J$9*12),$J$15,IFERROR(-IPMT($J$11,I585-$J$9*12,($J$12-$J$9)*12,$J$6)+$J$13*_xlfn.XLOOKUP($K$13,'RE Calculations'!$B$12:$B$16,'RE Calculations'!$C$12:$C$16,"ERROR - Check Input")/12,0))</f>
        <v>0</v>
      </c>
      <c r="M585" s="142">
        <f t="shared" si="65"/>
        <v>0</v>
      </c>
      <c r="P585" s="12">
        <v>563</v>
      </c>
      <c r="Q585" s="142">
        <f>IF(T584&gt;0.01,-PMT($Q$8,$Q$9*12,$Q$6)+$Q$10*_xlfn.XLOOKUP($R$10,'RE Calculations'!$B$12:$B$16,'RE Calculations'!$C$12:$C$16,"ERROR - Check Input")/12,0)</f>
        <v>0</v>
      </c>
      <c r="R585" s="142">
        <f t="shared" si="66"/>
        <v>0</v>
      </c>
      <c r="S585" s="142">
        <f>IFERROR(-IPMT($Q$8,P585,$Q$9*12,$Q$6)+$Q$10*_xlfn.XLOOKUP($R$10,'RE Calculations'!$B$12:$B$16,'RE Calculations'!$C$12:$C$16,"ERROR - Check Input")/12,0)</f>
        <v>0</v>
      </c>
      <c r="T585" s="142">
        <f t="shared" si="67"/>
        <v>0</v>
      </c>
      <c r="W585" s="12">
        <v>563</v>
      </c>
      <c r="X585" s="142">
        <f>IF(AA584&gt;0.01,IF(W585&lt;=($X$9*12),$X$15,-PMT($X$11,($X$12-$X$9)*12,$X$6)+$X$13*_xlfn.XLOOKUP($Y$13,'RE Calculations'!$B$12:$B$16,'RE Calculations'!$C$12:$C$16,"ERROR - Check Input")/12),0)</f>
        <v>0</v>
      </c>
      <c r="Y585" s="142">
        <f t="shared" si="68"/>
        <v>0</v>
      </c>
      <c r="Z585" s="142">
        <f>IF(W585&lt;=($X$9*12),$X$15,IFERROR(-IPMT($X$11,W585-$X$9*12,($X$12-$X$9)*12,$X$6)+$X$13*_xlfn.XLOOKUP($Y$13,'RE Calculations'!$B$12:$B$16,'RE Calculations'!$C$12:$C$16,"ERROR - Check Input")/12,0))</f>
        <v>0</v>
      </c>
      <c r="AA585" s="142">
        <f t="shared" si="69"/>
        <v>0</v>
      </c>
    </row>
    <row r="586" spans="2:27" x14ac:dyDescent="0.35">
      <c r="B586" s="12">
        <v>564</v>
      </c>
      <c r="C586" s="142">
        <f>IF(F585&gt;0.01,-PMT($C$8,$C$9*12,$C$6)+$C$10*_xlfn.XLOOKUP($D$10,'RE Calculations'!$B$12:$B$16,'RE Calculations'!$C$12:$C$16,"ERROR - Check Input")/12,0)</f>
        <v>0</v>
      </c>
      <c r="D586" s="142">
        <f t="shared" si="70"/>
        <v>0</v>
      </c>
      <c r="E586" s="142">
        <f>IFERROR(-IPMT($C$8,B586,$C$9*12,$C$6)+$C$10*_xlfn.XLOOKUP($D$10,'RE Calculations'!$B$12:$B$16,'RE Calculations'!$C$12:$C$16,"ERROR - Check Input")/12,0)</f>
        <v>0</v>
      </c>
      <c r="F586" s="142">
        <f t="shared" si="71"/>
        <v>0</v>
      </c>
      <c r="I586" s="12">
        <v>564</v>
      </c>
      <c r="J586" s="142">
        <f>IF(M585&gt;0.01,IF(I586&lt;=($J$9*12),$J$15,-PMT($J$11,($J$12-$J$9)*12,$J$6)+$J$13*_xlfn.XLOOKUP($K$13,'RE Calculations'!$B$12:$B$16,'RE Calculations'!$C$12:$C$16,"ERROR - Check Input")/12),0)</f>
        <v>0</v>
      </c>
      <c r="K586" s="142">
        <f t="shared" si="64"/>
        <v>0</v>
      </c>
      <c r="L586" s="142">
        <f>IF(I586&lt;=($J$9*12),$J$15,IFERROR(-IPMT($J$11,I586-$J$9*12,($J$12-$J$9)*12,$J$6)+$J$13*_xlfn.XLOOKUP($K$13,'RE Calculations'!$B$12:$B$16,'RE Calculations'!$C$12:$C$16,"ERROR - Check Input")/12,0))</f>
        <v>0</v>
      </c>
      <c r="M586" s="142">
        <f t="shared" si="65"/>
        <v>0</v>
      </c>
      <c r="P586" s="12">
        <v>564</v>
      </c>
      <c r="Q586" s="142">
        <f>IF(T585&gt;0.01,-PMT($Q$8,$Q$9*12,$Q$6)+$Q$10*_xlfn.XLOOKUP($R$10,'RE Calculations'!$B$12:$B$16,'RE Calculations'!$C$12:$C$16,"ERROR - Check Input")/12,0)</f>
        <v>0</v>
      </c>
      <c r="R586" s="142">
        <f t="shared" si="66"/>
        <v>0</v>
      </c>
      <c r="S586" s="142">
        <f>IFERROR(-IPMT($Q$8,P586,$Q$9*12,$Q$6)+$Q$10*_xlfn.XLOOKUP($R$10,'RE Calculations'!$B$12:$B$16,'RE Calculations'!$C$12:$C$16,"ERROR - Check Input")/12,0)</f>
        <v>0</v>
      </c>
      <c r="T586" s="142">
        <f t="shared" si="67"/>
        <v>0</v>
      </c>
      <c r="W586" s="12">
        <v>564</v>
      </c>
      <c r="X586" s="142">
        <f>IF(AA585&gt;0.01,IF(W586&lt;=($X$9*12),$X$15,-PMT($X$11,($X$12-$X$9)*12,$X$6)+$X$13*_xlfn.XLOOKUP($Y$13,'RE Calculations'!$B$12:$B$16,'RE Calculations'!$C$12:$C$16,"ERROR - Check Input")/12),0)</f>
        <v>0</v>
      </c>
      <c r="Y586" s="142">
        <f t="shared" si="68"/>
        <v>0</v>
      </c>
      <c r="Z586" s="142">
        <f>IF(W586&lt;=($X$9*12),$X$15,IFERROR(-IPMT($X$11,W586-$X$9*12,($X$12-$X$9)*12,$X$6)+$X$13*_xlfn.XLOOKUP($Y$13,'RE Calculations'!$B$12:$B$16,'RE Calculations'!$C$12:$C$16,"ERROR - Check Input")/12,0))</f>
        <v>0</v>
      </c>
      <c r="AA586" s="142">
        <f t="shared" si="69"/>
        <v>0</v>
      </c>
    </row>
    <row r="587" spans="2:27" x14ac:dyDescent="0.35">
      <c r="B587" s="12">
        <v>565</v>
      </c>
      <c r="C587" s="142">
        <f>IF(F586&gt;0.01,-PMT($C$8,$C$9*12,$C$6)+$C$10*_xlfn.XLOOKUP($D$10,'RE Calculations'!$B$12:$B$16,'RE Calculations'!$C$12:$C$16,"ERROR - Check Input")/12,0)</f>
        <v>0</v>
      </c>
      <c r="D587" s="142">
        <f t="shared" si="70"/>
        <v>0</v>
      </c>
      <c r="E587" s="142">
        <f>IFERROR(-IPMT($C$8,B587,$C$9*12,$C$6)+$C$10*_xlfn.XLOOKUP($D$10,'RE Calculations'!$B$12:$B$16,'RE Calculations'!$C$12:$C$16,"ERROR - Check Input")/12,0)</f>
        <v>0</v>
      </c>
      <c r="F587" s="142">
        <f t="shared" si="71"/>
        <v>0</v>
      </c>
      <c r="I587" s="12">
        <v>565</v>
      </c>
      <c r="J587" s="142">
        <f>IF(M586&gt;0.01,IF(I587&lt;=($J$9*12),$J$15,-PMT($J$11,($J$12-$J$9)*12,$J$6)+$J$13*_xlfn.XLOOKUP($K$13,'RE Calculations'!$B$12:$B$16,'RE Calculations'!$C$12:$C$16,"ERROR - Check Input")/12),0)</f>
        <v>0</v>
      </c>
      <c r="K587" s="142">
        <f t="shared" si="64"/>
        <v>0</v>
      </c>
      <c r="L587" s="142">
        <f>IF(I587&lt;=($J$9*12),$J$15,IFERROR(-IPMT($J$11,I587-$J$9*12,($J$12-$J$9)*12,$J$6)+$J$13*_xlfn.XLOOKUP($K$13,'RE Calculations'!$B$12:$B$16,'RE Calculations'!$C$12:$C$16,"ERROR - Check Input")/12,0))</f>
        <v>0</v>
      </c>
      <c r="M587" s="142">
        <f t="shared" si="65"/>
        <v>0</v>
      </c>
      <c r="P587" s="12">
        <v>565</v>
      </c>
      <c r="Q587" s="142">
        <f>IF(T586&gt;0.01,-PMT($Q$8,$Q$9*12,$Q$6)+$Q$10*_xlfn.XLOOKUP($R$10,'RE Calculations'!$B$12:$B$16,'RE Calculations'!$C$12:$C$16,"ERROR - Check Input")/12,0)</f>
        <v>0</v>
      </c>
      <c r="R587" s="142">
        <f t="shared" si="66"/>
        <v>0</v>
      </c>
      <c r="S587" s="142">
        <f>IFERROR(-IPMT($Q$8,P587,$Q$9*12,$Q$6)+$Q$10*_xlfn.XLOOKUP($R$10,'RE Calculations'!$B$12:$B$16,'RE Calculations'!$C$12:$C$16,"ERROR - Check Input")/12,0)</f>
        <v>0</v>
      </c>
      <c r="T587" s="142">
        <f t="shared" si="67"/>
        <v>0</v>
      </c>
      <c r="W587" s="12">
        <v>565</v>
      </c>
      <c r="X587" s="142">
        <f>IF(AA586&gt;0.01,IF(W587&lt;=($X$9*12),$X$15,-PMT($X$11,($X$12-$X$9)*12,$X$6)+$X$13*_xlfn.XLOOKUP($Y$13,'RE Calculations'!$B$12:$B$16,'RE Calculations'!$C$12:$C$16,"ERROR - Check Input")/12),0)</f>
        <v>0</v>
      </c>
      <c r="Y587" s="142">
        <f t="shared" si="68"/>
        <v>0</v>
      </c>
      <c r="Z587" s="142">
        <f>IF(W587&lt;=($X$9*12),$X$15,IFERROR(-IPMT($X$11,W587-$X$9*12,($X$12-$X$9)*12,$X$6)+$X$13*_xlfn.XLOOKUP($Y$13,'RE Calculations'!$B$12:$B$16,'RE Calculations'!$C$12:$C$16,"ERROR - Check Input")/12,0))</f>
        <v>0</v>
      </c>
      <c r="AA587" s="142">
        <f t="shared" si="69"/>
        <v>0</v>
      </c>
    </row>
    <row r="588" spans="2:27" x14ac:dyDescent="0.35">
      <c r="B588" s="12">
        <v>566</v>
      </c>
      <c r="C588" s="142">
        <f>IF(F587&gt;0.01,-PMT($C$8,$C$9*12,$C$6)+$C$10*_xlfn.XLOOKUP($D$10,'RE Calculations'!$B$12:$B$16,'RE Calculations'!$C$12:$C$16,"ERROR - Check Input")/12,0)</f>
        <v>0</v>
      </c>
      <c r="D588" s="142">
        <f t="shared" si="70"/>
        <v>0</v>
      </c>
      <c r="E588" s="142">
        <f>IFERROR(-IPMT($C$8,B588,$C$9*12,$C$6)+$C$10*_xlfn.XLOOKUP($D$10,'RE Calculations'!$B$12:$B$16,'RE Calculations'!$C$12:$C$16,"ERROR - Check Input")/12,0)</f>
        <v>0</v>
      </c>
      <c r="F588" s="142">
        <f t="shared" si="71"/>
        <v>0</v>
      </c>
      <c r="I588" s="12">
        <v>566</v>
      </c>
      <c r="J588" s="142">
        <f>IF(M587&gt;0.01,IF(I588&lt;=($J$9*12),$J$15,-PMT($J$11,($J$12-$J$9)*12,$J$6)+$J$13*_xlfn.XLOOKUP($K$13,'RE Calculations'!$B$12:$B$16,'RE Calculations'!$C$12:$C$16,"ERROR - Check Input")/12),0)</f>
        <v>0</v>
      </c>
      <c r="K588" s="142">
        <f t="shared" si="64"/>
        <v>0</v>
      </c>
      <c r="L588" s="142">
        <f>IF(I588&lt;=($J$9*12),$J$15,IFERROR(-IPMT($J$11,I588-$J$9*12,($J$12-$J$9)*12,$J$6)+$J$13*_xlfn.XLOOKUP($K$13,'RE Calculations'!$B$12:$B$16,'RE Calculations'!$C$12:$C$16,"ERROR - Check Input")/12,0))</f>
        <v>0</v>
      </c>
      <c r="M588" s="142">
        <f t="shared" si="65"/>
        <v>0</v>
      </c>
      <c r="P588" s="12">
        <v>566</v>
      </c>
      <c r="Q588" s="142">
        <f>IF(T587&gt;0.01,-PMT($Q$8,$Q$9*12,$Q$6)+$Q$10*_xlfn.XLOOKUP($R$10,'RE Calculations'!$B$12:$B$16,'RE Calculations'!$C$12:$C$16,"ERROR - Check Input")/12,0)</f>
        <v>0</v>
      </c>
      <c r="R588" s="142">
        <f t="shared" si="66"/>
        <v>0</v>
      </c>
      <c r="S588" s="142">
        <f>IFERROR(-IPMT($Q$8,P588,$Q$9*12,$Q$6)+$Q$10*_xlfn.XLOOKUP($R$10,'RE Calculations'!$B$12:$B$16,'RE Calculations'!$C$12:$C$16,"ERROR - Check Input")/12,0)</f>
        <v>0</v>
      </c>
      <c r="T588" s="142">
        <f t="shared" si="67"/>
        <v>0</v>
      </c>
      <c r="W588" s="12">
        <v>566</v>
      </c>
      <c r="X588" s="142">
        <f>IF(AA587&gt;0.01,IF(W588&lt;=($X$9*12),$X$15,-PMT($X$11,($X$12-$X$9)*12,$X$6)+$X$13*_xlfn.XLOOKUP($Y$13,'RE Calculations'!$B$12:$B$16,'RE Calculations'!$C$12:$C$16,"ERROR - Check Input")/12),0)</f>
        <v>0</v>
      </c>
      <c r="Y588" s="142">
        <f t="shared" si="68"/>
        <v>0</v>
      </c>
      <c r="Z588" s="142">
        <f>IF(W588&lt;=($X$9*12),$X$15,IFERROR(-IPMT($X$11,W588-$X$9*12,($X$12-$X$9)*12,$X$6)+$X$13*_xlfn.XLOOKUP($Y$13,'RE Calculations'!$B$12:$B$16,'RE Calculations'!$C$12:$C$16,"ERROR - Check Input")/12,0))</f>
        <v>0</v>
      </c>
      <c r="AA588" s="142">
        <f t="shared" si="69"/>
        <v>0</v>
      </c>
    </row>
    <row r="589" spans="2:27" x14ac:dyDescent="0.35">
      <c r="B589" s="12">
        <v>567</v>
      </c>
      <c r="C589" s="142">
        <f>IF(F588&gt;0.01,-PMT($C$8,$C$9*12,$C$6)+$C$10*_xlfn.XLOOKUP($D$10,'RE Calculations'!$B$12:$B$16,'RE Calculations'!$C$12:$C$16,"ERROR - Check Input")/12,0)</f>
        <v>0</v>
      </c>
      <c r="D589" s="142">
        <f t="shared" si="70"/>
        <v>0</v>
      </c>
      <c r="E589" s="142">
        <f>IFERROR(-IPMT($C$8,B589,$C$9*12,$C$6)+$C$10*_xlfn.XLOOKUP($D$10,'RE Calculations'!$B$12:$B$16,'RE Calculations'!$C$12:$C$16,"ERROR - Check Input")/12,0)</f>
        <v>0</v>
      </c>
      <c r="F589" s="142">
        <f t="shared" si="71"/>
        <v>0</v>
      </c>
      <c r="I589" s="12">
        <v>567</v>
      </c>
      <c r="J589" s="142">
        <f>IF(M588&gt;0.01,IF(I589&lt;=($J$9*12),$J$15,-PMT($J$11,($J$12-$J$9)*12,$J$6)+$J$13*_xlfn.XLOOKUP($K$13,'RE Calculations'!$B$12:$B$16,'RE Calculations'!$C$12:$C$16,"ERROR - Check Input")/12),0)</f>
        <v>0</v>
      </c>
      <c r="K589" s="142">
        <f t="shared" si="64"/>
        <v>0</v>
      </c>
      <c r="L589" s="142">
        <f>IF(I589&lt;=($J$9*12),$J$15,IFERROR(-IPMT($J$11,I589-$J$9*12,($J$12-$J$9)*12,$J$6)+$J$13*_xlfn.XLOOKUP($K$13,'RE Calculations'!$B$12:$B$16,'RE Calculations'!$C$12:$C$16,"ERROR - Check Input")/12,0))</f>
        <v>0</v>
      </c>
      <c r="M589" s="142">
        <f t="shared" si="65"/>
        <v>0</v>
      </c>
      <c r="P589" s="12">
        <v>567</v>
      </c>
      <c r="Q589" s="142">
        <f>IF(T588&gt;0.01,-PMT($Q$8,$Q$9*12,$Q$6)+$Q$10*_xlfn.XLOOKUP($R$10,'RE Calculations'!$B$12:$B$16,'RE Calculations'!$C$12:$C$16,"ERROR - Check Input")/12,0)</f>
        <v>0</v>
      </c>
      <c r="R589" s="142">
        <f t="shared" si="66"/>
        <v>0</v>
      </c>
      <c r="S589" s="142">
        <f>IFERROR(-IPMT($Q$8,P589,$Q$9*12,$Q$6)+$Q$10*_xlfn.XLOOKUP($R$10,'RE Calculations'!$B$12:$B$16,'RE Calculations'!$C$12:$C$16,"ERROR - Check Input")/12,0)</f>
        <v>0</v>
      </c>
      <c r="T589" s="142">
        <f t="shared" si="67"/>
        <v>0</v>
      </c>
      <c r="W589" s="12">
        <v>567</v>
      </c>
      <c r="X589" s="142">
        <f>IF(AA588&gt;0.01,IF(W589&lt;=($X$9*12),$X$15,-PMT($X$11,($X$12-$X$9)*12,$X$6)+$X$13*_xlfn.XLOOKUP($Y$13,'RE Calculations'!$B$12:$B$16,'RE Calculations'!$C$12:$C$16,"ERROR - Check Input")/12),0)</f>
        <v>0</v>
      </c>
      <c r="Y589" s="142">
        <f t="shared" si="68"/>
        <v>0</v>
      </c>
      <c r="Z589" s="142">
        <f>IF(W589&lt;=($X$9*12),$X$15,IFERROR(-IPMT($X$11,W589-$X$9*12,($X$12-$X$9)*12,$X$6)+$X$13*_xlfn.XLOOKUP($Y$13,'RE Calculations'!$B$12:$B$16,'RE Calculations'!$C$12:$C$16,"ERROR - Check Input")/12,0))</f>
        <v>0</v>
      </c>
      <c r="AA589" s="142">
        <f t="shared" si="69"/>
        <v>0</v>
      </c>
    </row>
    <row r="590" spans="2:27" x14ac:dyDescent="0.35">
      <c r="B590" s="12">
        <v>568</v>
      </c>
      <c r="C590" s="142">
        <f>IF(F589&gt;0.01,-PMT($C$8,$C$9*12,$C$6)+$C$10*_xlfn.XLOOKUP($D$10,'RE Calculations'!$B$12:$B$16,'RE Calculations'!$C$12:$C$16,"ERROR - Check Input")/12,0)</f>
        <v>0</v>
      </c>
      <c r="D590" s="142">
        <f t="shared" si="70"/>
        <v>0</v>
      </c>
      <c r="E590" s="142">
        <f>IFERROR(-IPMT($C$8,B590,$C$9*12,$C$6)+$C$10*_xlfn.XLOOKUP($D$10,'RE Calculations'!$B$12:$B$16,'RE Calculations'!$C$12:$C$16,"ERROR - Check Input")/12,0)</f>
        <v>0</v>
      </c>
      <c r="F590" s="142">
        <f t="shared" si="71"/>
        <v>0</v>
      </c>
      <c r="I590" s="12">
        <v>568</v>
      </c>
      <c r="J590" s="142">
        <f>IF(M589&gt;0.01,IF(I590&lt;=($J$9*12),$J$15,-PMT($J$11,($J$12-$J$9)*12,$J$6)+$J$13*_xlfn.XLOOKUP($K$13,'RE Calculations'!$B$12:$B$16,'RE Calculations'!$C$12:$C$16,"ERROR - Check Input")/12),0)</f>
        <v>0</v>
      </c>
      <c r="K590" s="142">
        <f t="shared" si="64"/>
        <v>0</v>
      </c>
      <c r="L590" s="142">
        <f>IF(I590&lt;=($J$9*12),$J$15,IFERROR(-IPMT($J$11,I590-$J$9*12,($J$12-$J$9)*12,$J$6)+$J$13*_xlfn.XLOOKUP($K$13,'RE Calculations'!$B$12:$B$16,'RE Calculations'!$C$12:$C$16,"ERROR - Check Input")/12,0))</f>
        <v>0</v>
      </c>
      <c r="M590" s="142">
        <f t="shared" si="65"/>
        <v>0</v>
      </c>
      <c r="P590" s="12">
        <v>568</v>
      </c>
      <c r="Q590" s="142">
        <f>IF(T589&gt;0.01,-PMT($Q$8,$Q$9*12,$Q$6)+$Q$10*_xlfn.XLOOKUP($R$10,'RE Calculations'!$B$12:$B$16,'RE Calculations'!$C$12:$C$16,"ERROR - Check Input")/12,0)</f>
        <v>0</v>
      </c>
      <c r="R590" s="142">
        <f t="shared" si="66"/>
        <v>0</v>
      </c>
      <c r="S590" s="142">
        <f>IFERROR(-IPMT($Q$8,P590,$Q$9*12,$Q$6)+$Q$10*_xlfn.XLOOKUP($R$10,'RE Calculations'!$B$12:$B$16,'RE Calculations'!$C$12:$C$16,"ERROR - Check Input")/12,0)</f>
        <v>0</v>
      </c>
      <c r="T590" s="142">
        <f t="shared" si="67"/>
        <v>0</v>
      </c>
      <c r="W590" s="12">
        <v>568</v>
      </c>
      <c r="X590" s="142">
        <f>IF(AA589&gt;0.01,IF(W590&lt;=($X$9*12),$X$15,-PMT($X$11,($X$12-$X$9)*12,$X$6)+$X$13*_xlfn.XLOOKUP($Y$13,'RE Calculations'!$B$12:$B$16,'RE Calculations'!$C$12:$C$16,"ERROR - Check Input")/12),0)</f>
        <v>0</v>
      </c>
      <c r="Y590" s="142">
        <f t="shared" si="68"/>
        <v>0</v>
      </c>
      <c r="Z590" s="142">
        <f>IF(W590&lt;=($X$9*12),$X$15,IFERROR(-IPMT($X$11,W590-$X$9*12,($X$12-$X$9)*12,$X$6)+$X$13*_xlfn.XLOOKUP($Y$13,'RE Calculations'!$B$12:$B$16,'RE Calculations'!$C$12:$C$16,"ERROR - Check Input")/12,0))</f>
        <v>0</v>
      </c>
      <c r="AA590" s="142">
        <f t="shared" si="69"/>
        <v>0</v>
      </c>
    </row>
    <row r="591" spans="2:27" x14ac:dyDescent="0.35">
      <c r="B591" s="12">
        <v>569</v>
      </c>
      <c r="C591" s="142">
        <f>IF(F590&gt;0.01,-PMT($C$8,$C$9*12,$C$6)+$C$10*_xlfn.XLOOKUP($D$10,'RE Calculations'!$B$12:$B$16,'RE Calculations'!$C$12:$C$16,"ERROR - Check Input")/12,0)</f>
        <v>0</v>
      </c>
      <c r="D591" s="142">
        <f t="shared" si="70"/>
        <v>0</v>
      </c>
      <c r="E591" s="142">
        <f>IFERROR(-IPMT($C$8,B591,$C$9*12,$C$6)+$C$10*_xlfn.XLOOKUP($D$10,'RE Calculations'!$B$12:$B$16,'RE Calculations'!$C$12:$C$16,"ERROR - Check Input")/12,0)</f>
        <v>0</v>
      </c>
      <c r="F591" s="142">
        <f t="shared" si="71"/>
        <v>0</v>
      </c>
      <c r="I591" s="12">
        <v>569</v>
      </c>
      <c r="J591" s="142">
        <f>IF(M590&gt;0.01,IF(I591&lt;=($J$9*12),$J$15,-PMT($J$11,($J$12-$J$9)*12,$J$6)+$J$13*_xlfn.XLOOKUP($K$13,'RE Calculations'!$B$12:$B$16,'RE Calculations'!$C$12:$C$16,"ERROR - Check Input")/12),0)</f>
        <v>0</v>
      </c>
      <c r="K591" s="142">
        <f t="shared" si="64"/>
        <v>0</v>
      </c>
      <c r="L591" s="142">
        <f>IF(I591&lt;=($J$9*12),$J$15,IFERROR(-IPMT($J$11,I591-$J$9*12,($J$12-$J$9)*12,$J$6)+$J$13*_xlfn.XLOOKUP($K$13,'RE Calculations'!$B$12:$B$16,'RE Calculations'!$C$12:$C$16,"ERROR - Check Input")/12,0))</f>
        <v>0</v>
      </c>
      <c r="M591" s="142">
        <f t="shared" si="65"/>
        <v>0</v>
      </c>
      <c r="P591" s="12">
        <v>569</v>
      </c>
      <c r="Q591" s="142">
        <f>IF(T590&gt;0.01,-PMT($Q$8,$Q$9*12,$Q$6)+$Q$10*_xlfn.XLOOKUP($R$10,'RE Calculations'!$B$12:$B$16,'RE Calculations'!$C$12:$C$16,"ERROR - Check Input")/12,0)</f>
        <v>0</v>
      </c>
      <c r="R591" s="142">
        <f t="shared" si="66"/>
        <v>0</v>
      </c>
      <c r="S591" s="142">
        <f>IFERROR(-IPMT($Q$8,P591,$Q$9*12,$Q$6)+$Q$10*_xlfn.XLOOKUP($R$10,'RE Calculations'!$B$12:$B$16,'RE Calculations'!$C$12:$C$16,"ERROR - Check Input")/12,0)</f>
        <v>0</v>
      </c>
      <c r="T591" s="142">
        <f t="shared" si="67"/>
        <v>0</v>
      </c>
      <c r="W591" s="12">
        <v>569</v>
      </c>
      <c r="X591" s="142">
        <f>IF(AA590&gt;0.01,IF(W591&lt;=($X$9*12),$X$15,-PMT($X$11,($X$12-$X$9)*12,$X$6)+$X$13*_xlfn.XLOOKUP($Y$13,'RE Calculations'!$B$12:$B$16,'RE Calculations'!$C$12:$C$16,"ERROR - Check Input")/12),0)</f>
        <v>0</v>
      </c>
      <c r="Y591" s="142">
        <f t="shared" si="68"/>
        <v>0</v>
      </c>
      <c r="Z591" s="142">
        <f>IF(W591&lt;=($X$9*12),$X$15,IFERROR(-IPMT($X$11,W591-$X$9*12,($X$12-$X$9)*12,$X$6)+$X$13*_xlfn.XLOOKUP($Y$13,'RE Calculations'!$B$12:$B$16,'RE Calculations'!$C$12:$C$16,"ERROR - Check Input")/12,0))</f>
        <v>0</v>
      </c>
      <c r="AA591" s="142">
        <f t="shared" si="69"/>
        <v>0</v>
      </c>
    </row>
    <row r="592" spans="2:27" x14ac:dyDescent="0.35">
      <c r="B592" s="12">
        <v>570</v>
      </c>
      <c r="C592" s="142">
        <f>IF(F591&gt;0.01,-PMT($C$8,$C$9*12,$C$6)+$C$10*_xlfn.XLOOKUP($D$10,'RE Calculations'!$B$12:$B$16,'RE Calculations'!$C$12:$C$16,"ERROR - Check Input")/12,0)</f>
        <v>0</v>
      </c>
      <c r="D592" s="142">
        <f t="shared" si="70"/>
        <v>0</v>
      </c>
      <c r="E592" s="142">
        <f>IFERROR(-IPMT($C$8,B592,$C$9*12,$C$6)+$C$10*_xlfn.XLOOKUP($D$10,'RE Calculations'!$B$12:$B$16,'RE Calculations'!$C$12:$C$16,"ERROR - Check Input")/12,0)</f>
        <v>0</v>
      </c>
      <c r="F592" s="142">
        <f t="shared" si="71"/>
        <v>0</v>
      </c>
      <c r="I592" s="12">
        <v>570</v>
      </c>
      <c r="J592" s="142">
        <f>IF(M591&gt;0.01,IF(I592&lt;=($J$9*12),$J$15,-PMT($J$11,($J$12-$J$9)*12,$J$6)+$J$13*_xlfn.XLOOKUP($K$13,'RE Calculations'!$B$12:$B$16,'RE Calculations'!$C$12:$C$16,"ERROR - Check Input")/12),0)</f>
        <v>0</v>
      </c>
      <c r="K592" s="142">
        <f t="shared" si="64"/>
        <v>0</v>
      </c>
      <c r="L592" s="142">
        <f>IF(I592&lt;=($J$9*12),$J$15,IFERROR(-IPMT($J$11,I592-$J$9*12,($J$12-$J$9)*12,$J$6)+$J$13*_xlfn.XLOOKUP($K$13,'RE Calculations'!$B$12:$B$16,'RE Calculations'!$C$12:$C$16,"ERROR - Check Input")/12,0))</f>
        <v>0</v>
      </c>
      <c r="M592" s="142">
        <f t="shared" si="65"/>
        <v>0</v>
      </c>
      <c r="P592" s="12">
        <v>570</v>
      </c>
      <c r="Q592" s="142">
        <f>IF(T591&gt;0.01,-PMT($Q$8,$Q$9*12,$Q$6)+$Q$10*_xlfn.XLOOKUP($R$10,'RE Calculations'!$B$12:$B$16,'RE Calculations'!$C$12:$C$16,"ERROR - Check Input")/12,0)</f>
        <v>0</v>
      </c>
      <c r="R592" s="142">
        <f t="shared" si="66"/>
        <v>0</v>
      </c>
      <c r="S592" s="142">
        <f>IFERROR(-IPMT($Q$8,P592,$Q$9*12,$Q$6)+$Q$10*_xlfn.XLOOKUP($R$10,'RE Calculations'!$B$12:$B$16,'RE Calculations'!$C$12:$C$16,"ERROR - Check Input")/12,0)</f>
        <v>0</v>
      </c>
      <c r="T592" s="142">
        <f t="shared" si="67"/>
        <v>0</v>
      </c>
      <c r="W592" s="12">
        <v>570</v>
      </c>
      <c r="X592" s="142">
        <f>IF(AA591&gt;0.01,IF(W592&lt;=($X$9*12),$X$15,-PMT($X$11,($X$12-$X$9)*12,$X$6)+$X$13*_xlfn.XLOOKUP($Y$13,'RE Calculations'!$B$12:$B$16,'RE Calculations'!$C$12:$C$16,"ERROR - Check Input")/12),0)</f>
        <v>0</v>
      </c>
      <c r="Y592" s="142">
        <f t="shared" si="68"/>
        <v>0</v>
      </c>
      <c r="Z592" s="142">
        <f>IF(W592&lt;=($X$9*12),$X$15,IFERROR(-IPMT($X$11,W592-$X$9*12,($X$12-$X$9)*12,$X$6)+$X$13*_xlfn.XLOOKUP($Y$13,'RE Calculations'!$B$12:$B$16,'RE Calculations'!$C$12:$C$16,"ERROR - Check Input")/12,0))</f>
        <v>0</v>
      </c>
      <c r="AA592" s="142">
        <f t="shared" si="69"/>
        <v>0</v>
      </c>
    </row>
    <row r="593" spans="2:27" x14ac:dyDescent="0.35">
      <c r="B593" s="12">
        <v>571</v>
      </c>
      <c r="C593" s="142">
        <f>IF(F592&gt;0.01,-PMT($C$8,$C$9*12,$C$6)+$C$10*_xlfn.XLOOKUP($D$10,'RE Calculations'!$B$12:$B$16,'RE Calculations'!$C$12:$C$16,"ERROR - Check Input")/12,0)</f>
        <v>0</v>
      </c>
      <c r="D593" s="142">
        <f t="shared" si="70"/>
        <v>0</v>
      </c>
      <c r="E593" s="142">
        <f>IFERROR(-IPMT($C$8,B593,$C$9*12,$C$6)+$C$10*_xlfn.XLOOKUP($D$10,'RE Calculations'!$B$12:$B$16,'RE Calculations'!$C$12:$C$16,"ERROR - Check Input")/12,0)</f>
        <v>0</v>
      </c>
      <c r="F593" s="142">
        <f t="shared" si="71"/>
        <v>0</v>
      </c>
      <c r="I593" s="12">
        <v>571</v>
      </c>
      <c r="J593" s="142">
        <f>IF(M592&gt;0.01,IF(I593&lt;=($J$9*12),$J$15,-PMT($J$11,($J$12-$J$9)*12,$J$6)+$J$13*_xlfn.XLOOKUP($K$13,'RE Calculations'!$B$12:$B$16,'RE Calculations'!$C$12:$C$16,"ERROR - Check Input")/12),0)</f>
        <v>0</v>
      </c>
      <c r="K593" s="142">
        <f t="shared" si="64"/>
        <v>0</v>
      </c>
      <c r="L593" s="142">
        <f>IF(I593&lt;=($J$9*12),$J$15,IFERROR(-IPMT($J$11,I593-$J$9*12,($J$12-$J$9)*12,$J$6)+$J$13*_xlfn.XLOOKUP($K$13,'RE Calculations'!$B$12:$B$16,'RE Calculations'!$C$12:$C$16,"ERROR - Check Input")/12,0))</f>
        <v>0</v>
      </c>
      <c r="M593" s="142">
        <f t="shared" si="65"/>
        <v>0</v>
      </c>
      <c r="P593" s="12">
        <v>571</v>
      </c>
      <c r="Q593" s="142">
        <f>IF(T592&gt;0.01,-PMT($Q$8,$Q$9*12,$Q$6)+$Q$10*_xlfn.XLOOKUP($R$10,'RE Calculations'!$B$12:$B$16,'RE Calculations'!$C$12:$C$16,"ERROR - Check Input")/12,0)</f>
        <v>0</v>
      </c>
      <c r="R593" s="142">
        <f t="shared" si="66"/>
        <v>0</v>
      </c>
      <c r="S593" s="142">
        <f>IFERROR(-IPMT($Q$8,P593,$Q$9*12,$Q$6)+$Q$10*_xlfn.XLOOKUP($R$10,'RE Calculations'!$B$12:$B$16,'RE Calculations'!$C$12:$C$16,"ERROR - Check Input")/12,0)</f>
        <v>0</v>
      </c>
      <c r="T593" s="142">
        <f t="shared" si="67"/>
        <v>0</v>
      </c>
      <c r="W593" s="12">
        <v>571</v>
      </c>
      <c r="X593" s="142">
        <f>IF(AA592&gt;0.01,IF(W593&lt;=($X$9*12),$X$15,-PMT($X$11,($X$12-$X$9)*12,$X$6)+$X$13*_xlfn.XLOOKUP($Y$13,'RE Calculations'!$B$12:$B$16,'RE Calculations'!$C$12:$C$16,"ERROR - Check Input")/12),0)</f>
        <v>0</v>
      </c>
      <c r="Y593" s="142">
        <f t="shared" si="68"/>
        <v>0</v>
      </c>
      <c r="Z593" s="142">
        <f>IF(W593&lt;=($X$9*12),$X$15,IFERROR(-IPMT($X$11,W593-$X$9*12,($X$12-$X$9)*12,$X$6)+$X$13*_xlfn.XLOOKUP($Y$13,'RE Calculations'!$B$12:$B$16,'RE Calculations'!$C$12:$C$16,"ERROR - Check Input")/12,0))</f>
        <v>0</v>
      </c>
      <c r="AA593" s="142">
        <f t="shared" si="69"/>
        <v>0</v>
      </c>
    </row>
    <row r="594" spans="2:27" x14ac:dyDescent="0.35">
      <c r="B594" s="12">
        <v>572</v>
      </c>
      <c r="C594" s="142">
        <f>IF(F593&gt;0.01,-PMT($C$8,$C$9*12,$C$6)+$C$10*_xlfn.XLOOKUP($D$10,'RE Calculations'!$B$12:$B$16,'RE Calculations'!$C$12:$C$16,"ERROR - Check Input")/12,0)</f>
        <v>0</v>
      </c>
      <c r="D594" s="142">
        <f t="shared" si="70"/>
        <v>0</v>
      </c>
      <c r="E594" s="142">
        <f>IFERROR(-IPMT($C$8,B594,$C$9*12,$C$6)+$C$10*_xlfn.XLOOKUP($D$10,'RE Calculations'!$B$12:$B$16,'RE Calculations'!$C$12:$C$16,"ERROR - Check Input")/12,0)</f>
        <v>0</v>
      </c>
      <c r="F594" s="142">
        <f t="shared" si="71"/>
        <v>0</v>
      </c>
      <c r="I594" s="12">
        <v>572</v>
      </c>
      <c r="J594" s="142">
        <f>IF(M593&gt;0.01,IF(I594&lt;=($J$9*12),$J$15,-PMT($J$11,($J$12-$J$9)*12,$J$6)+$J$13*_xlfn.XLOOKUP($K$13,'RE Calculations'!$B$12:$B$16,'RE Calculations'!$C$12:$C$16,"ERROR - Check Input")/12),0)</f>
        <v>0</v>
      </c>
      <c r="K594" s="142">
        <f t="shared" si="64"/>
        <v>0</v>
      </c>
      <c r="L594" s="142">
        <f>IF(I594&lt;=($J$9*12),$J$15,IFERROR(-IPMT($J$11,I594-$J$9*12,($J$12-$J$9)*12,$J$6)+$J$13*_xlfn.XLOOKUP($K$13,'RE Calculations'!$B$12:$B$16,'RE Calculations'!$C$12:$C$16,"ERROR - Check Input")/12,0))</f>
        <v>0</v>
      </c>
      <c r="M594" s="142">
        <f t="shared" si="65"/>
        <v>0</v>
      </c>
      <c r="P594" s="12">
        <v>572</v>
      </c>
      <c r="Q594" s="142">
        <f>IF(T593&gt;0.01,-PMT($Q$8,$Q$9*12,$Q$6)+$Q$10*_xlfn.XLOOKUP($R$10,'RE Calculations'!$B$12:$B$16,'RE Calculations'!$C$12:$C$16,"ERROR - Check Input")/12,0)</f>
        <v>0</v>
      </c>
      <c r="R594" s="142">
        <f t="shared" si="66"/>
        <v>0</v>
      </c>
      <c r="S594" s="142">
        <f>IFERROR(-IPMT($Q$8,P594,$Q$9*12,$Q$6)+$Q$10*_xlfn.XLOOKUP($R$10,'RE Calculations'!$B$12:$B$16,'RE Calculations'!$C$12:$C$16,"ERROR - Check Input")/12,0)</f>
        <v>0</v>
      </c>
      <c r="T594" s="142">
        <f t="shared" si="67"/>
        <v>0</v>
      </c>
      <c r="W594" s="12">
        <v>572</v>
      </c>
      <c r="X594" s="142">
        <f>IF(AA593&gt;0.01,IF(W594&lt;=($X$9*12),$X$15,-PMT($X$11,($X$12-$X$9)*12,$X$6)+$X$13*_xlfn.XLOOKUP($Y$13,'RE Calculations'!$B$12:$B$16,'RE Calculations'!$C$12:$C$16,"ERROR - Check Input")/12),0)</f>
        <v>0</v>
      </c>
      <c r="Y594" s="142">
        <f t="shared" si="68"/>
        <v>0</v>
      </c>
      <c r="Z594" s="142">
        <f>IF(W594&lt;=($X$9*12),$X$15,IFERROR(-IPMT($X$11,W594-$X$9*12,($X$12-$X$9)*12,$X$6)+$X$13*_xlfn.XLOOKUP($Y$13,'RE Calculations'!$B$12:$B$16,'RE Calculations'!$C$12:$C$16,"ERROR - Check Input")/12,0))</f>
        <v>0</v>
      </c>
      <c r="AA594" s="142">
        <f t="shared" si="69"/>
        <v>0</v>
      </c>
    </row>
    <row r="595" spans="2:27" x14ac:dyDescent="0.35">
      <c r="B595" s="12">
        <v>573</v>
      </c>
      <c r="C595" s="142">
        <f>IF(F594&gt;0.01,-PMT($C$8,$C$9*12,$C$6)+$C$10*_xlfn.XLOOKUP($D$10,'RE Calculations'!$B$12:$B$16,'RE Calculations'!$C$12:$C$16,"ERROR - Check Input")/12,0)</f>
        <v>0</v>
      </c>
      <c r="D595" s="142">
        <f t="shared" si="70"/>
        <v>0</v>
      </c>
      <c r="E595" s="142">
        <f>IFERROR(-IPMT($C$8,B595,$C$9*12,$C$6)+$C$10*_xlfn.XLOOKUP($D$10,'RE Calculations'!$B$12:$B$16,'RE Calculations'!$C$12:$C$16,"ERROR - Check Input")/12,0)</f>
        <v>0</v>
      </c>
      <c r="F595" s="142">
        <f t="shared" si="71"/>
        <v>0</v>
      </c>
      <c r="I595" s="12">
        <v>573</v>
      </c>
      <c r="J595" s="142">
        <f>IF(M594&gt;0.01,IF(I595&lt;=($J$9*12),$J$15,-PMT($J$11,($J$12-$J$9)*12,$J$6)+$J$13*_xlfn.XLOOKUP($K$13,'RE Calculations'!$B$12:$B$16,'RE Calculations'!$C$12:$C$16,"ERROR - Check Input")/12),0)</f>
        <v>0</v>
      </c>
      <c r="K595" s="142">
        <f t="shared" si="64"/>
        <v>0</v>
      </c>
      <c r="L595" s="142">
        <f>IF(I595&lt;=($J$9*12),$J$15,IFERROR(-IPMT($J$11,I595-$J$9*12,($J$12-$J$9)*12,$J$6)+$J$13*_xlfn.XLOOKUP($K$13,'RE Calculations'!$B$12:$B$16,'RE Calculations'!$C$12:$C$16,"ERROR - Check Input")/12,0))</f>
        <v>0</v>
      </c>
      <c r="M595" s="142">
        <f t="shared" si="65"/>
        <v>0</v>
      </c>
      <c r="P595" s="12">
        <v>573</v>
      </c>
      <c r="Q595" s="142">
        <f>IF(T594&gt;0.01,-PMT($Q$8,$Q$9*12,$Q$6)+$Q$10*_xlfn.XLOOKUP($R$10,'RE Calculations'!$B$12:$B$16,'RE Calculations'!$C$12:$C$16,"ERROR - Check Input")/12,0)</f>
        <v>0</v>
      </c>
      <c r="R595" s="142">
        <f t="shared" si="66"/>
        <v>0</v>
      </c>
      <c r="S595" s="142">
        <f>IFERROR(-IPMT($Q$8,P595,$Q$9*12,$Q$6)+$Q$10*_xlfn.XLOOKUP($R$10,'RE Calculations'!$B$12:$B$16,'RE Calculations'!$C$12:$C$16,"ERROR - Check Input")/12,0)</f>
        <v>0</v>
      </c>
      <c r="T595" s="142">
        <f t="shared" si="67"/>
        <v>0</v>
      </c>
      <c r="W595" s="12">
        <v>573</v>
      </c>
      <c r="X595" s="142">
        <f>IF(AA594&gt;0.01,IF(W595&lt;=($X$9*12),$X$15,-PMT($X$11,($X$12-$X$9)*12,$X$6)+$X$13*_xlfn.XLOOKUP($Y$13,'RE Calculations'!$B$12:$B$16,'RE Calculations'!$C$12:$C$16,"ERROR - Check Input")/12),0)</f>
        <v>0</v>
      </c>
      <c r="Y595" s="142">
        <f t="shared" si="68"/>
        <v>0</v>
      </c>
      <c r="Z595" s="142">
        <f>IF(W595&lt;=($X$9*12),$X$15,IFERROR(-IPMT($X$11,W595-$X$9*12,($X$12-$X$9)*12,$X$6)+$X$13*_xlfn.XLOOKUP($Y$13,'RE Calculations'!$B$12:$B$16,'RE Calculations'!$C$12:$C$16,"ERROR - Check Input")/12,0))</f>
        <v>0</v>
      </c>
      <c r="AA595" s="142">
        <f t="shared" si="69"/>
        <v>0</v>
      </c>
    </row>
    <row r="596" spans="2:27" x14ac:dyDescent="0.35">
      <c r="B596" s="12">
        <v>574</v>
      </c>
      <c r="C596" s="142">
        <f>IF(F595&gt;0.01,-PMT($C$8,$C$9*12,$C$6)+$C$10*_xlfn.XLOOKUP($D$10,'RE Calculations'!$B$12:$B$16,'RE Calculations'!$C$12:$C$16,"ERROR - Check Input")/12,0)</f>
        <v>0</v>
      </c>
      <c r="D596" s="142">
        <f t="shared" si="70"/>
        <v>0</v>
      </c>
      <c r="E596" s="142">
        <f>IFERROR(-IPMT($C$8,B596,$C$9*12,$C$6)+$C$10*_xlfn.XLOOKUP($D$10,'RE Calculations'!$B$12:$B$16,'RE Calculations'!$C$12:$C$16,"ERROR - Check Input")/12,0)</f>
        <v>0</v>
      </c>
      <c r="F596" s="142">
        <f t="shared" si="71"/>
        <v>0</v>
      </c>
      <c r="I596" s="12">
        <v>574</v>
      </c>
      <c r="J596" s="142">
        <f>IF(M595&gt;0.01,IF(I596&lt;=($J$9*12),$J$15,-PMT($J$11,($J$12-$J$9)*12,$J$6)+$J$13*_xlfn.XLOOKUP($K$13,'RE Calculations'!$B$12:$B$16,'RE Calculations'!$C$12:$C$16,"ERROR - Check Input")/12),0)</f>
        <v>0</v>
      </c>
      <c r="K596" s="142">
        <f t="shared" si="64"/>
        <v>0</v>
      </c>
      <c r="L596" s="142">
        <f>IF(I596&lt;=($J$9*12),$J$15,IFERROR(-IPMT($J$11,I596-$J$9*12,($J$12-$J$9)*12,$J$6)+$J$13*_xlfn.XLOOKUP($K$13,'RE Calculations'!$B$12:$B$16,'RE Calculations'!$C$12:$C$16,"ERROR - Check Input")/12,0))</f>
        <v>0</v>
      </c>
      <c r="M596" s="142">
        <f t="shared" si="65"/>
        <v>0</v>
      </c>
      <c r="P596" s="12">
        <v>574</v>
      </c>
      <c r="Q596" s="142">
        <f>IF(T595&gt;0.01,-PMT($Q$8,$Q$9*12,$Q$6)+$Q$10*_xlfn.XLOOKUP($R$10,'RE Calculations'!$B$12:$B$16,'RE Calculations'!$C$12:$C$16,"ERROR - Check Input")/12,0)</f>
        <v>0</v>
      </c>
      <c r="R596" s="142">
        <f t="shared" si="66"/>
        <v>0</v>
      </c>
      <c r="S596" s="142">
        <f>IFERROR(-IPMT($Q$8,P596,$Q$9*12,$Q$6)+$Q$10*_xlfn.XLOOKUP($R$10,'RE Calculations'!$B$12:$B$16,'RE Calculations'!$C$12:$C$16,"ERROR - Check Input")/12,0)</f>
        <v>0</v>
      </c>
      <c r="T596" s="142">
        <f t="shared" si="67"/>
        <v>0</v>
      </c>
      <c r="W596" s="12">
        <v>574</v>
      </c>
      <c r="X596" s="142">
        <f>IF(AA595&gt;0.01,IF(W596&lt;=($X$9*12),$X$15,-PMT($X$11,($X$12-$X$9)*12,$X$6)+$X$13*_xlfn.XLOOKUP($Y$13,'RE Calculations'!$B$12:$B$16,'RE Calculations'!$C$12:$C$16,"ERROR - Check Input")/12),0)</f>
        <v>0</v>
      </c>
      <c r="Y596" s="142">
        <f t="shared" si="68"/>
        <v>0</v>
      </c>
      <c r="Z596" s="142">
        <f>IF(W596&lt;=($X$9*12),$X$15,IFERROR(-IPMT($X$11,W596-$X$9*12,($X$12-$X$9)*12,$X$6)+$X$13*_xlfn.XLOOKUP($Y$13,'RE Calculations'!$B$12:$B$16,'RE Calculations'!$C$12:$C$16,"ERROR - Check Input")/12,0))</f>
        <v>0</v>
      </c>
      <c r="AA596" s="142">
        <f t="shared" si="69"/>
        <v>0</v>
      </c>
    </row>
    <row r="597" spans="2:27" x14ac:dyDescent="0.35">
      <c r="B597" s="12">
        <v>575</v>
      </c>
      <c r="C597" s="142">
        <f>IF(F596&gt;0.01,-PMT($C$8,$C$9*12,$C$6)+$C$10*_xlfn.XLOOKUP($D$10,'RE Calculations'!$B$12:$B$16,'RE Calculations'!$C$12:$C$16,"ERROR - Check Input")/12,0)</f>
        <v>0</v>
      </c>
      <c r="D597" s="142">
        <f t="shared" si="70"/>
        <v>0</v>
      </c>
      <c r="E597" s="142">
        <f>IFERROR(-IPMT($C$8,B597,$C$9*12,$C$6)+$C$10*_xlfn.XLOOKUP($D$10,'RE Calculations'!$B$12:$B$16,'RE Calculations'!$C$12:$C$16,"ERROR - Check Input")/12,0)</f>
        <v>0</v>
      </c>
      <c r="F597" s="142">
        <f t="shared" si="71"/>
        <v>0</v>
      </c>
      <c r="I597" s="12">
        <v>575</v>
      </c>
      <c r="J597" s="142">
        <f>IF(M596&gt;0.01,IF(I597&lt;=($J$9*12),$J$15,-PMT($J$11,($J$12-$J$9)*12,$J$6)+$J$13*_xlfn.XLOOKUP($K$13,'RE Calculations'!$B$12:$B$16,'RE Calculations'!$C$12:$C$16,"ERROR - Check Input")/12),0)</f>
        <v>0</v>
      </c>
      <c r="K597" s="142">
        <f t="shared" si="64"/>
        <v>0</v>
      </c>
      <c r="L597" s="142">
        <f>IF(I597&lt;=($J$9*12),$J$15,IFERROR(-IPMT($J$11,I597-$J$9*12,($J$12-$J$9)*12,$J$6)+$J$13*_xlfn.XLOOKUP($K$13,'RE Calculations'!$B$12:$B$16,'RE Calculations'!$C$12:$C$16,"ERROR - Check Input")/12,0))</f>
        <v>0</v>
      </c>
      <c r="M597" s="142">
        <f t="shared" si="65"/>
        <v>0</v>
      </c>
      <c r="P597" s="12">
        <v>575</v>
      </c>
      <c r="Q597" s="142">
        <f>IF(T596&gt;0.01,-PMT($Q$8,$Q$9*12,$Q$6)+$Q$10*_xlfn.XLOOKUP($R$10,'RE Calculations'!$B$12:$B$16,'RE Calculations'!$C$12:$C$16,"ERROR - Check Input")/12,0)</f>
        <v>0</v>
      </c>
      <c r="R597" s="142">
        <f t="shared" si="66"/>
        <v>0</v>
      </c>
      <c r="S597" s="142">
        <f>IFERROR(-IPMT($Q$8,P597,$Q$9*12,$Q$6)+$Q$10*_xlfn.XLOOKUP($R$10,'RE Calculations'!$B$12:$B$16,'RE Calculations'!$C$12:$C$16,"ERROR - Check Input")/12,0)</f>
        <v>0</v>
      </c>
      <c r="T597" s="142">
        <f t="shared" si="67"/>
        <v>0</v>
      </c>
      <c r="W597" s="12">
        <v>575</v>
      </c>
      <c r="X597" s="142">
        <f>IF(AA596&gt;0.01,IF(W597&lt;=($X$9*12),$X$15,-PMT($X$11,($X$12-$X$9)*12,$X$6)+$X$13*_xlfn.XLOOKUP($Y$13,'RE Calculations'!$B$12:$B$16,'RE Calculations'!$C$12:$C$16,"ERROR - Check Input")/12),0)</f>
        <v>0</v>
      </c>
      <c r="Y597" s="142">
        <f t="shared" si="68"/>
        <v>0</v>
      </c>
      <c r="Z597" s="142">
        <f>IF(W597&lt;=($X$9*12),$X$15,IFERROR(-IPMT($X$11,W597-$X$9*12,($X$12-$X$9)*12,$X$6)+$X$13*_xlfn.XLOOKUP($Y$13,'RE Calculations'!$B$12:$B$16,'RE Calculations'!$C$12:$C$16,"ERROR - Check Input")/12,0))</f>
        <v>0</v>
      </c>
      <c r="AA597" s="142">
        <f t="shared" si="69"/>
        <v>0</v>
      </c>
    </row>
    <row r="598" spans="2:27" x14ac:dyDescent="0.35">
      <c r="B598" s="12">
        <v>576</v>
      </c>
      <c r="C598" s="142">
        <f>IF(F597&gt;0.01,-PMT($C$8,$C$9*12,$C$6)+$C$10*_xlfn.XLOOKUP($D$10,'RE Calculations'!$B$12:$B$16,'RE Calculations'!$C$12:$C$16,"ERROR - Check Input")/12,0)</f>
        <v>0</v>
      </c>
      <c r="D598" s="142">
        <f t="shared" si="70"/>
        <v>0</v>
      </c>
      <c r="E598" s="142">
        <f>IFERROR(-IPMT($C$8,B598,$C$9*12,$C$6)+$C$10*_xlfn.XLOOKUP($D$10,'RE Calculations'!$B$12:$B$16,'RE Calculations'!$C$12:$C$16,"ERROR - Check Input")/12,0)</f>
        <v>0</v>
      </c>
      <c r="F598" s="142">
        <f t="shared" si="71"/>
        <v>0</v>
      </c>
      <c r="I598" s="12">
        <v>576</v>
      </c>
      <c r="J598" s="142">
        <f>IF(M597&gt;0.01,IF(I598&lt;=($J$9*12),$J$15,-PMT($J$11,($J$12-$J$9)*12,$J$6)+$J$13*_xlfn.XLOOKUP($K$13,'RE Calculations'!$B$12:$B$16,'RE Calculations'!$C$12:$C$16,"ERROR - Check Input")/12),0)</f>
        <v>0</v>
      </c>
      <c r="K598" s="142">
        <f t="shared" si="64"/>
        <v>0</v>
      </c>
      <c r="L598" s="142">
        <f>IF(I598&lt;=($J$9*12),$J$15,IFERROR(-IPMT($J$11,I598-$J$9*12,($J$12-$J$9)*12,$J$6)+$J$13*_xlfn.XLOOKUP($K$13,'RE Calculations'!$B$12:$B$16,'RE Calculations'!$C$12:$C$16,"ERROR - Check Input")/12,0))</f>
        <v>0</v>
      </c>
      <c r="M598" s="142">
        <f t="shared" si="65"/>
        <v>0</v>
      </c>
      <c r="P598" s="12">
        <v>576</v>
      </c>
      <c r="Q598" s="142">
        <f>IF(T597&gt;0.01,-PMT($Q$8,$Q$9*12,$Q$6)+$Q$10*_xlfn.XLOOKUP($R$10,'RE Calculations'!$B$12:$B$16,'RE Calculations'!$C$12:$C$16,"ERROR - Check Input")/12,0)</f>
        <v>0</v>
      </c>
      <c r="R598" s="142">
        <f t="shared" si="66"/>
        <v>0</v>
      </c>
      <c r="S598" s="142">
        <f>IFERROR(-IPMT($Q$8,P598,$Q$9*12,$Q$6)+$Q$10*_xlfn.XLOOKUP($R$10,'RE Calculations'!$B$12:$B$16,'RE Calculations'!$C$12:$C$16,"ERROR - Check Input")/12,0)</f>
        <v>0</v>
      </c>
      <c r="T598" s="142">
        <f t="shared" si="67"/>
        <v>0</v>
      </c>
      <c r="W598" s="12">
        <v>576</v>
      </c>
      <c r="X598" s="142">
        <f>IF(AA597&gt;0.01,IF(W598&lt;=($X$9*12),$X$15,-PMT($X$11,($X$12-$X$9)*12,$X$6)+$X$13*_xlfn.XLOOKUP($Y$13,'RE Calculations'!$B$12:$B$16,'RE Calculations'!$C$12:$C$16,"ERROR - Check Input")/12),0)</f>
        <v>0</v>
      </c>
      <c r="Y598" s="142">
        <f t="shared" si="68"/>
        <v>0</v>
      </c>
      <c r="Z598" s="142">
        <f>IF(W598&lt;=($X$9*12),$X$15,IFERROR(-IPMT($X$11,W598-$X$9*12,($X$12-$X$9)*12,$X$6)+$X$13*_xlfn.XLOOKUP($Y$13,'RE Calculations'!$B$12:$B$16,'RE Calculations'!$C$12:$C$16,"ERROR - Check Input")/12,0))</f>
        <v>0</v>
      </c>
      <c r="AA598" s="142">
        <f t="shared" si="69"/>
        <v>0</v>
      </c>
    </row>
    <row r="599" spans="2:27" x14ac:dyDescent="0.35">
      <c r="B599" s="12">
        <v>577</v>
      </c>
      <c r="C599" s="142">
        <f>IF(F598&gt;0.01,-PMT($C$8,$C$9*12,$C$6)+$C$10*_xlfn.XLOOKUP($D$10,'RE Calculations'!$B$12:$B$16,'RE Calculations'!$C$12:$C$16,"ERROR - Check Input")/12,0)</f>
        <v>0</v>
      </c>
      <c r="D599" s="142">
        <f t="shared" si="70"/>
        <v>0</v>
      </c>
      <c r="E599" s="142">
        <f>IFERROR(-IPMT($C$8,B599,$C$9*12,$C$6)+$C$10*_xlfn.XLOOKUP($D$10,'RE Calculations'!$B$12:$B$16,'RE Calculations'!$C$12:$C$16,"ERROR - Check Input")/12,0)</f>
        <v>0</v>
      </c>
      <c r="F599" s="142">
        <f t="shared" si="71"/>
        <v>0</v>
      </c>
      <c r="I599" s="12">
        <v>577</v>
      </c>
      <c r="J599" s="142">
        <f>IF(M598&gt;0.01,IF(I599&lt;=($J$9*12),$J$15,-PMT($J$11,($J$12-$J$9)*12,$J$6)+$J$13*_xlfn.XLOOKUP($K$13,'RE Calculations'!$B$12:$B$16,'RE Calculations'!$C$12:$C$16,"ERROR - Check Input")/12),0)</f>
        <v>0</v>
      </c>
      <c r="K599" s="142">
        <f t="shared" ref="K599:K623" si="72">IF(I599&lt;=($J$9*12),0,IFERROR(-PPMT($J$11,I599-$J$9*12,($J$12-$J$9)*12,$J$6),0))</f>
        <v>0</v>
      </c>
      <c r="L599" s="142">
        <f>IF(I599&lt;=($J$9*12),$J$15,IFERROR(-IPMT($J$11,I599-$J$9*12,($J$12-$J$9)*12,$J$6)+$J$13*_xlfn.XLOOKUP($K$13,'RE Calculations'!$B$12:$B$16,'RE Calculations'!$C$12:$C$16,"ERROR - Check Input")/12,0))</f>
        <v>0</v>
      </c>
      <c r="M599" s="142">
        <f t="shared" ref="M599:M623" si="73">IFERROR(M598-K599,0)</f>
        <v>0</v>
      </c>
      <c r="P599" s="12">
        <v>577</v>
      </c>
      <c r="Q599" s="142">
        <f>IF(T598&gt;0.01,-PMT($Q$8,$Q$9*12,$Q$6)+$Q$10*_xlfn.XLOOKUP($R$10,'RE Calculations'!$B$12:$B$16,'RE Calculations'!$C$12:$C$16,"ERROR - Check Input")/12,0)</f>
        <v>0</v>
      </c>
      <c r="R599" s="142">
        <f t="shared" ref="R599:R623" si="74">IFERROR(-PPMT($Q$8,P599,$Q$9*12,$Q$6),0)</f>
        <v>0</v>
      </c>
      <c r="S599" s="142">
        <f>IFERROR(-IPMT($Q$8,P599,$Q$9*12,$Q$6)+$Q$10*_xlfn.XLOOKUP($R$10,'RE Calculations'!$B$12:$B$16,'RE Calculations'!$C$12:$C$16,"ERROR - Check Input")/12,0)</f>
        <v>0</v>
      </c>
      <c r="T599" s="142">
        <f t="shared" ref="T599:T623" si="75">IFERROR(T598-R599,0)</f>
        <v>0</v>
      </c>
      <c r="W599" s="12">
        <v>577</v>
      </c>
      <c r="X599" s="142">
        <f>IF(AA598&gt;0.01,IF(W599&lt;=($X$9*12),$X$15,-PMT($X$11,($X$12-$X$9)*12,$X$6)+$X$13*_xlfn.XLOOKUP($Y$13,'RE Calculations'!$B$12:$B$16,'RE Calculations'!$C$12:$C$16,"ERROR - Check Input")/12),0)</f>
        <v>0</v>
      </c>
      <c r="Y599" s="142">
        <f t="shared" ref="Y599:Y623" si="76">IF(W599&lt;=($X$9*12),0,IFERROR(-PPMT($X$11,W599-$X$9*12,($X$12-$X$9)*12,$X$6),0))</f>
        <v>0</v>
      </c>
      <c r="Z599" s="142">
        <f>IF(W599&lt;=($X$9*12),$X$15,IFERROR(-IPMT($X$11,W599-$X$9*12,($X$12-$X$9)*12,$X$6)+$X$13*_xlfn.XLOOKUP($Y$13,'RE Calculations'!$B$12:$B$16,'RE Calculations'!$C$12:$C$16,"ERROR - Check Input")/12,0))</f>
        <v>0</v>
      </c>
      <c r="AA599" s="142">
        <f t="shared" ref="AA599:AA623" si="77">IFERROR(AA598-Y599,0)</f>
        <v>0</v>
      </c>
    </row>
    <row r="600" spans="2:27" x14ac:dyDescent="0.35">
      <c r="B600" s="12">
        <v>578</v>
      </c>
      <c r="C600" s="142">
        <f>IF(F599&gt;0.01,-PMT($C$8,$C$9*12,$C$6)+$C$10*_xlfn.XLOOKUP($D$10,'RE Calculations'!$B$12:$B$16,'RE Calculations'!$C$12:$C$16,"ERROR - Check Input")/12,0)</f>
        <v>0</v>
      </c>
      <c r="D600" s="142">
        <f t="shared" ref="D600:D623" si="78">IFERROR(-PPMT($C$8,B600,$C$9*12,$C$6),0)</f>
        <v>0</v>
      </c>
      <c r="E600" s="142">
        <f>IFERROR(-IPMT($C$8,B600,$C$9*12,$C$6)+$C$10*_xlfn.XLOOKUP($D$10,'RE Calculations'!$B$12:$B$16,'RE Calculations'!$C$12:$C$16,"ERROR - Check Input")/12,0)</f>
        <v>0</v>
      </c>
      <c r="F600" s="142">
        <f t="shared" ref="F600:F623" si="79">IFERROR(F599-D600,0)</f>
        <v>0</v>
      </c>
      <c r="I600" s="12">
        <v>578</v>
      </c>
      <c r="J600" s="142">
        <f>IF(M599&gt;0.01,IF(I600&lt;=($J$9*12),$J$15,-PMT($J$11,($J$12-$J$9)*12,$J$6)+$J$13*_xlfn.XLOOKUP($K$13,'RE Calculations'!$B$12:$B$16,'RE Calculations'!$C$12:$C$16,"ERROR - Check Input")/12),0)</f>
        <v>0</v>
      </c>
      <c r="K600" s="142">
        <f t="shared" si="72"/>
        <v>0</v>
      </c>
      <c r="L600" s="142">
        <f>IF(I600&lt;=($J$9*12),$J$15,IFERROR(-IPMT($J$11,I600-$J$9*12,($J$12-$J$9)*12,$J$6)+$J$13*_xlfn.XLOOKUP($K$13,'RE Calculations'!$B$12:$B$16,'RE Calculations'!$C$12:$C$16,"ERROR - Check Input")/12,0))</f>
        <v>0</v>
      </c>
      <c r="M600" s="142">
        <f t="shared" si="73"/>
        <v>0</v>
      </c>
      <c r="P600" s="12">
        <v>578</v>
      </c>
      <c r="Q600" s="142">
        <f>IF(T599&gt;0.01,-PMT($Q$8,$Q$9*12,$Q$6)+$Q$10*_xlfn.XLOOKUP($R$10,'RE Calculations'!$B$12:$B$16,'RE Calculations'!$C$12:$C$16,"ERROR - Check Input")/12,0)</f>
        <v>0</v>
      </c>
      <c r="R600" s="142">
        <f t="shared" si="74"/>
        <v>0</v>
      </c>
      <c r="S600" s="142">
        <f>IFERROR(-IPMT($Q$8,P600,$Q$9*12,$Q$6)+$Q$10*_xlfn.XLOOKUP($R$10,'RE Calculations'!$B$12:$B$16,'RE Calculations'!$C$12:$C$16,"ERROR - Check Input")/12,0)</f>
        <v>0</v>
      </c>
      <c r="T600" s="142">
        <f t="shared" si="75"/>
        <v>0</v>
      </c>
      <c r="W600" s="12">
        <v>578</v>
      </c>
      <c r="X600" s="142">
        <f>IF(AA599&gt;0.01,IF(W600&lt;=($X$9*12),$X$15,-PMT($X$11,($X$12-$X$9)*12,$X$6)+$X$13*_xlfn.XLOOKUP($Y$13,'RE Calculations'!$B$12:$B$16,'RE Calculations'!$C$12:$C$16,"ERROR - Check Input")/12),0)</f>
        <v>0</v>
      </c>
      <c r="Y600" s="142">
        <f t="shared" si="76"/>
        <v>0</v>
      </c>
      <c r="Z600" s="142">
        <f>IF(W600&lt;=($X$9*12),$X$15,IFERROR(-IPMT($X$11,W600-$X$9*12,($X$12-$X$9)*12,$X$6)+$X$13*_xlfn.XLOOKUP($Y$13,'RE Calculations'!$B$12:$B$16,'RE Calculations'!$C$12:$C$16,"ERROR - Check Input")/12,0))</f>
        <v>0</v>
      </c>
      <c r="AA600" s="142">
        <f t="shared" si="77"/>
        <v>0</v>
      </c>
    </row>
    <row r="601" spans="2:27" x14ac:dyDescent="0.35">
      <c r="B601" s="12">
        <v>579</v>
      </c>
      <c r="C601" s="142">
        <f>IF(F600&gt;0.01,-PMT($C$8,$C$9*12,$C$6)+$C$10*_xlfn.XLOOKUP($D$10,'RE Calculations'!$B$12:$B$16,'RE Calculations'!$C$12:$C$16,"ERROR - Check Input")/12,0)</f>
        <v>0</v>
      </c>
      <c r="D601" s="142">
        <f t="shared" si="78"/>
        <v>0</v>
      </c>
      <c r="E601" s="142">
        <f>IFERROR(-IPMT($C$8,B601,$C$9*12,$C$6)+$C$10*_xlfn.XLOOKUP($D$10,'RE Calculations'!$B$12:$B$16,'RE Calculations'!$C$12:$C$16,"ERROR - Check Input")/12,0)</f>
        <v>0</v>
      </c>
      <c r="F601" s="142">
        <f t="shared" si="79"/>
        <v>0</v>
      </c>
      <c r="I601" s="12">
        <v>579</v>
      </c>
      <c r="J601" s="142">
        <f>IF(M600&gt;0.01,IF(I601&lt;=($J$9*12),$J$15,-PMT($J$11,($J$12-$J$9)*12,$J$6)+$J$13*_xlfn.XLOOKUP($K$13,'RE Calculations'!$B$12:$B$16,'RE Calculations'!$C$12:$C$16,"ERROR - Check Input")/12),0)</f>
        <v>0</v>
      </c>
      <c r="K601" s="142">
        <f t="shared" si="72"/>
        <v>0</v>
      </c>
      <c r="L601" s="142">
        <f>IF(I601&lt;=($J$9*12),$J$15,IFERROR(-IPMT($J$11,I601-$J$9*12,($J$12-$J$9)*12,$J$6)+$J$13*_xlfn.XLOOKUP($K$13,'RE Calculations'!$B$12:$B$16,'RE Calculations'!$C$12:$C$16,"ERROR - Check Input")/12,0))</f>
        <v>0</v>
      </c>
      <c r="M601" s="142">
        <f t="shared" si="73"/>
        <v>0</v>
      </c>
      <c r="P601" s="12">
        <v>579</v>
      </c>
      <c r="Q601" s="142">
        <f>IF(T600&gt;0.01,-PMT($Q$8,$Q$9*12,$Q$6)+$Q$10*_xlfn.XLOOKUP($R$10,'RE Calculations'!$B$12:$B$16,'RE Calculations'!$C$12:$C$16,"ERROR - Check Input")/12,0)</f>
        <v>0</v>
      </c>
      <c r="R601" s="142">
        <f t="shared" si="74"/>
        <v>0</v>
      </c>
      <c r="S601" s="142">
        <f>IFERROR(-IPMT($Q$8,P601,$Q$9*12,$Q$6)+$Q$10*_xlfn.XLOOKUP($R$10,'RE Calculations'!$B$12:$B$16,'RE Calculations'!$C$12:$C$16,"ERROR - Check Input")/12,0)</f>
        <v>0</v>
      </c>
      <c r="T601" s="142">
        <f t="shared" si="75"/>
        <v>0</v>
      </c>
      <c r="W601" s="12">
        <v>579</v>
      </c>
      <c r="X601" s="142">
        <f>IF(AA600&gt;0.01,IF(W601&lt;=($X$9*12),$X$15,-PMT($X$11,($X$12-$X$9)*12,$X$6)+$X$13*_xlfn.XLOOKUP($Y$13,'RE Calculations'!$B$12:$B$16,'RE Calculations'!$C$12:$C$16,"ERROR - Check Input")/12),0)</f>
        <v>0</v>
      </c>
      <c r="Y601" s="142">
        <f t="shared" si="76"/>
        <v>0</v>
      </c>
      <c r="Z601" s="142">
        <f>IF(W601&lt;=($X$9*12),$X$15,IFERROR(-IPMT($X$11,W601-$X$9*12,($X$12-$X$9)*12,$X$6)+$X$13*_xlfn.XLOOKUP($Y$13,'RE Calculations'!$B$12:$B$16,'RE Calculations'!$C$12:$C$16,"ERROR - Check Input")/12,0))</f>
        <v>0</v>
      </c>
      <c r="AA601" s="142">
        <f t="shared" si="77"/>
        <v>0</v>
      </c>
    </row>
    <row r="602" spans="2:27" x14ac:dyDescent="0.35">
      <c r="B602" s="12">
        <v>580</v>
      </c>
      <c r="C602" s="142">
        <f>IF(F601&gt;0.01,-PMT($C$8,$C$9*12,$C$6)+$C$10*_xlfn.XLOOKUP($D$10,'RE Calculations'!$B$12:$B$16,'RE Calculations'!$C$12:$C$16,"ERROR - Check Input")/12,0)</f>
        <v>0</v>
      </c>
      <c r="D602" s="142">
        <f t="shared" si="78"/>
        <v>0</v>
      </c>
      <c r="E602" s="142">
        <f>IFERROR(-IPMT($C$8,B602,$C$9*12,$C$6)+$C$10*_xlfn.XLOOKUP($D$10,'RE Calculations'!$B$12:$B$16,'RE Calculations'!$C$12:$C$16,"ERROR - Check Input")/12,0)</f>
        <v>0</v>
      </c>
      <c r="F602" s="142">
        <f t="shared" si="79"/>
        <v>0</v>
      </c>
      <c r="I602" s="12">
        <v>580</v>
      </c>
      <c r="J602" s="142">
        <f>IF(M601&gt;0.01,IF(I602&lt;=($J$9*12),$J$15,-PMT($J$11,($J$12-$J$9)*12,$J$6)+$J$13*_xlfn.XLOOKUP($K$13,'RE Calculations'!$B$12:$B$16,'RE Calculations'!$C$12:$C$16,"ERROR - Check Input")/12),0)</f>
        <v>0</v>
      </c>
      <c r="K602" s="142">
        <f t="shared" si="72"/>
        <v>0</v>
      </c>
      <c r="L602" s="142">
        <f>IF(I602&lt;=($J$9*12),$J$15,IFERROR(-IPMT($J$11,I602-$J$9*12,($J$12-$J$9)*12,$J$6)+$J$13*_xlfn.XLOOKUP($K$13,'RE Calculations'!$B$12:$B$16,'RE Calculations'!$C$12:$C$16,"ERROR - Check Input")/12,0))</f>
        <v>0</v>
      </c>
      <c r="M602" s="142">
        <f t="shared" si="73"/>
        <v>0</v>
      </c>
      <c r="P602" s="12">
        <v>580</v>
      </c>
      <c r="Q602" s="142">
        <f>IF(T601&gt;0.01,-PMT($Q$8,$Q$9*12,$Q$6)+$Q$10*_xlfn.XLOOKUP($R$10,'RE Calculations'!$B$12:$B$16,'RE Calculations'!$C$12:$C$16,"ERROR - Check Input")/12,0)</f>
        <v>0</v>
      </c>
      <c r="R602" s="142">
        <f t="shared" si="74"/>
        <v>0</v>
      </c>
      <c r="S602" s="142">
        <f>IFERROR(-IPMT($Q$8,P602,$Q$9*12,$Q$6)+$Q$10*_xlfn.XLOOKUP($R$10,'RE Calculations'!$B$12:$B$16,'RE Calculations'!$C$12:$C$16,"ERROR - Check Input")/12,0)</f>
        <v>0</v>
      </c>
      <c r="T602" s="142">
        <f t="shared" si="75"/>
        <v>0</v>
      </c>
      <c r="W602" s="12">
        <v>580</v>
      </c>
      <c r="X602" s="142">
        <f>IF(AA601&gt;0.01,IF(W602&lt;=($X$9*12),$X$15,-PMT($X$11,($X$12-$X$9)*12,$X$6)+$X$13*_xlfn.XLOOKUP($Y$13,'RE Calculations'!$B$12:$B$16,'RE Calculations'!$C$12:$C$16,"ERROR - Check Input")/12),0)</f>
        <v>0</v>
      </c>
      <c r="Y602" s="142">
        <f t="shared" si="76"/>
        <v>0</v>
      </c>
      <c r="Z602" s="142">
        <f>IF(W602&lt;=($X$9*12),$X$15,IFERROR(-IPMT($X$11,W602-$X$9*12,($X$12-$X$9)*12,$X$6)+$X$13*_xlfn.XLOOKUP($Y$13,'RE Calculations'!$B$12:$B$16,'RE Calculations'!$C$12:$C$16,"ERROR - Check Input")/12,0))</f>
        <v>0</v>
      </c>
      <c r="AA602" s="142">
        <f t="shared" si="77"/>
        <v>0</v>
      </c>
    </row>
    <row r="603" spans="2:27" x14ac:dyDescent="0.35">
      <c r="B603" s="12">
        <v>581</v>
      </c>
      <c r="C603" s="142">
        <f>IF(F602&gt;0.01,-PMT($C$8,$C$9*12,$C$6)+$C$10*_xlfn.XLOOKUP($D$10,'RE Calculations'!$B$12:$B$16,'RE Calculations'!$C$12:$C$16,"ERROR - Check Input")/12,0)</f>
        <v>0</v>
      </c>
      <c r="D603" s="142">
        <f t="shared" si="78"/>
        <v>0</v>
      </c>
      <c r="E603" s="142">
        <f>IFERROR(-IPMT($C$8,B603,$C$9*12,$C$6)+$C$10*_xlfn.XLOOKUP($D$10,'RE Calculations'!$B$12:$B$16,'RE Calculations'!$C$12:$C$16,"ERROR - Check Input")/12,0)</f>
        <v>0</v>
      </c>
      <c r="F603" s="142">
        <f t="shared" si="79"/>
        <v>0</v>
      </c>
      <c r="I603" s="12">
        <v>581</v>
      </c>
      <c r="J603" s="142">
        <f>IF(M602&gt;0.01,IF(I603&lt;=($J$9*12),$J$15,-PMT($J$11,($J$12-$J$9)*12,$J$6)+$J$13*_xlfn.XLOOKUP($K$13,'RE Calculations'!$B$12:$B$16,'RE Calculations'!$C$12:$C$16,"ERROR - Check Input")/12),0)</f>
        <v>0</v>
      </c>
      <c r="K603" s="142">
        <f t="shared" si="72"/>
        <v>0</v>
      </c>
      <c r="L603" s="142">
        <f>IF(I603&lt;=($J$9*12),$J$15,IFERROR(-IPMT($J$11,I603-$J$9*12,($J$12-$J$9)*12,$J$6)+$J$13*_xlfn.XLOOKUP($K$13,'RE Calculations'!$B$12:$B$16,'RE Calculations'!$C$12:$C$16,"ERROR - Check Input")/12,0))</f>
        <v>0</v>
      </c>
      <c r="M603" s="142">
        <f t="shared" si="73"/>
        <v>0</v>
      </c>
      <c r="P603" s="12">
        <v>581</v>
      </c>
      <c r="Q603" s="142">
        <f>IF(T602&gt;0.01,-PMT($Q$8,$Q$9*12,$Q$6)+$Q$10*_xlfn.XLOOKUP($R$10,'RE Calculations'!$B$12:$B$16,'RE Calculations'!$C$12:$C$16,"ERROR - Check Input")/12,0)</f>
        <v>0</v>
      </c>
      <c r="R603" s="142">
        <f t="shared" si="74"/>
        <v>0</v>
      </c>
      <c r="S603" s="142">
        <f>IFERROR(-IPMT($Q$8,P603,$Q$9*12,$Q$6)+$Q$10*_xlfn.XLOOKUP($R$10,'RE Calculations'!$B$12:$B$16,'RE Calculations'!$C$12:$C$16,"ERROR - Check Input")/12,0)</f>
        <v>0</v>
      </c>
      <c r="T603" s="142">
        <f t="shared" si="75"/>
        <v>0</v>
      </c>
      <c r="W603" s="12">
        <v>581</v>
      </c>
      <c r="X603" s="142">
        <f>IF(AA602&gt;0.01,IF(W603&lt;=($X$9*12),$X$15,-PMT($X$11,($X$12-$X$9)*12,$X$6)+$X$13*_xlfn.XLOOKUP($Y$13,'RE Calculations'!$B$12:$B$16,'RE Calculations'!$C$12:$C$16,"ERROR - Check Input")/12),0)</f>
        <v>0</v>
      </c>
      <c r="Y603" s="142">
        <f t="shared" si="76"/>
        <v>0</v>
      </c>
      <c r="Z603" s="142">
        <f>IF(W603&lt;=($X$9*12),$X$15,IFERROR(-IPMT($X$11,W603-$X$9*12,($X$12-$X$9)*12,$X$6)+$X$13*_xlfn.XLOOKUP($Y$13,'RE Calculations'!$B$12:$B$16,'RE Calculations'!$C$12:$C$16,"ERROR - Check Input")/12,0))</f>
        <v>0</v>
      </c>
      <c r="AA603" s="142">
        <f t="shared" si="77"/>
        <v>0</v>
      </c>
    </row>
    <row r="604" spans="2:27" x14ac:dyDescent="0.35">
      <c r="B604" s="12">
        <v>582</v>
      </c>
      <c r="C604" s="142">
        <f>IF(F603&gt;0.01,-PMT($C$8,$C$9*12,$C$6)+$C$10*_xlfn.XLOOKUP($D$10,'RE Calculations'!$B$12:$B$16,'RE Calculations'!$C$12:$C$16,"ERROR - Check Input")/12,0)</f>
        <v>0</v>
      </c>
      <c r="D604" s="142">
        <f t="shared" si="78"/>
        <v>0</v>
      </c>
      <c r="E604" s="142">
        <f>IFERROR(-IPMT($C$8,B604,$C$9*12,$C$6)+$C$10*_xlfn.XLOOKUP($D$10,'RE Calculations'!$B$12:$B$16,'RE Calculations'!$C$12:$C$16,"ERROR - Check Input")/12,0)</f>
        <v>0</v>
      </c>
      <c r="F604" s="142">
        <f t="shared" si="79"/>
        <v>0</v>
      </c>
      <c r="I604" s="12">
        <v>582</v>
      </c>
      <c r="J604" s="142">
        <f>IF(M603&gt;0.01,IF(I604&lt;=($J$9*12),$J$15,-PMT($J$11,($J$12-$J$9)*12,$J$6)+$J$13*_xlfn.XLOOKUP($K$13,'RE Calculations'!$B$12:$B$16,'RE Calculations'!$C$12:$C$16,"ERROR - Check Input")/12),0)</f>
        <v>0</v>
      </c>
      <c r="K604" s="142">
        <f t="shared" si="72"/>
        <v>0</v>
      </c>
      <c r="L604" s="142">
        <f>IF(I604&lt;=($J$9*12),$J$15,IFERROR(-IPMT($J$11,I604-$J$9*12,($J$12-$J$9)*12,$J$6)+$J$13*_xlfn.XLOOKUP($K$13,'RE Calculations'!$B$12:$B$16,'RE Calculations'!$C$12:$C$16,"ERROR - Check Input")/12,0))</f>
        <v>0</v>
      </c>
      <c r="M604" s="142">
        <f t="shared" si="73"/>
        <v>0</v>
      </c>
      <c r="P604" s="12">
        <v>582</v>
      </c>
      <c r="Q604" s="142">
        <f>IF(T603&gt;0.01,-PMT($Q$8,$Q$9*12,$Q$6)+$Q$10*_xlfn.XLOOKUP($R$10,'RE Calculations'!$B$12:$B$16,'RE Calculations'!$C$12:$C$16,"ERROR - Check Input")/12,0)</f>
        <v>0</v>
      </c>
      <c r="R604" s="142">
        <f t="shared" si="74"/>
        <v>0</v>
      </c>
      <c r="S604" s="142">
        <f>IFERROR(-IPMT($Q$8,P604,$Q$9*12,$Q$6)+$Q$10*_xlfn.XLOOKUP($R$10,'RE Calculations'!$B$12:$B$16,'RE Calculations'!$C$12:$C$16,"ERROR - Check Input")/12,0)</f>
        <v>0</v>
      </c>
      <c r="T604" s="142">
        <f t="shared" si="75"/>
        <v>0</v>
      </c>
      <c r="W604" s="12">
        <v>582</v>
      </c>
      <c r="X604" s="142">
        <f>IF(AA603&gt;0.01,IF(W604&lt;=($X$9*12),$X$15,-PMT($X$11,($X$12-$X$9)*12,$X$6)+$X$13*_xlfn.XLOOKUP($Y$13,'RE Calculations'!$B$12:$B$16,'RE Calculations'!$C$12:$C$16,"ERROR - Check Input")/12),0)</f>
        <v>0</v>
      </c>
      <c r="Y604" s="142">
        <f t="shared" si="76"/>
        <v>0</v>
      </c>
      <c r="Z604" s="142">
        <f>IF(W604&lt;=($X$9*12),$X$15,IFERROR(-IPMT($X$11,W604-$X$9*12,($X$12-$X$9)*12,$X$6)+$X$13*_xlfn.XLOOKUP($Y$13,'RE Calculations'!$B$12:$B$16,'RE Calculations'!$C$12:$C$16,"ERROR - Check Input")/12,0))</f>
        <v>0</v>
      </c>
      <c r="AA604" s="142">
        <f t="shared" si="77"/>
        <v>0</v>
      </c>
    </row>
    <row r="605" spans="2:27" x14ac:dyDescent="0.35">
      <c r="B605" s="12">
        <v>583</v>
      </c>
      <c r="C605" s="142">
        <f>IF(F604&gt;0.01,-PMT($C$8,$C$9*12,$C$6)+$C$10*_xlfn.XLOOKUP($D$10,'RE Calculations'!$B$12:$B$16,'RE Calculations'!$C$12:$C$16,"ERROR - Check Input")/12,0)</f>
        <v>0</v>
      </c>
      <c r="D605" s="142">
        <f t="shared" si="78"/>
        <v>0</v>
      </c>
      <c r="E605" s="142">
        <f>IFERROR(-IPMT($C$8,B605,$C$9*12,$C$6)+$C$10*_xlfn.XLOOKUP($D$10,'RE Calculations'!$B$12:$B$16,'RE Calculations'!$C$12:$C$16,"ERROR - Check Input")/12,0)</f>
        <v>0</v>
      </c>
      <c r="F605" s="142">
        <f t="shared" si="79"/>
        <v>0</v>
      </c>
      <c r="I605" s="12">
        <v>583</v>
      </c>
      <c r="J605" s="142">
        <f>IF(M604&gt;0.01,IF(I605&lt;=($J$9*12),$J$15,-PMT($J$11,($J$12-$J$9)*12,$J$6)+$J$13*_xlfn.XLOOKUP($K$13,'RE Calculations'!$B$12:$B$16,'RE Calculations'!$C$12:$C$16,"ERROR - Check Input")/12),0)</f>
        <v>0</v>
      </c>
      <c r="K605" s="142">
        <f t="shared" si="72"/>
        <v>0</v>
      </c>
      <c r="L605" s="142">
        <f>IF(I605&lt;=($J$9*12),$J$15,IFERROR(-IPMT($J$11,I605-$J$9*12,($J$12-$J$9)*12,$J$6)+$J$13*_xlfn.XLOOKUP($K$13,'RE Calculations'!$B$12:$B$16,'RE Calculations'!$C$12:$C$16,"ERROR - Check Input")/12,0))</f>
        <v>0</v>
      </c>
      <c r="M605" s="142">
        <f t="shared" si="73"/>
        <v>0</v>
      </c>
      <c r="P605" s="12">
        <v>583</v>
      </c>
      <c r="Q605" s="142">
        <f>IF(T604&gt;0.01,-PMT($Q$8,$Q$9*12,$Q$6)+$Q$10*_xlfn.XLOOKUP($R$10,'RE Calculations'!$B$12:$B$16,'RE Calculations'!$C$12:$C$16,"ERROR - Check Input")/12,0)</f>
        <v>0</v>
      </c>
      <c r="R605" s="142">
        <f t="shared" si="74"/>
        <v>0</v>
      </c>
      <c r="S605" s="142">
        <f>IFERROR(-IPMT($Q$8,P605,$Q$9*12,$Q$6)+$Q$10*_xlfn.XLOOKUP($R$10,'RE Calculations'!$B$12:$B$16,'RE Calculations'!$C$12:$C$16,"ERROR - Check Input")/12,0)</f>
        <v>0</v>
      </c>
      <c r="T605" s="142">
        <f t="shared" si="75"/>
        <v>0</v>
      </c>
      <c r="W605" s="12">
        <v>583</v>
      </c>
      <c r="X605" s="142">
        <f>IF(AA604&gt;0.01,IF(W605&lt;=($X$9*12),$X$15,-PMT($X$11,($X$12-$X$9)*12,$X$6)+$X$13*_xlfn.XLOOKUP($Y$13,'RE Calculations'!$B$12:$B$16,'RE Calculations'!$C$12:$C$16,"ERROR - Check Input")/12),0)</f>
        <v>0</v>
      </c>
      <c r="Y605" s="142">
        <f t="shared" si="76"/>
        <v>0</v>
      </c>
      <c r="Z605" s="142">
        <f>IF(W605&lt;=($X$9*12),$X$15,IFERROR(-IPMT($X$11,W605-$X$9*12,($X$12-$X$9)*12,$X$6)+$X$13*_xlfn.XLOOKUP($Y$13,'RE Calculations'!$B$12:$B$16,'RE Calculations'!$C$12:$C$16,"ERROR - Check Input")/12,0))</f>
        <v>0</v>
      </c>
      <c r="AA605" s="142">
        <f t="shared" si="77"/>
        <v>0</v>
      </c>
    </row>
    <row r="606" spans="2:27" x14ac:dyDescent="0.35">
      <c r="B606" s="12">
        <v>584</v>
      </c>
      <c r="C606" s="142">
        <f>IF(F605&gt;0.01,-PMT($C$8,$C$9*12,$C$6)+$C$10*_xlfn.XLOOKUP($D$10,'RE Calculations'!$B$12:$B$16,'RE Calculations'!$C$12:$C$16,"ERROR - Check Input")/12,0)</f>
        <v>0</v>
      </c>
      <c r="D606" s="142">
        <f t="shared" si="78"/>
        <v>0</v>
      </c>
      <c r="E606" s="142">
        <f>IFERROR(-IPMT($C$8,B606,$C$9*12,$C$6)+$C$10*_xlfn.XLOOKUP($D$10,'RE Calculations'!$B$12:$B$16,'RE Calculations'!$C$12:$C$16,"ERROR - Check Input")/12,0)</f>
        <v>0</v>
      </c>
      <c r="F606" s="142">
        <f t="shared" si="79"/>
        <v>0</v>
      </c>
      <c r="I606" s="12">
        <v>584</v>
      </c>
      <c r="J606" s="142">
        <f>IF(M605&gt;0.01,IF(I606&lt;=($J$9*12),$J$15,-PMT($J$11,($J$12-$J$9)*12,$J$6)+$J$13*_xlfn.XLOOKUP($K$13,'RE Calculations'!$B$12:$B$16,'RE Calculations'!$C$12:$C$16,"ERROR - Check Input")/12),0)</f>
        <v>0</v>
      </c>
      <c r="K606" s="142">
        <f t="shared" si="72"/>
        <v>0</v>
      </c>
      <c r="L606" s="142">
        <f>IF(I606&lt;=($J$9*12),$J$15,IFERROR(-IPMT($J$11,I606-$J$9*12,($J$12-$J$9)*12,$J$6)+$J$13*_xlfn.XLOOKUP($K$13,'RE Calculations'!$B$12:$B$16,'RE Calculations'!$C$12:$C$16,"ERROR - Check Input")/12,0))</f>
        <v>0</v>
      </c>
      <c r="M606" s="142">
        <f t="shared" si="73"/>
        <v>0</v>
      </c>
      <c r="P606" s="12">
        <v>584</v>
      </c>
      <c r="Q606" s="142">
        <f>IF(T605&gt;0.01,-PMT($Q$8,$Q$9*12,$Q$6)+$Q$10*_xlfn.XLOOKUP($R$10,'RE Calculations'!$B$12:$B$16,'RE Calculations'!$C$12:$C$16,"ERROR - Check Input")/12,0)</f>
        <v>0</v>
      </c>
      <c r="R606" s="142">
        <f t="shared" si="74"/>
        <v>0</v>
      </c>
      <c r="S606" s="142">
        <f>IFERROR(-IPMT($Q$8,P606,$Q$9*12,$Q$6)+$Q$10*_xlfn.XLOOKUP($R$10,'RE Calculations'!$B$12:$B$16,'RE Calculations'!$C$12:$C$16,"ERROR - Check Input")/12,0)</f>
        <v>0</v>
      </c>
      <c r="T606" s="142">
        <f t="shared" si="75"/>
        <v>0</v>
      </c>
      <c r="W606" s="12">
        <v>584</v>
      </c>
      <c r="X606" s="142">
        <f>IF(AA605&gt;0.01,IF(W606&lt;=($X$9*12),$X$15,-PMT($X$11,($X$12-$X$9)*12,$X$6)+$X$13*_xlfn.XLOOKUP($Y$13,'RE Calculations'!$B$12:$B$16,'RE Calculations'!$C$12:$C$16,"ERROR - Check Input")/12),0)</f>
        <v>0</v>
      </c>
      <c r="Y606" s="142">
        <f t="shared" si="76"/>
        <v>0</v>
      </c>
      <c r="Z606" s="142">
        <f>IF(W606&lt;=($X$9*12),$X$15,IFERROR(-IPMT($X$11,W606-$X$9*12,($X$12-$X$9)*12,$X$6)+$X$13*_xlfn.XLOOKUP($Y$13,'RE Calculations'!$B$12:$B$16,'RE Calculations'!$C$12:$C$16,"ERROR - Check Input")/12,0))</f>
        <v>0</v>
      </c>
      <c r="AA606" s="142">
        <f t="shared" si="77"/>
        <v>0</v>
      </c>
    </row>
    <row r="607" spans="2:27" x14ac:dyDescent="0.35">
      <c r="B607" s="12">
        <v>585</v>
      </c>
      <c r="C607" s="142">
        <f>IF(F606&gt;0.01,-PMT($C$8,$C$9*12,$C$6)+$C$10*_xlfn.XLOOKUP($D$10,'RE Calculations'!$B$12:$B$16,'RE Calculations'!$C$12:$C$16,"ERROR - Check Input")/12,0)</f>
        <v>0</v>
      </c>
      <c r="D607" s="142">
        <f t="shared" si="78"/>
        <v>0</v>
      </c>
      <c r="E607" s="142">
        <f>IFERROR(-IPMT($C$8,B607,$C$9*12,$C$6)+$C$10*_xlfn.XLOOKUP($D$10,'RE Calculations'!$B$12:$B$16,'RE Calculations'!$C$12:$C$16,"ERROR - Check Input")/12,0)</f>
        <v>0</v>
      </c>
      <c r="F607" s="142">
        <f t="shared" si="79"/>
        <v>0</v>
      </c>
      <c r="I607" s="12">
        <v>585</v>
      </c>
      <c r="J607" s="142">
        <f>IF(M606&gt;0.01,IF(I607&lt;=($J$9*12),$J$15,-PMT($J$11,($J$12-$J$9)*12,$J$6)+$J$13*_xlfn.XLOOKUP($K$13,'RE Calculations'!$B$12:$B$16,'RE Calculations'!$C$12:$C$16,"ERROR - Check Input")/12),0)</f>
        <v>0</v>
      </c>
      <c r="K607" s="142">
        <f t="shared" si="72"/>
        <v>0</v>
      </c>
      <c r="L607" s="142">
        <f>IF(I607&lt;=($J$9*12),$J$15,IFERROR(-IPMT($J$11,I607-$J$9*12,($J$12-$J$9)*12,$J$6)+$J$13*_xlfn.XLOOKUP($K$13,'RE Calculations'!$B$12:$B$16,'RE Calculations'!$C$12:$C$16,"ERROR - Check Input")/12,0))</f>
        <v>0</v>
      </c>
      <c r="M607" s="142">
        <f t="shared" si="73"/>
        <v>0</v>
      </c>
      <c r="P607" s="12">
        <v>585</v>
      </c>
      <c r="Q607" s="142">
        <f>IF(T606&gt;0.01,-PMT($Q$8,$Q$9*12,$Q$6)+$Q$10*_xlfn.XLOOKUP($R$10,'RE Calculations'!$B$12:$B$16,'RE Calculations'!$C$12:$C$16,"ERROR - Check Input")/12,0)</f>
        <v>0</v>
      </c>
      <c r="R607" s="142">
        <f t="shared" si="74"/>
        <v>0</v>
      </c>
      <c r="S607" s="142">
        <f>IFERROR(-IPMT($Q$8,P607,$Q$9*12,$Q$6)+$Q$10*_xlfn.XLOOKUP($R$10,'RE Calculations'!$B$12:$B$16,'RE Calculations'!$C$12:$C$16,"ERROR - Check Input")/12,0)</f>
        <v>0</v>
      </c>
      <c r="T607" s="142">
        <f t="shared" si="75"/>
        <v>0</v>
      </c>
      <c r="W607" s="12">
        <v>585</v>
      </c>
      <c r="X607" s="142">
        <f>IF(AA606&gt;0.01,IF(W607&lt;=($X$9*12),$X$15,-PMT($X$11,($X$12-$X$9)*12,$X$6)+$X$13*_xlfn.XLOOKUP($Y$13,'RE Calculations'!$B$12:$B$16,'RE Calculations'!$C$12:$C$16,"ERROR - Check Input")/12),0)</f>
        <v>0</v>
      </c>
      <c r="Y607" s="142">
        <f t="shared" si="76"/>
        <v>0</v>
      </c>
      <c r="Z607" s="142">
        <f>IF(W607&lt;=($X$9*12),$X$15,IFERROR(-IPMT($X$11,W607-$X$9*12,($X$12-$X$9)*12,$X$6)+$X$13*_xlfn.XLOOKUP($Y$13,'RE Calculations'!$B$12:$B$16,'RE Calculations'!$C$12:$C$16,"ERROR - Check Input")/12,0))</f>
        <v>0</v>
      </c>
      <c r="AA607" s="142">
        <f t="shared" si="77"/>
        <v>0</v>
      </c>
    </row>
    <row r="608" spans="2:27" x14ac:dyDescent="0.35">
      <c r="B608" s="12">
        <v>586</v>
      </c>
      <c r="C608" s="142">
        <f>IF(F607&gt;0.01,-PMT($C$8,$C$9*12,$C$6)+$C$10*_xlfn.XLOOKUP($D$10,'RE Calculations'!$B$12:$B$16,'RE Calculations'!$C$12:$C$16,"ERROR - Check Input")/12,0)</f>
        <v>0</v>
      </c>
      <c r="D608" s="142">
        <f t="shared" si="78"/>
        <v>0</v>
      </c>
      <c r="E608" s="142">
        <f>IFERROR(-IPMT($C$8,B608,$C$9*12,$C$6)+$C$10*_xlfn.XLOOKUP($D$10,'RE Calculations'!$B$12:$B$16,'RE Calculations'!$C$12:$C$16,"ERROR - Check Input")/12,0)</f>
        <v>0</v>
      </c>
      <c r="F608" s="142">
        <f t="shared" si="79"/>
        <v>0</v>
      </c>
      <c r="I608" s="12">
        <v>586</v>
      </c>
      <c r="J608" s="142">
        <f>IF(M607&gt;0.01,IF(I608&lt;=($J$9*12),$J$15,-PMT($J$11,($J$12-$J$9)*12,$J$6)+$J$13*_xlfn.XLOOKUP($K$13,'RE Calculations'!$B$12:$B$16,'RE Calculations'!$C$12:$C$16,"ERROR - Check Input")/12),0)</f>
        <v>0</v>
      </c>
      <c r="K608" s="142">
        <f t="shared" si="72"/>
        <v>0</v>
      </c>
      <c r="L608" s="142">
        <f>IF(I608&lt;=($J$9*12),$J$15,IFERROR(-IPMT($J$11,I608-$J$9*12,($J$12-$J$9)*12,$J$6)+$J$13*_xlfn.XLOOKUP($K$13,'RE Calculations'!$B$12:$B$16,'RE Calculations'!$C$12:$C$16,"ERROR - Check Input")/12,0))</f>
        <v>0</v>
      </c>
      <c r="M608" s="142">
        <f t="shared" si="73"/>
        <v>0</v>
      </c>
      <c r="P608" s="12">
        <v>586</v>
      </c>
      <c r="Q608" s="142">
        <f>IF(T607&gt;0.01,-PMT($Q$8,$Q$9*12,$Q$6)+$Q$10*_xlfn.XLOOKUP($R$10,'RE Calculations'!$B$12:$B$16,'RE Calculations'!$C$12:$C$16,"ERROR - Check Input")/12,0)</f>
        <v>0</v>
      </c>
      <c r="R608" s="142">
        <f t="shared" si="74"/>
        <v>0</v>
      </c>
      <c r="S608" s="142">
        <f>IFERROR(-IPMT($Q$8,P608,$Q$9*12,$Q$6)+$Q$10*_xlfn.XLOOKUP($R$10,'RE Calculations'!$B$12:$B$16,'RE Calculations'!$C$12:$C$16,"ERROR - Check Input")/12,0)</f>
        <v>0</v>
      </c>
      <c r="T608" s="142">
        <f t="shared" si="75"/>
        <v>0</v>
      </c>
      <c r="W608" s="12">
        <v>586</v>
      </c>
      <c r="X608" s="142">
        <f>IF(AA607&gt;0.01,IF(W608&lt;=($X$9*12),$X$15,-PMT($X$11,($X$12-$X$9)*12,$X$6)+$X$13*_xlfn.XLOOKUP($Y$13,'RE Calculations'!$B$12:$B$16,'RE Calculations'!$C$12:$C$16,"ERROR - Check Input")/12),0)</f>
        <v>0</v>
      </c>
      <c r="Y608" s="142">
        <f t="shared" si="76"/>
        <v>0</v>
      </c>
      <c r="Z608" s="142">
        <f>IF(W608&lt;=($X$9*12),$X$15,IFERROR(-IPMT($X$11,W608-$X$9*12,($X$12-$X$9)*12,$X$6)+$X$13*_xlfn.XLOOKUP($Y$13,'RE Calculations'!$B$12:$B$16,'RE Calculations'!$C$12:$C$16,"ERROR - Check Input")/12,0))</f>
        <v>0</v>
      </c>
      <c r="AA608" s="142">
        <f t="shared" si="77"/>
        <v>0</v>
      </c>
    </row>
    <row r="609" spans="2:27" x14ac:dyDescent="0.35">
      <c r="B609" s="12">
        <v>587</v>
      </c>
      <c r="C609" s="142">
        <f>IF(F608&gt;0.01,-PMT($C$8,$C$9*12,$C$6)+$C$10*_xlfn.XLOOKUP($D$10,'RE Calculations'!$B$12:$B$16,'RE Calculations'!$C$12:$C$16,"ERROR - Check Input")/12,0)</f>
        <v>0</v>
      </c>
      <c r="D609" s="142">
        <f t="shared" si="78"/>
        <v>0</v>
      </c>
      <c r="E609" s="142">
        <f>IFERROR(-IPMT($C$8,B609,$C$9*12,$C$6)+$C$10*_xlfn.XLOOKUP($D$10,'RE Calculations'!$B$12:$B$16,'RE Calculations'!$C$12:$C$16,"ERROR - Check Input")/12,0)</f>
        <v>0</v>
      </c>
      <c r="F609" s="142">
        <f t="shared" si="79"/>
        <v>0</v>
      </c>
      <c r="I609" s="12">
        <v>587</v>
      </c>
      <c r="J609" s="142">
        <f>IF(M608&gt;0.01,IF(I609&lt;=($J$9*12),$J$15,-PMT($J$11,($J$12-$J$9)*12,$J$6)+$J$13*_xlfn.XLOOKUP($K$13,'RE Calculations'!$B$12:$B$16,'RE Calculations'!$C$12:$C$16,"ERROR - Check Input")/12),0)</f>
        <v>0</v>
      </c>
      <c r="K609" s="142">
        <f t="shared" si="72"/>
        <v>0</v>
      </c>
      <c r="L609" s="142">
        <f>IF(I609&lt;=($J$9*12),$J$15,IFERROR(-IPMT($J$11,I609-$J$9*12,($J$12-$J$9)*12,$J$6)+$J$13*_xlfn.XLOOKUP($K$13,'RE Calculations'!$B$12:$B$16,'RE Calculations'!$C$12:$C$16,"ERROR - Check Input")/12,0))</f>
        <v>0</v>
      </c>
      <c r="M609" s="142">
        <f t="shared" si="73"/>
        <v>0</v>
      </c>
      <c r="P609" s="12">
        <v>587</v>
      </c>
      <c r="Q609" s="142">
        <f>IF(T608&gt;0.01,-PMT($Q$8,$Q$9*12,$Q$6)+$Q$10*_xlfn.XLOOKUP($R$10,'RE Calculations'!$B$12:$B$16,'RE Calculations'!$C$12:$C$16,"ERROR - Check Input")/12,0)</f>
        <v>0</v>
      </c>
      <c r="R609" s="142">
        <f t="shared" si="74"/>
        <v>0</v>
      </c>
      <c r="S609" s="142">
        <f>IFERROR(-IPMT($Q$8,P609,$Q$9*12,$Q$6)+$Q$10*_xlfn.XLOOKUP($R$10,'RE Calculations'!$B$12:$B$16,'RE Calculations'!$C$12:$C$16,"ERROR - Check Input")/12,0)</f>
        <v>0</v>
      </c>
      <c r="T609" s="142">
        <f t="shared" si="75"/>
        <v>0</v>
      </c>
      <c r="W609" s="12">
        <v>587</v>
      </c>
      <c r="X609" s="142">
        <f>IF(AA608&gt;0.01,IF(W609&lt;=($X$9*12),$X$15,-PMT($X$11,($X$12-$X$9)*12,$X$6)+$X$13*_xlfn.XLOOKUP($Y$13,'RE Calculations'!$B$12:$B$16,'RE Calculations'!$C$12:$C$16,"ERROR - Check Input")/12),0)</f>
        <v>0</v>
      </c>
      <c r="Y609" s="142">
        <f t="shared" si="76"/>
        <v>0</v>
      </c>
      <c r="Z609" s="142">
        <f>IF(W609&lt;=($X$9*12),$X$15,IFERROR(-IPMT($X$11,W609-$X$9*12,($X$12-$X$9)*12,$X$6)+$X$13*_xlfn.XLOOKUP($Y$13,'RE Calculations'!$B$12:$B$16,'RE Calculations'!$C$12:$C$16,"ERROR - Check Input")/12,0))</f>
        <v>0</v>
      </c>
      <c r="AA609" s="142">
        <f t="shared" si="77"/>
        <v>0</v>
      </c>
    </row>
    <row r="610" spans="2:27" x14ac:dyDescent="0.35">
      <c r="B610" s="12">
        <v>588</v>
      </c>
      <c r="C610" s="142">
        <f>IF(F609&gt;0.01,-PMT($C$8,$C$9*12,$C$6)+$C$10*_xlfn.XLOOKUP($D$10,'RE Calculations'!$B$12:$B$16,'RE Calculations'!$C$12:$C$16,"ERROR - Check Input")/12,0)</f>
        <v>0</v>
      </c>
      <c r="D610" s="142">
        <f t="shared" si="78"/>
        <v>0</v>
      </c>
      <c r="E610" s="142">
        <f>IFERROR(-IPMT($C$8,B610,$C$9*12,$C$6)+$C$10*_xlfn.XLOOKUP($D$10,'RE Calculations'!$B$12:$B$16,'RE Calculations'!$C$12:$C$16,"ERROR - Check Input")/12,0)</f>
        <v>0</v>
      </c>
      <c r="F610" s="142">
        <f t="shared" si="79"/>
        <v>0</v>
      </c>
      <c r="I610" s="12">
        <v>588</v>
      </c>
      <c r="J610" s="142">
        <f>IF(M609&gt;0.01,IF(I610&lt;=($J$9*12),$J$15,-PMT($J$11,($J$12-$J$9)*12,$J$6)+$J$13*_xlfn.XLOOKUP($K$13,'RE Calculations'!$B$12:$B$16,'RE Calculations'!$C$12:$C$16,"ERROR - Check Input")/12),0)</f>
        <v>0</v>
      </c>
      <c r="K610" s="142">
        <f t="shared" si="72"/>
        <v>0</v>
      </c>
      <c r="L610" s="142">
        <f>IF(I610&lt;=($J$9*12),$J$15,IFERROR(-IPMT($J$11,I610-$J$9*12,($J$12-$J$9)*12,$J$6)+$J$13*_xlfn.XLOOKUP($K$13,'RE Calculations'!$B$12:$B$16,'RE Calculations'!$C$12:$C$16,"ERROR - Check Input")/12,0))</f>
        <v>0</v>
      </c>
      <c r="M610" s="142">
        <f t="shared" si="73"/>
        <v>0</v>
      </c>
      <c r="P610" s="12">
        <v>588</v>
      </c>
      <c r="Q610" s="142">
        <f>IF(T609&gt;0.01,-PMT($Q$8,$Q$9*12,$Q$6)+$Q$10*_xlfn.XLOOKUP($R$10,'RE Calculations'!$B$12:$B$16,'RE Calculations'!$C$12:$C$16,"ERROR - Check Input")/12,0)</f>
        <v>0</v>
      </c>
      <c r="R610" s="142">
        <f t="shared" si="74"/>
        <v>0</v>
      </c>
      <c r="S610" s="142">
        <f>IFERROR(-IPMT($Q$8,P610,$Q$9*12,$Q$6)+$Q$10*_xlfn.XLOOKUP($R$10,'RE Calculations'!$B$12:$B$16,'RE Calculations'!$C$12:$C$16,"ERROR - Check Input")/12,0)</f>
        <v>0</v>
      </c>
      <c r="T610" s="142">
        <f t="shared" si="75"/>
        <v>0</v>
      </c>
      <c r="W610" s="12">
        <v>588</v>
      </c>
      <c r="X610" s="142">
        <f>IF(AA609&gt;0.01,IF(W610&lt;=($X$9*12),$X$15,-PMT($X$11,($X$12-$X$9)*12,$X$6)+$X$13*_xlfn.XLOOKUP($Y$13,'RE Calculations'!$B$12:$B$16,'RE Calculations'!$C$12:$C$16,"ERROR - Check Input")/12),0)</f>
        <v>0</v>
      </c>
      <c r="Y610" s="142">
        <f t="shared" si="76"/>
        <v>0</v>
      </c>
      <c r="Z610" s="142">
        <f>IF(W610&lt;=($X$9*12),$X$15,IFERROR(-IPMT($X$11,W610-$X$9*12,($X$12-$X$9)*12,$X$6)+$X$13*_xlfn.XLOOKUP($Y$13,'RE Calculations'!$B$12:$B$16,'RE Calculations'!$C$12:$C$16,"ERROR - Check Input")/12,0))</f>
        <v>0</v>
      </c>
      <c r="AA610" s="142">
        <f t="shared" si="77"/>
        <v>0</v>
      </c>
    </row>
    <row r="611" spans="2:27" x14ac:dyDescent="0.35">
      <c r="B611" s="12">
        <v>589</v>
      </c>
      <c r="C611" s="142">
        <f>IF(F610&gt;0.01,-PMT($C$8,$C$9*12,$C$6)+$C$10*_xlfn.XLOOKUP($D$10,'RE Calculations'!$B$12:$B$16,'RE Calculations'!$C$12:$C$16,"ERROR - Check Input")/12,0)</f>
        <v>0</v>
      </c>
      <c r="D611" s="142">
        <f t="shared" si="78"/>
        <v>0</v>
      </c>
      <c r="E611" s="142">
        <f>IFERROR(-IPMT($C$8,B611,$C$9*12,$C$6)+$C$10*_xlfn.XLOOKUP($D$10,'RE Calculations'!$B$12:$B$16,'RE Calculations'!$C$12:$C$16,"ERROR - Check Input")/12,0)</f>
        <v>0</v>
      </c>
      <c r="F611" s="142">
        <f t="shared" si="79"/>
        <v>0</v>
      </c>
      <c r="I611" s="12">
        <v>589</v>
      </c>
      <c r="J611" s="142">
        <f>IF(M610&gt;0.01,IF(I611&lt;=($J$9*12),$J$15,-PMT($J$11,($J$12-$J$9)*12,$J$6)+$J$13*_xlfn.XLOOKUP($K$13,'RE Calculations'!$B$12:$B$16,'RE Calculations'!$C$12:$C$16,"ERROR - Check Input")/12),0)</f>
        <v>0</v>
      </c>
      <c r="K611" s="142">
        <f t="shared" si="72"/>
        <v>0</v>
      </c>
      <c r="L611" s="142">
        <f>IF(I611&lt;=($J$9*12),$J$15,IFERROR(-IPMT($J$11,I611-$J$9*12,($J$12-$J$9)*12,$J$6)+$J$13*_xlfn.XLOOKUP($K$13,'RE Calculations'!$B$12:$B$16,'RE Calculations'!$C$12:$C$16,"ERROR - Check Input")/12,0))</f>
        <v>0</v>
      </c>
      <c r="M611" s="142">
        <f t="shared" si="73"/>
        <v>0</v>
      </c>
      <c r="P611" s="12">
        <v>589</v>
      </c>
      <c r="Q611" s="142">
        <f>IF(T610&gt;0.01,-PMT($Q$8,$Q$9*12,$Q$6)+$Q$10*_xlfn.XLOOKUP($R$10,'RE Calculations'!$B$12:$B$16,'RE Calculations'!$C$12:$C$16,"ERROR - Check Input")/12,0)</f>
        <v>0</v>
      </c>
      <c r="R611" s="142">
        <f t="shared" si="74"/>
        <v>0</v>
      </c>
      <c r="S611" s="142">
        <f>IFERROR(-IPMT($Q$8,P611,$Q$9*12,$Q$6)+$Q$10*_xlfn.XLOOKUP($R$10,'RE Calculations'!$B$12:$B$16,'RE Calculations'!$C$12:$C$16,"ERROR - Check Input")/12,0)</f>
        <v>0</v>
      </c>
      <c r="T611" s="142">
        <f t="shared" si="75"/>
        <v>0</v>
      </c>
      <c r="W611" s="12">
        <v>589</v>
      </c>
      <c r="X611" s="142">
        <f>IF(AA610&gt;0.01,IF(W611&lt;=($X$9*12),$X$15,-PMT($X$11,($X$12-$X$9)*12,$X$6)+$X$13*_xlfn.XLOOKUP($Y$13,'RE Calculations'!$B$12:$B$16,'RE Calculations'!$C$12:$C$16,"ERROR - Check Input")/12),0)</f>
        <v>0</v>
      </c>
      <c r="Y611" s="142">
        <f t="shared" si="76"/>
        <v>0</v>
      </c>
      <c r="Z611" s="142">
        <f>IF(W611&lt;=($X$9*12),$X$15,IFERROR(-IPMT($X$11,W611-$X$9*12,($X$12-$X$9)*12,$X$6)+$X$13*_xlfn.XLOOKUP($Y$13,'RE Calculations'!$B$12:$B$16,'RE Calculations'!$C$12:$C$16,"ERROR - Check Input")/12,0))</f>
        <v>0</v>
      </c>
      <c r="AA611" s="142">
        <f t="shared" si="77"/>
        <v>0</v>
      </c>
    </row>
    <row r="612" spans="2:27" x14ac:dyDescent="0.35">
      <c r="B612" s="12">
        <v>590</v>
      </c>
      <c r="C612" s="142">
        <f>IF(F611&gt;0.01,-PMT($C$8,$C$9*12,$C$6)+$C$10*_xlfn.XLOOKUP($D$10,'RE Calculations'!$B$12:$B$16,'RE Calculations'!$C$12:$C$16,"ERROR - Check Input")/12,0)</f>
        <v>0</v>
      </c>
      <c r="D612" s="142">
        <f t="shared" si="78"/>
        <v>0</v>
      </c>
      <c r="E612" s="142">
        <f>IFERROR(-IPMT($C$8,B612,$C$9*12,$C$6)+$C$10*_xlfn.XLOOKUP($D$10,'RE Calculations'!$B$12:$B$16,'RE Calculations'!$C$12:$C$16,"ERROR - Check Input")/12,0)</f>
        <v>0</v>
      </c>
      <c r="F612" s="142">
        <f t="shared" si="79"/>
        <v>0</v>
      </c>
      <c r="I612" s="12">
        <v>590</v>
      </c>
      <c r="J612" s="142">
        <f>IF(M611&gt;0.01,IF(I612&lt;=($J$9*12),$J$15,-PMT($J$11,($J$12-$J$9)*12,$J$6)+$J$13*_xlfn.XLOOKUP($K$13,'RE Calculations'!$B$12:$B$16,'RE Calculations'!$C$12:$C$16,"ERROR - Check Input")/12),0)</f>
        <v>0</v>
      </c>
      <c r="K612" s="142">
        <f t="shared" si="72"/>
        <v>0</v>
      </c>
      <c r="L612" s="142">
        <f>IF(I612&lt;=($J$9*12),$J$15,IFERROR(-IPMT($J$11,I612-$J$9*12,($J$12-$J$9)*12,$J$6)+$J$13*_xlfn.XLOOKUP($K$13,'RE Calculations'!$B$12:$B$16,'RE Calculations'!$C$12:$C$16,"ERROR - Check Input")/12,0))</f>
        <v>0</v>
      </c>
      <c r="M612" s="142">
        <f t="shared" si="73"/>
        <v>0</v>
      </c>
      <c r="P612" s="12">
        <v>590</v>
      </c>
      <c r="Q612" s="142">
        <f>IF(T611&gt;0.01,-PMT($Q$8,$Q$9*12,$Q$6)+$Q$10*_xlfn.XLOOKUP($R$10,'RE Calculations'!$B$12:$B$16,'RE Calculations'!$C$12:$C$16,"ERROR - Check Input")/12,0)</f>
        <v>0</v>
      </c>
      <c r="R612" s="142">
        <f t="shared" si="74"/>
        <v>0</v>
      </c>
      <c r="S612" s="142">
        <f>IFERROR(-IPMT($Q$8,P612,$Q$9*12,$Q$6)+$Q$10*_xlfn.XLOOKUP($R$10,'RE Calculations'!$B$12:$B$16,'RE Calculations'!$C$12:$C$16,"ERROR - Check Input")/12,0)</f>
        <v>0</v>
      </c>
      <c r="T612" s="142">
        <f t="shared" si="75"/>
        <v>0</v>
      </c>
      <c r="W612" s="12">
        <v>590</v>
      </c>
      <c r="X612" s="142">
        <f>IF(AA611&gt;0.01,IF(W612&lt;=($X$9*12),$X$15,-PMT($X$11,($X$12-$X$9)*12,$X$6)+$X$13*_xlfn.XLOOKUP($Y$13,'RE Calculations'!$B$12:$B$16,'RE Calculations'!$C$12:$C$16,"ERROR - Check Input")/12),0)</f>
        <v>0</v>
      </c>
      <c r="Y612" s="142">
        <f t="shared" si="76"/>
        <v>0</v>
      </c>
      <c r="Z612" s="142">
        <f>IF(W612&lt;=($X$9*12),$X$15,IFERROR(-IPMT($X$11,W612-$X$9*12,($X$12-$X$9)*12,$X$6)+$X$13*_xlfn.XLOOKUP($Y$13,'RE Calculations'!$B$12:$B$16,'RE Calculations'!$C$12:$C$16,"ERROR - Check Input")/12,0))</f>
        <v>0</v>
      </c>
      <c r="AA612" s="142">
        <f t="shared" si="77"/>
        <v>0</v>
      </c>
    </row>
    <row r="613" spans="2:27" x14ac:dyDescent="0.35">
      <c r="B613" s="12">
        <v>591</v>
      </c>
      <c r="C613" s="142">
        <f>IF(F612&gt;0.01,-PMT($C$8,$C$9*12,$C$6)+$C$10*_xlfn.XLOOKUP($D$10,'RE Calculations'!$B$12:$B$16,'RE Calculations'!$C$12:$C$16,"ERROR - Check Input")/12,0)</f>
        <v>0</v>
      </c>
      <c r="D613" s="142">
        <f t="shared" si="78"/>
        <v>0</v>
      </c>
      <c r="E613" s="142">
        <f>IFERROR(-IPMT($C$8,B613,$C$9*12,$C$6)+$C$10*_xlfn.XLOOKUP($D$10,'RE Calculations'!$B$12:$B$16,'RE Calculations'!$C$12:$C$16,"ERROR - Check Input")/12,0)</f>
        <v>0</v>
      </c>
      <c r="F613" s="142">
        <f t="shared" si="79"/>
        <v>0</v>
      </c>
      <c r="I613" s="12">
        <v>591</v>
      </c>
      <c r="J613" s="142">
        <f>IF(M612&gt;0.01,IF(I613&lt;=($J$9*12),$J$15,-PMT($J$11,($J$12-$J$9)*12,$J$6)+$J$13*_xlfn.XLOOKUP($K$13,'RE Calculations'!$B$12:$B$16,'RE Calculations'!$C$12:$C$16,"ERROR - Check Input")/12),0)</f>
        <v>0</v>
      </c>
      <c r="K613" s="142">
        <f t="shared" si="72"/>
        <v>0</v>
      </c>
      <c r="L613" s="142">
        <f>IF(I613&lt;=($J$9*12),$J$15,IFERROR(-IPMT($J$11,I613-$J$9*12,($J$12-$J$9)*12,$J$6)+$J$13*_xlfn.XLOOKUP($K$13,'RE Calculations'!$B$12:$B$16,'RE Calculations'!$C$12:$C$16,"ERROR - Check Input")/12,0))</f>
        <v>0</v>
      </c>
      <c r="M613" s="142">
        <f t="shared" si="73"/>
        <v>0</v>
      </c>
      <c r="P613" s="12">
        <v>591</v>
      </c>
      <c r="Q613" s="142">
        <f>IF(T612&gt;0.01,-PMT($Q$8,$Q$9*12,$Q$6)+$Q$10*_xlfn.XLOOKUP($R$10,'RE Calculations'!$B$12:$B$16,'RE Calculations'!$C$12:$C$16,"ERROR - Check Input")/12,0)</f>
        <v>0</v>
      </c>
      <c r="R613" s="142">
        <f t="shared" si="74"/>
        <v>0</v>
      </c>
      <c r="S613" s="142">
        <f>IFERROR(-IPMT($Q$8,P613,$Q$9*12,$Q$6)+$Q$10*_xlfn.XLOOKUP($R$10,'RE Calculations'!$B$12:$B$16,'RE Calculations'!$C$12:$C$16,"ERROR - Check Input")/12,0)</f>
        <v>0</v>
      </c>
      <c r="T613" s="142">
        <f t="shared" si="75"/>
        <v>0</v>
      </c>
      <c r="W613" s="12">
        <v>591</v>
      </c>
      <c r="X613" s="142">
        <f>IF(AA612&gt;0.01,IF(W613&lt;=($X$9*12),$X$15,-PMT($X$11,($X$12-$X$9)*12,$X$6)+$X$13*_xlfn.XLOOKUP($Y$13,'RE Calculations'!$B$12:$B$16,'RE Calculations'!$C$12:$C$16,"ERROR - Check Input")/12),0)</f>
        <v>0</v>
      </c>
      <c r="Y613" s="142">
        <f t="shared" si="76"/>
        <v>0</v>
      </c>
      <c r="Z613" s="142">
        <f>IF(W613&lt;=($X$9*12),$X$15,IFERROR(-IPMT($X$11,W613-$X$9*12,($X$12-$X$9)*12,$X$6)+$X$13*_xlfn.XLOOKUP($Y$13,'RE Calculations'!$B$12:$B$16,'RE Calculations'!$C$12:$C$16,"ERROR - Check Input")/12,0))</f>
        <v>0</v>
      </c>
      <c r="AA613" s="142">
        <f t="shared" si="77"/>
        <v>0</v>
      </c>
    </row>
    <row r="614" spans="2:27" x14ac:dyDescent="0.35">
      <c r="B614" s="12">
        <v>592</v>
      </c>
      <c r="C614" s="142">
        <f>IF(F613&gt;0.01,-PMT($C$8,$C$9*12,$C$6)+$C$10*_xlfn.XLOOKUP($D$10,'RE Calculations'!$B$12:$B$16,'RE Calculations'!$C$12:$C$16,"ERROR - Check Input")/12,0)</f>
        <v>0</v>
      </c>
      <c r="D614" s="142">
        <f t="shared" si="78"/>
        <v>0</v>
      </c>
      <c r="E614" s="142">
        <f>IFERROR(-IPMT($C$8,B614,$C$9*12,$C$6)+$C$10*_xlfn.XLOOKUP($D$10,'RE Calculations'!$B$12:$B$16,'RE Calculations'!$C$12:$C$16,"ERROR - Check Input")/12,0)</f>
        <v>0</v>
      </c>
      <c r="F614" s="142">
        <f t="shared" si="79"/>
        <v>0</v>
      </c>
      <c r="I614" s="12">
        <v>592</v>
      </c>
      <c r="J614" s="142">
        <f>IF(M613&gt;0.01,IF(I614&lt;=($J$9*12),$J$15,-PMT($J$11,($J$12-$J$9)*12,$J$6)+$J$13*_xlfn.XLOOKUP($K$13,'RE Calculations'!$B$12:$B$16,'RE Calculations'!$C$12:$C$16,"ERROR - Check Input")/12),0)</f>
        <v>0</v>
      </c>
      <c r="K614" s="142">
        <f t="shared" si="72"/>
        <v>0</v>
      </c>
      <c r="L614" s="142">
        <f>IF(I614&lt;=($J$9*12),$J$15,IFERROR(-IPMT($J$11,I614-$J$9*12,($J$12-$J$9)*12,$J$6)+$J$13*_xlfn.XLOOKUP($K$13,'RE Calculations'!$B$12:$B$16,'RE Calculations'!$C$12:$C$16,"ERROR - Check Input")/12,0))</f>
        <v>0</v>
      </c>
      <c r="M614" s="142">
        <f t="shared" si="73"/>
        <v>0</v>
      </c>
      <c r="P614" s="12">
        <v>592</v>
      </c>
      <c r="Q614" s="142">
        <f>IF(T613&gt;0.01,-PMT($Q$8,$Q$9*12,$Q$6)+$Q$10*_xlfn.XLOOKUP($R$10,'RE Calculations'!$B$12:$B$16,'RE Calculations'!$C$12:$C$16,"ERROR - Check Input")/12,0)</f>
        <v>0</v>
      </c>
      <c r="R614" s="142">
        <f t="shared" si="74"/>
        <v>0</v>
      </c>
      <c r="S614" s="142">
        <f>IFERROR(-IPMT($Q$8,P614,$Q$9*12,$Q$6)+$Q$10*_xlfn.XLOOKUP($R$10,'RE Calculations'!$B$12:$B$16,'RE Calculations'!$C$12:$C$16,"ERROR - Check Input")/12,0)</f>
        <v>0</v>
      </c>
      <c r="T614" s="142">
        <f t="shared" si="75"/>
        <v>0</v>
      </c>
      <c r="W614" s="12">
        <v>592</v>
      </c>
      <c r="X614" s="142">
        <f>IF(AA613&gt;0.01,IF(W614&lt;=($X$9*12),$X$15,-PMT($X$11,($X$12-$X$9)*12,$X$6)+$X$13*_xlfn.XLOOKUP($Y$13,'RE Calculations'!$B$12:$B$16,'RE Calculations'!$C$12:$C$16,"ERROR - Check Input")/12),0)</f>
        <v>0</v>
      </c>
      <c r="Y614" s="142">
        <f t="shared" si="76"/>
        <v>0</v>
      </c>
      <c r="Z614" s="142">
        <f>IF(W614&lt;=($X$9*12),$X$15,IFERROR(-IPMT($X$11,W614-$X$9*12,($X$12-$X$9)*12,$X$6)+$X$13*_xlfn.XLOOKUP($Y$13,'RE Calculations'!$B$12:$B$16,'RE Calculations'!$C$12:$C$16,"ERROR - Check Input")/12,0))</f>
        <v>0</v>
      </c>
      <c r="AA614" s="142">
        <f t="shared" si="77"/>
        <v>0</v>
      </c>
    </row>
    <row r="615" spans="2:27" x14ac:dyDescent="0.35">
      <c r="B615" s="12">
        <v>593</v>
      </c>
      <c r="C615" s="142">
        <f>IF(F614&gt;0.01,-PMT($C$8,$C$9*12,$C$6)+$C$10*_xlfn.XLOOKUP($D$10,'RE Calculations'!$B$12:$B$16,'RE Calculations'!$C$12:$C$16,"ERROR - Check Input")/12,0)</f>
        <v>0</v>
      </c>
      <c r="D615" s="142">
        <f t="shared" si="78"/>
        <v>0</v>
      </c>
      <c r="E615" s="142">
        <f>IFERROR(-IPMT($C$8,B615,$C$9*12,$C$6)+$C$10*_xlfn.XLOOKUP($D$10,'RE Calculations'!$B$12:$B$16,'RE Calculations'!$C$12:$C$16,"ERROR - Check Input")/12,0)</f>
        <v>0</v>
      </c>
      <c r="F615" s="142">
        <f t="shared" si="79"/>
        <v>0</v>
      </c>
      <c r="I615" s="12">
        <v>593</v>
      </c>
      <c r="J615" s="142">
        <f>IF(M614&gt;0.01,IF(I615&lt;=($J$9*12),$J$15,-PMT($J$11,($J$12-$J$9)*12,$J$6)+$J$13*_xlfn.XLOOKUP($K$13,'RE Calculations'!$B$12:$B$16,'RE Calculations'!$C$12:$C$16,"ERROR - Check Input")/12),0)</f>
        <v>0</v>
      </c>
      <c r="K615" s="142">
        <f t="shared" si="72"/>
        <v>0</v>
      </c>
      <c r="L615" s="142">
        <f>IF(I615&lt;=($J$9*12),$J$15,IFERROR(-IPMT($J$11,I615-$J$9*12,($J$12-$J$9)*12,$J$6)+$J$13*_xlfn.XLOOKUP($K$13,'RE Calculations'!$B$12:$B$16,'RE Calculations'!$C$12:$C$16,"ERROR - Check Input")/12,0))</f>
        <v>0</v>
      </c>
      <c r="M615" s="142">
        <f t="shared" si="73"/>
        <v>0</v>
      </c>
      <c r="P615" s="12">
        <v>593</v>
      </c>
      <c r="Q615" s="142">
        <f>IF(T614&gt;0.01,-PMT($Q$8,$Q$9*12,$Q$6)+$Q$10*_xlfn.XLOOKUP($R$10,'RE Calculations'!$B$12:$B$16,'RE Calculations'!$C$12:$C$16,"ERROR - Check Input")/12,0)</f>
        <v>0</v>
      </c>
      <c r="R615" s="142">
        <f t="shared" si="74"/>
        <v>0</v>
      </c>
      <c r="S615" s="142">
        <f>IFERROR(-IPMT($Q$8,P615,$Q$9*12,$Q$6)+$Q$10*_xlfn.XLOOKUP($R$10,'RE Calculations'!$B$12:$B$16,'RE Calculations'!$C$12:$C$16,"ERROR - Check Input")/12,0)</f>
        <v>0</v>
      </c>
      <c r="T615" s="142">
        <f t="shared" si="75"/>
        <v>0</v>
      </c>
      <c r="W615" s="12">
        <v>593</v>
      </c>
      <c r="X615" s="142">
        <f>IF(AA614&gt;0.01,IF(W615&lt;=($X$9*12),$X$15,-PMT($X$11,($X$12-$X$9)*12,$X$6)+$X$13*_xlfn.XLOOKUP($Y$13,'RE Calculations'!$B$12:$B$16,'RE Calculations'!$C$12:$C$16,"ERROR - Check Input")/12),0)</f>
        <v>0</v>
      </c>
      <c r="Y615" s="142">
        <f t="shared" si="76"/>
        <v>0</v>
      </c>
      <c r="Z615" s="142">
        <f>IF(W615&lt;=($X$9*12),$X$15,IFERROR(-IPMT($X$11,W615-$X$9*12,($X$12-$X$9)*12,$X$6)+$X$13*_xlfn.XLOOKUP($Y$13,'RE Calculations'!$B$12:$B$16,'RE Calculations'!$C$12:$C$16,"ERROR - Check Input")/12,0))</f>
        <v>0</v>
      </c>
      <c r="AA615" s="142">
        <f t="shared" si="77"/>
        <v>0</v>
      </c>
    </row>
    <row r="616" spans="2:27" x14ac:dyDescent="0.35">
      <c r="B616" s="12">
        <v>594</v>
      </c>
      <c r="C616" s="142">
        <f>IF(F615&gt;0.01,-PMT($C$8,$C$9*12,$C$6)+$C$10*_xlfn.XLOOKUP($D$10,'RE Calculations'!$B$12:$B$16,'RE Calculations'!$C$12:$C$16,"ERROR - Check Input")/12,0)</f>
        <v>0</v>
      </c>
      <c r="D616" s="142">
        <f t="shared" si="78"/>
        <v>0</v>
      </c>
      <c r="E616" s="142">
        <f>IFERROR(-IPMT($C$8,B616,$C$9*12,$C$6)+$C$10*_xlfn.XLOOKUP($D$10,'RE Calculations'!$B$12:$B$16,'RE Calculations'!$C$12:$C$16,"ERROR - Check Input")/12,0)</f>
        <v>0</v>
      </c>
      <c r="F616" s="142">
        <f t="shared" si="79"/>
        <v>0</v>
      </c>
      <c r="I616" s="12">
        <v>594</v>
      </c>
      <c r="J616" s="142">
        <f>IF(M615&gt;0.01,IF(I616&lt;=($J$9*12),$J$15,-PMT($J$11,($J$12-$J$9)*12,$J$6)+$J$13*_xlfn.XLOOKUP($K$13,'RE Calculations'!$B$12:$B$16,'RE Calculations'!$C$12:$C$16,"ERROR - Check Input")/12),0)</f>
        <v>0</v>
      </c>
      <c r="K616" s="142">
        <f t="shared" si="72"/>
        <v>0</v>
      </c>
      <c r="L616" s="142">
        <f>IF(I616&lt;=($J$9*12),$J$15,IFERROR(-IPMT($J$11,I616-$J$9*12,($J$12-$J$9)*12,$J$6)+$J$13*_xlfn.XLOOKUP($K$13,'RE Calculations'!$B$12:$B$16,'RE Calculations'!$C$12:$C$16,"ERROR - Check Input")/12,0))</f>
        <v>0</v>
      </c>
      <c r="M616" s="142">
        <f t="shared" si="73"/>
        <v>0</v>
      </c>
      <c r="P616" s="12">
        <v>594</v>
      </c>
      <c r="Q616" s="142">
        <f>IF(T615&gt;0.01,-PMT($Q$8,$Q$9*12,$Q$6)+$Q$10*_xlfn.XLOOKUP($R$10,'RE Calculations'!$B$12:$B$16,'RE Calculations'!$C$12:$C$16,"ERROR - Check Input")/12,0)</f>
        <v>0</v>
      </c>
      <c r="R616" s="142">
        <f t="shared" si="74"/>
        <v>0</v>
      </c>
      <c r="S616" s="142">
        <f>IFERROR(-IPMT($Q$8,P616,$Q$9*12,$Q$6)+$Q$10*_xlfn.XLOOKUP($R$10,'RE Calculations'!$B$12:$B$16,'RE Calculations'!$C$12:$C$16,"ERROR - Check Input")/12,0)</f>
        <v>0</v>
      </c>
      <c r="T616" s="142">
        <f t="shared" si="75"/>
        <v>0</v>
      </c>
      <c r="W616" s="12">
        <v>594</v>
      </c>
      <c r="X616" s="142">
        <f>IF(AA615&gt;0.01,IF(W616&lt;=($X$9*12),$X$15,-PMT($X$11,($X$12-$X$9)*12,$X$6)+$X$13*_xlfn.XLOOKUP($Y$13,'RE Calculations'!$B$12:$B$16,'RE Calculations'!$C$12:$C$16,"ERROR - Check Input")/12),0)</f>
        <v>0</v>
      </c>
      <c r="Y616" s="142">
        <f t="shared" si="76"/>
        <v>0</v>
      </c>
      <c r="Z616" s="142">
        <f>IF(W616&lt;=($X$9*12),$X$15,IFERROR(-IPMT($X$11,W616-$X$9*12,($X$12-$X$9)*12,$X$6)+$X$13*_xlfn.XLOOKUP($Y$13,'RE Calculations'!$B$12:$B$16,'RE Calculations'!$C$12:$C$16,"ERROR - Check Input")/12,0))</f>
        <v>0</v>
      </c>
      <c r="AA616" s="142">
        <f t="shared" si="77"/>
        <v>0</v>
      </c>
    </row>
    <row r="617" spans="2:27" x14ac:dyDescent="0.35">
      <c r="B617" s="12">
        <v>595</v>
      </c>
      <c r="C617" s="142">
        <f>IF(F616&gt;0.01,-PMT($C$8,$C$9*12,$C$6)+$C$10*_xlfn.XLOOKUP($D$10,'RE Calculations'!$B$12:$B$16,'RE Calculations'!$C$12:$C$16,"ERROR - Check Input")/12,0)</f>
        <v>0</v>
      </c>
      <c r="D617" s="142">
        <f t="shared" si="78"/>
        <v>0</v>
      </c>
      <c r="E617" s="142">
        <f>IFERROR(-IPMT($C$8,B617,$C$9*12,$C$6)+$C$10*_xlfn.XLOOKUP($D$10,'RE Calculations'!$B$12:$B$16,'RE Calculations'!$C$12:$C$16,"ERROR - Check Input")/12,0)</f>
        <v>0</v>
      </c>
      <c r="F617" s="142">
        <f t="shared" si="79"/>
        <v>0</v>
      </c>
      <c r="I617" s="12">
        <v>595</v>
      </c>
      <c r="J617" s="142">
        <f>IF(M616&gt;0.01,IF(I617&lt;=($J$9*12),$J$15,-PMT($J$11,($J$12-$J$9)*12,$J$6)+$J$13*_xlfn.XLOOKUP($K$13,'RE Calculations'!$B$12:$B$16,'RE Calculations'!$C$12:$C$16,"ERROR - Check Input")/12),0)</f>
        <v>0</v>
      </c>
      <c r="K617" s="142">
        <f t="shared" si="72"/>
        <v>0</v>
      </c>
      <c r="L617" s="142">
        <f>IF(I617&lt;=($J$9*12),$J$15,IFERROR(-IPMT($J$11,I617-$J$9*12,($J$12-$J$9)*12,$J$6)+$J$13*_xlfn.XLOOKUP($K$13,'RE Calculations'!$B$12:$B$16,'RE Calculations'!$C$12:$C$16,"ERROR - Check Input")/12,0))</f>
        <v>0</v>
      </c>
      <c r="M617" s="142">
        <f t="shared" si="73"/>
        <v>0</v>
      </c>
      <c r="P617" s="12">
        <v>595</v>
      </c>
      <c r="Q617" s="142">
        <f>IF(T616&gt;0.01,-PMT($Q$8,$Q$9*12,$Q$6)+$Q$10*_xlfn.XLOOKUP($R$10,'RE Calculations'!$B$12:$B$16,'RE Calculations'!$C$12:$C$16,"ERROR - Check Input")/12,0)</f>
        <v>0</v>
      </c>
      <c r="R617" s="142">
        <f t="shared" si="74"/>
        <v>0</v>
      </c>
      <c r="S617" s="142">
        <f>IFERROR(-IPMT($Q$8,P617,$Q$9*12,$Q$6)+$Q$10*_xlfn.XLOOKUP($R$10,'RE Calculations'!$B$12:$B$16,'RE Calculations'!$C$12:$C$16,"ERROR - Check Input")/12,0)</f>
        <v>0</v>
      </c>
      <c r="T617" s="142">
        <f t="shared" si="75"/>
        <v>0</v>
      </c>
      <c r="W617" s="12">
        <v>595</v>
      </c>
      <c r="X617" s="142">
        <f>IF(AA616&gt;0.01,IF(W617&lt;=($X$9*12),$X$15,-PMT($X$11,($X$12-$X$9)*12,$X$6)+$X$13*_xlfn.XLOOKUP($Y$13,'RE Calculations'!$B$12:$B$16,'RE Calculations'!$C$12:$C$16,"ERROR - Check Input")/12),0)</f>
        <v>0</v>
      </c>
      <c r="Y617" s="142">
        <f t="shared" si="76"/>
        <v>0</v>
      </c>
      <c r="Z617" s="142">
        <f>IF(W617&lt;=($X$9*12),$X$15,IFERROR(-IPMT($X$11,W617-$X$9*12,($X$12-$X$9)*12,$X$6)+$X$13*_xlfn.XLOOKUP($Y$13,'RE Calculations'!$B$12:$B$16,'RE Calculations'!$C$12:$C$16,"ERROR - Check Input")/12,0))</f>
        <v>0</v>
      </c>
      <c r="AA617" s="142">
        <f t="shared" si="77"/>
        <v>0</v>
      </c>
    </row>
    <row r="618" spans="2:27" x14ac:dyDescent="0.35">
      <c r="B618" s="12">
        <v>596</v>
      </c>
      <c r="C618" s="142">
        <f>IF(F617&gt;0.01,-PMT($C$8,$C$9*12,$C$6)+$C$10*_xlfn.XLOOKUP($D$10,'RE Calculations'!$B$12:$B$16,'RE Calculations'!$C$12:$C$16,"ERROR - Check Input")/12,0)</f>
        <v>0</v>
      </c>
      <c r="D618" s="142">
        <f t="shared" si="78"/>
        <v>0</v>
      </c>
      <c r="E618" s="142">
        <f>IFERROR(-IPMT($C$8,B618,$C$9*12,$C$6)+$C$10*_xlfn.XLOOKUP($D$10,'RE Calculations'!$B$12:$B$16,'RE Calculations'!$C$12:$C$16,"ERROR - Check Input")/12,0)</f>
        <v>0</v>
      </c>
      <c r="F618" s="142">
        <f t="shared" si="79"/>
        <v>0</v>
      </c>
      <c r="I618" s="12">
        <v>596</v>
      </c>
      <c r="J618" s="142">
        <f>IF(M617&gt;0.01,IF(I618&lt;=($J$9*12),$J$15,-PMT($J$11,($J$12-$J$9)*12,$J$6)+$J$13*_xlfn.XLOOKUP($K$13,'RE Calculations'!$B$12:$B$16,'RE Calculations'!$C$12:$C$16,"ERROR - Check Input")/12),0)</f>
        <v>0</v>
      </c>
      <c r="K618" s="142">
        <f t="shared" si="72"/>
        <v>0</v>
      </c>
      <c r="L618" s="142">
        <f>IF(I618&lt;=($J$9*12),$J$15,IFERROR(-IPMT($J$11,I618-$J$9*12,($J$12-$J$9)*12,$J$6)+$J$13*_xlfn.XLOOKUP($K$13,'RE Calculations'!$B$12:$B$16,'RE Calculations'!$C$12:$C$16,"ERROR - Check Input")/12,0))</f>
        <v>0</v>
      </c>
      <c r="M618" s="142">
        <f t="shared" si="73"/>
        <v>0</v>
      </c>
      <c r="P618" s="12">
        <v>596</v>
      </c>
      <c r="Q618" s="142">
        <f>IF(T617&gt;0.01,-PMT($Q$8,$Q$9*12,$Q$6)+$Q$10*_xlfn.XLOOKUP($R$10,'RE Calculations'!$B$12:$B$16,'RE Calculations'!$C$12:$C$16,"ERROR - Check Input")/12,0)</f>
        <v>0</v>
      </c>
      <c r="R618" s="142">
        <f t="shared" si="74"/>
        <v>0</v>
      </c>
      <c r="S618" s="142">
        <f>IFERROR(-IPMT($Q$8,P618,$Q$9*12,$Q$6)+$Q$10*_xlfn.XLOOKUP($R$10,'RE Calculations'!$B$12:$B$16,'RE Calculations'!$C$12:$C$16,"ERROR - Check Input")/12,0)</f>
        <v>0</v>
      </c>
      <c r="T618" s="142">
        <f t="shared" si="75"/>
        <v>0</v>
      </c>
      <c r="W618" s="12">
        <v>596</v>
      </c>
      <c r="X618" s="142">
        <f>IF(AA617&gt;0.01,IF(W618&lt;=($X$9*12),$X$15,-PMT($X$11,($X$12-$X$9)*12,$X$6)+$X$13*_xlfn.XLOOKUP($Y$13,'RE Calculations'!$B$12:$B$16,'RE Calculations'!$C$12:$C$16,"ERROR - Check Input")/12),0)</f>
        <v>0</v>
      </c>
      <c r="Y618" s="142">
        <f t="shared" si="76"/>
        <v>0</v>
      </c>
      <c r="Z618" s="142">
        <f>IF(W618&lt;=($X$9*12),$X$15,IFERROR(-IPMT($X$11,W618-$X$9*12,($X$12-$X$9)*12,$X$6)+$X$13*_xlfn.XLOOKUP($Y$13,'RE Calculations'!$B$12:$B$16,'RE Calculations'!$C$12:$C$16,"ERROR - Check Input")/12,0))</f>
        <v>0</v>
      </c>
      <c r="AA618" s="142">
        <f t="shared" si="77"/>
        <v>0</v>
      </c>
    </row>
    <row r="619" spans="2:27" x14ac:dyDescent="0.35">
      <c r="B619" s="12">
        <v>597</v>
      </c>
      <c r="C619" s="142">
        <f>IF(F618&gt;0.01,-PMT($C$8,$C$9*12,$C$6)+$C$10*_xlfn.XLOOKUP($D$10,'RE Calculations'!$B$12:$B$16,'RE Calculations'!$C$12:$C$16,"ERROR - Check Input")/12,0)</f>
        <v>0</v>
      </c>
      <c r="D619" s="142">
        <f t="shared" si="78"/>
        <v>0</v>
      </c>
      <c r="E619" s="142">
        <f>IFERROR(-IPMT($C$8,B619,$C$9*12,$C$6)+$C$10*_xlfn.XLOOKUP($D$10,'RE Calculations'!$B$12:$B$16,'RE Calculations'!$C$12:$C$16,"ERROR - Check Input")/12,0)</f>
        <v>0</v>
      </c>
      <c r="F619" s="142">
        <f t="shared" si="79"/>
        <v>0</v>
      </c>
      <c r="I619" s="12">
        <v>597</v>
      </c>
      <c r="J619" s="142">
        <f>IF(M618&gt;0.01,IF(I619&lt;=($J$9*12),$J$15,-PMT($J$11,($J$12-$J$9)*12,$J$6)+$J$13*_xlfn.XLOOKUP($K$13,'RE Calculations'!$B$12:$B$16,'RE Calculations'!$C$12:$C$16,"ERROR - Check Input")/12),0)</f>
        <v>0</v>
      </c>
      <c r="K619" s="142">
        <f t="shared" si="72"/>
        <v>0</v>
      </c>
      <c r="L619" s="142">
        <f>IF(I619&lt;=($J$9*12),$J$15,IFERROR(-IPMT($J$11,I619-$J$9*12,($J$12-$J$9)*12,$J$6)+$J$13*_xlfn.XLOOKUP($K$13,'RE Calculations'!$B$12:$B$16,'RE Calculations'!$C$12:$C$16,"ERROR - Check Input")/12,0))</f>
        <v>0</v>
      </c>
      <c r="M619" s="142">
        <f t="shared" si="73"/>
        <v>0</v>
      </c>
      <c r="P619" s="12">
        <v>597</v>
      </c>
      <c r="Q619" s="142">
        <f>IF(T618&gt;0.01,-PMT($Q$8,$Q$9*12,$Q$6)+$Q$10*_xlfn.XLOOKUP($R$10,'RE Calculations'!$B$12:$B$16,'RE Calculations'!$C$12:$C$16,"ERROR - Check Input")/12,0)</f>
        <v>0</v>
      </c>
      <c r="R619" s="142">
        <f t="shared" si="74"/>
        <v>0</v>
      </c>
      <c r="S619" s="142">
        <f>IFERROR(-IPMT($Q$8,P619,$Q$9*12,$Q$6)+$Q$10*_xlfn.XLOOKUP($R$10,'RE Calculations'!$B$12:$B$16,'RE Calculations'!$C$12:$C$16,"ERROR - Check Input")/12,0)</f>
        <v>0</v>
      </c>
      <c r="T619" s="142">
        <f t="shared" si="75"/>
        <v>0</v>
      </c>
      <c r="W619" s="12">
        <v>597</v>
      </c>
      <c r="X619" s="142">
        <f>IF(AA618&gt;0.01,IF(W619&lt;=($X$9*12),$X$15,-PMT($X$11,($X$12-$X$9)*12,$X$6)+$X$13*_xlfn.XLOOKUP($Y$13,'RE Calculations'!$B$12:$B$16,'RE Calculations'!$C$12:$C$16,"ERROR - Check Input")/12),0)</f>
        <v>0</v>
      </c>
      <c r="Y619" s="142">
        <f t="shared" si="76"/>
        <v>0</v>
      </c>
      <c r="Z619" s="142">
        <f>IF(W619&lt;=($X$9*12),$X$15,IFERROR(-IPMT($X$11,W619-$X$9*12,($X$12-$X$9)*12,$X$6)+$X$13*_xlfn.XLOOKUP($Y$13,'RE Calculations'!$B$12:$B$16,'RE Calculations'!$C$12:$C$16,"ERROR - Check Input")/12,0))</f>
        <v>0</v>
      </c>
      <c r="AA619" s="142">
        <f t="shared" si="77"/>
        <v>0</v>
      </c>
    </row>
    <row r="620" spans="2:27" x14ac:dyDescent="0.35">
      <c r="B620" s="12">
        <v>598</v>
      </c>
      <c r="C620" s="142">
        <f>IF(F619&gt;0.01,-PMT($C$8,$C$9*12,$C$6)+$C$10*_xlfn.XLOOKUP($D$10,'RE Calculations'!$B$12:$B$16,'RE Calculations'!$C$12:$C$16,"ERROR - Check Input")/12,0)</f>
        <v>0</v>
      </c>
      <c r="D620" s="142">
        <f t="shared" si="78"/>
        <v>0</v>
      </c>
      <c r="E620" s="142">
        <f>IFERROR(-IPMT($C$8,B620,$C$9*12,$C$6)+$C$10*_xlfn.XLOOKUP($D$10,'RE Calculations'!$B$12:$B$16,'RE Calculations'!$C$12:$C$16,"ERROR - Check Input")/12,0)</f>
        <v>0</v>
      </c>
      <c r="F620" s="142">
        <f t="shared" si="79"/>
        <v>0</v>
      </c>
      <c r="I620" s="12">
        <v>598</v>
      </c>
      <c r="J620" s="142">
        <f>IF(M619&gt;0.01,IF(I620&lt;=($J$9*12),$J$15,-PMT($J$11,($J$12-$J$9)*12,$J$6)+$J$13*_xlfn.XLOOKUP($K$13,'RE Calculations'!$B$12:$B$16,'RE Calculations'!$C$12:$C$16,"ERROR - Check Input")/12),0)</f>
        <v>0</v>
      </c>
      <c r="K620" s="142">
        <f t="shared" si="72"/>
        <v>0</v>
      </c>
      <c r="L620" s="142">
        <f>IF(I620&lt;=($J$9*12),$J$15,IFERROR(-IPMT($J$11,I620-$J$9*12,($J$12-$J$9)*12,$J$6)+$J$13*_xlfn.XLOOKUP($K$13,'RE Calculations'!$B$12:$B$16,'RE Calculations'!$C$12:$C$16,"ERROR - Check Input")/12,0))</f>
        <v>0</v>
      </c>
      <c r="M620" s="142">
        <f t="shared" si="73"/>
        <v>0</v>
      </c>
      <c r="P620" s="12">
        <v>598</v>
      </c>
      <c r="Q620" s="142">
        <f>IF(T619&gt;0.01,-PMT($Q$8,$Q$9*12,$Q$6)+$Q$10*_xlfn.XLOOKUP($R$10,'RE Calculations'!$B$12:$B$16,'RE Calculations'!$C$12:$C$16,"ERROR - Check Input")/12,0)</f>
        <v>0</v>
      </c>
      <c r="R620" s="142">
        <f t="shared" si="74"/>
        <v>0</v>
      </c>
      <c r="S620" s="142">
        <f>IFERROR(-IPMT($Q$8,P620,$Q$9*12,$Q$6)+$Q$10*_xlfn.XLOOKUP($R$10,'RE Calculations'!$B$12:$B$16,'RE Calculations'!$C$12:$C$16,"ERROR - Check Input")/12,0)</f>
        <v>0</v>
      </c>
      <c r="T620" s="142">
        <f t="shared" si="75"/>
        <v>0</v>
      </c>
      <c r="W620" s="12">
        <v>598</v>
      </c>
      <c r="X620" s="142">
        <f>IF(AA619&gt;0.01,IF(W620&lt;=($X$9*12),$X$15,-PMT($X$11,($X$12-$X$9)*12,$X$6)+$X$13*_xlfn.XLOOKUP($Y$13,'RE Calculations'!$B$12:$B$16,'RE Calculations'!$C$12:$C$16,"ERROR - Check Input")/12),0)</f>
        <v>0</v>
      </c>
      <c r="Y620" s="142">
        <f t="shared" si="76"/>
        <v>0</v>
      </c>
      <c r="Z620" s="142">
        <f>IF(W620&lt;=($X$9*12),$X$15,IFERROR(-IPMT($X$11,W620-$X$9*12,($X$12-$X$9)*12,$X$6)+$X$13*_xlfn.XLOOKUP($Y$13,'RE Calculations'!$B$12:$B$16,'RE Calculations'!$C$12:$C$16,"ERROR - Check Input")/12,0))</f>
        <v>0</v>
      </c>
      <c r="AA620" s="142">
        <f t="shared" si="77"/>
        <v>0</v>
      </c>
    </row>
    <row r="621" spans="2:27" x14ac:dyDescent="0.35">
      <c r="B621" s="12">
        <v>599</v>
      </c>
      <c r="C621" s="142">
        <f>IF(F620&gt;0.01,-PMT($C$8,$C$9*12,$C$6)+$C$10*_xlfn.XLOOKUP($D$10,'RE Calculations'!$B$12:$B$16,'RE Calculations'!$C$12:$C$16,"ERROR - Check Input")/12,0)</f>
        <v>0</v>
      </c>
      <c r="D621" s="142">
        <f t="shared" si="78"/>
        <v>0</v>
      </c>
      <c r="E621" s="142">
        <f>IFERROR(-IPMT($C$8,B621,$C$9*12,$C$6)+$C$10*_xlfn.XLOOKUP($D$10,'RE Calculations'!$B$12:$B$16,'RE Calculations'!$C$12:$C$16,"ERROR - Check Input")/12,0)</f>
        <v>0</v>
      </c>
      <c r="F621" s="142">
        <f t="shared" si="79"/>
        <v>0</v>
      </c>
      <c r="I621" s="12">
        <v>599</v>
      </c>
      <c r="J621" s="142">
        <f>IF(M620&gt;0.01,IF(I621&lt;=($J$9*12),$J$15,-PMT($J$11,($J$12-$J$9)*12,$J$6)+$J$13*_xlfn.XLOOKUP($K$13,'RE Calculations'!$B$12:$B$16,'RE Calculations'!$C$12:$C$16,"ERROR - Check Input")/12),0)</f>
        <v>0</v>
      </c>
      <c r="K621" s="142">
        <f t="shared" si="72"/>
        <v>0</v>
      </c>
      <c r="L621" s="142">
        <f>IF(I621&lt;=($J$9*12),$J$15,IFERROR(-IPMT($J$11,I621-$J$9*12,($J$12-$J$9)*12,$J$6)+$J$13*_xlfn.XLOOKUP($K$13,'RE Calculations'!$B$12:$B$16,'RE Calculations'!$C$12:$C$16,"ERROR - Check Input")/12,0))</f>
        <v>0</v>
      </c>
      <c r="M621" s="142">
        <f t="shared" si="73"/>
        <v>0</v>
      </c>
      <c r="P621" s="12">
        <v>599</v>
      </c>
      <c r="Q621" s="142">
        <f>IF(T620&gt;0.01,-PMT($Q$8,$Q$9*12,$Q$6)+$Q$10*_xlfn.XLOOKUP($R$10,'RE Calculations'!$B$12:$B$16,'RE Calculations'!$C$12:$C$16,"ERROR - Check Input")/12,0)</f>
        <v>0</v>
      </c>
      <c r="R621" s="142">
        <f t="shared" si="74"/>
        <v>0</v>
      </c>
      <c r="S621" s="142">
        <f>IFERROR(-IPMT($Q$8,P621,$Q$9*12,$Q$6)+$Q$10*_xlfn.XLOOKUP($R$10,'RE Calculations'!$B$12:$B$16,'RE Calculations'!$C$12:$C$16,"ERROR - Check Input")/12,0)</f>
        <v>0</v>
      </c>
      <c r="T621" s="142">
        <f t="shared" si="75"/>
        <v>0</v>
      </c>
      <c r="W621" s="12">
        <v>599</v>
      </c>
      <c r="X621" s="142">
        <f>IF(AA620&gt;0.01,IF(W621&lt;=($X$9*12),$X$15,-PMT($X$11,($X$12-$X$9)*12,$X$6)+$X$13*_xlfn.XLOOKUP($Y$13,'RE Calculations'!$B$12:$B$16,'RE Calculations'!$C$12:$C$16,"ERROR - Check Input")/12),0)</f>
        <v>0</v>
      </c>
      <c r="Y621" s="142">
        <f t="shared" si="76"/>
        <v>0</v>
      </c>
      <c r="Z621" s="142">
        <f>IF(W621&lt;=($X$9*12),$X$15,IFERROR(-IPMT($X$11,W621-$X$9*12,($X$12-$X$9)*12,$X$6)+$X$13*_xlfn.XLOOKUP($Y$13,'RE Calculations'!$B$12:$B$16,'RE Calculations'!$C$12:$C$16,"ERROR - Check Input")/12,0))</f>
        <v>0</v>
      </c>
      <c r="AA621" s="142">
        <f t="shared" si="77"/>
        <v>0</v>
      </c>
    </row>
    <row r="622" spans="2:27" x14ac:dyDescent="0.35">
      <c r="B622" s="12">
        <v>600</v>
      </c>
      <c r="C622" s="142">
        <f>IF(F621&gt;0.01,-PMT($C$8,$C$9*12,$C$6)+$C$10*_xlfn.XLOOKUP($D$10,'RE Calculations'!$B$12:$B$16,'RE Calculations'!$C$12:$C$16,"ERROR - Check Input")/12,0)</f>
        <v>0</v>
      </c>
      <c r="D622" s="142">
        <f t="shared" si="78"/>
        <v>0</v>
      </c>
      <c r="E622" s="142">
        <f>IFERROR(-IPMT($C$8,B622,$C$9*12,$C$6)+$C$10*_xlfn.XLOOKUP($D$10,'RE Calculations'!$B$12:$B$16,'RE Calculations'!$C$12:$C$16,"ERROR - Check Input")/12,0)</f>
        <v>0</v>
      </c>
      <c r="F622" s="142">
        <f t="shared" si="79"/>
        <v>0</v>
      </c>
      <c r="I622" s="12">
        <v>600</v>
      </c>
      <c r="J622" s="142">
        <f>IF(M621&gt;0.01,IF(I622&lt;=($J$9*12),$J$15,-PMT($J$11,($J$12-$J$9)*12,$J$6)+$J$13*_xlfn.XLOOKUP($K$13,'RE Calculations'!$B$12:$B$16,'RE Calculations'!$C$12:$C$16,"ERROR - Check Input")/12),0)</f>
        <v>0</v>
      </c>
      <c r="K622" s="142">
        <f t="shared" si="72"/>
        <v>0</v>
      </c>
      <c r="L622" s="142">
        <f>IF(I622&lt;=($J$9*12),$J$15,IFERROR(-IPMT($J$11,I622-$J$9*12,($J$12-$J$9)*12,$J$6)+$J$13*_xlfn.XLOOKUP($K$13,'RE Calculations'!$B$12:$B$16,'RE Calculations'!$C$12:$C$16,"ERROR - Check Input")/12,0))</f>
        <v>0</v>
      </c>
      <c r="M622" s="142">
        <f t="shared" si="73"/>
        <v>0</v>
      </c>
      <c r="P622" s="12">
        <v>600</v>
      </c>
      <c r="Q622" s="142">
        <f>IF(T621&gt;0.01,-PMT($Q$8,$Q$9*12,$Q$6)+$Q$10*_xlfn.XLOOKUP($R$10,'RE Calculations'!$B$12:$B$16,'RE Calculations'!$C$12:$C$16,"ERROR - Check Input")/12,0)</f>
        <v>0</v>
      </c>
      <c r="R622" s="142">
        <f t="shared" si="74"/>
        <v>0</v>
      </c>
      <c r="S622" s="142">
        <f>IFERROR(-IPMT($Q$8,P622,$Q$9*12,$Q$6)+$Q$10*_xlfn.XLOOKUP($R$10,'RE Calculations'!$B$12:$B$16,'RE Calculations'!$C$12:$C$16,"ERROR - Check Input")/12,0)</f>
        <v>0</v>
      </c>
      <c r="T622" s="142">
        <f t="shared" si="75"/>
        <v>0</v>
      </c>
      <c r="W622" s="12">
        <v>600</v>
      </c>
      <c r="X622" s="142">
        <f>IF(AA621&gt;0.01,IF(W622&lt;=($X$9*12),$X$15,-PMT($X$11,($X$12-$X$9)*12,$X$6)+$X$13*_xlfn.XLOOKUP($Y$13,'RE Calculations'!$B$12:$B$16,'RE Calculations'!$C$12:$C$16,"ERROR - Check Input")/12),0)</f>
        <v>0</v>
      </c>
      <c r="Y622" s="142">
        <f t="shared" si="76"/>
        <v>0</v>
      </c>
      <c r="Z622" s="142">
        <f>IF(W622&lt;=($X$9*12),$X$15,IFERROR(-IPMT($X$11,W622-$X$9*12,($X$12-$X$9)*12,$X$6)+$X$13*_xlfn.XLOOKUP($Y$13,'RE Calculations'!$B$12:$B$16,'RE Calculations'!$C$12:$C$16,"ERROR - Check Input")/12,0))</f>
        <v>0</v>
      </c>
      <c r="AA622" s="142">
        <f t="shared" si="77"/>
        <v>0</v>
      </c>
    </row>
    <row r="623" spans="2:27" x14ac:dyDescent="0.35">
      <c r="B623" s="12">
        <v>601</v>
      </c>
      <c r="C623" s="142">
        <f>IF(F622&gt;0.01,-PMT($C$8,$C$9*12,$C$6)+$C$10*_xlfn.XLOOKUP($D$10,'RE Calculations'!$B$12:$B$16,'RE Calculations'!$C$12:$C$16,"ERROR - Check Input")/12,0)</f>
        <v>0</v>
      </c>
      <c r="D623" s="142">
        <f t="shared" si="78"/>
        <v>0</v>
      </c>
      <c r="E623" s="142">
        <f>IFERROR(-IPMT($C$8,B623,$C$9*12,$C$6)+$C$10*_xlfn.XLOOKUP($D$10,'RE Calculations'!$B$12:$B$16,'RE Calculations'!$C$12:$C$16,"ERROR - Check Input")/12,0)</f>
        <v>0</v>
      </c>
      <c r="F623" s="142">
        <f t="shared" si="79"/>
        <v>0</v>
      </c>
      <c r="I623" s="12">
        <v>601</v>
      </c>
      <c r="J623" s="142">
        <f>IF(M622&gt;0.01,IF(I623&lt;=($J$9*12),$J$15,-PMT($J$11,($J$12-$J$9)*12,$J$6)+$J$13*_xlfn.XLOOKUP($K$13,'RE Calculations'!$B$12:$B$16,'RE Calculations'!$C$12:$C$16,"ERROR - Check Input")/12),0)</f>
        <v>0</v>
      </c>
      <c r="K623" s="142">
        <f t="shared" si="72"/>
        <v>0</v>
      </c>
      <c r="L623" s="142">
        <f>IF(I623&lt;=($J$9*12),$J$15,IFERROR(-IPMT($J$11,I623-$J$9*12,($J$12-$J$9)*12,$J$6)+$J$13*_xlfn.XLOOKUP($K$13,'RE Calculations'!$B$12:$B$16,'RE Calculations'!$C$12:$C$16,"ERROR - Check Input")/12,0))</f>
        <v>0</v>
      </c>
      <c r="M623" s="142">
        <f t="shared" si="73"/>
        <v>0</v>
      </c>
      <c r="P623" s="12">
        <v>601</v>
      </c>
      <c r="Q623" s="142">
        <f>IF(T622&gt;0.01,-PMT($Q$8,$Q$9*12,$Q$6)+$Q$10*_xlfn.XLOOKUP($R$10,'RE Calculations'!$B$12:$B$16,'RE Calculations'!$C$12:$C$16,"ERROR - Check Input")/12,0)</f>
        <v>0</v>
      </c>
      <c r="R623" s="142">
        <f t="shared" si="74"/>
        <v>0</v>
      </c>
      <c r="S623" s="142">
        <f>IFERROR(-IPMT($Q$8,P623,$Q$9*12,$Q$6)+$Q$10*_xlfn.XLOOKUP($R$10,'RE Calculations'!$B$12:$B$16,'RE Calculations'!$C$12:$C$16,"ERROR - Check Input")/12,0)</f>
        <v>0</v>
      </c>
      <c r="T623" s="142">
        <f t="shared" si="75"/>
        <v>0</v>
      </c>
      <c r="W623" s="12">
        <v>601</v>
      </c>
      <c r="X623" s="142">
        <f>IF(AA622&gt;0.01,IF(W623&lt;=($X$9*12),$X$15,-PMT($X$11,($X$12-$X$9)*12,$X$6)+$X$13*_xlfn.XLOOKUP($Y$13,'RE Calculations'!$B$12:$B$16,'RE Calculations'!$C$12:$C$16,"ERROR - Check Input")/12),0)</f>
        <v>0</v>
      </c>
      <c r="Y623" s="142">
        <f t="shared" si="76"/>
        <v>0</v>
      </c>
      <c r="Z623" s="142">
        <f>IF(W623&lt;=($X$9*12),$X$15,IFERROR(-IPMT($X$11,W623-$X$9*12,($X$12-$X$9)*12,$X$6)+$X$13*_xlfn.XLOOKUP($Y$13,'RE Calculations'!$B$12:$B$16,'RE Calculations'!$C$12:$C$16,"ERROR - Check Input")/12,0))</f>
        <v>0</v>
      </c>
      <c r="AA623" s="142">
        <f t="shared" si="77"/>
        <v>0</v>
      </c>
    </row>
  </sheetData>
  <conditionalFormatting sqref="B22:F623">
    <cfRule type="expression" dxfId="22" priority="7">
      <formula>ISEVEN($B22)</formula>
    </cfRule>
  </conditionalFormatting>
  <conditionalFormatting sqref="I22">
    <cfRule type="expression" dxfId="21" priority="10">
      <formula>ISEVEN($I22)</formula>
    </cfRule>
  </conditionalFormatting>
  <conditionalFormatting sqref="J22:L22">
    <cfRule type="expression" dxfId="20" priority="5">
      <formula>ISEVEN($B22)</formula>
    </cfRule>
  </conditionalFormatting>
  <conditionalFormatting sqref="M22:M23 I23:M623">
    <cfRule type="expression" dxfId="19" priority="14">
      <formula>ISEVEN($I22)</formula>
    </cfRule>
  </conditionalFormatting>
  <conditionalFormatting sqref="P22">
    <cfRule type="expression" dxfId="18" priority="9">
      <formula>ISEVEN($P22)</formula>
    </cfRule>
  </conditionalFormatting>
  <conditionalFormatting sqref="Q22:S22">
    <cfRule type="expression" dxfId="17" priority="3">
      <formula>ISEVEN($B22)</formula>
    </cfRule>
  </conditionalFormatting>
  <conditionalFormatting sqref="T22:T23 P23:T623">
    <cfRule type="expression" dxfId="16" priority="13">
      <formula>ISEVEN($P22)</formula>
    </cfRule>
  </conditionalFormatting>
  <conditionalFormatting sqref="W22">
    <cfRule type="expression" dxfId="15" priority="8">
      <formula>ISEVEN($W22)</formula>
    </cfRule>
  </conditionalFormatting>
  <conditionalFormatting sqref="X22:Z22">
    <cfRule type="expression" dxfId="14" priority="1">
      <formula>ISEVEN($B22)</formula>
    </cfRule>
  </conditionalFormatting>
  <conditionalFormatting sqref="AA22:AA23 W23:AA623">
    <cfRule type="expression" dxfId="13" priority="12">
      <formula>ISEVEN($W22)</formula>
    </cfRule>
  </conditionalFormatting>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FDC9BDDA-E785-4DA3-BB20-DE4556B4055B}">
          <x14:formula1>
            <xm:f>'RE Calculations'!$B$12:$B$16</xm:f>
          </x14:formula1>
          <xm:sqref>Y13 R10</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510C0-5D6F-4667-BDD0-DC929FC0B15C}">
  <sheetPr>
    <tabColor theme="4"/>
  </sheetPr>
  <dimension ref="B1:AA73"/>
  <sheetViews>
    <sheetView showGridLines="0" zoomScaleNormal="100" workbookViewId="0">
      <selection activeCell="X22" sqref="X22:AA73"/>
    </sheetView>
  </sheetViews>
  <sheetFormatPr defaultRowHeight="14.5" x14ac:dyDescent="0.35"/>
  <cols>
    <col min="1" max="1" width="2.81640625" customWidth="1"/>
    <col min="2" max="2" width="35.54296875" bestFit="1" customWidth="1"/>
    <col min="3" max="4" width="12.81640625" customWidth="1"/>
    <col min="5" max="5" width="14.1796875" bestFit="1" customWidth="1"/>
    <col min="6" max="6" width="12.81640625" customWidth="1"/>
    <col min="7" max="8" width="5.1796875" customWidth="1"/>
    <col min="9" max="9" width="34.7265625" bestFit="1" customWidth="1"/>
    <col min="10" max="11" width="12.81640625" customWidth="1"/>
    <col min="12" max="12" width="14.1796875" bestFit="1" customWidth="1"/>
    <col min="13" max="13" width="12.81640625" customWidth="1"/>
    <col min="14" max="15" width="5.1796875" customWidth="1"/>
    <col min="16" max="16" width="35.54296875" bestFit="1" customWidth="1"/>
    <col min="17" max="18" width="12.81640625" customWidth="1"/>
    <col min="19" max="19" width="14.1796875" bestFit="1" customWidth="1"/>
    <col min="20" max="20" width="12.81640625" customWidth="1"/>
    <col min="21" max="22" width="5.1796875" customWidth="1"/>
    <col min="23" max="23" width="34.7265625" bestFit="1" customWidth="1"/>
    <col min="24" max="25" width="12.81640625" customWidth="1"/>
    <col min="26" max="26" width="14.1796875" bestFit="1" customWidth="1"/>
    <col min="27" max="27" width="12.81640625" customWidth="1"/>
  </cols>
  <sheetData>
    <row r="1" spans="2:27" x14ac:dyDescent="0.35">
      <c r="P1" s="24" t="s">
        <v>177</v>
      </c>
      <c r="W1" s="24" t="s">
        <v>177</v>
      </c>
    </row>
    <row r="2" spans="2:27" ht="15.5" x14ac:dyDescent="0.35">
      <c r="B2" s="64" t="s">
        <v>148</v>
      </c>
      <c r="C2" s="54"/>
      <c r="D2" s="54"/>
      <c r="E2" s="54"/>
      <c r="F2" s="54"/>
      <c r="I2" s="64" t="s">
        <v>149</v>
      </c>
      <c r="J2" s="54"/>
      <c r="K2" s="54"/>
      <c r="L2" s="54"/>
      <c r="M2" s="54"/>
      <c r="P2" s="64" t="s">
        <v>53</v>
      </c>
      <c r="Q2" s="54"/>
      <c r="R2" s="54"/>
      <c r="S2" s="54"/>
      <c r="T2" s="54"/>
      <c r="W2" s="64" t="s">
        <v>54</v>
      </c>
      <c r="X2" s="54"/>
      <c r="Y2" s="54"/>
      <c r="Z2" s="54"/>
      <c r="AA2" s="54"/>
    </row>
    <row r="3" spans="2:27" x14ac:dyDescent="0.35">
      <c r="B3" t="s">
        <v>6</v>
      </c>
      <c r="C3" s="142">
        <f>'Mortgage Calculators (By Month)'!C3</f>
        <v>1499950</v>
      </c>
      <c r="I3" t="s">
        <v>6</v>
      </c>
      <c r="J3" s="142">
        <f>'Mortgage Calculators (By Month)'!J3</f>
        <v>1499950</v>
      </c>
      <c r="P3" t="s">
        <v>6</v>
      </c>
      <c r="Q3" s="142">
        <f>'Mortgage Calculators (By Month)'!Q3</f>
        <v>1499950</v>
      </c>
      <c r="W3" t="s">
        <v>6</v>
      </c>
      <c r="X3" s="142">
        <f>'Mortgage Calculators (By Month)'!X3</f>
        <v>1499950</v>
      </c>
    </row>
    <row r="4" spans="2:27" x14ac:dyDescent="0.35">
      <c r="B4" t="s">
        <v>0</v>
      </c>
      <c r="C4" s="4">
        <f>'Mortgage Calculators (By Month)'!C4</f>
        <v>1</v>
      </c>
      <c r="I4" t="s">
        <v>0</v>
      </c>
      <c r="J4" s="4">
        <f>'Mortgage Calculators (By Month)'!J4</f>
        <v>1</v>
      </c>
      <c r="P4" t="s">
        <v>0</v>
      </c>
      <c r="Q4" s="4">
        <f>'Mortgage Calculators (By Month)'!Q4</f>
        <v>1</v>
      </c>
      <c r="W4" t="s">
        <v>0</v>
      </c>
      <c r="X4" s="4">
        <f>'Mortgage Calculators (By Month)'!X4</f>
        <v>1</v>
      </c>
    </row>
    <row r="5" spans="2:27" x14ac:dyDescent="0.35">
      <c r="B5" t="s">
        <v>1</v>
      </c>
      <c r="C5" s="142">
        <f>'Mortgage Calculators (By Month)'!C5</f>
        <v>1499950</v>
      </c>
      <c r="I5" t="s">
        <v>1</v>
      </c>
      <c r="J5" s="142">
        <f>'Mortgage Calculators (By Month)'!J5</f>
        <v>1499950</v>
      </c>
      <c r="P5" t="s">
        <v>1</v>
      </c>
      <c r="Q5" s="142">
        <f>'Mortgage Calculators (By Month)'!Q5</f>
        <v>1499950</v>
      </c>
      <c r="W5" t="s">
        <v>1</v>
      </c>
      <c r="X5" s="142">
        <f>'Mortgage Calculators (By Month)'!X5</f>
        <v>1499950</v>
      </c>
    </row>
    <row r="6" spans="2:27" x14ac:dyDescent="0.35">
      <c r="B6" t="s">
        <v>8</v>
      </c>
      <c r="C6" s="8">
        <f>'Mortgage Calculators (By Month)'!C6</f>
        <v>0</v>
      </c>
      <c r="I6" t="s">
        <v>8</v>
      </c>
      <c r="J6" s="8">
        <f>'Mortgage Calculators (By Month)'!J6</f>
        <v>0</v>
      </c>
      <c r="P6" t="s">
        <v>8</v>
      </c>
      <c r="Q6" s="142">
        <f>'Mortgage Calculators (By Month)'!Q6</f>
        <v>0</v>
      </c>
      <c r="W6" t="s">
        <v>8</v>
      </c>
      <c r="X6" s="142">
        <f>'Mortgage Calculators (By Month)'!X6</f>
        <v>0</v>
      </c>
    </row>
    <row r="7" spans="2:27" x14ac:dyDescent="0.35">
      <c r="B7" t="s">
        <v>11</v>
      </c>
      <c r="C7" s="4">
        <f>'Mortgage Calculators (By Month)'!C7</f>
        <v>4.4999999999999998E-2</v>
      </c>
      <c r="I7" t="s">
        <v>11</v>
      </c>
      <c r="J7" s="4">
        <f>'Mortgage Calculators (By Month)'!J7</f>
        <v>4.7500000000000001E-2</v>
      </c>
      <c r="P7" t="s">
        <v>11</v>
      </c>
      <c r="Q7" s="4">
        <f>'Mortgage Calculators (By Month)'!Q7</f>
        <v>0.06</v>
      </c>
      <c r="W7" t="s">
        <v>11</v>
      </c>
      <c r="X7" s="4">
        <f>'Mortgage Calculators (By Month)'!X7</f>
        <v>6.2E-2</v>
      </c>
    </row>
    <row r="8" spans="2:27" x14ac:dyDescent="0.35">
      <c r="B8" t="s">
        <v>133</v>
      </c>
      <c r="C8" s="9">
        <f>'Mortgage Calculators (By Month)'!C8</f>
        <v>3.7499999999999999E-3</v>
      </c>
      <c r="I8" t="s">
        <v>133</v>
      </c>
      <c r="J8" s="9">
        <f>'Mortgage Calculators (By Month)'!J8</f>
        <v>3.9583333333333337E-3</v>
      </c>
      <c r="P8" t="s">
        <v>133</v>
      </c>
      <c r="Q8" s="9">
        <f>'Mortgage Calculators (By Month)'!Q8</f>
        <v>5.0000000000000001E-3</v>
      </c>
      <c r="W8" t="s">
        <v>133</v>
      </c>
      <c r="X8" s="9">
        <f>'Mortgage Calculators (By Month)'!X8</f>
        <v>5.1666666666666666E-3</v>
      </c>
    </row>
    <row r="9" spans="2:27" x14ac:dyDescent="0.35">
      <c r="B9" t="s">
        <v>16</v>
      </c>
      <c r="C9">
        <f>'Mortgage Calculators (By Month)'!C9</f>
        <v>30</v>
      </c>
      <c r="I9" t="s">
        <v>49</v>
      </c>
      <c r="J9">
        <f>'Mortgage Calculators (By Month)'!J9</f>
        <v>5</v>
      </c>
      <c r="P9" t="s">
        <v>16</v>
      </c>
      <c r="Q9">
        <f>'Mortgage Calculators (By Month)'!Q9</f>
        <v>30</v>
      </c>
      <c r="W9" t="s">
        <v>49</v>
      </c>
      <c r="X9">
        <f>'Mortgage Calculators (By Month)'!X9</f>
        <v>5</v>
      </c>
    </row>
    <row r="10" spans="2:27" x14ac:dyDescent="0.35">
      <c r="B10" t="s">
        <v>48</v>
      </c>
      <c r="C10" s="142">
        <f>'Mortgage Calculators (By Month)'!C10</f>
        <v>100</v>
      </c>
      <c r="D10" t="str">
        <f>'Mortgage Calculators (By Month)'!D10</f>
        <v>per annum</v>
      </c>
      <c r="I10" t="s">
        <v>150</v>
      </c>
      <c r="J10" s="4">
        <f>'Mortgage Calculators (By Month)'!J10</f>
        <v>4.4999999999999998E-2</v>
      </c>
      <c r="P10" t="s">
        <v>48</v>
      </c>
      <c r="Q10" s="142">
        <f>'Mortgage Calculators (By Month)'!Q10</f>
        <v>100</v>
      </c>
      <c r="R10" t="str">
        <f>'Mortgage Calculators (By Month)'!R10</f>
        <v>per annum</v>
      </c>
      <c r="W10" t="s">
        <v>150</v>
      </c>
      <c r="X10" s="4">
        <f>'Mortgage Calculators (By Month)'!X10</f>
        <v>0.06</v>
      </c>
    </row>
    <row r="11" spans="2:27" x14ac:dyDescent="0.35">
      <c r="I11" t="s">
        <v>133</v>
      </c>
      <c r="J11" s="9">
        <f>'Mortgage Calculators (By Month)'!J11</f>
        <v>3.7499999999999999E-3</v>
      </c>
      <c r="W11" t="s">
        <v>133</v>
      </c>
      <c r="X11" s="9">
        <f>'Mortgage Calculators (By Month)'!X11</f>
        <v>5.0000000000000001E-3</v>
      </c>
    </row>
    <row r="12" spans="2:27" x14ac:dyDescent="0.35">
      <c r="B12" t="s">
        <v>52</v>
      </c>
      <c r="C12" s="142">
        <f>'Mortgage Calculators (By Month)'!C12</f>
        <v>8.3333333333333339</v>
      </c>
      <c r="I12" t="s">
        <v>50</v>
      </c>
      <c r="J12">
        <f>'Mortgage Calculators (By Month)'!J12</f>
        <v>30</v>
      </c>
      <c r="P12" t="s">
        <v>52</v>
      </c>
      <c r="Q12" s="142">
        <f>'Mortgage Calculators (By Month)'!Q12</f>
        <v>8.3333333333333339</v>
      </c>
      <c r="W12" t="s">
        <v>50</v>
      </c>
      <c r="X12">
        <f>'Mortgage Calculators (By Month)'!X12</f>
        <v>30</v>
      </c>
    </row>
    <row r="13" spans="2:27" x14ac:dyDescent="0.35">
      <c r="B13" t="s">
        <v>18</v>
      </c>
      <c r="C13" s="142">
        <f>'Mortgage Calculators (By Month)'!C13</f>
        <v>8.3333333333333339</v>
      </c>
      <c r="I13" t="s">
        <v>48</v>
      </c>
      <c r="J13" s="142">
        <f>'Mortgage Calculators (By Month)'!J13</f>
        <v>120</v>
      </c>
      <c r="K13" t="str">
        <f>'Mortgage Calculators (By Month)'!K13</f>
        <v>per annum</v>
      </c>
      <c r="P13" t="s">
        <v>18</v>
      </c>
      <c r="Q13" s="142">
        <f>'Mortgage Calculators (By Month)'!Q13</f>
        <v>8.3333333333333339</v>
      </c>
      <c r="W13" t="s">
        <v>48</v>
      </c>
      <c r="X13" s="142">
        <f>'Mortgage Calculators (By Month)'!X13</f>
        <v>120</v>
      </c>
      <c r="Y13" t="str">
        <f>'Mortgage Calculators (By Month)'!Y13</f>
        <v>per annum</v>
      </c>
    </row>
    <row r="15" spans="2:27" x14ac:dyDescent="0.35">
      <c r="I15" t="str">
        <f>"Montly Loan Payment (First "&amp;J9&amp;" Years)"</f>
        <v>Montly Loan Payment (First 5 Years)</v>
      </c>
      <c r="J15" s="142">
        <f>'Mortgage Calculators (By Month)'!J15</f>
        <v>10</v>
      </c>
      <c r="W15" t="str">
        <f>"Montly Loan Payment (First "&amp;X9&amp;" Years)"</f>
        <v>Montly Loan Payment (First 5 Years)</v>
      </c>
      <c r="X15" s="142">
        <f>'Mortgage Calculators (By Month)'!X15</f>
        <v>10</v>
      </c>
    </row>
    <row r="16" spans="2:27" x14ac:dyDescent="0.35">
      <c r="I16" t="str">
        <f>"Montly Loan Payment (After "&amp;J9&amp;" Years)"</f>
        <v>Montly Loan Payment (After 5 Years)</v>
      </c>
      <c r="J16" s="142">
        <f>'Mortgage Calculators (By Month)'!J16</f>
        <v>10</v>
      </c>
      <c r="W16" t="str">
        <f>"Montly Loan Payment (After "&amp;X9&amp;" Years)"</f>
        <v>Montly Loan Payment (After 5 Years)</v>
      </c>
      <c r="X16" s="142">
        <f>'Mortgage Calculators (By Month)'!X16</f>
        <v>10</v>
      </c>
    </row>
    <row r="17" spans="2:27" x14ac:dyDescent="0.35">
      <c r="I17" t="s">
        <v>18</v>
      </c>
      <c r="J17" s="142">
        <f>'Mortgage Calculators (By Month)'!J17</f>
        <v>10</v>
      </c>
      <c r="W17" t="s">
        <v>18</v>
      </c>
      <c r="X17" s="142">
        <f>'Mortgage Calculators (By Month)'!X17</f>
        <v>10</v>
      </c>
    </row>
    <row r="19" spans="2:27" x14ac:dyDescent="0.35">
      <c r="B19" s="46" t="s">
        <v>307</v>
      </c>
      <c r="C19" s="53" t="s">
        <v>24</v>
      </c>
      <c r="D19" s="53" t="s">
        <v>24</v>
      </c>
      <c r="E19" s="53" t="s">
        <v>24</v>
      </c>
      <c r="F19" s="54"/>
      <c r="I19" s="46" t="s">
        <v>307</v>
      </c>
      <c r="J19" s="53" t="s">
        <v>24</v>
      </c>
      <c r="K19" s="53" t="s">
        <v>24</v>
      </c>
      <c r="L19" s="53" t="s">
        <v>24</v>
      </c>
      <c r="M19" s="46"/>
      <c r="P19" s="46" t="s">
        <v>307</v>
      </c>
      <c r="Q19" s="53" t="s">
        <v>24</v>
      </c>
      <c r="R19" s="53" t="s">
        <v>24</v>
      </c>
      <c r="S19" s="53" t="s">
        <v>24</v>
      </c>
      <c r="T19" s="46"/>
      <c r="W19" s="46" t="s">
        <v>307</v>
      </c>
      <c r="X19" s="53" t="s">
        <v>24</v>
      </c>
      <c r="Y19" s="53" t="s">
        <v>24</v>
      </c>
      <c r="Z19" s="53" t="s">
        <v>24</v>
      </c>
      <c r="AA19" s="46"/>
    </row>
    <row r="20" spans="2:27" x14ac:dyDescent="0.35">
      <c r="B20" s="46"/>
      <c r="C20" s="143">
        <f>SUMIF(C23:C73,"&gt;0")</f>
        <v>0</v>
      </c>
      <c r="D20" s="143">
        <f>SUMIF(D23:D73,"&gt;0")</f>
        <v>0</v>
      </c>
      <c r="E20" s="143">
        <f>SUMIF(E23:E73,"&gt;0")</f>
        <v>2999.9999999999995</v>
      </c>
      <c r="F20" s="54"/>
      <c r="I20" s="46"/>
      <c r="J20" s="143">
        <f>SUMIF(J23:J73,"&gt;0")</f>
        <v>10</v>
      </c>
      <c r="K20" s="143">
        <f>SUMIF(K23:K73,"&gt;0")</f>
        <v>0</v>
      </c>
      <c r="L20" s="143">
        <f>SUMIF(L23:L73,"&gt;0")</f>
        <v>3600</v>
      </c>
      <c r="M20" s="55"/>
      <c r="P20" s="46"/>
      <c r="Q20" s="143">
        <f>SUMIF(Q23:Q73,"&gt;0")</f>
        <v>8.3333333333333339</v>
      </c>
      <c r="R20" s="143">
        <f>SUMIF(R23:R73,"&gt;0")</f>
        <v>0</v>
      </c>
      <c r="S20" s="143">
        <f>SUMIF(S23:S73,"&gt;0")</f>
        <v>2999.9999999999995</v>
      </c>
      <c r="T20" s="46"/>
      <c r="W20" s="46"/>
      <c r="X20" s="143">
        <f>SUMIF(X23:X73,"&gt;0")</f>
        <v>10</v>
      </c>
      <c r="Y20" s="143">
        <f>SUMIF(Y23:Y73,"&gt;0")</f>
        <v>0</v>
      </c>
      <c r="Z20" s="143">
        <f>SUMIF(Z23:Z73,"&gt;0")</f>
        <v>3600</v>
      </c>
      <c r="AA20" s="55"/>
    </row>
    <row r="21" spans="2:27" ht="24.75" customHeight="1" x14ac:dyDescent="0.35">
      <c r="B21" s="53" t="s">
        <v>19</v>
      </c>
      <c r="C21" s="53" t="s">
        <v>26</v>
      </c>
      <c r="D21" s="53" t="s">
        <v>27</v>
      </c>
      <c r="E21" s="53" t="str">
        <f>IF($C$10=0,"Interest","Interest + Fees")</f>
        <v>Interest + Fees</v>
      </c>
      <c r="F21" s="53" t="s">
        <v>28</v>
      </c>
      <c r="I21" s="53" t="s">
        <v>19</v>
      </c>
      <c r="J21" s="53" t="s">
        <v>26</v>
      </c>
      <c r="K21" s="53" t="s">
        <v>27</v>
      </c>
      <c r="L21" s="53" t="str">
        <f>IF($J$13=0,"Interest","Interest + Fees")</f>
        <v>Interest + Fees</v>
      </c>
      <c r="M21" s="53" t="s">
        <v>28</v>
      </c>
      <c r="P21" s="53" t="s">
        <v>19</v>
      </c>
      <c r="Q21" s="53" t="s">
        <v>26</v>
      </c>
      <c r="R21" s="53" t="s">
        <v>27</v>
      </c>
      <c r="S21" s="53" t="str">
        <f>IF($Q$10=0,"Interest","Interest + Fees")</f>
        <v>Interest + Fees</v>
      </c>
      <c r="T21" s="53" t="s">
        <v>28</v>
      </c>
      <c r="W21" s="53" t="s">
        <v>19</v>
      </c>
      <c r="X21" s="53" t="s">
        <v>26</v>
      </c>
      <c r="Y21" s="53" t="s">
        <v>27</v>
      </c>
      <c r="Z21" s="53" t="str">
        <f>IF($X$13=0,"Interest","Interest + Fees")</f>
        <v>Interest + Fees</v>
      </c>
      <c r="AA21" s="53" t="s">
        <v>28</v>
      </c>
    </row>
    <row r="22" spans="2:27" x14ac:dyDescent="0.35">
      <c r="B22" s="12">
        <v>0</v>
      </c>
      <c r="C22" s="142">
        <v>0</v>
      </c>
      <c r="D22" s="142">
        <v>0</v>
      </c>
      <c r="E22" s="142">
        <v>0</v>
      </c>
      <c r="F22" s="142">
        <f>C6-D22</f>
        <v>0</v>
      </c>
      <c r="I22" s="12">
        <v>0</v>
      </c>
      <c r="J22" s="142">
        <v>0</v>
      </c>
      <c r="K22" s="142">
        <v>0</v>
      </c>
      <c r="L22" s="142">
        <v>0</v>
      </c>
      <c r="M22" s="142">
        <f>J6-K22</f>
        <v>0</v>
      </c>
      <c r="P22" s="12">
        <v>0</v>
      </c>
      <c r="Q22" s="142">
        <v>0</v>
      </c>
      <c r="R22" s="142">
        <v>0</v>
      </c>
      <c r="S22" s="142">
        <v>0</v>
      </c>
      <c r="T22" s="142">
        <f>Q6-R22</f>
        <v>0</v>
      </c>
      <c r="W22" s="12">
        <v>0</v>
      </c>
      <c r="X22" s="142">
        <v>0</v>
      </c>
      <c r="Y22" s="142">
        <v>0</v>
      </c>
      <c r="Z22" s="142">
        <v>0</v>
      </c>
      <c r="AA22" s="142">
        <f>X6-Y22</f>
        <v>0</v>
      </c>
    </row>
    <row r="23" spans="2:27" x14ac:dyDescent="0.35">
      <c r="B23" s="12">
        <v>1</v>
      </c>
      <c r="C23" s="142">
        <f>IF($B23&lt;=$C$9,SUMIFS('Mortgage Calculators (By Month)'!$C$23:$C$623,'Mortgage Calculators (By Month)'!$B$23:$B$623,"&lt;="&amp;$B23*12,'Mortgage Calculators (By Month)'!$B$23:$B$623,"&gt;"&amp;0),0)</f>
        <v>0</v>
      </c>
      <c r="D23" s="142">
        <f>IF($B23&lt;=$C$9,SUMIFS('Mortgage Calculators (By Month)'!$D$23:$D$623,'Mortgage Calculators (By Month)'!$B$23:$B$623,"&lt;="&amp;$B23*12,'Mortgage Calculators (By Month)'!$B$23:$B$623,"&gt;"&amp;0),0)</f>
        <v>0</v>
      </c>
      <c r="E23" s="142">
        <f>IF($B23&lt;=$C$9,SUMIFS('Mortgage Calculators (By Month)'!$E$23:$E$623,'Mortgage Calculators (By Month)'!$B$23:$B$623,"&lt;="&amp;$B23*12,'Mortgage Calculators (By Month)'!$B$23:$B$623,"&gt;"&amp;0),0)</f>
        <v>99.999999999999986</v>
      </c>
      <c r="F23" s="142">
        <f t="shared" ref="F23:F54" si="0">IFERROR(F22-D23,0)</f>
        <v>0</v>
      </c>
      <c r="I23" s="12">
        <v>1</v>
      </c>
      <c r="J23" s="142">
        <f>IF($I23&lt;=$J$12,SUMIFS('Mortgage Calculators (By Month)'!$J$23:$J$623,'Mortgage Calculators (By Month)'!$I$23:$I$623,"&lt;="&amp;$I23*12,'Mortgage Calculators (By Month)'!$I$23:$I$623,"&gt;"&amp;0),0)</f>
        <v>10</v>
      </c>
      <c r="K23" s="142">
        <f>IF($I23&lt;=$J$12,SUMIFS('Mortgage Calculators (By Month)'!$K$23:$K$623,'Mortgage Calculators (By Month)'!$I$23:$I$623,"&lt;="&amp;$I23*12,'Mortgage Calculators (By Month)'!$I$23:$I$623,"&gt;"&amp;0),0)</f>
        <v>0</v>
      </c>
      <c r="L23" s="142">
        <f>IF($I23&lt;=$J$12,SUMIFS('Mortgage Calculators (By Month)'!$L$23:$L$623,'Mortgage Calculators (By Month)'!$I$23:$I$623,"&lt;="&amp;$I23*12,'Mortgage Calculators (By Month)'!$I$23:$I$623,"&gt;"&amp;0),0)</f>
        <v>120</v>
      </c>
      <c r="M23" s="142">
        <f t="shared" ref="M23:M54" si="1">IFERROR(M22-K23,0)</f>
        <v>0</v>
      </c>
      <c r="P23" s="12">
        <v>1</v>
      </c>
      <c r="Q23" s="142">
        <f>IF($P23&lt;=$Q$9,SUMIFS('Mortgage Calculators (By Month)'!$Q$23:$Q$623,'Mortgage Calculators (By Month)'!$P$23:$P$623,"&lt;="&amp;$P23*12,'Mortgage Calculators (By Month)'!$P$23:$P$623,"&gt;"&amp;0),0)</f>
        <v>8.3333333333333339</v>
      </c>
      <c r="R23" s="142">
        <f>IF($P23&lt;=$Q$9,SUMIFS('Mortgage Calculators (By Month)'!$R$23:$R$623,'Mortgage Calculators (By Month)'!$P$23:$P$623,"&lt;="&amp;$P23*12,'Mortgage Calculators (By Month)'!$P$23:$P$623,"&gt;"&amp;0),0)</f>
        <v>0</v>
      </c>
      <c r="S23" s="142">
        <f>IF($P23&lt;=$Q$9,SUMIFS('Mortgage Calculators (By Month)'!$S$23:$S$623,'Mortgage Calculators (By Month)'!$P$23:$P$623,"&lt;="&amp;$P23*12,'Mortgage Calculators (By Month)'!$P$23:$P$623,"&gt;"&amp;0),0)</f>
        <v>99.999999999999986</v>
      </c>
      <c r="T23" s="142">
        <f t="shared" ref="T23:T54" si="2">IFERROR(T22-R23,0)</f>
        <v>0</v>
      </c>
      <c r="W23" s="12">
        <v>1</v>
      </c>
      <c r="X23" s="142">
        <f>IF($W23&lt;=$X$12,SUMIFS('Mortgage Calculators (By Month)'!$X$23:$X$623,'Mortgage Calculators (By Month)'!$W$23:$W$623,"&lt;="&amp;$W23*12,'Mortgage Calculators (By Month)'!$W$23:$W$623,"&gt;"&amp;0),0)</f>
        <v>10</v>
      </c>
      <c r="Y23" s="142">
        <f>IF($W23&lt;=$X$12,SUMIFS('Mortgage Calculators (By Month)'!$Y$23:$Y$623,'Mortgage Calculators (By Month)'!$W$23:$W$623,"&lt;="&amp;$W23*12,'Mortgage Calculators (By Month)'!$W$23:$W$623,"&gt;"&amp;0),0)</f>
        <v>0</v>
      </c>
      <c r="Z23" s="142">
        <f>IF($W23&lt;=$X$12,SUMIFS('Mortgage Calculators (By Month)'!$Z$23:$Z$623,'Mortgage Calculators (By Month)'!$W$23:$W$623,"&lt;="&amp;$W23*12,'Mortgage Calculators (By Month)'!$W$23:$W$623,"&gt;"&amp;0),0)</f>
        <v>120</v>
      </c>
      <c r="AA23" s="142">
        <f t="shared" ref="AA23:AA54" si="3">IFERROR(AA22-Y23,0)</f>
        <v>0</v>
      </c>
    </row>
    <row r="24" spans="2:27" x14ac:dyDescent="0.35">
      <c r="B24" s="12">
        <v>2</v>
      </c>
      <c r="C24" s="142">
        <f>IF($B24&lt;=$C$9,SUMIFS('Mortgage Calculators (By Month)'!$C$23:$C$623,'Mortgage Calculators (By Month)'!$B$23:$B$623,"&lt;="&amp;$B24*12,'Mortgage Calculators (By Month)'!$B$23:$B$623,"&gt;"&amp;$B23*12),0)</f>
        <v>0</v>
      </c>
      <c r="D24" s="142">
        <f>IF($B24&lt;=$C$9,SUMIFS('Mortgage Calculators (By Month)'!$D$23:$D$623,'Mortgage Calculators (By Month)'!$B$23:$B$623,"&lt;="&amp;$B24*12,'Mortgage Calculators (By Month)'!$B$23:$B$623,"&gt;"&amp;$B23*12),0)</f>
        <v>0</v>
      </c>
      <c r="E24" s="142">
        <f>IF($B24&lt;=$C$9,SUMIFS('Mortgage Calculators (By Month)'!$E$23:$E$623,'Mortgage Calculators (By Month)'!$B$23:$B$623,"&lt;="&amp;$B24*12,'Mortgage Calculators (By Month)'!$B$23:$B$623,"&gt;"&amp;$B23*12),0)</f>
        <v>99.999999999999986</v>
      </c>
      <c r="F24" s="142">
        <f t="shared" si="0"/>
        <v>0</v>
      </c>
      <c r="I24" s="12">
        <v>2</v>
      </c>
      <c r="J24" s="142">
        <f>IF($I24&lt;=$J$12,SUMIFS('Mortgage Calculators (By Month)'!$J$23:$J$623,'Mortgage Calculators (By Month)'!$I$23:$I$623,"&lt;="&amp;$I24*12,'Mortgage Calculators (By Month)'!$I$23:$I$623,"&gt;"&amp;$I23*12),0)</f>
        <v>0</v>
      </c>
      <c r="K24" s="142">
        <f>IF($I24&lt;=$J$12,SUMIFS('Mortgage Calculators (By Month)'!$K$23:$K$623,'Mortgage Calculators (By Month)'!$I$23:$I$623,"&lt;="&amp;$I24*12,'Mortgage Calculators (By Month)'!$I$23:$I$623,"&gt;"&amp;$I23*12),0)</f>
        <v>0</v>
      </c>
      <c r="L24" s="142">
        <f>IF($I24&lt;=$J$12,SUMIFS('Mortgage Calculators (By Month)'!$L$23:$L$623,'Mortgage Calculators (By Month)'!$I$23:$I$623,"&lt;="&amp;$I24*12,'Mortgage Calculators (By Month)'!$I$23:$I$623,"&gt;"&amp;$I23*12),0)</f>
        <v>120</v>
      </c>
      <c r="M24" s="142">
        <f t="shared" si="1"/>
        <v>0</v>
      </c>
      <c r="P24" s="12">
        <v>2</v>
      </c>
      <c r="Q24" s="142">
        <f>IF($P24&lt;=$Q$9,SUMIFS('Mortgage Calculators (By Month)'!$Q$23:$Q$623,'Mortgage Calculators (By Month)'!$P$23:$P$623,"&lt;="&amp;$P24*12,'Mortgage Calculators (By Month)'!$P$23:$P$623,"&gt;"&amp;$P23*12),0)</f>
        <v>0</v>
      </c>
      <c r="R24" s="142">
        <f>IF($P24&lt;=$Q$9,SUMIFS('Mortgage Calculators (By Month)'!$R$23:$R$623,'Mortgage Calculators (By Month)'!$P$23:$P$623,"&lt;="&amp;$P24*12,'Mortgage Calculators (By Month)'!$P$23:$P$623,"&gt;"&amp;$P23*12),0)</f>
        <v>0</v>
      </c>
      <c r="S24" s="142">
        <f>IF($P24&lt;=$Q$9,SUMIFS('Mortgage Calculators (By Month)'!$S$23:$S$623,'Mortgage Calculators (By Month)'!$P$23:$P$623,"&lt;="&amp;$P24*12,'Mortgage Calculators (By Month)'!$P$23:$P$623,"&gt;"&amp;$P23*12),0)</f>
        <v>99.999999999999986</v>
      </c>
      <c r="T24" s="142">
        <f t="shared" si="2"/>
        <v>0</v>
      </c>
      <c r="W24" s="12">
        <v>2</v>
      </c>
      <c r="X24" s="142">
        <f>IF($W24&lt;=$X$12,SUMIFS('Mortgage Calculators (By Month)'!$X$23:$X$623,'Mortgage Calculators (By Month)'!$W$23:$W$623,"&lt;="&amp;$W24*12,'Mortgage Calculators (By Month)'!$W$23:$W$623,"&gt;"&amp;$W23*12),0)</f>
        <v>0</v>
      </c>
      <c r="Y24" s="142">
        <f>IF($W24&lt;=$X$12,SUMIFS('Mortgage Calculators (By Month)'!$Y$23:$Y$623,'Mortgage Calculators (By Month)'!$W$23:$W$623,"&lt;="&amp;$W24*12,'Mortgage Calculators (By Month)'!$W$23:$W$623,"&gt;"&amp;$W23*12),0)</f>
        <v>0</v>
      </c>
      <c r="Z24" s="142">
        <f>IF($W24&lt;=$X$12,SUMIFS('Mortgage Calculators (By Month)'!$Z$23:$Z$623,'Mortgage Calculators (By Month)'!$W$23:$W$623,"&lt;="&amp;$W24*12,'Mortgage Calculators (By Month)'!$W$23:$W$623,"&gt;"&amp;$W23*12),0)</f>
        <v>120</v>
      </c>
      <c r="AA24" s="142">
        <f t="shared" si="3"/>
        <v>0</v>
      </c>
    </row>
    <row r="25" spans="2:27" x14ac:dyDescent="0.35">
      <c r="B25" s="12">
        <v>3</v>
      </c>
      <c r="C25" s="142">
        <f>IF($B25&lt;=$C$9,SUMIFS('Mortgage Calculators (By Month)'!$C$23:$C$623,'Mortgage Calculators (By Month)'!$B$23:$B$623,"&lt;="&amp;$B25*12,'Mortgage Calculators (By Month)'!$B$23:$B$623,"&gt;"&amp;$B24*12),0)</f>
        <v>0</v>
      </c>
      <c r="D25" s="142">
        <f>IF($B25&lt;=$C$9,SUMIFS('Mortgage Calculators (By Month)'!$D$23:$D$623,'Mortgage Calculators (By Month)'!$B$23:$B$623,"&lt;="&amp;$B25*12,'Mortgage Calculators (By Month)'!$B$23:$B$623,"&gt;"&amp;$B24*12),0)</f>
        <v>0</v>
      </c>
      <c r="E25" s="142">
        <f>IF($B25&lt;=$C$9,SUMIFS('Mortgage Calculators (By Month)'!$E$23:$E$623,'Mortgage Calculators (By Month)'!$B$23:$B$623,"&lt;="&amp;$B25*12,'Mortgage Calculators (By Month)'!$B$23:$B$623,"&gt;"&amp;$B24*12),0)</f>
        <v>99.999999999999986</v>
      </c>
      <c r="F25" s="142">
        <f t="shared" si="0"/>
        <v>0</v>
      </c>
      <c r="I25" s="12">
        <v>3</v>
      </c>
      <c r="J25" s="142">
        <f>IF($I25&lt;=$J$12,SUMIFS('Mortgage Calculators (By Month)'!$J$23:$J$623,'Mortgage Calculators (By Month)'!$I$23:$I$623,"&lt;="&amp;$I25*12,'Mortgage Calculators (By Month)'!$I$23:$I$623,"&gt;"&amp;$I24*12),0)</f>
        <v>0</v>
      </c>
      <c r="K25" s="142">
        <f>IF($I25&lt;=$J$12,SUMIFS('Mortgage Calculators (By Month)'!$K$23:$K$623,'Mortgage Calculators (By Month)'!$I$23:$I$623,"&lt;="&amp;$I25*12,'Mortgage Calculators (By Month)'!$I$23:$I$623,"&gt;"&amp;$I24*12),0)</f>
        <v>0</v>
      </c>
      <c r="L25" s="142">
        <f>IF($I25&lt;=$J$12,SUMIFS('Mortgage Calculators (By Month)'!$L$23:$L$623,'Mortgage Calculators (By Month)'!$I$23:$I$623,"&lt;="&amp;$I25*12,'Mortgage Calculators (By Month)'!$I$23:$I$623,"&gt;"&amp;$I24*12),0)</f>
        <v>120</v>
      </c>
      <c r="M25" s="142">
        <f t="shared" si="1"/>
        <v>0</v>
      </c>
      <c r="P25" s="12">
        <v>3</v>
      </c>
      <c r="Q25" s="142">
        <f>IF($P25&lt;=$Q$9,SUMIFS('Mortgage Calculators (By Month)'!$Q$23:$Q$623,'Mortgage Calculators (By Month)'!$P$23:$P$623,"&lt;="&amp;$P25*12,'Mortgage Calculators (By Month)'!$P$23:$P$623,"&gt;"&amp;$P24*12),0)</f>
        <v>0</v>
      </c>
      <c r="R25" s="142">
        <f>IF($P25&lt;=$Q$9,SUMIFS('Mortgage Calculators (By Month)'!$R$23:$R$623,'Mortgage Calculators (By Month)'!$P$23:$P$623,"&lt;="&amp;$P25*12,'Mortgage Calculators (By Month)'!$P$23:$P$623,"&gt;"&amp;$P24*12),0)</f>
        <v>0</v>
      </c>
      <c r="S25" s="142">
        <f>IF($P25&lt;=$Q$9,SUMIFS('Mortgage Calculators (By Month)'!$S$23:$S$623,'Mortgage Calculators (By Month)'!$P$23:$P$623,"&lt;="&amp;$P25*12,'Mortgage Calculators (By Month)'!$P$23:$P$623,"&gt;"&amp;$P24*12),0)</f>
        <v>99.999999999999986</v>
      </c>
      <c r="T25" s="142">
        <f t="shared" si="2"/>
        <v>0</v>
      </c>
      <c r="W25" s="12">
        <v>3</v>
      </c>
      <c r="X25" s="142">
        <f>IF($W25&lt;=$X$12,SUMIFS('Mortgage Calculators (By Month)'!$X$23:$X$623,'Mortgage Calculators (By Month)'!$W$23:$W$623,"&lt;="&amp;$W25*12,'Mortgage Calculators (By Month)'!$W$23:$W$623,"&gt;"&amp;$W24*12),0)</f>
        <v>0</v>
      </c>
      <c r="Y25" s="142">
        <f>IF($W25&lt;=$X$12,SUMIFS('Mortgage Calculators (By Month)'!$Y$23:$Y$623,'Mortgage Calculators (By Month)'!$W$23:$W$623,"&lt;="&amp;$W25*12,'Mortgage Calculators (By Month)'!$W$23:$W$623,"&gt;"&amp;$W24*12),0)</f>
        <v>0</v>
      </c>
      <c r="Z25" s="142">
        <f>IF($W25&lt;=$X$12,SUMIFS('Mortgage Calculators (By Month)'!$Z$23:$Z$623,'Mortgage Calculators (By Month)'!$W$23:$W$623,"&lt;="&amp;$W25*12,'Mortgage Calculators (By Month)'!$W$23:$W$623,"&gt;"&amp;$W24*12),0)</f>
        <v>120</v>
      </c>
      <c r="AA25" s="142">
        <f t="shared" si="3"/>
        <v>0</v>
      </c>
    </row>
    <row r="26" spans="2:27" x14ac:dyDescent="0.35">
      <c r="B26" s="12">
        <v>4</v>
      </c>
      <c r="C26" s="142">
        <f>IF($B26&lt;=$C$9,SUMIFS('Mortgage Calculators (By Month)'!$C$23:$C$623,'Mortgage Calculators (By Month)'!$B$23:$B$623,"&lt;="&amp;$B26*12,'Mortgage Calculators (By Month)'!$B$23:$B$623,"&gt;"&amp;$B25*12),0)</f>
        <v>0</v>
      </c>
      <c r="D26" s="142">
        <f>IF($B26&lt;=$C$9,SUMIFS('Mortgage Calculators (By Month)'!$D$23:$D$623,'Mortgage Calculators (By Month)'!$B$23:$B$623,"&lt;="&amp;$B26*12,'Mortgage Calculators (By Month)'!$B$23:$B$623,"&gt;"&amp;$B25*12),0)</f>
        <v>0</v>
      </c>
      <c r="E26" s="142">
        <f>IF($B26&lt;=$C$9,SUMIFS('Mortgage Calculators (By Month)'!$E$23:$E$623,'Mortgage Calculators (By Month)'!$B$23:$B$623,"&lt;="&amp;$B26*12,'Mortgage Calculators (By Month)'!$B$23:$B$623,"&gt;"&amp;$B25*12),0)</f>
        <v>99.999999999999986</v>
      </c>
      <c r="F26" s="142">
        <f t="shared" si="0"/>
        <v>0</v>
      </c>
      <c r="I26" s="12">
        <v>4</v>
      </c>
      <c r="J26" s="142">
        <f>IF($I26&lt;=$J$12,SUMIFS('Mortgage Calculators (By Month)'!$J$23:$J$623,'Mortgage Calculators (By Month)'!$I$23:$I$623,"&lt;="&amp;$I26*12,'Mortgage Calculators (By Month)'!$I$23:$I$623,"&gt;"&amp;$I25*12),0)</f>
        <v>0</v>
      </c>
      <c r="K26" s="142">
        <f>IF($I26&lt;=$J$12,SUMIFS('Mortgage Calculators (By Month)'!$K$23:$K$623,'Mortgage Calculators (By Month)'!$I$23:$I$623,"&lt;="&amp;$I26*12,'Mortgage Calculators (By Month)'!$I$23:$I$623,"&gt;"&amp;$I25*12),0)</f>
        <v>0</v>
      </c>
      <c r="L26" s="142">
        <f>IF($I26&lt;=$J$12,SUMIFS('Mortgage Calculators (By Month)'!$L$23:$L$623,'Mortgage Calculators (By Month)'!$I$23:$I$623,"&lt;="&amp;$I26*12,'Mortgage Calculators (By Month)'!$I$23:$I$623,"&gt;"&amp;$I25*12),0)</f>
        <v>120</v>
      </c>
      <c r="M26" s="142">
        <f t="shared" si="1"/>
        <v>0</v>
      </c>
      <c r="P26" s="12">
        <v>4</v>
      </c>
      <c r="Q26" s="142">
        <f>IF($P26&lt;=$Q$9,SUMIFS('Mortgage Calculators (By Month)'!$Q$23:$Q$623,'Mortgage Calculators (By Month)'!$P$23:$P$623,"&lt;="&amp;$P26*12,'Mortgage Calculators (By Month)'!$P$23:$P$623,"&gt;"&amp;$P25*12),0)</f>
        <v>0</v>
      </c>
      <c r="R26" s="142">
        <f>IF($P26&lt;=$Q$9,SUMIFS('Mortgage Calculators (By Month)'!$R$23:$R$623,'Mortgage Calculators (By Month)'!$P$23:$P$623,"&lt;="&amp;$P26*12,'Mortgage Calculators (By Month)'!$P$23:$P$623,"&gt;"&amp;$P25*12),0)</f>
        <v>0</v>
      </c>
      <c r="S26" s="142">
        <f>IF($P26&lt;=$Q$9,SUMIFS('Mortgage Calculators (By Month)'!$S$23:$S$623,'Mortgage Calculators (By Month)'!$P$23:$P$623,"&lt;="&amp;$P26*12,'Mortgage Calculators (By Month)'!$P$23:$P$623,"&gt;"&amp;$P25*12),0)</f>
        <v>99.999999999999986</v>
      </c>
      <c r="T26" s="142">
        <f t="shared" si="2"/>
        <v>0</v>
      </c>
      <c r="W26" s="12">
        <v>4</v>
      </c>
      <c r="X26" s="142">
        <f>IF($W26&lt;=$X$12,SUMIFS('Mortgage Calculators (By Month)'!$X$23:$X$623,'Mortgage Calculators (By Month)'!$W$23:$W$623,"&lt;="&amp;$W26*12,'Mortgage Calculators (By Month)'!$W$23:$W$623,"&gt;"&amp;$W25*12),0)</f>
        <v>0</v>
      </c>
      <c r="Y26" s="142">
        <f>IF($W26&lt;=$X$12,SUMIFS('Mortgage Calculators (By Month)'!$Y$23:$Y$623,'Mortgage Calculators (By Month)'!$W$23:$W$623,"&lt;="&amp;$W26*12,'Mortgage Calculators (By Month)'!$W$23:$W$623,"&gt;"&amp;$W25*12),0)</f>
        <v>0</v>
      </c>
      <c r="Z26" s="142">
        <f>IF($W26&lt;=$X$12,SUMIFS('Mortgage Calculators (By Month)'!$Z$23:$Z$623,'Mortgage Calculators (By Month)'!$W$23:$W$623,"&lt;="&amp;$W26*12,'Mortgage Calculators (By Month)'!$W$23:$W$623,"&gt;"&amp;$W25*12),0)</f>
        <v>120</v>
      </c>
      <c r="AA26" s="142">
        <f t="shared" si="3"/>
        <v>0</v>
      </c>
    </row>
    <row r="27" spans="2:27" x14ac:dyDescent="0.35">
      <c r="B27" s="12">
        <v>5</v>
      </c>
      <c r="C27" s="142">
        <f>IF($B27&lt;=$C$9,SUMIFS('Mortgage Calculators (By Month)'!$C$23:$C$623,'Mortgage Calculators (By Month)'!$B$23:$B$623,"&lt;="&amp;$B27*12,'Mortgage Calculators (By Month)'!$B$23:$B$623,"&gt;"&amp;$B26*12),0)</f>
        <v>0</v>
      </c>
      <c r="D27" s="142">
        <f>IF($B27&lt;=$C$9,SUMIFS('Mortgage Calculators (By Month)'!$D$23:$D$623,'Mortgage Calculators (By Month)'!$B$23:$B$623,"&lt;="&amp;$B27*12,'Mortgage Calculators (By Month)'!$B$23:$B$623,"&gt;"&amp;$B26*12),0)</f>
        <v>0</v>
      </c>
      <c r="E27" s="142">
        <f>IF($B27&lt;=$C$9,SUMIFS('Mortgage Calculators (By Month)'!$E$23:$E$623,'Mortgage Calculators (By Month)'!$B$23:$B$623,"&lt;="&amp;$B27*12,'Mortgage Calculators (By Month)'!$B$23:$B$623,"&gt;"&amp;$B26*12),0)</f>
        <v>99.999999999999986</v>
      </c>
      <c r="F27" s="142">
        <f t="shared" si="0"/>
        <v>0</v>
      </c>
      <c r="I27" s="12">
        <v>5</v>
      </c>
      <c r="J27" s="142">
        <f>IF($I27&lt;=$J$12,SUMIFS('Mortgage Calculators (By Month)'!$J$23:$J$623,'Mortgage Calculators (By Month)'!$I$23:$I$623,"&lt;="&amp;$I27*12,'Mortgage Calculators (By Month)'!$I$23:$I$623,"&gt;"&amp;$I26*12),0)</f>
        <v>0</v>
      </c>
      <c r="K27" s="142">
        <f>IF($I27&lt;=$J$12,SUMIFS('Mortgage Calculators (By Month)'!$K$23:$K$623,'Mortgage Calculators (By Month)'!$I$23:$I$623,"&lt;="&amp;$I27*12,'Mortgage Calculators (By Month)'!$I$23:$I$623,"&gt;"&amp;$I26*12),0)</f>
        <v>0</v>
      </c>
      <c r="L27" s="142">
        <f>IF($I27&lt;=$J$12,SUMIFS('Mortgage Calculators (By Month)'!$L$23:$L$623,'Mortgage Calculators (By Month)'!$I$23:$I$623,"&lt;="&amp;$I27*12,'Mortgage Calculators (By Month)'!$I$23:$I$623,"&gt;"&amp;$I26*12),0)</f>
        <v>120</v>
      </c>
      <c r="M27" s="142">
        <f t="shared" si="1"/>
        <v>0</v>
      </c>
      <c r="P27" s="12">
        <v>5</v>
      </c>
      <c r="Q27" s="142">
        <f>IF($P27&lt;=$Q$9,SUMIFS('Mortgage Calculators (By Month)'!$Q$23:$Q$623,'Mortgage Calculators (By Month)'!$P$23:$P$623,"&lt;="&amp;$P27*12,'Mortgage Calculators (By Month)'!$P$23:$P$623,"&gt;"&amp;$P26*12),0)</f>
        <v>0</v>
      </c>
      <c r="R27" s="142">
        <f>IF($P27&lt;=$Q$9,SUMIFS('Mortgage Calculators (By Month)'!$R$23:$R$623,'Mortgage Calculators (By Month)'!$P$23:$P$623,"&lt;="&amp;$P27*12,'Mortgage Calculators (By Month)'!$P$23:$P$623,"&gt;"&amp;$P26*12),0)</f>
        <v>0</v>
      </c>
      <c r="S27" s="142">
        <f>IF($P27&lt;=$Q$9,SUMIFS('Mortgage Calculators (By Month)'!$S$23:$S$623,'Mortgage Calculators (By Month)'!$P$23:$P$623,"&lt;="&amp;$P27*12,'Mortgage Calculators (By Month)'!$P$23:$P$623,"&gt;"&amp;$P26*12),0)</f>
        <v>99.999999999999986</v>
      </c>
      <c r="T27" s="142">
        <f t="shared" si="2"/>
        <v>0</v>
      </c>
      <c r="W27" s="12">
        <v>5</v>
      </c>
      <c r="X27" s="142">
        <f>IF($W27&lt;=$X$12,SUMIFS('Mortgage Calculators (By Month)'!$X$23:$X$623,'Mortgage Calculators (By Month)'!$W$23:$W$623,"&lt;="&amp;$W27*12,'Mortgage Calculators (By Month)'!$W$23:$W$623,"&gt;"&amp;$W26*12),0)</f>
        <v>0</v>
      </c>
      <c r="Y27" s="142">
        <f>IF($W27&lt;=$X$12,SUMIFS('Mortgage Calculators (By Month)'!$Y$23:$Y$623,'Mortgage Calculators (By Month)'!$W$23:$W$623,"&lt;="&amp;$W27*12,'Mortgage Calculators (By Month)'!$W$23:$W$623,"&gt;"&amp;$W26*12),0)</f>
        <v>0</v>
      </c>
      <c r="Z27" s="142">
        <f>IF($W27&lt;=$X$12,SUMIFS('Mortgage Calculators (By Month)'!$Z$23:$Z$623,'Mortgage Calculators (By Month)'!$W$23:$W$623,"&lt;="&amp;$W27*12,'Mortgage Calculators (By Month)'!$W$23:$W$623,"&gt;"&amp;$W26*12),0)</f>
        <v>120</v>
      </c>
      <c r="AA27" s="142">
        <f t="shared" si="3"/>
        <v>0</v>
      </c>
    </row>
    <row r="28" spans="2:27" x14ac:dyDescent="0.35">
      <c r="B28" s="12">
        <v>6</v>
      </c>
      <c r="C28" s="142">
        <f>IF($B28&lt;=$C$9,SUMIFS('Mortgage Calculators (By Month)'!$C$23:$C$623,'Mortgage Calculators (By Month)'!$B$23:$B$623,"&lt;="&amp;$B28*12,'Mortgage Calculators (By Month)'!$B$23:$B$623,"&gt;"&amp;$B27*12),0)</f>
        <v>0</v>
      </c>
      <c r="D28" s="142">
        <f>IF($B28&lt;=$C$9,SUMIFS('Mortgage Calculators (By Month)'!$D$23:$D$623,'Mortgage Calculators (By Month)'!$B$23:$B$623,"&lt;="&amp;$B28*12,'Mortgage Calculators (By Month)'!$B$23:$B$623,"&gt;"&amp;$B27*12),0)</f>
        <v>0</v>
      </c>
      <c r="E28" s="142">
        <f>IF($B28&lt;=$C$9,SUMIFS('Mortgage Calculators (By Month)'!$E$23:$E$623,'Mortgage Calculators (By Month)'!$B$23:$B$623,"&lt;="&amp;$B28*12,'Mortgage Calculators (By Month)'!$B$23:$B$623,"&gt;"&amp;$B27*12),0)</f>
        <v>99.999999999999986</v>
      </c>
      <c r="F28" s="142">
        <f t="shared" si="0"/>
        <v>0</v>
      </c>
      <c r="I28" s="12">
        <v>6</v>
      </c>
      <c r="J28" s="142">
        <f>IF($I28&lt;=$J$12,SUMIFS('Mortgage Calculators (By Month)'!$J$23:$J$623,'Mortgage Calculators (By Month)'!$I$23:$I$623,"&lt;="&amp;$I28*12,'Mortgage Calculators (By Month)'!$I$23:$I$623,"&gt;"&amp;$I27*12),0)</f>
        <v>0</v>
      </c>
      <c r="K28" s="142">
        <f>IF($I28&lt;=$J$12,SUMIFS('Mortgage Calculators (By Month)'!$K$23:$K$623,'Mortgage Calculators (By Month)'!$I$23:$I$623,"&lt;="&amp;$I28*12,'Mortgage Calculators (By Month)'!$I$23:$I$623,"&gt;"&amp;$I27*12),0)</f>
        <v>0</v>
      </c>
      <c r="L28" s="142">
        <f>IF($I28&lt;=$J$12,SUMIFS('Mortgage Calculators (By Month)'!$L$23:$L$623,'Mortgage Calculators (By Month)'!$I$23:$I$623,"&lt;="&amp;$I28*12,'Mortgage Calculators (By Month)'!$I$23:$I$623,"&gt;"&amp;$I27*12),0)</f>
        <v>120</v>
      </c>
      <c r="M28" s="142">
        <f t="shared" si="1"/>
        <v>0</v>
      </c>
      <c r="P28" s="12">
        <v>6</v>
      </c>
      <c r="Q28" s="142">
        <f>IF($P28&lt;=$Q$9,SUMIFS('Mortgage Calculators (By Month)'!$Q$23:$Q$623,'Mortgage Calculators (By Month)'!$P$23:$P$623,"&lt;="&amp;$P28*12,'Mortgage Calculators (By Month)'!$P$23:$P$623,"&gt;"&amp;$P27*12),0)</f>
        <v>0</v>
      </c>
      <c r="R28" s="142">
        <f>IF($P28&lt;=$Q$9,SUMIFS('Mortgage Calculators (By Month)'!$R$23:$R$623,'Mortgage Calculators (By Month)'!$P$23:$P$623,"&lt;="&amp;$P28*12,'Mortgage Calculators (By Month)'!$P$23:$P$623,"&gt;"&amp;$P27*12),0)</f>
        <v>0</v>
      </c>
      <c r="S28" s="142">
        <f>IF($P28&lt;=$Q$9,SUMIFS('Mortgage Calculators (By Month)'!$S$23:$S$623,'Mortgage Calculators (By Month)'!$P$23:$P$623,"&lt;="&amp;$P28*12,'Mortgage Calculators (By Month)'!$P$23:$P$623,"&gt;"&amp;$P27*12),0)</f>
        <v>99.999999999999986</v>
      </c>
      <c r="T28" s="142">
        <f t="shared" si="2"/>
        <v>0</v>
      </c>
      <c r="W28" s="12">
        <v>6</v>
      </c>
      <c r="X28" s="142">
        <f>IF($W28&lt;=$X$12,SUMIFS('Mortgage Calculators (By Month)'!$X$23:$X$623,'Mortgage Calculators (By Month)'!$W$23:$W$623,"&lt;="&amp;$W28*12,'Mortgage Calculators (By Month)'!$W$23:$W$623,"&gt;"&amp;$W27*12),0)</f>
        <v>0</v>
      </c>
      <c r="Y28" s="142">
        <f>IF($W28&lt;=$X$12,SUMIFS('Mortgage Calculators (By Month)'!$Y$23:$Y$623,'Mortgage Calculators (By Month)'!$W$23:$W$623,"&lt;="&amp;$W28*12,'Mortgage Calculators (By Month)'!$W$23:$W$623,"&gt;"&amp;$W27*12),0)</f>
        <v>0</v>
      </c>
      <c r="Z28" s="142">
        <f>IF($W28&lt;=$X$12,SUMIFS('Mortgage Calculators (By Month)'!$Z$23:$Z$623,'Mortgage Calculators (By Month)'!$W$23:$W$623,"&lt;="&amp;$W28*12,'Mortgage Calculators (By Month)'!$W$23:$W$623,"&gt;"&amp;$W27*12),0)</f>
        <v>120</v>
      </c>
      <c r="AA28" s="142">
        <f t="shared" si="3"/>
        <v>0</v>
      </c>
    </row>
    <row r="29" spans="2:27" x14ac:dyDescent="0.35">
      <c r="B29" s="12">
        <v>7</v>
      </c>
      <c r="C29" s="142">
        <f>IF($B29&lt;=$C$9,SUMIFS('Mortgage Calculators (By Month)'!$C$23:$C$623,'Mortgage Calculators (By Month)'!$B$23:$B$623,"&lt;="&amp;$B29*12,'Mortgage Calculators (By Month)'!$B$23:$B$623,"&gt;"&amp;$B28*12),0)</f>
        <v>0</v>
      </c>
      <c r="D29" s="142">
        <f>IF($B29&lt;=$C$9,SUMIFS('Mortgage Calculators (By Month)'!$D$23:$D$623,'Mortgage Calculators (By Month)'!$B$23:$B$623,"&lt;="&amp;$B29*12,'Mortgage Calculators (By Month)'!$B$23:$B$623,"&gt;"&amp;$B28*12),0)</f>
        <v>0</v>
      </c>
      <c r="E29" s="142">
        <f>IF($B29&lt;=$C$9,SUMIFS('Mortgage Calculators (By Month)'!$E$23:$E$623,'Mortgage Calculators (By Month)'!$B$23:$B$623,"&lt;="&amp;$B29*12,'Mortgage Calculators (By Month)'!$B$23:$B$623,"&gt;"&amp;$B28*12),0)</f>
        <v>99.999999999999986</v>
      </c>
      <c r="F29" s="142">
        <f t="shared" si="0"/>
        <v>0</v>
      </c>
      <c r="I29" s="12">
        <v>7</v>
      </c>
      <c r="J29" s="142">
        <f>IF($I29&lt;=$J$12,SUMIFS('Mortgage Calculators (By Month)'!$J$23:$J$623,'Mortgage Calculators (By Month)'!$I$23:$I$623,"&lt;="&amp;$I29*12,'Mortgage Calculators (By Month)'!$I$23:$I$623,"&gt;"&amp;$I28*12),0)</f>
        <v>0</v>
      </c>
      <c r="K29" s="142">
        <f>IF($I29&lt;=$J$12,SUMIFS('Mortgage Calculators (By Month)'!$K$23:$K$623,'Mortgage Calculators (By Month)'!$I$23:$I$623,"&lt;="&amp;$I29*12,'Mortgage Calculators (By Month)'!$I$23:$I$623,"&gt;"&amp;$I28*12),0)</f>
        <v>0</v>
      </c>
      <c r="L29" s="142">
        <f>IF($I29&lt;=$J$12,SUMIFS('Mortgage Calculators (By Month)'!$L$23:$L$623,'Mortgage Calculators (By Month)'!$I$23:$I$623,"&lt;="&amp;$I29*12,'Mortgage Calculators (By Month)'!$I$23:$I$623,"&gt;"&amp;$I28*12),0)</f>
        <v>120</v>
      </c>
      <c r="M29" s="142">
        <f t="shared" si="1"/>
        <v>0</v>
      </c>
      <c r="P29" s="12">
        <v>7</v>
      </c>
      <c r="Q29" s="142">
        <f>IF($P29&lt;=$Q$9,SUMIFS('Mortgage Calculators (By Month)'!$Q$23:$Q$623,'Mortgage Calculators (By Month)'!$P$23:$P$623,"&lt;="&amp;$P29*12,'Mortgage Calculators (By Month)'!$P$23:$P$623,"&gt;"&amp;$P28*12),0)</f>
        <v>0</v>
      </c>
      <c r="R29" s="142">
        <f>IF($P29&lt;=$Q$9,SUMIFS('Mortgage Calculators (By Month)'!$R$23:$R$623,'Mortgage Calculators (By Month)'!$P$23:$P$623,"&lt;="&amp;$P29*12,'Mortgage Calculators (By Month)'!$P$23:$P$623,"&gt;"&amp;$P28*12),0)</f>
        <v>0</v>
      </c>
      <c r="S29" s="142">
        <f>IF($P29&lt;=$Q$9,SUMIFS('Mortgage Calculators (By Month)'!$S$23:$S$623,'Mortgage Calculators (By Month)'!$P$23:$P$623,"&lt;="&amp;$P29*12,'Mortgage Calculators (By Month)'!$P$23:$P$623,"&gt;"&amp;$P28*12),0)</f>
        <v>99.999999999999986</v>
      </c>
      <c r="T29" s="142">
        <f t="shared" si="2"/>
        <v>0</v>
      </c>
      <c r="W29" s="12">
        <v>7</v>
      </c>
      <c r="X29" s="142">
        <f>IF($W29&lt;=$X$12,SUMIFS('Mortgage Calculators (By Month)'!$X$23:$X$623,'Mortgage Calculators (By Month)'!$W$23:$W$623,"&lt;="&amp;$W29*12,'Mortgage Calculators (By Month)'!$W$23:$W$623,"&gt;"&amp;$W28*12),0)</f>
        <v>0</v>
      </c>
      <c r="Y29" s="142">
        <f>IF($W29&lt;=$X$12,SUMIFS('Mortgage Calculators (By Month)'!$Y$23:$Y$623,'Mortgage Calculators (By Month)'!$W$23:$W$623,"&lt;="&amp;$W29*12,'Mortgage Calculators (By Month)'!$W$23:$W$623,"&gt;"&amp;$W28*12),0)</f>
        <v>0</v>
      </c>
      <c r="Z29" s="142">
        <f>IF($W29&lt;=$X$12,SUMIFS('Mortgage Calculators (By Month)'!$Z$23:$Z$623,'Mortgage Calculators (By Month)'!$W$23:$W$623,"&lt;="&amp;$W29*12,'Mortgage Calculators (By Month)'!$W$23:$W$623,"&gt;"&amp;$W28*12),0)</f>
        <v>120</v>
      </c>
      <c r="AA29" s="142">
        <f t="shared" si="3"/>
        <v>0</v>
      </c>
    </row>
    <row r="30" spans="2:27" x14ac:dyDescent="0.35">
      <c r="B30" s="12">
        <v>8</v>
      </c>
      <c r="C30" s="142">
        <f>IF($B30&lt;=$C$9,SUMIFS('Mortgage Calculators (By Month)'!$C$23:$C$623,'Mortgage Calculators (By Month)'!$B$23:$B$623,"&lt;="&amp;$B30*12,'Mortgage Calculators (By Month)'!$B$23:$B$623,"&gt;"&amp;$B29*12),0)</f>
        <v>0</v>
      </c>
      <c r="D30" s="142">
        <f>IF($B30&lt;=$C$9,SUMIFS('Mortgage Calculators (By Month)'!$D$23:$D$623,'Mortgage Calculators (By Month)'!$B$23:$B$623,"&lt;="&amp;$B30*12,'Mortgage Calculators (By Month)'!$B$23:$B$623,"&gt;"&amp;$B29*12),0)</f>
        <v>0</v>
      </c>
      <c r="E30" s="142">
        <f>IF($B30&lt;=$C$9,SUMIFS('Mortgage Calculators (By Month)'!$E$23:$E$623,'Mortgage Calculators (By Month)'!$B$23:$B$623,"&lt;="&amp;$B30*12,'Mortgage Calculators (By Month)'!$B$23:$B$623,"&gt;"&amp;$B29*12),0)</f>
        <v>99.999999999999986</v>
      </c>
      <c r="F30" s="142">
        <f t="shared" si="0"/>
        <v>0</v>
      </c>
      <c r="I30" s="12">
        <v>8</v>
      </c>
      <c r="J30" s="142">
        <f>IF($I30&lt;=$J$12,SUMIFS('Mortgage Calculators (By Month)'!$J$23:$J$623,'Mortgage Calculators (By Month)'!$I$23:$I$623,"&lt;="&amp;$I30*12,'Mortgage Calculators (By Month)'!$I$23:$I$623,"&gt;"&amp;$I29*12),0)</f>
        <v>0</v>
      </c>
      <c r="K30" s="142">
        <f>IF($I30&lt;=$J$12,SUMIFS('Mortgage Calculators (By Month)'!$K$23:$K$623,'Mortgage Calculators (By Month)'!$I$23:$I$623,"&lt;="&amp;$I30*12,'Mortgage Calculators (By Month)'!$I$23:$I$623,"&gt;"&amp;$I29*12),0)</f>
        <v>0</v>
      </c>
      <c r="L30" s="142">
        <f>IF($I30&lt;=$J$12,SUMIFS('Mortgage Calculators (By Month)'!$L$23:$L$623,'Mortgage Calculators (By Month)'!$I$23:$I$623,"&lt;="&amp;$I30*12,'Mortgage Calculators (By Month)'!$I$23:$I$623,"&gt;"&amp;$I29*12),0)</f>
        <v>120</v>
      </c>
      <c r="M30" s="142">
        <f t="shared" si="1"/>
        <v>0</v>
      </c>
      <c r="P30" s="12">
        <v>8</v>
      </c>
      <c r="Q30" s="142">
        <f>IF($P30&lt;=$Q$9,SUMIFS('Mortgage Calculators (By Month)'!$Q$23:$Q$623,'Mortgage Calculators (By Month)'!$P$23:$P$623,"&lt;="&amp;$P30*12,'Mortgage Calculators (By Month)'!$P$23:$P$623,"&gt;"&amp;$P29*12),0)</f>
        <v>0</v>
      </c>
      <c r="R30" s="142">
        <f>IF($P30&lt;=$Q$9,SUMIFS('Mortgage Calculators (By Month)'!$R$23:$R$623,'Mortgage Calculators (By Month)'!$P$23:$P$623,"&lt;="&amp;$P30*12,'Mortgage Calculators (By Month)'!$P$23:$P$623,"&gt;"&amp;$P29*12),0)</f>
        <v>0</v>
      </c>
      <c r="S30" s="142">
        <f>IF($P30&lt;=$Q$9,SUMIFS('Mortgage Calculators (By Month)'!$S$23:$S$623,'Mortgage Calculators (By Month)'!$P$23:$P$623,"&lt;="&amp;$P30*12,'Mortgage Calculators (By Month)'!$P$23:$P$623,"&gt;"&amp;$P29*12),0)</f>
        <v>99.999999999999986</v>
      </c>
      <c r="T30" s="142">
        <f t="shared" si="2"/>
        <v>0</v>
      </c>
      <c r="W30" s="12">
        <v>8</v>
      </c>
      <c r="X30" s="142">
        <f>IF($W30&lt;=$X$12,SUMIFS('Mortgage Calculators (By Month)'!$X$23:$X$623,'Mortgage Calculators (By Month)'!$W$23:$W$623,"&lt;="&amp;$W30*12,'Mortgage Calculators (By Month)'!$W$23:$W$623,"&gt;"&amp;$W29*12),0)</f>
        <v>0</v>
      </c>
      <c r="Y30" s="142">
        <f>IF($W30&lt;=$X$12,SUMIFS('Mortgage Calculators (By Month)'!$Y$23:$Y$623,'Mortgage Calculators (By Month)'!$W$23:$W$623,"&lt;="&amp;$W30*12,'Mortgage Calculators (By Month)'!$W$23:$W$623,"&gt;"&amp;$W29*12),0)</f>
        <v>0</v>
      </c>
      <c r="Z30" s="142">
        <f>IF($W30&lt;=$X$12,SUMIFS('Mortgage Calculators (By Month)'!$Z$23:$Z$623,'Mortgage Calculators (By Month)'!$W$23:$W$623,"&lt;="&amp;$W30*12,'Mortgage Calculators (By Month)'!$W$23:$W$623,"&gt;"&amp;$W29*12),0)</f>
        <v>120</v>
      </c>
      <c r="AA30" s="142">
        <f t="shared" si="3"/>
        <v>0</v>
      </c>
    </row>
    <row r="31" spans="2:27" x14ac:dyDescent="0.35">
      <c r="B31" s="12">
        <v>9</v>
      </c>
      <c r="C31" s="142">
        <f>IF($B31&lt;=$C$9,SUMIFS('Mortgage Calculators (By Month)'!$C$23:$C$623,'Mortgage Calculators (By Month)'!$B$23:$B$623,"&lt;="&amp;$B31*12,'Mortgage Calculators (By Month)'!$B$23:$B$623,"&gt;"&amp;$B30*12),0)</f>
        <v>0</v>
      </c>
      <c r="D31" s="142">
        <f>IF($B31&lt;=$C$9,SUMIFS('Mortgage Calculators (By Month)'!$D$23:$D$623,'Mortgage Calculators (By Month)'!$B$23:$B$623,"&lt;="&amp;$B31*12,'Mortgage Calculators (By Month)'!$B$23:$B$623,"&gt;"&amp;$B30*12),0)</f>
        <v>0</v>
      </c>
      <c r="E31" s="142">
        <f>IF($B31&lt;=$C$9,SUMIFS('Mortgage Calculators (By Month)'!$E$23:$E$623,'Mortgage Calculators (By Month)'!$B$23:$B$623,"&lt;="&amp;$B31*12,'Mortgage Calculators (By Month)'!$B$23:$B$623,"&gt;"&amp;$B30*12),0)</f>
        <v>99.999999999999986</v>
      </c>
      <c r="F31" s="142">
        <f t="shared" si="0"/>
        <v>0</v>
      </c>
      <c r="I31" s="12">
        <v>9</v>
      </c>
      <c r="J31" s="142">
        <f>IF($I31&lt;=$J$12,SUMIFS('Mortgage Calculators (By Month)'!$J$23:$J$623,'Mortgage Calculators (By Month)'!$I$23:$I$623,"&lt;="&amp;$I31*12,'Mortgage Calculators (By Month)'!$I$23:$I$623,"&gt;"&amp;$I30*12),0)</f>
        <v>0</v>
      </c>
      <c r="K31" s="142">
        <f>IF($I31&lt;=$J$12,SUMIFS('Mortgage Calculators (By Month)'!$K$23:$K$623,'Mortgage Calculators (By Month)'!$I$23:$I$623,"&lt;="&amp;$I31*12,'Mortgage Calculators (By Month)'!$I$23:$I$623,"&gt;"&amp;$I30*12),0)</f>
        <v>0</v>
      </c>
      <c r="L31" s="142">
        <f>IF($I31&lt;=$J$12,SUMIFS('Mortgage Calculators (By Month)'!$L$23:$L$623,'Mortgage Calculators (By Month)'!$I$23:$I$623,"&lt;="&amp;$I31*12,'Mortgage Calculators (By Month)'!$I$23:$I$623,"&gt;"&amp;$I30*12),0)</f>
        <v>120</v>
      </c>
      <c r="M31" s="142">
        <f t="shared" si="1"/>
        <v>0</v>
      </c>
      <c r="P31" s="12">
        <v>9</v>
      </c>
      <c r="Q31" s="142">
        <f>IF($P31&lt;=$Q$9,SUMIFS('Mortgage Calculators (By Month)'!$Q$23:$Q$623,'Mortgage Calculators (By Month)'!$P$23:$P$623,"&lt;="&amp;$P31*12,'Mortgage Calculators (By Month)'!$P$23:$P$623,"&gt;"&amp;$P30*12),0)</f>
        <v>0</v>
      </c>
      <c r="R31" s="142">
        <f>IF($P31&lt;=$Q$9,SUMIFS('Mortgage Calculators (By Month)'!$R$23:$R$623,'Mortgage Calculators (By Month)'!$P$23:$P$623,"&lt;="&amp;$P31*12,'Mortgage Calculators (By Month)'!$P$23:$P$623,"&gt;"&amp;$P30*12),0)</f>
        <v>0</v>
      </c>
      <c r="S31" s="142">
        <f>IF($P31&lt;=$Q$9,SUMIFS('Mortgage Calculators (By Month)'!$S$23:$S$623,'Mortgage Calculators (By Month)'!$P$23:$P$623,"&lt;="&amp;$P31*12,'Mortgage Calculators (By Month)'!$P$23:$P$623,"&gt;"&amp;$P30*12),0)</f>
        <v>99.999999999999986</v>
      </c>
      <c r="T31" s="142">
        <f t="shared" si="2"/>
        <v>0</v>
      </c>
      <c r="W31" s="12">
        <v>9</v>
      </c>
      <c r="X31" s="142">
        <f>IF($W31&lt;=$X$12,SUMIFS('Mortgage Calculators (By Month)'!$X$23:$X$623,'Mortgage Calculators (By Month)'!$W$23:$W$623,"&lt;="&amp;$W31*12,'Mortgage Calculators (By Month)'!$W$23:$W$623,"&gt;"&amp;$W30*12),0)</f>
        <v>0</v>
      </c>
      <c r="Y31" s="142">
        <f>IF($W31&lt;=$X$12,SUMIFS('Mortgage Calculators (By Month)'!$Y$23:$Y$623,'Mortgage Calculators (By Month)'!$W$23:$W$623,"&lt;="&amp;$W31*12,'Mortgage Calculators (By Month)'!$W$23:$W$623,"&gt;"&amp;$W30*12),0)</f>
        <v>0</v>
      </c>
      <c r="Z31" s="142">
        <f>IF($W31&lt;=$X$12,SUMIFS('Mortgage Calculators (By Month)'!$Z$23:$Z$623,'Mortgage Calculators (By Month)'!$W$23:$W$623,"&lt;="&amp;$W31*12,'Mortgage Calculators (By Month)'!$W$23:$W$623,"&gt;"&amp;$W30*12),0)</f>
        <v>120</v>
      </c>
      <c r="AA31" s="142">
        <f t="shared" si="3"/>
        <v>0</v>
      </c>
    </row>
    <row r="32" spans="2:27" x14ac:dyDescent="0.35">
      <c r="B32" s="12">
        <v>10</v>
      </c>
      <c r="C32" s="142">
        <f>IF($B32&lt;=$C$9,SUMIFS('Mortgage Calculators (By Month)'!$C$23:$C$623,'Mortgage Calculators (By Month)'!$B$23:$B$623,"&lt;="&amp;$B32*12,'Mortgage Calculators (By Month)'!$B$23:$B$623,"&gt;"&amp;$B31*12),0)</f>
        <v>0</v>
      </c>
      <c r="D32" s="142">
        <f>IF($B32&lt;=$C$9,SUMIFS('Mortgage Calculators (By Month)'!$D$23:$D$623,'Mortgage Calculators (By Month)'!$B$23:$B$623,"&lt;="&amp;$B32*12,'Mortgage Calculators (By Month)'!$B$23:$B$623,"&gt;"&amp;$B31*12),0)</f>
        <v>0</v>
      </c>
      <c r="E32" s="142">
        <f>IF($B32&lt;=$C$9,SUMIFS('Mortgage Calculators (By Month)'!$E$23:$E$623,'Mortgage Calculators (By Month)'!$B$23:$B$623,"&lt;="&amp;$B32*12,'Mortgage Calculators (By Month)'!$B$23:$B$623,"&gt;"&amp;$B31*12),0)</f>
        <v>99.999999999999986</v>
      </c>
      <c r="F32" s="142">
        <f t="shared" si="0"/>
        <v>0</v>
      </c>
      <c r="I32" s="12">
        <v>10</v>
      </c>
      <c r="J32" s="142">
        <f>IF($I32&lt;=$J$12,SUMIFS('Mortgage Calculators (By Month)'!$J$23:$J$623,'Mortgage Calculators (By Month)'!$I$23:$I$623,"&lt;="&amp;$I32*12,'Mortgage Calculators (By Month)'!$I$23:$I$623,"&gt;"&amp;$I31*12),0)</f>
        <v>0</v>
      </c>
      <c r="K32" s="142">
        <f>IF($I32&lt;=$J$12,SUMIFS('Mortgage Calculators (By Month)'!$K$23:$K$623,'Mortgage Calculators (By Month)'!$I$23:$I$623,"&lt;="&amp;$I32*12,'Mortgage Calculators (By Month)'!$I$23:$I$623,"&gt;"&amp;$I31*12),0)</f>
        <v>0</v>
      </c>
      <c r="L32" s="142">
        <f>IF($I32&lt;=$J$12,SUMIFS('Mortgage Calculators (By Month)'!$L$23:$L$623,'Mortgage Calculators (By Month)'!$I$23:$I$623,"&lt;="&amp;$I32*12,'Mortgage Calculators (By Month)'!$I$23:$I$623,"&gt;"&amp;$I31*12),0)</f>
        <v>120</v>
      </c>
      <c r="M32" s="142">
        <f t="shared" si="1"/>
        <v>0</v>
      </c>
      <c r="P32" s="12">
        <v>10</v>
      </c>
      <c r="Q32" s="142">
        <f>IF($P32&lt;=$Q$9,SUMIFS('Mortgage Calculators (By Month)'!$Q$23:$Q$623,'Mortgage Calculators (By Month)'!$P$23:$P$623,"&lt;="&amp;$P32*12,'Mortgage Calculators (By Month)'!$P$23:$P$623,"&gt;"&amp;$P31*12),0)</f>
        <v>0</v>
      </c>
      <c r="R32" s="142">
        <f>IF($P32&lt;=$Q$9,SUMIFS('Mortgage Calculators (By Month)'!$R$23:$R$623,'Mortgage Calculators (By Month)'!$P$23:$P$623,"&lt;="&amp;$P32*12,'Mortgage Calculators (By Month)'!$P$23:$P$623,"&gt;"&amp;$P31*12),0)</f>
        <v>0</v>
      </c>
      <c r="S32" s="142">
        <f>IF($P32&lt;=$Q$9,SUMIFS('Mortgage Calculators (By Month)'!$S$23:$S$623,'Mortgage Calculators (By Month)'!$P$23:$P$623,"&lt;="&amp;$P32*12,'Mortgage Calculators (By Month)'!$P$23:$P$623,"&gt;"&amp;$P31*12),0)</f>
        <v>99.999999999999986</v>
      </c>
      <c r="T32" s="142">
        <f t="shared" si="2"/>
        <v>0</v>
      </c>
      <c r="W32" s="12">
        <v>10</v>
      </c>
      <c r="X32" s="142">
        <f>IF($W32&lt;=$X$12,SUMIFS('Mortgage Calculators (By Month)'!$X$23:$X$623,'Mortgage Calculators (By Month)'!$W$23:$W$623,"&lt;="&amp;$W32*12,'Mortgage Calculators (By Month)'!$W$23:$W$623,"&gt;"&amp;$W31*12),0)</f>
        <v>0</v>
      </c>
      <c r="Y32" s="142">
        <f>IF($W32&lt;=$X$12,SUMIFS('Mortgage Calculators (By Month)'!$Y$23:$Y$623,'Mortgage Calculators (By Month)'!$W$23:$W$623,"&lt;="&amp;$W32*12,'Mortgage Calculators (By Month)'!$W$23:$W$623,"&gt;"&amp;$W31*12),0)</f>
        <v>0</v>
      </c>
      <c r="Z32" s="142">
        <f>IF($W32&lt;=$X$12,SUMIFS('Mortgage Calculators (By Month)'!$Z$23:$Z$623,'Mortgage Calculators (By Month)'!$W$23:$W$623,"&lt;="&amp;$W32*12,'Mortgage Calculators (By Month)'!$W$23:$W$623,"&gt;"&amp;$W31*12),0)</f>
        <v>120</v>
      </c>
      <c r="AA32" s="142">
        <f t="shared" si="3"/>
        <v>0</v>
      </c>
    </row>
    <row r="33" spans="2:27" x14ac:dyDescent="0.35">
      <c r="B33" s="12">
        <v>11</v>
      </c>
      <c r="C33" s="142">
        <f>IF($B33&lt;=$C$9,SUMIFS('Mortgage Calculators (By Month)'!$C$23:$C$623,'Mortgage Calculators (By Month)'!$B$23:$B$623,"&lt;="&amp;$B33*12,'Mortgage Calculators (By Month)'!$B$23:$B$623,"&gt;"&amp;$B32*12),0)</f>
        <v>0</v>
      </c>
      <c r="D33" s="142">
        <f>IF($B33&lt;=$C$9,SUMIFS('Mortgage Calculators (By Month)'!$D$23:$D$623,'Mortgage Calculators (By Month)'!$B$23:$B$623,"&lt;="&amp;$B33*12,'Mortgage Calculators (By Month)'!$B$23:$B$623,"&gt;"&amp;$B32*12),0)</f>
        <v>0</v>
      </c>
      <c r="E33" s="142">
        <f>IF($B33&lt;=$C$9,SUMIFS('Mortgage Calculators (By Month)'!$E$23:$E$623,'Mortgage Calculators (By Month)'!$B$23:$B$623,"&lt;="&amp;$B33*12,'Mortgage Calculators (By Month)'!$B$23:$B$623,"&gt;"&amp;$B32*12),0)</f>
        <v>99.999999999999986</v>
      </c>
      <c r="F33" s="142">
        <f t="shared" si="0"/>
        <v>0</v>
      </c>
      <c r="I33" s="12">
        <v>11</v>
      </c>
      <c r="J33" s="142">
        <f>IF($I33&lt;=$J$12,SUMIFS('Mortgage Calculators (By Month)'!$J$23:$J$623,'Mortgage Calculators (By Month)'!$I$23:$I$623,"&lt;="&amp;$I33*12,'Mortgage Calculators (By Month)'!$I$23:$I$623,"&gt;"&amp;$I32*12),0)</f>
        <v>0</v>
      </c>
      <c r="K33" s="142">
        <f>IF($I33&lt;=$J$12,SUMIFS('Mortgage Calculators (By Month)'!$K$23:$K$623,'Mortgage Calculators (By Month)'!$I$23:$I$623,"&lt;="&amp;$I33*12,'Mortgage Calculators (By Month)'!$I$23:$I$623,"&gt;"&amp;$I32*12),0)</f>
        <v>0</v>
      </c>
      <c r="L33" s="142">
        <f>IF($I33&lt;=$J$12,SUMIFS('Mortgage Calculators (By Month)'!$L$23:$L$623,'Mortgage Calculators (By Month)'!$I$23:$I$623,"&lt;="&amp;$I33*12,'Mortgage Calculators (By Month)'!$I$23:$I$623,"&gt;"&amp;$I32*12),0)</f>
        <v>120</v>
      </c>
      <c r="M33" s="142">
        <f t="shared" si="1"/>
        <v>0</v>
      </c>
      <c r="P33" s="12">
        <v>11</v>
      </c>
      <c r="Q33" s="142">
        <f>IF($P33&lt;=$Q$9,SUMIFS('Mortgage Calculators (By Month)'!$Q$23:$Q$623,'Mortgage Calculators (By Month)'!$P$23:$P$623,"&lt;="&amp;$P33*12,'Mortgage Calculators (By Month)'!$P$23:$P$623,"&gt;"&amp;$P32*12),0)</f>
        <v>0</v>
      </c>
      <c r="R33" s="142">
        <f>IF($P33&lt;=$Q$9,SUMIFS('Mortgage Calculators (By Month)'!$R$23:$R$623,'Mortgage Calculators (By Month)'!$P$23:$P$623,"&lt;="&amp;$P33*12,'Mortgage Calculators (By Month)'!$P$23:$P$623,"&gt;"&amp;$P32*12),0)</f>
        <v>0</v>
      </c>
      <c r="S33" s="142">
        <f>IF($P33&lt;=$Q$9,SUMIFS('Mortgage Calculators (By Month)'!$S$23:$S$623,'Mortgage Calculators (By Month)'!$P$23:$P$623,"&lt;="&amp;$P33*12,'Mortgage Calculators (By Month)'!$P$23:$P$623,"&gt;"&amp;$P32*12),0)</f>
        <v>99.999999999999986</v>
      </c>
      <c r="T33" s="142">
        <f t="shared" si="2"/>
        <v>0</v>
      </c>
      <c r="W33" s="12">
        <v>11</v>
      </c>
      <c r="X33" s="142">
        <f>IF($W33&lt;=$X$12,SUMIFS('Mortgage Calculators (By Month)'!$X$23:$X$623,'Mortgage Calculators (By Month)'!$W$23:$W$623,"&lt;="&amp;$W33*12,'Mortgage Calculators (By Month)'!$W$23:$W$623,"&gt;"&amp;$W32*12),0)</f>
        <v>0</v>
      </c>
      <c r="Y33" s="142">
        <f>IF($W33&lt;=$X$12,SUMIFS('Mortgage Calculators (By Month)'!$Y$23:$Y$623,'Mortgage Calculators (By Month)'!$W$23:$W$623,"&lt;="&amp;$W33*12,'Mortgage Calculators (By Month)'!$W$23:$W$623,"&gt;"&amp;$W32*12),0)</f>
        <v>0</v>
      </c>
      <c r="Z33" s="142">
        <f>IF($W33&lt;=$X$12,SUMIFS('Mortgage Calculators (By Month)'!$Z$23:$Z$623,'Mortgage Calculators (By Month)'!$W$23:$W$623,"&lt;="&amp;$W33*12,'Mortgage Calculators (By Month)'!$W$23:$W$623,"&gt;"&amp;$W32*12),0)</f>
        <v>120</v>
      </c>
      <c r="AA33" s="142">
        <f t="shared" si="3"/>
        <v>0</v>
      </c>
    </row>
    <row r="34" spans="2:27" x14ac:dyDescent="0.35">
      <c r="B34" s="12">
        <v>12</v>
      </c>
      <c r="C34" s="142">
        <f>IF($B34&lt;=$C$9,SUMIFS('Mortgage Calculators (By Month)'!$C$23:$C$623,'Mortgage Calculators (By Month)'!$B$23:$B$623,"&lt;="&amp;$B34*12,'Mortgage Calculators (By Month)'!$B$23:$B$623,"&gt;"&amp;$B33*12),0)</f>
        <v>0</v>
      </c>
      <c r="D34" s="142">
        <f>IF($B34&lt;=$C$9,SUMIFS('Mortgage Calculators (By Month)'!$D$23:$D$623,'Mortgage Calculators (By Month)'!$B$23:$B$623,"&lt;="&amp;$B34*12,'Mortgage Calculators (By Month)'!$B$23:$B$623,"&gt;"&amp;$B33*12),0)</f>
        <v>0</v>
      </c>
      <c r="E34" s="142">
        <f>IF($B34&lt;=$C$9,SUMIFS('Mortgage Calculators (By Month)'!$E$23:$E$623,'Mortgage Calculators (By Month)'!$B$23:$B$623,"&lt;="&amp;$B34*12,'Mortgage Calculators (By Month)'!$B$23:$B$623,"&gt;"&amp;$B33*12),0)</f>
        <v>99.999999999999986</v>
      </c>
      <c r="F34" s="142">
        <f t="shared" si="0"/>
        <v>0</v>
      </c>
      <c r="I34" s="12">
        <v>12</v>
      </c>
      <c r="J34" s="142">
        <f>IF($I34&lt;=$J$12,SUMIFS('Mortgage Calculators (By Month)'!$J$23:$J$623,'Mortgage Calculators (By Month)'!$I$23:$I$623,"&lt;="&amp;$I34*12,'Mortgage Calculators (By Month)'!$I$23:$I$623,"&gt;"&amp;$I33*12),0)</f>
        <v>0</v>
      </c>
      <c r="K34" s="142">
        <f>IF($I34&lt;=$J$12,SUMIFS('Mortgage Calculators (By Month)'!$K$23:$K$623,'Mortgage Calculators (By Month)'!$I$23:$I$623,"&lt;="&amp;$I34*12,'Mortgage Calculators (By Month)'!$I$23:$I$623,"&gt;"&amp;$I33*12),0)</f>
        <v>0</v>
      </c>
      <c r="L34" s="142">
        <f>IF($I34&lt;=$J$12,SUMIFS('Mortgage Calculators (By Month)'!$L$23:$L$623,'Mortgage Calculators (By Month)'!$I$23:$I$623,"&lt;="&amp;$I34*12,'Mortgage Calculators (By Month)'!$I$23:$I$623,"&gt;"&amp;$I33*12),0)</f>
        <v>120</v>
      </c>
      <c r="M34" s="142">
        <f t="shared" si="1"/>
        <v>0</v>
      </c>
      <c r="P34" s="12">
        <v>12</v>
      </c>
      <c r="Q34" s="142">
        <f>IF($P34&lt;=$Q$9,SUMIFS('Mortgage Calculators (By Month)'!$Q$23:$Q$623,'Mortgage Calculators (By Month)'!$P$23:$P$623,"&lt;="&amp;$P34*12,'Mortgage Calculators (By Month)'!$P$23:$P$623,"&gt;"&amp;$P33*12),0)</f>
        <v>0</v>
      </c>
      <c r="R34" s="142">
        <f>IF($P34&lt;=$Q$9,SUMIFS('Mortgage Calculators (By Month)'!$R$23:$R$623,'Mortgage Calculators (By Month)'!$P$23:$P$623,"&lt;="&amp;$P34*12,'Mortgage Calculators (By Month)'!$P$23:$P$623,"&gt;"&amp;$P33*12),0)</f>
        <v>0</v>
      </c>
      <c r="S34" s="142">
        <f>IF($P34&lt;=$Q$9,SUMIFS('Mortgage Calculators (By Month)'!$S$23:$S$623,'Mortgage Calculators (By Month)'!$P$23:$P$623,"&lt;="&amp;$P34*12,'Mortgage Calculators (By Month)'!$P$23:$P$623,"&gt;"&amp;$P33*12),0)</f>
        <v>99.999999999999986</v>
      </c>
      <c r="T34" s="142">
        <f t="shared" si="2"/>
        <v>0</v>
      </c>
      <c r="W34" s="12">
        <v>12</v>
      </c>
      <c r="X34" s="142">
        <f>IF($W34&lt;=$X$12,SUMIFS('Mortgage Calculators (By Month)'!$X$23:$X$623,'Mortgage Calculators (By Month)'!$W$23:$W$623,"&lt;="&amp;$W34*12,'Mortgage Calculators (By Month)'!$W$23:$W$623,"&gt;"&amp;$W33*12),0)</f>
        <v>0</v>
      </c>
      <c r="Y34" s="142">
        <f>IF($W34&lt;=$X$12,SUMIFS('Mortgage Calculators (By Month)'!$Y$23:$Y$623,'Mortgage Calculators (By Month)'!$W$23:$W$623,"&lt;="&amp;$W34*12,'Mortgage Calculators (By Month)'!$W$23:$W$623,"&gt;"&amp;$W33*12),0)</f>
        <v>0</v>
      </c>
      <c r="Z34" s="142">
        <f>IF($W34&lt;=$X$12,SUMIFS('Mortgage Calculators (By Month)'!$Z$23:$Z$623,'Mortgage Calculators (By Month)'!$W$23:$W$623,"&lt;="&amp;$W34*12,'Mortgage Calculators (By Month)'!$W$23:$W$623,"&gt;"&amp;$W33*12),0)</f>
        <v>120</v>
      </c>
      <c r="AA34" s="142">
        <f t="shared" si="3"/>
        <v>0</v>
      </c>
    </row>
    <row r="35" spans="2:27" x14ac:dyDescent="0.35">
      <c r="B35" s="12">
        <v>13</v>
      </c>
      <c r="C35" s="142">
        <f>IF($B35&lt;=$C$9,SUMIFS('Mortgage Calculators (By Month)'!$C$23:$C$623,'Mortgage Calculators (By Month)'!$B$23:$B$623,"&lt;="&amp;$B35*12,'Mortgage Calculators (By Month)'!$B$23:$B$623,"&gt;"&amp;$B34*12),0)</f>
        <v>0</v>
      </c>
      <c r="D35" s="142">
        <f>IF($B35&lt;=$C$9,SUMIFS('Mortgage Calculators (By Month)'!$D$23:$D$623,'Mortgage Calculators (By Month)'!$B$23:$B$623,"&lt;="&amp;$B35*12,'Mortgage Calculators (By Month)'!$B$23:$B$623,"&gt;"&amp;$B34*12),0)</f>
        <v>0</v>
      </c>
      <c r="E35" s="142">
        <f>IF($B35&lt;=$C$9,SUMIFS('Mortgage Calculators (By Month)'!$E$23:$E$623,'Mortgage Calculators (By Month)'!$B$23:$B$623,"&lt;="&amp;$B35*12,'Mortgage Calculators (By Month)'!$B$23:$B$623,"&gt;"&amp;$B34*12),0)</f>
        <v>99.999999999999986</v>
      </c>
      <c r="F35" s="142">
        <f t="shared" si="0"/>
        <v>0</v>
      </c>
      <c r="I35" s="12">
        <v>13</v>
      </c>
      <c r="J35" s="142">
        <f>IF($I35&lt;=$J$12,SUMIFS('Mortgage Calculators (By Month)'!$J$23:$J$623,'Mortgage Calculators (By Month)'!$I$23:$I$623,"&lt;="&amp;$I35*12,'Mortgage Calculators (By Month)'!$I$23:$I$623,"&gt;"&amp;$I34*12),0)</f>
        <v>0</v>
      </c>
      <c r="K35" s="142">
        <f>IF($I35&lt;=$J$12,SUMIFS('Mortgage Calculators (By Month)'!$K$23:$K$623,'Mortgage Calculators (By Month)'!$I$23:$I$623,"&lt;="&amp;$I35*12,'Mortgage Calculators (By Month)'!$I$23:$I$623,"&gt;"&amp;$I34*12),0)</f>
        <v>0</v>
      </c>
      <c r="L35" s="142">
        <f>IF($I35&lt;=$J$12,SUMIFS('Mortgage Calculators (By Month)'!$L$23:$L$623,'Mortgage Calculators (By Month)'!$I$23:$I$623,"&lt;="&amp;$I35*12,'Mortgage Calculators (By Month)'!$I$23:$I$623,"&gt;"&amp;$I34*12),0)</f>
        <v>120</v>
      </c>
      <c r="M35" s="142">
        <f t="shared" si="1"/>
        <v>0</v>
      </c>
      <c r="P35" s="12">
        <v>13</v>
      </c>
      <c r="Q35" s="142">
        <f>IF($P35&lt;=$Q$9,SUMIFS('Mortgage Calculators (By Month)'!$Q$23:$Q$623,'Mortgage Calculators (By Month)'!$P$23:$P$623,"&lt;="&amp;$P35*12,'Mortgage Calculators (By Month)'!$P$23:$P$623,"&gt;"&amp;$P34*12),0)</f>
        <v>0</v>
      </c>
      <c r="R35" s="142">
        <f>IF($P35&lt;=$Q$9,SUMIFS('Mortgage Calculators (By Month)'!$R$23:$R$623,'Mortgage Calculators (By Month)'!$P$23:$P$623,"&lt;="&amp;$P35*12,'Mortgage Calculators (By Month)'!$P$23:$P$623,"&gt;"&amp;$P34*12),0)</f>
        <v>0</v>
      </c>
      <c r="S35" s="142">
        <f>IF($P35&lt;=$Q$9,SUMIFS('Mortgage Calculators (By Month)'!$S$23:$S$623,'Mortgage Calculators (By Month)'!$P$23:$P$623,"&lt;="&amp;$P35*12,'Mortgage Calculators (By Month)'!$P$23:$P$623,"&gt;"&amp;$P34*12),0)</f>
        <v>99.999999999999986</v>
      </c>
      <c r="T35" s="142">
        <f t="shared" si="2"/>
        <v>0</v>
      </c>
      <c r="W35" s="12">
        <v>13</v>
      </c>
      <c r="X35" s="142">
        <f>IF($W35&lt;=$X$12,SUMIFS('Mortgage Calculators (By Month)'!$X$23:$X$623,'Mortgage Calculators (By Month)'!$W$23:$W$623,"&lt;="&amp;$W35*12,'Mortgage Calculators (By Month)'!$W$23:$W$623,"&gt;"&amp;$W34*12),0)</f>
        <v>0</v>
      </c>
      <c r="Y35" s="142">
        <f>IF($W35&lt;=$X$12,SUMIFS('Mortgage Calculators (By Month)'!$Y$23:$Y$623,'Mortgage Calculators (By Month)'!$W$23:$W$623,"&lt;="&amp;$W35*12,'Mortgage Calculators (By Month)'!$W$23:$W$623,"&gt;"&amp;$W34*12),0)</f>
        <v>0</v>
      </c>
      <c r="Z35" s="142">
        <f>IF($W35&lt;=$X$12,SUMIFS('Mortgage Calculators (By Month)'!$Z$23:$Z$623,'Mortgage Calculators (By Month)'!$W$23:$W$623,"&lt;="&amp;$W35*12,'Mortgage Calculators (By Month)'!$W$23:$W$623,"&gt;"&amp;$W34*12),0)</f>
        <v>120</v>
      </c>
      <c r="AA35" s="142">
        <f t="shared" si="3"/>
        <v>0</v>
      </c>
    </row>
    <row r="36" spans="2:27" x14ac:dyDescent="0.35">
      <c r="B36" s="12">
        <v>14</v>
      </c>
      <c r="C36" s="142">
        <f>IF($B36&lt;=$C$9,SUMIFS('Mortgage Calculators (By Month)'!$C$23:$C$623,'Mortgage Calculators (By Month)'!$B$23:$B$623,"&lt;="&amp;$B36*12,'Mortgage Calculators (By Month)'!$B$23:$B$623,"&gt;"&amp;$B35*12),0)</f>
        <v>0</v>
      </c>
      <c r="D36" s="142">
        <f>IF($B36&lt;=$C$9,SUMIFS('Mortgage Calculators (By Month)'!$D$23:$D$623,'Mortgage Calculators (By Month)'!$B$23:$B$623,"&lt;="&amp;$B36*12,'Mortgage Calculators (By Month)'!$B$23:$B$623,"&gt;"&amp;$B35*12),0)</f>
        <v>0</v>
      </c>
      <c r="E36" s="142">
        <f>IF($B36&lt;=$C$9,SUMIFS('Mortgage Calculators (By Month)'!$E$23:$E$623,'Mortgage Calculators (By Month)'!$B$23:$B$623,"&lt;="&amp;$B36*12,'Mortgage Calculators (By Month)'!$B$23:$B$623,"&gt;"&amp;$B35*12),0)</f>
        <v>99.999999999999986</v>
      </c>
      <c r="F36" s="142">
        <f t="shared" si="0"/>
        <v>0</v>
      </c>
      <c r="I36" s="12">
        <v>14</v>
      </c>
      <c r="J36" s="142">
        <f>IF($I36&lt;=$J$12,SUMIFS('Mortgage Calculators (By Month)'!$J$23:$J$623,'Mortgage Calculators (By Month)'!$I$23:$I$623,"&lt;="&amp;$I36*12,'Mortgage Calculators (By Month)'!$I$23:$I$623,"&gt;"&amp;$I35*12),0)</f>
        <v>0</v>
      </c>
      <c r="K36" s="142">
        <f>IF($I36&lt;=$J$12,SUMIFS('Mortgage Calculators (By Month)'!$K$23:$K$623,'Mortgage Calculators (By Month)'!$I$23:$I$623,"&lt;="&amp;$I36*12,'Mortgage Calculators (By Month)'!$I$23:$I$623,"&gt;"&amp;$I35*12),0)</f>
        <v>0</v>
      </c>
      <c r="L36" s="142">
        <f>IF($I36&lt;=$J$12,SUMIFS('Mortgage Calculators (By Month)'!$L$23:$L$623,'Mortgage Calculators (By Month)'!$I$23:$I$623,"&lt;="&amp;$I36*12,'Mortgage Calculators (By Month)'!$I$23:$I$623,"&gt;"&amp;$I35*12),0)</f>
        <v>120</v>
      </c>
      <c r="M36" s="142">
        <f t="shared" si="1"/>
        <v>0</v>
      </c>
      <c r="P36" s="12">
        <v>14</v>
      </c>
      <c r="Q36" s="142">
        <f>IF($P36&lt;=$Q$9,SUMIFS('Mortgage Calculators (By Month)'!$Q$23:$Q$623,'Mortgage Calculators (By Month)'!$P$23:$P$623,"&lt;="&amp;$P36*12,'Mortgage Calculators (By Month)'!$P$23:$P$623,"&gt;"&amp;$P35*12),0)</f>
        <v>0</v>
      </c>
      <c r="R36" s="142">
        <f>IF($P36&lt;=$Q$9,SUMIFS('Mortgage Calculators (By Month)'!$R$23:$R$623,'Mortgage Calculators (By Month)'!$P$23:$P$623,"&lt;="&amp;$P36*12,'Mortgage Calculators (By Month)'!$P$23:$P$623,"&gt;"&amp;$P35*12),0)</f>
        <v>0</v>
      </c>
      <c r="S36" s="142">
        <f>IF($P36&lt;=$Q$9,SUMIFS('Mortgage Calculators (By Month)'!$S$23:$S$623,'Mortgage Calculators (By Month)'!$P$23:$P$623,"&lt;="&amp;$P36*12,'Mortgage Calculators (By Month)'!$P$23:$P$623,"&gt;"&amp;$P35*12),0)</f>
        <v>99.999999999999986</v>
      </c>
      <c r="T36" s="142">
        <f t="shared" si="2"/>
        <v>0</v>
      </c>
      <c r="W36" s="12">
        <v>14</v>
      </c>
      <c r="X36" s="142">
        <f>IF($W36&lt;=$X$12,SUMIFS('Mortgage Calculators (By Month)'!$X$23:$X$623,'Mortgage Calculators (By Month)'!$W$23:$W$623,"&lt;="&amp;$W36*12,'Mortgage Calculators (By Month)'!$W$23:$W$623,"&gt;"&amp;$W35*12),0)</f>
        <v>0</v>
      </c>
      <c r="Y36" s="142">
        <f>IF($W36&lt;=$X$12,SUMIFS('Mortgage Calculators (By Month)'!$Y$23:$Y$623,'Mortgage Calculators (By Month)'!$W$23:$W$623,"&lt;="&amp;$W36*12,'Mortgage Calculators (By Month)'!$W$23:$W$623,"&gt;"&amp;$W35*12),0)</f>
        <v>0</v>
      </c>
      <c r="Z36" s="142">
        <f>IF($W36&lt;=$X$12,SUMIFS('Mortgage Calculators (By Month)'!$Z$23:$Z$623,'Mortgage Calculators (By Month)'!$W$23:$W$623,"&lt;="&amp;$W36*12,'Mortgage Calculators (By Month)'!$W$23:$W$623,"&gt;"&amp;$W35*12),0)</f>
        <v>120</v>
      </c>
      <c r="AA36" s="142">
        <f t="shared" si="3"/>
        <v>0</v>
      </c>
    </row>
    <row r="37" spans="2:27" x14ac:dyDescent="0.35">
      <c r="B37" s="12">
        <v>15</v>
      </c>
      <c r="C37" s="142">
        <f>IF($B37&lt;=$C$9,SUMIFS('Mortgage Calculators (By Month)'!$C$23:$C$623,'Mortgage Calculators (By Month)'!$B$23:$B$623,"&lt;="&amp;$B37*12,'Mortgage Calculators (By Month)'!$B$23:$B$623,"&gt;"&amp;$B36*12),0)</f>
        <v>0</v>
      </c>
      <c r="D37" s="142">
        <f>IF($B37&lt;=$C$9,SUMIFS('Mortgage Calculators (By Month)'!$D$23:$D$623,'Mortgage Calculators (By Month)'!$B$23:$B$623,"&lt;="&amp;$B37*12,'Mortgage Calculators (By Month)'!$B$23:$B$623,"&gt;"&amp;$B36*12),0)</f>
        <v>0</v>
      </c>
      <c r="E37" s="142">
        <f>IF($B37&lt;=$C$9,SUMIFS('Mortgage Calculators (By Month)'!$E$23:$E$623,'Mortgage Calculators (By Month)'!$B$23:$B$623,"&lt;="&amp;$B37*12,'Mortgage Calculators (By Month)'!$B$23:$B$623,"&gt;"&amp;$B36*12),0)</f>
        <v>99.999999999999986</v>
      </c>
      <c r="F37" s="142">
        <f t="shared" si="0"/>
        <v>0</v>
      </c>
      <c r="I37" s="12">
        <v>15</v>
      </c>
      <c r="J37" s="142">
        <f>IF($I37&lt;=$J$12,SUMIFS('Mortgage Calculators (By Month)'!$J$23:$J$623,'Mortgage Calculators (By Month)'!$I$23:$I$623,"&lt;="&amp;$I37*12,'Mortgage Calculators (By Month)'!$I$23:$I$623,"&gt;"&amp;$I36*12),0)</f>
        <v>0</v>
      </c>
      <c r="K37" s="142">
        <f>IF($I37&lt;=$J$12,SUMIFS('Mortgage Calculators (By Month)'!$K$23:$K$623,'Mortgage Calculators (By Month)'!$I$23:$I$623,"&lt;="&amp;$I37*12,'Mortgage Calculators (By Month)'!$I$23:$I$623,"&gt;"&amp;$I36*12),0)</f>
        <v>0</v>
      </c>
      <c r="L37" s="142">
        <f>IF($I37&lt;=$J$12,SUMIFS('Mortgage Calculators (By Month)'!$L$23:$L$623,'Mortgage Calculators (By Month)'!$I$23:$I$623,"&lt;="&amp;$I37*12,'Mortgage Calculators (By Month)'!$I$23:$I$623,"&gt;"&amp;$I36*12),0)</f>
        <v>120</v>
      </c>
      <c r="M37" s="142">
        <f t="shared" si="1"/>
        <v>0</v>
      </c>
      <c r="P37" s="12">
        <v>15</v>
      </c>
      <c r="Q37" s="142">
        <f>IF($P37&lt;=$Q$9,SUMIFS('Mortgage Calculators (By Month)'!$Q$23:$Q$623,'Mortgage Calculators (By Month)'!$P$23:$P$623,"&lt;="&amp;$P37*12,'Mortgage Calculators (By Month)'!$P$23:$P$623,"&gt;"&amp;$P36*12),0)</f>
        <v>0</v>
      </c>
      <c r="R37" s="142">
        <f>IF($P37&lt;=$Q$9,SUMIFS('Mortgage Calculators (By Month)'!$R$23:$R$623,'Mortgage Calculators (By Month)'!$P$23:$P$623,"&lt;="&amp;$P37*12,'Mortgage Calculators (By Month)'!$P$23:$P$623,"&gt;"&amp;$P36*12),0)</f>
        <v>0</v>
      </c>
      <c r="S37" s="142">
        <f>IF($P37&lt;=$Q$9,SUMIFS('Mortgage Calculators (By Month)'!$S$23:$S$623,'Mortgage Calculators (By Month)'!$P$23:$P$623,"&lt;="&amp;$P37*12,'Mortgage Calculators (By Month)'!$P$23:$P$623,"&gt;"&amp;$P36*12),0)</f>
        <v>99.999999999999986</v>
      </c>
      <c r="T37" s="142">
        <f t="shared" si="2"/>
        <v>0</v>
      </c>
      <c r="W37" s="12">
        <v>15</v>
      </c>
      <c r="X37" s="142">
        <f>IF($W37&lt;=$X$12,SUMIFS('Mortgage Calculators (By Month)'!$X$23:$X$623,'Mortgage Calculators (By Month)'!$W$23:$W$623,"&lt;="&amp;$W37*12,'Mortgage Calculators (By Month)'!$W$23:$W$623,"&gt;"&amp;$W36*12),0)</f>
        <v>0</v>
      </c>
      <c r="Y37" s="142">
        <f>IF($W37&lt;=$X$12,SUMIFS('Mortgage Calculators (By Month)'!$Y$23:$Y$623,'Mortgage Calculators (By Month)'!$W$23:$W$623,"&lt;="&amp;$W37*12,'Mortgage Calculators (By Month)'!$W$23:$W$623,"&gt;"&amp;$W36*12),0)</f>
        <v>0</v>
      </c>
      <c r="Z37" s="142">
        <f>IF($W37&lt;=$X$12,SUMIFS('Mortgage Calculators (By Month)'!$Z$23:$Z$623,'Mortgage Calculators (By Month)'!$W$23:$W$623,"&lt;="&amp;$W37*12,'Mortgage Calculators (By Month)'!$W$23:$W$623,"&gt;"&amp;$W36*12),0)</f>
        <v>120</v>
      </c>
      <c r="AA37" s="142">
        <f t="shared" si="3"/>
        <v>0</v>
      </c>
    </row>
    <row r="38" spans="2:27" x14ac:dyDescent="0.35">
      <c r="B38" s="12">
        <v>16</v>
      </c>
      <c r="C38" s="142">
        <f>IF($B38&lt;=$C$9,SUMIFS('Mortgage Calculators (By Month)'!$C$23:$C$623,'Mortgage Calculators (By Month)'!$B$23:$B$623,"&lt;="&amp;$B38*12,'Mortgage Calculators (By Month)'!$B$23:$B$623,"&gt;"&amp;$B37*12),0)</f>
        <v>0</v>
      </c>
      <c r="D38" s="142">
        <f>IF($B38&lt;=$C$9,SUMIFS('Mortgage Calculators (By Month)'!$D$23:$D$623,'Mortgage Calculators (By Month)'!$B$23:$B$623,"&lt;="&amp;$B38*12,'Mortgage Calculators (By Month)'!$B$23:$B$623,"&gt;"&amp;$B37*12),0)</f>
        <v>0</v>
      </c>
      <c r="E38" s="142">
        <f>IF($B38&lt;=$C$9,SUMIFS('Mortgage Calculators (By Month)'!$E$23:$E$623,'Mortgage Calculators (By Month)'!$B$23:$B$623,"&lt;="&amp;$B38*12,'Mortgage Calculators (By Month)'!$B$23:$B$623,"&gt;"&amp;$B37*12),0)</f>
        <v>99.999999999999986</v>
      </c>
      <c r="F38" s="142">
        <f t="shared" si="0"/>
        <v>0</v>
      </c>
      <c r="I38" s="12">
        <v>16</v>
      </c>
      <c r="J38" s="142">
        <f>IF($I38&lt;=$J$12,SUMIFS('Mortgage Calculators (By Month)'!$J$23:$J$623,'Mortgage Calculators (By Month)'!$I$23:$I$623,"&lt;="&amp;$I38*12,'Mortgage Calculators (By Month)'!$I$23:$I$623,"&gt;"&amp;$I37*12),0)</f>
        <v>0</v>
      </c>
      <c r="K38" s="142">
        <f>IF($I38&lt;=$J$12,SUMIFS('Mortgage Calculators (By Month)'!$K$23:$K$623,'Mortgage Calculators (By Month)'!$I$23:$I$623,"&lt;="&amp;$I38*12,'Mortgage Calculators (By Month)'!$I$23:$I$623,"&gt;"&amp;$I37*12),0)</f>
        <v>0</v>
      </c>
      <c r="L38" s="142">
        <f>IF($I38&lt;=$J$12,SUMIFS('Mortgage Calculators (By Month)'!$L$23:$L$623,'Mortgage Calculators (By Month)'!$I$23:$I$623,"&lt;="&amp;$I38*12,'Mortgage Calculators (By Month)'!$I$23:$I$623,"&gt;"&amp;$I37*12),0)</f>
        <v>120</v>
      </c>
      <c r="M38" s="142">
        <f t="shared" si="1"/>
        <v>0</v>
      </c>
      <c r="P38" s="12">
        <v>16</v>
      </c>
      <c r="Q38" s="142">
        <f>IF($P38&lt;=$Q$9,SUMIFS('Mortgage Calculators (By Month)'!$Q$23:$Q$623,'Mortgage Calculators (By Month)'!$P$23:$P$623,"&lt;="&amp;$P38*12,'Mortgage Calculators (By Month)'!$P$23:$P$623,"&gt;"&amp;$P37*12),0)</f>
        <v>0</v>
      </c>
      <c r="R38" s="142">
        <f>IF($P38&lt;=$Q$9,SUMIFS('Mortgage Calculators (By Month)'!$R$23:$R$623,'Mortgage Calculators (By Month)'!$P$23:$P$623,"&lt;="&amp;$P38*12,'Mortgage Calculators (By Month)'!$P$23:$P$623,"&gt;"&amp;$P37*12),0)</f>
        <v>0</v>
      </c>
      <c r="S38" s="142">
        <f>IF($P38&lt;=$Q$9,SUMIFS('Mortgage Calculators (By Month)'!$S$23:$S$623,'Mortgage Calculators (By Month)'!$P$23:$P$623,"&lt;="&amp;$P38*12,'Mortgage Calculators (By Month)'!$P$23:$P$623,"&gt;"&amp;$P37*12),0)</f>
        <v>99.999999999999986</v>
      </c>
      <c r="T38" s="142">
        <f t="shared" si="2"/>
        <v>0</v>
      </c>
      <c r="W38" s="12">
        <v>16</v>
      </c>
      <c r="X38" s="142">
        <f>IF($W38&lt;=$X$12,SUMIFS('Mortgage Calculators (By Month)'!$X$23:$X$623,'Mortgage Calculators (By Month)'!$W$23:$W$623,"&lt;="&amp;$W38*12,'Mortgage Calculators (By Month)'!$W$23:$W$623,"&gt;"&amp;$W37*12),0)</f>
        <v>0</v>
      </c>
      <c r="Y38" s="142">
        <f>IF($W38&lt;=$X$12,SUMIFS('Mortgage Calculators (By Month)'!$Y$23:$Y$623,'Mortgage Calculators (By Month)'!$W$23:$W$623,"&lt;="&amp;$W38*12,'Mortgage Calculators (By Month)'!$W$23:$W$623,"&gt;"&amp;$W37*12),0)</f>
        <v>0</v>
      </c>
      <c r="Z38" s="142">
        <f>IF($W38&lt;=$X$12,SUMIFS('Mortgage Calculators (By Month)'!$Z$23:$Z$623,'Mortgage Calculators (By Month)'!$W$23:$W$623,"&lt;="&amp;$W38*12,'Mortgage Calculators (By Month)'!$W$23:$W$623,"&gt;"&amp;$W37*12),0)</f>
        <v>120</v>
      </c>
      <c r="AA38" s="142">
        <f t="shared" si="3"/>
        <v>0</v>
      </c>
    </row>
    <row r="39" spans="2:27" x14ac:dyDescent="0.35">
      <c r="B39" s="12">
        <v>17</v>
      </c>
      <c r="C39" s="142">
        <f>IF($B39&lt;=$C$9,SUMIFS('Mortgage Calculators (By Month)'!$C$23:$C$623,'Mortgage Calculators (By Month)'!$B$23:$B$623,"&lt;="&amp;$B39*12,'Mortgage Calculators (By Month)'!$B$23:$B$623,"&gt;"&amp;$B38*12),0)</f>
        <v>0</v>
      </c>
      <c r="D39" s="142">
        <f>IF($B39&lt;=$C$9,SUMIFS('Mortgage Calculators (By Month)'!$D$23:$D$623,'Mortgage Calculators (By Month)'!$B$23:$B$623,"&lt;="&amp;$B39*12,'Mortgage Calculators (By Month)'!$B$23:$B$623,"&gt;"&amp;$B38*12),0)</f>
        <v>0</v>
      </c>
      <c r="E39" s="142">
        <f>IF($B39&lt;=$C$9,SUMIFS('Mortgage Calculators (By Month)'!$E$23:$E$623,'Mortgage Calculators (By Month)'!$B$23:$B$623,"&lt;="&amp;$B39*12,'Mortgage Calculators (By Month)'!$B$23:$B$623,"&gt;"&amp;$B38*12),0)</f>
        <v>99.999999999999986</v>
      </c>
      <c r="F39" s="142">
        <f t="shared" si="0"/>
        <v>0</v>
      </c>
      <c r="I39" s="12">
        <v>17</v>
      </c>
      <c r="J39" s="142">
        <f>IF($I39&lt;=$J$12,SUMIFS('Mortgage Calculators (By Month)'!$J$23:$J$623,'Mortgage Calculators (By Month)'!$I$23:$I$623,"&lt;="&amp;$I39*12,'Mortgage Calculators (By Month)'!$I$23:$I$623,"&gt;"&amp;$I38*12),0)</f>
        <v>0</v>
      </c>
      <c r="K39" s="142">
        <f>IF($I39&lt;=$J$12,SUMIFS('Mortgage Calculators (By Month)'!$K$23:$K$623,'Mortgage Calculators (By Month)'!$I$23:$I$623,"&lt;="&amp;$I39*12,'Mortgage Calculators (By Month)'!$I$23:$I$623,"&gt;"&amp;$I38*12),0)</f>
        <v>0</v>
      </c>
      <c r="L39" s="142">
        <f>IF($I39&lt;=$J$12,SUMIFS('Mortgage Calculators (By Month)'!$L$23:$L$623,'Mortgage Calculators (By Month)'!$I$23:$I$623,"&lt;="&amp;$I39*12,'Mortgage Calculators (By Month)'!$I$23:$I$623,"&gt;"&amp;$I38*12),0)</f>
        <v>120</v>
      </c>
      <c r="M39" s="142">
        <f t="shared" si="1"/>
        <v>0</v>
      </c>
      <c r="P39" s="12">
        <v>17</v>
      </c>
      <c r="Q39" s="142">
        <f>IF($P39&lt;=$Q$9,SUMIFS('Mortgage Calculators (By Month)'!$Q$23:$Q$623,'Mortgage Calculators (By Month)'!$P$23:$P$623,"&lt;="&amp;$P39*12,'Mortgage Calculators (By Month)'!$P$23:$P$623,"&gt;"&amp;$P38*12),0)</f>
        <v>0</v>
      </c>
      <c r="R39" s="142">
        <f>IF($P39&lt;=$Q$9,SUMIFS('Mortgage Calculators (By Month)'!$R$23:$R$623,'Mortgage Calculators (By Month)'!$P$23:$P$623,"&lt;="&amp;$P39*12,'Mortgage Calculators (By Month)'!$P$23:$P$623,"&gt;"&amp;$P38*12),0)</f>
        <v>0</v>
      </c>
      <c r="S39" s="142">
        <f>IF($P39&lt;=$Q$9,SUMIFS('Mortgage Calculators (By Month)'!$S$23:$S$623,'Mortgage Calculators (By Month)'!$P$23:$P$623,"&lt;="&amp;$P39*12,'Mortgage Calculators (By Month)'!$P$23:$P$623,"&gt;"&amp;$P38*12),0)</f>
        <v>99.999999999999986</v>
      </c>
      <c r="T39" s="142">
        <f t="shared" si="2"/>
        <v>0</v>
      </c>
      <c r="W39" s="12">
        <v>17</v>
      </c>
      <c r="X39" s="142">
        <f>IF($W39&lt;=$X$12,SUMIFS('Mortgage Calculators (By Month)'!$X$23:$X$623,'Mortgage Calculators (By Month)'!$W$23:$W$623,"&lt;="&amp;$W39*12,'Mortgage Calculators (By Month)'!$W$23:$W$623,"&gt;"&amp;$W38*12),0)</f>
        <v>0</v>
      </c>
      <c r="Y39" s="142">
        <f>IF($W39&lt;=$X$12,SUMIFS('Mortgage Calculators (By Month)'!$Y$23:$Y$623,'Mortgage Calculators (By Month)'!$W$23:$W$623,"&lt;="&amp;$W39*12,'Mortgage Calculators (By Month)'!$W$23:$W$623,"&gt;"&amp;$W38*12),0)</f>
        <v>0</v>
      </c>
      <c r="Z39" s="142">
        <f>IF($W39&lt;=$X$12,SUMIFS('Mortgage Calculators (By Month)'!$Z$23:$Z$623,'Mortgage Calculators (By Month)'!$W$23:$W$623,"&lt;="&amp;$W39*12,'Mortgage Calculators (By Month)'!$W$23:$W$623,"&gt;"&amp;$W38*12),0)</f>
        <v>120</v>
      </c>
      <c r="AA39" s="142">
        <f t="shared" si="3"/>
        <v>0</v>
      </c>
    </row>
    <row r="40" spans="2:27" x14ac:dyDescent="0.35">
      <c r="B40" s="12">
        <v>18</v>
      </c>
      <c r="C40" s="142">
        <f>IF($B40&lt;=$C$9,SUMIFS('Mortgage Calculators (By Month)'!$C$23:$C$623,'Mortgage Calculators (By Month)'!$B$23:$B$623,"&lt;="&amp;$B40*12,'Mortgage Calculators (By Month)'!$B$23:$B$623,"&gt;"&amp;$B39*12),0)</f>
        <v>0</v>
      </c>
      <c r="D40" s="142">
        <f>IF($B40&lt;=$C$9,SUMIFS('Mortgage Calculators (By Month)'!$D$23:$D$623,'Mortgage Calculators (By Month)'!$B$23:$B$623,"&lt;="&amp;$B40*12,'Mortgage Calculators (By Month)'!$B$23:$B$623,"&gt;"&amp;$B39*12),0)</f>
        <v>0</v>
      </c>
      <c r="E40" s="142">
        <f>IF($B40&lt;=$C$9,SUMIFS('Mortgage Calculators (By Month)'!$E$23:$E$623,'Mortgage Calculators (By Month)'!$B$23:$B$623,"&lt;="&amp;$B40*12,'Mortgage Calculators (By Month)'!$B$23:$B$623,"&gt;"&amp;$B39*12),0)</f>
        <v>99.999999999999986</v>
      </c>
      <c r="F40" s="142">
        <f t="shared" si="0"/>
        <v>0</v>
      </c>
      <c r="I40" s="12">
        <v>18</v>
      </c>
      <c r="J40" s="142">
        <f>IF($I40&lt;=$J$12,SUMIFS('Mortgage Calculators (By Month)'!$J$23:$J$623,'Mortgage Calculators (By Month)'!$I$23:$I$623,"&lt;="&amp;$I40*12,'Mortgage Calculators (By Month)'!$I$23:$I$623,"&gt;"&amp;$I39*12),0)</f>
        <v>0</v>
      </c>
      <c r="K40" s="142">
        <f>IF($I40&lt;=$J$12,SUMIFS('Mortgage Calculators (By Month)'!$K$23:$K$623,'Mortgage Calculators (By Month)'!$I$23:$I$623,"&lt;="&amp;$I40*12,'Mortgage Calculators (By Month)'!$I$23:$I$623,"&gt;"&amp;$I39*12),0)</f>
        <v>0</v>
      </c>
      <c r="L40" s="142">
        <f>IF($I40&lt;=$J$12,SUMIFS('Mortgage Calculators (By Month)'!$L$23:$L$623,'Mortgage Calculators (By Month)'!$I$23:$I$623,"&lt;="&amp;$I40*12,'Mortgage Calculators (By Month)'!$I$23:$I$623,"&gt;"&amp;$I39*12),0)</f>
        <v>120</v>
      </c>
      <c r="M40" s="142">
        <f t="shared" si="1"/>
        <v>0</v>
      </c>
      <c r="P40" s="12">
        <v>18</v>
      </c>
      <c r="Q40" s="142">
        <f>IF($P40&lt;=$Q$9,SUMIFS('Mortgage Calculators (By Month)'!$Q$23:$Q$623,'Mortgage Calculators (By Month)'!$P$23:$P$623,"&lt;="&amp;$P40*12,'Mortgage Calculators (By Month)'!$P$23:$P$623,"&gt;"&amp;$P39*12),0)</f>
        <v>0</v>
      </c>
      <c r="R40" s="142">
        <f>IF($P40&lt;=$Q$9,SUMIFS('Mortgage Calculators (By Month)'!$R$23:$R$623,'Mortgage Calculators (By Month)'!$P$23:$P$623,"&lt;="&amp;$P40*12,'Mortgage Calculators (By Month)'!$P$23:$P$623,"&gt;"&amp;$P39*12),0)</f>
        <v>0</v>
      </c>
      <c r="S40" s="142">
        <f>IF($P40&lt;=$Q$9,SUMIFS('Mortgage Calculators (By Month)'!$S$23:$S$623,'Mortgage Calculators (By Month)'!$P$23:$P$623,"&lt;="&amp;$P40*12,'Mortgage Calculators (By Month)'!$P$23:$P$623,"&gt;"&amp;$P39*12),0)</f>
        <v>99.999999999999986</v>
      </c>
      <c r="T40" s="142">
        <f t="shared" si="2"/>
        <v>0</v>
      </c>
      <c r="W40" s="12">
        <v>18</v>
      </c>
      <c r="X40" s="142">
        <f>IF($W40&lt;=$X$12,SUMIFS('Mortgage Calculators (By Month)'!$X$23:$X$623,'Mortgage Calculators (By Month)'!$W$23:$W$623,"&lt;="&amp;$W40*12,'Mortgage Calculators (By Month)'!$W$23:$W$623,"&gt;"&amp;$W39*12),0)</f>
        <v>0</v>
      </c>
      <c r="Y40" s="142">
        <f>IF($W40&lt;=$X$12,SUMIFS('Mortgage Calculators (By Month)'!$Y$23:$Y$623,'Mortgage Calculators (By Month)'!$W$23:$W$623,"&lt;="&amp;$W40*12,'Mortgage Calculators (By Month)'!$W$23:$W$623,"&gt;"&amp;$W39*12),0)</f>
        <v>0</v>
      </c>
      <c r="Z40" s="142">
        <f>IF($W40&lt;=$X$12,SUMIFS('Mortgage Calculators (By Month)'!$Z$23:$Z$623,'Mortgage Calculators (By Month)'!$W$23:$W$623,"&lt;="&amp;$W40*12,'Mortgage Calculators (By Month)'!$W$23:$W$623,"&gt;"&amp;$W39*12),0)</f>
        <v>120</v>
      </c>
      <c r="AA40" s="142">
        <f t="shared" si="3"/>
        <v>0</v>
      </c>
    </row>
    <row r="41" spans="2:27" x14ac:dyDescent="0.35">
      <c r="B41" s="12">
        <v>19</v>
      </c>
      <c r="C41" s="142">
        <f>IF($B41&lt;=$C$9,SUMIFS('Mortgage Calculators (By Month)'!$C$23:$C$623,'Mortgage Calculators (By Month)'!$B$23:$B$623,"&lt;="&amp;$B41*12,'Mortgage Calculators (By Month)'!$B$23:$B$623,"&gt;"&amp;$B40*12),0)</f>
        <v>0</v>
      </c>
      <c r="D41" s="142">
        <f>IF($B41&lt;=$C$9,SUMIFS('Mortgage Calculators (By Month)'!$D$23:$D$623,'Mortgage Calculators (By Month)'!$B$23:$B$623,"&lt;="&amp;$B41*12,'Mortgage Calculators (By Month)'!$B$23:$B$623,"&gt;"&amp;$B40*12),0)</f>
        <v>0</v>
      </c>
      <c r="E41" s="142">
        <f>IF($B41&lt;=$C$9,SUMIFS('Mortgage Calculators (By Month)'!$E$23:$E$623,'Mortgage Calculators (By Month)'!$B$23:$B$623,"&lt;="&amp;$B41*12,'Mortgage Calculators (By Month)'!$B$23:$B$623,"&gt;"&amp;$B40*12),0)</f>
        <v>99.999999999999986</v>
      </c>
      <c r="F41" s="142">
        <f t="shared" si="0"/>
        <v>0</v>
      </c>
      <c r="I41" s="12">
        <v>19</v>
      </c>
      <c r="J41" s="142">
        <f>IF($I41&lt;=$J$12,SUMIFS('Mortgage Calculators (By Month)'!$J$23:$J$623,'Mortgage Calculators (By Month)'!$I$23:$I$623,"&lt;="&amp;$I41*12,'Mortgage Calculators (By Month)'!$I$23:$I$623,"&gt;"&amp;$I40*12),0)</f>
        <v>0</v>
      </c>
      <c r="K41" s="142">
        <f>IF($I41&lt;=$J$12,SUMIFS('Mortgage Calculators (By Month)'!$K$23:$K$623,'Mortgage Calculators (By Month)'!$I$23:$I$623,"&lt;="&amp;$I41*12,'Mortgage Calculators (By Month)'!$I$23:$I$623,"&gt;"&amp;$I40*12),0)</f>
        <v>0</v>
      </c>
      <c r="L41" s="142">
        <f>IF($I41&lt;=$J$12,SUMIFS('Mortgage Calculators (By Month)'!$L$23:$L$623,'Mortgage Calculators (By Month)'!$I$23:$I$623,"&lt;="&amp;$I41*12,'Mortgage Calculators (By Month)'!$I$23:$I$623,"&gt;"&amp;$I40*12),0)</f>
        <v>120</v>
      </c>
      <c r="M41" s="142">
        <f t="shared" si="1"/>
        <v>0</v>
      </c>
      <c r="P41" s="12">
        <v>19</v>
      </c>
      <c r="Q41" s="142">
        <f>IF($P41&lt;=$Q$9,SUMIFS('Mortgage Calculators (By Month)'!$Q$23:$Q$623,'Mortgage Calculators (By Month)'!$P$23:$P$623,"&lt;="&amp;$P41*12,'Mortgage Calculators (By Month)'!$P$23:$P$623,"&gt;"&amp;$P40*12),0)</f>
        <v>0</v>
      </c>
      <c r="R41" s="142">
        <f>IF($P41&lt;=$Q$9,SUMIFS('Mortgage Calculators (By Month)'!$R$23:$R$623,'Mortgage Calculators (By Month)'!$P$23:$P$623,"&lt;="&amp;$P41*12,'Mortgage Calculators (By Month)'!$P$23:$P$623,"&gt;"&amp;$P40*12),0)</f>
        <v>0</v>
      </c>
      <c r="S41" s="142">
        <f>IF($P41&lt;=$Q$9,SUMIFS('Mortgage Calculators (By Month)'!$S$23:$S$623,'Mortgage Calculators (By Month)'!$P$23:$P$623,"&lt;="&amp;$P41*12,'Mortgage Calculators (By Month)'!$P$23:$P$623,"&gt;"&amp;$P40*12),0)</f>
        <v>99.999999999999986</v>
      </c>
      <c r="T41" s="142">
        <f t="shared" si="2"/>
        <v>0</v>
      </c>
      <c r="W41" s="12">
        <v>19</v>
      </c>
      <c r="X41" s="142">
        <f>IF($W41&lt;=$X$12,SUMIFS('Mortgage Calculators (By Month)'!$X$23:$X$623,'Mortgage Calculators (By Month)'!$W$23:$W$623,"&lt;="&amp;$W41*12,'Mortgage Calculators (By Month)'!$W$23:$W$623,"&gt;"&amp;$W40*12),0)</f>
        <v>0</v>
      </c>
      <c r="Y41" s="142">
        <f>IF($W41&lt;=$X$12,SUMIFS('Mortgage Calculators (By Month)'!$Y$23:$Y$623,'Mortgage Calculators (By Month)'!$W$23:$W$623,"&lt;="&amp;$W41*12,'Mortgage Calculators (By Month)'!$W$23:$W$623,"&gt;"&amp;$W40*12),0)</f>
        <v>0</v>
      </c>
      <c r="Z41" s="142">
        <f>IF($W41&lt;=$X$12,SUMIFS('Mortgage Calculators (By Month)'!$Z$23:$Z$623,'Mortgage Calculators (By Month)'!$W$23:$W$623,"&lt;="&amp;$W41*12,'Mortgage Calculators (By Month)'!$W$23:$W$623,"&gt;"&amp;$W40*12),0)</f>
        <v>120</v>
      </c>
      <c r="AA41" s="142">
        <f t="shared" si="3"/>
        <v>0</v>
      </c>
    </row>
    <row r="42" spans="2:27" x14ac:dyDescent="0.35">
      <c r="B42" s="12">
        <v>20</v>
      </c>
      <c r="C42" s="142">
        <f>IF($B42&lt;=$C$9,SUMIFS('Mortgage Calculators (By Month)'!$C$23:$C$623,'Mortgage Calculators (By Month)'!$B$23:$B$623,"&lt;="&amp;$B42*12,'Mortgage Calculators (By Month)'!$B$23:$B$623,"&gt;"&amp;$B41*12),0)</f>
        <v>0</v>
      </c>
      <c r="D42" s="142">
        <f>IF($B42&lt;=$C$9,SUMIFS('Mortgage Calculators (By Month)'!$D$23:$D$623,'Mortgage Calculators (By Month)'!$B$23:$B$623,"&lt;="&amp;$B42*12,'Mortgage Calculators (By Month)'!$B$23:$B$623,"&gt;"&amp;$B41*12),0)</f>
        <v>0</v>
      </c>
      <c r="E42" s="142">
        <f>IF($B42&lt;=$C$9,SUMIFS('Mortgage Calculators (By Month)'!$E$23:$E$623,'Mortgage Calculators (By Month)'!$B$23:$B$623,"&lt;="&amp;$B42*12,'Mortgage Calculators (By Month)'!$B$23:$B$623,"&gt;"&amp;$B41*12),0)</f>
        <v>99.999999999999986</v>
      </c>
      <c r="F42" s="142">
        <f t="shared" si="0"/>
        <v>0</v>
      </c>
      <c r="I42" s="12">
        <v>20</v>
      </c>
      <c r="J42" s="142">
        <f>IF($I42&lt;=$J$12,SUMIFS('Mortgage Calculators (By Month)'!$J$23:$J$623,'Mortgage Calculators (By Month)'!$I$23:$I$623,"&lt;="&amp;$I42*12,'Mortgage Calculators (By Month)'!$I$23:$I$623,"&gt;"&amp;$I41*12),0)</f>
        <v>0</v>
      </c>
      <c r="K42" s="142">
        <f>IF($I42&lt;=$J$12,SUMIFS('Mortgage Calculators (By Month)'!$K$23:$K$623,'Mortgage Calculators (By Month)'!$I$23:$I$623,"&lt;="&amp;$I42*12,'Mortgage Calculators (By Month)'!$I$23:$I$623,"&gt;"&amp;$I41*12),0)</f>
        <v>0</v>
      </c>
      <c r="L42" s="142">
        <f>IF($I42&lt;=$J$12,SUMIFS('Mortgage Calculators (By Month)'!$L$23:$L$623,'Mortgage Calculators (By Month)'!$I$23:$I$623,"&lt;="&amp;$I42*12,'Mortgage Calculators (By Month)'!$I$23:$I$623,"&gt;"&amp;$I41*12),0)</f>
        <v>120</v>
      </c>
      <c r="M42" s="142">
        <f t="shared" si="1"/>
        <v>0</v>
      </c>
      <c r="P42" s="12">
        <v>20</v>
      </c>
      <c r="Q42" s="142">
        <f>IF($P42&lt;=$Q$9,SUMIFS('Mortgage Calculators (By Month)'!$Q$23:$Q$623,'Mortgage Calculators (By Month)'!$P$23:$P$623,"&lt;="&amp;$P42*12,'Mortgage Calculators (By Month)'!$P$23:$P$623,"&gt;"&amp;$P41*12),0)</f>
        <v>0</v>
      </c>
      <c r="R42" s="142">
        <f>IF($P42&lt;=$Q$9,SUMIFS('Mortgage Calculators (By Month)'!$R$23:$R$623,'Mortgage Calculators (By Month)'!$P$23:$P$623,"&lt;="&amp;$P42*12,'Mortgage Calculators (By Month)'!$P$23:$P$623,"&gt;"&amp;$P41*12),0)</f>
        <v>0</v>
      </c>
      <c r="S42" s="142">
        <f>IF($P42&lt;=$Q$9,SUMIFS('Mortgage Calculators (By Month)'!$S$23:$S$623,'Mortgage Calculators (By Month)'!$P$23:$P$623,"&lt;="&amp;$P42*12,'Mortgage Calculators (By Month)'!$P$23:$P$623,"&gt;"&amp;$P41*12),0)</f>
        <v>99.999999999999986</v>
      </c>
      <c r="T42" s="142">
        <f t="shared" si="2"/>
        <v>0</v>
      </c>
      <c r="W42" s="12">
        <v>20</v>
      </c>
      <c r="X42" s="142">
        <f>IF($W42&lt;=$X$12,SUMIFS('Mortgage Calculators (By Month)'!$X$23:$X$623,'Mortgage Calculators (By Month)'!$W$23:$W$623,"&lt;="&amp;$W42*12,'Mortgage Calculators (By Month)'!$W$23:$W$623,"&gt;"&amp;$W41*12),0)</f>
        <v>0</v>
      </c>
      <c r="Y42" s="142">
        <f>IF($W42&lt;=$X$12,SUMIFS('Mortgage Calculators (By Month)'!$Y$23:$Y$623,'Mortgage Calculators (By Month)'!$W$23:$W$623,"&lt;="&amp;$W42*12,'Mortgage Calculators (By Month)'!$W$23:$W$623,"&gt;"&amp;$W41*12),0)</f>
        <v>0</v>
      </c>
      <c r="Z42" s="142">
        <f>IF($W42&lt;=$X$12,SUMIFS('Mortgage Calculators (By Month)'!$Z$23:$Z$623,'Mortgage Calculators (By Month)'!$W$23:$W$623,"&lt;="&amp;$W42*12,'Mortgage Calculators (By Month)'!$W$23:$W$623,"&gt;"&amp;$W41*12),0)</f>
        <v>120</v>
      </c>
      <c r="AA42" s="142">
        <f t="shared" si="3"/>
        <v>0</v>
      </c>
    </row>
    <row r="43" spans="2:27" x14ac:dyDescent="0.35">
      <c r="B43" s="12">
        <v>21</v>
      </c>
      <c r="C43" s="142">
        <f>IF($B43&lt;=$C$9,SUMIFS('Mortgage Calculators (By Month)'!$C$23:$C$623,'Mortgage Calculators (By Month)'!$B$23:$B$623,"&lt;="&amp;$B43*12,'Mortgage Calculators (By Month)'!$B$23:$B$623,"&gt;"&amp;$B42*12),0)</f>
        <v>0</v>
      </c>
      <c r="D43" s="142">
        <f>IF($B43&lt;=$C$9,SUMIFS('Mortgage Calculators (By Month)'!$D$23:$D$623,'Mortgage Calculators (By Month)'!$B$23:$B$623,"&lt;="&amp;$B43*12,'Mortgage Calculators (By Month)'!$B$23:$B$623,"&gt;"&amp;$B42*12),0)</f>
        <v>0</v>
      </c>
      <c r="E43" s="142">
        <f>IF($B43&lt;=$C$9,SUMIFS('Mortgage Calculators (By Month)'!$E$23:$E$623,'Mortgage Calculators (By Month)'!$B$23:$B$623,"&lt;="&amp;$B43*12,'Mortgage Calculators (By Month)'!$B$23:$B$623,"&gt;"&amp;$B42*12),0)</f>
        <v>99.999999999999986</v>
      </c>
      <c r="F43" s="142">
        <f t="shared" si="0"/>
        <v>0</v>
      </c>
      <c r="I43" s="12">
        <v>21</v>
      </c>
      <c r="J43" s="142">
        <f>IF($I43&lt;=$J$12,SUMIFS('Mortgage Calculators (By Month)'!$J$23:$J$623,'Mortgage Calculators (By Month)'!$I$23:$I$623,"&lt;="&amp;$I43*12,'Mortgage Calculators (By Month)'!$I$23:$I$623,"&gt;"&amp;$I42*12),0)</f>
        <v>0</v>
      </c>
      <c r="K43" s="142">
        <f>IF($I43&lt;=$J$12,SUMIFS('Mortgage Calculators (By Month)'!$K$23:$K$623,'Mortgage Calculators (By Month)'!$I$23:$I$623,"&lt;="&amp;$I43*12,'Mortgage Calculators (By Month)'!$I$23:$I$623,"&gt;"&amp;$I42*12),0)</f>
        <v>0</v>
      </c>
      <c r="L43" s="142">
        <f>IF($I43&lt;=$J$12,SUMIFS('Mortgage Calculators (By Month)'!$L$23:$L$623,'Mortgage Calculators (By Month)'!$I$23:$I$623,"&lt;="&amp;$I43*12,'Mortgage Calculators (By Month)'!$I$23:$I$623,"&gt;"&amp;$I42*12),0)</f>
        <v>120</v>
      </c>
      <c r="M43" s="142">
        <f t="shared" si="1"/>
        <v>0</v>
      </c>
      <c r="P43" s="12">
        <v>21</v>
      </c>
      <c r="Q43" s="142">
        <f>IF($P43&lt;=$Q$9,SUMIFS('Mortgage Calculators (By Month)'!$Q$23:$Q$623,'Mortgage Calculators (By Month)'!$P$23:$P$623,"&lt;="&amp;$P43*12,'Mortgage Calculators (By Month)'!$P$23:$P$623,"&gt;"&amp;$P42*12),0)</f>
        <v>0</v>
      </c>
      <c r="R43" s="142">
        <f>IF($P43&lt;=$Q$9,SUMIFS('Mortgage Calculators (By Month)'!$R$23:$R$623,'Mortgage Calculators (By Month)'!$P$23:$P$623,"&lt;="&amp;$P43*12,'Mortgage Calculators (By Month)'!$P$23:$P$623,"&gt;"&amp;$P42*12),0)</f>
        <v>0</v>
      </c>
      <c r="S43" s="142">
        <f>IF($P43&lt;=$Q$9,SUMIFS('Mortgage Calculators (By Month)'!$S$23:$S$623,'Mortgage Calculators (By Month)'!$P$23:$P$623,"&lt;="&amp;$P43*12,'Mortgage Calculators (By Month)'!$P$23:$P$623,"&gt;"&amp;$P42*12),0)</f>
        <v>99.999999999999986</v>
      </c>
      <c r="T43" s="142">
        <f t="shared" si="2"/>
        <v>0</v>
      </c>
      <c r="W43" s="12">
        <v>21</v>
      </c>
      <c r="X43" s="142">
        <f>IF($W43&lt;=$X$12,SUMIFS('Mortgage Calculators (By Month)'!$X$23:$X$623,'Mortgage Calculators (By Month)'!$W$23:$W$623,"&lt;="&amp;$W43*12,'Mortgage Calculators (By Month)'!$W$23:$W$623,"&gt;"&amp;$W42*12),0)</f>
        <v>0</v>
      </c>
      <c r="Y43" s="142">
        <f>IF($W43&lt;=$X$12,SUMIFS('Mortgage Calculators (By Month)'!$Y$23:$Y$623,'Mortgage Calculators (By Month)'!$W$23:$W$623,"&lt;="&amp;$W43*12,'Mortgage Calculators (By Month)'!$W$23:$W$623,"&gt;"&amp;$W42*12),0)</f>
        <v>0</v>
      </c>
      <c r="Z43" s="142">
        <f>IF($W43&lt;=$X$12,SUMIFS('Mortgage Calculators (By Month)'!$Z$23:$Z$623,'Mortgage Calculators (By Month)'!$W$23:$W$623,"&lt;="&amp;$W43*12,'Mortgage Calculators (By Month)'!$W$23:$W$623,"&gt;"&amp;$W42*12),0)</f>
        <v>120</v>
      </c>
      <c r="AA43" s="142">
        <f t="shared" si="3"/>
        <v>0</v>
      </c>
    </row>
    <row r="44" spans="2:27" x14ac:dyDescent="0.35">
      <c r="B44" s="12">
        <v>22</v>
      </c>
      <c r="C44" s="142">
        <f>IF($B44&lt;=$C$9,SUMIFS('Mortgage Calculators (By Month)'!$C$23:$C$623,'Mortgage Calculators (By Month)'!$B$23:$B$623,"&lt;="&amp;$B44*12,'Mortgage Calculators (By Month)'!$B$23:$B$623,"&gt;"&amp;$B43*12),0)</f>
        <v>0</v>
      </c>
      <c r="D44" s="142">
        <f>IF($B44&lt;=$C$9,SUMIFS('Mortgage Calculators (By Month)'!$D$23:$D$623,'Mortgage Calculators (By Month)'!$B$23:$B$623,"&lt;="&amp;$B44*12,'Mortgage Calculators (By Month)'!$B$23:$B$623,"&gt;"&amp;$B43*12),0)</f>
        <v>0</v>
      </c>
      <c r="E44" s="142">
        <f>IF($B44&lt;=$C$9,SUMIFS('Mortgage Calculators (By Month)'!$E$23:$E$623,'Mortgage Calculators (By Month)'!$B$23:$B$623,"&lt;="&amp;$B44*12,'Mortgage Calculators (By Month)'!$B$23:$B$623,"&gt;"&amp;$B43*12),0)</f>
        <v>99.999999999999986</v>
      </c>
      <c r="F44" s="142">
        <f t="shared" si="0"/>
        <v>0</v>
      </c>
      <c r="I44" s="12">
        <v>22</v>
      </c>
      <c r="J44" s="142">
        <f>IF($I44&lt;=$J$12,SUMIFS('Mortgage Calculators (By Month)'!$J$23:$J$623,'Mortgage Calculators (By Month)'!$I$23:$I$623,"&lt;="&amp;$I44*12,'Mortgage Calculators (By Month)'!$I$23:$I$623,"&gt;"&amp;$I43*12),0)</f>
        <v>0</v>
      </c>
      <c r="K44" s="142">
        <f>IF($I44&lt;=$J$12,SUMIFS('Mortgage Calculators (By Month)'!$K$23:$K$623,'Mortgage Calculators (By Month)'!$I$23:$I$623,"&lt;="&amp;$I44*12,'Mortgage Calculators (By Month)'!$I$23:$I$623,"&gt;"&amp;$I43*12),0)</f>
        <v>0</v>
      </c>
      <c r="L44" s="142">
        <f>IF($I44&lt;=$J$12,SUMIFS('Mortgage Calculators (By Month)'!$L$23:$L$623,'Mortgage Calculators (By Month)'!$I$23:$I$623,"&lt;="&amp;$I44*12,'Mortgage Calculators (By Month)'!$I$23:$I$623,"&gt;"&amp;$I43*12),0)</f>
        <v>120</v>
      </c>
      <c r="M44" s="142">
        <f t="shared" si="1"/>
        <v>0</v>
      </c>
      <c r="P44" s="12">
        <v>22</v>
      </c>
      <c r="Q44" s="142">
        <f>IF($P44&lt;=$Q$9,SUMIFS('Mortgage Calculators (By Month)'!$Q$23:$Q$623,'Mortgage Calculators (By Month)'!$P$23:$P$623,"&lt;="&amp;$P44*12,'Mortgage Calculators (By Month)'!$P$23:$P$623,"&gt;"&amp;$P43*12),0)</f>
        <v>0</v>
      </c>
      <c r="R44" s="142">
        <f>IF($P44&lt;=$Q$9,SUMIFS('Mortgage Calculators (By Month)'!$R$23:$R$623,'Mortgage Calculators (By Month)'!$P$23:$P$623,"&lt;="&amp;$P44*12,'Mortgage Calculators (By Month)'!$P$23:$P$623,"&gt;"&amp;$P43*12),0)</f>
        <v>0</v>
      </c>
      <c r="S44" s="142">
        <f>IF($P44&lt;=$Q$9,SUMIFS('Mortgage Calculators (By Month)'!$S$23:$S$623,'Mortgage Calculators (By Month)'!$P$23:$P$623,"&lt;="&amp;$P44*12,'Mortgage Calculators (By Month)'!$P$23:$P$623,"&gt;"&amp;$P43*12),0)</f>
        <v>99.999999999999986</v>
      </c>
      <c r="T44" s="142">
        <f t="shared" si="2"/>
        <v>0</v>
      </c>
      <c r="W44" s="12">
        <v>22</v>
      </c>
      <c r="X44" s="142">
        <f>IF($W44&lt;=$X$12,SUMIFS('Mortgage Calculators (By Month)'!$X$23:$X$623,'Mortgage Calculators (By Month)'!$W$23:$W$623,"&lt;="&amp;$W44*12,'Mortgage Calculators (By Month)'!$W$23:$W$623,"&gt;"&amp;$W43*12),0)</f>
        <v>0</v>
      </c>
      <c r="Y44" s="142">
        <f>IF($W44&lt;=$X$12,SUMIFS('Mortgage Calculators (By Month)'!$Y$23:$Y$623,'Mortgage Calculators (By Month)'!$W$23:$W$623,"&lt;="&amp;$W44*12,'Mortgage Calculators (By Month)'!$W$23:$W$623,"&gt;"&amp;$W43*12),0)</f>
        <v>0</v>
      </c>
      <c r="Z44" s="142">
        <f>IF($W44&lt;=$X$12,SUMIFS('Mortgage Calculators (By Month)'!$Z$23:$Z$623,'Mortgage Calculators (By Month)'!$W$23:$W$623,"&lt;="&amp;$W44*12,'Mortgage Calculators (By Month)'!$W$23:$W$623,"&gt;"&amp;$W43*12),0)</f>
        <v>120</v>
      </c>
      <c r="AA44" s="142">
        <f t="shared" si="3"/>
        <v>0</v>
      </c>
    </row>
    <row r="45" spans="2:27" x14ac:dyDescent="0.35">
      <c r="B45" s="12">
        <v>23</v>
      </c>
      <c r="C45" s="142">
        <f>IF($B45&lt;=$C$9,SUMIFS('Mortgage Calculators (By Month)'!$C$23:$C$623,'Mortgage Calculators (By Month)'!$B$23:$B$623,"&lt;="&amp;$B45*12,'Mortgage Calculators (By Month)'!$B$23:$B$623,"&gt;"&amp;$B44*12),0)</f>
        <v>0</v>
      </c>
      <c r="D45" s="142">
        <f>IF($B45&lt;=$C$9,SUMIFS('Mortgage Calculators (By Month)'!$D$23:$D$623,'Mortgage Calculators (By Month)'!$B$23:$B$623,"&lt;="&amp;$B45*12,'Mortgage Calculators (By Month)'!$B$23:$B$623,"&gt;"&amp;$B44*12),0)</f>
        <v>0</v>
      </c>
      <c r="E45" s="142">
        <f>IF($B45&lt;=$C$9,SUMIFS('Mortgage Calculators (By Month)'!$E$23:$E$623,'Mortgage Calculators (By Month)'!$B$23:$B$623,"&lt;="&amp;$B45*12,'Mortgage Calculators (By Month)'!$B$23:$B$623,"&gt;"&amp;$B44*12),0)</f>
        <v>99.999999999999986</v>
      </c>
      <c r="F45" s="142">
        <f t="shared" si="0"/>
        <v>0</v>
      </c>
      <c r="I45" s="12">
        <v>23</v>
      </c>
      <c r="J45" s="142">
        <f>IF($I45&lt;=$J$12,SUMIFS('Mortgage Calculators (By Month)'!$J$23:$J$623,'Mortgage Calculators (By Month)'!$I$23:$I$623,"&lt;="&amp;$I45*12,'Mortgage Calculators (By Month)'!$I$23:$I$623,"&gt;"&amp;$I44*12),0)</f>
        <v>0</v>
      </c>
      <c r="K45" s="142">
        <f>IF($I45&lt;=$J$12,SUMIFS('Mortgage Calculators (By Month)'!$K$23:$K$623,'Mortgage Calculators (By Month)'!$I$23:$I$623,"&lt;="&amp;$I45*12,'Mortgage Calculators (By Month)'!$I$23:$I$623,"&gt;"&amp;$I44*12),0)</f>
        <v>0</v>
      </c>
      <c r="L45" s="142">
        <f>IF($I45&lt;=$J$12,SUMIFS('Mortgage Calculators (By Month)'!$L$23:$L$623,'Mortgage Calculators (By Month)'!$I$23:$I$623,"&lt;="&amp;$I45*12,'Mortgage Calculators (By Month)'!$I$23:$I$623,"&gt;"&amp;$I44*12),0)</f>
        <v>120</v>
      </c>
      <c r="M45" s="142">
        <f t="shared" si="1"/>
        <v>0</v>
      </c>
      <c r="P45" s="12">
        <v>23</v>
      </c>
      <c r="Q45" s="142">
        <f>IF($P45&lt;=$Q$9,SUMIFS('Mortgage Calculators (By Month)'!$Q$23:$Q$623,'Mortgage Calculators (By Month)'!$P$23:$P$623,"&lt;="&amp;$P45*12,'Mortgage Calculators (By Month)'!$P$23:$P$623,"&gt;"&amp;$P44*12),0)</f>
        <v>0</v>
      </c>
      <c r="R45" s="142">
        <f>IF($P45&lt;=$Q$9,SUMIFS('Mortgage Calculators (By Month)'!$R$23:$R$623,'Mortgage Calculators (By Month)'!$P$23:$P$623,"&lt;="&amp;$P45*12,'Mortgage Calculators (By Month)'!$P$23:$P$623,"&gt;"&amp;$P44*12),0)</f>
        <v>0</v>
      </c>
      <c r="S45" s="142">
        <f>IF($P45&lt;=$Q$9,SUMIFS('Mortgage Calculators (By Month)'!$S$23:$S$623,'Mortgage Calculators (By Month)'!$P$23:$P$623,"&lt;="&amp;$P45*12,'Mortgage Calculators (By Month)'!$P$23:$P$623,"&gt;"&amp;$P44*12),0)</f>
        <v>99.999999999999986</v>
      </c>
      <c r="T45" s="142">
        <f t="shared" si="2"/>
        <v>0</v>
      </c>
      <c r="W45" s="12">
        <v>23</v>
      </c>
      <c r="X45" s="142">
        <f>IF($W45&lt;=$X$12,SUMIFS('Mortgage Calculators (By Month)'!$X$23:$X$623,'Mortgage Calculators (By Month)'!$W$23:$W$623,"&lt;="&amp;$W45*12,'Mortgage Calculators (By Month)'!$W$23:$W$623,"&gt;"&amp;$W44*12),0)</f>
        <v>0</v>
      </c>
      <c r="Y45" s="142">
        <f>IF($W45&lt;=$X$12,SUMIFS('Mortgage Calculators (By Month)'!$Y$23:$Y$623,'Mortgage Calculators (By Month)'!$W$23:$W$623,"&lt;="&amp;$W45*12,'Mortgage Calculators (By Month)'!$W$23:$W$623,"&gt;"&amp;$W44*12),0)</f>
        <v>0</v>
      </c>
      <c r="Z45" s="142">
        <f>IF($W45&lt;=$X$12,SUMIFS('Mortgage Calculators (By Month)'!$Z$23:$Z$623,'Mortgage Calculators (By Month)'!$W$23:$W$623,"&lt;="&amp;$W45*12,'Mortgage Calculators (By Month)'!$W$23:$W$623,"&gt;"&amp;$W44*12),0)</f>
        <v>120</v>
      </c>
      <c r="AA45" s="142">
        <f t="shared" si="3"/>
        <v>0</v>
      </c>
    </row>
    <row r="46" spans="2:27" x14ac:dyDescent="0.35">
      <c r="B46" s="12">
        <v>24</v>
      </c>
      <c r="C46" s="142">
        <f>IF($B46&lt;=$C$9,SUMIFS('Mortgage Calculators (By Month)'!$C$23:$C$623,'Mortgage Calculators (By Month)'!$B$23:$B$623,"&lt;="&amp;$B46*12,'Mortgage Calculators (By Month)'!$B$23:$B$623,"&gt;"&amp;$B45*12),0)</f>
        <v>0</v>
      </c>
      <c r="D46" s="142">
        <f>IF($B46&lt;=$C$9,SUMIFS('Mortgage Calculators (By Month)'!$D$23:$D$623,'Mortgage Calculators (By Month)'!$B$23:$B$623,"&lt;="&amp;$B46*12,'Mortgage Calculators (By Month)'!$B$23:$B$623,"&gt;"&amp;$B45*12),0)</f>
        <v>0</v>
      </c>
      <c r="E46" s="142">
        <f>IF($B46&lt;=$C$9,SUMIFS('Mortgage Calculators (By Month)'!$E$23:$E$623,'Mortgage Calculators (By Month)'!$B$23:$B$623,"&lt;="&amp;$B46*12,'Mortgage Calculators (By Month)'!$B$23:$B$623,"&gt;"&amp;$B45*12),0)</f>
        <v>99.999999999999986</v>
      </c>
      <c r="F46" s="142">
        <f t="shared" si="0"/>
        <v>0</v>
      </c>
      <c r="I46" s="12">
        <v>24</v>
      </c>
      <c r="J46" s="142">
        <f>IF($I46&lt;=$J$12,SUMIFS('Mortgage Calculators (By Month)'!$J$23:$J$623,'Mortgage Calculators (By Month)'!$I$23:$I$623,"&lt;="&amp;$I46*12,'Mortgage Calculators (By Month)'!$I$23:$I$623,"&gt;"&amp;$I45*12),0)</f>
        <v>0</v>
      </c>
      <c r="K46" s="142">
        <f>IF($I46&lt;=$J$12,SUMIFS('Mortgage Calculators (By Month)'!$K$23:$K$623,'Mortgage Calculators (By Month)'!$I$23:$I$623,"&lt;="&amp;$I46*12,'Mortgage Calculators (By Month)'!$I$23:$I$623,"&gt;"&amp;$I45*12),0)</f>
        <v>0</v>
      </c>
      <c r="L46" s="142">
        <f>IF($I46&lt;=$J$12,SUMIFS('Mortgage Calculators (By Month)'!$L$23:$L$623,'Mortgage Calculators (By Month)'!$I$23:$I$623,"&lt;="&amp;$I46*12,'Mortgage Calculators (By Month)'!$I$23:$I$623,"&gt;"&amp;$I45*12),0)</f>
        <v>120</v>
      </c>
      <c r="M46" s="142">
        <f t="shared" si="1"/>
        <v>0</v>
      </c>
      <c r="P46" s="12">
        <v>24</v>
      </c>
      <c r="Q46" s="142">
        <f>IF($P46&lt;=$Q$9,SUMIFS('Mortgage Calculators (By Month)'!$Q$23:$Q$623,'Mortgage Calculators (By Month)'!$P$23:$P$623,"&lt;="&amp;$P46*12,'Mortgage Calculators (By Month)'!$P$23:$P$623,"&gt;"&amp;$P45*12),0)</f>
        <v>0</v>
      </c>
      <c r="R46" s="142">
        <f>IF($P46&lt;=$Q$9,SUMIFS('Mortgage Calculators (By Month)'!$R$23:$R$623,'Mortgage Calculators (By Month)'!$P$23:$P$623,"&lt;="&amp;$P46*12,'Mortgage Calculators (By Month)'!$P$23:$P$623,"&gt;"&amp;$P45*12),0)</f>
        <v>0</v>
      </c>
      <c r="S46" s="142">
        <f>IF($P46&lt;=$Q$9,SUMIFS('Mortgage Calculators (By Month)'!$S$23:$S$623,'Mortgage Calculators (By Month)'!$P$23:$P$623,"&lt;="&amp;$P46*12,'Mortgage Calculators (By Month)'!$P$23:$P$623,"&gt;"&amp;$P45*12),0)</f>
        <v>99.999999999999986</v>
      </c>
      <c r="T46" s="142">
        <f t="shared" si="2"/>
        <v>0</v>
      </c>
      <c r="W46" s="12">
        <v>24</v>
      </c>
      <c r="X46" s="142">
        <f>IF($W46&lt;=$X$12,SUMIFS('Mortgage Calculators (By Month)'!$X$23:$X$623,'Mortgage Calculators (By Month)'!$W$23:$W$623,"&lt;="&amp;$W46*12,'Mortgage Calculators (By Month)'!$W$23:$W$623,"&gt;"&amp;$W45*12),0)</f>
        <v>0</v>
      </c>
      <c r="Y46" s="142">
        <f>IF($W46&lt;=$X$12,SUMIFS('Mortgage Calculators (By Month)'!$Y$23:$Y$623,'Mortgage Calculators (By Month)'!$W$23:$W$623,"&lt;="&amp;$W46*12,'Mortgage Calculators (By Month)'!$W$23:$W$623,"&gt;"&amp;$W45*12),0)</f>
        <v>0</v>
      </c>
      <c r="Z46" s="142">
        <f>IF($W46&lt;=$X$12,SUMIFS('Mortgage Calculators (By Month)'!$Z$23:$Z$623,'Mortgage Calculators (By Month)'!$W$23:$W$623,"&lt;="&amp;$W46*12,'Mortgage Calculators (By Month)'!$W$23:$W$623,"&gt;"&amp;$W45*12),0)</f>
        <v>120</v>
      </c>
      <c r="AA46" s="142">
        <f t="shared" si="3"/>
        <v>0</v>
      </c>
    </row>
    <row r="47" spans="2:27" x14ac:dyDescent="0.35">
      <c r="B47" s="12">
        <v>25</v>
      </c>
      <c r="C47" s="142">
        <f>IF($B47&lt;=$C$9,SUMIFS('Mortgage Calculators (By Month)'!$C$23:$C$623,'Mortgage Calculators (By Month)'!$B$23:$B$623,"&lt;="&amp;$B47*12,'Mortgage Calculators (By Month)'!$B$23:$B$623,"&gt;"&amp;$B46*12),0)</f>
        <v>0</v>
      </c>
      <c r="D47" s="142">
        <f>IF($B47&lt;=$C$9,SUMIFS('Mortgage Calculators (By Month)'!$D$23:$D$623,'Mortgage Calculators (By Month)'!$B$23:$B$623,"&lt;="&amp;$B47*12,'Mortgage Calculators (By Month)'!$B$23:$B$623,"&gt;"&amp;$B46*12),0)</f>
        <v>0</v>
      </c>
      <c r="E47" s="142">
        <f>IF($B47&lt;=$C$9,SUMIFS('Mortgage Calculators (By Month)'!$E$23:$E$623,'Mortgage Calculators (By Month)'!$B$23:$B$623,"&lt;="&amp;$B47*12,'Mortgage Calculators (By Month)'!$B$23:$B$623,"&gt;"&amp;$B46*12),0)</f>
        <v>99.999999999999986</v>
      </c>
      <c r="F47" s="142">
        <f t="shared" si="0"/>
        <v>0</v>
      </c>
      <c r="I47" s="12">
        <v>25</v>
      </c>
      <c r="J47" s="142">
        <f>IF($I47&lt;=$J$12,SUMIFS('Mortgage Calculators (By Month)'!$J$23:$J$623,'Mortgage Calculators (By Month)'!$I$23:$I$623,"&lt;="&amp;$I47*12,'Mortgage Calculators (By Month)'!$I$23:$I$623,"&gt;"&amp;$I46*12),0)</f>
        <v>0</v>
      </c>
      <c r="K47" s="142">
        <f>IF($I47&lt;=$J$12,SUMIFS('Mortgage Calculators (By Month)'!$K$23:$K$623,'Mortgage Calculators (By Month)'!$I$23:$I$623,"&lt;="&amp;$I47*12,'Mortgage Calculators (By Month)'!$I$23:$I$623,"&gt;"&amp;$I46*12),0)</f>
        <v>0</v>
      </c>
      <c r="L47" s="142">
        <f>IF($I47&lt;=$J$12,SUMIFS('Mortgage Calculators (By Month)'!$L$23:$L$623,'Mortgage Calculators (By Month)'!$I$23:$I$623,"&lt;="&amp;$I47*12,'Mortgage Calculators (By Month)'!$I$23:$I$623,"&gt;"&amp;$I46*12),0)</f>
        <v>120</v>
      </c>
      <c r="M47" s="142">
        <f t="shared" si="1"/>
        <v>0</v>
      </c>
      <c r="P47" s="12">
        <v>25</v>
      </c>
      <c r="Q47" s="142">
        <f>IF($P47&lt;=$Q$9,SUMIFS('Mortgage Calculators (By Month)'!$Q$23:$Q$623,'Mortgage Calculators (By Month)'!$P$23:$P$623,"&lt;="&amp;$P47*12,'Mortgage Calculators (By Month)'!$P$23:$P$623,"&gt;"&amp;$P46*12),0)</f>
        <v>0</v>
      </c>
      <c r="R47" s="142">
        <f>IF($P47&lt;=$Q$9,SUMIFS('Mortgage Calculators (By Month)'!$R$23:$R$623,'Mortgage Calculators (By Month)'!$P$23:$P$623,"&lt;="&amp;$P47*12,'Mortgage Calculators (By Month)'!$P$23:$P$623,"&gt;"&amp;$P46*12),0)</f>
        <v>0</v>
      </c>
      <c r="S47" s="142">
        <f>IF($P47&lt;=$Q$9,SUMIFS('Mortgage Calculators (By Month)'!$S$23:$S$623,'Mortgage Calculators (By Month)'!$P$23:$P$623,"&lt;="&amp;$P47*12,'Mortgage Calculators (By Month)'!$P$23:$P$623,"&gt;"&amp;$P46*12),0)</f>
        <v>99.999999999999986</v>
      </c>
      <c r="T47" s="142">
        <f t="shared" si="2"/>
        <v>0</v>
      </c>
      <c r="W47" s="12">
        <v>25</v>
      </c>
      <c r="X47" s="142">
        <f>IF($W47&lt;=$X$12,SUMIFS('Mortgage Calculators (By Month)'!$X$23:$X$623,'Mortgage Calculators (By Month)'!$W$23:$W$623,"&lt;="&amp;$W47*12,'Mortgage Calculators (By Month)'!$W$23:$W$623,"&gt;"&amp;$W46*12),0)</f>
        <v>0</v>
      </c>
      <c r="Y47" s="142">
        <f>IF($W47&lt;=$X$12,SUMIFS('Mortgage Calculators (By Month)'!$Y$23:$Y$623,'Mortgage Calculators (By Month)'!$W$23:$W$623,"&lt;="&amp;$W47*12,'Mortgage Calculators (By Month)'!$W$23:$W$623,"&gt;"&amp;$W46*12),0)</f>
        <v>0</v>
      </c>
      <c r="Z47" s="142">
        <f>IF($W47&lt;=$X$12,SUMIFS('Mortgage Calculators (By Month)'!$Z$23:$Z$623,'Mortgage Calculators (By Month)'!$W$23:$W$623,"&lt;="&amp;$W47*12,'Mortgage Calculators (By Month)'!$W$23:$W$623,"&gt;"&amp;$W46*12),0)</f>
        <v>120</v>
      </c>
      <c r="AA47" s="142">
        <f t="shared" si="3"/>
        <v>0</v>
      </c>
    </row>
    <row r="48" spans="2:27" x14ac:dyDescent="0.35">
      <c r="B48" s="12">
        <v>26</v>
      </c>
      <c r="C48" s="142">
        <f>IF($B48&lt;=$C$9,SUMIFS('Mortgage Calculators (By Month)'!$C$23:$C$623,'Mortgage Calculators (By Month)'!$B$23:$B$623,"&lt;="&amp;$B48*12,'Mortgage Calculators (By Month)'!$B$23:$B$623,"&gt;"&amp;$B47*12),0)</f>
        <v>0</v>
      </c>
      <c r="D48" s="142">
        <f>IF($B48&lt;=$C$9,SUMIFS('Mortgage Calculators (By Month)'!$D$23:$D$623,'Mortgage Calculators (By Month)'!$B$23:$B$623,"&lt;="&amp;$B48*12,'Mortgage Calculators (By Month)'!$B$23:$B$623,"&gt;"&amp;$B47*12),0)</f>
        <v>0</v>
      </c>
      <c r="E48" s="142">
        <f>IF($B48&lt;=$C$9,SUMIFS('Mortgage Calculators (By Month)'!$E$23:$E$623,'Mortgage Calculators (By Month)'!$B$23:$B$623,"&lt;="&amp;$B48*12,'Mortgage Calculators (By Month)'!$B$23:$B$623,"&gt;"&amp;$B47*12),0)</f>
        <v>99.999999999999986</v>
      </c>
      <c r="F48" s="142">
        <f t="shared" si="0"/>
        <v>0</v>
      </c>
      <c r="I48" s="12">
        <v>26</v>
      </c>
      <c r="J48" s="142">
        <f>IF($I48&lt;=$J$12,SUMIFS('Mortgage Calculators (By Month)'!$J$23:$J$623,'Mortgage Calculators (By Month)'!$I$23:$I$623,"&lt;="&amp;$I48*12,'Mortgage Calculators (By Month)'!$I$23:$I$623,"&gt;"&amp;$I47*12),0)</f>
        <v>0</v>
      </c>
      <c r="K48" s="142">
        <f>IF($I48&lt;=$J$12,SUMIFS('Mortgage Calculators (By Month)'!$K$23:$K$623,'Mortgage Calculators (By Month)'!$I$23:$I$623,"&lt;="&amp;$I48*12,'Mortgage Calculators (By Month)'!$I$23:$I$623,"&gt;"&amp;$I47*12),0)</f>
        <v>0</v>
      </c>
      <c r="L48" s="142">
        <f>IF($I48&lt;=$J$12,SUMIFS('Mortgage Calculators (By Month)'!$L$23:$L$623,'Mortgage Calculators (By Month)'!$I$23:$I$623,"&lt;="&amp;$I48*12,'Mortgage Calculators (By Month)'!$I$23:$I$623,"&gt;"&amp;$I47*12),0)</f>
        <v>120</v>
      </c>
      <c r="M48" s="142">
        <f t="shared" si="1"/>
        <v>0</v>
      </c>
      <c r="P48" s="12">
        <v>26</v>
      </c>
      <c r="Q48" s="142">
        <f>IF($P48&lt;=$Q$9,SUMIFS('Mortgage Calculators (By Month)'!$Q$23:$Q$623,'Mortgage Calculators (By Month)'!$P$23:$P$623,"&lt;="&amp;$P48*12,'Mortgage Calculators (By Month)'!$P$23:$P$623,"&gt;"&amp;$P47*12),0)</f>
        <v>0</v>
      </c>
      <c r="R48" s="142">
        <f>IF($P48&lt;=$Q$9,SUMIFS('Mortgage Calculators (By Month)'!$R$23:$R$623,'Mortgage Calculators (By Month)'!$P$23:$P$623,"&lt;="&amp;$P48*12,'Mortgage Calculators (By Month)'!$P$23:$P$623,"&gt;"&amp;$P47*12),0)</f>
        <v>0</v>
      </c>
      <c r="S48" s="142">
        <f>IF($P48&lt;=$Q$9,SUMIFS('Mortgage Calculators (By Month)'!$S$23:$S$623,'Mortgage Calculators (By Month)'!$P$23:$P$623,"&lt;="&amp;$P48*12,'Mortgage Calculators (By Month)'!$P$23:$P$623,"&gt;"&amp;$P47*12),0)</f>
        <v>99.999999999999986</v>
      </c>
      <c r="T48" s="142">
        <f t="shared" si="2"/>
        <v>0</v>
      </c>
      <c r="W48" s="12">
        <v>26</v>
      </c>
      <c r="X48" s="142">
        <f>IF($W48&lt;=$X$12,SUMIFS('Mortgage Calculators (By Month)'!$X$23:$X$623,'Mortgage Calculators (By Month)'!$W$23:$W$623,"&lt;="&amp;$W48*12,'Mortgage Calculators (By Month)'!$W$23:$W$623,"&gt;"&amp;$W47*12),0)</f>
        <v>0</v>
      </c>
      <c r="Y48" s="142">
        <f>IF($W48&lt;=$X$12,SUMIFS('Mortgage Calculators (By Month)'!$Y$23:$Y$623,'Mortgage Calculators (By Month)'!$W$23:$W$623,"&lt;="&amp;$W48*12,'Mortgage Calculators (By Month)'!$W$23:$W$623,"&gt;"&amp;$W47*12),0)</f>
        <v>0</v>
      </c>
      <c r="Z48" s="142">
        <f>IF($W48&lt;=$X$12,SUMIFS('Mortgage Calculators (By Month)'!$Z$23:$Z$623,'Mortgage Calculators (By Month)'!$W$23:$W$623,"&lt;="&amp;$W48*12,'Mortgage Calculators (By Month)'!$W$23:$W$623,"&gt;"&amp;$W47*12),0)</f>
        <v>120</v>
      </c>
      <c r="AA48" s="142">
        <f t="shared" si="3"/>
        <v>0</v>
      </c>
    </row>
    <row r="49" spans="2:27" x14ac:dyDescent="0.35">
      <c r="B49" s="12">
        <v>27</v>
      </c>
      <c r="C49" s="142">
        <f>IF($B49&lt;=$C$9,SUMIFS('Mortgage Calculators (By Month)'!$C$23:$C$623,'Mortgage Calculators (By Month)'!$B$23:$B$623,"&lt;="&amp;$B49*12,'Mortgage Calculators (By Month)'!$B$23:$B$623,"&gt;"&amp;$B48*12),0)</f>
        <v>0</v>
      </c>
      <c r="D49" s="142">
        <f>IF($B49&lt;=$C$9,SUMIFS('Mortgage Calculators (By Month)'!$D$23:$D$623,'Mortgage Calculators (By Month)'!$B$23:$B$623,"&lt;="&amp;$B49*12,'Mortgage Calculators (By Month)'!$B$23:$B$623,"&gt;"&amp;$B48*12),0)</f>
        <v>0</v>
      </c>
      <c r="E49" s="142">
        <f>IF($B49&lt;=$C$9,SUMIFS('Mortgage Calculators (By Month)'!$E$23:$E$623,'Mortgage Calculators (By Month)'!$B$23:$B$623,"&lt;="&amp;$B49*12,'Mortgage Calculators (By Month)'!$B$23:$B$623,"&gt;"&amp;$B48*12),0)</f>
        <v>99.999999999999986</v>
      </c>
      <c r="F49" s="142">
        <f t="shared" si="0"/>
        <v>0</v>
      </c>
      <c r="I49" s="12">
        <v>27</v>
      </c>
      <c r="J49" s="142">
        <f>IF($I49&lt;=$J$12,SUMIFS('Mortgage Calculators (By Month)'!$J$23:$J$623,'Mortgage Calculators (By Month)'!$I$23:$I$623,"&lt;="&amp;$I49*12,'Mortgage Calculators (By Month)'!$I$23:$I$623,"&gt;"&amp;$I48*12),0)</f>
        <v>0</v>
      </c>
      <c r="K49" s="142">
        <f>IF($I49&lt;=$J$12,SUMIFS('Mortgage Calculators (By Month)'!$K$23:$K$623,'Mortgage Calculators (By Month)'!$I$23:$I$623,"&lt;="&amp;$I49*12,'Mortgage Calculators (By Month)'!$I$23:$I$623,"&gt;"&amp;$I48*12),0)</f>
        <v>0</v>
      </c>
      <c r="L49" s="142">
        <f>IF($I49&lt;=$J$12,SUMIFS('Mortgage Calculators (By Month)'!$L$23:$L$623,'Mortgage Calculators (By Month)'!$I$23:$I$623,"&lt;="&amp;$I49*12,'Mortgage Calculators (By Month)'!$I$23:$I$623,"&gt;"&amp;$I48*12),0)</f>
        <v>120</v>
      </c>
      <c r="M49" s="142">
        <f t="shared" si="1"/>
        <v>0</v>
      </c>
      <c r="P49" s="12">
        <v>27</v>
      </c>
      <c r="Q49" s="142">
        <f>IF($P49&lt;=$Q$9,SUMIFS('Mortgage Calculators (By Month)'!$Q$23:$Q$623,'Mortgage Calculators (By Month)'!$P$23:$P$623,"&lt;="&amp;$P49*12,'Mortgage Calculators (By Month)'!$P$23:$P$623,"&gt;"&amp;$P48*12),0)</f>
        <v>0</v>
      </c>
      <c r="R49" s="142">
        <f>IF($P49&lt;=$Q$9,SUMIFS('Mortgage Calculators (By Month)'!$R$23:$R$623,'Mortgage Calculators (By Month)'!$P$23:$P$623,"&lt;="&amp;$P49*12,'Mortgage Calculators (By Month)'!$P$23:$P$623,"&gt;"&amp;$P48*12),0)</f>
        <v>0</v>
      </c>
      <c r="S49" s="142">
        <f>IF($P49&lt;=$Q$9,SUMIFS('Mortgage Calculators (By Month)'!$S$23:$S$623,'Mortgage Calculators (By Month)'!$P$23:$P$623,"&lt;="&amp;$P49*12,'Mortgage Calculators (By Month)'!$P$23:$P$623,"&gt;"&amp;$P48*12),0)</f>
        <v>99.999999999999986</v>
      </c>
      <c r="T49" s="142">
        <f t="shared" si="2"/>
        <v>0</v>
      </c>
      <c r="W49" s="12">
        <v>27</v>
      </c>
      <c r="X49" s="142">
        <f>IF($W49&lt;=$X$12,SUMIFS('Mortgage Calculators (By Month)'!$X$23:$X$623,'Mortgage Calculators (By Month)'!$W$23:$W$623,"&lt;="&amp;$W49*12,'Mortgage Calculators (By Month)'!$W$23:$W$623,"&gt;"&amp;$W48*12),0)</f>
        <v>0</v>
      </c>
      <c r="Y49" s="142">
        <f>IF($W49&lt;=$X$12,SUMIFS('Mortgage Calculators (By Month)'!$Y$23:$Y$623,'Mortgage Calculators (By Month)'!$W$23:$W$623,"&lt;="&amp;$W49*12,'Mortgage Calculators (By Month)'!$W$23:$W$623,"&gt;"&amp;$W48*12),0)</f>
        <v>0</v>
      </c>
      <c r="Z49" s="142">
        <f>IF($W49&lt;=$X$12,SUMIFS('Mortgage Calculators (By Month)'!$Z$23:$Z$623,'Mortgage Calculators (By Month)'!$W$23:$W$623,"&lt;="&amp;$W49*12,'Mortgage Calculators (By Month)'!$W$23:$W$623,"&gt;"&amp;$W48*12),0)</f>
        <v>120</v>
      </c>
      <c r="AA49" s="142">
        <f t="shared" si="3"/>
        <v>0</v>
      </c>
    </row>
    <row r="50" spans="2:27" x14ac:dyDescent="0.35">
      <c r="B50" s="12">
        <v>28</v>
      </c>
      <c r="C50" s="142">
        <f>IF($B50&lt;=$C$9,SUMIFS('Mortgage Calculators (By Month)'!$C$23:$C$623,'Mortgage Calculators (By Month)'!$B$23:$B$623,"&lt;="&amp;$B50*12,'Mortgage Calculators (By Month)'!$B$23:$B$623,"&gt;"&amp;$B49*12),0)</f>
        <v>0</v>
      </c>
      <c r="D50" s="142">
        <f>IF($B50&lt;=$C$9,SUMIFS('Mortgage Calculators (By Month)'!$D$23:$D$623,'Mortgage Calculators (By Month)'!$B$23:$B$623,"&lt;="&amp;$B50*12,'Mortgage Calculators (By Month)'!$B$23:$B$623,"&gt;"&amp;$B49*12),0)</f>
        <v>0</v>
      </c>
      <c r="E50" s="142">
        <f>IF($B50&lt;=$C$9,SUMIFS('Mortgage Calculators (By Month)'!$E$23:$E$623,'Mortgage Calculators (By Month)'!$B$23:$B$623,"&lt;="&amp;$B50*12,'Mortgage Calculators (By Month)'!$B$23:$B$623,"&gt;"&amp;$B49*12),0)</f>
        <v>99.999999999999986</v>
      </c>
      <c r="F50" s="142">
        <f t="shared" si="0"/>
        <v>0</v>
      </c>
      <c r="I50" s="12">
        <v>28</v>
      </c>
      <c r="J50" s="142">
        <f>IF($I50&lt;=$J$12,SUMIFS('Mortgage Calculators (By Month)'!$J$23:$J$623,'Mortgage Calculators (By Month)'!$I$23:$I$623,"&lt;="&amp;$I50*12,'Mortgage Calculators (By Month)'!$I$23:$I$623,"&gt;"&amp;$I49*12),0)</f>
        <v>0</v>
      </c>
      <c r="K50" s="142">
        <f>IF($I50&lt;=$J$12,SUMIFS('Mortgage Calculators (By Month)'!$K$23:$K$623,'Mortgage Calculators (By Month)'!$I$23:$I$623,"&lt;="&amp;$I50*12,'Mortgage Calculators (By Month)'!$I$23:$I$623,"&gt;"&amp;$I49*12),0)</f>
        <v>0</v>
      </c>
      <c r="L50" s="142">
        <f>IF($I50&lt;=$J$12,SUMIFS('Mortgage Calculators (By Month)'!$L$23:$L$623,'Mortgage Calculators (By Month)'!$I$23:$I$623,"&lt;="&amp;$I50*12,'Mortgage Calculators (By Month)'!$I$23:$I$623,"&gt;"&amp;$I49*12),0)</f>
        <v>120</v>
      </c>
      <c r="M50" s="142">
        <f t="shared" si="1"/>
        <v>0</v>
      </c>
      <c r="P50" s="12">
        <v>28</v>
      </c>
      <c r="Q50" s="142">
        <f>IF($P50&lt;=$Q$9,SUMIFS('Mortgage Calculators (By Month)'!$Q$23:$Q$623,'Mortgage Calculators (By Month)'!$P$23:$P$623,"&lt;="&amp;$P50*12,'Mortgage Calculators (By Month)'!$P$23:$P$623,"&gt;"&amp;$P49*12),0)</f>
        <v>0</v>
      </c>
      <c r="R50" s="142">
        <f>IF($P50&lt;=$Q$9,SUMIFS('Mortgage Calculators (By Month)'!$R$23:$R$623,'Mortgage Calculators (By Month)'!$P$23:$P$623,"&lt;="&amp;$P50*12,'Mortgage Calculators (By Month)'!$P$23:$P$623,"&gt;"&amp;$P49*12),0)</f>
        <v>0</v>
      </c>
      <c r="S50" s="142">
        <f>IF($P50&lt;=$Q$9,SUMIFS('Mortgage Calculators (By Month)'!$S$23:$S$623,'Mortgage Calculators (By Month)'!$P$23:$P$623,"&lt;="&amp;$P50*12,'Mortgage Calculators (By Month)'!$P$23:$P$623,"&gt;"&amp;$P49*12),0)</f>
        <v>99.999999999999986</v>
      </c>
      <c r="T50" s="142">
        <f t="shared" si="2"/>
        <v>0</v>
      </c>
      <c r="W50" s="12">
        <v>28</v>
      </c>
      <c r="X50" s="142">
        <f>IF($W50&lt;=$X$12,SUMIFS('Mortgage Calculators (By Month)'!$X$23:$X$623,'Mortgage Calculators (By Month)'!$W$23:$W$623,"&lt;="&amp;$W50*12,'Mortgage Calculators (By Month)'!$W$23:$W$623,"&gt;"&amp;$W49*12),0)</f>
        <v>0</v>
      </c>
      <c r="Y50" s="142">
        <f>IF($W50&lt;=$X$12,SUMIFS('Mortgage Calculators (By Month)'!$Y$23:$Y$623,'Mortgage Calculators (By Month)'!$W$23:$W$623,"&lt;="&amp;$W50*12,'Mortgage Calculators (By Month)'!$W$23:$W$623,"&gt;"&amp;$W49*12),0)</f>
        <v>0</v>
      </c>
      <c r="Z50" s="142">
        <f>IF($W50&lt;=$X$12,SUMIFS('Mortgage Calculators (By Month)'!$Z$23:$Z$623,'Mortgage Calculators (By Month)'!$W$23:$W$623,"&lt;="&amp;$W50*12,'Mortgage Calculators (By Month)'!$W$23:$W$623,"&gt;"&amp;$W49*12),0)</f>
        <v>120</v>
      </c>
      <c r="AA50" s="142">
        <f t="shared" si="3"/>
        <v>0</v>
      </c>
    </row>
    <row r="51" spans="2:27" x14ac:dyDescent="0.35">
      <c r="B51" s="12">
        <v>29</v>
      </c>
      <c r="C51" s="142">
        <f>IF($B51&lt;=$C$9,SUMIFS('Mortgage Calculators (By Month)'!$C$23:$C$623,'Mortgage Calculators (By Month)'!$B$23:$B$623,"&lt;="&amp;$B51*12,'Mortgage Calculators (By Month)'!$B$23:$B$623,"&gt;"&amp;$B50*12),0)</f>
        <v>0</v>
      </c>
      <c r="D51" s="142">
        <f>IF($B51&lt;=$C$9,SUMIFS('Mortgage Calculators (By Month)'!$D$23:$D$623,'Mortgage Calculators (By Month)'!$B$23:$B$623,"&lt;="&amp;$B51*12,'Mortgage Calculators (By Month)'!$B$23:$B$623,"&gt;"&amp;$B50*12),0)</f>
        <v>0</v>
      </c>
      <c r="E51" s="142">
        <f>IF($B51&lt;=$C$9,SUMIFS('Mortgage Calculators (By Month)'!$E$23:$E$623,'Mortgage Calculators (By Month)'!$B$23:$B$623,"&lt;="&amp;$B51*12,'Mortgage Calculators (By Month)'!$B$23:$B$623,"&gt;"&amp;$B50*12),0)</f>
        <v>99.999999999999986</v>
      </c>
      <c r="F51" s="142">
        <f t="shared" si="0"/>
        <v>0</v>
      </c>
      <c r="I51" s="12">
        <v>29</v>
      </c>
      <c r="J51" s="142">
        <f>IF($I51&lt;=$J$12,SUMIFS('Mortgage Calculators (By Month)'!$J$23:$J$623,'Mortgage Calculators (By Month)'!$I$23:$I$623,"&lt;="&amp;$I51*12,'Mortgage Calculators (By Month)'!$I$23:$I$623,"&gt;"&amp;$I50*12),0)</f>
        <v>0</v>
      </c>
      <c r="K51" s="142">
        <f>IF($I51&lt;=$J$12,SUMIFS('Mortgage Calculators (By Month)'!$K$23:$K$623,'Mortgage Calculators (By Month)'!$I$23:$I$623,"&lt;="&amp;$I51*12,'Mortgage Calculators (By Month)'!$I$23:$I$623,"&gt;"&amp;$I50*12),0)</f>
        <v>0</v>
      </c>
      <c r="L51" s="142">
        <f>IF($I51&lt;=$J$12,SUMIFS('Mortgage Calculators (By Month)'!$L$23:$L$623,'Mortgage Calculators (By Month)'!$I$23:$I$623,"&lt;="&amp;$I51*12,'Mortgage Calculators (By Month)'!$I$23:$I$623,"&gt;"&amp;$I50*12),0)</f>
        <v>120</v>
      </c>
      <c r="M51" s="142">
        <f t="shared" si="1"/>
        <v>0</v>
      </c>
      <c r="P51" s="12">
        <v>29</v>
      </c>
      <c r="Q51" s="142">
        <f>IF($P51&lt;=$Q$9,SUMIFS('Mortgage Calculators (By Month)'!$Q$23:$Q$623,'Mortgage Calculators (By Month)'!$P$23:$P$623,"&lt;="&amp;$P51*12,'Mortgage Calculators (By Month)'!$P$23:$P$623,"&gt;"&amp;$P50*12),0)</f>
        <v>0</v>
      </c>
      <c r="R51" s="142">
        <f>IF($P51&lt;=$Q$9,SUMIFS('Mortgage Calculators (By Month)'!$R$23:$R$623,'Mortgage Calculators (By Month)'!$P$23:$P$623,"&lt;="&amp;$P51*12,'Mortgage Calculators (By Month)'!$P$23:$P$623,"&gt;"&amp;$P50*12),0)</f>
        <v>0</v>
      </c>
      <c r="S51" s="142">
        <f>IF($P51&lt;=$Q$9,SUMIFS('Mortgage Calculators (By Month)'!$S$23:$S$623,'Mortgage Calculators (By Month)'!$P$23:$P$623,"&lt;="&amp;$P51*12,'Mortgage Calculators (By Month)'!$P$23:$P$623,"&gt;"&amp;$P50*12),0)</f>
        <v>99.999999999999986</v>
      </c>
      <c r="T51" s="142">
        <f t="shared" si="2"/>
        <v>0</v>
      </c>
      <c r="W51" s="12">
        <v>29</v>
      </c>
      <c r="X51" s="142">
        <f>IF($W51&lt;=$X$12,SUMIFS('Mortgage Calculators (By Month)'!$X$23:$X$623,'Mortgage Calculators (By Month)'!$W$23:$W$623,"&lt;="&amp;$W51*12,'Mortgage Calculators (By Month)'!$W$23:$W$623,"&gt;"&amp;$W50*12),0)</f>
        <v>0</v>
      </c>
      <c r="Y51" s="142">
        <f>IF($W51&lt;=$X$12,SUMIFS('Mortgage Calculators (By Month)'!$Y$23:$Y$623,'Mortgage Calculators (By Month)'!$W$23:$W$623,"&lt;="&amp;$W51*12,'Mortgage Calculators (By Month)'!$W$23:$W$623,"&gt;"&amp;$W50*12),0)</f>
        <v>0</v>
      </c>
      <c r="Z51" s="142">
        <f>IF($W51&lt;=$X$12,SUMIFS('Mortgage Calculators (By Month)'!$Z$23:$Z$623,'Mortgage Calculators (By Month)'!$W$23:$W$623,"&lt;="&amp;$W51*12,'Mortgage Calculators (By Month)'!$W$23:$W$623,"&gt;"&amp;$W50*12),0)</f>
        <v>120</v>
      </c>
      <c r="AA51" s="142">
        <f t="shared" si="3"/>
        <v>0</v>
      </c>
    </row>
    <row r="52" spans="2:27" x14ac:dyDescent="0.35">
      <c r="B52" s="12">
        <v>30</v>
      </c>
      <c r="C52" s="142">
        <f>IF($B52&lt;=$C$9,SUMIFS('Mortgage Calculators (By Month)'!$C$23:$C$623,'Mortgage Calculators (By Month)'!$B$23:$B$623,"&lt;="&amp;$B52*12,'Mortgage Calculators (By Month)'!$B$23:$B$623,"&gt;"&amp;$B51*12),0)</f>
        <v>0</v>
      </c>
      <c r="D52" s="142">
        <f>IF($B52&lt;=$C$9,SUMIFS('Mortgage Calculators (By Month)'!$D$23:$D$623,'Mortgage Calculators (By Month)'!$B$23:$B$623,"&lt;="&amp;$B52*12,'Mortgage Calculators (By Month)'!$B$23:$B$623,"&gt;"&amp;$B51*12),0)</f>
        <v>0</v>
      </c>
      <c r="E52" s="142">
        <f>IF($B52&lt;=$C$9,SUMIFS('Mortgage Calculators (By Month)'!$E$23:$E$623,'Mortgage Calculators (By Month)'!$B$23:$B$623,"&lt;="&amp;$B52*12,'Mortgage Calculators (By Month)'!$B$23:$B$623,"&gt;"&amp;$B51*12),0)</f>
        <v>99.999999999999986</v>
      </c>
      <c r="F52" s="142">
        <f t="shared" si="0"/>
        <v>0</v>
      </c>
      <c r="I52" s="12">
        <v>30</v>
      </c>
      <c r="J52" s="142">
        <f>IF($I52&lt;=$J$12,SUMIFS('Mortgage Calculators (By Month)'!$J$23:$J$623,'Mortgage Calculators (By Month)'!$I$23:$I$623,"&lt;="&amp;$I52*12,'Mortgage Calculators (By Month)'!$I$23:$I$623,"&gt;"&amp;$I51*12),0)</f>
        <v>0</v>
      </c>
      <c r="K52" s="142">
        <f>IF($I52&lt;=$J$12,SUMIFS('Mortgage Calculators (By Month)'!$K$23:$K$623,'Mortgage Calculators (By Month)'!$I$23:$I$623,"&lt;="&amp;$I52*12,'Mortgage Calculators (By Month)'!$I$23:$I$623,"&gt;"&amp;$I51*12),0)</f>
        <v>0</v>
      </c>
      <c r="L52" s="142">
        <f>IF($I52&lt;=$J$12,SUMIFS('Mortgage Calculators (By Month)'!$L$23:$L$623,'Mortgage Calculators (By Month)'!$I$23:$I$623,"&lt;="&amp;$I52*12,'Mortgage Calculators (By Month)'!$I$23:$I$623,"&gt;"&amp;$I51*12),0)</f>
        <v>120</v>
      </c>
      <c r="M52" s="142">
        <f t="shared" si="1"/>
        <v>0</v>
      </c>
      <c r="P52" s="12">
        <v>30</v>
      </c>
      <c r="Q52" s="142">
        <f>IF($P52&lt;=$Q$9,SUMIFS('Mortgage Calculators (By Month)'!$Q$23:$Q$623,'Mortgage Calculators (By Month)'!$P$23:$P$623,"&lt;="&amp;$P52*12,'Mortgage Calculators (By Month)'!$P$23:$P$623,"&gt;"&amp;$P51*12),0)</f>
        <v>0</v>
      </c>
      <c r="R52" s="142">
        <f>IF($P52&lt;=$Q$9,SUMIFS('Mortgage Calculators (By Month)'!$R$23:$R$623,'Mortgage Calculators (By Month)'!$P$23:$P$623,"&lt;="&amp;$P52*12,'Mortgage Calculators (By Month)'!$P$23:$P$623,"&gt;"&amp;$P51*12),0)</f>
        <v>0</v>
      </c>
      <c r="S52" s="142">
        <f>IF($P52&lt;=$Q$9,SUMIFS('Mortgage Calculators (By Month)'!$S$23:$S$623,'Mortgage Calculators (By Month)'!$P$23:$P$623,"&lt;="&amp;$P52*12,'Mortgage Calculators (By Month)'!$P$23:$P$623,"&gt;"&amp;$P51*12),0)</f>
        <v>99.999999999999986</v>
      </c>
      <c r="T52" s="142">
        <f t="shared" si="2"/>
        <v>0</v>
      </c>
      <c r="W52" s="12">
        <v>30</v>
      </c>
      <c r="X52" s="142">
        <f>IF($W52&lt;=$X$12,SUMIFS('Mortgage Calculators (By Month)'!$X$23:$X$623,'Mortgage Calculators (By Month)'!$W$23:$W$623,"&lt;="&amp;$W52*12,'Mortgage Calculators (By Month)'!$W$23:$W$623,"&gt;"&amp;$W51*12),0)</f>
        <v>0</v>
      </c>
      <c r="Y52" s="142">
        <f>IF($W52&lt;=$X$12,SUMIFS('Mortgage Calculators (By Month)'!$Y$23:$Y$623,'Mortgage Calculators (By Month)'!$W$23:$W$623,"&lt;="&amp;$W52*12,'Mortgage Calculators (By Month)'!$W$23:$W$623,"&gt;"&amp;$W51*12),0)</f>
        <v>0</v>
      </c>
      <c r="Z52" s="142">
        <f>IF($W52&lt;=$X$12,SUMIFS('Mortgage Calculators (By Month)'!$Z$23:$Z$623,'Mortgage Calculators (By Month)'!$W$23:$W$623,"&lt;="&amp;$W52*12,'Mortgage Calculators (By Month)'!$W$23:$W$623,"&gt;"&amp;$W51*12),0)</f>
        <v>120</v>
      </c>
      <c r="AA52" s="142">
        <f t="shared" si="3"/>
        <v>0</v>
      </c>
    </row>
    <row r="53" spans="2:27" x14ac:dyDescent="0.35">
      <c r="B53" s="12">
        <v>31</v>
      </c>
      <c r="C53" s="142">
        <f>IF($B53&lt;=$C$9,SUMIFS('Mortgage Calculators (By Month)'!$C$23:$C$623,'Mortgage Calculators (By Month)'!$B$23:$B$623,"&lt;="&amp;$B53*12,'Mortgage Calculators (By Month)'!$B$23:$B$623,"&gt;"&amp;$B52*12),0)</f>
        <v>0</v>
      </c>
      <c r="D53" s="142">
        <f>IF($B53&lt;=$C$9,SUMIFS('Mortgage Calculators (By Month)'!$D$23:$D$623,'Mortgage Calculators (By Month)'!$B$23:$B$623,"&lt;="&amp;$B53*12,'Mortgage Calculators (By Month)'!$B$23:$B$623,"&gt;"&amp;$B52*12),0)</f>
        <v>0</v>
      </c>
      <c r="E53" s="142">
        <f>IF($B53&lt;=$C$9,SUMIFS('Mortgage Calculators (By Month)'!$E$23:$E$623,'Mortgage Calculators (By Month)'!$B$23:$B$623,"&lt;="&amp;$B53*12,'Mortgage Calculators (By Month)'!$B$23:$B$623,"&gt;"&amp;$B52*12),0)</f>
        <v>0</v>
      </c>
      <c r="F53" s="142">
        <f t="shared" si="0"/>
        <v>0</v>
      </c>
      <c r="I53" s="12">
        <v>31</v>
      </c>
      <c r="J53" s="142">
        <f>IF($I53&lt;=$J$12,SUMIFS('Mortgage Calculators (By Month)'!$J$23:$J$623,'Mortgage Calculators (By Month)'!$I$23:$I$623,"&lt;="&amp;$I53*12,'Mortgage Calculators (By Month)'!$I$23:$I$623,"&gt;"&amp;$I52*12),0)</f>
        <v>0</v>
      </c>
      <c r="K53" s="142">
        <f>IF($I53&lt;=$J$12,SUMIFS('Mortgage Calculators (By Month)'!$K$23:$K$623,'Mortgage Calculators (By Month)'!$I$23:$I$623,"&lt;="&amp;$I53*12,'Mortgage Calculators (By Month)'!$I$23:$I$623,"&gt;"&amp;$I52*12),0)</f>
        <v>0</v>
      </c>
      <c r="L53" s="142">
        <f>IF($I53&lt;=$J$12,SUMIFS('Mortgage Calculators (By Month)'!$L$23:$L$623,'Mortgage Calculators (By Month)'!$I$23:$I$623,"&lt;="&amp;$I53*12,'Mortgage Calculators (By Month)'!$I$23:$I$623,"&gt;"&amp;$I52*12),0)</f>
        <v>0</v>
      </c>
      <c r="M53" s="142">
        <f t="shared" si="1"/>
        <v>0</v>
      </c>
      <c r="P53" s="12">
        <v>31</v>
      </c>
      <c r="Q53" s="142">
        <f>IF($P53&lt;=$Q$9,SUMIFS('Mortgage Calculators (By Month)'!$Q$23:$Q$623,'Mortgage Calculators (By Month)'!$P$23:$P$623,"&lt;="&amp;$P53*12,'Mortgage Calculators (By Month)'!$P$23:$P$623,"&gt;"&amp;$P52*12),0)</f>
        <v>0</v>
      </c>
      <c r="R53" s="142">
        <f>IF($P53&lt;=$Q$9,SUMIFS('Mortgage Calculators (By Month)'!$R$23:$R$623,'Mortgage Calculators (By Month)'!$P$23:$P$623,"&lt;="&amp;$P53*12,'Mortgage Calculators (By Month)'!$P$23:$P$623,"&gt;"&amp;$P52*12),0)</f>
        <v>0</v>
      </c>
      <c r="S53" s="142">
        <f>IF($P53&lt;=$Q$9,SUMIFS('Mortgage Calculators (By Month)'!$S$23:$S$623,'Mortgage Calculators (By Month)'!$P$23:$P$623,"&lt;="&amp;$P53*12,'Mortgage Calculators (By Month)'!$P$23:$P$623,"&gt;"&amp;$P52*12),0)</f>
        <v>0</v>
      </c>
      <c r="T53" s="142">
        <f t="shared" si="2"/>
        <v>0</v>
      </c>
      <c r="W53" s="12">
        <v>31</v>
      </c>
      <c r="X53" s="142">
        <f>IF($W53&lt;=$X$12,SUMIFS('Mortgage Calculators (By Month)'!$X$23:$X$623,'Mortgage Calculators (By Month)'!$W$23:$W$623,"&lt;="&amp;$W53*12,'Mortgage Calculators (By Month)'!$W$23:$W$623,"&gt;"&amp;$W52*12),0)</f>
        <v>0</v>
      </c>
      <c r="Y53" s="142">
        <f>IF($W53&lt;=$X$12,SUMIFS('Mortgage Calculators (By Month)'!$Y$23:$Y$623,'Mortgage Calculators (By Month)'!$W$23:$W$623,"&lt;="&amp;$W53*12,'Mortgage Calculators (By Month)'!$W$23:$W$623,"&gt;"&amp;$W52*12),0)</f>
        <v>0</v>
      </c>
      <c r="Z53" s="142">
        <f>IF($W53&lt;=$X$12,SUMIFS('Mortgage Calculators (By Month)'!$Z$23:$Z$623,'Mortgage Calculators (By Month)'!$W$23:$W$623,"&lt;="&amp;$W53*12,'Mortgage Calculators (By Month)'!$W$23:$W$623,"&gt;"&amp;$W52*12),0)</f>
        <v>0</v>
      </c>
      <c r="AA53" s="142">
        <f t="shared" si="3"/>
        <v>0</v>
      </c>
    </row>
    <row r="54" spans="2:27" x14ac:dyDescent="0.35">
      <c r="B54" s="12">
        <v>32</v>
      </c>
      <c r="C54" s="142">
        <f>IF($B54&lt;=$C$9,SUMIFS('Mortgage Calculators (By Month)'!$C$23:$C$623,'Mortgage Calculators (By Month)'!$B$23:$B$623,"&lt;="&amp;$B54*12,'Mortgage Calculators (By Month)'!$B$23:$B$623,"&gt;"&amp;$B53*12),0)</f>
        <v>0</v>
      </c>
      <c r="D54" s="142">
        <f>IF($B54&lt;=$C$9,SUMIFS('Mortgage Calculators (By Month)'!$D$23:$D$623,'Mortgage Calculators (By Month)'!$B$23:$B$623,"&lt;="&amp;$B54*12,'Mortgage Calculators (By Month)'!$B$23:$B$623,"&gt;"&amp;$B53*12),0)</f>
        <v>0</v>
      </c>
      <c r="E54" s="142">
        <f>IF($B54&lt;=$C$9,SUMIFS('Mortgage Calculators (By Month)'!$E$23:$E$623,'Mortgage Calculators (By Month)'!$B$23:$B$623,"&lt;="&amp;$B54*12,'Mortgage Calculators (By Month)'!$B$23:$B$623,"&gt;"&amp;$B53*12),0)</f>
        <v>0</v>
      </c>
      <c r="F54" s="142">
        <f t="shared" si="0"/>
        <v>0</v>
      </c>
      <c r="I54" s="12">
        <v>32</v>
      </c>
      <c r="J54" s="142">
        <f>IF($I54&lt;=$J$12,SUMIFS('Mortgage Calculators (By Month)'!$J$23:$J$623,'Mortgage Calculators (By Month)'!$I$23:$I$623,"&lt;="&amp;$I54*12,'Mortgage Calculators (By Month)'!$I$23:$I$623,"&gt;"&amp;$I53*12),0)</f>
        <v>0</v>
      </c>
      <c r="K54" s="142">
        <f>IF($I54&lt;=$J$12,SUMIFS('Mortgage Calculators (By Month)'!$K$23:$K$623,'Mortgage Calculators (By Month)'!$I$23:$I$623,"&lt;="&amp;$I54*12,'Mortgage Calculators (By Month)'!$I$23:$I$623,"&gt;"&amp;$I53*12),0)</f>
        <v>0</v>
      </c>
      <c r="L54" s="142">
        <f>IF($I54&lt;=$J$12,SUMIFS('Mortgage Calculators (By Month)'!$L$23:$L$623,'Mortgage Calculators (By Month)'!$I$23:$I$623,"&lt;="&amp;$I54*12,'Mortgage Calculators (By Month)'!$I$23:$I$623,"&gt;"&amp;$I53*12),0)</f>
        <v>0</v>
      </c>
      <c r="M54" s="142">
        <f t="shared" si="1"/>
        <v>0</v>
      </c>
      <c r="P54" s="12">
        <v>32</v>
      </c>
      <c r="Q54" s="142">
        <f>IF($P54&lt;=$Q$9,SUMIFS('Mortgage Calculators (By Month)'!$Q$23:$Q$623,'Mortgage Calculators (By Month)'!$P$23:$P$623,"&lt;="&amp;$P54*12,'Mortgage Calculators (By Month)'!$P$23:$P$623,"&gt;"&amp;$P53*12),0)</f>
        <v>0</v>
      </c>
      <c r="R54" s="142">
        <f>IF($P54&lt;=$Q$9,SUMIFS('Mortgage Calculators (By Month)'!$R$23:$R$623,'Mortgage Calculators (By Month)'!$P$23:$P$623,"&lt;="&amp;$P54*12,'Mortgage Calculators (By Month)'!$P$23:$P$623,"&gt;"&amp;$P53*12),0)</f>
        <v>0</v>
      </c>
      <c r="S54" s="142">
        <f>IF($P54&lt;=$Q$9,SUMIFS('Mortgage Calculators (By Month)'!$S$23:$S$623,'Mortgage Calculators (By Month)'!$P$23:$P$623,"&lt;="&amp;$P54*12,'Mortgage Calculators (By Month)'!$P$23:$P$623,"&gt;"&amp;$P53*12),0)</f>
        <v>0</v>
      </c>
      <c r="T54" s="142">
        <f t="shared" si="2"/>
        <v>0</v>
      </c>
      <c r="W54" s="12">
        <v>32</v>
      </c>
      <c r="X54" s="142">
        <f>IF($W54&lt;=$X$12,SUMIFS('Mortgage Calculators (By Month)'!$X$23:$X$623,'Mortgage Calculators (By Month)'!$W$23:$W$623,"&lt;="&amp;$W54*12,'Mortgage Calculators (By Month)'!$W$23:$W$623,"&gt;"&amp;$W53*12),0)</f>
        <v>0</v>
      </c>
      <c r="Y54" s="142">
        <f>IF($W54&lt;=$X$12,SUMIFS('Mortgage Calculators (By Month)'!$Y$23:$Y$623,'Mortgage Calculators (By Month)'!$W$23:$W$623,"&lt;="&amp;$W54*12,'Mortgage Calculators (By Month)'!$W$23:$W$623,"&gt;"&amp;$W53*12),0)</f>
        <v>0</v>
      </c>
      <c r="Z54" s="142">
        <f>IF($W54&lt;=$X$12,SUMIFS('Mortgage Calculators (By Month)'!$Z$23:$Z$623,'Mortgage Calculators (By Month)'!$W$23:$W$623,"&lt;="&amp;$W54*12,'Mortgage Calculators (By Month)'!$W$23:$W$623,"&gt;"&amp;$W53*12),0)</f>
        <v>0</v>
      </c>
      <c r="AA54" s="142">
        <f t="shared" si="3"/>
        <v>0</v>
      </c>
    </row>
    <row r="55" spans="2:27" x14ac:dyDescent="0.35">
      <c r="B55" s="12">
        <v>33</v>
      </c>
      <c r="C55" s="142">
        <f>IF($B55&lt;=$C$9,SUMIFS('Mortgage Calculators (By Month)'!$C$23:$C$623,'Mortgage Calculators (By Month)'!$B$23:$B$623,"&lt;="&amp;$B55*12,'Mortgage Calculators (By Month)'!$B$23:$B$623,"&gt;"&amp;$B54*12),0)</f>
        <v>0</v>
      </c>
      <c r="D55" s="142">
        <f>IF($B55&lt;=$C$9,SUMIFS('Mortgage Calculators (By Month)'!$D$23:$D$623,'Mortgage Calculators (By Month)'!$B$23:$B$623,"&lt;="&amp;$B55*12,'Mortgage Calculators (By Month)'!$B$23:$B$623,"&gt;"&amp;$B54*12),0)</f>
        <v>0</v>
      </c>
      <c r="E55" s="142">
        <f>IF($B55&lt;=$C$9,SUMIFS('Mortgage Calculators (By Month)'!$E$23:$E$623,'Mortgage Calculators (By Month)'!$B$23:$B$623,"&lt;="&amp;$B55*12,'Mortgage Calculators (By Month)'!$B$23:$B$623,"&gt;"&amp;$B54*12),0)</f>
        <v>0</v>
      </c>
      <c r="F55" s="142">
        <f t="shared" ref="F55:F73" si="4">IFERROR(F54-D55,0)</f>
        <v>0</v>
      </c>
      <c r="I55" s="12">
        <v>33</v>
      </c>
      <c r="J55" s="142">
        <f>IF($I55&lt;=$J$12,SUMIFS('Mortgage Calculators (By Month)'!$J$23:$J$623,'Mortgage Calculators (By Month)'!$I$23:$I$623,"&lt;="&amp;$I55*12,'Mortgage Calculators (By Month)'!$I$23:$I$623,"&gt;"&amp;$I54*12),0)</f>
        <v>0</v>
      </c>
      <c r="K55" s="142">
        <f>IF($I55&lt;=$J$12,SUMIFS('Mortgage Calculators (By Month)'!$K$23:$K$623,'Mortgage Calculators (By Month)'!$I$23:$I$623,"&lt;="&amp;$I55*12,'Mortgage Calculators (By Month)'!$I$23:$I$623,"&gt;"&amp;$I54*12),0)</f>
        <v>0</v>
      </c>
      <c r="L55" s="142">
        <f>IF($I55&lt;=$J$12,SUMIFS('Mortgage Calculators (By Month)'!$L$23:$L$623,'Mortgage Calculators (By Month)'!$I$23:$I$623,"&lt;="&amp;$I55*12,'Mortgage Calculators (By Month)'!$I$23:$I$623,"&gt;"&amp;$I54*12),0)</f>
        <v>0</v>
      </c>
      <c r="M55" s="142">
        <f t="shared" ref="M55:M73" si="5">IFERROR(M54-K55,0)</f>
        <v>0</v>
      </c>
      <c r="P55" s="12">
        <v>33</v>
      </c>
      <c r="Q55" s="142">
        <f>IF($P55&lt;=$Q$9,SUMIFS('Mortgage Calculators (By Month)'!$Q$23:$Q$623,'Mortgage Calculators (By Month)'!$P$23:$P$623,"&lt;="&amp;$P55*12,'Mortgage Calculators (By Month)'!$P$23:$P$623,"&gt;"&amp;$P54*12),0)</f>
        <v>0</v>
      </c>
      <c r="R55" s="142">
        <f>IF($P55&lt;=$Q$9,SUMIFS('Mortgage Calculators (By Month)'!$R$23:$R$623,'Mortgage Calculators (By Month)'!$P$23:$P$623,"&lt;="&amp;$P55*12,'Mortgage Calculators (By Month)'!$P$23:$P$623,"&gt;"&amp;$P54*12),0)</f>
        <v>0</v>
      </c>
      <c r="S55" s="142">
        <f>IF($P55&lt;=$Q$9,SUMIFS('Mortgage Calculators (By Month)'!$S$23:$S$623,'Mortgage Calculators (By Month)'!$P$23:$P$623,"&lt;="&amp;$P55*12,'Mortgage Calculators (By Month)'!$P$23:$P$623,"&gt;"&amp;$P54*12),0)</f>
        <v>0</v>
      </c>
      <c r="T55" s="142">
        <f t="shared" ref="T55:T73" si="6">IFERROR(T54-R55,0)</f>
        <v>0</v>
      </c>
      <c r="W55" s="12">
        <v>33</v>
      </c>
      <c r="X55" s="142">
        <f>IF($W55&lt;=$X$12,SUMIFS('Mortgage Calculators (By Month)'!$X$23:$X$623,'Mortgage Calculators (By Month)'!$W$23:$W$623,"&lt;="&amp;$W55*12,'Mortgage Calculators (By Month)'!$W$23:$W$623,"&gt;"&amp;$W54*12),0)</f>
        <v>0</v>
      </c>
      <c r="Y55" s="142">
        <f>IF($W55&lt;=$X$12,SUMIFS('Mortgage Calculators (By Month)'!$Y$23:$Y$623,'Mortgage Calculators (By Month)'!$W$23:$W$623,"&lt;="&amp;$W55*12,'Mortgage Calculators (By Month)'!$W$23:$W$623,"&gt;"&amp;$W54*12),0)</f>
        <v>0</v>
      </c>
      <c r="Z55" s="142">
        <f>IF($W55&lt;=$X$12,SUMIFS('Mortgage Calculators (By Month)'!$Z$23:$Z$623,'Mortgage Calculators (By Month)'!$W$23:$W$623,"&lt;="&amp;$W55*12,'Mortgage Calculators (By Month)'!$W$23:$W$623,"&gt;"&amp;$W54*12),0)</f>
        <v>0</v>
      </c>
      <c r="AA55" s="142">
        <f t="shared" ref="AA55:AA73" si="7">IFERROR(AA54-Y55,0)</f>
        <v>0</v>
      </c>
    </row>
    <row r="56" spans="2:27" x14ac:dyDescent="0.35">
      <c r="B56" s="12">
        <v>34</v>
      </c>
      <c r="C56" s="142">
        <f>IF($B56&lt;=$C$9,SUMIFS('Mortgage Calculators (By Month)'!$C$23:$C$623,'Mortgage Calculators (By Month)'!$B$23:$B$623,"&lt;="&amp;$B56*12,'Mortgage Calculators (By Month)'!$B$23:$B$623,"&gt;"&amp;$B55*12),0)</f>
        <v>0</v>
      </c>
      <c r="D56" s="142">
        <f>IF($B56&lt;=$C$9,SUMIFS('Mortgage Calculators (By Month)'!$D$23:$D$623,'Mortgage Calculators (By Month)'!$B$23:$B$623,"&lt;="&amp;$B56*12,'Mortgage Calculators (By Month)'!$B$23:$B$623,"&gt;"&amp;$B55*12),0)</f>
        <v>0</v>
      </c>
      <c r="E56" s="142">
        <f>IF($B56&lt;=$C$9,SUMIFS('Mortgage Calculators (By Month)'!$E$23:$E$623,'Mortgage Calculators (By Month)'!$B$23:$B$623,"&lt;="&amp;$B56*12,'Mortgage Calculators (By Month)'!$B$23:$B$623,"&gt;"&amp;$B55*12),0)</f>
        <v>0</v>
      </c>
      <c r="F56" s="142">
        <f t="shared" si="4"/>
        <v>0</v>
      </c>
      <c r="I56" s="12">
        <v>34</v>
      </c>
      <c r="J56" s="142">
        <f>IF($I56&lt;=$J$12,SUMIFS('Mortgage Calculators (By Month)'!$J$23:$J$623,'Mortgage Calculators (By Month)'!$I$23:$I$623,"&lt;="&amp;$I56*12,'Mortgage Calculators (By Month)'!$I$23:$I$623,"&gt;"&amp;$I55*12),0)</f>
        <v>0</v>
      </c>
      <c r="K56" s="142">
        <f>IF($I56&lt;=$J$12,SUMIFS('Mortgage Calculators (By Month)'!$K$23:$K$623,'Mortgage Calculators (By Month)'!$I$23:$I$623,"&lt;="&amp;$I56*12,'Mortgage Calculators (By Month)'!$I$23:$I$623,"&gt;"&amp;$I55*12),0)</f>
        <v>0</v>
      </c>
      <c r="L56" s="142">
        <f>IF($I56&lt;=$J$12,SUMIFS('Mortgage Calculators (By Month)'!$L$23:$L$623,'Mortgage Calculators (By Month)'!$I$23:$I$623,"&lt;="&amp;$I56*12,'Mortgage Calculators (By Month)'!$I$23:$I$623,"&gt;"&amp;$I55*12),0)</f>
        <v>0</v>
      </c>
      <c r="M56" s="142">
        <f t="shared" si="5"/>
        <v>0</v>
      </c>
      <c r="P56" s="12">
        <v>34</v>
      </c>
      <c r="Q56" s="142">
        <f>IF($P56&lt;=$Q$9,SUMIFS('Mortgage Calculators (By Month)'!$Q$23:$Q$623,'Mortgage Calculators (By Month)'!$P$23:$P$623,"&lt;="&amp;$P56*12,'Mortgage Calculators (By Month)'!$P$23:$P$623,"&gt;"&amp;$P55*12),0)</f>
        <v>0</v>
      </c>
      <c r="R56" s="142">
        <f>IF($P56&lt;=$Q$9,SUMIFS('Mortgage Calculators (By Month)'!$R$23:$R$623,'Mortgage Calculators (By Month)'!$P$23:$P$623,"&lt;="&amp;$P56*12,'Mortgage Calculators (By Month)'!$P$23:$P$623,"&gt;"&amp;$P55*12),0)</f>
        <v>0</v>
      </c>
      <c r="S56" s="142">
        <f>IF($P56&lt;=$Q$9,SUMIFS('Mortgage Calculators (By Month)'!$S$23:$S$623,'Mortgage Calculators (By Month)'!$P$23:$P$623,"&lt;="&amp;$P56*12,'Mortgage Calculators (By Month)'!$P$23:$P$623,"&gt;"&amp;$P55*12),0)</f>
        <v>0</v>
      </c>
      <c r="T56" s="142">
        <f t="shared" si="6"/>
        <v>0</v>
      </c>
      <c r="W56" s="12">
        <v>34</v>
      </c>
      <c r="X56" s="142">
        <f>IF($W56&lt;=$X$12,SUMIFS('Mortgage Calculators (By Month)'!$X$23:$X$623,'Mortgage Calculators (By Month)'!$W$23:$W$623,"&lt;="&amp;$W56*12,'Mortgage Calculators (By Month)'!$W$23:$W$623,"&gt;"&amp;$W55*12),0)</f>
        <v>0</v>
      </c>
      <c r="Y56" s="142">
        <f>IF($W56&lt;=$X$12,SUMIFS('Mortgage Calculators (By Month)'!$Y$23:$Y$623,'Mortgage Calculators (By Month)'!$W$23:$W$623,"&lt;="&amp;$W56*12,'Mortgage Calculators (By Month)'!$W$23:$W$623,"&gt;"&amp;$W55*12),0)</f>
        <v>0</v>
      </c>
      <c r="Z56" s="142">
        <f>IF($W56&lt;=$X$12,SUMIFS('Mortgage Calculators (By Month)'!$Z$23:$Z$623,'Mortgage Calculators (By Month)'!$W$23:$W$623,"&lt;="&amp;$W56*12,'Mortgage Calculators (By Month)'!$W$23:$W$623,"&gt;"&amp;$W55*12),0)</f>
        <v>0</v>
      </c>
      <c r="AA56" s="142">
        <f t="shared" si="7"/>
        <v>0</v>
      </c>
    </row>
    <row r="57" spans="2:27" x14ac:dyDescent="0.35">
      <c r="B57" s="12">
        <v>35</v>
      </c>
      <c r="C57" s="142">
        <f>IF($B57&lt;=$C$9,SUMIFS('Mortgage Calculators (By Month)'!$C$23:$C$623,'Mortgage Calculators (By Month)'!$B$23:$B$623,"&lt;="&amp;$B57*12,'Mortgage Calculators (By Month)'!$B$23:$B$623,"&gt;"&amp;$B56*12),0)</f>
        <v>0</v>
      </c>
      <c r="D57" s="142">
        <f>IF($B57&lt;=$C$9,SUMIFS('Mortgage Calculators (By Month)'!$D$23:$D$623,'Mortgage Calculators (By Month)'!$B$23:$B$623,"&lt;="&amp;$B57*12,'Mortgage Calculators (By Month)'!$B$23:$B$623,"&gt;"&amp;$B56*12),0)</f>
        <v>0</v>
      </c>
      <c r="E57" s="142">
        <f>IF($B57&lt;=$C$9,SUMIFS('Mortgage Calculators (By Month)'!$E$23:$E$623,'Mortgage Calculators (By Month)'!$B$23:$B$623,"&lt;="&amp;$B57*12,'Mortgage Calculators (By Month)'!$B$23:$B$623,"&gt;"&amp;$B56*12),0)</f>
        <v>0</v>
      </c>
      <c r="F57" s="142">
        <f t="shared" si="4"/>
        <v>0</v>
      </c>
      <c r="I57" s="12">
        <v>35</v>
      </c>
      <c r="J57" s="142">
        <f>IF($I57&lt;=$J$12,SUMIFS('Mortgage Calculators (By Month)'!$J$23:$J$623,'Mortgage Calculators (By Month)'!$I$23:$I$623,"&lt;="&amp;$I57*12,'Mortgage Calculators (By Month)'!$I$23:$I$623,"&gt;"&amp;$I56*12),0)</f>
        <v>0</v>
      </c>
      <c r="K57" s="142">
        <f>IF($I57&lt;=$J$12,SUMIFS('Mortgage Calculators (By Month)'!$K$23:$K$623,'Mortgage Calculators (By Month)'!$I$23:$I$623,"&lt;="&amp;$I57*12,'Mortgage Calculators (By Month)'!$I$23:$I$623,"&gt;"&amp;$I56*12),0)</f>
        <v>0</v>
      </c>
      <c r="L57" s="142">
        <f>IF($I57&lt;=$J$12,SUMIFS('Mortgage Calculators (By Month)'!$L$23:$L$623,'Mortgage Calculators (By Month)'!$I$23:$I$623,"&lt;="&amp;$I57*12,'Mortgage Calculators (By Month)'!$I$23:$I$623,"&gt;"&amp;$I56*12),0)</f>
        <v>0</v>
      </c>
      <c r="M57" s="142">
        <f t="shared" si="5"/>
        <v>0</v>
      </c>
      <c r="P57" s="12">
        <v>35</v>
      </c>
      <c r="Q57" s="142">
        <f>IF($P57&lt;=$Q$9,SUMIFS('Mortgage Calculators (By Month)'!$Q$23:$Q$623,'Mortgage Calculators (By Month)'!$P$23:$P$623,"&lt;="&amp;$P57*12,'Mortgage Calculators (By Month)'!$P$23:$P$623,"&gt;"&amp;$P56*12),0)</f>
        <v>0</v>
      </c>
      <c r="R57" s="142">
        <f>IF($P57&lt;=$Q$9,SUMIFS('Mortgage Calculators (By Month)'!$R$23:$R$623,'Mortgage Calculators (By Month)'!$P$23:$P$623,"&lt;="&amp;$P57*12,'Mortgage Calculators (By Month)'!$P$23:$P$623,"&gt;"&amp;$P56*12),0)</f>
        <v>0</v>
      </c>
      <c r="S57" s="142">
        <f>IF($P57&lt;=$Q$9,SUMIFS('Mortgage Calculators (By Month)'!$S$23:$S$623,'Mortgage Calculators (By Month)'!$P$23:$P$623,"&lt;="&amp;$P57*12,'Mortgage Calculators (By Month)'!$P$23:$P$623,"&gt;"&amp;$P56*12),0)</f>
        <v>0</v>
      </c>
      <c r="T57" s="142">
        <f t="shared" si="6"/>
        <v>0</v>
      </c>
      <c r="W57" s="12">
        <v>35</v>
      </c>
      <c r="X57" s="142">
        <f>IF($W57&lt;=$X$12,SUMIFS('Mortgage Calculators (By Month)'!$X$23:$X$623,'Mortgage Calculators (By Month)'!$W$23:$W$623,"&lt;="&amp;$W57*12,'Mortgage Calculators (By Month)'!$W$23:$W$623,"&gt;"&amp;$W56*12),0)</f>
        <v>0</v>
      </c>
      <c r="Y57" s="142">
        <f>IF($W57&lt;=$X$12,SUMIFS('Mortgage Calculators (By Month)'!$Y$23:$Y$623,'Mortgage Calculators (By Month)'!$W$23:$W$623,"&lt;="&amp;$W57*12,'Mortgage Calculators (By Month)'!$W$23:$W$623,"&gt;"&amp;$W56*12),0)</f>
        <v>0</v>
      </c>
      <c r="Z57" s="142">
        <f>IF($W57&lt;=$X$12,SUMIFS('Mortgage Calculators (By Month)'!$Z$23:$Z$623,'Mortgage Calculators (By Month)'!$W$23:$W$623,"&lt;="&amp;$W57*12,'Mortgage Calculators (By Month)'!$W$23:$W$623,"&gt;"&amp;$W56*12),0)</f>
        <v>0</v>
      </c>
      <c r="AA57" s="142">
        <f t="shared" si="7"/>
        <v>0</v>
      </c>
    </row>
    <row r="58" spans="2:27" x14ac:dyDescent="0.35">
      <c r="B58" s="12">
        <v>36</v>
      </c>
      <c r="C58" s="142">
        <f>IF($B58&lt;=$C$9,SUMIFS('Mortgage Calculators (By Month)'!$C$23:$C$623,'Mortgage Calculators (By Month)'!$B$23:$B$623,"&lt;="&amp;$B58*12,'Mortgage Calculators (By Month)'!$B$23:$B$623,"&gt;"&amp;$B57*12),0)</f>
        <v>0</v>
      </c>
      <c r="D58" s="142">
        <f>IF($B58&lt;=$C$9,SUMIFS('Mortgage Calculators (By Month)'!$D$23:$D$623,'Mortgage Calculators (By Month)'!$B$23:$B$623,"&lt;="&amp;$B58*12,'Mortgage Calculators (By Month)'!$B$23:$B$623,"&gt;"&amp;$B57*12),0)</f>
        <v>0</v>
      </c>
      <c r="E58" s="142">
        <f>IF($B58&lt;=$C$9,SUMIFS('Mortgage Calculators (By Month)'!$E$23:$E$623,'Mortgage Calculators (By Month)'!$B$23:$B$623,"&lt;="&amp;$B58*12,'Mortgage Calculators (By Month)'!$B$23:$B$623,"&gt;"&amp;$B57*12),0)</f>
        <v>0</v>
      </c>
      <c r="F58" s="142">
        <f t="shared" si="4"/>
        <v>0</v>
      </c>
      <c r="I58" s="12">
        <v>36</v>
      </c>
      <c r="J58" s="142">
        <f>IF($I58&lt;=$J$12,SUMIFS('Mortgage Calculators (By Month)'!$J$23:$J$623,'Mortgage Calculators (By Month)'!$I$23:$I$623,"&lt;="&amp;$I58*12,'Mortgage Calculators (By Month)'!$I$23:$I$623,"&gt;"&amp;$I57*12),0)</f>
        <v>0</v>
      </c>
      <c r="K58" s="142">
        <f>IF($I58&lt;=$J$12,SUMIFS('Mortgage Calculators (By Month)'!$K$23:$K$623,'Mortgage Calculators (By Month)'!$I$23:$I$623,"&lt;="&amp;$I58*12,'Mortgage Calculators (By Month)'!$I$23:$I$623,"&gt;"&amp;$I57*12),0)</f>
        <v>0</v>
      </c>
      <c r="L58" s="142">
        <f>IF($I58&lt;=$J$12,SUMIFS('Mortgage Calculators (By Month)'!$L$23:$L$623,'Mortgage Calculators (By Month)'!$I$23:$I$623,"&lt;="&amp;$I58*12,'Mortgage Calculators (By Month)'!$I$23:$I$623,"&gt;"&amp;$I57*12),0)</f>
        <v>0</v>
      </c>
      <c r="M58" s="142">
        <f t="shared" si="5"/>
        <v>0</v>
      </c>
      <c r="P58" s="12">
        <v>36</v>
      </c>
      <c r="Q58" s="142">
        <f>IF($P58&lt;=$Q$9,SUMIFS('Mortgage Calculators (By Month)'!$Q$23:$Q$623,'Mortgage Calculators (By Month)'!$P$23:$P$623,"&lt;="&amp;$P58*12,'Mortgage Calculators (By Month)'!$P$23:$P$623,"&gt;"&amp;$P57*12),0)</f>
        <v>0</v>
      </c>
      <c r="R58" s="142">
        <f>IF($P58&lt;=$Q$9,SUMIFS('Mortgage Calculators (By Month)'!$R$23:$R$623,'Mortgage Calculators (By Month)'!$P$23:$P$623,"&lt;="&amp;$P58*12,'Mortgage Calculators (By Month)'!$P$23:$P$623,"&gt;"&amp;$P57*12),0)</f>
        <v>0</v>
      </c>
      <c r="S58" s="142">
        <f>IF($P58&lt;=$Q$9,SUMIFS('Mortgage Calculators (By Month)'!$S$23:$S$623,'Mortgage Calculators (By Month)'!$P$23:$P$623,"&lt;="&amp;$P58*12,'Mortgage Calculators (By Month)'!$P$23:$P$623,"&gt;"&amp;$P57*12),0)</f>
        <v>0</v>
      </c>
      <c r="T58" s="142">
        <f t="shared" si="6"/>
        <v>0</v>
      </c>
      <c r="W58" s="12">
        <v>36</v>
      </c>
      <c r="X58" s="142">
        <f>IF($W58&lt;=$X$12,SUMIFS('Mortgage Calculators (By Month)'!$X$23:$X$623,'Mortgage Calculators (By Month)'!$W$23:$W$623,"&lt;="&amp;$W58*12,'Mortgage Calculators (By Month)'!$W$23:$W$623,"&gt;"&amp;$W57*12),0)</f>
        <v>0</v>
      </c>
      <c r="Y58" s="142">
        <f>IF($W58&lt;=$X$12,SUMIFS('Mortgage Calculators (By Month)'!$Y$23:$Y$623,'Mortgage Calculators (By Month)'!$W$23:$W$623,"&lt;="&amp;$W58*12,'Mortgage Calculators (By Month)'!$W$23:$W$623,"&gt;"&amp;$W57*12),0)</f>
        <v>0</v>
      </c>
      <c r="Z58" s="142">
        <f>IF($W58&lt;=$X$12,SUMIFS('Mortgage Calculators (By Month)'!$Z$23:$Z$623,'Mortgage Calculators (By Month)'!$W$23:$W$623,"&lt;="&amp;$W58*12,'Mortgage Calculators (By Month)'!$W$23:$W$623,"&gt;"&amp;$W57*12),0)</f>
        <v>0</v>
      </c>
      <c r="AA58" s="142">
        <f t="shared" si="7"/>
        <v>0</v>
      </c>
    </row>
    <row r="59" spans="2:27" x14ac:dyDescent="0.35">
      <c r="B59" s="12">
        <v>37</v>
      </c>
      <c r="C59" s="142">
        <f>IF($B59&lt;=$C$9,SUMIFS('Mortgage Calculators (By Month)'!$C$23:$C$623,'Mortgage Calculators (By Month)'!$B$23:$B$623,"&lt;="&amp;$B59*12,'Mortgage Calculators (By Month)'!$B$23:$B$623,"&gt;"&amp;$B58*12),0)</f>
        <v>0</v>
      </c>
      <c r="D59" s="142">
        <f>IF($B59&lt;=$C$9,SUMIFS('Mortgage Calculators (By Month)'!$D$23:$D$623,'Mortgage Calculators (By Month)'!$B$23:$B$623,"&lt;="&amp;$B59*12,'Mortgage Calculators (By Month)'!$B$23:$B$623,"&gt;"&amp;$B58*12),0)</f>
        <v>0</v>
      </c>
      <c r="E59" s="142">
        <f>IF($B59&lt;=$C$9,SUMIFS('Mortgage Calculators (By Month)'!$E$23:$E$623,'Mortgage Calculators (By Month)'!$B$23:$B$623,"&lt;="&amp;$B59*12,'Mortgage Calculators (By Month)'!$B$23:$B$623,"&gt;"&amp;$B58*12),0)</f>
        <v>0</v>
      </c>
      <c r="F59" s="142">
        <f t="shared" si="4"/>
        <v>0</v>
      </c>
      <c r="I59" s="12">
        <v>37</v>
      </c>
      <c r="J59" s="142">
        <f>IF($I59&lt;=$J$12,SUMIFS('Mortgage Calculators (By Month)'!$J$23:$J$623,'Mortgage Calculators (By Month)'!$I$23:$I$623,"&lt;="&amp;$I59*12,'Mortgage Calculators (By Month)'!$I$23:$I$623,"&gt;"&amp;$I58*12),0)</f>
        <v>0</v>
      </c>
      <c r="K59" s="142">
        <f>IF($I59&lt;=$J$12,SUMIFS('Mortgage Calculators (By Month)'!$K$23:$K$623,'Mortgage Calculators (By Month)'!$I$23:$I$623,"&lt;="&amp;$I59*12,'Mortgage Calculators (By Month)'!$I$23:$I$623,"&gt;"&amp;$I58*12),0)</f>
        <v>0</v>
      </c>
      <c r="L59" s="142">
        <f>IF($I59&lt;=$J$12,SUMIFS('Mortgage Calculators (By Month)'!$L$23:$L$623,'Mortgage Calculators (By Month)'!$I$23:$I$623,"&lt;="&amp;$I59*12,'Mortgage Calculators (By Month)'!$I$23:$I$623,"&gt;"&amp;$I58*12),0)</f>
        <v>0</v>
      </c>
      <c r="M59" s="142">
        <f t="shared" si="5"/>
        <v>0</v>
      </c>
      <c r="P59" s="12">
        <v>37</v>
      </c>
      <c r="Q59" s="142">
        <f>IF($P59&lt;=$Q$9,SUMIFS('Mortgage Calculators (By Month)'!$Q$23:$Q$623,'Mortgage Calculators (By Month)'!$P$23:$P$623,"&lt;="&amp;$P59*12,'Mortgage Calculators (By Month)'!$P$23:$P$623,"&gt;"&amp;$P58*12),0)</f>
        <v>0</v>
      </c>
      <c r="R59" s="142">
        <f>IF($P59&lt;=$Q$9,SUMIFS('Mortgage Calculators (By Month)'!$R$23:$R$623,'Mortgage Calculators (By Month)'!$P$23:$P$623,"&lt;="&amp;$P59*12,'Mortgage Calculators (By Month)'!$P$23:$P$623,"&gt;"&amp;$P58*12),0)</f>
        <v>0</v>
      </c>
      <c r="S59" s="142">
        <f>IF($P59&lt;=$Q$9,SUMIFS('Mortgage Calculators (By Month)'!$S$23:$S$623,'Mortgage Calculators (By Month)'!$P$23:$P$623,"&lt;="&amp;$P59*12,'Mortgage Calculators (By Month)'!$P$23:$P$623,"&gt;"&amp;$P58*12),0)</f>
        <v>0</v>
      </c>
      <c r="T59" s="142">
        <f t="shared" si="6"/>
        <v>0</v>
      </c>
      <c r="W59" s="12">
        <v>37</v>
      </c>
      <c r="X59" s="142">
        <f>IF($W59&lt;=$X$12,SUMIFS('Mortgage Calculators (By Month)'!$X$23:$X$623,'Mortgage Calculators (By Month)'!$W$23:$W$623,"&lt;="&amp;$W59*12,'Mortgage Calculators (By Month)'!$W$23:$W$623,"&gt;"&amp;$W58*12),0)</f>
        <v>0</v>
      </c>
      <c r="Y59" s="142">
        <f>IF($W59&lt;=$X$12,SUMIFS('Mortgage Calculators (By Month)'!$Y$23:$Y$623,'Mortgage Calculators (By Month)'!$W$23:$W$623,"&lt;="&amp;$W59*12,'Mortgage Calculators (By Month)'!$W$23:$W$623,"&gt;"&amp;$W58*12),0)</f>
        <v>0</v>
      </c>
      <c r="Z59" s="142">
        <f>IF($W59&lt;=$X$12,SUMIFS('Mortgage Calculators (By Month)'!$Z$23:$Z$623,'Mortgage Calculators (By Month)'!$W$23:$W$623,"&lt;="&amp;$W59*12,'Mortgage Calculators (By Month)'!$W$23:$W$623,"&gt;"&amp;$W58*12),0)</f>
        <v>0</v>
      </c>
      <c r="AA59" s="142">
        <f t="shared" si="7"/>
        <v>0</v>
      </c>
    </row>
    <row r="60" spans="2:27" x14ac:dyDescent="0.35">
      <c r="B60" s="12">
        <v>38</v>
      </c>
      <c r="C60" s="142">
        <f>IF($B60&lt;=$C$9,SUMIFS('Mortgage Calculators (By Month)'!$C$23:$C$623,'Mortgage Calculators (By Month)'!$B$23:$B$623,"&lt;="&amp;$B60*12,'Mortgage Calculators (By Month)'!$B$23:$B$623,"&gt;"&amp;$B59*12),0)</f>
        <v>0</v>
      </c>
      <c r="D60" s="142">
        <f>IF($B60&lt;=$C$9,SUMIFS('Mortgage Calculators (By Month)'!$D$23:$D$623,'Mortgage Calculators (By Month)'!$B$23:$B$623,"&lt;="&amp;$B60*12,'Mortgage Calculators (By Month)'!$B$23:$B$623,"&gt;"&amp;$B59*12),0)</f>
        <v>0</v>
      </c>
      <c r="E60" s="142">
        <f>IF($B60&lt;=$C$9,SUMIFS('Mortgage Calculators (By Month)'!$E$23:$E$623,'Mortgage Calculators (By Month)'!$B$23:$B$623,"&lt;="&amp;$B60*12,'Mortgage Calculators (By Month)'!$B$23:$B$623,"&gt;"&amp;$B59*12),0)</f>
        <v>0</v>
      </c>
      <c r="F60" s="142">
        <f t="shared" si="4"/>
        <v>0</v>
      </c>
      <c r="I60" s="12">
        <v>38</v>
      </c>
      <c r="J60" s="142">
        <f>IF($I60&lt;=$J$12,SUMIFS('Mortgage Calculators (By Month)'!$J$23:$J$623,'Mortgage Calculators (By Month)'!$I$23:$I$623,"&lt;="&amp;$I60*12,'Mortgage Calculators (By Month)'!$I$23:$I$623,"&gt;"&amp;$I59*12),0)</f>
        <v>0</v>
      </c>
      <c r="K60" s="142">
        <f>IF($I60&lt;=$J$12,SUMIFS('Mortgage Calculators (By Month)'!$K$23:$K$623,'Mortgage Calculators (By Month)'!$I$23:$I$623,"&lt;="&amp;$I60*12,'Mortgage Calculators (By Month)'!$I$23:$I$623,"&gt;"&amp;$I59*12),0)</f>
        <v>0</v>
      </c>
      <c r="L60" s="142">
        <f>IF($I60&lt;=$J$12,SUMIFS('Mortgage Calculators (By Month)'!$L$23:$L$623,'Mortgage Calculators (By Month)'!$I$23:$I$623,"&lt;="&amp;$I60*12,'Mortgage Calculators (By Month)'!$I$23:$I$623,"&gt;"&amp;$I59*12),0)</f>
        <v>0</v>
      </c>
      <c r="M60" s="142">
        <f t="shared" si="5"/>
        <v>0</v>
      </c>
      <c r="P60" s="12">
        <v>38</v>
      </c>
      <c r="Q60" s="142">
        <f>IF($P60&lt;=$Q$9,SUMIFS('Mortgage Calculators (By Month)'!$Q$23:$Q$623,'Mortgage Calculators (By Month)'!$P$23:$P$623,"&lt;="&amp;$P60*12,'Mortgage Calculators (By Month)'!$P$23:$P$623,"&gt;"&amp;$P59*12),0)</f>
        <v>0</v>
      </c>
      <c r="R60" s="142">
        <f>IF($P60&lt;=$Q$9,SUMIFS('Mortgage Calculators (By Month)'!$R$23:$R$623,'Mortgage Calculators (By Month)'!$P$23:$P$623,"&lt;="&amp;$P60*12,'Mortgage Calculators (By Month)'!$P$23:$P$623,"&gt;"&amp;$P59*12),0)</f>
        <v>0</v>
      </c>
      <c r="S60" s="142">
        <f>IF($P60&lt;=$Q$9,SUMIFS('Mortgage Calculators (By Month)'!$S$23:$S$623,'Mortgage Calculators (By Month)'!$P$23:$P$623,"&lt;="&amp;$P60*12,'Mortgage Calculators (By Month)'!$P$23:$P$623,"&gt;"&amp;$P59*12),0)</f>
        <v>0</v>
      </c>
      <c r="T60" s="142">
        <f t="shared" si="6"/>
        <v>0</v>
      </c>
      <c r="W60" s="12">
        <v>38</v>
      </c>
      <c r="X60" s="142">
        <f>IF($W60&lt;=$X$12,SUMIFS('Mortgage Calculators (By Month)'!$X$23:$X$623,'Mortgage Calculators (By Month)'!$W$23:$W$623,"&lt;="&amp;$W60*12,'Mortgage Calculators (By Month)'!$W$23:$W$623,"&gt;"&amp;$W59*12),0)</f>
        <v>0</v>
      </c>
      <c r="Y60" s="142">
        <f>IF($W60&lt;=$X$12,SUMIFS('Mortgage Calculators (By Month)'!$Y$23:$Y$623,'Mortgage Calculators (By Month)'!$W$23:$W$623,"&lt;="&amp;$W60*12,'Mortgage Calculators (By Month)'!$W$23:$W$623,"&gt;"&amp;$W59*12),0)</f>
        <v>0</v>
      </c>
      <c r="Z60" s="142">
        <f>IF($W60&lt;=$X$12,SUMIFS('Mortgage Calculators (By Month)'!$Z$23:$Z$623,'Mortgage Calculators (By Month)'!$W$23:$W$623,"&lt;="&amp;$W60*12,'Mortgage Calculators (By Month)'!$W$23:$W$623,"&gt;"&amp;$W59*12),0)</f>
        <v>0</v>
      </c>
      <c r="AA60" s="142">
        <f t="shared" si="7"/>
        <v>0</v>
      </c>
    </row>
    <row r="61" spans="2:27" x14ac:dyDescent="0.35">
      <c r="B61" s="12">
        <v>39</v>
      </c>
      <c r="C61" s="142">
        <f>IF($B61&lt;=$C$9,SUMIFS('Mortgage Calculators (By Month)'!$C$23:$C$623,'Mortgage Calculators (By Month)'!$B$23:$B$623,"&lt;="&amp;$B61*12,'Mortgage Calculators (By Month)'!$B$23:$B$623,"&gt;"&amp;$B60*12),0)</f>
        <v>0</v>
      </c>
      <c r="D61" s="142">
        <f>IF($B61&lt;=$C$9,SUMIFS('Mortgage Calculators (By Month)'!$D$23:$D$623,'Mortgage Calculators (By Month)'!$B$23:$B$623,"&lt;="&amp;$B61*12,'Mortgage Calculators (By Month)'!$B$23:$B$623,"&gt;"&amp;$B60*12),0)</f>
        <v>0</v>
      </c>
      <c r="E61" s="142">
        <f>IF($B61&lt;=$C$9,SUMIFS('Mortgage Calculators (By Month)'!$E$23:$E$623,'Mortgage Calculators (By Month)'!$B$23:$B$623,"&lt;="&amp;$B61*12,'Mortgage Calculators (By Month)'!$B$23:$B$623,"&gt;"&amp;$B60*12),0)</f>
        <v>0</v>
      </c>
      <c r="F61" s="142">
        <f t="shared" si="4"/>
        <v>0</v>
      </c>
      <c r="I61" s="12">
        <v>39</v>
      </c>
      <c r="J61" s="142">
        <f>IF($I61&lt;=$J$12,SUMIFS('Mortgage Calculators (By Month)'!$J$23:$J$623,'Mortgage Calculators (By Month)'!$I$23:$I$623,"&lt;="&amp;$I61*12,'Mortgage Calculators (By Month)'!$I$23:$I$623,"&gt;"&amp;$I60*12),0)</f>
        <v>0</v>
      </c>
      <c r="K61" s="142">
        <f>IF($I61&lt;=$J$12,SUMIFS('Mortgage Calculators (By Month)'!$K$23:$K$623,'Mortgage Calculators (By Month)'!$I$23:$I$623,"&lt;="&amp;$I61*12,'Mortgage Calculators (By Month)'!$I$23:$I$623,"&gt;"&amp;$I60*12),0)</f>
        <v>0</v>
      </c>
      <c r="L61" s="142">
        <f>IF($I61&lt;=$J$12,SUMIFS('Mortgage Calculators (By Month)'!$L$23:$L$623,'Mortgage Calculators (By Month)'!$I$23:$I$623,"&lt;="&amp;$I61*12,'Mortgage Calculators (By Month)'!$I$23:$I$623,"&gt;"&amp;$I60*12),0)</f>
        <v>0</v>
      </c>
      <c r="M61" s="142">
        <f t="shared" si="5"/>
        <v>0</v>
      </c>
      <c r="P61" s="12">
        <v>39</v>
      </c>
      <c r="Q61" s="142">
        <f>IF($P61&lt;=$Q$9,SUMIFS('Mortgage Calculators (By Month)'!$Q$23:$Q$623,'Mortgage Calculators (By Month)'!$P$23:$P$623,"&lt;="&amp;$P61*12,'Mortgage Calculators (By Month)'!$P$23:$P$623,"&gt;"&amp;$P60*12),0)</f>
        <v>0</v>
      </c>
      <c r="R61" s="142">
        <f>IF($P61&lt;=$Q$9,SUMIFS('Mortgage Calculators (By Month)'!$R$23:$R$623,'Mortgage Calculators (By Month)'!$P$23:$P$623,"&lt;="&amp;$P61*12,'Mortgage Calculators (By Month)'!$P$23:$P$623,"&gt;"&amp;$P60*12),0)</f>
        <v>0</v>
      </c>
      <c r="S61" s="142">
        <f>IF($P61&lt;=$Q$9,SUMIFS('Mortgage Calculators (By Month)'!$S$23:$S$623,'Mortgage Calculators (By Month)'!$P$23:$P$623,"&lt;="&amp;$P61*12,'Mortgage Calculators (By Month)'!$P$23:$P$623,"&gt;"&amp;$P60*12),0)</f>
        <v>0</v>
      </c>
      <c r="T61" s="142">
        <f t="shared" si="6"/>
        <v>0</v>
      </c>
      <c r="W61" s="12">
        <v>39</v>
      </c>
      <c r="X61" s="142">
        <f>IF($W61&lt;=$X$12,SUMIFS('Mortgage Calculators (By Month)'!$X$23:$X$623,'Mortgage Calculators (By Month)'!$W$23:$W$623,"&lt;="&amp;$W61*12,'Mortgage Calculators (By Month)'!$W$23:$W$623,"&gt;"&amp;$W60*12),0)</f>
        <v>0</v>
      </c>
      <c r="Y61" s="142">
        <f>IF($W61&lt;=$X$12,SUMIFS('Mortgage Calculators (By Month)'!$Y$23:$Y$623,'Mortgage Calculators (By Month)'!$W$23:$W$623,"&lt;="&amp;$W61*12,'Mortgage Calculators (By Month)'!$W$23:$W$623,"&gt;"&amp;$W60*12),0)</f>
        <v>0</v>
      </c>
      <c r="Z61" s="142">
        <f>IF($W61&lt;=$X$12,SUMIFS('Mortgage Calculators (By Month)'!$Z$23:$Z$623,'Mortgage Calculators (By Month)'!$W$23:$W$623,"&lt;="&amp;$W61*12,'Mortgage Calculators (By Month)'!$W$23:$W$623,"&gt;"&amp;$W60*12),0)</f>
        <v>0</v>
      </c>
      <c r="AA61" s="142">
        <f t="shared" si="7"/>
        <v>0</v>
      </c>
    </row>
    <row r="62" spans="2:27" x14ac:dyDescent="0.35">
      <c r="B62" s="12">
        <v>40</v>
      </c>
      <c r="C62" s="142">
        <f>IF($B62&lt;=$C$9,SUMIFS('Mortgage Calculators (By Month)'!$C$23:$C$623,'Mortgage Calculators (By Month)'!$B$23:$B$623,"&lt;="&amp;$B62*12,'Mortgage Calculators (By Month)'!$B$23:$B$623,"&gt;"&amp;$B61*12),0)</f>
        <v>0</v>
      </c>
      <c r="D62" s="142">
        <f>IF($B62&lt;=$C$9,SUMIFS('Mortgage Calculators (By Month)'!$D$23:$D$623,'Mortgage Calculators (By Month)'!$B$23:$B$623,"&lt;="&amp;$B62*12,'Mortgage Calculators (By Month)'!$B$23:$B$623,"&gt;"&amp;$B61*12),0)</f>
        <v>0</v>
      </c>
      <c r="E62" s="142">
        <f>IF($B62&lt;=$C$9,SUMIFS('Mortgage Calculators (By Month)'!$E$23:$E$623,'Mortgage Calculators (By Month)'!$B$23:$B$623,"&lt;="&amp;$B62*12,'Mortgage Calculators (By Month)'!$B$23:$B$623,"&gt;"&amp;$B61*12),0)</f>
        <v>0</v>
      </c>
      <c r="F62" s="142">
        <f t="shared" si="4"/>
        <v>0</v>
      </c>
      <c r="I62" s="12">
        <v>40</v>
      </c>
      <c r="J62" s="142">
        <f>IF($I62&lt;=$J$12,SUMIFS('Mortgage Calculators (By Month)'!$J$23:$J$623,'Mortgage Calculators (By Month)'!$I$23:$I$623,"&lt;="&amp;$I62*12,'Mortgage Calculators (By Month)'!$I$23:$I$623,"&gt;"&amp;$I61*12),0)</f>
        <v>0</v>
      </c>
      <c r="K62" s="142">
        <f>IF($I62&lt;=$J$12,SUMIFS('Mortgage Calculators (By Month)'!$K$23:$K$623,'Mortgage Calculators (By Month)'!$I$23:$I$623,"&lt;="&amp;$I62*12,'Mortgage Calculators (By Month)'!$I$23:$I$623,"&gt;"&amp;$I61*12),0)</f>
        <v>0</v>
      </c>
      <c r="L62" s="142">
        <f>IF($I62&lt;=$J$12,SUMIFS('Mortgage Calculators (By Month)'!$L$23:$L$623,'Mortgage Calculators (By Month)'!$I$23:$I$623,"&lt;="&amp;$I62*12,'Mortgage Calculators (By Month)'!$I$23:$I$623,"&gt;"&amp;$I61*12),0)</f>
        <v>0</v>
      </c>
      <c r="M62" s="142">
        <f t="shared" si="5"/>
        <v>0</v>
      </c>
      <c r="P62" s="12">
        <v>40</v>
      </c>
      <c r="Q62" s="142">
        <f>IF($P62&lt;=$Q$9,SUMIFS('Mortgage Calculators (By Month)'!$Q$23:$Q$623,'Mortgage Calculators (By Month)'!$P$23:$P$623,"&lt;="&amp;$P62*12,'Mortgage Calculators (By Month)'!$P$23:$P$623,"&gt;"&amp;$P61*12),0)</f>
        <v>0</v>
      </c>
      <c r="R62" s="142">
        <f>IF($P62&lt;=$Q$9,SUMIFS('Mortgage Calculators (By Month)'!$R$23:$R$623,'Mortgage Calculators (By Month)'!$P$23:$P$623,"&lt;="&amp;$P62*12,'Mortgage Calculators (By Month)'!$P$23:$P$623,"&gt;"&amp;$P61*12),0)</f>
        <v>0</v>
      </c>
      <c r="S62" s="142">
        <f>IF($P62&lt;=$Q$9,SUMIFS('Mortgage Calculators (By Month)'!$S$23:$S$623,'Mortgage Calculators (By Month)'!$P$23:$P$623,"&lt;="&amp;$P62*12,'Mortgage Calculators (By Month)'!$P$23:$P$623,"&gt;"&amp;$P61*12),0)</f>
        <v>0</v>
      </c>
      <c r="T62" s="142">
        <f t="shared" si="6"/>
        <v>0</v>
      </c>
      <c r="W62" s="12">
        <v>40</v>
      </c>
      <c r="X62" s="142">
        <f>IF($W62&lt;=$X$12,SUMIFS('Mortgage Calculators (By Month)'!$X$23:$X$623,'Mortgage Calculators (By Month)'!$W$23:$W$623,"&lt;="&amp;$W62*12,'Mortgage Calculators (By Month)'!$W$23:$W$623,"&gt;"&amp;$W61*12),0)</f>
        <v>0</v>
      </c>
      <c r="Y62" s="142">
        <f>IF($W62&lt;=$X$12,SUMIFS('Mortgage Calculators (By Month)'!$Y$23:$Y$623,'Mortgage Calculators (By Month)'!$W$23:$W$623,"&lt;="&amp;$W62*12,'Mortgage Calculators (By Month)'!$W$23:$W$623,"&gt;"&amp;$W61*12),0)</f>
        <v>0</v>
      </c>
      <c r="Z62" s="142">
        <f>IF($W62&lt;=$X$12,SUMIFS('Mortgage Calculators (By Month)'!$Z$23:$Z$623,'Mortgage Calculators (By Month)'!$W$23:$W$623,"&lt;="&amp;$W62*12,'Mortgage Calculators (By Month)'!$W$23:$W$623,"&gt;"&amp;$W61*12),0)</f>
        <v>0</v>
      </c>
      <c r="AA62" s="142">
        <f t="shared" si="7"/>
        <v>0</v>
      </c>
    </row>
    <row r="63" spans="2:27" x14ac:dyDescent="0.35">
      <c r="B63" s="12">
        <v>41</v>
      </c>
      <c r="C63" s="142">
        <f>IF($B63&lt;=$C$9,SUMIFS('Mortgage Calculators (By Month)'!$C$23:$C$623,'Mortgage Calculators (By Month)'!$B$23:$B$623,"&lt;="&amp;$B63*12,'Mortgage Calculators (By Month)'!$B$23:$B$623,"&gt;"&amp;$B62*12),0)</f>
        <v>0</v>
      </c>
      <c r="D63" s="142">
        <f>IF($B63&lt;=$C$9,SUMIFS('Mortgage Calculators (By Month)'!$D$23:$D$623,'Mortgage Calculators (By Month)'!$B$23:$B$623,"&lt;="&amp;$B63*12,'Mortgage Calculators (By Month)'!$B$23:$B$623,"&gt;"&amp;$B62*12),0)</f>
        <v>0</v>
      </c>
      <c r="E63" s="142">
        <f>IF($B63&lt;=$C$9,SUMIFS('Mortgage Calculators (By Month)'!$E$23:$E$623,'Mortgage Calculators (By Month)'!$B$23:$B$623,"&lt;="&amp;$B63*12,'Mortgage Calculators (By Month)'!$B$23:$B$623,"&gt;"&amp;$B62*12),0)</f>
        <v>0</v>
      </c>
      <c r="F63" s="142">
        <f t="shared" si="4"/>
        <v>0</v>
      </c>
      <c r="I63" s="12">
        <v>41</v>
      </c>
      <c r="J63" s="142">
        <f>IF($I63&lt;=$J$12,SUMIFS('Mortgage Calculators (By Month)'!$J$23:$J$623,'Mortgage Calculators (By Month)'!$I$23:$I$623,"&lt;="&amp;$I63*12,'Mortgage Calculators (By Month)'!$I$23:$I$623,"&gt;"&amp;$I62*12),0)</f>
        <v>0</v>
      </c>
      <c r="K63" s="142">
        <f>IF($I63&lt;=$J$12,SUMIFS('Mortgage Calculators (By Month)'!$K$23:$K$623,'Mortgage Calculators (By Month)'!$I$23:$I$623,"&lt;="&amp;$I63*12,'Mortgage Calculators (By Month)'!$I$23:$I$623,"&gt;"&amp;$I62*12),0)</f>
        <v>0</v>
      </c>
      <c r="L63" s="142">
        <f>IF($I63&lt;=$J$12,SUMIFS('Mortgage Calculators (By Month)'!$L$23:$L$623,'Mortgage Calculators (By Month)'!$I$23:$I$623,"&lt;="&amp;$I63*12,'Mortgage Calculators (By Month)'!$I$23:$I$623,"&gt;"&amp;$I62*12),0)</f>
        <v>0</v>
      </c>
      <c r="M63" s="142">
        <f t="shared" si="5"/>
        <v>0</v>
      </c>
      <c r="P63" s="12">
        <v>41</v>
      </c>
      <c r="Q63" s="142">
        <f>IF($P63&lt;=$Q$9,SUMIFS('Mortgage Calculators (By Month)'!$Q$23:$Q$623,'Mortgage Calculators (By Month)'!$P$23:$P$623,"&lt;="&amp;$P63*12,'Mortgage Calculators (By Month)'!$P$23:$P$623,"&gt;"&amp;$P62*12),0)</f>
        <v>0</v>
      </c>
      <c r="R63" s="142">
        <f>IF($P63&lt;=$Q$9,SUMIFS('Mortgage Calculators (By Month)'!$R$23:$R$623,'Mortgage Calculators (By Month)'!$P$23:$P$623,"&lt;="&amp;$P63*12,'Mortgage Calculators (By Month)'!$P$23:$P$623,"&gt;"&amp;$P62*12),0)</f>
        <v>0</v>
      </c>
      <c r="S63" s="142">
        <f>IF($P63&lt;=$Q$9,SUMIFS('Mortgage Calculators (By Month)'!$S$23:$S$623,'Mortgage Calculators (By Month)'!$P$23:$P$623,"&lt;="&amp;$P63*12,'Mortgage Calculators (By Month)'!$P$23:$P$623,"&gt;"&amp;$P62*12),0)</f>
        <v>0</v>
      </c>
      <c r="T63" s="142">
        <f t="shared" si="6"/>
        <v>0</v>
      </c>
      <c r="W63" s="12">
        <v>41</v>
      </c>
      <c r="X63" s="142">
        <f>IF($W63&lt;=$X$12,SUMIFS('Mortgage Calculators (By Month)'!$X$23:$X$623,'Mortgage Calculators (By Month)'!$W$23:$W$623,"&lt;="&amp;$W63*12,'Mortgage Calculators (By Month)'!$W$23:$W$623,"&gt;"&amp;$W62*12),0)</f>
        <v>0</v>
      </c>
      <c r="Y63" s="142">
        <f>IF($W63&lt;=$X$12,SUMIFS('Mortgage Calculators (By Month)'!$Y$23:$Y$623,'Mortgage Calculators (By Month)'!$W$23:$W$623,"&lt;="&amp;$W63*12,'Mortgage Calculators (By Month)'!$W$23:$W$623,"&gt;"&amp;$W62*12),0)</f>
        <v>0</v>
      </c>
      <c r="Z63" s="142">
        <f>IF($W63&lt;=$X$12,SUMIFS('Mortgage Calculators (By Month)'!$Z$23:$Z$623,'Mortgage Calculators (By Month)'!$W$23:$W$623,"&lt;="&amp;$W63*12,'Mortgage Calculators (By Month)'!$W$23:$W$623,"&gt;"&amp;$W62*12),0)</f>
        <v>0</v>
      </c>
      <c r="AA63" s="142">
        <f t="shared" si="7"/>
        <v>0</v>
      </c>
    </row>
    <row r="64" spans="2:27" x14ac:dyDescent="0.35">
      <c r="B64" s="12">
        <v>42</v>
      </c>
      <c r="C64" s="142">
        <f>IF($B64&lt;=$C$9,SUMIFS('Mortgage Calculators (By Month)'!$C$23:$C$623,'Mortgage Calculators (By Month)'!$B$23:$B$623,"&lt;="&amp;$B64*12,'Mortgage Calculators (By Month)'!$B$23:$B$623,"&gt;"&amp;$B63*12),0)</f>
        <v>0</v>
      </c>
      <c r="D64" s="142">
        <f>IF($B64&lt;=$C$9,SUMIFS('Mortgage Calculators (By Month)'!$D$23:$D$623,'Mortgage Calculators (By Month)'!$B$23:$B$623,"&lt;="&amp;$B64*12,'Mortgage Calculators (By Month)'!$B$23:$B$623,"&gt;"&amp;$B63*12),0)</f>
        <v>0</v>
      </c>
      <c r="E64" s="142">
        <f>IF($B64&lt;=$C$9,SUMIFS('Mortgage Calculators (By Month)'!$E$23:$E$623,'Mortgage Calculators (By Month)'!$B$23:$B$623,"&lt;="&amp;$B64*12,'Mortgage Calculators (By Month)'!$B$23:$B$623,"&gt;"&amp;$B63*12),0)</f>
        <v>0</v>
      </c>
      <c r="F64" s="142">
        <f t="shared" si="4"/>
        <v>0</v>
      </c>
      <c r="I64" s="12">
        <v>42</v>
      </c>
      <c r="J64" s="142">
        <f>IF($I64&lt;=$J$12,SUMIFS('Mortgage Calculators (By Month)'!$J$23:$J$623,'Mortgage Calculators (By Month)'!$I$23:$I$623,"&lt;="&amp;$I64*12,'Mortgage Calculators (By Month)'!$I$23:$I$623,"&gt;"&amp;$I63*12),0)</f>
        <v>0</v>
      </c>
      <c r="K64" s="142">
        <f>IF($I64&lt;=$J$12,SUMIFS('Mortgage Calculators (By Month)'!$K$23:$K$623,'Mortgage Calculators (By Month)'!$I$23:$I$623,"&lt;="&amp;$I64*12,'Mortgage Calculators (By Month)'!$I$23:$I$623,"&gt;"&amp;$I63*12),0)</f>
        <v>0</v>
      </c>
      <c r="L64" s="142">
        <f>IF($I64&lt;=$J$12,SUMIFS('Mortgage Calculators (By Month)'!$L$23:$L$623,'Mortgage Calculators (By Month)'!$I$23:$I$623,"&lt;="&amp;$I64*12,'Mortgage Calculators (By Month)'!$I$23:$I$623,"&gt;"&amp;$I63*12),0)</f>
        <v>0</v>
      </c>
      <c r="M64" s="142">
        <f t="shared" si="5"/>
        <v>0</v>
      </c>
      <c r="P64" s="12">
        <v>42</v>
      </c>
      <c r="Q64" s="142">
        <f>IF($P64&lt;=$Q$9,SUMIFS('Mortgage Calculators (By Month)'!$Q$23:$Q$623,'Mortgage Calculators (By Month)'!$P$23:$P$623,"&lt;="&amp;$P64*12,'Mortgage Calculators (By Month)'!$P$23:$P$623,"&gt;"&amp;$P63*12),0)</f>
        <v>0</v>
      </c>
      <c r="R64" s="142">
        <f>IF($P64&lt;=$Q$9,SUMIFS('Mortgage Calculators (By Month)'!$R$23:$R$623,'Mortgage Calculators (By Month)'!$P$23:$P$623,"&lt;="&amp;$P64*12,'Mortgage Calculators (By Month)'!$P$23:$P$623,"&gt;"&amp;$P63*12),0)</f>
        <v>0</v>
      </c>
      <c r="S64" s="142">
        <f>IF($P64&lt;=$Q$9,SUMIFS('Mortgage Calculators (By Month)'!$S$23:$S$623,'Mortgage Calculators (By Month)'!$P$23:$P$623,"&lt;="&amp;$P64*12,'Mortgage Calculators (By Month)'!$P$23:$P$623,"&gt;"&amp;$P63*12),0)</f>
        <v>0</v>
      </c>
      <c r="T64" s="142">
        <f t="shared" si="6"/>
        <v>0</v>
      </c>
      <c r="W64" s="12">
        <v>42</v>
      </c>
      <c r="X64" s="142">
        <f>IF($W64&lt;=$X$12,SUMIFS('Mortgage Calculators (By Month)'!$X$23:$X$623,'Mortgage Calculators (By Month)'!$W$23:$W$623,"&lt;="&amp;$W64*12,'Mortgage Calculators (By Month)'!$W$23:$W$623,"&gt;"&amp;$W63*12),0)</f>
        <v>0</v>
      </c>
      <c r="Y64" s="142">
        <f>IF($W64&lt;=$X$12,SUMIFS('Mortgage Calculators (By Month)'!$Y$23:$Y$623,'Mortgage Calculators (By Month)'!$W$23:$W$623,"&lt;="&amp;$W64*12,'Mortgage Calculators (By Month)'!$W$23:$W$623,"&gt;"&amp;$W63*12),0)</f>
        <v>0</v>
      </c>
      <c r="Z64" s="142">
        <f>IF($W64&lt;=$X$12,SUMIFS('Mortgage Calculators (By Month)'!$Z$23:$Z$623,'Mortgage Calculators (By Month)'!$W$23:$W$623,"&lt;="&amp;$W64*12,'Mortgage Calculators (By Month)'!$W$23:$W$623,"&gt;"&amp;$W63*12),0)</f>
        <v>0</v>
      </c>
      <c r="AA64" s="142">
        <f t="shared" si="7"/>
        <v>0</v>
      </c>
    </row>
    <row r="65" spans="2:27" x14ac:dyDescent="0.35">
      <c r="B65" s="12">
        <v>43</v>
      </c>
      <c r="C65" s="142">
        <f>IF($B65&lt;=$C$9,SUMIFS('Mortgage Calculators (By Month)'!$C$23:$C$623,'Mortgage Calculators (By Month)'!$B$23:$B$623,"&lt;="&amp;$B65*12,'Mortgage Calculators (By Month)'!$B$23:$B$623,"&gt;"&amp;$B64*12),0)</f>
        <v>0</v>
      </c>
      <c r="D65" s="142">
        <f>IF($B65&lt;=$C$9,SUMIFS('Mortgage Calculators (By Month)'!$D$23:$D$623,'Mortgage Calculators (By Month)'!$B$23:$B$623,"&lt;="&amp;$B65*12,'Mortgage Calculators (By Month)'!$B$23:$B$623,"&gt;"&amp;$B64*12),0)</f>
        <v>0</v>
      </c>
      <c r="E65" s="142">
        <f>IF($B65&lt;=$C$9,SUMIFS('Mortgage Calculators (By Month)'!$E$23:$E$623,'Mortgage Calculators (By Month)'!$B$23:$B$623,"&lt;="&amp;$B65*12,'Mortgage Calculators (By Month)'!$B$23:$B$623,"&gt;"&amp;$B64*12),0)</f>
        <v>0</v>
      </c>
      <c r="F65" s="142">
        <f t="shared" si="4"/>
        <v>0</v>
      </c>
      <c r="I65" s="12">
        <v>43</v>
      </c>
      <c r="J65" s="142">
        <f>IF($I65&lt;=$J$12,SUMIFS('Mortgage Calculators (By Month)'!$J$23:$J$623,'Mortgage Calculators (By Month)'!$I$23:$I$623,"&lt;="&amp;$I65*12,'Mortgage Calculators (By Month)'!$I$23:$I$623,"&gt;"&amp;$I64*12),0)</f>
        <v>0</v>
      </c>
      <c r="K65" s="142">
        <f>IF($I65&lt;=$J$12,SUMIFS('Mortgage Calculators (By Month)'!$K$23:$K$623,'Mortgage Calculators (By Month)'!$I$23:$I$623,"&lt;="&amp;$I65*12,'Mortgage Calculators (By Month)'!$I$23:$I$623,"&gt;"&amp;$I64*12),0)</f>
        <v>0</v>
      </c>
      <c r="L65" s="142">
        <f>IF($I65&lt;=$J$12,SUMIFS('Mortgage Calculators (By Month)'!$L$23:$L$623,'Mortgage Calculators (By Month)'!$I$23:$I$623,"&lt;="&amp;$I65*12,'Mortgage Calculators (By Month)'!$I$23:$I$623,"&gt;"&amp;$I64*12),0)</f>
        <v>0</v>
      </c>
      <c r="M65" s="142">
        <f t="shared" si="5"/>
        <v>0</v>
      </c>
      <c r="P65" s="12">
        <v>43</v>
      </c>
      <c r="Q65" s="142">
        <f>IF($P65&lt;=$Q$9,SUMIFS('Mortgage Calculators (By Month)'!$Q$23:$Q$623,'Mortgage Calculators (By Month)'!$P$23:$P$623,"&lt;="&amp;$P65*12,'Mortgage Calculators (By Month)'!$P$23:$P$623,"&gt;"&amp;$P64*12),0)</f>
        <v>0</v>
      </c>
      <c r="R65" s="142">
        <f>IF($P65&lt;=$Q$9,SUMIFS('Mortgage Calculators (By Month)'!$R$23:$R$623,'Mortgage Calculators (By Month)'!$P$23:$P$623,"&lt;="&amp;$P65*12,'Mortgage Calculators (By Month)'!$P$23:$P$623,"&gt;"&amp;$P64*12),0)</f>
        <v>0</v>
      </c>
      <c r="S65" s="142">
        <f>IF($P65&lt;=$Q$9,SUMIFS('Mortgage Calculators (By Month)'!$S$23:$S$623,'Mortgage Calculators (By Month)'!$P$23:$P$623,"&lt;="&amp;$P65*12,'Mortgage Calculators (By Month)'!$P$23:$P$623,"&gt;"&amp;$P64*12),0)</f>
        <v>0</v>
      </c>
      <c r="T65" s="142">
        <f t="shared" si="6"/>
        <v>0</v>
      </c>
      <c r="W65" s="12">
        <v>43</v>
      </c>
      <c r="X65" s="142">
        <f>IF($W65&lt;=$X$12,SUMIFS('Mortgage Calculators (By Month)'!$X$23:$X$623,'Mortgage Calculators (By Month)'!$W$23:$W$623,"&lt;="&amp;$W65*12,'Mortgage Calculators (By Month)'!$W$23:$W$623,"&gt;"&amp;$W64*12),0)</f>
        <v>0</v>
      </c>
      <c r="Y65" s="142">
        <f>IF($W65&lt;=$X$12,SUMIFS('Mortgage Calculators (By Month)'!$Y$23:$Y$623,'Mortgage Calculators (By Month)'!$W$23:$W$623,"&lt;="&amp;$W65*12,'Mortgage Calculators (By Month)'!$W$23:$W$623,"&gt;"&amp;$W64*12),0)</f>
        <v>0</v>
      </c>
      <c r="Z65" s="142">
        <f>IF($W65&lt;=$X$12,SUMIFS('Mortgage Calculators (By Month)'!$Z$23:$Z$623,'Mortgage Calculators (By Month)'!$W$23:$W$623,"&lt;="&amp;$W65*12,'Mortgage Calculators (By Month)'!$W$23:$W$623,"&gt;"&amp;$W64*12),0)</f>
        <v>0</v>
      </c>
      <c r="AA65" s="142">
        <f t="shared" si="7"/>
        <v>0</v>
      </c>
    </row>
    <row r="66" spans="2:27" x14ac:dyDescent="0.35">
      <c r="B66" s="12">
        <v>44</v>
      </c>
      <c r="C66" s="142">
        <f>IF($B66&lt;=$C$9,SUMIFS('Mortgage Calculators (By Month)'!$C$23:$C$623,'Mortgage Calculators (By Month)'!$B$23:$B$623,"&lt;="&amp;$B66*12,'Mortgage Calculators (By Month)'!$B$23:$B$623,"&gt;"&amp;$B65*12),0)</f>
        <v>0</v>
      </c>
      <c r="D66" s="142">
        <f>IF($B66&lt;=$C$9,SUMIFS('Mortgage Calculators (By Month)'!$D$23:$D$623,'Mortgage Calculators (By Month)'!$B$23:$B$623,"&lt;="&amp;$B66*12,'Mortgage Calculators (By Month)'!$B$23:$B$623,"&gt;"&amp;$B65*12),0)</f>
        <v>0</v>
      </c>
      <c r="E66" s="142">
        <f>IF($B66&lt;=$C$9,SUMIFS('Mortgage Calculators (By Month)'!$E$23:$E$623,'Mortgage Calculators (By Month)'!$B$23:$B$623,"&lt;="&amp;$B66*12,'Mortgage Calculators (By Month)'!$B$23:$B$623,"&gt;"&amp;$B65*12),0)</f>
        <v>0</v>
      </c>
      <c r="F66" s="142">
        <f t="shared" si="4"/>
        <v>0</v>
      </c>
      <c r="I66" s="12">
        <v>44</v>
      </c>
      <c r="J66" s="142">
        <f>IF($I66&lt;=$J$12,SUMIFS('Mortgage Calculators (By Month)'!$J$23:$J$623,'Mortgage Calculators (By Month)'!$I$23:$I$623,"&lt;="&amp;$I66*12,'Mortgage Calculators (By Month)'!$I$23:$I$623,"&gt;"&amp;$I65*12),0)</f>
        <v>0</v>
      </c>
      <c r="K66" s="142">
        <f>IF($I66&lt;=$J$12,SUMIFS('Mortgage Calculators (By Month)'!$K$23:$K$623,'Mortgage Calculators (By Month)'!$I$23:$I$623,"&lt;="&amp;$I66*12,'Mortgage Calculators (By Month)'!$I$23:$I$623,"&gt;"&amp;$I65*12),0)</f>
        <v>0</v>
      </c>
      <c r="L66" s="142">
        <f>IF($I66&lt;=$J$12,SUMIFS('Mortgage Calculators (By Month)'!$L$23:$L$623,'Mortgage Calculators (By Month)'!$I$23:$I$623,"&lt;="&amp;$I66*12,'Mortgage Calculators (By Month)'!$I$23:$I$623,"&gt;"&amp;$I65*12),0)</f>
        <v>0</v>
      </c>
      <c r="M66" s="142">
        <f t="shared" si="5"/>
        <v>0</v>
      </c>
      <c r="P66" s="12">
        <v>44</v>
      </c>
      <c r="Q66" s="142">
        <f>IF($P66&lt;=$Q$9,SUMIFS('Mortgage Calculators (By Month)'!$Q$23:$Q$623,'Mortgage Calculators (By Month)'!$P$23:$P$623,"&lt;="&amp;$P66*12,'Mortgage Calculators (By Month)'!$P$23:$P$623,"&gt;"&amp;$P65*12),0)</f>
        <v>0</v>
      </c>
      <c r="R66" s="142">
        <f>IF($P66&lt;=$Q$9,SUMIFS('Mortgage Calculators (By Month)'!$R$23:$R$623,'Mortgage Calculators (By Month)'!$P$23:$P$623,"&lt;="&amp;$P66*12,'Mortgage Calculators (By Month)'!$P$23:$P$623,"&gt;"&amp;$P65*12),0)</f>
        <v>0</v>
      </c>
      <c r="S66" s="142">
        <f>IF($P66&lt;=$Q$9,SUMIFS('Mortgage Calculators (By Month)'!$S$23:$S$623,'Mortgage Calculators (By Month)'!$P$23:$P$623,"&lt;="&amp;$P66*12,'Mortgage Calculators (By Month)'!$P$23:$P$623,"&gt;"&amp;$P65*12),0)</f>
        <v>0</v>
      </c>
      <c r="T66" s="142">
        <f t="shared" si="6"/>
        <v>0</v>
      </c>
      <c r="W66" s="12">
        <v>44</v>
      </c>
      <c r="X66" s="142">
        <f>IF($W66&lt;=$X$12,SUMIFS('Mortgage Calculators (By Month)'!$X$23:$X$623,'Mortgage Calculators (By Month)'!$W$23:$W$623,"&lt;="&amp;$W66*12,'Mortgage Calculators (By Month)'!$W$23:$W$623,"&gt;"&amp;$W65*12),0)</f>
        <v>0</v>
      </c>
      <c r="Y66" s="142">
        <f>IF($W66&lt;=$X$12,SUMIFS('Mortgage Calculators (By Month)'!$Y$23:$Y$623,'Mortgage Calculators (By Month)'!$W$23:$W$623,"&lt;="&amp;$W66*12,'Mortgage Calculators (By Month)'!$W$23:$W$623,"&gt;"&amp;$W65*12),0)</f>
        <v>0</v>
      </c>
      <c r="Z66" s="142">
        <f>IF($W66&lt;=$X$12,SUMIFS('Mortgage Calculators (By Month)'!$Z$23:$Z$623,'Mortgage Calculators (By Month)'!$W$23:$W$623,"&lt;="&amp;$W66*12,'Mortgage Calculators (By Month)'!$W$23:$W$623,"&gt;"&amp;$W65*12),0)</f>
        <v>0</v>
      </c>
      <c r="AA66" s="142">
        <f t="shared" si="7"/>
        <v>0</v>
      </c>
    </row>
    <row r="67" spans="2:27" x14ac:dyDescent="0.35">
      <c r="B67" s="12">
        <v>45</v>
      </c>
      <c r="C67" s="142">
        <f>IF($B67&lt;=$C$9,SUMIFS('Mortgage Calculators (By Month)'!$C$23:$C$623,'Mortgage Calculators (By Month)'!$B$23:$B$623,"&lt;="&amp;$B67*12,'Mortgage Calculators (By Month)'!$B$23:$B$623,"&gt;"&amp;$B66*12),0)</f>
        <v>0</v>
      </c>
      <c r="D67" s="142">
        <f>IF($B67&lt;=$C$9,SUMIFS('Mortgage Calculators (By Month)'!$D$23:$D$623,'Mortgage Calculators (By Month)'!$B$23:$B$623,"&lt;="&amp;$B67*12,'Mortgage Calculators (By Month)'!$B$23:$B$623,"&gt;"&amp;$B66*12),0)</f>
        <v>0</v>
      </c>
      <c r="E67" s="142">
        <f>IF($B67&lt;=$C$9,SUMIFS('Mortgage Calculators (By Month)'!$E$23:$E$623,'Mortgage Calculators (By Month)'!$B$23:$B$623,"&lt;="&amp;$B67*12,'Mortgage Calculators (By Month)'!$B$23:$B$623,"&gt;"&amp;$B66*12),0)</f>
        <v>0</v>
      </c>
      <c r="F67" s="142">
        <f t="shared" si="4"/>
        <v>0</v>
      </c>
      <c r="I67" s="12">
        <v>45</v>
      </c>
      <c r="J67" s="142">
        <f>IF($I67&lt;=$J$12,SUMIFS('Mortgage Calculators (By Month)'!$J$23:$J$623,'Mortgage Calculators (By Month)'!$I$23:$I$623,"&lt;="&amp;$I67*12,'Mortgage Calculators (By Month)'!$I$23:$I$623,"&gt;"&amp;$I66*12),0)</f>
        <v>0</v>
      </c>
      <c r="K67" s="142">
        <f>IF($I67&lt;=$J$12,SUMIFS('Mortgage Calculators (By Month)'!$K$23:$K$623,'Mortgage Calculators (By Month)'!$I$23:$I$623,"&lt;="&amp;$I67*12,'Mortgage Calculators (By Month)'!$I$23:$I$623,"&gt;"&amp;$I66*12),0)</f>
        <v>0</v>
      </c>
      <c r="L67" s="142">
        <f>IF($I67&lt;=$J$12,SUMIFS('Mortgage Calculators (By Month)'!$L$23:$L$623,'Mortgage Calculators (By Month)'!$I$23:$I$623,"&lt;="&amp;$I67*12,'Mortgage Calculators (By Month)'!$I$23:$I$623,"&gt;"&amp;$I66*12),0)</f>
        <v>0</v>
      </c>
      <c r="M67" s="142">
        <f t="shared" si="5"/>
        <v>0</v>
      </c>
      <c r="P67" s="12">
        <v>45</v>
      </c>
      <c r="Q67" s="142">
        <f>IF($P67&lt;=$Q$9,SUMIFS('Mortgage Calculators (By Month)'!$Q$23:$Q$623,'Mortgage Calculators (By Month)'!$P$23:$P$623,"&lt;="&amp;$P67*12,'Mortgage Calculators (By Month)'!$P$23:$P$623,"&gt;"&amp;$P66*12),0)</f>
        <v>0</v>
      </c>
      <c r="R67" s="142">
        <f>IF($P67&lt;=$Q$9,SUMIFS('Mortgage Calculators (By Month)'!$R$23:$R$623,'Mortgage Calculators (By Month)'!$P$23:$P$623,"&lt;="&amp;$P67*12,'Mortgage Calculators (By Month)'!$P$23:$P$623,"&gt;"&amp;$P66*12),0)</f>
        <v>0</v>
      </c>
      <c r="S67" s="142">
        <f>IF($P67&lt;=$Q$9,SUMIFS('Mortgage Calculators (By Month)'!$S$23:$S$623,'Mortgage Calculators (By Month)'!$P$23:$P$623,"&lt;="&amp;$P67*12,'Mortgage Calculators (By Month)'!$P$23:$P$623,"&gt;"&amp;$P66*12),0)</f>
        <v>0</v>
      </c>
      <c r="T67" s="142">
        <f t="shared" si="6"/>
        <v>0</v>
      </c>
      <c r="W67" s="12">
        <v>45</v>
      </c>
      <c r="X67" s="142">
        <f>IF($W67&lt;=$X$12,SUMIFS('Mortgage Calculators (By Month)'!$X$23:$X$623,'Mortgage Calculators (By Month)'!$W$23:$W$623,"&lt;="&amp;$W67*12,'Mortgage Calculators (By Month)'!$W$23:$W$623,"&gt;"&amp;$W66*12),0)</f>
        <v>0</v>
      </c>
      <c r="Y67" s="142">
        <f>IF($W67&lt;=$X$12,SUMIFS('Mortgage Calculators (By Month)'!$Y$23:$Y$623,'Mortgage Calculators (By Month)'!$W$23:$W$623,"&lt;="&amp;$W67*12,'Mortgage Calculators (By Month)'!$W$23:$W$623,"&gt;"&amp;$W66*12),0)</f>
        <v>0</v>
      </c>
      <c r="Z67" s="142">
        <f>IF($W67&lt;=$X$12,SUMIFS('Mortgage Calculators (By Month)'!$Z$23:$Z$623,'Mortgage Calculators (By Month)'!$W$23:$W$623,"&lt;="&amp;$W67*12,'Mortgage Calculators (By Month)'!$W$23:$W$623,"&gt;"&amp;$W66*12),0)</f>
        <v>0</v>
      </c>
      <c r="AA67" s="142">
        <f t="shared" si="7"/>
        <v>0</v>
      </c>
    </row>
    <row r="68" spans="2:27" x14ac:dyDescent="0.35">
      <c r="B68" s="12">
        <v>46</v>
      </c>
      <c r="C68" s="142">
        <f>IF($B68&lt;=$C$9,SUMIFS('Mortgage Calculators (By Month)'!$C$23:$C$623,'Mortgage Calculators (By Month)'!$B$23:$B$623,"&lt;="&amp;$B68*12,'Mortgage Calculators (By Month)'!$B$23:$B$623,"&gt;"&amp;$B67*12),0)</f>
        <v>0</v>
      </c>
      <c r="D68" s="142">
        <f>IF($B68&lt;=$C$9,SUMIFS('Mortgage Calculators (By Month)'!$D$23:$D$623,'Mortgage Calculators (By Month)'!$B$23:$B$623,"&lt;="&amp;$B68*12,'Mortgage Calculators (By Month)'!$B$23:$B$623,"&gt;"&amp;$B67*12),0)</f>
        <v>0</v>
      </c>
      <c r="E68" s="142">
        <f>IF($B68&lt;=$C$9,SUMIFS('Mortgage Calculators (By Month)'!$E$23:$E$623,'Mortgage Calculators (By Month)'!$B$23:$B$623,"&lt;="&amp;$B68*12,'Mortgage Calculators (By Month)'!$B$23:$B$623,"&gt;"&amp;$B67*12),0)</f>
        <v>0</v>
      </c>
      <c r="F68" s="142">
        <f t="shared" si="4"/>
        <v>0</v>
      </c>
      <c r="I68" s="12">
        <v>46</v>
      </c>
      <c r="J68" s="142">
        <f>IF($I68&lt;=$J$12,SUMIFS('Mortgage Calculators (By Month)'!$J$23:$J$623,'Mortgage Calculators (By Month)'!$I$23:$I$623,"&lt;="&amp;$I68*12,'Mortgage Calculators (By Month)'!$I$23:$I$623,"&gt;"&amp;$I67*12),0)</f>
        <v>0</v>
      </c>
      <c r="K68" s="142">
        <f>IF($I68&lt;=$J$12,SUMIFS('Mortgage Calculators (By Month)'!$K$23:$K$623,'Mortgage Calculators (By Month)'!$I$23:$I$623,"&lt;="&amp;$I68*12,'Mortgage Calculators (By Month)'!$I$23:$I$623,"&gt;"&amp;$I67*12),0)</f>
        <v>0</v>
      </c>
      <c r="L68" s="142">
        <f>IF($I68&lt;=$J$12,SUMIFS('Mortgage Calculators (By Month)'!$L$23:$L$623,'Mortgage Calculators (By Month)'!$I$23:$I$623,"&lt;="&amp;$I68*12,'Mortgage Calculators (By Month)'!$I$23:$I$623,"&gt;"&amp;$I67*12),0)</f>
        <v>0</v>
      </c>
      <c r="M68" s="142">
        <f t="shared" si="5"/>
        <v>0</v>
      </c>
      <c r="P68" s="12">
        <v>46</v>
      </c>
      <c r="Q68" s="142">
        <f>IF($P68&lt;=$Q$9,SUMIFS('Mortgage Calculators (By Month)'!$Q$23:$Q$623,'Mortgage Calculators (By Month)'!$P$23:$P$623,"&lt;="&amp;$P68*12,'Mortgage Calculators (By Month)'!$P$23:$P$623,"&gt;"&amp;$P67*12),0)</f>
        <v>0</v>
      </c>
      <c r="R68" s="142">
        <f>IF($P68&lt;=$Q$9,SUMIFS('Mortgage Calculators (By Month)'!$R$23:$R$623,'Mortgage Calculators (By Month)'!$P$23:$P$623,"&lt;="&amp;$P68*12,'Mortgage Calculators (By Month)'!$P$23:$P$623,"&gt;"&amp;$P67*12),0)</f>
        <v>0</v>
      </c>
      <c r="S68" s="142">
        <f>IF($P68&lt;=$Q$9,SUMIFS('Mortgage Calculators (By Month)'!$S$23:$S$623,'Mortgage Calculators (By Month)'!$P$23:$P$623,"&lt;="&amp;$P68*12,'Mortgage Calculators (By Month)'!$P$23:$P$623,"&gt;"&amp;$P67*12),0)</f>
        <v>0</v>
      </c>
      <c r="T68" s="142">
        <f t="shared" si="6"/>
        <v>0</v>
      </c>
      <c r="W68" s="12">
        <v>46</v>
      </c>
      <c r="X68" s="142">
        <f>IF($W68&lt;=$X$12,SUMIFS('Mortgage Calculators (By Month)'!$X$23:$X$623,'Mortgage Calculators (By Month)'!$W$23:$W$623,"&lt;="&amp;$W68*12,'Mortgage Calculators (By Month)'!$W$23:$W$623,"&gt;"&amp;$W67*12),0)</f>
        <v>0</v>
      </c>
      <c r="Y68" s="142">
        <f>IF($W68&lt;=$X$12,SUMIFS('Mortgage Calculators (By Month)'!$Y$23:$Y$623,'Mortgage Calculators (By Month)'!$W$23:$W$623,"&lt;="&amp;$W68*12,'Mortgage Calculators (By Month)'!$W$23:$W$623,"&gt;"&amp;$W67*12),0)</f>
        <v>0</v>
      </c>
      <c r="Z68" s="142">
        <f>IF($W68&lt;=$X$12,SUMIFS('Mortgage Calculators (By Month)'!$Z$23:$Z$623,'Mortgage Calculators (By Month)'!$W$23:$W$623,"&lt;="&amp;$W68*12,'Mortgage Calculators (By Month)'!$W$23:$W$623,"&gt;"&amp;$W67*12),0)</f>
        <v>0</v>
      </c>
      <c r="AA68" s="142">
        <f t="shared" si="7"/>
        <v>0</v>
      </c>
    </row>
    <row r="69" spans="2:27" x14ac:dyDescent="0.35">
      <c r="B69" s="12">
        <v>47</v>
      </c>
      <c r="C69" s="142">
        <f>IF($B69&lt;=$C$9,SUMIFS('Mortgage Calculators (By Month)'!$C$23:$C$623,'Mortgage Calculators (By Month)'!$B$23:$B$623,"&lt;="&amp;$B69*12,'Mortgage Calculators (By Month)'!$B$23:$B$623,"&gt;"&amp;$B68*12),0)</f>
        <v>0</v>
      </c>
      <c r="D69" s="142">
        <f>IF($B69&lt;=$C$9,SUMIFS('Mortgage Calculators (By Month)'!$D$23:$D$623,'Mortgage Calculators (By Month)'!$B$23:$B$623,"&lt;="&amp;$B69*12,'Mortgage Calculators (By Month)'!$B$23:$B$623,"&gt;"&amp;$B68*12),0)</f>
        <v>0</v>
      </c>
      <c r="E69" s="142">
        <f>IF($B69&lt;=$C$9,SUMIFS('Mortgage Calculators (By Month)'!$E$23:$E$623,'Mortgage Calculators (By Month)'!$B$23:$B$623,"&lt;="&amp;$B69*12,'Mortgage Calculators (By Month)'!$B$23:$B$623,"&gt;"&amp;$B68*12),0)</f>
        <v>0</v>
      </c>
      <c r="F69" s="142">
        <f t="shared" si="4"/>
        <v>0</v>
      </c>
      <c r="I69" s="12">
        <v>47</v>
      </c>
      <c r="J69" s="142">
        <f>IF($I69&lt;=$J$12,SUMIFS('Mortgage Calculators (By Month)'!$J$23:$J$623,'Mortgage Calculators (By Month)'!$I$23:$I$623,"&lt;="&amp;$I69*12,'Mortgage Calculators (By Month)'!$I$23:$I$623,"&gt;"&amp;$I68*12),0)</f>
        <v>0</v>
      </c>
      <c r="K69" s="142">
        <f>IF($I69&lt;=$J$12,SUMIFS('Mortgage Calculators (By Month)'!$K$23:$K$623,'Mortgage Calculators (By Month)'!$I$23:$I$623,"&lt;="&amp;$I69*12,'Mortgage Calculators (By Month)'!$I$23:$I$623,"&gt;"&amp;$I68*12),0)</f>
        <v>0</v>
      </c>
      <c r="L69" s="142">
        <f>IF($I69&lt;=$J$12,SUMIFS('Mortgage Calculators (By Month)'!$L$23:$L$623,'Mortgage Calculators (By Month)'!$I$23:$I$623,"&lt;="&amp;$I69*12,'Mortgage Calculators (By Month)'!$I$23:$I$623,"&gt;"&amp;$I68*12),0)</f>
        <v>0</v>
      </c>
      <c r="M69" s="142">
        <f t="shared" si="5"/>
        <v>0</v>
      </c>
      <c r="P69" s="12">
        <v>47</v>
      </c>
      <c r="Q69" s="142">
        <f>IF($P69&lt;=$Q$9,SUMIFS('Mortgage Calculators (By Month)'!$Q$23:$Q$623,'Mortgage Calculators (By Month)'!$P$23:$P$623,"&lt;="&amp;$P69*12,'Mortgage Calculators (By Month)'!$P$23:$P$623,"&gt;"&amp;$P68*12),0)</f>
        <v>0</v>
      </c>
      <c r="R69" s="142">
        <f>IF($P69&lt;=$Q$9,SUMIFS('Mortgage Calculators (By Month)'!$R$23:$R$623,'Mortgage Calculators (By Month)'!$P$23:$P$623,"&lt;="&amp;$P69*12,'Mortgage Calculators (By Month)'!$P$23:$P$623,"&gt;"&amp;$P68*12),0)</f>
        <v>0</v>
      </c>
      <c r="S69" s="142">
        <f>IF($P69&lt;=$Q$9,SUMIFS('Mortgage Calculators (By Month)'!$S$23:$S$623,'Mortgage Calculators (By Month)'!$P$23:$P$623,"&lt;="&amp;$P69*12,'Mortgage Calculators (By Month)'!$P$23:$P$623,"&gt;"&amp;$P68*12),0)</f>
        <v>0</v>
      </c>
      <c r="T69" s="142">
        <f t="shared" si="6"/>
        <v>0</v>
      </c>
      <c r="W69" s="12">
        <v>47</v>
      </c>
      <c r="X69" s="142">
        <f>IF($W69&lt;=$X$12,SUMIFS('Mortgage Calculators (By Month)'!$X$23:$X$623,'Mortgage Calculators (By Month)'!$W$23:$W$623,"&lt;="&amp;$W69*12,'Mortgage Calculators (By Month)'!$W$23:$W$623,"&gt;"&amp;$W68*12),0)</f>
        <v>0</v>
      </c>
      <c r="Y69" s="142">
        <f>IF($W69&lt;=$X$12,SUMIFS('Mortgage Calculators (By Month)'!$Y$23:$Y$623,'Mortgage Calculators (By Month)'!$W$23:$W$623,"&lt;="&amp;$W69*12,'Mortgage Calculators (By Month)'!$W$23:$W$623,"&gt;"&amp;$W68*12),0)</f>
        <v>0</v>
      </c>
      <c r="Z69" s="142">
        <f>IF($W69&lt;=$X$12,SUMIFS('Mortgage Calculators (By Month)'!$Z$23:$Z$623,'Mortgage Calculators (By Month)'!$W$23:$W$623,"&lt;="&amp;$W69*12,'Mortgage Calculators (By Month)'!$W$23:$W$623,"&gt;"&amp;$W68*12),0)</f>
        <v>0</v>
      </c>
      <c r="AA69" s="142">
        <f t="shared" si="7"/>
        <v>0</v>
      </c>
    </row>
    <row r="70" spans="2:27" x14ac:dyDescent="0.35">
      <c r="B70" s="12">
        <v>48</v>
      </c>
      <c r="C70" s="142">
        <f>IF($B70&lt;=$C$9,SUMIFS('Mortgage Calculators (By Month)'!$C$23:$C$623,'Mortgage Calculators (By Month)'!$B$23:$B$623,"&lt;="&amp;$B70*12,'Mortgage Calculators (By Month)'!$B$23:$B$623,"&gt;"&amp;$B69*12),0)</f>
        <v>0</v>
      </c>
      <c r="D70" s="142">
        <f>IF($B70&lt;=$C$9,SUMIFS('Mortgage Calculators (By Month)'!$D$23:$D$623,'Mortgage Calculators (By Month)'!$B$23:$B$623,"&lt;="&amp;$B70*12,'Mortgage Calculators (By Month)'!$B$23:$B$623,"&gt;"&amp;$B69*12),0)</f>
        <v>0</v>
      </c>
      <c r="E70" s="142">
        <f>IF($B70&lt;=$C$9,SUMIFS('Mortgage Calculators (By Month)'!$E$23:$E$623,'Mortgage Calculators (By Month)'!$B$23:$B$623,"&lt;="&amp;$B70*12,'Mortgage Calculators (By Month)'!$B$23:$B$623,"&gt;"&amp;$B69*12),0)</f>
        <v>0</v>
      </c>
      <c r="F70" s="142">
        <f t="shared" si="4"/>
        <v>0</v>
      </c>
      <c r="I70" s="12">
        <v>48</v>
      </c>
      <c r="J70" s="142">
        <f>IF($I70&lt;=$J$12,SUMIFS('Mortgage Calculators (By Month)'!$J$23:$J$623,'Mortgage Calculators (By Month)'!$I$23:$I$623,"&lt;="&amp;$I70*12,'Mortgage Calculators (By Month)'!$I$23:$I$623,"&gt;"&amp;$I69*12),0)</f>
        <v>0</v>
      </c>
      <c r="K70" s="142">
        <f>IF($I70&lt;=$J$12,SUMIFS('Mortgage Calculators (By Month)'!$K$23:$K$623,'Mortgage Calculators (By Month)'!$I$23:$I$623,"&lt;="&amp;$I70*12,'Mortgage Calculators (By Month)'!$I$23:$I$623,"&gt;"&amp;$I69*12),0)</f>
        <v>0</v>
      </c>
      <c r="L70" s="142">
        <f>IF($I70&lt;=$J$12,SUMIFS('Mortgage Calculators (By Month)'!$L$23:$L$623,'Mortgage Calculators (By Month)'!$I$23:$I$623,"&lt;="&amp;$I70*12,'Mortgage Calculators (By Month)'!$I$23:$I$623,"&gt;"&amp;$I69*12),0)</f>
        <v>0</v>
      </c>
      <c r="M70" s="142">
        <f t="shared" si="5"/>
        <v>0</v>
      </c>
      <c r="P70" s="12">
        <v>48</v>
      </c>
      <c r="Q70" s="142">
        <f>IF($P70&lt;=$Q$9,SUMIFS('Mortgage Calculators (By Month)'!$Q$23:$Q$623,'Mortgage Calculators (By Month)'!$P$23:$P$623,"&lt;="&amp;$P70*12,'Mortgage Calculators (By Month)'!$P$23:$P$623,"&gt;"&amp;$P69*12),0)</f>
        <v>0</v>
      </c>
      <c r="R70" s="142">
        <f>IF($P70&lt;=$Q$9,SUMIFS('Mortgage Calculators (By Month)'!$R$23:$R$623,'Mortgage Calculators (By Month)'!$P$23:$P$623,"&lt;="&amp;$P70*12,'Mortgage Calculators (By Month)'!$P$23:$P$623,"&gt;"&amp;$P69*12),0)</f>
        <v>0</v>
      </c>
      <c r="S70" s="142">
        <f>IF($P70&lt;=$Q$9,SUMIFS('Mortgage Calculators (By Month)'!$S$23:$S$623,'Mortgage Calculators (By Month)'!$P$23:$P$623,"&lt;="&amp;$P70*12,'Mortgage Calculators (By Month)'!$P$23:$P$623,"&gt;"&amp;$P69*12),0)</f>
        <v>0</v>
      </c>
      <c r="T70" s="142">
        <f t="shared" si="6"/>
        <v>0</v>
      </c>
      <c r="W70" s="12">
        <v>48</v>
      </c>
      <c r="X70" s="142">
        <f>IF($W70&lt;=$X$12,SUMIFS('Mortgage Calculators (By Month)'!$X$23:$X$623,'Mortgage Calculators (By Month)'!$W$23:$W$623,"&lt;="&amp;$W70*12,'Mortgage Calculators (By Month)'!$W$23:$W$623,"&gt;"&amp;$W69*12),0)</f>
        <v>0</v>
      </c>
      <c r="Y70" s="142">
        <f>IF($W70&lt;=$X$12,SUMIFS('Mortgage Calculators (By Month)'!$Y$23:$Y$623,'Mortgage Calculators (By Month)'!$W$23:$W$623,"&lt;="&amp;$W70*12,'Mortgage Calculators (By Month)'!$W$23:$W$623,"&gt;"&amp;$W69*12),0)</f>
        <v>0</v>
      </c>
      <c r="Z70" s="142">
        <f>IF($W70&lt;=$X$12,SUMIFS('Mortgage Calculators (By Month)'!$Z$23:$Z$623,'Mortgage Calculators (By Month)'!$W$23:$W$623,"&lt;="&amp;$W70*12,'Mortgage Calculators (By Month)'!$W$23:$W$623,"&gt;"&amp;$W69*12),0)</f>
        <v>0</v>
      </c>
      <c r="AA70" s="142">
        <f t="shared" si="7"/>
        <v>0</v>
      </c>
    </row>
    <row r="71" spans="2:27" x14ac:dyDescent="0.35">
      <c r="B71" s="12">
        <v>49</v>
      </c>
      <c r="C71" s="142">
        <f>IF($B71&lt;=$C$9,SUMIFS('Mortgage Calculators (By Month)'!$C$23:$C$623,'Mortgage Calculators (By Month)'!$B$23:$B$623,"&lt;="&amp;$B71*12,'Mortgage Calculators (By Month)'!$B$23:$B$623,"&gt;"&amp;$B70*12),0)</f>
        <v>0</v>
      </c>
      <c r="D71" s="142">
        <f>IF($B71&lt;=$C$9,SUMIFS('Mortgage Calculators (By Month)'!$D$23:$D$623,'Mortgage Calculators (By Month)'!$B$23:$B$623,"&lt;="&amp;$B71*12,'Mortgage Calculators (By Month)'!$B$23:$B$623,"&gt;"&amp;$B70*12),0)</f>
        <v>0</v>
      </c>
      <c r="E71" s="142">
        <f>IF($B71&lt;=$C$9,SUMIFS('Mortgage Calculators (By Month)'!$E$23:$E$623,'Mortgage Calculators (By Month)'!$B$23:$B$623,"&lt;="&amp;$B71*12,'Mortgage Calculators (By Month)'!$B$23:$B$623,"&gt;"&amp;$B70*12),0)</f>
        <v>0</v>
      </c>
      <c r="F71" s="142">
        <f t="shared" si="4"/>
        <v>0</v>
      </c>
      <c r="I71" s="12">
        <v>49</v>
      </c>
      <c r="J71" s="142">
        <f>IF($I71&lt;=$J$12,SUMIFS('Mortgage Calculators (By Month)'!$J$23:$J$623,'Mortgage Calculators (By Month)'!$I$23:$I$623,"&lt;="&amp;$I71*12,'Mortgage Calculators (By Month)'!$I$23:$I$623,"&gt;"&amp;$I70*12),0)</f>
        <v>0</v>
      </c>
      <c r="K71" s="142">
        <f>IF($I71&lt;=$J$12,SUMIFS('Mortgage Calculators (By Month)'!$K$23:$K$623,'Mortgage Calculators (By Month)'!$I$23:$I$623,"&lt;="&amp;$I71*12,'Mortgage Calculators (By Month)'!$I$23:$I$623,"&gt;"&amp;$I70*12),0)</f>
        <v>0</v>
      </c>
      <c r="L71" s="142">
        <f>IF($I71&lt;=$J$12,SUMIFS('Mortgage Calculators (By Month)'!$L$23:$L$623,'Mortgage Calculators (By Month)'!$I$23:$I$623,"&lt;="&amp;$I71*12,'Mortgage Calculators (By Month)'!$I$23:$I$623,"&gt;"&amp;$I70*12),0)</f>
        <v>0</v>
      </c>
      <c r="M71" s="142">
        <f t="shared" si="5"/>
        <v>0</v>
      </c>
      <c r="P71" s="12">
        <v>49</v>
      </c>
      <c r="Q71" s="142">
        <f>IF($P71&lt;=$Q$9,SUMIFS('Mortgage Calculators (By Month)'!$Q$23:$Q$623,'Mortgage Calculators (By Month)'!$P$23:$P$623,"&lt;="&amp;$P71*12,'Mortgage Calculators (By Month)'!$P$23:$P$623,"&gt;"&amp;$P70*12),0)</f>
        <v>0</v>
      </c>
      <c r="R71" s="142">
        <f>IF($P71&lt;=$Q$9,SUMIFS('Mortgage Calculators (By Month)'!$R$23:$R$623,'Mortgage Calculators (By Month)'!$P$23:$P$623,"&lt;="&amp;$P71*12,'Mortgage Calculators (By Month)'!$P$23:$P$623,"&gt;"&amp;$P70*12),0)</f>
        <v>0</v>
      </c>
      <c r="S71" s="142">
        <f>IF($P71&lt;=$Q$9,SUMIFS('Mortgage Calculators (By Month)'!$S$23:$S$623,'Mortgage Calculators (By Month)'!$P$23:$P$623,"&lt;="&amp;$P71*12,'Mortgage Calculators (By Month)'!$P$23:$P$623,"&gt;"&amp;$P70*12),0)</f>
        <v>0</v>
      </c>
      <c r="T71" s="142">
        <f t="shared" si="6"/>
        <v>0</v>
      </c>
      <c r="W71" s="12">
        <v>49</v>
      </c>
      <c r="X71" s="142">
        <f>IF($W71&lt;=$X$12,SUMIFS('Mortgage Calculators (By Month)'!$X$23:$X$623,'Mortgage Calculators (By Month)'!$W$23:$W$623,"&lt;="&amp;$W71*12,'Mortgage Calculators (By Month)'!$W$23:$W$623,"&gt;"&amp;$W70*12),0)</f>
        <v>0</v>
      </c>
      <c r="Y71" s="142">
        <f>IF($W71&lt;=$X$12,SUMIFS('Mortgage Calculators (By Month)'!$Y$23:$Y$623,'Mortgage Calculators (By Month)'!$W$23:$W$623,"&lt;="&amp;$W71*12,'Mortgage Calculators (By Month)'!$W$23:$W$623,"&gt;"&amp;$W70*12),0)</f>
        <v>0</v>
      </c>
      <c r="Z71" s="142">
        <f>IF($W71&lt;=$X$12,SUMIFS('Mortgage Calculators (By Month)'!$Z$23:$Z$623,'Mortgage Calculators (By Month)'!$W$23:$W$623,"&lt;="&amp;$W71*12,'Mortgage Calculators (By Month)'!$W$23:$W$623,"&gt;"&amp;$W70*12),0)</f>
        <v>0</v>
      </c>
      <c r="AA71" s="142">
        <f t="shared" si="7"/>
        <v>0</v>
      </c>
    </row>
    <row r="72" spans="2:27" x14ac:dyDescent="0.35">
      <c r="B72" s="12">
        <v>50</v>
      </c>
      <c r="C72" s="142">
        <f>IF($B72&lt;=$C$9,SUMIFS('Mortgage Calculators (By Month)'!$C$23:$C$623,'Mortgage Calculators (By Month)'!$B$23:$B$623,"&lt;="&amp;$B72*12,'Mortgage Calculators (By Month)'!$B$23:$B$623,"&gt;"&amp;$B71*12),0)</f>
        <v>0</v>
      </c>
      <c r="D72" s="142">
        <f>IF($B72&lt;=$C$9,SUMIFS('Mortgage Calculators (By Month)'!$D$23:$D$623,'Mortgage Calculators (By Month)'!$B$23:$B$623,"&lt;="&amp;$B72*12,'Mortgage Calculators (By Month)'!$B$23:$B$623,"&gt;"&amp;$B71*12),0)</f>
        <v>0</v>
      </c>
      <c r="E72" s="142">
        <f>IF($B72&lt;=$C$9,SUMIFS('Mortgage Calculators (By Month)'!$E$23:$E$623,'Mortgage Calculators (By Month)'!$B$23:$B$623,"&lt;="&amp;$B72*12,'Mortgage Calculators (By Month)'!$B$23:$B$623,"&gt;"&amp;$B71*12),0)</f>
        <v>0</v>
      </c>
      <c r="F72" s="142">
        <f t="shared" si="4"/>
        <v>0</v>
      </c>
      <c r="I72" s="12">
        <v>50</v>
      </c>
      <c r="J72" s="142">
        <f>IF($I72&lt;=$J$12,SUMIFS('Mortgage Calculators (By Month)'!$J$23:$J$623,'Mortgage Calculators (By Month)'!$I$23:$I$623,"&lt;="&amp;$I72*12,'Mortgage Calculators (By Month)'!$I$23:$I$623,"&gt;"&amp;$I71*12),0)</f>
        <v>0</v>
      </c>
      <c r="K72" s="142">
        <f>IF($I72&lt;=$J$12,SUMIFS('Mortgage Calculators (By Month)'!$K$23:$K$623,'Mortgage Calculators (By Month)'!$I$23:$I$623,"&lt;="&amp;$I72*12,'Mortgage Calculators (By Month)'!$I$23:$I$623,"&gt;"&amp;$I71*12),0)</f>
        <v>0</v>
      </c>
      <c r="L72" s="142">
        <f>IF($I72&lt;=$J$12,SUMIFS('Mortgage Calculators (By Month)'!$L$23:$L$623,'Mortgage Calculators (By Month)'!$I$23:$I$623,"&lt;="&amp;$I72*12,'Mortgage Calculators (By Month)'!$I$23:$I$623,"&gt;"&amp;$I71*12),0)</f>
        <v>0</v>
      </c>
      <c r="M72" s="142">
        <f t="shared" si="5"/>
        <v>0</v>
      </c>
      <c r="P72" s="12">
        <v>50</v>
      </c>
      <c r="Q72" s="142">
        <f>IF($P72&lt;=$Q$9,SUMIFS('Mortgage Calculators (By Month)'!$Q$23:$Q$623,'Mortgage Calculators (By Month)'!$P$23:$P$623,"&lt;="&amp;$P72*12,'Mortgage Calculators (By Month)'!$P$23:$P$623,"&gt;"&amp;$P71*12),0)</f>
        <v>0</v>
      </c>
      <c r="R72" s="142">
        <f>IF($P72&lt;=$Q$9,SUMIFS('Mortgage Calculators (By Month)'!$R$23:$R$623,'Mortgage Calculators (By Month)'!$P$23:$P$623,"&lt;="&amp;$P72*12,'Mortgage Calculators (By Month)'!$P$23:$P$623,"&gt;"&amp;$P71*12),0)</f>
        <v>0</v>
      </c>
      <c r="S72" s="142">
        <f>IF($P72&lt;=$Q$9,SUMIFS('Mortgage Calculators (By Month)'!$S$23:$S$623,'Mortgage Calculators (By Month)'!$P$23:$P$623,"&lt;="&amp;$P72*12,'Mortgage Calculators (By Month)'!$P$23:$P$623,"&gt;"&amp;$P71*12),0)</f>
        <v>0</v>
      </c>
      <c r="T72" s="142">
        <f t="shared" si="6"/>
        <v>0</v>
      </c>
      <c r="W72" s="12">
        <v>50</v>
      </c>
      <c r="X72" s="142">
        <f>IF($W72&lt;=$X$12,SUMIFS('Mortgage Calculators (By Month)'!$X$23:$X$623,'Mortgage Calculators (By Month)'!$W$23:$W$623,"&lt;="&amp;$W72*12,'Mortgage Calculators (By Month)'!$W$23:$W$623,"&gt;"&amp;$W71*12),0)</f>
        <v>0</v>
      </c>
      <c r="Y72" s="142">
        <f>IF($W72&lt;=$X$12,SUMIFS('Mortgage Calculators (By Month)'!$Y$23:$Y$623,'Mortgage Calculators (By Month)'!$W$23:$W$623,"&lt;="&amp;$W72*12,'Mortgage Calculators (By Month)'!$W$23:$W$623,"&gt;"&amp;$W71*12),0)</f>
        <v>0</v>
      </c>
      <c r="Z72" s="142">
        <f>IF($W72&lt;=$X$12,SUMIFS('Mortgage Calculators (By Month)'!$Z$23:$Z$623,'Mortgage Calculators (By Month)'!$W$23:$W$623,"&lt;="&amp;$W72*12,'Mortgage Calculators (By Month)'!$W$23:$W$623,"&gt;"&amp;$W71*12),0)</f>
        <v>0</v>
      </c>
      <c r="AA72" s="142">
        <f t="shared" si="7"/>
        <v>0</v>
      </c>
    </row>
    <row r="73" spans="2:27" x14ac:dyDescent="0.35">
      <c r="B73" s="12">
        <v>51</v>
      </c>
      <c r="C73" s="142">
        <f>IF($B73&lt;=$C$9,SUMIFS('Mortgage Calculators (By Month)'!$C$23:$C$623,'Mortgage Calculators (By Month)'!$B$23:$B$623,"&lt;="&amp;$B73*12,'Mortgage Calculators (By Month)'!$B$23:$B$623,"&gt;"&amp;$B72*12),0)</f>
        <v>0</v>
      </c>
      <c r="D73" s="142">
        <f>IF($B73&lt;=$C$9,SUMIFS('Mortgage Calculators (By Month)'!$D$23:$D$623,'Mortgage Calculators (By Month)'!$B$23:$B$623,"&lt;="&amp;$B73*12,'Mortgage Calculators (By Month)'!$B$23:$B$623,"&gt;"&amp;$B72*12),0)</f>
        <v>0</v>
      </c>
      <c r="E73" s="142">
        <f>IF($B73&lt;=$C$9,SUMIFS('Mortgage Calculators (By Month)'!$E$23:$E$623,'Mortgage Calculators (By Month)'!$B$23:$B$623,"&lt;="&amp;$B73*12,'Mortgage Calculators (By Month)'!$B$23:$B$623,"&gt;"&amp;$B72*12),0)</f>
        <v>0</v>
      </c>
      <c r="F73" s="142">
        <f t="shared" si="4"/>
        <v>0</v>
      </c>
      <c r="I73" s="12">
        <v>51</v>
      </c>
      <c r="J73" s="142">
        <f>IF($I73&lt;=$J$12,SUMIFS('Mortgage Calculators (By Month)'!$J$23:$J$623,'Mortgage Calculators (By Month)'!$I$23:$I$623,"&lt;="&amp;$I73*12,'Mortgage Calculators (By Month)'!$I$23:$I$623,"&gt;"&amp;$I72*12),0)</f>
        <v>0</v>
      </c>
      <c r="K73" s="142">
        <f>IF($I73&lt;=$J$12,SUMIFS('Mortgage Calculators (By Month)'!$K$23:$K$623,'Mortgage Calculators (By Month)'!$I$23:$I$623,"&lt;="&amp;$I73*12,'Mortgage Calculators (By Month)'!$I$23:$I$623,"&gt;"&amp;$I72*12),0)</f>
        <v>0</v>
      </c>
      <c r="L73" s="142">
        <f>IF($I73&lt;=$J$12,SUMIFS('Mortgage Calculators (By Month)'!$L$23:$L$623,'Mortgage Calculators (By Month)'!$I$23:$I$623,"&lt;="&amp;$I73*12,'Mortgage Calculators (By Month)'!$I$23:$I$623,"&gt;"&amp;$I72*12),0)</f>
        <v>0</v>
      </c>
      <c r="M73" s="142">
        <f t="shared" si="5"/>
        <v>0</v>
      </c>
      <c r="P73" s="12">
        <v>51</v>
      </c>
      <c r="Q73" s="142">
        <f>IF($P73&lt;=$Q$9,SUMIFS('Mortgage Calculators (By Month)'!$Q$23:$Q$623,'Mortgage Calculators (By Month)'!$P$23:$P$623,"&lt;="&amp;$P73*12,'Mortgage Calculators (By Month)'!$P$23:$P$623,"&gt;"&amp;$P72*12),0)</f>
        <v>0</v>
      </c>
      <c r="R73" s="142">
        <f>IF($P73&lt;=$Q$9,SUMIFS('Mortgage Calculators (By Month)'!$R$23:$R$623,'Mortgage Calculators (By Month)'!$P$23:$P$623,"&lt;="&amp;$P73*12,'Mortgage Calculators (By Month)'!$P$23:$P$623,"&gt;"&amp;$P72*12),0)</f>
        <v>0</v>
      </c>
      <c r="S73" s="142">
        <f>IF($P73&lt;=$Q$9,SUMIFS('Mortgage Calculators (By Month)'!$S$23:$S$623,'Mortgage Calculators (By Month)'!$P$23:$P$623,"&lt;="&amp;$P73*12,'Mortgage Calculators (By Month)'!$P$23:$P$623,"&gt;"&amp;$P72*12),0)</f>
        <v>0</v>
      </c>
      <c r="T73" s="142">
        <f t="shared" si="6"/>
        <v>0</v>
      </c>
      <c r="W73" s="12">
        <v>51</v>
      </c>
      <c r="X73" s="142">
        <f>IF($W73&lt;=$X$12,SUMIFS('Mortgage Calculators (By Month)'!$X$23:$X$623,'Mortgage Calculators (By Month)'!$W$23:$W$623,"&lt;="&amp;$W73*12,'Mortgage Calculators (By Month)'!$W$23:$W$623,"&gt;"&amp;$W72*12),0)</f>
        <v>0</v>
      </c>
      <c r="Y73" s="142">
        <f>IF($W73&lt;=$X$12,SUMIFS('Mortgage Calculators (By Month)'!$Y$23:$Y$623,'Mortgage Calculators (By Month)'!$W$23:$W$623,"&lt;="&amp;$W73*12,'Mortgage Calculators (By Month)'!$W$23:$W$623,"&gt;"&amp;$W72*12),0)</f>
        <v>0</v>
      </c>
      <c r="Z73" s="142">
        <f>IF($W73&lt;=$X$12,SUMIFS('Mortgage Calculators (By Month)'!$Z$23:$Z$623,'Mortgage Calculators (By Month)'!$W$23:$W$623,"&lt;="&amp;$W73*12,'Mortgage Calculators (By Month)'!$W$23:$W$623,"&gt;"&amp;$W72*12),0)</f>
        <v>0</v>
      </c>
      <c r="AA73" s="142">
        <f t="shared" si="7"/>
        <v>0</v>
      </c>
    </row>
  </sheetData>
  <conditionalFormatting sqref="B22:E22">
    <cfRule type="expression" dxfId="12" priority="7">
      <formula>ISEVEN($B22)</formula>
    </cfRule>
  </conditionalFormatting>
  <conditionalFormatting sqref="F22:F23 B23:F73 Q23:S73">
    <cfRule type="expression" dxfId="11" priority="16">
      <formula>ISEVEN($B22)</formula>
    </cfRule>
  </conditionalFormatting>
  <conditionalFormatting sqref="I22:L22">
    <cfRule type="expression" dxfId="10" priority="4">
      <formula>ISEVEN($B22)</formula>
    </cfRule>
  </conditionalFormatting>
  <conditionalFormatting sqref="J23:L73">
    <cfRule type="expression" dxfId="9" priority="12">
      <formula>ISEVEN($B23)</formula>
    </cfRule>
  </conditionalFormatting>
  <conditionalFormatting sqref="M22:M73 I23:I73">
    <cfRule type="expression" dxfId="8" priority="15">
      <formula>ISEVEN($I22)</formula>
    </cfRule>
  </conditionalFormatting>
  <conditionalFormatting sqref="P23:P73 T23:T73">
    <cfRule type="expression" dxfId="7" priority="14">
      <formula>ISEVEN($P23)</formula>
    </cfRule>
  </conditionalFormatting>
  <conditionalFormatting sqref="P22:T22">
    <cfRule type="expression" dxfId="6" priority="2">
      <formula>ISEVEN($B22)</formula>
    </cfRule>
  </conditionalFormatting>
  <conditionalFormatting sqref="W23:W73 AA23:AA73">
    <cfRule type="expression" dxfId="5" priority="13">
      <formula>ISEVEN($W23)</formula>
    </cfRule>
  </conditionalFormatting>
  <conditionalFormatting sqref="W22:Z22">
    <cfRule type="expression" dxfId="4" priority="3">
      <formula>ISEVEN($B22)</formula>
    </cfRule>
  </conditionalFormatting>
  <conditionalFormatting sqref="X23:Z73">
    <cfRule type="expression" dxfId="3" priority="9">
      <formula>ISEVEN($B23)</formula>
    </cfRule>
  </conditionalFormatting>
  <conditionalFormatting sqref="AA22">
    <cfRule type="expression" dxfId="2" priority="1">
      <formula>ISEVEN($I22)</formula>
    </cfRule>
  </conditionalFormatting>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2AED7-93F0-42BF-B9F1-F59937A43CBE}">
  <sheetPr>
    <tabColor theme="5"/>
  </sheetPr>
  <dimension ref="B1:AZ605"/>
  <sheetViews>
    <sheetView showGridLines="0" topLeftCell="B1" zoomScale="85" zoomScaleNormal="85" workbookViewId="0">
      <pane ySplit="3" topLeftCell="A33" activePane="bottomLeft" state="frozen"/>
      <selection pane="bottomLeft" activeCell="I39" sqref="I39"/>
    </sheetView>
  </sheetViews>
  <sheetFormatPr defaultRowHeight="14.5" outlineLevelCol="2" x14ac:dyDescent="0.35"/>
  <cols>
    <col min="1" max="1" width="2.81640625" customWidth="1"/>
    <col min="2" max="2" width="38.1796875" customWidth="1"/>
    <col min="3" max="3" width="13.7265625" customWidth="1"/>
    <col min="4" max="5" width="5" customWidth="1"/>
    <col min="6" max="6" width="6.26953125" customWidth="1" outlineLevel="1"/>
    <col min="7" max="7" width="16.81640625" customWidth="1" outlineLevel="1"/>
    <col min="8" max="8" width="17.6328125" customWidth="1" outlineLevel="1"/>
    <col min="9" max="9" width="18.1796875" customWidth="1" outlineLevel="1"/>
    <col min="10" max="11" width="19.26953125" hidden="1" customWidth="1" outlineLevel="2"/>
    <col min="12" max="12" width="13.81640625" customWidth="1" outlineLevel="1" collapsed="1"/>
    <col min="13" max="13" width="11.54296875" customWidth="1" outlineLevel="1"/>
    <col min="14" max="14" width="11.54296875" hidden="1" customWidth="1" outlineLevel="2"/>
    <col min="15" max="15" width="9.26953125" hidden="1" customWidth="1" outlineLevel="2"/>
    <col min="16" max="16" width="12.453125" hidden="1" customWidth="1" outlineLevel="2"/>
    <col min="17" max="17" width="12" customWidth="1" outlineLevel="1" collapsed="1"/>
    <col min="18" max="18" width="13.36328125" customWidth="1" outlineLevel="1"/>
    <col min="19" max="19" width="1.453125" customWidth="1" outlineLevel="2"/>
    <col min="20" max="20" width="13.54296875" customWidth="1" outlineLevel="1"/>
    <col min="21" max="21" width="16.81640625" customWidth="1" outlineLevel="1"/>
    <col min="22" max="22" width="17.6328125" customWidth="1" outlineLevel="1"/>
    <col min="23" max="23" width="8.26953125" hidden="1" customWidth="1" outlineLevel="2"/>
    <col min="24" max="24" width="15.26953125" style="26" customWidth="1" outlineLevel="1" collapsed="1"/>
    <col min="25" max="25" width="17.36328125" customWidth="1" outlineLevel="1"/>
    <col min="26" max="26" width="8.26953125" hidden="1" customWidth="1" outlineLevel="2"/>
    <col min="27" max="27" width="14.7265625" style="26" customWidth="1" outlineLevel="1" collapsed="1"/>
    <col min="28" max="29" width="5" customWidth="1"/>
    <col min="30" max="30" width="6.26953125" customWidth="1" outlineLevel="1"/>
    <col min="31" max="31" width="20.26953125" customWidth="1" outlineLevel="1"/>
    <col min="32" max="32" width="18.36328125" customWidth="1" outlineLevel="1"/>
    <col min="33" max="33" width="15.36328125" customWidth="1" outlineLevel="1"/>
    <col min="34" max="35" width="19.26953125" hidden="1" customWidth="1" outlineLevel="2"/>
    <col min="36" max="36" width="13.81640625" customWidth="1" outlineLevel="1" collapsed="1"/>
    <col min="37" max="37" width="11.54296875" customWidth="1" outlineLevel="1"/>
    <col min="38" max="38" width="11.54296875" hidden="1" customWidth="1" outlineLevel="2"/>
    <col min="39" max="39" width="9" hidden="1" customWidth="1" outlineLevel="2"/>
    <col min="40" max="40" width="12.453125" hidden="1" customWidth="1" outlineLevel="2"/>
    <col min="41" max="41" width="12" customWidth="1" outlineLevel="1" collapsed="1"/>
    <col min="42" max="42" width="10.7265625" customWidth="1" outlineLevel="1"/>
    <col min="43" max="43" width="11.81640625" hidden="1" customWidth="1" outlineLevel="2"/>
    <col min="44" max="44" width="10.7265625" customWidth="1" outlineLevel="1" collapsed="1"/>
    <col min="45" max="45" width="16.81640625" customWidth="1" outlineLevel="1"/>
    <col min="46" max="46" width="21.54296875" customWidth="1" outlineLevel="1"/>
    <col min="47" max="47" width="8.36328125" customWidth="1" outlineLevel="2"/>
    <col min="48" max="48" width="15.26953125" style="26" customWidth="1" outlineLevel="1"/>
    <col min="49" max="49" width="26.7265625" customWidth="1" outlineLevel="1"/>
    <col min="50" max="50" width="8.26953125" hidden="1" customWidth="1" outlineLevel="2"/>
    <col min="51" max="51" width="14.7265625" style="26" customWidth="1" outlineLevel="1" collapsed="1"/>
    <col min="52" max="53" width="5" customWidth="1"/>
  </cols>
  <sheetData>
    <row r="1" spans="2:52" x14ac:dyDescent="0.35">
      <c r="X1"/>
      <c r="AA1"/>
      <c r="AV1"/>
      <c r="AY1"/>
    </row>
    <row r="2" spans="2:52" ht="15.5" x14ac:dyDescent="0.35">
      <c r="F2" s="7" t="str">
        <f>$C$16&amp;"-YEAR FORECAST (BY MONTH) - PRINCIPAL &amp; INTEREST LOAN"</f>
        <v>30-YEAR FORECAST (BY MONTH) - PRINCIPAL &amp; INTEREST LOAN</v>
      </c>
      <c r="X2"/>
      <c r="AA2"/>
      <c r="AD2" s="7" t="str">
        <f>$C$25&amp;"-YEAR FORECAST (BY MONTH) - INTEREST ONLY LOAN"</f>
        <v>30-YEAR FORECAST (BY MONTH) - INTEREST ONLY LOAN</v>
      </c>
      <c r="AV2"/>
      <c r="AY2"/>
    </row>
    <row r="3" spans="2:52" s="30" customFormat="1" ht="30" customHeight="1" x14ac:dyDescent="0.35">
      <c r="B3" s="64" t="s">
        <v>55</v>
      </c>
      <c r="C3" s="65"/>
      <c r="F3" s="42" t="s">
        <v>57</v>
      </c>
      <c r="G3" s="42" t="s">
        <v>20</v>
      </c>
      <c r="H3" s="42" t="s">
        <v>21</v>
      </c>
      <c r="I3" s="42" t="s">
        <v>5</v>
      </c>
      <c r="J3" s="42" t="s">
        <v>62</v>
      </c>
      <c r="K3" s="42" t="s">
        <v>60</v>
      </c>
      <c r="L3" s="42" t="s">
        <v>45</v>
      </c>
      <c r="M3" s="42" t="s">
        <v>164</v>
      </c>
      <c r="N3" s="42" t="s">
        <v>27</v>
      </c>
      <c r="O3" s="74" t="str">
        <f>IF($J$13=0,"Interest","Interest + Fees")</f>
        <v>Interest + Fees</v>
      </c>
      <c r="P3" s="41" t="s">
        <v>67</v>
      </c>
      <c r="Q3" s="42" t="s">
        <v>22</v>
      </c>
      <c r="R3" s="42" t="s">
        <v>76</v>
      </c>
      <c r="S3" s="42" t="s">
        <v>165</v>
      </c>
      <c r="T3" s="42" t="s">
        <v>23</v>
      </c>
      <c r="U3" s="42" t="s">
        <v>170</v>
      </c>
      <c r="V3" s="42" t="s">
        <v>167</v>
      </c>
      <c r="W3" s="42" t="s">
        <v>169</v>
      </c>
      <c r="X3" s="42" t="s">
        <v>297</v>
      </c>
      <c r="Y3" s="42" t="s">
        <v>166</v>
      </c>
      <c r="Z3" s="42" t="s">
        <v>168</v>
      </c>
      <c r="AA3" s="42" t="s">
        <v>298</v>
      </c>
      <c r="AD3" s="42" t="s">
        <v>57</v>
      </c>
      <c r="AE3" s="42" t="s">
        <v>20</v>
      </c>
      <c r="AF3" s="42" t="s">
        <v>21</v>
      </c>
      <c r="AG3" s="42" t="s">
        <v>5</v>
      </c>
      <c r="AH3" s="42" t="s">
        <v>62</v>
      </c>
      <c r="AI3" s="42" t="s">
        <v>60</v>
      </c>
      <c r="AJ3" s="42" t="s">
        <v>45</v>
      </c>
      <c r="AK3" s="42" t="s">
        <v>164</v>
      </c>
      <c r="AL3" s="42" t="s">
        <v>27</v>
      </c>
      <c r="AM3" s="74" t="str">
        <f>IF($J$13=0,"Interest","Interest + Fees")</f>
        <v>Interest + Fees</v>
      </c>
      <c r="AN3" s="41" t="s">
        <v>67</v>
      </c>
      <c r="AO3" s="42" t="s">
        <v>22</v>
      </c>
      <c r="AP3" s="42" t="s">
        <v>76</v>
      </c>
      <c r="AQ3" s="42" t="s">
        <v>165</v>
      </c>
      <c r="AR3" s="42" t="s">
        <v>23</v>
      </c>
      <c r="AS3" s="42" t="s">
        <v>170</v>
      </c>
      <c r="AT3" s="42" t="s">
        <v>167</v>
      </c>
      <c r="AU3" s="42" t="s">
        <v>169</v>
      </c>
      <c r="AV3" s="42" t="s">
        <v>297</v>
      </c>
      <c r="AW3" s="42" t="s">
        <v>166</v>
      </c>
      <c r="AX3" s="42" t="s">
        <v>168</v>
      </c>
      <c r="AY3" s="42" t="s">
        <v>298</v>
      </c>
    </row>
    <row r="4" spans="2:52" x14ac:dyDescent="0.35">
      <c r="B4" t="s">
        <v>6</v>
      </c>
      <c r="C4" s="142">
        <f>Inputs!K5</f>
        <v>1499950</v>
      </c>
      <c r="F4" s="12">
        <v>0</v>
      </c>
      <c r="G4" s="132">
        <f>$C$8</f>
        <v>1635000</v>
      </c>
      <c r="H4" s="132">
        <f>$C$8-$C$7</f>
        <v>1635000</v>
      </c>
      <c r="I4" s="132">
        <v>0</v>
      </c>
      <c r="J4" s="132">
        <v>0</v>
      </c>
      <c r="K4" s="132">
        <v>0</v>
      </c>
      <c r="L4" s="132">
        <f>$C$10</f>
        <v>1601027</v>
      </c>
      <c r="M4" s="132">
        <v>0</v>
      </c>
      <c r="N4" s="132">
        <v>0</v>
      </c>
      <c r="O4" s="132">
        <v>0</v>
      </c>
      <c r="P4" s="132">
        <v>0</v>
      </c>
      <c r="Q4" s="132">
        <f>SUMIF(Inputs!$E$33:$E$54,"TRUE",Inputs!$F$33:$F$54)+O4+P4</f>
        <v>0</v>
      </c>
      <c r="R4" s="132">
        <f>-H4-L4</f>
        <v>-3236027</v>
      </c>
      <c r="S4" s="132">
        <f>(I4-Q4)*$C$35</f>
        <v>0</v>
      </c>
      <c r="T4" s="132">
        <f t="shared" ref="T4:T67" si="0">IF($F4&lt;=$C$16*12,R4-S4,"-")</f>
        <v>-3236027</v>
      </c>
      <c r="U4" s="132">
        <f>0</f>
        <v>0</v>
      </c>
      <c r="V4" s="132">
        <f>G4-$C$10-'RE Calculations'!$C191-$C$7</f>
        <v>-3227</v>
      </c>
      <c r="W4" s="29">
        <f>V4/$C$10</f>
        <v>-2.0155812487859357E-3</v>
      </c>
      <c r="X4" s="31" t="s">
        <v>36</v>
      </c>
      <c r="Y4" s="132">
        <f>V4</f>
        <v>-3227</v>
      </c>
      <c r="Z4" s="29">
        <f>Y4/$C$10</f>
        <v>-2.0155812487859357E-3</v>
      </c>
      <c r="AA4" s="31" t="s">
        <v>36</v>
      </c>
      <c r="AD4" s="12">
        <v>0</v>
      </c>
      <c r="AE4" s="132">
        <f>$C$8</f>
        <v>1635000</v>
      </c>
      <c r="AF4" s="132">
        <f>$C$8-$C$7</f>
        <v>1635000</v>
      </c>
      <c r="AG4" s="132">
        <v>0</v>
      </c>
      <c r="AH4" s="132">
        <v>0</v>
      </c>
      <c r="AI4" s="132">
        <v>0</v>
      </c>
      <c r="AJ4" s="132">
        <f>$C$10</f>
        <v>1601027</v>
      </c>
      <c r="AK4" s="132">
        <v>0</v>
      </c>
      <c r="AL4" s="132">
        <v>0</v>
      </c>
      <c r="AM4" s="132">
        <v>0</v>
      </c>
      <c r="AN4" s="132">
        <v>0</v>
      </c>
      <c r="AO4" s="132">
        <f>SUMIF(Inputs!$E$33:$E$54,"TRUE",Inputs!$F$33:$F$54)+AM4+AN4</f>
        <v>0</v>
      </c>
      <c r="AP4" s="132">
        <f>-AF4-AJ4</f>
        <v>-3236027</v>
      </c>
      <c r="AQ4" s="132">
        <f>(AG4-AO4)*$C$35</f>
        <v>0</v>
      </c>
      <c r="AR4" s="132">
        <f t="shared" ref="AR4:AR67" si="1">IF($AD4&lt;=$C$25*12,AP4-AQ4,"-")</f>
        <v>-3236027</v>
      </c>
      <c r="AS4" s="132">
        <f>0</f>
        <v>0</v>
      </c>
      <c r="AT4" s="132">
        <f>AE4-$C$10-'RE Calculations'!$C191-$C$7</f>
        <v>-3227</v>
      </c>
      <c r="AU4" s="29">
        <f>AT4/$C$10</f>
        <v>-2.0155812487859357E-3</v>
      </c>
      <c r="AV4" s="31" t="s">
        <v>36</v>
      </c>
      <c r="AW4" s="132">
        <f>AT4</f>
        <v>-3227</v>
      </c>
      <c r="AX4" s="29">
        <f>AW4/$C$10</f>
        <v>-2.0155812487859357E-3</v>
      </c>
      <c r="AY4" s="31" t="s">
        <v>36</v>
      </c>
    </row>
    <row r="5" spans="2:52" x14ac:dyDescent="0.35">
      <c r="B5" t="s">
        <v>0</v>
      </c>
      <c r="C5" s="4">
        <f>Inputs!K6</f>
        <v>1</v>
      </c>
      <c r="F5" s="12">
        <f t="shared" ref="F5:F68" si="2">IF(F4&lt;$C$16*12,F4+1,"-")</f>
        <v>1</v>
      </c>
      <c r="G5" s="132">
        <f t="shared" ref="G5:G68" si="3">IF($F5&lt;=$C$16*12,G4*(1+$C$32),"-")</f>
        <v>1641661.1923862651</v>
      </c>
      <c r="H5" s="132">
        <f>IF($F5&lt;=$C$16*12,$G5-$C$7+SUM('Mortgage Calculators (By Month)'!$D$23:$D23),"-")</f>
        <v>1641661.1923862651</v>
      </c>
      <c r="I5" s="132">
        <f t="shared" ref="I5:I68" si="4">IF($F5&lt;=$C$16*12,$C$9*(1+$C$33)^ROUNDDOWN((F5-1)/12,0),"-")</f>
        <v>8583.3333333333339</v>
      </c>
      <c r="J5" s="132">
        <f>IF($F5&lt;=$C$16*12,SUM(Inputs!$C$61:$C$78)*'Forecast (By Month)'!I5,"-")</f>
        <v>944.16666666666674</v>
      </c>
      <c r="K5" s="132">
        <f>IF($F5&lt;=$C$16*12,(SUMIF(Inputs!$C$61:$C$78,0,Inputs!$F$61:$F$78)/12)*(1+$C$34)^ROUNDDOWN((F5-1)/12,0),"-")</f>
        <v>1488.1666666666667</v>
      </c>
      <c r="L5" s="132">
        <f t="shared" ref="L5:L68" si="5">IF($F5&lt;=$C$16*12,SUM(J5:K5),"-")</f>
        <v>2432.3333333333335</v>
      </c>
      <c r="M5" s="132">
        <f>IF($F5&lt;=$C$16*12,'Mortgage Calculators (By Month)'!$C23,"-")</f>
        <v>0</v>
      </c>
      <c r="N5" s="132">
        <f>IF($F5&lt;=$C$16*12,'Mortgage Calculators (By Month)'!$D23,"-")</f>
        <v>0</v>
      </c>
      <c r="O5" s="132">
        <f>IF($F5&lt;=$C$16*12,'Mortgage Calculators (By Month)'!$E23,"-")</f>
        <v>8.3333333333333339</v>
      </c>
      <c r="P5" s="132">
        <f>IF($F5&lt;=$C$16*12,IF($F5&lt;=$C$38*12,IFERROR($C$37/($C$38*12),0),0),"-")</f>
        <v>0</v>
      </c>
      <c r="Q5" s="132">
        <f t="shared" ref="Q5:Q68" si="6">IF($F5&lt;=$C$16*12,L5+O5+P5,"-")</f>
        <v>2440.666666666667</v>
      </c>
      <c r="R5" s="132">
        <f t="shared" ref="R5:R68" si="7">IF($F5&lt;=$C$16*12,$I5-$L5-M5,"-")</f>
        <v>6151</v>
      </c>
      <c r="S5" s="132">
        <f t="shared" ref="S5:S68" si="8">IF($F5&lt;=$C$16*12,(I5-Q5)*$C$35,"-")</f>
        <v>0</v>
      </c>
      <c r="T5" s="132">
        <f t="shared" si="0"/>
        <v>6151</v>
      </c>
      <c r="U5" s="132">
        <f>IF($F5&lt;=$C$16*12,SUM(T$5:T5),"-")</f>
        <v>6151</v>
      </c>
      <c r="V5" s="132">
        <f>IF($F5&lt;=$C$16*12,G5-$C$10-'RE Calculations'!$C192-'Mortgage Calculators (By Month)'!$F23,"-")</f>
        <v>3300.9685385398479</v>
      </c>
      <c r="W5" s="29">
        <f t="shared" ref="W5:W68" si="9">IF($F5&lt;=$C$16*12,V5/$C$10,"-")</f>
        <v>2.0617819303108869E-3</v>
      </c>
      <c r="X5" s="31">
        <f t="shared" ref="X5:X68" si="10">IF($F5&lt;=$C$16*12,W5/($F5/12),"-")</f>
        <v>2.4741383163730642E-2</v>
      </c>
      <c r="Y5" s="132">
        <f t="shared" ref="Y5:Y68" si="11">IF($F5&lt;=$C$16*12,V5+U5,"-")</f>
        <v>9451.9685385398479</v>
      </c>
      <c r="Z5" s="29">
        <f t="shared" ref="Z5:Z68" si="12">IF($F5&lt;=$C$16*12,Y5/$C$10,"-")</f>
        <v>5.9036909049877658E-3</v>
      </c>
      <c r="AA5" s="31">
        <f t="shared" ref="AA5:AA68" si="13">IF($F5&lt;=$C$16*12,Z5/($F5/12),"-")</f>
        <v>7.0844290859853193E-2</v>
      </c>
      <c r="AD5" s="12">
        <f t="shared" ref="AD5:AD68" si="14">IF($AD4&lt;$C$25*12,AD4+1,"-")</f>
        <v>1</v>
      </c>
      <c r="AE5" s="132">
        <f t="shared" ref="AE5:AE68" si="15">IF($AD5&lt;=$C$25*12,AE4*(1+$C$32),"-")</f>
        <v>1641661.1923862651</v>
      </c>
      <c r="AF5" s="132">
        <f>IF($AD5&lt;=$C$25*12,$AE5-$C$7+SUM('Mortgage Calculators (By Month)'!$K$23:$K23),"-")</f>
        <v>1641661.1923862651</v>
      </c>
      <c r="AG5" s="132">
        <f t="shared" ref="AG5:AG68" si="16">IF($AD5&lt;=$C$25*12,$C$9*(1+$C$33)^ROUNDDOWN((AD5-1)/12,0),"-")</f>
        <v>8583.3333333333339</v>
      </c>
      <c r="AH5" s="132">
        <f>IF($AD5&lt;=$C$25*12,SUM(Inputs!$C$61:$C$78)*'Forecast (By Month)'!AG5,"-")</f>
        <v>944.16666666666674</v>
      </c>
      <c r="AI5" s="132">
        <f>IF($AD5&lt;=$C$25*12,(SUMIF(Inputs!$C$61:$C$78,0,Inputs!$F$61:$F$78)/12)*(1+$C$34)^ROUNDDOWN((AD5-1)/12,0),"-")</f>
        <v>1488.1666666666667</v>
      </c>
      <c r="AJ5" s="132">
        <f t="shared" ref="AJ5:AJ68" si="17">IF($AD5&lt;=$C$25*12,SUM(AH5:AI5),"-")</f>
        <v>2432.3333333333335</v>
      </c>
      <c r="AK5" s="132">
        <f>IF($AD5&lt;=$C$25*12,'Mortgage Calculators (By Month)'!$J23,"-")</f>
        <v>10</v>
      </c>
      <c r="AL5" s="132">
        <f>IF($AD5&lt;=$C$25*12,'Mortgage Calculators (By Month)'!$K23,"-")</f>
        <v>0</v>
      </c>
      <c r="AM5" s="132">
        <f>IF($AD5&lt;=$C$25*12,'Mortgage Calculators (By Month)'!$L23,"-")</f>
        <v>10</v>
      </c>
      <c r="AN5" s="132">
        <f>IF($AD5&lt;=$C$25*12,IF($AD5&lt;=$C$38*12,IFERROR($C$37/($C$38*12),0),0),"-")</f>
        <v>0</v>
      </c>
      <c r="AO5" s="132">
        <f t="shared" ref="AO5:AO68" si="18">IF($AD5&lt;=$C$25*12,AJ5+AM5+AN5,"-")</f>
        <v>2442.3333333333335</v>
      </c>
      <c r="AP5" s="132">
        <f t="shared" ref="AP5:AP68" si="19">IF($AD5&lt;=$C$25*12,$AG5-$AJ5-AK5,"-")</f>
        <v>6141</v>
      </c>
      <c r="AQ5" s="132">
        <f t="shared" ref="AQ5:AQ68" si="20">IF($AD5&lt;=$C$25*12,(AG5-AO5)*$C$35,"-")</f>
        <v>0</v>
      </c>
      <c r="AR5" s="132">
        <f t="shared" si="1"/>
        <v>6141</v>
      </c>
      <c r="AS5" s="132">
        <f>IF($AD5&lt;=$C$25*12,SUM(AR$5:AR5),"-")</f>
        <v>6141</v>
      </c>
      <c r="AT5" s="132">
        <f>IF($AD5&lt;=$C$25*12,AE5-$C$10-'RE Calculations'!$C192-'Mortgage Calculators (By Month)'!$M23,"-")</f>
        <v>3300.9685385398479</v>
      </c>
      <c r="AU5" s="29">
        <f t="shared" ref="AU5:AU68" si="21">IF($AD5&lt;=$C$25*12,AT5/$C$10,"-")</f>
        <v>2.0617819303108869E-3</v>
      </c>
      <c r="AV5" s="31">
        <f t="shared" ref="AV5:AV68" si="22">IF($AD5&lt;=$C$25*12,AU5/($AD5/12),"-")</f>
        <v>2.4741383163730642E-2</v>
      </c>
      <c r="AW5" s="132">
        <f t="shared" ref="AW5:AW68" si="23">IF($AD5&lt;=$C$25*12,AT5+AS5,"-")</f>
        <v>9441.9685385398479</v>
      </c>
      <c r="AX5" s="29">
        <f t="shared" ref="AX5:AX68" si="24">IF($AD5&lt;=$C$25*12,AW5/$C$10,"-")</f>
        <v>5.8974449141331459E-3</v>
      </c>
      <c r="AY5" s="31">
        <f t="shared" ref="AY5:AY68" si="25">IF($AD5&lt;=$C$25*12,AX5/($AD5/12),"-")</f>
        <v>7.076933896959775E-2</v>
      </c>
    </row>
    <row r="6" spans="2:52" x14ac:dyDescent="0.35">
      <c r="B6" t="s">
        <v>1</v>
      </c>
      <c r="C6" s="142">
        <f>Inputs!K7</f>
        <v>1499950</v>
      </c>
      <c r="F6" s="12">
        <f t="shared" si="2"/>
        <v>2</v>
      </c>
      <c r="G6" s="132">
        <f t="shared" si="3"/>
        <v>1648349.5232948586</v>
      </c>
      <c r="H6" s="132">
        <f>IF($F6&lt;=$C$16*12,$G6-$C$7+SUM('Mortgage Calculators (By Month)'!$D$23:$D24),"-")</f>
        <v>1648349.5232948586</v>
      </c>
      <c r="I6" s="132">
        <f t="shared" si="4"/>
        <v>8583.3333333333339</v>
      </c>
      <c r="J6" s="132">
        <f>IF($F6&lt;=$C$16*12,SUM(Inputs!$C$61:$C$78)*'Forecast (By Month)'!I6,"-")</f>
        <v>944.16666666666674</v>
      </c>
      <c r="K6" s="132">
        <f>IF($F6&lt;=$C$16*12,(SUMIF(Inputs!$C$61:$C$78,0,Inputs!$F$61:$F$78)/12)*(1+$C$34)^ROUNDDOWN((F6-1)/12,0),"-")</f>
        <v>1488.1666666666667</v>
      </c>
      <c r="L6" s="132">
        <f t="shared" si="5"/>
        <v>2432.3333333333335</v>
      </c>
      <c r="M6" s="132">
        <f>IF($F6&lt;=$C$16*12,'Mortgage Calculators (By Month)'!$C24,"-")</f>
        <v>0</v>
      </c>
      <c r="N6" s="132">
        <f>IF($F6&lt;=$C$16*12,'Mortgage Calculators (By Month)'!$D24,"-")</f>
        <v>0</v>
      </c>
      <c r="O6" s="132">
        <f>IF($F6&lt;=$C$16*12,'Mortgage Calculators (By Month)'!$E24,"-")</f>
        <v>8.3333333333333339</v>
      </c>
      <c r="P6" s="132">
        <f t="shared" ref="P6:P69" si="26">IF($F6&lt;=$C$16*12,IF($F6&lt;=$C$38*12,IFERROR($C$37/($C$38*12),0),0),"-")</f>
        <v>0</v>
      </c>
      <c r="Q6" s="132">
        <f t="shared" si="6"/>
        <v>2440.666666666667</v>
      </c>
      <c r="R6" s="132">
        <f t="shared" si="7"/>
        <v>6151</v>
      </c>
      <c r="S6" s="132">
        <f t="shared" si="8"/>
        <v>0</v>
      </c>
      <c r="T6" s="132">
        <f t="shared" si="0"/>
        <v>6151</v>
      </c>
      <c r="U6" s="132">
        <f>IF($F6&lt;=$C$16*12,SUM(T$5:T6),"-")</f>
        <v>12302</v>
      </c>
      <c r="V6" s="132">
        <f>IF($F6&lt;=$C$16*12,G6-$C$10-'RE Calculations'!$C193-'Mortgage Calculators (By Month)'!$F24,"-")</f>
        <v>9855.5328289614627</v>
      </c>
      <c r="W6" s="29">
        <f t="shared" si="9"/>
        <v>6.1557567917102348E-3</v>
      </c>
      <c r="X6" s="31">
        <f t="shared" si="10"/>
        <v>3.693454075026141E-2</v>
      </c>
      <c r="Y6" s="132">
        <f t="shared" si="11"/>
        <v>22157.532828961463</v>
      </c>
      <c r="Z6" s="29">
        <f t="shared" si="12"/>
        <v>1.3839574741063993E-2</v>
      </c>
      <c r="AA6" s="31">
        <f t="shared" si="13"/>
        <v>8.3037448446383971E-2</v>
      </c>
      <c r="AD6" s="12">
        <f t="shared" si="14"/>
        <v>2</v>
      </c>
      <c r="AE6" s="132">
        <f t="shared" si="15"/>
        <v>1648349.5232948586</v>
      </c>
      <c r="AF6" s="132">
        <f>IF($AD6&lt;=$C$25*12,$AE6-$C$7+SUM('Mortgage Calculators (By Month)'!$K$23:$K24),"-")</f>
        <v>1648349.5232948586</v>
      </c>
      <c r="AG6" s="132">
        <f t="shared" si="16"/>
        <v>8583.3333333333339</v>
      </c>
      <c r="AH6" s="132">
        <f>IF($AD6&lt;=$C$25*12,SUM(Inputs!$C$61:$C$78)*'Forecast (By Month)'!AG6,"-")</f>
        <v>944.16666666666674</v>
      </c>
      <c r="AI6" s="132">
        <f>IF($AD6&lt;=$C$25*12,(SUMIF(Inputs!$C$61:$C$78,0,Inputs!$F$61:$F$78)/12)*(1+$C$34)^ROUNDDOWN((AD6-1)/12,0),"-")</f>
        <v>1488.1666666666667</v>
      </c>
      <c r="AJ6" s="132">
        <f t="shared" si="17"/>
        <v>2432.3333333333335</v>
      </c>
      <c r="AK6" s="132">
        <f>IF($AD6&lt;=$C$25*12,'Mortgage Calculators (By Month)'!$J24,"-")</f>
        <v>0</v>
      </c>
      <c r="AL6" s="132">
        <f>IF($AD6&lt;=$C$25*12,'Mortgage Calculators (By Month)'!$K24,"-")</f>
        <v>0</v>
      </c>
      <c r="AM6" s="132">
        <f>IF($AD6&lt;=$C$25*12,'Mortgage Calculators (By Month)'!$L24,"-")</f>
        <v>10</v>
      </c>
      <c r="AN6" s="132">
        <f t="shared" ref="AN6:AN69" si="27">IF($AD6&lt;=$C$25*12,IF($AD6&lt;=$C$38*12,IFERROR($C$37/($C$38*12),0),0),"-")</f>
        <v>0</v>
      </c>
      <c r="AO6" s="132">
        <f t="shared" si="18"/>
        <v>2442.3333333333335</v>
      </c>
      <c r="AP6" s="132">
        <f t="shared" si="19"/>
        <v>6151</v>
      </c>
      <c r="AQ6" s="132">
        <f t="shared" si="20"/>
        <v>0</v>
      </c>
      <c r="AR6" s="132">
        <f t="shared" si="1"/>
        <v>6151</v>
      </c>
      <c r="AS6" s="132">
        <f>IF($AD6&lt;=$C$25*12,SUM(AR$5:AR6),"-")</f>
        <v>12292</v>
      </c>
      <c r="AT6" s="132">
        <f>IF($AD6&lt;=$C$25*12,AE6-$C$10-'RE Calculations'!$C193-'Mortgage Calculators (By Month)'!$M24,"-")</f>
        <v>9855.5328289614627</v>
      </c>
      <c r="AU6" s="29">
        <f t="shared" si="21"/>
        <v>6.1557567917102348E-3</v>
      </c>
      <c r="AV6" s="31">
        <f t="shared" si="22"/>
        <v>3.693454075026141E-2</v>
      </c>
      <c r="AW6" s="132">
        <f t="shared" si="23"/>
        <v>22147.532828961463</v>
      </c>
      <c r="AX6" s="29">
        <f t="shared" si="24"/>
        <v>1.3833328750209373E-2</v>
      </c>
      <c r="AY6" s="31">
        <f t="shared" si="25"/>
        <v>8.2999972501256236E-2</v>
      </c>
    </row>
    <row r="7" spans="2:52" x14ac:dyDescent="0.35">
      <c r="B7" t="s">
        <v>8</v>
      </c>
      <c r="C7" s="142">
        <f>Inputs!K8</f>
        <v>0</v>
      </c>
      <c r="F7" s="12">
        <f t="shared" si="2"/>
        <v>3</v>
      </c>
      <c r="G7" s="132">
        <f t="shared" si="3"/>
        <v>1655065.1032914796</v>
      </c>
      <c r="H7" s="132">
        <f>IF($F7&lt;=$C$16*12,$G7-$C$7+SUM('Mortgage Calculators (By Month)'!$D$23:$D25),"-")</f>
        <v>1655065.1032914796</v>
      </c>
      <c r="I7" s="132">
        <f t="shared" si="4"/>
        <v>8583.3333333333339</v>
      </c>
      <c r="J7" s="132">
        <f>IF($F7&lt;=$C$16*12,SUM(Inputs!$C$61:$C$78)*'Forecast (By Month)'!I7,"-")</f>
        <v>944.16666666666674</v>
      </c>
      <c r="K7" s="132">
        <f>IF($F7&lt;=$C$16*12,(SUMIF(Inputs!$C$61:$C$78,0,Inputs!$F$61:$F$78)/12)*(1+$C$34)^ROUNDDOWN((F7-1)/12,0),"-")</f>
        <v>1488.1666666666667</v>
      </c>
      <c r="L7" s="132">
        <f t="shared" si="5"/>
        <v>2432.3333333333335</v>
      </c>
      <c r="M7" s="132">
        <f>IF($F7&lt;=$C$16*12,'Mortgage Calculators (By Month)'!$C25,"-")</f>
        <v>0</v>
      </c>
      <c r="N7" s="132">
        <f>IF($F7&lt;=$C$16*12,'Mortgage Calculators (By Month)'!$D25,"-")</f>
        <v>0</v>
      </c>
      <c r="O7" s="132">
        <f>IF($F7&lt;=$C$16*12,'Mortgage Calculators (By Month)'!$E25,"-")</f>
        <v>8.3333333333333339</v>
      </c>
      <c r="P7" s="132">
        <f t="shared" si="26"/>
        <v>0</v>
      </c>
      <c r="Q7" s="132">
        <f t="shared" si="6"/>
        <v>2440.666666666667</v>
      </c>
      <c r="R7" s="132">
        <f t="shared" si="7"/>
        <v>6151</v>
      </c>
      <c r="S7" s="132">
        <f t="shared" si="8"/>
        <v>0</v>
      </c>
      <c r="T7" s="132">
        <f t="shared" si="0"/>
        <v>6151</v>
      </c>
      <c r="U7" s="132">
        <f>IF($F7&lt;=$C$16*12,SUM(T$5:T7),"-")</f>
        <v>18453</v>
      </c>
      <c r="V7" s="132">
        <f>IF($F7&lt;=$C$16*12,G7-$C$10-'RE Calculations'!$C194-'Mortgage Calculators (By Month)'!$F25,"-")</f>
        <v>16436.801225650044</v>
      </c>
      <c r="W7" s="29">
        <f t="shared" si="9"/>
        <v>1.0266411013462012E-2</v>
      </c>
      <c r="X7" s="31">
        <f t="shared" si="10"/>
        <v>4.1065644053848049E-2</v>
      </c>
      <c r="Y7" s="132">
        <f t="shared" si="11"/>
        <v>34889.801225650044</v>
      </c>
      <c r="Z7" s="29">
        <f t="shared" si="12"/>
        <v>2.1792137937492649E-2</v>
      </c>
      <c r="AA7" s="31">
        <f t="shared" si="13"/>
        <v>8.7168551749970596E-2</v>
      </c>
      <c r="AD7" s="12">
        <f t="shared" si="14"/>
        <v>3</v>
      </c>
      <c r="AE7" s="132">
        <f t="shared" si="15"/>
        <v>1655065.1032914796</v>
      </c>
      <c r="AF7" s="132">
        <f>IF($AD7&lt;=$C$25*12,$AE7-$C$7+SUM('Mortgage Calculators (By Month)'!$K$23:$K25),"-")</f>
        <v>1655065.1032914796</v>
      </c>
      <c r="AG7" s="132">
        <f t="shared" si="16"/>
        <v>8583.3333333333339</v>
      </c>
      <c r="AH7" s="132">
        <f>IF($AD7&lt;=$C$25*12,SUM(Inputs!$C$61:$C$78)*'Forecast (By Month)'!AG7,"-")</f>
        <v>944.16666666666674</v>
      </c>
      <c r="AI7" s="132">
        <f>IF($AD7&lt;=$C$25*12,(SUMIF(Inputs!$C$61:$C$78,0,Inputs!$F$61:$F$78)/12)*(1+$C$34)^ROUNDDOWN((AD7-1)/12,0),"-")</f>
        <v>1488.1666666666667</v>
      </c>
      <c r="AJ7" s="132">
        <f t="shared" si="17"/>
        <v>2432.3333333333335</v>
      </c>
      <c r="AK7" s="132">
        <f>IF($AD7&lt;=$C$25*12,'Mortgage Calculators (By Month)'!$J25,"-")</f>
        <v>0</v>
      </c>
      <c r="AL7" s="132">
        <f>IF($AD7&lt;=$C$25*12,'Mortgage Calculators (By Month)'!$K25,"-")</f>
        <v>0</v>
      </c>
      <c r="AM7" s="132">
        <f>IF($AD7&lt;=$C$25*12,'Mortgage Calculators (By Month)'!$L25,"-")</f>
        <v>10</v>
      </c>
      <c r="AN7" s="132">
        <f t="shared" si="27"/>
        <v>0</v>
      </c>
      <c r="AO7" s="132">
        <f t="shared" si="18"/>
        <v>2442.3333333333335</v>
      </c>
      <c r="AP7" s="132">
        <f t="shared" si="19"/>
        <v>6151</v>
      </c>
      <c r="AQ7" s="132">
        <f t="shared" si="20"/>
        <v>0</v>
      </c>
      <c r="AR7" s="132">
        <f t="shared" si="1"/>
        <v>6151</v>
      </c>
      <c r="AS7" s="132">
        <f>IF($AD7&lt;=$C$25*12,SUM(AR$5:AR7),"-")</f>
        <v>18443</v>
      </c>
      <c r="AT7" s="132">
        <f>IF($AD7&lt;=$C$25*12,AE7-$C$10-'RE Calculations'!$C194-'Mortgage Calculators (By Month)'!$M25,"-")</f>
        <v>16436.801225650044</v>
      </c>
      <c r="AU7" s="29">
        <f t="shared" si="21"/>
        <v>1.0266411013462012E-2</v>
      </c>
      <c r="AV7" s="31">
        <f t="shared" si="22"/>
        <v>4.1065644053848049E-2</v>
      </c>
      <c r="AW7" s="132">
        <f t="shared" si="23"/>
        <v>34879.801225650044</v>
      </c>
      <c r="AX7" s="29">
        <f t="shared" si="24"/>
        <v>2.178589194663803E-2</v>
      </c>
      <c r="AY7" s="31">
        <f t="shared" si="25"/>
        <v>8.714356778655212E-2</v>
      </c>
    </row>
    <row r="8" spans="2:52" x14ac:dyDescent="0.35">
      <c r="B8" t="s">
        <v>195</v>
      </c>
      <c r="C8" s="142">
        <f>Inputs!K9</f>
        <v>1635000</v>
      </c>
      <c r="F8" s="12">
        <f t="shared" si="2"/>
        <v>4</v>
      </c>
      <c r="G8" s="132">
        <f t="shared" si="3"/>
        <v>1661808.0433922859</v>
      </c>
      <c r="H8" s="132">
        <f>IF($F8&lt;=$C$16*12,$G8-$C$7+SUM('Mortgage Calculators (By Month)'!$D$23:$D26),"-")</f>
        <v>1661808.0433922859</v>
      </c>
      <c r="I8" s="132">
        <f t="shared" si="4"/>
        <v>8583.3333333333339</v>
      </c>
      <c r="J8" s="132">
        <f>IF($F8&lt;=$C$16*12,SUM(Inputs!$C$61:$C$78)*'Forecast (By Month)'!I8,"-")</f>
        <v>944.16666666666674</v>
      </c>
      <c r="K8" s="132">
        <f>IF($F8&lt;=$C$16*12,(SUMIF(Inputs!$C$61:$C$78,0,Inputs!$F$61:$F$78)/12)*(1+$C$34)^ROUNDDOWN((F8-1)/12,0),"-")</f>
        <v>1488.1666666666667</v>
      </c>
      <c r="L8" s="132">
        <f t="shared" si="5"/>
        <v>2432.3333333333335</v>
      </c>
      <c r="M8" s="132">
        <f>IF($F8&lt;=$C$16*12,'Mortgage Calculators (By Month)'!$C26,"-")</f>
        <v>0</v>
      </c>
      <c r="N8" s="132">
        <f>IF($F8&lt;=$C$16*12,'Mortgage Calculators (By Month)'!$D26,"-")</f>
        <v>0</v>
      </c>
      <c r="O8" s="132">
        <f>IF($F8&lt;=$C$16*12,'Mortgage Calculators (By Month)'!$E26,"-")</f>
        <v>8.3333333333333339</v>
      </c>
      <c r="P8" s="132">
        <f t="shared" si="26"/>
        <v>0</v>
      </c>
      <c r="Q8" s="132">
        <f t="shared" si="6"/>
        <v>2440.666666666667</v>
      </c>
      <c r="R8" s="132">
        <f t="shared" si="7"/>
        <v>6151</v>
      </c>
      <c r="S8" s="132">
        <f t="shared" si="8"/>
        <v>0</v>
      </c>
      <c r="T8" s="132">
        <f t="shared" si="0"/>
        <v>6151</v>
      </c>
      <c r="U8" s="132">
        <f>IF($F8&lt;=$C$16*12,SUM(T$5:T8),"-")</f>
        <v>24604</v>
      </c>
      <c r="V8" s="132">
        <f>IF($F8&lt;=$C$16*12,G8-$C$10-'RE Calculations'!$C195-'Mortgage Calculators (By Month)'!$F26,"-")</f>
        <v>23044.882524440218</v>
      </c>
      <c r="W8" s="29">
        <f t="shared" si="9"/>
        <v>1.4393812549345025E-2</v>
      </c>
      <c r="X8" s="31">
        <f t="shared" si="10"/>
        <v>4.318143764803508E-2</v>
      </c>
      <c r="Y8" s="132">
        <f t="shared" si="11"/>
        <v>47648.882524440218</v>
      </c>
      <c r="Z8" s="29">
        <f t="shared" si="12"/>
        <v>2.9761448448052542E-2</v>
      </c>
      <c r="AA8" s="31">
        <f t="shared" si="13"/>
        <v>8.9284345344157634E-2</v>
      </c>
      <c r="AD8" s="12">
        <f t="shared" si="14"/>
        <v>4</v>
      </c>
      <c r="AE8" s="132">
        <f t="shared" si="15"/>
        <v>1661808.0433922859</v>
      </c>
      <c r="AF8" s="132">
        <f>IF($AD8&lt;=$C$25*12,$AE8-$C$7+SUM('Mortgage Calculators (By Month)'!$K$23:$K26),"-")</f>
        <v>1661808.0433922859</v>
      </c>
      <c r="AG8" s="132">
        <f t="shared" si="16"/>
        <v>8583.3333333333339</v>
      </c>
      <c r="AH8" s="132">
        <f>IF($AD8&lt;=$C$25*12,SUM(Inputs!$C$61:$C$78)*'Forecast (By Month)'!AG8,"-")</f>
        <v>944.16666666666674</v>
      </c>
      <c r="AI8" s="132">
        <f>IF($AD8&lt;=$C$25*12,(SUMIF(Inputs!$C$61:$C$78,0,Inputs!$F$61:$F$78)/12)*(1+$C$34)^ROUNDDOWN((AD8-1)/12,0),"-")</f>
        <v>1488.1666666666667</v>
      </c>
      <c r="AJ8" s="132">
        <f t="shared" si="17"/>
        <v>2432.3333333333335</v>
      </c>
      <c r="AK8" s="132">
        <f>IF($AD8&lt;=$C$25*12,'Mortgage Calculators (By Month)'!$J26,"-")</f>
        <v>0</v>
      </c>
      <c r="AL8" s="132">
        <f>IF($AD8&lt;=$C$25*12,'Mortgage Calculators (By Month)'!$K26,"-")</f>
        <v>0</v>
      </c>
      <c r="AM8" s="132">
        <f>IF($AD8&lt;=$C$25*12,'Mortgage Calculators (By Month)'!$L26,"-")</f>
        <v>10</v>
      </c>
      <c r="AN8" s="132">
        <f t="shared" si="27"/>
        <v>0</v>
      </c>
      <c r="AO8" s="132">
        <f t="shared" si="18"/>
        <v>2442.3333333333335</v>
      </c>
      <c r="AP8" s="132">
        <f t="shared" si="19"/>
        <v>6151</v>
      </c>
      <c r="AQ8" s="132">
        <f t="shared" si="20"/>
        <v>0</v>
      </c>
      <c r="AR8" s="132">
        <f t="shared" si="1"/>
        <v>6151</v>
      </c>
      <c r="AS8" s="132">
        <f>IF($AD8&lt;=$C$25*12,SUM(AR$5:AR8),"-")</f>
        <v>24594</v>
      </c>
      <c r="AT8" s="132">
        <f>IF($AD8&lt;=$C$25*12,AE8-$C$10-'RE Calculations'!$C195-'Mortgage Calculators (By Month)'!$M26,"-")</f>
        <v>23044.882524440218</v>
      </c>
      <c r="AU8" s="29">
        <f t="shared" si="21"/>
        <v>1.4393812549345025E-2</v>
      </c>
      <c r="AV8" s="31">
        <f t="shared" si="22"/>
        <v>4.318143764803508E-2</v>
      </c>
      <c r="AW8" s="132">
        <f t="shared" si="23"/>
        <v>47638.882524440218</v>
      </c>
      <c r="AX8" s="29">
        <f t="shared" si="24"/>
        <v>2.9755202457197923E-2</v>
      </c>
      <c r="AY8" s="31">
        <f t="shared" si="25"/>
        <v>8.926560737159378E-2</v>
      </c>
    </row>
    <row r="9" spans="2:52" x14ac:dyDescent="0.35">
      <c r="B9" t="s">
        <v>59</v>
      </c>
      <c r="C9" s="142">
        <f>Inputs!$K$16</f>
        <v>8583.3333333333339</v>
      </c>
      <c r="F9" s="12">
        <f t="shared" si="2"/>
        <v>5</v>
      </c>
      <c r="G9" s="132">
        <f t="shared" si="3"/>
        <v>1668578.4550657286</v>
      </c>
      <c r="H9" s="132">
        <f>IF($F9&lt;=$C$16*12,$G9-$C$7+SUM('Mortgage Calculators (By Month)'!$D$23:$D27),"-")</f>
        <v>1668578.4550657286</v>
      </c>
      <c r="I9" s="132">
        <f t="shared" si="4"/>
        <v>8583.3333333333339</v>
      </c>
      <c r="J9" s="132">
        <f>IF($F9&lt;=$C$16*12,SUM(Inputs!$C$61:$C$78)*'Forecast (By Month)'!I9,"-")</f>
        <v>944.16666666666674</v>
      </c>
      <c r="K9" s="132">
        <f>IF($F9&lt;=$C$16*12,(SUMIF(Inputs!$C$61:$C$78,0,Inputs!$F$61:$F$78)/12)*(1+$C$34)^ROUNDDOWN((F9-1)/12,0),"-")</f>
        <v>1488.1666666666667</v>
      </c>
      <c r="L9" s="132">
        <f t="shared" si="5"/>
        <v>2432.3333333333335</v>
      </c>
      <c r="M9" s="132">
        <f>IF($F9&lt;=$C$16*12,'Mortgage Calculators (By Month)'!$C27,"-")</f>
        <v>0</v>
      </c>
      <c r="N9" s="132">
        <f>IF($F9&lt;=$C$16*12,'Mortgage Calculators (By Month)'!$D27,"-")</f>
        <v>0</v>
      </c>
      <c r="O9" s="132">
        <f>IF($F9&lt;=$C$16*12,'Mortgage Calculators (By Month)'!$E27,"-")</f>
        <v>8.3333333333333339</v>
      </c>
      <c r="P9" s="132">
        <f t="shared" si="26"/>
        <v>0</v>
      </c>
      <c r="Q9" s="132">
        <f t="shared" si="6"/>
        <v>2440.666666666667</v>
      </c>
      <c r="R9" s="132">
        <f t="shared" si="7"/>
        <v>6151</v>
      </c>
      <c r="S9" s="132">
        <f t="shared" si="8"/>
        <v>0</v>
      </c>
      <c r="T9" s="132">
        <f t="shared" si="0"/>
        <v>6151</v>
      </c>
      <c r="U9" s="132">
        <f>IF($F9&lt;=$C$16*12,SUM(T$5:T9),"-")</f>
        <v>30755</v>
      </c>
      <c r="V9" s="132">
        <f>IF($F9&lt;=$C$16*12,G9-$C$10-'RE Calculations'!$C196-'Mortgage Calculators (By Month)'!$F27,"-")</f>
        <v>29679.885964414061</v>
      </c>
      <c r="W9" s="29">
        <f t="shared" si="9"/>
        <v>1.8538029629990037E-2</v>
      </c>
      <c r="X9" s="31">
        <f t="shared" si="10"/>
        <v>4.4491271111976087E-2</v>
      </c>
      <c r="Y9" s="132">
        <f t="shared" si="11"/>
        <v>60434.885964414061</v>
      </c>
      <c r="Z9" s="29">
        <f t="shared" si="12"/>
        <v>3.7747574503374431E-2</v>
      </c>
      <c r="AA9" s="31">
        <f t="shared" si="13"/>
        <v>9.0594178808098627E-2</v>
      </c>
      <c r="AD9" s="12">
        <f t="shared" si="14"/>
        <v>5</v>
      </c>
      <c r="AE9" s="132">
        <f t="shared" si="15"/>
        <v>1668578.4550657286</v>
      </c>
      <c r="AF9" s="132">
        <f>IF($AD9&lt;=$C$25*12,$AE9-$C$7+SUM('Mortgage Calculators (By Month)'!$K$23:$K27),"-")</f>
        <v>1668578.4550657286</v>
      </c>
      <c r="AG9" s="132">
        <f t="shared" si="16"/>
        <v>8583.3333333333339</v>
      </c>
      <c r="AH9" s="132">
        <f>IF($AD9&lt;=$C$25*12,SUM(Inputs!$C$61:$C$78)*'Forecast (By Month)'!AG9,"-")</f>
        <v>944.16666666666674</v>
      </c>
      <c r="AI9" s="132">
        <f>IF($AD9&lt;=$C$25*12,(SUMIF(Inputs!$C$61:$C$78,0,Inputs!$F$61:$F$78)/12)*(1+$C$34)^ROUNDDOWN((AD9-1)/12,0),"-")</f>
        <v>1488.1666666666667</v>
      </c>
      <c r="AJ9" s="132">
        <f t="shared" si="17"/>
        <v>2432.3333333333335</v>
      </c>
      <c r="AK9" s="132">
        <f>IF($AD9&lt;=$C$25*12,'Mortgage Calculators (By Month)'!$J27,"-")</f>
        <v>0</v>
      </c>
      <c r="AL9" s="132">
        <f>IF($AD9&lt;=$C$25*12,'Mortgage Calculators (By Month)'!$K27,"-")</f>
        <v>0</v>
      </c>
      <c r="AM9" s="132">
        <f>IF($AD9&lt;=$C$25*12,'Mortgage Calculators (By Month)'!$L27,"-")</f>
        <v>10</v>
      </c>
      <c r="AN9" s="132">
        <f t="shared" si="27"/>
        <v>0</v>
      </c>
      <c r="AO9" s="132">
        <f t="shared" si="18"/>
        <v>2442.3333333333335</v>
      </c>
      <c r="AP9" s="132">
        <f t="shared" si="19"/>
        <v>6151</v>
      </c>
      <c r="AQ9" s="132">
        <f t="shared" si="20"/>
        <v>0</v>
      </c>
      <c r="AR9" s="132">
        <f t="shared" si="1"/>
        <v>6151</v>
      </c>
      <c r="AS9" s="132">
        <f>IF($AD9&lt;=$C$25*12,SUM(AR$5:AR9),"-")</f>
        <v>30745</v>
      </c>
      <c r="AT9" s="132">
        <f>IF($AD9&lt;=$C$25*12,AE9-$C$10-'RE Calculations'!$C196-'Mortgage Calculators (By Month)'!$M27,"-")</f>
        <v>29679.885964414061</v>
      </c>
      <c r="AU9" s="29">
        <f t="shared" si="21"/>
        <v>1.8538029629990037E-2</v>
      </c>
      <c r="AV9" s="31">
        <f t="shared" si="22"/>
        <v>4.4491271111976087E-2</v>
      </c>
      <c r="AW9" s="132">
        <f t="shared" si="23"/>
        <v>60424.885964414061</v>
      </c>
      <c r="AX9" s="29">
        <f t="shared" si="24"/>
        <v>3.7741328512519816E-2</v>
      </c>
      <c r="AY9" s="31">
        <f t="shared" si="25"/>
        <v>9.0579188430047558E-2</v>
      </c>
    </row>
    <row r="10" spans="2:52" x14ac:dyDescent="0.35">
      <c r="B10" t="s">
        <v>75</v>
      </c>
      <c r="C10" s="142">
        <f>Inputs!$K$18</f>
        <v>1601027</v>
      </c>
      <c r="F10" s="12">
        <f t="shared" si="2"/>
        <v>6</v>
      </c>
      <c r="G10" s="132">
        <f t="shared" si="3"/>
        <v>1675376.4502343952</v>
      </c>
      <c r="H10" s="132">
        <f>IF($F10&lt;=$C$16*12,$G10-$C$7+SUM('Mortgage Calculators (By Month)'!$D$23:$D28),"-")</f>
        <v>1675376.4502343952</v>
      </c>
      <c r="I10" s="132">
        <f t="shared" si="4"/>
        <v>8583.3333333333339</v>
      </c>
      <c r="J10" s="132">
        <f>IF($F10&lt;=$C$16*12,SUM(Inputs!$C$61:$C$78)*'Forecast (By Month)'!I10,"-")</f>
        <v>944.16666666666674</v>
      </c>
      <c r="K10" s="132">
        <f>IF($F10&lt;=$C$16*12,(SUMIF(Inputs!$C$61:$C$78,0,Inputs!$F$61:$F$78)/12)*(1+$C$34)^ROUNDDOWN((F10-1)/12,0),"-")</f>
        <v>1488.1666666666667</v>
      </c>
      <c r="L10" s="132">
        <f t="shared" si="5"/>
        <v>2432.3333333333335</v>
      </c>
      <c r="M10" s="132">
        <f>IF($F10&lt;=$C$16*12,'Mortgage Calculators (By Month)'!$C28,"-")</f>
        <v>0</v>
      </c>
      <c r="N10" s="132">
        <f>IF($F10&lt;=$C$16*12,'Mortgage Calculators (By Month)'!$D28,"-")</f>
        <v>0</v>
      </c>
      <c r="O10" s="132">
        <f>IF($F10&lt;=$C$16*12,'Mortgage Calculators (By Month)'!$E28,"-")</f>
        <v>8.3333333333333339</v>
      </c>
      <c r="P10" s="132">
        <f t="shared" si="26"/>
        <v>0</v>
      </c>
      <c r="Q10" s="132">
        <f t="shared" si="6"/>
        <v>2440.666666666667</v>
      </c>
      <c r="R10" s="132">
        <f t="shared" si="7"/>
        <v>6151</v>
      </c>
      <c r="S10" s="132">
        <f t="shared" si="8"/>
        <v>0</v>
      </c>
      <c r="T10" s="132">
        <f t="shared" si="0"/>
        <v>6151</v>
      </c>
      <c r="U10" s="132">
        <f>IF($F10&lt;=$C$16*12,SUM(T$5:T10),"-")</f>
        <v>36906</v>
      </c>
      <c r="V10" s="132">
        <f>IF($F10&lt;=$C$16*12,G10-$C$10-'RE Calculations'!$C197-'Mortgage Calculators (By Month)'!$F28,"-")</f>
        <v>36341.921229707317</v>
      </c>
      <c r="W10" s="29">
        <f t="shared" si="9"/>
        <v>2.2699130764007924E-2</v>
      </c>
      <c r="X10" s="31">
        <f t="shared" si="10"/>
        <v>4.5398261528015849E-2</v>
      </c>
      <c r="Y10" s="132">
        <f t="shared" si="11"/>
        <v>73247.92122970731</v>
      </c>
      <c r="Z10" s="29">
        <f t="shared" si="12"/>
        <v>4.5750584612069198E-2</v>
      </c>
      <c r="AA10" s="31">
        <f t="shared" si="13"/>
        <v>9.1501169224138396E-2</v>
      </c>
      <c r="AD10" s="12">
        <f t="shared" si="14"/>
        <v>6</v>
      </c>
      <c r="AE10" s="132">
        <f t="shared" si="15"/>
        <v>1675376.4502343952</v>
      </c>
      <c r="AF10" s="132">
        <f>IF($AD10&lt;=$C$25*12,$AE10-$C$7+SUM('Mortgage Calculators (By Month)'!$K$23:$K28),"-")</f>
        <v>1675376.4502343952</v>
      </c>
      <c r="AG10" s="132">
        <f t="shared" si="16"/>
        <v>8583.3333333333339</v>
      </c>
      <c r="AH10" s="132">
        <f>IF($AD10&lt;=$C$25*12,SUM(Inputs!$C$61:$C$78)*'Forecast (By Month)'!AG10,"-")</f>
        <v>944.16666666666674</v>
      </c>
      <c r="AI10" s="132">
        <f>IF($AD10&lt;=$C$25*12,(SUMIF(Inputs!$C$61:$C$78,0,Inputs!$F$61:$F$78)/12)*(1+$C$34)^ROUNDDOWN((AD10-1)/12,0),"-")</f>
        <v>1488.1666666666667</v>
      </c>
      <c r="AJ10" s="132">
        <f t="shared" si="17"/>
        <v>2432.3333333333335</v>
      </c>
      <c r="AK10" s="132">
        <f>IF($AD10&lt;=$C$25*12,'Mortgage Calculators (By Month)'!$J28,"-")</f>
        <v>0</v>
      </c>
      <c r="AL10" s="132">
        <f>IF($AD10&lt;=$C$25*12,'Mortgage Calculators (By Month)'!$K28,"-")</f>
        <v>0</v>
      </c>
      <c r="AM10" s="132">
        <f>IF($AD10&lt;=$C$25*12,'Mortgage Calculators (By Month)'!$L28,"-")</f>
        <v>10</v>
      </c>
      <c r="AN10" s="132">
        <f t="shared" si="27"/>
        <v>0</v>
      </c>
      <c r="AO10" s="132">
        <f t="shared" si="18"/>
        <v>2442.3333333333335</v>
      </c>
      <c r="AP10" s="132">
        <f t="shared" si="19"/>
        <v>6151</v>
      </c>
      <c r="AQ10" s="132">
        <f t="shared" si="20"/>
        <v>0</v>
      </c>
      <c r="AR10" s="132">
        <f t="shared" si="1"/>
        <v>6151</v>
      </c>
      <c r="AS10" s="132">
        <f>IF($AD10&lt;=$C$25*12,SUM(AR$5:AR10),"-")</f>
        <v>36896</v>
      </c>
      <c r="AT10" s="132">
        <f>IF($AD10&lt;=$C$25*12,AE10-$C$10-'RE Calculations'!$C197-'Mortgage Calculators (By Month)'!$M28,"-")</f>
        <v>36341.921229707317</v>
      </c>
      <c r="AU10" s="29">
        <f t="shared" si="21"/>
        <v>2.2699130764007924E-2</v>
      </c>
      <c r="AV10" s="31">
        <f t="shared" si="22"/>
        <v>4.5398261528015849E-2</v>
      </c>
      <c r="AW10" s="132">
        <f t="shared" si="23"/>
        <v>73237.92122970731</v>
      </c>
      <c r="AX10" s="29">
        <f t="shared" si="24"/>
        <v>4.5744338621214575E-2</v>
      </c>
      <c r="AY10" s="31">
        <f t="shared" si="25"/>
        <v>9.1488677242429151E-2</v>
      </c>
    </row>
    <row r="11" spans="2:52" x14ac:dyDescent="0.35">
      <c r="B11" t="s">
        <v>74</v>
      </c>
      <c r="C11" s="142">
        <f>Inputs!$K$19</f>
        <v>46234.407093750007</v>
      </c>
      <c r="F11" s="12">
        <f t="shared" si="2"/>
        <v>7</v>
      </c>
      <c r="G11" s="132">
        <f t="shared" si="3"/>
        <v>1682202.1412768594</v>
      </c>
      <c r="H11" s="132">
        <f>IF($F11&lt;=$C$16*12,$G11-$C$7+SUM('Mortgage Calculators (By Month)'!$D$23:$D29),"-")</f>
        <v>1682202.1412768594</v>
      </c>
      <c r="I11" s="132">
        <f t="shared" si="4"/>
        <v>8583.3333333333339</v>
      </c>
      <c r="J11" s="132">
        <f>IF($F11&lt;=$C$16*12,SUM(Inputs!$C$61:$C$78)*'Forecast (By Month)'!I11,"-")</f>
        <v>944.16666666666674</v>
      </c>
      <c r="K11" s="132">
        <f>IF($F11&lt;=$C$16*12,(SUMIF(Inputs!$C$61:$C$78,0,Inputs!$F$61:$F$78)/12)*(1+$C$34)^ROUNDDOWN((F11-1)/12,0),"-")</f>
        <v>1488.1666666666667</v>
      </c>
      <c r="L11" s="132">
        <f t="shared" si="5"/>
        <v>2432.3333333333335</v>
      </c>
      <c r="M11" s="132">
        <f>IF($F11&lt;=$C$16*12,'Mortgage Calculators (By Month)'!$C29,"-")</f>
        <v>0</v>
      </c>
      <c r="N11" s="132">
        <f>IF($F11&lt;=$C$16*12,'Mortgage Calculators (By Month)'!$D29,"-")</f>
        <v>0</v>
      </c>
      <c r="O11" s="132">
        <f>IF($F11&lt;=$C$16*12,'Mortgage Calculators (By Month)'!$E29,"-")</f>
        <v>8.3333333333333339</v>
      </c>
      <c r="P11" s="132">
        <f t="shared" si="26"/>
        <v>0</v>
      </c>
      <c r="Q11" s="132">
        <f t="shared" si="6"/>
        <v>2440.666666666667</v>
      </c>
      <c r="R11" s="132">
        <f t="shared" si="7"/>
        <v>6151</v>
      </c>
      <c r="S11" s="132">
        <f t="shared" si="8"/>
        <v>0</v>
      </c>
      <c r="T11" s="132">
        <f t="shared" si="0"/>
        <v>6151</v>
      </c>
      <c r="U11" s="132">
        <f>IF($F11&lt;=$C$16*12,SUM(T$5:T11),"-")</f>
        <v>43057</v>
      </c>
      <c r="V11" s="132">
        <f>IF($F11&lt;=$C$16*12,G11-$C$10-'RE Calculations'!$C198-'Mortgage Calculators (By Month)'!$F29,"-")</f>
        <v>43031.098451322257</v>
      </c>
      <c r="W11" s="29">
        <f t="shared" si="9"/>
        <v>2.6877184739121988E-2</v>
      </c>
      <c r="X11" s="31">
        <f t="shared" si="10"/>
        <v>4.6075173838494833E-2</v>
      </c>
      <c r="Y11" s="132">
        <f t="shared" si="11"/>
        <v>86088.098451322265</v>
      </c>
      <c r="Z11" s="29">
        <f t="shared" si="12"/>
        <v>5.3770547561860144E-2</v>
      </c>
      <c r="AA11" s="31">
        <f t="shared" si="13"/>
        <v>9.2178081534617387E-2</v>
      </c>
      <c r="AB11" s="8"/>
      <c r="AC11" s="8"/>
      <c r="AD11" s="12">
        <f t="shared" si="14"/>
        <v>7</v>
      </c>
      <c r="AE11" s="132">
        <f t="shared" si="15"/>
        <v>1682202.1412768594</v>
      </c>
      <c r="AF11" s="132">
        <f>IF($AD11&lt;=$C$25*12,$AE11-$C$7+SUM('Mortgage Calculators (By Month)'!$K$23:$K29),"-")</f>
        <v>1682202.1412768594</v>
      </c>
      <c r="AG11" s="132">
        <f t="shared" si="16"/>
        <v>8583.3333333333339</v>
      </c>
      <c r="AH11" s="132">
        <f>IF($AD11&lt;=$C$25*12,SUM(Inputs!$C$61:$C$78)*'Forecast (By Month)'!AG11,"-")</f>
        <v>944.16666666666674</v>
      </c>
      <c r="AI11" s="132">
        <f>IF($AD11&lt;=$C$25*12,(SUMIF(Inputs!$C$61:$C$78,0,Inputs!$F$61:$F$78)/12)*(1+$C$34)^ROUNDDOWN((AD11-1)/12,0),"-")</f>
        <v>1488.1666666666667</v>
      </c>
      <c r="AJ11" s="132">
        <f t="shared" si="17"/>
        <v>2432.3333333333335</v>
      </c>
      <c r="AK11" s="132">
        <f>IF($AD11&lt;=$C$25*12,'Mortgage Calculators (By Month)'!$J29,"-")</f>
        <v>0</v>
      </c>
      <c r="AL11" s="132">
        <f>IF($AD11&lt;=$C$25*12,'Mortgage Calculators (By Month)'!$K29,"-")</f>
        <v>0</v>
      </c>
      <c r="AM11" s="132">
        <f>IF($AD11&lt;=$C$25*12,'Mortgage Calculators (By Month)'!$L29,"-")</f>
        <v>10</v>
      </c>
      <c r="AN11" s="132">
        <f t="shared" si="27"/>
        <v>0</v>
      </c>
      <c r="AO11" s="132">
        <f t="shared" si="18"/>
        <v>2442.3333333333335</v>
      </c>
      <c r="AP11" s="132">
        <f t="shared" si="19"/>
        <v>6151</v>
      </c>
      <c r="AQ11" s="132">
        <f t="shared" si="20"/>
        <v>0</v>
      </c>
      <c r="AR11" s="132">
        <f t="shared" si="1"/>
        <v>6151</v>
      </c>
      <c r="AS11" s="132">
        <f>IF($AD11&lt;=$C$25*12,SUM(AR$5:AR11),"-")</f>
        <v>43047</v>
      </c>
      <c r="AT11" s="132">
        <f>IF($AD11&lt;=$C$25*12,AE11-$C$10-'RE Calculations'!$C198-'Mortgage Calculators (By Month)'!$M29,"-")</f>
        <v>43031.098451322257</v>
      </c>
      <c r="AU11" s="29">
        <f t="shared" si="21"/>
        <v>2.6877184739121988E-2</v>
      </c>
      <c r="AV11" s="31">
        <f t="shared" si="22"/>
        <v>4.6075173838494833E-2</v>
      </c>
      <c r="AW11" s="132">
        <f t="shared" si="23"/>
        <v>86078.098451322265</v>
      </c>
      <c r="AX11" s="29">
        <f t="shared" si="24"/>
        <v>5.3764301571005528E-2</v>
      </c>
      <c r="AY11" s="31">
        <f t="shared" si="25"/>
        <v>9.2167374121723752E-2</v>
      </c>
      <c r="AZ11" s="8"/>
    </row>
    <row r="12" spans="2:52" x14ac:dyDescent="0.35">
      <c r="F12" s="12">
        <f t="shared" si="2"/>
        <v>8</v>
      </c>
      <c r="G12" s="132">
        <f t="shared" si="3"/>
        <v>1689055.6410295398</v>
      </c>
      <c r="H12" s="132">
        <f>IF($F12&lt;=$C$16*12,$G12-$C$7+SUM('Mortgage Calculators (By Month)'!$D$23:$D30),"-")</f>
        <v>1689055.6410295398</v>
      </c>
      <c r="I12" s="132">
        <f t="shared" si="4"/>
        <v>8583.3333333333339</v>
      </c>
      <c r="J12" s="132">
        <f>IF($F12&lt;=$C$16*12,SUM(Inputs!$C$61:$C$78)*'Forecast (By Month)'!I12,"-")</f>
        <v>944.16666666666674</v>
      </c>
      <c r="K12" s="132">
        <f>IF($F12&lt;=$C$16*12,(SUMIF(Inputs!$C$61:$C$78,0,Inputs!$F$61:$F$78)/12)*(1+$C$34)^ROUNDDOWN((F12-1)/12,0),"-")</f>
        <v>1488.1666666666667</v>
      </c>
      <c r="L12" s="132">
        <f t="shared" si="5"/>
        <v>2432.3333333333335</v>
      </c>
      <c r="M12" s="132">
        <f>IF($F12&lt;=$C$16*12,'Mortgage Calculators (By Month)'!$C30,"-")</f>
        <v>0</v>
      </c>
      <c r="N12" s="132">
        <f>IF($F12&lt;=$C$16*12,'Mortgage Calculators (By Month)'!$D30,"-")</f>
        <v>0</v>
      </c>
      <c r="O12" s="132">
        <f>IF($F12&lt;=$C$16*12,'Mortgage Calculators (By Month)'!$E30,"-")</f>
        <v>8.3333333333333339</v>
      </c>
      <c r="P12" s="132">
        <f t="shared" si="26"/>
        <v>0</v>
      </c>
      <c r="Q12" s="132">
        <f t="shared" si="6"/>
        <v>2440.666666666667</v>
      </c>
      <c r="R12" s="132">
        <f t="shared" si="7"/>
        <v>6151</v>
      </c>
      <c r="S12" s="132">
        <f t="shared" si="8"/>
        <v>0</v>
      </c>
      <c r="T12" s="132">
        <f t="shared" si="0"/>
        <v>6151</v>
      </c>
      <c r="U12" s="132">
        <f>IF($F12&lt;=$C$16*12,SUM(T$5:T12),"-")</f>
        <v>49208</v>
      </c>
      <c r="V12" s="132">
        <f>IF($F12&lt;=$C$16*12,G12-$C$10-'RE Calculations'!$C199-'Mortgage Calculators (By Month)'!$F30,"-")</f>
        <v>49747.528208948956</v>
      </c>
      <c r="W12" s="29">
        <f t="shared" si="9"/>
        <v>3.1072260623305512E-2</v>
      </c>
      <c r="X12" s="31">
        <f t="shared" si="10"/>
        <v>4.660839093495827E-2</v>
      </c>
      <c r="Y12" s="132">
        <f t="shared" si="11"/>
        <v>98955.528208948963</v>
      </c>
      <c r="Z12" s="29">
        <f t="shared" si="12"/>
        <v>6.1807532420720554E-2</v>
      </c>
      <c r="AA12" s="31">
        <f t="shared" si="13"/>
        <v>9.2711298631080838E-2</v>
      </c>
      <c r="AD12" s="12">
        <f t="shared" si="14"/>
        <v>8</v>
      </c>
      <c r="AE12" s="132">
        <f t="shared" si="15"/>
        <v>1689055.6410295398</v>
      </c>
      <c r="AF12" s="132">
        <f>IF($AD12&lt;=$C$25*12,$AE12-$C$7+SUM('Mortgage Calculators (By Month)'!$K$23:$K30),"-")</f>
        <v>1689055.6410295398</v>
      </c>
      <c r="AG12" s="132">
        <f t="shared" si="16"/>
        <v>8583.3333333333339</v>
      </c>
      <c r="AH12" s="132">
        <f>IF($AD12&lt;=$C$25*12,SUM(Inputs!$C$61:$C$78)*'Forecast (By Month)'!AG12,"-")</f>
        <v>944.16666666666674</v>
      </c>
      <c r="AI12" s="132">
        <f>IF($AD12&lt;=$C$25*12,(SUMIF(Inputs!$C$61:$C$78,0,Inputs!$F$61:$F$78)/12)*(1+$C$34)^ROUNDDOWN((AD12-1)/12,0),"-")</f>
        <v>1488.1666666666667</v>
      </c>
      <c r="AJ12" s="132">
        <f t="shared" si="17"/>
        <v>2432.3333333333335</v>
      </c>
      <c r="AK12" s="132">
        <f>IF($AD12&lt;=$C$25*12,'Mortgage Calculators (By Month)'!$J30,"-")</f>
        <v>0</v>
      </c>
      <c r="AL12" s="132">
        <f>IF($AD12&lt;=$C$25*12,'Mortgage Calculators (By Month)'!$K30,"-")</f>
        <v>0</v>
      </c>
      <c r="AM12" s="132">
        <f>IF($AD12&lt;=$C$25*12,'Mortgage Calculators (By Month)'!$L30,"-")</f>
        <v>10</v>
      </c>
      <c r="AN12" s="132">
        <f t="shared" si="27"/>
        <v>0</v>
      </c>
      <c r="AO12" s="132">
        <f t="shared" si="18"/>
        <v>2442.3333333333335</v>
      </c>
      <c r="AP12" s="132">
        <f t="shared" si="19"/>
        <v>6151</v>
      </c>
      <c r="AQ12" s="132">
        <f t="shared" si="20"/>
        <v>0</v>
      </c>
      <c r="AR12" s="132">
        <f t="shared" si="1"/>
        <v>6151</v>
      </c>
      <c r="AS12" s="132">
        <f>IF($AD12&lt;=$C$25*12,SUM(AR$5:AR12),"-")</f>
        <v>49198</v>
      </c>
      <c r="AT12" s="132">
        <f>IF($AD12&lt;=$C$25*12,AE12-$C$10-'RE Calculations'!$C199-'Mortgage Calculators (By Month)'!$M30,"-")</f>
        <v>49747.528208948956</v>
      </c>
      <c r="AU12" s="29">
        <f t="shared" si="21"/>
        <v>3.1072260623305512E-2</v>
      </c>
      <c r="AV12" s="31">
        <f t="shared" si="22"/>
        <v>4.660839093495827E-2</v>
      </c>
      <c r="AW12" s="132">
        <f t="shared" si="23"/>
        <v>98945.528208948963</v>
      </c>
      <c r="AX12" s="29">
        <f t="shared" si="24"/>
        <v>6.1801286429865931E-2</v>
      </c>
      <c r="AY12" s="31">
        <f t="shared" si="25"/>
        <v>9.2701929644798897E-2</v>
      </c>
    </row>
    <row r="13" spans="2:52" x14ac:dyDescent="0.35">
      <c r="B13" s="46" t="s">
        <v>141</v>
      </c>
      <c r="C13" s="54"/>
      <c r="F13" s="12">
        <f t="shared" si="2"/>
        <v>9</v>
      </c>
      <c r="G13" s="132">
        <f t="shared" si="3"/>
        <v>1695937.0627885635</v>
      </c>
      <c r="H13" s="132">
        <f>IF($F13&lt;=$C$16*12,$G13-$C$7+SUM('Mortgage Calculators (By Month)'!$D$23:$D31),"-")</f>
        <v>1695937.0627885635</v>
      </c>
      <c r="I13" s="132">
        <f t="shared" si="4"/>
        <v>8583.3333333333339</v>
      </c>
      <c r="J13" s="132">
        <f>IF($F13&lt;=$C$16*12,SUM(Inputs!$C$61:$C$78)*'Forecast (By Month)'!I13,"-")</f>
        <v>944.16666666666674</v>
      </c>
      <c r="K13" s="132">
        <f>IF($F13&lt;=$C$16*12,(SUMIF(Inputs!$C$61:$C$78,0,Inputs!$F$61:$F$78)/12)*(1+$C$34)^ROUNDDOWN((F13-1)/12,0),"-")</f>
        <v>1488.1666666666667</v>
      </c>
      <c r="L13" s="132">
        <f t="shared" si="5"/>
        <v>2432.3333333333335</v>
      </c>
      <c r="M13" s="132">
        <f>IF($F13&lt;=$C$16*12,'Mortgage Calculators (By Month)'!$C31,"-")</f>
        <v>0</v>
      </c>
      <c r="N13" s="132">
        <f>IF($F13&lt;=$C$16*12,'Mortgage Calculators (By Month)'!$D31,"-")</f>
        <v>0</v>
      </c>
      <c r="O13" s="132">
        <f>IF($F13&lt;=$C$16*12,'Mortgage Calculators (By Month)'!$E31,"-")</f>
        <v>8.3333333333333339</v>
      </c>
      <c r="P13" s="132">
        <f t="shared" si="26"/>
        <v>0</v>
      </c>
      <c r="Q13" s="132">
        <f t="shared" si="6"/>
        <v>2440.666666666667</v>
      </c>
      <c r="R13" s="132">
        <f t="shared" si="7"/>
        <v>6151</v>
      </c>
      <c r="S13" s="132">
        <f t="shared" si="8"/>
        <v>0</v>
      </c>
      <c r="T13" s="132">
        <f t="shared" si="0"/>
        <v>6151</v>
      </c>
      <c r="U13" s="132">
        <f>IF($F13&lt;=$C$16*12,SUM(T$5:T13),"-")</f>
        <v>55359</v>
      </c>
      <c r="V13" s="132">
        <f>IF($F13&lt;=$C$16*12,G13-$C$10-'RE Calculations'!$C200-'Mortgage Calculators (By Month)'!$F31,"-")</f>
        <v>56491.321532792274</v>
      </c>
      <c r="W13" s="29">
        <f t="shared" si="9"/>
        <v>3.5284427765922922E-2</v>
      </c>
      <c r="X13" s="31">
        <f t="shared" si="10"/>
        <v>4.7045903687897232E-2</v>
      </c>
      <c r="Y13" s="132">
        <f t="shared" si="11"/>
        <v>111850.32153279227</v>
      </c>
      <c r="Z13" s="29">
        <f t="shared" si="12"/>
        <v>6.9861608538014833E-2</v>
      </c>
      <c r="AA13" s="31">
        <f t="shared" si="13"/>
        <v>9.3148811384019772E-2</v>
      </c>
      <c r="AD13" s="12">
        <f t="shared" si="14"/>
        <v>9</v>
      </c>
      <c r="AE13" s="132">
        <f t="shared" si="15"/>
        <v>1695937.0627885635</v>
      </c>
      <c r="AF13" s="132">
        <f>IF($AD13&lt;=$C$25*12,$AE13-$C$7+SUM('Mortgage Calculators (By Month)'!$K$23:$K31),"-")</f>
        <v>1695937.0627885635</v>
      </c>
      <c r="AG13" s="132">
        <f t="shared" si="16"/>
        <v>8583.3333333333339</v>
      </c>
      <c r="AH13" s="132">
        <f>IF($AD13&lt;=$C$25*12,SUM(Inputs!$C$61:$C$78)*'Forecast (By Month)'!AG13,"-")</f>
        <v>944.16666666666674</v>
      </c>
      <c r="AI13" s="132">
        <f>IF($AD13&lt;=$C$25*12,(SUMIF(Inputs!$C$61:$C$78,0,Inputs!$F$61:$F$78)/12)*(1+$C$34)^ROUNDDOWN((AD13-1)/12,0),"-")</f>
        <v>1488.1666666666667</v>
      </c>
      <c r="AJ13" s="132">
        <f t="shared" si="17"/>
        <v>2432.3333333333335</v>
      </c>
      <c r="AK13" s="132">
        <f>IF($AD13&lt;=$C$25*12,'Mortgage Calculators (By Month)'!$J31,"-")</f>
        <v>0</v>
      </c>
      <c r="AL13" s="132">
        <f>IF($AD13&lt;=$C$25*12,'Mortgage Calculators (By Month)'!$K31,"-")</f>
        <v>0</v>
      </c>
      <c r="AM13" s="132">
        <f>IF($AD13&lt;=$C$25*12,'Mortgage Calculators (By Month)'!$L31,"-")</f>
        <v>10</v>
      </c>
      <c r="AN13" s="132">
        <f t="shared" si="27"/>
        <v>0</v>
      </c>
      <c r="AO13" s="132">
        <f t="shared" si="18"/>
        <v>2442.3333333333335</v>
      </c>
      <c r="AP13" s="132">
        <f t="shared" si="19"/>
        <v>6151</v>
      </c>
      <c r="AQ13" s="132">
        <f t="shared" si="20"/>
        <v>0</v>
      </c>
      <c r="AR13" s="132">
        <f t="shared" si="1"/>
        <v>6151</v>
      </c>
      <c r="AS13" s="132">
        <f>IF($AD13&lt;=$C$25*12,SUM(AR$5:AR13),"-")</f>
        <v>55349</v>
      </c>
      <c r="AT13" s="132">
        <f>IF($AD13&lt;=$C$25*12,AE13-$C$10-'RE Calculations'!$C200-'Mortgage Calculators (By Month)'!$M31,"-")</f>
        <v>56491.321532792274</v>
      </c>
      <c r="AU13" s="29">
        <f t="shared" si="21"/>
        <v>3.5284427765922922E-2</v>
      </c>
      <c r="AV13" s="31">
        <f t="shared" si="22"/>
        <v>4.7045903687897232E-2</v>
      </c>
      <c r="AW13" s="132">
        <f t="shared" si="23"/>
        <v>111840.32153279227</v>
      </c>
      <c r="AX13" s="29">
        <f t="shared" si="24"/>
        <v>6.985536254716021E-2</v>
      </c>
      <c r="AY13" s="31">
        <f t="shared" si="25"/>
        <v>9.3140483396213614E-2</v>
      </c>
    </row>
    <row r="14" spans="2:52" x14ac:dyDescent="0.35">
      <c r="B14" t="s">
        <v>11</v>
      </c>
      <c r="C14" s="4">
        <f>Inputs!$K$35</f>
        <v>4.4999999999999998E-2</v>
      </c>
      <c r="F14" s="12">
        <f t="shared" si="2"/>
        <v>10</v>
      </c>
      <c r="G14" s="132">
        <f t="shared" si="3"/>
        <v>1702846.5203116413</v>
      </c>
      <c r="H14" s="132">
        <f>IF($F14&lt;=$C$16*12,$G14-$C$7+SUM('Mortgage Calculators (By Month)'!$D$23:$D32),"-")</f>
        <v>1702846.5203116413</v>
      </c>
      <c r="I14" s="132">
        <f t="shared" si="4"/>
        <v>8583.3333333333339</v>
      </c>
      <c r="J14" s="132">
        <f>IF($F14&lt;=$C$16*12,SUM(Inputs!$C$61:$C$78)*'Forecast (By Month)'!I14,"-")</f>
        <v>944.16666666666674</v>
      </c>
      <c r="K14" s="132">
        <f>IF($F14&lt;=$C$16*12,(SUMIF(Inputs!$C$61:$C$78,0,Inputs!$F$61:$F$78)/12)*(1+$C$34)^ROUNDDOWN((F14-1)/12,0),"-")</f>
        <v>1488.1666666666667</v>
      </c>
      <c r="L14" s="132">
        <f t="shared" si="5"/>
        <v>2432.3333333333335</v>
      </c>
      <c r="M14" s="132">
        <f>IF($F14&lt;=$C$16*12,'Mortgage Calculators (By Month)'!$C32,"-")</f>
        <v>0</v>
      </c>
      <c r="N14" s="132">
        <f>IF($F14&lt;=$C$16*12,'Mortgage Calculators (By Month)'!$D32,"-")</f>
        <v>0</v>
      </c>
      <c r="O14" s="132">
        <f>IF($F14&lt;=$C$16*12,'Mortgage Calculators (By Month)'!$E32,"-")</f>
        <v>8.3333333333333339</v>
      </c>
      <c r="P14" s="132">
        <f t="shared" si="26"/>
        <v>0</v>
      </c>
      <c r="Q14" s="132">
        <f t="shared" si="6"/>
        <v>2440.666666666667</v>
      </c>
      <c r="R14" s="132">
        <f t="shared" si="7"/>
        <v>6151</v>
      </c>
      <c r="S14" s="132">
        <f t="shared" si="8"/>
        <v>0</v>
      </c>
      <c r="T14" s="132">
        <f t="shared" si="0"/>
        <v>6151</v>
      </c>
      <c r="U14" s="132">
        <f>IF($F14&lt;=$C$16*12,SUM(T$5:T14),"-")</f>
        <v>61510</v>
      </c>
      <c r="V14" s="132">
        <f>IF($F14&lt;=$C$16*12,G14-$C$10-'RE Calculations'!$C201-'Mortgage Calculators (By Month)'!$F32,"-")</f>
        <v>63262.589905408444</v>
      </c>
      <c r="W14" s="29">
        <f t="shared" si="9"/>
        <v>3.9513755798876872E-2</v>
      </c>
      <c r="X14" s="31">
        <f t="shared" si="10"/>
        <v>4.7416506958652245E-2</v>
      </c>
      <c r="Y14" s="132">
        <f t="shared" si="11"/>
        <v>124772.58990540844</v>
      </c>
      <c r="Z14" s="29">
        <f t="shared" si="12"/>
        <v>7.7932845545645668E-2</v>
      </c>
      <c r="AA14" s="31">
        <f t="shared" si="13"/>
        <v>9.3519414654774799E-2</v>
      </c>
      <c r="AD14" s="12">
        <f t="shared" si="14"/>
        <v>10</v>
      </c>
      <c r="AE14" s="132">
        <f t="shared" si="15"/>
        <v>1702846.5203116413</v>
      </c>
      <c r="AF14" s="132">
        <f>IF($AD14&lt;=$C$25*12,$AE14-$C$7+SUM('Mortgage Calculators (By Month)'!$K$23:$K32),"-")</f>
        <v>1702846.5203116413</v>
      </c>
      <c r="AG14" s="132">
        <f t="shared" si="16"/>
        <v>8583.3333333333339</v>
      </c>
      <c r="AH14" s="132">
        <f>IF($AD14&lt;=$C$25*12,SUM(Inputs!$C$61:$C$78)*'Forecast (By Month)'!AG14,"-")</f>
        <v>944.16666666666674</v>
      </c>
      <c r="AI14" s="132">
        <f>IF($AD14&lt;=$C$25*12,(SUMIF(Inputs!$C$61:$C$78,0,Inputs!$F$61:$F$78)/12)*(1+$C$34)^ROUNDDOWN((AD14-1)/12,0),"-")</f>
        <v>1488.1666666666667</v>
      </c>
      <c r="AJ14" s="132">
        <f t="shared" si="17"/>
        <v>2432.3333333333335</v>
      </c>
      <c r="AK14" s="132">
        <f>IF($AD14&lt;=$C$25*12,'Mortgage Calculators (By Month)'!$J32,"-")</f>
        <v>0</v>
      </c>
      <c r="AL14" s="132">
        <f>IF($AD14&lt;=$C$25*12,'Mortgage Calculators (By Month)'!$K32,"-")</f>
        <v>0</v>
      </c>
      <c r="AM14" s="132">
        <f>IF($AD14&lt;=$C$25*12,'Mortgage Calculators (By Month)'!$L32,"-")</f>
        <v>10</v>
      </c>
      <c r="AN14" s="132">
        <f t="shared" si="27"/>
        <v>0</v>
      </c>
      <c r="AO14" s="132">
        <f t="shared" si="18"/>
        <v>2442.3333333333335</v>
      </c>
      <c r="AP14" s="132">
        <f t="shared" si="19"/>
        <v>6151</v>
      </c>
      <c r="AQ14" s="132">
        <f t="shared" si="20"/>
        <v>0</v>
      </c>
      <c r="AR14" s="132">
        <f t="shared" si="1"/>
        <v>6151</v>
      </c>
      <c r="AS14" s="132">
        <f>IF($AD14&lt;=$C$25*12,SUM(AR$5:AR14),"-")</f>
        <v>61500</v>
      </c>
      <c r="AT14" s="132">
        <f>IF($AD14&lt;=$C$25*12,AE14-$C$10-'RE Calculations'!$C201-'Mortgage Calculators (By Month)'!$M32,"-")</f>
        <v>63262.589905408444</v>
      </c>
      <c r="AU14" s="29">
        <f t="shared" si="21"/>
        <v>3.9513755798876872E-2</v>
      </c>
      <c r="AV14" s="31">
        <f t="shared" si="22"/>
        <v>4.7416506958652245E-2</v>
      </c>
      <c r="AW14" s="132">
        <f t="shared" si="23"/>
        <v>124762.58990540844</v>
      </c>
      <c r="AX14" s="29">
        <f t="shared" si="24"/>
        <v>7.7926599554791046E-2</v>
      </c>
      <c r="AY14" s="31">
        <f t="shared" si="25"/>
        <v>9.3511919465749258E-2</v>
      </c>
    </row>
    <row r="15" spans="2:52" x14ac:dyDescent="0.35">
      <c r="B15" t="s">
        <v>14</v>
      </c>
      <c r="C15" s="9">
        <f>C14/12</f>
        <v>3.7499999999999999E-3</v>
      </c>
      <c r="F15" s="12">
        <f t="shared" si="2"/>
        <v>11</v>
      </c>
      <c r="G15" s="132">
        <f t="shared" si="3"/>
        <v>1709784.1278199458</v>
      </c>
      <c r="H15" s="132">
        <f>IF($F15&lt;=$C$16*12,$G15-$C$7+SUM('Mortgage Calculators (By Month)'!$D$23:$D33),"-")</f>
        <v>1709784.1278199458</v>
      </c>
      <c r="I15" s="132">
        <f t="shared" si="4"/>
        <v>8583.3333333333339</v>
      </c>
      <c r="J15" s="132">
        <f>IF($F15&lt;=$C$16*12,SUM(Inputs!$C$61:$C$78)*'Forecast (By Month)'!I15,"-")</f>
        <v>944.16666666666674</v>
      </c>
      <c r="K15" s="132">
        <f>IF($F15&lt;=$C$16*12,(SUMIF(Inputs!$C$61:$C$78,0,Inputs!$F$61:$F$78)/12)*(1+$C$34)^ROUNDDOWN((F15-1)/12,0),"-")</f>
        <v>1488.1666666666667</v>
      </c>
      <c r="L15" s="132">
        <f t="shared" si="5"/>
        <v>2432.3333333333335</v>
      </c>
      <c r="M15" s="132">
        <f>IF($F15&lt;=$C$16*12,'Mortgage Calculators (By Month)'!$C33,"-")</f>
        <v>0</v>
      </c>
      <c r="N15" s="132">
        <f>IF($F15&lt;=$C$16*12,'Mortgage Calculators (By Month)'!$D33,"-")</f>
        <v>0</v>
      </c>
      <c r="O15" s="132">
        <f>IF($F15&lt;=$C$16*12,'Mortgage Calculators (By Month)'!$E33,"-")</f>
        <v>8.3333333333333339</v>
      </c>
      <c r="P15" s="132">
        <f t="shared" si="26"/>
        <v>0</v>
      </c>
      <c r="Q15" s="132">
        <f t="shared" si="6"/>
        <v>2440.666666666667</v>
      </c>
      <c r="R15" s="132">
        <f t="shared" si="7"/>
        <v>6151</v>
      </c>
      <c r="S15" s="132">
        <f t="shared" si="8"/>
        <v>0</v>
      </c>
      <c r="T15" s="132">
        <f t="shared" si="0"/>
        <v>6151</v>
      </c>
      <c r="U15" s="132">
        <f>IF($F15&lt;=$C$16*12,SUM(T$5:T15),"-")</f>
        <v>67661</v>
      </c>
      <c r="V15" s="132">
        <f>IF($F15&lt;=$C$16*12,G15-$C$10-'RE Calculations'!$C202-'Mortgage Calculators (By Month)'!$F33,"-")</f>
        <v>70061.445263546892</v>
      </c>
      <c r="W15" s="29">
        <f t="shared" si="9"/>
        <v>4.3760314637758695E-2</v>
      </c>
      <c r="X15" s="31">
        <f t="shared" si="10"/>
        <v>4.7738525059373121E-2</v>
      </c>
      <c r="Y15" s="132">
        <f t="shared" si="11"/>
        <v>137722.44526354689</v>
      </c>
      <c r="Z15" s="29">
        <f t="shared" si="12"/>
        <v>8.6021313359204363E-2</v>
      </c>
      <c r="AA15" s="31">
        <f t="shared" si="13"/>
        <v>9.3841432755495668E-2</v>
      </c>
      <c r="AD15" s="12">
        <f t="shared" si="14"/>
        <v>11</v>
      </c>
      <c r="AE15" s="132">
        <f t="shared" si="15"/>
        <v>1709784.1278199458</v>
      </c>
      <c r="AF15" s="132">
        <f>IF($AD15&lt;=$C$25*12,$AE15-$C$7+SUM('Mortgage Calculators (By Month)'!$K$23:$K33),"-")</f>
        <v>1709784.1278199458</v>
      </c>
      <c r="AG15" s="132">
        <f t="shared" si="16"/>
        <v>8583.3333333333339</v>
      </c>
      <c r="AH15" s="132">
        <f>IF($AD15&lt;=$C$25*12,SUM(Inputs!$C$61:$C$78)*'Forecast (By Month)'!AG15,"-")</f>
        <v>944.16666666666674</v>
      </c>
      <c r="AI15" s="132">
        <f>IF($AD15&lt;=$C$25*12,(SUMIF(Inputs!$C$61:$C$78,0,Inputs!$F$61:$F$78)/12)*(1+$C$34)^ROUNDDOWN((AD15-1)/12,0),"-")</f>
        <v>1488.1666666666667</v>
      </c>
      <c r="AJ15" s="132">
        <f t="shared" si="17"/>
        <v>2432.3333333333335</v>
      </c>
      <c r="AK15" s="132">
        <f>IF($AD15&lt;=$C$25*12,'Mortgage Calculators (By Month)'!$J33,"-")</f>
        <v>0</v>
      </c>
      <c r="AL15" s="132">
        <f>IF($AD15&lt;=$C$25*12,'Mortgage Calculators (By Month)'!$K33,"-")</f>
        <v>0</v>
      </c>
      <c r="AM15" s="132">
        <f>IF($AD15&lt;=$C$25*12,'Mortgage Calculators (By Month)'!$L33,"-")</f>
        <v>10</v>
      </c>
      <c r="AN15" s="132">
        <f t="shared" si="27"/>
        <v>0</v>
      </c>
      <c r="AO15" s="132">
        <f t="shared" si="18"/>
        <v>2442.3333333333335</v>
      </c>
      <c r="AP15" s="132">
        <f t="shared" si="19"/>
        <v>6151</v>
      </c>
      <c r="AQ15" s="132">
        <f t="shared" si="20"/>
        <v>0</v>
      </c>
      <c r="AR15" s="132">
        <f t="shared" si="1"/>
        <v>6151</v>
      </c>
      <c r="AS15" s="132">
        <f>IF($AD15&lt;=$C$25*12,SUM(AR$5:AR15),"-")</f>
        <v>67651</v>
      </c>
      <c r="AT15" s="132">
        <f>IF($AD15&lt;=$C$25*12,AE15-$C$10-'RE Calculations'!$C202-'Mortgage Calculators (By Month)'!$M33,"-")</f>
        <v>70061.445263546892</v>
      </c>
      <c r="AU15" s="29">
        <f t="shared" si="21"/>
        <v>4.3760314637758695E-2</v>
      </c>
      <c r="AV15" s="31">
        <f t="shared" si="22"/>
        <v>4.7738525059373121E-2</v>
      </c>
      <c r="AW15" s="132">
        <f t="shared" si="23"/>
        <v>137712.44526354689</v>
      </c>
      <c r="AX15" s="29">
        <f t="shared" si="24"/>
        <v>8.6015067368349754E-2</v>
      </c>
      <c r="AY15" s="31">
        <f t="shared" si="25"/>
        <v>9.3834618947290643E-2</v>
      </c>
    </row>
    <row r="16" spans="2:52" x14ac:dyDescent="0.35">
      <c r="B16" t="s">
        <v>16</v>
      </c>
      <c r="C16">
        <f>Inputs!$K$37</f>
        <v>30</v>
      </c>
      <c r="F16" s="12">
        <f t="shared" si="2"/>
        <v>12</v>
      </c>
      <c r="G16" s="132">
        <f t="shared" si="3"/>
        <v>1716750.0000000014</v>
      </c>
      <c r="H16" s="132">
        <f>IF($F16&lt;=$C$16*12,$G16-$C$7+SUM('Mortgage Calculators (By Month)'!$D$23:$D34),"-")</f>
        <v>1716750.0000000014</v>
      </c>
      <c r="I16" s="132">
        <f t="shared" si="4"/>
        <v>8583.3333333333339</v>
      </c>
      <c r="J16" s="132">
        <f>IF($F16&lt;=$C$16*12,SUM(Inputs!$C$61:$C$78)*'Forecast (By Month)'!I16,"-")</f>
        <v>944.16666666666674</v>
      </c>
      <c r="K16" s="132">
        <f>IF($F16&lt;=$C$16*12,(SUMIF(Inputs!$C$61:$C$78,0,Inputs!$F$61:$F$78)/12)*(1+$C$34)^ROUNDDOWN((F16-1)/12,0),"-")</f>
        <v>1488.1666666666667</v>
      </c>
      <c r="L16" s="132">
        <f t="shared" si="5"/>
        <v>2432.3333333333335</v>
      </c>
      <c r="M16" s="132">
        <f>IF($F16&lt;=$C$16*12,'Mortgage Calculators (By Month)'!$C34,"-")</f>
        <v>0</v>
      </c>
      <c r="N16" s="132">
        <f>IF($F16&lt;=$C$16*12,'Mortgage Calculators (By Month)'!$D34,"-")</f>
        <v>0</v>
      </c>
      <c r="O16" s="132">
        <f>IF($F16&lt;=$C$16*12,'Mortgage Calculators (By Month)'!$E34,"-")</f>
        <v>8.3333333333333339</v>
      </c>
      <c r="P16" s="132">
        <f t="shared" si="26"/>
        <v>0</v>
      </c>
      <c r="Q16" s="132">
        <f t="shared" si="6"/>
        <v>2440.666666666667</v>
      </c>
      <c r="R16" s="132">
        <f t="shared" si="7"/>
        <v>6151</v>
      </c>
      <c r="S16" s="132">
        <f t="shared" si="8"/>
        <v>0</v>
      </c>
      <c r="T16" s="132">
        <f t="shared" si="0"/>
        <v>6151</v>
      </c>
      <c r="U16" s="132">
        <f>IF($F16&lt;=$C$16*12,SUM(T$5:T16),"-")</f>
        <v>73812</v>
      </c>
      <c r="V16" s="132">
        <f>IF($F16&lt;=$C$16*12,G16-$C$10-'RE Calculations'!$C203-'Mortgage Calculators (By Month)'!$F34,"-")</f>
        <v>76888.000000001368</v>
      </c>
      <c r="W16" s="29">
        <f t="shared" si="9"/>
        <v>4.8024174483004577E-2</v>
      </c>
      <c r="X16" s="31">
        <f t="shared" si="10"/>
        <v>4.8024174483004577E-2</v>
      </c>
      <c r="Y16" s="132">
        <f t="shared" si="11"/>
        <v>150700.00000000137</v>
      </c>
      <c r="Z16" s="29">
        <f t="shared" si="12"/>
        <v>9.4127082179127131E-2</v>
      </c>
      <c r="AA16" s="31">
        <f t="shared" si="13"/>
        <v>9.4127082179127131E-2</v>
      </c>
      <c r="AD16" s="12">
        <f t="shared" si="14"/>
        <v>12</v>
      </c>
      <c r="AE16" s="132">
        <f t="shared" si="15"/>
        <v>1716750.0000000014</v>
      </c>
      <c r="AF16" s="132">
        <f>IF($AD16&lt;=$C$25*12,$AE16-$C$7+SUM('Mortgage Calculators (By Month)'!$K$23:$K34),"-")</f>
        <v>1716750.0000000014</v>
      </c>
      <c r="AG16" s="132">
        <f t="shared" si="16"/>
        <v>8583.3333333333339</v>
      </c>
      <c r="AH16" s="132">
        <f>IF($AD16&lt;=$C$25*12,SUM(Inputs!$C$61:$C$78)*'Forecast (By Month)'!AG16,"-")</f>
        <v>944.16666666666674</v>
      </c>
      <c r="AI16" s="132">
        <f>IF($AD16&lt;=$C$25*12,(SUMIF(Inputs!$C$61:$C$78,0,Inputs!$F$61:$F$78)/12)*(1+$C$34)^ROUNDDOWN((AD16-1)/12,0),"-")</f>
        <v>1488.1666666666667</v>
      </c>
      <c r="AJ16" s="132">
        <f t="shared" si="17"/>
        <v>2432.3333333333335</v>
      </c>
      <c r="AK16" s="132">
        <f>IF($AD16&lt;=$C$25*12,'Mortgage Calculators (By Month)'!$J34,"-")</f>
        <v>0</v>
      </c>
      <c r="AL16" s="132">
        <f>IF($AD16&lt;=$C$25*12,'Mortgage Calculators (By Month)'!$K34,"-")</f>
        <v>0</v>
      </c>
      <c r="AM16" s="132">
        <f>IF($AD16&lt;=$C$25*12,'Mortgage Calculators (By Month)'!$L34,"-")</f>
        <v>10</v>
      </c>
      <c r="AN16" s="132">
        <f t="shared" si="27"/>
        <v>0</v>
      </c>
      <c r="AO16" s="132">
        <f t="shared" si="18"/>
        <v>2442.3333333333335</v>
      </c>
      <c r="AP16" s="132">
        <f t="shared" si="19"/>
        <v>6151</v>
      </c>
      <c r="AQ16" s="132">
        <f t="shared" si="20"/>
        <v>0</v>
      </c>
      <c r="AR16" s="132">
        <f t="shared" si="1"/>
        <v>6151</v>
      </c>
      <c r="AS16" s="132">
        <f>IF($AD16&lt;=$C$25*12,SUM(AR$5:AR16),"-")</f>
        <v>73802</v>
      </c>
      <c r="AT16" s="132">
        <f>IF($AD16&lt;=$C$25*12,AE16-$C$10-'RE Calculations'!$C203-'Mortgage Calculators (By Month)'!$M34,"-")</f>
        <v>76888.000000001368</v>
      </c>
      <c r="AU16" s="29">
        <f t="shared" si="21"/>
        <v>4.8024174483004577E-2</v>
      </c>
      <c r="AV16" s="31">
        <f t="shared" si="22"/>
        <v>4.8024174483004577E-2</v>
      </c>
      <c r="AW16" s="132">
        <f t="shared" si="23"/>
        <v>150690.00000000137</v>
      </c>
      <c r="AX16" s="29">
        <f t="shared" si="24"/>
        <v>9.4120836188272508E-2</v>
      </c>
      <c r="AY16" s="31">
        <f t="shared" si="25"/>
        <v>9.4120836188272508E-2</v>
      </c>
    </row>
    <row r="17" spans="2:51" x14ac:dyDescent="0.35">
      <c r="B17" t="s">
        <v>48</v>
      </c>
      <c r="C17" s="132">
        <f>Inputs!$C$21</f>
        <v>100</v>
      </c>
      <c r="F17" s="12">
        <f t="shared" si="2"/>
        <v>13</v>
      </c>
      <c r="G17" s="132">
        <f t="shared" si="3"/>
        <v>1723744.2520055796</v>
      </c>
      <c r="H17" s="132">
        <f>IF($F17&lt;=$C$16*12,$G17-$C$7+SUM('Mortgage Calculators (By Month)'!$D$23:$D35),"-")</f>
        <v>1723744.2520055796</v>
      </c>
      <c r="I17" s="132">
        <f t="shared" si="4"/>
        <v>9012.5000000000018</v>
      </c>
      <c r="J17" s="132">
        <f>IF($F17&lt;=$C$16*12,SUM(Inputs!$C$61:$C$78)*'Forecast (By Month)'!I17,"-")</f>
        <v>991.37500000000023</v>
      </c>
      <c r="K17" s="132">
        <f>IF($F17&lt;=$C$16*12,(SUMIF(Inputs!$C$61:$C$78,0,Inputs!$F$61:$F$78)/12)*(1+$C$34)^ROUNDDOWN((F17-1)/12,0),"-")</f>
        <v>1488.1666666666667</v>
      </c>
      <c r="L17" s="132">
        <f t="shared" si="5"/>
        <v>2479.541666666667</v>
      </c>
      <c r="M17" s="132">
        <f>IF($F17&lt;=$C$16*12,'Mortgage Calculators (By Month)'!$C35,"-")</f>
        <v>0</v>
      </c>
      <c r="N17" s="132">
        <f>IF($F17&lt;=$C$16*12,'Mortgage Calculators (By Month)'!$D35,"-")</f>
        <v>0</v>
      </c>
      <c r="O17" s="132">
        <f>IF($F17&lt;=$C$16*12,'Mortgage Calculators (By Month)'!$E35,"-")</f>
        <v>8.3333333333333339</v>
      </c>
      <c r="P17" s="132">
        <f t="shared" si="26"/>
        <v>0</v>
      </c>
      <c r="Q17" s="132">
        <f t="shared" si="6"/>
        <v>2487.8750000000005</v>
      </c>
      <c r="R17" s="132">
        <f t="shared" si="7"/>
        <v>6532.9583333333348</v>
      </c>
      <c r="S17" s="132">
        <f t="shared" si="8"/>
        <v>0</v>
      </c>
      <c r="T17" s="132">
        <f t="shared" si="0"/>
        <v>6532.9583333333348</v>
      </c>
      <c r="U17" s="132">
        <f>IF($F17&lt;=$C$16*12,SUM(T$5:T17),"-")</f>
        <v>80344.958333333328</v>
      </c>
      <c r="V17" s="132">
        <f>IF($F17&lt;=$C$16*12,G17-$C$10-'RE Calculations'!$C204-'Mortgage Calculators (By Month)'!$F35,"-")</f>
        <v>83742.366965468042</v>
      </c>
      <c r="W17" s="29">
        <f t="shared" si="9"/>
        <v>5.2305405821056139E-2</v>
      </c>
      <c r="X17" s="31">
        <f t="shared" si="10"/>
        <v>4.8281913065590286E-2</v>
      </c>
      <c r="Y17" s="132">
        <f t="shared" si="11"/>
        <v>164087.32529880136</v>
      </c>
      <c r="Z17" s="29">
        <f t="shared" si="12"/>
        <v>0.10248879331754016</v>
      </c>
      <c r="AA17" s="31">
        <f t="shared" si="13"/>
        <v>9.4605039985421691E-2</v>
      </c>
      <c r="AD17" s="12">
        <f t="shared" si="14"/>
        <v>13</v>
      </c>
      <c r="AE17" s="132">
        <f t="shared" si="15"/>
        <v>1723744.2520055796</v>
      </c>
      <c r="AF17" s="132">
        <f>IF($AD17&lt;=$C$25*12,$AE17-$C$7+SUM('Mortgage Calculators (By Month)'!$K$23:$K35),"-")</f>
        <v>1723744.2520055796</v>
      </c>
      <c r="AG17" s="132">
        <f t="shared" si="16"/>
        <v>9012.5000000000018</v>
      </c>
      <c r="AH17" s="132">
        <f>IF($AD17&lt;=$C$25*12,SUM(Inputs!$C$61:$C$78)*'Forecast (By Month)'!AG17,"-")</f>
        <v>991.37500000000023</v>
      </c>
      <c r="AI17" s="132">
        <f>IF($AD17&lt;=$C$25*12,(SUMIF(Inputs!$C$61:$C$78,0,Inputs!$F$61:$F$78)/12)*(1+$C$34)^ROUNDDOWN((AD17-1)/12,0),"-")</f>
        <v>1488.1666666666667</v>
      </c>
      <c r="AJ17" s="132">
        <f t="shared" si="17"/>
        <v>2479.541666666667</v>
      </c>
      <c r="AK17" s="132">
        <f>IF($AD17&lt;=$C$25*12,'Mortgage Calculators (By Month)'!$J35,"-")</f>
        <v>0</v>
      </c>
      <c r="AL17" s="132">
        <f>IF($AD17&lt;=$C$25*12,'Mortgage Calculators (By Month)'!$K35,"-")</f>
        <v>0</v>
      </c>
      <c r="AM17" s="132">
        <f>IF($AD17&lt;=$C$25*12,'Mortgage Calculators (By Month)'!$L35,"-")</f>
        <v>10</v>
      </c>
      <c r="AN17" s="132">
        <f t="shared" si="27"/>
        <v>0</v>
      </c>
      <c r="AO17" s="132">
        <f t="shared" si="18"/>
        <v>2489.541666666667</v>
      </c>
      <c r="AP17" s="132">
        <f t="shared" si="19"/>
        <v>6532.9583333333348</v>
      </c>
      <c r="AQ17" s="132">
        <f t="shared" si="20"/>
        <v>0</v>
      </c>
      <c r="AR17" s="132">
        <f t="shared" si="1"/>
        <v>6532.9583333333348</v>
      </c>
      <c r="AS17" s="132">
        <f>IF($AD17&lt;=$C$25*12,SUM(AR$5:AR17),"-")</f>
        <v>80334.958333333328</v>
      </c>
      <c r="AT17" s="132">
        <f>IF($AD17&lt;=$C$25*12,AE17-$C$10-'RE Calculations'!$C204-'Mortgage Calculators (By Month)'!$M35,"-")</f>
        <v>83742.366965468042</v>
      </c>
      <c r="AU17" s="29">
        <f t="shared" si="21"/>
        <v>5.2305405821056139E-2</v>
      </c>
      <c r="AV17" s="31">
        <f t="shared" si="22"/>
        <v>4.8281913065590286E-2</v>
      </c>
      <c r="AW17" s="132">
        <f t="shared" si="23"/>
        <v>164077.32529880136</v>
      </c>
      <c r="AX17" s="29">
        <f t="shared" si="24"/>
        <v>0.10248254732668553</v>
      </c>
      <c r="AY17" s="31">
        <f t="shared" si="25"/>
        <v>9.4599274455402033E-2</v>
      </c>
    </row>
    <row r="18" spans="2:51" x14ac:dyDescent="0.35">
      <c r="F18" s="12">
        <f t="shared" si="2"/>
        <v>14</v>
      </c>
      <c r="G18" s="132">
        <f t="shared" si="3"/>
        <v>1730766.9994596026</v>
      </c>
      <c r="H18" s="132">
        <f>IF($F18&lt;=$C$16*12,$G18-$C$7+SUM('Mortgage Calculators (By Month)'!$D$23:$D36),"-")</f>
        <v>1730766.9994596026</v>
      </c>
      <c r="I18" s="132">
        <f t="shared" si="4"/>
        <v>9012.5000000000018</v>
      </c>
      <c r="J18" s="132">
        <f>IF($F18&lt;=$C$16*12,SUM(Inputs!$C$61:$C$78)*'Forecast (By Month)'!I18,"-")</f>
        <v>991.37500000000023</v>
      </c>
      <c r="K18" s="132">
        <f>IF($F18&lt;=$C$16*12,(SUMIF(Inputs!$C$61:$C$78,0,Inputs!$F$61:$F$78)/12)*(1+$C$34)^ROUNDDOWN((F18-1)/12,0),"-")</f>
        <v>1488.1666666666667</v>
      </c>
      <c r="L18" s="132">
        <f t="shared" si="5"/>
        <v>2479.541666666667</v>
      </c>
      <c r="M18" s="132">
        <f>IF($F18&lt;=$C$16*12,'Mortgage Calculators (By Month)'!$C36,"-")</f>
        <v>0</v>
      </c>
      <c r="N18" s="132">
        <f>IF($F18&lt;=$C$16*12,'Mortgage Calculators (By Month)'!$D36,"-")</f>
        <v>0</v>
      </c>
      <c r="O18" s="132">
        <f>IF($F18&lt;=$C$16*12,'Mortgage Calculators (By Month)'!$E36,"-")</f>
        <v>8.3333333333333339</v>
      </c>
      <c r="P18" s="132">
        <f t="shared" si="26"/>
        <v>0</v>
      </c>
      <c r="Q18" s="132">
        <f t="shared" si="6"/>
        <v>2487.8750000000005</v>
      </c>
      <c r="R18" s="132">
        <f t="shared" si="7"/>
        <v>6532.9583333333348</v>
      </c>
      <c r="S18" s="132">
        <f t="shared" si="8"/>
        <v>0</v>
      </c>
      <c r="T18" s="132">
        <f t="shared" si="0"/>
        <v>6532.9583333333348</v>
      </c>
      <c r="U18" s="132">
        <f>IF($F18&lt;=$C$16*12,SUM(T$5:T18),"-")</f>
        <v>86877.916666666657</v>
      </c>
      <c r="V18" s="132">
        <f>IF($F18&lt;=$C$16*12,G18-$C$10-'RE Calculations'!$C205-'Mortgage Calculators (By Month)'!$F36,"-")</f>
        <v>90624.659470410566</v>
      </c>
      <c r="W18" s="29">
        <f t="shared" si="9"/>
        <v>5.6604079425525346E-2</v>
      </c>
      <c r="X18" s="31">
        <f t="shared" si="10"/>
        <v>4.8517782364736008E-2</v>
      </c>
      <c r="Y18" s="132">
        <f t="shared" si="11"/>
        <v>177502.57613707724</v>
      </c>
      <c r="Z18" s="29">
        <f t="shared" si="12"/>
        <v>0.11086794672237085</v>
      </c>
      <c r="AA18" s="31">
        <f t="shared" si="13"/>
        <v>9.5029668619175015E-2</v>
      </c>
      <c r="AD18" s="12">
        <f t="shared" si="14"/>
        <v>14</v>
      </c>
      <c r="AE18" s="132">
        <f t="shared" si="15"/>
        <v>1730766.9994596026</v>
      </c>
      <c r="AF18" s="132">
        <f>IF($AD18&lt;=$C$25*12,$AE18-$C$7+SUM('Mortgage Calculators (By Month)'!$K$23:$K36),"-")</f>
        <v>1730766.9994596026</v>
      </c>
      <c r="AG18" s="132">
        <f t="shared" si="16"/>
        <v>9012.5000000000018</v>
      </c>
      <c r="AH18" s="132">
        <f>IF($AD18&lt;=$C$25*12,SUM(Inputs!$C$61:$C$78)*'Forecast (By Month)'!AG18,"-")</f>
        <v>991.37500000000023</v>
      </c>
      <c r="AI18" s="132">
        <f>IF($AD18&lt;=$C$25*12,(SUMIF(Inputs!$C$61:$C$78,0,Inputs!$F$61:$F$78)/12)*(1+$C$34)^ROUNDDOWN((AD18-1)/12,0),"-")</f>
        <v>1488.1666666666667</v>
      </c>
      <c r="AJ18" s="132">
        <f t="shared" si="17"/>
        <v>2479.541666666667</v>
      </c>
      <c r="AK18" s="132">
        <f>IF($AD18&lt;=$C$25*12,'Mortgage Calculators (By Month)'!$J36,"-")</f>
        <v>0</v>
      </c>
      <c r="AL18" s="132">
        <f>IF($AD18&lt;=$C$25*12,'Mortgage Calculators (By Month)'!$K36,"-")</f>
        <v>0</v>
      </c>
      <c r="AM18" s="132">
        <f>IF($AD18&lt;=$C$25*12,'Mortgage Calculators (By Month)'!$L36,"-")</f>
        <v>10</v>
      </c>
      <c r="AN18" s="132">
        <f t="shared" si="27"/>
        <v>0</v>
      </c>
      <c r="AO18" s="132">
        <f t="shared" si="18"/>
        <v>2489.541666666667</v>
      </c>
      <c r="AP18" s="132">
        <f t="shared" si="19"/>
        <v>6532.9583333333348</v>
      </c>
      <c r="AQ18" s="132">
        <f t="shared" si="20"/>
        <v>0</v>
      </c>
      <c r="AR18" s="132">
        <f t="shared" si="1"/>
        <v>6532.9583333333348</v>
      </c>
      <c r="AS18" s="132">
        <f>IF($AD18&lt;=$C$25*12,SUM(AR$5:AR18),"-")</f>
        <v>86867.916666666657</v>
      </c>
      <c r="AT18" s="132">
        <f>IF($AD18&lt;=$C$25*12,AE18-$C$10-'RE Calculations'!$C205-'Mortgage Calculators (By Month)'!$M36,"-")</f>
        <v>90624.659470410566</v>
      </c>
      <c r="AU18" s="29">
        <f t="shared" si="21"/>
        <v>5.6604079425525346E-2</v>
      </c>
      <c r="AV18" s="31">
        <f t="shared" si="22"/>
        <v>4.8517782364736008E-2</v>
      </c>
      <c r="AW18" s="132">
        <f t="shared" si="23"/>
        <v>177492.57613707724</v>
      </c>
      <c r="AX18" s="29">
        <f t="shared" si="24"/>
        <v>0.11086170073151623</v>
      </c>
      <c r="AY18" s="31">
        <f t="shared" si="25"/>
        <v>9.5024314912728197E-2</v>
      </c>
    </row>
    <row r="19" spans="2:51" x14ac:dyDescent="0.35">
      <c r="B19" s="46" t="s">
        <v>142</v>
      </c>
      <c r="C19" s="54"/>
      <c r="F19" s="12">
        <f t="shared" si="2"/>
        <v>15</v>
      </c>
      <c r="G19" s="132">
        <f t="shared" si="3"/>
        <v>1737818.3584560547</v>
      </c>
      <c r="H19" s="132">
        <f>IF($F19&lt;=$C$16*12,$G19-$C$7+SUM('Mortgage Calculators (By Month)'!$D$23:$D37),"-")</f>
        <v>1737818.3584560547</v>
      </c>
      <c r="I19" s="132">
        <f t="shared" si="4"/>
        <v>9012.5000000000018</v>
      </c>
      <c r="J19" s="132">
        <f>IF($F19&lt;=$C$16*12,SUM(Inputs!$C$61:$C$78)*'Forecast (By Month)'!I19,"-")</f>
        <v>991.37500000000023</v>
      </c>
      <c r="K19" s="132">
        <f>IF($F19&lt;=$C$16*12,(SUMIF(Inputs!$C$61:$C$78,0,Inputs!$F$61:$F$78)/12)*(1+$C$34)^ROUNDDOWN((F19-1)/12,0),"-")</f>
        <v>1488.1666666666667</v>
      </c>
      <c r="L19" s="132">
        <f t="shared" si="5"/>
        <v>2479.541666666667</v>
      </c>
      <c r="M19" s="132">
        <f>IF($F19&lt;=$C$16*12,'Mortgage Calculators (By Month)'!$C37,"-")</f>
        <v>0</v>
      </c>
      <c r="N19" s="132">
        <f>IF($F19&lt;=$C$16*12,'Mortgage Calculators (By Month)'!$D37,"-")</f>
        <v>0</v>
      </c>
      <c r="O19" s="132">
        <f>IF($F19&lt;=$C$16*12,'Mortgage Calculators (By Month)'!$E37,"-")</f>
        <v>8.3333333333333339</v>
      </c>
      <c r="P19" s="132">
        <f t="shared" si="26"/>
        <v>0</v>
      </c>
      <c r="Q19" s="132">
        <f t="shared" si="6"/>
        <v>2487.8750000000005</v>
      </c>
      <c r="R19" s="132">
        <f t="shared" si="7"/>
        <v>6532.9583333333348</v>
      </c>
      <c r="S19" s="132">
        <f t="shared" si="8"/>
        <v>0</v>
      </c>
      <c r="T19" s="132">
        <f t="shared" si="0"/>
        <v>6532.9583333333348</v>
      </c>
      <c r="U19" s="132">
        <f>IF($F19&lt;=$C$16*12,SUM(T$5:T19),"-")</f>
        <v>93410.874999999985</v>
      </c>
      <c r="V19" s="132">
        <f>IF($F19&lt;=$C$16*12,G19-$C$10-'RE Calculations'!$C206-'Mortgage Calculators (By Month)'!$F37,"-")</f>
        <v>97534.991286933597</v>
      </c>
      <c r="W19" s="29">
        <f t="shared" si="9"/>
        <v>6.0920266358364721E-2</v>
      </c>
      <c r="X19" s="31">
        <f t="shared" si="10"/>
        <v>4.8736213086691779E-2</v>
      </c>
      <c r="Y19" s="132">
        <f t="shared" si="11"/>
        <v>190945.8662869336</v>
      </c>
      <c r="Z19" s="29">
        <f t="shared" si="12"/>
        <v>0.1192646134555717</v>
      </c>
      <c r="AA19" s="31">
        <f t="shared" si="13"/>
        <v>9.5411690764457352E-2</v>
      </c>
      <c r="AD19" s="12">
        <f t="shared" si="14"/>
        <v>15</v>
      </c>
      <c r="AE19" s="132">
        <f t="shared" si="15"/>
        <v>1737818.3584560547</v>
      </c>
      <c r="AF19" s="132">
        <f>IF($AD19&lt;=$C$25*12,$AE19-$C$7+SUM('Mortgage Calculators (By Month)'!$K$23:$K37),"-")</f>
        <v>1737818.3584560547</v>
      </c>
      <c r="AG19" s="132">
        <f t="shared" si="16"/>
        <v>9012.5000000000018</v>
      </c>
      <c r="AH19" s="132">
        <f>IF($AD19&lt;=$C$25*12,SUM(Inputs!$C$61:$C$78)*'Forecast (By Month)'!AG19,"-")</f>
        <v>991.37500000000023</v>
      </c>
      <c r="AI19" s="132">
        <f>IF($AD19&lt;=$C$25*12,(SUMIF(Inputs!$C$61:$C$78,0,Inputs!$F$61:$F$78)/12)*(1+$C$34)^ROUNDDOWN((AD19-1)/12,0),"-")</f>
        <v>1488.1666666666667</v>
      </c>
      <c r="AJ19" s="132">
        <f t="shared" si="17"/>
        <v>2479.541666666667</v>
      </c>
      <c r="AK19" s="132">
        <f>IF($AD19&lt;=$C$25*12,'Mortgage Calculators (By Month)'!$J37,"-")</f>
        <v>0</v>
      </c>
      <c r="AL19" s="132">
        <f>IF($AD19&lt;=$C$25*12,'Mortgage Calculators (By Month)'!$K37,"-")</f>
        <v>0</v>
      </c>
      <c r="AM19" s="132">
        <f>IF($AD19&lt;=$C$25*12,'Mortgage Calculators (By Month)'!$L37,"-")</f>
        <v>10</v>
      </c>
      <c r="AN19" s="132">
        <f t="shared" si="27"/>
        <v>0</v>
      </c>
      <c r="AO19" s="132">
        <f t="shared" si="18"/>
        <v>2489.541666666667</v>
      </c>
      <c r="AP19" s="132">
        <f t="shared" si="19"/>
        <v>6532.9583333333348</v>
      </c>
      <c r="AQ19" s="132">
        <f t="shared" si="20"/>
        <v>0</v>
      </c>
      <c r="AR19" s="132">
        <f t="shared" si="1"/>
        <v>6532.9583333333348</v>
      </c>
      <c r="AS19" s="132">
        <f>IF($AD19&lt;=$C$25*12,SUM(AR$5:AR19),"-")</f>
        <v>93400.874999999985</v>
      </c>
      <c r="AT19" s="132">
        <f>IF($AD19&lt;=$C$25*12,AE19-$C$10-'RE Calculations'!$C206-'Mortgage Calculators (By Month)'!$M37,"-")</f>
        <v>97534.991286933597</v>
      </c>
      <c r="AU19" s="29">
        <f t="shared" si="21"/>
        <v>6.0920266358364721E-2</v>
      </c>
      <c r="AV19" s="31">
        <f t="shared" si="22"/>
        <v>4.8736213086691779E-2</v>
      </c>
      <c r="AW19" s="132">
        <f t="shared" si="23"/>
        <v>190935.8662869336</v>
      </c>
      <c r="AX19" s="29">
        <f t="shared" si="24"/>
        <v>0.11925836746471709</v>
      </c>
      <c r="AY19" s="31">
        <f t="shared" si="25"/>
        <v>9.5406693971773676E-2</v>
      </c>
    </row>
    <row r="20" spans="2:51" x14ac:dyDescent="0.35">
      <c r="B20" t="s">
        <v>11</v>
      </c>
      <c r="C20" s="4">
        <f>Inputs!$K$42</f>
        <v>4.7500000000000001E-2</v>
      </c>
      <c r="F20" s="12">
        <f t="shared" si="2"/>
        <v>16</v>
      </c>
      <c r="G20" s="132">
        <f t="shared" si="3"/>
        <v>1744898.4455619012</v>
      </c>
      <c r="H20" s="132">
        <f>IF($F20&lt;=$C$16*12,$G20-$C$7+SUM('Mortgage Calculators (By Month)'!$D$23:$D38),"-")</f>
        <v>1744898.4455619012</v>
      </c>
      <c r="I20" s="132">
        <f t="shared" si="4"/>
        <v>9012.5000000000018</v>
      </c>
      <c r="J20" s="132">
        <f>IF($F20&lt;=$C$16*12,SUM(Inputs!$C$61:$C$78)*'Forecast (By Month)'!I20,"-")</f>
        <v>991.37500000000023</v>
      </c>
      <c r="K20" s="132">
        <f>IF($F20&lt;=$C$16*12,(SUMIF(Inputs!$C$61:$C$78,0,Inputs!$F$61:$F$78)/12)*(1+$C$34)^ROUNDDOWN((F20-1)/12,0),"-")</f>
        <v>1488.1666666666667</v>
      </c>
      <c r="L20" s="132">
        <f t="shared" si="5"/>
        <v>2479.541666666667</v>
      </c>
      <c r="M20" s="132">
        <f>IF($F20&lt;=$C$16*12,'Mortgage Calculators (By Month)'!$C38,"-")</f>
        <v>0</v>
      </c>
      <c r="N20" s="132">
        <f>IF($F20&lt;=$C$16*12,'Mortgage Calculators (By Month)'!$D38,"-")</f>
        <v>0</v>
      </c>
      <c r="O20" s="132">
        <f>IF($F20&lt;=$C$16*12,'Mortgage Calculators (By Month)'!$E38,"-")</f>
        <v>8.3333333333333339</v>
      </c>
      <c r="P20" s="132">
        <f t="shared" si="26"/>
        <v>0</v>
      </c>
      <c r="Q20" s="132">
        <f t="shared" si="6"/>
        <v>2487.8750000000005</v>
      </c>
      <c r="R20" s="132">
        <f t="shared" si="7"/>
        <v>6532.9583333333348</v>
      </c>
      <c r="S20" s="132">
        <f t="shared" si="8"/>
        <v>0</v>
      </c>
      <c r="T20" s="132">
        <f t="shared" si="0"/>
        <v>6532.9583333333348</v>
      </c>
      <c r="U20" s="132">
        <f>IF($F20&lt;=$C$16*12,SUM(T$5:T20),"-")</f>
        <v>99943.833333333314</v>
      </c>
      <c r="V20" s="132">
        <f>IF($F20&lt;=$C$16*12,G20-$C$10-'RE Calculations'!$C207-'Mortgage Calculators (By Month)'!$F38,"-")</f>
        <v>104473.47665066316</v>
      </c>
      <c r="W20" s="29">
        <f t="shared" si="9"/>
        <v>6.5254037971041817E-2</v>
      </c>
      <c r="X20" s="31">
        <f t="shared" si="10"/>
        <v>4.8940528478281363E-2</v>
      </c>
      <c r="Y20" s="132">
        <f t="shared" si="11"/>
        <v>204417.30998399647</v>
      </c>
      <c r="Z20" s="29">
        <f t="shared" si="12"/>
        <v>0.12767886486861024</v>
      </c>
      <c r="AA20" s="31">
        <f t="shared" si="13"/>
        <v>9.5759148651457682E-2</v>
      </c>
      <c r="AD20" s="12">
        <f t="shared" si="14"/>
        <v>16</v>
      </c>
      <c r="AE20" s="132">
        <f t="shared" si="15"/>
        <v>1744898.4455619012</v>
      </c>
      <c r="AF20" s="132">
        <f>IF($AD20&lt;=$C$25*12,$AE20-$C$7+SUM('Mortgage Calculators (By Month)'!$K$23:$K38),"-")</f>
        <v>1744898.4455619012</v>
      </c>
      <c r="AG20" s="132">
        <f t="shared" si="16"/>
        <v>9012.5000000000018</v>
      </c>
      <c r="AH20" s="132">
        <f>IF($AD20&lt;=$C$25*12,SUM(Inputs!$C$61:$C$78)*'Forecast (By Month)'!AG20,"-")</f>
        <v>991.37500000000023</v>
      </c>
      <c r="AI20" s="132">
        <f>IF($AD20&lt;=$C$25*12,(SUMIF(Inputs!$C$61:$C$78,0,Inputs!$F$61:$F$78)/12)*(1+$C$34)^ROUNDDOWN((AD20-1)/12,0),"-")</f>
        <v>1488.1666666666667</v>
      </c>
      <c r="AJ20" s="132">
        <f t="shared" si="17"/>
        <v>2479.541666666667</v>
      </c>
      <c r="AK20" s="132">
        <f>IF($AD20&lt;=$C$25*12,'Mortgage Calculators (By Month)'!$J38,"-")</f>
        <v>0</v>
      </c>
      <c r="AL20" s="132">
        <f>IF($AD20&lt;=$C$25*12,'Mortgage Calculators (By Month)'!$K38,"-")</f>
        <v>0</v>
      </c>
      <c r="AM20" s="132">
        <f>IF($AD20&lt;=$C$25*12,'Mortgage Calculators (By Month)'!$L38,"-")</f>
        <v>10</v>
      </c>
      <c r="AN20" s="132">
        <f t="shared" si="27"/>
        <v>0</v>
      </c>
      <c r="AO20" s="132">
        <f t="shared" si="18"/>
        <v>2489.541666666667</v>
      </c>
      <c r="AP20" s="132">
        <f t="shared" si="19"/>
        <v>6532.9583333333348</v>
      </c>
      <c r="AQ20" s="132">
        <f t="shared" si="20"/>
        <v>0</v>
      </c>
      <c r="AR20" s="132">
        <f t="shared" si="1"/>
        <v>6532.9583333333348</v>
      </c>
      <c r="AS20" s="132">
        <f>IF($AD20&lt;=$C$25*12,SUM(AR$5:AR20),"-")</f>
        <v>99933.833333333314</v>
      </c>
      <c r="AT20" s="132">
        <f>IF($AD20&lt;=$C$25*12,AE20-$C$10-'RE Calculations'!$C207-'Mortgage Calculators (By Month)'!$M38,"-")</f>
        <v>104473.47665066316</v>
      </c>
      <c r="AU20" s="29">
        <f t="shared" si="21"/>
        <v>6.5254037971041817E-2</v>
      </c>
      <c r="AV20" s="31">
        <f t="shared" si="22"/>
        <v>4.8940528478281363E-2</v>
      </c>
      <c r="AW20" s="132">
        <f t="shared" si="23"/>
        <v>204407.30998399647</v>
      </c>
      <c r="AX20" s="29">
        <f t="shared" si="24"/>
        <v>0.12767261887775563</v>
      </c>
      <c r="AY20" s="31">
        <f t="shared" si="25"/>
        <v>9.5754464158316732E-2</v>
      </c>
    </row>
    <row r="21" spans="2:51" x14ac:dyDescent="0.35">
      <c r="B21" t="s">
        <v>14</v>
      </c>
      <c r="C21" s="9">
        <f>C20/12</f>
        <v>3.9583333333333337E-3</v>
      </c>
      <c r="F21" s="12">
        <f t="shared" si="2"/>
        <v>17</v>
      </c>
      <c r="G21" s="132">
        <f t="shared" si="3"/>
        <v>1752007.3778190159</v>
      </c>
      <c r="H21" s="132">
        <f>IF($F21&lt;=$C$16*12,$G21-$C$7+SUM('Mortgage Calculators (By Month)'!$D$23:$D39),"-")</f>
        <v>1752007.3778190159</v>
      </c>
      <c r="I21" s="132">
        <f t="shared" si="4"/>
        <v>9012.5000000000018</v>
      </c>
      <c r="J21" s="132">
        <f>IF($F21&lt;=$C$16*12,SUM(Inputs!$C$61:$C$78)*'Forecast (By Month)'!I21,"-")</f>
        <v>991.37500000000023</v>
      </c>
      <c r="K21" s="132">
        <f>IF($F21&lt;=$C$16*12,(SUMIF(Inputs!$C$61:$C$78,0,Inputs!$F$61:$F$78)/12)*(1+$C$34)^ROUNDDOWN((F21-1)/12,0),"-")</f>
        <v>1488.1666666666667</v>
      </c>
      <c r="L21" s="132">
        <f t="shared" si="5"/>
        <v>2479.541666666667</v>
      </c>
      <c r="M21" s="132">
        <f>IF($F21&lt;=$C$16*12,'Mortgage Calculators (By Month)'!$C39,"-")</f>
        <v>0</v>
      </c>
      <c r="N21" s="132">
        <f>IF($F21&lt;=$C$16*12,'Mortgage Calculators (By Month)'!$D39,"-")</f>
        <v>0</v>
      </c>
      <c r="O21" s="132">
        <f>IF($F21&lt;=$C$16*12,'Mortgage Calculators (By Month)'!$E39,"-")</f>
        <v>8.3333333333333339</v>
      </c>
      <c r="P21" s="132">
        <f t="shared" si="26"/>
        <v>0</v>
      </c>
      <c r="Q21" s="132">
        <f t="shared" si="6"/>
        <v>2487.8750000000005</v>
      </c>
      <c r="R21" s="132">
        <f t="shared" si="7"/>
        <v>6532.9583333333348</v>
      </c>
      <c r="S21" s="132">
        <f t="shared" si="8"/>
        <v>0</v>
      </c>
      <c r="T21" s="132">
        <f t="shared" si="0"/>
        <v>6532.9583333333348</v>
      </c>
      <c r="U21" s="132">
        <f>IF($F21&lt;=$C$16*12,SUM(T$5:T21),"-")</f>
        <v>106476.79166666664</v>
      </c>
      <c r="V21" s="132">
        <f>IF($F21&lt;=$C$16*12,G21-$C$10-'RE Calculations'!$C208-'Mortgage Calculators (By Month)'!$F39,"-")</f>
        <v>111440.23026263554</v>
      </c>
      <c r="W21" s="29">
        <f t="shared" si="9"/>
        <v>6.9605465905718977E-2</v>
      </c>
      <c r="X21" s="31">
        <f t="shared" si="10"/>
        <v>4.9133270051095745E-2</v>
      </c>
      <c r="Y21" s="132">
        <f t="shared" si="11"/>
        <v>217917.02192930219</v>
      </c>
      <c r="Z21" s="29">
        <f t="shared" si="12"/>
        <v>0.1361107726036489</v>
      </c>
      <c r="AA21" s="31">
        <f t="shared" si="13"/>
        <v>9.6078192426105102E-2</v>
      </c>
      <c r="AD21" s="12">
        <f t="shared" si="14"/>
        <v>17</v>
      </c>
      <c r="AE21" s="132">
        <f t="shared" si="15"/>
        <v>1752007.3778190159</v>
      </c>
      <c r="AF21" s="132">
        <f>IF($AD21&lt;=$C$25*12,$AE21-$C$7+SUM('Mortgage Calculators (By Month)'!$K$23:$K39),"-")</f>
        <v>1752007.3778190159</v>
      </c>
      <c r="AG21" s="132">
        <f t="shared" si="16"/>
        <v>9012.5000000000018</v>
      </c>
      <c r="AH21" s="132">
        <f>IF($AD21&lt;=$C$25*12,SUM(Inputs!$C$61:$C$78)*'Forecast (By Month)'!AG21,"-")</f>
        <v>991.37500000000023</v>
      </c>
      <c r="AI21" s="132">
        <f>IF($AD21&lt;=$C$25*12,(SUMIF(Inputs!$C$61:$C$78,0,Inputs!$F$61:$F$78)/12)*(1+$C$34)^ROUNDDOWN((AD21-1)/12,0),"-")</f>
        <v>1488.1666666666667</v>
      </c>
      <c r="AJ21" s="132">
        <f t="shared" si="17"/>
        <v>2479.541666666667</v>
      </c>
      <c r="AK21" s="132">
        <f>IF($AD21&lt;=$C$25*12,'Mortgage Calculators (By Month)'!$J39,"-")</f>
        <v>0</v>
      </c>
      <c r="AL21" s="132">
        <f>IF($AD21&lt;=$C$25*12,'Mortgage Calculators (By Month)'!$K39,"-")</f>
        <v>0</v>
      </c>
      <c r="AM21" s="132">
        <f>IF($AD21&lt;=$C$25*12,'Mortgage Calculators (By Month)'!$L39,"-")</f>
        <v>10</v>
      </c>
      <c r="AN21" s="132">
        <f t="shared" si="27"/>
        <v>0</v>
      </c>
      <c r="AO21" s="132">
        <f t="shared" si="18"/>
        <v>2489.541666666667</v>
      </c>
      <c r="AP21" s="132">
        <f t="shared" si="19"/>
        <v>6532.9583333333348</v>
      </c>
      <c r="AQ21" s="132">
        <f t="shared" si="20"/>
        <v>0</v>
      </c>
      <c r="AR21" s="132">
        <f t="shared" si="1"/>
        <v>6532.9583333333348</v>
      </c>
      <c r="AS21" s="132">
        <f>IF($AD21&lt;=$C$25*12,SUM(AR$5:AR21),"-")</f>
        <v>106466.79166666664</v>
      </c>
      <c r="AT21" s="132">
        <f>IF($AD21&lt;=$C$25*12,AE21-$C$10-'RE Calculations'!$C208-'Mortgage Calculators (By Month)'!$M39,"-")</f>
        <v>111440.23026263554</v>
      </c>
      <c r="AU21" s="29">
        <f t="shared" si="21"/>
        <v>6.9605465905718977E-2</v>
      </c>
      <c r="AV21" s="31">
        <f t="shared" si="22"/>
        <v>4.9133270051095745E-2</v>
      </c>
      <c r="AW21" s="132">
        <f t="shared" si="23"/>
        <v>217907.02192930219</v>
      </c>
      <c r="AX21" s="29">
        <f t="shared" si="24"/>
        <v>0.13610452661279429</v>
      </c>
      <c r="AY21" s="31">
        <f t="shared" si="25"/>
        <v>9.6073783491384207E-2</v>
      </c>
    </row>
    <row r="22" spans="2:51" x14ac:dyDescent="0.35">
      <c r="B22" t="s">
        <v>49</v>
      </c>
      <c r="C22">
        <f>Inputs!$K$44</f>
        <v>5</v>
      </c>
      <c r="F22" s="12">
        <f t="shared" si="2"/>
        <v>18</v>
      </c>
      <c r="G22" s="132">
        <f t="shared" si="3"/>
        <v>1759145.2727461157</v>
      </c>
      <c r="H22" s="132">
        <f>IF($F22&lt;=$C$16*12,$G22-$C$7+SUM('Mortgage Calculators (By Month)'!$D$23:$D40),"-")</f>
        <v>1759145.2727461157</v>
      </c>
      <c r="I22" s="132">
        <f t="shared" si="4"/>
        <v>9012.5000000000018</v>
      </c>
      <c r="J22" s="132">
        <f>IF($F22&lt;=$C$16*12,SUM(Inputs!$C$61:$C$78)*'Forecast (By Month)'!I22,"-")</f>
        <v>991.37500000000023</v>
      </c>
      <c r="K22" s="132">
        <f>IF($F22&lt;=$C$16*12,(SUMIF(Inputs!$C$61:$C$78,0,Inputs!$F$61:$F$78)/12)*(1+$C$34)^ROUNDDOWN((F22-1)/12,0),"-")</f>
        <v>1488.1666666666667</v>
      </c>
      <c r="L22" s="132">
        <f t="shared" si="5"/>
        <v>2479.541666666667</v>
      </c>
      <c r="M22" s="132">
        <f>IF($F22&lt;=$C$16*12,'Mortgage Calculators (By Month)'!$C40,"-")</f>
        <v>0</v>
      </c>
      <c r="N22" s="132">
        <f>IF($F22&lt;=$C$16*12,'Mortgage Calculators (By Month)'!$D40,"-")</f>
        <v>0</v>
      </c>
      <c r="O22" s="132">
        <f>IF($F22&lt;=$C$16*12,'Mortgage Calculators (By Month)'!$E40,"-")</f>
        <v>8.3333333333333339</v>
      </c>
      <c r="P22" s="132">
        <f t="shared" si="26"/>
        <v>0</v>
      </c>
      <c r="Q22" s="132">
        <f t="shared" si="6"/>
        <v>2487.8750000000005</v>
      </c>
      <c r="R22" s="132">
        <f t="shared" si="7"/>
        <v>6532.9583333333348</v>
      </c>
      <c r="S22" s="132">
        <f t="shared" si="8"/>
        <v>0</v>
      </c>
      <c r="T22" s="132">
        <f t="shared" si="0"/>
        <v>6532.9583333333348</v>
      </c>
      <c r="U22" s="132">
        <f>IF($F22&lt;=$C$16*12,SUM(T$5:T22),"-")</f>
        <v>113009.74999999997</v>
      </c>
      <c r="V22" s="132">
        <f>IF($F22&lt;=$C$16*12,G22-$C$10-'RE Calculations'!$C209-'Mortgage Calculators (By Month)'!$F40,"-")</f>
        <v>118435.36729119335</v>
      </c>
      <c r="W22" s="29">
        <f t="shared" si="9"/>
        <v>7.3974622096437695E-2</v>
      </c>
      <c r="X22" s="31">
        <f t="shared" si="10"/>
        <v>4.9316414730958463E-2</v>
      </c>
      <c r="Y22" s="132">
        <f t="shared" si="11"/>
        <v>231445.11729119334</v>
      </c>
      <c r="Z22" s="29">
        <f t="shared" si="12"/>
        <v>0.1445604085947291</v>
      </c>
      <c r="AA22" s="31">
        <f t="shared" si="13"/>
        <v>9.63736057298194E-2</v>
      </c>
      <c r="AD22" s="12">
        <f t="shared" si="14"/>
        <v>18</v>
      </c>
      <c r="AE22" s="132">
        <f t="shared" si="15"/>
        <v>1759145.2727461157</v>
      </c>
      <c r="AF22" s="132">
        <f>IF($AD22&lt;=$C$25*12,$AE22-$C$7+SUM('Mortgage Calculators (By Month)'!$K$23:$K40),"-")</f>
        <v>1759145.2727461157</v>
      </c>
      <c r="AG22" s="132">
        <f t="shared" si="16"/>
        <v>9012.5000000000018</v>
      </c>
      <c r="AH22" s="132">
        <f>IF($AD22&lt;=$C$25*12,SUM(Inputs!$C$61:$C$78)*'Forecast (By Month)'!AG22,"-")</f>
        <v>991.37500000000023</v>
      </c>
      <c r="AI22" s="132">
        <f>IF($AD22&lt;=$C$25*12,(SUMIF(Inputs!$C$61:$C$78,0,Inputs!$F$61:$F$78)/12)*(1+$C$34)^ROUNDDOWN((AD22-1)/12,0),"-")</f>
        <v>1488.1666666666667</v>
      </c>
      <c r="AJ22" s="132">
        <f t="shared" si="17"/>
        <v>2479.541666666667</v>
      </c>
      <c r="AK22" s="132">
        <f>IF($AD22&lt;=$C$25*12,'Mortgage Calculators (By Month)'!$J40,"-")</f>
        <v>0</v>
      </c>
      <c r="AL22" s="132">
        <f>IF($AD22&lt;=$C$25*12,'Mortgage Calculators (By Month)'!$K40,"-")</f>
        <v>0</v>
      </c>
      <c r="AM22" s="132">
        <f>IF($AD22&lt;=$C$25*12,'Mortgage Calculators (By Month)'!$L40,"-")</f>
        <v>10</v>
      </c>
      <c r="AN22" s="132">
        <f t="shared" si="27"/>
        <v>0</v>
      </c>
      <c r="AO22" s="132">
        <f t="shared" si="18"/>
        <v>2489.541666666667</v>
      </c>
      <c r="AP22" s="132">
        <f t="shared" si="19"/>
        <v>6532.9583333333348</v>
      </c>
      <c r="AQ22" s="132">
        <f t="shared" si="20"/>
        <v>0</v>
      </c>
      <c r="AR22" s="132">
        <f t="shared" si="1"/>
        <v>6532.9583333333348</v>
      </c>
      <c r="AS22" s="132">
        <f>IF($AD22&lt;=$C$25*12,SUM(AR$5:AR22),"-")</f>
        <v>112999.74999999997</v>
      </c>
      <c r="AT22" s="132">
        <f>IF($AD22&lt;=$C$25*12,AE22-$C$10-'RE Calculations'!$C209-'Mortgage Calculators (By Month)'!$M40,"-")</f>
        <v>118435.36729119335</v>
      </c>
      <c r="AU22" s="29">
        <f t="shared" si="21"/>
        <v>7.3974622096437695E-2</v>
      </c>
      <c r="AV22" s="31">
        <f t="shared" si="22"/>
        <v>4.9316414730958463E-2</v>
      </c>
      <c r="AW22" s="132">
        <f t="shared" si="23"/>
        <v>231435.11729119334</v>
      </c>
      <c r="AX22" s="29">
        <f t="shared" si="24"/>
        <v>0.14455416260387446</v>
      </c>
      <c r="AY22" s="31">
        <f t="shared" si="25"/>
        <v>9.6369441735916314E-2</v>
      </c>
    </row>
    <row r="23" spans="2:51" x14ac:dyDescent="0.35">
      <c r="B23" t="s">
        <v>147</v>
      </c>
      <c r="C23" s="4">
        <f>Inputs!$K$45</f>
        <v>4.4999999999999998E-2</v>
      </c>
      <c r="F23" s="12">
        <f t="shared" si="2"/>
        <v>19</v>
      </c>
      <c r="G23" s="132">
        <f t="shared" si="3"/>
        <v>1766312.2483407033</v>
      </c>
      <c r="H23" s="132">
        <f>IF($F23&lt;=$C$16*12,$G23-$C$7+SUM('Mortgage Calculators (By Month)'!$D$23:$D41),"-")</f>
        <v>1766312.2483407033</v>
      </c>
      <c r="I23" s="132">
        <f t="shared" si="4"/>
        <v>9012.5000000000018</v>
      </c>
      <c r="J23" s="132">
        <f>IF($F23&lt;=$C$16*12,SUM(Inputs!$C$61:$C$78)*'Forecast (By Month)'!I23,"-")</f>
        <v>991.37500000000023</v>
      </c>
      <c r="K23" s="132">
        <f>IF($F23&lt;=$C$16*12,(SUMIF(Inputs!$C$61:$C$78,0,Inputs!$F$61:$F$78)/12)*(1+$C$34)^ROUNDDOWN((F23-1)/12,0),"-")</f>
        <v>1488.1666666666667</v>
      </c>
      <c r="L23" s="132">
        <f t="shared" si="5"/>
        <v>2479.541666666667</v>
      </c>
      <c r="M23" s="132">
        <f>IF($F23&lt;=$C$16*12,'Mortgage Calculators (By Month)'!$C41,"-")</f>
        <v>0</v>
      </c>
      <c r="N23" s="132">
        <f>IF($F23&lt;=$C$16*12,'Mortgage Calculators (By Month)'!$D41,"-")</f>
        <v>0</v>
      </c>
      <c r="O23" s="132">
        <f>IF($F23&lt;=$C$16*12,'Mortgage Calculators (By Month)'!$E41,"-")</f>
        <v>8.3333333333333339</v>
      </c>
      <c r="P23" s="132">
        <f t="shared" si="26"/>
        <v>0</v>
      </c>
      <c r="Q23" s="132">
        <f t="shared" si="6"/>
        <v>2487.8750000000005</v>
      </c>
      <c r="R23" s="132">
        <f t="shared" si="7"/>
        <v>6532.9583333333348</v>
      </c>
      <c r="S23" s="132">
        <f t="shared" si="8"/>
        <v>0</v>
      </c>
      <c r="T23" s="132">
        <f t="shared" si="0"/>
        <v>6532.9583333333348</v>
      </c>
      <c r="U23" s="132">
        <f>IF($F23&lt;=$C$16*12,SUM(T$5:T23),"-")</f>
        <v>119542.7083333333</v>
      </c>
      <c r="V23" s="132">
        <f>IF($F23&lt;=$C$16*12,G23-$C$10-'RE Calculations'!$C210-'Mortgage Calculators (By Month)'!$F41,"-")</f>
        <v>125459.00337388922</v>
      </c>
      <c r="W23" s="29">
        <f t="shared" si="9"/>
        <v>7.8361578770307569E-2</v>
      </c>
      <c r="X23" s="31">
        <f t="shared" si="10"/>
        <v>4.9491523433878463E-2</v>
      </c>
      <c r="Y23" s="132">
        <f t="shared" si="11"/>
        <v>245001.71170722251</v>
      </c>
      <c r="Z23" s="29">
        <f t="shared" si="12"/>
        <v>0.15302784506896042</v>
      </c>
      <c r="AA23" s="31">
        <f t="shared" si="13"/>
        <v>9.6649165306711846E-2</v>
      </c>
      <c r="AD23" s="12">
        <f t="shared" si="14"/>
        <v>19</v>
      </c>
      <c r="AE23" s="132">
        <f t="shared" si="15"/>
        <v>1766312.2483407033</v>
      </c>
      <c r="AF23" s="132">
        <f>IF($AD23&lt;=$C$25*12,$AE23-$C$7+SUM('Mortgage Calculators (By Month)'!$K$23:$K41),"-")</f>
        <v>1766312.2483407033</v>
      </c>
      <c r="AG23" s="132">
        <f t="shared" si="16"/>
        <v>9012.5000000000018</v>
      </c>
      <c r="AH23" s="132">
        <f>IF($AD23&lt;=$C$25*12,SUM(Inputs!$C$61:$C$78)*'Forecast (By Month)'!AG23,"-")</f>
        <v>991.37500000000023</v>
      </c>
      <c r="AI23" s="132">
        <f>IF($AD23&lt;=$C$25*12,(SUMIF(Inputs!$C$61:$C$78,0,Inputs!$F$61:$F$78)/12)*(1+$C$34)^ROUNDDOWN((AD23-1)/12,0),"-")</f>
        <v>1488.1666666666667</v>
      </c>
      <c r="AJ23" s="132">
        <f t="shared" si="17"/>
        <v>2479.541666666667</v>
      </c>
      <c r="AK23" s="132">
        <f>IF($AD23&lt;=$C$25*12,'Mortgage Calculators (By Month)'!$J41,"-")</f>
        <v>0</v>
      </c>
      <c r="AL23" s="132">
        <f>IF($AD23&lt;=$C$25*12,'Mortgage Calculators (By Month)'!$K41,"-")</f>
        <v>0</v>
      </c>
      <c r="AM23" s="132">
        <f>IF($AD23&lt;=$C$25*12,'Mortgage Calculators (By Month)'!$L41,"-")</f>
        <v>10</v>
      </c>
      <c r="AN23" s="132">
        <f t="shared" si="27"/>
        <v>0</v>
      </c>
      <c r="AO23" s="132">
        <f t="shared" si="18"/>
        <v>2489.541666666667</v>
      </c>
      <c r="AP23" s="132">
        <f t="shared" si="19"/>
        <v>6532.9583333333348</v>
      </c>
      <c r="AQ23" s="132">
        <f t="shared" si="20"/>
        <v>0</v>
      </c>
      <c r="AR23" s="132">
        <f t="shared" si="1"/>
        <v>6532.9583333333348</v>
      </c>
      <c r="AS23" s="132">
        <f>IF($AD23&lt;=$C$25*12,SUM(AR$5:AR23),"-")</f>
        <v>119532.7083333333</v>
      </c>
      <c r="AT23" s="132">
        <f>IF($AD23&lt;=$C$25*12,AE23-$C$10-'RE Calculations'!$C210-'Mortgage Calculators (By Month)'!$M41,"-")</f>
        <v>125459.00337388922</v>
      </c>
      <c r="AU23" s="29">
        <f t="shared" si="21"/>
        <v>7.8361578770307569E-2</v>
      </c>
      <c r="AV23" s="31">
        <f t="shared" si="22"/>
        <v>4.9491523433878463E-2</v>
      </c>
      <c r="AW23" s="132">
        <f t="shared" si="23"/>
        <v>244991.71170722251</v>
      </c>
      <c r="AX23" s="29">
        <f t="shared" si="24"/>
        <v>0.15302159907810581</v>
      </c>
      <c r="AY23" s="31">
        <f t="shared" si="25"/>
        <v>9.6645220470382626E-2</v>
      </c>
    </row>
    <row r="24" spans="2:51" x14ac:dyDescent="0.35">
      <c r="B24" t="s">
        <v>133</v>
      </c>
      <c r="C24" s="4">
        <f>Inputs!$K$46</f>
        <v>3.7499999999999999E-3</v>
      </c>
      <c r="F24" s="12">
        <f t="shared" si="2"/>
        <v>20</v>
      </c>
      <c r="G24" s="132">
        <f t="shared" si="3"/>
        <v>1773508.4230810176</v>
      </c>
      <c r="H24" s="132">
        <f>IF($F24&lt;=$C$16*12,$G24-$C$7+SUM('Mortgage Calculators (By Month)'!$D$23:$D42),"-")</f>
        <v>1773508.4230810176</v>
      </c>
      <c r="I24" s="132">
        <f t="shared" si="4"/>
        <v>9012.5000000000018</v>
      </c>
      <c r="J24" s="132">
        <f>IF($F24&lt;=$C$16*12,SUM(Inputs!$C$61:$C$78)*'Forecast (By Month)'!I24,"-")</f>
        <v>991.37500000000023</v>
      </c>
      <c r="K24" s="132">
        <f>IF($F24&lt;=$C$16*12,(SUMIF(Inputs!$C$61:$C$78,0,Inputs!$F$61:$F$78)/12)*(1+$C$34)^ROUNDDOWN((F24-1)/12,0),"-")</f>
        <v>1488.1666666666667</v>
      </c>
      <c r="L24" s="132">
        <f t="shared" si="5"/>
        <v>2479.541666666667</v>
      </c>
      <c r="M24" s="132">
        <f>IF($F24&lt;=$C$16*12,'Mortgage Calculators (By Month)'!$C42,"-")</f>
        <v>0</v>
      </c>
      <c r="N24" s="132">
        <f>IF($F24&lt;=$C$16*12,'Mortgage Calculators (By Month)'!$D42,"-")</f>
        <v>0</v>
      </c>
      <c r="O24" s="132">
        <f>IF($F24&lt;=$C$16*12,'Mortgage Calculators (By Month)'!$E42,"-")</f>
        <v>8.3333333333333339</v>
      </c>
      <c r="P24" s="132">
        <f t="shared" si="26"/>
        <v>0</v>
      </c>
      <c r="Q24" s="132">
        <f t="shared" si="6"/>
        <v>2487.8750000000005</v>
      </c>
      <c r="R24" s="132">
        <f t="shared" si="7"/>
        <v>6532.9583333333348</v>
      </c>
      <c r="S24" s="132">
        <f t="shared" si="8"/>
        <v>0</v>
      </c>
      <c r="T24" s="132">
        <f t="shared" si="0"/>
        <v>6532.9583333333348</v>
      </c>
      <c r="U24" s="132">
        <f>IF($F24&lt;=$C$16*12,SUM(T$5:T24),"-")</f>
        <v>126075.66666666663</v>
      </c>
      <c r="V24" s="132">
        <f>IF($F24&lt;=$C$16*12,G24-$C$10-'RE Calculations'!$C211-'Mortgage Calculators (By Month)'!$F42,"-")</f>
        <v>132511.25461939719</v>
      </c>
      <c r="W24" s="29">
        <f t="shared" si="9"/>
        <v>8.2766408448700243E-2</v>
      </c>
      <c r="X24" s="31">
        <f t="shared" si="10"/>
        <v>4.9659845069220145E-2</v>
      </c>
      <c r="Y24" s="132">
        <f t="shared" si="11"/>
        <v>258586.92128606382</v>
      </c>
      <c r="Z24" s="29">
        <f t="shared" si="12"/>
        <v>0.16151315454771459</v>
      </c>
      <c r="AA24" s="31">
        <f t="shared" si="13"/>
        <v>9.690789272862875E-2</v>
      </c>
      <c r="AD24" s="12">
        <f t="shared" si="14"/>
        <v>20</v>
      </c>
      <c r="AE24" s="132">
        <f t="shared" si="15"/>
        <v>1773508.4230810176</v>
      </c>
      <c r="AF24" s="132">
        <f>IF($AD24&lt;=$C$25*12,$AE24-$C$7+SUM('Mortgage Calculators (By Month)'!$K$23:$K42),"-")</f>
        <v>1773508.4230810176</v>
      </c>
      <c r="AG24" s="132">
        <f t="shared" si="16"/>
        <v>9012.5000000000018</v>
      </c>
      <c r="AH24" s="132">
        <f>IF($AD24&lt;=$C$25*12,SUM(Inputs!$C$61:$C$78)*'Forecast (By Month)'!AG24,"-")</f>
        <v>991.37500000000023</v>
      </c>
      <c r="AI24" s="132">
        <f>IF($AD24&lt;=$C$25*12,(SUMIF(Inputs!$C$61:$C$78,0,Inputs!$F$61:$F$78)/12)*(1+$C$34)^ROUNDDOWN((AD24-1)/12,0),"-")</f>
        <v>1488.1666666666667</v>
      </c>
      <c r="AJ24" s="132">
        <f t="shared" si="17"/>
        <v>2479.541666666667</v>
      </c>
      <c r="AK24" s="132">
        <f>IF($AD24&lt;=$C$25*12,'Mortgage Calculators (By Month)'!$J42,"-")</f>
        <v>0</v>
      </c>
      <c r="AL24" s="132">
        <f>IF($AD24&lt;=$C$25*12,'Mortgage Calculators (By Month)'!$K42,"-")</f>
        <v>0</v>
      </c>
      <c r="AM24" s="132">
        <f>IF($AD24&lt;=$C$25*12,'Mortgage Calculators (By Month)'!$L42,"-")</f>
        <v>10</v>
      </c>
      <c r="AN24" s="132">
        <f t="shared" si="27"/>
        <v>0</v>
      </c>
      <c r="AO24" s="132">
        <f t="shared" si="18"/>
        <v>2489.541666666667</v>
      </c>
      <c r="AP24" s="132">
        <f t="shared" si="19"/>
        <v>6532.9583333333348</v>
      </c>
      <c r="AQ24" s="132">
        <f t="shared" si="20"/>
        <v>0</v>
      </c>
      <c r="AR24" s="132">
        <f t="shared" si="1"/>
        <v>6532.9583333333348</v>
      </c>
      <c r="AS24" s="132">
        <f>IF($AD24&lt;=$C$25*12,SUM(AR$5:AR24),"-")</f>
        <v>126065.66666666663</v>
      </c>
      <c r="AT24" s="132">
        <f>IF($AD24&lt;=$C$25*12,AE24-$C$10-'RE Calculations'!$C211-'Mortgage Calculators (By Month)'!$M42,"-")</f>
        <v>132511.25461939719</v>
      </c>
      <c r="AU24" s="29">
        <f t="shared" si="21"/>
        <v>8.2766408448700243E-2</v>
      </c>
      <c r="AV24" s="31">
        <f t="shared" si="22"/>
        <v>4.9659845069220145E-2</v>
      </c>
      <c r="AW24" s="132">
        <f t="shared" si="23"/>
        <v>258576.92128606382</v>
      </c>
      <c r="AX24" s="29">
        <f t="shared" si="24"/>
        <v>0.16150690855685995</v>
      </c>
      <c r="AY24" s="31">
        <f t="shared" si="25"/>
        <v>9.6904145134115965E-2</v>
      </c>
    </row>
    <row r="25" spans="2:51" x14ac:dyDescent="0.35">
      <c r="B25" t="s">
        <v>50</v>
      </c>
      <c r="C25">
        <f>Inputs!$K$47</f>
        <v>30</v>
      </c>
      <c r="F25" s="12">
        <f t="shared" si="2"/>
        <v>21</v>
      </c>
      <c r="G25" s="132">
        <f t="shared" si="3"/>
        <v>1780733.9159279927</v>
      </c>
      <c r="H25" s="132">
        <f>IF($F25&lt;=$C$16*12,$G25-$C$7+SUM('Mortgage Calculators (By Month)'!$D$23:$D43),"-")</f>
        <v>1780733.9159279927</v>
      </c>
      <c r="I25" s="132">
        <f t="shared" si="4"/>
        <v>9012.5000000000018</v>
      </c>
      <c r="J25" s="132">
        <f>IF($F25&lt;=$C$16*12,SUM(Inputs!$C$61:$C$78)*'Forecast (By Month)'!I25,"-")</f>
        <v>991.37500000000023</v>
      </c>
      <c r="K25" s="132">
        <f>IF($F25&lt;=$C$16*12,(SUMIF(Inputs!$C$61:$C$78,0,Inputs!$F$61:$F$78)/12)*(1+$C$34)^ROUNDDOWN((F25-1)/12,0),"-")</f>
        <v>1488.1666666666667</v>
      </c>
      <c r="L25" s="132">
        <f t="shared" si="5"/>
        <v>2479.541666666667</v>
      </c>
      <c r="M25" s="132">
        <f>IF($F25&lt;=$C$16*12,'Mortgage Calculators (By Month)'!$C43,"-")</f>
        <v>0</v>
      </c>
      <c r="N25" s="132">
        <f>IF($F25&lt;=$C$16*12,'Mortgage Calculators (By Month)'!$D43,"-")</f>
        <v>0</v>
      </c>
      <c r="O25" s="132">
        <f>IF($F25&lt;=$C$16*12,'Mortgage Calculators (By Month)'!$E43,"-")</f>
        <v>8.3333333333333339</v>
      </c>
      <c r="P25" s="132">
        <f t="shared" si="26"/>
        <v>0</v>
      </c>
      <c r="Q25" s="132">
        <f t="shared" si="6"/>
        <v>2487.8750000000005</v>
      </c>
      <c r="R25" s="132">
        <f t="shared" si="7"/>
        <v>6532.9583333333348</v>
      </c>
      <c r="S25" s="132">
        <f t="shared" si="8"/>
        <v>0</v>
      </c>
      <c r="T25" s="132">
        <f t="shared" si="0"/>
        <v>6532.9583333333348</v>
      </c>
      <c r="U25" s="132">
        <f>IF($F25&lt;=$C$16*12,SUM(T$5:T25),"-")</f>
        <v>132608.62499999997</v>
      </c>
      <c r="V25" s="132">
        <f>IF($F25&lt;=$C$16*12,G25-$C$10-'RE Calculations'!$C212-'Mortgage Calculators (By Month)'!$F43,"-")</f>
        <v>139592.23760943278</v>
      </c>
      <c r="W25" s="29">
        <f t="shared" si="9"/>
        <v>8.7189183948448573E-2</v>
      </c>
      <c r="X25" s="31">
        <f t="shared" si="10"/>
        <v>4.9822390827684901E-2</v>
      </c>
      <c r="Y25" s="132">
        <f t="shared" si="11"/>
        <v>272200.86260943278</v>
      </c>
      <c r="Z25" s="29">
        <f t="shared" si="12"/>
        <v>0.1700164098478244</v>
      </c>
      <c r="AA25" s="31">
        <f t="shared" si="13"/>
        <v>9.7152234198756807E-2</v>
      </c>
      <c r="AD25" s="12">
        <f t="shared" si="14"/>
        <v>21</v>
      </c>
      <c r="AE25" s="132">
        <f t="shared" si="15"/>
        <v>1780733.9159279927</v>
      </c>
      <c r="AF25" s="132">
        <f>IF($AD25&lt;=$C$25*12,$AE25-$C$7+SUM('Mortgage Calculators (By Month)'!$K$23:$K43),"-")</f>
        <v>1780733.9159279927</v>
      </c>
      <c r="AG25" s="132">
        <f t="shared" si="16"/>
        <v>9012.5000000000018</v>
      </c>
      <c r="AH25" s="132">
        <f>IF($AD25&lt;=$C$25*12,SUM(Inputs!$C$61:$C$78)*'Forecast (By Month)'!AG25,"-")</f>
        <v>991.37500000000023</v>
      </c>
      <c r="AI25" s="132">
        <f>IF($AD25&lt;=$C$25*12,(SUMIF(Inputs!$C$61:$C$78,0,Inputs!$F$61:$F$78)/12)*(1+$C$34)^ROUNDDOWN((AD25-1)/12,0),"-")</f>
        <v>1488.1666666666667</v>
      </c>
      <c r="AJ25" s="132">
        <f t="shared" si="17"/>
        <v>2479.541666666667</v>
      </c>
      <c r="AK25" s="132">
        <f>IF($AD25&lt;=$C$25*12,'Mortgage Calculators (By Month)'!$J43,"-")</f>
        <v>0</v>
      </c>
      <c r="AL25" s="132">
        <f>IF($AD25&lt;=$C$25*12,'Mortgage Calculators (By Month)'!$K43,"-")</f>
        <v>0</v>
      </c>
      <c r="AM25" s="132">
        <f>IF($AD25&lt;=$C$25*12,'Mortgage Calculators (By Month)'!$L43,"-")</f>
        <v>10</v>
      </c>
      <c r="AN25" s="132">
        <f t="shared" si="27"/>
        <v>0</v>
      </c>
      <c r="AO25" s="132">
        <f t="shared" si="18"/>
        <v>2489.541666666667</v>
      </c>
      <c r="AP25" s="132">
        <f t="shared" si="19"/>
        <v>6532.9583333333348</v>
      </c>
      <c r="AQ25" s="132">
        <f t="shared" si="20"/>
        <v>0</v>
      </c>
      <c r="AR25" s="132">
        <f t="shared" si="1"/>
        <v>6532.9583333333348</v>
      </c>
      <c r="AS25" s="132">
        <f>IF($AD25&lt;=$C$25*12,SUM(AR$5:AR25),"-")</f>
        <v>132598.62499999997</v>
      </c>
      <c r="AT25" s="132">
        <f>IF($AD25&lt;=$C$25*12,AE25-$C$10-'RE Calculations'!$C212-'Mortgage Calculators (By Month)'!$M43,"-")</f>
        <v>139592.23760943278</v>
      </c>
      <c r="AU25" s="29">
        <f t="shared" si="21"/>
        <v>8.7189183948448573E-2</v>
      </c>
      <c r="AV25" s="31">
        <f t="shared" si="22"/>
        <v>4.9822390827684901E-2</v>
      </c>
      <c r="AW25" s="132">
        <f t="shared" si="23"/>
        <v>272190.86260943278</v>
      </c>
      <c r="AX25" s="29">
        <f t="shared" si="24"/>
        <v>0.17001016385696979</v>
      </c>
      <c r="AY25" s="31">
        <f t="shared" si="25"/>
        <v>9.71486650611256E-2</v>
      </c>
    </row>
    <row r="26" spans="2:51" x14ac:dyDescent="0.35">
      <c r="B26" t="str">
        <f>"Fees ("&amp;Inputs!$D$28&amp;")"</f>
        <v>Fees (per annum)</v>
      </c>
      <c r="C26" s="142">
        <f>Inputs!$C$28</f>
        <v>120</v>
      </c>
      <c r="F26" s="12">
        <f t="shared" si="2"/>
        <v>22</v>
      </c>
      <c r="G26" s="132">
        <f t="shared" si="3"/>
        <v>1787988.8463272243</v>
      </c>
      <c r="H26" s="132">
        <f>IF($F26&lt;=$C$16*12,$G26-$C$7+SUM('Mortgage Calculators (By Month)'!$D$23:$D44),"-")</f>
        <v>1787988.8463272243</v>
      </c>
      <c r="I26" s="132">
        <f t="shared" si="4"/>
        <v>9012.5000000000018</v>
      </c>
      <c r="J26" s="132">
        <f>IF($F26&lt;=$C$16*12,SUM(Inputs!$C$61:$C$78)*'Forecast (By Month)'!I26,"-")</f>
        <v>991.37500000000023</v>
      </c>
      <c r="K26" s="132">
        <f>IF($F26&lt;=$C$16*12,(SUMIF(Inputs!$C$61:$C$78,0,Inputs!$F$61:$F$78)/12)*(1+$C$34)^ROUNDDOWN((F26-1)/12,0),"-")</f>
        <v>1488.1666666666667</v>
      </c>
      <c r="L26" s="132">
        <f t="shared" si="5"/>
        <v>2479.541666666667</v>
      </c>
      <c r="M26" s="132">
        <f>IF($F26&lt;=$C$16*12,'Mortgage Calculators (By Month)'!$C44,"-")</f>
        <v>0</v>
      </c>
      <c r="N26" s="132">
        <f>IF($F26&lt;=$C$16*12,'Mortgage Calculators (By Month)'!$D44,"-")</f>
        <v>0</v>
      </c>
      <c r="O26" s="132">
        <f>IF($F26&lt;=$C$16*12,'Mortgage Calculators (By Month)'!$E44,"-")</f>
        <v>8.3333333333333339</v>
      </c>
      <c r="P26" s="132">
        <f t="shared" si="26"/>
        <v>0</v>
      </c>
      <c r="Q26" s="132">
        <f t="shared" si="6"/>
        <v>2487.8750000000005</v>
      </c>
      <c r="R26" s="132">
        <f t="shared" si="7"/>
        <v>6532.9583333333348</v>
      </c>
      <c r="S26" s="132">
        <f t="shared" si="8"/>
        <v>0</v>
      </c>
      <c r="T26" s="132">
        <f t="shared" si="0"/>
        <v>6532.9583333333348</v>
      </c>
      <c r="U26" s="132">
        <f>IF($F26&lt;=$C$16*12,SUM(T$5:T26),"-")</f>
        <v>139141.58333333331</v>
      </c>
      <c r="V26" s="132">
        <f>IF($F26&lt;=$C$16*12,G26-$C$10-'RE Calculations'!$C213-'Mortgage Calculators (By Month)'!$F44,"-")</f>
        <v>146702.06940067979</v>
      </c>
      <c r="W26" s="29">
        <f t="shared" si="9"/>
        <v>9.1629978383050245E-2</v>
      </c>
      <c r="X26" s="31">
        <f t="shared" si="10"/>
        <v>4.9979988208936496E-2</v>
      </c>
      <c r="Y26" s="132">
        <f t="shared" si="11"/>
        <v>285843.6527340131</v>
      </c>
      <c r="Z26" s="29">
        <f t="shared" si="12"/>
        <v>0.17853768408278756</v>
      </c>
      <c r="AA26" s="31">
        <f t="shared" si="13"/>
        <v>9.7384191317884131E-2</v>
      </c>
      <c r="AD26" s="12">
        <f t="shared" si="14"/>
        <v>22</v>
      </c>
      <c r="AE26" s="132">
        <f t="shared" si="15"/>
        <v>1787988.8463272243</v>
      </c>
      <c r="AF26" s="132">
        <f>IF($AD26&lt;=$C$25*12,$AE26-$C$7+SUM('Mortgage Calculators (By Month)'!$K$23:$K44),"-")</f>
        <v>1787988.8463272243</v>
      </c>
      <c r="AG26" s="132">
        <f t="shared" si="16"/>
        <v>9012.5000000000018</v>
      </c>
      <c r="AH26" s="132">
        <f>IF($AD26&lt;=$C$25*12,SUM(Inputs!$C$61:$C$78)*'Forecast (By Month)'!AG26,"-")</f>
        <v>991.37500000000023</v>
      </c>
      <c r="AI26" s="132">
        <f>IF($AD26&lt;=$C$25*12,(SUMIF(Inputs!$C$61:$C$78,0,Inputs!$F$61:$F$78)/12)*(1+$C$34)^ROUNDDOWN((AD26-1)/12,0),"-")</f>
        <v>1488.1666666666667</v>
      </c>
      <c r="AJ26" s="132">
        <f t="shared" si="17"/>
        <v>2479.541666666667</v>
      </c>
      <c r="AK26" s="132">
        <f>IF($AD26&lt;=$C$25*12,'Mortgage Calculators (By Month)'!$J44,"-")</f>
        <v>0</v>
      </c>
      <c r="AL26" s="132">
        <f>IF($AD26&lt;=$C$25*12,'Mortgage Calculators (By Month)'!$K44,"-")</f>
        <v>0</v>
      </c>
      <c r="AM26" s="132">
        <f>IF($AD26&lt;=$C$25*12,'Mortgage Calculators (By Month)'!$L44,"-")</f>
        <v>10</v>
      </c>
      <c r="AN26" s="132">
        <f t="shared" si="27"/>
        <v>0</v>
      </c>
      <c r="AO26" s="132">
        <f t="shared" si="18"/>
        <v>2489.541666666667</v>
      </c>
      <c r="AP26" s="132">
        <f t="shared" si="19"/>
        <v>6532.9583333333348</v>
      </c>
      <c r="AQ26" s="132">
        <f t="shared" si="20"/>
        <v>0</v>
      </c>
      <c r="AR26" s="132">
        <f t="shared" si="1"/>
        <v>6532.9583333333348</v>
      </c>
      <c r="AS26" s="132">
        <f>IF($AD26&lt;=$C$25*12,SUM(AR$5:AR26),"-")</f>
        <v>139131.58333333331</v>
      </c>
      <c r="AT26" s="132">
        <f>IF($AD26&lt;=$C$25*12,AE26-$C$10-'RE Calculations'!$C213-'Mortgage Calculators (By Month)'!$M44,"-")</f>
        <v>146702.06940067979</v>
      </c>
      <c r="AU26" s="29">
        <f t="shared" si="21"/>
        <v>9.1629978383050245E-2</v>
      </c>
      <c r="AV26" s="31">
        <f t="shared" si="22"/>
        <v>4.9979988208936496E-2</v>
      </c>
      <c r="AW26" s="132">
        <f t="shared" si="23"/>
        <v>285833.6527340131</v>
      </c>
      <c r="AX26" s="29">
        <f t="shared" si="24"/>
        <v>0.17853143809193292</v>
      </c>
      <c r="AY26" s="31">
        <f t="shared" si="25"/>
        <v>9.738078441378159E-2</v>
      </c>
    </row>
    <row r="27" spans="2:51" x14ac:dyDescent="0.35">
      <c r="B27" t="s">
        <v>171</v>
      </c>
      <c r="C27" s="142">
        <f>Inputs!$K$49</f>
        <v>120</v>
      </c>
      <c r="F27" s="12">
        <f t="shared" si="2"/>
        <v>23</v>
      </c>
      <c r="G27" s="132">
        <f t="shared" si="3"/>
        <v>1795273.3342109439</v>
      </c>
      <c r="H27" s="132">
        <f>IF($F27&lt;=$C$16*12,$G27-$C$7+SUM('Mortgage Calculators (By Month)'!$D$23:$D45),"-")</f>
        <v>1795273.3342109439</v>
      </c>
      <c r="I27" s="132">
        <f t="shared" si="4"/>
        <v>9012.5000000000018</v>
      </c>
      <c r="J27" s="132">
        <f>IF($F27&lt;=$C$16*12,SUM(Inputs!$C$61:$C$78)*'Forecast (By Month)'!I27,"-")</f>
        <v>991.37500000000023</v>
      </c>
      <c r="K27" s="132">
        <f>IF($F27&lt;=$C$16*12,(SUMIF(Inputs!$C$61:$C$78,0,Inputs!$F$61:$F$78)/12)*(1+$C$34)^ROUNDDOWN((F27-1)/12,0),"-")</f>
        <v>1488.1666666666667</v>
      </c>
      <c r="L27" s="132">
        <f t="shared" si="5"/>
        <v>2479.541666666667</v>
      </c>
      <c r="M27" s="132">
        <f>IF($F27&lt;=$C$16*12,'Mortgage Calculators (By Month)'!$C45,"-")</f>
        <v>0</v>
      </c>
      <c r="N27" s="132">
        <f>IF($F27&lt;=$C$16*12,'Mortgage Calculators (By Month)'!$D45,"-")</f>
        <v>0</v>
      </c>
      <c r="O27" s="132">
        <f>IF($F27&lt;=$C$16*12,'Mortgage Calculators (By Month)'!$E45,"-")</f>
        <v>8.3333333333333339</v>
      </c>
      <c r="P27" s="132">
        <f t="shared" si="26"/>
        <v>0</v>
      </c>
      <c r="Q27" s="132">
        <f t="shared" si="6"/>
        <v>2487.8750000000005</v>
      </c>
      <c r="R27" s="132">
        <f t="shared" si="7"/>
        <v>6532.9583333333348</v>
      </c>
      <c r="S27" s="132">
        <f t="shared" si="8"/>
        <v>0</v>
      </c>
      <c r="T27" s="132">
        <f t="shared" si="0"/>
        <v>6532.9583333333348</v>
      </c>
      <c r="U27" s="132">
        <f>IF($F27&lt;=$C$16*12,SUM(T$5:T27),"-")</f>
        <v>145674.54166666666</v>
      </c>
      <c r="V27" s="132">
        <f>IF($F27&lt;=$C$16*12,G27-$C$10-'RE Calculations'!$C214-'Mortgage Calculators (By Month)'!$F45,"-")</f>
        <v>153840.86752672499</v>
      </c>
      <c r="W27" s="29">
        <f t="shared" si="9"/>
        <v>9.6088865163876061E-2</v>
      </c>
      <c r="X27" s="31">
        <f t="shared" si="10"/>
        <v>5.0133320955065772E-2</v>
      </c>
      <c r="Y27" s="132">
        <f t="shared" si="11"/>
        <v>299515.40919339168</v>
      </c>
      <c r="Z27" s="29">
        <f t="shared" si="12"/>
        <v>0.18707705066397487</v>
      </c>
      <c r="AA27" s="31">
        <f t="shared" si="13"/>
        <v>9.7605417737726019E-2</v>
      </c>
      <c r="AD27" s="12">
        <f t="shared" si="14"/>
        <v>23</v>
      </c>
      <c r="AE27" s="132">
        <f t="shared" si="15"/>
        <v>1795273.3342109439</v>
      </c>
      <c r="AF27" s="132">
        <f>IF($AD27&lt;=$C$25*12,$AE27-$C$7+SUM('Mortgage Calculators (By Month)'!$K$23:$K45),"-")</f>
        <v>1795273.3342109439</v>
      </c>
      <c r="AG27" s="132">
        <f t="shared" si="16"/>
        <v>9012.5000000000018</v>
      </c>
      <c r="AH27" s="132">
        <f>IF($AD27&lt;=$C$25*12,SUM(Inputs!$C$61:$C$78)*'Forecast (By Month)'!AG27,"-")</f>
        <v>991.37500000000023</v>
      </c>
      <c r="AI27" s="132">
        <f>IF($AD27&lt;=$C$25*12,(SUMIF(Inputs!$C$61:$C$78,0,Inputs!$F$61:$F$78)/12)*(1+$C$34)^ROUNDDOWN((AD27-1)/12,0),"-")</f>
        <v>1488.1666666666667</v>
      </c>
      <c r="AJ27" s="132">
        <f t="shared" si="17"/>
        <v>2479.541666666667</v>
      </c>
      <c r="AK27" s="132">
        <f>IF($AD27&lt;=$C$25*12,'Mortgage Calculators (By Month)'!$J45,"-")</f>
        <v>0</v>
      </c>
      <c r="AL27" s="132">
        <f>IF($AD27&lt;=$C$25*12,'Mortgage Calculators (By Month)'!$K45,"-")</f>
        <v>0</v>
      </c>
      <c r="AM27" s="132">
        <f>IF($AD27&lt;=$C$25*12,'Mortgage Calculators (By Month)'!$L45,"-")</f>
        <v>10</v>
      </c>
      <c r="AN27" s="132">
        <f t="shared" si="27"/>
        <v>0</v>
      </c>
      <c r="AO27" s="132">
        <f t="shared" si="18"/>
        <v>2489.541666666667</v>
      </c>
      <c r="AP27" s="132">
        <f t="shared" si="19"/>
        <v>6532.9583333333348</v>
      </c>
      <c r="AQ27" s="132">
        <f t="shared" si="20"/>
        <v>0</v>
      </c>
      <c r="AR27" s="132">
        <f t="shared" si="1"/>
        <v>6532.9583333333348</v>
      </c>
      <c r="AS27" s="132">
        <f>IF($AD27&lt;=$C$25*12,SUM(AR$5:AR27),"-")</f>
        <v>145664.54166666666</v>
      </c>
      <c r="AT27" s="132">
        <f>IF($AD27&lt;=$C$25*12,AE27-$C$10-'RE Calculations'!$C214-'Mortgage Calculators (By Month)'!$M45,"-")</f>
        <v>153840.86752672499</v>
      </c>
      <c r="AU27" s="29">
        <f t="shared" si="21"/>
        <v>9.6088865163876061E-2</v>
      </c>
      <c r="AV27" s="31">
        <f t="shared" si="22"/>
        <v>5.0133320955065772E-2</v>
      </c>
      <c r="AW27" s="132">
        <f t="shared" si="23"/>
        <v>299505.40919339168</v>
      </c>
      <c r="AX27" s="29">
        <f t="shared" si="24"/>
        <v>0.18707080467312023</v>
      </c>
      <c r="AY27" s="31">
        <f t="shared" si="25"/>
        <v>9.7602158959888816E-2</v>
      </c>
    </row>
    <row r="28" spans="2:51" x14ac:dyDescent="0.35">
      <c r="B28" t="s">
        <v>132</v>
      </c>
      <c r="C28" s="142">
        <f>Inputs!$K$50</f>
        <v>120</v>
      </c>
      <c r="F28" s="12">
        <f t="shared" si="2"/>
        <v>24</v>
      </c>
      <c r="G28" s="132">
        <f t="shared" si="3"/>
        <v>1802587.5000000023</v>
      </c>
      <c r="H28" s="132">
        <f>IF($F28&lt;=$C$16*12,$G28-$C$7+SUM('Mortgage Calculators (By Month)'!$D$23:$D46),"-")</f>
        <v>1802587.5000000023</v>
      </c>
      <c r="I28" s="132">
        <f t="shared" si="4"/>
        <v>9012.5000000000018</v>
      </c>
      <c r="J28" s="132">
        <f>IF($F28&lt;=$C$16*12,SUM(Inputs!$C$61:$C$78)*'Forecast (By Month)'!I28,"-")</f>
        <v>991.37500000000023</v>
      </c>
      <c r="K28" s="132">
        <f>IF($F28&lt;=$C$16*12,(SUMIF(Inputs!$C$61:$C$78,0,Inputs!$F$61:$F$78)/12)*(1+$C$34)^ROUNDDOWN((F28-1)/12,0),"-")</f>
        <v>1488.1666666666667</v>
      </c>
      <c r="L28" s="132">
        <f t="shared" si="5"/>
        <v>2479.541666666667</v>
      </c>
      <c r="M28" s="132">
        <f>IF($F28&lt;=$C$16*12,'Mortgage Calculators (By Month)'!$C46,"-")</f>
        <v>0</v>
      </c>
      <c r="N28" s="132">
        <f>IF($F28&lt;=$C$16*12,'Mortgage Calculators (By Month)'!$D46,"-")</f>
        <v>0</v>
      </c>
      <c r="O28" s="132">
        <f>IF($F28&lt;=$C$16*12,'Mortgage Calculators (By Month)'!$E46,"-")</f>
        <v>8.3333333333333339</v>
      </c>
      <c r="P28" s="132">
        <f t="shared" si="26"/>
        <v>0</v>
      </c>
      <c r="Q28" s="132">
        <f t="shared" si="6"/>
        <v>2487.8750000000005</v>
      </c>
      <c r="R28" s="132">
        <f t="shared" si="7"/>
        <v>6532.9583333333348</v>
      </c>
      <c r="S28" s="132">
        <f t="shared" si="8"/>
        <v>0</v>
      </c>
      <c r="T28" s="132">
        <f t="shared" si="0"/>
        <v>6532.9583333333348</v>
      </c>
      <c r="U28" s="132">
        <f>IF($F28&lt;=$C$16*12,SUM(T$5:T28),"-")</f>
        <v>152207.5</v>
      </c>
      <c r="V28" s="132">
        <f>IF($F28&lt;=$C$16*12,G28-$C$10-'RE Calculations'!$C215-'Mortgage Calculators (By Month)'!$F46,"-")</f>
        <v>161008.75000000224</v>
      </c>
      <c r="W28" s="29">
        <f t="shared" si="9"/>
        <v>0.10056591800138426</v>
      </c>
      <c r="X28" s="31">
        <f t="shared" si="10"/>
        <v>5.0282959000692129E-2</v>
      </c>
      <c r="Y28" s="132">
        <f t="shared" si="11"/>
        <v>313216.25000000221</v>
      </c>
      <c r="Z28" s="29">
        <f t="shared" si="12"/>
        <v>0.19563458330184452</v>
      </c>
      <c r="AA28" s="31">
        <f t="shared" si="13"/>
        <v>9.7817291650922261E-2</v>
      </c>
      <c r="AD28" s="12">
        <f t="shared" si="14"/>
        <v>24</v>
      </c>
      <c r="AE28" s="132">
        <f t="shared" si="15"/>
        <v>1802587.5000000023</v>
      </c>
      <c r="AF28" s="132">
        <f>IF($AD28&lt;=$C$25*12,$AE28-$C$7+SUM('Mortgage Calculators (By Month)'!$K$23:$K46),"-")</f>
        <v>1802587.5000000023</v>
      </c>
      <c r="AG28" s="132">
        <f t="shared" si="16"/>
        <v>9012.5000000000018</v>
      </c>
      <c r="AH28" s="132">
        <f>IF($AD28&lt;=$C$25*12,SUM(Inputs!$C$61:$C$78)*'Forecast (By Month)'!AG28,"-")</f>
        <v>991.37500000000023</v>
      </c>
      <c r="AI28" s="132">
        <f>IF($AD28&lt;=$C$25*12,(SUMIF(Inputs!$C$61:$C$78,0,Inputs!$F$61:$F$78)/12)*(1+$C$34)^ROUNDDOWN((AD28-1)/12,0),"-")</f>
        <v>1488.1666666666667</v>
      </c>
      <c r="AJ28" s="132">
        <f t="shared" si="17"/>
        <v>2479.541666666667</v>
      </c>
      <c r="AK28" s="132">
        <f>IF($AD28&lt;=$C$25*12,'Mortgage Calculators (By Month)'!$J46,"-")</f>
        <v>0</v>
      </c>
      <c r="AL28" s="132">
        <f>IF($AD28&lt;=$C$25*12,'Mortgage Calculators (By Month)'!$K46,"-")</f>
        <v>0</v>
      </c>
      <c r="AM28" s="132">
        <f>IF($AD28&lt;=$C$25*12,'Mortgage Calculators (By Month)'!$L46,"-")</f>
        <v>10</v>
      </c>
      <c r="AN28" s="132">
        <f t="shared" si="27"/>
        <v>0</v>
      </c>
      <c r="AO28" s="132">
        <f t="shared" si="18"/>
        <v>2489.541666666667</v>
      </c>
      <c r="AP28" s="132">
        <f t="shared" si="19"/>
        <v>6532.9583333333348</v>
      </c>
      <c r="AQ28" s="132">
        <f t="shared" si="20"/>
        <v>0</v>
      </c>
      <c r="AR28" s="132">
        <f t="shared" si="1"/>
        <v>6532.9583333333348</v>
      </c>
      <c r="AS28" s="132">
        <f>IF($AD28&lt;=$C$25*12,SUM(AR$5:AR28),"-")</f>
        <v>152197.5</v>
      </c>
      <c r="AT28" s="132">
        <f>IF($AD28&lt;=$C$25*12,AE28-$C$10-'RE Calculations'!$C215-'Mortgage Calculators (By Month)'!$M46,"-")</f>
        <v>161008.75000000224</v>
      </c>
      <c r="AU28" s="29">
        <f t="shared" si="21"/>
        <v>0.10056591800138426</v>
      </c>
      <c r="AV28" s="31">
        <f t="shared" si="22"/>
        <v>5.0282959000692129E-2</v>
      </c>
      <c r="AW28" s="132">
        <f t="shared" si="23"/>
        <v>313206.25000000221</v>
      </c>
      <c r="AX28" s="29">
        <f t="shared" si="24"/>
        <v>0.19562833731098989</v>
      </c>
      <c r="AY28" s="31">
        <f t="shared" si="25"/>
        <v>9.7814168655494943E-2</v>
      </c>
    </row>
    <row r="29" spans="2:51" x14ac:dyDescent="0.35">
      <c r="F29" s="12">
        <f t="shared" si="2"/>
        <v>25</v>
      </c>
      <c r="G29" s="132">
        <f t="shared" si="3"/>
        <v>1809931.4646058595</v>
      </c>
      <c r="H29" s="132">
        <f>IF($F29&lt;=$C$16*12,$G29-$C$7+SUM('Mortgage Calculators (By Month)'!$D$23:$D47),"-")</f>
        <v>1809931.4646058595</v>
      </c>
      <c r="I29" s="132">
        <f t="shared" si="4"/>
        <v>9463.1250000000018</v>
      </c>
      <c r="J29" s="132">
        <f>IF($F29&lt;=$C$16*12,SUM(Inputs!$C$61:$C$78)*'Forecast (By Month)'!I29,"-")</f>
        <v>1040.9437500000001</v>
      </c>
      <c r="K29" s="132">
        <f>IF($F29&lt;=$C$16*12,(SUMIF(Inputs!$C$61:$C$78,0,Inputs!$F$61:$F$78)/12)*(1+$C$34)^ROUNDDOWN((F29-1)/12,0),"-")</f>
        <v>1488.1666666666667</v>
      </c>
      <c r="L29" s="132">
        <f t="shared" si="5"/>
        <v>2529.1104166666669</v>
      </c>
      <c r="M29" s="132">
        <f>IF($F29&lt;=$C$16*12,'Mortgage Calculators (By Month)'!$C47,"-")</f>
        <v>0</v>
      </c>
      <c r="N29" s="132">
        <f>IF($F29&lt;=$C$16*12,'Mortgage Calculators (By Month)'!$D47,"-")</f>
        <v>0</v>
      </c>
      <c r="O29" s="132">
        <f>IF($F29&lt;=$C$16*12,'Mortgage Calculators (By Month)'!$E47,"-")</f>
        <v>8.3333333333333339</v>
      </c>
      <c r="P29" s="132">
        <f t="shared" si="26"/>
        <v>0</v>
      </c>
      <c r="Q29" s="132">
        <f t="shared" si="6"/>
        <v>2537.4437500000004</v>
      </c>
      <c r="R29" s="132">
        <f t="shared" si="7"/>
        <v>6934.0145833333354</v>
      </c>
      <c r="S29" s="132">
        <f t="shared" si="8"/>
        <v>0</v>
      </c>
      <c r="T29" s="132">
        <f t="shared" si="0"/>
        <v>6934.0145833333354</v>
      </c>
      <c r="U29" s="132">
        <f>IF($F29&lt;=$C$16*12,SUM(T$5:T29),"-")</f>
        <v>159141.51458333334</v>
      </c>
      <c r="V29" s="132">
        <f>IF($F29&lt;=$C$16*12,G29-$C$10-'RE Calculations'!$C216-'Mortgage Calculators (By Month)'!$F47,"-")</f>
        <v>168205.83531374225</v>
      </c>
      <c r="W29" s="29">
        <f t="shared" si="9"/>
        <v>0.1050612109063384</v>
      </c>
      <c r="X29" s="31">
        <f t="shared" si="10"/>
        <v>5.0429381235042425E-2</v>
      </c>
      <c r="Y29" s="132">
        <f t="shared" si="11"/>
        <v>327347.34989707556</v>
      </c>
      <c r="Z29" s="29">
        <f t="shared" si="12"/>
        <v>0.20446085537412895</v>
      </c>
      <c r="AA29" s="31">
        <f t="shared" si="13"/>
        <v>9.8141210579581889E-2</v>
      </c>
      <c r="AD29" s="12">
        <f t="shared" si="14"/>
        <v>25</v>
      </c>
      <c r="AE29" s="132">
        <f t="shared" si="15"/>
        <v>1809931.4646058595</v>
      </c>
      <c r="AF29" s="132">
        <f>IF($AD29&lt;=$C$25*12,$AE29-$C$7+SUM('Mortgage Calculators (By Month)'!$K$23:$K47),"-")</f>
        <v>1809931.4646058595</v>
      </c>
      <c r="AG29" s="132">
        <f t="shared" si="16"/>
        <v>9463.1250000000018</v>
      </c>
      <c r="AH29" s="132">
        <f>IF($AD29&lt;=$C$25*12,SUM(Inputs!$C$61:$C$78)*'Forecast (By Month)'!AG29,"-")</f>
        <v>1040.9437500000001</v>
      </c>
      <c r="AI29" s="132">
        <f>IF($AD29&lt;=$C$25*12,(SUMIF(Inputs!$C$61:$C$78,0,Inputs!$F$61:$F$78)/12)*(1+$C$34)^ROUNDDOWN((AD29-1)/12,0),"-")</f>
        <v>1488.1666666666667</v>
      </c>
      <c r="AJ29" s="132">
        <f t="shared" si="17"/>
        <v>2529.1104166666669</v>
      </c>
      <c r="AK29" s="132">
        <f>IF($AD29&lt;=$C$25*12,'Mortgage Calculators (By Month)'!$J47,"-")</f>
        <v>0</v>
      </c>
      <c r="AL29" s="132">
        <f>IF($AD29&lt;=$C$25*12,'Mortgage Calculators (By Month)'!$K47,"-")</f>
        <v>0</v>
      </c>
      <c r="AM29" s="132">
        <f>IF($AD29&lt;=$C$25*12,'Mortgage Calculators (By Month)'!$L47,"-")</f>
        <v>10</v>
      </c>
      <c r="AN29" s="132">
        <f t="shared" si="27"/>
        <v>0</v>
      </c>
      <c r="AO29" s="132">
        <f t="shared" si="18"/>
        <v>2539.1104166666669</v>
      </c>
      <c r="AP29" s="132">
        <f t="shared" si="19"/>
        <v>6934.0145833333354</v>
      </c>
      <c r="AQ29" s="132">
        <f t="shared" si="20"/>
        <v>0</v>
      </c>
      <c r="AR29" s="132">
        <f t="shared" si="1"/>
        <v>6934.0145833333354</v>
      </c>
      <c r="AS29" s="132">
        <f>IF($AD29&lt;=$C$25*12,SUM(AR$5:AR29),"-")</f>
        <v>159131.51458333334</v>
      </c>
      <c r="AT29" s="132">
        <f>IF($AD29&lt;=$C$25*12,AE29-$C$10-'RE Calculations'!$C216-'Mortgage Calculators (By Month)'!$M47,"-")</f>
        <v>168205.83531374225</v>
      </c>
      <c r="AU29" s="29">
        <f t="shared" si="21"/>
        <v>0.1050612109063384</v>
      </c>
      <c r="AV29" s="31">
        <f t="shared" si="22"/>
        <v>5.0429381235042425E-2</v>
      </c>
      <c r="AW29" s="132">
        <f t="shared" si="23"/>
        <v>327337.34989707556</v>
      </c>
      <c r="AX29" s="29">
        <f t="shared" si="24"/>
        <v>0.20445460938327434</v>
      </c>
      <c r="AY29" s="31">
        <f t="shared" si="25"/>
        <v>9.8138212503971672E-2</v>
      </c>
    </row>
    <row r="30" spans="2:51" ht="15.5" x14ac:dyDescent="0.35">
      <c r="B30" s="64" t="s">
        <v>56</v>
      </c>
      <c r="C30" s="54"/>
      <c r="F30" s="12">
        <f t="shared" si="2"/>
        <v>26</v>
      </c>
      <c r="G30" s="132">
        <f t="shared" si="3"/>
        <v>1817305.3494325837</v>
      </c>
      <c r="H30" s="132">
        <f>IF($F30&lt;=$C$16*12,$G30-$C$7+SUM('Mortgage Calculators (By Month)'!$D$23:$D48),"-")</f>
        <v>1817305.3494325837</v>
      </c>
      <c r="I30" s="132">
        <f t="shared" si="4"/>
        <v>9463.1250000000018</v>
      </c>
      <c r="J30" s="132">
        <f>IF($F30&lt;=$C$16*12,SUM(Inputs!$C$61:$C$78)*'Forecast (By Month)'!I30,"-")</f>
        <v>1040.9437500000001</v>
      </c>
      <c r="K30" s="132">
        <f>IF($F30&lt;=$C$16*12,(SUMIF(Inputs!$C$61:$C$78,0,Inputs!$F$61:$F$78)/12)*(1+$C$34)^ROUNDDOWN((F30-1)/12,0),"-")</f>
        <v>1488.1666666666667</v>
      </c>
      <c r="L30" s="132">
        <f t="shared" si="5"/>
        <v>2529.1104166666669</v>
      </c>
      <c r="M30" s="132">
        <f>IF($F30&lt;=$C$16*12,'Mortgage Calculators (By Month)'!$C48,"-")</f>
        <v>0</v>
      </c>
      <c r="N30" s="132">
        <f>IF($F30&lt;=$C$16*12,'Mortgage Calculators (By Month)'!$D48,"-")</f>
        <v>0</v>
      </c>
      <c r="O30" s="132">
        <f>IF($F30&lt;=$C$16*12,'Mortgage Calculators (By Month)'!$E48,"-")</f>
        <v>8.3333333333333339</v>
      </c>
      <c r="P30" s="132">
        <f t="shared" si="26"/>
        <v>0</v>
      </c>
      <c r="Q30" s="132">
        <f t="shared" si="6"/>
        <v>2537.4437500000004</v>
      </c>
      <c r="R30" s="132">
        <f t="shared" si="7"/>
        <v>6934.0145833333354</v>
      </c>
      <c r="S30" s="132">
        <f t="shared" si="8"/>
        <v>0</v>
      </c>
      <c r="T30" s="132">
        <f t="shared" si="0"/>
        <v>6934.0145833333354</v>
      </c>
      <c r="U30" s="132">
        <f>IF($F30&lt;=$C$16*12,SUM(T$5:T30),"-")</f>
        <v>166075.52916666667</v>
      </c>
      <c r="V30" s="132">
        <f>IF($F30&lt;=$C$16*12,G30-$C$10-'RE Calculations'!$C217-'Mortgage Calculators (By Month)'!$F48,"-")</f>
        <v>175432.24244393196</v>
      </c>
      <c r="W30" s="29">
        <f t="shared" si="9"/>
        <v>0.10957481819103111</v>
      </c>
      <c r="X30" s="31">
        <f t="shared" si="10"/>
        <v>5.0572993011245133E-2</v>
      </c>
      <c r="Y30" s="132">
        <f t="shared" si="11"/>
        <v>341507.77161059866</v>
      </c>
      <c r="Z30" s="29">
        <f t="shared" si="12"/>
        <v>0.21330544182615199</v>
      </c>
      <c r="AA30" s="31">
        <f t="shared" si="13"/>
        <v>9.8448665458224005E-2</v>
      </c>
      <c r="AD30" s="12">
        <f t="shared" si="14"/>
        <v>26</v>
      </c>
      <c r="AE30" s="132">
        <f t="shared" si="15"/>
        <v>1817305.3494325837</v>
      </c>
      <c r="AF30" s="132">
        <f>IF($AD30&lt;=$C$25*12,$AE30-$C$7+SUM('Mortgage Calculators (By Month)'!$K$23:$K48),"-")</f>
        <v>1817305.3494325837</v>
      </c>
      <c r="AG30" s="132">
        <f t="shared" si="16"/>
        <v>9463.1250000000018</v>
      </c>
      <c r="AH30" s="132">
        <f>IF($AD30&lt;=$C$25*12,SUM(Inputs!$C$61:$C$78)*'Forecast (By Month)'!AG30,"-")</f>
        <v>1040.9437500000001</v>
      </c>
      <c r="AI30" s="132">
        <f>IF($AD30&lt;=$C$25*12,(SUMIF(Inputs!$C$61:$C$78,0,Inputs!$F$61:$F$78)/12)*(1+$C$34)^ROUNDDOWN((AD30-1)/12,0),"-")</f>
        <v>1488.1666666666667</v>
      </c>
      <c r="AJ30" s="132">
        <f t="shared" si="17"/>
        <v>2529.1104166666669</v>
      </c>
      <c r="AK30" s="132">
        <f>IF($AD30&lt;=$C$25*12,'Mortgage Calculators (By Month)'!$J48,"-")</f>
        <v>0</v>
      </c>
      <c r="AL30" s="132">
        <f>IF($AD30&lt;=$C$25*12,'Mortgage Calculators (By Month)'!$K48,"-")</f>
        <v>0</v>
      </c>
      <c r="AM30" s="132">
        <f>IF($AD30&lt;=$C$25*12,'Mortgage Calculators (By Month)'!$L48,"-")</f>
        <v>10</v>
      </c>
      <c r="AN30" s="132">
        <f t="shared" si="27"/>
        <v>0</v>
      </c>
      <c r="AO30" s="132">
        <f t="shared" si="18"/>
        <v>2539.1104166666669</v>
      </c>
      <c r="AP30" s="132">
        <f t="shared" si="19"/>
        <v>6934.0145833333354</v>
      </c>
      <c r="AQ30" s="132">
        <f t="shared" si="20"/>
        <v>0</v>
      </c>
      <c r="AR30" s="132">
        <f t="shared" si="1"/>
        <v>6934.0145833333354</v>
      </c>
      <c r="AS30" s="132">
        <f>IF($AD30&lt;=$C$25*12,SUM(AR$5:AR30),"-")</f>
        <v>166065.52916666667</v>
      </c>
      <c r="AT30" s="132">
        <f>IF($AD30&lt;=$C$25*12,AE30-$C$10-'RE Calculations'!$C217-'Mortgage Calculators (By Month)'!$M48,"-")</f>
        <v>175432.24244393196</v>
      </c>
      <c r="AU30" s="29">
        <f t="shared" si="21"/>
        <v>0.10957481819103111</v>
      </c>
      <c r="AV30" s="31">
        <f t="shared" si="22"/>
        <v>5.0572993011245133E-2</v>
      </c>
      <c r="AW30" s="132">
        <f t="shared" si="23"/>
        <v>341497.77161059866</v>
      </c>
      <c r="AX30" s="29">
        <f t="shared" si="24"/>
        <v>0.21329919583529738</v>
      </c>
      <c r="AY30" s="31">
        <f t="shared" si="25"/>
        <v>9.844578269321419E-2</v>
      </c>
    </row>
    <row r="31" spans="2:51" x14ac:dyDescent="0.35">
      <c r="B31" t="s">
        <v>7</v>
      </c>
      <c r="C31" s="4">
        <f>Inputs!K11</f>
        <v>0.05</v>
      </c>
      <c r="F31" s="12">
        <f t="shared" si="2"/>
        <v>27</v>
      </c>
      <c r="G31" s="132">
        <f t="shared" si="3"/>
        <v>1824709.2763788584</v>
      </c>
      <c r="H31" s="132">
        <f>IF($F31&lt;=$C$16*12,$G31-$C$7+SUM('Mortgage Calculators (By Month)'!$D$23:$D49),"-")</f>
        <v>1824709.2763788584</v>
      </c>
      <c r="I31" s="132">
        <f t="shared" si="4"/>
        <v>9463.1250000000018</v>
      </c>
      <c r="J31" s="132">
        <f>IF($F31&lt;=$C$16*12,SUM(Inputs!$C$61:$C$78)*'Forecast (By Month)'!I31,"-")</f>
        <v>1040.9437500000001</v>
      </c>
      <c r="K31" s="132">
        <f>IF($F31&lt;=$C$16*12,(SUMIF(Inputs!$C$61:$C$78,0,Inputs!$F$61:$F$78)/12)*(1+$C$34)^ROUNDDOWN((F31-1)/12,0),"-")</f>
        <v>1488.1666666666667</v>
      </c>
      <c r="L31" s="132">
        <f t="shared" si="5"/>
        <v>2529.1104166666669</v>
      </c>
      <c r="M31" s="132">
        <f>IF($F31&lt;=$C$16*12,'Mortgage Calculators (By Month)'!$C49,"-")</f>
        <v>0</v>
      </c>
      <c r="N31" s="132">
        <f>IF($F31&lt;=$C$16*12,'Mortgage Calculators (By Month)'!$D49,"-")</f>
        <v>0</v>
      </c>
      <c r="O31" s="132">
        <f>IF($F31&lt;=$C$16*12,'Mortgage Calculators (By Month)'!$E49,"-")</f>
        <v>8.3333333333333339</v>
      </c>
      <c r="P31" s="132">
        <f t="shared" si="26"/>
        <v>0</v>
      </c>
      <c r="Q31" s="132">
        <f t="shared" si="6"/>
        <v>2537.4437500000004</v>
      </c>
      <c r="R31" s="132">
        <f t="shared" si="7"/>
        <v>6934.0145833333354</v>
      </c>
      <c r="S31" s="132">
        <f t="shared" si="8"/>
        <v>0</v>
      </c>
      <c r="T31" s="132">
        <f t="shared" si="0"/>
        <v>6934.0145833333354</v>
      </c>
      <c r="U31" s="132">
        <f>IF($F31&lt;=$C$16*12,SUM(T$5:T31),"-")</f>
        <v>173009.54375000001</v>
      </c>
      <c r="V31" s="132">
        <f>IF($F31&lt;=$C$16*12,G31-$C$10-'RE Calculations'!$C218-'Mortgage Calculators (By Month)'!$F49,"-")</f>
        <v>182688.09085128116</v>
      </c>
      <c r="W31" s="29">
        <f t="shared" si="9"/>
        <v>0.11410681447051246</v>
      </c>
      <c r="X31" s="31">
        <f t="shared" si="10"/>
        <v>5.0714139764672206E-2</v>
      </c>
      <c r="Y31" s="132">
        <f t="shared" si="11"/>
        <v>355697.63460128114</v>
      </c>
      <c r="Z31" s="29">
        <f t="shared" si="12"/>
        <v>0.22216841727296363</v>
      </c>
      <c r="AA31" s="31">
        <f t="shared" si="13"/>
        <v>9.8741518787983831E-2</v>
      </c>
      <c r="AD31" s="12">
        <f t="shared" si="14"/>
        <v>27</v>
      </c>
      <c r="AE31" s="132">
        <f t="shared" si="15"/>
        <v>1824709.2763788584</v>
      </c>
      <c r="AF31" s="132">
        <f>IF($AD31&lt;=$C$25*12,$AE31-$C$7+SUM('Mortgage Calculators (By Month)'!$K$23:$K49),"-")</f>
        <v>1824709.2763788584</v>
      </c>
      <c r="AG31" s="132">
        <f t="shared" si="16"/>
        <v>9463.1250000000018</v>
      </c>
      <c r="AH31" s="132">
        <f>IF($AD31&lt;=$C$25*12,SUM(Inputs!$C$61:$C$78)*'Forecast (By Month)'!AG31,"-")</f>
        <v>1040.9437500000001</v>
      </c>
      <c r="AI31" s="132">
        <f>IF($AD31&lt;=$C$25*12,(SUMIF(Inputs!$C$61:$C$78,0,Inputs!$F$61:$F$78)/12)*(1+$C$34)^ROUNDDOWN((AD31-1)/12,0),"-")</f>
        <v>1488.1666666666667</v>
      </c>
      <c r="AJ31" s="132">
        <f t="shared" si="17"/>
        <v>2529.1104166666669</v>
      </c>
      <c r="AK31" s="132">
        <f>IF($AD31&lt;=$C$25*12,'Mortgage Calculators (By Month)'!$J49,"-")</f>
        <v>0</v>
      </c>
      <c r="AL31" s="132">
        <f>IF($AD31&lt;=$C$25*12,'Mortgage Calculators (By Month)'!$K49,"-")</f>
        <v>0</v>
      </c>
      <c r="AM31" s="132">
        <f>IF($AD31&lt;=$C$25*12,'Mortgage Calculators (By Month)'!$L49,"-")</f>
        <v>10</v>
      </c>
      <c r="AN31" s="132">
        <f t="shared" si="27"/>
        <v>0</v>
      </c>
      <c r="AO31" s="132">
        <f t="shared" si="18"/>
        <v>2539.1104166666669</v>
      </c>
      <c r="AP31" s="132">
        <f t="shared" si="19"/>
        <v>6934.0145833333354</v>
      </c>
      <c r="AQ31" s="132">
        <f t="shared" si="20"/>
        <v>0</v>
      </c>
      <c r="AR31" s="132">
        <f t="shared" si="1"/>
        <v>6934.0145833333354</v>
      </c>
      <c r="AS31" s="132">
        <f>IF($AD31&lt;=$C$25*12,SUM(AR$5:AR31),"-")</f>
        <v>172999.54375000001</v>
      </c>
      <c r="AT31" s="132">
        <f>IF($AD31&lt;=$C$25*12,AE31-$C$10-'RE Calculations'!$C218-'Mortgage Calculators (By Month)'!$M49,"-")</f>
        <v>182688.09085128116</v>
      </c>
      <c r="AU31" s="29">
        <f t="shared" si="21"/>
        <v>0.11410681447051246</v>
      </c>
      <c r="AV31" s="31">
        <f t="shared" si="22"/>
        <v>5.0714139764672206E-2</v>
      </c>
      <c r="AW31" s="132">
        <f t="shared" si="23"/>
        <v>355687.63460128114</v>
      </c>
      <c r="AX31" s="29">
        <f t="shared" si="24"/>
        <v>0.22216217128210902</v>
      </c>
      <c r="AY31" s="31">
        <f t="shared" si="25"/>
        <v>9.8738742792048459E-2</v>
      </c>
    </row>
    <row r="32" spans="2:51" x14ac:dyDescent="0.35">
      <c r="B32" t="s">
        <v>58</v>
      </c>
      <c r="C32" s="4">
        <f>(POWER((1+C31),1/12)-1)</f>
        <v>4.0741237836483535E-3</v>
      </c>
      <c r="F32" s="12">
        <f t="shared" si="2"/>
        <v>28</v>
      </c>
      <c r="G32" s="132">
        <f t="shared" si="3"/>
        <v>1832143.3678399972</v>
      </c>
      <c r="H32" s="132">
        <f>IF($F32&lt;=$C$16*12,$G32-$C$7+SUM('Mortgage Calculators (By Month)'!$D$23:$D50),"-")</f>
        <v>1832143.3678399972</v>
      </c>
      <c r="I32" s="132">
        <f t="shared" si="4"/>
        <v>9463.1250000000018</v>
      </c>
      <c r="J32" s="132">
        <f>IF($F32&lt;=$C$16*12,SUM(Inputs!$C$61:$C$78)*'Forecast (By Month)'!I32,"-")</f>
        <v>1040.9437500000001</v>
      </c>
      <c r="K32" s="132">
        <f>IF($F32&lt;=$C$16*12,(SUMIF(Inputs!$C$61:$C$78,0,Inputs!$F$61:$F$78)/12)*(1+$C$34)^ROUNDDOWN((F32-1)/12,0),"-")</f>
        <v>1488.1666666666667</v>
      </c>
      <c r="L32" s="132">
        <f t="shared" si="5"/>
        <v>2529.1104166666669</v>
      </c>
      <c r="M32" s="132">
        <f>IF($F32&lt;=$C$16*12,'Mortgage Calculators (By Month)'!$C50,"-")</f>
        <v>0</v>
      </c>
      <c r="N32" s="132">
        <f>IF($F32&lt;=$C$16*12,'Mortgage Calculators (By Month)'!$D50,"-")</f>
        <v>0</v>
      </c>
      <c r="O32" s="132">
        <f>IF($F32&lt;=$C$16*12,'Mortgage Calculators (By Month)'!$E50,"-")</f>
        <v>8.3333333333333339</v>
      </c>
      <c r="P32" s="132">
        <f t="shared" si="26"/>
        <v>0</v>
      </c>
      <c r="Q32" s="132">
        <f t="shared" si="6"/>
        <v>2537.4437500000004</v>
      </c>
      <c r="R32" s="132">
        <f t="shared" si="7"/>
        <v>6934.0145833333354</v>
      </c>
      <c r="S32" s="132">
        <f t="shared" si="8"/>
        <v>0</v>
      </c>
      <c r="T32" s="132">
        <f t="shared" si="0"/>
        <v>6934.0145833333354</v>
      </c>
      <c r="U32" s="132">
        <f>IF($F32&lt;=$C$16*12,SUM(T$5:T32),"-")</f>
        <v>179943.55833333335</v>
      </c>
      <c r="V32" s="132">
        <f>IF($F32&lt;=$C$16*12,G32-$C$10-'RE Calculations'!$C219-'Mortgage Calculators (By Month)'!$F50,"-")</f>
        <v>189973.50048319719</v>
      </c>
      <c r="W32" s="29">
        <f t="shared" si="9"/>
        <v>0.11865727466382341</v>
      </c>
      <c r="X32" s="31">
        <f t="shared" si="10"/>
        <v>5.0853117713067171E-2</v>
      </c>
      <c r="Y32" s="132">
        <f t="shared" si="11"/>
        <v>369917.05881653051</v>
      </c>
      <c r="Z32" s="29">
        <f t="shared" si="12"/>
        <v>0.23104985663360486</v>
      </c>
      <c r="AA32" s="31">
        <f t="shared" si="13"/>
        <v>9.9021367128687796E-2</v>
      </c>
      <c r="AD32" s="12">
        <f t="shared" si="14"/>
        <v>28</v>
      </c>
      <c r="AE32" s="132">
        <f t="shared" si="15"/>
        <v>1832143.3678399972</v>
      </c>
      <c r="AF32" s="132">
        <f>IF($AD32&lt;=$C$25*12,$AE32-$C$7+SUM('Mortgage Calculators (By Month)'!$K$23:$K50),"-")</f>
        <v>1832143.3678399972</v>
      </c>
      <c r="AG32" s="132">
        <f t="shared" si="16"/>
        <v>9463.1250000000018</v>
      </c>
      <c r="AH32" s="132">
        <f>IF($AD32&lt;=$C$25*12,SUM(Inputs!$C$61:$C$78)*'Forecast (By Month)'!AG32,"-")</f>
        <v>1040.9437500000001</v>
      </c>
      <c r="AI32" s="132">
        <f>IF($AD32&lt;=$C$25*12,(SUMIF(Inputs!$C$61:$C$78,0,Inputs!$F$61:$F$78)/12)*(1+$C$34)^ROUNDDOWN((AD32-1)/12,0),"-")</f>
        <v>1488.1666666666667</v>
      </c>
      <c r="AJ32" s="132">
        <f t="shared" si="17"/>
        <v>2529.1104166666669</v>
      </c>
      <c r="AK32" s="132">
        <f>IF($AD32&lt;=$C$25*12,'Mortgage Calculators (By Month)'!$J50,"-")</f>
        <v>0</v>
      </c>
      <c r="AL32" s="132">
        <f>IF($AD32&lt;=$C$25*12,'Mortgage Calculators (By Month)'!$K50,"-")</f>
        <v>0</v>
      </c>
      <c r="AM32" s="132">
        <f>IF($AD32&lt;=$C$25*12,'Mortgage Calculators (By Month)'!$L50,"-")</f>
        <v>10</v>
      </c>
      <c r="AN32" s="132">
        <f t="shared" si="27"/>
        <v>0</v>
      </c>
      <c r="AO32" s="132">
        <f t="shared" si="18"/>
        <v>2539.1104166666669</v>
      </c>
      <c r="AP32" s="132">
        <f t="shared" si="19"/>
        <v>6934.0145833333354</v>
      </c>
      <c r="AQ32" s="132">
        <f t="shared" si="20"/>
        <v>0</v>
      </c>
      <c r="AR32" s="132">
        <f t="shared" si="1"/>
        <v>6934.0145833333354</v>
      </c>
      <c r="AS32" s="132">
        <f>IF($AD32&lt;=$C$25*12,SUM(AR$5:AR32),"-")</f>
        <v>179933.55833333335</v>
      </c>
      <c r="AT32" s="132">
        <f>IF($AD32&lt;=$C$25*12,AE32-$C$10-'RE Calculations'!$C219-'Mortgage Calculators (By Month)'!$M50,"-")</f>
        <v>189973.50048319719</v>
      </c>
      <c r="AU32" s="29">
        <f t="shared" si="21"/>
        <v>0.11865727466382341</v>
      </c>
      <c r="AV32" s="31">
        <f t="shared" si="22"/>
        <v>5.0853117713067171E-2</v>
      </c>
      <c r="AW32" s="132">
        <f t="shared" si="23"/>
        <v>369907.05881653051</v>
      </c>
      <c r="AX32" s="29">
        <f t="shared" si="24"/>
        <v>0.23104361064275025</v>
      </c>
      <c r="AY32" s="31">
        <f t="shared" si="25"/>
        <v>9.9018690275464394E-2</v>
      </c>
    </row>
    <row r="33" spans="2:51" x14ac:dyDescent="0.35">
      <c r="B33" t="s">
        <v>15</v>
      </c>
      <c r="C33" s="4">
        <f>Inputs!K17</f>
        <v>0.05</v>
      </c>
      <c r="F33" s="12">
        <f t="shared" si="2"/>
        <v>29</v>
      </c>
      <c r="G33" s="132">
        <f t="shared" si="3"/>
        <v>1839607.7467099677</v>
      </c>
      <c r="H33" s="132">
        <f>IF($F33&lt;=$C$16*12,$G33-$C$7+SUM('Mortgage Calculators (By Month)'!$D$23:$D51),"-")</f>
        <v>1839607.7467099677</v>
      </c>
      <c r="I33" s="132">
        <f t="shared" si="4"/>
        <v>9463.1250000000018</v>
      </c>
      <c r="J33" s="132">
        <f>IF($F33&lt;=$C$16*12,SUM(Inputs!$C$61:$C$78)*'Forecast (By Month)'!I33,"-")</f>
        <v>1040.9437500000001</v>
      </c>
      <c r="K33" s="132">
        <f>IF($F33&lt;=$C$16*12,(SUMIF(Inputs!$C$61:$C$78,0,Inputs!$F$61:$F$78)/12)*(1+$C$34)^ROUNDDOWN((F33-1)/12,0),"-")</f>
        <v>1488.1666666666667</v>
      </c>
      <c r="L33" s="132">
        <f t="shared" si="5"/>
        <v>2529.1104166666669</v>
      </c>
      <c r="M33" s="132">
        <f>IF($F33&lt;=$C$16*12,'Mortgage Calculators (By Month)'!$C51,"-")</f>
        <v>0</v>
      </c>
      <c r="N33" s="132">
        <f>IF($F33&lt;=$C$16*12,'Mortgage Calculators (By Month)'!$D51,"-")</f>
        <v>0</v>
      </c>
      <c r="O33" s="132">
        <f>IF($F33&lt;=$C$16*12,'Mortgage Calculators (By Month)'!$E51,"-")</f>
        <v>8.3333333333333339</v>
      </c>
      <c r="P33" s="132">
        <f t="shared" si="26"/>
        <v>0</v>
      </c>
      <c r="Q33" s="132">
        <f t="shared" si="6"/>
        <v>2537.4437500000004</v>
      </c>
      <c r="R33" s="132">
        <f t="shared" si="7"/>
        <v>6934.0145833333354</v>
      </c>
      <c r="S33" s="132">
        <f t="shared" si="8"/>
        <v>0</v>
      </c>
      <c r="T33" s="132">
        <f t="shared" si="0"/>
        <v>6934.0145833333354</v>
      </c>
      <c r="U33" s="132">
        <f>IF($F33&lt;=$C$16*12,SUM(T$5:T33),"-")</f>
        <v>186877.57291666669</v>
      </c>
      <c r="V33" s="132">
        <f>IF($F33&lt;=$C$16*12,G33-$C$10-'RE Calculations'!$C220-'Mortgage Calculators (By Month)'!$F51,"-")</f>
        <v>197288.59177576832</v>
      </c>
      <c r="W33" s="29">
        <f t="shared" si="9"/>
        <v>0.1232262739952345</v>
      </c>
      <c r="X33" s="31">
        <f t="shared" si="10"/>
        <v>5.0990182342855662E-2</v>
      </c>
      <c r="Y33" s="132">
        <f t="shared" si="11"/>
        <v>384166.16469243501</v>
      </c>
      <c r="Z33" s="29">
        <f t="shared" si="12"/>
        <v>0.2399498351323463</v>
      </c>
      <c r="AA33" s="31">
        <f t="shared" si="13"/>
        <v>9.928958695131572E-2</v>
      </c>
      <c r="AD33" s="12">
        <f t="shared" si="14"/>
        <v>29</v>
      </c>
      <c r="AE33" s="132">
        <f t="shared" si="15"/>
        <v>1839607.7467099677</v>
      </c>
      <c r="AF33" s="132">
        <f>IF($AD33&lt;=$C$25*12,$AE33-$C$7+SUM('Mortgage Calculators (By Month)'!$K$23:$K51),"-")</f>
        <v>1839607.7467099677</v>
      </c>
      <c r="AG33" s="132">
        <f t="shared" si="16"/>
        <v>9463.1250000000018</v>
      </c>
      <c r="AH33" s="132">
        <f>IF($AD33&lt;=$C$25*12,SUM(Inputs!$C$61:$C$78)*'Forecast (By Month)'!AG33,"-")</f>
        <v>1040.9437500000001</v>
      </c>
      <c r="AI33" s="132">
        <f>IF($AD33&lt;=$C$25*12,(SUMIF(Inputs!$C$61:$C$78,0,Inputs!$F$61:$F$78)/12)*(1+$C$34)^ROUNDDOWN((AD33-1)/12,0),"-")</f>
        <v>1488.1666666666667</v>
      </c>
      <c r="AJ33" s="132">
        <f t="shared" si="17"/>
        <v>2529.1104166666669</v>
      </c>
      <c r="AK33" s="132">
        <f>IF($AD33&lt;=$C$25*12,'Mortgage Calculators (By Month)'!$J51,"-")</f>
        <v>0</v>
      </c>
      <c r="AL33" s="132">
        <f>IF($AD33&lt;=$C$25*12,'Mortgage Calculators (By Month)'!$K51,"-")</f>
        <v>0</v>
      </c>
      <c r="AM33" s="132">
        <f>IF($AD33&lt;=$C$25*12,'Mortgage Calculators (By Month)'!$L51,"-")</f>
        <v>10</v>
      </c>
      <c r="AN33" s="132">
        <f t="shared" si="27"/>
        <v>0</v>
      </c>
      <c r="AO33" s="132">
        <f t="shared" si="18"/>
        <v>2539.1104166666669</v>
      </c>
      <c r="AP33" s="132">
        <f t="shared" si="19"/>
        <v>6934.0145833333354</v>
      </c>
      <c r="AQ33" s="132">
        <f t="shared" si="20"/>
        <v>0</v>
      </c>
      <c r="AR33" s="132">
        <f t="shared" si="1"/>
        <v>6934.0145833333354</v>
      </c>
      <c r="AS33" s="132">
        <f>IF($AD33&lt;=$C$25*12,SUM(AR$5:AR33),"-")</f>
        <v>186867.57291666669</v>
      </c>
      <c r="AT33" s="132">
        <f>IF($AD33&lt;=$C$25*12,AE33-$C$10-'RE Calculations'!$C220-'Mortgage Calculators (By Month)'!$M51,"-")</f>
        <v>197288.59177576832</v>
      </c>
      <c r="AU33" s="29">
        <f t="shared" si="21"/>
        <v>0.1232262739952345</v>
      </c>
      <c r="AV33" s="31">
        <f t="shared" si="22"/>
        <v>5.0990182342855662E-2</v>
      </c>
      <c r="AW33" s="132">
        <f t="shared" si="23"/>
        <v>384156.16469243501</v>
      </c>
      <c r="AX33" s="29">
        <f t="shared" si="24"/>
        <v>0.23994358914149169</v>
      </c>
      <c r="AY33" s="31">
        <f t="shared" si="25"/>
        <v>9.9287002403375874E-2</v>
      </c>
    </row>
    <row r="34" spans="2:51" x14ac:dyDescent="0.35">
      <c r="B34" t="s">
        <v>61</v>
      </c>
      <c r="C34" s="4">
        <f>Inputs!K53</f>
        <v>0</v>
      </c>
      <c r="F34" s="12">
        <f t="shared" si="2"/>
        <v>30</v>
      </c>
      <c r="G34" s="132">
        <f t="shared" si="3"/>
        <v>1847102.5363834226</v>
      </c>
      <c r="H34" s="132">
        <f>IF($F34&lt;=$C$16*12,$G34-$C$7+SUM('Mortgage Calculators (By Month)'!$D$23:$D52),"-")</f>
        <v>1847102.5363834226</v>
      </c>
      <c r="I34" s="132">
        <f t="shared" si="4"/>
        <v>9463.1250000000018</v>
      </c>
      <c r="J34" s="132">
        <f>IF($F34&lt;=$C$16*12,SUM(Inputs!$C$61:$C$78)*'Forecast (By Month)'!I34,"-")</f>
        <v>1040.9437500000001</v>
      </c>
      <c r="K34" s="132">
        <f>IF($F34&lt;=$C$16*12,(SUMIF(Inputs!$C$61:$C$78,0,Inputs!$F$61:$F$78)/12)*(1+$C$34)^ROUNDDOWN((F34-1)/12,0),"-")</f>
        <v>1488.1666666666667</v>
      </c>
      <c r="L34" s="132">
        <f t="shared" si="5"/>
        <v>2529.1104166666669</v>
      </c>
      <c r="M34" s="132">
        <f>IF($F34&lt;=$C$16*12,'Mortgage Calculators (By Month)'!$C52,"-")</f>
        <v>0</v>
      </c>
      <c r="N34" s="132">
        <f>IF($F34&lt;=$C$16*12,'Mortgage Calculators (By Month)'!$D52,"-")</f>
        <v>0</v>
      </c>
      <c r="O34" s="132">
        <f>IF($F34&lt;=$C$16*12,'Mortgage Calculators (By Month)'!$E52,"-")</f>
        <v>8.3333333333333339</v>
      </c>
      <c r="P34" s="132">
        <f t="shared" si="26"/>
        <v>0</v>
      </c>
      <c r="Q34" s="132">
        <f t="shared" si="6"/>
        <v>2537.4437500000004</v>
      </c>
      <c r="R34" s="132">
        <f t="shared" si="7"/>
        <v>6934.0145833333354</v>
      </c>
      <c r="S34" s="132">
        <f t="shared" si="8"/>
        <v>0</v>
      </c>
      <c r="T34" s="132">
        <f t="shared" si="0"/>
        <v>6934.0145833333354</v>
      </c>
      <c r="U34" s="132">
        <f>IF($F34&lt;=$C$16*12,SUM(T$5:T34),"-")</f>
        <v>193811.58750000002</v>
      </c>
      <c r="V34" s="132">
        <f>IF($F34&lt;=$C$16*12,G34-$C$10-'RE Calculations'!$C221-'Mortgage Calculators (By Month)'!$F52,"-")</f>
        <v>204633.48565575405</v>
      </c>
      <c r="W34" s="29">
        <f t="shared" si="9"/>
        <v>0.12781388799548918</v>
      </c>
      <c r="X34" s="31">
        <f t="shared" si="10"/>
        <v>5.1125555198195671E-2</v>
      </c>
      <c r="Y34" s="132">
        <f t="shared" si="11"/>
        <v>398445.07315575407</v>
      </c>
      <c r="Z34" s="29">
        <f t="shared" si="12"/>
        <v>0.24886842829993128</v>
      </c>
      <c r="AA34" s="31">
        <f t="shared" si="13"/>
        <v>9.9547371319972516E-2</v>
      </c>
      <c r="AD34" s="12">
        <f t="shared" si="14"/>
        <v>30</v>
      </c>
      <c r="AE34" s="132">
        <f t="shared" si="15"/>
        <v>1847102.5363834226</v>
      </c>
      <c r="AF34" s="132">
        <f>IF($AD34&lt;=$C$25*12,$AE34-$C$7+SUM('Mortgage Calculators (By Month)'!$K$23:$K52),"-")</f>
        <v>1847102.5363834226</v>
      </c>
      <c r="AG34" s="132">
        <f t="shared" si="16"/>
        <v>9463.1250000000018</v>
      </c>
      <c r="AH34" s="132">
        <f>IF($AD34&lt;=$C$25*12,SUM(Inputs!$C$61:$C$78)*'Forecast (By Month)'!AG34,"-")</f>
        <v>1040.9437500000001</v>
      </c>
      <c r="AI34" s="132">
        <f>IF($AD34&lt;=$C$25*12,(SUMIF(Inputs!$C$61:$C$78,0,Inputs!$F$61:$F$78)/12)*(1+$C$34)^ROUNDDOWN((AD34-1)/12,0),"-")</f>
        <v>1488.1666666666667</v>
      </c>
      <c r="AJ34" s="132">
        <f t="shared" si="17"/>
        <v>2529.1104166666669</v>
      </c>
      <c r="AK34" s="132">
        <f>IF($AD34&lt;=$C$25*12,'Mortgage Calculators (By Month)'!$J52,"-")</f>
        <v>0</v>
      </c>
      <c r="AL34" s="132">
        <f>IF($AD34&lt;=$C$25*12,'Mortgage Calculators (By Month)'!$K52,"-")</f>
        <v>0</v>
      </c>
      <c r="AM34" s="132">
        <f>IF($AD34&lt;=$C$25*12,'Mortgage Calculators (By Month)'!$L52,"-")</f>
        <v>10</v>
      </c>
      <c r="AN34" s="132">
        <f t="shared" si="27"/>
        <v>0</v>
      </c>
      <c r="AO34" s="132">
        <f t="shared" si="18"/>
        <v>2539.1104166666669</v>
      </c>
      <c r="AP34" s="132">
        <f t="shared" si="19"/>
        <v>6934.0145833333354</v>
      </c>
      <c r="AQ34" s="132">
        <f t="shared" si="20"/>
        <v>0</v>
      </c>
      <c r="AR34" s="132">
        <f t="shared" si="1"/>
        <v>6934.0145833333354</v>
      </c>
      <c r="AS34" s="132">
        <f>IF($AD34&lt;=$C$25*12,SUM(AR$5:AR34),"-")</f>
        <v>193801.58750000002</v>
      </c>
      <c r="AT34" s="132">
        <f>IF($AD34&lt;=$C$25*12,AE34-$C$10-'RE Calculations'!$C221-'Mortgage Calculators (By Month)'!$M52,"-")</f>
        <v>204633.48565575405</v>
      </c>
      <c r="AU34" s="29">
        <f t="shared" si="21"/>
        <v>0.12781388799548918</v>
      </c>
      <c r="AV34" s="31">
        <f t="shared" si="22"/>
        <v>5.1125555198195671E-2</v>
      </c>
      <c r="AW34" s="132">
        <f t="shared" si="23"/>
        <v>398435.07315575407</v>
      </c>
      <c r="AX34" s="29">
        <f t="shared" si="24"/>
        <v>0.24886218230907667</v>
      </c>
      <c r="AY34" s="31">
        <f t="shared" si="25"/>
        <v>9.9544872923630665E-2</v>
      </c>
    </row>
    <row r="35" spans="2:51" x14ac:dyDescent="0.35">
      <c r="B35" t="s">
        <v>126</v>
      </c>
      <c r="C35" s="3">
        <f>Inputs!K54</f>
        <v>0</v>
      </c>
      <c r="F35" s="12">
        <f t="shared" si="2"/>
        <v>31</v>
      </c>
      <c r="G35" s="132">
        <f t="shared" si="3"/>
        <v>1854627.8607577395</v>
      </c>
      <c r="H35" s="132">
        <f>IF($F35&lt;=$C$16*12,$G35-$C$7+SUM('Mortgage Calculators (By Month)'!$D$23:$D53),"-")</f>
        <v>1854627.8607577395</v>
      </c>
      <c r="I35" s="132">
        <f t="shared" si="4"/>
        <v>9463.1250000000018</v>
      </c>
      <c r="J35" s="132">
        <f>IF($F35&lt;=$C$16*12,SUM(Inputs!$C$61:$C$78)*'Forecast (By Month)'!I35,"-")</f>
        <v>1040.9437500000001</v>
      </c>
      <c r="K35" s="132">
        <f>IF($F35&lt;=$C$16*12,(SUMIF(Inputs!$C$61:$C$78,0,Inputs!$F$61:$F$78)/12)*(1+$C$34)^ROUNDDOWN((F35-1)/12,0),"-")</f>
        <v>1488.1666666666667</v>
      </c>
      <c r="L35" s="132">
        <f t="shared" si="5"/>
        <v>2529.1104166666669</v>
      </c>
      <c r="M35" s="132">
        <f>IF($F35&lt;=$C$16*12,'Mortgage Calculators (By Month)'!$C53,"-")</f>
        <v>0</v>
      </c>
      <c r="N35" s="132">
        <f>IF($F35&lt;=$C$16*12,'Mortgage Calculators (By Month)'!$D53,"-")</f>
        <v>0</v>
      </c>
      <c r="O35" s="132">
        <f>IF($F35&lt;=$C$16*12,'Mortgage Calculators (By Month)'!$E53,"-")</f>
        <v>8.3333333333333339</v>
      </c>
      <c r="P35" s="132">
        <f t="shared" si="26"/>
        <v>0</v>
      </c>
      <c r="Q35" s="132">
        <f t="shared" si="6"/>
        <v>2537.4437500000004</v>
      </c>
      <c r="R35" s="132">
        <f t="shared" si="7"/>
        <v>6934.0145833333354</v>
      </c>
      <c r="S35" s="132">
        <f t="shared" si="8"/>
        <v>0</v>
      </c>
      <c r="T35" s="132">
        <f t="shared" si="0"/>
        <v>6934.0145833333354</v>
      </c>
      <c r="U35" s="132">
        <f>IF($F35&lt;=$C$16*12,SUM(T$5:T35),"-")</f>
        <v>200745.60208333336</v>
      </c>
      <c r="V35" s="132">
        <f>IF($F35&lt;=$C$16*12,G35-$C$10-'RE Calculations'!$C222-'Mortgage Calculators (By Month)'!$F53,"-")</f>
        <v>212008.30354258468</v>
      </c>
      <c r="W35" s="29">
        <f t="shared" si="9"/>
        <v>0.13242019250305254</v>
      </c>
      <c r="X35" s="31">
        <f t="shared" si="10"/>
        <v>5.1259429356020333E-2</v>
      </c>
      <c r="Y35" s="132">
        <f t="shared" si="11"/>
        <v>412753.90562591807</v>
      </c>
      <c r="Z35" s="29">
        <f t="shared" si="12"/>
        <v>0.25780571197482494</v>
      </c>
      <c r="AA35" s="31">
        <f t="shared" si="13"/>
        <v>9.9795759474125778E-2</v>
      </c>
      <c r="AD35" s="12">
        <f t="shared" si="14"/>
        <v>31</v>
      </c>
      <c r="AE35" s="132">
        <f t="shared" si="15"/>
        <v>1854627.8607577395</v>
      </c>
      <c r="AF35" s="132">
        <f>IF($AD35&lt;=$C$25*12,$AE35-$C$7+SUM('Mortgage Calculators (By Month)'!$K$23:$K53),"-")</f>
        <v>1854627.8607577395</v>
      </c>
      <c r="AG35" s="132">
        <f t="shared" si="16"/>
        <v>9463.1250000000018</v>
      </c>
      <c r="AH35" s="132">
        <f>IF($AD35&lt;=$C$25*12,SUM(Inputs!$C$61:$C$78)*'Forecast (By Month)'!AG35,"-")</f>
        <v>1040.9437500000001</v>
      </c>
      <c r="AI35" s="132">
        <f>IF($AD35&lt;=$C$25*12,(SUMIF(Inputs!$C$61:$C$78,0,Inputs!$F$61:$F$78)/12)*(1+$C$34)^ROUNDDOWN((AD35-1)/12,0),"-")</f>
        <v>1488.1666666666667</v>
      </c>
      <c r="AJ35" s="132">
        <f t="shared" si="17"/>
        <v>2529.1104166666669</v>
      </c>
      <c r="AK35" s="132">
        <f>IF($AD35&lt;=$C$25*12,'Mortgage Calculators (By Month)'!$J53,"-")</f>
        <v>0</v>
      </c>
      <c r="AL35" s="132">
        <f>IF($AD35&lt;=$C$25*12,'Mortgage Calculators (By Month)'!$K53,"-")</f>
        <v>0</v>
      </c>
      <c r="AM35" s="132">
        <f>IF($AD35&lt;=$C$25*12,'Mortgage Calculators (By Month)'!$L53,"-")</f>
        <v>10</v>
      </c>
      <c r="AN35" s="132">
        <f t="shared" si="27"/>
        <v>0</v>
      </c>
      <c r="AO35" s="132">
        <f t="shared" si="18"/>
        <v>2539.1104166666669</v>
      </c>
      <c r="AP35" s="132">
        <f t="shared" si="19"/>
        <v>6934.0145833333354</v>
      </c>
      <c r="AQ35" s="132">
        <f t="shared" si="20"/>
        <v>0</v>
      </c>
      <c r="AR35" s="132">
        <f t="shared" si="1"/>
        <v>6934.0145833333354</v>
      </c>
      <c r="AS35" s="132">
        <f>IF($AD35&lt;=$C$25*12,SUM(AR$5:AR35),"-")</f>
        <v>200735.60208333336</v>
      </c>
      <c r="AT35" s="132">
        <f>IF($AD35&lt;=$C$25*12,AE35-$C$10-'RE Calculations'!$C222-'Mortgage Calculators (By Month)'!$M53,"-")</f>
        <v>212008.30354258468</v>
      </c>
      <c r="AU35" s="29">
        <f t="shared" si="21"/>
        <v>0.13242019250305254</v>
      </c>
      <c r="AV35" s="31">
        <f t="shared" si="22"/>
        <v>5.1259429356020333E-2</v>
      </c>
      <c r="AW35" s="132">
        <f t="shared" si="23"/>
        <v>412743.90562591807</v>
      </c>
      <c r="AX35" s="29">
        <f t="shared" si="24"/>
        <v>0.25779946598397036</v>
      </c>
      <c r="AY35" s="31">
        <f t="shared" si="25"/>
        <v>9.9793341671214328E-2</v>
      </c>
    </row>
    <row r="36" spans="2:51" x14ac:dyDescent="0.35">
      <c r="B36" t="s">
        <v>158</v>
      </c>
      <c r="C36" s="3">
        <f>Inputs!K55</f>
        <v>0</v>
      </c>
      <c r="F36" s="12">
        <f t="shared" si="2"/>
        <v>32</v>
      </c>
      <c r="G36" s="132">
        <f t="shared" si="3"/>
        <v>1862183.8442350696</v>
      </c>
      <c r="H36" s="132">
        <f>IF($F36&lt;=$C$16*12,$G36-$C$7+SUM('Mortgage Calculators (By Month)'!$D$23:$D54),"-")</f>
        <v>1862183.8442350696</v>
      </c>
      <c r="I36" s="132">
        <f t="shared" si="4"/>
        <v>9463.1250000000018</v>
      </c>
      <c r="J36" s="132">
        <f>IF($F36&lt;=$C$16*12,SUM(Inputs!$C$61:$C$78)*'Forecast (By Month)'!I36,"-")</f>
        <v>1040.9437500000001</v>
      </c>
      <c r="K36" s="132">
        <f>IF($F36&lt;=$C$16*12,(SUMIF(Inputs!$C$61:$C$78,0,Inputs!$F$61:$F$78)/12)*(1+$C$34)^ROUNDDOWN((F36-1)/12,0),"-")</f>
        <v>1488.1666666666667</v>
      </c>
      <c r="L36" s="132">
        <f t="shared" si="5"/>
        <v>2529.1104166666669</v>
      </c>
      <c r="M36" s="132">
        <f>IF($F36&lt;=$C$16*12,'Mortgage Calculators (By Month)'!$C54,"-")</f>
        <v>0</v>
      </c>
      <c r="N36" s="132">
        <f>IF($F36&lt;=$C$16*12,'Mortgage Calculators (By Month)'!$D54,"-")</f>
        <v>0</v>
      </c>
      <c r="O36" s="132">
        <f>IF($F36&lt;=$C$16*12,'Mortgage Calculators (By Month)'!$E54,"-")</f>
        <v>8.3333333333333339</v>
      </c>
      <c r="P36" s="132">
        <f t="shared" si="26"/>
        <v>0</v>
      </c>
      <c r="Q36" s="132">
        <f t="shared" si="6"/>
        <v>2537.4437500000004</v>
      </c>
      <c r="R36" s="132">
        <f t="shared" si="7"/>
        <v>6934.0145833333354</v>
      </c>
      <c r="S36" s="132">
        <f t="shared" si="8"/>
        <v>0</v>
      </c>
      <c r="T36" s="132">
        <f t="shared" si="0"/>
        <v>6934.0145833333354</v>
      </c>
      <c r="U36" s="132">
        <f>IF($F36&lt;=$C$16*12,SUM(T$5:T36),"-")</f>
        <v>207679.6166666667</v>
      </c>
      <c r="V36" s="132">
        <f>IF($F36&lt;=$C$16*12,G36-$C$10-'RE Calculations'!$C223-'Mortgage Calculators (By Month)'!$F54,"-")</f>
        <v>219413.16735036814</v>
      </c>
      <c r="W36" s="29">
        <f t="shared" si="9"/>
        <v>0.13704526366536487</v>
      </c>
      <c r="X36" s="31">
        <f t="shared" si="10"/>
        <v>5.1391973874511832E-2</v>
      </c>
      <c r="Y36" s="132">
        <f t="shared" si="11"/>
        <v>427092.78401703481</v>
      </c>
      <c r="Z36" s="29">
        <f t="shared" si="12"/>
        <v>0.26676176230446758</v>
      </c>
      <c r="AA36" s="31">
        <f t="shared" si="13"/>
        <v>0.10003566086417534</v>
      </c>
      <c r="AD36" s="12">
        <f t="shared" si="14"/>
        <v>32</v>
      </c>
      <c r="AE36" s="132">
        <f t="shared" si="15"/>
        <v>1862183.8442350696</v>
      </c>
      <c r="AF36" s="132">
        <f>IF($AD36&lt;=$C$25*12,$AE36-$C$7+SUM('Mortgage Calculators (By Month)'!$K$23:$K54),"-")</f>
        <v>1862183.8442350696</v>
      </c>
      <c r="AG36" s="132">
        <f t="shared" si="16"/>
        <v>9463.1250000000018</v>
      </c>
      <c r="AH36" s="132">
        <f>IF($AD36&lt;=$C$25*12,SUM(Inputs!$C$61:$C$78)*'Forecast (By Month)'!AG36,"-")</f>
        <v>1040.9437500000001</v>
      </c>
      <c r="AI36" s="132">
        <f>IF($AD36&lt;=$C$25*12,(SUMIF(Inputs!$C$61:$C$78,0,Inputs!$F$61:$F$78)/12)*(1+$C$34)^ROUNDDOWN((AD36-1)/12,0),"-")</f>
        <v>1488.1666666666667</v>
      </c>
      <c r="AJ36" s="132">
        <f t="shared" si="17"/>
        <v>2529.1104166666669</v>
      </c>
      <c r="AK36" s="132">
        <f>IF($AD36&lt;=$C$25*12,'Mortgage Calculators (By Month)'!$J54,"-")</f>
        <v>0</v>
      </c>
      <c r="AL36" s="132">
        <f>IF($AD36&lt;=$C$25*12,'Mortgage Calculators (By Month)'!$K54,"-")</f>
        <v>0</v>
      </c>
      <c r="AM36" s="132">
        <f>IF($AD36&lt;=$C$25*12,'Mortgage Calculators (By Month)'!$L54,"-")</f>
        <v>10</v>
      </c>
      <c r="AN36" s="132">
        <f t="shared" si="27"/>
        <v>0</v>
      </c>
      <c r="AO36" s="132">
        <f t="shared" si="18"/>
        <v>2539.1104166666669</v>
      </c>
      <c r="AP36" s="132">
        <f t="shared" si="19"/>
        <v>6934.0145833333354</v>
      </c>
      <c r="AQ36" s="132">
        <f t="shared" si="20"/>
        <v>0</v>
      </c>
      <c r="AR36" s="132">
        <f t="shared" si="1"/>
        <v>6934.0145833333354</v>
      </c>
      <c r="AS36" s="132">
        <f>IF($AD36&lt;=$C$25*12,SUM(AR$5:AR36),"-")</f>
        <v>207669.6166666667</v>
      </c>
      <c r="AT36" s="132">
        <f>IF($AD36&lt;=$C$25*12,AE36-$C$10-'RE Calculations'!$C223-'Mortgage Calculators (By Month)'!$M54,"-")</f>
        <v>219413.16735036814</v>
      </c>
      <c r="AU36" s="29">
        <f t="shared" si="21"/>
        <v>0.13704526366536487</v>
      </c>
      <c r="AV36" s="31">
        <f t="shared" si="22"/>
        <v>5.1391973874511832E-2</v>
      </c>
      <c r="AW36" s="132">
        <f t="shared" si="23"/>
        <v>427082.78401703481</v>
      </c>
      <c r="AX36" s="29">
        <f t="shared" si="24"/>
        <v>0.26675551631361294</v>
      </c>
      <c r="AY36" s="31">
        <f t="shared" si="25"/>
        <v>0.10003331861760485</v>
      </c>
    </row>
    <row r="37" spans="2:51" x14ac:dyDescent="0.35">
      <c r="B37" t="s">
        <v>157</v>
      </c>
      <c r="C37" s="136">
        <f>Inputs!K56</f>
        <v>0</v>
      </c>
      <c r="F37" s="12">
        <f t="shared" si="2"/>
        <v>33</v>
      </c>
      <c r="G37" s="132">
        <f t="shared" si="3"/>
        <v>1869770.6117243934</v>
      </c>
      <c r="H37" s="132">
        <f>IF($F37&lt;=$C$16*12,$G37-$C$7+SUM('Mortgage Calculators (By Month)'!$D$23:$D55),"-")</f>
        <v>1869770.6117243934</v>
      </c>
      <c r="I37" s="132">
        <f t="shared" si="4"/>
        <v>9463.1250000000018</v>
      </c>
      <c r="J37" s="132">
        <f>IF($F37&lt;=$C$16*12,SUM(Inputs!$C$61:$C$78)*'Forecast (By Month)'!I37,"-")</f>
        <v>1040.9437500000001</v>
      </c>
      <c r="K37" s="132">
        <f>IF($F37&lt;=$C$16*12,(SUMIF(Inputs!$C$61:$C$78,0,Inputs!$F$61:$F$78)/12)*(1+$C$34)^ROUNDDOWN((F37-1)/12,0),"-")</f>
        <v>1488.1666666666667</v>
      </c>
      <c r="L37" s="132">
        <f t="shared" si="5"/>
        <v>2529.1104166666669</v>
      </c>
      <c r="M37" s="132">
        <f>IF($F37&lt;=$C$16*12,'Mortgage Calculators (By Month)'!$C55,"-")</f>
        <v>0</v>
      </c>
      <c r="N37" s="132">
        <f>IF($F37&lt;=$C$16*12,'Mortgage Calculators (By Month)'!$D55,"-")</f>
        <v>0</v>
      </c>
      <c r="O37" s="132">
        <f>IF($F37&lt;=$C$16*12,'Mortgage Calculators (By Month)'!$E55,"-")</f>
        <v>8.3333333333333339</v>
      </c>
      <c r="P37" s="132">
        <f t="shared" si="26"/>
        <v>0</v>
      </c>
      <c r="Q37" s="132">
        <f t="shared" si="6"/>
        <v>2537.4437500000004</v>
      </c>
      <c r="R37" s="132">
        <f t="shared" si="7"/>
        <v>6934.0145833333354</v>
      </c>
      <c r="S37" s="132">
        <f t="shared" si="8"/>
        <v>0</v>
      </c>
      <c r="T37" s="132">
        <f t="shared" si="0"/>
        <v>6934.0145833333354</v>
      </c>
      <c r="U37" s="132">
        <f>IF($F37&lt;=$C$16*12,SUM(T$5:T37),"-")</f>
        <v>214613.63125000003</v>
      </c>
      <c r="V37" s="132">
        <f>IF($F37&lt;=$C$16*12,G37-$C$10-'RE Calculations'!$C224-'Mortgage Calculators (By Month)'!$F55,"-")</f>
        <v>226848.19948990553</v>
      </c>
      <c r="W37" s="29">
        <f t="shared" si="9"/>
        <v>0.14168917794010066</v>
      </c>
      <c r="X37" s="31">
        <f t="shared" si="10"/>
        <v>5.1523337432763876E-2</v>
      </c>
      <c r="Y37" s="132">
        <f t="shared" si="11"/>
        <v>441461.83073990559</v>
      </c>
      <c r="Z37" s="29">
        <f t="shared" si="12"/>
        <v>0.27573665574653367</v>
      </c>
      <c r="AA37" s="31">
        <f t="shared" si="13"/>
        <v>0.10026787481692133</v>
      </c>
      <c r="AD37" s="12">
        <f t="shared" si="14"/>
        <v>33</v>
      </c>
      <c r="AE37" s="132">
        <f t="shared" si="15"/>
        <v>1869770.6117243934</v>
      </c>
      <c r="AF37" s="132">
        <f>IF($AD37&lt;=$C$25*12,$AE37-$C$7+SUM('Mortgage Calculators (By Month)'!$K$23:$K55),"-")</f>
        <v>1869770.6117243934</v>
      </c>
      <c r="AG37" s="132">
        <f t="shared" si="16"/>
        <v>9463.1250000000018</v>
      </c>
      <c r="AH37" s="132">
        <f>IF($AD37&lt;=$C$25*12,SUM(Inputs!$C$61:$C$78)*'Forecast (By Month)'!AG37,"-")</f>
        <v>1040.9437500000001</v>
      </c>
      <c r="AI37" s="132">
        <f>IF($AD37&lt;=$C$25*12,(SUMIF(Inputs!$C$61:$C$78,0,Inputs!$F$61:$F$78)/12)*(1+$C$34)^ROUNDDOWN((AD37-1)/12,0),"-")</f>
        <v>1488.1666666666667</v>
      </c>
      <c r="AJ37" s="132">
        <f t="shared" si="17"/>
        <v>2529.1104166666669</v>
      </c>
      <c r="AK37" s="132">
        <f>IF($AD37&lt;=$C$25*12,'Mortgage Calculators (By Month)'!$J55,"-")</f>
        <v>0</v>
      </c>
      <c r="AL37" s="132">
        <f>IF($AD37&lt;=$C$25*12,'Mortgage Calculators (By Month)'!$K55,"-")</f>
        <v>0</v>
      </c>
      <c r="AM37" s="132">
        <f>IF($AD37&lt;=$C$25*12,'Mortgage Calculators (By Month)'!$L55,"-")</f>
        <v>10</v>
      </c>
      <c r="AN37" s="132">
        <f t="shared" si="27"/>
        <v>0</v>
      </c>
      <c r="AO37" s="132">
        <f t="shared" si="18"/>
        <v>2539.1104166666669</v>
      </c>
      <c r="AP37" s="132">
        <f t="shared" si="19"/>
        <v>6934.0145833333354</v>
      </c>
      <c r="AQ37" s="132">
        <f t="shared" si="20"/>
        <v>0</v>
      </c>
      <c r="AR37" s="132">
        <f t="shared" si="1"/>
        <v>6934.0145833333354</v>
      </c>
      <c r="AS37" s="132">
        <f>IF($AD37&lt;=$C$25*12,SUM(AR$5:AR37),"-")</f>
        <v>214603.63125000003</v>
      </c>
      <c r="AT37" s="132">
        <f>IF($AD37&lt;=$C$25*12,AE37-$C$10-'RE Calculations'!$C224-'Mortgage Calculators (By Month)'!$M55,"-")</f>
        <v>226848.19948990553</v>
      </c>
      <c r="AU37" s="29">
        <f t="shared" si="21"/>
        <v>0.14168917794010066</v>
      </c>
      <c r="AV37" s="31">
        <f t="shared" si="22"/>
        <v>5.1523337432763876E-2</v>
      </c>
      <c r="AW37" s="132">
        <f t="shared" si="23"/>
        <v>441451.83073990559</v>
      </c>
      <c r="AX37" s="29">
        <f t="shared" si="24"/>
        <v>0.27573040975567908</v>
      </c>
      <c r="AY37" s="31">
        <f t="shared" si="25"/>
        <v>0.10026560354751966</v>
      </c>
    </row>
    <row r="38" spans="2:51" x14ac:dyDescent="0.35">
      <c r="B38" t="s">
        <v>151</v>
      </c>
      <c r="C38" s="56">
        <f>Inputs!K57</f>
        <v>0</v>
      </c>
      <c r="F38" s="12">
        <f t="shared" si="2"/>
        <v>34</v>
      </c>
      <c r="G38" s="132">
        <f t="shared" si="3"/>
        <v>1877388.2886435864</v>
      </c>
      <c r="H38" s="132">
        <f>IF($F38&lt;=$C$16*12,$G38-$C$7+SUM('Mortgage Calculators (By Month)'!$D$23:$D56),"-")</f>
        <v>1877388.2886435864</v>
      </c>
      <c r="I38" s="132">
        <f t="shared" si="4"/>
        <v>9463.1250000000018</v>
      </c>
      <c r="J38" s="132">
        <f>IF($F38&lt;=$C$16*12,SUM(Inputs!$C$61:$C$78)*'Forecast (By Month)'!I38,"-")</f>
        <v>1040.9437500000001</v>
      </c>
      <c r="K38" s="132">
        <f>IF($F38&lt;=$C$16*12,(SUMIF(Inputs!$C$61:$C$78,0,Inputs!$F$61:$F$78)/12)*(1+$C$34)^ROUNDDOWN((F38-1)/12,0),"-")</f>
        <v>1488.1666666666667</v>
      </c>
      <c r="L38" s="132">
        <f t="shared" si="5"/>
        <v>2529.1104166666669</v>
      </c>
      <c r="M38" s="132">
        <f>IF($F38&lt;=$C$16*12,'Mortgage Calculators (By Month)'!$C56,"-")</f>
        <v>0</v>
      </c>
      <c r="N38" s="132">
        <f>IF($F38&lt;=$C$16*12,'Mortgage Calculators (By Month)'!$D56,"-")</f>
        <v>0</v>
      </c>
      <c r="O38" s="132">
        <f>IF($F38&lt;=$C$16*12,'Mortgage Calculators (By Month)'!$E56,"-")</f>
        <v>8.3333333333333339</v>
      </c>
      <c r="P38" s="132">
        <f t="shared" si="26"/>
        <v>0</v>
      </c>
      <c r="Q38" s="132">
        <f t="shared" si="6"/>
        <v>2537.4437500000004</v>
      </c>
      <c r="R38" s="132">
        <f t="shared" si="7"/>
        <v>6934.0145833333354</v>
      </c>
      <c r="S38" s="132">
        <f t="shared" si="8"/>
        <v>0</v>
      </c>
      <c r="T38" s="132">
        <f t="shared" si="0"/>
        <v>6934.0145833333354</v>
      </c>
      <c r="U38" s="132">
        <f>IF($F38&lt;=$C$16*12,SUM(T$5:T38),"-")</f>
        <v>221547.64583333337</v>
      </c>
      <c r="V38" s="132">
        <f>IF($F38&lt;=$C$16*12,G38-$C$10-'RE Calculations'!$C225-'Mortgage Calculators (By Month)'!$F56,"-")</f>
        <v>234313.52287071466</v>
      </c>
      <c r="W38" s="29">
        <f t="shared" si="9"/>
        <v>0.14635201209643225</v>
      </c>
      <c r="X38" s="31">
        <f t="shared" si="10"/>
        <v>5.1653651328152556E-2</v>
      </c>
      <c r="Y38" s="132">
        <f t="shared" si="11"/>
        <v>455861.16870404803</v>
      </c>
      <c r="Z38" s="29">
        <f t="shared" si="12"/>
        <v>0.28473046907019561</v>
      </c>
      <c r="AA38" s="31">
        <f t="shared" si="13"/>
        <v>0.10049310673065727</v>
      </c>
      <c r="AD38" s="12">
        <f t="shared" si="14"/>
        <v>34</v>
      </c>
      <c r="AE38" s="132">
        <f t="shared" si="15"/>
        <v>1877388.2886435864</v>
      </c>
      <c r="AF38" s="132">
        <f>IF($AD38&lt;=$C$25*12,$AE38-$C$7+SUM('Mortgage Calculators (By Month)'!$K$23:$K56),"-")</f>
        <v>1877388.2886435864</v>
      </c>
      <c r="AG38" s="132">
        <f t="shared" si="16"/>
        <v>9463.1250000000018</v>
      </c>
      <c r="AH38" s="132">
        <f>IF($AD38&lt;=$C$25*12,SUM(Inputs!$C$61:$C$78)*'Forecast (By Month)'!AG38,"-")</f>
        <v>1040.9437500000001</v>
      </c>
      <c r="AI38" s="132">
        <f>IF($AD38&lt;=$C$25*12,(SUMIF(Inputs!$C$61:$C$78,0,Inputs!$F$61:$F$78)/12)*(1+$C$34)^ROUNDDOWN((AD38-1)/12,0),"-")</f>
        <v>1488.1666666666667</v>
      </c>
      <c r="AJ38" s="132">
        <f t="shared" si="17"/>
        <v>2529.1104166666669</v>
      </c>
      <c r="AK38" s="132">
        <f>IF($AD38&lt;=$C$25*12,'Mortgage Calculators (By Month)'!$J56,"-")</f>
        <v>0</v>
      </c>
      <c r="AL38" s="132">
        <f>IF($AD38&lt;=$C$25*12,'Mortgage Calculators (By Month)'!$K56,"-")</f>
        <v>0</v>
      </c>
      <c r="AM38" s="132">
        <f>IF($AD38&lt;=$C$25*12,'Mortgage Calculators (By Month)'!$L56,"-")</f>
        <v>10</v>
      </c>
      <c r="AN38" s="132">
        <f t="shared" si="27"/>
        <v>0</v>
      </c>
      <c r="AO38" s="132">
        <f t="shared" si="18"/>
        <v>2539.1104166666669</v>
      </c>
      <c r="AP38" s="132">
        <f t="shared" si="19"/>
        <v>6934.0145833333354</v>
      </c>
      <c r="AQ38" s="132">
        <f t="shared" si="20"/>
        <v>0</v>
      </c>
      <c r="AR38" s="132">
        <f t="shared" si="1"/>
        <v>6934.0145833333354</v>
      </c>
      <c r="AS38" s="132">
        <f>IF($AD38&lt;=$C$25*12,SUM(AR$5:AR38),"-")</f>
        <v>221537.64583333337</v>
      </c>
      <c r="AT38" s="132">
        <f>IF($AD38&lt;=$C$25*12,AE38-$C$10-'RE Calculations'!$C225-'Mortgage Calculators (By Month)'!$M56,"-")</f>
        <v>234313.52287071466</v>
      </c>
      <c r="AU38" s="29">
        <f t="shared" si="21"/>
        <v>0.14635201209643225</v>
      </c>
      <c r="AV38" s="31">
        <f t="shared" si="22"/>
        <v>5.1653651328152556E-2</v>
      </c>
      <c r="AW38" s="132">
        <f t="shared" si="23"/>
        <v>455851.16870404803</v>
      </c>
      <c r="AX38" s="29">
        <f t="shared" si="24"/>
        <v>0.28472422307934098</v>
      </c>
      <c r="AY38" s="31">
        <f t="shared" si="25"/>
        <v>0.10049090226329681</v>
      </c>
    </row>
    <row r="39" spans="2:51" x14ac:dyDescent="0.35">
      <c r="F39" s="12">
        <f t="shared" si="2"/>
        <v>35</v>
      </c>
      <c r="G39" s="132">
        <f t="shared" si="3"/>
        <v>1885037.0009214922</v>
      </c>
      <c r="H39" s="132">
        <f>IF($F39&lt;=$C$16*12,$G39-$C$7+SUM('Mortgage Calculators (By Month)'!$D$23:$D57),"-")</f>
        <v>1885037.0009214922</v>
      </c>
      <c r="I39" s="132">
        <f t="shared" si="4"/>
        <v>9463.1250000000018</v>
      </c>
      <c r="J39" s="132">
        <f>IF($F39&lt;=$C$16*12,SUM(Inputs!$C$61:$C$78)*'Forecast (By Month)'!I39,"-")</f>
        <v>1040.9437500000001</v>
      </c>
      <c r="K39" s="132">
        <f>IF($F39&lt;=$C$16*12,(SUMIF(Inputs!$C$61:$C$78,0,Inputs!$F$61:$F$78)/12)*(1+$C$34)^ROUNDDOWN((F39-1)/12,0),"-")</f>
        <v>1488.1666666666667</v>
      </c>
      <c r="L39" s="132">
        <f t="shared" si="5"/>
        <v>2529.1104166666669</v>
      </c>
      <c r="M39" s="132">
        <f>IF($F39&lt;=$C$16*12,'Mortgage Calculators (By Month)'!$C57,"-")</f>
        <v>0</v>
      </c>
      <c r="N39" s="132">
        <f>IF($F39&lt;=$C$16*12,'Mortgage Calculators (By Month)'!$D57,"-")</f>
        <v>0</v>
      </c>
      <c r="O39" s="132">
        <f>IF($F39&lt;=$C$16*12,'Mortgage Calculators (By Month)'!$E57,"-")</f>
        <v>8.3333333333333339</v>
      </c>
      <c r="P39" s="132">
        <f t="shared" si="26"/>
        <v>0</v>
      </c>
      <c r="Q39" s="132">
        <f t="shared" si="6"/>
        <v>2537.4437500000004</v>
      </c>
      <c r="R39" s="132">
        <f t="shared" si="7"/>
        <v>6934.0145833333354</v>
      </c>
      <c r="S39" s="132">
        <f t="shared" si="8"/>
        <v>0</v>
      </c>
      <c r="T39" s="132">
        <f t="shared" si="0"/>
        <v>6934.0145833333354</v>
      </c>
      <c r="U39" s="132">
        <f>IF($F39&lt;=$C$16*12,SUM(T$5:T39),"-")</f>
        <v>228481.66041666671</v>
      </c>
      <c r="V39" s="132">
        <f>IF($F39&lt;=$C$16*12,G39-$C$10-'RE Calculations'!$C226-'Mortgage Calculators (By Month)'!$F57,"-")</f>
        <v>241809.26090306233</v>
      </c>
      <c r="W39" s="29">
        <f t="shared" si="9"/>
        <v>0.15103384321629948</v>
      </c>
      <c r="X39" s="31">
        <f t="shared" si="10"/>
        <v>5.1783031959874111E-2</v>
      </c>
      <c r="Y39" s="132">
        <f t="shared" si="11"/>
        <v>470290.92131972907</v>
      </c>
      <c r="Z39" s="29">
        <f t="shared" si="12"/>
        <v>0.29374327935739314</v>
      </c>
      <c r="AA39" s="31">
        <f t="shared" si="13"/>
        <v>0.10071198149396336</v>
      </c>
      <c r="AD39" s="12">
        <f t="shared" si="14"/>
        <v>35</v>
      </c>
      <c r="AE39" s="132">
        <f t="shared" si="15"/>
        <v>1885037.0009214922</v>
      </c>
      <c r="AF39" s="132">
        <f>IF($AD39&lt;=$C$25*12,$AE39-$C$7+SUM('Mortgage Calculators (By Month)'!$K$23:$K57),"-")</f>
        <v>1885037.0009214922</v>
      </c>
      <c r="AG39" s="132">
        <f t="shared" si="16"/>
        <v>9463.1250000000018</v>
      </c>
      <c r="AH39" s="132">
        <f>IF($AD39&lt;=$C$25*12,SUM(Inputs!$C$61:$C$78)*'Forecast (By Month)'!AG39,"-")</f>
        <v>1040.9437500000001</v>
      </c>
      <c r="AI39" s="132">
        <f>IF($AD39&lt;=$C$25*12,(SUMIF(Inputs!$C$61:$C$78,0,Inputs!$F$61:$F$78)/12)*(1+$C$34)^ROUNDDOWN((AD39-1)/12,0),"-")</f>
        <v>1488.1666666666667</v>
      </c>
      <c r="AJ39" s="132">
        <f t="shared" si="17"/>
        <v>2529.1104166666669</v>
      </c>
      <c r="AK39" s="132">
        <f>IF($AD39&lt;=$C$25*12,'Mortgage Calculators (By Month)'!$J57,"-")</f>
        <v>0</v>
      </c>
      <c r="AL39" s="132">
        <f>IF($AD39&lt;=$C$25*12,'Mortgage Calculators (By Month)'!$K57,"-")</f>
        <v>0</v>
      </c>
      <c r="AM39" s="132">
        <f>IF($AD39&lt;=$C$25*12,'Mortgage Calculators (By Month)'!$L57,"-")</f>
        <v>10</v>
      </c>
      <c r="AN39" s="132">
        <f t="shared" si="27"/>
        <v>0</v>
      </c>
      <c r="AO39" s="132">
        <f t="shared" si="18"/>
        <v>2539.1104166666669</v>
      </c>
      <c r="AP39" s="132">
        <f t="shared" si="19"/>
        <v>6934.0145833333354</v>
      </c>
      <c r="AQ39" s="132">
        <f t="shared" si="20"/>
        <v>0</v>
      </c>
      <c r="AR39" s="132">
        <f t="shared" si="1"/>
        <v>6934.0145833333354</v>
      </c>
      <c r="AS39" s="132">
        <f>IF($AD39&lt;=$C$25*12,SUM(AR$5:AR39),"-")</f>
        <v>228471.66041666671</v>
      </c>
      <c r="AT39" s="132">
        <f>IF($AD39&lt;=$C$25*12,AE39-$C$10-'RE Calculations'!$C226-'Mortgage Calculators (By Month)'!$M57,"-")</f>
        <v>241809.26090306233</v>
      </c>
      <c r="AU39" s="29">
        <f t="shared" si="21"/>
        <v>0.15103384321629948</v>
      </c>
      <c r="AV39" s="31">
        <f t="shared" si="22"/>
        <v>5.1783031959874111E-2</v>
      </c>
      <c r="AW39" s="132">
        <f t="shared" si="23"/>
        <v>470280.92131972907</v>
      </c>
      <c r="AX39" s="29">
        <f t="shared" si="24"/>
        <v>0.2937370333665385</v>
      </c>
      <c r="AY39" s="31">
        <f t="shared" si="25"/>
        <v>0.10070984001138464</v>
      </c>
    </row>
    <row r="40" spans="2:51" x14ac:dyDescent="0.35">
      <c r="B40" t="s">
        <v>63</v>
      </c>
      <c r="F40" s="12">
        <f t="shared" si="2"/>
        <v>36</v>
      </c>
      <c r="G40" s="132">
        <f t="shared" si="3"/>
        <v>1892716.8750000037</v>
      </c>
      <c r="H40" s="132">
        <f>IF($F40&lt;=$C$16*12,$G40-$C$7+SUM('Mortgage Calculators (By Month)'!$D$23:$D58),"-")</f>
        <v>1892716.8750000037</v>
      </c>
      <c r="I40" s="132">
        <f t="shared" si="4"/>
        <v>9463.1250000000018</v>
      </c>
      <c r="J40" s="132">
        <f>IF($F40&lt;=$C$16*12,SUM(Inputs!$C$61:$C$78)*'Forecast (By Month)'!I40,"-")</f>
        <v>1040.9437500000001</v>
      </c>
      <c r="K40" s="132">
        <f>IF($F40&lt;=$C$16*12,(SUMIF(Inputs!$C$61:$C$78,0,Inputs!$F$61:$F$78)/12)*(1+$C$34)^ROUNDDOWN((F40-1)/12,0),"-")</f>
        <v>1488.1666666666667</v>
      </c>
      <c r="L40" s="132">
        <f t="shared" si="5"/>
        <v>2529.1104166666669</v>
      </c>
      <c r="M40" s="132">
        <f>IF($F40&lt;=$C$16*12,'Mortgage Calculators (By Month)'!$C58,"-")</f>
        <v>0</v>
      </c>
      <c r="N40" s="132">
        <f>IF($F40&lt;=$C$16*12,'Mortgage Calculators (By Month)'!$D58,"-")</f>
        <v>0</v>
      </c>
      <c r="O40" s="132">
        <f>IF($F40&lt;=$C$16*12,'Mortgage Calculators (By Month)'!$E58,"-")</f>
        <v>8.3333333333333339</v>
      </c>
      <c r="P40" s="132">
        <f t="shared" si="26"/>
        <v>0</v>
      </c>
      <c r="Q40" s="132">
        <f t="shared" si="6"/>
        <v>2537.4437500000004</v>
      </c>
      <c r="R40" s="132">
        <f t="shared" si="7"/>
        <v>6934.0145833333354</v>
      </c>
      <c r="S40" s="132">
        <f t="shared" si="8"/>
        <v>0</v>
      </c>
      <c r="T40" s="132">
        <f t="shared" si="0"/>
        <v>6934.0145833333354</v>
      </c>
      <c r="U40" s="132">
        <f>IF($F40&lt;=$C$16*12,SUM(T$5:T40),"-")</f>
        <v>235415.67500000005</v>
      </c>
      <c r="V40" s="132">
        <f>IF($F40&lt;=$C$16*12,G40-$C$10-'RE Calculations'!$C227-'Mortgage Calculators (By Month)'!$F58,"-")</f>
        <v>249335.53750000359</v>
      </c>
      <c r="W40" s="29">
        <f t="shared" si="9"/>
        <v>0.15573474869568321</v>
      </c>
      <c r="X40" s="31">
        <f t="shared" si="10"/>
        <v>5.1911582898561071E-2</v>
      </c>
      <c r="Y40" s="132">
        <f t="shared" si="11"/>
        <v>484751.21250000363</v>
      </c>
      <c r="Z40" s="29">
        <f t="shared" si="12"/>
        <v>0.30277516400410714</v>
      </c>
      <c r="AA40" s="31">
        <f t="shared" si="13"/>
        <v>0.10092505466803571</v>
      </c>
      <c r="AD40" s="12">
        <f t="shared" si="14"/>
        <v>36</v>
      </c>
      <c r="AE40" s="132">
        <f t="shared" si="15"/>
        <v>1892716.8750000037</v>
      </c>
      <c r="AF40" s="132">
        <f>IF($AD40&lt;=$C$25*12,$AE40-$C$7+SUM('Mortgage Calculators (By Month)'!$K$23:$K58),"-")</f>
        <v>1892716.8750000037</v>
      </c>
      <c r="AG40" s="132">
        <f t="shared" si="16"/>
        <v>9463.1250000000018</v>
      </c>
      <c r="AH40" s="132">
        <f>IF($AD40&lt;=$C$25*12,SUM(Inputs!$C$61:$C$78)*'Forecast (By Month)'!AG40,"-")</f>
        <v>1040.9437500000001</v>
      </c>
      <c r="AI40" s="132">
        <f>IF($AD40&lt;=$C$25*12,(SUMIF(Inputs!$C$61:$C$78,0,Inputs!$F$61:$F$78)/12)*(1+$C$34)^ROUNDDOWN((AD40-1)/12,0),"-")</f>
        <v>1488.1666666666667</v>
      </c>
      <c r="AJ40" s="132">
        <f t="shared" si="17"/>
        <v>2529.1104166666669</v>
      </c>
      <c r="AK40" s="132">
        <f>IF($AD40&lt;=$C$25*12,'Mortgage Calculators (By Month)'!$J58,"-")</f>
        <v>0</v>
      </c>
      <c r="AL40" s="132">
        <f>IF($AD40&lt;=$C$25*12,'Mortgage Calculators (By Month)'!$K58,"-")</f>
        <v>0</v>
      </c>
      <c r="AM40" s="132">
        <f>IF($AD40&lt;=$C$25*12,'Mortgage Calculators (By Month)'!$L58,"-")</f>
        <v>10</v>
      </c>
      <c r="AN40" s="132">
        <f t="shared" si="27"/>
        <v>0</v>
      </c>
      <c r="AO40" s="132">
        <f t="shared" si="18"/>
        <v>2539.1104166666669</v>
      </c>
      <c r="AP40" s="132">
        <f t="shared" si="19"/>
        <v>6934.0145833333354</v>
      </c>
      <c r="AQ40" s="132">
        <f t="shared" si="20"/>
        <v>0</v>
      </c>
      <c r="AR40" s="132">
        <f t="shared" si="1"/>
        <v>6934.0145833333354</v>
      </c>
      <c r="AS40" s="132">
        <f>IF($AD40&lt;=$C$25*12,SUM(AR$5:AR40),"-")</f>
        <v>235405.67500000005</v>
      </c>
      <c r="AT40" s="132">
        <f>IF($AD40&lt;=$C$25*12,AE40-$C$10-'RE Calculations'!$C227-'Mortgage Calculators (By Month)'!$M58,"-")</f>
        <v>249335.53750000359</v>
      </c>
      <c r="AU40" s="29">
        <f t="shared" si="21"/>
        <v>0.15573474869568321</v>
      </c>
      <c r="AV40" s="31">
        <f t="shared" si="22"/>
        <v>5.1911582898561071E-2</v>
      </c>
      <c r="AW40" s="132">
        <f t="shared" si="23"/>
        <v>484741.21250000363</v>
      </c>
      <c r="AX40" s="29">
        <f t="shared" si="24"/>
        <v>0.30276891801325251</v>
      </c>
      <c r="AY40" s="31">
        <f t="shared" si="25"/>
        <v>0.10092297267108417</v>
      </c>
    </row>
    <row r="41" spans="2:51" x14ac:dyDescent="0.35">
      <c r="B41" t="s">
        <v>68</v>
      </c>
      <c r="F41" s="12">
        <f t="shared" si="2"/>
        <v>37</v>
      </c>
      <c r="G41" s="132">
        <f t="shared" si="3"/>
        <v>1900428.0378361538</v>
      </c>
      <c r="H41" s="132">
        <f>IF($F41&lt;=$C$16*12,$G41-$C$7+SUM('Mortgage Calculators (By Month)'!$D$23:$D59),"-")</f>
        <v>1900428.0378361538</v>
      </c>
      <c r="I41" s="132">
        <f t="shared" si="4"/>
        <v>9936.2812500000018</v>
      </c>
      <c r="J41" s="132">
        <f>IF($F41&lt;=$C$16*12,SUM(Inputs!$C$61:$C$78)*'Forecast (By Month)'!I41,"-")</f>
        <v>1092.9909375000002</v>
      </c>
      <c r="K41" s="132">
        <f>IF($F41&lt;=$C$16*12,(SUMIF(Inputs!$C$61:$C$78,0,Inputs!$F$61:$F$78)/12)*(1+$C$34)^ROUNDDOWN((F41-1)/12,0),"-")</f>
        <v>1488.1666666666667</v>
      </c>
      <c r="L41" s="132">
        <f t="shared" si="5"/>
        <v>2581.1576041666667</v>
      </c>
      <c r="M41" s="132">
        <f>IF($F41&lt;=$C$16*12,'Mortgage Calculators (By Month)'!$C59,"-")</f>
        <v>0</v>
      </c>
      <c r="N41" s="132">
        <f>IF($F41&lt;=$C$16*12,'Mortgage Calculators (By Month)'!$D59,"-")</f>
        <v>0</v>
      </c>
      <c r="O41" s="132">
        <f>IF($F41&lt;=$C$16*12,'Mortgage Calculators (By Month)'!$E59,"-")</f>
        <v>8.3333333333333339</v>
      </c>
      <c r="P41" s="132">
        <f t="shared" si="26"/>
        <v>0</v>
      </c>
      <c r="Q41" s="132">
        <f t="shared" si="6"/>
        <v>2589.4909375000002</v>
      </c>
      <c r="R41" s="132">
        <f t="shared" si="7"/>
        <v>7355.1236458333351</v>
      </c>
      <c r="S41" s="132">
        <f t="shared" si="8"/>
        <v>0</v>
      </c>
      <c r="T41" s="132">
        <f t="shared" si="0"/>
        <v>7355.1236458333351</v>
      </c>
      <c r="U41" s="132">
        <f>IF($F41&lt;=$C$16*12,SUM(T$5:T41),"-")</f>
        <v>242770.79864583339</v>
      </c>
      <c r="V41" s="132">
        <f>IF($F41&lt;=$C$16*12,G41-$C$10-'RE Calculations'!$C228-'Mortgage Calculators (By Month)'!$F59,"-")</f>
        <v>256892.47707943062</v>
      </c>
      <c r="W41" s="29">
        <f t="shared" si="9"/>
        <v>0.16045480624588507</v>
      </c>
      <c r="X41" s="31">
        <f t="shared" si="10"/>
        <v>5.2039396620287046E-2</v>
      </c>
      <c r="Y41" s="132">
        <f t="shared" si="11"/>
        <v>499663.27572526399</v>
      </c>
      <c r="Z41" s="29">
        <f t="shared" si="12"/>
        <v>0.31208922505695658</v>
      </c>
      <c r="AA41" s="31">
        <f t="shared" si="13"/>
        <v>0.10121812704549943</v>
      </c>
      <c r="AD41" s="12">
        <f t="shared" si="14"/>
        <v>37</v>
      </c>
      <c r="AE41" s="132">
        <f t="shared" si="15"/>
        <v>1900428.0378361538</v>
      </c>
      <c r="AF41" s="132">
        <f>IF($AD41&lt;=$C$25*12,$AE41-$C$7+SUM('Mortgage Calculators (By Month)'!$K$23:$K59),"-")</f>
        <v>1900428.0378361538</v>
      </c>
      <c r="AG41" s="132">
        <f t="shared" si="16"/>
        <v>9936.2812500000018</v>
      </c>
      <c r="AH41" s="132">
        <f>IF($AD41&lt;=$C$25*12,SUM(Inputs!$C$61:$C$78)*'Forecast (By Month)'!AG41,"-")</f>
        <v>1092.9909375000002</v>
      </c>
      <c r="AI41" s="132">
        <f>IF($AD41&lt;=$C$25*12,(SUMIF(Inputs!$C$61:$C$78,0,Inputs!$F$61:$F$78)/12)*(1+$C$34)^ROUNDDOWN((AD41-1)/12,0),"-")</f>
        <v>1488.1666666666667</v>
      </c>
      <c r="AJ41" s="132">
        <f t="shared" si="17"/>
        <v>2581.1576041666667</v>
      </c>
      <c r="AK41" s="132">
        <f>IF($AD41&lt;=$C$25*12,'Mortgage Calculators (By Month)'!$J59,"-")</f>
        <v>0</v>
      </c>
      <c r="AL41" s="132">
        <f>IF($AD41&lt;=$C$25*12,'Mortgage Calculators (By Month)'!$K59,"-")</f>
        <v>0</v>
      </c>
      <c r="AM41" s="132">
        <f>IF($AD41&lt;=$C$25*12,'Mortgage Calculators (By Month)'!$L59,"-")</f>
        <v>10</v>
      </c>
      <c r="AN41" s="132">
        <f t="shared" si="27"/>
        <v>0</v>
      </c>
      <c r="AO41" s="132">
        <f t="shared" si="18"/>
        <v>2591.1576041666667</v>
      </c>
      <c r="AP41" s="132">
        <f t="shared" si="19"/>
        <v>7355.1236458333351</v>
      </c>
      <c r="AQ41" s="132">
        <f t="shared" si="20"/>
        <v>0</v>
      </c>
      <c r="AR41" s="132">
        <f t="shared" si="1"/>
        <v>7355.1236458333351</v>
      </c>
      <c r="AS41" s="132">
        <f>IF($AD41&lt;=$C$25*12,SUM(AR$5:AR41),"-")</f>
        <v>242760.79864583339</v>
      </c>
      <c r="AT41" s="132">
        <f>IF($AD41&lt;=$C$25*12,AE41-$C$10-'RE Calculations'!$C228-'Mortgage Calculators (By Month)'!$M59,"-")</f>
        <v>256892.47707943062</v>
      </c>
      <c r="AU41" s="29">
        <f t="shared" si="21"/>
        <v>0.16045480624588507</v>
      </c>
      <c r="AV41" s="31">
        <f t="shared" si="22"/>
        <v>5.2039396620287046E-2</v>
      </c>
      <c r="AW41" s="132">
        <f t="shared" si="23"/>
        <v>499653.27572526399</v>
      </c>
      <c r="AX41" s="29">
        <f t="shared" si="24"/>
        <v>0.31208297906610194</v>
      </c>
      <c r="AY41" s="31">
        <f t="shared" si="25"/>
        <v>0.10121610131873576</v>
      </c>
    </row>
    <row r="42" spans="2:51" ht="15" customHeight="1" x14ac:dyDescent="0.35">
      <c r="B42" s="30" t="s">
        <v>163</v>
      </c>
      <c r="C42" s="30"/>
      <c r="F42" s="12">
        <f t="shared" si="2"/>
        <v>38</v>
      </c>
      <c r="G42" s="132">
        <f t="shared" si="3"/>
        <v>1908170.6169042143</v>
      </c>
      <c r="H42" s="132">
        <f>IF($F42&lt;=$C$16*12,$G42-$C$7+SUM('Mortgage Calculators (By Month)'!$D$23:$D60),"-")</f>
        <v>1908170.6169042143</v>
      </c>
      <c r="I42" s="132">
        <f t="shared" si="4"/>
        <v>9936.2812500000018</v>
      </c>
      <c r="J42" s="132">
        <f>IF($F42&lt;=$C$16*12,SUM(Inputs!$C$61:$C$78)*'Forecast (By Month)'!I42,"-")</f>
        <v>1092.9909375000002</v>
      </c>
      <c r="K42" s="132">
        <f>IF($F42&lt;=$C$16*12,(SUMIF(Inputs!$C$61:$C$78,0,Inputs!$F$61:$F$78)/12)*(1+$C$34)^ROUNDDOWN((F42-1)/12,0),"-")</f>
        <v>1488.1666666666667</v>
      </c>
      <c r="L42" s="132">
        <f t="shared" si="5"/>
        <v>2581.1576041666667</v>
      </c>
      <c r="M42" s="132">
        <f>IF($F42&lt;=$C$16*12,'Mortgage Calculators (By Month)'!$C60,"-")</f>
        <v>0</v>
      </c>
      <c r="N42" s="132">
        <f>IF($F42&lt;=$C$16*12,'Mortgage Calculators (By Month)'!$D60,"-")</f>
        <v>0</v>
      </c>
      <c r="O42" s="132">
        <f>IF($F42&lt;=$C$16*12,'Mortgage Calculators (By Month)'!$E60,"-")</f>
        <v>8.3333333333333339</v>
      </c>
      <c r="P42" s="132">
        <f t="shared" si="26"/>
        <v>0</v>
      </c>
      <c r="Q42" s="132">
        <f t="shared" si="6"/>
        <v>2589.4909375000002</v>
      </c>
      <c r="R42" s="132">
        <f t="shared" si="7"/>
        <v>7355.1236458333351</v>
      </c>
      <c r="S42" s="132">
        <f t="shared" si="8"/>
        <v>0</v>
      </c>
      <c r="T42" s="132">
        <f t="shared" si="0"/>
        <v>7355.1236458333351</v>
      </c>
      <c r="U42" s="132">
        <f>IF($F42&lt;=$C$16*12,SUM(T$5:T42),"-")</f>
        <v>250125.92229166673</v>
      </c>
      <c r="V42" s="132">
        <f>IF($F42&lt;=$C$16*12,G42-$C$10-'RE Calculations'!$C229-'Mortgage Calculators (By Month)'!$F60,"-")</f>
        <v>264480.20456612995</v>
      </c>
      <c r="W42" s="29">
        <f t="shared" si="9"/>
        <v>0.16519409389481249</v>
      </c>
      <c r="X42" s="31">
        <f t="shared" si="10"/>
        <v>5.2166555966782893E-2</v>
      </c>
      <c r="Y42" s="132">
        <f t="shared" si="11"/>
        <v>514606.12685779668</v>
      </c>
      <c r="Z42" s="29">
        <f t="shared" si="12"/>
        <v>0.32142251620853157</v>
      </c>
      <c r="AA42" s="31">
        <f t="shared" si="13"/>
        <v>0.10150184722374682</v>
      </c>
      <c r="AD42" s="12">
        <f t="shared" si="14"/>
        <v>38</v>
      </c>
      <c r="AE42" s="132">
        <f t="shared" si="15"/>
        <v>1908170.6169042143</v>
      </c>
      <c r="AF42" s="132">
        <f>IF($AD42&lt;=$C$25*12,$AE42-$C$7+SUM('Mortgage Calculators (By Month)'!$K$23:$K60),"-")</f>
        <v>1908170.6169042143</v>
      </c>
      <c r="AG42" s="132">
        <f t="shared" si="16"/>
        <v>9936.2812500000018</v>
      </c>
      <c r="AH42" s="132">
        <f>IF($AD42&lt;=$C$25*12,SUM(Inputs!$C$61:$C$78)*'Forecast (By Month)'!AG42,"-")</f>
        <v>1092.9909375000002</v>
      </c>
      <c r="AI42" s="132">
        <f>IF($AD42&lt;=$C$25*12,(SUMIF(Inputs!$C$61:$C$78,0,Inputs!$F$61:$F$78)/12)*(1+$C$34)^ROUNDDOWN((AD42-1)/12,0),"-")</f>
        <v>1488.1666666666667</v>
      </c>
      <c r="AJ42" s="132">
        <f t="shared" si="17"/>
        <v>2581.1576041666667</v>
      </c>
      <c r="AK42" s="132">
        <f>IF($AD42&lt;=$C$25*12,'Mortgage Calculators (By Month)'!$J60,"-")</f>
        <v>0</v>
      </c>
      <c r="AL42" s="132">
        <f>IF($AD42&lt;=$C$25*12,'Mortgage Calculators (By Month)'!$K60,"-")</f>
        <v>0</v>
      </c>
      <c r="AM42" s="132">
        <f>IF($AD42&lt;=$C$25*12,'Mortgage Calculators (By Month)'!$L60,"-")</f>
        <v>10</v>
      </c>
      <c r="AN42" s="132">
        <f t="shared" si="27"/>
        <v>0</v>
      </c>
      <c r="AO42" s="132">
        <f t="shared" si="18"/>
        <v>2591.1576041666667</v>
      </c>
      <c r="AP42" s="132">
        <f t="shared" si="19"/>
        <v>7355.1236458333351</v>
      </c>
      <c r="AQ42" s="132">
        <f t="shared" si="20"/>
        <v>0</v>
      </c>
      <c r="AR42" s="132">
        <f t="shared" si="1"/>
        <v>7355.1236458333351</v>
      </c>
      <c r="AS42" s="132">
        <f>IF($AD42&lt;=$C$25*12,SUM(AR$5:AR42),"-")</f>
        <v>250115.92229166673</v>
      </c>
      <c r="AT42" s="132">
        <f>IF($AD42&lt;=$C$25*12,AE42-$C$10-'RE Calculations'!$C229-'Mortgage Calculators (By Month)'!$M60,"-")</f>
        <v>264480.20456612995</v>
      </c>
      <c r="AU42" s="29">
        <f t="shared" si="21"/>
        <v>0.16519409389481249</v>
      </c>
      <c r="AV42" s="31">
        <f t="shared" si="22"/>
        <v>5.2166555966782893E-2</v>
      </c>
      <c r="AW42" s="132">
        <f t="shared" si="23"/>
        <v>514596.12685779668</v>
      </c>
      <c r="AX42" s="29">
        <f t="shared" si="24"/>
        <v>0.32141627021767694</v>
      </c>
      <c r="AY42" s="31">
        <f t="shared" si="25"/>
        <v>0.1014998748055822</v>
      </c>
    </row>
    <row r="43" spans="2:51" x14ac:dyDescent="0.35">
      <c r="B43" t="s">
        <v>258</v>
      </c>
      <c r="C43" s="30"/>
      <c r="F43" s="12">
        <f t="shared" si="2"/>
        <v>39</v>
      </c>
      <c r="G43" s="132">
        <f t="shared" si="3"/>
        <v>1915944.7401978027</v>
      </c>
      <c r="H43" s="132">
        <f>IF($F43&lt;=$C$16*12,$G43-$C$7+SUM('Mortgage Calculators (By Month)'!$D$23:$D61),"-")</f>
        <v>1915944.7401978027</v>
      </c>
      <c r="I43" s="132">
        <f t="shared" si="4"/>
        <v>9936.2812500000018</v>
      </c>
      <c r="J43" s="132">
        <f>IF($F43&lt;=$C$16*12,SUM(Inputs!$C$61:$C$78)*'Forecast (By Month)'!I43,"-")</f>
        <v>1092.9909375000002</v>
      </c>
      <c r="K43" s="132">
        <f>IF($F43&lt;=$C$16*12,(SUMIF(Inputs!$C$61:$C$78,0,Inputs!$F$61:$F$78)/12)*(1+$C$34)^ROUNDDOWN((F43-1)/12,0),"-")</f>
        <v>1488.1666666666667</v>
      </c>
      <c r="L43" s="132">
        <f t="shared" si="5"/>
        <v>2581.1576041666667</v>
      </c>
      <c r="M43" s="132">
        <f>IF($F43&lt;=$C$16*12,'Mortgage Calculators (By Month)'!$C61,"-")</f>
        <v>0</v>
      </c>
      <c r="N43" s="132">
        <f>IF($F43&lt;=$C$16*12,'Mortgage Calculators (By Month)'!$D61,"-")</f>
        <v>0</v>
      </c>
      <c r="O43" s="132">
        <f>IF($F43&lt;=$C$16*12,'Mortgage Calculators (By Month)'!$E61,"-")</f>
        <v>8.3333333333333339</v>
      </c>
      <c r="P43" s="132">
        <f t="shared" si="26"/>
        <v>0</v>
      </c>
      <c r="Q43" s="132">
        <f t="shared" si="6"/>
        <v>2589.4909375000002</v>
      </c>
      <c r="R43" s="132">
        <f t="shared" si="7"/>
        <v>7355.1236458333351</v>
      </c>
      <c r="S43" s="132">
        <f t="shared" si="8"/>
        <v>0</v>
      </c>
      <c r="T43" s="132">
        <f t="shared" si="0"/>
        <v>7355.1236458333351</v>
      </c>
      <c r="U43" s="132">
        <f>IF($F43&lt;=$C$16*12,SUM(T$5:T43),"-")</f>
        <v>257481.04593750008</v>
      </c>
      <c r="V43" s="132">
        <f>IF($F43&lt;=$C$16*12,G43-$C$10-'RE Calculations'!$C230-'Mortgage Calculators (By Month)'!$F61,"-")</f>
        <v>272098.84539384657</v>
      </c>
      <c r="W43" s="29">
        <f t="shared" si="9"/>
        <v>0.16995268998826787</v>
      </c>
      <c r="X43" s="31">
        <f t="shared" si="10"/>
        <v>5.2293135381005502E-2</v>
      </c>
      <c r="Y43" s="132">
        <f t="shared" si="11"/>
        <v>529579.89133134671</v>
      </c>
      <c r="Z43" s="29">
        <f t="shared" si="12"/>
        <v>0.33077511580463459</v>
      </c>
      <c r="AA43" s="31">
        <f t="shared" si="13"/>
        <v>0.10177695870911833</v>
      </c>
      <c r="AD43" s="12">
        <f t="shared" si="14"/>
        <v>39</v>
      </c>
      <c r="AE43" s="132">
        <f t="shared" si="15"/>
        <v>1915944.7401978027</v>
      </c>
      <c r="AF43" s="132">
        <f>IF($AD43&lt;=$C$25*12,$AE43-$C$7+SUM('Mortgage Calculators (By Month)'!$K$23:$K61),"-")</f>
        <v>1915944.7401978027</v>
      </c>
      <c r="AG43" s="132">
        <f t="shared" si="16"/>
        <v>9936.2812500000018</v>
      </c>
      <c r="AH43" s="132">
        <f>IF($AD43&lt;=$C$25*12,SUM(Inputs!$C$61:$C$78)*'Forecast (By Month)'!AG43,"-")</f>
        <v>1092.9909375000002</v>
      </c>
      <c r="AI43" s="132">
        <f>IF($AD43&lt;=$C$25*12,(SUMIF(Inputs!$C$61:$C$78,0,Inputs!$F$61:$F$78)/12)*(1+$C$34)^ROUNDDOWN((AD43-1)/12,0),"-")</f>
        <v>1488.1666666666667</v>
      </c>
      <c r="AJ43" s="132">
        <f t="shared" si="17"/>
        <v>2581.1576041666667</v>
      </c>
      <c r="AK43" s="132">
        <f>IF($AD43&lt;=$C$25*12,'Mortgage Calculators (By Month)'!$J61,"-")</f>
        <v>0</v>
      </c>
      <c r="AL43" s="132">
        <f>IF($AD43&lt;=$C$25*12,'Mortgage Calculators (By Month)'!$K61,"-")</f>
        <v>0</v>
      </c>
      <c r="AM43" s="132">
        <f>IF($AD43&lt;=$C$25*12,'Mortgage Calculators (By Month)'!$L61,"-")</f>
        <v>10</v>
      </c>
      <c r="AN43" s="132">
        <f t="shared" si="27"/>
        <v>0</v>
      </c>
      <c r="AO43" s="132">
        <f t="shared" si="18"/>
        <v>2591.1576041666667</v>
      </c>
      <c r="AP43" s="132">
        <f t="shared" si="19"/>
        <v>7355.1236458333351</v>
      </c>
      <c r="AQ43" s="132">
        <f t="shared" si="20"/>
        <v>0</v>
      </c>
      <c r="AR43" s="132">
        <f t="shared" si="1"/>
        <v>7355.1236458333351</v>
      </c>
      <c r="AS43" s="132">
        <f>IF($AD43&lt;=$C$25*12,SUM(AR$5:AR43),"-")</f>
        <v>257471.04593750008</v>
      </c>
      <c r="AT43" s="132">
        <f>IF($AD43&lt;=$C$25*12,AE43-$C$10-'RE Calculations'!$C230-'Mortgage Calculators (By Month)'!$M61,"-")</f>
        <v>272098.84539384657</v>
      </c>
      <c r="AU43" s="29">
        <f t="shared" si="21"/>
        <v>0.16995268998826787</v>
      </c>
      <c r="AV43" s="31">
        <f t="shared" si="22"/>
        <v>5.2293135381005502E-2</v>
      </c>
      <c r="AW43" s="132">
        <f t="shared" si="23"/>
        <v>529569.89133134671</v>
      </c>
      <c r="AX43" s="29">
        <f t="shared" si="24"/>
        <v>0.33076886981377995</v>
      </c>
      <c r="AY43" s="31">
        <f t="shared" si="25"/>
        <v>0.10177503686577845</v>
      </c>
    </row>
    <row r="44" spans="2:51" x14ac:dyDescent="0.35">
      <c r="B44" s="30"/>
      <c r="C44" s="30"/>
      <c r="F44" s="12">
        <f t="shared" si="2"/>
        <v>40</v>
      </c>
      <c r="G44" s="132">
        <f t="shared" si="3"/>
        <v>1923750.5362319986</v>
      </c>
      <c r="H44" s="132">
        <f>IF($F44&lt;=$C$16*12,$G44-$C$7+SUM('Mortgage Calculators (By Month)'!$D$23:$D62),"-")</f>
        <v>1923750.5362319986</v>
      </c>
      <c r="I44" s="132">
        <f t="shared" si="4"/>
        <v>9936.2812500000018</v>
      </c>
      <c r="J44" s="132">
        <f>IF($F44&lt;=$C$16*12,SUM(Inputs!$C$61:$C$78)*'Forecast (By Month)'!I44,"-")</f>
        <v>1092.9909375000002</v>
      </c>
      <c r="K44" s="132">
        <f>IF($F44&lt;=$C$16*12,(SUMIF(Inputs!$C$61:$C$78,0,Inputs!$F$61:$F$78)/12)*(1+$C$34)^ROUNDDOWN((F44-1)/12,0),"-")</f>
        <v>1488.1666666666667</v>
      </c>
      <c r="L44" s="132">
        <f t="shared" si="5"/>
        <v>2581.1576041666667</v>
      </c>
      <c r="M44" s="132">
        <f>IF($F44&lt;=$C$16*12,'Mortgage Calculators (By Month)'!$C62,"-")</f>
        <v>0</v>
      </c>
      <c r="N44" s="132">
        <f>IF($F44&lt;=$C$16*12,'Mortgage Calculators (By Month)'!$D62,"-")</f>
        <v>0</v>
      </c>
      <c r="O44" s="132">
        <f>IF($F44&lt;=$C$16*12,'Mortgage Calculators (By Month)'!$E62,"-")</f>
        <v>8.3333333333333339</v>
      </c>
      <c r="P44" s="132">
        <f t="shared" si="26"/>
        <v>0</v>
      </c>
      <c r="Q44" s="132">
        <f t="shared" si="6"/>
        <v>2589.4909375000002</v>
      </c>
      <c r="R44" s="132">
        <f t="shared" si="7"/>
        <v>7355.1236458333351</v>
      </c>
      <c r="S44" s="132">
        <f t="shared" si="8"/>
        <v>0</v>
      </c>
      <c r="T44" s="132">
        <f t="shared" si="0"/>
        <v>7355.1236458333351</v>
      </c>
      <c r="U44" s="132">
        <f>IF($F44&lt;=$C$16*12,SUM(T$5:T44),"-")</f>
        <v>264836.16958333342</v>
      </c>
      <c r="V44" s="132">
        <f>IF($F44&lt;=$C$16*12,G44-$C$10-'RE Calculations'!$C231-'Mortgage Calculators (By Month)'!$F62,"-")</f>
        <v>279748.52550735854</v>
      </c>
      <c r="W44" s="29">
        <f t="shared" si="9"/>
        <v>0.17473067319124447</v>
      </c>
      <c r="X44" s="31">
        <f t="shared" si="10"/>
        <v>5.2419201957373339E-2</v>
      </c>
      <c r="Y44" s="132">
        <f t="shared" si="11"/>
        <v>544584.69509069202</v>
      </c>
      <c r="Z44" s="29">
        <f t="shared" si="12"/>
        <v>0.34014710251025876</v>
      </c>
      <c r="AA44" s="31">
        <f t="shared" si="13"/>
        <v>0.10204413075307762</v>
      </c>
      <c r="AD44" s="12">
        <f t="shared" si="14"/>
        <v>40</v>
      </c>
      <c r="AE44" s="132">
        <f t="shared" si="15"/>
        <v>1923750.5362319986</v>
      </c>
      <c r="AF44" s="132">
        <f>IF($AD44&lt;=$C$25*12,$AE44-$C$7+SUM('Mortgage Calculators (By Month)'!$K$23:$K62),"-")</f>
        <v>1923750.5362319986</v>
      </c>
      <c r="AG44" s="132">
        <f t="shared" si="16"/>
        <v>9936.2812500000018</v>
      </c>
      <c r="AH44" s="132">
        <f>IF($AD44&lt;=$C$25*12,SUM(Inputs!$C$61:$C$78)*'Forecast (By Month)'!AG44,"-")</f>
        <v>1092.9909375000002</v>
      </c>
      <c r="AI44" s="132">
        <f>IF($AD44&lt;=$C$25*12,(SUMIF(Inputs!$C$61:$C$78,0,Inputs!$F$61:$F$78)/12)*(1+$C$34)^ROUNDDOWN((AD44-1)/12,0),"-")</f>
        <v>1488.1666666666667</v>
      </c>
      <c r="AJ44" s="132">
        <f t="shared" si="17"/>
        <v>2581.1576041666667</v>
      </c>
      <c r="AK44" s="132">
        <f>IF($AD44&lt;=$C$25*12,'Mortgage Calculators (By Month)'!$J62,"-")</f>
        <v>0</v>
      </c>
      <c r="AL44" s="132">
        <f>IF($AD44&lt;=$C$25*12,'Mortgage Calculators (By Month)'!$K62,"-")</f>
        <v>0</v>
      </c>
      <c r="AM44" s="132">
        <f>IF($AD44&lt;=$C$25*12,'Mortgage Calculators (By Month)'!$L62,"-")</f>
        <v>10</v>
      </c>
      <c r="AN44" s="132">
        <f t="shared" si="27"/>
        <v>0</v>
      </c>
      <c r="AO44" s="132">
        <f t="shared" si="18"/>
        <v>2591.1576041666667</v>
      </c>
      <c r="AP44" s="132">
        <f t="shared" si="19"/>
        <v>7355.1236458333351</v>
      </c>
      <c r="AQ44" s="132">
        <f t="shared" si="20"/>
        <v>0</v>
      </c>
      <c r="AR44" s="132">
        <f t="shared" si="1"/>
        <v>7355.1236458333351</v>
      </c>
      <c r="AS44" s="132">
        <f>IF($AD44&lt;=$C$25*12,SUM(AR$5:AR44),"-")</f>
        <v>264826.16958333342</v>
      </c>
      <c r="AT44" s="132">
        <f>IF($AD44&lt;=$C$25*12,AE44-$C$10-'RE Calculations'!$C231-'Mortgage Calculators (By Month)'!$M62,"-")</f>
        <v>279748.52550735854</v>
      </c>
      <c r="AU44" s="29">
        <f t="shared" si="21"/>
        <v>0.17473067319124447</v>
      </c>
      <c r="AV44" s="31">
        <f t="shared" si="22"/>
        <v>5.2419201957373339E-2</v>
      </c>
      <c r="AW44" s="132">
        <f t="shared" si="23"/>
        <v>544574.69509069202</v>
      </c>
      <c r="AX44" s="29">
        <f t="shared" si="24"/>
        <v>0.34014085651940412</v>
      </c>
      <c r="AY44" s="31">
        <f t="shared" si="25"/>
        <v>0.10204225695582123</v>
      </c>
    </row>
    <row r="45" spans="2:51" x14ac:dyDescent="0.35">
      <c r="F45" s="12">
        <f t="shared" si="2"/>
        <v>41</v>
      </c>
      <c r="G45" s="132">
        <f t="shared" si="3"/>
        <v>1931588.1340454677</v>
      </c>
      <c r="H45" s="132">
        <f>IF($F45&lt;=$C$16*12,$G45-$C$7+SUM('Mortgage Calculators (By Month)'!$D$23:$D63),"-")</f>
        <v>1931588.1340454677</v>
      </c>
      <c r="I45" s="132">
        <f t="shared" si="4"/>
        <v>9936.2812500000018</v>
      </c>
      <c r="J45" s="132">
        <f>IF($F45&lt;=$C$16*12,SUM(Inputs!$C$61:$C$78)*'Forecast (By Month)'!I45,"-")</f>
        <v>1092.9909375000002</v>
      </c>
      <c r="K45" s="132">
        <f>IF($F45&lt;=$C$16*12,(SUMIF(Inputs!$C$61:$C$78,0,Inputs!$F$61:$F$78)/12)*(1+$C$34)^ROUNDDOWN((F45-1)/12,0),"-")</f>
        <v>1488.1666666666667</v>
      </c>
      <c r="L45" s="132">
        <f t="shared" si="5"/>
        <v>2581.1576041666667</v>
      </c>
      <c r="M45" s="132">
        <f>IF($F45&lt;=$C$16*12,'Mortgage Calculators (By Month)'!$C63,"-")</f>
        <v>0</v>
      </c>
      <c r="N45" s="132">
        <f>IF($F45&lt;=$C$16*12,'Mortgage Calculators (By Month)'!$D63,"-")</f>
        <v>0</v>
      </c>
      <c r="O45" s="132">
        <f>IF($F45&lt;=$C$16*12,'Mortgage Calculators (By Month)'!$E63,"-")</f>
        <v>8.3333333333333339</v>
      </c>
      <c r="P45" s="132">
        <f t="shared" si="26"/>
        <v>0</v>
      </c>
      <c r="Q45" s="132">
        <f t="shared" si="6"/>
        <v>2589.4909375000002</v>
      </c>
      <c r="R45" s="132">
        <f t="shared" si="7"/>
        <v>7355.1236458333351</v>
      </c>
      <c r="S45" s="132">
        <f t="shared" si="8"/>
        <v>0</v>
      </c>
      <c r="T45" s="132">
        <f t="shared" si="0"/>
        <v>7355.1236458333351</v>
      </c>
      <c r="U45" s="132">
        <f>IF($F45&lt;=$C$16*12,SUM(T$5:T45),"-")</f>
        <v>272191.29322916677</v>
      </c>
      <c r="V45" s="132">
        <f>IF($F45&lt;=$C$16*12,G45-$C$10-'RE Calculations'!$C232-'Mortgage Calculators (By Month)'!$F63,"-")</f>
        <v>287429.37136455829</v>
      </c>
      <c r="W45" s="29">
        <f t="shared" si="9"/>
        <v>0.17952812248922617</v>
      </c>
      <c r="X45" s="31">
        <f t="shared" si="10"/>
        <v>5.2544816338310103E-2</v>
      </c>
      <c r="Y45" s="132">
        <f t="shared" si="11"/>
        <v>559620.664593725</v>
      </c>
      <c r="Z45" s="29">
        <f t="shared" si="12"/>
        <v>0.34953855531088796</v>
      </c>
      <c r="AA45" s="31">
        <f t="shared" si="13"/>
        <v>0.10230396740806477</v>
      </c>
      <c r="AD45" s="12">
        <f t="shared" si="14"/>
        <v>41</v>
      </c>
      <c r="AE45" s="132">
        <f t="shared" si="15"/>
        <v>1931588.1340454677</v>
      </c>
      <c r="AF45" s="132">
        <f>IF($AD45&lt;=$C$25*12,$AE45-$C$7+SUM('Mortgage Calculators (By Month)'!$K$23:$K63),"-")</f>
        <v>1931588.1340454677</v>
      </c>
      <c r="AG45" s="132">
        <f t="shared" si="16"/>
        <v>9936.2812500000018</v>
      </c>
      <c r="AH45" s="132">
        <f>IF($AD45&lt;=$C$25*12,SUM(Inputs!$C$61:$C$78)*'Forecast (By Month)'!AG45,"-")</f>
        <v>1092.9909375000002</v>
      </c>
      <c r="AI45" s="132">
        <f>IF($AD45&lt;=$C$25*12,(SUMIF(Inputs!$C$61:$C$78,0,Inputs!$F$61:$F$78)/12)*(1+$C$34)^ROUNDDOWN((AD45-1)/12,0),"-")</f>
        <v>1488.1666666666667</v>
      </c>
      <c r="AJ45" s="132">
        <f t="shared" si="17"/>
        <v>2581.1576041666667</v>
      </c>
      <c r="AK45" s="132">
        <f>IF($AD45&lt;=$C$25*12,'Mortgage Calculators (By Month)'!$J63,"-")</f>
        <v>0</v>
      </c>
      <c r="AL45" s="132">
        <f>IF($AD45&lt;=$C$25*12,'Mortgage Calculators (By Month)'!$K63,"-")</f>
        <v>0</v>
      </c>
      <c r="AM45" s="132">
        <f>IF($AD45&lt;=$C$25*12,'Mortgage Calculators (By Month)'!$L63,"-")</f>
        <v>10</v>
      </c>
      <c r="AN45" s="132">
        <f t="shared" si="27"/>
        <v>0</v>
      </c>
      <c r="AO45" s="132">
        <f t="shared" si="18"/>
        <v>2591.1576041666667</v>
      </c>
      <c r="AP45" s="132">
        <f t="shared" si="19"/>
        <v>7355.1236458333351</v>
      </c>
      <c r="AQ45" s="132">
        <f t="shared" si="20"/>
        <v>0</v>
      </c>
      <c r="AR45" s="132">
        <f t="shared" si="1"/>
        <v>7355.1236458333351</v>
      </c>
      <c r="AS45" s="132">
        <f>IF($AD45&lt;=$C$25*12,SUM(AR$5:AR45),"-")</f>
        <v>272181.29322916677</v>
      </c>
      <c r="AT45" s="132">
        <f>IF($AD45&lt;=$C$25*12,AE45-$C$10-'RE Calculations'!$C232-'Mortgage Calculators (By Month)'!$M63,"-")</f>
        <v>287429.37136455829</v>
      </c>
      <c r="AU45" s="29">
        <f t="shared" si="21"/>
        <v>0.17952812248922617</v>
      </c>
      <c r="AV45" s="31">
        <f t="shared" si="22"/>
        <v>5.2544816338310103E-2</v>
      </c>
      <c r="AW45" s="132">
        <f t="shared" si="23"/>
        <v>559610.664593725</v>
      </c>
      <c r="AX45" s="29">
        <f t="shared" si="24"/>
        <v>0.34953230932003332</v>
      </c>
      <c r="AY45" s="31">
        <f t="shared" si="25"/>
        <v>0.10230213931318048</v>
      </c>
    </row>
    <row r="46" spans="2:51" x14ac:dyDescent="0.35">
      <c r="F46" s="12">
        <f t="shared" si="2"/>
        <v>42</v>
      </c>
      <c r="G46" s="132">
        <f t="shared" si="3"/>
        <v>1939457.6632025952</v>
      </c>
      <c r="H46" s="132">
        <f>IF($F46&lt;=$C$16*12,$G46-$C$7+SUM('Mortgage Calculators (By Month)'!$D$23:$D64),"-")</f>
        <v>1939457.6632025952</v>
      </c>
      <c r="I46" s="132">
        <f t="shared" si="4"/>
        <v>9936.2812500000018</v>
      </c>
      <c r="J46" s="132">
        <f>IF($F46&lt;=$C$16*12,SUM(Inputs!$C$61:$C$78)*'Forecast (By Month)'!I46,"-")</f>
        <v>1092.9909375000002</v>
      </c>
      <c r="K46" s="132">
        <f>IF($F46&lt;=$C$16*12,(SUMIF(Inputs!$C$61:$C$78,0,Inputs!$F$61:$F$78)/12)*(1+$C$34)^ROUNDDOWN((F46-1)/12,0),"-")</f>
        <v>1488.1666666666667</v>
      </c>
      <c r="L46" s="132">
        <f t="shared" si="5"/>
        <v>2581.1576041666667</v>
      </c>
      <c r="M46" s="132">
        <f>IF($F46&lt;=$C$16*12,'Mortgage Calculators (By Month)'!$C64,"-")</f>
        <v>0</v>
      </c>
      <c r="N46" s="132">
        <f>IF($F46&lt;=$C$16*12,'Mortgage Calculators (By Month)'!$D64,"-")</f>
        <v>0</v>
      </c>
      <c r="O46" s="132">
        <f>IF($F46&lt;=$C$16*12,'Mortgage Calculators (By Month)'!$E64,"-")</f>
        <v>8.3333333333333339</v>
      </c>
      <c r="P46" s="132">
        <f t="shared" si="26"/>
        <v>0</v>
      </c>
      <c r="Q46" s="132">
        <f t="shared" si="6"/>
        <v>2589.4909375000002</v>
      </c>
      <c r="R46" s="132">
        <f t="shared" si="7"/>
        <v>7355.1236458333351</v>
      </c>
      <c r="S46" s="132">
        <f t="shared" si="8"/>
        <v>0</v>
      </c>
      <c r="T46" s="132">
        <f t="shared" si="0"/>
        <v>7355.1236458333351</v>
      </c>
      <c r="U46" s="132">
        <f>IF($F46&lt;=$C$16*12,SUM(T$5:T46),"-")</f>
        <v>279546.41687500011</v>
      </c>
      <c r="V46" s="132">
        <f>IF($F46&lt;=$C$16*12,G46-$C$10-'RE Calculations'!$C233-'Mortgage Calculators (By Month)'!$F64,"-")</f>
        <v>295141.50993854325</v>
      </c>
      <c r="W46" s="29">
        <f t="shared" si="9"/>
        <v>0.18434511718949353</v>
      </c>
      <c r="X46" s="31">
        <f t="shared" si="10"/>
        <v>5.2670033482712438E-2</v>
      </c>
      <c r="Y46" s="132">
        <f t="shared" si="11"/>
        <v>574687.92681354331</v>
      </c>
      <c r="Z46" s="29">
        <f t="shared" si="12"/>
        <v>0.35894955351380292</v>
      </c>
      <c r="AA46" s="31">
        <f t="shared" si="13"/>
        <v>0.10255701528965798</v>
      </c>
      <c r="AD46" s="12">
        <f t="shared" si="14"/>
        <v>42</v>
      </c>
      <c r="AE46" s="132">
        <f t="shared" si="15"/>
        <v>1939457.6632025952</v>
      </c>
      <c r="AF46" s="132">
        <f>IF($AD46&lt;=$C$25*12,$AE46-$C$7+SUM('Mortgage Calculators (By Month)'!$K$23:$K64),"-")</f>
        <v>1939457.6632025952</v>
      </c>
      <c r="AG46" s="132">
        <f t="shared" si="16"/>
        <v>9936.2812500000018</v>
      </c>
      <c r="AH46" s="132">
        <f>IF($AD46&lt;=$C$25*12,SUM(Inputs!$C$61:$C$78)*'Forecast (By Month)'!AG46,"-")</f>
        <v>1092.9909375000002</v>
      </c>
      <c r="AI46" s="132">
        <f>IF($AD46&lt;=$C$25*12,(SUMIF(Inputs!$C$61:$C$78,0,Inputs!$F$61:$F$78)/12)*(1+$C$34)^ROUNDDOWN((AD46-1)/12,0),"-")</f>
        <v>1488.1666666666667</v>
      </c>
      <c r="AJ46" s="132">
        <f t="shared" si="17"/>
        <v>2581.1576041666667</v>
      </c>
      <c r="AK46" s="132">
        <f>IF($AD46&lt;=$C$25*12,'Mortgage Calculators (By Month)'!$J64,"-")</f>
        <v>0</v>
      </c>
      <c r="AL46" s="132">
        <f>IF($AD46&lt;=$C$25*12,'Mortgage Calculators (By Month)'!$K64,"-")</f>
        <v>0</v>
      </c>
      <c r="AM46" s="132">
        <f>IF($AD46&lt;=$C$25*12,'Mortgage Calculators (By Month)'!$L64,"-")</f>
        <v>10</v>
      </c>
      <c r="AN46" s="132">
        <f t="shared" si="27"/>
        <v>0</v>
      </c>
      <c r="AO46" s="132">
        <f t="shared" si="18"/>
        <v>2591.1576041666667</v>
      </c>
      <c r="AP46" s="132">
        <f t="shared" si="19"/>
        <v>7355.1236458333351</v>
      </c>
      <c r="AQ46" s="132">
        <f t="shared" si="20"/>
        <v>0</v>
      </c>
      <c r="AR46" s="132">
        <f t="shared" si="1"/>
        <v>7355.1236458333351</v>
      </c>
      <c r="AS46" s="132">
        <f>IF($AD46&lt;=$C$25*12,SUM(AR$5:AR46),"-")</f>
        <v>279536.41687500011</v>
      </c>
      <c r="AT46" s="132">
        <f>IF($AD46&lt;=$C$25*12,AE46-$C$10-'RE Calculations'!$C233-'Mortgage Calculators (By Month)'!$M64,"-")</f>
        <v>295141.50993854325</v>
      </c>
      <c r="AU46" s="29">
        <f t="shared" si="21"/>
        <v>0.18434511718949353</v>
      </c>
      <c r="AV46" s="31">
        <f t="shared" si="22"/>
        <v>5.2670033482712438E-2</v>
      </c>
      <c r="AW46" s="132">
        <f t="shared" si="23"/>
        <v>574677.92681354331</v>
      </c>
      <c r="AX46" s="29">
        <f t="shared" si="24"/>
        <v>0.35894330752294829</v>
      </c>
      <c r="AY46" s="31">
        <f t="shared" si="25"/>
        <v>0.10255523072084237</v>
      </c>
    </row>
    <row r="47" spans="2:51" x14ac:dyDescent="0.35">
      <c r="F47" s="12">
        <f t="shared" si="2"/>
        <v>43</v>
      </c>
      <c r="G47" s="132">
        <f t="shared" si="3"/>
        <v>1947359.253795628</v>
      </c>
      <c r="H47" s="132">
        <f>IF($F47&lt;=$C$16*12,$G47-$C$7+SUM('Mortgage Calculators (By Month)'!$D$23:$D65),"-")</f>
        <v>1947359.253795628</v>
      </c>
      <c r="I47" s="132">
        <f t="shared" si="4"/>
        <v>9936.2812500000018</v>
      </c>
      <c r="J47" s="132">
        <f>IF($F47&lt;=$C$16*12,SUM(Inputs!$C$61:$C$78)*'Forecast (By Month)'!I47,"-")</f>
        <v>1092.9909375000002</v>
      </c>
      <c r="K47" s="132">
        <f>IF($F47&lt;=$C$16*12,(SUMIF(Inputs!$C$61:$C$78,0,Inputs!$F$61:$F$78)/12)*(1+$C$34)^ROUNDDOWN((F47-1)/12,0),"-")</f>
        <v>1488.1666666666667</v>
      </c>
      <c r="L47" s="132">
        <f t="shared" si="5"/>
        <v>2581.1576041666667</v>
      </c>
      <c r="M47" s="132">
        <f>IF($F47&lt;=$C$16*12,'Mortgage Calculators (By Month)'!$C65,"-")</f>
        <v>0</v>
      </c>
      <c r="N47" s="132">
        <f>IF($F47&lt;=$C$16*12,'Mortgage Calculators (By Month)'!$D65,"-")</f>
        <v>0</v>
      </c>
      <c r="O47" s="132">
        <f>IF($F47&lt;=$C$16*12,'Mortgage Calculators (By Month)'!$E65,"-")</f>
        <v>8.3333333333333339</v>
      </c>
      <c r="P47" s="132">
        <f t="shared" si="26"/>
        <v>0</v>
      </c>
      <c r="Q47" s="132">
        <f t="shared" si="6"/>
        <v>2589.4909375000002</v>
      </c>
      <c r="R47" s="132">
        <f t="shared" si="7"/>
        <v>7355.1236458333351</v>
      </c>
      <c r="S47" s="132">
        <f t="shared" si="8"/>
        <v>0</v>
      </c>
      <c r="T47" s="132">
        <f t="shared" si="0"/>
        <v>7355.1236458333351</v>
      </c>
      <c r="U47" s="132">
        <f>IF($F47&lt;=$C$16*12,SUM(T$5:T47),"-")</f>
        <v>286901.54052083346</v>
      </c>
      <c r="V47" s="132">
        <f>IF($F47&lt;=$C$16*12,G47-$C$10-'RE Calculations'!$C234-'Mortgage Calculators (By Month)'!$F65,"-")</f>
        <v>302885.06871971535</v>
      </c>
      <c r="W47" s="29">
        <f t="shared" si="9"/>
        <v>0.18918173692243501</v>
      </c>
      <c r="X47" s="31">
        <f t="shared" si="10"/>
        <v>5.279490332719116E-2</v>
      </c>
      <c r="Y47" s="132">
        <f t="shared" si="11"/>
        <v>589786.6092405488</v>
      </c>
      <c r="Z47" s="29">
        <f t="shared" si="12"/>
        <v>0.368380176749392</v>
      </c>
      <c r="AA47" s="31">
        <f t="shared" si="13"/>
        <v>0.10280377025564427</v>
      </c>
      <c r="AD47" s="12">
        <f t="shared" si="14"/>
        <v>43</v>
      </c>
      <c r="AE47" s="132">
        <f t="shared" si="15"/>
        <v>1947359.253795628</v>
      </c>
      <c r="AF47" s="132">
        <f>IF($AD47&lt;=$C$25*12,$AE47-$C$7+SUM('Mortgage Calculators (By Month)'!$K$23:$K65),"-")</f>
        <v>1947359.253795628</v>
      </c>
      <c r="AG47" s="132">
        <f t="shared" si="16"/>
        <v>9936.2812500000018</v>
      </c>
      <c r="AH47" s="132">
        <f>IF($AD47&lt;=$C$25*12,SUM(Inputs!$C$61:$C$78)*'Forecast (By Month)'!AG47,"-")</f>
        <v>1092.9909375000002</v>
      </c>
      <c r="AI47" s="132">
        <f>IF($AD47&lt;=$C$25*12,(SUMIF(Inputs!$C$61:$C$78,0,Inputs!$F$61:$F$78)/12)*(1+$C$34)^ROUNDDOWN((AD47-1)/12,0),"-")</f>
        <v>1488.1666666666667</v>
      </c>
      <c r="AJ47" s="132">
        <f t="shared" si="17"/>
        <v>2581.1576041666667</v>
      </c>
      <c r="AK47" s="132">
        <f>IF($AD47&lt;=$C$25*12,'Mortgage Calculators (By Month)'!$J65,"-")</f>
        <v>0</v>
      </c>
      <c r="AL47" s="132">
        <f>IF($AD47&lt;=$C$25*12,'Mortgage Calculators (By Month)'!$K65,"-")</f>
        <v>0</v>
      </c>
      <c r="AM47" s="132">
        <f>IF($AD47&lt;=$C$25*12,'Mortgage Calculators (By Month)'!$L65,"-")</f>
        <v>10</v>
      </c>
      <c r="AN47" s="132">
        <f t="shared" si="27"/>
        <v>0</v>
      </c>
      <c r="AO47" s="132">
        <f t="shared" si="18"/>
        <v>2591.1576041666667</v>
      </c>
      <c r="AP47" s="132">
        <f t="shared" si="19"/>
        <v>7355.1236458333351</v>
      </c>
      <c r="AQ47" s="132">
        <f t="shared" si="20"/>
        <v>0</v>
      </c>
      <c r="AR47" s="132">
        <f t="shared" si="1"/>
        <v>7355.1236458333351</v>
      </c>
      <c r="AS47" s="132">
        <f>IF($AD47&lt;=$C$25*12,SUM(AR$5:AR47),"-")</f>
        <v>286891.54052083346</v>
      </c>
      <c r="AT47" s="132">
        <f>IF($AD47&lt;=$C$25*12,AE47-$C$10-'RE Calculations'!$C234-'Mortgage Calculators (By Month)'!$M65,"-")</f>
        <v>302885.06871971535</v>
      </c>
      <c r="AU47" s="29">
        <f t="shared" si="21"/>
        <v>0.18918173692243501</v>
      </c>
      <c r="AV47" s="31">
        <f t="shared" si="22"/>
        <v>5.279490332719116E-2</v>
      </c>
      <c r="AW47" s="132">
        <f t="shared" si="23"/>
        <v>589776.6092405488</v>
      </c>
      <c r="AX47" s="29">
        <f t="shared" si="24"/>
        <v>0.36837393075853736</v>
      </c>
      <c r="AY47" s="31">
        <f t="shared" si="25"/>
        <v>0.10280202718842903</v>
      </c>
    </row>
    <row r="48" spans="2:51" x14ac:dyDescent="0.35">
      <c r="F48" s="12">
        <f t="shared" si="2"/>
        <v>44</v>
      </c>
      <c r="G48" s="132">
        <f t="shared" si="3"/>
        <v>1955293.0364468244</v>
      </c>
      <c r="H48" s="132">
        <f>IF($F48&lt;=$C$16*12,$G48-$C$7+SUM('Mortgage Calculators (By Month)'!$D$23:$D66),"-")</f>
        <v>1955293.0364468244</v>
      </c>
      <c r="I48" s="132">
        <f t="shared" si="4"/>
        <v>9936.2812500000018</v>
      </c>
      <c r="J48" s="132">
        <f>IF($F48&lt;=$C$16*12,SUM(Inputs!$C$61:$C$78)*'Forecast (By Month)'!I48,"-")</f>
        <v>1092.9909375000002</v>
      </c>
      <c r="K48" s="132">
        <f>IF($F48&lt;=$C$16*12,(SUMIF(Inputs!$C$61:$C$78,0,Inputs!$F$61:$F$78)/12)*(1+$C$34)^ROUNDDOWN((F48-1)/12,0),"-")</f>
        <v>1488.1666666666667</v>
      </c>
      <c r="L48" s="132">
        <f t="shared" si="5"/>
        <v>2581.1576041666667</v>
      </c>
      <c r="M48" s="132">
        <f>IF($F48&lt;=$C$16*12,'Mortgage Calculators (By Month)'!$C66,"-")</f>
        <v>0</v>
      </c>
      <c r="N48" s="132">
        <f>IF($F48&lt;=$C$16*12,'Mortgage Calculators (By Month)'!$D66,"-")</f>
        <v>0</v>
      </c>
      <c r="O48" s="132">
        <f>IF($F48&lt;=$C$16*12,'Mortgage Calculators (By Month)'!$E66,"-")</f>
        <v>8.3333333333333339</v>
      </c>
      <c r="P48" s="132">
        <f t="shared" si="26"/>
        <v>0</v>
      </c>
      <c r="Q48" s="132">
        <f t="shared" si="6"/>
        <v>2589.4909375000002</v>
      </c>
      <c r="R48" s="132">
        <f t="shared" si="7"/>
        <v>7355.1236458333351</v>
      </c>
      <c r="S48" s="132">
        <f t="shared" si="8"/>
        <v>0</v>
      </c>
      <c r="T48" s="132">
        <f t="shared" si="0"/>
        <v>7355.1236458333351</v>
      </c>
      <c r="U48" s="132">
        <f>IF($F48&lt;=$C$16*12,SUM(T$5:T48),"-")</f>
        <v>294256.6641666668</v>
      </c>
      <c r="V48" s="132">
        <f>IF($F48&lt;=$C$16*12,G48-$C$10-'RE Calculations'!$C235-'Mortgage Calculators (By Month)'!$F66,"-")</f>
        <v>310660.17571788788</v>
      </c>
      <c r="W48" s="29">
        <f t="shared" si="9"/>
        <v>0.19403806164286291</v>
      </c>
      <c r="X48" s="31">
        <f t="shared" si="10"/>
        <v>5.2919471357144435E-2</v>
      </c>
      <c r="Y48" s="132">
        <f t="shared" si="11"/>
        <v>604916.83988455473</v>
      </c>
      <c r="Z48" s="29">
        <f t="shared" si="12"/>
        <v>0.37783050497246751</v>
      </c>
      <c r="AA48" s="31">
        <f t="shared" si="13"/>
        <v>0.10304468317430933</v>
      </c>
      <c r="AD48" s="12">
        <f t="shared" si="14"/>
        <v>44</v>
      </c>
      <c r="AE48" s="132">
        <f t="shared" si="15"/>
        <v>1955293.0364468244</v>
      </c>
      <c r="AF48" s="132">
        <f>IF($AD48&lt;=$C$25*12,$AE48-$C$7+SUM('Mortgage Calculators (By Month)'!$K$23:$K66),"-")</f>
        <v>1955293.0364468244</v>
      </c>
      <c r="AG48" s="132">
        <f t="shared" si="16"/>
        <v>9936.2812500000018</v>
      </c>
      <c r="AH48" s="132">
        <f>IF($AD48&lt;=$C$25*12,SUM(Inputs!$C$61:$C$78)*'Forecast (By Month)'!AG48,"-")</f>
        <v>1092.9909375000002</v>
      </c>
      <c r="AI48" s="132">
        <f>IF($AD48&lt;=$C$25*12,(SUMIF(Inputs!$C$61:$C$78,0,Inputs!$F$61:$F$78)/12)*(1+$C$34)^ROUNDDOWN((AD48-1)/12,0),"-")</f>
        <v>1488.1666666666667</v>
      </c>
      <c r="AJ48" s="132">
        <f t="shared" si="17"/>
        <v>2581.1576041666667</v>
      </c>
      <c r="AK48" s="132">
        <f>IF($AD48&lt;=$C$25*12,'Mortgage Calculators (By Month)'!$J66,"-")</f>
        <v>0</v>
      </c>
      <c r="AL48" s="132">
        <f>IF($AD48&lt;=$C$25*12,'Mortgage Calculators (By Month)'!$K66,"-")</f>
        <v>0</v>
      </c>
      <c r="AM48" s="132">
        <f>IF($AD48&lt;=$C$25*12,'Mortgage Calculators (By Month)'!$L66,"-")</f>
        <v>10</v>
      </c>
      <c r="AN48" s="132">
        <f t="shared" si="27"/>
        <v>0</v>
      </c>
      <c r="AO48" s="132">
        <f t="shared" si="18"/>
        <v>2591.1576041666667</v>
      </c>
      <c r="AP48" s="132">
        <f t="shared" si="19"/>
        <v>7355.1236458333351</v>
      </c>
      <c r="AQ48" s="132">
        <f t="shared" si="20"/>
        <v>0</v>
      </c>
      <c r="AR48" s="132">
        <f t="shared" si="1"/>
        <v>7355.1236458333351</v>
      </c>
      <c r="AS48" s="132">
        <f>IF($AD48&lt;=$C$25*12,SUM(AR$5:AR48),"-")</f>
        <v>294246.6641666668</v>
      </c>
      <c r="AT48" s="132">
        <f>IF($AD48&lt;=$C$25*12,AE48-$C$10-'RE Calculations'!$C235-'Mortgage Calculators (By Month)'!$M66,"-")</f>
        <v>310660.17571788788</v>
      </c>
      <c r="AU48" s="29">
        <f t="shared" si="21"/>
        <v>0.19403806164286291</v>
      </c>
      <c r="AV48" s="31">
        <f t="shared" si="22"/>
        <v>5.2919471357144435E-2</v>
      </c>
      <c r="AW48" s="132">
        <f t="shared" si="23"/>
        <v>604906.83988455473</v>
      </c>
      <c r="AX48" s="29">
        <f t="shared" si="24"/>
        <v>0.37782425898161287</v>
      </c>
      <c r="AY48" s="31">
        <f t="shared" si="25"/>
        <v>0.10304297972225807</v>
      </c>
    </row>
    <row r="49" spans="6:51" x14ac:dyDescent="0.35">
      <c r="F49" s="12">
        <f t="shared" si="2"/>
        <v>45</v>
      </c>
      <c r="G49" s="132">
        <f t="shared" si="3"/>
        <v>1963259.1423106145</v>
      </c>
      <c r="H49" s="132">
        <f>IF($F49&lt;=$C$16*12,$G49-$C$7+SUM('Mortgage Calculators (By Month)'!$D$23:$D67),"-")</f>
        <v>1963259.1423106145</v>
      </c>
      <c r="I49" s="132">
        <f t="shared" si="4"/>
        <v>9936.2812500000018</v>
      </c>
      <c r="J49" s="132">
        <f>IF($F49&lt;=$C$16*12,SUM(Inputs!$C$61:$C$78)*'Forecast (By Month)'!I49,"-")</f>
        <v>1092.9909375000002</v>
      </c>
      <c r="K49" s="132">
        <f>IF($F49&lt;=$C$16*12,(SUMIF(Inputs!$C$61:$C$78,0,Inputs!$F$61:$F$78)/12)*(1+$C$34)^ROUNDDOWN((F49-1)/12,0),"-")</f>
        <v>1488.1666666666667</v>
      </c>
      <c r="L49" s="132">
        <f t="shared" si="5"/>
        <v>2581.1576041666667</v>
      </c>
      <c r="M49" s="132">
        <f>IF($F49&lt;=$C$16*12,'Mortgage Calculators (By Month)'!$C67,"-")</f>
        <v>0</v>
      </c>
      <c r="N49" s="132">
        <f>IF($F49&lt;=$C$16*12,'Mortgage Calculators (By Month)'!$D67,"-")</f>
        <v>0</v>
      </c>
      <c r="O49" s="132">
        <f>IF($F49&lt;=$C$16*12,'Mortgage Calculators (By Month)'!$E67,"-")</f>
        <v>8.3333333333333339</v>
      </c>
      <c r="P49" s="132">
        <f t="shared" si="26"/>
        <v>0</v>
      </c>
      <c r="Q49" s="132">
        <f t="shared" si="6"/>
        <v>2589.4909375000002</v>
      </c>
      <c r="R49" s="132">
        <f t="shared" si="7"/>
        <v>7355.1236458333351</v>
      </c>
      <c r="S49" s="132">
        <f t="shared" si="8"/>
        <v>0</v>
      </c>
      <c r="T49" s="132">
        <f t="shared" si="0"/>
        <v>7355.1236458333351</v>
      </c>
      <c r="U49" s="132">
        <f>IF($F49&lt;=$C$16*12,SUM(T$5:T49),"-")</f>
        <v>301611.78781250014</v>
      </c>
      <c r="V49" s="132">
        <f>IF($F49&lt;=$C$16*12,G49-$C$10-'RE Calculations'!$C236-'Mortgage Calculators (By Month)'!$F67,"-")</f>
        <v>318466.95946440211</v>
      </c>
      <c r="W49" s="29">
        <f t="shared" si="9"/>
        <v>0.19891417163133546</v>
      </c>
      <c r="X49" s="31">
        <f t="shared" si="10"/>
        <v>5.3043779101689455E-2</v>
      </c>
      <c r="Y49" s="132">
        <f t="shared" si="11"/>
        <v>620078.7472769022</v>
      </c>
      <c r="Z49" s="29">
        <f t="shared" si="12"/>
        <v>0.38730061846358754</v>
      </c>
      <c r="AA49" s="31">
        <f t="shared" si="13"/>
        <v>0.10328016492362334</v>
      </c>
      <c r="AD49" s="12">
        <f t="shared" si="14"/>
        <v>45</v>
      </c>
      <c r="AE49" s="132">
        <f t="shared" si="15"/>
        <v>1963259.1423106145</v>
      </c>
      <c r="AF49" s="132">
        <f>IF($AD49&lt;=$C$25*12,$AE49-$C$7+SUM('Mortgage Calculators (By Month)'!$K$23:$K67),"-")</f>
        <v>1963259.1423106145</v>
      </c>
      <c r="AG49" s="132">
        <f t="shared" si="16"/>
        <v>9936.2812500000018</v>
      </c>
      <c r="AH49" s="132">
        <f>IF($AD49&lt;=$C$25*12,SUM(Inputs!$C$61:$C$78)*'Forecast (By Month)'!AG49,"-")</f>
        <v>1092.9909375000002</v>
      </c>
      <c r="AI49" s="132">
        <f>IF($AD49&lt;=$C$25*12,(SUMIF(Inputs!$C$61:$C$78,0,Inputs!$F$61:$F$78)/12)*(1+$C$34)^ROUNDDOWN((AD49-1)/12,0),"-")</f>
        <v>1488.1666666666667</v>
      </c>
      <c r="AJ49" s="132">
        <f t="shared" si="17"/>
        <v>2581.1576041666667</v>
      </c>
      <c r="AK49" s="132">
        <f>IF($AD49&lt;=$C$25*12,'Mortgage Calculators (By Month)'!$J67,"-")</f>
        <v>0</v>
      </c>
      <c r="AL49" s="132">
        <f>IF($AD49&lt;=$C$25*12,'Mortgage Calculators (By Month)'!$K67,"-")</f>
        <v>0</v>
      </c>
      <c r="AM49" s="132">
        <f>IF($AD49&lt;=$C$25*12,'Mortgage Calculators (By Month)'!$L67,"-")</f>
        <v>10</v>
      </c>
      <c r="AN49" s="132">
        <f t="shared" si="27"/>
        <v>0</v>
      </c>
      <c r="AO49" s="132">
        <f t="shared" si="18"/>
        <v>2591.1576041666667</v>
      </c>
      <c r="AP49" s="132">
        <f t="shared" si="19"/>
        <v>7355.1236458333351</v>
      </c>
      <c r="AQ49" s="132">
        <f t="shared" si="20"/>
        <v>0</v>
      </c>
      <c r="AR49" s="132">
        <f t="shared" si="1"/>
        <v>7355.1236458333351</v>
      </c>
      <c r="AS49" s="132">
        <f>IF($AD49&lt;=$C$25*12,SUM(AR$5:AR49),"-")</f>
        <v>301601.78781250014</v>
      </c>
      <c r="AT49" s="132">
        <f>IF($AD49&lt;=$C$25*12,AE49-$C$10-'RE Calculations'!$C236-'Mortgage Calculators (By Month)'!$M67,"-")</f>
        <v>318466.95946440211</v>
      </c>
      <c r="AU49" s="29">
        <f t="shared" si="21"/>
        <v>0.19891417163133546</v>
      </c>
      <c r="AV49" s="31">
        <f t="shared" si="22"/>
        <v>5.3043779101689455E-2</v>
      </c>
      <c r="AW49" s="132">
        <f t="shared" si="23"/>
        <v>620068.7472769022</v>
      </c>
      <c r="AX49" s="29">
        <f t="shared" si="24"/>
        <v>0.38729437247273296</v>
      </c>
      <c r="AY49" s="31">
        <f t="shared" si="25"/>
        <v>0.10327849932606212</v>
      </c>
    </row>
    <row r="50" spans="6:51" x14ac:dyDescent="0.35">
      <c r="F50" s="12">
        <f t="shared" si="2"/>
        <v>46</v>
      </c>
      <c r="G50" s="132">
        <f t="shared" si="3"/>
        <v>1971257.7030757673</v>
      </c>
      <c r="H50" s="132">
        <f>IF($F50&lt;=$C$16*12,$G50-$C$7+SUM('Mortgage Calculators (By Month)'!$D$23:$D68),"-")</f>
        <v>1971257.7030757673</v>
      </c>
      <c r="I50" s="132">
        <f t="shared" si="4"/>
        <v>9936.2812500000018</v>
      </c>
      <c r="J50" s="132">
        <f>IF($F50&lt;=$C$16*12,SUM(Inputs!$C$61:$C$78)*'Forecast (By Month)'!I50,"-")</f>
        <v>1092.9909375000002</v>
      </c>
      <c r="K50" s="132">
        <f>IF($F50&lt;=$C$16*12,(SUMIF(Inputs!$C$61:$C$78,0,Inputs!$F$61:$F$78)/12)*(1+$C$34)^ROUNDDOWN((F50-1)/12,0),"-")</f>
        <v>1488.1666666666667</v>
      </c>
      <c r="L50" s="132">
        <f t="shared" si="5"/>
        <v>2581.1576041666667</v>
      </c>
      <c r="M50" s="132">
        <f>IF($F50&lt;=$C$16*12,'Mortgage Calculators (By Month)'!$C68,"-")</f>
        <v>0</v>
      </c>
      <c r="N50" s="132">
        <f>IF($F50&lt;=$C$16*12,'Mortgage Calculators (By Month)'!$D68,"-")</f>
        <v>0</v>
      </c>
      <c r="O50" s="132">
        <f>IF($F50&lt;=$C$16*12,'Mortgage Calculators (By Month)'!$E68,"-")</f>
        <v>8.3333333333333339</v>
      </c>
      <c r="P50" s="132">
        <f t="shared" si="26"/>
        <v>0</v>
      </c>
      <c r="Q50" s="132">
        <f t="shared" si="6"/>
        <v>2589.4909375000002</v>
      </c>
      <c r="R50" s="132">
        <f t="shared" si="7"/>
        <v>7355.1236458333351</v>
      </c>
      <c r="S50" s="132">
        <f t="shared" si="8"/>
        <v>0</v>
      </c>
      <c r="T50" s="132">
        <f t="shared" si="0"/>
        <v>7355.1236458333351</v>
      </c>
      <c r="U50" s="132">
        <f>IF($F50&lt;=$C$16*12,SUM(T$5:T50),"-")</f>
        <v>308966.91145833349</v>
      </c>
      <c r="V50" s="132">
        <f>IF($F50&lt;=$C$16*12,G50-$C$10-'RE Calculations'!$C237-'Mortgage Calculators (By Month)'!$F68,"-")</f>
        <v>326305.54901425185</v>
      </c>
      <c r="W50" s="29">
        <f t="shared" si="9"/>
        <v>0.20381014749548373</v>
      </c>
      <c r="X50" s="31">
        <f t="shared" si="10"/>
        <v>5.3167864564039234E-2</v>
      </c>
      <c r="Y50" s="132">
        <f t="shared" si="11"/>
        <v>635272.4604725854</v>
      </c>
      <c r="Z50" s="29">
        <f t="shared" si="12"/>
        <v>0.39679059783038351</v>
      </c>
      <c r="AA50" s="31">
        <f t="shared" si="13"/>
        <v>0.10351059073836091</v>
      </c>
      <c r="AD50" s="12">
        <f t="shared" si="14"/>
        <v>46</v>
      </c>
      <c r="AE50" s="132">
        <f t="shared" si="15"/>
        <v>1971257.7030757673</v>
      </c>
      <c r="AF50" s="132">
        <f>IF($AD50&lt;=$C$25*12,$AE50-$C$7+SUM('Mortgage Calculators (By Month)'!$K$23:$K68),"-")</f>
        <v>1971257.7030757673</v>
      </c>
      <c r="AG50" s="132">
        <f t="shared" si="16"/>
        <v>9936.2812500000018</v>
      </c>
      <c r="AH50" s="132">
        <f>IF($AD50&lt;=$C$25*12,SUM(Inputs!$C$61:$C$78)*'Forecast (By Month)'!AG50,"-")</f>
        <v>1092.9909375000002</v>
      </c>
      <c r="AI50" s="132">
        <f>IF($AD50&lt;=$C$25*12,(SUMIF(Inputs!$C$61:$C$78,0,Inputs!$F$61:$F$78)/12)*(1+$C$34)^ROUNDDOWN((AD50-1)/12,0),"-")</f>
        <v>1488.1666666666667</v>
      </c>
      <c r="AJ50" s="132">
        <f t="shared" si="17"/>
        <v>2581.1576041666667</v>
      </c>
      <c r="AK50" s="132">
        <f>IF($AD50&lt;=$C$25*12,'Mortgage Calculators (By Month)'!$J68,"-")</f>
        <v>0</v>
      </c>
      <c r="AL50" s="132">
        <f>IF($AD50&lt;=$C$25*12,'Mortgage Calculators (By Month)'!$K68,"-")</f>
        <v>0</v>
      </c>
      <c r="AM50" s="132">
        <f>IF($AD50&lt;=$C$25*12,'Mortgage Calculators (By Month)'!$L68,"-")</f>
        <v>10</v>
      </c>
      <c r="AN50" s="132">
        <f t="shared" si="27"/>
        <v>0</v>
      </c>
      <c r="AO50" s="132">
        <f t="shared" si="18"/>
        <v>2591.1576041666667</v>
      </c>
      <c r="AP50" s="132">
        <f t="shared" si="19"/>
        <v>7355.1236458333351</v>
      </c>
      <c r="AQ50" s="132">
        <f t="shared" si="20"/>
        <v>0</v>
      </c>
      <c r="AR50" s="132">
        <f t="shared" si="1"/>
        <v>7355.1236458333351</v>
      </c>
      <c r="AS50" s="132">
        <f>IF($AD50&lt;=$C$25*12,SUM(AR$5:AR50),"-")</f>
        <v>308956.91145833349</v>
      </c>
      <c r="AT50" s="132">
        <f>IF($AD50&lt;=$C$25*12,AE50-$C$10-'RE Calculations'!$C237-'Mortgage Calculators (By Month)'!$M68,"-")</f>
        <v>326305.54901425185</v>
      </c>
      <c r="AU50" s="29">
        <f t="shared" si="21"/>
        <v>0.20381014749548373</v>
      </c>
      <c r="AV50" s="31">
        <f t="shared" si="22"/>
        <v>5.3167864564039234E-2</v>
      </c>
      <c r="AW50" s="132">
        <f t="shared" si="23"/>
        <v>635262.4604725854</v>
      </c>
      <c r="AX50" s="29">
        <f t="shared" si="24"/>
        <v>0.39678435183952887</v>
      </c>
      <c r="AY50" s="31">
        <f t="shared" si="25"/>
        <v>0.1035089613494423</v>
      </c>
    </row>
    <row r="51" spans="6:51" x14ac:dyDescent="0.35">
      <c r="F51" s="12">
        <f t="shared" si="2"/>
        <v>47</v>
      </c>
      <c r="G51" s="132">
        <f t="shared" si="3"/>
        <v>1979288.8509675683</v>
      </c>
      <c r="H51" s="132">
        <f>IF($F51&lt;=$C$16*12,$G51-$C$7+SUM('Mortgage Calculators (By Month)'!$D$23:$D69),"-")</f>
        <v>1979288.8509675683</v>
      </c>
      <c r="I51" s="132">
        <f t="shared" si="4"/>
        <v>9936.2812500000018</v>
      </c>
      <c r="J51" s="132">
        <f>IF($F51&lt;=$C$16*12,SUM(Inputs!$C$61:$C$78)*'Forecast (By Month)'!I51,"-")</f>
        <v>1092.9909375000002</v>
      </c>
      <c r="K51" s="132">
        <f>IF($F51&lt;=$C$16*12,(SUMIF(Inputs!$C$61:$C$78,0,Inputs!$F$61:$F$78)/12)*(1+$C$34)^ROUNDDOWN((F51-1)/12,0),"-")</f>
        <v>1488.1666666666667</v>
      </c>
      <c r="L51" s="132">
        <f t="shared" si="5"/>
        <v>2581.1576041666667</v>
      </c>
      <c r="M51" s="132">
        <f>IF($F51&lt;=$C$16*12,'Mortgage Calculators (By Month)'!$C69,"-")</f>
        <v>0</v>
      </c>
      <c r="N51" s="132">
        <f>IF($F51&lt;=$C$16*12,'Mortgage Calculators (By Month)'!$D69,"-")</f>
        <v>0</v>
      </c>
      <c r="O51" s="132">
        <f>IF($F51&lt;=$C$16*12,'Mortgage Calculators (By Month)'!$E69,"-")</f>
        <v>8.3333333333333339</v>
      </c>
      <c r="P51" s="132">
        <f t="shared" si="26"/>
        <v>0</v>
      </c>
      <c r="Q51" s="132">
        <f t="shared" si="6"/>
        <v>2589.4909375000002</v>
      </c>
      <c r="R51" s="132">
        <f t="shared" si="7"/>
        <v>7355.1236458333351</v>
      </c>
      <c r="S51" s="132">
        <f t="shared" si="8"/>
        <v>0</v>
      </c>
      <c r="T51" s="132">
        <f t="shared" si="0"/>
        <v>7355.1236458333351</v>
      </c>
      <c r="U51" s="132">
        <f>IF($F51&lt;=$C$16*12,SUM(T$5:T51),"-")</f>
        <v>316322.03510416683</v>
      </c>
      <c r="V51" s="132">
        <f>IF($F51&lt;=$C$16*12,G51-$C$10-'RE Calculations'!$C238-'Mortgage Calculators (By Month)'!$F69,"-")</f>
        <v>334176.07394821692</v>
      </c>
      <c r="W51" s="29">
        <f t="shared" si="9"/>
        <v>0.20872607017134434</v>
      </c>
      <c r="X51" s="31">
        <f t="shared" si="10"/>
        <v>5.3291762596938984E-2</v>
      </c>
      <c r="Y51" s="132">
        <f t="shared" si="11"/>
        <v>650498.10905238381</v>
      </c>
      <c r="Z51" s="29">
        <f t="shared" si="12"/>
        <v>0.40630052400889166</v>
      </c>
      <c r="AA51" s="31">
        <f t="shared" si="13"/>
        <v>0.10373630400227021</v>
      </c>
      <c r="AD51" s="12">
        <f t="shared" si="14"/>
        <v>47</v>
      </c>
      <c r="AE51" s="132">
        <f t="shared" si="15"/>
        <v>1979288.8509675683</v>
      </c>
      <c r="AF51" s="132">
        <f>IF($AD51&lt;=$C$25*12,$AE51-$C$7+SUM('Mortgage Calculators (By Month)'!$K$23:$K69),"-")</f>
        <v>1979288.8509675683</v>
      </c>
      <c r="AG51" s="132">
        <f t="shared" si="16"/>
        <v>9936.2812500000018</v>
      </c>
      <c r="AH51" s="132">
        <f>IF($AD51&lt;=$C$25*12,SUM(Inputs!$C$61:$C$78)*'Forecast (By Month)'!AG51,"-")</f>
        <v>1092.9909375000002</v>
      </c>
      <c r="AI51" s="132">
        <f>IF($AD51&lt;=$C$25*12,(SUMIF(Inputs!$C$61:$C$78,0,Inputs!$F$61:$F$78)/12)*(1+$C$34)^ROUNDDOWN((AD51-1)/12,0),"-")</f>
        <v>1488.1666666666667</v>
      </c>
      <c r="AJ51" s="132">
        <f t="shared" si="17"/>
        <v>2581.1576041666667</v>
      </c>
      <c r="AK51" s="132">
        <f>IF($AD51&lt;=$C$25*12,'Mortgage Calculators (By Month)'!$J69,"-")</f>
        <v>0</v>
      </c>
      <c r="AL51" s="132">
        <f>IF($AD51&lt;=$C$25*12,'Mortgage Calculators (By Month)'!$K69,"-")</f>
        <v>0</v>
      </c>
      <c r="AM51" s="132">
        <f>IF($AD51&lt;=$C$25*12,'Mortgage Calculators (By Month)'!$L69,"-")</f>
        <v>10</v>
      </c>
      <c r="AN51" s="132">
        <f t="shared" si="27"/>
        <v>0</v>
      </c>
      <c r="AO51" s="132">
        <f t="shared" si="18"/>
        <v>2591.1576041666667</v>
      </c>
      <c r="AP51" s="132">
        <f t="shared" si="19"/>
        <v>7355.1236458333351</v>
      </c>
      <c r="AQ51" s="132">
        <f t="shared" si="20"/>
        <v>0</v>
      </c>
      <c r="AR51" s="132">
        <f t="shared" si="1"/>
        <v>7355.1236458333351</v>
      </c>
      <c r="AS51" s="132">
        <f>IF($AD51&lt;=$C$25*12,SUM(AR$5:AR51),"-")</f>
        <v>316312.03510416683</v>
      </c>
      <c r="AT51" s="132">
        <f>IF($AD51&lt;=$C$25*12,AE51-$C$10-'RE Calculations'!$C238-'Mortgage Calculators (By Month)'!$M69,"-")</f>
        <v>334176.07394821692</v>
      </c>
      <c r="AU51" s="29">
        <f t="shared" si="21"/>
        <v>0.20872607017134434</v>
      </c>
      <c r="AV51" s="31">
        <f t="shared" si="22"/>
        <v>5.3291762596938984E-2</v>
      </c>
      <c r="AW51" s="132">
        <f t="shared" si="23"/>
        <v>650488.10905238381</v>
      </c>
      <c r="AX51" s="29">
        <f t="shared" si="24"/>
        <v>0.40629427801803703</v>
      </c>
      <c r="AY51" s="31">
        <f t="shared" si="25"/>
        <v>0.10373470928120095</v>
      </c>
    </row>
    <row r="52" spans="6:51" x14ac:dyDescent="0.35">
      <c r="F52" s="12">
        <f t="shared" si="2"/>
        <v>48</v>
      </c>
      <c r="G52" s="132">
        <f t="shared" si="3"/>
        <v>1987352.7187500054</v>
      </c>
      <c r="H52" s="132">
        <f>IF($F52&lt;=$C$16*12,$G52-$C$7+SUM('Mortgage Calculators (By Month)'!$D$23:$D70),"-")</f>
        <v>1987352.7187500054</v>
      </c>
      <c r="I52" s="132">
        <f t="shared" si="4"/>
        <v>9936.2812500000018</v>
      </c>
      <c r="J52" s="132">
        <f>IF($F52&lt;=$C$16*12,SUM(Inputs!$C$61:$C$78)*'Forecast (By Month)'!I52,"-")</f>
        <v>1092.9909375000002</v>
      </c>
      <c r="K52" s="132">
        <f>IF($F52&lt;=$C$16*12,(SUMIF(Inputs!$C$61:$C$78,0,Inputs!$F$61:$F$78)/12)*(1+$C$34)^ROUNDDOWN((F52-1)/12,0),"-")</f>
        <v>1488.1666666666667</v>
      </c>
      <c r="L52" s="132">
        <f t="shared" si="5"/>
        <v>2581.1576041666667</v>
      </c>
      <c r="M52" s="132">
        <f>IF($F52&lt;=$C$16*12,'Mortgage Calculators (By Month)'!$C70,"-")</f>
        <v>0</v>
      </c>
      <c r="N52" s="132">
        <f>IF($F52&lt;=$C$16*12,'Mortgage Calculators (By Month)'!$D70,"-")</f>
        <v>0</v>
      </c>
      <c r="O52" s="132">
        <f>IF($F52&lt;=$C$16*12,'Mortgage Calculators (By Month)'!$E70,"-")</f>
        <v>8.3333333333333339</v>
      </c>
      <c r="P52" s="132">
        <f t="shared" si="26"/>
        <v>0</v>
      </c>
      <c r="Q52" s="132">
        <f t="shared" si="6"/>
        <v>2589.4909375000002</v>
      </c>
      <c r="R52" s="132">
        <f t="shared" si="7"/>
        <v>7355.1236458333351</v>
      </c>
      <c r="S52" s="132">
        <f t="shared" si="8"/>
        <v>0</v>
      </c>
      <c r="T52" s="132">
        <f t="shared" si="0"/>
        <v>7355.1236458333351</v>
      </c>
      <c r="U52" s="132">
        <f>IF($F52&lt;=$C$16*12,SUM(T$5:T52),"-")</f>
        <v>323677.15875000018</v>
      </c>
      <c r="V52" s="132">
        <f>IF($F52&lt;=$C$16*12,G52-$C$10-'RE Calculations'!$C239-'Mortgage Calculators (By Month)'!$F70,"-")</f>
        <v>342078.66437500517</v>
      </c>
      <c r="W52" s="29">
        <f t="shared" si="9"/>
        <v>0.21366202092469719</v>
      </c>
      <c r="X52" s="31">
        <f t="shared" si="10"/>
        <v>5.3415505231174297E-2</v>
      </c>
      <c r="Y52" s="132">
        <f t="shared" si="11"/>
        <v>665755.82312500535</v>
      </c>
      <c r="Z52" s="29">
        <f t="shared" si="12"/>
        <v>0.41583047826489206</v>
      </c>
      <c r="AA52" s="31">
        <f t="shared" si="13"/>
        <v>0.10395761956622301</v>
      </c>
      <c r="AD52" s="12">
        <f t="shared" si="14"/>
        <v>48</v>
      </c>
      <c r="AE52" s="132">
        <f t="shared" si="15"/>
        <v>1987352.7187500054</v>
      </c>
      <c r="AF52" s="132">
        <f>IF($AD52&lt;=$C$25*12,$AE52-$C$7+SUM('Mortgage Calculators (By Month)'!$K$23:$K70),"-")</f>
        <v>1987352.7187500054</v>
      </c>
      <c r="AG52" s="132">
        <f t="shared" si="16"/>
        <v>9936.2812500000018</v>
      </c>
      <c r="AH52" s="132">
        <f>IF($AD52&lt;=$C$25*12,SUM(Inputs!$C$61:$C$78)*'Forecast (By Month)'!AG52,"-")</f>
        <v>1092.9909375000002</v>
      </c>
      <c r="AI52" s="132">
        <f>IF($AD52&lt;=$C$25*12,(SUMIF(Inputs!$C$61:$C$78,0,Inputs!$F$61:$F$78)/12)*(1+$C$34)^ROUNDDOWN((AD52-1)/12,0),"-")</f>
        <v>1488.1666666666667</v>
      </c>
      <c r="AJ52" s="132">
        <f t="shared" si="17"/>
        <v>2581.1576041666667</v>
      </c>
      <c r="AK52" s="132">
        <f>IF($AD52&lt;=$C$25*12,'Mortgage Calculators (By Month)'!$J70,"-")</f>
        <v>0</v>
      </c>
      <c r="AL52" s="132">
        <f>IF($AD52&lt;=$C$25*12,'Mortgage Calculators (By Month)'!$K70,"-")</f>
        <v>0</v>
      </c>
      <c r="AM52" s="132">
        <f>IF($AD52&lt;=$C$25*12,'Mortgage Calculators (By Month)'!$L70,"-")</f>
        <v>10</v>
      </c>
      <c r="AN52" s="132">
        <f t="shared" si="27"/>
        <v>0</v>
      </c>
      <c r="AO52" s="132">
        <f t="shared" si="18"/>
        <v>2591.1576041666667</v>
      </c>
      <c r="AP52" s="132">
        <f t="shared" si="19"/>
        <v>7355.1236458333351</v>
      </c>
      <c r="AQ52" s="132">
        <f t="shared" si="20"/>
        <v>0</v>
      </c>
      <c r="AR52" s="132">
        <f t="shared" si="1"/>
        <v>7355.1236458333351</v>
      </c>
      <c r="AS52" s="132">
        <f>IF($AD52&lt;=$C$25*12,SUM(AR$5:AR52),"-")</f>
        <v>323667.15875000018</v>
      </c>
      <c r="AT52" s="132">
        <f>IF($AD52&lt;=$C$25*12,AE52-$C$10-'RE Calculations'!$C239-'Mortgage Calculators (By Month)'!$M70,"-")</f>
        <v>342078.66437500517</v>
      </c>
      <c r="AU52" s="29">
        <f t="shared" si="21"/>
        <v>0.21366202092469719</v>
      </c>
      <c r="AV52" s="31">
        <f t="shared" si="22"/>
        <v>5.3415505231174297E-2</v>
      </c>
      <c r="AW52" s="132">
        <f t="shared" si="23"/>
        <v>665745.82312500535</v>
      </c>
      <c r="AX52" s="29">
        <f t="shared" si="24"/>
        <v>0.41582423227403742</v>
      </c>
      <c r="AY52" s="31">
        <f t="shared" si="25"/>
        <v>0.10395605806850935</v>
      </c>
    </row>
    <row r="53" spans="6:51" x14ac:dyDescent="0.35">
      <c r="F53" s="12">
        <f t="shared" si="2"/>
        <v>49</v>
      </c>
      <c r="G53" s="132">
        <f t="shared" si="3"/>
        <v>1995449.4397279629</v>
      </c>
      <c r="H53" s="132">
        <f>IF($F53&lt;=$C$16*12,$G53-$C$7+SUM('Mortgage Calculators (By Month)'!$D$23:$D71),"-")</f>
        <v>1995449.4397279629</v>
      </c>
      <c r="I53" s="132">
        <f t="shared" si="4"/>
        <v>10433.095312500001</v>
      </c>
      <c r="J53" s="132">
        <f>IF($F53&lt;=$C$16*12,SUM(Inputs!$C$61:$C$78)*'Forecast (By Month)'!I53,"-")</f>
        <v>1147.6404843750001</v>
      </c>
      <c r="K53" s="132">
        <f>IF($F53&lt;=$C$16*12,(SUMIF(Inputs!$C$61:$C$78,0,Inputs!$F$61:$F$78)/12)*(1+$C$34)^ROUNDDOWN((F53-1)/12,0),"-")</f>
        <v>1488.1666666666667</v>
      </c>
      <c r="L53" s="132">
        <f t="shared" si="5"/>
        <v>2635.8071510416667</v>
      </c>
      <c r="M53" s="132">
        <f>IF($F53&lt;=$C$16*12,'Mortgage Calculators (By Month)'!$C71,"-")</f>
        <v>0</v>
      </c>
      <c r="N53" s="132">
        <f>IF($F53&lt;=$C$16*12,'Mortgage Calculators (By Month)'!$D71,"-")</f>
        <v>0</v>
      </c>
      <c r="O53" s="132">
        <f>IF($F53&lt;=$C$16*12,'Mortgage Calculators (By Month)'!$E71,"-")</f>
        <v>8.3333333333333339</v>
      </c>
      <c r="P53" s="132">
        <f t="shared" si="26"/>
        <v>0</v>
      </c>
      <c r="Q53" s="132">
        <f t="shared" si="6"/>
        <v>2644.1404843750001</v>
      </c>
      <c r="R53" s="132">
        <f t="shared" si="7"/>
        <v>7797.2881614583348</v>
      </c>
      <c r="S53" s="132">
        <f t="shared" si="8"/>
        <v>0</v>
      </c>
      <c r="T53" s="132">
        <f t="shared" si="0"/>
        <v>7797.2881614583348</v>
      </c>
      <c r="U53" s="132">
        <f>IF($F53&lt;=$C$16*12,SUM(T$5:T53),"-")</f>
        <v>331474.44691145851</v>
      </c>
      <c r="V53" s="132">
        <f>IF($F53&lt;=$C$16*12,G53-$C$10-'RE Calculations'!$C240-'Mortgage Calculators (By Month)'!$F71,"-")</f>
        <v>350013.45093340363</v>
      </c>
      <c r="W53" s="29">
        <f t="shared" si="9"/>
        <v>0.21861808135240918</v>
      </c>
      <c r="X53" s="31">
        <f t="shared" si="10"/>
        <v>5.353912196385531E-2</v>
      </c>
      <c r="Y53" s="132">
        <f t="shared" si="11"/>
        <v>681487.89784486219</v>
      </c>
      <c r="Z53" s="29">
        <f t="shared" si="12"/>
        <v>0.42565671774733482</v>
      </c>
      <c r="AA53" s="31">
        <f t="shared" si="13"/>
        <v>0.10424246148914323</v>
      </c>
      <c r="AD53" s="12">
        <f t="shared" si="14"/>
        <v>49</v>
      </c>
      <c r="AE53" s="132">
        <f t="shared" si="15"/>
        <v>1995449.4397279629</v>
      </c>
      <c r="AF53" s="132">
        <f>IF($AD53&lt;=$C$25*12,$AE53-$C$7+SUM('Mortgage Calculators (By Month)'!$K$23:$K71),"-")</f>
        <v>1995449.4397279629</v>
      </c>
      <c r="AG53" s="132">
        <f t="shared" si="16"/>
        <v>10433.095312500001</v>
      </c>
      <c r="AH53" s="132">
        <f>IF($AD53&lt;=$C$25*12,SUM(Inputs!$C$61:$C$78)*'Forecast (By Month)'!AG53,"-")</f>
        <v>1147.6404843750001</v>
      </c>
      <c r="AI53" s="132">
        <f>IF($AD53&lt;=$C$25*12,(SUMIF(Inputs!$C$61:$C$78,0,Inputs!$F$61:$F$78)/12)*(1+$C$34)^ROUNDDOWN((AD53-1)/12,0),"-")</f>
        <v>1488.1666666666667</v>
      </c>
      <c r="AJ53" s="132">
        <f t="shared" si="17"/>
        <v>2635.8071510416667</v>
      </c>
      <c r="AK53" s="132">
        <f>IF($AD53&lt;=$C$25*12,'Mortgage Calculators (By Month)'!$J71,"-")</f>
        <v>0</v>
      </c>
      <c r="AL53" s="132">
        <f>IF($AD53&lt;=$C$25*12,'Mortgage Calculators (By Month)'!$K71,"-")</f>
        <v>0</v>
      </c>
      <c r="AM53" s="132">
        <f>IF($AD53&lt;=$C$25*12,'Mortgage Calculators (By Month)'!$L71,"-")</f>
        <v>10</v>
      </c>
      <c r="AN53" s="132">
        <f t="shared" si="27"/>
        <v>0</v>
      </c>
      <c r="AO53" s="132">
        <f t="shared" si="18"/>
        <v>2645.8071510416667</v>
      </c>
      <c r="AP53" s="132">
        <f t="shared" si="19"/>
        <v>7797.2881614583348</v>
      </c>
      <c r="AQ53" s="132">
        <f t="shared" si="20"/>
        <v>0</v>
      </c>
      <c r="AR53" s="132">
        <f t="shared" si="1"/>
        <v>7797.2881614583348</v>
      </c>
      <c r="AS53" s="132">
        <f>IF($AD53&lt;=$C$25*12,SUM(AR$5:AR53),"-")</f>
        <v>331464.44691145851</v>
      </c>
      <c r="AT53" s="132">
        <f>IF($AD53&lt;=$C$25*12,AE53-$C$10-'RE Calculations'!$C240-'Mortgage Calculators (By Month)'!$M71,"-")</f>
        <v>350013.45093340363</v>
      </c>
      <c r="AU53" s="29">
        <f t="shared" si="21"/>
        <v>0.21861808135240918</v>
      </c>
      <c r="AV53" s="31">
        <f t="shared" si="22"/>
        <v>5.353912196385531E-2</v>
      </c>
      <c r="AW53" s="132">
        <f t="shared" si="23"/>
        <v>681477.89784486219</v>
      </c>
      <c r="AX53" s="29">
        <f t="shared" si="24"/>
        <v>0.42565047175648019</v>
      </c>
      <c r="AY53" s="31">
        <f t="shared" si="25"/>
        <v>0.10424093185872985</v>
      </c>
    </row>
    <row r="54" spans="6:51" x14ac:dyDescent="0.35">
      <c r="F54" s="12">
        <f t="shared" si="2"/>
        <v>50</v>
      </c>
      <c r="G54" s="132">
        <f t="shared" si="3"/>
        <v>2003579.1477494263</v>
      </c>
      <c r="H54" s="132">
        <f>IF($F54&lt;=$C$16*12,$G54-$C$7+SUM('Mortgage Calculators (By Month)'!$D$23:$D72),"-")</f>
        <v>2003579.1477494263</v>
      </c>
      <c r="I54" s="132">
        <f t="shared" si="4"/>
        <v>10433.095312500001</v>
      </c>
      <c r="J54" s="132">
        <f>IF($F54&lt;=$C$16*12,SUM(Inputs!$C$61:$C$78)*'Forecast (By Month)'!I54,"-")</f>
        <v>1147.6404843750001</v>
      </c>
      <c r="K54" s="132">
        <f>IF($F54&lt;=$C$16*12,(SUMIF(Inputs!$C$61:$C$78,0,Inputs!$F$61:$F$78)/12)*(1+$C$34)^ROUNDDOWN((F54-1)/12,0),"-")</f>
        <v>1488.1666666666667</v>
      </c>
      <c r="L54" s="132">
        <f t="shared" si="5"/>
        <v>2635.8071510416667</v>
      </c>
      <c r="M54" s="132">
        <f>IF($F54&lt;=$C$16*12,'Mortgage Calculators (By Month)'!$C72,"-")</f>
        <v>0</v>
      </c>
      <c r="N54" s="132">
        <f>IF($F54&lt;=$C$16*12,'Mortgage Calculators (By Month)'!$D72,"-")</f>
        <v>0</v>
      </c>
      <c r="O54" s="132">
        <f>IF($F54&lt;=$C$16*12,'Mortgage Calculators (By Month)'!$E72,"-")</f>
        <v>8.3333333333333339</v>
      </c>
      <c r="P54" s="132">
        <f t="shared" si="26"/>
        <v>0</v>
      </c>
      <c r="Q54" s="132">
        <f t="shared" si="6"/>
        <v>2644.1404843750001</v>
      </c>
      <c r="R54" s="132">
        <f t="shared" si="7"/>
        <v>7797.2881614583348</v>
      </c>
      <c r="S54" s="132">
        <f t="shared" si="8"/>
        <v>0</v>
      </c>
      <c r="T54" s="132">
        <f t="shared" si="0"/>
        <v>7797.2881614583348</v>
      </c>
      <c r="U54" s="132">
        <f>IF($F54&lt;=$C$16*12,SUM(T$5:T54),"-")</f>
        <v>339271.73507291684</v>
      </c>
      <c r="V54" s="132">
        <f>IF($F54&lt;=$C$16*12,G54-$C$10-'RE Calculations'!$C241-'Mortgage Calculators (By Month)'!$F72,"-")</f>
        <v>357980.56479443773</v>
      </c>
      <c r="W54" s="29">
        <f t="shared" si="9"/>
        <v>0.22359433338378287</v>
      </c>
      <c r="X54" s="31">
        <f t="shared" si="10"/>
        <v>5.3662640012107889E-2</v>
      </c>
      <c r="Y54" s="132">
        <f t="shared" si="11"/>
        <v>697252.29986735457</v>
      </c>
      <c r="Z54" s="29">
        <f t="shared" si="12"/>
        <v>0.43550314883343916</v>
      </c>
      <c r="AA54" s="31">
        <f t="shared" si="13"/>
        <v>0.10452075572002539</v>
      </c>
      <c r="AD54" s="12">
        <f t="shared" si="14"/>
        <v>50</v>
      </c>
      <c r="AE54" s="132">
        <f t="shared" si="15"/>
        <v>2003579.1477494263</v>
      </c>
      <c r="AF54" s="132">
        <f>IF($AD54&lt;=$C$25*12,$AE54-$C$7+SUM('Mortgage Calculators (By Month)'!$K$23:$K72),"-")</f>
        <v>2003579.1477494263</v>
      </c>
      <c r="AG54" s="132">
        <f t="shared" si="16"/>
        <v>10433.095312500001</v>
      </c>
      <c r="AH54" s="132">
        <f>IF($AD54&lt;=$C$25*12,SUM(Inputs!$C$61:$C$78)*'Forecast (By Month)'!AG54,"-")</f>
        <v>1147.6404843750001</v>
      </c>
      <c r="AI54" s="132">
        <f>IF($AD54&lt;=$C$25*12,(SUMIF(Inputs!$C$61:$C$78,0,Inputs!$F$61:$F$78)/12)*(1+$C$34)^ROUNDDOWN((AD54-1)/12,0),"-")</f>
        <v>1488.1666666666667</v>
      </c>
      <c r="AJ54" s="132">
        <f t="shared" si="17"/>
        <v>2635.8071510416667</v>
      </c>
      <c r="AK54" s="132">
        <f>IF($AD54&lt;=$C$25*12,'Mortgage Calculators (By Month)'!$J72,"-")</f>
        <v>0</v>
      </c>
      <c r="AL54" s="132">
        <f>IF($AD54&lt;=$C$25*12,'Mortgage Calculators (By Month)'!$K72,"-")</f>
        <v>0</v>
      </c>
      <c r="AM54" s="132">
        <f>IF($AD54&lt;=$C$25*12,'Mortgage Calculators (By Month)'!$L72,"-")</f>
        <v>10</v>
      </c>
      <c r="AN54" s="132">
        <f t="shared" si="27"/>
        <v>0</v>
      </c>
      <c r="AO54" s="132">
        <f t="shared" si="18"/>
        <v>2645.8071510416667</v>
      </c>
      <c r="AP54" s="132">
        <f t="shared" si="19"/>
        <v>7797.2881614583348</v>
      </c>
      <c r="AQ54" s="132">
        <f t="shared" si="20"/>
        <v>0</v>
      </c>
      <c r="AR54" s="132">
        <f t="shared" si="1"/>
        <v>7797.2881614583348</v>
      </c>
      <c r="AS54" s="132">
        <f>IF($AD54&lt;=$C$25*12,SUM(AR$5:AR54),"-")</f>
        <v>339261.73507291684</v>
      </c>
      <c r="AT54" s="132">
        <f>IF($AD54&lt;=$C$25*12,AE54-$C$10-'RE Calculations'!$C241-'Mortgage Calculators (By Month)'!$M72,"-")</f>
        <v>357980.56479443773</v>
      </c>
      <c r="AU54" s="29">
        <f t="shared" si="21"/>
        <v>0.22359433338378287</v>
      </c>
      <c r="AV54" s="31">
        <f t="shared" si="22"/>
        <v>5.3662640012107889E-2</v>
      </c>
      <c r="AW54" s="132">
        <f t="shared" si="23"/>
        <v>697242.29986735457</v>
      </c>
      <c r="AX54" s="29">
        <f t="shared" si="24"/>
        <v>0.43549690284258452</v>
      </c>
      <c r="AY54" s="31">
        <f t="shared" si="25"/>
        <v>0.10451925668222027</v>
      </c>
    </row>
    <row r="55" spans="6:51" x14ac:dyDescent="0.35">
      <c r="F55" s="12">
        <f t="shared" si="2"/>
        <v>51</v>
      </c>
      <c r="G55" s="132">
        <f t="shared" si="3"/>
        <v>2011741.9772076942</v>
      </c>
      <c r="H55" s="132">
        <f>IF($F55&lt;=$C$16*12,$G55-$C$7+SUM('Mortgage Calculators (By Month)'!$D$23:$D73),"-")</f>
        <v>2011741.9772076942</v>
      </c>
      <c r="I55" s="132">
        <f t="shared" si="4"/>
        <v>10433.095312500001</v>
      </c>
      <c r="J55" s="132">
        <f>IF($F55&lt;=$C$16*12,SUM(Inputs!$C$61:$C$78)*'Forecast (By Month)'!I55,"-")</f>
        <v>1147.6404843750001</v>
      </c>
      <c r="K55" s="132">
        <f>IF($F55&lt;=$C$16*12,(SUMIF(Inputs!$C$61:$C$78,0,Inputs!$F$61:$F$78)/12)*(1+$C$34)^ROUNDDOWN((F55-1)/12,0),"-")</f>
        <v>1488.1666666666667</v>
      </c>
      <c r="L55" s="132">
        <f t="shared" si="5"/>
        <v>2635.8071510416667</v>
      </c>
      <c r="M55" s="132">
        <f>IF($F55&lt;=$C$16*12,'Mortgage Calculators (By Month)'!$C73,"-")</f>
        <v>0</v>
      </c>
      <c r="N55" s="132">
        <f>IF($F55&lt;=$C$16*12,'Mortgage Calculators (By Month)'!$D73,"-")</f>
        <v>0</v>
      </c>
      <c r="O55" s="132">
        <f>IF($F55&lt;=$C$16*12,'Mortgage Calculators (By Month)'!$E73,"-")</f>
        <v>8.3333333333333339</v>
      </c>
      <c r="P55" s="132">
        <f t="shared" si="26"/>
        <v>0</v>
      </c>
      <c r="Q55" s="132">
        <f t="shared" si="6"/>
        <v>2644.1404843750001</v>
      </c>
      <c r="R55" s="132">
        <f t="shared" si="7"/>
        <v>7797.2881614583348</v>
      </c>
      <c r="S55" s="132">
        <f t="shared" si="8"/>
        <v>0</v>
      </c>
      <c r="T55" s="132">
        <f t="shared" si="0"/>
        <v>7797.2881614583348</v>
      </c>
      <c r="U55" s="132">
        <f>IF($F55&lt;=$C$16*12,SUM(T$5:T55),"-")</f>
        <v>347069.02323437517</v>
      </c>
      <c r="V55" s="132">
        <f>IF($F55&lt;=$C$16*12,G55-$C$10-'RE Calculations'!$C242-'Mortgage Calculators (By Month)'!$F73,"-")</f>
        <v>365980.13766354026</v>
      </c>
      <c r="W55" s="29">
        <f t="shared" si="9"/>
        <v>0.22859085928191109</v>
      </c>
      <c r="X55" s="31">
        <f t="shared" si="10"/>
        <v>5.3786084536920256E-2</v>
      </c>
      <c r="Y55" s="132">
        <f t="shared" si="11"/>
        <v>713049.16089791548</v>
      </c>
      <c r="Z55" s="29">
        <f t="shared" si="12"/>
        <v>0.44536985378629812</v>
      </c>
      <c r="AA55" s="31">
        <f t="shared" si="13"/>
        <v>0.10479290677324661</v>
      </c>
      <c r="AD55" s="12">
        <f t="shared" si="14"/>
        <v>51</v>
      </c>
      <c r="AE55" s="132">
        <f t="shared" si="15"/>
        <v>2011741.9772076942</v>
      </c>
      <c r="AF55" s="132">
        <f>IF($AD55&lt;=$C$25*12,$AE55-$C$7+SUM('Mortgage Calculators (By Month)'!$K$23:$K73),"-")</f>
        <v>2011741.9772076942</v>
      </c>
      <c r="AG55" s="132">
        <f t="shared" si="16"/>
        <v>10433.095312500001</v>
      </c>
      <c r="AH55" s="132">
        <f>IF($AD55&lt;=$C$25*12,SUM(Inputs!$C$61:$C$78)*'Forecast (By Month)'!AG55,"-")</f>
        <v>1147.6404843750001</v>
      </c>
      <c r="AI55" s="132">
        <f>IF($AD55&lt;=$C$25*12,(SUMIF(Inputs!$C$61:$C$78,0,Inputs!$F$61:$F$78)/12)*(1+$C$34)^ROUNDDOWN((AD55-1)/12,0),"-")</f>
        <v>1488.1666666666667</v>
      </c>
      <c r="AJ55" s="132">
        <f t="shared" si="17"/>
        <v>2635.8071510416667</v>
      </c>
      <c r="AK55" s="132">
        <f>IF($AD55&lt;=$C$25*12,'Mortgage Calculators (By Month)'!$J73,"-")</f>
        <v>0</v>
      </c>
      <c r="AL55" s="132">
        <f>IF($AD55&lt;=$C$25*12,'Mortgage Calculators (By Month)'!$K73,"-")</f>
        <v>0</v>
      </c>
      <c r="AM55" s="132">
        <f>IF($AD55&lt;=$C$25*12,'Mortgage Calculators (By Month)'!$L73,"-")</f>
        <v>10</v>
      </c>
      <c r="AN55" s="132">
        <f t="shared" si="27"/>
        <v>0</v>
      </c>
      <c r="AO55" s="132">
        <f t="shared" si="18"/>
        <v>2645.8071510416667</v>
      </c>
      <c r="AP55" s="132">
        <f t="shared" si="19"/>
        <v>7797.2881614583348</v>
      </c>
      <c r="AQ55" s="132">
        <f t="shared" si="20"/>
        <v>0</v>
      </c>
      <c r="AR55" s="132">
        <f t="shared" si="1"/>
        <v>7797.2881614583348</v>
      </c>
      <c r="AS55" s="132">
        <f>IF($AD55&lt;=$C$25*12,SUM(AR$5:AR55),"-")</f>
        <v>347059.02323437517</v>
      </c>
      <c r="AT55" s="132">
        <f>IF($AD55&lt;=$C$25*12,AE55-$C$10-'RE Calculations'!$C242-'Mortgage Calculators (By Month)'!$M73,"-")</f>
        <v>365980.13766354026</v>
      </c>
      <c r="AU55" s="29">
        <f t="shared" si="21"/>
        <v>0.22859085928191109</v>
      </c>
      <c r="AV55" s="31">
        <f t="shared" si="22"/>
        <v>5.3786084536920256E-2</v>
      </c>
      <c r="AW55" s="132">
        <f t="shared" si="23"/>
        <v>713039.16089791548</v>
      </c>
      <c r="AX55" s="29">
        <f t="shared" si="24"/>
        <v>0.44536360779544348</v>
      </c>
      <c r="AY55" s="31">
        <f t="shared" si="25"/>
        <v>0.10479143712833965</v>
      </c>
    </row>
    <row r="56" spans="6:51" x14ac:dyDescent="0.35">
      <c r="F56" s="12">
        <f t="shared" si="2"/>
        <v>52</v>
      </c>
      <c r="G56" s="132">
        <f t="shared" si="3"/>
        <v>2019938.0630435999</v>
      </c>
      <c r="H56" s="132">
        <f>IF($F56&lt;=$C$16*12,$G56-$C$7+SUM('Mortgage Calculators (By Month)'!$D$23:$D74),"-")</f>
        <v>2019938.0630435999</v>
      </c>
      <c r="I56" s="132">
        <f t="shared" si="4"/>
        <v>10433.095312500001</v>
      </c>
      <c r="J56" s="132">
        <f>IF($F56&lt;=$C$16*12,SUM(Inputs!$C$61:$C$78)*'Forecast (By Month)'!I56,"-")</f>
        <v>1147.6404843750001</v>
      </c>
      <c r="K56" s="132">
        <f>IF($F56&lt;=$C$16*12,(SUMIF(Inputs!$C$61:$C$78,0,Inputs!$F$61:$F$78)/12)*(1+$C$34)^ROUNDDOWN((F56-1)/12,0),"-")</f>
        <v>1488.1666666666667</v>
      </c>
      <c r="L56" s="132">
        <f t="shared" si="5"/>
        <v>2635.8071510416667</v>
      </c>
      <c r="M56" s="132">
        <f>IF($F56&lt;=$C$16*12,'Mortgage Calculators (By Month)'!$C74,"-")</f>
        <v>0</v>
      </c>
      <c r="N56" s="132">
        <f>IF($F56&lt;=$C$16*12,'Mortgage Calculators (By Month)'!$D74,"-")</f>
        <v>0</v>
      </c>
      <c r="O56" s="132">
        <f>IF($F56&lt;=$C$16*12,'Mortgage Calculators (By Month)'!$E74,"-")</f>
        <v>8.3333333333333339</v>
      </c>
      <c r="P56" s="132">
        <f t="shared" si="26"/>
        <v>0</v>
      </c>
      <c r="Q56" s="132">
        <f t="shared" si="6"/>
        <v>2644.1404843750001</v>
      </c>
      <c r="R56" s="132">
        <f t="shared" si="7"/>
        <v>7797.2881614583348</v>
      </c>
      <c r="S56" s="132">
        <f t="shared" si="8"/>
        <v>0</v>
      </c>
      <c r="T56" s="132">
        <f t="shared" si="0"/>
        <v>7797.2881614583348</v>
      </c>
      <c r="U56" s="132">
        <f>IF($F56&lt;=$C$16*12,SUM(T$5:T56),"-")</f>
        <v>354866.3113958335</v>
      </c>
      <c r="V56" s="132">
        <f>IF($F56&lt;=$C$16*12,G56-$C$10-'RE Calculations'!$C243-'Mortgage Calculators (By Month)'!$F74,"-")</f>
        <v>374012.30178272788</v>
      </c>
      <c r="W56" s="29">
        <f t="shared" si="9"/>
        <v>0.23360774164503653</v>
      </c>
      <c r="X56" s="31">
        <f t="shared" si="10"/>
        <v>5.3909478841162282E-2</v>
      </c>
      <c r="Y56" s="132">
        <f t="shared" si="11"/>
        <v>728878.61317856144</v>
      </c>
      <c r="Z56" s="29">
        <f t="shared" si="12"/>
        <v>0.45525691520415423</v>
      </c>
      <c r="AA56" s="31">
        <f t="shared" si="13"/>
        <v>0.1050592881240356</v>
      </c>
      <c r="AD56" s="12">
        <f t="shared" si="14"/>
        <v>52</v>
      </c>
      <c r="AE56" s="132">
        <f t="shared" si="15"/>
        <v>2019938.0630435999</v>
      </c>
      <c r="AF56" s="132">
        <f>IF($AD56&lt;=$C$25*12,$AE56-$C$7+SUM('Mortgage Calculators (By Month)'!$K$23:$K74),"-")</f>
        <v>2019938.0630435999</v>
      </c>
      <c r="AG56" s="132">
        <f t="shared" si="16"/>
        <v>10433.095312500001</v>
      </c>
      <c r="AH56" s="132">
        <f>IF($AD56&lt;=$C$25*12,SUM(Inputs!$C$61:$C$78)*'Forecast (By Month)'!AG56,"-")</f>
        <v>1147.6404843750001</v>
      </c>
      <c r="AI56" s="132">
        <f>IF($AD56&lt;=$C$25*12,(SUMIF(Inputs!$C$61:$C$78,0,Inputs!$F$61:$F$78)/12)*(1+$C$34)^ROUNDDOWN((AD56-1)/12,0),"-")</f>
        <v>1488.1666666666667</v>
      </c>
      <c r="AJ56" s="132">
        <f t="shared" si="17"/>
        <v>2635.8071510416667</v>
      </c>
      <c r="AK56" s="132">
        <f>IF($AD56&lt;=$C$25*12,'Mortgage Calculators (By Month)'!$J74,"-")</f>
        <v>0</v>
      </c>
      <c r="AL56" s="132">
        <f>IF($AD56&lt;=$C$25*12,'Mortgage Calculators (By Month)'!$K74,"-")</f>
        <v>0</v>
      </c>
      <c r="AM56" s="132">
        <f>IF($AD56&lt;=$C$25*12,'Mortgage Calculators (By Month)'!$L74,"-")</f>
        <v>10</v>
      </c>
      <c r="AN56" s="132">
        <f t="shared" si="27"/>
        <v>0</v>
      </c>
      <c r="AO56" s="132">
        <f t="shared" si="18"/>
        <v>2645.8071510416667</v>
      </c>
      <c r="AP56" s="132">
        <f t="shared" si="19"/>
        <v>7797.2881614583348</v>
      </c>
      <c r="AQ56" s="132">
        <f t="shared" si="20"/>
        <v>0</v>
      </c>
      <c r="AR56" s="132">
        <f t="shared" si="1"/>
        <v>7797.2881614583348</v>
      </c>
      <c r="AS56" s="132">
        <f>IF($AD56&lt;=$C$25*12,SUM(AR$5:AR56),"-")</f>
        <v>354856.3113958335</v>
      </c>
      <c r="AT56" s="132">
        <f>IF($AD56&lt;=$C$25*12,AE56-$C$10-'RE Calculations'!$C243-'Mortgage Calculators (By Month)'!$M74,"-")</f>
        <v>374012.30178272788</v>
      </c>
      <c r="AU56" s="29">
        <f t="shared" si="21"/>
        <v>0.23360774164503653</v>
      </c>
      <c r="AV56" s="31">
        <f t="shared" si="22"/>
        <v>5.3909478841162282E-2</v>
      </c>
      <c r="AW56" s="132">
        <f t="shared" si="23"/>
        <v>728868.61317856144</v>
      </c>
      <c r="AX56" s="29">
        <f t="shared" si="24"/>
        <v>0.4552506692132996</v>
      </c>
      <c r="AY56" s="31">
        <f t="shared" si="25"/>
        <v>0.10505784674153068</v>
      </c>
    </row>
    <row r="57" spans="6:51" x14ac:dyDescent="0.35">
      <c r="F57" s="12">
        <f t="shared" si="2"/>
        <v>53</v>
      </c>
      <c r="G57" s="132">
        <f t="shared" si="3"/>
        <v>2028167.5407477424</v>
      </c>
      <c r="H57" s="132">
        <f>IF($F57&lt;=$C$16*12,$G57-$C$7+SUM('Mortgage Calculators (By Month)'!$D$23:$D75),"-")</f>
        <v>2028167.5407477424</v>
      </c>
      <c r="I57" s="132">
        <f t="shared" si="4"/>
        <v>10433.095312500001</v>
      </c>
      <c r="J57" s="132">
        <f>IF($F57&lt;=$C$16*12,SUM(Inputs!$C$61:$C$78)*'Forecast (By Month)'!I57,"-")</f>
        <v>1147.6404843750001</v>
      </c>
      <c r="K57" s="132">
        <f>IF($F57&lt;=$C$16*12,(SUMIF(Inputs!$C$61:$C$78,0,Inputs!$F$61:$F$78)/12)*(1+$C$34)^ROUNDDOWN((F57-1)/12,0),"-")</f>
        <v>1488.1666666666667</v>
      </c>
      <c r="L57" s="132">
        <f t="shared" si="5"/>
        <v>2635.8071510416667</v>
      </c>
      <c r="M57" s="132">
        <f>IF($F57&lt;=$C$16*12,'Mortgage Calculators (By Month)'!$C75,"-")</f>
        <v>0</v>
      </c>
      <c r="N57" s="132">
        <f>IF($F57&lt;=$C$16*12,'Mortgage Calculators (By Month)'!$D75,"-")</f>
        <v>0</v>
      </c>
      <c r="O57" s="132">
        <f>IF($F57&lt;=$C$16*12,'Mortgage Calculators (By Month)'!$E75,"-")</f>
        <v>8.3333333333333339</v>
      </c>
      <c r="P57" s="132">
        <f t="shared" si="26"/>
        <v>0</v>
      </c>
      <c r="Q57" s="132">
        <f t="shared" si="6"/>
        <v>2644.1404843750001</v>
      </c>
      <c r="R57" s="132">
        <f t="shared" si="7"/>
        <v>7797.2881614583348</v>
      </c>
      <c r="S57" s="132">
        <f t="shared" si="8"/>
        <v>0</v>
      </c>
      <c r="T57" s="132">
        <f t="shared" si="0"/>
        <v>7797.2881614583348</v>
      </c>
      <c r="U57" s="132">
        <f>IF($F57&lt;=$C$16*12,SUM(T$5:T57),"-")</f>
        <v>362663.59955729183</v>
      </c>
      <c r="V57" s="132">
        <f>IF($F57&lt;=$C$16*12,G57-$C$10-'RE Calculations'!$C244-'Mortgage Calculators (By Month)'!$F75,"-")</f>
        <v>382077.1899327875</v>
      </c>
      <c r="W57" s="29">
        <f t="shared" si="9"/>
        <v>0.23864506340791722</v>
      </c>
      <c r="X57" s="31">
        <f t="shared" si="10"/>
        <v>5.40328445451888E-2</v>
      </c>
      <c r="Y57" s="132">
        <f t="shared" si="11"/>
        <v>744740.78949007927</v>
      </c>
      <c r="Z57" s="29">
        <f t="shared" si="12"/>
        <v>0.46516441602176556</v>
      </c>
      <c r="AA57" s="31">
        <f t="shared" si="13"/>
        <v>0.10532024513700351</v>
      </c>
      <c r="AD57" s="12">
        <f t="shared" si="14"/>
        <v>53</v>
      </c>
      <c r="AE57" s="132">
        <f t="shared" si="15"/>
        <v>2028167.5407477424</v>
      </c>
      <c r="AF57" s="132">
        <f>IF($AD57&lt;=$C$25*12,$AE57-$C$7+SUM('Mortgage Calculators (By Month)'!$K$23:$K75),"-")</f>
        <v>2028167.5407477424</v>
      </c>
      <c r="AG57" s="132">
        <f t="shared" si="16"/>
        <v>10433.095312500001</v>
      </c>
      <c r="AH57" s="132">
        <f>IF($AD57&lt;=$C$25*12,SUM(Inputs!$C$61:$C$78)*'Forecast (By Month)'!AG57,"-")</f>
        <v>1147.6404843750001</v>
      </c>
      <c r="AI57" s="132">
        <f>IF($AD57&lt;=$C$25*12,(SUMIF(Inputs!$C$61:$C$78,0,Inputs!$F$61:$F$78)/12)*(1+$C$34)^ROUNDDOWN((AD57-1)/12,0),"-")</f>
        <v>1488.1666666666667</v>
      </c>
      <c r="AJ57" s="132">
        <f t="shared" si="17"/>
        <v>2635.8071510416667</v>
      </c>
      <c r="AK57" s="132">
        <f>IF($AD57&lt;=$C$25*12,'Mortgage Calculators (By Month)'!$J75,"-")</f>
        <v>0</v>
      </c>
      <c r="AL57" s="132">
        <f>IF($AD57&lt;=$C$25*12,'Mortgage Calculators (By Month)'!$K75,"-")</f>
        <v>0</v>
      </c>
      <c r="AM57" s="132">
        <f>IF($AD57&lt;=$C$25*12,'Mortgage Calculators (By Month)'!$L75,"-")</f>
        <v>10</v>
      </c>
      <c r="AN57" s="132">
        <f t="shared" si="27"/>
        <v>0</v>
      </c>
      <c r="AO57" s="132">
        <f t="shared" si="18"/>
        <v>2645.8071510416667</v>
      </c>
      <c r="AP57" s="132">
        <f t="shared" si="19"/>
        <v>7797.2881614583348</v>
      </c>
      <c r="AQ57" s="132">
        <f t="shared" si="20"/>
        <v>0</v>
      </c>
      <c r="AR57" s="132">
        <f t="shared" si="1"/>
        <v>7797.2881614583348</v>
      </c>
      <c r="AS57" s="132">
        <f>IF($AD57&lt;=$C$25*12,SUM(AR$5:AR57),"-")</f>
        <v>362653.59955729183</v>
      </c>
      <c r="AT57" s="132">
        <f>IF($AD57&lt;=$C$25*12,AE57-$C$10-'RE Calculations'!$C244-'Mortgage Calculators (By Month)'!$M75,"-")</f>
        <v>382077.1899327875</v>
      </c>
      <c r="AU57" s="29">
        <f t="shared" si="21"/>
        <v>0.23864506340791722</v>
      </c>
      <c r="AV57" s="31">
        <f t="shared" si="22"/>
        <v>5.40328445451888E-2</v>
      </c>
      <c r="AW57" s="132">
        <f t="shared" si="23"/>
        <v>744730.78949007927</v>
      </c>
      <c r="AX57" s="29">
        <f t="shared" si="24"/>
        <v>0.46515817003091098</v>
      </c>
      <c r="AY57" s="31">
        <f t="shared" si="25"/>
        <v>0.10531883095039493</v>
      </c>
    </row>
    <row r="58" spans="6:51" x14ac:dyDescent="0.35">
      <c r="F58" s="12">
        <f t="shared" si="2"/>
        <v>54</v>
      </c>
      <c r="G58" s="132">
        <f t="shared" si="3"/>
        <v>2036430.5463627265</v>
      </c>
      <c r="H58" s="132">
        <f>IF($F58&lt;=$C$16*12,$G58-$C$7+SUM('Mortgage Calculators (By Month)'!$D$23:$D76),"-")</f>
        <v>2036430.5463627265</v>
      </c>
      <c r="I58" s="132">
        <f t="shared" si="4"/>
        <v>10433.095312500001</v>
      </c>
      <c r="J58" s="132">
        <f>IF($F58&lt;=$C$16*12,SUM(Inputs!$C$61:$C$78)*'Forecast (By Month)'!I58,"-")</f>
        <v>1147.6404843750001</v>
      </c>
      <c r="K58" s="132">
        <f>IF($F58&lt;=$C$16*12,(SUMIF(Inputs!$C$61:$C$78,0,Inputs!$F$61:$F$78)/12)*(1+$C$34)^ROUNDDOWN((F58-1)/12,0),"-")</f>
        <v>1488.1666666666667</v>
      </c>
      <c r="L58" s="132">
        <f t="shared" si="5"/>
        <v>2635.8071510416667</v>
      </c>
      <c r="M58" s="132">
        <f>IF($F58&lt;=$C$16*12,'Mortgage Calculators (By Month)'!$C76,"-")</f>
        <v>0</v>
      </c>
      <c r="N58" s="132">
        <f>IF($F58&lt;=$C$16*12,'Mortgage Calculators (By Month)'!$D76,"-")</f>
        <v>0</v>
      </c>
      <c r="O58" s="132">
        <f>IF($F58&lt;=$C$16*12,'Mortgage Calculators (By Month)'!$E76,"-")</f>
        <v>8.3333333333333339</v>
      </c>
      <c r="P58" s="132">
        <f t="shared" si="26"/>
        <v>0</v>
      </c>
      <c r="Q58" s="132">
        <f t="shared" si="6"/>
        <v>2644.1404843750001</v>
      </c>
      <c r="R58" s="132">
        <f t="shared" si="7"/>
        <v>7797.2881614583348</v>
      </c>
      <c r="S58" s="132">
        <f t="shared" si="8"/>
        <v>0</v>
      </c>
      <c r="T58" s="132">
        <f t="shared" si="0"/>
        <v>7797.2881614583348</v>
      </c>
      <c r="U58" s="132">
        <f>IF($F58&lt;=$C$16*12,SUM(T$5:T58),"-")</f>
        <v>370460.88771875016</v>
      </c>
      <c r="V58" s="132">
        <f>IF($F58&lt;=$C$16*12,G58-$C$10-'RE Calculations'!$C245-'Mortgage Calculators (By Month)'!$F76,"-")</f>
        <v>390174.93543547188</v>
      </c>
      <c r="W58" s="29">
        <f t="shared" si="9"/>
        <v>0.24370290784319806</v>
      </c>
      <c r="X58" s="31">
        <f t="shared" si="10"/>
        <v>5.4156201742932904E-2</v>
      </c>
      <c r="Y58" s="132">
        <f t="shared" si="11"/>
        <v>760635.82315422199</v>
      </c>
      <c r="Z58" s="29">
        <f t="shared" si="12"/>
        <v>0.4750924395117771</v>
      </c>
      <c r="AA58" s="31">
        <f t="shared" si="13"/>
        <v>0.1055760976692838</v>
      </c>
      <c r="AD58" s="12">
        <f t="shared" si="14"/>
        <v>54</v>
      </c>
      <c r="AE58" s="132">
        <f t="shared" si="15"/>
        <v>2036430.5463627265</v>
      </c>
      <c r="AF58" s="132">
        <f>IF($AD58&lt;=$C$25*12,$AE58-$C$7+SUM('Mortgage Calculators (By Month)'!$K$23:$K76),"-")</f>
        <v>2036430.5463627265</v>
      </c>
      <c r="AG58" s="132">
        <f t="shared" si="16"/>
        <v>10433.095312500001</v>
      </c>
      <c r="AH58" s="132">
        <f>IF($AD58&lt;=$C$25*12,SUM(Inputs!$C$61:$C$78)*'Forecast (By Month)'!AG58,"-")</f>
        <v>1147.6404843750001</v>
      </c>
      <c r="AI58" s="132">
        <f>IF($AD58&lt;=$C$25*12,(SUMIF(Inputs!$C$61:$C$78,0,Inputs!$F$61:$F$78)/12)*(1+$C$34)^ROUNDDOWN((AD58-1)/12,0),"-")</f>
        <v>1488.1666666666667</v>
      </c>
      <c r="AJ58" s="132">
        <f t="shared" si="17"/>
        <v>2635.8071510416667</v>
      </c>
      <c r="AK58" s="132">
        <f>IF($AD58&lt;=$C$25*12,'Mortgage Calculators (By Month)'!$J76,"-")</f>
        <v>0</v>
      </c>
      <c r="AL58" s="132">
        <f>IF($AD58&lt;=$C$25*12,'Mortgage Calculators (By Month)'!$K76,"-")</f>
        <v>0</v>
      </c>
      <c r="AM58" s="132">
        <f>IF($AD58&lt;=$C$25*12,'Mortgage Calculators (By Month)'!$L76,"-")</f>
        <v>10</v>
      </c>
      <c r="AN58" s="132">
        <f t="shared" si="27"/>
        <v>0</v>
      </c>
      <c r="AO58" s="132">
        <f t="shared" si="18"/>
        <v>2645.8071510416667</v>
      </c>
      <c r="AP58" s="132">
        <f t="shared" si="19"/>
        <v>7797.2881614583348</v>
      </c>
      <c r="AQ58" s="132">
        <f t="shared" si="20"/>
        <v>0</v>
      </c>
      <c r="AR58" s="132">
        <f t="shared" si="1"/>
        <v>7797.2881614583348</v>
      </c>
      <c r="AS58" s="132">
        <f>IF($AD58&lt;=$C$25*12,SUM(AR$5:AR58),"-")</f>
        <v>370450.88771875016</v>
      </c>
      <c r="AT58" s="132">
        <f>IF($AD58&lt;=$C$25*12,AE58-$C$10-'RE Calculations'!$C245-'Mortgage Calculators (By Month)'!$M76,"-")</f>
        <v>390174.93543547188</v>
      </c>
      <c r="AU58" s="29">
        <f t="shared" si="21"/>
        <v>0.24370290784319806</v>
      </c>
      <c r="AV58" s="31">
        <f t="shared" si="22"/>
        <v>5.4156201742932904E-2</v>
      </c>
      <c r="AW58" s="132">
        <f t="shared" si="23"/>
        <v>760625.82315422199</v>
      </c>
      <c r="AX58" s="29">
        <f t="shared" si="24"/>
        <v>0.47508619352092252</v>
      </c>
      <c r="AY58" s="31">
        <f t="shared" si="25"/>
        <v>0.10557470967131612</v>
      </c>
    </row>
    <row r="59" spans="6:51" x14ac:dyDescent="0.35">
      <c r="F59" s="12">
        <f t="shared" si="2"/>
        <v>55</v>
      </c>
      <c r="G59" s="132">
        <f t="shared" si="3"/>
        <v>2044727.2164854109</v>
      </c>
      <c r="H59" s="132">
        <f>IF($F59&lt;=$C$16*12,$G59-$C$7+SUM('Mortgage Calculators (By Month)'!$D$23:$D77),"-")</f>
        <v>2044727.2164854109</v>
      </c>
      <c r="I59" s="132">
        <f t="shared" si="4"/>
        <v>10433.095312500001</v>
      </c>
      <c r="J59" s="132">
        <f>IF($F59&lt;=$C$16*12,SUM(Inputs!$C$61:$C$78)*'Forecast (By Month)'!I59,"-")</f>
        <v>1147.6404843750001</v>
      </c>
      <c r="K59" s="132">
        <f>IF($F59&lt;=$C$16*12,(SUMIF(Inputs!$C$61:$C$78,0,Inputs!$F$61:$F$78)/12)*(1+$C$34)^ROUNDDOWN((F59-1)/12,0),"-")</f>
        <v>1488.1666666666667</v>
      </c>
      <c r="L59" s="132">
        <f t="shared" si="5"/>
        <v>2635.8071510416667</v>
      </c>
      <c r="M59" s="132">
        <f>IF($F59&lt;=$C$16*12,'Mortgage Calculators (By Month)'!$C77,"-")</f>
        <v>0</v>
      </c>
      <c r="N59" s="132">
        <f>IF($F59&lt;=$C$16*12,'Mortgage Calculators (By Month)'!$D77,"-")</f>
        <v>0</v>
      </c>
      <c r="O59" s="132">
        <f>IF($F59&lt;=$C$16*12,'Mortgage Calculators (By Month)'!$E77,"-")</f>
        <v>8.3333333333333339</v>
      </c>
      <c r="P59" s="132">
        <f t="shared" si="26"/>
        <v>0</v>
      </c>
      <c r="Q59" s="132">
        <f t="shared" si="6"/>
        <v>2644.1404843750001</v>
      </c>
      <c r="R59" s="132">
        <f t="shared" si="7"/>
        <v>7797.2881614583348</v>
      </c>
      <c r="S59" s="132">
        <f t="shared" si="8"/>
        <v>0</v>
      </c>
      <c r="T59" s="132">
        <f t="shared" si="0"/>
        <v>7797.2881614583348</v>
      </c>
      <c r="U59" s="132">
        <f>IF($F59&lt;=$C$16*12,SUM(T$5:T59),"-")</f>
        <v>378258.1758802085</v>
      </c>
      <c r="V59" s="132">
        <f>IF($F59&lt;=$C$16*12,G59-$C$10-'RE Calculations'!$C246-'Mortgage Calculators (By Month)'!$F77,"-")</f>
        <v>398305.6721557026</v>
      </c>
      <c r="W59" s="29">
        <f t="shared" si="9"/>
        <v>0.24878135856278663</v>
      </c>
      <c r="X59" s="31">
        <f t="shared" si="10"/>
        <v>5.427956914097163E-2</v>
      </c>
      <c r="Y59" s="132">
        <f t="shared" si="11"/>
        <v>776563.8480359111</v>
      </c>
      <c r="Z59" s="29">
        <f t="shared" si="12"/>
        <v>0.48504106928609642</v>
      </c>
      <c r="AA59" s="31">
        <f t="shared" si="13"/>
        <v>0.10582714238969378</v>
      </c>
      <c r="AD59" s="12">
        <f t="shared" si="14"/>
        <v>55</v>
      </c>
      <c r="AE59" s="132">
        <f t="shared" si="15"/>
        <v>2044727.2164854109</v>
      </c>
      <c r="AF59" s="132">
        <f>IF($AD59&lt;=$C$25*12,$AE59-$C$7+SUM('Mortgage Calculators (By Month)'!$K$23:$K77),"-")</f>
        <v>2044727.2164854109</v>
      </c>
      <c r="AG59" s="132">
        <f t="shared" si="16"/>
        <v>10433.095312500001</v>
      </c>
      <c r="AH59" s="132">
        <f>IF($AD59&lt;=$C$25*12,SUM(Inputs!$C$61:$C$78)*'Forecast (By Month)'!AG59,"-")</f>
        <v>1147.6404843750001</v>
      </c>
      <c r="AI59" s="132">
        <f>IF($AD59&lt;=$C$25*12,(SUMIF(Inputs!$C$61:$C$78,0,Inputs!$F$61:$F$78)/12)*(1+$C$34)^ROUNDDOWN((AD59-1)/12,0),"-")</f>
        <v>1488.1666666666667</v>
      </c>
      <c r="AJ59" s="132">
        <f t="shared" si="17"/>
        <v>2635.8071510416667</v>
      </c>
      <c r="AK59" s="132">
        <f>IF($AD59&lt;=$C$25*12,'Mortgage Calculators (By Month)'!$J77,"-")</f>
        <v>0</v>
      </c>
      <c r="AL59" s="132">
        <f>IF($AD59&lt;=$C$25*12,'Mortgage Calculators (By Month)'!$K77,"-")</f>
        <v>0</v>
      </c>
      <c r="AM59" s="132">
        <f>IF($AD59&lt;=$C$25*12,'Mortgage Calculators (By Month)'!$L77,"-")</f>
        <v>10</v>
      </c>
      <c r="AN59" s="132">
        <f t="shared" si="27"/>
        <v>0</v>
      </c>
      <c r="AO59" s="132">
        <f t="shared" si="18"/>
        <v>2645.8071510416667</v>
      </c>
      <c r="AP59" s="132">
        <f t="shared" si="19"/>
        <v>7797.2881614583348</v>
      </c>
      <c r="AQ59" s="132">
        <f t="shared" si="20"/>
        <v>0</v>
      </c>
      <c r="AR59" s="132">
        <f t="shared" si="1"/>
        <v>7797.2881614583348</v>
      </c>
      <c r="AS59" s="132">
        <f>IF($AD59&lt;=$C$25*12,SUM(AR$5:AR59),"-")</f>
        <v>378248.1758802085</v>
      </c>
      <c r="AT59" s="132">
        <f>IF($AD59&lt;=$C$25*12,AE59-$C$10-'RE Calculations'!$C246-'Mortgage Calculators (By Month)'!$M77,"-")</f>
        <v>398305.6721557026</v>
      </c>
      <c r="AU59" s="29">
        <f t="shared" si="21"/>
        <v>0.24878135856278663</v>
      </c>
      <c r="AV59" s="31">
        <f t="shared" si="22"/>
        <v>5.427956914097163E-2</v>
      </c>
      <c r="AW59" s="132">
        <f t="shared" si="23"/>
        <v>776553.8480359111</v>
      </c>
      <c r="AX59" s="29">
        <f t="shared" si="24"/>
        <v>0.48503482329524178</v>
      </c>
      <c r="AY59" s="31">
        <f t="shared" si="25"/>
        <v>0.10582577962805276</v>
      </c>
    </row>
    <row r="60" spans="6:51" x14ac:dyDescent="0.35">
      <c r="F60" s="12">
        <f t="shared" si="2"/>
        <v>56</v>
      </c>
      <c r="G60" s="132">
        <f t="shared" si="3"/>
        <v>2053057.6882691672</v>
      </c>
      <c r="H60" s="132">
        <f>IF($F60&lt;=$C$16*12,$G60-$C$7+SUM('Mortgage Calculators (By Month)'!$D$23:$D78),"-")</f>
        <v>2053057.6882691672</v>
      </c>
      <c r="I60" s="132">
        <f t="shared" si="4"/>
        <v>10433.095312500001</v>
      </c>
      <c r="J60" s="132">
        <f>IF($F60&lt;=$C$16*12,SUM(Inputs!$C$61:$C$78)*'Forecast (By Month)'!I60,"-")</f>
        <v>1147.6404843750001</v>
      </c>
      <c r="K60" s="132">
        <f>IF($F60&lt;=$C$16*12,(SUMIF(Inputs!$C$61:$C$78,0,Inputs!$F$61:$F$78)/12)*(1+$C$34)^ROUNDDOWN((F60-1)/12,0),"-")</f>
        <v>1488.1666666666667</v>
      </c>
      <c r="L60" s="132">
        <f t="shared" si="5"/>
        <v>2635.8071510416667</v>
      </c>
      <c r="M60" s="132">
        <f>IF($F60&lt;=$C$16*12,'Mortgage Calculators (By Month)'!$C78,"-")</f>
        <v>0</v>
      </c>
      <c r="N60" s="132">
        <f>IF($F60&lt;=$C$16*12,'Mortgage Calculators (By Month)'!$D78,"-")</f>
        <v>0</v>
      </c>
      <c r="O60" s="132">
        <f>IF($F60&lt;=$C$16*12,'Mortgage Calculators (By Month)'!$E78,"-")</f>
        <v>8.3333333333333339</v>
      </c>
      <c r="P60" s="132">
        <f t="shared" si="26"/>
        <v>0</v>
      </c>
      <c r="Q60" s="132">
        <f t="shared" si="6"/>
        <v>2644.1404843750001</v>
      </c>
      <c r="R60" s="132">
        <f t="shared" si="7"/>
        <v>7797.2881614583348</v>
      </c>
      <c r="S60" s="132">
        <f t="shared" si="8"/>
        <v>0</v>
      </c>
      <c r="T60" s="132">
        <f t="shared" si="0"/>
        <v>7797.2881614583348</v>
      </c>
      <c r="U60" s="132">
        <f>IF($F60&lt;=$C$16*12,SUM(T$5:T60),"-")</f>
        <v>386055.46404166683</v>
      </c>
      <c r="V60" s="132">
        <f>IF($F60&lt;=$C$16*12,G60-$C$10-'RE Calculations'!$C247-'Mortgage Calculators (By Month)'!$F78,"-")</f>
        <v>406469.5345037838</v>
      </c>
      <c r="W60" s="29">
        <f t="shared" si="9"/>
        <v>0.25388049951923597</v>
      </c>
      <c r="X60" s="31">
        <f t="shared" si="10"/>
        <v>5.4402964182693421E-2</v>
      </c>
      <c r="Y60" s="132">
        <f t="shared" si="11"/>
        <v>792524.99854545062</v>
      </c>
      <c r="Z60" s="29">
        <f t="shared" si="12"/>
        <v>0.49501038929727648</v>
      </c>
      <c r="AA60" s="31">
        <f t="shared" si="13"/>
        <v>0.10607365484941639</v>
      </c>
      <c r="AD60" s="12">
        <f t="shared" si="14"/>
        <v>56</v>
      </c>
      <c r="AE60" s="132">
        <f t="shared" si="15"/>
        <v>2053057.6882691672</v>
      </c>
      <c r="AF60" s="132">
        <f>IF($AD60&lt;=$C$25*12,$AE60-$C$7+SUM('Mortgage Calculators (By Month)'!$K$23:$K78),"-")</f>
        <v>2053057.6882691672</v>
      </c>
      <c r="AG60" s="132">
        <f t="shared" si="16"/>
        <v>10433.095312500001</v>
      </c>
      <c r="AH60" s="132">
        <f>IF($AD60&lt;=$C$25*12,SUM(Inputs!$C$61:$C$78)*'Forecast (By Month)'!AG60,"-")</f>
        <v>1147.6404843750001</v>
      </c>
      <c r="AI60" s="132">
        <f>IF($AD60&lt;=$C$25*12,(SUMIF(Inputs!$C$61:$C$78,0,Inputs!$F$61:$F$78)/12)*(1+$C$34)^ROUNDDOWN((AD60-1)/12,0),"-")</f>
        <v>1488.1666666666667</v>
      </c>
      <c r="AJ60" s="132">
        <f t="shared" si="17"/>
        <v>2635.8071510416667</v>
      </c>
      <c r="AK60" s="132">
        <f>IF($AD60&lt;=$C$25*12,'Mortgage Calculators (By Month)'!$J78,"-")</f>
        <v>0</v>
      </c>
      <c r="AL60" s="132">
        <f>IF($AD60&lt;=$C$25*12,'Mortgage Calculators (By Month)'!$K78,"-")</f>
        <v>0</v>
      </c>
      <c r="AM60" s="132">
        <f>IF($AD60&lt;=$C$25*12,'Mortgage Calculators (By Month)'!$L78,"-")</f>
        <v>10</v>
      </c>
      <c r="AN60" s="132">
        <f t="shared" si="27"/>
        <v>0</v>
      </c>
      <c r="AO60" s="132">
        <f t="shared" si="18"/>
        <v>2645.8071510416667</v>
      </c>
      <c r="AP60" s="132">
        <f t="shared" si="19"/>
        <v>7797.2881614583348</v>
      </c>
      <c r="AQ60" s="132">
        <f t="shared" si="20"/>
        <v>0</v>
      </c>
      <c r="AR60" s="132">
        <f t="shared" si="1"/>
        <v>7797.2881614583348</v>
      </c>
      <c r="AS60" s="132">
        <f>IF($AD60&lt;=$C$25*12,SUM(AR$5:AR60),"-")</f>
        <v>386045.46404166683</v>
      </c>
      <c r="AT60" s="132">
        <f>IF($AD60&lt;=$C$25*12,AE60-$C$10-'RE Calculations'!$C247-'Mortgage Calculators (By Month)'!$M78,"-")</f>
        <v>406469.5345037838</v>
      </c>
      <c r="AU60" s="29">
        <f t="shared" si="21"/>
        <v>0.25388049951923597</v>
      </c>
      <c r="AV60" s="31">
        <f t="shared" si="22"/>
        <v>5.4402964182693421E-2</v>
      </c>
      <c r="AW60" s="132">
        <f t="shared" si="23"/>
        <v>792514.99854545062</v>
      </c>
      <c r="AX60" s="29">
        <f t="shared" si="24"/>
        <v>0.49500414330642184</v>
      </c>
      <c r="AY60" s="31">
        <f t="shared" si="25"/>
        <v>0.10607231642280468</v>
      </c>
    </row>
    <row r="61" spans="6:51" x14ac:dyDescent="0.35">
      <c r="F61" s="12">
        <f t="shared" si="2"/>
        <v>57</v>
      </c>
      <c r="G61" s="132">
        <f t="shared" si="3"/>
        <v>2061422.0994261468</v>
      </c>
      <c r="H61" s="132">
        <f>IF($F61&lt;=$C$16*12,$G61-$C$7+SUM('Mortgage Calculators (By Month)'!$D$23:$D79),"-")</f>
        <v>2061422.0994261468</v>
      </c>
      <c r="I61" s="132">
        <f t="shared" si="4"/>
        <v>10433.095312500001</v>
      </c>
      <c r="J61" s="132">
        <f>IF($F61&lt;=$C$16*12,SUM(Inputs!$C$61:$C$78)*'Forecast (By Month)'!I61,"-")</f>
        <v>1147.6404843750001</v>
      </c>
      <c r="K61" s="132">
        <f>IF($F61&lt;=$C$16*12,(SUMIF(Inputs!$C$61:$C$78,0,Inputs!$F$61:$F$78)/12)*(1+$C$34)^ROUNDDOWN((F61-1)/12,0),"-")</f>
        <v>1488.1666666666667</v>
      </c>
      <c r="L61" s="132">
        <f t="shared" si="5"/>
        <v>2635.8071510416667</v>
      </c>
      <c r="M61" s="132">
        <f>IF($F61&lt;=$C$16*12,'Mortgage Calculators (By Month)'!$C79,"-")</f>
        <v>0</v>
      </c>
      <c r="N61" s="132">
        <f>IF($F61&lt;=$C$16*12,'Mortgage Calculators (By Month)'!$D79,"-")</f>
        <v>0</v>
      </c>
      <c r="O61" s="132">
        <f>IF($F61&lt;=$C$16*12,'Mortgage Calculators (By Month)'!$E79,"-")</f>
        <v>8.3333333333333339</v>
      </c>
      <c r="P61" s="132">
        <f t="shared" si="26"/>
        <v>0</v>
      </c>
      <c r="Q61" s="132">
        <f t="shared" si="6"/>
        <v>2644.1404843750001</v>
      </c>
      <c r="R61" s="132">
        <f t="shared" si="7"/>
        <v>7797.2881614583348</v>
      </c>
      <c r="S61" s="132">
        <f t="shared" si="8"/>
        <v>0</v>
      </c>
      <c r="T61" s="132">
        <f t="shared" si="0"/>
        <v>7797.2881614583348</v>
      </c>
      <c r="U61" s="132">
        <f>IF($F61&lt;=$C$16*12,SUM(T$5:T61),"-")</f>
        <v>393852.75220312516</v>
      </c>
      <c r="V61" s="132">
        <f>IF($F61&lt;=$C$16*12,G61-$C$10-'RE Calculations'!$C248-'Mortgage Calculators (By Month)'!$F79,"-")</f>
        <v>414666.65743762383</v>
      </c>
      <c r="W61" s="29">
        <f t="shared" si="9"/>
        <v>0.25900041500713217</v>
      </c>
      <c r="X61" s="31">
        <f t="shared" si="10"/>
        <v>5.4526403159396247E-2</v>
      </c>
      <c r="Y61" s="132">
        <f t="shared" si="11"/>
        <v>808519.40964074899</v>
      </c>
      <c r="Z61" s="29">
        <f t="shared" si="12"/>
        <v>0.50500048383990337</v>
      </c>
      <c r="AA61" s="31">
        <f t="shared" si="13"/>
        <v>0.1063158913347165</v>
      </c>
      <c r="AD61" s="12">
        <f t="shared" si="14"/>
        <v>57</v>
      </c>
      <c r="AE61" s="132">
        <f t="shared" si="15"/>
        <v>2061422.0994261468</v>
      </c>
      <c r="AF61" s="132">
        <f>IF($AD61&lt;=$C$25*12,$AE61-$C$7+SUM('Mortgage Calculators (By Month)'!$K$23:$K79),"-")</f>
        <v>2061422.0994261468</v>
      </c>
      <c r="AG61" s="132">
        <f t="shared" si="16"/>
        <v>10433.095312500001</v>
      </c>
      <c r="AH61" s="132">
        <f>IF($AD61&lt;=$C$25*12,SUM(Inputs!$C$61:$C$78)*'Forecast (By Month)'!AG61,"-")</f>
        <v>1147.6404843750001</v>
      </c>
      <c r="AI61" s="132">
        <f>IF($AD61&lt;=$C$25*12,(SUMIF(Inputs!$C$61:$C$78,0,Inputs!$F$61:$F$78)/12)*(1+$C$34)^ROUNDDOWN((AD61-1)/12,0),"-")</f>
        <v>1488.1666666666667</v>
      </c>
      <c r="AJ61" s="132">
        <f t="shared" si="17"/>
        <v>2635.8071510416667</v>
      </c>
      <c r="AK61" s="132">
        <f>IF($AD61&lt;=$C$25*12,'Mortgage Calculators (By Month)'!$J79,"-")</f>
        <v>0</v>
      </c>
      <c r="AL61" s="132">
        <f>IF($AD61&lt;=$C$25*12,'Mortgage Calculators (By Month)'!$K79,"-")</f>
        <v>0</v>
      </c>
      <c r="AM61" s="132">
        <f>IF($AD61&lt;=$C$25*12,'Mortgage Calculators (By Month)'!$L79,"-")</f>
        <v>10</v>
      </c>
      <c r="AN61" s="132">
        <f t="shared" si="27"/>
        <v>0</v>
      </c>
      <c r="AO61" s="132">
        <f t="shared" si="18"/>
        <v>2645.8071510416667</v>
      </c>
      <c r="AP61" s="132">
        <f t="shared" si="19"/>
        <v>7797.2881614583348</v>
      </c>
      <c r="AQ61" s="132">
        <f t="shared" si="20"/>
        <v>0</v>
      </c>
      <c r="AR61" s="132">
        <f t="shared" si="1"/>
        <v>7797.2881614583348</v>
      </c>
      <c r="AS61" s="132">
        <f>IF($AD61&lt;=$C$25*12,SUM(AR$5:AR61),"-")</f>
        <v>393842.75220312516</v>
      </c>
      <c r="AT61" s="132">
        <f>IF($AD61&lt;=$C$25*12,AE61-$C$10-'RE Calculations'!$C248-'Mortgage Calculators (By Month)'!$M79,"-")</f>
        <v>414666.65743762383</v>
      </c>
      <c r="AU61" s="29">
        <f t="shared" si="21"/>
        <v>0.25900041500713217</v>
      </c>
      <c r="AV61" s="31">
        <f t="shared" si="22"/>
        <v>5.4526403159396247E-2</v>
      </c>
      <c r="AW61" s="132">
        <f t="shared" si="23"/>
        <v>808509.40964074899</v>
      </c>
      <c r="AX61" s="29">
        <f t="shared" si="24"/>
        <v>0.50499423784904873</v>
      </c>
      <c r="AY61" s="31">
        <f t="shared" si="25"/>
        <v>0.10631457638927341</v>
      </c>
    </row>
    <row r="62" spans="6:51" x14ac:dyDescent="0.35">
      <c r="F62" s="12">
        <f t="shared" si="2"/>
        <v>58</v>
      </c>
      <c r="G62" s="132">
        <f t="shared" si="3"/>
        <v>2069820.5882295573</v>
      </c>
      <c r="H62" s="132">
        <f>IF($F62&lt;=$C$16*12,$G62-$C$7+SUM('Mortgage Calculators (By Month)'!$D$23:$D80),"-")</f>
        <v>2069820.5882295573</v>
      </c>
      <c r="I62" s="132">
        <f t="shared" si="4"/>
        <v>10433.095312500001</v>
      </c>
      <c r="J62" s="132">
        <f>IF($F62&lt;=$C$16*12,SUM(Inputs!$C$61:$C$78)*'Forecast (By Month)'!I62,"-")</f>
        <v>1147.6404843750001</v>
      </c>
      <c r="K62" s="132">
        <f>IF($F62&lt;=$C$16*12,(SUMIF(Inputs!$C$61:$C$78,0,Inputs!$F$61:$F$78)/12)*(1+$C$34)^ROUNDDOWN((F62-1)/12,0),"-")</f>
        <v>1488.1666666666667</v>
      </c>
      <c r="L62" s="132">
        <f t="shared" si="5"/>
        <v>2635.8071510416667</v>
      </c>
      <c r="M62" s="132">
        <f>IF($F62&lt;=$C$16*12,'Mortgage Calculators (By Month)'!$C80,"-")</f>
        <v>0</v>
      </c>
      <c r="N62" s="132">
        <f>IF($F62&lt;=$C$16*12,'Mortgage Calculators (By Month)'!$D80,"-")</f>
        <v>0</v>
      </c>
      <c r="O62" s="132">
        <f>IF($F62&lt;=$C$16*12,'Mortgage Calculators (By Month)'!$E80,"-")</f>
        <v>8.3333333333333339</v>
      </c>
      <c r="P62" s="132">
        <f t="shared" si="26"/>
        <v>0</v>
      </c>
      <c r="Q62" s="132">
        <f t="shared" si="6"/>
        <v>2644.1404843750001</v>
      </c>
      <c r="R62" s="132">
        <f t="shared" si="7"/>
        <v>7797.2881614583348</v>
      </c>
      <c r="S62" s="132">
        <f t="shared" si="8"/>
        <v>0</v>
      </c>
      <c r="T62" s="132">
        <f t="shared" si="0"/>
        <v>7797.2881614583348</v>
      </c>
      <c r="U62" s="132">
        <f>IF($F62&lt;=$C$16*12,SUM(T$5:T62),"-")</f>
        <v>401650.04036458349</v>
      </c>
      <c r="V62" s="132">
        <f>IF($F62&lt;=$C$16*12,G62-$C$10-'RE Calculations'!$C249-'Mortgage Calculators (By Month)'!$F80,"-")</f>
        <v>422897.17646496603</v>
      </c>
      <c r="W62" s="29">
        <f t="shared" si="9"/>
        <v>0.26414118966448785</v>
      </c>
      <c r="X62" s="31">
        <f t="shared" si="10"/>
        <v>5.4649901309894042E-2</v>
      </c>
      <c r="Y62" s="132">
        <f t="shared" si="11"/>
        <v>824547.21682954952</v>
      </c>
      <c r="Z62" s="29">
        <f t="shared" si="12"/>
        <v>0.51501143755198975</v>
      </c>
      <c r="AA62" s="31">
        <f t="shared" si="13"/>
        <v>0.10655409052799789</v>
      </c>
      <c r="AD62" s="12">
        <f t="shared" si="14"/>
        <v>58</v>
      </c>
      <c r="AE62" s="132">
        <f t="shared" si="15"/>
        <v>2069820.5882295573</v>
      </c>
      <c r="AF62" s="132">
        <f>IF($AD62&lt;=$C$25*12,$AE62-$C$7+SUM('Mortgage Calculators (By Month)'!$K$23:$K80),"-")</f>
        <v>2069820.5882295573</v>
      </c>
      <c r="AG62" s="132">
        <f t="shared" si="16"/>
        <v>10433.095312500001</v>
      </c>
      <c r="AH62" s="132">
        <f>IF($AD62&lt;=$C$25*12,SUM(Inputs!$C$61:$C$78)*'Forecast (By Month)'!AG62,"-")</f>
        <v>1147.6404843750001</v>
      </c>
      <c r="AI62" s="132">
        <f>IF($AD62&lt;=$C$25*12,(SUMIF(Inputs!$C$61:$C$78,0,Inputs!$F$61:$F$78)/12)*(1+$C$34)^ROUNDDOWN((AD62-1)/12,0),"-")</f>
        <v>1488.1666666666667</v>
      </c>
      <c r="AJ62" s="132">
        <f t="shared" si="17"/>
        <v>2635.8071510416667</v>
      </c>
      <c r="AK62" s="132">
        <f>IF($AD62&lt;=$C$25*12,'Mortgage Calculators (By Month)'!$J80,"-")</f>
        <v>0</v>
      </c>
      <c r="AL62" s="132">
        <f>IF($AD62&lt;=$C$25*12,'Mortgage Calculators (By Month)'!$K80,"-")</f>
        <v>0</v>
      </c>
      <c r="AM62" s="132">
        <f>IF($AD62&lt;=$C$25*12,'Mortgage Calculators (By Month)'!$L80,"-")</f>
        <v>10</v>
      </c>
      <c r="AN62" s="132">
        <f t="shared" si="27"/>
        <v>0</v>
      </c>
      <c r="AO62" s="132">
        <f t="shared" si="18"/>
        <v>2645.8071510416667</v>
      </c>
      <c r="AP62" s="132">
        <f t="shared" si="19"/>
        <v>7797.2881614583348</v>
      </c>
      <c r="AQ62" s="132">
        <f t="shared" si="20"/>
        <v>0</v>
      </c>
      <c r="AR62" s="132">
        <f t="shared" si="1"/>
        <v>7797.2881614583348</v>
      </c>
      <c r="AS62" s="132">
        <f>IF($AD62&lt;=$C$25*12,SUM(AR$5:AR62),"-")</f>
        <v>401640.04036458349</v>
      </c>
      <c r="AT62" s="132">
        <f>IF($AD62&lt;=$C$25*12,AE62-$C$10-'RE Calculations'!$C249-'Mortgage Calculators (By Month)'!$M80,"-")</f>
        <v>422897.17646496603</v>
      </c>
      <c r="AU62" s="29">
        <f t="shared" si="21"/>
        <v>0.26414118966448785</v>
      </c>
      <c r="AV62" s="31">
        <f t="shared" si="22"/>
        <v>5.4649901309894042E-2</v>
      </c>
      <c r="AW62" s="132">
        <f t="shared" si="23"/>
        <v>824537.21682954952</v>
      </c>
      <c r="AX62" s="29">
        <f t="shared" si="24"/>
        <v>0.51500519156113511</v>
      </c>
      <c r="AY62" s="31">
        <f t="shared" si="25"/>
        <v>0.10655279825402796</v>
      </c>
    </row>
    <row r="63" spans="6:51" x14ac:dyDescent="0.35">
      <c r="F63" s="12">
        <f t="shared" si="2"/>
        <v>59</v>
      </c>
      <c r="G63" s="132">
        <f t="shared" si="3"/>
        <v>2078253.2935159483</v>
      </c>
      <c r="H63" s="132">
        <f>IF($F63&lt;=$C$16*12,$G63-$C$7+SUM('Mortgage Calculators (By Month)'!$D$23:$D81),"-")</f>
        <v>2078253.2935159483</v>
      </c>
      <c r="I63" s="132">
        <f t="shared" si="4"/>
        <v>10433.095312500001</v>
      </c>
      <c r="J63" s="132">
        <f>IF($F63&lt;=$C$16*12,SUM(Inputs!$C$61:$C$78)*'Forecast (By Month)'!I63,"-")</f>
        <v>1147.6404843750001</v>
      </c>
      <c r="K63" s="132">
        <f>IF($F63&lt;=$C$16*12,(SUMIF(Inputs!$C$61:$C$78,0,Inputs!$F$61:$F$78)/12)*(1+$C$34)^ROUNDDOWN((F63-1)/12,0),"-")</f>
        <v>1488.1666666666667</v>
      </c>
      <c r="L63" s="132">
        <f t="shared" si="5"/>
        <v>2635.8071510416667</v>
      </c>
      <c r="M63" s="132">
        <f>IF($F63&lt;=$C$16*12,'Mortgage Calculators (By Month)'!$C81,"-")</f>
        <v>0</v>
      </c>
      <c r="N63" s="132">
        <f>IF($F63&lt;=$C$16*12,'Mortgage Calculators (By Month)'!$D81,"-")</f>
        <v>0</v>
      </c>
      <c r="O63" s="132">
        <f>IF($F63&lt;=$C$16*12,'Mortgage Calculators (By Month)'!$E81,"-")</f>
        <v>8.3333333333333339</v>
      </c>
      <c r="P63" s="132">
        <f t="shared" si="26"/>
        <v>0</v>
      </c>
      <c r="Q63" s="132">
        <f t="shared" si="6"/>
        <v>2644.1404843750001</v>
      </c>
      <c r="R63" s="132">
        <f t="shared" si="7"/>
        <v>7797.2881614583348</v>
      </c>
      <c r="S63" s="132">
        <f t="shared" si="8"/>
        <v>0</v>
      </c>
      <c r="T63" s="132">
        <f t="shared" si="0"/>
        <v>7797.2881614583348</v>
      </c>
      <c r="U63" s="132">
        <f>IF($F63&lt;=$C$16*12,SUM(T$5:T63),"-")</f>
        <v>409447.32852604182</v>
      </c>
      <c r="V63" s="132">
        <f>IF($F63&lt;=$C$16*12,G63-$C$10-'RE Calculations'!$C250-'Mortgage Calculators (By Month)'!$F81,"-")</f>
        <v>431161.22764562932</v>
      </c>
      <c r="W63" s="29">
        <f t="shared" si="9"/>
        <v>0.26930290847414151</v>
      </c>
      <c r="X63" s="31">
        <f t="shared" si="10"/>
        <v>5.4773472909994882E-2</v>
      </c>
      <c r="Y63" s="132">
        <f t="shared" si="11"/>
        <v>840608.55617167114</v>
      </c>
      <c r="Z63" s="29">
        <f t="shared" si="12"/>
        <v>0.52504333541637405</v>
      </c>
      <c r="AA63" s="31">
        <f t="shared" si="13"/>
        <v>0.10678847499994047</v>
      </c>
      <c r="AD63" s="12">
        <f t="shared" si="14"/>
        <v>59</v>
      </c>
      <c r="AE63" s="132">
        <f t="shared" si="15"/>
        <v>2078253.2935159483</v>
      </c>
      <c r="AF63" s="132">
        <f>IF($AD63&lt;=$C$25*12,$AE63-$C$7+SUM('Mortgage Calculators (By Month)'!$K$23:$K81),"-")</f>
        <v>2078253.2935159483</v>
      </c>
      <c r="AG63" s="132">
        <f t="shared" si="16"/>
        <v>10433.095312500001</v>
      </c>
      <c r="AH63" s="132">
        <f>IF($AD63&lt;=$C$25*12,SUM(Inputs!$C$61:$C$78)*'Forecast (By Month)'!AG63,"-")</f>
        <v>1147.6404843750001</v>
      </c>
      <c r="AI63" s="132">
        <f>IF($AD63&lt;=$C$25*12,(SUMIF(Inputs!$C$61:$C$78,0,Inputs!$F$61:$F$78)/12)*(1+$C$34)^ROUNDDOWN((AD63-1)/12,0),"-")</f>
        <v>1488.1666666666667</v>
      </c>
      <c r="AJ63" s="132">
        <f t="shared" si="17"/>
        <v>2635.8071510416667</v>
      </c>
      <c r="AK63" s="132">
        <f>IF($AD63&lt;=$C$25*12,'Mortgage Calculators (By Month)'!$J81,"-")</f>
        <v>0</v>
      </c>
      <c r="AL63" s="132">
        <f>IF($AD63&lt;=$C$25*12,'Mortgage Calculators (By Month)'!$K81,"-")</f>
        <v>0</v>
      </c>
      <c r="AM63" s="132">
        <f>IF($AD63&lt;=$C$25*12,'Mortgage Calculators (By Month)'!$L81,"-")</f>
        <v>10</v>
      </c>
      <c r="AN63" s="132">
        <f t="shared" si="27"/>
        <v>0</v>
      </c>
      <c r="AO63" s="132">
        <f t="shared" si="18"/>
        <v>2645.8071510416667</v>
      </c>
      <c r="AP63" s="132">
        <f t="shared" si="19"/>
        <v>7797.2881614583348</v>
      </c>
      <c r="AQ63" s="132">
        <f t="shared" si="20"/>
        <v>0</v>
      </c>
      <c r="AR63" s="132">
        <f t="shared" si="1"/>
        <v>7797.2881614583348</v>
      </c>
      <c r="AS63" s="132">
        <f>IF($AD63&lt;=$C$25*12,SUM(AR$5:AR63),"-")</f>
        <v>409437.32852604182</v>
      </c>
      <c r="AT63" s="132">
        <f>IF($AD63&lt;=$C$25*12,AE63-$C$10-'RE Calculations'!$C250-'Mortgage Calculators (By Month)'!$M81,"-")</f>
        <v>431161.22764562932</v>
      </c>
      <c r="AU63" s="29">
        <f t="shared" si="21"/>
        <v>0.26930290847414151</v>
      </c>
      <c r="AV63" s="31">
        <f t="shared" si="22"/>
        <v>5.4773472909994882E-2</v>
      </c>
      <c r="AW63" s="132">
        <f t="shared" si="23"/>
        <v>840598.55617167114</v>
      </c>
      <c r="AX63" s="29">
        <f t="shared" si="24"/>
        <v>0.52503708942551941</v>
      </c>
      <c r="AY63" s="31">
        <f t="shared" si="25"/>
        <v>0.10678720462891919</v>
      </c>
    </row>
    <row r="64" spans="6:51" x14ac:dyDescent="0.35">
      <c r="F64" s="12">
        <f t="shared" si="2"/>
        <v>60</v>
      </c>
      <c r="G64" s="132">
        <f t="shared" si="3"/>
        <v>2086720.3546875073</v>
      </c>
      <c r="H64" s="132">
        <f>IF($F64&lt;=$C$16*12,$G64-$C$7+SUM('Mortgage Calculators (By Month)'!$D$23:$D82),"-")</f>
        <v>2086720.3546875073</v>
      </c>
      <c r="I64" s="132">
        <f t="shared" si="4"/>
        <v>10433.095312500001</v>
      </c>
      <c r="J64" s="132">
        <f>IF($F64&lt;=$C$16*12,SUM(Inputs!$C$61:$C$78)*'Forecast (By Month)'!I64,"-")</f>
        <v>1147.6404843750001</v>
      </c>
      <c r="K64" s="132">
        <f>IF($F64&lt;=$C$16*12,(SUMIF(Inputs!$C$61:$C$78,0,Inputs!$F$61:$F$78)/12)*(1+$C$34)^ROUNDDOWN((F64-1)/12,0),"-")</f>
        <v>1488.1666666666667</v>
      </c>
      <c r="L64" s="132">
        <f t="shared" si="5"/>
        <v>2635.8071510416667</v>
      </c>
      <c r="M64" s="132">
        <f>IF($F64&lt;=$C$16*12,'Mortgage Calculators (By Month)'!$C82,"-")</f>
        <v>0</v>
      </c>
      <c r="N64" s="132">
        <f>IF($F64&lt;=$C$16*12,'Mortgage Calculators (By Month)'!$D82,"-")</f>
        <v>0</v>
      </c>
      <c r="O64" s="132">
        <f>IF($F64&lt;=$C$16*12,'Mortgage Calculators (By Month)'!$E82,"-")</f>
        <v>8.3333333333333339</v>
      </c>
      <c r="P64" s="132">
        <f t="shared" si="26"/>
        <v>0</v>
      </c>
      <c r="Q64" s="132">
        <f t="shared" si="6"/>
        <v>2644.1404843750001</v>
      </c>
      <c r="R64" s="132">
        <f t="shared" si="7"/>
        <v>7797.2881614583348</v>
      </c>
      <c r="S64" s="132">
        <f t="shared" si="8"/>
        <v>0</v>
      </c>
      <c r="T64" s="132">
        <f t="shared" si="0"/>
        <v>7797.2881614583348</v>
      </c>
      <c r="U64" s="132">
        <f>IF($F64&lt;=$C$16*12,SUM(T$5:T64),"-")</f>
        <v>417244.61668750015</v>
      </c>
      <c r="V64" s="132">
        <f>IF($F64&lt;=$C$16*12,G64-$C$10-'RE Calculations'!$C251-'Mortgage Calculators (By Month)'!$F82,"-")</f>
        <v>439458.94759375701</v>
      </c>
      <c r="W64" s="29">
        <f t="shared" si="9"/>
        <v>0.27448565676516201</v>
      </c>
      <c r="X64" s="31">
        <f t="shared" si="10"/>
        <v>5.4897131353032404E-2</v>
      </c>
      <c r="Y64" s="132">
        <f t="shared" si="11"/>
        <v>856703.5642812571</v>
      </c>
      <c r="Z64" s="29">
        <f t="shared" si="12"/>
        <v>0.5350962627621253</v>
      </c>
      <c r="AA64" s="31">
        <f t="shared" si="13"/>
        <v>0.10701925255242506</v>
      </c>
      <c r="AD64" s="12">
        <f t="shared" si="14"/>
        <v>60</v>
      </c>
      <c r="AE64" s="132">
        <f t="shared" si="15"/>
        <v>2086720.3546875073</v>
      </c>
      <c r="AF64" s="132">
        <f>IF($AD64&lt;=$C$25*12,$AE64-$C$7+SUM('Mortgage Calculators (By Month)'!$K$23:$K82),"-")</f>
        <v>2086720.3546875073</v>
      </c>
      <c r="AG64" s="132">
        <f t="shared" si="16"/>
        <v>10433.095312500001</v>
      </c>
      <c r="AH64" s="132">
        <f>IF($AD64&lt;=$C$25*12,SUM(Inputs!$C$61:$C$78)*'Forecast (By Month)'!AG64,"-")</f>
        <v>1147.6404843750001</v>
      </c>
      <c r="AI64" s="132">
        <f>IF($AD64&lt;=$C$25*12,(SUMIF(Inputs!$C$61:$C$78,0,Inputs!$F$61:$F$78)/12)*(1+$C$34)^ROUNDDOWN((AD64-1)/12,0),"-")</f>
        <v>1488.1666666666667</v>
      </c>
      <c r="AJ64" s="132">
        <f t="shared" si="17"/>
        <v>2635.8071510416667</v>
      </c>
      <c r="AK64" s="132">
        <f>IF($AD64&lt;=$C$25*12,'Mortgage Calculators (By Month)'!$J82,"-")</f>
        <v>0</v>
      </c>
      <c r="AL64" s="132">
        <f>IF($AD64&lt;=$C$25*12,'Mortgage Calculators (By Month)'!$K82,"-")</f>
        <v>0</v>
      </c>
      <c r="AM64" s="132">
        <f>IF($AD64&lt;=$C$25*12,'Mortgage Calculators (By Month)'!$L82,"-")</f>
        <v>10</v>
      </c>
      <c r="AN64" s="132">
        <f t="shared" si="27"/>
        <v>0</v>
      </c>
      <c r="AO64" s="132">
        <f t="shared" si="18"/>
        <v>2645.8071510416667</v>
      </c>
      <c r="AP64" s="132">
        <f t="shared" si="19"/>
        <v>7797.2881614583348</v>
      </c>
      <c r="AQ64" s="132">
        <f t="shared" si="20"/>
        <v>0</v>
      </c>
      <c r="AR64" s="132">
        <f t="shared" si="1"/>
        <v>7797.2881614583348</v>
      </c>
      <c r="AS64" s="132">
        <f>IF($AD64&lt;=$C$25*12,SUM(AR$5:AR64),"-")</f>
        <v>417234.61668750015</v>
      </c>
      <c r="AT64" s="132">
        <f>IF($AD64&lt;=$C$25*12,AE64-$C$10-'RE Calculations'!$C251-'Mortgage Calculators (By Month)'!$M82,"-")</f>
        <v>439458.94759375701</v>
      </c>
      <c r="AU64" s="29">
        <f t="shared" si="21"/>
        <v>0.27448565676516201</v>
      </c>
      <c r="AV64" s="31">
        <f t="shared" si="22"/>
        <v>5.4897131353032404E-2</v>
      </c>
      <c r="AW64" s="132">
        <f t="shared" si="23"/>
        <v>856693.5642812571</v>
      </c>
      <c r="AX64" s="29">
        <f t="shared" si="24"/>
        <v>0.53509001677127066</v>
      </c>
      <c r="AY64" s="31">
        <f t="shared" si="25"/>
        <v>0.10701800335425413</v>
      </c>
    </row>
    <row r="65" spans="6:51" x14ac:dyDescent="0.35">
      <c r="F65" s="12">
        <f t="shared" si="2"/>
        <v>61</v>
      </c>
      <c r="G65" s="132">
        <f t="shared" si="3"/>
        <v>2095221.9117143627</v>
      </c>
      <c r="H65" s="132">
        <f>IF($F65&lt;=$C$16*12,$G65-$C$7+SUM('Mortgage Calculators (By Month)'!$D$23:$D83),"-")</f>
        <v>2095221.9117143627</v>
      </c>
      <c r="I65" s="132">
        <f t="shared" si="4"/>
        <v>10954.750078125002</v>
      </c>
      <c r="J65" s="132">
        <f>IF($F65&lt;=$C$16*12,SUM(Inputs!$C$61:$C$78)*'Forecast (By Month)'!I65,"-")</f>
        <v>1205.0225085937502</v>
      </c>
      <c r="K65" s="132">
        <f>IF($F65&lt;=$C$16*12,(SUMIF(Inputs!$C$61:$C$78,0,Inputs!$F$61:$F$78)/12)*(1+$C$34)^ROUNDDOWN((F65-1)/12,0),"-")</f>
        <v>1488.1666666666667</v>
      </c>
      <c r="L65" s="132">
        <f t="shared" si="5"/>
        <v>2693.189175260417</v>
      </c>
      <c r="M65" s="132">
        <f>IF($F65&lt;=$C$16*12,'Mortgage Calculators (By Month)'!$C83,"-")</f>
        <v>0</v>
      </c>
      <c r="N65" s="132">
        <f>IF($F65&lt;=$C$16*12,'Mortgage Calculators (By Month)'!$D83,"-")</f>
        <v>0</v>
      </c>
      <c r="O65" s="132">
        <f>IF($F65&lt;=$C$16*12,'Mortgage Calculators (By Month)'!$E83,"-")</f>
        <v>8.3333333333333339</v>
      </c>
      <c r="P65" s="132">
        <f t="shared" si="26"/>
        <v>0</v>
      </c>
      <c r="Q65" s="132">
        <f t="shared" si="6"/>
        <v>2701.5225085937504</v>
      </c>
      <c r="R65" s="132">
        <f t="shared" si="7"/>
        <v>8261.5609028645849</v>
      </c>
      <c r="S65" s="132">
        <f t="shared" si="8"/>
        <v>0</v>
      </c>
      <c r="T65" s="132">
        <f t="shared" si="0"/>
        <v>8261.5609028645849</v>
      </c>
      <c r="U65" s="132">
        <f>IF($F65&lt;=$C$16*12,SUM(T$5:T65),"-")</f>
        <v>425506.17759036471</v>
      </c>
      <c r="V65" s="132">
        <f>IF($F65&lt;=$C$16*12,G65-$C$10-'RE Calculations'!$C252-'Mortgage Calculators (By Month)'!$F83,"-")</f>
        <v>447790.47348007536</v>
      </c>
      <c r="W65" s="29">
        <f t="shared" si="9"/>
        <v>0.27968952021425958</v>
      </c>
      <c r="X65" s="31">
        <f t="shared" si="10"/>
        <v>5.5020889222477297E-2</v>
      </c>
      <c r="Y65" s="132">
        <f t="shared" si="11"/>
        <v>873296.65107044007</v>
      </c>
      <c r="Z65" s="29">
        <f t="shared" si="12"/>
        <v>0.54546028959564086</v>
      </c>
      <c r="AA65" s="31">
        <f t="shared" si="13"/>
        <v>0.10730366352701132</v>
      </c>
      <c r="AD65" s="12">
        <f t="shared" si="14"/>
        <v>61</v>
      </c>
      <c r="AE65" s="132">
        <f t="shared" si="15"/>
        <v>2095221.9117143627</v>
      </c>
      <c r="AF65" s="132">
        <f>IF($AD65&lt;=$C$25*12,$AE65-$C$7+SUM('Mortgage Calculators (By Month)'!$K$23:$K83),"-")</f>
        <v>2095221.9117143627</v>
      </c>
      <c r="AG65" s="132">
        <f t="shared" si="16"/>
        <v>10954.750078125002</v>
      </c>
      <c r="AH65" s="132">
        <f>IF($AD65&lt;=$C$25*12,SUM(Inputs!$C$61:$C$78)*'Forecast (By Month)'!AG65,"-")</f>
        <v>1205.0225085937502</v>
      </c>
      <c r="AI65" s="132">
        <f>IF($AD65&lt;=$C$25*12,(SUMIF(Inputs!$C$61:$C$78,0,Inputs!$F$61:$F$78)/12)*(1+$C$34)^ROUNDDOWN((AD65-1)/12,0),"-")</f>
        <v>1488.1666666666667</v>
      </c>
      <c r="AJ65" s="132">
        <f t="shared" si="17"/>
        <v>2693.189175260417</v>
      </c>
      <c r="AK65" s="132">
        <f>IF($AD65&lt;=$C$25*12,'Mortgage Calculators (By Month)'!$J83,"-")</f>
        <v>0</v>
      </c>
      <c r="AL65" s="132">
        <f>IF($AD65&lt;=$C$25*12,'Mortgage Calculators (By Month)'!$K83,"-")</f>
        <v>0</v>
      </c>
      <c r="AM65" s="132">
        <f>IF($AD65&lt;=$C$25*12,'Mortgage Calculators (By Month)'!$L83,"-")</f>
        <v>10</v>
      </c>
      <c r="AN65" s="132">
        <f t="shared" si="27"/>
        <v>0</v>
      </c>
      <c r="AO65" s="132">
        <f t="shared" si="18"/>
        <v>2703.189175260417</v>
      </c>
      <c r="AP65" s="132">
        <f t="shared" si="19"/>
        <v>8261.5609028645849</v>
      </c>
      <c r="AQ65" s="132">
        <f t="shared" si="20"/>
        <v>0</v>
      </c>
      <c r="AR65" s="132">
        <f t="shared" si="1"/>
        <v>8261.5609028645849</v>
      </c>
      <c r="AS65" s="132">
        <f>IF($AD65&lt;=$C$25*12,SUM(AR$5:AR65),"-")</f>
        <v>425496.17759036471</v>
      </c>
      <c r="AT65" s="132">
        <f>IF($AD65&lt;=$C$25*12,AE65-$C$10-'RE Calculations'!$C252-'Mortgage Calculators (By Month)'!$M83,"-")</f>
        <v>447790.47348007536</v>
      </c>
      <c r="AU65" s="29">
        <f t="shared" si="21"/>
        <v>0.27968952021425958</v>
      </c>
      <c r="AV65" s="31">
        <f t="shared" si="22"/>
        <v>5.5020889222477297E-2</v>
      </c>
      <c r="AW65" s="132">
        <f t="shared" si="23"/>
        <v>873286.65107044007</v>
      </c>
      <c r="AX65" s="29">
        <f t="shared" si="24"/>
        <v>0.54545404360478622</v>
      </c>
      <c r="AY65" s="31">
        <f t="shared" si="25"/>
        <v>0.10730243480749893</v>
      </c>
    </row>
    <row r="66" spans="6:51" x14ac:dyDescent="0.35">
      <c r="F66" s="12">
        <f t="shared" si="2"/>
        <v>62</v>
      </c>
      <c r="G66" s="132">
        <f t="shared" si="3"/>
        <v>2103758.1051368993</v>
      </c>
      <c r="H66" s="132">
        <f>IF($F66&lt;=$C$16*12,$G66-$C$7+SUM('Mortgage Calculators (By Month)'!$D$23:$D84),"-")</f>
        <v>2103758.1051368993</v>
      </c>
      <c r="I66" s="132">
        <f t="shared" si="4"/>
        <v>10954.750078125002</v>
      </c>
      <c r="J66" s="132">
        <f>IF($F66&lt;=$C$16*12,SUM(Inputs!$C$61:$C$78)*'Forecast (By Month)'!I66,"-")</f>
        <v>1205.0225085937502</v>
      </c>
      <c r="K66" s="132">
        <f>IF($F66&lt;=$C$16*12,(SUMIF(Inputs!$C$61:$C$78,0,Inputs!$F$61:$F$78)/12)*(1+$C$34)^ROUNDDOWN((F66-1)/12,0),"-")</f>
        <v>1488.1666666666667</v>
      </c>
      <c r="L66" s="132">
        <f t="shared" si="5"/>
        <v>2693.189175260417</v>
      </c>
      <c r="M66" s="132">
        <f>IF($F66&lt;=$C$16*12,'Mortgage Calculators (By Month)'!$C84,"-")</f>
        <v>0</v>
      </c>
      <c r="N66" s="132">
        <f>IF($F66&lt;=$C$16*12,'Mortgage Calculators (By Month)'!$D84,"-")</f>
        <v>0</v>
      </c>
      <c r="O66" s="132">
        <f>IF($F66&lt;=$C$16*12,'Mortgage Calculators (By Month)'!$E84,"-")</f>
        <v>8.3333333333333339</v>
      </c>
      <c r="P66" s="132">
        <f t="shared" si="26"/>
        <v>0</v>
      </c>
      <c r="Q66" s="132">
        <f t="shared" si="6"/>
        <v>2701.5225085937504</v>
      </c>
      <c r="R66" s="132">
        <f t="shared" si="7"/>
        <v>8261.5609028645849</v>
      </c>
      <c r="S66" s="132">
        <f t="shared" si="8"/>
        <v>0</v>
      </c>
      <c r="T66" s="132">
        <f t="shared" si="0"/>
        <v>8261.5609028645849</v>
      </c>
      <c r="U66" s="132">
        <f>IF($F66&lt;=$C$16*12,SUM(T$5:T66),"-")</f>
        <v>433767.73849322926</v>
      </c>
      <c r="V66" s="132">
        <f>IF($F66&lt;=$C$16*12,G66-$C$10-'RE Calculations'!$C253-'Mortgage Calculators (By Month)'!$F84,"-")</f>
        <v>456155.94303416123</v>
      </c>
      <c r="W66" s="29">
        <f t="shared" si="9"/>
        <v>0.28491458484720195</v>
      </c>
      <c r="X66" s="31">
        <f t="shared" si="10"/>
        <v>5.5144758357522951E-2</v>
      </c>
      <c r="Y66" s="132">
        <f t="shared" si="11"/>
        <v>889923.68152739049</v>
      </c>
      <c r="Z66" s="29">
        <f t="shared" si="12"/>
        <v>0.55584551761300116</v>
      </c>
      <c r="AA66" s="31">
        <f t="shared" si="13"/>
        <v>0.10758300340896797</v>
      </c>
      <c r="AD66" s="12">
        <f t="shared" si="14"/>
        <v>62</v>
      </c>
      <c r="AE66" s="132">
        <f t="shared" si="15"/>
        <v>2103758.1051368993</v>
      </c>
      <c r="AF66" s="132">
        <f>IF($AD66&lt;=$C$25*12,$AE66-$C$7+SUM('Mortgage Calculators (By Month)'!$K$23:$K84),"-")</f>
        <v>2103758.1051368993</v>
      </c>
      <c r="AG66" s="132">
        <f t="shared" si="16"/>
        <v>10954.750078125002</v>
      </c>
      <c r="AH66" s="132">
        <f>IF($AD66&lt;=$C$25*12,SUM(Inputs!$C$61:$C$78)*'Forecast (By Month)'!AG66,"-")</f>
        <v>1205.0225085937502</v>
      </c>
      <c r="AI66" s="132">
        <f>IF($AD66&lt;=$C$25*12,(SUMIF(Inputs!$C$61:$C$78,0,Inputs!$F$61:$F$78)/12)*(1+$C$34)^ROUNDDOWN((AD66-1)/12,0),"-")</f>
        <v>1488.1666666666667</v>
      </c>
      <c r="AJ66" s="132">
        <f t="shared" si="17"/>
        <v>2693.189175260417</v>
      </c>
      <c r="AK66" s="132">
        <f>IF($AD66&lt;=$C$25*12,'Mortgage Calculators (By Month)'!$J84,"-")</f>
        <v>0</v>
      </c>
      <c r="AL66" s="132">
        <f>IF($AD66&lt;=$C$25*12,'Mortgage Calculators (By Month)'!$K84,"-")</f>
        <v>0</v>
      </c>
      <c r="AM66" s="132">
        <f>IF($AD66&lt;=$C$25*12,'Mortgage Calculators (By Month)'!$L84,"-")</f>
        <v>10</v>
      </c>
      <c r="AN66" s="132">
        <f t="shared" si="27"/>
        <v>0</v>
      </c>
      <c r="AO66" s="132">
        <f t="shared" si="18"/>
        <v>2703.189175260417</v>
      </c>
      <c r="AP66" s="132">
        <f t="shared" si="19"/>
        <v>8261.5609028645849</v>
      </c>
      <c r="AQ66" s="132">
        <f t="shared" si="20"/>
        <v>0</v>
      </c>
      <c r="AR66" s="132">
        <f t="shared" si="1"/>
        <v>8261.5609028645849</v>
      </c>
      <c r="AS66" s="132">
        <f>IF($AD66&lt;=$C$25*12,SUM(AR$5:AR66),"-")</f>
        <v>433757.73849322926</v>
      </c>
      <c r="AT66" s="132">
        <f>IF($AD66&lt;=$C$25*12,AE66-$C$10-'RE Calculations'!$C253-'Mortgage Calculators (By Month)'!$M84,"-")</f>
        <v>456155.94303416123</v>
      </c>
      <c r="AU66" s="29">
        <f t="shared" si="21"/>
        <v>0.28491458484720195</v>
      </c>
      <c r="AV66" s="31">
        <f t="shared" si="22"/>
        <v>5.5144758357522951E-2</v>
      </c>
      <c r="AW66" s="132">
        <f t="shared" si="23"/>
        <v>889913.68152739049</v>
      </c>
      <c r="AX66" s="29">
        <f t="shared" si="24"/>
        <v>0.55583927162214664</v>
      </c>
      <c r="AY66" s="31">
        <f t="shared" si="25"/>
        <v>0.10758179450751225</v>
      </c>
    </row>
    <row r="67" spans="6:51" x14ac:dyDescent="0.35">
      <c r="F67" s="12">
        <f t="shared" si="2"/>
        <v>63</v>
      </c>
      <c r="G67" s="132">
        <f t="shared" si="3"/>
        <v>2112329.0760680805</v>
      </c>
      <c r="H67" s="132">
        <f>IF($F67&lt;=$C$16*12,$G67-$C$7+SUM('Mortgage Calculators (By Month)'!$D$23:$D85),"-")</f>
        <v>2112329.0760680805</v>
      </c>
      <c r="I67" s="132">
        <f t="shared" si="4"/>
        <v>10954.750078125002</v>
      </c>
      <c r="J67" s="132">
        <f>IF($F67&lt;=$C$16*12,SUM(Inputs!$C$61:$C$78)*'Forecast (By Month)'!I67,"-")</f>
        <v>1205.0225085937502</v>
      </c>
      <c r="K67" s="132">
        <f>IF($F67&lt;=$C$16*12,(SUMIF(Inputs!$C$61:$C$78,0,Inputs!$F$61:$F$78)/12)*(1+$C$34)^ROUNDDOWN((F67-1)/12,0),"-")</f>
        <v>1488.1666666666667</v>
      </c>
      <c r="L67" s="132">
        <f t="shared" si="5"/>
        <v>2693.189175260417</v>
      </c>
      <c r="M67" s="132">
        <f>IF($F67&lt;=$C$16*12,'Mortgage Calculators (By Month)'!$C85,"-")</f>
        <v>0</v>
      </c>
      <c r="N67" s="132">
        <f>IF($F67&lt;=$C$16*12,'Mortgage Calculators (By Month)'!$D85,"-")</f>
        <v>0</v>
      </c>
      <c r="O67" s="132">
        <f>IF($F67&lt;=$C$16*12,'Mortgage Calculators (By Month)'!$E85,"-")</f>
        <v>8.3333333333333339</v>
      </c>
      <c r="P67" s="132">
        <f t="shared" si="26"/>
        <v>0</v>
      </c>
      <c r="Q67" s="132">
        <f t="shared" si="6"/>
        <v>2701.5225085937504</v>
      </c>
      <c r="R67" s="132">
        <f t="shared" si="7"/>
        <v>8261.5609028645849</v>
      </c>
      <c r="S67" s="132">
        <f t="shared" si="8"/>
        <v>0</v>
      </c>
      <c r="T67" s="132">
        <f t="shared" si="0"/>
        <v>8261.5609028645849</v>
      </c>
      <c r="U67" s="132">
        <f>IF($F67&lt;=$C$16*12,SUM(T$5:T67),"-")</f>
        <v>442029.29939609382</v>
      </c>
      <c r="V67" s="132">
        <f>IF($F67&lt;=$C$16*12,G67-$C$10-'RE Calculations'!$C254-'Mortgage Calculators (By Month)'!$F85,"-")</f>
        <v>464555.49454671878</v>
      </c>
      <c r="W67" s="29">
        <f t="shared" si="9"/>
        <v>0.29016093704023654</v>
      </c>
      <c r="X67" s="31">
        <f t="shared" si="10"/>
        <v>5.5268749912426009E-2</v>
      </c>
      <c r="Y67" s="132">
        <f t="shared" si="11"/>
        <v>906584.7939428126</v>
      </c>
      <c r="Z67" s="29">
        <f t="shared" si="12"/>
        <v>0.5662520331904537</v>
      </c>
      <c r="AA67" s="31">
        <f t="shared" si="13"/>
        <v>0.10785753013151499</v>
      </c>
      <c r="AD67" s="12">
        <f t="shared" si="14"/>
        <v>63</v>
      </c>
      <c r="AE67" s="132">
        <f t="shared" si="15"/>
        <v>2112329.0760680805</v>
      </c>
      <c r="AF67" s="132">
        <f>IF($AD67&lt;=$C$25*12,$AE67-$C$7+SUM('Mortgage Calculators (By Month)'!$K$23:$K85),"-")</f>
        <v>2112329.0760680805</v>
      </c>
      <c r="AG67" s="132">
        <f t="shared" si="16"/>
        <v>10954.750078125002</v>
      </c>
      <c r="AH67" s="132">
        <f>IF($AD67&lt;=$C$25*12,SUM(Inputs!$C$61:$C$78)*'Forecast (By Month)'!AG67,"-")</f>
        <v>1205.0225085937502</v>
      </c>
      <c r="AI67" s="132">
        <f>IF($AD67&lt;=$C$25*12,(SUMIF(Inputs!$C$61:$C$78,0,Inputs!$F$61:$F$78)/12)*(1+$C$34)^ROUNDDOWN((AD67-1)/12,0),"-")</f>
        <v>1488.1666666666667</v>
      </c>
      <c r="AJ67" s="132">
        <f t="shared" si="17"/>
        <v>2693.189175260417</v>
      </c>
      <c r="AK67" s="132">
        <f>IF($AD67&lt;=$C$25*12,'Mortgage Calculators (By Month)'!$J85,"-")</f>
        <v>0</v>
      </c>
      <c r="AL67" s="132">
        <f>IF($AD67&lt;=$C$25*12,'Mortgage Calculators (By Month)'!$K85,"-")</f>
        <v>0</v>
      </c>
      <c r="AM67" s="132">
        <f>IF($AD67&lt;=$C$25*12,'Mortgage Calculators (By Month)'!$L85,"-")</f>
        <v>10</v>
      </c>
      <c r="AN67" s="132">
        <f t="shared" si="27"/>
        <v>0</v>
      </c>
      <c r="AO67" s="132">
        <f t="shared" si="18"/>
        <v>2703.189175260417</v>
      </c>
      <c r="AP67" s="132">
        <f t="shared" si="19"/>
        <v>8261.5609028645849</v>
      </c>
      <c r="AQ67" s="132">
        <f t="shared" si="20"/>
        <v>0</v>
      </c>
      <c r="AR67" s="132">
        <f t="shared" si="1"/>
        <v>8261.5609028645849</v>
      </c>
      <c r="AS67" s="132">
        <f>IF($AD67&lt;=$C$25*12,SUM(AR$5:AR67),"-")</f>
        <v>442019.29939609382</v>
      </c>
      <c r="AT67" s="132">
        <f>IF($AD67&lt;=$C$25*12,AE67-$C$10-'RE Calculations'!$C254-'Mortgage Calculators (By Month)'!$M85,"-")</f>
        <v>464555.49454671878</v>
      </c>
      <c r="AU67" s="29">
        <f t="shared" si="21"/>
        <v>0.29016093704023654</v>
      </c>
      <c r="AV67" s="31">
        <f t="shared" si="22"/>
        <v>5.5268749912426009E-2</v>
      </c>
      <c r="AW67" s="132">
        <f t="shared" si="23"/>
        <v>906574.7939428126</v>
      </c>
      <c r="AX67" s="29">
        <f t="shared" si="24"/>
        <v>0.56624578719959917</v>
      </c>
      <c r="AY67" s="31">
        <f t="shared" si="25"/>
        <v>0.10785634041897127</v>
      </c>
    </row>
    <row r="68" spans="6:51" x14ac:dyDescent="0.35">
      <c r="F68" s="12">
        <f t="shared" si="2"/>
        <v>64</v>
      </c>
      <c r="G68" s="132">
        <f t="shared" si="3"/>
        <v>2120934.9661957812</v>
      </c>
      <c r="H68" s="132">
        <f>IF($F68&lt;=$C$16*12,$G68-$C$7+SUM('Mortgage Calculators (By Month)'!$D$23:$D86),"-")</f>
        <v>2120934.9661957812</v>
      </c>
      <c r="I68" s="132">
        <f t="shared" si="4"/>
        <v>10954.750078125002</v>
      </c>
      <c r="J68" s="132">
        <f>IF($F68&lt;=$C$16*12,SUM(Inputs!$C$61:$C$78)*'Forecast (By Month)'!I68,"-")</f>
        <v>1205.0225085937502</v>
      </c>
      <c r="K68" s="132">
        <f>IF($F68&lt;=$C$16*12,(SUMIF(Inputs!$C$61:$C$78,0,Inputs!$F$61:$F$78)/12)*(1+$C$34)^ROUNDDOWN((F68-1)/12,0),"-")</f>
        <v>1488.1666666666667</v>
      </c>
      <c r="L68" s="132">
        <f t="shared" si="5"/>
        <v>2693.189175260417</v>
      </c>
      <c r="M68" s="132">
        <f>IF($F68&lt;=$C$16*12,'Mortgage Calculators (By Month)'!$C86,"-")</f>
        <v>0</v>
      </c>
      <c r="N68" s="132">
        <f>IF($F68&lt;=$C$16*12,'Mortgage Calculators (By Month)'!$D86,"-")</f>
        <v>0</v>
      </c>
      <c r="O68" s="132">
        <f>IF($F68&lt;=$C$16*12,'Mortgage Calculators (By Month)'!$E86,"-")</f>
        <v>8.3333333333333339</v>
      </c>
      <c r="P68" s="132">
        <f t="shared" si="26"/>
        <v>0</v>
      </c>
      <c r="Q68" s="132">
        <f t="shared" si="6"/>
        <v>2701.5225085937504</v>
      </c>
      <c r="R68" s="132">
        <f t="shared" si="7"/>
        <v>8261.5609028645849</v>
      </c>
      <c r="S68" s="132">
        <f t="shared" si="8"/>
        <v>0</v>
      </c>
      <c r="T68" s="132">
        <f t="shared" ref="T68:T131" si="28">IF($F68&lt;=$C$16*12,R68-S68,"-")</f>
        <v>8261.5609028645849</v>
      </c>
      <c r="U68" s="132">
        <f>IF($F68&lt;=$C$16*12,SUM(T$5:T68),"-")</f>
        <v>450290.86029895837</v>
      </c>
      <c r="V68" s="132">
        <f>IF($F68&lt;=$C$16*12,G68-$C$10-'RE Calculations'!$C255-'Mortgage Calculators (By Month)'!$F86,"-")</f>
        <v>472989.26687186549</v>
      </c>
      <c r="W68" s="29">
        <f t="shared" si="9"/>
        <v>0.29542866352151803</v>
      </c>
      <c r="X68" s="31">
        <f t="shared" si="10"/>
        <v>5.5392874410284634E-2</v>
      </c>
      <c r="Y68" s="132">
        <f t="shared" si="11"/>
        <v>923280.12717082386</v>
      </c>
      <c r="Z68" s="29">
        <f t="shared" si="12"/>
        <v>0.57667992305615323</v>
      </c>
      <c r="AA68" s="31">
        <f t="shared" si="13"/>
        <v>0.10812748557302873</v>
      </c>
      <c r="AD68" s="12">
        <f t="shared" si="14"/>
        <v>64</v>
      </c>
      <c r="AE68" s="132">
        <f t="shared" si="15"/>
        <v>2120934.9661957812</v>
      </c>
      <c r="AF68" s="132">
        <f>IF($AD68&lt;=$C$25*12,$AE68-$C$7+SUM('Mortgage Calculators (By Month)'!$K$23:$K86),"-")</f>
        <v>2120934.9661957812</v>
      </c>
      <c r="AG68" s="132">
        <f t="shared" si="16"/>
        <v>10954.750078125002</v>
      </c>
      <c r="AH68" s="132">
        <f>IF($AD68&lt;=$C$25*12,SUM(Inputs!$C$61:$C$78)*'Forecast (By Month)'!AG68,"-")</f>
        <v>1205.0225085937502</v>
      </c>
      <c r="AI68" s="132">
        <f>IF($AD68&lt;=$C$25*12,(SUMIF(Inputs!$C$61:$C$78,0,Inputs!$F$61:$F$78)/12)*(1+$C$34)^ROUNDDOWN((AD68-1)/12,0),"-")</f>
        <v>1488.1666666666667</v>
      </c>
      <c r="AJ68" s="132">
        <f t="shared" si="17"/>
        <v>2693.189175260417</v>
      </c>
      <c r="AK68" s="132">
        <f>IF($AD68&lt;=$C$25*12,'Mortgage Calculators (By Month)'!$J86,"-")</f>
        <v>0</v>
      </c>
      <c r="AL68" s="132">
        <f>IF($AD68&lt;=$C$25*12,'Mortgage Calculators (By Month)'!$K86,"-")</f>
        <v>0</v>
      </c>
      <c r="AM68" s="132">
        <f>IF($AD68&lt;=$C$25*12,'Mortgage Calculators (By Month)'!$L86,"-")</f>
        <v>10</v>
      </c>
      <c r="AN68" s="132">
        <f t="shared" si="27"/>
        <v>0</v>
      </c>
      <c r="AO68" s="132">
        <f t="shared" si="18"/>
        <v>2703.189175260417</v>
      </c>
      <c r="AP68" s="132">
        <f t="shared" si="19"/>
        <v>8261.5609028645849</v>
      </c>
      <c r="AQ68" s="132">
        <f t="shared" si="20"/>
        <v>0</v>
      </c>
      <c r="AR68" s="132">
        <f t="shared" ref="AR68:AR131" si="29">IF($AD68&lt;=$C$25*12,AP68-AQ68,"-")</f>
        <v>8261.5609028645849</v>
      </c>
      <c r="AS68" s="132">
        <f>IF($AD68&lt;=$C$25*12,SUM(AR$5:AR68),"-")</f>
        <v>450280.86029895837</v>
      </c>
      <c r="AT68" s="132">
        <f>IF($AD68&lt;=$C$25*12,AE68-$C$10-'RE Calculations'!$C255-'Mortgage Calculators (By Month)'!$M86,"-")</f>
        <v>472989.26687186549</v>
      </c>
      <c r="AU68" s="29">
        <f t="shared" si="21"/>
        <v>0.29542866352151803</v>
      </c>
      <c r="AV68" s="31">
        <f t="shared" si="22"/>
        <v>5.5392874410284634E-2</v>
      </c>
      <c r="AW68" s="132">
        <f t="shared" si="23"/>
        <v>923270.12717082386</v>
      </c>
      <c r="AX68" s="29">
        <f t="shared" si="24"/>
        <v>0.5766736770652986</v>
      </c>
      <c r="AY68" s="31">
        <f t="shared" si="25"/>
        <v>0.10812631444974349</v>
      </c>
    </row>
    <row r="69" spans="6:51" x14ac:dyDescent="0.35">
      <c r="F69" s="12">
        <f t="shared" ref="F69:F132" si="30">IF(F68&lt;$C$16*12,F68+1,"-")</f>
        <v>65</v>
      </c>
      <c r="G69" s="132">
        <f t="shared" ref="G69:G132" si="31">IF($F69&lt;=$C$16*12,G68*(1+$C$32),"-")</f>
        <v>2129575.9177851309</v>
      </c>
      <c r="H69" s="132">
        <f>IF($F69&lt;=$C$16*12,$G69-$C$7+SUM('Mortgage Calculators (By Month)'!$D$23:$D87),"-")</f>
        <v>2129575.9177851309</v>
      </c>
      <c r="I69" s="132">
        <f t="shared" ref="I69:I132" si="32">IF($F69&lt;=$C$16*12,$C$9*(1+$C$33)^ROUNDDOWN((F69-1)/12,0),"-")</f>
        <v>10954.750078125002</v>
      </c>
      <c r="J69" s="132">
        <f>IF($F69&lt;=$C$16*12,SUM(Inputs!$C$61:$C$78)*'Forecast (By Month)'!I69,"-")</f>
        <v>1205.0225085937502</v>
      </c>
      <c r="K69" s="132">
        <f>IF($F69&lt;=$C$16*12,(SUMIF(Inputs!$C$61:$C$78,0,Inputs!$F$61:$F$78)/12)*(1+$C$34)^ROUNDDOWN((F69-1)/12,0),"-")</f>
        <v>1488.1666666666667</v>
      </c>
      <c r="L69" s="132">
        <f t="shared" ref="L69:L132" si="33">IF($F69&lt;=$C$16*12,SUM(J69:K69),"-")</f>
        <v>2693.189175260417</v>
      </c>
      <c r="M69" s="132">
        <f>IF($F69&lt;=$C$16*12,'Mortgage Calculators (By Month)'!$C87,"-")</f>
        <v>0</v>
      </c>
      <c r="N69" s="132">
        <f>IF($F69&lt;=$C$16*12,'Mortgage Calculators (By Month)'!$D87,"-")</f>
        <v>0</v>
      </c>
      <c r="O69" s="132">
        <f>IF($F69&lt;=$C$16*12,'Mortgage Calculators (By Month)'!$E87,"-")</f>
        <v>8.3333333333333339</v>
      </c>
      <c r="P69" s="132">
        <f t="shared" si="26"/>
        <v>0</v>
      </c>
      <c r="Q69" s="132">
        <f t="shared" ref="Q69:Q132" si="34">IF($F69&lt;=$C$16*12,L69+O69+P69,"-")</f>
        <v>2701.5225085937504</v>
      </c>
      <c r="R69" s="132">
        <f t="shared" ref="R69:R132" si="35">IF($F69&lt;=$C$16*12,$I69-$L69-M69,"-")</f>
        <v>8261.5609028645849</v>
      </c>
      <c r="S69" s="132">
        <f t="shared" ref="S69:S132" si="36">IF($F69&lt;=$C$16*12,(I69-Q69)*$C$35,"-")</f>
        <v>0</v>
      </c>
      <c r="T69" s="132">
        <f t="shared" si="28"/>
        <v>8261.5609028645849</v>
      </c>
      <c r="U69" s="132">
        <f>IF($F69&lt;=$C$16*12,SUM(T$5:T69),"-")</f>
        <v>458552.42120182293</v>
      </c>
      <c r="V69" s="132">
        <f>IF($F69&lt;=$C$16*12,G69-$C$10-'RE Calculations'!$C256-'Mortgage Calculators (By Month)'!$F87,"-")</f>
        <v>481457.39942942816</v>
      </c>
      <c r="W69" s="29">
        <f t="shared" ref="W69:W132" si="37">IF($F69&lt;=$C$16*12,V69/$C$10,"-")</f>
        <v>0.30071785137254287</v>
      </c>
      <c r="X69" s="31">
        <f t="shared" ref="X69:X132" si="38">IF($F69&lt;=$C$16*12,W69/($F69/12),"-")</f>
        <v>5.5517141791854067E-2</v>
      </c>
      <c r="Y69" s="132">
        <f t="shared" ref="Y69:Y132" si="39">IF($F69&lt;=$C$16*12,V69+U69,"-")</f>
        <v>940009.82063125109</v>
      </c>
      <c r="Z69" s="29">
        <f t="shared" ref="Z69:Z132" si="40">IF($F69&lt;=$C$16*12,Y69/$C$10,"-")</f>
        <v>0.587129274291596</v>
      </c>
      <c r="AA69" s="31">
        <f t="shared" ref="AA69:AA132" si="41">IF($F69&lt;=$C$16*12,Z69/($F69/12),"-")</f>
        <v>0.10839309679229464</v>
      </c>
      <c r="AD69" s="12">
        <f t="shared" ref="AD69:AD132" si="42">IF($AD68&lt;$C$25*12,AD68+1,"-")</f>
        <v>65</v>
      </c>
      <c r="AE69" s="132">
        <f t="shared" ref="AE69:AE132" si="43">IF($AD69&lt;=$C$25*12,AE68*(1+$C$32),"-")</f>
        <v>2129575.9177851309</v>
      </c>
      <c r="AF69" s="132">
        <f>IF($AD69&lt;=$C$25*12,$AE69-$C$7+SUM('Mortgage Calculators (By Month)'!$K$23:$K87),"-")</f>
        <v>2129575.9177851309</v>
      </c>
      <c r="AG69" s="132">
        <f t="shared" ref="AG69:AG132" si="44">IF($AD69&lt;=$C$25*12,$C$9*(1+$C$33)^ROUNDDOWN((AD69-1)/12,0),"-")</f>
        <v>10954.750078125002</v>
      </c>
      <c r="AH69" s="132">
        <f>IF($AD69&lt;=$C$25*12,SUM(Inputs!$C$61:$C$78)*'Forecast (By Month)'!AG69,"-")</f>
        <v>1205.0225085937502</v>
      </c>
      <c r="AI69" s="132">
        <f>IF($AD69&lt;=$C$25*12,(SUMIF(Inputs!$C$61:$C$78,0,Inputs!$F$61:$F$78)/12)*(1+$C$34)^ROUNDDOWN((AD69-1)/12,0),"-")</f>
        <v>1488.1666666666667</v>
      </c>
      <c r="AJ69" s="132">
        <f t="shared" ref="AJ69:AJ132" si="45">IF($AD69&lt;=$C$25*12,SUM(AH69:AI69),"-")</f>
        <v>2693.189175260417</v>
      </c>
      <c r="AK69" s="132">
        <f>IF($AD69&lt;=$C$25*12,'Mortgage Calculators (By Month)'!$J87,"-")</f>
        <v>0</v>
      </c>
      <c r="AL69" s="132">
        <f>IF($AD69&lt;=$C$25*12,'Mortgage Calculators (By Month)'!$K87,"-")</f>
        <v>0</v>
      </c>
      <c r="AM69" s="132">
        <f>IF($AD69&lt;=$C$25*12,'Mortgage Calculators (By Month)'!$L87,"-")</f>
        <v>10</v>
      </c>
      <c r="AN69" s="132">
        <f t="shared" si="27"/>
        <v>0</v>
      </c>
      <c r="AO69" s="132">
        <f t="shared" ref="AO69:AO132" si="46">IF($AD69&lt;=$C$25*12,AJ69+AM69+AN69,"-")</f>
        <v>2703.189175260417</v>
      </c>
      <c r="AP69" s="132">
        <f t="shared" ref="AP69:AP132" si="47">IF($AD69&lt;=$C$25*12,$AG69-$AJ69-AK69,"-")</f>
        <v>8261.5609028645849</v>
      </c>
      <c r="AQ69" s="132">
        <f t="shared" ref="AQ69:AQ132" si="48">IF($AD69&lt;=$C$25*12,(AG69-AO69)*$C$35,"-")</f>
        <v>0</v>
      </c>
      <c r="AR69" s="132">
        <f t="shared" si="29"/>
        <v>8261.5609028645849</v>
      </c>
      <c r="AS69" s="132">
        <f>IF($AD69&lt;=$C$25*12,SUM(AR$5:AR69),"-")</f>
        <v>458542.42120182293</v>
      </c>
      <c r="AT69" s="132">
        <f>IF($AD69&lt;=$C$25*12,AE69-$C$10-'RE Calculations'!$C256-'Mortgage Calculators (By Month)'!$M87,"-")</f>
        <v>481457.39942942816</v>
      </c>
      <c r="AU69" s="29">
        <f t="shared" ref="AU69:AU132" si="49">IF($AD69&lt;=$C$25*12,AT69/$C$10,"-")</f>
        <v>0.30071785137254287</v>
      </c>
      <c r="AV69" s="31">
        <f t="shared" ref="AV69:AV132" si="50">IF($AD69&lt;=$C$25*12,AU69/($AD69/12),"-")</f>
        <v>5.5517141791854067E-2</v>
      </c>
      <c r="AW69" s="132">
        <f t="shared" ref="AW69:AW132" si="51">IF($AD69&lt;=$C$25*12,AT69+AS69,"-")</f>
        <v>939999.82063125109</v>
      </c>
      <c r="AX69" s="29">
        <f t="shared" ref="AX69:AX132" si="52">IF($AD69&lt;=$C$25*12,AW69/$C$10,"-")</f>
        <v>0.58712302830074137</v>
      </c>
      <c r="AY69" s="31">
        <f t="shared" ref="AY69:AY132" si="53">IF($AD69&lt;=$C$25*12,AX69/($AD69/12),"-")</f>
        <v>0.10839194368629071</v>
      </c>
    </row>
    <row r="70" spans="6:51" x14ac:dyDescent="0.35">
      <c r="F70" s="12">
        <f t="shared" si="30"/>
        <v>66</v>
      </c>
      <c r="G70" s="132">
        <f t="shared" si="31"/>
        <v>2138252.0736808642</v>
      </c>
      <c r="H70" s="132">
        <f>IF($F70&lt;=$C$16*12,$G70-$C$7+SUM('Mortgage Calculators (By Month)'!$D$23:$D88),"-")</f>
        <v>2138252.0736808642</v>
      </c>
      <c r="I70" s="132">
        <f t="shared" si="32"/>
        <v>10954.750078125002</v>
      </c>
      <c r="J70" s="132">
        <f>IF($F70&lt;=$C$16*12,SUM(Inputs!$C$61:$C$78)*'Forecast (By Month)'!I70,"-")</f>
        <v>1205.0225085937502</v>
      </c>
      <c r="K70" s="132">
        <f>IF($F70&lt;=$C$16*12,(SUMIF(Inputs!$C$61:$C$78,0,Inputs!$F$61:$F$78)/12)*(1+$C$34)^ROUNDDOWN((F70-1)/12,0),"-")</f>
        <v>1488.1666666666667</v>
      </c>
      <c r="L70" s="132">
        <f t="shared" si="33"/>
        <v>2693.189175260417</v>
      </c>
      <c r="M70" s="132">
        <f>IF($F70&lt;=$C$16*12,'Mortgage Calculators (By Month)'!$C88,"-")</f>
        <v>0</v>
      </c>
      <c r="N70" s="132">
        <f>IF($F70&lt;=$C$16*12,'Mortgage Calculators (By Month)'!$D88,"-")</f>
        <v>0</v>
      </c>
      <c r="O70" s="132">
        <f>IF($F70&lt;=$C$16*12,'Mortgage Calculators (By Month)'!$E88,"-")</f>
        <v>8.3333333333333339</v>
      </c>
      <c r="P70" s="132">
        <f t="shared" ref="P70:P133" si="54">IF($F70&lt;=$C$16*12,IF($F70&lt;=$C$38*12,IFERROR($C$37/($C$38*12),0),0),"-")</f>
        <v>0</v>
      </c>
      <c r="Q70" s="132">
        <f t="shared" si="34"/>
        <v>2701.5225085937504</v>
      </c>
      <c r="R70" s="132">
        <f t="shared" si="35"/>
        <v>8261.5609028645849</v>
      </c>
      <c r="S70" s="132">
        <f t="shared" si="36"/>
        <v>0</v>
      </c>
      <c r="T70" s="132">
        <f t="shared" si="28"/>
        <v>8261.5609028645849</v>
      </c>
      <c r="U70" s="132">
        <f>IF($F70&lt;=$C$16*12,SUM(T$5:T70),"-")</f>
        <v>466813.98210468749</v>
      </c>
      <c r="V70" s="132">
        <f>IF($F70&lt;=$C$16*12,G70-$C$10-'RE Calculations'!$C257-'Mortgage Calculators (By Month)'!$F88,"-")</f>
        <v>489960.03220724681</v>
      </c>
      <c r="W70" s="29">
        <f t="shared" si="37"/>
        <v>0.30602858802958777</v>
      </c>
      <c r="X70" s="31">
        <f t="shared" si="38"/>
        <v>5.5641561459925049E-2</v>
      </c>
      <c r="Y70" s="132">
        <f t="shared" si="39"/>
        <v>956774.01431193436</v>
      </c>
      <c r="Z70" s="29">
        <f t="shared" si="40"/>
        <v>0.5976001743330589</v>
      </c>
      <c r="AA70" s="31">
        <f t="shared" si="41"/>
        <v>0.10865457715146526</v>
      </c>
      <c r="AD70" s="12">
        <f t="shared" si="42"/>
        <v>66</v>
      </c>
      <c r="AE70" s="132">
        <f t="shared" si="43"/>
        <v>2138252.0736808642</v>
      </c>
      <c r="AF70" s="132">
        <f>IF($AD70&lt;=$C$25*12,$AE70-$C$7+SUM('Mortgage Calculators (By Month)'!$K$23:$K88),"-")</f>
        <v>2138252.0736808642</v>
      </c>
      <c r="AG70" s="132">
        <f t="shared" si="44"/>
        <v>10954.750078125002</v>
      </c>
      <c r="AH70" s="132">
        <f>IF($AD70&lt;=$C$25*12,SUM(Inputs!$C$61:$C$78)*'Forecast (By Month)'!AG70,"-")</f>
        <v>1205.0225085937502</v>
      </c>
      <c r="AI70" s="132">
        <f>IF($AD70&lt;=$C$25*12,(SUMIF(Inputs!$C$61:$C$78,0,Inputs!$F$61:$F$78)/12)*(1+$C$34)^ROUNDDOWN((AD70-1)/12,0),"-")</f>
        <v>1488.1666666666667</v>
      </c>
      <c r="AJ70" s="132">
        <f t="shared" si="45"/>
        <v>2693.189175260417</v>
      </c>
      <c r="AK70" s="132">
        <f>IF($AD70&lt;=$C$25*12,'Mortgage Calculators (By Month)'!$J88,"-")</f>
        <v>0</v>
      </c>
      <c r="AL70" s="132">
        <f>IF($AD70&lt;=$C$25*12,'Mortgage Calculators (By Month)'!$K88,"-")</f>
        <v>0</v>
      </c>
      <c r="AM70" s="132">
        <f>IF($AD70&lt;=$C$25*12,'Mortgage Calculators (By Month)'!$L88,"-")</f>
        <v>10</v>
      </c>
      <c r="AN70" s="132">
        <f t="shared" ref="AN70:AN133" si="55">IF($AD70&lt;=$C$25*12,IF($AD70&lt;=$C$38*12,IFERROR($C$37/($C$38*12),0),0),"-")</f>
        <v>0</v>
      </c>
      <c r="AO70" s="132">
        <f t="shared" si="46"/>
        <v>2703.189175260417</v>
      </c>
      <c r="AP70" s="132">
        <f t="shared" si="47"/>
        <v>8261.5609028645849</v>
      </c>
      <c r="AQ70" s="132">
        <f t="shared" si="48"/>
        <v>0</v>
      </c>
      <c r="AR70" s="132">
        <f t="shared" si="29"/>
        <v>8261.5609028645849</v>
      </c>
      <c r="AS70" s="132">
        <f>IF($AD70&lt;=$C$25*12,SUM(AR$5:AR70),"-")</f>
        <v>466803.98210468749</v>
      </c>
      <c r="AT70" s="132">
        <f>IF($AD70&lt;=$C$25*12,AE70-$C$10-'RE Calculations'!$C257-'Mortgage Calculators (By Month)'!$M88,"-")</f>
        <v>489960.03220724681</v>
      </c>
      <c r="AU70" s="29">
        <f t="shared" si="49"/>
        <v>0.30602858802958777</v>
      </c>
      <c r="AV70" s="31">
        <f t="shared" si="50"/>
        <v>5.5641561459925049E-2</v>
      </c>
      <c r="AW70" s="132">
        <f t="shared" si="51"/>
        <v>956764.01431193436</v>
      </c>
      <c r="AX70" s="29">
        <f t="shared" si="52"/>
        <v>0.59759392834220437</v>
      </c>
      <c r="AY70" s="31">
        <f t="shared" si="53"/>
        <v>0.10865344151676443</v>
      </c>
    </row>
    <row r="71" spans="6:51" x14ac:dyDescent="0.35">
      <c r="F71" s="12">
        <f t="shared" si="30"/>
        <v>67</v>
      </c>
      <c r="G71" s="132">
        <f t="shared" si="31"/>
        <v>2146963.577309683</v>
      </c>
      <c r="H71" s="132">
        <f>IF($F71&lt;=$C$16*12,$G71-$C$7+SUM('Mortgage Calculators (By Month)'!$D$23:$D89),"-")</f>
        <v>2146963.577309683</v>
      </c>
      <c r="I71" s="132">
        <f t="shared" si="32"/>
        <v>10954.750078125002</v>
      </c>
      <c r="J71" s="132">
        <f>IF($F71&lt;=$C$16*12,SUM(Inputs!$C$61:$C$78)*'Forecast (By Month)'!I71,"-")</f>
        <v>1205.0225085937502</v>
      </c>
      <c r="K71" s="132">
        <f>IF($F71&lt;=$C$16*12,(SUMIF(Inputs!$C$61:$C$78,0,Inputs!$F$61:$F$78)/12)*(1+$C$34)^ROUNDDOWN((F71-1)/12,0),"-")</f>
        <v>1488.1666666666667</v>
      </c>
      <c r="L71" s="132">
        <f t="shared" si="33"/>
        <v>2693.189175260417</v>
      </c>
      <c r="M71" s="132">
        <f>IF($F71&lt;=$C$16*12,'Mortgage Calculators (By Month)'!$C89,"-")</f>
        <v>0</v>
      </c>
      <c r="N71" s="132">
        <f>IF($F71&lt;=$C$16*12,'Mortgage Calculators (By Month)'!$D89,"-")</f>
        <v>0</v>
      </c>
      <c r="O71" s="132">
        <f>IF($F71&lt;=$C$16*12,'Mortgage Calculators (By Month)'!$E89,"-")</f>
        <v>8.3333333333333339</v>
      </c>
      <c r="P71" s="132">
        <f t="shared" si="54"/>
        <v>0</v>
      </c>
      <c r="Q71" s="132">
        <f t="shared" si="34"/>
        <v>2701.5225085937504</v>
      </c>
      <c r="R71" s="132">
        <f t="shared" si="35"/>
        <v>8261.5609028645849</v>
      </c>
      <c r="S71" s="132">
        <f t="shared" si="36"/>
        <v>0</v>
      </c>
      <c r="T71" s="132">
        <f t="shared" si="28"/>
        <v>8261.5609028645849</v>
      </c>
      <c r="U71" s="132">
        <f>IF($F71&lt;=$C$16*12,SUM(T$5:T71),"-")</f>
        <v>475075.54300755204</v>
      </c>
      <c r="V71" s="132">
        <f>IF($F71&lt;=$C$16*12,G71-$C$10-'RE Calculations'!$C258-'Mortgage Calculators (By Month)'!$F89,"-")</f>
        <v>498497.30576348922</v>
      </c>
      <c r="W71" s="29">
        <f t="shared" si="37"/>
        <v>0.31136096128515584</v>
      </c>
      <c r="X71" s="31">
        <f t="shared" si="38"/>
        <v>5.5766142319729407E-2</v>
      </c>
      <c r="Y71" s="132">
        <f t="shared" si="39"/>
        <v>973572.84877104126</v>
      </c>
      <c r="Z71" s="29">
        <f t="shared" si="40"/>
        <v>0.60809271097304496</v>
      </c>
      <c r="AA71" s="31">
        <f t="shared" si="41"/>
        <v>0.10891212733845582</v>
      </c>
      <c r="AD71" s="12">
        <f t="shared" si="42"/>
        <v>67</v>
      </c>
      <c r="AE71" s="132">
        <f t="shared" si="43"/>
        <v>2146963.577309683</v>
      </c>
      <c r="AF71" s="132">
        <f>IF($AD71&lt;=$C$25*12,$AE71-$C$7+SUM('Mortgage Calculators (By Month)'!$K$23:$K89),"-")</f>
        <v>2146963.577309683</v>
      </c>
      <c r="AG71" s="132">
        <f t="shared" si="44"/>
        <v>10954.750078125002</v>
      </c>
      <c r="AH71" s="132">
        <f>IF($AD71&lt;=$C$25*12,SUM(Inputs!$C$61:$C$78)*'Forecast (By Month)'!AG71,"-")</f>
        <v>1205.0225085937502</v>
      </c>
      <c r="AI71" s="132">
        <f>IF($AD71&lt;=$C$25*12,(SUMIF(Inputs!$C$61:$C$78,0,Inputs!$F$61:$F$78)/12)*(1+$C$34)^ROUNDDOWN((AD71-1)/12,0),"-")</f>
        <v>1488.1666666666667</v>
      </c>
      <c r="AJ71" s="132">
        <f t="shared" si="45"/>
        <v>2693.189175260417</v>
      </c>
      <c r="AK71" s="132">
        <f>IF($AD71&lt;=$C$25*12,'Mortgage Calculators (By Month)'!$J89,"-")</f>
        <v>0</v>
      </c>
      <c r="AL71" s="132">
        <f>IF($AD71&lt;=$C$25*12,'Mortgage Calculators (By Month)'!$K89,"-")</f>
        <v>0</v>
      </c>
      <c r="AM71" s="132">
        <f>IF($AD71&lt;=$C$25*12,'Mortgage Calculators (By Month)'!$L89,"-")</f>
        <v>10</v>
      </c>
      <c r="AN71" s="132">
        <f t="shared" si="55"/>
        <v>0</v>
      </c>
      <c r="AO71" s="132">
        <f t="shared" si="46"/>
        <v>2703.189175260417</v>
      </c>
      <c r="AP71" s="132">
        <f t="shared" si="47"/>
        <v>8261.5609028645849</v>
      </c>
      <c r="AQ71" s="132">
        <f t="shared" si="48"/>
        <v>0</v>
      </c>
      <c r="AR71" s="132">
        <f t="shared" si="29"/>
        <v>8261.5609028645849</v>
      </c>
      <c r="AS71" s="132">
        <f>IF($AD71&lt;=$C$25*12,SUM(AR$5:AR71),"-")</f>
        <v>475065.54300755204</v>
      </c>
      <c r="AT71" s="132">
        <f>IF($AD71&lt;=$C$25*12,AE71-$C$10-'RE Calculations'!$C258-'Mortgage Calculators (By Month)'!$M89,"-")</f>
        <v>498497.30576348922</v>
      </c>
      <c r="AU71" s="29">
        <f t="shared" si="49"/>
        <v>0.31136096128515584</v>
      </c>
      <c r="AV71" s="31">
        <f t="shared" si="50"/>
        <v>5.5766142319729407E-2</v>
      </c>
      <c r="AW71" s="132">
        <f t="shared" si="51"/>
        <v>973562.84877104126</v>
      </c>
      <c r="AX71" s="29">
        <f t="shared" si="52"/>
        <v>0.60808646498219032</v>
      </c>
      <c r="AY71" s="31">
        <f t="shared" si="53"/>
        <v>0.10891100865352663</v>
      </c>
    </row>
    <row r="72" spans="6:51" x14ac:dyDescent="0.35">
      <c r="F72" s="12">
        <f t="shared" si="30"/>
        <v>68</v>
      </c>
      <c r="G72" s="132">
        <f t="shared" si="31"/>
        <v>2155710.572682627</v>
      </c>
      <c r="H72" s="132">
        <f>IF($F72&lt;=$C$16*12,$G72-$C$7+SUM('Mortgage Calculators (By Month)'!$D$23:$D90),"-")</f>
        <v>2155710.572682627</v>
      </c>
      <c r="I72" s="132">
        <f t="shared" si="32"/>
        <v>10954.750078125002</v>
      </c>
      <c r="J72" s="132">
        <f>IF($F72&lt;=$C$16*12,SUM(Inputs!$C$61:$C$78)*'Forecast (By Month)'!I72,"-")</f>
        <v>1205.0225085937502</v>
      </c>
      <c r="K72" s="132">
        <f>IF($F72&lt;=$C$16*12,(SUMIF(Inputs!$C$61:$C$78,0,Inputs!$F$61:$F$78)/12)*(1+$C$34)^ROUNDDOWN((F72-1)/12,0),"-")</f>
        <v>1488.1666666666667</v>
      </c>
      <c r="L72" s="132">
        <f t="shared" si="33"/>
        <v>2693.189175260417</v>
      </c>
      <c r="M72" s="132">
        <f>IF($F72&lt;=$C$16*12,'Mortgage Calculators (By Month)'!$C90,"-")</f>
        <v>0</v>
      </c>
      <c r="N72" s="132">
        <f>IF($F72&lt;=$C$16*12,'Mortgage Calculators (By Month)'!$D90,"-")</f>
        <v>0</v>
      </c>
      <c r="O72" s="132">
        <f>IF($F72&lt;=$C$16*12,'Mortgage Calculators (By Month)'!$E90,"-")</f>
        <v>8.3333333333333339</v>
      </c>
      <c r="P72" s="132">
        <f t="shared" si="54"/>
        <v>0</v>
      </c>
      <c r="Q72" s="132">
        <f t="shared" si="34"/>
        <v>2701.5225085937504</v>
      </c>
      <c r="R72" s="132">
        <f t="shared" si="35"/>
        <v>8261.5609028645849</v>
      </c>
      <c r="S72" s="132">
        <f t="shared" si="36"/>
        <v>0</v>
      </c>
      <c r="T72" s="132">
        <f t="shared" si="28"/>
        <v>8261.5609028645849</v>
      </c>
      <c r="U72" s="132">
        <f>IF($F72&lt;=$C$16*12,SUM(T$5:T72),"-")</f>
        <v>483337.1039104166</v>
      </c>
      <c r="V72" s="132">
        <f>IF($F72&lt;=$C$16*12,G72-$C$10-'RE Calculations'!$C259-'Mortgage Calculators (By Month)'!$F90,"-")</f>
        <v>507069.36122897436</v>
      </c>
      <c r="W72" s="29">
        <f t="shared" si="37"/>
        <v>0.31671505928942756</v>
      </c>
      <c r="X72" s="31">
        <f t="shared" si="38"/>
        <v>5.5890892815781329E-2</v>
      </c>
      <c r="Y72" s="132">
        <f t="shared" si="39"/>
        <v>990406.4651393909</v>
      </c>
      <c r="Z72" s="29">
        <f t="shared" si="40"/>
        <v>0.61860697236173467</v>
      </c>
      <c r="AA72" s="31">
        <f t="shared" si="41"/>
        <v>0.10916593629912964</v>
      </c>
      <c r="AD72" s="12">
        <f t="shared" si="42"/>
        <v>68</v>
      </c>
      <c r="AE72" s="132">
        <f t="shared" si="43"/>
        <v>2155710.572682627</v>
      </c>
      <c r="AF72" s="132">
        <f>IF($AD72&lt;=$C$25*12,$AE72-$C$7+SUM('Mortgage Calculators (By Month)'!$K$23:$K90),"-")</f>
        <v>2155710.572682627</v>
      </c>
      <c r="AG72" s="132">
        <f t="shared" si="44"/>
        <v>10954.750078125002</v>
      </c>
      <c r="AH72" s="132">
        <f>IF($AD72&lt;=$C$25*12,SUM(Inputs!$C$61:$C$78)*'Forecast (By Month)'!AG72,"-")</f>
        <v>1205.0225085937502</v>
      </c>
      <c r="AI72" s="132">
        <f>IF($AD72&lt;=$C$25*12,(SUMIF(Inputs!$C$61:$C$78,0,Inputs!$F$61:$F$78)/12)*(1+$C$34)^ROUNDDOWN((AD72-1)/12,0),"-")</f>
        <v>1488.1666666666667</v>
      </c>
      <c r="AJ72" s="132">
        <f t="shared" si="45"/>
        <v>2693.189175260417</v>
      </c>
      <c r="AK72" s="132">
        <f>IF($AD72&lt;=$C$25*12,'Mortgage Calculators (By Month)'!$J90,"-")</f>
        <v>0</v>
      </c>
      <c r="AL72" s="132">
        <f>IF($AD72&lt;=$C$25*12,'Mortgage Calculators (By Month)'!$K90,"-")</f>
        <v>0</v>
      </c>
      <c r="AM72" s="132">
        <f>IF($AD72&lt;=$C$25*12,'Mortgage Calculators (By Month)'!$L90,"-")</f>
        <v>10</v>
      </c>
      <c r="AN72" s="132">
        <f t="shared" si="55"/>
        <v>0</v>
      </c>
      <c r="AO72" s="132">
        <f t="shared" si="46"/>
        <v>2703.189175260417</v>
      </c>
      <c r="AP72" s="132">
        <f t="shared" si="47"/>
        <v>8261.5609028645849</v>
      </c>
      <c r="AQ72" s="132">
        <f t="shared" si="48"/>
        <v>0</v>
      </c>
      <c r="AR72" s="132">
        <f t="shared" si="29"/>
        <v>8261.5609028645849</v>
      </c>
      <c r="AS72" s="132">
        <f>IF($AD72&lt;=$C$25*12,SUM(AR$5:AR72),"-")</f>
        <v>483327.1039104166</v>
      </c>
      <c r="AT72" s="132">
        <f>IF($AD72&lt;=$C$25*12,AE72-$C$10-'RE Calculations'!$C259-'Mortgage Calculators (By Month)'!$M90,"-")</f>
        <v>507069.36122897436</v>
      </c>
      <c r="AU72" s="29">
        <f t="shared" si="49"/>
        <v>0.31671505928942756</v>
      </c>
      <c r="AV72" s="31">
        <f t="shared" si="50"/>
        <v>5.5890892815781329E-2</v>
      </c>
      <c r="AW72" s="132">
        <f t="shared" si="51"/>
        <v>990396.4651393909</v>
      </c>
      <c r="AX72" s="29">
        <f t="shared" si="52"/>
        <v>0.61860072637088004</v>
      </c>
      <c r="AY72" s="31">
        <f t="shared" si="53"/>
        <v>0.10916483406544941</v>
      </c>
    </row>
    <row r="73" spans="6:51" x14ac:dyDescent="0.35">
      <c r="F73" s="12">
        <f t="shared" si="30"/>
        <v>69</v>
      </c>
      <c r="G73" s="132">
        <f t="shared" si="31"/>
        <v>2164493.2043974553</v>
      </c>
      <c r="H73" s="132">
        <f>IF($F73&lt;=$C$16*12,$G73-$C$7+SUM('Mortgage Calculators (By Month)'!$D$23:$D91),"-")</f>
        <v>2164493.2043974553</v>
      </c>
      <c r="I73" s="132">
        <f t="shared" si="32"/>
        <v>10954.750078125002</v>
      </c>
      <c r="J73" s="132">
        <f>IF($F73&lt;=$C$16*12,SUM(Inputs!$C$61:$C$78)*'Forecast (By Month)'!I73,"-")</f>
        <v>1205.0225085937502</v>
      </c>
      <c r="K73" s="132">
        <f>IF($F73&lt;=$C$16*12,(SUMIF(Inputs!$C$61:$C$78,0,Inputs!$F$61:$F$78)/12)*(1+$C$34)^ROUNDDOWN((F73-1)/12,0),"-")</f>
        <v>1488.1666666666667</v>
      </c>
      <c r="L73" s="132">
        <f t="shared" si="33"/>
        <v>2693.189175260417</v>
      </c>
      <c r="M73" s="132">
        <f>IF($F73&lt;=$C$16*12,'Mortgage Calculators (By Month)'!$C91,"-")</f>
        <v>0</v>
      </c>
      <c r="N73" s="132">
        <f>IF($F73&lt;=$C$16*12,'Mortgage Calculators (By Month)'!$D91,"-")</f>
        <v>0</v>
      </c>
      <c r="O73" s="132">
        <f>IF($F73&lt;=$C$16*12,'Mortgage Calculators (By Month)'!$E91,"-")</f>
        <v>8.3333333333333339</v>
      </c>
      <c r="P73" s="132">
        <f t="shared" si="54"/>
        <v>0</v>
      </c>
      <c r="Q73" s="132">
        <f t="shared" si="34"/>
        <v>2701.5225085937504</v>
      </c>
      <c r="R73" s="132">
        <f t="shared" si="35"/>
        <v>8261.5609028645849</v>
      </c>
      <c r="S73" s="132">
        <f t="shared" si="36"/>
        <v>0</v>
      </c>
      <c r="T73" s="132">
        <f t="shared" si="28"/>
        <v>8261.5609028645849</v>
      </c>
      <c r="U73" s="132">
        <f>IF($F73&lt;=$C$16*12,SUM(T$5:T73),"-")</f>
        <v>491598.66481328115</v>
      </c>
      <c r="V73" s="132">
        <f>IF($F73&lt;=$C$16*12,G73-$C$10-'RE Calculations'!$C260-'Mortgage Calculators (By Month)'!$F91,"-")</f>
        <v>515676.34030950611</v>
      </c>
      <c r="W73" s="29">
        <f t="shared" si="37"/>
        <v>0.32209097055171843</v>
      </c>
      <c r="X73" s="31">
        <f t="shared" si="38"/>
        <v>5.6015820965516251E-2</v>
      </c>
      <c r="Y73" s="132">
        <f t="shared" si="39"/>
        <v>1007275.0051227873</v>
      </c>
      <c r="Z73" s="29">
        <f t="shared" si="40"/>
        <v>0.62914304700844348</v>
      </c>
      <c r="AA73" s="31">
        <f t="shared" si="41"/>
        <v>0.10941618208842495</v>
      </c>
      <c r="AD73" s="12">
        <f t="shared" si="42"/>
        <v>69</v>
      </c>
      <c r="AE73" s="132">
        <f t="shared" si="43"/>
        <v>2164493.2043974553</v>
      </c>
      <c r="AF73" s="132">
        <f>IF($AD73&lt;=$C$25*12,$AE73-$C$7+SUM('Mortgage Calculators (By Month)'!$K$23:$K91),"-")</f>
        <v>2164493.2043974553</v>
      </c>
      <c r="AG73" s="132">
        <f t="shared" si="44"/>
        <v>10954.750078125002</v>
      </c>
      <c r="AH73" s="132">
        <f>IF($AD73&lt;=$C$25*12,SUM(Inputs!$C$61:$C$78)*'Forecast (By Month)'!AG73,"-")</f>
        <v>1205.0225085937502</v>
      </c>
      <c r="AI73" s="132">
        <f>IF($AD73&lt;=$C$25*12,(SUMIF(Inputs!$C$61:$C$78,0,Inputs!$F$61:$F$78)/12)*(1+$C$34)^ROUNDDOWN((AD73-1)/12,0),"-")</f>
        <v>1488.1666666666667</v>
      </c>
      <c r="AJ73" s="132">
        <f t="shared" si="45"/>
        <v>2693.189175260417</v>
      </c>
      <c r="AK73" s="132">
        <f>IF($AD73&lt;=$C$25*12,'Mortgage Calculators (By Month)'!$J91,"-")</f>
        <v>0</v>
      </c>
      <c r="AL73" s="132">
        <f>IF($AD73&lt;=$C$25*12,'Mortgage Calculators (By Month)'!$K91,"-")</f>
        <v>0</v>
      </c>
      <c r="AM73" s="132">
        <f>IF($AD73&lt;=$C$25*12,'Mortgage Calculators (By Month)'!$L91,"-")</f>
        <v>10</v>
      </c>
      <c r="AN73" s="132">
        <f t="shared" si="55"/>
        <v>0</v>
      </c>
      <c r="AO73" s="132">
        <f t="shared" si="46"/>
        <v>2703.189175260417</v>
      </c>
      <c r="AP73" s="132">
        <f t="shared" si="47"/>
        <v>8261.5609028645849</v>
      </c>
      <c r="AQ73" s="132">
        <f t="shared" si="48"/>
        <v>0</v>
      </c>
      <c r="AR73" s="132">
        <f t="shared" si="29"/>
        <v>8261.5609028645849</v>
      </c>
      <c r="AS73" s="132">
        <f>IF($AD73&lt;=$C$25*12,SUM(AR$5:AR73),"-")</f>
        <v>491588.66481328115</v>
      </c>
      <c r="AT73" s="132">
        <f>IF($AD73&lt;=$C$25*12,AE73-$C$10-'RE Calculations'!$C260-'Mortgage Calculators (By Month)'!$M91,"-")</f>
        <v>515676.34030950611</v>
      </c>
      <c r="AU73" s="29">
        <f t="shared" si="49"/>
        <v>0.32209097055171843</v>
      </c>
      <c r="AV73" s="31">
        <f t="shared" si="50"/>
        <v>5.6015820965516251E-2</v>
      </c>
      <c r="AW73" s="132">
        <f t="shared" si="51"/>
        <v>1007265.0051227873</v>
      </c>
      <c r="AX73" s="29">
        <f t="shared" si="52"/>
        <v>0.62913680101758895</v>
      </c>
      <c r="AY73" s="31">
        <f t="shared" si="53"/>
        <v>0.10941509582914591</v>
      </c>
    </row>
    <row r="74" spans="6:51" x14ac:dyDescent="0.35">
      <c r="F74" s="12">
        <f t="shared" si="30"/>
        <v>70</v>
      </c>
      <c r="G74" s="132">
        <f t="shared" si="31"/>
        <v>2173311.6176410364</v>
      </c>
      <c r="H74" s="132">
        <f>IF($F74&lt;=$C$16*12,$G74-$C$7+SUM('Mortgage Calculators (By Month)'!$D$23:$D92),"-")</f>
        <v>2173311.6176410364</v>
      </c>
      <c r="I74" s="132">
        <f t="shared" si="32"/>
        <v>10954.750078125002</v>
      </c>
      <c r="J74" s="132">
        <f>IF($F74&lt;=$C$16*12,SUM(Inputs!$C$61:$C$78)*'Forecast (By Month)'!I74,"-")</f>
        <v>1205.0225085937502</v>
      </c>
      <c r="K74" s="132">
        <f>IF($F74&lt;=$C$16*12,(SUMIF(Inputs!$C$61:$C$78,0,Inputs!$F$61:$F$78)/12)*(1+$C$34)^ROUNDDOWN((F74-1)/12,0),"-")</f>
        <v>1488.1666666666667</v>
      </c>
      <c r="L74" s="132">
        <f t="shared" si="33"/>
        <v>2693.189175260417</v>
      </c>
      <c r="M74" s="132">
        <f>IF($F74&lt;=$C$16*12,'Mortgage Calculators (By Month)'!$C92,"-")</f>
        <v>0</v>
      </c>
      <c r="N74" s="132">
        <f>IF($F74&lt;=$C$16*12,'Mortgage Calculators (By Month)'!$D92,"-")</f>
        <v>0</v>
      </c>
      <c r="O74" s="132">
        <f>IF($F74&lt;=$C$16*12,'Mortgage Calculators (By Month)'!$E92,"-")</f>
        <v>8.3333333333333339</v>
      </c>
      <c r="P74" s="132">
        <f t="shared" si="54"/>
        <v>0</v>
      </c>
      <c r="Q74" s="132">
        <f t="shared" si="34"/>
        <v>2701.5225085937504</v>
      </c>
      <c r="R74" s="132">
        <f t="shared" si="35"/>
        <v>8261.5609028645849</v>
      </c>
      <c r="S74" s="132">
        <f t="shared" si="36"/>
        <v>0</v>
      </c>
      <c r="T74" s="132">
        <f t="shared" si="28"/>
        <v>8261.5609028645849</v>
      </c>
      <c r="U74" s="132">
        <f>IF($F74&lt;=$C$16*12,SUM(T$5:T74),"-")</f>
        <v>499860.22571614571</v>
      </c>
      <c r="V74" s="132">
        <f>IF($F74&lt;=$C$16*12,G74-$C$10-'RE Calculations'!$C261-'Mortgage Calculators (By Month)'!$F92,"-")</f>
        <v>524318.38528821559</v>
      </c>
      <c r="W74" s="29">
        <f t="shared" si="37"/>
        <v>0.32748878394194203</v>
      </c>
      <c r="X74" s="31">
        <f t="shared" si="38"/>
        <v>5.6140934390047206E-2</v>
      </c>
      <c r="Y74" s="132">
        <f t="shared" si="39"/>
        <v>1024178.6110043613</v>
      </c>
      <c r="Z74" s="29">
        <f t="shared" si="40"/>
        <v>0.63970102378308502</v>
      </c>
      <c r="AA74" s="31">
        <f t="shared" si="41"/>
        <v>0.10966303264852886</v>
      </c>
      <c r="AD74" s="12">
        <f t="shared" si="42"/>
        <v>70</v>
      </c>
      <c r="AE74" s="132">
        <f t="shared" si="43"/>
        <v>2173311.6176410364</v>
      </c>
      <c r="AF74" s="132">
        <f>IF($AD74&lt;=$C$25*12,$AE74-$C$7+SUM('Mortgage Calculators (By Month)'!$K$23:$K92),"-")</f>
        <v>2173311.6176410364</v>
      </c>
      <c r="AG74" s="132">
        <f t="shared" si="44"/>
        <v>10954.750078125002</v>
      </c>
      <c r="AH74" s="132">
        <f>IF($AD74&lt;=$C$25*12,SUM(Inputs!$C$61:$C$78)*'Forecast (By Month)'!AG74,"-")</f>
        <v>1205.0225085937502</v>
      </c>
      <c r="AI74" s="132">
        <f>IF($AD74&lt;=$C$25*12,(SUMIF(Inputs!$C$61:$C$78,0,Inputs!$F$61:$F$78)/12)*(1+$C$34)^ROUNDDOWN((AD74-1)/12,0),"-")</f>
        <v>1488.1666666666667</v>
      </c>
      <c r="AJ74" s="132">
        <f t="shared" si="45"/>
        <v>2693.189175260417</v>
      </c>
      <c r="AK74" s="132">
        <f>IF($AD74&lt;=$C$25*12,'Mortgage Calculators (By Month)'!$J92,"-")</f>
        <v>0</v>
      </c>
      <c r="AL74" s="132">
        <f>IF($AD74&lt;=$C$25*12,'Mortgage Calculators (By Month)'!$K92,"-")</f>
        <v>0</v>
      </c>
      <c r="AM74" s="132">
        <f>IF($AD74&lt;=$C$25*12,'Mortgage Calculators (By Month)'!$L92,"-")</f>
        <v>10</v>
      </c>
      <c r="AN74" s="132">
        <f t="shared" si="55"/>
        <v>0</v>
      </c>
      <c r="AO74" s="132">
        <f t="shared" si="46"/>
        <v>2703.189175260417</v>
      </c>
      <c r="AP74" s="132">
        <f t="shared" si="47"/>
        <v>8261.5609028645849</v>
      </c>
      <c r="AQ74" s="132">
        <f t="shared" si="48"/>
        <v>0</v>
      </c>
      <c r="AR74" s="132">
        <f t="shared" si="29"/>
        <v>8261.5609028645849</v>
      </c>
      <c r="AS74" s="132">
        <f>IF($AD74&lt;=$C$25*12,SUM(AR$5:AR74),"-")</f>
        <v>499850.22571614571</v>
      </c>
      <c r="AT74" s="132">
        <f>IF($AD74&lt;=$C$25*12,AE74-$C$10-'RE Calculations'!$C261-'Mortgage Calculators (By Month)'!$M92,"-")</f>
        <v>524318.38528821559</v>
      </c>
      <c r="AU74" s="29">
        <f t="shared" si="49"/>
        <v>0.32748878394194203</v>
      </c>
      <c r="AV74" s="31">
        <f t="shared" si="50"/>
        <v>5.6140934390047206E-2</v>
      </c>
      <c r="AW74" s="132">
        <f t="shared" si="51"/>
        <v>1024168.6110043613</v>
      </c>
      <c r="AX74" s="29">
        <f t="shared" si="52"/>
        <v>0.63969477779223038</v>
      </c>
      <c r="AY74" s="31">
        <f t="shared" si="53"/>
        <v>0.10966196190723949</v>
      </c>
    </row>
    <row r="75" spans="6:51" x14ac:dyDescent="0.35">
      <c r="F75" s="12">
        <f t="shared" si="30"/>
        <v>71</v>
      </c>
      <c r="G75" s="132">
        <f t="shared" si="31"/>
        <v>2182165.9581917468</v>
      </c>
      <c r="H75" s="132">
        <f>IF($F75&lt;=$C$16*12,$G75-$C$7+SUM('Mortgage Calculators (By Month)'!$D$23:$D93),"-")</f>
        <v>2182165.9581917468</v>
      </c>
      <c r="I75" s="132">
        <f t="shared" si="32"/>
        <v>10954.750078125002</v>
      </c>
      <c r="J75" s="132">
        <f>IF($F75&lt;=$C$16*12,SUM(Inputs!$C$61:$C$78)*'Forecast (By Month)'!I75,"-")</f>
        <v>1205.0225085937502</v>
      </c>
      <c r="K75" s="132">
        <f>IF($F75&lt;=$C$16*12,(SUMIF(Inputs!$C$61:$C$78,0,Inputs!$F$61:$F$78)/12)*(1+$C$34)^ROUNDDOWN((F75-1)/12,0),"-")</f>
        <v>1488.1666666666667</v>
      </c>
      <c r="L75" s="132">
        <f t="shared" si="33"/>
        <v>2693.189175260417</v>
      </c>
      <c r="M75" s="132">
        <f>IF($F75&lt;=$C$16*12,'Mortgage Calculators (By Month)'!$C93,"-")</f>
        <v>0</v>
      </c>
      <c r="N75" s="132">
        <f>IF($F75&lt;=$C$16*12,'Mortgage Calculators (By Month)'!$D93,"-")</f>
        <v>0</v>
      </c>
      <c r="O75" s="132">
        <f>IF($F75&lt;=$C$16*12,'Mortgage Calculators (By Month)'!$E93,"-")</f>
        <v>8.3333333333333339</v>
      </c>
      <c r="P75" s="132">
        <f t="shared" si="54"/>
        <v>0</v>
      </c>
      <c r="Q75" s="132">
        <f t="shared" si="34"/>
        <v>2701.5225085937504</v>
      </c>
      <c r="R75" s="132">
        <f t="shared" si="35"/>
        <v>8261.5609028645849</v>
      </c>
      <c r="S75" s="132">
        <f t="shared" si="36"/>
        <v>0</v>
      </c>
      <c r="T75" s="132">
        <f t="shared" si="28"/>
        <v>8261.5609028645849</v>
      </c>
      <c r="U75" s="132">
        <f>IF($F75&lt;=$C$16*12,SUM(T$5:T75),"-")</f>
        <v>508121.78661901026</v>
      </c>
      <c r="V75" s="132">
        <f>IF($F75&lt;=$C$16*12,G75-$C$10-'RE Calculations'!$C262-'Mortgage Calculators (By Month)'!$F93,"-")</f>
        <v>532995.63902791182</v>
      </c>
      <c r="W75" s="29">
        <f t="shared" si="37"/>
        <v>0.33290858869207818</v>
      </c>
      <c r="X75" s="31">
        <f t="shared" si="38"/>
        <v>5.6266240342323068E-2</v>
      </c>
      <c r="Y75" s="132">
        <f t="shared" si="39"/>
        <v>1041117.4256469221</v>
      </c>
      <c r="Z75" s="29">
        <f t="shared" si="40"/>
        <v>0.65028099191763922</v>
      </c>
      <c r="AA75" s="31">
        <f t="shared" si="41"/>
        <v>0.10990664652129113</v>
      </c>
      <c r="AD75" s="12">
        <f t="shared" si="42"/>
        <v>71</v>
      </c>
      <c r="AE75" s="132">
        <f t="shared" si="43"/>
        <v>2182165.9581917468</v>
      </c>
      <c r="AF75" s="132">
        <f>IF($AD75&lt;=$C$25*12,$AE75-$C$7+SUM('Mortgage Calculators (By Month)'!$K$23:$K93),"-")</f>
        <v>2182165.9581917468</v>
      </c>
      <c r="AG75" s="132">
        <f t="shared" si="44"/>
        <v>10954.750078125002</v>
      </c>
      <c r="AH75" s="132">
        <f>IF($AD75&lt;=$C$25*12,SUM(Inputs!$C$61:$C$78)*'Forecast (By Month)'!AG75,"-")</f>
        <v>1205.0225085937502</v>
      </c>
      <c r="AI75" s="132">
        <f>IF($AD75&lt;=$C$25*12,(SUMIF(Inputs!$C$61:$C$78,0,Inputs!$F$61:$F$78)/12)*(1+$C$34)^ROUNDDOWN((AD75-1)/12,0),"-")</f>
        <v>1488.1666666666667</v>
      </c>
      <c r="AJ75" s="132">
        <f t="shared" si="45"/>
        <v>2693.189175260417</v>
      </c>
      <c r="AK75" s="132">
        <f>IF($AD75&lt;=$C$25*12,'Mortgage Calculators (By Month)'!$J93,"-")</f>
        <v>0</v>
      </c>
      <c r="AL75" s="132">
        <f>IF($AD75&lt;=$C$25*12,'Mortgage Calculators (By Month)'!$K93,"-")</f>
        <v>0</v>
      </c>
      <c r="AM75" s="132">
        <f>IF($AD75&lt;=$C$25*12,'Mortgage Calculators (By Month)'!$L93,"-")</f>
        <v>10</v>
      </c>
      <c r="AN75" s="132">
        <f t="shared" si="55"/>
        <v>0</v>
      </c>
      <c r="AO75" s="132">
        <f t="shared" si="46"/>
        <v>2703.189175260417</v>
      </c>
      <c r="AP75" s="132">
        <f t="shared" si="47"/>
        <v>8261.5609028645849</v>
      </c>
      <c r="AQ75" s="132">
        <f t="shared" si="48"/>
        <v>0</v>
      </c>
      <c r="AR75" s="132">
        <f t="shared" si="29"/>
        <v>8261.5609028645849</v>
      </c>
      <c r="AS75" s="132">
        <f>IF($AD75&lt;=$C$25*12,SUM(AR$5:AR75),"-")</f>
        <v>508111.78661901026</v>
      </c>
      <c r="AT75" s="132">
        <f>IF($AD75&lt;=$C$25*12,AE75-$C$10-'RE Calculations'!$C262-'Mortgage Calculators (By Month)'!$M93,"-")</f>
        <v>532995.63902791182</v>
      </c>
      <c r="AU75" s="29">
        <f t="shared" si="49"/>
        <v>0.33290858869207818</v>
      </c>
      <c r="AV75" s="31">
        <f t="shared" si="50"/>
        <v>5.6266240342323068E-2</v>
      </c>
      <c r="AW75" s="132">
        <f t="shared" si="51"/>
        <v>1041107.4256469221</v>
      </c>
      <c r="AX75" s="29">
        <f t="shared" si="52"/>
        <v>0.65027474592678458</v>
      </c>
      <c r="AY75" s="31">
        <f t="shared" si="53"/>
        <v>0.10990559086086499</v>
      </c>
    </row>
    <row r="76" spans="6:51" x14ac:dyDescent="0.35">
      <c r="F76" s="12">
        <f t="shared" si="30"/>
        <v>72</v>
      </c>
      <c r="G76" s="132">
        <f t="shared" si="31"/>
        <v>2191056.3724218835</v>
      </c>
      <c r="H76" s="132">
        <f>IF($F76&lt;=$C$16*12,$G76-$C$7+SUM('Mortgage Calculators (By Month)'!$D$23:$D94),"-")</f>
        <v>2191056.3724218835</v>
      </c>
      <c r="I76" s="132">
        <f t="shared" si="32"/>
        <v>10954.750078125002</v>
      </c>
      <c r="J76" s="132">
        <f>IF($F76&lt;=$C$16*12,SUM(Inputs!$C$61:$C$78)*'Forecast (By Month)'!I76,"-")</f>
        <v>1205.0225085937502</v>
      </c>
      <c r="K76" s="132">
        <f>IF($F76&lt;=$C$16*12,(SUMIF(Inputs!$C$61:$C$78,0,Inputs!$F$61:$F$78)/12)*(1+$C$34)^ROUNDDOWN((F76-1)/12,0),"-")</f>
        <v>1488.1666666666667</v>
      </c>
      <c r="L76" s="132">
        <f t="shared" si="33"/>
        <v>2693.189175260417</v>
      </c>
      <c r="M76" s="132">
        <f>IF($F76&lt;=$C$16*12,'Mortgage Calculators (By Month)'!$C94,"-")</f>
        <v>0</v>
      </c>
      <c r="N76" s="132">
        <f>IF($F76&lt;=$C$16*12,'Mortgage Calculators (By Month)'!$D94,"-")</f>
        <v>0</v>
      </c>
      <c r="O76" s="132">
        <f>IF($F76&lt;=$C$16*12,'Mortgage Calculators (By Month)'!$E94,"-")</f>
        <v>8.3333333333333339</v>
      </c>
      <c r="P76" s="132">
        <f t="shared" si="54"/>
        <v>0</v>
      </c>
      <c r="Q76" s="132">
        <f t="shared" si="34"/>
        <v>2701.5225085937504</v>
      </c>
      <c r="R76" s="132">
        <f t="shared" si="35"/>
        <v>8261.5609028645849</v>
      </c>
      <c r="S76" s="132">
        <f t="shared" si="36"/>
        <v>0</v>
      </c>
      <c r="T76" s="132">
        <f t="shared" si="28"/>
        <v>8261.5609028645849</v>
      </c>
      <c r="U76" s="132">
        <f>IF($F76&lt;=$C$16*12,SUM(T$5:T76),"-")</f>
        <v>516383.34752187482</v>
      </c>
      <c r="V76" s="132">
        <f>IF($F76&lt;=$C$16*12,G76-$C$10-'RE Calculations'!$C263-'Mortgage Calculators (By Month)'!$F94,"-")</f>
        <v>541708.24497344578</v>
      </c>
      <c r="W76" s="29">
        <f t="shared" si="37"/>
        <v>0.33835047439764959</v>
      </c>
      <c r="X76" s="31">
        <f t="shared" si="38"/>
        <v>5.6391745732941596E-2</v>
      </c>
      <c r="Y76" s="132">
        <f t="shared" si="39"/>
        <v>1058091.5924953206</v>
      </c>
      <c r="Z76" s="29">
        <f t="shared" si="40"/>
        <v>0.66088304100762862</v>
      </c>
      <c r="AA76" s="31">
        <f t="shared" si="41"/>
        <v>0.11014717350127144</v>
      </c>
      <c r="AD76" s="12">
        <f t="shared" si="42"/>
        <v>72</v>
      </c>
      <c r="AE76" s="132">
        <f t="shared" si="43"/>
        <v>2191056.3724218835</v>
      </c>
      <c r="AF76" s="132">
        <f>IF($AD76&lt;=$C$25*12,$AE76-$C$7+SUM('Mortgage Calculators (By Month)'!$K$23:$K94),"-")</f>
        <v>2191056.3724218835</v>
      </c>
      <c r="AG76" s="132">
        <f t="shared" si="44"/>
        <v>10954.750078125002</v>
      </c>
      <c r="AH76" s="132">
        <f>IF($AD76&lt;=$C$25*12,SUM(Inputs!$C$61:$C$78)*'Forecast (By Month)'!AG76,"-")</f>
        <v>1205.0225085937502</v>
      </c>
      <c r="AI76" s="132">
        <f>IF($AD76&lt;=$C$25*12,(SUMIF(Inputs!$C$61:$C$78,0,Inputs!$F$61:$F$78)/12)*(1+$C$34)^ROUNDDOWN((AD76-1)/12,0),"-")</f>
        <v>1488.1666666666667</v>
      </c>
      <c r="AJ76" s="132">
        <f t="shared" si="45"/>
        <v>2693.189175260417</v>
      </c>
      <c r="AK76" s="132">
        <f>IF($AD76&lt;=$C$25*12,'Mortgage Calculators (By Month)'!$J94,"-")</f>
        <v>0</v>
      </c>
      <c r="AL76" s="132">
        <f>IF($AD76&lt;=$C$25*12,'Mortgage Calculators (By Month)'!$K94,"-")</f>
        <v>0</v>
      </c>
      <c r="AM76" s="132">
        <f>IF($AD76&lt;=$C$25*12,'Mortgage Calculators (By Month)'!$L94,"-")</f>
        <v>10</v>
      </c>
      <c r="AN76" s="132">
        <f t="shared" si="55"/>
        <v>0</v>
      </c>
      <c r="AO76" s="132">
        <f t="shared" si="46"/>
        <v>2703.189175260417</v>
      </c>
      <c r="AP76" s="132">
        <f t="shared" si="47"/>
        <v>8261.5609028645849</v>
      </c>
      <c r="AQ76" s="132">
        <f t="shared" si="48"/>
        <v>0</v>
      </c>
      <c r="AR76" s="132">
        <f t="shared" si="29"/>
        <v>8261.5609028645849</v>
      </c>
      <c r="AS76" s="132">
        <f>IF($AD76&lt;=$C$25*12,SUM(AR$5:AR76),"-")</f>
        <v>516373.34752187482</v>
      </c>
      <c r="AT76" s="132">
        <f>IF($AD76&lt;=$C$25*12,AE76-$C$10-'RE Calculations'!$C263-'Mortgage Calculators (By Month)'!$M94,"-")</f>
        <v>541708.24497344578</v>
      </c>
      <c r="AU76" s="29">
        <f t="shared" si="49"/>
        <v>0.33835047439764959</v>
      </c>
      <c r="AV76" s="31">
        <f t="shared" si="50"/>
        <v>5.6391745732941596E-2</v>
      </c>
      <c r="AW76" s="132">
        <f t="shared" si="51"/>
        <v>1058081.5924953206</v>
      </c>
      <c r="AX76" s="29">
        <f t="shared" si="52"/>
        <v>0.66087679501677399</v>
      </c>
      <c r="AY76" s="31">
        <f t="shared" si="53"/>
        <v>0.11014613250279566</v>
      </c>
    </row>
    <row r="77" spans="6:51" x14ac:dyDescent="0.35">
      <c r="F77" s="12">
        <f t="shared" si="30"/>
        <v>73</v>
      </c>
      <c r="G77" s="132">
        <f t="shared" si="31"/>
        <v>2199983.0073000817</v>
      </c>
      <c r="H77" s="132">
        <f>IF($F77&lt;=$C$16*12,$G77-$C$7+SUM('Mortgage Calculators (By Month)'!$D$23:$D95),"-")</f>
        <v>2199983.0073000817</v>
      </c>
      <c r="I77" s="132">
        <f t="shared" si="32"/>
        <v>11502.48758203125</v>
      </c>
      <c r="J77" s="132">
        <f>IF($F77&lt;=$C$16*12,SUM(Inputs!$C$61:$C$78)*'Forecast (By Month)'!I77,"-")</f>
        <v>1265.2736340234376</v>
      </c>
      <c r="K77" s="132">
        <f>IF($F77&lt;=$C$16*12,(SUMIF(Inputs!$C$61:$C$78,0,Inputs!$F$61:$F$78)/12)*(1+$C$34)^ROUNDDOWN((F77-1)/12,0),"-")</f>
        <v>1488.1666666666667</v>
      </c>
      <c r="L77" s="132">
        <f t="shared" si="33"/>
        <v>2753.4403006901043</v>
      </c>
      <c r="M77" s="132">
        <f>IF($F77&lt;=$C$16*12,'Mortgage Calculators (By Month)'!$C95,"-")</f>
        <v>0</v>
      </c>
      <c r="N77" s="132">
        <f>IF($F77&lt;=$C$16*12,'Mortgage Calculators (By Month)'!$D95,"-")</f>
        <v>0</v>
      </c>
      <c r="O77" s="132">
        <f>IF($F77&lt;=$C$16*12,'Mortgage Calculators (By Month)'!$E95,"-")</f>
        <v>8.3333333333333339</v>
      </c>
      <c r="P77" s="132">
        <f t="shared" si="54"/>
        <v>0</v>
      </c>
      <c r="Q77" s="132">
        <f t="shared" si="34"/>
        <v>2761.7736340234378</v>
      </c>
      <c r="R77" s="132">
        <f t="shared" si="35"/>
        <v>8749.0472813411452</v>
      </c>
      <c r="S77" s="132">
        <f t="shared" si="36"/>
        <v>0</v>
      </c>
      <c r="T77" s="132">
        <f t="shared" si="28"/>
        <v>8749.0472813411452</v>
      </c>
      <c r="U77" s="132">
        <f>IF($F77&lt;=$C$16*12,SUM(T$5:T77),"-")</f>
        <v>525132.39480321598</v>
      </c>
      <c r="V77" s="132">
        <f>IF($F77&lt;=$C$16*12,G77-$C$10-'RE Calculations'!$C264-'Mortgage Calculators (By Month)'!$F95,"-")</f>
        <v>550456.34715407994</v>
      </c>
      <c r="W77" s="29">
        <f t="shared" si="37"/>
        <v>0.34381453101920201</v>
      </c>
      <c r="X77" s="31">
        <f t="shared" si="38"/>
        <v>5.6517457153841426E-2</v>
      </c>
      <c r="Y77" s="132">
        <f t="shared" si="39"/>
        <v>1075588.7419572959</v>
      </c>
      <c r="Z77" s="29">
        <f t="shared" si="40"/>
        <v>0.67181174455977066</v>
      </c>
      <c r="AA77" s="31">
        <f t="shared" si="41"/>
        <v>0.11043480732489382</v>
      </c>
      <c r="AD77" s="12">
        <f t="shared" si="42"/>
        <v>73</v>
      </c>
      <c r="AE77" s="132">
        <f t="shared" si="43"/>
        <v>2199983.0073000817</v>
      </c>
      <c r="AF77" s="132">
        <f>IF($AD77&lt;=$C$25*12,$AE77-$C$7+SUM('Mortgage Calculators (By Month)'!$K$23:$K95),"-")</f>
        <v>2199983.0073000817</v>
      </c>
      <c r="AG77" s="132">
        <f t="shared" si="44"/>
        <v>11502.48758203125</v>
      </c>
      <c r="AH77" s="132">
        <f>IF($AD77&lt;=$C$25*12,SUM(Inputs!$C$61:$C$78)*'Forecast (By Month)'!AG77,"-")</f>
        <v>1265.2736340234376</v>
      </c>
      <c r="AI77" s="132">
        <f>IF($AD77&lt;=$C$25*12,(SUMIF(Inputs!$C$61:$C$78,0,Inputs!$F$61:$F$78)/12)*(1+$C$34)^ROUNDDOWN((AD77-1)/12,0),"-")</f>
        <v>1488.1666666666667</v>
      </c>
      <c r="AJ77" s="132">
        <f t="shared" si="45"/>
        <v>2753.4403006901043</v>
      </c>
      <c r="AK77" s="132">
        <f>IF($AD77&lt;=$C$25*12,'Mortgage Calculators (By Month)'!$J95,"-")</f>
        <v>0</v>
      </c>
      <c r="AL77" s="132">
        <f>IF($AD77&lt;=$C$25*12,'Mortgage Calculators (By Month)'!$K95,"-")</f>
        <v>0</v>
      </c>
      <c r="AM77" s="132">
        <f>IF($AD77&lt;=$C$25*12,'Mortgage Calculators (By Month)'!$L95,"-")</f>
        <v>10</v>
      </c>
      <c r="AN77" s="132">
        <f t="shared" si="55"/>
        <v>0</v>
      </c>
      <c r="AO77" s="132">
        <f t="shared" si="46"/>
        <v>2763.4403006901043</v>
      </c>
      <c r="AP77" s="132">
        <f t="shared" si="47"/>
        <v>8749.0472813411452</v>
      </c>
      <c r="AQ77" s="132">
        <f t="shared" si="48"/>
        <v>0</v>
      </c>
      <c r="AR77" s="132">
        <f t="shared" si="29"/>
        <v>8749.0472813411452</v>
      </c>
      <c r="AS77" s="132">
        <f>IF($AD77&lt;=$C$25*12,SUM(AR$5:AR77),"-")</f>
        <v>525122.39480321598</v>
      </c>
      <c r="AT77" s="132">
        <f>IF($AD77&lt;=$C$25*12,AE77-$C$10-'RE Calculations'!$C264-'Mortgage Calculators (By Month)'!$M95,"-")</f>
        <v>550456.34715407994</v>
      </c>
      <c r="AU77" s="29">
        <f t="shared" si="49"/>
        <v>0.34381453101920201</v>
      </c>
      <c r="AV77" s="31">
        <f t="shared" si="50"/>
        <v>5.6517457153841426E-2</v>
      </c>
      <c r="AW77" s="132">
        <f t="shared" si="51"/>
        <v>1075578.7419572959</v>
      </c>
      <c r="AX77" s="29">
        <f t="shared" si="52"/>
        <v>0.67180549856891603</v>
      </c>
      <c r="AY77" s="31">
        <f t="shared" si="53"/>
        <v>0.11043378058667114</v>
      </c>
    </row>
    <row r="78" spans="6:51" x14ac:dyDescent="0.35">
      <c r="F78" s="12">
        <f t="shared" si="30"/>
        <v>74</v>
      </c>
      <c r="G78" s="132">
        <f t="shared" si="31"/>
        <v>2208946.0103937453</v>
      </c>
      <c r="H78" s="132">
        <f>IF($F78&lt;=$C$16*12,$G78-$C$7+SUM('Mortgage Calculators (By Month)'!$D$23:$D96),"-")</f>
        <v>2208946.0103937453</v>
      </c>
      <c r="I78" s="132">
        <f t="shared" si="32"/>
        <v>11502.48758203125</v>
      </c>
      <c r="J78" s="132">
        <f>IF($F78&lt;=$C$16*12,SUM(Inputs!$C$61:$C$78)*'Forecast (By Month)'!I78,"-")</f>
        <v>1265.2736340234376</v>
      </c>
      <c r="K78" s="132">
        <f>IF($F78&lt;=$C$16*12,(SUMIF(Inputs!$C$61:$C$78,0,Inputs!$F$61:$F$78)/12)*(1+$C$34)^ROUNDDOWN((F78-1)/12,0),"-")</f>
        <v>1488.1666666666667</v>
      </c>
      <c r="L78" s="132">
        <f t="shared" si="33"/>
        <v>2753.4403006901043</v>
      </c>
      <c r="M78" s="132">
        <f>IF($F78&lt;=$C$16*12,'Mortgage Calculators (By Month)'!$C96,"-")</f>
        <v>0</v>
      </c>
      <c r="N78" s="132">
        <f>IF($F78&lt;=$C$16*12,'Mortgage Calculators (By Month)'!$D96,"-")</f>
        <v>0</v>
      </c>
      <c r="O78" s="132">
        <f>IF($F78&lt;=$C$16*12,'Mortgage Calculators (By Month)'!$E96,"-")</f>
        <v>8.3333333333333339</v>
      </c>
      <c r="P78" s="132">
        <f t="shared" si="54"/>
        <v>0</v>
      </c>
      <c r="Q78" s="132">
        <f t="shared" si="34"/>
        <v>2761.7736340234378</v>
      </c>
      <c r="R78" s="132">
        <f t="shared" si="35"/>
        <v>8749.0472813411452</v>
      </c>
      <c r="S78" s="132">
        <f t="shared" si="36"/>
        <v>0</v>
      </c>
      <c r="T78" s="132">
        <f t="shared" si="28"/>
        <v>8749.0472813411452</v>
      </c>
      <c r="U78" s="132">
        <f>IF($F78&lt;=$C$16*12,SUM(T$5:T78),"-")</f>
        <v>533881.44208455714</v>
      </c>
      <c r="V78" s="132">
        <f>IF($F78&lt;=$C$16*12,G78-$C$10-'RE Calculations'!$C265-'Mortgage Calculators (By Month)'!$F96,"-")</f>
        <v>559240.09018587018</v>
      </c>
      <c r="W78" s="29">
        <f t="shared" si="37"/>
        <v>0.34930084888379159</v>
      </c>
      <c r="X78" s="31">
        <f t="shared" si="38"/>
        <v>5.6643380900074307E-2</v>
      </c>
      <c r="Y78" s="132">
        <f t="shared" si="39"/>
        <v>1093121.5322704273</v>
      </c>
      <c r="Z78" s="29">
        <f t="shared" si="40"/>
        <v>0.68276270935494987</v>
      </c>
      <c r="AA78" s="31">
        <f t="shared" si="41"/>
        <v>0.11071827719269457</v>
      </c>
      <c r="AD78" s="12">
        <f t="shared" si="42"/>
        <v>74</v>
      </c>
      <c r="AE78" s="132">
        <f t="shared" si="43"/>
        <v>2208946.0103937453</v>
      </c>
      <c r="AF78" s="132">
        <f>IF($AD78&lt;=$C$25*12,$AE78-$C$7+SUM('Mortgage Calculators (By Month)'!$K$23:$K96),"-")</f>
        <v>2208946.0103937453</v>
      </c>
      <c r="AG78" s="132">
        <f t="shared" si="44"/>
        <v>11502.48758203125</v>
      </c>
      <c r="AH78" s="132">
        <f>IF($AD78&lt;=$C$25*12,SUM(Inputs!$C$61:$C$78)*'Forecast (By Month)'!AG78,"-")</f>
        <v>1265.2736340234376</v>
      </c>
      <c r="AI78" s="132">
        <f>IF($AD78&lt;=$C$25*12,(SUMIF(Inputs!$C$61:$C$78,0,Inputs!$F$61:$F$78)/12)*(1+$C$34)^ROUNDDOWN((AD78-1)/12,0),"-")</f>
        <v>1488.1666666666667</v>
      </c>
      <c r="AJ78" s="132">
        <f t="shared" si="45"/>
        <v>2753.4403006901043</v>
      </c>
      <c r="AK78" s="132">
        <f>IF($AD78&lt;=$C$25*12,'Mortgage Calculators (By Month)'!$J96,"-")</f>
        <v>0</v>
      </c>
      <c r="AL78" s="132">
        <f>IF($AD78&lt;=$C$25*12,'Mortgage Calculators (By Month)'!$K96,"-")</f>
        <v>0</v>
      </c>
      <c r="AM78" s="132">
        <f>IF($AD78&lt;=$C$25*12,'Mortgage Calculators (By Month)'!$L96,"-")</f>
        <v>10</v>
      </c>
      <c r="AN78" s="132">
        <f t="shared" si="55"/>
        <v>0</v>
      </c>
      <c r="AO78" s="132">
        <f t="shared" si="46"/>
        <v>2763.4403006901043</v>
      </c>
      <c r="AP78" s="132">
        <f t="shared" si="47"/>
        <v>8749.0472813411452</v>
      </c>
      <c r="AQ78" s="132">
        <f t="shared" si="48"/>
        <v>0</v>
      </c>
      <c r="AR78" s="132">
        <f t="shared" si="29"/>
        <v>8749.0472813411452</v>
      </c>
      <c r="AS78" s="132">
        <f>IF($AD78&lt;=$C$25*12,SUM(AR$5:AR78),"-")</f>
        <v>533871.44208455714</v>
      </c>
      <c r="AT78" s="132">
        <f>IF($AD78&lt;=$C$25*12,AE78-$C$10-'RE Calculations'!$C265-'Mortgage Calculators (By Month)'!$M96,"-")</f>
        <v>559240.09018587018</v>
      </c>
      <c r="AU78" s="29">
        <f t="shared" si="49"/>
        <v>0.34930084888379159</v>
      </c>
      <c r="AV78" s="31">
        <f t="shared" si="50"/>
        <v>5.6643380900074307E-2</v>
      </c>
      <c r="AW78" s="132">
        <f t="shared" si="51"/>
        <v>1093111.5322704273</v>
      </c>
      <c r="AX78" s="29">
        <f t="shared" si="52"/>
        <v>0.68275646336409523</v>
      </c>
      <c r="AY78" s="31">
        <f t="shared" si="53"/>
        <v>0.11071726432931274</v>
      </c>
    </row>
    <row r="79" spans="6:51" x14ac:dyDescent="0.35">
      <c r="F79" s="12">
        <f t="shared" si="30"/>
        <v>75</v>
      </c>
      <c r="G79" s="132">
        <f t="shared" si="31"/>
        <v>2217945.5298714857</v>
      </c>
      <c r="H79" s="132">
        <f>IF($F79&lt;=$C$16*12,$G79-$C$7+SUM('Mortgage Calculators (By Month)'!$D$23:$D97),"-")</f>
        <v>2217945.5298714857</v>
      </c>
      <c r="I79" s="132">
        <f t="shared" si="32"/>
        <v>11502.48758203125</v>
      </c>
      <c r="J79" s="132">
        <f>IF($F79&lt;=$C$16*12,SUM(Inputs!$C$61:$C$78)*'Forecast (By Month)'!I79,"-")</f>
        <v>1265.2736340234376</v>
      </c>
      <c r="K79" s="132">
        <f>IF($F79&lt;=$C$16*12,(SUMIF(Inputs!$C$61:$C$78,0,Inputs!$F$61:$F$78)/12)*(1+$C$34)^ROUNDDOWN((F79-1)/12,0),"-")</f>
        <v>1488.1666666666667</v>
      </c>
      <c r="L79" s="132">
        <f t="shared" si="33"/>
        <v>2753.4403006901043</v>
      </c>
      <c r="M79" s="132">
        <f>IF($F79&lt;=$C$16*12,'Mortgage Calculators (By Month)'!$C97,"-")</f>
        <v>0</v>
      </c>
      <c r="N79" s="132">
        <f>IF($F79&lt;=$C$16*12,'Mortgage Calculators (By Month)'!$D97,"-")</f>
        <v>0</v>
      </c>
      <c r="O79" s="132">
        <f>IF($F79&lt;=$C$16*12,'Mortgage Calculators (By Month)'!$E97,"-")</f>
        <v>8.3333333333333339</v>
      </c>
      <c r="P79" s="132">
        <f t="shared" si="54"/>
        <v>0</v>
      </c>
      <c r="Q79" s="132">
        <f t="shared" si="34"/>
        <v>2761.7736340234378</v>
      </c>
      <c r="R79" s="132">
        <f t="shared" si="35"/>
        <v>8749.0472813411452</v>
      </c>
      <c r="S79" s="132">
        <f t="shared" si="36"/>
        <v>0</v>
      </c>
      <c r="T79" s="132">
        <f t="shared" si="28"/>
        <v>8749.0472813411452</v>
      </c>
      <c r="U79" s="132">
        <f>IF($F79&lt;=$C$16*12,SUM(T$5:T79),"-")</f>
        <v>542630.48936589831</v>
      </c>
      <c r="V79" s="132">
        <f>IF($F79&lt;=$C$16*12,G79-$C$10-'RE Calculations'!$C266-'Mortgage Calculators (By Month)'!$F97,"-")</f>
        <v>568059.61927405582</v>
      </c>
      <c r="W79" s="29">
        <f t="shared" si="37"/>
        <v>0.35480951868647798</v>
      </c>
      <c r="X79" s="31">
        <f t="shared" si="38"/>
        <v>5.6769522989836479E-2</v>
      </c>
      <c r="Y79" s="132">
        <f t="shared" si="39"/>
        <v>1110690.1086399541</v>
      </c>
      <c r="Z79" s="29">
        <f t="shared" si="40"/>
        <v>0.69373602608822593</v>
      </c>
      <c r="AA79" s="31">
        <f t="shared" si="41"/>
        <v>0.11099776417411615</v>
      </c>
      <c r="AD79" s="12">
        <f t="shared" si="42"/>
        <v>75</v>
      </c>
      <c r="AE79" s="132">
        <f t="shared" si="43"/>
        <v>2217945.5298714857</v>
      </c>
      <c r="AF79" s="132">
        <f>IF($AD79&lt;=$C$25*12,$AE79-$C$7+SUM('Mortgage Calculators (By Month)'!$K$23:$K97),"-")</f>
        <v>2217945.5298714857</v>
      </c>
      <c r="AG79" s="132">
        <f t="shared" si="44"/>
        <v>11502.48758203125</v>
      </c>
      <c r="AH79" s="132">
        <f>IF($AD79&lt;=$C$25*12,SUM(Inputs!$C$61:$C$78)*'Forecast (By Month)'!AG79,"-")</f>
        <v>1265.2736340234376</v>
      </c>
      <c r="AI79" s="132">
        <f>IF($AD79&lt;=$C$25*12,(SUMIF(Inputs!$C$61:$C$78,0,Inputs!$F$61:$F$78)/12)*(1+$C$34)^ROUNDDOWN((AD79-1)/12,0),"-")</f>
        <v>1488.1666666666667</v>
      </c>
      <c r="AJ79" s="132">
        <f t="shared" si="45"/>
        <v>2753.4403006901043</v>
      </c>
      <c r="AK79" s="132">
        <f>IF($AD79&lt;=$C$25*12,'Mortgage Calculators (By Month)'!$J97,"-")</f>
        <v>0</v>
      </c>
      <c r="AL79" s="132">
        <f>IF($AD79&lt;=$C$25*12,'Mortgage Calculators (By Month)'!$K97,"-")</f>
        <v>0</v>
      </c>
      <c r="AM79" s="132">
        <f>IF($AD79&lt;=$C$25*12,'Mortgage Calculators (By Month)'!$L97,"-")</f>
        <v>10</v>
      </c>
      <c r="AN79" s="132">
        <f t="shared" si="55"/>
        <v>0</v>
      </c>
      <c r="AO79" s="132">
        <f t="shared" si="46"/>
        <v>2763.4403006901043</v>
      </c>
      <c r="AP79" s="132">
        <f t="shared" si="47"/>
        <v>8749.0472813411452</v>
      </c>
      <c r="AQ79" s="132">
        <f t="shared" si="48"/>
        <v>0</v>
      </c>
      <c r="AR79" s="132">
        <f t="shared" si="29"/>
        <v>8749.0472813411452</v>
      </c>
      <c r="AS79" s="132">
        <f>IF($AD79&lt;=$C$25*12,SUM(AR$5:AR79),"-")</f>
        <v>542620.48936589831</v>
      </c>
      <c r="AT79" s="132">
        <f>IF($AD79&lt;=$C$25*12,AE79-$C$10-'RE Calculations'!$C266-'Mortgage Calculators (By Month)'!$M97,"-")</f>
        <v>568059.61927405582</v>
      </c>
      <c r="AU79" s="29">
        <f t="shared" si="49"/>
        <v>0.35480951868647798</v>
      </c>
      <c r="AV79" s="31">
        <f t="shared" si="50"/>
        <v>5.6769522989836479E-2</v>
      </c>
      <c r="AW79" s="132">
        <f t="shared" si="51"/>
        <v>1110680.1086399541</v>
      </c>
      <c r="AX79" s="29">
        <f t="shared" si="52"/>
        <v>0.6937297800973713</v>
      </c>
      <c r="AY79" s="31">
        <f t="shared" si="53"/>
        <v>0.11099676481557941</v>
      </c>
    </row>
    <row r="80" spans="6:51" x14ac:dyDescent="0.35">
      <c r="F80" s="12">
        <f t="shared" si="30"/>
        <v>76</v>
      </c>
      <c r="G80" s="132">
        <f t="shared" si="31"/>
        <v>2226981.7145055714</v>
      </c>
      <c r="H80" s="132">
        <f>IF($F80&lt;=$C$16*12,$G80-$C$7+SUM('Mortgage Calculators (By Month)'!$D$23:$D98),"-")</f>
        <v>2226981.7145055714</v>
      </c>
      <c r="I80" s="132">
        <f t="shared" si="32"/>
        <v>11502.48758203125</v>
      </c>
      <c r="J80" s="132">
        <f>IF($F80&lt;=$C$16*12,SUM(Inputs!$C$61:$C$78)*'Forecast (By Month)'!I80,"-")</f>
        <v>1265.2736340234376</v>
      </c>
      <c r="K80" s="132">
        <f>IF($F80&lt;=$C$16*12,(SUMIF(Inputs!$C$61:$C$78,0,Inputs!$F$61:$F$78)/12)*(1+$C$34)^ROUNDDOWN((F80-1)/12,0),"-")</f>
        <v>1488.1666666666667</v>
      </c>
      <c r="L80" s="132">
        <f t="shared" si="33"/>
        <v>2753.4403006901043</v>
      </c>
      <c r="M80" s="132">
        <f>IF($F80&lt;=$C$16*12,'Mortgage Calculators (By Month)'!$C98,"-")</f>
        <v>0</v>
      </c>
      <c r="N80" s="132">
        <f>IF($F80&lt;=$C$16*12,'Mortgage Calculators (By Month)'!$D98,"-")</f>
        <v>0</v>
      </c>
      <c r="O80" s="132">
        <f>IF($F80&lt;=$C$16*12,'Mortgage Calculators (By Month)'!$E98,"-")</f>
        <v>8.3333333333333339</v>
      </c>
      <c r="P80" s="132">
        <f t="shared" si="54"/>
        <v>0</v>
      </c>
      <c r="Q80" s="132">
        <f t="shared" si="34"/>
        <v>2761.7736340234378</v>
      </c>
      <c r="R80" s="132">
        <f t="shared" si="35"/>
        <v>8749.0472813411452</v>
      </c>
      <c r="S80" s="132">
        <f t="shared" si="36"/>
        <v>0</v>
      </c>
      <c r="T80" s="132">
        <f t="shared" si="28"/>
        <v>8749.0472813411452</v>
      </c>
      <c r="U80" s="132">
        <f>IF($F80&lt;=$C$16*12,SUM(T$5:T80),"-")</f>
        <v>551379.53664723947</v>
      </c>
      <c r="V80" s="132">
        <f>IF($F80&lt;=$C$16*12,G80-$C$10-'RE Calculations'!$C267-'Mortgage Calculators (By Month)'!$F98,"-")</f>
        <v>576915.08021545981</v>
      </c>
      <c r="W80" s="29">
        <f t="shared" si="37"/>
        <v>0.36034063149182355</v>
      </c>
      <c r="X80" s="31">
        <f t="shared" si="38"/>
        <v>5.6895889182919511E-2</v>
      </c>
      <c r="Y80" s="132">
        <f t="shared" si="39"/>
        <v>1128294.6168626994</v>
      </c>
      <c r="Z80" s="29">
        <f t="shared" si="40"/>
        <v>0.70473178582416118</v>
      </c>
      <c r="AA80" s="31">
        <f t="shared" si="41"/>
        <v>0.11127343986697283</v>
      </c>
      <c r="AD80" s="12">
        <f t="shared" si="42"/>
        <v>76</v>
      </c>
      <c r="AE80" s="132">
        <f t="shared" si="43"/>
        <v>2226981.7145055714</v>
      </c>
      <c r="AF80" s="132">
        <f>IF($AD80&lt;=$C$25*12,$AE80-$C$7+SUM('Mortgage Calculators (By Month)'!$K$23:$K98),"-")</f>
        <v>2226981.7145055714</v>
      </c>
      <c r="AG80" s="132">
        <f t="shared" si="44"/>
        <v>11502.48758203125</v>
      </c>
      <c r="AH80" s="132">
        <f>IF($AD80&lt;=$C$25*12,SUM(Inputs!$C$61:$C$78)*'Forecast (By Month)'!AG80,"-")</f>
        <v>1265.2736340234376</v>
      </c>
      <c r="AI80" s="132">
        <f>IF($AD80&lt;=$C$25*12,(SUMIF(Inputs!$C$61:$C$78,0,Inputs!$F$61:$F$78)/12)*(1+$C$34)^ROUNDDOWN((AD80-1)/12,0),"-")</f>
        <v>1488.1666666666667</v>
      </c>
      <c r="AJ80" s="132">
        <f t="shared" si="45"/>
        <v>2753.4403006901043</v>
      </c>
      <c r="AK80" s="132">
        <f>IF($AD80&lt;=$C$25*12,'Mortgage Calculators (By Month)'!$J98,"-")</f>
        <v>0</v>
      </c>
      <c r="AL80" s="132">
        <f>IF($AD80&lt;=$C$25*12,'Mortgage Calculators (By Month)'!$K98,"-")</f>
        <v>0</v>
      </c>
      <c r="AM80" s="132">
        <f>IF($AD80&lt;=$C$25*12,'Mortgage Calculators (By Month)'!$L98,"-")</f>
        <v>10</v>
      </c>
      <c r="AN80" s="132">
        <f t="shared" si="55"/>
        <v>0</v>
      </c>
      <c r="AO80" s="132">
        <f t="shared" si="46"/>
        <v>2763.4403006901043</v>
      </c>
      <c r="AP80" s="132">
        <f t="shared" si="47"/>
        <v>8749.0472813411452</v>
      </c>
      <c r="AQ80" s="132">
        <f t="shared" si="48"/>
        <v>0</v>
      </c>
      <c r="AR80" s="132">
        <f t="shared" si="29"/>
        <v>8749.0472813411452</v>
      </c>
      <c r="AS80" s="132">
        <f>IF($AD80&lt;=$C$25*12,SUM(AR$5:AR80),"-")</f>
        <v>551369.53664723947</v>
      </c>
      <c r="AT80" s="132">
        <f>IF($AD80&lt;=$C$25*12,AE80-$C$10-'RE Calculations'!$C267-'Mortgage Calculators (By Month)'!$M98,"-")</f>
        <v>576915.08021545981</v>
      </c>
      <c r="AU80" s="29">
        <f t="shared" si="49"/>
        <v>0.36034063149182355</v>
      </c>
      <c r="AV80" s="31">
        <f t="shared" si="50"/>
        <v>5.6895889182919511E-2</v>
      </c>
      <c r="AW80" s="132">
        <f t="shared" si="51"/>
        <v>1128284.6168626994</v>
      </c>
      <c r="AX80" s="29">
        <f t="shared" si="52"/>
        <v>0.70472553983330666</v>
      </c>
      <c r="AY80" s="31">
        <f t="shared" si="53"/>
        <v>0.11127245365789053</v>
      </c>
    </row>
    <row r="81" spans="6:51" x14ac:dyDescent="0.35">
      <c r="F81" s="12">
        <f t="shared" si="30"/>
        <v>77</v>
      </c>
      <c r="G81" s="132">
        <f t="shared" si="31"/>
        <v>2236054.7136743884</v>
      </c>
      <c r="H81" s="132">
        <f>IF($F81&lt;=$C$16*12,$G81-$C$7+SUM('Mortgage Calculators (By Month)'!$D$23:$D99),"-")</f>
        <v>2236054.7136743884</v>
      </c>
      <c r="I81" s="132">
        <f t="shared" si="32"/>
        <v>11502.48758203125</v>
      </c>
      <c r="J81" s="132">
        <f>IF($F81&lt;=$C$16*12,SUM(Inputs!$C$61:$C$78)*'Forecast (By Month)'!I81,"-")</f>
        <v>1265.2736340234376</v>
      </c>
      <c r="K81" s="132">
        <f>IF($F81&lt;=$C$16*12,(SUMIF(Inputs!$C$61:$C$78,0,Inputs!$F$61:$F$78)/12)*(1+$C$34)^ROUNDDOWN((F81-1)/12,0),"-")</f>
        <v>1488.1666666666667</v>
      </c>
      <c r="L81" s="132">
        <f t="shared" si="33"/>
        <v>2753.4403006901043</v>
      </c>
      <c r="M81" s="132">
        <f>IF($F81&lt;=$C$16*12,'Mortgage Calculators (By Month)'!$C99,"-")</f>
        <v>0</v>
      </c>
      <c r="N81" s="132">
        <f>IF($F81&lt;=$C$16*12,'Mortgage Calculators (By Month)'!$D99,"-")</f>
        <v>0</v>
      </c>
      <c r="O81" s="132">
        <f>IF($F81&lt;=$C$16*12,'Mortgage Calculators (By Month)'!$E99,"-")</f>
        <v>8.3333333333333339</v>
      </c>
      <c r="P81" s="132">
        <f t="shared" si="54"/>
        <v>0</v>
      </c>
      <c r="Q81" s="132">
        <f t="shared" si="34"/>
        <v>2761.7736340234378</v>
      </c>
      <c r="R81" s="132">
        <f t="shared" si="35"/>
        <v>8749.0472813411452</v>
      </c>
      <c r="S81" s="132">
        <f t="shared" si="36"/>
        <v>0</v>
      </c>
      <c r="T81" s="132">
        <f t="shared" si="28"/>
        <v>8749.0472813411452</v>
      </c>
      <c r="U81" s="132">
        <f>IF($F81&lt;=$C$16*12,SUM(T$5:T81),"-")</f>
        <v>560128.58392858063</v>
      </c>
      <c r="V81" s="132">
        <f>IF($F81&lt;=$C$16*12,G81-$C$10-'RE Calculations'!$C268-'Mortgage Calculators (By Month)'!$F99,"-")</f>
        <v>585806.61940090044</v>
      </c>
      <c r="W81" s="29">
        <f t="shared" si="37"/>
        <v>0.36589427873539948</v>
      </c>
      <c r="X81" s="31">
        <f t="shared" si="38"/>
        <v>5.7022484997724589E-2</v>
      </c>
      <c r="Y81" s="132">
        <f t="shared" si="39"/>
        <v>1145935.2033294812</v>
      </c>
      <c r="Z81" s="29">
        <f t="shared" si="40"/>
        <v>0.71575007999832685</v>
      </c>
      <c r="AA81" s="31">
        <f t="shared" si="41"/>
        <v>0.11154546701272626</v>
      </c>
      <c r="AD81" s="12">
        <f t="shared" si="42"/>
        <v>77</v>
      </c>
      <c r="AE81" s="132">
        <f t="shared" si="43"/>
        <v>2236054.7136743884</v>
      </c>
      <c r="AF81" s="132">
        <f>IF($AD81&lt;=$C$25*12,$AE81-$C$7+SUM('Mortgage Calculators (By Month)'!$K$23:$K99),"-")</f>
        <v>2236054.7136743884</v>
      </c>
      <c r="AG81" s="132">
        <f t="shared" si="44"/>
        <v>11502.48758203125</v>
      </c>
      <c r="AH81" s="132">
        <f>IF($AD81&lt;=$C$25*12,SUM(Inputs!$C$61:$C$78)*'Forecast (By Month)'!AG81,"-")</f>
        <v>1265.2736340234376</v>
      </c>
      <c r="AI81" s="132">
        <f>IF($AD81&lt;=$C$25*12,(SUMIF(Inputs!$C$61:$C$78,0,Inputs!$F$61:$F$78)/12)*(1+$C$34)^ROUNDDOWN((AD81-1)/12,0),"-")</f>
        <v>1488.1666666666667</v>
      </c>
      <c r="AJ81" s="132">
        <f t="shared" si="45"/>
        <v>2753.4403006901043</v>
      </c>
      <c r="AK81" s="132">
        <f>IF($AD81&lt;=$C$25*12,'Mortgage Calculators (By Month)'!$J99,"-")</f>
        <v>0</v>
      </c>
      <c r="AL81" s="132">
        <f>IF($AD81&lt;=$C$25*12,'Mortgage Calculators (By Month)'!$K99,"-")</f>
        <v>0</v>
      </c>
      <c r="AM81" s="132">
        <f>IF($AD81&lt;=$C$25*12,'Mortgage Calculators (By Month)'!$L99,"-")</f>
        <v>10</v>
      </c>
      <c r="AN81" s="132">
        <f t="shared" si="55"/>
        <v>0</v>
      </c>
      <c r="AO81" s="132">
        <f t="shared" si="46"/>
        <v>2763.4403006901043</v>
      </c>
      <c r="AP81" s="132">
        <f t="shared" si="47"/>
        <v>8749.0472813411452</v>
      </c>
      <c r="AQ81" s="132">
        <f t="shared" si="48"/>
        <v>0</v>
      </c>
      <c r="AR81" s="132">
        <f t="shared" si="29"/>
        <v>8749.0472813411452</v>
      </c>
      <c r="AS81" s="132">
        <f>IF($AD81&lt;=$C$25*12,SUM(AR$5:AR81),"-")</f>
        <v>560118.58392858063</v>
      </c>
      <c r="AT81" s="132">
        <f>IF($AD81&lt;=$C$25*12,AE81-$C$10-'RE Calculations'!$C268-'Mortgage Calculators (By Month)'!$M99,"-")</f>
        <v>585806.61940090044</v>
      </c>
      <c r="AU81" s="29">
        <f t="shared" si="49"/>
        <v>0.36589427873539948</v>
      </c>
      <c r="AV81" s="31">
        <f t="shared" si="50"/>
        <v>5.7022484997724589E-2</v>
      </c>
      <c r="AW81" s="132">
        <f t="shared" si="51"/>
        <v>1145925.2033294812</v>
      </c>
      <c r="AX81" s="29">
        <f t="shared" si="52"/>
        <v>0.71574383400747221</v>
      </c>
      <c r="AY81" s="31">
        <f t="shared" si="53"/>
        <v>0.11154449361155411</v>
      </c>
    </row>
    <row r="82" spans="6:51" x14ac:dyDescent="0.35">
      <c r="F82" s="12">
        <f t="shared" si="30"/>
        <v>78</v>
      </c>
      <c r="G82" s="132">
        <f t="shared" si="31"/>
        <v>2245164.6773649082</v>
      </c>
      <c r="H82" s="132">
        <f>IF($F82&lt;=$C$16*12,$G82-$C$7+SUM('Mortgage Calculators (By Month)'!$D$23:$D100),"-")</f>
        <v>2245164.6773649082</v>
      </c>
      <c r="I82" s="132">
        <f t="shared" si="32"/>
        <v>11502.48758203125</v>
      </c>
      <c r="J82" s="132">
        <f>IF($F82&lt;=$C$16*12,SUM(Inputs!$C$61:$C$78)*'Forecast (By Month)'!I82,"-")</f>
        <v>1265.2736340234376</v>
      </c>
      <c r="K82" s="132">
        <f>IF($F82&lt;=$C$16*12,(SUMIF(Inputs!$C$61:$C$78,0,Inputs!$F$61:$F$78)/12)*(1+$C$34)^ROUNDDOWN((F82-1)/12,0),"-")</f>
        <v>1488.1666666666667</v>
      </c>
      <c r="L82" s="132">
        <f t="shared" si="33"/>
        <v>2753.4403006901043</v>
      </c>
      <c r="M82" s="132">
        <f>IF($F82&lt;=$C$16*12,'Mortgage Calculators (By Month)'!$C100,"-")</f>
        <v>0</v>
      </c>
      <c r="N82" s="132">
        <f>IF($F82&lt;=$C$16*12,'Mortgage Calculators (By Month)'!$D100,"-")</f>
        <v>0</v>
      </c>
      <c r="O82" s="132">
        <f>IF($F82&lt;=$C$16*12,'Mortgage Calculators (By Month)'!$E100,"-")</f>
        <v>8.3333333333333339</v>
      </c>
      <c r="P82" s="132">
        <f t="shared" si="54"/>
        <v>0</v>
      </c>
      <c r="Q82" s="132">
        <f t="shared" si="34"/>
        <v>2761.7736340234378</v>
      </c>
      <c r="R82" s="132">
        <f t="shared" si="35"/>
        <v>8749.0472813411452</v>
      </c>
      <c r="S82" s="132">
        <f t="shared" si="36"/>
        <v>0</v>
      </c>
      <c r="T82" s="132">
        <f t="shared" si="28"/>
        <v>8749.0472813411452</v>
      </c>
      <c r="U82" s="132">
        <f>IF($F82&lt;=$C$16*12,SUM(T$5:T82),"-")</f>
        <v>568877.63120992179</v>
      </c>
      <c r="V82" s="132">
        <f>IF($F82&lt;=$C$16*12,G82-$C$10-'RE Calculations'!$C269-'Mortgage Calculators (By Month)'!$F100,"-")</f>
        <v>594734.38381760987</v>
      </c>
      <c r="W82" s="29">
        <f t="shared" si="37"/>
        <v>0.37147055222529657</v>
      </c>
      <c r="X82" s="31">
        <f t="shared" si="38"/>
        <v>5.71493157269687E-2</v>
      </c>
      <c r="Y82" s="132">
        <f t="shared" si="39"/>
        <v>1163612.0150275317</v>
      </c>
      <c r="Z82" s="29">
        <f t="shared" si="40"/>
        <v>0.7267910004188135</v>
      </c>
      <c r="AA82" s="31">
        <f t="shared" si="41"/>
        <v>0.11181400006443284</v>
      </c>
      <c r="AD82" s="12">
        <f t="shared" si="42"/>
        <v>78</v>
      </c>
      <c r="AE82" s="132">
        <f t="shared" si="43"/>
        <v>2245164.6773649082</v>
      </c>
      <c r="AF82" s="132">
        <f>IF($AD82&lt;=$C$25*12,$AE82-$C$7+SUM('Mortgage Calculators (By Month)'!$K$23:$K100),"-")</f>
        <v>2245164.6773649082</v>
      </c>
      <c r="AG82" s="132">
        <f t="shared" si="44"/>
        <v>11502.48758203125</v>
      </c>
      <c r="AH82" s="132">
        <f>IF($AD82&lt;=$C$25*12,SUM(Inputs!$C$61:$C$78)*'Forecast (By Month)'!AG82,"-")</f>
        <v>1265.2736340234376</v>
      </c>
      <c r="AI82" s="132">
        <f>IF($AD82&lt;=$C$25*12,(SUMIF(Inputs!$C$61:$C$78,0,Inputs!$F$61:$F$78)/12)*(1+$C$34)^ROUNDDOWN((AD82-1)/12,0),"-")</f>
        <v>1488.1666666666667</v>
      </c>
      <c r="AJ82" s="132">
        <f t="shared" si="45"/>
        <v>2753.4403006901043</v>
      </c>
      <c r="AK82" s="132">
        <f>IF($AD82&lt;=$C$25*12,'Mortgage Calculators (By Month)'!$J100,"-")</f>
        <v>0</v>
      </c>
      <c r="AL82" s="132">
        <f>IF($AD82&lt;=$C$25*12,'Mortgage Calculators (By Month)'!$K100,"-")</f>
        <v>0</v>
      </c>
      <c r="AM82" s="132">
        <f>IF($AD82&lt;=$C$25*12,'Mortgage Calculators (By Month)'!$L100,"-")</f>
        <v>10</v>
      </c>
      <c r="AN82" s="132">
        <f t="shared" si="55"/>
        <v>0</v>
      </c>
      <c r="AO82" s="132">
        <f t="shared" si="46"/>
        <v>2763.4403006901043</v>
      </c>
      <c r="AP82" s="132">
        <f t="shared" si="47"/>
        <v>8749.0472813411452</v>
      </c>
      <c r="AQ82" s="132">
        <f t="shared" si="48"/>
        <v>0</v>
      </c>
      <c r="AR82" s="132">
        <f t="shared" si="29"/>
        <v>8749.0472813411452</v>
      </c>
      <c r="AS82" s="132">
        <f>IF($AD82&lt;=$C$25*12,SUM(AR$5:AR82),"-")</f>
        <v>568867.63120992179</v>
      </c>
      <c r="AT82" s="132">
        <f>IF($AD82&lt;=$C$25*12,AE82-$C$10-'RE Calculations'!$C269-'Mortgage Calculators (By Month)'!$M100,"-")</f>
        <v>594734.38381760987</v>
      </c>
      <c r="AU82" s="29">
        <f t="shared" si="49"/>
        <v>0.37147055222529657</v>
      </c>
      <c r="AV82" s="31">
        <f t="shared" si="50"/>
        <v>5.71493157269687E-2</v>
      </c>
      <c r="AW82" s="132">
        <f t="shared" si="51"/>
        <v>1163602.0150275317</v>
      </c>
      <c r="AX82" s="29">
        <f t="shared" si="52"/>
        <v>0.72678475442795887</v>
      </c>
      <c r="AY82" s="31">
        <f t="shared" si="53"/>
        <v>0.1118130391427629</v>
      </c>
    </row>
    <row r="83" spans="6:51" x14ac:dyDescent="0.35">
      <c r="F83" s="12">
        <f t="shared" si="30"/>
        <v>79</v>
      </c>
      <c r="G83" s="132">
        <f t="shared" si="31"/>
        <v>2254311.7561751679</v>
      </c>
      <c r="H83" s="132">
        <f>IF($F83&lt;=$C$16*12,$G83-$C$7+SUM('Mortgage Calculators (By Month)'!$D$23:$D101),"-")</f>
        <v>2254311.7561751679</v>
      </c>
      <c r="I83" s="132">
        <f t="shared" si="32"/>
        <v>11502.48758203125</v>
      </c>
      <c r="J83" s="132">
        <f>IF($F83&lt;=$C$16*12,SUM(Inputs!$C$61:$C$78)*'Forecast (By Month)'!I83,"-")</f>
        <v>1265.2736340234376</v>
      </c>
      <c r="K83" s="132">
        <f>IF($F83&lt;=$C$16*12,(SUMIF(Inputs!$C$61:$C$78,0,Inputs!$F$61:$F$78)/12)*(1+$C$34)^ROUNDDOWN((F83-1)/12,0),"-")</f>
        <v>1488.1666666666667</v>
      </c>
      <c r="L83" s="132">
        <f t="shared" si="33"/>
        <v>2753.4403006901043</v>
      </c>
      <c r="M83" s="132">
        <f>IF($F83&lt;=$C$16*12,'Mortgage Calculators (By Month)'!$C101,"-")</f>
        <v>0</v>
      </c>
      <c r="N83" s="132">
        <f>IF($F83&lt;=$C$16*12,'Mortgage Calculators (By Month)'!$D101,"-")</f>
        <v>0</v>
      </c>
      <c r="O83" s="132">
        <f>IF($F83&lt;=$C$16*12,'Mortgage Calculators (By Month)'!$E101,"-")</f>
        <v>8.3333333333333339</v>
      </c>
      <c r="P83" s="132">
        <f t="shared" si="54"/>
        <v>0</v>
      </c>
      <c r="Q83" s="132">
        <f t="shared" si="34"/>
        <v>2761.7736340234378</v>
      </c>
      <c r="R83" s="132">
        <f t="shared" si="35"/>
        <v>8749.0472813411452</v>
      </c>
      <c r="S83" s="132">
        <f t="shared" si="36"/>
        <v>0</v>
      </c>
      <c r="T83" s="132">
        <f t="shared" si="28"/>
        <v>8749.0472813411452</v>
      </c>
      <c r="U83" s="132">
        <f>IF($F83&lt;=$C$16*12,SUM(T$5:T83),"-")</f>
        <v>577626.67849126295</v>
      </c>
      <c r="V83" s="132">
        <f>IF($F83&lt;=$C$16*12,G83-$C$10-'RE Calculations'!$C270-'Mortgage Calculators (By Month)'!$F101,"-")</f>
        <v>603698.52105166437</v>
      </c>
      <c r="W83" s="29">
        <f t="shared" si="37"/>
        <v>0.37706954414364302</v>
      </c>
      <c r="X83" s="31">
        <f t="shared" si="38"/>
        <v>5.7276386452198944E-2</v>
      </c>
      <c r="Y83" s="132">
        <f t="shared" si="39"/>
        <v>1181325.1995429273</v>
      </c>
      <c r="Z83" s="29">
        <f t="shared" si="40"/>
        <v>0.73785463926774963</v>
      </c>
      <c r="AA83" s="31">
        <f t="shared" si="41"/>
        <v>0.11207918571155691</v>
      </c>
      <c r="AD83" s="12">
        <f t="shared" si="42"/>
        <v>79</v>
      </c>
      <c r="AE83" s="132">
        <f t="shared" si="43"/>
        <v>2254311.7561751679</v>
      </c>
      <c r="AF83" s="132">
        <f>IF($AD83&lt;=$C$25*12,$AE83-$C$7+SUM('Mortgage Calculators (By Month)'!$K$23:$K101),"-")</f>
        <v>2254311.7561751679</v>
      </c>
      <c r="AG83" s="132">
        <f t="shared" si="44"/>
        <v>11502.48758203125</v>
      </c>
      <c r="AH83" s="132">
        <f>IF($AD83&lt;=$C$25*12,SUM(Inputs!$C$61:$C$78)*'Forecast (By Month)'!AG83,"-")</f>
        <v>1265.2736340234376</v>
      </c>
      <c r="AI83" s="132">
        <f>IF($AD83&lt;=$C$25*12,(SUMIF(Inputs!$C$61:$C$78,0,Inputs!$F$61:$F$78)/12)*(1+$C$34)^ROUNDDOWN((AD83-1)/12,0),"-")</f>
        <v>1488.1666666666667</v>
      </c>
      <c r="AJ83" s="132">
        <f t="shared" si="45"/>
        <v>2753.4403006901043</v>
      </c>
      <c r="AK83" s="132">
        <f>IF($AD83&lt;=$C$25*12,'Mortgage Calculators (By Month)'!$J101,"-")</f>
        <v>0</v>
      </c>
      <c r="AL83" s="132">
        <f>IF($AD83&lt;=$C$25*12,'Mortgage Calculators (By Month)'!$K101,"-")</f>
        <v>0</v>
      </c>
      <c r="AM83" s="132">
        <f>IF($AD83&lt;=$C$25*12,'Mortgage Calculators (By Month)'!$L101,"-")</f>
        <v>10</v>
      </c>
      <c r="AN83" s="132">
        <f t="shared" si="55"/>
        <v>0</v>
      </c>
      <c r="AO83" s="132">
        <f t="shared" si="46"/>
        <v>2763.4403006901043</v>
      </c>
      <c r="AP83" s="132">
        <f t="shared" si="47"/>
        <v>8749.0472813411452</v>
      </c>
      <c r="AQ83" s="132">
        <f t="shared" si="48"/>
        <v>0</v>
      </c>
      <c r="AR83" s="132">
        <f t="shared" si="29"/>
        <v>8749.0472813411452</v>
      </c>
      <c r="AS83" s="132">
        <f>IF($AD83&lt;=$C$25*12,SUM(AR$5:AR83),"-")</f>
        <v>577616.67849126295</v>
      </c>
      <c r="AT83" s="132">
        <f>IF($AD83&lt;=$C$25*12,AE83-$C$10-'RE Calculations'!$C270-'Mortgage Calculators (By Month)'!$M101,"-")</f>
        <v>603698.52105166437</v>
      </c>
      <c r="AU83" s="29">
        <f t="shared" si="49"/>
        <v>0.37706954414364302</v>
      </c>
      <c r="AV83" s="31">
        <f t="shared" si="50"/>
        <v>5.7276386452198944E-2</v>
      </c>
      <c r="AW83" s="132">
        <f t="shared" si="51"/>
        <v>1181315.1995429273</v>
      </c>
      <c r="AX83" s="29">
        <f t="shared" si="52"/>
        <v>0.737848393276895</v>
      </c>
      <c r="AY83" s="31">
        <f t="shared" si="53"/>
        <v>0.11207823695345241</v>
      </c>
    </row>
    <row r="84" spans="6:51" x14ac:dyDescent="0.35">
      <c r="F84" s="12">
        <f t="shared" si="30"/>
        <v>80</v>
      </c>
      <c r="G84" s="132">
        <f t="shared" si="31"/>
        <v>2263496.1013167594</v>
      </c>
      <c r="H84" s="132">
        <f>IF($F84&lt;=$C$16*12,$G84-$C$7+SUM('Mortgage Calculators (By Month)'!$D$23:$D102),"-")</f>
        <v>2263496.1013167594</v>
      </c>
      <c r="I84" s="132">
        <f t="shared" si="32"/>
        <v>11502.48758203125</v>
      </c>
      <c r="J84" s="132">
        <f>IF($F84&lt;=$C$16*12,SUM(Inputs!$C$61:$C$78)*'Forecast (By Month)'!I84,"-")</f>
        <v>1265.2736340234376</v>
      </c>
      <c r="K84" s="132">
        <f>IF($F84&lt;=$C$16*12,(SUMIF(Inputs!$C$61:$C$78,0,Inputs!$F$61:$F$78)/12)*(1+$C$34)^ROUNDDOWN((F84-1)/12,0),"-")</f>
        <v>1488.1666666666667</v>
      </c>
      <c r="L84" s="132">
        <f t="shared" si="33"/>
        <v>2753.4403006901043</v>
      </c>
      <c r="M84" s="132">
        <f>IF($F84&lt;=$C$16*12,'Mortgage Calculators (By Month)'!$C102,"-")</f>
        <v>0</v>
      </c>
      <c r="N84" s="132">
        <f>IF($F84&lt;=$C$16*12,'Mortgage Calculators (By Month)'!$D102,"-")</f>
        <v>0</v>
      </c>
      <c r="O84" s="132">
        <f>IF($F84&lt;=$C$16*12,'Mortgage Calculators (By Month)'!$E102,"-")</f>
        <v>8.3333333333333339</v>
      </c>
      <c r="P84" s="132">
        <f t="shared" si="54"/>
        <v>0</v>
      </c>
      <c r="Q84" s="132">
        <f t="shared" si="34"/>
        <v>2761.7736340234378</v>
      </c>
      <c r="R84" s="132">
        <f t="shared" si="35"/>
        <v>8749.0472813411452</v>
      </c>
      <c r="S84" s="132">
        <f t="shared" si="36"/>
        <v>0</v>
      </c>
      <c r="T84" s="132">
        <f t="shared" si="28"/>
        <v>8749.0472813411452</v>
      </c>
      <c r="U84" s="132">
        <f>IF($F84&lt;=$C$16*12,SUM(T$5:T84),"-")</f>
        <v>586375.72577260411</v>
      </c>
      <c r="V84" s="132">
        <f>IF($F84&lt;=$C$16*12,G84-$C$10-'RE Calculations'!$C271-'Mortgage Calculators (By Month)'!$F102,"-")</f>
        <v>612699.17929042398</v>
      </c>
      <c r="W84" s="29">
        <f t="shared" si="37"/>
        <v>0.38269134704812846</v>
      </c>
      <c r="X84" s="31">
        <f t="shared" si="38"/>
        <v>5.7403702057219265E-2</v>
      </c>
      <c r="Y84" s="132">
        <f t="shared" si="39"/>
        <v>1199074.905063028</v>
      </c>
      <c r="Z84" s="29">
        <f t="shared" si="40"/>
        <v>0.74894108910282464</v>
      </c>
      <c r="AA84" s="31">
        <f t="shared" si="41"/>
        <v>0.11234116336542369</v>
      </c>
      <c r="AD84" s="12">
        <f t="shared" si="42"/>
        <v>80</v>
      </c>
      <c r="AE84" s="132">
        <f t="shared" si="43"/>
        <v>2263496.1013167594</v>
      </c>
      <c r="AF84" s="132">
        <f>IF($AD84&lt;=$C$25*12,$AE84-$C$7+SUM('Mortgage Calculators (By Month)'!$K$23:$K102),"-")</f>
        <v>2263496.1013167594</v>
      </c>
      <c r="AG84" s="132">
        <f t="shared" si="44"/>
        <v>11502.48758203125</v>
      </c>
      <c r="AH84" s="132">
        <f>IF($AD84&lt;=$C$25*12,SUM(Inputs!$C$61:$C$78)*'Forecast (By Month)'!AG84,"-")</f>
        <v>1265.2736340234376</v>
      </c>
      <c r="AI84" s="132">
        <f>IF($AD84&lt;=$C$25*12,(SUMIF(Inputs!$C$61:$C$78,0,Inputs!$F$61:$F$78)/12)*(1+$C$34)^ROUNDDOWN((AD84-1)/12,0),"-")</f>
        <v>1488.1666666666667</v>
      </c>
      <c r="AJ84" s="132">
        <f t="shared" si="45"/>
        <v>2753.4403006901043</v>
      </c>
      <c r="AK84" s="132">
        <f>IF($AD84&lt;=$C$25*12,'Mortgage Calculators (By Month)'!$J102,"-")</f>
        <v>0</v>
      </c>
      <c r="AL84" s="132">
        <f>IF($AD84&lt;=$C$25*12,'Mortgage Calculators (By Month)'!$K102,"-")</f>
        <v>0</v>
      </c>
      <c r="AM84" s="132">
        <f>IF($AD84&lt;=$C$25*12,'Mortgage Calculators (By Month)'!$L102,"-")</f>
        <v>10</v>
      </c>
      <c r="AN84" s="132">
        <f t="shared" si="55"/>
        <v>0</v>
      </c>
      <c r="AO84" s="132">
        <f t="shared" si="46"/>
        <v>2763.4403006901043</v>
      </c>
      <c r="AP84" s="132">
        <f t="shared" si="47"/>
        <v>8749.0472813411452</v>
      </c>
      <c r="AQ84" s="132">
        <f t="shared" si="48"/>
        <v>0</v>
      </c>
      <c r="AR84" s="132">
        <f t="shared" si="29"/>
        <v>8749.0472813411452</v>
      </c>
      <c r="AS84" s="132">
        <f>IF($AD84&lt;=$C$25*12,SUM(AR$5:AR84),"-")</f>
        <v>586365.72577260411</v>
      </c>
      <c r="AT84" s="132">
        <f>IF($AD84&lt;=$C$25*12,AE84-$C$10-'RE Calculations'!$C271-'Mortgage Calculators (By Month)'!$M102,"-")</f>
        <v>612699.17929042398</v>
      </c>
      <c r="AU84" s="29">
        <f t="shared" si="49"/>
        <v>0.38269134704812846</v>
      </c>
      <c r="AV84" s="31">
        <f t="shared" si="50"/>
        <v>5.7403702057219265E-2</v>
      </c>
      <c r="AW84" s="132">
        <f t="shared" si="51"/>
        <v>1199064.905063028</v>
      </c>
      <c r="AX84" s="29">
        <f t="shared" si="52"/>
        <v>0.74893484311197001</v>
      </c>
      <c r="AY84" s="31">
        <f t="shared" si="53"/>
        <v>0.11234022646679549</v>
      </c>
    </row>
    <row r="85" spans="6:51" x14ac:dyDescent="0.35">
      <c r="F85" s="12">
        <f t="shared" si="30"/>
        <v>81</v>
      </c>
      <c r="G85" s="132">
        <f t="shared" si="31"/>
        <v>2272717.8646173291</v>
      </c>
      <c r="H85" s="132">
        <f>IF($F85&lt;=$C$16*12,$G85-$C$7+SUM('Mortgage Calculators (By Month)'!$D$23:$D103),"-")</f>
        <v>2272717.8646173291</v>
      </c>
      <c r="I85" s="132">
        <f t="shared" si="32"/>
        <v>11502.48758203125</v>
      </c>
      <c r="J85" s="132">
        <f>IF($F85&lt;=$C$16*12,SUM(Inputs!$C$61:$C$78)*'Forecast (By Month)'!I85,"-")</f>
        <v>1265.2736340234376</v>
      </c>
      <c r="K85" s="132">
        <f>IF($F85&lt;=$C$16*12,(SUMIF(Inputs!$C$61:$C$78,0,Inputs!$F$61:$F$78)/12)*(1+$C$34)^ROUNDDOWN((F85-1)/12,0),"-")</f>
        <v>1488.1666666666667</v>
      </c>
      <c r="L85" s="132">
        <f t="shared" si="33"/>
        <v>2753.4403006901043</v>
      </c>
      <c r="M85" s="132">
        <f>IF($F85&lt;=$C$16*12,'Mortgage Calculators (By Month)'!$C103,"-")</f>
        <v>0</v>
      </c>
      <c r="N85" s="132">
        <f>IF($F85&lt;=$C$16*12,'Mortgage Calculators (By Month)'!$D103,"-")</f>
        <v>0</v>
      </c>
      <c r="O85" s="132">
        <f>IF($F85&lt;=$C$16*12,'Mortgage Calculators (By Month)'!$E103,"-")</f>
        <v>8.3333333333333339</v>
      </c>
      <c r="P85" s="132">
        <f t="shared" si="54"/>
        <v>0</v>
      </c>
      <c r="Q85" s="132">
        <f t="shared" si="34"/>
        <v>2761.7736340234378</v>
      </c>
      <c r="R85" s="132">
        <f t="shared" si="35"/>
        <v>8749.0472813411452</v>
      </c>
      <c r="S85" s="132">
        <f t="shared" si="36"/>
        <v>0</v>
      </c>
      <c r="T85" s="132">
        <f t="shared" si="28"/>
        <v>8749.0472813411452</v>
      </c>
      <c r="U85" s="132">
        <f>IF($F85&lt;=$C$16*12,SUM(T$5:T85),"-")</f>
        <v>595124.77305394528</v>
      </c>
      <c r="V85" s="132">
        <f>IF($F85&lt;=$C$16*12,G85-$C$10-'RE Calculations'!$C272-'Mortgage Calculators (By Month)'!$F103,"-")</f>
        <v>621736.50732498232</v>
      </c>
      <c r="W85" s="29">
        <f t="shared" si="37"/>
        <v>0.38833605387353387</v>
      </c>
      <c r="X85" s="31">
        <f t="shared" si="38"/>
        <v>5.7531267240523536E-2</v>
      </c>
      <c r="Y85" s="132">
        <f t="shared" si="39"/>
        <v>1216861.2803789275</v>
      </c>
      <c r="Z85" s="29">
        <f t="shared" si="40"/>
        <v>0.76005044285881962</v>
      </c>
      <c r="AA85" s="31">
        <f t="shared" si="41"/>
        <v>0.11260006560871402</v>
      </c>
      <c r="AD85" s="12">
        <f t="shared" si="42"/>
        <v>81</v>
      </c>
      <c r="AE85" s="132">
        <f t="shared" si="43"/>
        <v>2272717.8646173291</v>
      </c>
      <c r="AF85" s="132">
        <f>IF($AD85&lt;=$C$25*12,$AE85-$C$7+SUM('Mortgage Calculators (By Month)'!$K$23:$K103),"-")</f>
        <v>2272717.8646173291</v>
      </c>
      <c r="AG85" s="132">
        <f t="shared" si="44"/>
        <v>11502.48758203125</v>
      </c>
      <c r="AH85" s="132">
        <f>IF($AD85&lt;=$C$25*12,SUM(Inputs!$C$61:$C$78)*'Forecast (By Month)'!AG85,"-")</f>
        <v>1265.2736340234376</v>
      </c>
      <c r="AI85" s="132">
        <f>IF($AD85&lt;=$C$25*12,(SUMIF(Inputs!$C$61:$C$78,0,Inputs!$F$61:$F$78)/12)*(1+$C$34)^ROUNDDOWN((AD85-1)/12,0),"-")</f>
        <v>1488.1666666666667</v>
      </c>
      <c r="AJ85" s="132">
        <f t="shared" si="45"/>
        <v>2753.4403006901043</v>
      </c>
      <c r="AK85" s="132">
        <f>IF($AD85&lt;=$C$25*12,'Mortgage Calculators (By Month)'!$J103,"-")</f>
        <v>0</v>
      </c>
      <c r="AL85" s="132">
        <f>IF($AD85&lt;=$C$25*12,'Mortgage Calculators (By Month)'!$K103,"-")</f>
        <v>0</v>
      </c>
      <c r="AM85" s="132">
        <f>IF($AD85&lt;=$C$25*12,'Mortgage Calculators (By Month)'!$L103,"-")</f>
        <v>10</v>
      </c>
      <c r="AN85" s="132">
        <f t="shared" si="55"/>
        <v>0</v>
      </c>
      <c r="AO85" s="132">
        <f t="shared" si="46"/>
        <v>2763.4403006901043</v>
      </c>
      <c r="AP85" s="132">
        <f t="shared" si="47"/>
        <v>8749.0472813411452</v>
      </c>
      <c r="AQ85" s="132">
        <f t="shared" si="48"/>
        <v>0</v>
      </c>
      <c r="AR85" s="132">
        <f t="shared" si="29"/>
        <v>8749.0472813411452</v>
      </c>
      <c r="AS85" s="132">
        <f>IF($AD85&lt;=$C$25*12,SUM(AR$5:AR85),"-")</f>
        <v>595114.77305394528</v>
      </c>
      <c r="AT85" s="132">
        <f>IF($AD85&lt;=$C$25*12,AE85-$C$10-'RE Calculations'!$C272-'Mortgage Calculators (By Month)'!$M103,"-")</f>
        <v>621736.50732498232</v>
      </c>
      <c r="AU85" s="29">
        <f t="shared" si="49"/>
        <v>0.38833605387353387</v>
      </c>
      <c r="AV85" s="31">
        <f t="shared" si="50"/>
        <v>5.7531267240523536E-2</v>
      </c>
      <c r="AW85" s="132">
        <f t="shared" si="51"/>
        <v>1216851.2803789275</v>
      </c>
      <c r="AX85" s="29">
        <f t="shared" si="52"/>
        <v>0.76004419686796509</v>
      </c>
      <c r="AY85" s="31">
        <f t="shared" si="53"/>
        <v>0.11259914027673557</v>
      </c>
    </row>
    <row r="86" spans="6:51" x14ac:dyDescent="0.35">
      <c r="F86" s="12">
        <f t="shared" si="30"/>
        <v>82</v>
      </c>
      <c r="G86" s="132">
        <f t="shared" si="31"/>
        <v>2281977.1985230888</v>
      </c>
      <c r="H86" s="132">
        <f>IF($F86&lt;=$C$16*12,$G86-$C$7+SUM('Mortgage Calculators (By Month)'!$D$23:$D104),"-")</f>
        <v>2281977.1985230888</v>
      </c>
      <c r="I86" s="132">
        <f t="shared" si="32"/>
        <v>11502.48758203125</v>
      </c>
      <c r="J86" s="132">
        <f>IF($F86&lt;=$C$16*12,SUM(Inputs!$C$61:$C$78)*'Forecast (By Month)'!I86,"-")</f>
        <v>1265.2736340234376</v>
      </c>
      <c r="K86" s="132">
        <f>IF($F86&lt;=$C$16*12,(SUMIF(Inputs!$C$61:$C$78,0,Inputs!$F$61:$F$78)/12)*(1+$C$34)^ROUNDDOWN((F86-1)/12,0),"-")</f>
        <v>1488.1666666666667</v>
      </c>
      <c r="L86" s="132">
        <f t="shared" si="33"/>
        <v>2753.4403006901043</v>
      </c>
      <c r="M86" s="132">
        <f>IF($F86&lt;=$C$16*12,'Mortgage Calculators (By Month)'!$C104,"-")</f>
        <v>0</v>
      </c>
      <c r="N86" s="132">
        <f>IF($F86&lt;=$C$16*12,'Mortgage Calculators (By Month)'!$D104,"-")</f>
        <v>0</v>
      </c>
      <c r="O86" s="132">
        <f>IF($F86&lt;=$C$16*12,'Mortgage Calculators (By Month)'!$E104,"-")</f>
        <v>8.3333333333333339</v>
      </c>
      <c r="P86" s="132">
        <f t="shared" si="54"/>
        <v>0</v>
      </c>
      <c r="Q86" s="132">
        <f t="shared" si="34"/>
        <v>2761.7736340234378</v>
      </c>
      <c r="R86" s="132">
        <f t="shared" si="35"/>
        <v>8749.0472813411452</v>
      </c>
      <c r="S86" s="132">
        <f t="shared" si="36"/>
        <v>0</v>
      </c>
      <c r="T86" s="132">
        <f t="shared" si="28"/>
        <v>8749.0472813411452</v>
      </c>
      <c r="U86" s="132">
        <f>IF($F86&lt;=$C$16*12,SUM(T$5:T86),"-")</f>
        <v>603873.82033528644</v>
      </c>
      <c r="V86" s="132">
        <f>IF($F86&lt;=$C$16*12,G86-$C$10-'RE Calculations'!$C273-'Mortgage Calculators (By Month)'!$F104,"-")</f>
        <v>630810.65455262689</v>
      </c>
      <c r="W86" s="29">
        <f t="shared" si="37"/>
        <v>0.39400375793326836</v>
      </c>
      <c r="X86" s="31">
        <f t="shared" si="38"/>
        <v>5.765908652681976E-2</v>
      </c>
      <c r="Y86" s="132">
        <f t="shared" si="39"/>
        <v>1234684.4748879133</v>
      </c>
      <c r="Z86" s="29">
        <f t="shared" si="40"/>
        <v>0.7711827938491439</v>
      </c>
      <c r="AA86" s="31">
        <f t="shared" si="41"/>
        <v>0.11285601861206984</v>
      </c>
      <c r="AD86" s="12">
        <f t="shared" si="42"/>
        <v>82</v>
      </c>
      <c r="AE86" s="132">
        <f t="shared" si="43"/>
        <v>2281977.1985230888</v>
      </c>
      <c r="AF86" s="132">
        <f>IF($AD86&lt;=$C$25*12,$AE86-$C$7+SUM('Mortgage Calculators (By Month)'!$K$23:$K104),"-")</f>
        <v>2281977.1985230888</v>
      </c>
      <c r="AG86" s="132">
        <f t="shared" si="44"/>
        <v>11502.48758203125</v>
      </c>
      <c r="AH86" s="132">
        <f>IF($AD86&lt;=$C$25*12,SUM(Inputs!$C$61:$C$78)*'Forecast (By Month)'!AG86,"-")</f>
        <v>1265.2736340234376</v>
      </c>
      <c r="AI86" s="132">
        <f>IF($AD86&lt;=$C$25*12,(SUMIF(Inputs!$C$61:$C$78,0,Inputs!$F$61:$F$78)/12)*(1+$C$34)^ROUNDDOWN((AD86-1)/12,0),"-")</f>
        <v>1488.1666666666667</v>
      </c>
      <c r="AJ86" s="132">
        <f t="shared" si="45"/>
        <v>2753.4403006901043</v>
      </c>
      <c r="AK86" s="132">
        <f>IF($AD86&lt;=$C$25*12,'Mortgage Calculators (By Month)'!$J104,"-")</f>
        <v>0</v>
      </c>
      <c r="AL86" s="132">
        <f>IF($AD86&lt;=$C$25*12,'Mortgage Calculators (By Month)'!$K104,"-")</f>
        <v>0</v>
      </c>
      <c r="AM86" s="132">
        <f>IF($AD86&lt;=$C$25*12,'Mortgage Calculators (By Month)'!$L104,"-")</f>
        <v>10</v>
      </c>
      <c r="AN86" s="132">
        <f t="shared" si="55"/>
        <v>0</v>
      </c>
      <c r="AO86" s="132">
        <f t="shared" si="46"/>
        <v>2763.4403006901043</v>
      </c>
      <c r="AP86" s="132">
        <f t="shared" si="47"/>
        <v>8749.0472813411452</v>
      </c>
      <c r="AQ86" s="132">
        <f t="shared" si="48"/>
        <v>0</v>
      </c>
      <c r="AR86" s="132">
        <f t="shared" si="29"/>
        <v>8749.0472813411452</v>
      </c>
      <c r="AS86" s="132">
        <f>IF($AD86&lt;=$C$25*12,SUM(AR$5:AR86),"-")</f>
        <v>603863.82033528644</v>
      </c>
      <c r="AT86" s="132">
        <f>IF($AD86&lt;=$C$25*12,AE86-$C$10-'RE Calculations'!$C273-'Mortgage Calculators (By Month)'!$M104,"-")</f>
        <v>630810.65455262689</v>
      </c>
      <c r="AU86" s="29">
        <f t="shared" si="49"/>
        <v>0.39400375793326836</v>
      </c>
      <c r="AV86" s="31">
        <f t="shared" si="50"/>
        <v>5.765908652681976E-2</v>
      </c>
      <c r="AW86" s="132">
        <f t="shared" si="51"/>
        <v>1234674.4748879133</v>
      </c>
      <c r="AX86" s="29">
        <f t="shared" si="52"/>
        <v>0.77117654785828926</v>
      </c>
      <c r="AY86" s="31">
        <f t="shared" si="53"/>
        <v>0.1128551045646277</v>
      </c>
    </row>
    <row r="87" spans="6:51" x14ac:dyDescent="0.35">
      <c r="F87" s="12">
        <f t="shared" si="30"/>
        <v>83</v>
      </c>
      <c r="G87" s="132">
        <f t="shared" si="31"/>
        <v>2291274.2561013349</v>
      </c>
      <c r="H87" s="132">
        <f>IF($F87&lt;=$C$16*12,$G87-$C$7+SUM('Mortgage Calculators (By Month)'!$D$23:$D105),"-")</f>
        <v>2291274.2561013349</v>
      </c>
      <c r="I87" s="132">
        <f t="shared" si="32"/>
        <v>11502.48758203125</v>
      </c>
      <c r="J87" s="132">
        <f>IF($F87&lt;=$C$16*12,SUM(Inputs!$C$61:$C$78)*'Forecast (By Month)'!I87,"-")</f>
        <v>1265.2736340234376</v>
      </c>
      <c r="K87" s="132">
        <f>IF($F87&lt;=$C$16*12,(SUMIF(Inputs!$C$61:$C$78,0,Inputs!$F$61:$F$78)/12)*(1+$C$34)^ROUNDDOWN((F87-1)/12,0),"-")</f>
        <v>1488.1666666666667</v>
      </c>
      <c r="L87" s="132">
        <f t="shared" si="33"/>
        <v>2753.4403006901043</v>
      </c>
      <c r="M87" s="132">
        <f>IF($F87&lt;=$C$16*12,'Mortgage Calculators (By Month)'!$C105,"-")</f>
        <v>0</v>
      </c>
      <c r="N87" s="132">
        <f>IF($F87&lt;=$C$16*12,'Mortgage Calculators (By Month)'!$D105,"-")</f>
        <v>0</v>
      </c>
      <c r="O87" s="132">
        <f>IF($F87&lt;=$C$16*12,'Mortgage Calculators (By Month)'!$E105,"-")</f>
        <v>8.3333333333333339</v>
      </c>
      <c r="P87" s="132">
        <f t="shared" si="54"/>
        <v>0</v>
      </c>
      <c r="Q87" s="132">
        <f t="shared" si="34"/>
        <v>2761.7736340234378</v>
      </c>
      <c r="R87" s="132">
        <f t="shared" si="35"/>
        <v>8749.0472813411452</v>
      </c>
      <c r="S87" s="132">
        <f t="shared" si="36"/>
        <v>0</v>
      </c>
      <c r="T87" s="132">
        <f t="shared" si="28"/>
        <v>8749.0472813411452</v>
      </c>
      <c r="U87" s="132">
        <f>IF($F87&lt;=$C$16*12,SUM(T$5:T87),"-")</f>
        <v>612622.8676166276</v>
      </c>
      <c r="V87" s="132">
        <f>IF($F87&lt;=$C$16*12,G87-$C$10-'RE Calculations'!$C274-'Mortgage Calculators (By Month)'!$F105,"-")</f>
        <v>639921.77097930806</v>
      </c>
      <c r="W87" s="29">
        <f t="shared" si="37"/>
        <v>0.39969455292091144</v>
      </c>
      <c r="X87" s="31">
        <f t="shared" si="38"/>
        <v>5.7787164277722132E-2</v>
      </c>
      <c r="Y87" s="132">
        <f t="shared" si="39"/>
        <v>1252544.6385959357</v>
      </c>
      <c r="Z87" s="29">
        <f t="shared" si="40"/>
        <v>0.7823382357673766</v>
      </c>
      <c r="AA87" s="31">
        <f t="shared" si="41"/>
        <v>0.11310914252058456</v>
      </c>
      <c r="AD87" s="12">
        <f t="shared" si="42"/>
        <v>83</v>
      </c>
      <c r="AE87" s="132">
        <f t="shared" si="43"/>
        <v>2291274.2561013349</v>
      </c>
      <c r="AF87" s="132">
        <f>IF($AD87&lt;=$C$25*12,$AE87-$C$7+SUM('Mortgage Calculators (By Month)'!$K$23:$K105),"-")</f>
        <v>2291274.2561013349</v>
      </c>
      <c r="AG87" s="132">
        <f t="shared" si="44"/>
        <v>11502.48758203125</v>
      </c>
      <c r="AH87" s="132">
        <f>IF($AD87&lt;=$C$25*12,SUM(Inputs!$C$61:$C$78)*'Forecast (By Month)'!AG87,"-")</f>
        <v>1265.2736340234376</v>
      </c>
      <c r="AI87" s="132">
        <f>IF($AD87&lt;=$C$25*12,(SUMIF(Inputs!$C$61:$C$78,0,Inputs!$F$61:$F$78)/12)*(1+$C$34)^ROUNDDOWN((AD87-1)/12,0),"-")</f>
        <v>1488.1666666666667</v>
      </c>
      <c r="AJ87" s="132">
        <f t="shared" si="45"/>
        <v>2753.4403006901043</v>
      </c>
      <c r="AK87" s="132">
        <f>IF($AD87&lt;=$C$25*12,'Mortgage Calculators (By Month)'!$J105,"-")</f>
        <v>0</v>
      </c>
      <c r="AL87" s="132">
        <f>IF($AD87&lt;=$C$25*12,'Mortgage Calculators (By Month)'!$K105,"-")</f>
        <v>0</v>
      </c>
      <c r="AM87" s="132">
        <f>IF($AD87&lt;=$C$25*12,'Mortgage Calculators (By Month)'!$L105,"-")</f>
        <v>10</v>
      </c>
      <c r="AN87" s="132">
        <f t="shared" si="55"/>
        <v>0</v>
      </c>
      <c r="AO87" s="132">
        <f t="shared" si="46"/>
        <v>2763.4403006901043</v>
      </c>
      <c r="AP87" s="132">
        <f t="shared" si="47"/>
        <v>8749.0472813411452</v>
      </c>
      <c r="AQ87" s="132">
        <f t="shared" si="48"/>
        <v>0</v>
      </c>
      <c r="AR87" s="132">
        <f t="shared" si="29"/>
        <v>8749.0472813411452</v>
      </c>
      <c r="AS87" s="132">
        <f>IF($AD87&lt;=$C$25*12,SUM(AR$5:AR87),"-")</f>
        <v>612612.8676166276</v>
      </c>
      <c r="AT87" s="132">
        <f>IF($AD87&lt;=$C$25*12,AE87-$C$10-'RE Calculations'!$C274-'Mortgage Calculators (By Month)'!$M105,"-")</f>
        <v>639921.77097930806</v>
      </c>
      <c r="AU87" s="29">
        <f t="shared" si="49"/>
        <v>0.39969455292091144</v>
      </c>
      <c r="AV87" s="31">
        <f t="shared" si="50"/>
        <v>5.7787164277722132E-2</v>
      </c>
      <c r="AW87" s="132">
        <f t="shared" si="51"/>
        <v>1252534.6385959357</v>
      </c>
      <c r="AX87" s="29">
        <f t="shared" si="52"/>
        <v>0.78233198977652196</v>
      </c>
      <c r="AY87" s="31">
        <f t="shared" si="53"/>
        <v>0.11310823948576221</v>
      </c>
    </row>
    <row r="88" spans="6:51" x14ac:dyDescent="0.35">
      <c r="F88" s="12">
        <f t="shared" si="30"/>
        <v>84</v>
      </c>
      <c r="G88" s="132">
        <f t="shared" si="31"/>
        <v>2300609.1910429788</v>
      </c>
      <c r="H88" s="132">
        <f>IF($F88&lt;=$C$16*12,$G88-$C$7+SUM('Mortgage Calculators (By Month)'!$D$23:$D106),"-")</f>
        <v>2300609.1910429788</v>
      </c>
      <c r="I88" s="132">
        <f t="shared" si="32"/>
        <v>11502.48758203125</v>
      </c>
      <c r="J88" s="132">
        <f>IF($F88&lt;=$C$16*12,SUM(Inputs!$C$61:$C$78)*'Forecast (By Month)'!I88,"-")</f>
        <v>1265.2736340234376</v>
      </c>
      <c r="K88" s="132">
        <f>IF($F88&lt;=$C$16*12,(SUMIF(Inputs!$C$61:$C$78,0,Inputs!$F$61:$F$78)/12)*(1+$C$34)^ROUNDDOWN((F88-1)/12,0),"-")</f>
        <v>1488.1666666666667</v>
      </c>
      <c r="L88" s="132">
        <f t="shared" si="33"/>
        <v>2753.4403006901043</v>
      </c>
      <c r="M88" s="132">
        <f>IF($F88&lt;=$C$16*12,'Mortgage Calculators (By Month)'!$C106,"-")</f>
        <v>0</v>
      </c>
      <c r="N88" s="132">
        <f>IF($F88&lt;=$C$16*12,'Mortgage Calculators (By Month)'!$D106,"-")</f>
        <v>0</v>
      </c>
      <c r="O88" s="132">
        <f>IF($F88&lt;=$C$16*12,'Mortgage Calculators (By Month)'!$E106,"-")</f>
        <v>8.3333333333333339</v>
      </c>
      <c r="P88" s="132">
        <f t="shared" si="54"/>
        <v>0</v>
      </c>
      <c r="Q88" s="132">
        <f t="shared" si="34"/>
        <v>2761.7736340234378</v>
      </c>
      <c r="R88" s="132">
        <f t="shared" si="35"/>
        <v>8749.0472813411452</v>
      </c>
      <c r="S88" s="132">
        <f t="shared" si="36"/>
        <v>0</v>
      </c>
      <c r="T88" s="132">
        <f t="shared" si="28"/>
        <v>8749.0472813411452</v>
      </c>
      <c r="U88" s="132">
        <f>IF($F88&lt;=$C$16*12,SUM(T$5:T88),"-")</f>
        <v>621371.91489796876</v>
      </c>
      <c r="V88" s="132">
        <f>IF($F88&lt;=$C$16*12,G88-$C$10-'RE Calculations'!$C275-'Mortgage Calculators (By Month)'!$F106,"-")</f>
        <v>649070.00722211902</v>
      </c>
      <c r="W88" s="29">
        <f t="shared" si="37"/>
        <v>0.40540853291176165</v>
      </c>
      <c r="X88" s="31">
        <f t="shared" si="38"/>
        <v>5.7915504701680234E-2</v>
      </c>
      <c r="Y88" s="132">
        <f t="shared" si="39"/>
        <v>1270441.9221200878</v>
      </c>
      <c r="Z88" s="29">
        <f t="shared" si="40"/>
        <v>0.79351686268881649</v>
      </c>
      <c r="AA88" s="31">
        <f t="shared" si="41"/>
        <v>0.11335955181268807</v>
      </c>
      <c r="AD88" s="12">
        <f t="shared" si="42"/>
        <v>84</v>
      </c>
      <c r="AE88" s="132">
        <f t="shared" si="43"/>
        <v>2300609.1910429788</v>
      </c>
      <c r="AF88" s="132">
        <f>IF($AD88&lt;=$C$25*12,$AE88-$C$7+SUM('Mortgage Calculators (By Month)'!$K$23:$K106),"-")</f>
        <v>2300609.1910429788</v>
      </c>
      <c r="AG88" s="132">
        <f t="shared" si="44"/>
        <v>11502.48758203125</v>
      </c>
      <c r="AH88" s="132">
        <f>IF($AD88&lt;=$C$25*12,SUM(Inputs!$C$61:$C$78)*'Forecast (By Month)'!AG88,"-")</f>
        <v>1265.2736340234376</v>
      </c>
      <c r="AI88" s="132">
        <f>IF($AD88&lt;=$C$25*12,(SUMIF(Inputs!$C$61:$C$78,0,Inputs!$F$61:$F$78)/12)*(1+$C$34)^ROUNDDOWN((AD88-1)/12,0),"-")</f>
        <v>1488.1666666666667</v>
      </c>
      <c r="AJ88" s="132">
        <f t="shared" si="45"/>
        <v>2753.4403006901043</v>
      </c>
      <c r="AK88" s="132">
        <f>IF($AD88&lt;=$C$25*12,'Mortgage Calculators (By Month)'!$J106,"-")</f>
        <v>0</v>
      </c>
      <c r="AL88" s="132">
        <f>IF($AD88&lt;=$C$25*12,'Mortgage Calculators (By Month)'!$K106,"-")</f>
        <v>0</v>
      </c>
      <c r="AM88" s="132">
        <f>IF($AD88&lt;=$C$25*12,'Mortgage Calculators (By Month)'!$L106,"-")</f>
        <v>10</v>
      </c>
      <c r="AN88" s="132">
        <f t="shared" si="55"/>
        <v>0</v>
      </c>
      <c r="AO88" s="132">
        <f t="shared" si="46"/>
        <v>2763.4403006901043</v>
      </c>
      <c r="AP88" s="132">
        <f t="shared" si="47"/>
        <v>8749.0472813411452</v>
      </c>
      <c r="AQ88" s="132">
        <f t="shared" si="48"/>
        <v>0</v>
      </c>
      <c r="AR88" s="132">
        <f t="shared" si="29"/>
        <v>8749.0472813411452</v>
      </c>
      <c r="AS88" s="132">
        <f>IF($AD88&lt;=$C$25*12,SUM(AR$5:AR88),"-")</f>
        <v>621361.91489796876</v>
      </c>
      <c r="AT88" s="132">
        <f>IF($AD88&lt;=$C$25*12,AE88-$C$10-'RE Calculations'!$C275-'Mortgage Calculators (By Month)'!$M106,"-")</f>
        <v>649070.00722211902</v>
      </c>
      <c r="AU88" s="29">
        <f t="shared" si="49"/>
        <v>0.40540853291176165</v>
      </c>
      <c r="AV88" s="31">
        <f t="shared" si="50"/>
        <v>5.7915504701680234E-2</v>
      </c>
      <c r="AW88" s="132">
        <f t="shared" si="51"/>
        <v>1270431.9221200878</v>
      </c>
      <c r="AX88" s="29">
        <f t="shared" si="52"/>
        <v>0.79351061669796186</v>
      </c>
      <c r="AY88" s="31">
        <f t="shared" si="53"/>
        <v>0.11335865952828027</v>
      </c>
    </row>
    <row r="89" spans="6:51" x14ac:dyDescent="0.35">
      <c r="F89" s="12">
        <f t="shared" si="30"/>
        <v>85</v>
      </c>
      <c r="G89" s="132">
        <f t="shared" si="31"/>
        <v>2309982.1576650869</v>
      </c>
      <c r="H89" s="132">
        <f>IF($F89&lt;=$C$16*12,$G89-$C$7+SUM('Mortgage Calculators (By Month)'!$D$23:$D107),"-")</f>
        <v>2309982.1576650869</v>
      </c>
      <c r="I89" s="132">
        <f t="shared" si="32"/>
        <v>12077.611961132816</v>
      </c>
      <c r="J89" s="132">
        <f>IF($F89&lt;=$C$16*12,SUM(Inputs!$C$61:$C$78)*'Forecast (By Month)'!I89,"-")</f>
        <v>1328.5373157246097</v>
      </c>
      <c r="K89" s="132">
        <f>IF($F89&lt;=$C$16*12,(SUMIF(Inputs!$C$61:$C$78,0,Inputs!$F$61:$F$78)/12)*(1+$C$34)^ROUNDDOWN((F89-1)/12,0),"-")</f>
        <v>1488.1666666666667</v>
      </c>
      <c r="L89" s="132">
        <f t="shared" si="33"/>
        <v>2816.7039823912764</v>
      </c>
      <c r="M89" s="132">
        <f>IF($F89&lt;=$C$16*12,'Mortgage Calculators (By Month)'!$C107,"-")</f>
        <v>0</v>
      </c>
      <c r="N89" s="132">
        <f>IF($F89&lt;=$C$16*12,'Mortgage Calculators (By Month)'!$D107,"-")</f>
        <v>0</v>
      </c>
      <c r="O89" s="132">
        <f>IF($F89&lt;=$C$16*12,'Mortgage Calculators (By Month)'!$E107,"-")</f>
        <v>8.3333333333333339</v>
      </c>
      <c r="P89" s="132">
        <f t="shared" si="54"/>
        <v>0</v>
      </c>
      <c r="Q89" s="132">
        <f t="shared" si="34"/>
        <v>2825.0373157246099</v>
      </c>
      <c r="R89" s="132">
        <f t="shared" si="35"/>
        <v>9260.9079787415394</v>
      </c>
      <c r="S89" s="132">
        <f t="shared" si="36"/>
        <v>0</v>
      </c>
      <c r="T89" s="132">
        <f t="shared" si="28"/>
        <v>9260.9079787415394</v>
      </c>
      <c r="U89" s="132">
        <f>IF($F89&lt;=$C$16*12,SUM(T$5:T89),"-")</f>
        <v>630632.82287671033</v>
      </c>
      <c r="V89" s="132">
        <f>IF($F89&lt;=$C$16*12,G89-$C$10-'RE Calculations'!$C276-'Mortgage Calculators (By Month)'!$F107,"-")</f>
        <v>658255.514511785</v>
      </c>
      <c r="W89" s="29">
        <f t="shared" si="37"/>
        <v>0.41114579236439175</v>
      </c>
      <c r="X89" s="31">
        <f t="shared" si="38"/>
        <v>5.804411186320825E-2</v>
      </c>
      <c r="Y89" s="132">
        <f t="shared" si="39"/>
        <v>1288888.3373884954</v>
      </c>
      <c r="Z89" s="29">
        <f t="shared" si="40"/>
        <v>0.80503847679551654</v>
      </c>
      <c r="AA89" s="31">
        <f t="shared" si="41"/>
        <v>0.11365249084171999</v>
      </c>
      <c r="AD89" s="12">
        <f t="shared" si="42"/>
        <v>85</v>
      </c>
      <c r="AE89" s="132">
        <f t="shared" si="43"/>
        <v>2309982.1576650869</v>
      </c>
      <c r="AF89" s="132">
        <f>IF($AD89&lt;=$C$25*12,$AE89-$C$7+SUM('Mortgage Calculators (By Month)'!$K$23:$K107),"-")</f>
        <v>2309982.1576650869</v>
      </c>
      <c r="AG89" s="132">
        <f t="shared" si="44"/>
        <v>12077.611961132816</v>
      </c>
      <c r="AH89" s="132">
        <f>IF($AD89&lt;=$C$25*12,SUM(Inputs!$C$61:$C$78)*'Forecast (By Month)'!AG89,"-")</f>
        <v>1328.5373157246097</v>
      </c>
      <c r="AI89" s="132">
        <f>IF($AD89&lt;=$C$25*12,(SUMIF(Inputs!$C$61:$C$78,0,Inputs!$F$61:$F$78)/12)*(1+$C$34)^ROUNDDOWN((AD89-1)/12,0),"-")</f>
        <v>1488.1666666666667</v>
      </c>
      <c r="AJ89" s="132">
        <f t="shared" si="45"/>
        <v>2816.7039823912764</v>
      </c>
      <c r="AK89" s="132">
        <f>IF($AD89&lt;=$C$25*12,'Mortgage Calculators (By Month)'!$J107,"-")</f>
        <v>0</v>
      </c>
      <c r="AL89" s="132">
        <f>IF($AD89&lt;=$C$25*12,'Mortgage Calculators (By Month)'!$K107,"-")</f>
        <v>0</v>
      </c>
      <c r="AM89" s="132">
        <f>IF($AD89&lt;=$C$25*12,'Mortgage Calculators (By Month)'!$L107,"-")</f>
        <v>10</v>
      </c>
      <c r="AN89" s="132">
        <f t="shared" si="55"/>
        <v>0</v>
      </c>
      <c r="AO89" s="132">
        <f t="shared" si="46"/>
        <v>2826.7039823912764</v>
      </c>
      <c r="AP89" s="132">
        <f t="shared" si="47"/>
        <v>9260.9079787415394</v>
      </c>
      <c r="AQ89" s="132">
        <f t="shared" si="48"/>
        <v>0</v>
      </c>
      <c r="AR89" s="132">
        <f t="shared" si="29"/>
        <v>9260.9079787415394</v>
      </c>
      <c r="AS89" s="132">
        <f>IF($AD89&lt;=$C$25*12,SUM(AR$5:AR89),"-")</f>
        <v>630622.82287671033</v>
      </c>
      <c r="AT89" s="132">
        <f>IF($AD89&lt;=$C$25*12,AE89-$C$10-'RE Calculations'!$C276-'Mortgage Calculators (By Month)'!$M107,"-")</f>
        <v>658255.514511785</v>
      </c>
      <c r="AU89" s="29">
        <f t="shared" si="49"/>
        <v>0.41114579236439175</v>
      </c>
      <c r="AV89" s="31">
        <f t="shared" si="50"/>
        <v>5.804411186320825E-2</v>
      </c>
      <c r="AW89" s="132">
        <f t="shared" si="51"/>
        <v>1288878.3373884954</v>
      </c>
      <c r="AX89" s="29">
        <f t="shared" si="52"/>
        <v>0.80503223080466191</v>
      </c>
      <c r="AY89" s="31">
        <f t="shared" si="53"/>
        <v>0.11365160905477581</v>
      </c>
    </row>
    <row r="90" spans="6:51" x14ac:dyDescent="0.35">
      <c r="F90" s="12">
        <f t="shared" si="30"/>
        <v>86</v>
      </c>
      <c r="G90" s="132">
        <f t="shared" si="31"/>
        <v>2319393.3109134338</v>
      </c>
      <c r="H90" s="132">
        <f>IF($F90&lt;=$C$16*12,$G90-$C$7+SUM('Mortgage Calculators (By Month)'!$D$23:$D108),"-")</f>
        <v>2319393.3109134338</v>
      </c>
      <c r="I90" s="132">
        <f t="shared" si="32"/>
        <v>12077.611961132816</v>
      </c>
      <c r="J90" s="132">
        <f>IF($F90&lt;=$C$16*12,SUM(Inputs!$C$61:$C$78)*'Forecast (By Month)'!I90,"-")</f>
        <v>1328.5373157246097</v>
      </c>
      <c r="K90" s="132">
        <f>IF($F90&lt;=$C$16*12,(SUMIF(Inputs!$C$61:$C$78,0,Inputs!$F$61:$F$78)/12)*(1+$C$34)^ROUNDDOWN((F90-1)/12,0),"-")</f>
        <v>1488.1666666666667</v>
      </c>
      <c r="L90" s="132">
        <f t="shared" si="33"/>
        <v>2816.7039823912764</v>
      </c>
      <c r="M90" s="132">
        <f>IF($F90&lt;=$C$16*12,'Mortgage Calculators (By Month)'!$C108,"-")</f>
        <v>0</v>
      </c>
      <c r="N90" s="132">
        <f>IF($F90&lt;=$C$16*12,'Mortgage Calculators (By Month)'!$D108,"-")</f>
        <v>0</v>
      </c>
      <c r="O90" s="132">
        <f>IF($F90&lt;=$C$16*12,'Mortgage Calculators (By Month)'!$E108,"-")</f>
        <v>8.3333333333333339</v>
      </c>
      <c r="P90" s="132">
        <f t="shared" si="54"/>
        <v>0</v>
      </c>
      <c r="Q90" s="132">
        <f t="shared" si="34"/>
        <v>2825.0373157246099</v>
      </c>
      <c r="R90" s="132">
        <f t="shared" si="35"/>
        <v>9260.9079787415394</v>
      </c>
      <c r="S90" s="132">
        <f t="shared" si="36"/>
        <v>0</v>
      </c>
      <c r="T90" s="132">
        <f t="shared" si="28"/>
        <v>9260.9079787415394</v>
      </c>
      <c r="U90" s="132">
        <f>IF($F90&lt;=$C$16*12,SUM(T$5:T90),"-")</f>
        <v>639893.7308554519</v>
      </c>
      <c r="V90" s="132">
        <f>IF($F90&lt;=$C$16*12,G90-$C$10-'RE Calculations'!$C277-'Mortgage Calculators (By Month)'!$F108,"-")</f>
        <v>667478.44469516492</v>
      </c>
      <c r="W90" s="29">
        <f t="shared" si="37"/>
        <v>0.4169064261222109</v>
      </c>
      <c r="X90" s="31">
        <f t="shared" si="38"/>
        <v>5.8172989691471284E-2</v>
      </c>
      <c r="Y90" s="132">
        <f t="shared" si="39"/>
        <v>1307372.1755506168</v>
      </c>
      <c r="Z90" s="29">
        <f t="shared" si="40"/>
        <v>0.81658346520740555</v>
      </c>
      <c r="AA90" s="31">
        <f t="shared" si="41"/>
        <v>0.11394187886614961</v>
      </c>
      <c r="AD90" s="12">
        <f t="shared" si="42"/>
        <v>86</v>
      </c>
      <c r="AE90" s="132">
        <f t="shared" si="43"/>
        <v>2319393.3109134338</v>
      </c>
      <c r="AF90" s="132">
        <f>IF($AD90&lt;=$C$25*12,$AE90-$C$7+SUM('Mortgage Calculators (By Month)'!$K$23:$K108),"-")</f>
        <v>2319393.3109134338</v>
      </c>
      <c r="AG90" s="132">
        <f t="shared" si="44"/>
        <v>12077.611961132816</v>
      </c>
      <c r="AH90" s="132">
        <f>IF($AD90&lt;=$C$25*12,SUM(Inputs!$C$61:$C$78)*'Forecast (By Month)'!AG90,"-")</f>
        <v>1328.5373157246097</v>
      </c>
      <c r="AI90" s="132">
        <f>IF($AD90&lt;=$C$25*12,(SUMIF(Inputs!$C$61:$C$78,0,Inputs!$F$61:$F$78)/12)*(1+$C$34)^ROUNDDOWN((AD90-1)/12,0),"-")</f>
        <v>1488.1666666666667</v>
      </c>
      <c r="AJ90" s="132">
        <f t="shared" si="45"/>
        <v>2816.7039823912764</v>
      </c>
      <c r="AK90" s="132">
        <f>IF($AD90&lt;=$C$25*12,'Mortgage Calculators (By Month)'!$J108,"-")</f>
        <v>0</v>
      </c>
      <c r="AL90" s="132">
        <f>IF($AD90&lt;=$C$25*12,'Mortgage Calculators (By Month)'!$K108,"-")</f>
        <v>0</v>
      </c>
      <c r="AM90" s="132">
        <f>IF($AD90&lt;=$C$25*12,'Mortgage Calculators (By Month)'!$L108,"-")</f>
        <v>10</v>
      </c>
      <c r="AN90" s="132">
        <f t="shared" si="55"/>
        <v>0</v>
      </c>
      <c r="AO90" s="132">
        <f t="shared" si="46"/>
        <v>2826.7039823912764</v>
      </c>
      <c r="AP90" s="132">
        <f t="shared" si="47"/>
        <v>9260.9079787415394</v>
      </c>
      <c r="AQ90" s="132">
        <f t="shared" si="48"/>
        <v>0</v>
      </c>
      <c r="AR90" s="132">
        <f t="shared" si="29"/>
        <v>9260.9079787415394</v>
      </c>
      <c r="AS90" s="132">
        <f>IF($AD90&lt;=$C$25*12,SUM(AR$5:AR90),"-")</f>
        <v>639883.7308554519</v>
      </c>
      <c r="AT90" s="132">
        <f>IF($AD90&lt;=$C$25*12,AE90-$C$10-'RE Calculations'!$C277-'Mortgage Calculators (By Month)'!$M108,"-")</f>
        <v>667478.44469516492</v>
      </c>
      <c r="AU90" s="29">
        <f t="shared" si="49"/>
        <v>0.4169064261222109</v>
      </c>
      <c r="AV90" s="31">
        <f t="shared" si="50"/>
        <v>5.8172989691471284E-2</v>
      </c>
      <c r="AW90" s="132">
        <f t="shared" si="51"/>
        <v>1307362.1755506168</v>
      </c>
      <c r="AX90" s="29">
        <f t="shared" si="52"/>
        <v>0.81657721921655091</v>
      </c>
      <c r="AY90" s="31">
        <f t="shared" si="53"/>
        <v>0.11394100733254198</v>
      </c>
    </row>
    <row r="91" spans="6:51" x14ac:dyDescent="0.35">
      <c r="F91" s="12">
        <f t="shared" si="30"/>
        <v>87</v>
      </c>
      <c r="G91" s="132">
        <f t="shared" si="31"/>
        <v>2328842.8063650611</v>
      </c>
      <c r="H91" s="132">
        <f>IF($F91&lt;=$C$16*12,$G91-$C$7+SUM('Mortgage Calculators (By Month)'!$D$23:$D109),"-")</f>
        <v>2328842.8063650611</v>
      </c>
      <c r="I91" s="132">
        <f t="shared" si="32"/>
        <v>12077.611961132816</v>
      </c>
      <c r="J91" s="132">
        <f>IF($F91&lt;=$C$16*12,SUM(Inputs!$C$61:$C$78)*'Forecast (By Month)'!I91,"-")</f>
        <v>1328.5373157246097</v>
      </c>
      <c r="K91" s="132">
        <f>IF($F91&lt;=$C$16*12,(SUMIF(Inputs!$C$61:$C$78,0,Inputs!$F$61:$F$78)/12)*(1+$C$34)^ROUNDDOWN((F91-1)/12,0),"-")</f>
        <v>1488.1666666666667</v>
      </c>
      <c r="L91" s="132">
        <f t="shared" si="33"/>
        <v>2816.7039823912764</v>
      </c>
      <c r="M91" s="132">
        <f>IF($F91&lt;=$C$16*12,'Mortgage Calculators (By Month)'!$C109,"-")</f>
        <v>0</v>
      </c>
      <c r="N91" s="132">
        <f>IF($F91&lt;=$C$16*12,'Mortgage Calculators (By Month)'!$D109,"-")</f>
        <v>0</v>
      </c>
      <c r="O91" s="132">
        <f>IF($F91&lt;=$C$16*12,'Mortgage Calculators (By Month)'!$E109,"-")</f>
        <v>8.3333333333333339</v>
      </c>
      <c r="P91" s="132">
        <f t="shared" si="54"/>
        <v>0</v>
      </c>
      <c r="Q91" s="132">
        <f t="shared" si="34"/>
        <v>2825.0373157246099</v>
      </c>
      <c r="R91" s="132">
        <f t="shared" si="35"/>
        <v>9260.9079787415394</v>
      </c>
      <c r="S91" s="132">
        <f t="shared" si="36"/>
        <v>0</v>
      </c>
      <c r="T91" s="132">
        <f t="shared" si="28"/>
        <v>9260.9079787415394</v>
      </c>
      <c r="U91" s="132">
        <f>IF($F91&lt;=$C$16*12,SUM(T$5:T91),"-")</f>
        <v>649154.63883419347</v>
      </c>
      <c r="V91" s="132">
        <f>IF($F91&lt;=$C$16*12,G91-$C$10-'RE Calculations'!$C278-'Mortgage Calculators (By Month)'!$F109,"-")</f>
        <v>676738.95023775974</v>
      </c>
      <c r="W91" s="29">
        <f t="shared" si="37"/>
        <v>0.42269052941503155</v>
      </c>
      <c r="X91" s="31">
        <f t="shared" si="38"/>
        <v>5.8302141988280216E-2</v>
      </c>
      <c r="Y91" s="132">
        <f t="shared" si="39"/>
        <v>1325893.5890719532</v>
      </c>
      <c r="Z91" s="29">
        <f t="shared" si="40"/>
        <v>0.82815192315429609</v>
      </c>
      <c r="AA91" s="31">
        <f t="shared" si="41"/>
        <v>0.11422785146955808</v>
      </c>
      <c r="AD91" s="12">
        <f t="shared" si="42"/>
        <v>87</v>
      </c>
      <c r="AE91" s="132">
        <f t="shared" si="43"/>
        <v>2328842.8063650611</v>
      </c>
      <c r="AF91" s="132">
        <f>IF($AD91&lt;=$C$25*12,$AE91-$C$7+SUM('Mortgage Calculators (By Month)'!$K$23:$K109),"-")</f>
        <v>2328842.8063650611</v>
      </c>
      <c r="AG91" s="132">
        <f t="shared" si="44"/>
        <v>12077.611961132816</v>
      </c>
      <c r="AH91" s="132">
        <f>IF($AD91&lt;=$C$25*12,SUM(Inputs!$C$61:$C$78)*'Forecast (By Month)'!AG91,"-")</f>
        <v>1328.5373157246097</v>
      </c>
      <c r="AI91" s="132">
        <f>IF($AD91&lt;=$C$25*12,(SUMIF(Inputs!$C$61:$C$78,0,Inputs!$F$61:$F$78)/12)*(1+$C$34)^ROUNDDOWN((AD91-1)/12,0),"-")</f>
        <v>1488.1666666666667</v>
      </c>
      <c r="AJ91" s="132">
        <f t="shared" si="45"/>
        <v>2816.7039823912764</v>
      </c>
      <c r="AK91" s="132">
        <f>IF($AD91&lt;=$C$25*12,'Mortgage Calculators (By Month)'!$J109,"-")</f>
        <v>0</v>
      </c>
      <c r="AL91" s="132">
        <f>IF($AD91&lt;=$C$25*12,'Mortgage Calculators (By Month)'!$K109,"-")</f>
        <v>0</v>
      </c>
      <c r="AM91" s="132">
        <f>IF($AD91&lt;=$C$25*12,'Mortgage Calculators (By Month)'!$L109,"-")</f>
        <v>10</v>
      </c>
      <c r="AN91" s="132">
        <f t="shared" si="55"/>
        <v>0</v>
      </c>
      <c r="AO91" s="132">
        <f t="shared" si="46"/>
        <v>2826.7039823912764</v>
      </c>
      <c r="AP91" s="132">
        <f t="shared" si="47"/>
        <v>9260.9079787415394</v>
      </c>
      <c r="AQ91" s="132">
        <f t="shared" si="48"/>
        <v>0</v>
      </c>
      <c r="AR91" s="132">
        <f t="shared" si="29"/>
        <v>9260.9079787415394</v>
      </c>
      <c r="AS91" s="132">
        <f>IF($AD91&lt;=$C$25*12,SUM(AR$5:AR91),"-")</f>
        <v>649144.63883419347</v>
      </c>
      <c r="AT91" s="132">
        <f>IF($AD91&lt;=$C$25*12,AE91-$C$10-'RE Calculations'!$C278-'Mortgage Calculators (By Month)'!$M109,"-")</f>
        <v>676738.95023775974</v>
      </c>
      <c r="AU91" s="29">
        <f t="shared" si="49"/>
        <v>0.42269052941503155</v>
      </c>
      <c r="AV91" s="31">
        <f t="shared" si="50"/>
        <v>5.8302141988280216E-2</v>
      </c>
      <c r="AW91" s="132">
        <f t="shared" si="51"/>
        <v>1325883.5890719532</v>
      </c>
      <c r="AX91" s="29">
        <f t="shared" si="52"/>
        <v>0.82814567716344145</v>
      </c>
      <c r="AY91" s="31">
        <f t="shared" si="53"/>
        <v>0.11422698995357813</v>
      </c>
    </row>
    <row r="92" spans="6:51" x14ac:dyDescent="0.35">
      <c r="F92" s="12">
        <f t="shared" si="30"/>
        <v>88</v>
      </c>
      <c r="G92" s="132">
        <f t="shared" si="31"/>
        <v>2338330.8002308514</v>
      </c>
      <c r="H92" s="132">
        <f>IF($F92&lt;=$C$16*12,$G92-$C$7+SUM('Mortgage Calculators (By Month)'!$D$23:$D110),"-")</f>
        <v>2338330.8002308514</v>
      </c>
      <c r="I92" s="132">
        <f t="shared" si="32"/>
        <v>12077.611961132816</v>
      </c>
      <c r="J92" s="132">
        <f>IF($F92&lt;=$C$16*12,SUM(Inputs!$C$61:$C$78)*'Forecast (By Month)'!I92,"-")</f>
        <v>1328.5373157246097</v>
      </c>
      <c r="K92" s="132">
        <f>IF($F92&lt;=$C$16*12,(SUMIF(Inputs!$C$61:$C$78,0,Inputs!$F$61:$F$78)/12)*(1+$C$34)^ROUNDDOWN((F92-1)/12,0),"-")</f>
        <v>1488.1666666666667</v>
      </c>
      <c r="L92" s="132">
        <f t="shared" si="33"/>
        <v>2816.7039823912764</v>
      </c>
      <c r="M92" s="132">
        <f>IF($F92&lt;=$C$16*12,'Mortgage Calculators (By Month)'!$C110,"-")</f>
        <v>0</v>
      </c>
      <c r="N92" s="132">
        <f>IF($F92&lt;=$C$16*12,'Mortgage Calculators (By Month)'!$D110,"-")</f>
        <v>0</v>
      </c>
      <c r="O92" s="132">
        <f>IF($F92&lt;=$C$16*12,'Mortgage Calculators (By Month)'!$E110,"-")</f>
        <v>8.3333333333333339</v>
      </c>
      <c r="P92" s="132">
        <f t="shared" si="54"/>
        <v>0</v>
      </c>
      <c r="Q92" s="132">
        <f t="shared" si="34"/>
        <v>2825.0373157246099</v>
      </c>
      <c r="R92" s="132">
        <f t="shared" si="35"/>
        <v>9260.9079787415394</v>
      </c>
      <c r="S92" s="132">
        <f t="shared" si="36"/>
        <v>0</v>
      </c>
      <c r="T92" s="132">
        <f t="shared" si="28"/>
        <v>9260.9079787415394</v>
      </c>
      <c r="U92" s="132">
        <f>IF($F92&lt;=$C$16*12,SUM(T$5:T92),"-")</f>
        <v>658415.54681293503</v>
      </c>
      <c r="V92" s="132">
        <f>IF($F92&lt;=$C$16*12,G92-$C$10-'RE Calculations'!$C279-'Mortgage Calculators (By Month)'!$F110,"-")</f>
        <v>686037.18422623421</v>
      </c>
      <c r="W92" s="29">
        <f t="shared" si="37"/>
        <v>0.42849819786064458</v>
      </c>
      <c r="X92" s="31">
        <f t="shared" si="38"/>
        <v>5.8431572435542443E-2</v>
      </c>
      <c r="Y92" s="132">
        <f t="shared" si="39"/>
        <v>1344452.7310391692</v>
      </c>
      <c r="Z92" s="29">
        <f t="shared" si="40"/>
        <v>0.83974394625397897</v>
      </c>
      <c r="AA92" s="31">
        <f t="shared" si="41"/>
        <v>0.11451053812554259</v>
      </c>
      <c r="AD92" s="12">
        <f t="shared" si="42"/>
        <v>88</v>
      </c>
      <c r="AE92" s="132">
        <f t="shared" si="43"/>
        <v>2338330.8002308514</v>
      </c>
      <c r="AF92" s="132">
        <f>IF($AD92&lt;=$C$25*12,$AE92-$C$7+SUM('Mortgage Calculators (By Month)'!$K$23:$K110),"-")</f>
        <v>2338330.8002308514</v>
      </c>
      <c r="AG92" s="132">
        <f t="shared" si="44"/>
        <v>12077.611961132816</v>
      </c>
      <c r="AH92" s="132">
        <f>IF($AD92&lt;=$C$25*12,SUM(Inputs!$C$61:$C$78)*'Forecast (By Month)'!AG92,"-")</f>
        <v>1328.5373157246097</v>
      </c>
      <c r="AI92" s="132">
        <f>IF($AD92&lt;=$C$25*12,(SUMIF(Inputs!$C$61:$C$78,0,Inputs!$F$61:$F$78)/12)*(1+$C$34)^ROUNDDOWN((AD92-1)/12,0),"-")</f>
        <v>1488.1666666666667</v>
      </c>
      <c r="AJ92" s="132">
        <f t="shared" si="45"/>
        <v>2816.7039823912764</v>
      </c>
      <c r="AK92" s="132">
        <f>IF($AD92&lt;=$C$25*12,'Mortgage Calculators (By Month)'!$J110,"-")</f>
        <v>0</v>
      </c>
      <c r="AL92" s="132">
        <f>IF($AD92&lt;=$C$25*12,'Mortgage Calculators (By Month)'!$K110,"-")</f>
        <v>0</v>
      </c>
      <c r="AM92" s="132">
        <f>IF($AD92&lt;=$C$25*12,'Mortgage Calculators (By Month)'!$L110,"-")</f>
        <v>10</v>
      </c>
      <c r="AN92" s="132">
        <f t="shared" si="55"/>
        <v>0</v>
      </c>
      <c r="AO92" s="132">
        <f t="shared" si="46"/>
        <v>2826.7039823912764</v>
      </c>
      <c r="AP92" s="132">
        <f t="shared" si="47"/>
        <v>9260.9079787415394</v>
      </c>
      <c r="AQ92" s="132">
        <f t="shared" si="48"/>
        <v>0</v>
      </c>
      <c r="AR92" s="132">
        <f t="shared" si="29"/>
        <v>9260.9079787415394</v>
      </c>
      <c r="AS92" s="132">
        <f>IF($AD92&lt;=$C$25*12,SUM(AR$5:AR92),"-")</f>
        <v>658405.54681293503</v>
      </c>
      <c r="AT92" s="132">
        <f>IF($AD92&lt;=$C$25*12,AE92-$C$10-'RE Calculations'!$C279-'Mortgage Calculators (By Month)'!$M110,"-")</f>
        <v>686037.18422623421</v>
      </c>
      <c r="AU92" s="29">
        <f t="shared" si="49"/>
        <v>0.42849819786064458</v>
      </c>
      <c r="AV92" s="31">
        <f t="shared" si="50"/>
        <v>5.8431572435542443E-2</v>
      </c>
      <c r="AW92" s="132">
        <f t="shared" si="51"/>
        <v>1344442.7310391692</v>
      </c>
      <c r="AX92" s="29">
        <f t="shared" si="52"/>
        <v>0.83973770026312433</v>
      </c>
      <c r="AY92" s="31">
        <f t="shared" si="53"/>
        <v>0.11450968639951696</v>
      </c>
    </row>
    <row r="93" spans="6:51" x14ac:dyDescent="0.35">
      <c r="F93" s="12">
        <f t="shared" si="30"/>
        <v>89</v>
      </c>
      <c r="G93" s="132">
        <f t="shared" si="31"/>
        <v>2347857.4493581094</v>
      </c>
      <c r="H93" s="132">
        <f>IF($F93&lt;=$C$16*12,$G93-$C$7+SUM('Mortgage Calculators (By Month)'!$D$23:$D111),"-")</f>
        <v>2347857.4493581094</v>
      </c>
      <c r="I93" s="132">
        <f t="shared" si="32"/>
        <v>12077.611961132816</v>
      </c>
      <c r="J93" s="132">
        <f>IF($F93&lt;=$C$16*12,SUM(Inputs!$C$61:$C$78)*'Forecast (By Month)'!I93,"-")</f>
        <v>1328.5373157246097</v>
      </c>
      <c r="K93" s="132">
        <f>IF($F93&lt;=$C$16*12,(SUMIF(Inputs!$C$61:$C$78,0,Inputs!$F$61:$F$78)/12)*(1+$C$34)^ROUNDDOWN((F93-1)/12,0),"-")</f>
        <v>1488.1666666666667</v>
      </c>
      <c r="L93" s="132">
        <f t="shared" si="33"/>
        <v>2816.7039823912764</v>
      </c>
      <c r="M93" s="132">
        <f>IF($F93&lt;=$C$16*12,'Mortgage Calculators (By Month)'!$C111,"-")</f>
        <v>0</v>
      </c>
      <c r="N93" s="132">
        <f>IF($F93&lt;=$C$16*12,'Mortgage Calculators (By Month)'!$D111,"-")</f>
        <v>0</v>
      </c>
      <c r="O93" s="132">
        <f>IF($F93&lt;=$C$16*12,'Mortgage Calculators (By Month)'!$E111,"-")</f>
        <v>8.3333333333333339</v>
      </c>
      <c r="P93" s="132">
        <f t="shared" si="54"/>
        <v>0</v>
      </c>
      <c r="Q93" s="132">
        <f t="shared" si="34"/>
        <v>2825.0373157246099</v>
      </c>
      <c r="R93" s="132">
        <f t="shared" si="35"/>
        <v>9260.9079787415394</v>
      </c>
      <c r="S93" s="132">
        <f t="shared" si="36"/>
        <v>0</v>
      </c>
      <c r="T93" s="132">
        <f t="shared" si="28"/>
        <v>9260.9079787415394</v>
      </c>
      <c r="U93" s="132">
        <f>IF($F93&lt;=$C$16*12,SUM(T$5:T93),"-")</f>
        <v>667676.4547916766</v>
      </c>
      <c r="V93" s="132">
        <f>IF($F93&lt;=$C$16*12,G93-$C$10-'RE Calculations'!$C280-'Mortgage Calculators (By Month)'!$F111,"-")</f>
        <v>695373.30037094699</v>
      </c>
      <c r="W93" s="29">
        <f t="shared" si="37"/>
        <v>0.43432952746639936</v>
      </c>
      <c r="X93" s="31">
        <f t="shared" si="38"/>
        <v>5.8561284602211147E-2</v>
      </c>
      <c r="Y93" s="132">
        <f t="shared" si="39"/>
        <v>1363049.7551626237</v>
      </c>
      <c r="Z93" s="29">
        <f t="shared" si="40"/>
        <v>0.85135963051380381</v>
      </c>
      <c r="AA93" s="31">
        <f t="shared" si="41"/>
        <v>0.11479006254118702</v>
      </c>
      <c r="AD93" s="12">
        <f t="shared" si="42"/>
        <v>89</v>
      </c>
      <c r="AE93" s="132">
        <f t="shared" si="43"/>
        <v>2347857.4493581094</v>
      </c>
      <c r="AF93" s="132">
        <f>IF($AD93&lt;=$C$25*12,$AE93-$C$7+SUM('Mortgage Calculators (By Month)'!$K$23:$K111),"-")</f>
        <v>2347857.4493581094</v>
      </c>
      <c r="AG93" s="132">
        <f t="shared" si="44"/>
        <v>12077.611961132816</v>
      </c>
      <c r="AH93" s="132">
        <f>IF($AD93&lt;=$C$25*12,SUM(Inputs!$C$61:$C$78)*'Forecast (By Month)'!AG93,"-")</f>
        <v>1328.5373157246097</v>
      </c>
      <c r="AI93" s="132">
        <f>IF($AD93&lt;=$C$25*12,(SUMIF(Inputs!$C$61:$C$78,0,Inputs!$F$61:$F$78)/12)*(1+$C$34)^ROUNDDOWN((AD93-1)/12,0),"-")</f>
        <v>1488.1666666666667</v>
      </c>
      <c r="AJ93" s="132">
        <f t="shared" si="45"/>
        <v>2816.7039823912764</v>
      </c>
      <c r="AK93" s="132">
        <f>IF($AD93&lt;=$C$25*12,'Mortgage Calculators (By Month)'!$J111,"-")</f>
        <v>0</v>
      </c>
      <c r="AL93" s="132">
        <f>IF($AD93&lt;=$C$25*12,'Mortgage Calculators (By Month)'!$K111,"-")</f>
        <v>0</v>
      </c>
      <c r="AM93" s="132">
        <f>IF($AD93&lt;=$C$25*12,'Mortgage Calculators (By Month)'!$L111,"-")</f>
        <v>10</v>
      </c>
      <c r="AN93" s="132">
        <f t="shared" si="55"/>
        <v>0</v>
      </c>
      <c r="AO93" s="132">
        <f t="shared" si="46"/>
        <v>2826.7039823912764</v>
      </c>
      <c r="AP93" s="132">
        <f t="shared" si="47"/>
        <v>9260.9079787415394</v>
      </c>
      <c r="AQ93" s="132">
        <f t="shared" si="48"/>
        <v>0</v>
      </c>
      <c r="AR93" s="132">
        <f t="shared" si="29"/>
        <v>9260.9079787415394</v>
      </c>
      <c r="AS93" s="132">
        <f>IF($AD93&lt;=$C$25*12,SUM(AR$5:AR93),"-")</f>
        <v>667666.4547916766</v>
      </c>
      <c r="AT93" s="132">
        <f>IF($AD93&lt;=$C$25*12,AE93-$C$10-'RE Calculations'!$C280-'Mortgage Calculators (By Month)'!$M111,"-")</f>
        <v>695373.30037094699</v>
      </c>
      <c r="AU93" s="29">
        <f t="shared" si="49"/>
        <v>0.43432952746639936</v>
      </c>
      <c r="AV93" s="31">
        <f t="shared" si="50"/>
        <v>5.8561284602211147E-2</v>
      </c>
      <c r="AW93" s="132">
        <f t="shared" si="51"/>
        <v>1363039.7551626237</v>
      </c>
      <c r="AX93" s="29">
        <f t="shared" si="52"/>
        <v>0.85135338452294917</v>
      </c>
      <c r="AY93" s="31">
        <f t="shared" si="53"/>
        <v>0.11478922038511674</v>
      </c>
    </row>
    <row r="94" spans="6:51" x14ac:dyDescent="0.35">
      <c r="F94" s="12">
        <f t="shared" si="30"/>
        <v>90</v>
      </c>
      <c r="G94" s="132">
        <f t="shared" si="31"/>
        <v>2357422.9112331551</v>
      </c>
      <c r="H94" s="132">
        <f>IF($F94&lt;=$C$16*12,$G94-$C$7+SUM('Mortgage Calculators (By Month)'!$D$23:$D112),"-")</f>
        <v>2357422.9112331551</v>
      </c>
      <c r="I94" s="132">
        <f t="shared" si="32"/>
        <v>12077.611961132816</v>
      </c>
      <c r="J94" s="132">
        <f>IF($F94&lt;=$C$16*12,SUM(Inputs!$C$61:$C$78)*'Forecast (By Month)'!I94,"-")</f>
        <v>1328.5373157246097</v>
      </c>
      <c r="K94" s="132">
        <f>IF($F94&lt;=$C$16*12,(SUMIF(Inputs!$C$61:$C$78,0,Inputs!$F$61:$F$78)/12)*(1+$C$34)^ROUNDDOWN((F94-1)/12,0),"-")</f>
        <v>1488.1666666666667</v>
      </c>
      <c r="L94" s="132">
        <f t="shared" si="33"/>
        <v>2816.7039823912764</v>
      </c>
      <c r="M94" s="132">
        <f>IF($F94&lt;=$C$16*12,'Mortgage Calculators (By Month)'!$C112,"-")</f>
        <v>0</v>
      </c>
      <c r="N94" s="132">
        <f>IF($F94&lt;=$C$16*12,'Mortgage Calculators (By Month)'!$D112,"-")</f>
        <v>0</v>
      </c>
      <c r="O94" s="132">
        <f>IF($F94&lt;=$C$16*12,'Mortgage Calculators (By Month)'!$E112,"-")</f>
        <v>8.3333333333333339</v>
      </c>
      <c r="P94" s="132">
        <f t="shared" si="54"/>
        <v>0</v>
      </c>
      <c r="Q94" s="132">
        <f t="shared" si="34"/>
        <v>2825.0373157246099</v>
      </c>
      <c r="R94" s="132">
        <f t="shared" si="35"/>
        <v>9260.9079787415394</v>
      </c>
      <c r="S94" s="132">
        <f t="shared" si="36"/>
        <v>0</v>
      </c>
      <c r="T94" s="132">
        <f t="shared" si="28"/>
        <v>9260.9079787415394</v>
      </c>
      <c r="U94" s="132">
        <f>IF($F94&lt;=$C$16*12,SUM(T$5:T94),"-")</f>
        <v>676937.36277041817</v>
      </c>
      <c r="V94" s="132">
        <f>IF($F94&lt;=$C$16*12,G94-$C$10-'RE Calculations'!$C281-'Mortgage Calculators (By Month)'!$F112,"-")</f>
        <v>704747.45300849178</v>
      </c>
      <c r="W94" s="29">
        <f t="shared" si="37"/>
        <v>0.44018461463079123</v>
      </c>
      <c r="X94" s="31">
        <f t="shared" si="38"/>
        <v>5.869128195077216E-2</v>
      </c>
      <c r="Y94" s="132">
        <f t="shared" si="39"/>
        <v>1381684.8157789099</v>
      </c>
      <c r="Z94" s="29">
        <f t="shared" si="40"/>
        <v>0.86299907233226547</v>
      </c>
      <c r="AA94" s="31">
        <f t="shared" si="41"/>
        <v>0.1150665429776354</v>
      </c>
      <c r="AD94" s="12">
        <f t="shared" si="42"/>
        <v>90</v>
      </c>
      <c r="AE94" s="132">
        <f t="shared" si="43"/>
        <v>2357422.9112331551</v>
      </c>
      <c r="AF94" s="132">
        <f>IF($AD94&lt;=$C$25*12,$AE94-$C$7+SUM('Mortgage Calculators (By Month)'!$K$23:$K112),"-")</f>
        <v>2357422.9112331551</v>
      </c>
      <c r="AG94" s="132">
        <f t="shared" si="44"/>
        <v>12077.611961132816</v>
      </c>
      <c r="AH94" s="132">
        <f>IF($AD94&lt;=$C$25*12,SUM(Inputs!$C$61:$C$78)*'Forecast (By Month)'!AG94,"-")</f>
        <v>1328.5373157246097</v>
      </c>
      <c r="AI94" s="132">
        <f>IF($AD94&lt;=$C$25*12,(SUMIF(Inputs!$C$61:$C$78,0,Inputs!$F$61:$F$78)/12)*(1+$C$34)^ROUNDDOWN((AD94-1)/12,0),"-")</f>
        <v>1488.1666666666667</v>
      </c>
      <c r="AJ94" s="132">
        <f t="shared" si="45"/>
        <v>2816.7039823912764</v>
      </c>
      <c r="AK94" s="132">
        <f>IF($AD94&lt;=$C$25*12,'Mortgage Calculators (By Month)'!$J112,"-")</f>
        <v>0</v>
      </c>
      <c r="AL94" s="132">
        <f>IF($AD94&lt;=$C$25*12,'Mortgage Calculators (By Month)'!$K112,"-")</f>
        <v>0</v>
      </c>
      <c r="AM94" s="132">
        <f>IF($AD94&lt;=$C$25*12,'Mortgage Calculators (By Month)'!$L112,"-")</f>
        <v>10</v>
      </c>
      <c r="AN94" s="132">
        <f t="shared" si="55"/>
        <v>0</v>
      </c>
      <c r="AO94" s="132">
        <f t="shared" si="46"/>
        <v>2826.7039823912764</v>
      </c>
      <c r="AP94" s="132">
        <f t="shared" si="47"/>
        <v>9260.9079787415394</v>
      </c>
      <c r="AQ94" s="132">
        <f t="shared" si="48"/>
        <v>0</v>
      </c>
      <c r="AR94" s="132">
        <f t="shared" si="29"/>
        <v>9260.9079787415394</v>
      </c>
      <c r="AS94" s="132">
        <f>IF($AD94&lt;=$C$25*12,SUM(AR$5:AR94),"-")</f>
        <v>676927.36277041817</v>
      </c>
      <c r="AT94" s="132">
        <f>IF($AD94&lt;=$C$25*12,AE94-$C$10-'RE Calculations'!$C281-'Mortgage Calculators (By Month)'!$M112,"-")</f>
        <v>704747.45300849178</v>
      </c>
      <c r="AU94" s="29">
        <f t="shared" si="49"/>
        <v>0.44018461463079123</v>
      </c>
      <c r="AV94" s="31">
        <f t="shared" si="50"/>
        <v>5.869128195077216E-2</v>
      </c>
      <c r="AW94" s="132">
        <f t="shared" si="51"/>
        <v>1381674.8157789099</v>
      </c>
      <c r="AX94" s="29">
        <f t="shared" si="52"/>
        <v>0.86299282634141083</v>
      </c>
      <c r="AY94" s="31">
        <f t="shared" si="53"/>
        <v>0.11506571017885478</v>
      </c>
    </row>
    <row r="95" spans="6:51" x14ac:dyDescent="0.35">
      <c r="F95" s="12">
        <f t="shared" si="30"/>
        <v>91</v>
      </c>
      <c r="G95" s="132">
        <f t="shared" si="31"/>
        <v>2367027.3439839277</v>
      </c>
      <c r="H95" s="132">
        <f>IF($F95&lt;=$C$16*12,$G95-$C$7+SUM('Mortgage Calculators (By Month)'!$D$23:$D113),"-")</f>
        <v>2367027.3439839277</v>
      </c>
      <c r="I95" s="132">
        <f t="shared" si="32"/>
        <v>12077.611961132816</v>
      </c>
      <c r="J95" s="132">
        <f>IF($F95&lt;=$C$16*12,SUM(Inputs!$C$61:$C$78)*'Forecast (By Month)'!I95,"-")</f>
        <v>1328.5373157246097</v>
      </c>
      <c r="K95" s="132">
        <f>IF($F95&lt;=$C$16*12,(SUMIF(Inputs!$C$61:$C$78,0,Inputs!$F$61:$F$78)/12)*(1+$C$34)^ROUNDDOWN((F95-1)/12,0),"-")</f>
        <v>1488.1666666666667</v>
      </c>
      <c r="L95" s="132">
        <f t="shared" si="33"/>
        <v>2816.7039823912764</v>
      </c>
      <c r="M95" s="132">
        <f>IF($F95&lt;=$C$16*12,'Mortgage Calculators (By Month)'!$C113,"-")</f>
        <v>0</v>
      </c>
      <c r="N95" s="132">
        <f>IF($F95&lt;=$C$16*12,'Mortgage Calculators (By Month)'!$D113,"-")</f>
        <v>0</v>
      </c>
      <c r="O95" s="132">
        <f>IF($F95&lt;=$C$16*12,'Mortgage Calculators (By Month)'!$E113,"-")</f>
        <v>8.3333333333333339</v>
      </c>
      <c r="P95" s="132">
        <f t="shared" si="54"/>
        <v>0</v>
      </c>
      <c r="Q95" s="132">
        <f t="shared" si="34"/>
        <v>2825.0373157246099</v>
      </c>
      <c r="R95" s="132">
        <f t="shared" si="35"/>
        <v>9260.9079787415394</v>
      </c>
      <c r="S95" s="132">
        <f t="shared" si="36"/>
        <v>0</v>
      </c>
      <c r="T95" s="132">
        <f t="shared" si="28"/>
        <v>9260.9079787415394</v>
      </c>
      <c r="U95" s="132">
        <f>IF($F95&lt;=$C$16*12,SUM(T$5:T95),"-")</f>
        <v>686198.27074915974</v>
      </c>
      <c r="V95" s="132">
        <f>IF($F95&lt;=$C$16*12,G95-$C$10-'RE Calculations'!$C282-'Mortgage Calculators (By Month)'!$F113,"-")</f>
        <v>714159.79710424901</v>
      </c>
      <c r="W95" s="29">
        <f t="shared" si="37"/>
        <v>0.44606355614505505</v>
      </c>
      <c r="X95" s="31">
        <f t="shared" si="38"/>
        <v>5.8821567843303967E-2</v>
      </c>
      <c r="Y95" s="132">
        <f t="shared" si="39"/>
        <v>1400358.0678534089</v>
      </c>
      <c r="Z95" s="29">
        <f t="shared" si="40"/>
        <v>0.8746623685005992</v>
      </c>
      <c r="AA95" s="31">
        <f t="shared" si="41"/>
        <v>0.11534009254952957</v>
      </c>
      <c r="AD95" s="12">
        <f t="shared" si="42"/>
        <v>91</v>
      </c>
      <c r="AE95" s="132">
        <f t="shared" si="43"/>
        <v>2367027.3439839277</v>
      </c>
      <c r="AF95" s="132">
        <f>IF($AD95&lt;=$C$25*12,$AE95-$C$7+SUM('Mortgage Calculators (By Month)'!$K$23:$K113),"-")</f>
        <v>2367027.3439839277</v>
      </c>
      <c r="AG95" s="132">
        <f t="shared" si="44"/>
        <v>12077.611961132816</v>
      </c>
      <c r="AH95" s="132">
        <f>IF($AD95&lt;=$C$25*12,SUM(Inputs!$C$61:$C$78)*'Forecast (By Month)'!AG95,"-")</f>
        <v>1328.5373157246097</v>
      </c>
      <c r="AI95" s="132">
        <f>IF($AD95&lt;=$C$25*12,(SUMIF(Inputs!$C$61:$C$78,0,Inputs!$F$61:$F$78)/12)*(1+$C$34)^ROUNDDOWN((AD95-1)/12,0),"-")</f>
        <v>1488.1666666666667</v>
      </c>
      <c r="AJ95" s="132">
        <f t="shared" si="45"/>
        <v>2816.7039823912764</v>
      </c>
      <c r="AK95" s="132">
        <f>IF($AD95&lt;=$C$25*12,'Mortgage Calculators (By Month)'!$J113,"-")</f>
        <v>0</v>
      </c>
      <c r="AL95" s="132">
        <f>IF($AD95&lt;=$C$25*12,'Mortgage Calculators (By Month)'!$K113,"-")</f>
        <v>0</v>
      </c>
      <c r="AM95" s="132">
        <f>IF($AD95&lt;=$C$25*12,'Mortgage Calculators (By Month)'!$L113,"-")</f>
        <v>10</v>
      </c>
      <c r="AN95" s="132">
        <f t="shared" si="55"/>
        <v>0</v>
      </c>
      <c r="AO95" s="132">
        <f t="shared" si="46"/>
        <v>2826.7039823912764</v>
      </c>
      <c r="AP95" s="132">
        <f t="shared" si="47"/>
        <v>9260.9079787415394</v>
      </c>
      <c r="AQ95" s="132">
        <f t="shared" si="48"/>
        <v>0</v>
      </c>
      <c r="AR95" s="132">
        <f t="shared" si="29"/>
        <v>9260.9079787415394</v>
      </c>
      <c r="AS95" s="132">
        <f>IF($AD95&lt;=$C$25*12,SUM(AR$5:AR95),"-")</f>
        <v>686188.27074915974</v>
      </c>
      <c r="AT95" s="132">
        <f>IF($AD95&lt;=$C$25*12,AE95-$C$10-'RE Calculations'!$C282-'Mortgage Calculators (By Month)'!$M113,"-")</f>
        <v>714159.79710424901</v>
      </c>
      <c r="AU95" s="29">
        <f t="shared" si="49"/>
        <v>0.44606355614505505</v>
      </c>
      <c r="AV95" s="31">
        <f t="shared" si="50"/>
        <v>5.8821567843303967E-2</v>
      </c>
      <c r="AW95" s="132">
        <f t="shared" si="51"/>
        <v>1400348.0678534089</v>
      </c>
      <c r="AX95" s="29">
        <f t="shared" si="52"/>
        <v>0.87465612250974456</v>
      </c>
      <c r="AY95" s="31">
        <f t="shared" si="53"/>
        <v>0.1153392689023839</v>
      </c>
    </row>
    <row r="96" spans="6:51" x14ac:dyDescent="0.35">
      <c r="F96" s="12">
        <f t="shared" si="30"/>
        <v>92</v>
      </c>
      <c r="G96" s="132">
        <f t="shared" si="31"/>
        <v>2376670.9063825984</v>
      </c>
      <c r="H96" s="132">
        <f>IF($F96&lt;=$C$16*12,$G96-$C$7+SUM('Mortgage Calculators (By Month)'!$D$23:$D114),"-")</f>
        <v>2376670.9063825984</v>
      </c>
      <c r="I96" s="132">
        <f t="shared" si="32"/>
        <v>12077.611961132816</v>
      </c>
      <c r="J96" s="132">
        <f>IF($F96&lt;=$C$16*12,SUM(Inputs!$C$61:$C$78)*'Forecast (By Month)'!I96,"-")</f>
        <v>1328.5373157246097</v>
      </c>
      <c r="K96" s="132">
        <f>IF($F96&lt;=$C$16*12,(SUMIF(Inputs!$C$61:$C$78,0,Inputs!$F$61:$F$78)/12)*(1+$C$34)^ROUNDDOWN((F96-1)/12,0),"-")</f>
        <v>1488.1666666666667</v>
      </c>
      <c r="L96" s="132">
        <f t="shared" si="33"/>
        <v>2816.7039823912764</v>
      </c>
      <c r="M96" s="132">
        <f>IF($F96&lt;=$C$16*12,'Mortgage Calculators (By Month)'!$C114,"-")</f>
        <v>0</v>
      </c>
      <c r="N96" s="132">
        <f>IF($F96&lt;=$C$16*12,'Mortgage Calculators (By Month)'!$D114,"-")</f>
        <v>0</v>
      </c>
      <c r="O96" s="132">
        <f>IF($F96&lt;=$C$16*12,'Mortgage Calculators (By Month)'!$E114,"-")</f>
        <v>8.3333333333333339</v>
      </c>
      <c r="P96" s="132">
        <f t="shared" si="54"/>
        <v>0</v>
      </c>
      <c r="Q96" s="132">
        <f t="shared" si="34"/>
        <v>2825.0373157246099</v>
      </c>
      <c r="R96" s="132">
        <f t="shared" si="35"/>
        <v>9260.9079787415394</v>
      </c>
      <c r="S96" s="132">
        <f t="shared" si="36"/>
        <v>0</v>
      </c>
      <c r="T96" s="132">
        <f t="shared" si="28"/>
        <v>9260.9079787415394</v>
      </c>
      <c r="U96" s="132">
        <f>IF($F96&lt;=$C$16*12,SUM(T$5:T96),"-")</f>
        <v>695459.17872790131</v>
      </c>
      <c r="V96" s="132">
        <f>IF($F96&lt;=$C$16*12,G96-$C$10-'RE Calculations'!$C283-'Mortgage Calculators (By Month)'!$F114,"-")</f>
        <v>723610.48825494631</v>
      </c>
      <c r="W96" s="29">
        <f t="shared" si="37"/>
        <v>0.45196644919476453</v>
      </c>
      <c r="X96" s="31">
        <f t="shared" si="38"/>
        <v>5.8952145547143196E-2</v>
      </c>
      <c r="Y96" s="132">
        <f t="shared" si="39"/>
        <v>1419069.6669828477</v>
      </c>
      <c r="Z96" s="29">
        <f t="shared" si="40"/>
        <v>0.88634961620437869</v>
      </c>
      <c r="AA96" s="31">
        <f t="shared" si="41"/>
        <v>0.11561081950491896</v>
      </c>
      <c r="AD96" s="12">
        <f t="shared" si="42"/>
        <v>92</v>
      </c>
      <c r="AE96" s="132">
        <f t="shared" si="43"/>
        <v>2376670.9063825984</v>
      </c>
      <c r="AF96" s="132">
        <f>IF($AD96&lt;=$C$25*12,$AE96-$C$7+SUM('Mortgage Calculators (By Month)'!$K$23:$K114),"-")</f>
        <v>2376670.9063825984</v>
      </c>
      <c r="AG96" s="132">
        <f t="shared" si="44"/>
        <v>12077.611961132816</v>
      </c>
      <c r="AH96" s="132">
        <f>IF($AD96&lt;=$C$25*12,SUM(Inputs!$C$61:$C$78)*'Forecast (By Month)'!AG96,"-")</f>
        <v>1328.5373157246097</v>
      </c>
      <c r="AI96" s="132">
        <f>IF($AD96&lt;=$C$25*12,(SUMIF(Inputs!$C$61:$C$78,0,Inputs!$F$61:$F$78)/12)*(1+$C$34)^ROUNDDOWN((AD96-1)/12,0),"-")</f>
        <v>1488.1666666666667</v>
      </c>
      <c r="AJ96" s="132">
        <f t="shared" si="45"/>
        <v>2816.7039823912764</v>
      </c>
      <c r="AK96" s="132">
        <f>IF($AD96&lt;=$C$25*12,'Mortgage Calculators (By Month)'!$J114,"-")</f>
        <v>0</v>
      </c>
      <c r="AL96" s="132">
        <f>IF($AD96&lt;=$C$25*12,'Mortgage Calculators (By Month)'!$K114,"-")</f>
        <v>0</v>
      </c>
      <c r="AM96" s="132">
        <f>IF($AD96&lt;=$C$25*12,'Mortgage Calculators (By Month)'!$L114,"-")</f>
        <v>10</v>
      </c>
      <c r="AN96" s="132">
        <f t="shared" si="55"/>
        <v>0</v>
      </c>
      <c r="AO96" s="132">
        <f t="shared" si="46"/>
        <v>2826.7039823912764</v>
      </c>
      <c r="AP96" s="132">
        <f t="shared" si="47"/>
        <v>9260.9079787415394</v>
      </c>
      <c r="AQ96" s="132">
        <f t="shared" si="48"/>
        <v>0</v>
      </c>
      <c r="AR96" s="132">
        <f t="shared" si="29"/>
        <v>9260.9079787415394</v>
      </c>
      <c r="AS96" s="132">
        <f>IF($AD96&lt;=$C$25*12,SUM(AR$5:AR96),"-")</f>
        <v>695449.17872790131</v>
      </c>
      <c r="AT96" s="132">
        <f>IF($AD96&lt;=$C$25*12,AE96-$C$10-'RE Calculations'!$C283-'Mortgage Calculators (By Month)'!$M114,"-")</f>
        <v>723610.48825494631</v>
      </c>
      <c r="AU96" s="29">
        <f t="shared" si="49"/>
        <v>0.45196644919476453</v>
      </c>
      <c r="AV96" s="31">
        <f t="shared" si="50"/>
        <v>5.8952145547143196E-2</v>
      </c>
      <c r="AW96" s="132">
        <f t="shared" si="51"/>
        <v>1419059.6669828477</v>
      </c>
      <c r="AX96" s="29">
        <f t="shared" si="52"/>
        <v>0.88634337021352405</v>
      </c>
      <c r="AY96" s="31">
        <f t="shared" si="53"/>
        <v>0.11561000481045966</v>
      </c>
    </row>
    <row r="97" spans="6:51" x14ac:dyDescent="0.35">
      <c r="F97" s="12">
        <f t="shared" si="30"/>
        <v>93</v>
      </c>
      <c r="G97" s="132">
        <f t="shared" si="31"/>
        <v>2386353.7578481967</v>
      </c>
      <c r="H97" s="132">
        <f>IF($F97&lt;=$C$16*12,$G97-$C$7+SUM('Mortgage Calculators (By Month)'!$D$23:$D115),"-")</f>
        <v>2386353.7578481967</v>
      </c>
      <c r="I97" s="132">
        <f t="shared" si="32"/>
        <v>12077.611961132816</v>
      </c>
      <c r="J97" s="132">
        <f>IF($F97&lt;=$C$16*12,SUM(Inputs!$C$61:$C$78)*'Forecast (By Month)'!I97,"-")</f>
        <v>1328.5373157246097</v>
      </c>
      <c r="K97" s="132">
        <f>IF($F97&lt;=$C$16*12,(SUMIF(Inputs!$C$61:$C$78,0,Inputs!$F$61:$F$78)/12)*(1+$C$34)^ROUNDDOWN((F97-1)/12,0),"-")</f>
        <v>1488.1666666666667</v>
      </c>
      <c r="L97" s="132">
        <f t="shared" si="33"/>
        <v>2816.7039823912764</v>
      </c>
      <c r="M97" s="132">
        <f>IF($F97&lt;=$C$16*12,'Mortgage Calculators (By Month)'!$C115,"-")</f>
        <v>0</v>
      </c>
      <c r="N97" s="132">
        <f>IF($F97&lt;=$C$16*12,'Mortgage Calculators (By Month)'!$D115,"-")</f>
        <v>0</v>
      </c>
      <c r="O97" s="132">
        <f>IF($F97&lt;=$C$16*12,'Mortgage Calculators (By Month)'!$E115,"-")</f>
        <v>8.3333333333333339</v>
      </c>
      <c r="P97" s="132">
        <f t="shared" si="54"/>
        <v>0</v>
      </c>
      <c r="Q97" s="132">
        <f t="shared" si="34"/>
        <v>2825.0373157246099</v>
      </c>
      <c r="R97" s="132">
        <f t="shared" si="35"/>
        <v>9260.9079787415394</v>
      </c>
      <c r="S97" s="132">
        <f t="shared" si="36"/>
        <v>0</v>
      </c>
      <c r="T97" s="132">
        <f t="shared" si="28"/>
        <v>9260.9079787415394</v>
      </c>
      <c r="U97" s="132">
        <f>IF($F97&lt;=$C$16*12,SUM(T$5:T97),"-")</f>
        <v>704720.08670664288</v>
      </c>
      <c r="V97" s="132">
        <f>IF($F97&lt;=$C$16*12,G97-$C$10-'RE Calculations'!$C284-'Mortgage Calculators (By Month)'!$F115,"-")</f>
        <v>733099.68269123253</v>
      </c>
      <c r="W97" s="29">
        <f t="shared" si="37"/>
        <v>0.45789339136144019</v>
      </c>
      <c r="X97" s="31">
        <f t="shared" si="38"/>
        <v>5.9083018240185831E-2</v>
      </c>
      <c r="Y97" s="132">
        <f t="shared" si="39"/>
        <v>1437819.7693978753</v>
      </c>
      <c r="Z97" s="29">
        <f t="shared" si="40"/>
        <v>0.89806091302512403</v>
      </c>
      <c r="AA97" s="31">
        <f t="shared" si="41"/>
        <v>0.11587882748711278</v>
      </c>
      <c r="AD97" s="12">
        <f t="shared" si="42"/>
        <v>93</v>
      </c>
      <c r="AE97" s="132">
        <f t="shared" si="43"/>
        <v>2386353.7578481967</v>
      </c>
      <c r="AF97" s="132">
        <f>IF($AD97&lt;=$C$25*12,$AE97-$C$7+SUM('Mortgage Calculators (By Month)'!$K$23:$K115),"-")</f>
        <v>2386353.7578481967</v>
      </c>
      <c r="AG97" s="132">
        <f t="shared" si="44"/>
        <v>12077.611961132816</v>
      </c>
      <c r="AH97" s="132">
        <f>IF($AD97&lt;=$C$25*12,SUM(Inputs!$C$61:$C$78)*'Forecast (By Month)'!AG97,"-")</f>
        <v>1328.5373157246097</v>
      </c>
      <c r="AI97" s="132">
        <f>IF($AD97&lt;=$C$25*12,(SUMIF(Inputs!$C$61:$C$78,0,Inputs!$F$61:$F$78)/12)*(1+$C$34)^ROUNDDOWN((AD97-1)/12,0),"-")</f>
        <v>1488.1666666666667</v>
      </c>
      <c r="AJ97" s="132">
        <f t="shared" si="45"/>
        <v>2816.7039823912764</v>
      </c>
      <c r="AK97" s="132">
        <f>IF($AD97&lt;=$C$25*12,'Mortgage Calculators (By Month)'!$J115,"-")</f>
        <v>0</v>
      </c>
      <c r="AL97" s="132">
        <f>IF($AD97&lt;=$C$25*12,'Mortgage Calculators (By Month)'!$K115,"-")</f>
        <v>0</v>
      </c>
      <c r="AM97" s="132">
        <f>IF($AD97&lt;=$C$25*12,'Mortgage Calculators (By Month)'!$L115,"-")</f>
        <v>10</v>
      </c>
      <c r="AN97" s="132">
        <f t="shared" si="55"/>
        <v>0</v>
      </c>
      <c r="AO97" s="132">
        <f t="shared" si="46"/>
        <v>2826.7039823912764</v>
      </c>
      <c r="AP97" s="132">
        <f t="shared" si="47"/>
        <v>9260.9079787415394</v>
      </c>
      <c r="AQ97" s="132">
        <f t="shared" si="48"/>
        <v>0</v>
      </c>
      <c r="AR97" s="132">
        <f t="shared" si="29"/>
        <v>9260.9079787415394</v>
      </c>
      <c r="AS97" s="132">
        <f>IF($AD97&lt;=$C$25*12,SUM(AR$5:AR97),"-")</f>
        <v>704710.08670664288</v>
      </c>
      <c r="AT97" s="132">
        <f>IF($AD97&lt;=$C$25*12,AE97-$C$10-'RE Calculations'!$C284-'Mortgage Calculators (By Month)'!$M115,"-")</f>
        <v>733099.68269123253</v>
      </c>
      <c r="AU97" s="29">
        <f t="shared" si="49"/>
        <v>0.45789339136144019</v>
      </c>
      <c r="AV97" s="31">
        <f t="shared" si="50"/>
        <v>5.9083018240185831E-2</v>
      </c>
      <c r="AW97" s="132">
        <f t="shared" si="51"/>
        <v>1437809.7693978753</v>
      </c>
      <c r="AX97" s="29">
        <f t="shared" si="52"/>
        <v>0.89805466703426939</v>
      </c>
      <c r="AY97" s="31">
        <f t="shared" si="53"/>
        <v>0.11587802155280895</v>
      </c>
    </row>
    <row r="98" spans="6:51" x14ac:dyDescent="0.35">
      <c r="F98" s="12">
        <f t="shared" si="30"/>
        <v>94</v>
      </c>
      <c r="G98" s="132">
        <f t="shared" si="31"/>
        <v>2396076.0584492446</v>
      </c>
      <c r="H98" s="132">
        <f>IF($F98&lt;=$C$16*12,$G98-$C$7+SUM('Mortgage Calculators (By Month)'!$D$23:$D116),"-")</f>
        <v>2396076.0584492446</v>
      </c>
      <c r="I98" s="132">
        <f t="shared" si="32"/>
        <v>12077.611961132816</v>
      </c>
      <c r="J98" s="132">
        <f>IF($F98&lt;=$C$16*12,SUM(Inputs!$C$61:$C$78)*'Forecast (By Month)'!I98,"-")</f>
        <v>1328.5373157246097</v>
      </c>
      <c r="K98" s="132">
        <f>IF($F98&lt;=$C$16*12,(SUMIF(Inputs!$C$61:$C$78,0,Inputs!$F$61:$F$78)/12)*(1+$C$34)^ROUNDDOWN((F98-1)/12,0),"-")</f>
        <v>1488.1666666666667</v>
      </c>
      <c r="L98" s="132">
        <f t="shared" si="33"/>
        <v>2816.7039823912764</v>
      </c>
      <c r="M98" s="132">
        <f>IF($F98&lt;=$C$16*12,'Mortgage Calculators (By Month)'!$C116,"-")</f>
        <v>0</v>
      </c>
      <c r="N98" s="132">
        <f>IF($F98&lt;=$C$16*12,'Mortgage Calculators (By Month)'!$D116,"-")</f>
        <v>0</v>
      </c>
      <c r="O98" s="132">
        <f>IF($F98&lt;=$C$16*12,'Mortgage Calculators (By Month)'!$E116,"-")</f>
        <v>8.3333333333333339</v>
      </c>
      <c r="P98" s="132">
        <f t="shared" si="54"/>
        <v>0</v>
      </c>
      <c r="Q98" s="132">
        <f t="shared" si="34"/>
        <v>2825.0373157246099</v>
      </c>
      <c r="R98" s="132">
        <f t="shared" si="35"/>
        <v>9260.9079787415394</v>
      </c>
      <c r="S98" s="132">
        <f t="shared" si="36"/>
        <v>0</v>
      </c>
      <c r="T98" s="132">
        <f t="shared" si="28"/>
        <v>9260.9079787415394</v>
      </c>
      <c r="U98" s="132">
        <f>IF($F98&lt;=$C$16*12,SUM(T$5:T98),"-")</f>
        <v>713980.99468538444</v>
      </c>
      <c r="V98" s="132">
        <f>IF($F98&lt;=$C$16*12,G98-$C$10-'RE Calculations'!$C285-'Mortgage Calculators (By Month)'!$F116,"-")</f>
        <v>742627.53728025954</v>
      </c>
      <c r="W98" s="29">
        <f t="shared" si="37"/>
        <v>0.46384448062416156</v>
      </c>
      <c r="X98" s="31">
        <f t="shared" si="38"/>
        <v>5.9214189015850412E-2</v>
      </c>
      <c r="Y98" s="132">
        <f t="shared" si="39"/>
        <v>1456608.5319656441</v>
      </c>
      <c r="Z98" s="29">
        <f t="shared" si="40"/>
        <v>0.90979635694191552</v>
      </c>
      <c r="AA98" s="31">
        <f t="shared" si="41"/>
        <v>0.11614421577981901</v>
      </c>
      <c r="AD98" s="12">
        <f t="shared" si="42"/>
        <v>94</v>
      </c>
      <c r="AE98" s="132">
        <f t="shared" si="43"/>
        <v>2396076.0584492446</v>
      </c>
      <c r="AF98" s="132">
        <f>IF($AD98&lt;=$C$25*12,$AE98-$C$7+SUM('Mortgage Calculators (By Month)'!$K$23:$K116),"-")</f>
        <v>2396076.0584492446</v>
      </c>
      <c r="AG98" s="132">
        <f t="shared" si="44"/>
        <v>12077.611961132816</v>
      </c>
      <c r="AH98" s="132">
        <f>IF($AD98&lt;=$C$25*12,SUM(Inputs!$C$61:$C$78)*'Forecast (By Month)'!AG98,"-")</f>
        <v>1328.5373157246097</v>
      </c>
      <c r="AI98" s="132">
        <f>IF($AD98&lt;=$C$25*12,(SUMIF(Inputs!$C$61:$C$78,0,Inputs!$F$61:$F$78)/12)*(1+$C$34)^ROUNDDOWN((AD98-1)/12,0),"-")</f>
        <v>1488.1666666666667</v>
      </c>
      <c r="AJ98" s="132">
        <f t="shared" si="45"/>
        <v>2816.7039823912764</v>
      </c>
      <c r="AK98" s="132">
        <f>IF($AD98&lt;=$C$25*12,'Mortgage Calculators (By Month)'!$J116,"-")</f>
        <v>0</v>
      </c>
      <c r="AL98" s="132">
        <f>IF($AD98&lt;=$C$25*12,'Mortgage Calculators (By Month)'!$K116,"-")</f>
        <v>0</v>
      </c>
      <c r="AM98" s="132">
        <f>IF($AD98&lt;=$C$25*12,'Mortgage Calculators (By Month)'!$L116,"-")</f>
        <v>10</v>
      </c>
      <c r="AN98" s="132">
        <f t="shared" si="55"/>
        <v>0</v>
      </c>
      <c r="AO98" s="132">
        <f t="shared" si="46"/>
        <v>2826.7039823912764</v>
      </c>
      <c r="AP98" s="132">
        <f t="shared" si="47"/>
        <v>9260.9079787415394</v>
      </c>
      <c r="AQ98" s="132">
        <f t="shared" si="48"/>
        <v>0</v>
      </c>
      <c r="AR98" s="132">
        <f t="shared" si="29"/>
        <v>9260.9079787415394</v>
      </c>
      <c r="AS98" s="132">
        <f>IF($AD98&lt;=$C$25*12,SUM(AR$5:AR98),"-")</f>
        <v>713970.99468538444</v>
      </c>
      <c r="AT98" s="132">
        <f>IF($AD98&lt;=$C$25*12,AE98-$C$10-'RE Calculations'!$C285-'Mortgage Calculators (By Month)'!$M116,"-")</f>
        <v>742627.53728025954</v>
      </c>
      <c r="AU98" s="29">
        <f t="shared" si="49"/>
        <v>0.46384448062416156</v>
      </c>
      <c r="AV98" s="31">
        <f t="shared" si="50"/>
        <v>5.9214189015850412E-2</v>
      </c>
      <c r="AW98" s="132">
        <f t="shared" si="51"/>
        <v>1456598.5319656441</v>
      </c>
      <c r="AX98" s="29">
        <f t="shared" si="52"/>
        <v>0.90979011095106088</v>
      </c>
      <c r="AY98" s="31">
        <f t="shared" si="53"/>
        <v>0.11614341841928437</v>
      </c>
    </row>
    <row r="99" spans="6:51" x14ac:dyDescent="0.35">
      <c r="F99" s="12">
        <f t="shared" si="30"/>
        <v>95</v>
      </c>
      <c r="G99" s="132">
        <f t="shared" si="31"/>
        <v>2405837.9689064031</v>
      </c>
      <c r="H99" s="132">
        <f>IF($F99&lt;=$C$16*12,$G99-$C$7+SUM('Mortgage Calculators (By Month)'!$D$23:$D117),"-")</f>
        <v>2405837.9689064031</v>
      </c>
      <c r="I99" s="132">
        <f t="shared" si="32"/>
        <v>12077.611961132816</v>
      </c>
      <c r="J99" s="132">
        <f>IF($F99&lt;=$C$16*12,SUM(Inputs!$C$61:$C$78)*'Forecast (By Month)'!I99,"-")</f>
        <v>1328.5373157246097</v>
      </c>
      <c r="K99" s="132">
        <f>IF($F99&lt;=$C$16*12,(SUMIF(Inputs!$C$61:$C$78,0,Inputs!$F$61:$F$78)/12)*(1+$C$34)^ROUNDDOWN((F99-1)/12,0),"-")</f>
        <v>1488.1666666666667</v>
      </c>
      <c r="L99" s="132">
        <f t="shared" si="33"/>
        <v>2816.7039823912764</v>
      </c>
      <c r="M99" s="132">
        <f>IF($F99&lt;=$C$16*12,'Mortgage Calculators (By Month)'!$C117,"-")</f>
        <v>0</v>
      </c>
      <c r="N99" s="132">
        <f>IF($F99&lt;=$C$16*12,'Mortgage Calculators (By Month)'!$D117,"-")</f>
        <v>0</v>
      </c>
      <c r="O99" s="132">
        <f>IF($F99&lt;=$C$16*12,'Mortgage Calculators (By Month)'!$E117,"-")</f>
        <v>8.3333333333333339</v>
      </c>
      <c r="P99" s="132">
        <f t="shared" si="54"/>
        <v>0</v>
      </c>
      <c r="Q99" s="132">
        <f t="shared" si="34"/>
        <v>2825.0373157246099</v>
      </c>
      <c r="R99" s="132">
        <f t="shared" si="35"/>
        <v>9260.9079787415394</v>
      </c>
      <c r="S99" s="132">
        <f t="shared" si="36"/>
        <v>0</v>
      </c>
      <c r="T99" s="132">
        <f t="shared" si="28"/>
        <v>9260.9079787415394</v>
      </c>
      <c r="U99" s="132">
        <f>IF($F99&lt;=$C$16*12,SUM(T$5:T99),"-")</f>
        <v>723241.90266412601</v>
      </c>
      <c r="V99" s="132">
        <f>IF($F99&lt;=$C$16*12,G99-$C$10-'RE Calculations'!$C286-'Mortgage Calculators (By Month)'!$F117,"-")</f>
        <v>752194.20952827483</v>
      </c>
      <c r="W99" s="29">
        <f t="shared" si="37"/>
        <v>0.46981981536118683</v>
      </c>
      <c r="X99" s="31">
        <f t="shared" si="38"/>
        <v>5.9345660887728864E-2</v>
      </c>
      <c r="Y99" s="132">
        <f t="shared" si="39"/>
        <v>1475436.1121924007</v>
      </c>
      <c r="Z99" s="29">
        <f t="shared" si="40"/>
        <v>0.92155604633301047</v>
      </c>
      <c r="AA99" s="31">
        <f t="shared" si="41"/>
        <v>0.11640707953680132</v>
      </c>
      <c r="AD99" s="12">
        <f t="shared" si="42"/>
        <v>95</v>
      </c>
      <c r="AE99" s="132">
        <f t="shared" si="43"/>
        <v>2405837.9689064031</v>
      </c>
      <c r="AF99" s="132">
        <f>IF($AD99&lt;=$C$25*12,$AE99-$C$7+SUM('Mortgage Calculators (By Month)'!$K$23:$K117),"-")</f>
        <v>2405837.9689064031</v>
      </c>
      <c r="AG99" s="132">
        <f t="shared" si="44"/>
        <v>12077.611961132816</v>
      </c>
      <c r="AH99" s="132">
        <f>IF($AD99&lt;=$C$25*12,SUM(Inputs!$C$61:$C$78)*'Forecast (By Month)'!AG99,"-")</f>
        <v>1328.5373157246097</v>
      </c>
      <c r="AI99" s="132">
        <f>IF($AD99&lt;=$C$25*12,(SUMIF(Inputs!$C$61:$C$78,0,Inputs!$F$61:$F$78)/12)*(1+$C$34)^ROUNDDOWN((AD99-1)/12,0),"-")</f>
        <v>1488.1666666666667</v>
      </c>
      <c r="AJ99" s="132">
        <f t="shared" si="45"/>
        <v>2816.7039823912764</v>
      </c>
      <c r="AK99" s="132">
        <f>IF($AD99&lt;=$C$25*12,'Mortgage Calculators (By Month)'!$J117,"-")</f>
        <v>0</v>
      </c>
      <c r="AL99" s="132">
        <f>IF($AD99&lt;=$C$25*12,'Mortgage Calculators (By Month)'!$K117,"-")</f>
        <v>0</v>
      </c>
      <c r="AM99" s="132">
        <f>IF($AD99&lt;=$C$25*12,'Mortgage Calculators (By Month)'!$L117,"-")</f>
        <v>10</v>
      </c>
      <c r="AN99" s="132">
        <f t="shared" si="55"/>
        <v>0</v>
      </c>
      <c r="AO99" s="132">
        <f t="shared" si="46"/>
        <v>2826.7039823912764</v>
      </c>
      <c r="AP99" s="132">
        <f t="shared" si="47"/>
        <v>9260.9079787415394</v>
      </c>
      <c r="AQ99" s="132">
        <f t="shared" si="48"/>
        <v>0</v>
      </c>
      <c r="AR99" s="132">
        <f t="shared" si="29"/>
        <v>9260.9079787415394</v>
      </c>
      <c r="AS99" s="132">
        <f>IF($AD99&lt;=$C$25*12,SUM(AR$5:AR99),"-")</f>
        <v>723231.90266412601</v>
      </c>
      <c r="AT99" s="132">
        <f>IF($AD99&lt;=$C$25*12,AE99-$C$10-'RE Calculations'!$C286-'Mortgage Calculators (By Month)'!$M117,"-")</f>
        <v>752194.20952827483</v>
      </c>
      <c r="AU99" s="29">
        <f t="shared" si="49"/>
        <v>0.46981981536118683</v>
      </c>
      <c r="AV99" s="31">
        <f t="shared" si="50"/>
        <v>5.9345660887728864E-2</v>
      </c>
      <c r="AW99" s="132">
        <f t="shared" si="51"/>
        <v>1475426.1121924007</v>
      </c>
      <c r="AX99" s="29">
        <f t="shared" si="52"/>
        <v>0.92154980034215583</v>
      </c>
      <c r="AY99" s="31">
        <f t="shared" si="53"/>
        <v>0.11640629056953547</v>
      </c>
    </row>
    <row r="100" spans="6:51" x14ac:dyDescent="0.35">
      <c r="F100" s="12">
        <f t="shared" si="30"/>
        <v>96</v>
      </c>
      <c r="G100" s="132">
        <f t="shared" si="31"/>
        <v>2415639.650595129</v>
      </c>
      <c r="H100" s="132">
        <f>IF($F100&lt;=$C$16*12,$G100-$C$7+SUM('Mortgage Calculators (By Month)'!$D$23:$D118),"-")</f>
        <v>2415639.650595129</v>
      </c>
      <c r="I100" s="132">
        <f t="shared" si="32"/>
        <v>12077.611961132816</v>
      </c>
      <c r="J100" s="132">
        <f>IF($F100&lt;=$C$16*12,SUM(Inputs!$C$61:$C$78)*'Forecast (By Month)'!I100,"-")</f>
        <v>1328.5373157246097</v>
      </c>
      <c r="K100" s="132">
        <f>IF($F100&lt;=$C$16*12,(SUMIF(Inputs!$C$61:$C$78,0,Inputs!$F$61:$F$78)/12)*(1+$C$34)^ROUNDDOWN((F100-1)/12,0),"-")</f>
        <v>1488.1666666666667</v>
      </c>
      <c r="L100" s="132">
        <f t="shared" si="33"/>
        <v>2816.7039823912764</v>
      </c>
      <c r="M100" s="132">
        <f>IF($F100&lt;=$C$16*12,'Mortgage Calculators (By Month)'!$C118,"-")</f>
        <v>0</v>
      </c>
      <c r="N100" s="132">
        <f>IF($F100&lt;=$C$16*12,'Mortgage Calculators (By Month)'!$D118,"-")</f>
        <v>0</v>
      </c>
      <c r="O100" s="132">
        <f>IF($F100&lt;=$C$16*12,'Mortgage Calculators (By Month)'!$E118,"-")</f>
        <v>8.3333333333333339</v>
      </c>
      <c r="P100" s="132">
        <f t="shared" si="54"/>
        <v>0</v>
      </c>
      <c r="Q100" s="132">
        <f t="shared" si="34"/>
        <v>2825.0373157246099</v>
      </c>
      <c r="R100" s="132">
        <f t="shared" si="35"/>
        <v>9260.9079787415394</v>
      </c>
      <c r="S100" s="132">
        <f t="shared" si="36"/>
        <v>0</v>
      </c>
      <c r="T100" s="132">
        <f t="shared" si="28"/>
        <v>9260.9079787415394</v>
      </c>
      <c r="U100" s="132">
        <f>IF($F100&lt;=$C$16*12,SUM(T$5:T100),"-")</f>
        <v>732502.81064286758</v>
      </c>
      <c r="V100" s="132">
        <f>IF($F100&lt;=$C$16*12,G100-$C$10-'RE Calculations'!$C287-'Mortgage Calculators (By Month)'!$F118,"-")</f>
        <v>761799.85758322617</v>
      </c>
      <c r="W100" s="29">
        <f t="shared" si="37"/>
        <v>0.47581949435157944</v>
      </c>
      <c r="X100" s="31">
        <f t="shared" si="38"/>
        <v>5.947743679394743E-2</v>
      </c>
      <c r="Y100" s="132">
        <f t="shared" si="39"/>
        <v>1494302.6682260938</v>
      </c>
      <c r="Z100" s="29">
        <f t="shared" si="40"/>
        <v>0.93334007997747304</v>
      </c>
      <c r="AA100" s="31">
        <f t="shared" si="41"/>
        <v>0.11666750999718413</v>
      </c>
      <c r="AD100" s="12">
        <f t="shared" si="42"/>
        <v>96</v>
      </c>
      <c r="AE100" s="132">
        <f t="shared" si="43"/>
        <v>2415639.650595129</v>
      </c>
      <c r="AF100" s="132">
        <f>IF($AD100&lt;=$C$25*12,$AE100-$C$7+SUM('Mortgage Calculators (By Month)'!$K$23:$K118),"-")</f>
        <v>2415639.650595129</v>
      </c>
      <c r="AG100" s="132">
        <f t="shared" si="44"/>
        <v>12077.611961132816</v>
      </c>
      <c r="AH100" s="132">
        <f>IF($AD100&lt;=$C$25*12,SUM(Inputs!$C$61:$C$78)*'Forecast (By Month)'!AG100,"-")</f>
        <v>1328.5373157246097</v>
      </c>
      <c r="AI100" s="132">
        <f>IF($AD100&lt;=$C$25*12,(SUMIF(Inputs!$C$61:$C$78,0,Inputs!$F$61:$F$78)/12)*(1+$C$34)^ROUNDDOWN((AD100-1)/12,0),"-")</f>
        <v>1488.1666666666667</v>
      </c>
      <c r="AJ100" s="132">
        <f t="shared" si="45"/>
        <v>2816.7039823912764</v>
      </c>
      <c r="AK100" s="132">
        <f>IF($AD100&lt;=$C$25*12,'Mortgage Calculators (By Month)'!$J118,"-")</f>
        <v>0</v>
      </c>
      <c r="AL100" s="132">
        <f>IF($AD100&lt;=$C$25*12,'Mortgage Calculators (By Month)'!$K118,"-")</f>
        <v>0</v>
      </c>
      <c r="AM100" s="132">
        <f>IF($AD100&lt;=$C$25*12,'Mortgage Calculators (By Month)'!$L118,"-")</f>
        <v>10</v>
      </c>
      <c r="AN100" s="132">
        <f t="shared" si="55"/>
        <v>0</v>
      </c>
      <c r="AO100" s="132">
        <f t="shared" si="46"/>
        <v>2826.7039823912764</v>
      </c>
      <c r="AP100" s="132">
        <f t="shared" si="47"/>
        <v>9260.9079787415394</v>
      </c>
      <c r="AQ100" s="132">
        <f t="shared" si="48"/>
        <v>0</v>
      </c>
      <c r="AR100" s="132">
        <f t="shared" si="29"/>
        <v>9260.9079787415394</v>
      </c>
      <c r="AS100" s="132">
        <f>IF($AD100&lt;=$C$25*12,SUM(AR$5:AR100),"-")</f>
        <v>732492.81064286758</v>
      </c>
      <c r="AT100" s="132">
        <f>IF($AD100&lt;=$C$25*12,AE100-$C$10-'RE Calculations'!$C287-'Mortgage Calculators (By Month)'!$M118,"-")</f>
        <v>761799.85758322617</v>
      </c>
      <c r="AU100" s="29">
        <f t="shared" si="49"/>
        <v>0.47581949435157944</v>
      </c>
      <c r="AV100" s="31">
        <f t="shared" si="50"/>
        <v>5.947743679394743E-2</v>
      </c>
      <c r="AW100" s="132">
        <f t="shared" si="51"/>
        <v>1494292.6682260938</v>
      </c>
      <c r="AX100" s="29">
        <f t="shared" si="52"/>
        <v>0.9333338339866184</v>
      </c>
      <c r="AY100" s="31">
        <f t="shared" si="53"/>
        <v>0.1166667292483273</v>
      </c>
    </row>
    <row r="101" spans="6:51" x14ac:dyDescent="0.35">
      <c r="F101" s="12">
        <f t="shared" si="30"/>
        <v>97</v>
      </c>
      <c r="G101" s="132">
        <f t="shared" si="31"/>
        <v>2425481.2655483428</v>
      </c>
      <c r="H101" s="132">
        <f>IF($F101&lt;=$C$16*12,$G101-$C$7+SUM('Mortgage Calculators (By Month)'!$D$23:$D119),"-")</f>
        <v>2425481.2655483428</v>
      </c>
      <c r="I101" s="132">
        <f t="shared" si="32"/>
        <v>12681.492559189455</v>
      </c>
      <c r="J101" s="132">
        <f>IF($F101&lt;=$C$16*12,SUM(Inputs!$C$61:$C$78)*'Forecast (By Month)'!I101,"-")</f>
        <v>1394.96418151084</v>
      </c>
      <c r="K101" s="132">
        <f>IF($F101&lt;=$C$16*12,(SUMIF(Inputs!$C$61:$C$78,0,Inputs!$F$61:$F$78)/12)*(1+$C$34)^ROUNDDOWN((F101-1)/12,0),"-")</f>
        <v>1488.1666666666667</v>
      </c>
      <c r="L101" s="132">
        <f t="shared" si="33"/>
        <v>2883.1308481775068</v>
      </c>
      <c r="M101" s="132">
        <f>IF($F101&lt;=$C$16*12,'Mortgage Calculators (By Month)'!$C119,"-")</f>
        <v>0</v>
      </c>
      <c r="N101" s="132">
        <f>IF($F101&lt;=$C$16*12,'Mortgage Calculators (By Month)'!$D119,"-")</f>
        <v>0</v>
      </c>
      <c r="O101" s="132">
        <f>IF($F101&lt;=$C$16*12,'Mortgage Calculators (By Month)'!$E119,"-")</f>
        <v>8.3333333333333339</v>
      </c>
      <c r="P101" s="132">
        <f t="shared" si="54"/>
        <v>0</v>
      </c>
      <c r="Q101" s="132">
        <f t="shared" si="34"/>
        <v>2891.4641815108403</v>
      </c>
      <c r="R101" s="132">
        <f t="shared" si="35"/>
        <v>9798.3617110119485</v>
      </c>
      <c r="S101" s="132">
        <f t="shared" si="36"/>
        <v>0</v>
      </c>
      <c r="T101" s="132">
        <f t="shared" si="28"/>
        <v>9798.3617110119485</v>
      </c>
      <c r="U101" s="132">
        <f>IF($F101&lt;=$C$16*12,SUM(T$5:T101),"-")</f>
        <v>742301.17235387955</v>
      </c>
      <c r="V101" s="132">
        <f>IF($F101&lt;=$C$16*12,G101-$C$10-'RE Calculations'!$C288-'Mortgage Calculators (By Month)'!$F119,"-")</f>
        <v>771444.64023737574</v>
      </c>
      <c r="W101" s="29">
        <f t="shared" si="37"/>
        <v>0.48184361677684123</v>
      </c>
      <c r="X101" s="31">
        <f t="shared" si="38"/>
        <v>5.9609519601258702E-2</v>
      </c>
      <c r="Y101" s="132">
        <f t="shared" si="39"/>
        <v>1513745.8125912552</v>
      </c>
      <c r="Z101" s="29">
        <f t="shared" si="40"/>
        <v>0.94548425016645887</v>
      </c>
      <c r="AA101" s="31">
        <f t="shared" si="41"/>
        <v>0.11696712373193305</v>
      </c>
      <c r="AD101" s="12">
        <f t="shared" si="42"/>
        <v>97</v>
      </c>
      <c r="AE101" s="132">
        <f t="shared" si="43"/>
        <v>2425481.2655483428</v>
      </c>
      <c r="AF101" s="132">
        <f>IF($AD101&lt;=$C$25*12,$AE101-$C$7+SUM('Mortgage Calculators (By Month)'!$K$23:$K119),"-")</f>
        <v>2425481.2655483428</v>
      </c>
      <c r="AG101" s="132">
        <f t="shared" si="44"/>
        <v>12681.492559189455</v>
      </c>
      <c r="AH101" s="132">
        <f>IF($AD101&lt;=$C$25*12,SUM(Inputs!$C$61:$C$78)*'Forecast (By Month)'!AG101,"-")</f>
        <v>1394.96418151084</v>
      </c>
      <c r="AI101" s="132">
        <f>IF($AD101&lt;=$C$25*12,(SUMIF(Inputs!$C$61:$C$78,0,Inputs!$F$61:$F$78)/12)*(1+$C$34)^ROUNDDOWN((AD101-1)/12,0),"-")</f>
        <v>1488.1666666666667</v>
      </c>
      <c r="AJ101" s="132">
        <f t="shared" si="45"/>
        <v>2883.1308481775068</v>
      </c>
      <c r="AK101" s="132">
        <f>IF($AD101&lt;=$C$25*12,'Mortgage Calculators (By Month)'!$J119,"-")</f>
        <v>0</v>
      </c>
      <c r="AL101" s="132">
        <f>IF($AD101&lt;=$C$25*12,'Mortgage Calculators (By Month)'!$K119,"-")</f>
        <v>0</v>
      </c>
      <c r="AM101" s="132">
        <f>IF($AD101&lt;=$C$25*12,'Mortgage Calculators (By Month)'!$L119,"-")</f>
        <v>10</v>
      </c>
      <c r="AN101" s="132">
        <f t="shared" si="55"/>
        <v>0</v>
      </c>
      <c r="AO101" s="132">
        <f t="shared" si="46"/>
        <v>2893.1308481775068</v>
      </c>
      <c r="AP101" s="132">
        <f t="shared" si="47"/>
        <v>9798.3617110119485</v>
      </c>
      <c r="AQ101" s="132">
        <f t="shared" si="48"/>
        <v>0</v>
      </c>
      <c r="AR101" s="132">
        <f t="shared" si="29"/>
        <v>9798.3617110119485</v>
      </c>
      <c r="AS101" s="132">
        <f>IF($AD101&lt;=$C$25*12,SUM(AR$5:AR101),"-")</f>
        <v>742291.17235387955</v>
      </c>
      <c r="AT101" s="132">
        <f>IF($AD101&lt;=$C$25*12,AE101-$C$10-'RE Calculations'!$C288-'Mortgage Calculators (By Month)'!$M119,"-")</f>
        <v>771444.64023737574</v>
      </c>
      <c r="AU101" s="29">
        <f t="shared" si="49"/>
        <v>0.48184361677684123</v>
      </c>
      <c r="AV101" s="31">
        <f t="shared" si="50"/>
        <v>5.9609519601258702E-2</v>
      </c>
      <c r="AW101" s="132">
        <f t="shared" si="51"/>
        <v>1513735.8125912552</v>
      </c>
      <c r="AX101" s="29">
        <f t="shared" si="52"/>
        <v>0.94547800417560424</v>
      </c>
      <c r="AY101" s="31">
        <f t="shared" si="53"/>
        <v>0.11696635103203351</v>
      </c>
    </row>
    <row r="102" spans="6:51" x14ac:dyDescent="0.35">
      <c r="F102" s="12">
        <f t="shared" si="30"/>
        <v>98</v>
      </c>
      <c r="G102" s="132">
        <f t="shared" si="31"/>
        <v>2435362.9764591069</v>
      </c>
      <c r="H102" s="132">
        <f>IF($F102&lt;=$C$16*12,$G102-$C$7+SUM('Mortgage Calculators (By Month)'!$D$23:$D120),"-")</f>
        <v>2435362.9764591069</v>
      </c>
      <c r="I102" s="132">
        <f t="shared" si="32"/>
        <v>12681.492559189455</v>
      </c>
      <c r="J102" s="132">
        <f>IF($F102&lt;=$C$16*12,SUM(Inputs!$C$61:$C$78)*'Forecast (By Month)'!I102,"-")</f>
        <v>1394.96418151084</v>
      </c>
      <c r="K102" s="132">
        <f>IF($F102&lt;=$C$16*12,(SUMIF(Inputs!$C$61:$C$78,0,Inputs!$F$61:$F$78)/12)*(1+$C$34)^ROUNDDOWN((F102-1)/12,0),"-")</f>
        <v>1488.1666666666667</v>
      </c>
      <c r="L102" s="132">
        <f t="shared" si="33"/>
        <v>2883.1308481775068</v>
      </c>
      <c r="M102" s="132">
        <f>IF($F102&lt;=$C$16*12,'Mortgage Calculators (By Month)'!$C120,"-")</f>
        <v>0</v>
      </c>
      <c r="N102" s="132">
        <f>IF($F102&lt;=$C$16*12,'Mortgage Calculators (By Month)'!$D120,"-")</f>
        <v>0</v>
      </c>
      <c r="O102" s="132">
        <f>IF($F102&lt;=$C$16*12,'Mortgage Calculators (By Month)'!$E120,"-")</f>
        <v>8.3333333333333339</v>
      </c>
      <c r="P102" s="132">
        <f t="shared" si="54"/>
        <v>0</v>
      </c>
      <c r="Q102" s="132">
        <f t="shared" si="34"/>
        <v>2891.4641815108403</v>
      </c>
      <c r="R102" s="132">
        <f t="shared" si="35"/>
        <v>9798.3617110119485</v>
      </c>
      <c r="S102" s="132">
        <f t="shared" si="36"/>
        <v>0</v>
      </c>
      <c r="T102" s="132">
        <f t="shared" si="28"/>
        <v>9798.3617110119485</v>
      </c>
      <c r="U102" s="132">
        <f>IF($F102&lt;=$C$16*12,SUM(T$5:T102),"-")</f>
        <v>752099.53406489152</v>
      </c>
      <c r="V102" s="132">
        <f>IF($F102&lt;=$C$16*12,G102-$C$10-'RE Calculations'!$C289-'Mortgage Calculators (By Month)'!$F120,"-")</f>
        <v>781128.71692992456</v>
      </c>
      <c r="W102" s="29">
        <f t="shared" si="37"/>
        <v>0.48789228222255127</v>
      </c>
      <c r="X102" s="31">
        <f t="shared" si="38"/>
        <v>5.9741912108883834E-2</v>
      </c>
      <c r="Y102" s="132">
        <f t="shared" si="39"/>
        <v>1533228.250994816</v>
      </c>
      <c r="Z102" s="29">
        <f t="shared" si="40"/>
        <v>0.95765296337589312</v>
      </c>
      <c r="AA102" s="31">
        <f t="shared" si="41"/>
        <v>0.11726362816847671</v>
      </c>
      <c r="AD102" s="12">
        <f t="shared" si="42"/>
        <v>98</v>
      </c>
      <c r="AE102" s="132">
        <f t="shared" si="43"/>
        <v>2435362.9764591069</v>
      </c>
      <c r="AF102" s="132">
        <f>IF($AD102&lt;=$C$25*12,$AE102-$C$7+SUM('Mortgage Calculators (By Month)'!$K$23:$K120),"-")</f>
        <v>2435362.9764591069</v>
      </c>
      <c r="AG102" s="132">
        <f t="shared" si="44"/>
        <v>12681.492559189455</v>
      </c>
      <c r="AH102" s="132">
        <f>IF($AD102&lt;=$C$25*12,SUM(Inputs!$C$61:$C$78)*'Forecast (By Month)'!AG102,"-")</f>
        <v>1394.96418151084</v>
      </c>
      <c r="AI102" s="132">
        <f>IF($AD102&lt;=$C$25*12,(SUMIF(Inputs!$C$61:$C$78,0,Inputs!$F$61:$F$78)/12)*(1+$C$34)^ROUNDDOWN((AD102-1)/12,0),"-")</f>
        <v>1488.1666666666667</v>
      </c>
      <c r="AJ102" s="132">
        <f t="shared" si="45"/>
        <v>2883.1308481775068</v>
      </c>
      <c r="AK102" s="132">
        <f>IF($AD102&lt;=$C$25*12,'Mortgage Calculators (By Month)'!$J120,"-")</f>
        <v>0</v>
      </c>
      <c r="AL102" s="132">
        <f>IF($AD102&lt;=$C$25*12,'Mortgage Calculators (By Month)'!$K120,"-")</f>
        <v>0</v>
      </c>
      <c r="AM102" s="132">
        <f>IF($AD102&lt;=$C$25*12,'Mortgage Calculators (By Month)'!$L120,"-")</f>
        <v>10</v>
      </c>
      <c r="AN102" s="132">
        <f t="shared" si="55"/>
        <v>0</v>
      </c>
      <c r="AO102" s="132">
        <f t="shared" si="46"/>
        <v>2893.1308481775068</v>
      </c>
      <c r="AP102" s="132">
        <f t="shared" si="47"/>
        <v>9798.3617110119485</v>
      </c>
      <c r="AQ102" s="132">
        <f t="shared" si="48"/>
        <v>0</v>
      </c>
      <c r="AR102" s="132">
        <f t="shared" si="29"/>
        <v>9798.3617110119485</v>
      </c>
      <c r="AS102" s="132">
        <f>IF($AD102&lt;=$C$25*12,SUM(AR$5:AR102),"-")</f>
        <v>752089.53406489152</v>
      </c>
      <c r="AT102" s="132">
        <f>IF($AD102&lt;=$C$25*12,AE102-$C$10-'RE Calculations'!$C289-'Mortgage Calculators (By Month)'!$M120,"-")</f>
        <v>781128.71692992456</v>
      </c>
      <c r="AU102" s="29">
        <f t="shared" si="49"/>
        <v>0.48789228222255127</v>
      </c>
      <c r="AV102" s="31">
        <f t="shared" si="50"/>
        <v>5.9741912108883834E-2</v>
      </c>
      <c r="AW102" s="132">
        <f t="shared" si="51"/>
        <v>1533218.250994816</v>
      </c>
      <c r="AX102" s="29">
        <f t="shared" si="52"/>
        <v>0.95764671738503848</v>
      </c>
      <c r="AY102" s="31">
        <f t="shared" si="53"/>
        <v>0.11726286335327003</v>
      </c>
    </row>
    <row r="103" spans="6:51" x14ac:dyDescent="0.35">
      <c r="F103" s="12">
        <f t="shared" si="30"/>
        <v>99</v>
      </c>
      <c r="G103" s="132">
        <f t="shared" si="31"/>
        <v>2445284.9466833156</v>
      </c>
      <c r="H103" s="132">
        <f>IF($F103&lt;=$C$16*12,$G103-$C$7+SUM('Mortgage Calculators (By Month)'!$D$23:$D121),"-")</f>
        <v>2445284.9466833156</v>
      </c>
      <c r="I103" s="132">
        <f t="shared" si="32"/>
        <v>12681.492559189455</v>
      </c>
      <c r="J103" s="132">
        <f>IF($F103&lt;=$C$16*12,SUM(Inputs!$C$61:$C$78)*'Forecast (By Month)'!I103,"-")</f>
        <v>1394.96418151084</v>
      </c>
      <c r="K103" s="132">
        <f>IF($F103&lt;=$C$16*12,(SUMIF(Inputs!$C$61:$C$78,0,Inputs!$F$61:$F$78)/12)*(1+$C$34)^ROUNDDOWN((F103-1)/12,0),"-")</f>
        <v>1488.1666666666667</v>
      </c>
      <c r="L103" s="132">
        <f t="shared" si="33"/>
        <v>2883.1308481775068</v>
      </c>
      <c r="M103" s="132">
        <f>IF($F103&lt;=$C$16*12,'Mortgage Calculators (By Month)'!$C121,"-")</f>
        <v>0</v>
      </c>
      <c r="N103" s="132">
        <f>IF($F103&lt;=$C$16*12,'Mortgage Calculators (By Month)'!$D121,"-")</f>
        <v>0</v>
      </c>
      <c r="O103" s="132">
        <f>IF($F103&lt;=$C$16*12,'Mortgage Calculators (By Month)'!$E121,"-")</f>
        <v>8.3333333333333339</v>
      </c>
      <c r="P103" s="132">
        <f t="shared" si="54"/>
        <v>0</v>
      </c>
      <c r="Q103" s="132">
        <f t="shared" si="34"/>
        <v>2891.4641815108403</v>
      </c>
      <c r="R103" s="132">
        <f t="shared" si="35"/>
        <v>9798.3617110119485</v>
      </c>
      <c r="S103" s="132">
        <f t="shared" si="36"/>
        <v>0</v>
      </c>
      <c r="T103" s="132">
        <f t="shared" si="28"/>
        <v>9798.3617110119485</v>
      </c>
      <c r="U103" s="132">
        <f>IF($F103&lt;=$C$16*12,SUM(T$5:T103),"-")</f>
        <v>761897.89577590348</v>
      </c>
      <c r="V103" s="132">
        <f>IF($F103&lt;=$C$16*12,G103-$C$10-'RE Calculations'!$C290-'Mortgage Calculators (By Month)'!$F121,"-")</f>
        <v>790852.24774964899</v>
      </c>
      <c r="W103" s="29">
        <f t="shared" si="37"/>
        <v>0.49396559068001289</v>
      </c>
      <c r="X103" s="31">
        <f t="shared" si="38"/>
        <v>5.9874617052122776E-2</v>
      </c>
      <c r="Y103" s="132">
        <f t="shared" si="39"/>
        <v>1552750.1435255525</v>
      </c>
      <c r="Z103" s="29">
        <f t="shared" si="40"/>
        <v>0.9698463195970789</v>
      </c>
      <c r="AA103" s="31">
        <f t="shared" si="41"/>
        <v>0.11755712964813078</v>
      </c>
      <c r="AD103" s="12">
        <f t="shared" si="42"/>
        <v>99</v>
      </c>
      <c r="AE103" s="132">
        <f t="shared" si="43"/>
        <v>2445284.9466833156</v>
      </c>
      <c r="AF103" s="132">
        <f>IF($AD103&lt;=$C$25*12,$AE103-$C$7+SUM('Mortgage Calculators (By Month)'!$K$23:$K121),"-")</f>
        <v>2445284.9466833156</v>
      </c>
      <c r="AG103" s="132">
        <f t="shared" si="44"/>
        <v>12681.492559189455</v>
      </c>
      <c r="AH103" s="132">
        <f>IF($AD103&lt;=$C$25*12,SUM(Inputs!$C$61:$C$78)*'Forecast (By Month)'!AG103,"-")</f>
        <v>1394.96418151084</v>
      </c>
      <c r="AI103" s="132">
        <f>IF($AD103&lt;=$C$25*12,(SUMIF(Inputs!$C$61:$C$78,0,Inputs!$F$61:$F$78)/12)*(1+$C$34)^ROUNDDOWN((AD103-1)/12,0),"-")</f>
        <v>1488.1666666666667</v>
      </c>
      <c r="AJ103" s="132">
        <f t="shared" si="45"/>
        <v>2883.1308481775068</v>
      </c>
      <c r="AK103" s="132">
        <f>IF($AD103&lt;=$C$25*12,'Mortgage Calculators (By Month)'!$J121,"-")</f>
        <v>0</v>
      </c>
      <c r="AL103" s="132">
        <f>IF($AD103&lt;=$C$25*12,'Mortgage Calculators (By Month)'!$K121,"-")</f>
        <v>0</v>
      </c>
      <c r="AM103" s="132">
        <f>IF($AD103&lt;=$C$25*12,'Mortgage Calculators (By Month)'!$L121,"-")</f>
        <v>10</v>
      </c>
      <c r="AN103" s="132">
        <f t="shared" si="55"/>
        <v>0</v>
      </c>
      <c r="AO103" s="132">
        <f t="shared" si="46"/>
        <v>2893.1308481775068</v>
      </c>
      <c r="AP103" s="132">
        <f t="shared" si="47"/>
        <v>9798.3617110119485</v>
      </c>
      <c r="AQ103" s="132">
        <f t="shared" si="48"/>
        <v>0</v>
      </c>
      <c r="AR103" s="132">
        <f t="shared" si="29"/>
        <v>9798.3617110119485</v>
      </c>
      <c r="AS103" s="132">
        <f>IF($AD103&lt;=$C$25*12,SUM(AR$5:AR103),"-")</f>
        <v>761887.89577590348</v>
      </c>
      <c r="AT103" s="132">
        <f>IF($AD103&lt;=$C$25*12,AE103-$C$10-'RE Calculations'!$C290-'Mortgage Calculators (By Month)'!$M121,"-")</f>
        <v>790852.24774964899</v>
      </c>
      <c r="AU103" s="29">
        <f t="shared" si="49"/>
        <v>0.49396559068001289</v>
      </c>
      <c r="AV103" s="31">
        <f t="shared" si="50"/>
        <v>5.9874617052122776E-2</v>
      </c>
      <c r="AW103" s="132">
        <f t="shared" si="51"/>
        <v>1552740.1435255525</v>
      </c>
      <c r="AX103" s="29">
        <f t="shared" si="52"/>
        <v>0.96984007360622426</v>
      </c>
      <c r="AY103" s="31">
        <f t="shared" si="53"/>
        <v>0.11755637255833021</v>
      </c>
    </row>
    <row r="104" spans="6:51" x14ac:dyDescent="0.35">
      <c r="F104" s="12">
        <f t="shared" si="30"/>
        <v>100</v>
      </c>
      <c r="G104" s="132">
        <f t="shared" si="31"/>
        <v>2455247.3402423952</v>
      </c>
      <c r="H104" s="132">
        <f>IF($F104&lt;=$C$16*12,$G104-$C$7+SUM('Mortgage Calculators (By Month)'!$D$23:$D122),"-")</f>
        <v>2455247.3402423952</v>
      </c>
      <c r="I104" s="132">
        <f t="shared" si="32"/>
        <v>12681.492559189455</v>
      </c>
      <c r="J104" s="132">
        <f>IF($F104&lt;=$C$16*12,SUM(Inputs!$C$61:$C$78)*'Forecast (By Month)'!I104,"-")</f>
        <v>1394.96418151084</v>
      </c>
      <c r="K104" s="132">
        <f>IF($F104&lt;=$C$16*12,(SUMIF(Inputs!$C$61:$C$78,0,Inputs!$F$61:$F$78)/12)*(1+$C$34)^ROUNDDOWN((F104-1)/12,0),"-")</f>
        <v>1488.1666666666667</v>
      </c>
      <c r="L104" s="132">
        <f t="shared" si="33"/>
        <v>2883.1308481775068</v>
      </c>
      <c r="M104" s="132">
        <f>IF($F104&lt;=$C$16*12,'Mortgage Calculators (By Month)'!$C122,"-")</f>
        <v>0</v>
      </c>
      <c r="N104" s="132">
        <f>IF($F104&lt;=$C$16*12,'Mortgage Calculators (By Month)'!$D122,"-")</f>
        <v>0</v>
      </c>
      <c r="O104" s="132">
        <f>IF($F104&lt;=$C$16*12,'Mortgage Calculators (By Month)'!$E122,"-")</f>
        <v>8.3333333333333339</v>
      </c>
      <c r="P104" s="132">
        <f t="shared" si="54"/>
        <v>0</v>
      </c>
      <c r="Q104" s="132">
        <f t="shared" si="34"/>
        <v>2891.4641815108403</v>
      </c>
      <c r="R104" s="132">
        <f t="shared" si="35"/>
        <v>9798.3617110119485</v>
      </c>
      <c r="S104" s="132">
        <f t="shared" si="36"/>
        <v>0</v>
      </c>
      <c r="T104" s="132">
        <f t="shared" si="28"/>
        <v>9798.3617110119485</v>
      </c>
      <c r="U104" s="132">
        <f>IF($F104&lt;=$C$16*12,SUM(T$5:T104),"-")</f>
        <v>771696.25748691545</v>
      </c>
      <c r="V104" s="132">
        <f>IF($F104&lt;=$C$16*12,G104-$C$10-'RE Calculations'!$C291-'Mortgage Calculators (By Month)'!$F122,"-")</f>
        <v>800615.39343754703</v>
      </c>
      <c r="W104" s="29">
        <f t="shared" si="37"/>
        <v>0.50006364254790647</v>
      </c>
      <c r="X104" s="31">
        <f t="shared" si="38"/>
        <v>6.0007637105748773E-2</v>
      </c>
      <c r="Y104" s="132">
        <f t="shared" si="39"/>
        <v>1572311.6509244624</v>
      </c>
      <c r="Z104" s="29">
        <f t="shared" si="40"/>
        <v>0.98206441922869658</v>
      </c>
      <c r="AA104" s="31">
        <f t="shared" si="41"/>
        <v>0.11784773030744358</v>
      </c>
      <c r="AD104" s="12">
        <f t="shared" si="42"/>
        <v>100</v>
      </c>
      <c r="AE104" s="132">
        <f t="shared" si="43"/>
        <v>2455247.3402423952</v>
      </c>
      <c r="AF104" s="132">
        <f>IF($AD104&lt;=$C$25*12,$AE104-$C$7+SUM('Mortgage Calculators (By Month)'!$K$23:$K122),"-")</f>
        <v>2455247.3402423952</v>
      </c>
      <c r="AG104" s="132">
        <f t="shared" si="44"/>
        <v>12681.492559189455</v>
      </c>
      <c r="AH104" s="132">
        <f>IF($AD104&lt;=$C$25*12,SUM(Inputs!$C$61:$C$78)*'Forecast (By Month)'!AG104,"-")</f>
        <v>1394.96418151084</v>
      </c>
      <c r="AI104" s="132">
        <f>IF($AD104&lt;=$C$25*12,(SUMIF(Inputs!$C$61:$C$78,0,Inputs!$F$61:$F$78)/12)*(1+$C$34)^ROUNDDOWN((AD104-1)/12,0),"-")</f>
        <v>1488.1666666666667</v>
      </c>
      <c r="AJ104" s="132">
        <f t="shared" si="45"/>
        <v>2883.1308481775068</v>
      </c>
      <c r="AK104" s="132">
        <f>IF($AD104&lt;=$C$25*12,'Mortgage Calculators (By Month)'!$J122,"-")</f>
        <v>0</v>
      </c>
      <c r="AL104" s="132">
        <f>IF($AD104&lt;=$C$25*12,'Mortgage Calculators (By Month)'!$K122,"-")</f>
        <v>0</v>
      </c>
      <c r="AM104" s="132">
        <f>IF($AD104&lt;=$C$25*12,'Mortgage Calculators (By Month)'!$L122,"-")</f>
        <v>10</v>
      </c>
      <c r="AN104" s="132">
        <f t="shared" si="55"/>
        <v>0</v>
      </c>
      <c r="AO104" s="132">
        <f t="shared" si="46"/>
        <v>2893.1308481775068</v>
      </c>
      <c r="AP104" s="132">
        <f t="shared" si="47"/>
        <v>9798.3617110119485</v>
      </c>
      <c r="AQ104" s="132">
        <f t="shared" si="48"/>
        <v>0</v>
      </c>
      <c r="AR104" s="132">
        <f t="shared" si="29"/>
        <v>9798.3617110119485</v>
      </c>
      <c r="AS104" s="132">
        <f>IF($AD104&lt;=$C$25*12,SUM(AR$5:AR104),"-")</f>
        <v>771686.25748691545</v>
      </c>
      <c r="AT104" s="132">
        <f>IF($AD104&lt;=$C$25*12,AE104-$C$10-'RE Calculations'!$C291-'Mortgage Calculators (By Month)'!$M122,"-")</f>
        <v>800615.39343754703</v>
      </c>
      <c r="AU104" s="29">
        <f t="shared" si="49"/>
        <v>0.50006364254790647</v>
      </c>
      <c r="AV104" s="31">
        <f t="shared" si="50"/>
        <v>6.0007637105748773E-2</v>
      </c>
      <c r="AW104" s="132">
        <f t="shared" si="51"/>
        <v>1572301.6509244624</v>
      </c>
      <c r="AX104" s="29">
        <f t="shared" si="52"/>
        <v>0.98205817323784195</v>
      </c>
      <c r="AY104" s="31">
        <f t="shared" si="53"/>
        <v>0.11784698078854103</v>
      </c>
    </row>
    <row r="105" spans="6:51" x14ac:dyDescent="0.35">
      <c r="F105" s="12">
        <f t="shared" si="30"/>
        <v>101</v>
      </c>
      <c r="G105" s="132">
        <f t="shared" si="31"/>
        <v>2465250.3218260161</v>
      </c>
      <c r="H105" s="132">
        <f>IF($F105&lt;=$C$16*12,$G105-$C$7+SUM('Mortgage Calculators (By Month)'!$D$23:$D123),"-")</f>
        <v>2465250.3218260161</v>
      </c>
      <c r="I105" s="132">
        <f t="shared" si="32"/>
        <v>12681.492559189455</v>
      </c>
      <c r="J105" s="132">
        <f>IF($F105&lt;=$C$16*12,SUM(Inputs!$C$61:$C$78)*'Forecast (By Month)'!I105,"-")</f>
        <v>1394.96418151084</v>
      </c>
      <c r="K105" s="132">
        <f>IF($F105&lt;=$C$16*12,(SUMIF(Inputs!$C$61:$C$78,0,Inputs!$F$61:$F$78)/12)*(1+$C$34)^ROUNDDOWN((F105-1)/12,0),"-")</f>
        <v>1488.1666666666667</v>
      </c>
      <c r="L105" s="132">
        <f t="shared" si="33"/>
        <v>2883.1308481775068</v>
      </c>
      <c r="M105" s="132">
        <f>IF($F105&lt;=$C$16*12,'Mortgage Calculators (By Month)'!$C123,"-")</f>
        <v>0</v>
      </c>
      <c r="N105" s="132">
        <f>IF($F105&lt;=$C$16*12,'Mortgage Calculators (By Month)'!$D123,"-")</f>
        <v>0</v>
      </c>
      <c r="O105" s="132">
        <f>IF($F105&lt;=$C$16*12,'Mortgage Calculators (By Month)'!$E123,"-")</f>
        <v>8.3333333333333339</v>
      </c>
      <c r="P105" s="132">
        <f t="shared" si="54"/>
        <v>0</v>
      </c>
      <c r="Q105" s="132">
        <f t="shared" si="34"/>
        <v>2891.4641815108403</v>
      </c>
      <c r="R105" s="132">
        <f t="shared" si="35"/>
        <v>9798.3617110119485</v>
      </c>
      <c r="S105" s="132">
        <f t="shared" si="36"/>
        <v>0</v>
      </c>
      <c r="T105" s="132">
        <f t="shared" si="28"/>
        <v>9798.3617110119485</v>
      </c>
      <c r="U105" s="132">
        <f>IF($F105&lt;=$C$16*12,SUM(T$5:T105),"-")</f>
        <v>781494.61919792742</v>
      </c>
      <c r="V105" s="132">
        <f>IF($F105&lt;=$C$16*12,G105-$C$10-'RE Calculations'!$C292-'Mortgage Calculators (By Month)'!$F123,"-")</f>
        <v>810418.31538949558</v>
      </c>
      <c r="W105" s="29">
        <f t="shared" si="37"/>
        <v>0.50618653863394902</v>
      </c>
      <c r="X105" s="31">
        <f t="shared" si="38"/>
        <v>6.0140974887201867E-2</v>
      </c>
      <c r="Y105" s="132">
        <f t="shared" si="39"/>
        <v>1591912.934587423</v>
      </c>
      <c r="Z105" s="29">
        <f t="shared" si="40"/>
        <v>0.99430736307846335</v>
      </c>
      <c r="AA105" s="31">
        <f t="shared" si="41"/>
        <v>0.11813552828655011</v>
      </c>
      <c r="AD105" s="12">
        <f t="shared" si="42"/>
        <v>101</v>
      </c>
      <c r="AE105" s="132">
        <f t="shared" si="43"/>
        <v>2465250.3218260161</v>
      </c>
      <c r="AF105" s="132">
        <f>IF($AD105&lt;=$C$25*12,$AE105-$C$7+SUM('Mortgage Calculators (By Month)'!$K$23:$K123),"-")</f>
        <v>2465250.3218260161</v>
      </c>
      <c r="AG105" s="132">
        <f t="shared" si="44"/>
        <v>12681.492559189455</v>
      </c>
      <c r="AH105" s="132">
        <f>IF($AD105&lt;=$C$25*12,SUM(Inputs!$C$61:$C$78)*'Forecast (By Month)'!AG105,"-")</f>
        <v>1394.96418151084</v>
      </c>
      <c r="AI105" s="132">
        <f>IF($AD105&lt;=$C$25*12,(SUMIF(Inputs!$C$61:$C$78,0,Inputs!$F$61:$F$78)/12)*(1+$C$34)^ROUNDDOWN((AD105-1)/12,0),"-")</f>
        <v>1488.1666666666667</v>
      </c>
      <c r="AJ105" s="132">
        <f t="shared" si="45"/>
        <v>2883.1308481775068</v>
      </c>
      <c r="AK105" s="132">
        <f>IF($AD105&lt;=$C$25*12,'Mortgage Calculators (By Month)'!$J123,"-")</f>
        <v>0</v>
      </c>
      <c r="AL105" s="132">
        <f>IF($AD105&lt;=$C$25*12,'Mortgage Calculators (By Month)'!$K123,"-")</f>
        <v>0</v>
      </c>
      <c r="AM105" s="132">
        <f>IF($AD105&lt;=$C$25*12,'Mortgage Calculators (By Month)'!$L123,"-")</f>
        <v>10</v>
      </c>
      <c r="AN105" s="132">
        <f t="shared" si="55"/>
        <v>0</v>
      </c>
      <c r="AO105" s="132">
        <f t="shared" si="46"/>
        <v>2893.1308481775068</v>
      </c>
      <c r="AP105" s="132">
        <f t="shared" si="47"/>
        <v>9798.3617110119485</v>
      </c>
      <c r="AQ105" s="132">
        <f t="shared" si="48"/>
        <v>0</v>
      </c>
      <c r="AR105" s="132">
        <f t="shared" si="29"/>
        <v>9798.3617110119485</v>
      </c>
      <c r="AS105" s="132">
        <f>IF($AD105&lt;=$C$25*12,SUM(AR$5:AR105),"-")</f>
        <v>781484.61919792742</v>
      </c>
      <c r="AT105" s="132">
        <f>IF($AD105&lt;=$C$25*12,AE105-$C$10-'RE Calculations'!$C292-'Mortgage Calculators (By Month)'!$M123,"-")</f>
        <v>810418.31538949558</v>
      </c>
      <c r="AU105" s="29">
        <f t="shared" si="49"/>
        <v>0.50618653863394902</v>
      </c>
      <c r="AV105" s="31">
        <f t="shared" si="50"/>
        <v>6.0140974887201867E-2</v>
      </c>
      <c r="AW105" s="132">
        <f t="shared" si="51"/>
        <v>1591902.934587423</v>
      </c>
      <c r="AX105" s="29">
        <f t="shared" si="52"/>
        <v>0.99430111708760871</v>
      </c>
      <c r="AY105" s="31">
        <f t="shared" si="53"/>
        <v>0.11813478618862679</v>
      </c>
    </row>
    <row r="106" spans="6:51" x14ac:dyDescent="0.35">
      <c r="F106" s="12">
        <f t="shared" si="30"/>
        <v>102</v>
      </c>
      <c r="G106" s="132">
        <f t="shared" si="31"/>
        <v>2475294.0567948143</v>
      </c>
      <c r="H106" s="132">
        <f>IF($F106&lt;=$C$16*12,$G106-$C$7+SUM('Mortgage Calculators (By Month)'!$D$23:$D124),"-")</f>
        <v>2475294.0567948143</v>
      </c>
      <c r="I106" s="132">
        <f t="shared" si="32"/>
        <v>12681.492559189455</v>
      </c>
      <c r="J106" s="132">
        <f>IF($F106&lt;=$C$16*12,SUM(Inputs!$C$61:$C$78)*'Forecast (By Month)'!I106,"-")</f>
        <v>1394.96418151084</v>
      </c>
      <c r="K106" s="132">
        <f>IF($F106&lt;=$C$16*12,(SUMIF(Inputs!$C$61:$C$78,0,Inputs!$F$61:$F$78)/12)*(1+$C$34)^ROUNDDOWN((F106-1)/12,0),"-")</f>
        <v>1488.1666666666667</v>
      </c>
      <c r="L106" s="132">
        <f t="shared" si="33"/>
        <v>2883.1308481775068</v>
      </c>
      <c r="M106" s="132">
        <f>IF($F106&lt;=$C$16*12,'Mortgage Calculators (By Month)'!$C124,"-")</f>
        <v>0</v>
      </c>
      <c r="N106" s="132">
        <f>IF($F106&lt;=$C$16*12,'Mortgage Calculators (By Month)'!$D124,"-")</f>
        <v>0</v>
      </c>
      <c r="O106" s="132">
        <f>IF($F106&lt;=$C$16*12,'Mortgage Calculators (By Month)'!$E124,"-")</f>
        <v>8.3333333333333339</v>
      </c>
      <c r="P106" s="132">
        <f t="shared" si="54"/>
        <v>0</v>
      </c>
      <c r="Q106" s="132">
        <f t="shared" si="34"/>
        <v>2891.4641815108403</v>
      </c>
      <c r="R106" s="132">
        <f t="shared" si="35"/>
        <v>9798.3617110119485</v>
      </c>
      <c r="S106" s="132">
        <f t="shared" si="36"/>
        <v>0</v>
      </c>
      <c r="T106" s="132">
        <f t="shared" si="28"/>
        <v>9798.3617110119485</v>
      </c>
      <c r="U106" s="132">
        <f>IF($F106&lt;=$C$16*12,SUM(T$5:T106),"-")</f>
        <v>791292.98090893938</v>
      </c>
      <c r="V106" s="132">
        <f>IF($F106&lt;=$C$16*12,G106-$C$10-'RE Calculations'!$C293-'Mortgage Calculators (By Month)'!$F124,"-")</f>
        <v>820261.17565891775</v>
      </c>
      <c r="W106" s="29">
        <f t="shared" si="37"/>
        <v>0.51233438015656063</v>
      </c>
      <c r="X106" s="31">
        <f t="shared" si="38"/>
        <v>6.027463295959537E-2</v>
      </c>
      <c r="Y106" s="132">
        <f t="shared" si="39"/>
        <v>1611554.1565678571</v>
      </c>
      <c r="Z106" s="29">
        <f t="shared" si="40"/>
        <v>1.0065752523647991</v>
      </c>
      <c r="AA106" s="31">
        <f t="shared" si="41"/>
        <v>0.11842061792527048</v>
      </c>
      <c r="AD106" s="12">
        <f t="shared" si="42"/>
        <v>102</v>
      </c>
      <c r="AE106" s="132">
        <f t="shared" si="43"/>
        <v>2475294.0567948143</v>
      </c>
      <c r="AF106" s="132">
        <f>IF($AD106&lt;=$C$25*12,$AE106-$C$7+SUM('Mortgage Calculators (By Month)'!$K$23:$K124),"-")</f>
        <v>2475294.0567948143</v>
      </c>
      <c r="AG106" s="132">
        <f t="shared" si="44"/>
        <v>12681.492559189455</v>
      </c>
      <c r="AH106" s="132">
        <f>IF($AD106&lt;=$C$25*12,SUM(Inputs!$C$61:$C$78)*'Forecast (By Month)'!AG106,"-")</f>
        <v>1394.96418151084</v>
      </c>
      <c r="AI106" s="132">
        <f>IF($AD106&lt;=$C$25*12,(SUMIF(Inputs!$C$61:$C$78,0,Inputs!$F$61:$F$78)/12)*(1+$C$34)^ROUNDDOWN((AD106-1)/12,0),"-")</f>
        <v>1488.1666666666667</v>
      </c>
      <c r="AJ106" s="132">
        <f t="shared" si="45"/>
        <v>2883.1308481775068</v>
      </c>
      <c r="AK106" s="132">
        <f>IF($AD106&lt;=$C$25*12,'Mortgage Calculators (By Month)'!$J124,"-")</f>
        <v>0</v>
      </c>
      <c r="AL106" s="132">
        <f>IF($AD106&lt;=$C$25*12,'Mortgage Calculators (By Month)'!$K124,"-")</f>
        <v>0</v>
      </c>
      <c r="AM106" s="132">
        <f>IF($AD106&lt;=$C$25*12,'Mortgage Calculators (By Month)'!$L124,"-")</f>
        <v>10</v>
      </c>
      <c r="AN106" s="132">
        <f t="shared" si="55"/>
        <v>0</v>
      </c>
      <c r="AO106" s="132">
        <f t="shared" si="46"/>
        <v>2893.1308481775068</v>
      </c>
      <c r="AP106" s="132">
        <f t="shared" si="47"/>
        <v>9798.3617110119485</v>
      </c>
      <c r="AQ106" s="132">
        <f t="shared" si="48"/>
        <v>0</v>
      </c>
      <c r="AR106" s="132">
        <f t="shared" si="29"/>
        <v>9798.3617110119485</v>
      </c>
      <c r="AS106" s="132">
        <f>IF($AD106&lt;=$C$25*12,SUM(AR$5:AR106),"-")</f>
        <v>791282.98090893938</v>
      </c>
      <c r="AT106" s="132">
        <f>IF($AD106&lt;=$C$25*12,AE106-$C$10-'RE Calculations'!$C293-'Mortgage Calculators (By Month)'!$M124,"-")</f>
        <v>820261.17565891775</v>
      </c>
      <c r="AU106" s="29">
        <f t="shared" si="49"/>
        <v>0.51233438015656063</v>
      </c>
      <c r="AV106" s="31">
        <f t="shared" si="50"/>
        <v>6.027463295959537E-2</v>
      </c>
      <c r="AW106" s="132">
        <f t="shared" si="51"/>
        <v>1611544.1565678571</v>
      </c>
      <c r="AX106" s="29">
        <f t="shared" si="52"/>
        <v>1.0065690063739445</v>
      </c>
      <c r="AY106" s="31">
        <f t="shared" si="53"/>
        <v>0.11841988310281701</v>
      </c>
    </row>
    <row r="107" spans="6:51" x14ac:dyDescent="0.35">
      <c r="F107" s="12">
        <f t="shared" si="30"/>
        <v>103</v>
      </c>
      <c r="G107" s="132">
        <f t="shared" si="31"/>
        <v>2485378.7111831256</v>
      </c>
      <c r="H107" s="132">
        <f>IF($F107&lt;=$C$16*12,$G107-$C$7+SUM('Mortgage Calculators (By Month)'!$D$23:$D125),"-")</f>
        <v>2485378.7111831256</v>
      </c>
      <c r="I107" s="132">
        <f t="shared" si="32"/>
        <v>12681.492559189455</v>
      </c>
      <c r="J107" s="132">
        <f>IF($F107&lt;=$C$16*12,SUM(Inputs!$C$61:$C$78)*'Forecast (By Month)'!I107,"-")</f>
        <v>1394.96418151084</v>
      </c>
      <c r="K107" s="132">
        <f>IF($F107&lt;=$C$16*12,(SUMIF(Inputs!$C$61:$C$78,0,Inputs!$F$61:$F$78)/12)*(1+$C$34)^ROUNDDOWN((F107-1)/12,0),"-")</f>
        <v>1488.1666666666667</v>
      </c>
      <c r="L107" s="132">
        <f t="shared" si="33"/>
        <v>2883.1308481775068</v>
      </c>
      <c r="M107" s="132">
        <f>IF($F107&lt;=$C$16*12,'Mortgage Calculators (By Month)'!$C125,"-")</f>
        <v>0</v>
      </c>
      <c r="N107" s="132">
        <f>IF($F107&lt;=$C$16*12,'Mortgage Calculators (By Month)'!$D125,"-")</f>
        <v>0</v>
      </c>
      <c r="O107" s="132">
        <f>IF($F107&lt;=$C$16*12,'Mortgage Calculators (By Month)'!$E125,"-")</f>
        <v>8.3333333333333339</v>
      </c>
      <c r="P107" s="132">
        <f t="shared" si="54"/>
        <v>0</v>
      </c>
      <c r="Q107" s="132">
        <f t="shared" si="34"/>
        <v>2891.4641815108403</v>
      </c>
      <c r="R107" s="132">
        <f t="shared" si="35"/>
        <v>9798.3617110119485</v>
      </c>
      <c r="S107" s="132">
        <f t="shared" si="36"/>
        <v>0</v>
      </c>
      <c r="T107" s="132">
        <f t="shared" si="28"/>
        <v>9798.3617110119485</v>
      </c>
      <c r="U107" s="132">
        <f>IF($F107&lt;=$C$16*12,SUM(T$5:T107),"-")</f>
        <v>801091.34261995135</v>
      </c>
      <c r="V107" s="132">
        <f>IF($F107&lt;=$C$16*12,G107-$C$10-'RE Calculations'!$C294-'Mortgage Calculators (By Month)'!$F125,"-")</f>
        <v>830144.13695946289</v>
      </c>
      <c r="W107" s="29">
        <f t="shared" si="37"/>
        <v>0.51850726874653763</v>
      </c>
      <c r="X107" s="31">
        <f t="shared" si="38"/>
        <v>6.0408613834548069E-2</v>
      </c>
      <c r="Y107" s="132">
        <f t="shared" si="39"/>
        <v>1631235.4795794142</v>
      </c>
      <c r="Z107" s="29">
        <f t="shared" si="40"/>
        <v>1.0188681887185003</v>
      </c>
      <c r="AA107" s="31">
        <f t="shared" si="41"/>
        <v>0.11870308994778643</v>
      </c>
      <c r="AD107" s="12">
        <f t="shared" si="42"/>
        <v>103</v>
      </c>
      <c r="AE107" s="132">
        <f t="shared" si="43"/>
        <v>2485378.7111831256</v>
      </c>
      <c r="AF107" s="132">
        <f>IF($AD107&lt;=$C$25*12,$AE107-$C$7+SUM('Mortgage Calculators (By Month)'!$K$23:$K125),"-")</f>
        <v>2485378.7111831256</v>
      </c>
      <c r="AG107" s="132">
        <f t="shared" si="44"/>
        <v>12681.492559189455</v>
      </c>
      <c r="AH107" s="132">
        <f>IF($AD107&lt;=$C$25*12,SUM(Inputs!$C$61:$C$78)*'Forecast (By Month)'!AG107,"-")</f>
        <v>1394.96418151084</v>
      </c>
      <c r="AI107" s="132">
        <f>IF($AD107&lt;=$C$25*12,(SUMIF(Inputs!$C$61:$C$78,0,Inputs!$F$61:$F$78)/12)*(1+$C$34)^ROUNDDOWN((AD107-1)/12,0),"-")</f>
        <v>1488.1666666666667</v>
      </c>
      <c r="AJ107" s="132">
        <f t="shared" si="45"/>
        <v>2883.1308481775068</v>
      </c>
      <c r="AK107" s="132">
        <f>IF($AD107&lt;=$C$25*12,'Mortgage Calculators (By Month)'!$J125,"-")</f>
        <v>0</v>
      </c>
      <c r="AL107" s="132">
        <f>IF($AD107&lt;=$C$25*12,'Mortgage Calculators (By Month)'!$K125,"-")</f>
        <v>0</v>
      </c>
      <c r="AM107" s="132">
        <f>IF($AD107&lt;=$C$25*12,'Mortgage Calculators (By Month)'!$L125,"-")</f>
        <v>10</v>
      </c>
      <c r="AN107" s="132">
        <f t="shared" si="55"/>
        <v>0</v>
      </c>
      <c r="AO107" s="132">
        <f t="shared" si="46"/>
        <v>2893.1308481775068</v>
      </c>
      <c r="AP107" s="132">
        <f t="shared" si="47"/>
        <v>9798.3617110119485</v>
      </c>
      <c r="AQ107" s="132">
        <f t="shared" si="48"/>
        <v>0</v>
      </c>
      <c r="AR107" s="132">
        <f t="shared" si="29"/>
        <v>9798.3617110119485</v>
      </c>
      <c r="AS107" s="132">
        <f>IF($AD107&lt;=$C$25*12,SUM(AR$5:AR107),"-")</f>
        <v>801081.34261995135</v>
      </c>
      <c r="AT107" s="132">
        <f>IF($AD107&lt;=$C$25*12,AE107-$C$10-'RE Calculations'!$C294-'Mortgage Calculators (By Month)'!$M125,"-")</f>
        <v>830144.13695946289</v>
      </c>
      <c r="AU107" s="29">
        <f t="shared" si="49"/>
        <v>0.51850726874653763</v>
      </c>
      <c r="AV107" s="31">
        <f t="shared" si="50"/>
        <v>6.0408613834548069E-2</v>
      </c>
      <c r="AW107" s="132">
        <f t="shared" si="51"/>
        <v>1631225.4795794142</v>
      </c>
      <c r="AX107" s="29">
        <f t="shared" si="52"/>
        <v>1.0188619427276455</v>
      </c>
      <c r="AY107" s="31">
        <f t="shared" si="53"/>
        <v>0.11870236225953151</v>
      </c>
    </row>
    <row r="108" spans="6:51" x14ac:dyDescent="0.35">
      <c r="F108" s="12">
        <f t="shared" si="30"/>
        <v>104</v>
      </c>
      <c r="G108" s="132">
        <f t="shared" si="31"/>
        <v>2495504.45170173</v>
      </c>
      <c r="H108" s="132">
        <f>IF($F108&lt;=$C$16*12,$G108-$C$7+SUM('Mortgage Calculators (By Month)'!$D$23:$D126),"-")</f>
        <v>2495504.45170173</v>
      </c>
      <c r="I108" s="132">
        <f t="shared" si="32"/>
        <v>12681.492559189455</v>
      </c>
      <c r="J108" s="132">
        <f>IF($F108&lt;=$C$16*12,SUM(Inputs!$C$61:$C$78)*'Forecast (By Month)'!I108,"-")</f>
        <v>1394.96418151084</v>
      </c>
      <c r="K108" s="132">
        <f>IF($F108&lt;=$C$16*12,(SUMIF(Inputs!$C$61:$C$78,0,Inputs!$F$61:$F$78)/12)*(1+$C$34)^ROUNDDOWN((F108-1)/12,0),"-")</f>
        <v>1488.1666666666667</v>
      </c>
      <c r="L108" s="132">
        <f t="shared" si="33"/>
        <v>2883.1308481775068</v>
      </c>
      <c r="M108" s="132">
        <f>IF($F108&lt;=$C$16*12,'Mortgage Calculators (By Month)'!$C126,"-")</f>
        <v>0</v>
      </c>
      <c r="N108" s="132">
        <f>IF($F108&lt;=$C$16*12,'Mortgage Calculators (By Month)'!$D126,"-")</f>
        <v>0</v>
      </c>
      <c r="O108" s="132">
        <f>IF($F108&lt;=$C$16*12,'Mortgage Calculators (By Month)'!$E126,"-")</f>
        <v>8.3333333333333339</v>
      </c>
      <c r="P108" s="132">
        <f t="shared" si="54"/>
        <v>0</v>
      </c>
      <c r="Q108" s="132">
        <f t="shared" si="34"/>
        <v>2891.4641815108403</v>
      </c>
      <c r="R108" s="132">
        <f t="shared" si="35"/>
        <v>9798.3617110119485</v>
      </c>
      <c r="S108" s="132">
        <f t="shared" si="36"/>
        <v>0</v>
      </c>
      <c r="T108" s="132">
        <f t="shared" si="28"/>
        <v>9798.3617110119485</v>
      </c>
      <c r="U108" s="132">
        <f>IF($F108&lt;=$C$16*12,SUM(T$5:T108),"-")</f>
        <v>810889.70433096332</v>
      </c>
      <c r="V108" s="132">
        <f>IF($F108&lt;=$C$16*12,G108-$C$10-'RE Calculations'!$C295-'Mortgage Calculators (By Month)'!$F126,"-")</f>
        <v>840067.36266769515</v>
      </c>
      <c r="W108" s="29">
        <f t="shared" si="37"/>
        <v>0.5247053064487327</v>
      </c>
      <c r="X108" s="31">
        <f t="shared" si="38"/>
        <v>6.0542919974853775E-2</v>
      </c>
      <c r="Y108" s="132">
        <f t="shared" si="39"/>
        <v>1650957.0669986585</v>
      </c>
      <c r="Z108" s="29">
        <f t="shared" si="40"/>
        <v>1.0311862741844193</v>
      </c>
      <c r="AA108" s="31">
        <f t="shared" si="41"/>
        <v>0.11898303163666378</v>
      </c>
      <c r="AD108" s="12">
        <f t="shared" si="42"/>
        <v>104</v>
      </c>
      <c r="AE108" s="132">
        <f t="shared" si="43"/>
        <v>2495504.45170173</v>
      </c>
      <c r="AF108" s="132">
        <f>IF($AD108&lt;=$C$25*12,$AE108-$C$7+SUM('Mortgage Calculators (By Month)'!$K$23:$K126),"-")</f>
        <v>2495504.45170173</v>
      </c>
      <c r="AG108" s="132">
        <f t="shared" si="44"/>
        <v>12681.492559189455</v>
      </c>
      <c r="AH108" s="132">
        <f>IF($AD108&lt;=$C$25*12,SUM(Inputs!$C$61:$C$78)*'Forecast (By Month)'!AG108,"-")</f>
        <v>1394.96418151084</v>
      </c>
      <c r="AI108" s="132">
        <f>IF($AD108&lt;=$C$25*12,(SUMIF(Inputs!$C$61:$C$78,0,Inputs!$F$61:$F$78)/12)*(1+$C$34)^ROUNDDOWN((AD108-1)/12,0),"-")</f>
        <v>1488.1666666666667</v>
      </c>
      <c r="AJ108" s="132">
        <f t="shared" si="45"/>
        <v>2883.1308481775068</v>
      </c>
      <c r="AK108" s="132">
        <f>IF($AD108&lt;=$C$25*12,'Mortgage Calculators (By Month)'!$J126,"-")</f>
        <v>0</v>
      </c>
      <c r="AL108" s="132">
        <f>IF($AD108&lt;=$C$25*12,'Mortgage Calculators (By Month)'!$K126,"-")</f>
        <v>0</v>
      </c>
      <c r="AM108" s="132">
        <f>IF($AD108&lt;=$C$25*12,'Mortgage Calculators (By Month)'!$L126,"-")</f>
        <v>10</v>
      </c>
      <c r="AN108" s="132">
        <f t="shared" si="55"/>
        <v>0</v>
      </c>
      <c r="AO108" s="132">
        <f t="shared" si="46"/>
        <v>2893.1308481775068</v>
      </c>
      <c r="AP108" s="132">
        <f t="shared" si="47"/>
        <v>9798.3617110119485</v>
      </c>
      <c r="AQ108" s="132">
        <f t="shared" si="48"/>
        <v>0</v>
      </c>
      <c r="AR108" s="132">
        <f t="shared" si="29"/>
        <v>9798.3617110119485</v>
      </c>
      <c r="AS108" s="132">
        <f>IF($AD108&lt;=$C$25*12,SUM(AR$5:AR108),"-")</f>
        <v>810879.70433096332</v>
      </c>
      <c r="AT108" s="132">
        <f>IF($AD108&lt;=$C$25*12,AE108-$C$10-'RE Calculations'!$C295-'Mortgage Calculators (By Month)'!$M126,"-")</f>
        <v>840067.36266769515</v>
      </c>
      <c r="AU108" s="29">
        <f t="shared" si="49"/>
        <v>0.5247053064487327</v>
      </c>
      <c r="AV108" s="31">
        <f t="shared" si="50"/>
        <v>6.0542919974853775E-2</v>
      </c>
      <c r="AW108" s="132">
        <f t="shared" si="51"/>
        <v>1650947.0669986585</v>
      </c>
      <c r="AX108" s="29">
        <f t="shared" si="52"/>
        <v>1.0311800281935648</v>
      </c>
      <c r="AY108" s="31">
        <f t="shared" si="53"/>
        <v>0.11898231094541133</v>
      </c>
    </row>
    <row r="109" spans="6:51" x14ac:dyDescent="0.35">
      <c r="F109" s="12">
        <f t="shared" si="30"/>
        <v>105</v>
      </c>
      <c r="G109" s="132">
        <f t="shared" si="31"/>
        <v>2505671.4457406085</v>
      </c>
      <c r="H109" s="132">
        <f>IF($F109&lt;=$C$16*12,$G109-$C$7+SUM('Mortgage Calculators (By Month)'!$D$23:$D127),"-")</f>
        <v>2505671.4457406085</v>
      </c>
      <c r="I109" s="132">
        <f t="shared" si="32"/>
        <v>12681.492559189455</v>
      </c>
      <c r="J109" s="132">
        <f>IF($F109&lt;=$C$16*12,SUM(Inputs!$C$61:$C$78)*'Forecast (By Month)'!I109,"-")</f>
        <v>1394.96418151084</v>
      </c>
      <c r="K109" s="132">
        <f>IF($F109&lt;=$C$16*12,(SUMIF(Inputs!$C$61:$C$78,0,Inputs!$F$61:$F$78)/12)*(1+$C$34)^ROUNDDOWN((F109-1)/12,0),"-")</f>
        <v>1488.1666666666667</v>
      </c>
      <c r="L109" s="132">
        <f t="shared" si="33"/>
        <v>2883.1308481775068</v>
      </c>
      <c r="M109" s="132">
        <f>IF($F109&lt;=$C$16*12,'Mortgage Calculators (By Month)'!$C127,"-")</f>
        <v>0</v>
      </c>
      <c r="N109" s="132">
        <f>IF($F109&lt;=$C$16*12,'Mortgage Calculators (By Month)'!$D127,"-")</f>
        <v>0</v>
      </c>
      <c r="O109" s="132">
        <f>IF($F109&lt;=$C$16*12,'Mortgage Calculators (By Month)'!$E127,"-")</f>
        <v>8.3333333333333339</v>
      </c>
      <c r="P109" s="132">
        <f t="shared" si="54"/>
        <v>0</v>
      </c>
      <c r="Q109" s="132">
        <f t="shared" si="34"/>
        <v>2891.4641815108403</v>
      </c>
      <c r="R109" s="132">
        <f t="shared" si="35"/>
        <v>9798.3617110119485</v>
      </c>
      <c r="S109" s="132">
        <f t="shared" si="36"/>
        <v>0</v>
      </c>
      <c r="T109" s="132">
        <f t="shared" si="28"/>
        <v>9798.3617110119485</v>
      </c>
      <c r="U109" s="132">
        <f>IF($F109&lt;=$C$16*12,SUM(T$5:T109),"-")</f>
        <v>820688.06604197528</v>
      </c>
      <c r="V109" s="132">
        <f>IF($F109&lt;=$C$16*12,G109-$C$10-'RE Calculations'!$C296-'Mortgage Calculators (By Month)'!$F127,"-")</f>
        <v>850031.0168257961</v>
      </c>
      <c r="W109" s="29">
        <f t="shared" si="37"/>
        <v>0.5309285957237424</v>
      </c>
      <c r="X109" s="31">
        <f t="shared" si="38"/>
        <v>6.0677553796999129E-2</v>
      </c>
      <c r="Y109" s="132">
        <f t="shared" si="39"/>
        <v>1670719.0828677714</v>
      </c>
      <c r="Z109" s="29">
        <f t="shared" si="40"/>
        <v>1.0435296112231534</v>
      </c>
      <c r="AA109" s="31">
        <f t="shared" si="41"/>
        <v>0.11926052699693181</v>
      </c>
      <c r="AD109" s="12">
        <f t="shared" si="42"/>
        <v>105</v>
      </c>
      <c r="AE109" s="132">
        <f t="shared" si="43"/>
        <v>2505671.4457406085</v>
      </c>
      <c r="AF109" s="132">
        <f>IF($AD109&lt;=$C$25*12,$AE109-$C$7+SUM('Mortgage Calculators (By Month)'!$K$23:$K127),"-")</f>
        <v>2505671.4457406085</v>
      </c>
      <c r="AG109" s="132">
        <f t="shared" si="44"/>
        <v>12681.492559189455</v>
      </c>
      <c r="AH109" s="132">
        <f>IF($AD109&lt;=$C$25*12,SUM(Inputs!$C$61:$C$78)*'Forecast (By Month)'!AG109,"-")</f>
        <v>1394.96418151084</v>
      </c>
      <c r="AI109" s="132">
        <f>IF($AD109&lt;=$C$25*12,(SUMIF(Inputs!$C$61:$C$78,0,Inputs!$F$61:$F$78)/12)*(1+$C$34)^ROUNDDOWN((AD109-1)/12,0),"-")</f>
        <v>1488.1666666666667</v>
      </c>
      <c r="AJ109" s="132">
        <f t="shared" si="45"/>
        <v>2883.1308481775068</v>
      </c>
      <c r="AK109" s="132">
        <f>IF($AD109&lt;=$C$25*12,'Mortgage Calculators (By Month)'!$J127,"-")</f>
        <v>0</v>
      </c>
      <c r="AL109" s="132">
        <f>IF($AD109&lt;=$C$25*12,'Mortgage Calculators (By Month)'!$K127,"-")</f>
        <v>0</v>
      </c>
      <c r="AM109" s="132">
        <f>IF($AD109&lt;=$C$25*12,'Mortgage Calculators (By Month)'!$L127,"-")</f>
        <v>10</v>
      </c>
      <c r="AN109" s="132">
        <f t="shared" si="55"/>
        <v>0</v>
      </c>
      <c r="AO109" s="132">
        <f t="shared" si="46"/>
        <v>2893.1308481775068</v>
      </c>
      <c r="AP109" s="132">
        <f t="shared" si="47"/>
        <v>9798.3617110119485</v>
      </c>
      <c r="AQ109" s="132">
        <f t="shared" si="48"/>
        <v>0</v>
      </c>
      <c r="AR109" s="132">
        <f t="shared" si="29"/>
        <v>9798.3617110119485</v>
      </c>
      <c r="AS109" s="132">
        <f>IF($AD109&lt;=$C$25*12,SUM(AR$5:AR109),"-")</f>
        <v>820678.06604197528</v>
      </c>
      <c r="AT109" s="132">
        <f>IF($AD109&lt;=$C$25*12,AE109-$C$10-'RE Calculations'!$C296-'Mortgage Calculators (By Month)'!$M127,"-")</f>
        <v>850031.0168257961</v>
      </c>
      <c r="AU109" s="29">
        <f t="shared" si="49"/>
        <v>0.5309285957237424</v>
      </c>
      <c r="AV109" s="31">
        <f t="shared" si="50"/>
        <v>6.0677553796999129E-2</v>
      </c>
      <c r="AW109" s="132">
        <f t="shared" si="51"/>
        <v>1670709.0828677714</v>
      </c>
      <c r="AX109" s="29">
        <f t="shared" si="52"/>
        <v>1.0435233652322986</v>
      </c>
      <c r="AY109" s="31">
        <f t="shared" si="53"/>
        <v>0.11925981316940555</v>
      </c>
    </row>
    <row r="110" spans="6:51" x14ac:dyDescent="0.35">
      <c r="F110" s="12">
        <f t="shared" si="30"/>
        <v>106</v>
      </c>
      <c r="G110" s="132">
        <f t="shared" si="31"/>
        <v>2515879.861371709</v>
      </c>
      <c r="H110" s="132">
        <f>IF($F110&lt;=$C$16*12,$G110-$C$7+SUM('Mortgage Calculators (By Month)'!$D$23:$D128),"-")</f>
        <v>2515879.861371709</v>
      </c>
      <c r="I110" s="132">
        <f t="shared" si="32"/>
        <v>12681.492559189455</v>
      </c>
      <c r="J110" s="132">
        <f>IF($F110&lt;=$C$16*12,SUM(Inputs!$C$61:$C$78)*'Forecast (By Month)'!I110,"-")</f>
        <v>1394.96418151084</v>
      </c>
      <c r="K110" s="132">
        <f>IF($F110&lt;=$C$16*12,(SUMIF(Inputs!$C$61:$C$78,0,Inputs!$F$61:$F$78)/12)*(1+$C$34)^ROUNDDOWN((F110-1)/12,0),"-")</f>
        <v>1488.1666666666667</v>
      </c>
      <c r="L110" s="132">
        <f t="shared" si="33"/>
        <v>2883.1308481775068</v>
      </c>
      <c r="M110" s="132">
        <f>IF($F110&lt;=$C$16*12,'Mortgage Calculators (By Month)'!$C128,"-")</f>
        <v>0</v>
      </c>
      <c r="N110" s="132">
        <f>IF($F110&lt;=$C$16*12,'Mortgage Calculators (By Month)'!$D128,"-")</f>
        <v>0</v>
      </c>
      <c r="O110" s="132">
        <f>IF($F110&lt;=$C$16*12,'Mortgage Calculators (By Month)'!$E128,"-")</f>
        <v>8.3333333333333339</v>
      </c>
      <c r="P110" s="132">
        <f t="shared" si="54"/>
        <v>0</v>
      </c>
      <c r="Q110" s="132">
        <f t="shared" si="34"/>
        <v>2891.4641815108403</v>
      </c>
      <c r="R110" s="132">
        <f t="shared" si="35"/>
        <v>9798.3617110119485</v>
      </c>
      <c r="S110" s="132">
        <f t="shared" si="36"/>
        <v>0</v>
      </c>
      <c r="T110" s="132">
        <f t="shared" si="28"/>
        <v>9798.3617110119485</v>
      </c>
      <c r="U110" s="132">
        <f>IF($F110&lt;=$C$16*12,SUM(T$5:T110),"-")</f>
        <v>830486.42775298725</v>
      </c>
      <c r="V110" s="132">
        <f>IF($F110&lt;=$C$16*12,G110-$C$10-'RE Calculations'!$C297-'Mortgage Calculators (By Month)'!$F128,"-")</f>
        <v>860035.26414427464</v>
      </c>
      <c r="W110" s="29">
        <f t="shared" si="37"/>
        <v>0.53717723944959994</v>
      </c>
      <c r="X110" s="31">
        <f t="shared" si="38"/>
        <v>6.0812517673539609E-2</v>
      </c>
      <c r="Y110" s="132">
        <f t="shared" si="39"/>
        <v>1690521.6918972619</v>
      </c>
      <c r="Z110" s="29">
        <f t="shared" si="40"/>
        <v>1.0558983027127349</v>
      </c>
      <c r="AA110" s="31">
        <f t="shared" si="41"/>
        <v>0.11953565691087564</v>
      </c>
      <c r="AD110" s="12">
        <f t="shared" si="42"/>
        <v>106</v>
      </c>
      <c r="AE110" s="132">
        <f t="shared" si="43"/>
        <v>2515879.861371709</v>
      </c>
      <c r="AF110" s="132">
        <f>IF($AD110&lt;=$C$25*12,$AE110-$C$7+SUM('Mortgage Calculators (By Month)'!$K$23:$K128),"-")</f>
        <v>2515879.861371709</v>
      </c>
      <c r="AG110" s="132">
        <f t="shared" si="44"/>
        <v>12681.492559189455</v>
      </c>
      <c r="AH110" s="132">
        <f>IF($AD110&lt;=$C$25*12,SUM(Inputs!$C$61:$C$78)*'Forecast (By Month)'!AG110,"-")</f>
        <v>1394.96418151084</v>
      </c>
      <c r="AI110" s="132">
        <f>IF($AD110&lt;=$C$25*12,(SUMIF(Inputs!$C$61:$C$78,0,Inputs!$F$61:$F$78)/12)*(1+$C$34)^ROUNDDOWN((AD110-1)/12,0),"-")</f>
        <v>1488.1666666666667</v>
      </c>
      <c r="AJ110" s="132">
        <f t="shared" si="45"/>
        <v>2883.1308481775068</v>
      </c>
      <c r="AK110" s="132">
        <f>IF($AD110&lt;=$C$25*12,'Mortgage Calculators (By Month)'!$J128,"-")</f>
        <v>0</v>
      </c>
      <c r="AL110" s="132">
        <f>IF($AD110&lt;=$C$25*12,'Mortgage Calculators (By Month)'!$K128,"-")</f>
        <v>0</v>
      </c>
      <c r="AM110" s="132">
        <f>IF($AD110&lt;=$C$25*12,'Mortgage Calculators (By Month)'!$L128,"-")</f>
        <v>10</v>
      </c>
      <c r="AN110" s="132">
        <f t="shared" si="55"/>
        <v>0</v>
      </c>
      <c r="AO110" s="132">
        <f t="shared" si="46"/>
        <v>2893.1308481775068</v>
      </c>
      <c r="AP110" s="132">
        <f t="shared" si="47"/>
        <v>9798.3617110119485</v>
      </c>
      <c r="AQ110" s="132">
        <f t="shared" si="48"/>
        <v>0</v>
      </c>
      <c r="AR110" s="132">
        <f t="shared" si="29"/>
        <v>9798.3617110119485</v>
      </c>
      <c r="AS110" s="132">
        <f>IF($AD110&lt;=$C$25*12,SUM(AR$5:AR110),"-")</f>
        <v>830476.42775298725</v>
      </c>
      <c r="AT110" s="132">
        <f>IF($AD110&lt;=$C$25*12,AE110-$C$10-'RE Calculations'!$C297-'Mortgage Calculators (By Month)'!$M128,"-")</f>
        <v>860035.26414427464</v>
      </c>
      <c r="AU110" s="29">
        <f t="shared" si="49"/>
        <v>0.53717723944959994</v>
      </c>
      <c r="AV110" s="31">
        <f t="shared" si="50"/>
        <v>6.0812517673539609E-2</v>
      </c>
      <c r="AW110" s="132">
        <f t="shared" si="51"/>
        <v>1690511.6918972619</v>
      </c>
      <c r="AX110" s="29">
        <f t="shared" si="52"/>
        <v>1.0558920567218804</v>
      </c>
      <c r="AY110" s="31">
        <f t="shared" si="53"/>
        <v>0.11953494981757136</v>
      </c>
    </row>
    <row r="111" spans="6:51" x14ac:dyDescent="0.35">
      <c r="F111" s="12">
        <f t="shared" si="30"/>
        <v>107</v>
      </c>
      <c r="G111" s="132">
        <f t="shared" si="31"/>
        <v>2526129.8673517252</v>
      </c>
      <c r="H111" s="132">
        <f>IF($F111&lt;=$C$16*12,$G111-$C$7+SUM('Mortgage Calculators (By Month)'!$D$23:$D129),"-")</f>
        <v>2526129.8673517252</v>
      </c>
      <c r="I111" s="132">
        <f t="shared" si="32"/>
        <v>12681.492559189455</v>
      </c>
      <c r="J111" s="132">
        <f>IF($F111&lt;=$C$16*12,SUM(Inputs!$C$61:$C$78)*'Forecast (By Month)'!I111,"-")</f>
        <v>1394.96418151084</v>
      </c>
      <c r="K111" s="132">
        <f>IF($F111&lt;=$C$16*12,(SUMIF(Inputs!$C$61:$C$78,0,Inputs!$F$61:$F$78)/12)*(1+$C$34)^ROUNDDOWN((F111-1)/12,0),"-")</f>
        <v>1488.1666666666667</v>
      </c>
      <c r="L111" s="132">
        <f t="shared" si="33"/>
        <v>2883.1308481775068</v>
      </c>
      <c r="M111" s="132">
        <f>IF($F111&lt;=$C$16*12,'Mortgage Calculators (By Month)'!$C129,"-")</f>
        <v>0</v>
      </c>
      <c r="N111" s="132">
        <f>IF($F111&lt;=$C$16*12,'Mortgage Calculators (By Month)'!$D129,"-")</f>
        <v>0</v>
      </c>
      <c r="O111" s="132">
        <f>IF($F111&lt;=$C$16*12,'Mortgage Calculators (By Month)'!$E129,"-")</f>
        <v>8.3333333333333339</v>
      </c>
      <c r="P111" s="132">
        <f t="shared" si="54"/>
        <v>0</v>
      </c>
      <c r="Q111" s="132">
        <f t="shared" si="34"/>
        <v>2891.4641815108403</v>
      </c>
      <c r="R111" s="132">
        <f t="shared" si="35"/>
        <v>9798.3617110119485</v>
      </c>
      <c r="S111" s="132">
        <f t="shared" si="36"/>
        <v>0</v>
      </c>
      <c r="T111" s="132">
        <f t="shared" si="28"/>
        <v>9798.3617110119485</v>
      </c>
      <c r="U111" s="132">
        <f>IF($F111&lt;=$C$16*12,SUM(T$5:T111),"-")</f>
        <v>840284.78946399922</v>
      </c>
      <c r="V111" s="132">
        <f>IF($F111&lt;=$C$16*12,G111-$C$10-'RE Calculations'!$C298-'Mortgage Calculators (By Month)'!$F129,"-")</f>
        <v>870080.27000469051</v>
      </c>
      <c r="W111" s="29">
        <f t="shared" si="37"/>
        <v>0.54345134092347636</v>
      </c>
      <c r="X111" s="31">
        <f t="shared" si="38"/>
        <v>6.0947813935343147E-2</v>
      </c>
      <c r="Y111" s="132">
        <f t="shared" si="39"/>
        <v>1710365.0594686898</v>
      </c>
      <c r="Z111" s="29">
        <f t="shared" si="40"/>
        <v>1.0682924519503356</v>
      </c>
      <c r="AA111" s="31">
        <f t="shared" si="41"/>
        <v>0.1198084992841498</v>
      </c>
      <c r="AD111" s="12">
        <f t="shared" si="42"/>
        <v>107</v>
      </c>
      <c r="AE111" s="132">
        <f t="shared" si="43"/>
        <v>2526129.8673517252</v>
      </c>
      <c r="AF111" s="132">
        <f>IF($AD111&lt;=$C$25*12,$AE111-$C$7+SUM('Mortgage Calculators (By Month)'!$K$23:$K129),"-")</f>
        <v>2526129.8673517252</v>
      </c>
      <c r="AG111" s="132">
        <f t="shared" si="44"/>
        <v>12681.492559189455</v>
      </c>
      <c r="AH111" s="132">
        <f>IF($AD111&lt;=$C$25*12,SUM(Inputs!$C$61:$C$78)*'Forecast (By Month)'!AG111,"-")</f>
        <v>1394.96418151084</v>
      </c>
      <c r="AI111" s="132">
        <f>IF($AD111&lt;=$C$25*12,(SUMIF(Inputs!$C$61:$C$78,0,Inputs!$F$61:$F$78)/12)*(1+$C$34)^ROUNDDOWN((AD111-1)/12,0),"-")</f>
        <v>1488.1666666666667</v>
      </c>
      <c r="AJ111" s="132">
        <f t="shared" si="45"/>
        <v>2883.1308481775068</v>
      </c>
      <c r="AK111" s="132">
        <f>IF($AD111&lt;=$C$25*12,'Mortgage Calculators (By Month)'!$J129,"-")</f>
        <v>0</v>
      </c>
      <c r="AL111" s="132">
        <f>IF($AD111&lt;=$C$25*12,'Mortgage Calculators (By Month)'!$K129,"-")</f>
        <v>0</v>
      </c>
      <c r="AM111" s="132">
        <f>IF($AD111&lt;=$C$25*12,'Mortgage Calculators (By Month)'!$L129,"-")</f>
        <v>10</v>
      </c>
      <c r="AN111" s="132">
        <f t="shared" si="55"/>
        <v>0</v>
      </c>
      <c r="AO111" s="132">
        <f t="shared" si="46"/>
        <v>2893.1308481775068</v>
      </c>
      <c r="AP111" s="132">
        <f t="shared" si="47"/>
        <v>9798.3617110119485</v>
      </c>
      <c r="AQ111" s="132">
        <f t="shared" si="48"/>
        <v>0</v>
      </c>
      <c r="AR111" s="132">
        <f t="shared" si="29"/>
        <v>9798.3617110119485</v>
      </c>
      <c r="AS111" s="132">
        <f>IF($AD111&lt;=$C$25*12,SUM(AR$5:AR111),"-")</f>
        <v>840274.78946399922</v>
      </c>
      <c r="AT111" s="132">
        <f>IF($AD111&lt;=$C$25*12,AE111-$C$10-'RE Calculations'!$C298-'Mortgage Calculators (By Month)'!$M129,"-")</f>
        <v>870080.27000469051</v>
      </c>
      <c r="AU111" s="29">
        <f t="shared" si="49"/>
        <v>0.54345134092347636</v>
      </c>
      <c r="AV111" s="31">
        <f t="shared" si="50"/>
        <v>6.0947813935343147E-2</v>
      </c>
      <c r="AW111" s="132">
        <f t="shared" si="51"/>
        <v>1710355.0594686898</v>
      </c>
      <c r="AX111" s="29">
        <f t="shared" si="52"/>
        <v>1.0682862059594809</v>
      </c>
      <c r="AY111" s="31">
        <f t="shared" si="53"/>
        <v>0.11980779879919412</v>
      </c>
    </row>
    <row r="112" spans="6:51" x14ac:dyDescent="0.35">
      <c r="F112" s="12">
        <f t="shared" si="30"/>
        <v>108</v>
      </c>
      <c r="G112" s="132">
        <f t="shared" si="31"/>
        <v>2536421.6331248875</v>
      </c>
      <c r="H112" s="132">
        <f>IF($F112&lt;=$C$16*12,$G112-$C$7+SUM('Mortgage Calculators (By Month)'!$D$23:$D130),"-")</f>
        <v>2536421.6331248875</v>
      </c>
      <c r="I112" s="132">
        <f t="shared" si="32"/>
        <v>12681.492559189455</v>
      </c>
      <c r="J112" s="132">
        <f>IF($F112&lt;=$C$16*12,SUM(Inputs!$C$61:$C$78)*'Forecast (By Month)'!I112,"-")</f>
        <v>1394.96418151084</v>
      </c>
      <c r="K112" s="132">
        <f>IF($F112&lt;=$C$16*12,(SUMIF(Inputs!$C$61:$C$78,0,Inputs!$F$61:$F$78)/12)*(1+$C$34)^ROUNDDOWN((F112-1)/12,0),"-")</f>
        <v>1488.1666666666667</v>
      </c>
      <c r="L112" s="132">
        <f t="shared" si="33"/>
        <v>2883.1308481775068</v>
      </c>
      <c r="M112" s="132">
        <f>IF($F112&lt;=$C$16*12,'Mortgage Calculators (By Month)'!$C130,"-")</f>
        <v>0</v>
      </c>
      <c r="N112" s="132">
        <f>IF($F112&lt;=$C$16*12,'Mortgage Calculators (By Month)'!$D130,"-")</f>
        <v>0</v>
      </c>
      <c r="O112" s="132">
        <f>IF($F112&lt;=$C$16*12,'Mortgage Calculators (By Month)'!$E130,"-")</f>
        <v>8.3333333333333339</v>
      </c>
      <c r="P112" s="132">
        <f t="shared" si="54"/>
        <v>0</v>
      </c>
      <c r="Q112" s="132">
        <f t="shared" si="34"/>
        <v>2891.4641815108403</v>
      </c>
      <c r="R112" s="132">
        <f t="shared" si="35"/>
        <v>9798.3617110119485</v>
      </c>
      <c r="S112" s="132">
        <f t="shared" si="36"/>
        <v>0</v>
      </c>
      <c r="T112" s="132">
        <f t="shared" si="28"/>
        <v>9798.3617110119485</v>
      </c>
      <c r="U112" s="132">
        <f>IF($F112&lt;=$C$16*12,SUM(T$5:T112),"-")</f>
        <v>850083.15117501118</v>
      </c>
      <c r="V112" s="132">
        <f>IF($F112&lt;=$C$16*12,G112-$C$10-'RE Calculations'!$C299-'Mortgage Calculators (By Month)'!$F130,"-")</f>
        <v>880166.2004623895</v>
      </c>
      <c r="W112" s="29">
        <f t="shared" si="37"/>
        <v>0.5497510038633886</v>
      </c>
      <c r="X112" s="31">
        <f t="shared" si="38"/>
        <v>6.1083444873709841E-2</v>
      </c>
      <c r="Y112" s="132">
        <f t="shared" si="39"/>
        <v>1730249.3516374007</v>
      </c>
      <c r="Z112" s="29">
        <f t="shared" si="40"/>
        <v>1.080712162653972</v>
      </c>
      <c r="AA112" s="31">
        <f t="shared" si="41"/>
        <v>0.12007912918377467</v>
      </c>
      <c r="AD112" s="12">
        <f t="shared" si="42"/>
        <v>108</v>
      </c>
      <c r="AE112" s="132">
        <f t="shared" si="43"/>
        <v>2536421.6331248875</v>
      </c>
      <c r="AF112" s="132">
        <f>IF($AD112&lt;=$C$25*12,$AE112-$C$7+SUM('Mortgage Calculators (By Month)'!$K$23:$K130),"-")</f>
        <v>2536421.6331248875</v>
      </c>
      <c r="AG112" s="132">
        <f t="shared" si="44"/>
        <v>12681.492559189455</v>
      </c>
      <c r="AH112" s="132">
        <f>IF($AD112&lt;=$C$25*12,SUM(Inputs!$C$61:$C$78)*'Forecast (By Month)'!AG112,"-")</f>
        <v>1394.96418151084</v>
      </c>
      <c r="AI112" s="132">
        <f>IF($AD112&lt;=$C$25*12,(SUMIF(Inputs!$C$61:$C$78,0,Inputs!$F$61:$F$78)/12)*(1+$C$34)^ROUNDDOWN((AD112-1)/12,0),"-")</f>
        <v>1488.1666666666667</v>
      </c>
      <c r="AJ112" s="132">
        <f t="shared" si="45"/>
        <v>2883.1308481775068</v>
      </c>
      <c r="AK112" s="132">
        <f>IF($AD112&lt;=$C$25*12,'Mortgage Calculators (By Month)'!$J130,"-")</f>
        <v>0</v>
      </c>
      <c r="AL112" s="132">
        <f>IF($AD112&lt;=$C$25*12,'Mortgage Calculators (By Month)'!$K130,"-")</f>
        <v>0</v>
      </c>
      <c r="AM112" s="132">
        <f>IF($AD112&lt;=$C$25*12,'Mortgage Calculators (By Month)'!$L130,"-")</f>
        <v>10</v>
      </c>
      <c r="AN112" s="132">
        <f t="shared" si="55"/>
        <v>0</v>
      </c>
      <c r="AO112" s="132">
        <f t="shared" si="46"/>
        <v>2893.1308481775068</v>
      </c>
      <c r="AP112" s="132">
        <f t="shared" si="47"/>
        <v>9798.3617110119485</v>
      </c>
      <c r="AQ112" s="132">
        <f t="shared" si="48"/>
        <v>0</v>
      </c>
      <c r="AR112" s="132">
        <f t="shared" si="29"/>
        <v>9798.3617110119485</v>
      </c>
      <c r="AS112" s="132">
        <f>IF($AD112&lt;=$C$25*12,SUM(AR$5:AR112),"-")</f>
        <v>850073.15117501118</v>
      </c>
      <c r="AT112" s="132">
        <f>IF($AD112&lt;=$C$25*12,AE112-$C$10-'RE Calculations'!$C299-'Mortgage Calculators (By Month)'!$M130,"-")</f>
        <v>880166.2004623895</v>
      </c>
      <c r="AU112" s="29">
        <f t="shared" si="49"/>
        <v>0.5497510038633886</v>
      </c>
      <c r="AV112" s="31">
        <f t="shared" si="50"/>
        <v>6.1083444873709841E-2</v>
      </c>
      <c r="AW112" s="132">
        <f t="shared" si="51"/>
        <v>1730239.3516374007</v>
      </c>
      <c r="AX112" s="29">
        <f t="shared" si="52"/>
        <v>1.0807059166631172</v>
      </c>
      <c r="AY112" s="31">
        <f t="shared" si="53"/>
        <v>0.1200784351847908</v>
      </c>
    </row>
    <row r="113" spans="6:51" x14ac:dyDescent="0.35">
      <c r="F113" s="12">
        <f t="shared" si="30"/>
        <v>109</v>
      </c>
      <c r="G113" s="132">
        <f t="shared" si="31"/>
        <v>2546755.3288257616</v>
      </c>
      <c r="H113" s="132">
        <f>IF($F113&lt;=$C$16*12,$G113-$C$7+SUM('Mortgage Calculators (By Month)'!$D$23:$D131),"-")</f>
        <v>2546755.3288257616</v>
      </c>
      <c r="I113" s="132">
        <f t="shared" si="32"/>
        <v>13315.567187148928</v>
      </c>
      <c r="J113" s="132">
        <f>IF($F113&lt;=$C$16*12,SUM(Inputs!$C$61:$C$78)*'Forecast (By Month)'!I113,"-")</f>
        <v>1464.7123905863821</v>
      </c>
      <c r="K113" s="132">
        <f>IF($F113&lt;=$C$16*12,(SUMIF(Inputs!$C$61:$C$78,0,Inputs!$F$61:$F$78)/12)*(1+$C$34)^ROUNDDOWN((F113-1)/12,0),"-")</f>
        <v>1488.1666666666667</v>
      </c>
      <c r="L113" s="132">
        <f t="shared" si="33"/>
        <v>2952.8790572530488</v>
      </c>
      <c r="M113" s="132">
        <f>IF($F113&lt;=$C$16*12,'Mortgage Calculators (By Month)'!$C131,"-")</f>
        <v>0</v>
      </c>
      <c r="N113" s="132">
        <f>IF($F113&lt;=$C$16*12,'Mortgage Calculators (By Month)'!$D131,"-")</f>
        <v>0</v>
      </c>
      <c r="O113" s="132">
        <f>IF($F113&lt;=$C$16*12,'Mortgage Calculators (By Month)'!$E131,"-")</f>
        <v>8.3333333333333339</v>
      </c>
      <c r="P113" s="132">
        <f t="shared" si="54"/>
        <v>0</v>
      </c>
      <c r="Q113" s="132">
        <f t="shared" si="34"/>
        <v>2961.2123905863823</v>
      </c>
      <c r="R113" s="132">
        <f t="shared" si="35"/>
        <v>10362.68812989588</v>
      </c>
      <c r="S113" s="132">
        <f t="shared" si="36"/>
        <v>0</v>
      </c>
      <c r="T113" s="132">
        <f t="shared" si="28"/>
        <v>10362.68812989588</v>
      </c>
      <c r="U113" s="132">
        <f>IF($F113&lt;=$C$16*12,SUM(T$5:T113),"-")</f>
        <v>860445.83930490701</v>
      </c>
      <c r="V113" s="132">
        <f>IF($F113&lt;=$C$16*12,G113-$C$10-'RE Calculations'!$C300-'Mortgage Calculators (By Month)'!$F131,"-")</f>
        <v>890293.22224924609</v>
      </c>
      <c r="W113" s="29">
        <f t="shared" si="37"/>
        <v>0.55607633240991317</v>
      </c>
      <c r="X113" s="31">
        <f t="shared" si="38"/>
        <v>6.1219412742375759E-2</v>
      </c>
      <c r="Y113" s="132">
        <f t="shared" si="39"/>
        <v>1750739.061554153</v>
      </c>
      <c r="Z113" s="29">
        <f t="shared" si="40"/>
        <v>1.0935100167293574</v>
      </c>
      <c r="AA113" s="31">
        <f t="shared" si="41"/>
        <v>0.12038642386011274</v>
      </c>
      <c r="AD113" s="12">
        <f t="shared" si="42"/>
        <v>109</v>
      </c>
      <c r="AE113" s="132">
        <f t="shared" si="43"/>
        <v>2546755.3288257616</v>
      </c>
      <c r="AF113" s="132">
        <f>IF($AD113&lt;=$C$25*12,$AE113-$C$7+SUM('Mortgage Calculators (By Month)'!$K$23:$K131),"-")</f>
        <v>2546755.3288257616</v>
      </c>
      <c r="AG113" s="132">
        <f t="shared" si="44"/>
        <v>13315.567187148928</v>
      </c>
      <c r="AH113" s="132">
        <f>IF($AD113&lt;=$C$25*12,SUM(Inputs!$C$61:$C$78)*'Forecast (By Month)'!AG113,"-")</f>
        <v>1464.7123905863821</v>
      </c>
      <c r="AI113" s="132">
        <f>IF($AD113&lt;=$C$25*12,(SUMIF(Inputs!$C$61:$C$78,0,Inputs!$F$61:$F$78)/12)*(1+$C$34)^ROUNDDOWN((AD113-1)/12,0),"-")</f>
        <v>1488.1666666666667</v>
      </c>
      <c r="AJ113" s="132">
        <f t="shared" si="45"/>
        <v>2952.8790572530488</v>
      </c>
      <c r="AK113" s="132">
        <f>IF($AD113&lt;=$C$25*12,'Mortgage Calculators (By Month)'!$J131,"-")</f>
        <v>0</v>
      </c>
      <c r="AL113" s="132">
        <f>IF($AD113&lt;=$C$25*12,'Mortgage Calculators (By Month)'!$K131,"-")</f>
        <v>0</v>
      </c>
      <c r="AM113" s="132">
        <f>IF($AD113&lt;=$C$25*12,'Mortgage Calculators (By Month)'!$L131,"-")</f>
        <v>10</v>
      </c>
      <c r="AN113" s="132">
        <f t="shared" si="55"/>
        <v>0</v>
      </c>
      <c r="AO113" s="132">
        <f t="shared" si="46"/>
        <v>2962.8790572530488</v>
      </c>
      <c r="AP113" s="132">
        <f t="shared" si="47"/>
        <v>10362.68812989588</v>
      </c>
      <c r="AQ113" s="132">
        <f t="shared" si="48"/>
        <v>0</v>
      </c>
      <c r="AR113" s="132">
        <f t="shared" si="29"/>
        <v>10362.68812989588</v>
      </c>
      <c r="AS113" s="132">
        <f>IF($AD113&lt;=$C$25*12,SUM(AR$5:AR113),"-")</f>
        <v>860435.83930490701</v>
      </c>
      <c r="AT113" s="132">
        <f>IF($AD113&lt;=$C$25*12,AE113-$C$10-'RE Calculations'!$C300-'Mortgage Calculators (By Month)'!$M131,"-")</f>
        <v>890293.22224924609</v>
      </c>
      <c r="AU113" s="29">
        <f t="shared" si="49"/>
        <v>0.55607633240991317</v>
      </c>
      <c r="AV113" s="31">
        <f t="shared" si="50"/>
        <v>6.1219412742375759E-2</v>
      </c>
      <c r="AW113" s="132">
        <f t="shared" si="51"/>
        <v>1750729.061554153</v>
      </c>
      <c r="AX113" s="29">
        <f t="shared" si="52"/>
        <v>1.0935037707385029</v>
      </c>
      <c r="AY113" s="31">
        <f t="shared" si="53"/>
        <v>0.12038573622809205</v>
      </c>
    </row>
    <row r="114" spans="6:51" x14ac:dyDescent="0.35">
      <c r="F114" s="12">
        <f t="shared" si="30"/>
        <v>110</v>
      </c>
      <c r="G114" s="132">
        <f t="shared" si="31"/>
        <v>2557131.1252820636</v>
      </c>
      <c r="H114" s="132">
        <f>IF($F114&lt;=$C$16*12,$G114-$C$7+SUM('Mortgage Calculators (By Month)'!$D$23:$D132),"-")</f>
        <v>2557131.1252820636</v>
      </c>
      <c r="I114" s="132">
        <f t="shared" si="32"/>
        <v>13315.567187148928</v>
      </c>
      <c r="J114" s="132">
        <f>IF($F114&lt;=$C$16*12,SUM(Inputs!$C$61:$C$78)*'Forecast (By Month)'!I114,"-")</f>
        <v>1464.7123905863821</v>
      </c>
      <c r="K114" s="132">
        <f>IF($F114&lt;=$C$16*12,(SUMIF(Inputs!$C$61:$C$78,0,Inputs!$F$61:$F$78)/12)*(1+$C$34)^ROUNDDOWN((F114-1)/12,0),"-")</f>
        <v>1488.1666666666667</v>
      </c>
      <c r="L114" s="132">
        <f t="shared" si="33"/>
        <v>2952.8790572530488</v>
      </c>
      <c r="M114" s="132">
        <f>IF($F114&lt;=$C$16*12,'Mortgage Calculators (By Month)'!$C132,"-")</f>
        <v>0</v>
      </c>
      <c r="N114" s="132">
        <f>IF($F114&lt;=$C$16*12,'Mortgage Calculators (By Month)'!$D132,"-")</f>
        <v>0</v>
      </c>
      <c r="O114" s="132">
        <f>IF($F114&lt;=$C$16*12,'Mortgage Calculators (By Month)'!$E132,"-")</f>
        <v>8.3333333333333339</v>
      </c>
      <c r="P114" s="132">
        <f t="shared" si="54"/>
        <v>0</v>
      </c>
      <c r="Q114" s="132">
        <f t="shared" si="34"/>
        <v>2961.2123905863823</v>
      </c>
      <c r="R114" s="132">
        <f t="shared" si="35"/>
        <v>10362.68812989588</v>
      </c>
      <c r="S114" s="132">
        <f t="shared" si="36"/>
        <v>0</v>
      </c>
      <c r="T114" s="132">
        <f t="shared" si="28"/>
        <v>10362.68812989588</v>
      </c>
      <c r="U114" s="132">
        <f>IF($F114&lt;=$C$16*12,SUM(T$5:T114),"-")</f>
        <v>870808.52743480285</v>
      </c>
      <c r="V114" s="132">
        <f>IF($F114&lt;=$C$16*12,G114-$C$10-'RE Calculations'!$C301-'Mortgage Calculators (By Month)'!$F132,"-")</f>
        <v>900461.50277642207</v>
      </c>
      <c r="W114" s="29">
        <f t="shared" si="37"/>
        <v>0.56242743112790861</v>
      </c>
      <c r="X114" s="31">
        <f t="shared" si="38"/>
        <v>6.1355719759408213E-2</v>
      </c>
      <c r="Y114" s="132">
        <f t="shared" si="39"/>
        <v>1771270.0302112249</v>
      </c>
      <c r="Z114" s="29">
        <f t="shared" si="40"/>
        <v>1.1063336409762139</v>
      </c>
      <c r="AA114" s="31">
        <f t="shared" si="41"/>
        <v>0.12069094265195061</v>
      </c>
      <c r="AD114" s="12">
        <f t="shared" si="42"/>
        <v>110</v>
      </c>
      <c r="AE114" s="132">
        <f t="shared" si="43"/>
        <v>2557131.1252820636</v>
      </c>
      <c r="AF114" s="132">
        <f>IF($AD114&lt;=$C$25*12,$AE114-$C$7+SUM('Mortgage Calculators (By Month)'!$K$23:$K132),"-")</f>
        <v>2557131.1252820636</v>
      </c>
      <c r="AG114" s="132">
        <f t="shared" si="44"/>
        <v>13315.567187148928</v>
      </c>
      <c r="AH114" s="132">
        <f>IF($AD114&lt;=$C$25*12,SUM(Inputs!$C$61:$C$78)*'Forecast (By Month)'!AG114,"-")</f>
        <v>1464.7123905863821</v>
      </c>
      <c r="AI114" s="132">
        <f>IF($AD114&lt;=$C$25*12,(SUMIF(Inputs!$C$61:$C$78,0,Inputs!$F$61:$F$78)/12)*(1+$C$34)^ROUNDDOWN((AD114-1)/12,0),"-")</f>
        <v>1488.1666666666667</v>
      </c>
      <c r="AJ114" s="132">
        <f t="shared" si="45"/>
        <v>2952.8790572530488</v>
      </c>
      <c r="AK114" s="132">
        <f>IF($AD114&lt;=$C$25*12,'Mortgage Calculators (By Month)'!$J132,"-")</f>
        <v>0</v>
      </c>
      <c r="AL114" s="132">
        <f>IF($AD114&lt;=$C$25*12,'Mortgage Calculators (By Month)'!$K132,"-")</f>
        <v>0</v>
      </c>
      <c r="AM114" s="132">
        <f>IF($AD114&lt;=$C$25*12,'Mortgage Calculators (By Month)'!$L132,"-")</f>
        <v>10</v>
      </c>
      <c r="AN114" s="132">
        <f t="shared" si="55"/>
        <v>0</v>
      </c>
      <c r="AO114" s="132">
        <f t="shared" si="46"/>
        <v>2962.8790572530488</v>
      </c>
      <c r="AP114" s="132">
        <f t="shared" si="47"/>
        <v>10362.68812989588</v>
      </c>
      <c r="AQ114" s="132">
        <f t="shared" si="48"/>
        <v>0</v>
      </c>
      <c r="AR114" s="132">
        <f t="shared" si="29"/>
        <v>10362.68812989588</v>
      </c>
      <c r="AS114" s="132">
        <f>IF($AD114&lt;=$C$25*12,SUM(AR$5:AR114),"-")</f>
        <v>870798.52743480285</v>
      </c>
      <c r="AT114" s="132">
        <f>IF($AD114&lt;=$C$25*12,AE114-$C$10-'RE Calculations'!$C301-'Mortgage Calculators (By Month)'!$M132,"-")</f>
        <v>900461.50277642207</v>
      </c>
      <c r="AU114" s="29">
        <f t="shared" si="49"/>
        <v>0.56242743112790861</v>
      </c>
      <c r="AV114" s="31">
        <f t="shared" si="50"/>
        <v>6.1355719759408213E-2</v>
      </c>
      <c r="AW114" s="132">
        <f t="shared" si="51"/>
        <v>1771260.0302112249</v>
      </c>
      <c r="AX114" s="29">
        <f t="shared" si="52"/>
        <v>1.1063273949853594</v>
      </c>
      <c r="AY114" s="31">
        <f t="shared" si="53"/>
        <v>0.12069026127113013</v>
      </c>
    </row>
    <row r="115" spans="6:51" x14ac:dyDescent="0.35">
      <c r="F115" s="12">
        <f t="shared" si="30"/>
        <v>111</v>
      </c>
      <c r="G115" s="132">
        <f t="shared" si="31"/>
        <v>2567549.1940174829</v>
      </c>
      <c r="H115" s="132">
        <f>IF($F115&lt;=$C$16*12,$G115-$C$7+SUM('Mortgage Calculators (By Month)'!$D$23:$D133),"-")</f>
        <v>2567549.1940174829</v>
      </c>
      <c r="I115" s="132">
        <f t="shared" si="32"/>
        <v>13315.567187148928</v>
      </c>
      <c r="J115" s="132">
        <f>IF($F115&lt;=$C$16*12,SUM(Inputs!$C$61:$C$78)*'Forecast (By Month)'!I115,"-")</f>
        <v>1464.7123905863821</v>
      </c>
      <c r="K115" s="132">
        <f>IF($F115&lt;=$C$16*12,(SUMIF(Inputs!$C$61:$C$78,0,Inputs!$F$61:$F$78)/12)*(1+$C$34)^ROUNDDOWN((F115-1)/12,0),"-")</f>
        <v>1488.1666666666667</v>
      </c>
      <c r="L115" s="132">
        <f t="shared" si="33"/>
        <v>2952.8790572530488</v>
      </c>
      <c r="M115" s="132">
        <f>IF($F115&lt;=$C$16*12,'Mortgage Calculators (By Month)'!$C133,"-")</f>
        <v>0</v>
      </c>
      <c r="N115" s="132">
        <f>IF($F115&lt;=$C$16*12,'Mortgage Calculators (By Month)'!$D133,"-")</f>
        <v>0</v>
      </c>
      <c r="O115" s="132">
        <f>IF($F115&lt;=$C$16*12,'Mortgage Calculators (By Month)'!$E133,"-")</f>
        <v>8.3333333333333339</v>
      </c>
      <c r="P115" s="132">
        <f t="shared" si="54"/>
        <v>0</v>
      </c>
      <c r="Q115" s="132">
        <f t="shared" si="34"/>
        <v>2961.2123905863823</v>
      </c>
      <c r="R115" s="132">
        <f t="shared" si="35"/>
        <v>10362.68812989588</v>
      </c>
      <c r="S115" s="132">
        <f t="shared" si="36"/>
        <v>0</v>
      </c>
      <c r="T115" s="132">
        <f t="shared" si="28"/>
        <v>10362.68812989588</v>
      </c>
      <c r="U115" s="132">
        <f>IF($F115&lt;=$C$16*12,SUM(T$5:T115),"-")</f>
        <v>881171.21556469868</v>
      </c>
      <c r="V115" s="132">
        <f>IF($F115&lt;=$C$16*12,G115-$C$10-'RE Calculations'!$C302-'Mortgage Calculators (By Month)'!$F133,"-")</f>
        <v>910671.21013713302</v>
      </c>
      <c r="W115" s="29">
        <f t="shared" si="37"/>
        <v>0.56880440500824347</v>
      </c>
      <c r="X115" s="31">
        <f t="shared" si="38"/>
        <v>6.1492368108999294E-2</v>
      </c>
      <c r="Y115" s="132">
        <f t="shared" si="39"/>
        <v>1791842.4257018317</v>
      </c>
      <c r="Z115" s="29">
        <f t="shared" si="40"/>
        <v>1.11918314038541</v>
      </c>
      <c r="AA115" s="31">
        <f t="shared" si="41"/>
        <v>0.12099277193355784</v>
      </c>
      <c r="AD115" s="12">
        <f t="shared" si="42"/>
        <v>111</v>
      </c>
      <c r="AE115" s="132">
        <f t="shared" si="43"/>
        <v>2567549.1940174829</v>
      </c>
      <c r="AF115" s="132">
        <f>IF($AD115&lt;=$C$25*12,$AE115-$C$7+SUM('Mortgage Calculators (By Month)'!$K$23:$K133),"-")</f>
        <v>2567549.1940174829</v>
      </c>
      <c r="AG115" s="132">
        <f t="shared" si="44"/>
        <v>13315.567187148928</v>
      </c>
      <c r="AH115" s="132">
        <f>IF($AD115&lt;=$C$25*12,SUM(Inputs!$C$61:$C$78)*'Forecast (By Month)'!AG115,"-")</f>
        <v>1464.7123905863821</v>
      </c>
      <c r="AI115" s="132">
        <f>IF($AD115&lt;=$C$25*12,(SUMIF(Inputs!$C$61:$C$78,0,Inputs!$F$61:$F$78)/12)*(1+$C$34)^ROUNDDOWN((AD115-1)/12,0),"-")</f>
        <v>1488.1666666666667</v>
      </c>
      <c r="AJ115" s="132">
        <f t="shared" si="45"/>
        <v>2952.8790572530488</v>
      </c>
      <c r="AK115" s="132">
        <f>IF($AD115&lt;=$C$25*12,'Mortgage Calculators (By Month)'!$J133,"-")</f>
        <v>0</v>
      </c>
      <c r="AL115" s="132">
        <f>IF($AD115&lt;=$C$25*12,'Mortgage Calculators (By Month)'!$K133,"-")</f>
        <v>0</v>
      </c>
      <c r="AM115" s="132">
        <f>IF($AD115&lt;=$C$25*12,'Mortgage Calculators (By Month)'!$L133,"-")</f>
        <v>10</v>
      </c>
      <c r="AN115" s="132">
        <f t="shared" si="55"/>
        <v>0</v>
      </c>
      <c r="AO115" s="132">
        <f t="shared" si="46"/>
        <v>2962.8790572530488</v>
      </c>
      <c r="AP115" s="132">
        <f t="shared" si="47"/>
        <v>10362.68812989588</v>
      </c>
      <c r="AQ115" s="132">
        <f t="shared" si="48"/>
        <v>0</v>
      </c>
      <c r="AR115" s="132">
        <f t="shared" si="29"/>
        <v>10362.68812989588</v>
      </c>
      <c r="AS115" s="132">
        <f>IF($AD115&lt;=$C$25*12,SUM(AR$5:AR115),"-")</f>
        <v>881161.21556469868</v>
      </c>
      <c r="AT115" s="132">
        <f>IF($AD115&lt;=$C$25*12,AE115-$C$10-'RE Calculations'!$C302-'Mortgage Calculators (By Month)'!$M133,"-")</f>
        <v>910671.21013713302</v>
      </c>
      <c r="AU115" s="29">
        <f t="shared" si="49"/>
        <v>0.56880440500824347</v>
      </c>
      <c r="AV115" s="31">
        <f t="shared" si="50"/>
        <v>6.1492368108999294E-2</v>
      </c>
      <c r="AW115" s="132">
        <f t="shared" si="51"/>
        <v>1791832.4257018317</v>
      </c>
      <c r="AX115" s="29">
        <f t="shared" si="52"/>
        <v>1.1191768943945553</v>
      </c>
      <c r="AY115" s="31">
        <f t="shared" si="53"/>
        <v>0.12099209669130327</v>
      </c>
    </row>
    <row r="116" spans="6:51" x14ac:dyDescent="0.35">
      <c r="F116" s="12">
        <f t="shared" si="30"/>
        <v>112</v>
      </c>
      <c r="G116" s="132">
        <f t="shared" si="31"/>
        <v>2578009.7072545169</v>
      </c>
      <c r="H116" s="132">
        <f>IF($F116&lt;=$C$16*12,$G116-$C$7+SUM('Mortgage Calculators (By Month)'!$D$23:$D134),"-")</f>
        <v>2578009.7072545169</v>
      </c>
      <c r="I116" s="132">
        <f t="shared" si="32"/>
        <v>13315.567187148928</v>
      </c>
      <c r="J116" s="132">
        <f>IF($F116&lt;=$C$16*12,SUM(Inputs!$C$61:$C$78)*'Forecast (By Month)'!I116,"-")</f>
        <v>1464.7123905863821</v>
      </c>
      <c r="K116" s="132">
        <f>IF($F116&lt;=$C$16*12,(SUMIF(Inputs!$C$61:$C$78,0,Inputs!$F$61:$F$78)/12)*(1+$C$34)^ROUNDDOWN((F116-1)/12,0),"-")</f>
        <v>1488.1666666666667</v>
      </c>
      <c r="L116" s="132">
        <f t="shared" si="33"/>
        <v>2952.8790572530488</v>
      </c>
      <c r="M116" s="132">
        <f>IF($F116&lt;=$C$16*12,'Mortgage Calculators (By Month)'!$C134,"-")</f>
        <v>0</v>
      </c>
      <c r="N116" s="132">
        <f>IF($F116&lt;=$C$16*12,'Mortgage Calculators (By Month)'!$D134,"-")</f>
        <v>0</v>
      </c>
      <c r="O116" s="132">
        <f>IF($F116&lt;=$C$16*12,'Mortgage Calculators (By Month)'!$E134,"-")</f>
        <v>8.3333333333333339</v>
      </c>
      <c r="P116" s="132">
        <f t="shared" si="54"/>
        <v>0</v>
      </c>
      <c r="Q116" s="132">
        <f t="shared" si="34"/>
        <v>2961.2123905863823</v>
      </c>
      <c r="R116" s="132">
        <f t="shared" si="35"/>
        <v>10362.68812989588</v>
      </c>
      <c r="S116" s="132">
        <f t="shared" si="36"/>
        <v>0</v>
      </c>
      <c r="T116" s="132">
        <f t="shared" si="28"/>
        <v>10362.68812989588</v>
      </c>
      <c r="U116" s="132">
        <f>IF($F116&lt;=$C$16*12,SUM(T$5:T116),"-")</f>
        <v>891533.90369459451</v>
      </c>
      <c r="V116" s="132">
        <f>IF($F116&lt;=$C$16*12,G116-$C$10-'RE Calculations'!$C303-'Mortgage Calculators (By Month)'!$F134,"-")</f>
        <v>920922.51310942636</v>
      </c>
      <c r="W116" s="29">
        <f t="shared" si="37"/>
        <v>0.57520735946953194</v>
      </c>
      <c r="X116" s="31">
        <f t="shared" si="38"/>
        <v>6.1629359943164132E-2</v>
      </c>
      <c r="Y116" s="132">
        <f t="shared" si="39"/>
        <v>1812456.4168040208</v>
      </c>
      <c r="Z116" s="29">
        <f t="shared" si="40"/>
        <v>1.1320586203755594</v>
      </c>
      <c r="AA116" s="31">
        <f t="shared" si="41"/>
        <v>0.12129199504023849</v>
      </c>
      <c r="AD116" s="12">
        <f t="shared" si="42"/>
        <v>112</v>
      </c>
      <c r="AE116" s="132">
        <f t="shared" si="43"/>
        <v>2578009.7072545169</v>
      </c>
      <c r="AF116" s="132">
        <f>IF($AD116&lt;=$C$25*12,$AE116-$C$7+SUM('Mortgage Calculators (By Month)'!$K$23:$K134),"-")</f>
        <v>2578009.7072545169</v>
      </c>
      <c r="AG116" s="132">
        <f t="shared" si="44"/>
        <v>13315.567187148928</v>
      </c>
      <c r="AH116" s="132">
        <f>IF($AD116&lt;=$C$25*12,SUM(Inputs!$C$61:$C$78)*'Forecast (By Month)'!AG116,"-")</f>
        <v>1464.7123905863821</v>
      </c>
      <c r="AI116" s="132">
        <f>IF($AD116&lt;=$C$25*12,(SUMIF(Inputs!$C$61:$C$78,0,Inputs!$F$61:$F$78)/12)*(1+$C$34)^ROUNDDOWN((AD116-1)/12,0),"-")</f>
        <v>1488.1666666666667</v>
      </c>
      <c r="AJ116" s="132">
        <f t="shared" si="45"/>
        <v>2952.8790572530488</v>
      </c>
      <c r="AK116" s="132">
        <f>IF($AD116&lt;=$C$25*12,'Mortgage Calculators (By Month)'!$J134,"-")</f>
        <v>0</v>
      </c>
      <c r="AL116" s="132">
        <f>IF($AD116&lt;=$C$25*12,'Mortgage Calculators (By Month)'!$K134,"-")</f>
        <v>0</v>
      </c>
      <c r="AM116" s="132">
        <f>IF($AD116&lt;=$C$25*12,'Mortgage Calculators (By Month)'!$L134,"-")</f>
        <v>10</v>
      </c>
      <c r="AN116" s="132">
        <f t="shared" si="55"/>
        <v>0</v>
      </c>
      <c r="AO116" s="132">
        <f t="shared" si="46"/>
        <v>2962.8790572530488</v>
      </c>
      <c r="AP116" s="132">
        <f t="shared" si="47"/>
        <v>10362.68812989588</v>
      </c>
      <c r="AQ116" s="132">
        <f t="shared" si="48"/>
        <v>0</v>
      </c>
      <c r="AR116" s="132">
        <f t="shared" si="29"/>
        <v>10362.68812989588</v>
      </c>
      <c r="AS116" s="132">
        <f>IF($AD116&lt;=$C$25*12,SUM(AR$5:AR116),"-")</f>
        <v>891523.90369459451</v>
      </c>
      <c r="AT116" s="132">
        <f>IF($AD116&lt;=$C$25*12,AE116-$C$10-'RE Calculations'!$C303-'Mortgage Calculators (By Month)'!$M134,"-")</f>
        <v>920922.51310942636</v>
      </c>
      <c r="AU116" s="29">
        <f t="shared" si="49"/>
        <v>0.57520735946953194</v>
      </c>
      <c r="AV116" s="31">
        <f t="shared" si="50"/>
        <v>6.1629359943164132E-2</v>
      </c>
      <c r="AW116" s="132">
        <f t="shared" si="51"/>
        <v>1812446.4168040208</v>
      </c>
      <c r="AX116" s="29">
        <f t="shared" si="52"/>
        <v>1.1320523743847049</v>
      </c>
      <c r="AY116" s="31">
        <f t="shared" si="53"/>
        <v>0.12129132582693265</v>
      </c>
    </row>
    <row r="117" spans="6:51" x14ac:dyDescent="0.35">
      <c r="F117" s="12">
        <f t="shared" si="30"/>
        <v>113</v>
      </c>
      <c r="G117" s="132">
        <f t="shared" si="31"/>
        <v>2588512.837917319</v>
      </c>
      <c r="H117" s="132">
        <f>IF($F117&lt;=$C$16*12,$G117-$C$7+SUM('Mortgage Calculators (By Month)'!$D$23:$D135),"-")</f>
        <v>2588512.837917319</v>
      </c>
      <c r="I117" s="132">
        <f t="shared" si="32"/>
        <v>13315.567187148928</v>
      </c>
      <c r="J117" s="132">
        <f>IF($F117&lt;=$C$16*12,SUM(Inputs!$C$61:$C$78)*'Forecast (By Month)'!I117,"-")</f>
        <v>1464.7123905863821</v>
      </c>
      <c r="K117" s="132">
        <f>IF($F117&lt;=$C$16*12,(SUMIF(Inputs!$C$61:$C$78,0,Inputs!$F$61:$F$78)/12)*(1+$C$34)^ROUNDDOWN((F117-1)/12,0),"-")</f>
        <v>1488.1666666666667</v>
      </c>
      <c r="L117" s="132">
        <f t="shared" si="33"/>
        <v>2952.8790572530488</v>
      </c>
      <c r="M117" s="132">
        <f>IF($F117&lt;=$C$16*12,'Mortgage Calculators (By Month)'!$C135,"-")</f>
        <v>0</v>
      </c>
      <c r="N117" s="132">
        <f>IF($F117&lt;=$C$16*12,'Mortgage Calculators (By Month)'!$D135,"-")</f>
        <v>0</v>
      </c>
      <c r="O117" s="132">
        <f>IF($F117&lt;=$C$16*12,'Mortgage Calculators (By Month)'!$E135,"-")</f>
        <v>8.3333333333333339</v>
      </c>
      <c r="P117" s="132">
        <f t="shared" si="54"/>
        <v>0</v>
      </c>
      <c r="Q117" s="132">
        <f t="shared" si="34"/>
        <v>2961.2123905863823</v>
      </c>
      <c r="R117" s="132">
        <f t="shared" si="35"/>
        <v>10362.68812989588</v>
      </c>
      <c r="S117" s="132">
        <f t="shared" si="36"/>
        <v>0</v>
      </c>
      <c r="T117" s="132">
        <f t="shared" si="28"/>
        <v>10362.68812989588</v>
      </c>
      <c r="U117" s="132">
        <f>IF($F117&lt;=$C$16*12,SUM(T$5:T117),"-")</f>
        <v>901896.59182449034</v>
      </c>
      <c r="V117" s="132">
        <f>IF($F117&lt;=$C$16*12,G117-$C$10-'RE Calculations'!$C304-'Mortgage Calculators (By Month)'!$F135,"-")</f>
        <v>931215.58115897246</v>
      </c>
      <c r="W117" s="29">
        <f t="shared" si="37"/>
        <v>0.58163640035987674</v>
      </c>
      <c r="X117" s="31">
        <f t="shared" si="38"/>
        <v>6.1766697383349743E-2</v>
      </c>
      <c r="Y117" s="132">
        <f t="shared" si="39"/>
        <v>1833112.1729834629</v>
      </c>
      <c r="Z117" s="29">
        <f t="shared" si="40"/>
        <v>1.1449601867947654</v>
      </c>
      <c r="AA117" s="31">
        <f t="shared" si="41"/>
        <v>0.12158869240298395</v>
      </c>
      <c r="AD117" s="12">
        <f t="shared" si="42"/>
        <v>113</v>
      </c>
      <c r="AE117" s="132">
        <f t="shared" si="43"/>
        <v>2588512.837917319</v>
      </c>
      <c r="AF117" s="132">
        <f>IF($AD117&lt;=$C$25*12,$AE117-$C$7+SUM('Mortgage Calculators (By Month)'!$K$23:$K135),"-")</f>
        <v>2588512.837917319</v>
      </c>
      <c r="AG117" s="132">
        <f t="shared" si="44"/>
        <v>13315.567187148928</v>
      </c>
      <c r="AH117" s="132">
        <f>IF($AD117&lt;=$C$25*12,SUM(Inputs!$C$61:$C$78)*'Forecast (By Month)'!AG117,"-")</f>
        <v>1464.7123905863821</v>
      </c>
      <c r="AI117" s="132">
        <f>IF($AD117&lt;=$C$25*12,(SUMIF(Inputs!$C$61:$C$78,0,Inputs!$F$61:$F$78)/12)*(1+$C$34)^ROUNDDOWN((AD117-1)/12,0),"-")</f>
        <v>1488.1666666666667</v>
      </c>
      <c r="AJ117" s="132">
        <f t="shared" si="45"/>
        <v>2952.8790572530488</v>
      </c>
      <c r="AK117" s="132">
        <f>IF($AD117&lt;=$C$25*12,'Mortgage Calculators (By Month)'!$J135,"-")</f>
        <v>0</v>
      </c>
      <c r="AL117" s="132">
        <f>IF($AD117&lt;=$C$25*12,'Mortgage Calculators (By Month)'!$K135,"-")</f>
        <v>0</v>
      </c>
      <c r="AM117" s="132">
        <f>IF($AD117&lt;=$C$25*12,'Mortgage Calculators (By Month)'!$L135,"-")</f>
        <v>10</v>
      </c>
      <c r="AN117" s="132">
        <f t="shared" si="55"/>
        <v>0</v>
      </c>
      <c r="AO117" s="132">
        <f t="shared" si="46"/>
        <v>2962.8790572530488</v>
      </c>
      <c r="AP117" s="132">
        <f t="shared" si="47"/>
        <v>10362.68812989588</v>
      </c>
      <c r="AQ117" s="132">
        <f t="shared" si="48"/>
        <v>0</v>
      </c>
      <c r="AR117" s="132">
        <f t="shared" si="29"/>
        <v>10362.68812989588</v>
      </c>
      <c r="AS117" s="132">
        <f>IF($AD117&lt;=$C$25*12,SUM(AR$5:AR117),"-")</f>
        <v>901886.59182449034</v>
      </c>
      <c r="AT117" s="132">
        <f>IF($AD117&lt;=$C$25*12,AE117-$C$10-'RE Calculations'!$C304-'Mortgage Calculators (By Month)'!$M135,"-")</f>
        <v>931215.58115897246</v>
      </c>
      <c r="AU117" s="29">
        <f t="shared" si="49"/>
        <v>0.58163640035987674</v>
      </c>
      <c r="AV117" s="31">
        <f t="shared" si="50"/>
        <v>6.1766697383349743E-2</v>
      </c>
      <c r="AW117" s="132">
        <f t="shared" si="51"/>
        <v>1833102.1729834629</v>
      </c>
      <c r="AX117" s="29">
        <f t="shared" si="52"/>
        <v>1.1449539408039109</v>
      </c>
      <c r="AY117" s="31">
        <f t="shared" si="53"/>
        <v>0.12158802911191975</v>
      </c>
    </row>
    <row r="118" spans="6:51" x14ac:dyDescent="0.35">
      <c r="F118" s="12">
        <f t="shared" si="30"/>
        <v>114</v>
      </c>
      <c r="G118" s="132">
        <f t="shared" si="31"/>
        <v>2599058.7596345572</v>
      </c>
      <c r="H118" s="132">
        <f>IF($F118&lt;=$C$16*12,$G118-$C$7+SUM('Mortgage Calculators (By Month)'!$D$23:$D136),"-")</f>
        <v>2599058.7596345572</v>
      </c>
      <c r="I118" s="132">
        <f t="shared" si="32"/>
        <v>13315.567187148928</v>
      </c>
      <c r="J118" s="132">
        <f>IF($F118&lt;=$C$16*12,SUM(Inputs!$C$61:$C$78)*'Forecast (By Month)'!I118,"-")</f>
        <v>1464.7123905863821</v>
      </c>
      <c r="K118" s="132">
        <f>IF($F118&lt;=$C$16*12,(SUMIF(Inputs!$C$61:$C$78,0,Inputs!$F$61:$F$78)/12)*(1+$C$34)^ROUNDDOWN((F118-1)/12,0),"-")</f>
        <v>1488.1666666666667</v>
      </c>
      <c r="L118" s="132">
        <f t="shared" si="33"/>
        <v>2952.8790572530488</v>
      </c>
      <c r="M118" s="132">
        <f>IF($F118&lt;=$C$16*12,'Mortgage Calculators (By Month)'!$C136,"-")</f>
        <v>0</v>
      </c>
      <c r="N118" s="132">
        <f>IF($F118&lt;=$C$16*12,'Mortgage Calculators (By Month)'!$D136,"-")</f>
        <v>0</v>
      </c>
      <c r="O118" s="132">
        <f>IF($F118&lt;=$C$16*12,'Mortgage Calculators (By Month)'!$E136,"-")</f>
        <v>8.3333333333333339</v>
      </c>
      <c r="P118" s="132">
        <f t="shared" si="54"/>
        <v>0</v>
      </c>
      <c r="Q118" s="132">
        <f t="shared" si="34"/>
        <v>2961.2123905863823</v>
      </c>
      <c r="R118" s="132">
        <f t="shared" si="35"/>
        <v>10362.68812989588</v>
      </c>
      <c r="S118" s="132">
        <f t="shared" si="36"/>
        <v>0</v>
      </c>
      <c r="T118" s="132">
        <f t="shared" si="28"/>
        <v>10362.68812989588</v>
      </c>
      <c r="U118" s="132">
        <f>IF($F118&lt;=$C$16*12,SUM(T$5:T118),"-")</f>
        <v>912259.27995438618</v>
      </c>
      <c r="V118" s="132">
        <f>IF($F118&lt;=$C$16*12,G118-$C$10-'RE Calculations'!$C305-'Mortgage Calculators (By Month)'!$F136,"-")</f>
        <v>941550.58444186579</v>
      </c>
      <c r="W118" s="29">
        <f t="shared" si="37"/>
        <v>0.58809163395861896</v>
      </c>
      <c r="X118" s="31">
        <f t="shared" si="38"/>
        <v>6.1904382521959893E-2</v>
      </c>
      <c r="Y118" s="132">
        <f t="shared" si="39"/>
        <v>1853809.864396252</v>
      </c>
      <c r="Z118" s="29">
        <f t="shared" si="40"/>
        <v>1.1578879459223685</v>
      </c>
      <c r="AA118" s="31">
        <f t="shared" si="41"/>
        <v>0.12188294167603879</v>
      </c>
      <c r="AD118" s="12">
        <f t="shared" si="42"/>
        <v>114</v>
      </c>
      <c r="AE118" s="132">
        <f t="shared" si="43"/>
        <v>2599058.7596345572</v>
      </c>
      <c r="AF118" s="132">
        <f>IF($AD118&lt;=$C$25*12,$AE118-$C$7+SUM('Mortgage Calculators (By Month)'!$K$23:$K136),"-")</f>
        <v>2599058.7596345572</v>
      </c>
      <c r="AG118" s="132">
        <f t="shared" si="44"/>
        <v>13315.567187148928</v>
      </c>
      <c r="AH118" s="132">
        <f>IF($AD118&lt;=$C$25*12,SUM(Inputs!$C$61:$C$78)*'Forecast (By Month)'!AG118,"-")</f>
        <v>1464.7123905863821</v>
      </c>
      <c r="AI118" s="132">
        <f>IF($AD118&lt;=$C$25*12,(SUMIF(Inputs!$C$61:$C$78,0,Inputs!$F$61:$F$78)/12)*(1+$C$34)^ROUNDDOWN((AD118-1)/12,0),"-")</f>
        <v>1488.1666666666667</v>
      </c>
      <c r="AJ118" s="132">
        <f t="shared" si="45"/>
        <v>2952.8790572530488</v>
      </c>
      <c r="AK118" s="132">
        <f>IF($AD118&lt;=$C$25*12,'Mortgage Calculators (By Month)'!$J136,"-")</f>
        <v>0</v>
      </c>
      <c r="AL118" s="132">
        <f>IF($AD118&lt;=$C$25*12,'Mortgage Calculators (By Month)'!$K136,"-")</f>
        <v>0</v>
      </c>
      <c r="AM118" s="132">
        <f>IF($AD118&lt;=$C$25*12,'Mortgage Calculators (By Month)'!$L136,"-")</f>
        <v>10</v>
      </c>
      <c r="AN118" s="132">
        <f t="shared" si="55"/>
        <v>0</v>
      </c>
      <c r="AO118" s="132">
        <f t="shared" si="46"/>
        <v>2962.8790572530488</v>
      </c>
      <c r="AP118" s="132">
        <f t="shared" si="47"/>
        <v>10362.68812989588</v>
      </c>
      <c r="AQ118" s="132">
        <f t="shared" si="48"/>
        <v>0</v>
      </c>
      <c r="AR118" s="132">
        <f t="shared" si="29"/>
        <v>10362.68812989588</v>
      </c>
      <c r="AS118" s="132">
        <f>IF($AD118&lt;=$C$25*12,SUM(AR$5:AR118),"-")</f>
        <v>912249.27995438618</v>
      </c>
      <c r="AT118" s="132">
        <f>IF($AD118&lt;=$C$25*12,AE118-$C$10-'RE Calculations'!$C305-'Mortgage Calculators (By Month)'!$M136,"-")</f>
        <v>941550.58444186579</v>
      </c>
      <c r="AU118" s="29">
        <f t="shared" si="49"/>
        <v>0.58809163395861896</v>
      </c>
      <c r="AV118" s="31">
        <f t="shared" si="50"/>
        <v>6.1904382521959893E-2</v>
      </c>
      <c r="AW118" s="132">
        <f t="shared" si="51"/>
        <v>1853799.864396252</v>
      </c>
      <c r="AX118" s="29">
        <f t="shared" si="52"/>
        <v>1.157881699931514</v>
      </c>
      <c r="AY118" s="31">
        <f t="shared" si="53"/>
        <v>0.12188228420331726</v>
      </c>
    </row>
    <row r="119" spans="6:51" x14ac:dyDescent="0.35">
      <c r="F119" s="12">
        <f t="shared" si="30"/>
        <v>115</v>
      </c>
      <c r="G119" s="132">
        <f t="shared" si="31"/>
        <v>2609647.6467422838</v>
      </c>
      <c r="H119" s="132">
        <f>IF($F119&lt;=$C$16*12,$G119-$C$7+SUM('Mortgage Calculators (By Month)'!$D$23:$D137),"-")</f>
        <v>2609647.6467422838</v>
      </c>
      <c r="I119" s="132">
        <f t="shared" si="32"/>
        <v>13315.567187148928</v>
      </c>
      <c r="J119" s="132">
        <f>IF($F119&lt;=$C$16*12,SUM(Inputs!$C$61:$C$78)*'Forecast (By Month)'!I119,"-")</f>
        <v>1464.7123905863821</v>
      </c>
      <c r="K119" s="132">
        <f>IF($F119&lt;=$C$16*12,(SUMIF(Inputs!$C$61:$C$78,0,Inputs!$F$61:$F$78)/12)*(1+$C$34)^ROUNDDOWN((F119-1)/12,0),"-")</f>
        <v>1488.1666666666667</v>
      </c>
      <c r="L119" s="132">
        <f t="shared" si="33"/>
        <v>2952.8790572530488</v>
      </c>
      <c r="M119" s="132">
        <f>IF($F119&lt;=$C$16*12,'Mortgage Calculators (By Month)'!$C137,"-")</f>
        <v>0</v>
      </c>
      <c r="N119" s="132">
        <f>IF($F119&lt;=$C$16*12,'Mortgage Calculators (By Month)'!$D137,"-")</f>
        <v>0</v>
      </c>
      <c r="O119" s="132">
        <f>IF($F119&lt;=$C$16*12,'Mortgage Calculators (By Month)'!$E137,"-")</f>
        <v>8.3333333333333339</v>
      </c>
      <c r="P119" s="132">
        <f t="shared" si="54"/>
        <v>0</v>
      </c>
      <c r="Q119" s="132">
        <f t="shared" si="34"/>
        <v>2961.2123905863823</v>
      </c>
      <c r="R119" s="132">
        <f t="shared" si="35"/>
        <v>10362.68812989588</v>
      </c>
      <c r="S119" s="132">
        <f t="shared" si="36"/>
        <v>0</v>
      </c>
      <c r="T119" s="132">
        <f t="shared" si="28"/>
        <v>10362.68812989588</v>
      </c>
      <c r="U119" s="132">
        <f>IF($F119&lt;=$C$16*12,SUM(T$5:T119),"-")</f>
        <v>922621.96808428201</v>
      </c>
      <c r="V119" s="132">
        <f>IF($F119&lt;=$C$16*12,G119-$C$10-'RE Calculations'!$C306-'Mortgage Calculators (By Month)'!$F137,"-")</f>
        <v>951927.6938074379</v>
      </c>
      <c r="W119" s="29">
        <f t="shared" si="37"/>
        <v>0.59457316697809459</v>
      </c>
      <c r="X119" s="31">
        <f t="shared" si="38"/>
        <v>6.204241742380117E-2</v>
      </c>
      <c r="Y119" s="132">
        <f t="shared" si="39"/>
        <v>1874549.6618917198</v>
      </c>
      <c r="Z119" s="29">
        <f t="shared" si="40"/>
        <v>1.1708420044707053</v>
      </c>
      <c r="AA119" s="31">
        <f t="shared" si="41"/>
        <v>0.12217481785781271</v>
      </c>
      <c r="AD119" s="12">
        <f t="shared" si="42"/>
        <v>115</v>
      </c>
      <c r="AE119" s="132">
        <f t="shared" si="43"/>
        <v>2609647.6467422838</v>
      </c>
      <c r="AF119" s="132">
        <f>IF($AD119&lt;=$C$25*12,$AE119-$C$7+SUM('Mortgage Calculators (By Month)'!$K$23:$K137),"-")</f>
        <v>2609647.6467422838</v>
      </c>
      <c r="AG119" s="132">
        <f t="shared" si="44"/>
        <v>13315.567187148928</v>
      </c>
      <c r="AH119" s="132">
        <f>IF($AD119&lt;=$C$25*12,SUM(Inputs!$C$61:$C$78)*'Forecast (By Month)'!AG119,"-")</f>
        <v>1464.7123905863821</v>
      </c>
      <c r="AI119" s="132">
        <f>IF($AD119&lt;=$C$25*12,(SUMIF(Inputs!$C$61:$C$78,0,Inputs!$F$61:$F$78)/12)*(1+$C$34)^ROUNDDOWN((AD119-1)/12,0),"-")</f>
        <v>1488.1666666666667</v>
      </c>
      <c r="AJ119" s="132">
        <f t="shared" si="45"/>
        <v>2952.8790572530488</v>
      </c>
      <c r="AK119" s="132">
        <f>IF($AD119&lt;=$C$25*12,'Mortgage Calculators (By Month)'!$J137,"-")</f>
        <v>0</v>
      </c>
      <c r="AL119" s="132">
        <f>IF($AD119&lt;=$C$25*12,'Mortgage Calculators (By Month)'!$K137,"-")</f>
        <v>0</v>
      </c>
      <c r="AM119" s="132">
        <f>IF($AD119&lt;=$C$25*12,'Mortgage Calculators (By Month)'!$L137,"-")</f>
        <v>10</v>
      </c>
      <c r="AN119" s="132">
        <f t="shared" si="55"/>
        <v>0</v>
      </c>
      <c r="AO119" s="132">
        <f t="shared" si="46"/>
        <v>2962.8790572530488</v>
      </c>
      <c r="AP119" s="132">
        <f t="shared" si="47"/>
        <v>10362.68812989588</v>
      </c>
      <c r="AQ119" s="132">
        <f t="shared" si="48"/>
        <v>0</v>
      </c>
      <c r="AR119" s="132">
        <f t="shared" si="29"/>
        <v>10362.68812989588</v>
      </c>
      <c r="AS119" s="132">
        <f>IF($AD119&lt;=$C$25*12,SUM(AR$5:AR119),"-")</f>
        <v>922611.96808428201</v>
      </c>
      <c r="AT119" s="132">
        <f>IF($AD119&lt;=$C$25*12,AE119-$C$10-'RE Calculations'!$C306-'Mortgage Calculators (By Month)'!$M137,"-")</f>
        <v>951927.6938074379</v>
      </c>
      <c r="AU119" s="29">
        <f t="shared" si="49"/>
        <v>0.59457316697809459</v>
      </c>
      <c r="AV119" s="31">
        <f t="shared" si="50"/>
        <v>6.204241742380117E-2</v>
      </c>
      <c r="AW119" s="132">
        <f t="shared" si="51"/>
        <v>1874539.6618917198</v>
      </c>
      <c r="AX119" s="29">
        <f t="shared" si="52"/>
        <v>1.1708357584798506</v>
      </c>
      <c r="AY119" s="31">
        <f t="shared" si="53"/>
        <v>0.12217416610224527</v>
      </c>
    </row>
    <row r="120" spans="6:51" x14ac:dyDescent="0.35">
      <c r="F120" s="12">
        <f t="shared" si="30"/>
        <v>116</v>
      </c>
      <c r="G120" s="132">
        <f t="shared" si="31"/>
        <v>2620279.6742868186</v>
      </c>
      <c r="H120" s="132">
        <f>IF($F120&lt;=$C$16*12,$G120-$C$7+SUM('Mortgage Calculators (By Month)'!$D$23:$D138),"-")</f>
        <v>2620279.6742868186</v>
      </c>
      <c r="I120" s="132">
        <f t="shared" si="32"/>
        <v>13315.567187148928</v>
      </c>
      <c r="J120" s="132">
        <f>IF($F120&lt;=$C$16*12,SUM(Inputs!$C$61:$C$78)*'Forecast (By Month)'!I120,"-")</f>
        <v>1464.7123905863821</v>
      </c>
      <c r="K120" s="132">
        <f>IF($F120&lt;=$C$16*12,(SUMIF(Inputs!$C$61:$C$78,0,Inputs!$F$61:$F$78)/12)*(1+$C$34)^ROUNDDOWN((F120-1)/12,0),"-")</f>
        <v>1488.1666666666667</v>
      </c>
      <c r="L120" s="132">
        <f t="shared" si="33"/>
        <v>2952.8790572530488</v>
      </c>
      <c r="M120" s="132">
        <f>IF($F120&lt;=$C$16*12,'Mortgage Calculators (By Month)'!$C138,"-")</f>
        <v>0</v>
      </c>
      <c r="N120" s="132">
        <f>IF($F120&lt;=$C$16*12,'Mortgage Calculators (By Month)'!$D138,"-")</f>
        <v>0</v>
      </c>
      <c r="O120" s="132">
        <f>IF($F120&lt;=$C$16*12,'Mortgage Calculators (By Month)'!$E138,"-")</f>
        <v>8.3333333333333339</v>
      </c>
      <c r="P120" s="132">
        <f t="shared" si="54"/>
        <v>0</v>
      </c>
      <c r="Q120" s="132">
        <f t="shared" si="34"/>
        <v>2961.2123905863823</v>
      </c>
      <c r="R120" s="132">
        <f t="shared" si="35"/>
        <v>10362.68812989588</v>
      </c>
      <c r="S120" s="132">
        <f t="shared" si="36"/>
        <v>0</v>
      </c>
      <c r="T120" s="132">
        <f t="shared" si="28"/>
        <v>10362.68812989588</v>
      </c>
      <c r="U120" s="132">
        <f>IF($F120&lt;=$C$16*12,SUM(T$5:T120),"-")</f>
        <v>932984.65621417784</v>
      </c>
      <c r="V120" s="132">
        <f>IF($F120&lt;=$C$16*12,G120-$C$10-'RE Calculations'!$C307-'Mortgage Calculators (By Month)'!$F138,"-")</f>
        <v>962347.08080108196</v>
      </c>
      <c r="W120" s="29">
        <f t="shared" si="37"/>
        <v>0.60108110656539959</v>
      </c>
      <c r="X120" s="31">
        <f t="shared" si="38"/>
        <v>6.2180804127455136E-2</v>
      </c>
      <c r="Y120" s="132">
        <f t="shared" si="39"/>
        <v>1895331.7370152599</v>
      </c>
      <c r="Z120" s="29">
        <f t="shared" si="40"/>
        <v>1.1838224695868713</v>
      </c>
      <c r="AA120" s="31">
        <f t="shared" si="41"/>
        <v>0.12246439340553841</v>
      </c>
      <c r="AD120" s="12">
        <f t="shared" si="42"/>
        <v>116</v>
      </c>
      <c r="AE120" s="132">
        <f t="shared" si="43"/>
        <v>2620279.6742868186</v>
      </c>
      <c r="AF120" s="132">
        <f>IF($AD120&lt;=$C$25*12,$AE120-$C$7+SUM('Mortgage Calculators (By Month)'!$K$23:$K138),"-")</f>
        <v>2620279.6742868186</v>
      </c>
      <c r="AG120" s="132">
        <f t="shared" si="44"/>
        <v>13315.567187148928</v>
      </c>
      <c r="AH120" s="132">
        <f>IF($AD120&lt;=$C$25*12,SUM(Inputs!$C$61:$C$78)*'Forecast (By Month)'!AG120,"-")</f>
        <v>1464.7123905863821</v>
      </c>
      <c r="AI120" s="132">
        <f>IF($AD120&lt;=$C$25*12,(SUMIF(Inputs!$C$61:$C$78,0,Inputs!$F$61:$F$78)/12)*(1+$C$34)^ROUNDDOWN((AD120-1)/12,0),"-")</f>
        <v>1488.1666666666667</v>
      </c>
      <c r="AJ120" s="132">
        <f t="shared" si="45"/>
        <v>2952.8790572530488</v>
      </c>
      <c r="AK120" s="132">
        <f>IF($AD120&lt;=$C$25*12,'Mortgage Calculators (By Month)'!$J138,"-")</f>
        <v>0</v>
      </c>
      <c r="AL120" s="132">
        <f>IF($AD120&lt;=$C$25*12,'Mortgage Calculators (By Month)'!$K138,"-")</f>
        <v>0</v>
      </c>
      <c r="AM120" s="132">
        <f>IF($AD120&lt;=$C$25*12,'Mortgage Calculators (By Month)'!$L138,"-")</f>
        <v>10</v>
      </c>
      <c r="AN120" s="132">
        <f t="shared" si="55"/>
        <v>0</v>
      </c>
      <c r="AO120" s="132">
        <f t="shared" si="46"/>
        <v>2962.8790572530488</v>
      </c>
      <c r="AP120" s="132">
        <f t="shared" si="47"/>
        <v>10362.68812989588</v>
      </c>
      <c r="AQ120" s="132">
        <f t="shared" si="48"/>
        <v>0</v>
      </c>
      <c r="AR120" s="132">
        <f t="shared" si="29"/>
        <v>10362.68812989588</v>
      </c>
      <c r="AS120" s="132">
        <f>IF($AD120&lt;=$C$25*12,SUM(AR$5:AR120),"-")</f>
        <v>932974.65621417784</v>
      </c>
      <c r="AT120" s="132">
        <f>IF($AD120&lt;=$C$25*12,AE120-$C$10-'RE Calculations'!$C307-'Mortgage Calculators (By Month)'!$M138,"-")</f>
        <v>962347.08080108196</v>
      </c>
      <c r="AU120" s="29">
        <f t="shared" si="49"/>
        <v>0.60108110656539959</v>
      </c>
      <c r="AV120" s="31">
        <f t="shared" si="50"/>
        <v>6.2180804127455136E-2</v>
      </c>
      <c r="AW120" s="132">
        <f t="shared" si="51"/>
        <v>1895321.7370152599</v>
      </c>
      <c r="AX120" s="29">
        <f t="shared" si="52"/>
        <v>1.1838162235960168</v>
      </c>
      <c r="AY120" s="31">
        <f t="shared" si="53"/>
        <v>0.12246374726855347</v>
      </c>
    </row>
    <row r="121" spans="6:51" x14ac:dyDescent="0.35">
      <c r="F121" s="12">
        <f t="shared" si="30"/>
        <v>117</v>
      </c>
      <c r="G121" s="132">
        <f t="shared" si="31"/>
        <v>2630955.0180276409</v>
      </c>
      <c r="H121" s="132">
        <f>IF($F121&lt;=$C$16*12,$G121-$C$7+SUM('Mortgage Calculators (By Month)'!$D$23:$D139),"-")</f>
        <v>2630955.0180276409</v>
      </c>
      <c r="I121" s="132">
        <f t="shared" si="32"/>
        <v>13315.567187148928</v>
      </c>
      <c r="J121" s="132">
        <f>IF($F121&lt;=$C$16*12,SUM(Inputs!$C$61:$C$78)*'Forecast (By Month)'!I121,"-")</f>
        <v>1464.7123905863821</v>
      </c>
      <c r="K121" s="132">
        <f>IF($F121&lt;=$C$16*12,(SUMIF(Inputs!$C$61:$C$78,0,Inputs!$F$61:$F$78)/12)*(1+$C$34)^ROUNDDOWN((F121-1)/12,0),"-")</f>
        <v>1488.1666666666667</v>
      </c>
      <c r="L121" s="132">
        <f t="shared" si="33"/>
        <v>2952.8790572530488</v>
      </c>
      <c r="M121" s="132">
        <f>IF($F121&lt;=$C$16*12,'Mortgage Calculators (By Month)'!$C139,"-")</f>
        <v>0</v>
      </c>
      <c r="N121" s="132">
        <f>IF($F121&lt;=$C$16*12,'Mortgage Calculators (By Month)'!$D139,"-")</f>
        <v>0</v>
      </c>
      <c r="O121" s="132">
        <f>IF($F121&lt;=$C$16*12,'Mortgage Calculators (By Month)'!$E139,"-")</f>
        <v>8.3333333333333339</v>
      </c>
      <c r="P121" s="132">
        <f t="shared" si="54"/>
        <v>0</v>
      </c>
      <c r="Q121" s="132">
        <f t="shared" si="34"/>
        <v>2961.2123905863823</v>
      </c>
      <c r="R121" s="132">
        <f t="shared" si="35"/>
        <v>10362.68812989588</v>
      </c>
      <c r="S121" s="132">
        <f t="shared" si="36"/>
        <v>0</v>
      </c>
      <c r="T121" s="132">
        <f t="shared" si="28"/>
        <v>10362.68812989588</v>
      </c>
      <c r="U121" s="132">
        <f>IF($F121&lt;=$C$16*12,SUM(T$5:T121),"-")</f>
        <v>943347.34434407367</v>
      </c>
      <c r="V121" s="132">
        <f>IF($F121&lt;=$C$16*12,G121-$C$10-'RE Calculations'!$C308-'Mortgage Calculators (By Month)'!$F139,"-")</f>
        <v>972808.91766708787</v>
      </c>
      <c r="W121" s="29">
        <f t="shared" si="37"/>
        <v>0.60761556030415964</v>
      </c>
      <c r="X121" s="31">
        <f t="shared" si="38"/>
        <v>6.2319544646580474E-2</v>
      </c>
      <c r="Y121" s="132">
        <f t="shared" si="39"/>
        <v>1916156.2620111615</v>
      </c>
      <c r="Z121" s="29">
        <f t="shared" si="40"/>
        <v>1.1968294488544924</v>
      </c>
      <c r="AA121" s="31">
        <f t="shared" si="41"/>
        <v>0.1227517383440505</v>
      </c>
      <c r="AD121" s="12">
        <f t="shared" si="42"/>
        <v>117</v>
      </c>
      <c r="AE121" s="132">
        <f t="shared" si="43"/>
        <v>2630955.0180276409</v>
      </c>
      <c r="AF121" s="132">
        <f>IF($AD121&lt;=$C$25*12,$AE121-$C$7+SUM('Mortgage Calculators (By Month)'!$K$23:$K139),"-")</f>
        <v>2630955.0180276409</v>
      </c>
      <c r="AG121" s="132">
        <f t="shared" si="44"/>
        <v>13315.567187148928</v>
      </c>
      <c r="AH121" s="132">
        <f>IF($AD121&lt;=$C$25*12,SUM(Inputs!$C$61:$C$78)*'Forecast (By Month)'!AG121,"-")</f>
        <v>1464.7123905863821</v>
      </c>
      <c r="AI121" s="132">
        <f>IF($AD121&lt;=$C$25*12,(SUMIF(Inputs!$C$61:$C$78,0,Inputs!$F$61:$F$78)/12)*(1+$C$34)^ROUNDDOWN((AD121-1)/12,0),"-")</f>
        <v>1488.1666666666667</v>
      </c>
      <c r="AJ121" s="132">
        <f t="shared" si="45"/>
        <v>2952.8790572530488</v>
      </c>
      <c r="AK121" s="132">
        <f>IF($AD121&lt;=$C$25*12,'Mortgage Calculators (By Month)'!$J139,"-")</f>
        <v>0</v>
      </c>
      <c r="AL121" s="132">
        <f>IF($AD121&lt;=$C$25*12,'Mortgage Calculators (By Month)'!$K139,"-")</f>
        <v>0</v>
      </c>
      <c r="AM121" s="132">
        <f>IF($AD121&lt;=$C$25*12,'Mortgage Calculators (By Month)'!$L139,"-")</f>
        <v>10</v>
      </c>
      <c r="AN121" s="132">
        <f t="shared" si="55"/>
        <v>0</v>
      </c>
      <c r="AO121" s="132">
        <f t="shared" si="46"/>
        <v>2962.8790572530488</v>
      </c>
      <c r="AP121" s="132">
        <f t="shared" si="47"/>
        <v>10362.68812989588</v>
      </c>
      <c r="AQ121" s="132">
        <f t="shared" si="48"/>
        <v>0</v>
      </c>
      <c r="AR121" s="132">
        <f t="shared" si="29"/>
        <v>10362.68812989588</v>
      </c>
      <c r="AS121" s="132">
        <f>IF($AD121&lt;=$C$25*12,SUM(AR$5:AR121),"-")</f>
        <v>943337.34434407367</v>
      </c>
      <c r="AT121" s="132">
        <f>IF($AD121&lt;=$C$25*12,AE121-$C$10-'RE Calculations'!$C308-'Mortgage Calculators (By Month)'!$M139,"-")</f>
        <v>972808.91766708787</v>
      </c>
      <c r="AU121" s="29">
        <f t="shared" si="49"/>
        <v>0.60761556030415964</v>
      </c>
      <c r="AV121" s="31">
        <f t="shared" si="50"/>
        <v>6.2319544646580474E-2</v>
      </c>
      <c r="AW121" s="132">
        <f t="shared" si="51"/>
        <v>1916146.2620111615</v>
      </c>
      <c r="AX121" s="29">
        <f t="shared" si="52"/>
        <v>1.1968232028636379</v>
      </c>
      <c r="AY121" s="31">
        <f t="shared" si="53"/>
        <v>0.12275109772960388</v>
      </c>
    </row>
    <row r="122" spans="6:51" x14ac:dyDescent="0.35">
      <c r="F122" s="12">
        <f t="shared" si="30"/>
        <v>118</v>
      </c>
      <c r="G122" s="132">
        <f t="shared" si="31"/>
        <v>2641673.8544402961</v>
      </c>
      <c r="H122" s="132">
        <f>IF($F122&lt;=$C$16*12,$G122-$C$7+SUM('Mortgage Calculators (By Month)'!$D$23:$D140),"-")</f>
        <v>2641673.8544402961</v>
      </c>
      <c r="I122" s="132">
        <f t="shared" si="32"/>
        <v>13315.567187148928</v>
      </c>
      <c r="J122" s="132">
        <f>IF($F122&lt;=$C$16*12,SUM(Inputs!$C$61:$C$78)*'Forecast (By Month)'!I122,"-")</f>
        <v>1464.7123905863821</v>
      </c>
      <c r="K122" s="132">
        <f>IF($F122&lt;=$C$16*12,(SUMIF(Inputs!$C$61:$C$78,0,Inputs!$F$61:$F$78)/12)*(1+$C$34)^ROUNDDOWN((F122-1)/12,0),"-")</f>
        <v>1488.1666666666667</v>
      </c>
      <c r="L122" s="132">
        <f t="shared" si="33"/>
        <v>2952.8790572530488</v>
      </c>
      <c r="M122" s="132">
        <f>IF($F122&lt;=$C$16*12,'Mortgage Calculators (By Month)'!$C140,"-")</f>
        <v>0</v>
      </c>
      <c r="N122" s="132">
        <f>IF($F122&lt;=$C$16*12,'Mortgage Calculators (By Month)'!$D140,"-")</f>
        <v>0</v>
      </c>
      <c r="O122" s="132">
        <f>IF($F122&lt;=$C$16*12,'Mortgage Calculators (By Month)'!$E140,"-")</f>
        <v>8.3333333333333339</v>
      </c>
      <c r="P122" s="132">
        <f t="shared" si="54"/>
        <v>0</v>
      </c>
      <c r="Q122" s="132">
        <f t="shared" si="34"/>
        <v>2961.2123905863823</v>
      </c>
      <c r="R122" s="132">
        <f t="shared" si="35"/>
        <v>10362.68812989588</v>
      </c>
      <c r="S122" s="132">
        <f t="shared" si="36"/>
        <v>0</v>
      </c>
      <c r="T122" s="132">
        <f t="shared" si="28"/>
        <v>10362.68812989588</v>
      </c>
      <c r="U122" s="132">
        <f>IF($F122&lt;=$C$16*12,SUM(T$5:T122),"-")</f>
        <v>953710.03247396951</v>
      </c>
      <c r="V122" s="132">
        <f>IF($F122&lt;=$C$16*12,G122-$C$10-'RE Calculations'!$C309-'Mortgage Calculators (By Month)'!$F140,"-")</f>
        <v>983313.37735148985</v>
      </c>
      <c r="W122" s="29">
        <f t="shared" si="37"/>
        <v>0.6141766362163098</v>
      </c>
      <c r="X122" s="31">
        <f t="shared" si="38"/>
        <v>6.2458640971150142E-2</v>
      </c>
      <c r="Y122" s="132">
        <f t="shared" si="39"/>
        <v>1937023.4098254594</v>
      </c>
      <c r="Z122" s="29">
        <f t="shared" si="40"/>
        <v>1.2098630502955037</v>
      </c>
      <c r="AA122" s="31">
        <f t="shared" si="41"/>
        <v>0.12303692036903427</v>
      </c>
      <c r="AD122" s="12">
        <f t="shared" si="42"/>
        <v>118</v>
      </c>
      <c r="AE122" s="132">
        <f t="shared" si="43"/>
        <v>2641673.8544402961</v>
      </c>
      <c r="AF122" s="132">
        <f>IF($AD122&lt;=$C$25*12,$AE122-$C$7+SUM('Mortgage Calculators (By Month)'!$K$23:$K140),"-")</f>
        <v>2641673.8544402961</v>
      </c>
      <c r="AG122" s="132">
        <f t="shared" si="44"/>
        <v>13315.567187148928</v>
      </c>
      <c r="AH122" s="132">
        <f>IF($AD122&lt;=$C$25*12,SUM(Inputs!$C$61:$C$78)*'Forecast (By Month)'!AG122,"-")</f>
        <v>1464.7123905863821</v>
      </c>
      <c r="AI122" s="132">
        <f>IF($AD122&lt;=$C$25*12,(SUMIF(Inputs!$C$61:$C$78,0,Inputs!$F$61:$F$78)/12)*(1+$C$34)^ROUNDDOWN((AD122-1)/12,0),"-")</f>
        <v>1488.1666666666667</v>
      </c>
      <c r="AJ122" s="132">
        <f t="shared" si="45"/>
        <v>2952.8790572530488</v>
      </c>
      <c r="AK122" s="132">
        <f>IF($AD122&lt;=$C$25*12,'Mortgage Calculators (By Month)'!$J140,"-")</f>
        <v>0</v>
      </c>
      <c r="AL122" s="132">
        <f>IF($AD122&lt;=$C$25*12,'Mortgage Calculators (By Month)'!$K140,"-")</f>
        <v>0</v>
      </c>
      <c r="AM122" s="132">
        <f>IF($AD122&lt;=$C$25*12,'Mortgage Calculators (By Month)'!$L140,"-")</f>
        <v>10</v>
      </c>
      <c r="AN122" s="132">
        <f t="shared" si="55"/>
        <v>0</v>
      </c>
      <c r="AO122" s="132">
        <f t="shared" si="46"/>
        <v>2962.8790572530488</v>
      </c>
      <c r="AP122" s="132">
        <f t="shared" si="47"/>
        <v>10362.68812989588</v>
      </c>
      <c r="AQ122" s="132">
        <f t="shared" si="48"/>
        <v>0</v>
      </c>
      <c r="AR122" s="132">
        <f t="shared" si="29"/>
        <v>10362.68812989588</v>
      </c>
      <c r="AS122" s="132">
        <f>IF($AD122&lt;=$C$25*12,SUM(AR$5:AR122),"-")</f>
        <v>953700.03247396951</v>
      </c>
      <c r="AT122" s="132">
        <f>IF($AD122&lt;=$C$25*12,AE122-$C$10-'RE Calculations'!$C309-'Mortgage Calculators (By Month)'!$M140,"-")</f>
        <v>983313.37735148985</v>
      </c>
      <c r="AU122" s="29">
        <f t="shared" si="49"/>
        <v>0.6141766362163098</v>
      </c>
      <c r="AV122" s="31">
        <f t="shared" si="50"/>
        <v>6.2458640971150142E-2</v>
      </c>
      <c r="AW122" s="132">
        <f t="shared" si="51"/>
        <v>1937013.4098254594</v>
      </c>
      <c r="AX122" s="29">
        <f t="shared" si="52"/>
        <v>1.2098568043046491</v>
      </c>
      <c r="AY122" s="31">
        <f t="shared" si="53"/>
        <v>0.12303628518352364</v>
      </c>
    </row>
    <row r="123" spans="6:51" x14ac:dyDescent="0.35">
      <c r="F123" s="12">
        <f t="shared" si="30"/>
        <v>119</v>
      </c>
      <c r="G123" s="132">
        <f t="shared" si="31"/>
        <v>2652436.3607193134</v>
      </c>
      <c r="H123" s="132">
        <f>IF($F123&lt;=$C$16*12,$G123-$C$7+SUM('Mortgage Calculators (By Month)'!$D$23:$D141),"-")</f>
        <v>2652436.3607193134</v>
      </c>
      <c r="I123" s="132">
        <f t="shared" si="32"/>
        <v>13315.567187148928</v>
      </c>
      <c r="J123" s="132">
        <f>IF($F123&lt;=$C$16*12,SUM(Inputs!$C$61:$C$78)*'Forecast (By Month)'!I123,"-")</f>
        <v>1464.7123905863821</v>
      </c>
      <c r="K123" s="132">
        <f>IF($F123&lt;=$C$16*12,(SUMIF(Inputs!$C$61:$C$78,0,Inputs!$F$61:$F$78)/12)*(1+$C$34)^ROUNDDOWN((F123-1)/12,0),"-")</f>
        <v>1488.1666666666667</v>
      </c>
      <c r="L123" s="132">
        <f t="shared" si="33"/>
        <v>2952.8790572530488</v>
      </c>
      <c r="M123" s="132">
        <f>IF($F123&lt;=$C$16*12,'Mortgage Calculators (By Month)'!$C141,"-")</f>
        <v>0</v>
      </c>
      <c r="N123" s="132">
        <f>IF($F123&lt;=$C$16*12,'Mortgage Calculators (By Month)'!$D141,"-")</f>
        <v>0</v>
      </c>
      <c r="O123" s="132">
        <f>IF($F123&lt;=$C$16*12,'Mortgage Calculators (By Month)'!$E141,"-")</f>
        <v>8.3333333333333339</v>
      </c>
      <c r="P123" s="132">
        <f t="shared" si="54"/>
        <v>0</v>
      </c>
      <c r="Q123" s="132">
        <f t="shared" si="34"/>
        <v>2961.2123905863823</v>
      </c>
      <c r="R123" s="132">
        <f t="shared" si="35"/>
        <v>10362.68812989588</v>
      </c>
      <c r="S123" s="132">
        <f t="shared" si="36"/>
        <v>0</v>
      </c>
      <c r="T123" s="132">
        <f t="shared" si="28"/>
        <v>10362.68812989588</v>
      </c>
      <c r="U123" s="132">
        <f>IF($F123&lt;=$C$16*12,SUM(T$5:T123),"-")</f>
        <v>964072.72060386534</v>
      </c>
      <c r="V123" s="132">
        <f>IF($F123&lt;=$C$16*12,G123-$C$10-'RE Calculations'!$C310-'Mortgage Calculators (By Month)'!$F141,"-")</f>
        <v>993860.63350492693</v>
      </c>
      <c r="W123" s="29">
        <f t="shared" si="37"/>
        <v>0.62076444276388021</v>
      </c>
      <c r="X123" s="31">
        <f t="shared" si="38"/>
        <v>6.2598095068626583E-2</v>
      </c>
      <c r="Y123" s="132">
        <f t="shared" si="39"/>
        <v>1957933.3541087923</v>
      </c>
      <c r="Z123" s="29">
        <f t="shared" si="40"/>
        <v>1.2229233823719352</v>
      </c>
      <c r="AA123" s="31">
        <f t="shared" si="41"/>
        <v>0.1233200049450691</v>
      </c>
      <c r="AD123" s="12">
        <f t="shared" si="42"/>
        <v>119</v>
      </c>
      <c r="AE123" s="132">
        <f t="shared" si="43"/>
        <v>2652436.3607193134</v>
      </c>
      <c r="AF123" s="132">
        <f>IF($AD123&lt;=$C$25*12,$AE123-$C$7+SUM('Mortgage Calculators (By Month)'!$K$23:$K141),"-")</f>
        <v>2652436.3607193134</v>
      </c>
      <c r="AG123" s="132">
        <f t="shared" si="44"/>
        <v>13315.567187148928</v>
      </c>
      <c r="AH123" s="132">
        <f>IF($AD123&lt;=$C$25*12,SUM(Inputs!$C$61:$C$78)*'Forecast (By Month)'!AG123,"-")</f>
        <v>1464.7123905863821</v>
      </c>
      <c r="AI123" s="132">
        <f>IF($AD123&lt;=$C$25*12,(SUMIF(Inputs!$C$61:$C$78,0,Inputs!$F$61:$F$78)/12)*(1+$C$34)^ROUNDDOWN((AD123-1)/12,0),"-")</f>
        <v>1488.1666666666667</v>
      </c>
      <c r="AJ123" s="132">
        <f t="shared" si="45"/>
        <v>2952.8790572530488</v>
      </c>
      <c r="AK123" s="132">
        <f>IF($AD123&lt;=$C$25*12,'Mortgage Calculators (By Month)'!$J141,"-")</f>
        <v>0</v>
      </c>
      <c r="AL123" s="132">
        <f>IF($AD123&lt;=$C$25*12,'Mortgage Calculators (By Month)'!$K141,"-")</f>
        <v>0</v>
      </c>
      <c r="AM123" s="132">
        <f>IF($AD123&lt;=$C$25*12,'Mortgage Calculators (By Month)'!$L141,"-")</f>
        <v>10</v>
      </c>
      <c r="AN123" s="132">
        <f t="shared" si="55"/>
        <v>0</v>
      </c>
      <c r="AO123" s="132">
        <f t="shared" si="46"/>
        <v>2962.8790572530488</v>
      </c>
      <c r="AP123" s="132">
        <f t="shared" si="47"/>
        <v>10362.68812989588</v>
      </c>
      <c r="AQ123" s="132">
        <f t="shared" si="48"/>
        <v>0</v>
      </c>
      <c r="AR123" s="132">
        <f t="shared" si="29"/>
        <v>10362.68812989588</v>
      </c>
      <c r="AS123" s="132">
        <f>IF($AD123&lt;=$C$25*12,SUM(AR$5:AR123),"-")</f>
        <v>964062.72060386534</v>
      </c>
      <c r="AT123" s="132">
        <f>IF($AD123&lt;=$C$25*12,AE123-$C$10-'RE Calculations'!$C310-'Mortgage Calculators (By Month)'!$M141,"-")</f>
        <v>993860.63350492693</v>
      </c>
      <c r="AU123" s="29">
        <f t="shared" si="49"/>
        <v>0.62076444276388021</v>
      </c>
      <c r="AV123" s="31">
        <f t="shared" si="50"/>
        <v>6.2598095068626583E-2</v>
      </c>
      <c r="AW123" s="132">
        <f t="shared" si="51"/>
        <v>1957923.3541087923</v>
      </c>
      <c r="AX123" s="29">
        <f t="shared" si="52"/>
        <v>1.2229171363810805</v>
      </c>
      <c r="AY123" s="31">
        <f t="shared" si="53"/>
        <v>0.12331937509725181</v>
      </c>
    </row>
    <row r="124" spans="6:51" x14ac:dyDescent="0.35">
      <c r="F124" s="12">
        <f t="shared" si="30"/>
        <v>120</v>
      </c>
      <c r="G124" s="132">
        <f t="shared" si="31"/>
        <v>2663242.7147811335</v>
      </c>
      <c r="H124" s="132">
        <f>IF($F124&lt;=$C$16*12,$G124-$C$7+SUM('Mortgage Calculators (By Month)'!$D$23:$D142),"-")</f>
        <v>2663242.7147811335</v>
      </c>
      <c r="I124" s="132">
        <f t="shared" si="32"/>
        <v>13315.567187148928</v>
      </c>
      <c r="J124" s="132">
        <f>IF($F124&lt;=$C$16*12,SUM(Inputs!$C$61:$C$78)*'Forecast (By Month)'!I124,"-")</f>
        <v>1464.7123905863821</v>
      </c>
      <c r="K124" s="132">
        <f>IF($F124&lt;=$C$16*12,(SUMIF(Inputs!$C$61:$C$78,0,Inputs!$F$61:$F$78)/12)*(1+$C$34)^ROUNDDOWN((F124-1)/12,0),"-")</f>
        <v>1488.1666666666667</v>
      </c>
      <c r="L124" s="132">
        <f t="shared" si="33"/>
        <v>2952.8790572530488</v>
      </c>
      <c r="M124" s="132">
        <f>IF($F124&lt;=$C$16*12,'Mortgage Calculators (By Month)'!$C142,"-")</f>
        <v>0</v>
      </c>
      <c r="N124" s="132">
        <f>IF($F124&lt;=$C$16*12,'Mortgage Calculators (By Month)'!$D142,"-")</f>
        <v>0</v>
      </c>
      <c r="O124" s="132">
        <f>IF($F124&lt;=$C$16*12,'Mortgage Calculators (By Month)'!$E142,"-")</f>
        <v>8.3333333333333339</v>
      </c>
      <c r="P124" s="132">
        <f t="shared" si="54"/>
        <v>0</v>
      </c>
      <c r="Q124" s="132">
        <f t="shared" si="34"/>
        <v>2961.2123905863823</v>
      </c>
      <c r="R124" s="132">
        <f t="shared" si="35"/>
        <v>10362.68812989588</v>
      </c>
      <c r="S124" s="132">
        <f t="shared" si="36"/>
        <v>0</v>
      </c>
      <c r="T124" s="132">
        <f t="shared" si="28"/>
        <v>10362.68812989588</v>
      </c>
      <c r="U124" s="132">
        <f>IF($F124&lt;=$C$16*12,SUM(T$5:T124),"-")</f>
        <v>974435.40873376117</v>
      </c>
      <c r="V124" s="132">
        <f>IF($F124&lt;=$C$16*12,G124-$C$10-'RE Calculations'!$C311-'Mortgage Calculators (By Month)'!$F142,"-")</f>
        <v>1004450.8604855106</v>
      </c>
      <c r="W124" s="29">
        <f t="shared" si="37"/>
        <v>0.62737908885078797</v>
      </c>
      <c r="X124" s="31">
        <f t="shared" si="38"/>
        <v>6.2737908885078797E-2</v>
      </c>
      <c r="Y124" s="132">
        <f t="shared" si="39"/>
        <v>1978886.2692192718</v>
      </c>
      <c r="Z124" s="29">
        <f t="shared" si="40"/>
        <v>1.236010553987704</v>
      </c>
      <c r="AA124" s="31">
        <f t="shared" si="41"/>
        <v>0.12360105539877039</v>
      </c>
      <c r="AD124" s="12">
        <f t="shared" si="42"/>
        <v>120</v>
      </c>
      <c r="AE124" s="132">
        <f t="shared" si="43"/>
        <v>2663242.7147811335</v>
      </c>
      <c r="AF124" s="132">
        <f>IF($AD124&lt;=$C$25*12,$AE124-$C$7+SUM('Mortgage Calculators (By Month)'!$K$23:$K142),"-")</f>
        <v>2663242.7147811335</v>
      </c>
      <c r="AG124" s="132">
        <f t="shared" si="44"/>
        <v>13315.567187148928</v>
      </c>
      <c r="AH124" s="132">
        <f>IF($AD124&lt;=$C$25*12,SUM(Inputs!$C$61:$C$78)*'Forecast (By Month)'!AG124,"-")</f>
        <v>1464.7123905863821</v>
      </c>
      <c r="AI124" s="132">
        <f>IF($AD124&lt;=$C$25*12,(SUMIF(Inputs!$C$61:$C$78,0,Inputs!$F$61:$F$78)/12)*(1+$C$34)^ROUNDDOWN((AD124-1)/12,0),"-")</f>
        <v>1488.1666666666667</v>
      </c>
      <c r="AJ124" s="132">
        <f t="shared" si="45"/>
        <v>2952.8790572530488</v>
      </c>
      <c r="AK124" s="132">
        <f>IF($AD124&lt;=$C$25*12,'Mortgage Calculators (By Month)'!$J142,"-")</f>
        <v>0</v>
      </c>
      <c r="AL124" s="132">
        <f>IF($AD124&lt;=$C$25*12,'Mortgage Calculators (By Month)'!$K142,"-")</f>
        <v>0</v>
      </c>
      <c r="AM124" s="132">
        <f>IF($AD124&lt;=$C$25*12,'Mortgage Calculators (By Month)'!$L142,"-")</f>
        <v>10</v>
      </c>
      <c r="AN124" s="132">
        <f t="shared" si="55"/>
        <v>0</v>
      </c>
      <c r="AO124" s="132">
        <f t="shared" si="46"/>
        <v>2962.8790572530488</v>
      </c>
      <c r="AP124" s="132">
        <f t="shared" si="47"/>
        <v>10362.68812989588</v>
      </c>
      <c r="AQ124" s="132">
        <f t="shared" si="48"/>
        <v>0</v>
      </c>
      <c r="AR124" s="132">
        <f t="shared" si="29"/>
        <v>10362.68812989588</v>
      </c>
      <c r="AS124" s="132">
        <f>IF($AD124&lt;=$C$25*12,SUM(AR$5:AR124),"-")</f>
        <v>974425.40873376117</v>
      </c>
      <c r="AT124" s="132">
        <f>IF($AD124&lt;=$C$25*12,AE124-$C$10-'RE Calculations'!$C311-'Mortgage Calculators (By Month)'!$M142,"-")</f>
        <v>1004450.8604855106</v>
      </c>
      <c r="AU124" s="29">
        <f t="shared" si="49"/>
        <v>0.62737908885078797</v>
      </c>
      <c r="AV124" s="31">
        <f t="shared" si="50"/>
        <v>6.2737908885078797E-2</v>
      </c>
      <c r="AW124" s="132">
        <f t="shared" si="51"/>
        <v>1978876.2692192718</v>
      </c>
      <c r="AX124" s="29">
        <f t="shared" si="52"/>
        <v>1.2360043079968495</v>
      </c>
      <c r="AY124" s="31">
        <f t="shared" si="53"/>
        <v>0.12360043079968494</v>
      </c>
    </row>
    <row r="125" spans="6:51" x14ac:dyDescent="0.35">
      <c r="F125" s="12">
        <f t="shared" si="30"/>
        <v>121</v>
      </c>
      <c r="G125" s="132">
        <f t="shared" si="31"/>
        <v>2674093.0952670514</v>
      </c>
      <c r="H125" s="132">
        <f>IF($F125&lt;=$C$16*12,$G125-$C$7+SUM('Mortgage Calculators (By Month)'!$D$23:$D143),"-")</f>
        <v>2674093.0952670514</v>
      </c>
      <c r="I125" s="132">
        <f t="shared" si="32"/>
        <v>13981.345546506374</v>
      </c>
      <c r="J125" s="132">
        <f>IF($F125&lt;=$C$16*12,SUM(Inputs!$C$61:$C$78)*'Forecast (By Month)'!I125,"-")</f>
        <v>1537.9480101157012</v>
      </c>
      <c r="K125" s="132">
        <f>IF($F125&lt;=$C$16*12,(SUMIF(Inputs!$C$61:$C$78,0,Inputs!$F$61:$F$78)/12)*(1+$C$34)^ROUNDDOWN((F125-1)/12,0),"-")</f>
        <v>1488.1666666666667</v>
      </c>
      <c r="L125" s="132">
        <f t="shared" si="33"/>
        <v>3026.114676782368</v>
      </c>
      <c r="M125" s="132">
        <f>IF($F125&lt;=$C$16*12,'Mortgage Calculators (By Month)'!$C143,"-")</f>
        <v>0</v>
      </c>
      <c r="N125" s="132">
        <f>IF($F125&lt;=$C$16*12,'Mortgage Calculators (By Month)'!$D143,"-")</f>
        <v>0</v>
      </c>
      <c r="O125" s="132">
        <f>IF($F125&lt;=$C$16*12,'Mortgage Calculators (By Month)'!$E143,"-")</f>
        <v>8.3333333333333339</v>
      </c>
      <c r="P125" s="132">
        <f t="shared" si="54"/>
        <v>0</v>
      </c>
      <c r="Q125" s="132">
        <f t="shared" si="34"/>
        <v>3034.4480101157014</v>
      </c>
      <c r="R125" s="132">
        <f t="shared" si="35"/>
        <v>10955.230869724006</v>
      </c>
      <c r="S125" s="132">
        <f t="shared" si="36"/>
        <v>0</v>
      </c>
      <c r="T125" s="132">
        <f t="shared" si="28"/>
        <v>10955.230869724006</v>
      </c>
      <c r="U125" s="132">
        <f>IF($F125&lt;=$C$16*12,SUM(T$5:T125),"-")</f>
        <v>985390.63960348512</v>
      </c>
      <c r="V125" s="132">
        <f>IF($F125&lt;=$C$16*12,G125-$C$10-'RE Calculations'!$C312-'Mortgage Calculators (By Month)'!$F143,"-")</f>
        <v>1015084.2333617101</v>
      </c>
      <c r="W125" s="29">
        <f t="shared" si="37"/>
        <v>0.63402068382463883</v>
      </c>
      <c r="X125" s="31">
        <f t="shared" si="38"/>
        <v>6.2878084346245172E-2</v>
      </c>
      <c r="Y125" s="132">
        <f t="shared" si="39"/>
        <v>2000474.8729651952</v>
      </c>
      <c r="Z125" s="29">
        <f t="shared" si="40"/>
        <v>1.2494947761438098</v>
      </c>
      <c r="AA125" s="31">
        <f t="shared" si="41"/>
        <v>0.12391683730351832</v>
      </c>
      <c r="AD125" s="12">
        <f t="shared" si="42"/>
        <v>121</v>
      </c>
      <c r="AE125" s="132">
        <f t="shared" si="43"/>
        <v>2674093.0952670514</v>
      </c>
      <c r="AF125" s="132">
        <f>IF($AD125&lt;=$C$25*12,$AE125-$C$7+SUM('Mortgage Calculators (By Month)'!$K$23:$K143),"-")</f>
        <v>2674093.0952670514</v>
      </c>
      <c r="AG125" s="132">
        <f t="shared" si="44"/>
        <v>13981.345546506374</v>
      </c>
      <c r="AH125" s="132">
        <f>IF($AD125&lt;=$C$25*12,SUM(Inputs!$C$61:$C$78)*'Forecast (By Month)'!AG125,"-")</f>
        <v>1537.9480101157012</v>
      </c>
      <c r="AI125" s="132">
        <f>IF($AD125&lt;=$C$25*12,(SUMIF(Inputs!$C$61:$C$78,0,Inputs!$F$61:$F$78)/12)*(1+$C$34)^ROUNDDOWN((AD125-1)/12,0),"-")</f>
        <v>1488.1666666666667</v>
      </c>
      <c r="AJ125" s="132">
        <f t="shared" si="45"/>
        <v>3026.114676782368</v>
      </c>
      <c r="AK125" s="132">
        <f>IF($AD125&lt;=$C$25*12,'Mortgage Calculators (By Month)'!$J143,"-")</f>
        <v>0</v>
      </c>
      <c r="AL125" s="132">
        <f>IF($AD125&lt;=$C$25*12,'Mortgage Calculators (By Month)'!$K143,"-")</f>
        <v>0</v>
      </c>
      <c r="AM125" s="132">
        <f>IF($AD125&lt;=$C$25*12,'Mortgage Calculators (By Month)'!$L143,"-")</f>
        <v>10</v>
      </c>
      <c r="AN125" s="132">
        <f t="shared" si="55"/>
        <v>0</v>
      </c>
      <c r="AO125" s="132">
        <f t="shared" si="46"/>
        <v>3036.114676782368</v>
      </c>
      <c r="AP125" s="132">
        <f t="shared" si="47"/>
        <v>10955.230869724006</v>
      </c>
      <c r="AQ125" s="132">
        <f t="shared" si="48"/>
        <v>0</v>
      </c>
      <c r="AR125" s="132">
        <f t="shared" si="29"/>
        <v>10955.230869724006</v>
      </c>
      <c r="AS125" s="132">
        <f>IF($AD125&lt;=$C$25*12,SUM(AR$5:AR125),"-")</f>
        <v>985380.63960348512</v>
      </c>
      <c r="AT125" s="132">
        <f>IF($AD125&lt;=$C$25*12,AE125-$C$10-'RE Calculations'!$C312-'Mortgage Calculators (By Month)'!$M143,"-")</f>
        <v>1015084.2333617101</v>
      </c>
      <c r="AU125" s="29">
        <f t="shared" si="49"/>
        <v>0.63402068382463883</v>
      </c>
      <c r="AV125" s="31">
        <f t="shared" si="50"/>
        <v>6.2878084346245172E-2</v>
      </c>
      <c r="AW125" s="132">
        <f t="shared" si="51"/>
        <v>2000464.8729651952</v>
      </c>
      <c r="AX125" s="29">
        <f t="shared" si="52"/>
        <v>1.249488530152955</v>
      </c>
      <c r="AY125" s="31">
        <f t="shared" si="53"/>
        <v>0.12391621786640876</v>
      </c>
    </row>
    <row r="126" spans="6:51" x14ac:dyDescent="0.35">
      <c r="F126" s="12">
        <f t="shared" si="30"/>
        <v>122</v>
      </c>
      <c r="G126" s="132">
        <f t="shared" si="31"/>
        <v>2684987.6815461689</v>
      </c>
      <c r="H126" s="132">
        <f>IF($F126&lt;=$C$16*12,$G126-$C$7+SUM('Mortgage Calculators (By Month)'!$D$23:$D144),"-")</f>
        <v>2684987.6815461689</v>
      </c>
      <c r="I126" s="132">
        <f t="shared" si="32"/>
        <v>13981.345546506374</v>
      </c>
      <c r="J126" s="132">
        <f>IF($F126&lt;=$C$16*12,SUM(Inputs!$C$61:$C$78)*'Forecast (By Month)'!I126,"-")</f>
        <v>1537.9480101157012</v>
      </c>
      <c r="K126" s="132">
        <f>IF($F126&lt;=$C$16*12,(SUMIF(Inputs!$C$61:$C$78,0,Inputs!$F$61:$F$78)/12)*(1+$C$34)^ROUNDDOWN((F126-1)/12,0),"-")</f>
        <v>1488.1666666666667</v>
      </c>
      <c r="L126" s="132">
        <f t="shared" si="33"/>
        <v>3026.114676782368</v>
      </c>
      <c r="M126" s="132">
        <f>IF($F126&lt;=$C$16*12,'Mortgage Calculators (By Month)'!$C144,"-")</f>
        <v>0</v>
      </c>
      <c r="N126" s="132">
        <f>IF($F126&lt;=$C$16*12,'Mortgage Calculators (By Month)'!$D144,"-")</f>
        <v>0</v>
      </c>
      <c r="O126" s="132">
        <f>IF($F126&lt;=$C$16*12,'Mortgage Calculators (By Month)'!$E144,"-")</f>
        <v>8.3333333333333339</v>
      </c>
      <c r="P126" s="132">
        <f t="shared" si="54"/>
        <v>0</v>
      </c>
      <c r="Q126" s="132">
        <f t="shared" si="34"/>
        <v>3034.4480101157014</v>
      </c>
      <c r="R126" s="132">
        <f t="shared" si="35"/>
        <v>10955.230869724006</v>
      </c>
      <c r="S126" s="132">
        <f t="shared" si="36"/>
        <v>0</v>
      </c>
      <c r="T126" s="132">
        <f t="shared" si="28"/>
        <v>10955.230869724006</v>
      </c>
      <c r="U126" s="132">
        <f>IF($F126&lt;=$C$16*12,SUM(T$5:T126),"-")</f>
        <v>996345.87047320907</v>
      </c>
      <c r="V126" s="132">
        <f>IF($F126&lt;=$C$16*12,G126-$C$10-'RE Calculations'!$C313-'Mortgage Calculators (By Month)'!$F144,"-")</f>
        <v>1025760.9279152453</v>
      </c>
      <c r="W126" s="29">
        <f t="shared" si="37"/>
        <v>0.64068933747853429</v>
      </c>
      <c r="X126" s="31">
        <f t="shared" si="38"/>
        <v>6.3018623358544357E-2</v>
      </c>
      <c r="Y126" s="132">
        <f t="shared" si="39"/>
        <v>2022106.7983884544</v>
      </c>
      <c r="Z126" s="29">
        <f t="shared" si="40"/>
        <v>1.2630060569799599</v>
      </c>
      <c r="AA126" s="31">
        <f t="shared" si="41"/>
        <v>0.12423010396524196</v>
      </c>
      <c r="AD126" s="12">
        <f t="shared" si="42"/>
        <v>122</v>
      </c>
      <c r="AE126" s="132">
        <f t="shared" si="43"/>
        <v>2684987.6815461689</v>
      </c>
      <c r="AF126" s="132">
        <f>IF($AD126&lt;=$C$25*12,$AE126-$C$7+SUM('Mortgage Calculators (By Month)'!$K$23:$K144),"-")</f>
        <v>2684987.6815461689</v>
      </c>
      <c r="AG126" s="132">
        <f t="shared" si="44"/>
        <v>13981.345546506374</v>
      </c>
      <c r="AH126" s="132">
        <f>IF($AD126&lt;=$C$25*12,SUM(Inputs!$C$61:$C$78)*'Forecast (By Month)'!AG126,"-")</f>
        <v>1537.9480101157012</v>
      </c>
      <c r="AI126" s="132">
        <f>IF($AD126&lt;=$C$25*12,(SUMIF(Inputs!$C$61:$C$78,0,Inputs!$F$61:$F$78)/12)*(1+$C$34)^ROUNDDOWN((AD126-1)/12,0),"-")</f>
        <v>1488.1666666666667</v>
      </c>
      <c r="AJ126" s="132">
        <f t="shared" si="45"/>
        <v>3026.114676782368</v>
      </c>
      <c r="AK126" s="132">
        <f>IF($AD126&lt;=$C$25*12,'Mortgage Calculators (By Month)'!$J144,"-")</f>
        <v>0</v>
      </c>
      <c r="AL126" s="132">
        <f>IF($AD126&lt;=$C$25*12,'Mortgage Calculators (By Month)'!$K144,"-")</f>
        <v>0</v>
      </c>
      <c r="AM126" s="132">
        <f>IF($AD126&lt;=$C$25*12,'Mortgage Calculators (By Month)'!$L144,"-")</f>
        <v>10</v>
      </c>
      <c r="AN126" s="132">
        <f t="shared" si="55"/>
        <v>0</v>
      </c>
      <c r="AO126" s="132">
        <f t="shared" si="46"/>
        <v>3036.114676782368</v>
      </c>
      <c r="AP126" s="132">
        <f t="shared" si="47"/>
        <v>10955.230869724006</v>
      </c>
      <c r="AQ126" s="132">
        <f t="shared" si="48"/>
        <v>0</v>
      </c>
      <c r="AR126" s="132">
        <f t="shared" si="29"/>
        <v>10955.230869724006</v>
      </c>
      <c r="AS126" s="132">
        <f>IF($AD126&lt;=$C$25*12,SUM(AR$5:AR126),"-")</f>
        <v>996335.87047320907</v>
      </c>
      <c r="AT126" s="132">
        <f>IF($AD126&lt;=$C$25*12,AE126-$C$10-'RE Calculations'!$C313-'Mortgage Calculators (By Month)'!$M144,"-")</f>
        <v>1025760.9279152453</v>
      </c>
      <c r="AU126" s="29">
        <f t="shared" si="49"/>
        <v>0.64068933747853429</v>
      </c>
      <c r="AV126" s="31">
        <f t="shared" si="50"/>
        <v>6.3018623358544357E-2</v>
      </c>
      <c r="AW126" s="132">
        <f t="shared" si="51"/>
        <v>2022096.7983884544</v>
      </c>
      <c r="AX126" s="29">
        <f t="shared" si="52"/>
        <v>1.2629998109891054</v>
      </c>
      <c r="AY126" s="31">
        <f t="shared" si="53"/>
        <v>0.12422948960548579</v>
      </c>
    </row>
    <row r="127" spans="6:51" x14ac:dyDescent="0.35">
      <c r="F127" s="12">
        <f t="shared" si="30"/>
        <v>123</v>
      </c>
      <c r="G127" s="132">
        <f t="shared" si="31"/>
        <v>2695926.6537183588</v>
      </c>
      <c r="H127" s="132">
        <f>IF($F127&lt;=$C$16*12,$G127-$C$7+SUM('Mortgage Calculators (By Month)'!$D$23:$D145),"-")</f>
        <v>2695926.6537183588</v>
      </c>
      <c r="I127" s="132">
        <f t="shared" si="32"/>
        <v>13981.345546506374</v>
      </c>
      <c r="J127" s="132">
        <f>IF($F127&lt;=$C$16*12,SUM(Inputs!$C$61:$C$78)*'Forecast (By Month)'!I127,"-")</f>
        <v>1537.9480101157012</v>
      </c>
      <c r="K127" s="132">
        <f>IF($F127&lt;=$C$16*12,(SUMIF(Inputs!$C$61:$C$78,0,Inputs!$F$61:$F$78)/12)*(1+$C$34)^ROUNDDOWN((F127-1)/12,0),"-")</f>
        <v>1488.1666666666667</v>
      </c>
      <c r="L127" s="132">
        <f t="shared" si="33"/>
        <v>3026.114676782368</v>
      </c>
      <c r="M127" s="132">
        <f>IF($F127&lt;=$C$16*12,'Mortgage Calculators (By Month)'!$C145,"-")</f>
        <v>0</v>
      </c>
      <c r="N127" s="132">
        <f>IF($F127&lt;=$C$16*12,'Mortgage Calculators (By Month)'!$D145,"-")</f>
        <v>0</v>
      </c>
      <c r="O127" s="132">
        <f>IF($F127&lt;=$C$16*12,'Mortgage Calculators (By Month)'!$E145,"-")</f>
        <v>8.3333333333333339</v>
      </c>
      <c r="P127" s="132">
        <f t="shared" si="54"/>
        <v>0</v>
      </c>
      <c r="Q127" s="132">
        <f t="shared" si="34"/>
        <v>3034.4480101157014</v>
      </c>
      <c r="R127" s="132">
        <f t="shared" si="35"/>
        <v>10955.230869724006</v>
      </c>
      <c r="S127" s="132">
        <f t="shared" si="36"/>
        <v>0</v>
      </c>
      <c r="T127" s="132">
        <f t="shared" si="28"/>
        <v>10955.230869724006</v>
      </c>
      <c r="U127" s="132">
        <f>IF($F127&lt;=$C$16*12,SUM(T$5:T127),"-")</f>
        <v>1007301.101342933</v>
      </c>
      <c r="V127" s="132">
        <f>IF($F127&lt;=$C$16*12,G127-$C$10-'RE Calculations'!$C314-'Mortgage Calculators (By Month)'!$F145,"-")</f>
        <v>1036481.1206439914</v>
      </c>
      <c r="W127" s="29">
        <f t="shared" si="37"/>
        <v>0.64738516005288571</v>
      </c>
      <c r="X127" s="31">
        <f t="shared" si="38"/>
        <v>6.3159527810037627E-2</v>
      </c>
      <c r="Y127" s="132">
        <f t="shared" si="39"/>
        <v>2043782.2219869243</v>
      </c>
      <c r="Z127" s="29">
        <f t="shared" si="40"/>
        <v>1.2765445067365662</v>
      </c>
      <c r="AA127" s="31">
        <f t="shared" si="41"/>
        <v>0.12454092748649426</v>
      </c>
      <c r="AD127" s="12">
        <f t="shared" si="42"/>
        <v>123</v>
      </c>
      <c r="AE127" s="132">
        <f t="shared" si="43"/>
        <v>2695926.6537183588</v>
      </c>
      <c r="AF127" s="132">
        <f>IF($AD127&lt;=$C$25*12,$AE127-$C$7+SUM('Mortgage Calculators (By Month)'!$K$23:$K145),"-")</f>
        <v>2695926.6537183588</v>
      </c>
      <c r="AG127" s="132">
        <f t="shared" si="44"/>
        <v>13981.345546506374</v>
      </c>
      <c r="AH127" s="132">
        <f>IF($AD127&lt;=$C$25*12,SUM(Inputs!$C$61:$C$78)*'Forecast (By Month)'!AG127,"-")</f>
        <v>1537.9480101157012</v>
      </c>
      <c r="AI127" s="132">
        <f>IF($AD127&lt;=$C$25*12,(SUMIF(Inputs!$C$61:$C$78,0,Inputs!$F$61:$F$78)/12)*(1+$C$34)^ROUNDDOWN((AD127-1)/12,0),"-")</f>
        <v>1488.1666666666667</v>
      </c>
      <c r="AJ127" s="132">
        <f t="shared" si="45"/>
        <v>3026.114676782368</v>
      </c>
      <c r="AK127" s="132">
        <f>IF($AD127&lt;=$C$25*12,'Mortgage Calculators (By Month)'!$J145,"-")</f>
        <v>0</v>
      </c>
      <c r="AL127" s="132">
        <f>IF($AD127&lt;=$C$25*12,'Mortgage Calculators (By Month)'!$K145,"-")</f>
        <v>0</v>
      </c>
      <c r="AM127" s="132">
        <f>IF($AD127&lt;=$C$25*12,'Mortgage Calculators (By Month)'!$L145,"-")</f>
        <v>10</v>
      </c>
      <c r="AN127" s="132">
        <f t="shared" si="55"/>
        <v>0</v>
      </c>
      <c r="AO127" s="132">
        <f t="shared" si="46"/>
        <v>3036.114676782368</v>
      </c>
      <c r="AP127" s="132">
        <f t="shared" si="47"/>
        <v>10955.230869724006</v>
      </c>
      <c r="AQ127" s="132">
        <f t="shared" si="48"/>
        <v>0</v>
      </c>
      <c r="AR127" s="132">
        <f t="shared" si="29"/>
        <v>10955.230869724006</v>
      </c>
      <c r="AS127" s="132">
        <f>IF($AD127&lt;=$C$25*12,SUM(AR$5:AR127),"-")</f>
        <v>1007291.101342933</v>
      </c>
      <c r="AT127" s="132">
        <f>IF($AD127&lt;=$C$25*12,AE127-$C$10-'RE Calculations'!$C314-'Mortgage Calculators (By Month)'!$M145,"-")</f>
        <v>1036481.1206439914</v>
      </c>
      <c r="AU127" s="29">
        <f t="shared" si="49"/>
        <v>0.64738516005288571</v>
      </c>
      <c r="AV127" s="31">
        <f t="shared" si="50"/>
        <v>6.3159527810037627E-2</v>
      </c>
      <c r="AW127" s="132">
        <f t="shared" si="51"/>
        <v>2043772.2219869243</v>
      </c>
      <c r="AX127" s="29">
        <f t="shared" si="52"/>
        <v>1.2765382607457116</v>
      </c>
      <c r="AY127" s="31">
        <f t="shared" si="53"/>
        <v>0.12454031812153284</v>
      </c>
    </row>
    <row r="128" spans="6:51" x14ac:dyDescent="0.35">
      <c r="F128" s="12">
        <f t="shared" si="30"/>
        <v>124</v>
      </c>
      <c r="G128" s="132">
        <f t="shared" si="31"/>
        <v>2706910.1926172446</v>
      </c>
      <c r="H128" s="132">
        <f>IF($F128&lt;=$C$16*12,$G128-$C$7+SUM('Mortgage Calculators (By Month)'!$D$23:$D146),"-")</f>
        <v>2706910.1926172446</v>
      </c>
      <c r="I128" s="132">
        <f t="shared" si="32"/>
        <v>13981.345546506374</v>
      </c>
      <c r="J128" s="132">
        <f>IF($F128&lt;=$C$16*12,SUM(Inputs!$C$61:$C$78)*'Forecast (By Month)'!I128,"-")</f>
        <v>1537.9480101157012</v>
      </c>
      <c r="K128" s="132">
        <f>IF($F128&lt;=$C$16*12,(SUMIF(Inputs!$C$61:$C$78,0,Inputs!$F$61:$F$78)/12)*(1+$C$34)^ROUNDDOWN((F128-1)/12,0),"-")</f>
        <v>1488.1666666666667</v>
      </c>
      <c r="L128" s="132">
        <f t="shared" si="33"/>
        <v>3026.114676782368</v>
      </c>
      <c r="M128" s="132">
        <f>IF($F128&lt;=$C$16*12,'Mortgage Calculators (By Month)'!$C146,"-")</f>
        <v>0</v>
      </c>
      <c r="N128" s="132">
        <f>IF($F128&lt;=$C$16*12,'Mortgage Calculators (By Month)'!$D146,"-")</f>
        <v>0</v>
      </c>
      <c r="O128" s="132">
        <f>IF($F128&lt;=$C$16*12,'Mortgage Calculators (By Month)'!$E146,"-")</f>
        <v>8.3333333333333339</v>
      </c>
      <c r="P128" s="132">
        <f t="shared" si="54"/>
        <v>0</v>
      </c>
      <c r="Q128" s="132">
        <f t="shared" si="34"/>
        <v>3034.4480101157014</v>
      </c>
      <c r="R128" s="132">
        <f t="shared" si="35"/>
        <v>10955.230869724006</v>
      </c>
      <c r="S128" s="132">
        <f t="shared" si="36"/>
        <v>0</v>
      </c>
      <c r="T128" s="132">
        <f t="shared" si="28"/>
        <v>10955.230869724006</v>
      </c>
      <c r="U128" s="132">
        <f>IF($F128&lt;=$C$16*12,SUM(T$5:T128),"-")</f>
        <v>1018256.332212657</v>
      </c>
      <c r="V128" s="132">
        <f>IF($F128&lt;=$C$16*12,G128-$C$10-'RE Calculations'!$C315-'Mortgage Calculators (By Month)'!$F146,"-")</f>
        <v>1047244.9887648994</v>
      </c>
      <c r="W128" s="29">
        <f t="shared" si="37"/>
        <v>0.65410826223723861</v>
      </c>
      <c r="X128" s="31">
        <f t="shared" si="38"/>
        <v>6.330079957134567E-2</v>
      </c>
      <c r="Y128" s="132">
        <f t="shared" si="39"/>
        <v>2065501.3209775565</v>
      </c>
      <c r="Z128" s="29">
        <f t="shared" si="40"/>
        <v>1.290110236103174</v>
      </c>
      <c r="AA128" s="31">
        <f t="shared" si="41"/>
        <v>0.12484937768740392</v>
      </c>
      <c r="AD128" s="12">
        <f t="shared" si="42"/>
        <v>124</v>
      </c>
      <c r="AE128" s="132">
        <f t="shared" si="43"/>
        <v>2706910.1926172446</v>
      </c>
      <c r="AF128" s="132">
        <f>IF($AD128&lt;=$C$25*12,$AE128-$C$7+SUM('Mortgage Calculators (By Month)'!$K$23:$K146),"-")</f>
        <v>2706910.1926172446</v>
      </c>
      <c r="AG128" s="132">
        <f t="shared" si="44"/>
        <v>13981.345546506374</v>
      </c>
      <c r="AH128" s="132">
        <f>IF($AD128&lt;=$C$25*12,SUM(Inputs!$C$61:$C$78)*'Forecast (By Month)'!AG128,"-")</f>
        <v>1537.9480101157012</v>
      </c>
      <c r="AI128" s="132">
        <f>IF($AD128&lt;=$C$25*12,(SUMIF(Inputs!$C$61:$C$78,0,Inputs!$F$61:$F$78)/12)*(1+$C$34)^ROUNDDOWN((AD128-1)/12,0),"-")</f>
        <v>1488.1666666666667</v>
      </c>
      <c r="AJ128" s="132">
        <f t="shared" si="45"/>
        <v>3026.114676782368</v>
      </c>
      <c r="AK128" s="132">
        <f>IF($AD128&lt;=$C$25*12,'Mortgage Calculators (By Month)'!$J146,"-")</f>
        <v>0</v>
      </c>
      <c r="AL128" s="132">
        <f>IF($AD128&lt;=$C$25*12,'Mortgage Calculators (By Month)'!$K146,"-")</f>
        <v>0</v>
      </c>
      <c r="AM128" s="132">
        <f>IF($AD128&lt;=$C$25*12,'Mortgage Calculators (By Month)'!$L146,"-")</f>
        <v>10</v>
      </c>
      <c r="AN128" s="132">
        <f t="shared" si="55"/>
        <v>0</v>
      </c>
      <c r="AO128" s="132">
        <f t="shared" si="46"/>
        <v>3036.114676782368</v>
      </c>
      <c r="AP128" s="132">
        <f t="shared" si="47"/>
        <v>10955.230869724006</v>
      </c>
      <c r="AQ128" s="132">
        <f t="shared" si="48"/>
        <v>0</v>
      </c>
      <c r="AR128" s="132">
        <f t="shared" si="29"/>
        <v>10955.230869724006</v>
      </c>
      <c r="AS128" s="132">
        <f>IF($AD128&lt;=$C$25*12,SUM(AR$5:AR128),"-")</f>
        <v>1018246.332212657</v>
      </c>
      <c r="AT128" s="132">
        <f>IF($AD128&lt;=$C$25*12,AE128-$C$10-'RE Calculations'!$C315-'Mortgage Calculators (By Month)'!$M146,"-")</f>
        <v>1047244.9887648994</v>
      </c>
      <c r="AU128" s="29">
        <f t="shared" si="49"/>
        <v>0.65410826223723861</v>
      </c>
      <c r="AV128" s="31">
        <f t="shared" si="50"/>
        <v>6.330079957134567E-2</v>
      </c>
      <c r="AW128" s="132">
        <f t="shared" si="51"/>
        <v>2065491.3209775565</v>
      </c>
      <c r="AX128" s="29">
        <f t="shared" si="52"/>
        <v>1.2901039901123195</v>
      </c>
      <c r="AY128" s="31">
        <f t="shared" si="53"/>
        <v>0.12484877323667606</v>
      </c>
    </row>
    <row r="129" spans="6:51" x14ac:dyDescent="0.35">
      <c r="F129" s="12">
        <f t="shared" si="30"/>
        <v>125</v>
      </c>
      <c r="G129" s="132">
        <f t="shared" si="31"/>
        <v>2717938.4798131865</v>
      </c>
      <c r="H129" s="132">
        <f>IF($F129&lt;=$C$16*12,$G129-$C$7+SUM('Mortgage Calculators (By Month)'!$D$23:$D147),"-")</f>
        <v>2717938.4798131865</v>
      </c>
      <c r="I129" s="132">
        <f t="shared" si="32"/>
        <v>13981.345546506374</v>
      </c>
      <c r="J129" s="132">
        <f>IF($F129&lt;=$C$16*12,SUM(Inputs!$C$61:$C$78)*'Forecast (By Month)'!I129,"-")</f>
        <v>1537.9480101157012</v>
      </c>
      <c r="K129" s="132">
        <f>IF($F129&lt;=$C$16*12,(SUMIF(Inputs!$C$61:$C$78,0,Inputs!$F$61:$F$78)/12)*(1+$C$34)^ROUNDDOWN((F129-1)/12,0),"-")</f>
        <v>1488.1666666666667</v>
      </c>
      <c r="L129" s="132">
        <f t="shared" si="33"/>
        <v>3026.114676782368</v>
      </c>
      <c r="M129" s="132">
        <f>IF($F129&lt;=$C$16*12,'Mortgage Calculators (By Month)'!$C147,"-")</f>
        <v>0</v>
      </c>
      <c r="N129" s="132">
        <f>IF($F129&lt;=$C$16*12,'Mortgage Calculators (By Month)'!$D147,"-")</f>
        <v>0</v>
      </c>
      <c r="O129" s="132">
        <f>IF($F129&lt;=$C$16*12,'Mortgage Calculators (By Month)'!$E147,"-")</f>
        <v>8.3333333333333339</v>
      </c>
      <c r="P129" s="132">
        <f t="shared" si="54"/>
        <v>0</v>
      </c>
      <c r="Q129" s="132">
        <f t="shared" si="34"/>
        <v>3034.4480101157014</v>
      </c>
      <c r="R129" s="132">
        <f t="shared" si="35"/>
        <v>10955.230869724006</v>
      </c>
      <c r="S129" s="132">
        <f t="shared" si="36"/>
        <v>0</v>
      </c>
      <c r="T129" s="132">
        <f t="shared" si="28"/>
        <v>10955.230869724006</v>
      </c>
      <c r="U129" s="132">
        <f>IF($F129&lt;=$C$16*12,SUM(T$5:T129),"-")</f>
        <v>1029211.5630823809</v>
      </c>
      <c r="V129" s="132">
        <f>IF($F129&lt;=$C$16*12,G129-$C$10-'RE Calculations'!$C316-'Mortgage Calculators (By Month)'!$F147,"-")</f>
        <v>1058052.7102169225</v>
      </c>
      <c r="W129" s="29">
        <f t="shared" si="37"/>
        <v>0.66085875517210046</v>
      </c>
      <c r="X129" s="31">
        <f t="shared" si="38"/>
        <v>6.3442440496521646E-2</v>
      </c>
      <c r="Y129" s="132">
        <f t="shared" si="39"/>
        <v>2087264.2732993034</v>
      </c>
      <c r="Z129" s="29">
        <f t="shared" si="40"/>
        <v>1.3037033562202907</v>
      </c>
      <c r="AA129" s="31">
        <f t="shared" si="41"/>
        <v>0.1251555221971479</v>
      </c>
      <c r="AD129" s="12">
        <f t="shared" si="42"/>
        <v>125</v>
      </c>
      <c r="AE129" s="132">
        <f t="shared" si="43"/>
        <v>2717938.4798131865</v>
      </c>
      <c r="AF129" s="132">
        <f>IF($AD129&lt;=$C$25*12,$AE129-$C$7+SUM('Mortgage Calculators (By Month)'!$K$23:$K147),"-")</f>
        <v>2717938.4798131865</v>
      </c>
      <c r="AG129" s="132">
        <f t="shared" si="44"/>
        <v>13981.345546506374</v>
      </c>
      <c r="AH129" s="132">
        <f>IF($AD129&lt;=$C$25*12,SUM(Inputs!$C$61:$C$78)*'Forecast (By Month)'!AG129,"-")</f>
        <v>1537.9480101157012</v>
      </c>
      <c r="AI129" s="132">
        <f>IF($AD129&lt;=$C$25*12,(SUMIF(Inputs!$C$61:$C$78,0,Inputs!$F$61:$F$78)/12)*(1+$C$34)^ROUNDDOWN((AD129-1)/12,0),"-")</f>
        <v>1488.1666666666667</v>
      </c>
      <c r="AJ129" s="132">
        <f t="shared" si="45"/>
        <v>3026.114676782368</v>
      </c>
      <c r="AK129" s="132">
        <f>IF($AD129&lt;=$C$25*12,'Mortgage Calculators (By Month)'!$J147,"-")</f>
        <v>0</v>
      </c>
      <c r="AL129" s="132">
        <f>IF($AD129&lt;=$C$25*12,'Mortgage Calculators (By Month)'!$K147,"-")</f>
        <v>0</v>
      </c>
      <c r="AM129" s="132">
        <f>IF($AD129&lt;=$C$25*12,'Mortgage Calculators (By Month)'!$L147,"-")</f>
        <v>10</v>
      </c>
      <c r="AN129" s="132">
        <f t="shared" si="55"/>
        <v>0</v>
      </c>
      <c r="AO129" s="132">
        <f t="shared" si="46"/>
        <v>3036.114676782368</v>
      </c>
      <c r="AP129" s="132">
        <f t="shared" si="47"/>
        <v>10955.230869724006</v>
      </c>
      <c r="AQ129" s="132">
        <f t="shared" si="48"/>
        <v>0</v>
      </c>
      <c r="AR129" s="132">
        <f t="shared" si="29"/>
        <v>10955.230869724006</v>
      </c>
      <c r="AS129" s="132">
        <f>IF($AD129&lt;=$C$25*12,SUM(AR$5:AR129),"-")</f>
        <v>1029201.5630823809</v>
      </c>
      <c r="AT129" s="132">
        <f>IF($AD129&lt;=$C$25*12,AE129-$C$10-'RE Calculations'!$C316-'Mortgage Calculators (By Month)'!$M147,"-")</f>
        <v>1058052.7102169225</v>
      </c>
      <c r="AU129" s="29">
        <f t="shared" si="49"/>
        <v>0.66085875517210046</v>
      </c>
      <c r="AV129" s="31">
        <f t="shared" si="50"/>
        <v>6.3442440496521646E-2</v>
      </c>
      <c r="AW129" s="132">
        <f t="shared" si="51"/>
        <v>2087254.2732993034</v>
      </c>
      <c r="AX129" s="29">
        <f t="shared" si="52"/>
        <v>1.3036971102294361</v>
      </c>
      <c r="AY129" s="31">
        <f t="shared" si="53"/>
        <v>0.12515492258202587</v>
      </c>
    </row>
    <row r="130" spans="6:51" x14ac:dyDescent="0.35">
      <c r="F130" s="12">
        <f t="shared" si="30"/>
        <v>126</v>
      </c>
      <c r="G130" s="132">
        <f t="shared" si="31"/>
        <v>2729011.6976162866</v>
      </c>
      <c r="H130" s="132">
        <f>IF($F130&lt;=$C$16*12,$G130-$C$7+SUM('Mortgage Calculators (By Month)'!$D$23:$D148),"-")</f>
        <v>2729011.6976162866</v>
      </c>
      <c r="I130" s="132">
        <f t="shared" si="32"/>
        <v>13981.345546506374</v>
      </c>
      <c r="J130" s="132">
        <f>IF($F130&lt;=$C$16*12,SUM(Inputs!$C$61:$C$78)*'Forecast (By Month)'!I130,"-")</f>
        <v>1537.9480101157012</v>
      </c>
      <c r="K130" s="132">
        <f>IF($F130&lt;=$C$16*12,(SUMIF(Inputs!$C$61:$C$78,0,Inputs!$F$61:$F$78)/12)*(1+$C$34)^ROUNDDOWN((F130-1)/12,0),"-")</f>
        <v>1488.1666666666667</v>
      </c>
      <c r="L130" s="132">
        <f t="shared" si="33"/>
        <v>3026.114676782368</v>
      </c>
      <c r="M130" s="132">
        <f>IF($F130&lt;=$C$16*12,'Mortgage Calculators (By Month)'!$C148,"-")</f>
        <v>0</v>
      </c>
      <c r="N130" s="132">
        <f>IF($F130&lt;=$C$16*12,'Mortgage Calculators (By Month)'!$D148,"-")</f>
        <v>0</v>
      </c>
      <c r="O130" s="132">
        <f>IF($F130&lt;=$C$16*12,'Mortgage Calculators (By Month)'!$E148,"-")</f>
        <v>8.3333333333333339</v>
      </c>
      <c r="P130" s="132">
        <f t="shared" si="54"/>
        <v>0</v>
      </c>
      <c r="Q130" s="132">
        <f t="shared" si="34"/>
        <v>3034.4480101157014</v>
      </c>
      <c r="R130" s="132">
        <f t="shared" si="35"/>
        <v>10955.230869724006</v>
      </c>
      <c r="S130" s="132">
        <f t="shared" si="36"/>
        <v>0</v>
      </c>
      <c r="T130" s="132">
        <f t="shared" si="28"/>
        <v>10955.230869724006</v>
      </c>
      <c r="U130" s="132">
        <f>IF($F130&lt;=$C$16*12,SUM(T$5:T130),"-")</f>
        <v>1040166.7939521049</v>
      </c>
      <c r="V130" s="132">
        <f>IF($F130&lt;=$C$16*12,G130-$C$10-'RE Calculations'!$C317-'Mortgage Calculators (By Month)'!$F148,"-")</f>
        <v>1068904.4636639606</v>
      </c>
      <c r="W130" s="29">
        <f t="shared" si="37"/>
        <v>0.66763675045077975</v>
      </c>
      <c r="X130" s="31">
        <f t="shared" si="38"/>
        <v>6.3584452423883789E-2</v>
      </c>
      <c r="Y130" s="132">
        <f t="shared" si="39"/>
        <v>2109071.2576160654</v>
      </c>
      <c r="Z130" s="29">
        <f t="shared" si="40"/>
        <v>1.317323978681225</v>
      </c>
      <c r="AA130" s="31">
        <f t="shared" si="41"/>
        <v>0.12545942654106904</v>
      </c>
      <c r="AD130" s="12">
        <f t="shared" si="42"/>
        <v>126</v>
      </c>
      <c r="AE130" s="132">
        <f t="shared" si="43"/>
        <v>2729011.6976162866</v>
      </c>
      <c r="AF130" s="132">
        <f>IF($AD130&lt;=$C$25*12,$AE130-$C$7+SUM('Mortgage Calculators (By Month)'!$K$23:$K148),"-")</f>
        <v>2729011.6976162866</v>
      </c>
      <c r="AG130" s="132">
        <f t="shared" si="44"/>
        <v>13981.345546506374</v>
      </c>
      <c r="AH130" s="132">
        <f>IF($AD130&lt;=$C$25*12,SUM(Inputs!$C$61:$C$78)*'Forecast (By Month)'!AG130,"-")</f>
        <v>1537.9480101157012</v>
      </c>
      <c r="AI130" s="132">
        <f>IF($AD130&lt;=$C$25*12,(SUMIF(Inputs!$C$61:$C$78,0,Inputs!$F$61:$F$78)/12)*(1+$C$34)^ROUNDDOWN((AD130-1)/12,0),"-")</f>
        <v>1488.1666666666667</v>
      </c>
      <c r="AJ130" s="132">
        <f t="shared" si="45"/>
        <v>3026.114676782368</v>
      </c>
      <c r="AK130" s="132">
        <f>IF($AD130&lt;=$C$25*12,'Mortgage Calculators (By Month)'!$J148,"-")</f>
        <v>0</v>
      </c>
      <c r="AL130" s="132">
        <f>IF($AD130&lt;=$C$25*12,'Mortgage Calculators (By Month)'!$K148,"-")</f>
        <v>0</v>
      </c>
      <c r="AM130" s="132">
        <f>IF($AD130&lt;=$C$25*12,'Mortgage Calculators (By Month)'!$L148,"-")</f>
        <v>10</v>
      </c>
      <c r="AN130" s="132">
        <f t="shared" si="55"/>
        <v>0</v>
      </c>
      <c r="AO130" s="132">
        <f t="shared" si="46"/>
        <v>3036.114676782368</v>
      </c>
      <c r="AP130" s="132">
        <f t="shared" si="47"/>
        <v>10955.230869724006</v>
      </c>
      <c r="AQ130" s="132">
        <f t="shared" si="48"/>
        <v>0</v>
      </c>
      <c r="AR130" s="132">
        <f t="shared" si="29"/>
        <v>10955.230869724006</v>
      </c>
      <c r="AS130" s="132">
        <f>IF($AD130&lt;=$C$25*12,SUM(AR$5:AR130),"-")</f>
        <v>1040156.7939521049</v>
      </c>
      <c r="AT130" s="132">
        <f>IF($AD130&lt;=$C$25*12,AE130-$C$10-'RE Calculations'!$C317-'Mortgage Calculators (By Month)'!$M148,"-")</f>
        <v>1068904.4636639606</v>
      </c>
      <c r="AU130" s="29">
        <f t="shared" si="49"/>
        <v>0.66763675045077975</v>
      </c>
      <c r="AV130" s="31">
        <f t="shared" si="50"/>
        <v>6.3584452423883789E-2</v>
      </c>
      <c r="AW130" s="132">
        <f t="shared" si="51"/>
        <v>2109061.2576160654</v>
      </c>
      <c r="AX130" s="29">
        <f t="shared" si="52"/>
        <v>1.3173177326903702</v>
      </c>
      <c r="AY130" s="31">
        <f t="shared" si="53"/>
        <v>0.12545883168479716</v>
      </c>
    </row>
    <row r="131" spans="6:51" x14ac:dyDescent="0.35">
      <c r="F131" s="12">
        <f t="shared" si="30"/>
        <v>127</v>
      </c>
      <c r="G131" s="132">
        <f t="shared" si="31"/>
        <v>2740130.0290793995</v>
      </c>
      <c r="H131" s="132">
        <f>IF($F131&lt;=$C$16*12,$G131-$C$7+SUM('Mortgage Calculators (By Month)'!$D$23:$D149),"-")</f>
        <v>2740130.0290793995</v>
      </c>
      <c r="I131" s="132">
        <f t="shared" si="32"/>
        <v>13981.345546506374</v>
      </c>
      <c r="J131" s="132">
        <f>IF($F131&lt;=$C$16*12,SUM(Inputs!$C$61:$C$78)*'Forecast (By Month)'!I131,"-")</f>
        <v>1537.9480101157012</v>
      </c>
      <c r="K131" s="132">
        <f>IF($F131&lt;=$C$16*12,(SUMIF(Inputs!$C$61:$C$78,0,Inputs!$F$61:$F$78)/12)*(1+$C$34)^ROUNDDOWN((F131-1)/12,0),"-")</f>
        <v>1488.1666666666667</v>
      </c>
      <c r="L131" s="132">
        <f t="shared" si="33"/>
        <v>3026.114676782368</v>
      </c>
      <c r="M131" s="132">
        <f>IF($F131&lt;=$C$16*12,'Mortgage Calculators (By Month)'!$C149,"-")</f>
        <v>0</v>
      </c>
      <c r="N131" s="132">
        <f>IF($F131&lt;=$C$16*12,'Mortgage Calculators (By Month)'!$D149,"-")</f>
        <v>0</v>
      </c>
      <c r="O131" s="132">
        <f>IF($F131&lt;=$C$16*12,'Mortgage Calculators (By Month)'!$E149,"-")</f>
        <v>8.3333333333333339</v>
      </c>
      <c r="P131" s="132">
        <f t="shared" si="54"/>
        <v>0</v>
      </c>
      <c r="Q131" s="132">
        <f t="shared" si="34"/>
        <v>3034.4480101157014</v>
      </c>
      <c r="R131" s="132">
        <f t="shared" si="35"/>
        <v>10955.230869724006</v>
      </c>
      <c r="S131" s="132">
        <f t="shared" si="36"/>
        <v>0</v>
      </c>
      <c r="T131" s="132">
        <f t="shared" si="28"/>
        <v>10955.230869724006</v>
      </c>
      <c r="U131" s="132">
        <f>IF($F131&lt;=$C$16*12,SUM(T$5:T131),"-")</f>
        <v>1051122.0248218288</v>
      </c>
      <c r="V131" s="132">
        <f>IF($F131&lt;=$C$16*12,G131-$C$10-'RE Calculations'!$C318-'Mortgage Calculators (By Month)'!$F149,"-")</f>
        <v>1079800.4284978113</v>
      </c>
      <c r="W131" s="29">
        <f t="shared" si="37"/>
        <v>0.67444236012122927</v>
      </c>
      <c r="X131" s="31">
        <f t="shared" si="38"/>
        <v>6.3726837176809062E-2</v>
      </c>
      <c r="Y131" s="132">
        <f t="shared" si="39"/>
        <v>2130922.4533196399</v>
      </c>
      <c r="Z131" s="29">
        <f t="shared" si="40"/>
        <v>1.3309722155339292</v>
      </c>
      <c r="AA131" s="31">
        <f t="shared" si="41"/>
        <v>0.12576115422367834</v>
      </c>
      <c r="AD131" s="12">
        <f t="shared" si="42"/>
        <v>127</v>
      </c>
      <c r="AE131" s="132">
        <f t="shared" si="43"/>
        <v>2740130.0290793995</v>
      </c>
      <c r="AF131" s="132">
        <f>IF($AD131&lt;=$C$25*12,$AE131-$C$7+SUM('Mortgage Calculators (By Month)'!$K$23:$K149),"-")</f>
        <v>2740130.0290793995</v>
      </c>
      <c r="AG131" s="132">
        <f t="shared" si="44"/>
        <v>13981.345546506374</v>
      </c>
      <c r="AH131" s="132">
        <f>IF($AD131&lt;=$C$25*12,SUM(Inputs!$C$61:$C$78)*'Forecast (By Month)'!AG131,"-")</f>
        <v>1537.9480101157012</v>
      </c>
      <c r="AI131" s="132">
        <f>IF($AD131&lt;=$C$25*12,(SUMIF(Inputs!$C$61:$C$78,0,Inputs!$F$61:$F$78)/12)*(1+$C$34)^ROUNDDOWN((AD131-1)/12,0),"-")</f>
        <v>1488.1666666666667</v>
      </c>
      <c r="AJ131" s="132">
        <f t="shared" si="45"/>
        <v>3026.114676782368</v>
      </c>
      <c r="AK131" s="132">
        <f>IF($AD131&lt;=$C$25*12,'Mortgage Calculators (By Month)'!$J149,"-")</f>
        <v>0</v>
      </c>
      <c r="AL131" s="132">
        <f>IF($AD131&lt;=$C$25*12,'Mortgage Calculators (By Month)'!$K149,"-")</f>
        <v>0</v>
      </c>
      <c r="AM131" s="132">
        <f>IF($AD131&lt;=$C$25*12,'Mortgage Calculators (By Month)'!$L149,"-")</f>
        <v>10</v>
      </c>
      <c r="AN131" s="132">
        <f t="shared" si="55"/>
        <v>0</v>
      </c>
      <c r="AO131" s="132">
        <f t="shared" si="46"/>
        <v>3036.114676782368</v>
      </c>
      <c r="AP131" s="132">
        <f t="shared" si="47"/>
        <v>10955.230869724006</v>
      </c>
      <c r="AQ131" s="132">
        <f t="shared" si="48"/>
        <v>0</v>
      </c>
      <c r="AR131" s="132">
        <f t="shared" si="29"/>
        <v>10955.230869724006</v>
      </c>
      <c r="AS131" s="132">
        <f>IF($AD131&lt;=$C$25*12,SUM(AR$5:AR131),"-")</f>
        <v>1051112.0248218288</v>
      </c>
      <c r="AT131" s="132">
        <f>IF($AD131&lt;=$C$25*12,AE131-$C$10-'RE Calculations'!$C318-'Mortgage Calculators (By Month)'!$M149,"-")</f>
        <v>1079800.4284978113</v>
      </c>
      <c r="AU131" s="29">
        <f t="shared" si="49"/>
        <v>0.67444236012122927</v>
      </c>
      <c r="AV131" s="31">
        <f t="shared" si="50"/>
        <v>6.3726837176809062E-2</v>
      </c>
      <c r="AW131" s="132">
        <f t="shared" si="51"/>
        <v>2130912.4533196399</v>
      </c>
      <c r="AX131" s="29">
        <f t="shared" si="52"/>
        <v>1.3309659695430744</v>
      </c>
      <c r="AY131" s="31">
        <f t="shared" si="53"/>
        <v>0.12576056405131411</v>
      </c>
    </row>
    <row r="132" spans="6:51" x14ac:dyDescent="0.35">
      <c r="F132" s="12">
        <f t="shared" si="30"/>
        <v>128</v>
      </c>
      <c r="G132" s="132">
        <f t="shared" si="31"/>
        <v>2751293.6580011612</v>
      </c>
      <c r="H132" s="132">
        <f>IF($F132&lt;=$C$16*12,$G132-$C$7+SUM('Mortgage Calculators (By Month)'!$D$23:$D150),"-")</f>
        <v>2751293.6580011612</v>
      </c>
      <c r="I132" s="132">
        <f t="shared" si="32"/>
        <v>13981.345546506374</v>
      </c>
      <c r="J132" s="132">
        <f>IF($F132&lt;=$C$16*12,SUM(Inputs!$C$61:$C$78)*'Forecast (By Month)'!I132,"-")</f>
        <v>1537.9480101157012</v>
      </c>
      <c r="K132" s="132">
        <f>IF($F132&lt;=$C$16*12,(SUMIF(Inputs!$C$61:$C$78,0,Inputs!$F$61:$F$78)/12)*(1+$C$34)^ROUNDDOWN((F132-1)/12,0),"-")</f>
        <v>1488.1666666666667</v>
      </c>
      <c r="L132" s="132">
        <f t="shared" si="33"/>
        <v>3026.114676782368</v>
      </c>
      <c r="M132" s="132">
        <f>IF($F132&lt;=$C$16*12,'Mortgage Calculators (By Month)'!$C150,"-")</f>
        <v>0</v>
      </c>
      <c r="N132" s="132">
        <f>IF($F132&lt;=$C$16*12,'Mortgage Calculators (By Month)'!$D150,"-")</f>
        <v>0</v>
      </c>
      <c r="O132" s="132">
        <f>IF($F132&lt;=$C$16*12,'Mortgage Calculators (By Month)'!$E150,"-")</f>
        <v>8.3333333333333339</v>
      </c>
      <c r="P132" s="132">
        <f t="shared" si="54"/>
        <v>0</v>
      </c>
      <c r="Q132" s="132">
        <f t="shared" si="34"/>
        <v>3034.4480101157014</v>
      </c>
      <c r="R132" s="132">
        <f t="shared" si="35"/>
        <v>10955.230869724006</v>
      </c>
      <c r="S132" s="132">
        <f t="shared" si="36"/>
        <v>0</v>
      </c>
      <c r="T132" s="132">
        <f t="shared" ref="T132:T195" si="56">IF($F132&lt;=$C$16*12,R132-S132,"-")</f>
        <v>10955.230869724006</v>
      </c>
      <c r="U132" s="132">
        <f>IF($F132&lt;=$C$16*12,SUM(T$5:T132),"-")</f>
        <v>1062077.2556915528</v>
      </c>
      <c r="V132" s="132">
        <f>IF($F132&lt;=$C$16*12,G132-$C$10-'RE Calculations'!$C319-'Mortgage Calculators (By Month)'!$F150,"-")</f>
        <v>1090740.7848411377</v>
      </c>
      <c r="W132" s="29">
        <f t="shared" si="37"/>
        <v>0.68127569668789956</v>
      </c>
      <c r="X132" s="31">
        <f t="shared" si="38"/>
        <v>6.3869596564490594E-2</v>
      </c>
      <c r="Y132" s="132">
        <f t="shared" si="39"/>
        <v>2152818.0405326905</v>
      </c>
      <c r="Z132" s="29">
        <f t="shared" si="40"/>
        <v>1.3446481792828544</v>
      </c>
      <c r="AA132" s="31">
        <f t="shared" si="41"/>
        <v>0.12606076680776762</v>
      </c>
      <c r="AD132" s="12">
        <f t="shared" si="42"/>
        <v>128</v>
      </c>
      <c r="AE132" s="132">
        <f t="shared" si="43"/>
        <v>2751293.6580011612</v>
      </c>
      <c r="AF132" s="132">
        <f>IF($AD132&lt;=$C$25*12,$AE132-$C$7+SUM('Mortgage Calculators (By Month)'!$K$23:$K150),"-")</f>
        <v>2751293.6580011612</v>
      </c>
      <c r="AG132" s="132">
        <f t="shared" si="44"/>
        <v>13981.345546506374</v>
      </c>
      <c r="AH132" s="132">
        <f>IF($AD132&lt;=$C$25*12,SUM(Inputs!$C$61:$C$78)*'Forecast (By Month)'!AG132,"-")</f>
        <v>1537.9480101157012</v>
      </c>
      <c r="AI132" s="132">
        <f>IF($AD132&lt;=$C$25*12,(SUMIF(Inputs!$C$61:$C$78,0,Inputs!$F$61:$F$78)/12)*(1+$C$34)^ROUNDDOWN((AD132-1)/12,0),"-")</f>
        <v>1488.1666666666667</v>
      </c>
      <c r="AJ132" s="132">
        <f t="shared" si="45"/>
        <v>3026.114676782368</v>
      </c>
      <c r="AK132" s="132">
        <f>IF($AD132&lt;=$C$25*12,'Mortgage Calculators (By Month)'!$J150,"-")</f>
        <v>0</v>
      </c>
      <c r="AL132" s="132">
        <f>IF($AD132&lt;=$C$25*12,'Mortgage Calculators (By Month)'!$K150,"-")</f>
        <v>0</v>
      </c>
      <c r="AM132" s="132">
        <f>IF($AD132&lt;=$C$25*12,'Mortgage Calculators (By Month)'!$L150,"-")</f>
        <v>10</v>
      </c>
      <c r="AN132" s="132">
        <f t="shared" si="55"/>
        <v>0</v>
      </c>
      <c r="AO132" s="132">
        <f t="shared" si="46"/>
        <v>3036.114676782368</v>
      </c>
      <c r="AP132" s="132">
        <f t="shared" si="47"/>
        <v>10955.230869724006</v>
      </c>
      <c r="AQ132" s="132">
        <f t="shared" si="48"/>
        <v>0</v>
      </c>
      <c r="AR132" s="132">
        <f t="shared" ref="AR132:AR195" si="57">IF($AD132&lt;=$C$25*12,AP132-AQ132,"-")</f>
        <v>10955.230869724006</v>
      </c>
      <c r="AS132" s="132">
        <f>IF($AD132&lt;=$C$25*12,SUM(AR$5:AR132),"-")</f>
        <v>1062067.2556915528</v>
      </c>
      <c r="AT132" s="132">
        <f>IF($AD132&lt;=$C$25*12,AE132-$C$10-'RE Calculations'!$C319-'Mortgage Calculators (By Month)'!$M150,"-")</f>
        <v>1090740.7848411377</v>
      </c>
      <c r="AU132" s="29">
        <f t="shared" si="49"/>
        <v>0.68127569668789956</v>
      </c>
      <c r="AV132" s="31">
        <f t="shared" si="50"/>
        <v>6.3869596564490594E-2</v>
      </c>
      <c r="AW132" s="132">
        <f t="shared" si="51"/>
        <v>2152808.0405326905</v>
      </c>
      <c r="AX132" s="29">
        <f t="shared" si="52"/>
        <v>1.3446419332919997</v>
      </c>
      <c r="AY132" s="31">
        <f t="shared" si="53"/>
        <v>0.12606018124612497</v>
      </c>
    </row>
    <row r="133" spans="6:51" x14ac:dyDescent="0.35">
      <c r="F133" s="12">
        <f t="shared" ref="F133:F196" si="58">IF(F132&lt;$C$16*12,F132+1,"-")</f>
        <v>129</v>
      </c>
      <c r="G133" s="132">
        <f t="shared" ref="G133:G196" si="59">IF($F133&lt;=$C$16*12,G132*(1+$C$32),"-")</f>
        <v>2762502.7689290247</v>
      </c>
      <c r="H133" s="132">
        <f>IF($F133&lt;=$C$16*12,$G133-$C$7+SUM('Mortgage Calculators (By Month)'!$D$23:$D151),"-")</f>
        <v>2762502.7689290247</v>
      </c>
      <c r="I133" s="132">
        <f t="shared" ref="I133:I196" si="60">IF($F133&lt;=$C$16*12,$C$9*(1+$C$33)^ROUNDDOWN((F133-1)/12,0),"-")</f>
        <v>13981.345546506374</v>
      </c>
      <c r="J133" s="132">
        <f>IF($F133&lt;=$C$16*12,SUM(Inputs!$C$61:$C$78)*'Forecast (By Month)'!I133,"-")</f>
        <v>1537.9480101157012</v>
      </c>
      <c r="K133" s="132">
        <f>IF($F133&lt;=$C$16*12,(SUMIF(Inputs!$C$61:$C$78,0,Inputs!$F$61:$F$78)/12)*(1+$C$34)^ROUNDDOWN((F133-1)/12,0),"-")</f>
        <v>1488.1666666666667</v>
      </c>
      <c r="L133" s="132">
        <f t="shared" ref="L133:L196" si="61">IF($F133&lt;=$C$16*12,SUM(J133:K133),"-")</f>
        <v>3026.114676782368</v>
      </c>
      <c r="M133" s="132">
        <f>IF($F133&lt;=$C$16*12,'Mortgage Calculators (By Month)'!$C151,"-")</f>
        <v>0</v>
      </c>
      <c r="N133" s="132">
        <f>IF($F133&lt;=$C$16*12,'Mortgage Calculators (By Month)'!$D151,"-")</f>
        <v>0</v>
      </c>
      <c r="O133" s="132">
        <f>IF($F133&lt;=$C$16*12,'Mortgage Calculators (By Month)'!$E151,"-")</f>
        <v>8.3333333333333339</v>
      </c>
      <c r="P133" s="132">
        <f t="shared" si="54"/>
        <v>0</v>
      </c>
      <c r="Q133" s="132">
        <f t="shared" ref="Q133:Q196" si="62">IF($F133&lt;=$C$16*12,L133+O133+P133,"-")</f>
        <v>3034.4480101157014</v>
      </c>
      <c r="R133" s="132">
        <f t="shared" ref="R133:R196" si="63">IF($F133&lt;=$C$16*12,$I133-$L133-M133,"-")</f>
        <v>10955.230869724006</v>
      </c>
      <c r="S133" s="132">
        <f t="shared" ref="S133:S196" si="64">IF($F133&lt;=$C$16*12,(I133-Q133)*$C$35,"-")</f>
        <v>0</v>
      </c>
      <c r="T133" s="132">
        <f t="shared" si="56"/>
        <v>10955.230869724006</v>
      </c>
      <c r="U133" s="132">
        <f>IF($F133&lt;=$C$16*12,SUM(T$5:T133),"-")</f>
        <v>1073032.4865612767</v>
      </c>
      <c r="V133" s="132">
        <f>IF($F133&lt;=$C$16*12,G133-$C$10-'RE Calculations'!$C320-'Mortgage Calculators (By Month)'!$F151,"-")</f>
        <v>1101725.713550444</v>
      </c>
      <c r="W133" s="29">
        <f t="shared" ref="W133:W196" si="65">IF($F133&lt;=$C$16*12,V133/$C$10,"-")</f>
        <v>0.68813687311359772</v>
      </c>
      <c r="X133" s="31">
        <f t="shared" ref="X133:X196" si="66">IF($F133&lt;=$C$16*12,W133/($F133/12),"-")</f>
        <v>6.4012732382660253E-2</v>
      </c>
      <c r="Y133" s="132">
        <f t="shared" ref="Y133:Y196" si="67">IF($F133&lt;=$C$16*12,V133+U133,"-")</f>
        <v>2174758.2001117207</v>
      </c>
      <c r="Z133" s="29">
        <f t="shared" ref="Z133:Z196" si="68">IF($F133&lt;=$C$16*12,Y133/$C$10,"-")</f>
        <v>1.3583519828908075</v>
      </c>
      <c r="AA133" s="31">
        <f t="shared" ref="AA133:AA196" si="69">IF($F133&lt;=$C$16*12,Z133/($F133/12),"-")</f>
        <v>0.12635832398984256</v>
      </c>
      <c r="AD133" s="12">
        <f t="shared" ref="AD133:AD196" si="70">IF($AD132&lt;$C$25*12,AD132+1,"-")</f>
        <v>129</v>
      </c>
      <c r="AE133" s="132">
        <f t="shared" ref="AE133:AE196" si="71">IF($AD133&lt;=$C$25*12,AE132*(1+$C$32),"-")</f>
        <v>2762502.7689290247</v>
      </c>
      <c r="AF133" s="132">
        <f>IF($AD133&lt;=$C$25*12,$AE133-$C$7+SUM('Mortgage Calculators (By Month)'!$K$23:$K151),"-")</f>
        <v>2762502.7689290247</v>
      </c>
      <c r="AG133" s="132">
        <f t="shared" ref="AG133:AG196" si="72">IF($AD133&lt;=$C$25*12,$C$9*(1+$C$33)^ROUNDDOWN((AD133-1)/12,0),"-")</f>
        <v>13981.345546506374</v>
      </c>
      <c r="AH133" s="132">
        <f>IF($AD133&lt;=$C$25*12,SUM(Inputs!$C$61:$C$78)*'Forecast (By Month)'!AG133,"-")</f>
        <v>1537.9480101157012</v>
      </c>
      <c r="AI133" s="132">
        <f>IF($AD133&lt;=$C$25*12,(SUMIF(Inputs!$C$61:$C$78,0,Inputs!$F$61:$F$78)/12)*(1+$C$34)^ROUNDDOWN((AD133-1)/12,0),"-")</f>
        <v>1488.1666666666667</v>
      </c>
      <c r="AJ133" s="132">
        <f t="shared" ref="AJ133:AJ196" si="73">IF($AD133&lt;=$C$25*12,SUM(AH133:AI133),"-")</f>
        <v>3026.114676782368</v>
      </c>
      <c r="AK133" s="132">
        <f>IF($AD133&lt;=$C$25*12,'Mortgage Calculators (By Month)'!$J151,"-")</f>
        <v>0</v>
      </c>
      <c r="AL133" s="132">
        <f>IF($AD133&lt;=$C$25*12,'Mortgage Calculators (By Month)'!$K151,"-")</f>
        <v>0</v>
      </c>
      <c r="AM133" s="132">
        <f>IF($AD133&lt;=$C$25*12,'Mortgage Calculators (By Month)'!$L151,"-")</f>
        <v>10</v>
      </c>
      <c r="AN133" s="132">
        <f t="shared" si="55"/>
        <v>0</v>
      </c>
      <c r="AO133" s="132">
        <f t="shared" ref="AO133:AO196" si="74">IF($AD133&lt;=$C$25*12,AJ133+AM133+AN133,"-")</f>
        <v>3036.114676782368</v>
      </c>
      <c r="AP133" s="132">
        <f t="shared" ref="AP133:AP196" si="75">IF($AD133&lt;=$C$25*12,$AG133-$AJ133-AK133,"-")</f>
        <v>10955.230869724006</v>
      </c>
      <c r="AQ133" s="132">
        <f t="shared" ref="AQ133:AQ196" si="76">IF($AD133&lt;=$C$25*12,(AG133-AO133)*$C$35,"-")</f>
        <v>0</v>
      </c>
      <c r="AR133" s="132">
        <f t="shared" si="57"/>
        <v>10955.230869724006</v>
      </c>
      <c r="AS133" s="132">
        <f>IF($AD133&lt;=$C$25*12,SUM(AR$5:AR133),"-")</f>
        <v>1073022.4865612767</v>
      </c>
      <c r="AT133" s="132">
        <f>IF($AD133&lt;=$C$25*12,AE133-$C$10-'RE Calculations'!$C320-'Mortgage Calculators (By Month)'!$M151,"-")</f>
        <v>1101725.713550444</v>
      </c>
      <c r="AU133" s="29">
        <f t="shared" ref="AU133:AU196" si="77">IF($AD133&lt;=$C$25*12,AT133/$C$10,"-")</f>
        <v>0.68813687311359772</v>
      </c>
      <c r="AV133" s="31">
        <f t="shared" ref="AV133:AV196" si="78">IF($AD133&lt;=$C$25*12,AU133/($AD133/12),"-")</f>
        <v>6.4012732382660253E-2</v>
      </c>
      <c r="AW133" s="132">
        <f t="shared" ref="AW133:AW196" si="79">IF($AD133&lt;=$C$25*12,AT133+AS133,"-")</f>
        <v>2174748.2001117207</v>
      </c>
      <c r="AX133" s="29">
        <f t="shared" ref="AX133:AX196" si="80">IF($AD133&lt;=$C$25*12,AW133/$C$10,"-")</f>
        <v>1.3583457368999527</v>
      </c>
      <c r="AY133" s="31">
        <f t="shared" ref="AY133:AY196" si="81">IF($AD133&lt;=$C$25*12,AX133/($AD133/12),"-")</f>
        <v>0.12635774296743746</v>
      </c>
    </row>
    <row r="134" spans="6:51" x14ac:dyDescent="0.35">
      <c r="F134" s="12">
        <f t="shared" si="58"/>
        <v>130</v>
      </c>
      <c r="G134" s="132">
        <f t="shared" si="59"/>
        <v>2773757.547162313</v>
      </c>
      <c r="H134" s="132">
        <f>IF($F134&lt;=$C$16*12,$G134-$C$7+SUM('Mortgage Calculators (By Month)'!$D$23:$D152),"-")</f>
        <v>2773757.547162313</v>
      </c>
      <c r="I134" s="132">
        <f t="shared" si="60"/>
        <v>13981.345546506374</v>
      </c>
      <c r="J134" s="132">
        <f>IF($F134&lt;=$C$16*12,SUM(Inputs!$C$61:$C$78)*'Forecast (By Month)'!I134,"-")</f>
        <v>1537.9480101157012</v>
      </c>
      <c r="K134" s="132">
        <f>IF($F134&lt;=$C$16*12,(SUMIF(Inputs!$C$61:$C$78,0,Inputs!$F$61:$F$78)/12)*(1+$C$34)^ROUNDDOWN((F134-1)/12,0),"-")</f>
        <v>1488.1666666666667</v>
      </c>
      <c r="L134" s="132">
        <f t="shared" si="61"/>
        <v>3026.114676782368</v>
      </c>
      <c r="M134" s="132">
        <f>IF($F134&lt;=$C$16*12,'Mortgage Calculators (By Month)'!$C152,"-")</f>
        <v>0</v>
      </c>
      <c r="N134" s="132">
        <f>IF($F134&lt;=$C$16*12,'Mortgage Calculators (By Month)'!$D152,"-")</f>
        <v>0</v>
      </c>
      <c r="O134" s="132">
        <f>IF($F134&lt;=$C$16*12,'Mortgage Calculators (By Month)'!$E152,"-")</f>
        <v>8.3333333333333339</v>
      </c>
      <c r="P134" s="132">
        <f t="shared" ref="P134:P197" si="82">IF($F134&lt;=$C$16*12,IF($F134&lt;=$C$38*12,IFERROR($C$37/($C$38*12),0),0),"-")</f>
        <v>0</v>
      </c>
      <c r="Q134" s="132">
        <f t="shared" si="62"/>
        <v>3034.4480101157014</v>
      </c>
      <c r="R134" s="132">
        <f t="shared" si="63"/>
        <v>10955.230869724006</v>
      </c>
      <c r="S134" s="132">
        <f t="shared" si="64"/>
        <v>0</v>
      </c>
      <c r="T134" s="132">
        <f t="shared" si="56"/>
        <v>10955.230869724006</v>
      </c>
      <c r="U134" s="132">
        <f>IF($F134&lt;=$C$16*12,SUM(T$5:T134),"-")</f>
        <v>1083987.7174310007</v>
      </c>
      <c r="V134" s="132">
        <f>IF($F134&lt;=$C$16*12,G134-$C$10-'RE Calculations'!$C321-'Mortgage Calculators (By Month)'!$F152,"-")</f>
        <v>1112755.3962190666</v>
      </c>
      <c r="W134" s="29">
        <f t="shared" si="65"/>
        <v>0.69502600282135563</v>
      </c>
      <c r="X134" s="31">
        <f t="shared" si="66"/>
        <v>6.4156246414278972E-2</v>
      </c>
      <c r="Y134" s="132">
        <f t="shared" si="67"/>
        <v>2196743.1136500672</v>
      </c>
      <c r="Z134" s="29">
        <f t="shared" si="68"/>
        <v>1.3720837397808203</v>
      </c>
      <c r="AA134" s="31">
        <f t="shared" si="69"/>
        <v>0.12665388367207572</v>
      </c>
      <c r="AD134" s="12">
        <f t="shared" si="70"/>
        <v>130</v>
      </c>
      <c r="AE134" s="132">
        <f t="shared" si="71"/>
        <v>2773757.547162313</v>
      </c>
      <c r="AF134" s="132">
        <f>IF($AD134&lt;=$C$25*12,$AE134-$C$7+SUM('Mortgage Calculators (By Month)'!$K$23:$K152),"-")</f>
        <v>2773757.547162313</v>
      </c>
      <c r="AG134" s="132">
        <f t="shared" si="72"/>
        <v>13981.345546506374</v>
      </c>
      <c r="AH134" s="132">
        <f>IF($AD134&lt;=$C$25*12,SUM(Inputs!$C$61:$C$78)*'Forecast (By Month)'!AG134,"-")</f>
        <v>1537.9480101157012</v>
      </c>
      <c r="AI134" s="132">
        <f>IF($AD134&lt;=$C$25*12,(SUMIF(Inputs!$C$61:$C$78,0,Inputs!$F$61:$F$78)/12)*(1+$C$34)^ROUNDDOWN((AD134-1)/12,0),"-")</f>
        <v>1488.1666666666667</v>
      </c>
      <c r="AJ134" s="132">
        <f t="shared" si="73"/>
        <v>3026.114676782368</v>
      </c>
      <c r="AK134" s="132">
        <f>IF($AD134&lt;=$C$25*12,'Mortgage Calculators (By Month)'!$J152,"-")</f>
        <v>0</v>
      </c>
      <c r="AL134" s="132">
        <f>IF($AD134&lt;=$C$25*12,'Mortgage Calculators (By Month)'!$K152,"-")</f>
        <v>0</v>
      </c>
      <c r="AM134" s="132">
        <f>IF($AD134&lt;=$C$25*12,'Mortgage Calculators (By Month)'!$L152,"-")</f>
        <v>10</v>
      </c>
      <c r="AN134" s="132">
        <f t="shared" ref="AN134:AN197" si="83">IF($AD134&lt;=$C$25*12,IF($AD134&lt;=$C$38*12,IFERROR($C$37/($C$38*12),0),0),"-")</f>
        <v>0</v>
      </c>
      <c r="AO134" s="132">
        <f t="shared" si="74"/>
        <v>3036.114676782368</v>
      </c>
      <c r="AP134" s="132">
        <f t="shared" si="75"/>
        <v>10955.230869724006</v>
      </c>
      <c r="AQ134" s="132">
        <f t="shared" si="76"/>
        <v>0</v>
      </c>
      <c r="AR134" s="132">
        <f t="shared" si="57"/>
        <v>10955.230869724006</v>
      </c>
      <c r="AS134" s="132">
        <f>IF($AD134&lt;=$C$25*12,SUM(AR$5:AR134),"-")</f>
        <v>1083977.7174310007</v>
      </c>
      <c r="AT134" s="132">
        <f>IF($AD134&lt;=$C$25*12,AE134-$C$10-'RE Calculations'!$C321-'Mortgage Calculators (By Month)'!$M152,"-")</f>
        <v>1112755.3962190666</v>
      </c>
      <c r="AU134" s="29">
        <f t="shared" si="77"/>
        <v>0.69502600282135563</v>
      </c>
      <c r="AV134" s="31">
        <f t="shared" si="78"/>
        <v>6.4156246414278972E-2</v>
      </c>
      <c r="AW134" s="132">
        <f t="shared" si="79"/>
        <v>2196733.1136500672</v>
      </c>
      <c r="AX134" s="29">
        <f t="shared" si="80"/>
        <v>1.3720774937899656</v>
      </c>
      <c r="AY134" s="31">
        <f t="shared" si="81"/>
        <v>0.12665330711907374</v>
      </c>
    </row>
    <row r="135" spans="6:51" x14ac:dyDescent="0.35">
      <c r="F135" s="12">
        <f t="shared" si="58"/>
        <v>131</v>
      </c>
      <c r="G135" s="132">
        <f t="shared" si="59"/>
        <v>2785058.178755281</v>
      </c>
      <c r="H135" s="132">
        <f>IF($F135&lt;=$C$16*12,$G135-$C$7+SUM('Mortgage Calculators (By Month)'!$D$23:$D153),"-")</f>
        <v>2785058.178755281</v>
      </c>
      <c r="I135" s="132">
        <f t="shared" si="60"/>
        <v>13981.345546506374</v>
      </c>
      <c r="J135" s="132">
        <f>IF($F135&lt;=$C$16*12,SUM(Inputs!$C$61:$C$78)*'Forecast (By Month)'!I135,"-")</f>
        <v>1537.9480101157012</v>
      </c>
      <c r="K135" s="132">
        <f>IF($F135&lt;=$C$16*12,(SUMIF(Inputs!$C$61:$C$78,0,Inputs!$F$61:$F$78)/12)*(1+$C$34)^ROUNDDOWN((F135-1)/12,0),"-")</f>
        <v>1488.1666666666667</v>
      </c>
      <c r="L135" s="132">
        <f t="shared" si="61"/>
        <v>3026.114676782368</v>
      </c>
      <c r="M135" s="132">
        <f>IF($F135&lt;=$C$16*12,'Mortgage Calculators (By Month)'!$C153,"-")</f>
        <v>0</v>
      </c>
      <c r="N135" s="132">
        <f>IF($F135&lt;=$C$16*12,'Mortgage Calculators (By Month)'!$D153,"-")</f>
        <v>0</v>
      </c>
      <c r="O135" s="132">
        <f>IF($F135&lt;=$C$16*12,'Mortgage Calculators (By Month)'!$E153,"-")</f>
        <v>8.3333333333333339</v>
      </c>
      <c r="P135" s="132">
        <f t="shared" si="82"/>
        <v>0</v>
      </c>
      <c r="Q135" s="132">
        <f t="shared" si="62"/>
        <v>3034.4480101157014</v>
      </c>
      <c r="R135" s="132">
        <f t="shared" si="63"/>
        <v>10955.230869724006</v>
      </c>
      <c r="S135" s="132">
        <f t="shared" si="64"/>
        <v>0</v>
      </c>
      <c r="T135" s="132">
        <f t="shared" si="56"/>
        <v>10955.230869724006</v>
      </c>
      <c r="U135" s="132">
        <f>IF($F135&lt;=$C$16*12,SUM(T$5:T135),"-")</f>
        <v>1094942.9483007246</v>
      </c>
      <c r="V135" s="132">
        <f>IF($F135&lt;=$C$16*12,G135-$C$10-'RE Calculations'!$C322-'Mortgage Calculators (By Month)'!$F153,"-")</f>
        <v>1123830.0151801752</v>
      </c>
      <c r="W135" s="29">
        <f t="shared" si="65"/>
        <v>0.70194319969630448</v>
      </c>
      <c r="X135" s="31">
        <f t="shared" si="66"/>
        <v>6.4300140430195829E-2</v>
      </c>
      <c r="Y135" s="132">
        <f t="shared" si="67"/>
        <v>2218772.9634809</v>
      </c>
      <c r="Z135" s="29">
        <f t="shared" si="68"/>
        <v>1.385843563838024</v>
      </c>
      <c r="AA135" s="31">
        <f t="shared" si="69"/>
        <v>0.12694750203096403</v>
      </c>
      <c r="AD135" s="12">
        <f t="shared" si="70"/>
        <v>131</v>
      </c>
      <c r="AE135" s="132">
        <f t="shared" si="71"/>
        <v>2785058.178755281</v>
      </c>
      <c r="AF135" s="132">
        <f>IF($AD135&lt;=$C$25*12,$AE135-$C$7+SUM('Mortgage Calculators (By Month)'!$K$23:$K153),"-")</f>
        <v>2785058.178755281</v>
      </c>
      <c r="AG135" s="132">
        <f t="shared" si="72"/>
        <v>13981.345546506374</v>
      </c>
      <c r="AH135" s="132">
        <f>IF($AD135&lt;=$C$25*12,SUM(Inputs!$C$61:$C$78)*'Forecast (By Month)'!AG135,"-")</f>
        <v>1537.9480101157012</v>
      </c>
      <c r="AI135" s="132">
        <f>IF($AD135&lt;=$C$25*12,(SUMIF(Inputs!$C$61:$C$78,0,Inputs!$F$61:$F$78)/12)*(1+$C$34)^ROUNDDOWN((AD135-1)/12,0),"-")</f>
        <v>1488.1666666666667</v>
      </c>
      <c r="AJ135" s="132">
        <f t="shared" si="73"/>
        <v>3026.114676782368</v>
      </c>
      <c r="AK135" s="132">
        <f>IF($AD135&lt;=$C$25*12,'Mortgage Calculators (By Month)'!$J153,"-")</f>
        <v>0</v>
      </c>
      <c r="AL135" s="132">
        <f>IF($AD135&lt;=$C$25*12,'Mortgage Calculators (By Month)'!$K153,"-")</f>
        <v>0</v>
      </c>
      <c r="AM135" s="132">
        <f>IF($AD135&lt;=$C$25*12,'Mortgage Calculators (By Month)'!$L153,"-")</f>
        <v>10</v>
      </c>
      <c r="AN135" s="132">
        <f t="shared" si="83"/>
        <v>0</v>
      </c>
      <c r="AO135" s="132">
        <f t="shared" si="74"/>
        <v>3036.114676782368</v>
      </c>
      <c r="AP135" s="132">
        <f t="shared" si="75"/>
        <v>10955.230869724006</v>
      </c>
      <c r="AQ135" s="132">
        <f t="shared" si="76"/>
        <v>0</v>
      </c>
      <c r="AR135" s="132">
        <f t="shared" si="57"/>
        <v>10955.230869724006</v>
      </c>
      <c r="AS135" s="132">
        <f>IF($AD135&lt;=$C$25*12,SUM(AR$5:AR135),"-")</f>
        <v>1094932.9483007246</v>
      </c>
      <c r="AT135" s="132">
        <f>IF($AD135&lt;=$C$25*12,AE135-$C$10-'RE Calculations'!$C322-'Mortgage Calculators (By Month)'!$M153,"-")</f>
        <v>1123830.0151801752</v>
      </c>
      <c r="AU135" s="29">
        <f t="shared" si="77"/>
        <v>0.70194319969630448</v>
      </c>
      <c r="AV135" s="31">
        <f t="shared" si="78"/>
        <v>6.4300140430195829E-2</v>
      </c>
      <c r="AW135" s="132">
        <f t="shared" si="79"/>
        <v>2218762.9634809</v>
      </c>
      <c r="AX135" s="29">
        <f t="shared" si="80"/>
        <v>1.3858373178471695</v>
      </c>
      <c r="AY135" s="31">
        <f t="shared" si="81"/>
        <v>0.12694692987913003</v>
      </c>
    </row>
    <row r="136" spans="6:51" x14ac:dyDescent="0.35">
      <c r="F136" s="12">
        <f t="shared" si="58"/>
        <v>132</v>
      </c>
      <c r="G136" s="132">
        <f t="shared" si="59"/>
        <v>2796404.8505201922</v>
      </c>
      <c r="H136" s="132">
        <f>IF($F136&lt;=$C$16*12,$G136-$C$7+SUM('Mortgage Calculators (By Month)'!$D$23:$D154),"-")</f>
        <v>2796404.8505201922</v>
      </c>
      <c r="I136" s="132">
        <f t="shared" si="60"/>
        <v>13981.345546506374</v>
      </c>
      <c r="J136" s="132">
        <f>IF($F136&lt;=$C$16*12,SUM(Inputs!$C$61:$C$78)*'Forecast (By Month)'!I136,"-")</f>
        <v>1537.9480101157012</v>
      </c>
      <c r="K136" s="132">
        <f>IF($F136&lt;=$C$16*12,(SUMIF(Inputs!$C$61:$C$78,0,Inputs!$F$61:$F$78)/12)*(1+$C$34)^ROUNDDOWN((F136-1)/12,0),"-")</f>
        <v>1488.1666666666667</v>
      </c>
      <c r="L136" s="132">
        <f t="shared" si="61"/>
        <v>3026.114676782368</v>
      </c>
      <c r="M136" s="132">
        <f>IF($F136&lt;=$C$16*12,'Mortgage Calculators (By Month)'!$C154,"-")</f>
        <v>0</v>
      </c>
      <c r="N136" s="132">
        <f>IF($F136&lt;=$C$16*12,'Mortgage Calculators (By Month)'!$D154,"-")</f>
        <v>0</v>
      </c>
      <c r="O136" s="132">
        <f>IF($F136&lt;=$C$16*12,'Mortgage Calculators (By Month)'!$E154,"-")</f>
        <v>8.3333333333333339</v>
      </c>
      <c r="P136" s="132">
        <f t="shared" si="82"/>
        <v>0</v>
      </c>
      <c r="Q136" s="132">
        <f t="shared" si="62"/>
        <v>3034.4480101157014</v>
      </c>
      <c r="R136" s="132">
        <f t="shared" si="63"/>
        <v>10955.230869724006</v>
      </c>
      <c r="S136" s="132">
        <f t="shared" si="64"/>
        <v>0</v>
      </c>
      <c r="T136" s="132">
        <f t="shared" si="56"/>
        <v>10955.230869724006</v>
      </c>
      <c r="U136" s="132">
        <f>IF($F136&lt;=$C$16*12,SUM(T$5:T136),"-")</f>
        <v>1105898.1791704486</v>
      </c>
      <c r="V136" s="132">
        <f>IF($F136&lt;=$C$16*12,G136-$C$10-'RE Calculations'!$C323-'Mortgage Calculators (By Month)'!$F154,"-")</f>
        <v>1134949.7535097881</v>
      </c>
      <c r="W136" s="29">
        <f t="shared" si="65"/>
        <v>0.70888857808755756</v>
      </c>
      <c r="X136" s="31">
        <f t="shared" si="66"/>
        <v>6.4444416189777962E-2</v>
      </c>
      <c r="Y136" s="132">
        <f t="shared" si="67"/>
        <v>2240847.9326802366</v>
      </c>
      <c r="Z136" s="29">
        <f t="shared" si="68"/>
        <v>1.3996315694115318</v>
      </c>
      <c r="AA136" s="31">
        <f t="shared" si="69"/>
        <v>0.12723923358286651</v>
      </c>
      <c r="AD136" s="12">
        <f t="shared" si="70"/>
        <v>132</v>
      </c>
      <c r="AE136" s="132">
        <f t="shared" si="71"/>
        <v>2796404.8505201922</v>
      </c>
      <c r="AF136" s="132">
        <f>IF($AD136&lt;=$C$25*12,$AE136-$C$7+SUM('Mortgage Calculators (By Month)'!$K$23:$K154),"-")</f>
        <v>2796404.8505201922</v>
      </c>
      <c r="AG136" s="132">
        <f t="shared" si="72"/>
        <v>13981.345546506374</v>
      </c>
      <c r="AH136" s="132">
        <f>IF($AD136&lt;=$C$25*12,SUM(Inputs!$C$61:$C$78)*'Forecast (By Month)'!AG136,"-")</f>
        <v>1537.9480101157012</v>
      </c>
      <c r="AI136" s="132">
        <f>IF($AD136&lt;=$C$25*12,(SUMIF(Inputs!$C$61:$C$78,0,Inputs!$F$61:$F$78)/12)*(1+$C$34)^ROUNDDOWN((AD136-1)/12,0),"-")</f>
        <v>1488.1666666666667</v>
      </c>
      <c r="AJ136" s="132">
        <f t="shared" si="73"/>
        <v>3026.114676782368</v>
      </c>
      <c r="AK136" s="132">
        <f>IF($AD136&lt;=$C$25*12,'Mortgage Calculators (By Month)'!$J154,"-")</f>
        <v>0</v>
      </c>
      <c r="AL136" s="132">
        <f>IF($AD136&lt;=$C$25*12,'Mortgage Calculators (By Month)'!$K154,"-")</f>
        <v>0</v>
      </c>
      <c r="AM136" s="132">
        <f>IF($AD136&lt;=$C$25*12,'Mortgage Calculators (By Month)'!$L154,"-")</f>
        <v>10</v>
      </c>
      <c r="AN136" s="132">
        <f t="shared" si="83"/>
        <v>0</v>
      </c>
      <c r="AO136" s="132">
        <f t="shared" si="74"/>
        <v>3036.114676782368</v>
      </c>
      <c r="AP136" s="132">
        <f t="shared" si="75"/>
        <v>10955.230869724006</v>
      </c>
      <c r="AQ136" s="132">
        <f t="shared" si="76"/>
        <v>0</v>
      </c>
      <c r="AR136" s="132">
        <f t="shared" si="57"/>
        <v>10955.230869724006</v>
      </c>
      <c r="AS136" s="132">
        <f>IF($AD136&lt;=$C$25*12,SUM(AR$5:AR136),"-")</f>
        <v>1105888.1791704486</v>
      </c>
      <c r="AT136" s="132">
        <f>IF($AD136&lt;=$C$25*12,AE136-$C$10-'RE Calculations'!$C323-'Mortgage Calculators (By Month)'!$M154,"-")</f>
        <v>1134949.7535097881</v>
      </c>
      <c r="AU136" s="29">
        <f t="shared" si="77"/>
        <v>0.70888857808755756</v>
      </c>
      <c r="AV136" s="31">
        <f t="shared" si="78"/>
        <v>6.4444416189777962E-2</v>
      </c>
      <c r="AW136" s="132">
        <f t="shared" si="79"/>
        <v>2240837.9326802366</v>
      </c>
      <c r="AX136" s="29">
        <f t="shared" si="80"/>
        <v>1.3996253234206772</v>
      </c>
      <c r="AY136" s="31">
        <f t="shared" si="81"/>
        <v>0.12723866576551612</v>
      </c>
    </row>
    <row r="137" spans="6:51" x14ac:dyDescent="0.35">
      <c r="F137" s="12">
        <f t="shared" si="58"/>
        <v>133</v>
      </c>
      <c r="G137" s="132">
        <f t="shared" si="59"/>
        <v>2807797.7500304063</v>
      </c>
      <c r="H137" s="132">
        <f>IF($F137&lt;=$C$16*12,$G137-$C$7+SUM('Mortgage Calculators (By Month)'!$D$23:$D155),"-")</f>
        <v>2807797.7500304063</v>
      </c>
      <c r="I137" s="132">
        <f t="shared" si="60"/>
        <v>14680.412823831693</v>
      </c>
      <c r="J137" s="132">
        <f>IF($F137&lt;=$C$16*12,SUM(Inputs!$C$61:$C$78)*'Forecast (By Month)'!I137,"-")</f>
        <v>1614.8454106214863</v>
      </c>
      <c r="K137" s="132">
        <f>IF($F137&lt;=$C$16*12,(SUMIF(Inputs!$C$61:$C$78,0,Inputs!$F$61:$F$78)/12)*(1+$C$34)^ROUNDDOWN((F137-1)/12,0),"-")</f>
        <v>1488.1666666666667</v>
      </c>
      <c r="L137" s="132">
        <f t="shared" si="61"/>
        <v>3103.0120772881528</v>
      </c>
      <c r="M137" s="132">
        <f>IF($F137&lt;=$C$16*12,'Mortgage Calculators (By Month)'!$C155,"-")</f>
        <v>0</v>
      </c>
      <c r="N137" s="132">
        <f>IF($F137&lt;=$C$16*12,'Mortgage Calculators (By Month)'!$D155,"-")</f>
        <v>0</v>
      </c>
      <c r="O137" s="132">
        <f>IF($F137&lt;=$C$16*12,'Mortgage Calculators (By Month)'!$E155,"-")</f>
        <v>8.3333333333333339</v>
      </c>
      <c r="P137" s="132">
        <f t="shared" si="82"/>
        <v>0</v>
      </c>
      <c r="Q137" s="132">
        <f t="shared" si="62"/>
        <v>3111.3454106214863</v>
      </c>
      <c r="R137" s="132">
        <f t="shared" si="63"/>
        <v>11577.400746543541</v>
      </c>
      <c r="S137" s="132">
        <f t="shared" si="64"/>
        <v>0</v>
      </c>
      <c r="T137" s="132">
        <f t="shared" si="56"/>
        <v>11577.400746543541</v>
      </c>
      <c r="U137" s="132">
        <f>IF($F137&lt;=$C$16*12,SUM(T$5:T137),"-")</f>
        <v>1117475.579916992</v>
      </c>
      <c r="V137" s="132">
        <f>IF($F137&lt;=$C$16*12,G137-$C$10-'RE Calculations'!$C324-'Mortgage Calculators (By Month)'!$F155,"-")</f>
        <v>1146114.7950297978</v>
      </c>
      <c r="W137" s="29">
        <f t="shared" si="65"/>
        <v>0.71586225281010119</v>
      </c>
      <c r="X137" s="31">
        <f t="shared" si="66"/>
        <v>6.4589075441512891E-2</v>
      </c>
      <c r="Y137" s="132">
        <f t="shared" si="67"/>
        <v>2263590.3749467898</v>
      </c>
      <c r="Z137" s="29">
        <f t="shared" si="68"/>
        <v>1.4138364780523938</v>
      </c>
      <c r="AA137" s="31">
        <f t="shared" si="69"/>
        <v>0.12756419350848666</v>
      </c>
      <c r="AD137" s="12">
        <f t="shared" si="70"/>
        <v>133</v>
      </c>
      <c r="AE137" s="132">
        <f t="shared" si="71"/>
        <v>2807797.7500304063</v>
      </c>
      <c r="AF137" s="132">
        <f>IF($AD137&lt;=$C$25*12,$AE137-$C$7+SUM('Mortgage Calculators (By Month)'!$K$23:$K155),"-")</f>
        <v>2807797.7500304063</v>
      </c>
      <c r="AG137" s="132">
        <f t="shared" si="72"/>
        <v>14680.412823831693</v>
      </c>
      <c r="AH137" s="132">
        <f>IF($AD137&lt;=$C$25*12,SUM(Inputs!$C$61:$C$78)*'Forecast (By Month)'!AG137,"-")</f>
        <v>1614.8454106214863</v>
      </c>
      <c r="AI137" s="132">
        <f>IF($AD137&lt;=$C$25*12,(SUMIF(Inputs!$C$61:$C$78,0,Inputs!$F$61:$F$78)/12)*(1+$C$34)^ROUNDDOWN((AD137-1)/12,0),"-")</f>
        <v>1488.1666666666667</v>
      </c>
      <c r="AJ137" s="132">
        <f t="shared" si="73"/>
        <v>3103.0120772881528</v>
      </c>
      <c r="AK137" s="132">
        <f>IF($AD137&lt;=$C$25*12,'Mortgage Calculators (By Month)'!$J155,"-")</f>
        <v>0</v>
      </c>
      <c r="AL137" s="132">
        <f>IF($AD137&lt;=$C$25*12,'Mortgage Calculators (By Month)'!$K155,"-")</f>
        <v>0</v>
      </c>
      <c r="AM137" s="132">
        <f>IF($AD137&lt;=$C$25*12,'Mortgage Calculators (By Month)'!$L155,"-")</f>
        <v>10</v>
      </c>
      <c r="AN137" s="132">
        <f t="shared" si="83"/>
        <v>0</v>
      </c>
      <c r="AO137" s="132">
        <f t="shared" si="74"/>
        <v>3113.0120772881528</v>
      </c>
      <c r="AP137" s="132">
        <f t="shared" si="75"/>
        <v>11577.400746543541</v>
      </c>
      <c r="AQ137" s="132">
        <f t="shared" si="76"/>
        <v>0</v>
      </c>
      <c r="AR137" s="132">
        <f t="shared" si="57"/>
        <v>11577.400746543541</v>
      </c>
      <c r="AS137" s="132">
        <f>IF($AD137&lt;=$C$25*12,SUM(AR$5:AR137),"-")</f>
        <v>1117465.579916992</v>
      </c>
      <c r="AT137" s="132">
        <f>IF($AD137&lt;=$C$25*12,AE137-$C$10-'RE Calculations'!$C324-'Mortgage Calculators (By Month)'!$M155,"-")</f>
        <v>1146114.7950297978</v>
      </c>
      <c r="AU137" s="29">
        <f t="shared" si="77"/>
        <v>0.71586225281010119</v>
      </c>
      <c r="AV137" s="31">
        <f t="shared" si="78"/>
        <v>6.4589075441512891E-2</v>
      </c>
      <c r="AW137" s="132">
        <f t="shared" si="79"/>
        <v>2263580.3749467898</v>
      </c>
      <c r="AX137" s="29">
        <f t="shared" si="80"/>
        <v>1.4138302320615392</v>
      </c>
      <c r="AY137" s="31">
        <f t="shared" si="81"/>
        <v>0.12756362996043963</v>
      </c>
    </row>
    <row r="138" spans="6:51" x14ac:dyDescent="0.35">
      <c r="F138" s="12">
        <f t="shared" si="58"/>
        <v>134</v>
      </c>
      <c r="G138" s="132">
        <f t="shared" si="59"/>
        <v>2819237.0656234794</v>
      </c>
      <c r="H138" s="132">
        <f>IF($F138&lt;=$C$16*12,$G138-$C$7+SUM('Mortgage Calculators (By Month)'!$D$23:$D156),"-")</f>
        <v>2819237.0656234794</v>
      </c>
      <c r="I138" s="132">
        <f t="shared" si="60"/>
        <v>14680.412823831693</v>
      </c>
      <c r="J138" s="132">
        <f>IF($F138&lt;=$C$16*12,SUM(Inputs!$C$61:$C$78)*'Forecast (By Month)'!I138,"-")</f>
        <v>1614.8454106214863</v>
      </c>
      <c r="K138" s="132">
        <f>IF($F138&lt;=$C$16*12,(SUMIF(Inputs!$C$61:$C$78,0,Inputs!$F$61:$F$78)/12)*(1+$C$34)^ROUNDDOWN((F138-1)/12,0),"-")</f>
        <v>1488.1666666666667</v>
      </c>
      <c r="L138" s="132">
        <f t="shared" si="61"/>
        <v>3103.0120772881528</v>
      </c>
      <c r="M138" s="132">
        <f>IF($F138&lt;=$C$16*12,'Mortgage Calculators (By Month)'!$C156,"-")</f>
        <v>0</v>
      </c>
      <c r="N138" s="132">
        <f>IF($F138&lt;=$C$16*12,'Mortgage Calculators (By Month)'!$D156,"-")</f>
        <v>0</v>
      </c>
      <c r="O138" s="132">
        <f>IF($F138&lt;=$C$16*12,'Mortgage Calculators (By Month)'!$E156,"-")</f>
        <v>8.3333333333333339</v>
      </c>
      <c r="P138" s="132">
        <f t="shared" si="82"/>
        <v>0</v>
      </c>
      <c r="Q138" s="132">
        <f t="shared" si="62"/>
        <v>3111.3454106214863</v>
      </c>
      <c r="R138" s="132">
        <f t="shared" si="63"/>
        <v>11577.400746543541</v>
      </c>
      <c r="S138" s="132">
        <f t="shared" si="64"/>
        <v>0</v>
      </c>
      <c r="T138" s="132">
        <f t="shared" si="56"/>
        <v>11577.400746543541</v>
      </c>
      <c r="U138" s="132">
        <f>IF($F138&lt;=$C$16*12,SUM(T$5:T138),"-")</f>
        <v>1129052.9806635354</v>
      </c>
      <c r="V138" s="132">
        <f>IF($F138&lt;=$C$16*12,G138-$C$10-'RE Calculations'!$C325-'Mortgage Calculators (By Month)'!$F156,"-")</f>
        <v>1157325.3243110096</v>
      </c>
      <c r="W138" s="29">
        <f t="shared" si="65"/>
        <v>0.72286433914669124</v>
      </c>
      <c r="X138" s="31">
        <f t="shared" si="66"/>
        <v>6.4734119923584299E-2</v>
      </c>
      <c r="Y138" s="132">
        <f t="shared" si="67"/>
        <v>2286378.3049745448</v>
      </c>
      <c r="Z138" s="29">
        <f t="shared" si="68"/>
        <v>1.4280697983073021</v>
      </c>
      <c r="AA138" s="31">
        <f t="shared" si="69"/>
        <v>0.12788684760960914</v>
      </c>
      <c r="AD138" s="12">
        <f t="shared" si="70"/>
        <v>134</v>
      </c>
      <c r="AE138" s="132">
        <f t="shared" si="71"/>
        <v>2819237.0656234794</v>
      </c>
      <c r="AF138" s="132">
        <f>IF($AD138&lt;=$C$25*12,$AE138-$C$7+SUM('Mortgage Calculators (By Month)'!$K$23:$K156),"-")</f>
        <v>2819237.0656234794</v>
      </c>
      <c r="AG138" s="132">
        <f t="shared" si="72"/>
        <v>14680.412823831693</v>
      </c>
      <c r="AH138" s="132">
        <f>IF($AD138&lt;=$C$25*12,SUM(Inputs!$C$61:$C$78)*'Forecast (By Month)'!AG138,"-")</f>
        <v>1614.8454106214863</v>
      </c>
      <c r="AI138" s="132">
        <f>IF($AD138&lt;=$C$25*12,(SUMIF(Inputs!$C$61:$C$78,0,Inputs!$F$61:$F$78)/12)*(1+$C$34)^ROUNDDOWN((AD138-1)/12,0),"-")</f>
        <v>1488.1666666666667</v>
      </c>
      <c r="AJ138" s="132">
        <f t="shared" si="73"/>
        <v>3103.0120772881528</v>
      </c>
      <c r="AK138" s="132">
        <f>IF($AD138&lt;=$C$25*12,'Mortgage Calculators (By Month)'!$J156,"-")</f>
        <v>0</v>
      </c>
      <c r="AL138" s="132">
        <f>IF($AD138&lt;=$C$25*12,'Mortgage Calculators (By Month)'!$K156,"-")</f>
        <v>0</v>
      </c>
      <c r="AM138" s="132">
        <f>IF($AD138&lt;=$C$25*12,'Mortgage Calculators (By Month)'!$L156,"-")</f>
        <v>10</v>
      </c>
      <c r="AN138" s="132">
        <f t="shared" si="83"/>
        <v>0</v>
      </c>
      <c r="AO138" s="132">
        <f t="shared" si="74"/>
        <v>3113.0120772881528</v>
      </c>
      <c r="AP138" s="132">
        <f t="shared" si="75"/>
        <v>11577.400746543541</v>
      </c>
      <c r="AQ138" s="132">
        <f t="shared" si="76"/>
        <v>0</v>
      </c>
      <c r="AR138" s="132">
        <f t="shared" si="57"/>
        <v>11577.400746543541</v>
      </c>
      <c r="AS138" s="132">
        <f>IF($AD138&lt;=$C$25*12,SUM(AR$5:AR138),"-")</f>
        <v>1129042.9806635354</v>
      </c>
      <c r="AT138" s="132">
        <f>IF($AD138&lt;=$C$25*12,AE138-$C$10-'RE Calculations'!$C325-'Mortgage Calculators (By Month)'!$M156,"-")</f>
        <v>1157325.3243110096</v>
      </c>
      <c r="AU138" s="29">
        <f t="shared" si="77"/>
        <v>0.72286433914669124</v>
      </c>
      <c r="AV138" s="31">
        <f t="shared" si="78"/>
        <v>6.4734119923584299E-2</v>
      </c>
      <c r="AW138" s="132">
        <f t="shared" si="79"/>
        <v>2286368.3049745448</v>
      </c>
      <c r="AX138" s="29">
        <f t="shared" si="80"/>
        <v>1.4280635523164473</v>
      </c>
      <c r="AY138" s="31">
        <f t="shared" si="81"/>
        <v>0.12788628826714454</v>
      </c>
    </row>
    <row r="139" spans="6:51" x14ac:dyDescent="0.35">
      <c r="F139" s="12">
        <f t="shared" si="58"/>
        <v>135</v>
      </c>
      <c r="G139" s="132">
        <f t="shared" si="59"/>
        <v>2830722.9864042792</v>
      </c>
      <c r="H139" s="132">
        <f>IF($F139&lt;=$C$16*12,$G139-$C$7+SUM('Mortgage Calculators (By Month)'!$D$23:$D157),"-")</f>
        <v>2830722.9864042792</v>
      </c>
      <c r="I139" s="132">
        <f t="shared" si="60"/>
        <v>14680.412823831693</v>
      </c>
      <c r="J139" s="132">
        <f>IF($F139&lt;=$C$16*12,SUM(Inputs!$C$61:$C$78)*'Forecast (By Month)'!I139,"-")</f>
        <v>1614.8454106214863</v>
      </c>
      <c r="K139" s="132">
        <f>IF($F139&lt;=$C$16*12,(SUMIF(Inputs!$C$61:$C$78,0,Inputs!$F$61:$F$78)/12)*(1+$C$34)^ROUNDDOWN((F139-1)/12,0),"-")</f>
        <v>1488.1666666666667</v>
      </c>
      <c r="L139" s="132">
        <f t="shared" si="61"/>
        <v>3103.0120772881528</v>
      </c>
      <c r="M139" s="132">
        <f>IF($F139&lt;=$C$16*12,'Mortgage Calculators (By Month)'!$C157,"-")</f>
        <v>0</v>
      </c>
      <c r="N139" s="132">
        <f>IF($F139&lt;=$C$16*12,'Mortgage Calculators (By Month)'!$D157,"-")</f>
        <v>0</v>
      </c>
      <c r="O139" s="132">
        <f>IF($F139&lt;=$C$16*12,'Mortgage Calculators (By Month)'!$E157,"-")</f>
        <v>8.3333333333333339</v>
      </c>
      <c r="P139" s="132">
        <f t="shared" si="82"/>
        <v>0</v>
      </c>
      <c r="Q139" s="132">
        <f t="shared" si="62"/>
        <v>3111.3454106214863</v>
      </c>
      <c r="R139" s="132">
        <f t="shared" si="63"/>
        <v>11577.400746543541</v>
      </c>
      <c r="S139" s="132">
        <f t="shared" si="64"/>
        <v>0</v>
      </c>
      <c r="T139" s="132">
        <f t="shared" si="56"/>
        <v>11577.400746543541</v>
      </c>
      <c r="U139" s="132">
        <f>IF($F139&lt;=$C$16*12,SUM(T$5:T139),"-")</f>
        <v>1140630.3814100788</v>
      </c>
      <c r="V139" s="132">
        <f>IF($F139&lt;=$C$16*12,G139-$C$10-'RE Calculations'!$C326-'Mortgage Calculators (By Month)'!$F157,"-")</f>
        <v>1168581.5266761933</v>
      </c>
      <c r="W139" s="29">
        <f t="shared" si="65"/>
        <v>0.72989495284976036</v>
      </c>
      <c r="X139" s="31">
        <f t="shared" si="66"/>
        <v>6.4879551364423138E-2</v>
      </c>
      <c r="Y139" s="132">
        <f t="shared" si="67"/>
        <v>2309211.908086272</v>
      </c>
      <c r="Z139" s="29">
        <f t="shared" si="68"/>
        <v>1.4423316459286895</v>
      </c>
      <c r="AA139" s="31">
        <f t="shared" si="69"/>
        <v>0.12820725741588351</v>
      </c>
      <c r="AD139" s="12">
        <f t="shared" si="70"/>
        <v>135</v>
      </c>
      <c r="AE139" s="132">
        <f t="shared" si="71"/>
        <v>2830722.9864042792</v>
      </c>
      <c r="AF139" s="132">
        <f>IF($AD139&lt;=$C$25*12,$AE139-$C$7+SUM('Mortgage Calculators (By Month)'!$K$23:$K157),"-")</f>
        <v>2830722.9864042792</v>
      </c>
      <c r="AG139" s="132">
        <f t="shared" si="72"/>
        <v>14680.412823831693</v>
      </c>
      <c r="AH139" s="132">
        <f>IF($AD139&lt;=$C$25*12,SUM(Inputs!$C$61:$C$78)*'Forecast (By Month)'!AG139,"-")</f>
        <v>1614.8454106214863</v>
      </c>
      <c r="AI139" s="132">
        <f>IF($AD139&lt;=$C$25*12,(SUMIF(Inputs!$C$61:$C$78,0,Inputs!$F$61:$F$78)/12)*(1+$C$34)^ROUNDDOWN((AD139-1)/12,0),"-")</f>
        <v>1488.1666666666667</v>
      </c>
      <c r="AJ139" s="132">
        <f t="shared" si="73"/>
        <v>3103.0120772881528</v>
      </c>
      <c r="AK139" s="132">
        <f>IF($AD139&lt;=$C$25*12,'Mortgage Calculators (By Month)'!$J157,"-")</f>
        <v>0</v>
      </c>
      <c r="AL139" s="132">
        <f>IF($AD139&lt;=$C$25*12,'Mortgage Calculators (By Month)'!$K157,"-")</f>
        <v>0</v>
      </c>
      <c r="AM139" s="132">
        <f>IF($AD139&lt;=$C$25*12,'Mortgage Calculators (By Month)'!$L157,"-")</f>
        <v>10</v>
      </c>
      <c r="AN139" s="132">
        <f t="shared" si="83"/>
        <v>0</v>
      </c>
      <c r="AO139" s="132">
        <f t="shared" si="74"/>
        <v>3113.0120772881528</v>
      </c>
      <c r="AP139" s="132">
        <f t="shared" si="75"/>
        <v>11577.400746543541</v>
      </c>
      <c r="AQ139" s="132">
        <f t="shared" si="76"/>
        <v>0</v>
      </c>
      <c r="AR139" s="132">
        <f t="shared" si="57"/>
        <v>11577.400746543541</v>
      </c>
      <c r="AS139" s="132">
        <f>IF($AD139&lt;=$C$25*12,SUM(AR$5:AR139),"-")</f>
        <v>1140620.3814100788</v>
      </c>
      <c r="AT139" s="132">
        <f>IF($AD139&lt;=$C$25*12,AE139-$C$10-'RE Calculations'!$C326-'Mortgage Calculators (By Month)'!$M157,"-")</f>
        <v>1168581.5266761933</v>
      </c>
      <c r="AU139" s="29">
        <f t="shared" si="77"/>
        <v>0.72989495284976036</v>
      </c>
      <c r="AV139" s="31">
        <f t="shared" si="78"/>
        <v>6.4879551364423138E-2</v>
      </c>
      <c r="AW139" s="132">
        <f t="shared" si="79"/>
        <v>2309201.908086272</v>
      </c>
      <c r="AX139" s="29">
        <f t="shared" si="80"/>
        <v>1.4423253999378349</v>
      </c>
      <c r="AY139" s="31">
        <f t="shared" si="81"/>
        <v>0.12820670221669644</v>
      </c>
    </row>
    <row r="140" spans="6:51" x14ac:dyDescent="0.35">
      <c r="F140" s="12">
        <f t="shared" si="58"/>
        <v>136</v>
      </c>
      <c r="G140" s="132">
        <f t="shared" si="59"/>
        <v>2842255.702248109</v>
      </c>
      <c r="H140" s="132">
        <f>IF($F140&lt;=$C$16*12,$G140-$C$7+SUM('Mortgage Calculators (By Month)'!$D$23:$D158),"-")</f>
        <v>2842255.702248109</v>
      </c>
      <c r="I140" s="132">
        <f t="shared" si="60"/>
        <v>14680.412823831693</v>
      </c>
      <c r="J140" s="132">
        <f>IF($F140&lt;=$C$16*12,SUM(Inputs!$C$61:$C$78)*'Forecast (By Month)'!I140,"-")</f>
        <v>1614.8454106214863</v>
      </c>
      <c r="K140" s="132">
        <f>IF($F140&lt;=$C$16*12,(SUMIF(Inputs!$C$61:$C$78,0,Inputs!$F$61:$F$78)/12)*(1+$C$34)^ROUNDDOWN((F140-1)/12,0),"-")</f>
        <v>1488.1666666666667</v>
      </c>
      <c r="L140" s="132">
        <f t="shared" si="61"/>
        <v>3103.0120772881528</v>
      </c>
      <c r="M140" s="132">
        <f>IF($F140&lt;=$C$16*12,'Mortgage Calculators (By Month)'!$C158,"-")</f>
        <v>0</v>
      </c>
      <c r="N140" s="132">
        <f>IF($F140&lt;=$C$16*12,'Mortgage Calculators (By Month)'!$D158,"-")</f>
        <v>0</v>
      </c>
      <c r="O140" s="132">
        <f>IF($F140&lt;=$C$16*12,'Mortgage Calculators (By Month)'!$E158,"-")</f>
        <v>8.3333333333333339</v>
      </c>
      <c r="P140" s="132">
        <f t="shared" si="82"/>
        <v>0</v>
      </c>
      <c r="Q140" s="132">
        <f t="shared" si="62"/>
        <v>3111.3454106214863</v>
      </c>
      <c r="R140" s="132">
        <f t="shared" si="63"/>
        <v>11577.400746543541</v>
      </c>
      <c r="S140" s="132">
        <f t="shared" si="64"/>
        <v>0</v>
      </c>
      <c r="T140" s="132">
        <f t="shared" si="56"/>
        <v>11577.400746543541</v>
      </c>
      <c r="U140" s="132">
        <f>IF($F140&lt;=$C$16*12,SUM(T$5:T140),"-")</f>
        <v>1152207.7821566223</v>
      </c>
      <c r="V140" s="132">
        <f>IF($F140&lt;=$C$16*12,G140-$C$10-'RE Calculations'!$C327-'Mortgage Calculators (By Month)'!$F158,"-")</f>
        <v>1179883.5882031466</v>
      </c>
      <c r="W140" s="29">
        <f t="shared" si="65"/>
        <v>0.73695421014333085</v>
      </c>
      <c r="X140" s="31">
        <f t="shared" si="66"/>
        <v>6.5025371483235075E-2</v>
      </c>
      <c r="Y140" s="132">
        <f t="shared" si="67"/>
        <v>2332091.3703597691</v>
      </c>
      <c r="Z140" s="29">
        <f t="shared" si="68"/>
        <v>1.4566221371405785</v>
      </c>
      <c r="AA140" s="31">
        <f t="shared" si="69"/>
        <v>0.12852548268887456</v>
      </c>
      <c r="AD140" s="12">
        <f t="shared" si="70"/>
        <v>136</v>
      </c>
      <c r="AE140" s="132">
        <f t="shared" si="71"/>
        <v>2842255.702248109</v>
      </c>
      <c r="AF140" s="132">
        <f>IF($AD140&lt;=$C$25*12,$AE140-$C$7+SUM('Mortgage Calculators (By Month)'!$K$23:$K158),"-")</f>
        <v>2842255.702248109</v>
      </c>
      <c r="AG140" s="132">
        <f t="shared" si="72"/>
        <v>14680.412823831693</v>
      </c>
      <c r="AH140" s="132">
        <f>IF($AD140&lt;=$C$25*12,SUM(Inputs!$C$61:$C$78)*'Forecast (By Month)'!AG140,"-")</f>
        <v>1614.8454106214863</v>
      </c>
      <c r="AI140" s="132">
        <f>IF($AD140&lt;=$C$25*12,(SUMIF(Inputs!$C$61:$C$78,0,Inputs!$F$61:$F$78)/12)*(1+$C$34)^ROUNDDOWN((AD140-1)/12,0),"-")</f>
        <v>1488.1666666666667</v>
      </c>
      <c r="AJ140" s="132">
        <f t="shared" si="73"/>
        <v>3103.0120772881528</v>
      </c>
      <c r="AK140" s="132">
        <f>IF($AD140&lt;=$C$25*12,'Mortgage Calculators (By Month)'!$J158,"-")</f>
        <v>0</v>
      </c>
      <c r="AL140" s="132">
        <f>IF($AD140&lt;=$C$25*12,'Mortgage Calculators (By Month)'!$K158,"-")</f>
        <v>0</v>
      </c>
      <c r="AM140" s="132">
        <f>IF($AD140&lt;=$C$25*12,'Mortgage Calculators (By Month)'!$L158,"-")</f>
        <v>10</v>
      </c>
      <c r="AN140" s="132">
        <f t="shared" si="83"/>
        <v>0</v>
      </c>
      <c r="AO140" s="132">
        <f t="shared" si="74"/>
        <v>3113.0120772881528</v>
      </c>
      <c r="AP140" s="132">
        <f t="shared" si="75"/>
        <v>11577.400746543541</v>
      </c>
      <c r="AQ140" s="132">
        <f t="shared" si="76"/>
        <v>0</v>
      </c>
      <c r="AR140" s="132">
        <f t="shared" si="57"/>
        <v>11577.400746543541</v>
      </c>
      <c r="AS140" s="132">
        <f>IF($AD140&lt;=$C$25*12,SUM(AR$5:AR140),"-")</f>
        <v>1152197.7821566223</v>
      </c>
      <c r="AT140" s="132">
        <f>IF($AD140&lt;=$C$25*12,AE140-$C$10-'RE Calculations'!$C327-'Mortgage Calculators (By Month)'!$M158,"-")</f>
        <v>1179883.5882031466</v>
      </c>
      <c r="AU140" s="29">
        <f t="shared" si="77"/>
        <v>0.73695421014333085</v>
      </c>
      <c r="AV140" s="31">
        <f t="shared" si="78"/>
        <v>6.5025371483235075E-2</v>
      </c>
      <c r="AW140" s="132">
        <f t="shared" si="79"/>
        <v>2332081.3703597691</v>
      </c>
      <c r="AX140" s="29">
        <f t="shared" si="80"/>
        <v>1.456615891149724</v>
      </c>
      <c r="AY140" s="31">
        <f t="shared" si="81"/>
        <v>0.12852493157203446</v>
      </c>
    </row>
    <row r="141" spans="6:51" x14ac:dyDescent="0.35">
      <c r="F141" s="12">
        <f t="shared" si="58"/>
        <v>137</v>
      </c>
      <c r="G141" s="132">
        <f t="shared" si="59"/>
        <v>2853835.4038038482</v>
      </c>
      <c r="H141" s="132">
        <f>IF($F141&lt;=$C$16*12,$G141-$C$7+SUM('Mortgage Calculators (By Month)'!$D$23:$D159),"-")</f>
        <v>2853835.4038038482</v>
      </c>
      <c r="I141" s="132">
        <f t="shared" si="60"/>
        <v>14680.412823831693</v>
      </c>
      <c r="J141" s="132">
        <f>IF($F141&lt;=$C$16*12,SUM(Inputs!$C$61:$C$78)*'Forecast (By Month)'!I141,"-")</f>
        <v>1614.8454106214863</v>
      </c>
      <c r="K141" s="132">
        <f>IF($F141&lt;=$C$16*12,(SUMIF(Inputs!$C$61:$C$78,0,Inputs!$F$61:$F$78)/12)*(1+$C$34)^ROUNDDOWN((F141-1)/12,0),"-")</f>
        <v>1488.1666666666667</v>
      </c>
      <c r="L141" s="132">
        <f t="shared" si="61"/>
        <v>3103.0120772881528</v>
      </c>
      <c r="M141" s="132">
        <f>IF($F141&lt;=$C$16*12,'Mortgage Calculators (By Month)'!$C159,"-")</f>
        <v>0</v>
      </c>
      <c r="N141" s="132">
        <f>IF($F141&lt;=$C$16*12,'Mortgage Calculators (By Month)'!$D159,"-")</f>
        <v>0</v>
      </c>
      <c r="O141" s="132">
        <f>IF($F141&lt;=$C$16*12,'Mortgage Calculators (By Month)'!$E159,"-")</f>
        <v>8.3333333333333339</v>
      </c>
      <c r="P141" s="132">
        <f t="shared" si="82"/>
        <v>0</v>
      </c>
      <c r="Q141" s="132">
        <f t="shared" si="62"/>
        <v>3111.3454106214863</v>
      </c>
      <c r="R141" s="132">
        <f t="shared" si="63"/>
        <v>11577.400746543541</v>
      </c>
      <c r="S141" s="132">
        <f t="shared" si="64"/>
        <v>0</v>
      </c>
      <c r="T141" s="132">
        <f t="shared" si="56"/>
        <v>11577.400746543541</v>
      </c>
      <c r="U141" s="132">
        <f>IF($F141&lt;=$C$16*12,SUM(T$5:T141),"-")</f>
        <v>1163785.1829031657</v>
      </c>
      <c r="V141" s="132">
        <f>IF($F141&lt;=$C$16*12,G141-$C$10-'RE Calculations'!$C328-'Mortgage Calculators (By Month)'!$F159,"-")</f>
        <v>1191231.6957277709</v>
      </c>
      <c r="W141" s="29">
        <f t="shared" si="65"/>
        <v>0.74404222772493589</v>
      </c>
      <c r="X141" s="31">
        <f t="shared" si="66"/>
        <v>6.5171581990505337E-2</v>
      </c>
      <c r="Y141" s="132">
        <f t="shared" si="67"/>
        <v>2355016.8786309366</v>
      </c>
      <c r="Z141" s="29">
        <f t="shared" si="68"/>
        <v>1.4709413886405018</v>
      </c>
      <c r="AA141" s="31">
        <f t="shared" si="69"/>
        <v>0.12884158148675928</v>
      </c>
      <c r="AD141" s="12">
        <f t="shared" si="70"/>
        <v>137</v>
      </c>
      <c r="AE141" s="132">
        <f t="shared" si="71"/>
        <v>2853835.4038038482</v>
      </c>
      <c r="AF141" s="132">
        <f>IF($AD141&lt;=$C$25*12,$AE141-$C$7+SUM('Mortgage Calculators (By Month)'!$K$23:$K159),"-")</f>
        <v>2853835.4038038482</v>
      </c>
      <c r="AG141" s="132">
        <f t="shared" si="72"/>
        <v>14680.412823831693</v>
      </c>
      <c r="AH141" s="132">
        <f>IF($AD141&lt;=$C$25*12,SUM(Inputs!$C$61:$C$78)*'Forecast (By Month)'!AG141,"-")</f>
        <v>1614.8454106214863</v>
      </c>
      <c r="AI141" s="132">
        <f>IF($AD141&lt;=$C$25*12,(SUMIF(Inputs!$C$61:$C$78,0,Inputs!$F$61:$F$78)/12)*(1+$C$34)^ROUNDDOWN((AD141-1)/12,0),"-")</f>
        <v>1488.1666666666667</v>
      </c>
      <c r="AJ141" s="132">
        <f t="shared" si="73"/>
        <v>3103.0120772881528</v>
      </c>
      <c r="AK141" s="132">
        <f>IF($AD141&lt;=$C$25*12,'Mortgage Calculators (By Month)'!$J159,"-")</f>
        <v>0</v>
      </c>
      <c r="AL141" s="132">
        <f>IF($AD141&lt;=$C$25*12,'Mortgage Calculators (By Month)'!$K159,"-")</f>
        <v>0</v>
      </c>
      <c r="AM141" s="132">
        <f>IF($AD141&lt;=$C$25*12,'Mortgage Calculators (By Month)'!$L159,"-")</f>
        <v>10</v>
      </c>
      <c r="AN141" s="132">
        <f t="shared" si="83"/>
        <v>0</v>
      </c>
      <c r="AO141" s="132">
        <f t="shared" si="74"/>
        <v>3113.0120772881528</v>
      </c>
      <c r="AP141" s="132">
        <f t="shared" si="75"/>
        <v>11577.400746543541</v>
      </c>
      <c r="AQ141" s="132">
        <f t="shared" si="76"/>
        <v>0</v>
      </c>
      <c r="AR141" s="132">
        <f t="shared" si="57"/>
        <v>11577.400746543541</v>
      </c>
      <c r="AS141" s="132">
        <f>IF($AD141&lt;=$C$25*12,SUM(AR$5:AR141),"-")</f>
        <v>1163775.1829031657</v>
      </c>
      <c r="AT141" s="132">
        <f>IF($AD141&lt;=$C$25*12,AE141-$C$10-'RE Calculations'!$C328-'Mortgage Calculators (By Month)'!$M159,"-")</f>
        <v>1191231.6957277709</v>
      </c>
      <c r="AU141" s="29">
        <f t="shared" si="77"/>
        <v>0.74404222772493589</v>
      </c>
      <c r="AV141" s="31">
        <f t="shared" si="78"/>
        <v>6.5171581990505337E-2</v>
      </c>
      <c r="AW141" s="132">
        <f t="shared" si="79"/>
        <v>2355006.8786309366</v>
      </c>
      <c r="AX141" s="29">
        <f t="shared" si="80"/>
        <v>1.4709351426496471</v>
      </c>
      <c r="AY141" s="31">
        <f t="shared" si="81"/>
        <v>0.12884103439266983</v>
      </c>
    </row>
    <row r="142" spans="6:51" x14ac:dyDescent="0.35">
      <c r="F142" s="12">
        <f t="shared" si="58"/>
        <v>138</v>
      </c>
      <c r="G142" s="132">
        <f t="shared" si="59"/>
        <v>2865462.2824971033</v>
      </c>
      <c r="H142" s="132">
        <f>IF($F142&lt;=$C$16*12,$G142-$C$7+SUM('Mortgage Calculators (By Month)'!$D$23:$D160),"-")</f>
        <v>2865462.2824971033</v>
      </c>
      <c r="I142" s="132">
        <f t="shared" si="60"/>
        <v>14680.412823831693</v>
      </c>
      <c r="J142" s="132">
        <f>IF($F142&lt;=$C$16*12,SUM(Inputs!$C$61:$C$78)*'Forecast (By Month)'!I142,"-")</f>
        <v>1614.8454106214863</v>
      </c>
      <c r="K142" s="132">
        <f>IF($F142&lt;=$C$16*12,(SUMIF(Inputs!$C$61:$C$78,0,Inputs!$F$61:$F$78)/12)*(1+$C$34)^ROUNDDOWN((F142-1)/12,0),"-")</f>
        <v>1488.1666666666667</v>
      </c>
      <c r="L142" s="132">
        <f t="shared" si="61"/>
        <v>3103.0120772881528</v>
      </c>
      <c r="M142" s="132">
        <f>IF($F142&lt;=$C$16*12,'Mortgage Calculators (By Month)'!$C160,"-")</f>
        <v>0</v>
      </c>
      <c r="N142" s="132">
        <f>IF($F142&lt;=$C$16*12,'Mortgage Calculators (By Month)'!$D160,"-")</f>
        <v>0</v>
      </c>
      <c r="O142" s="132">
        <f>IF($F142&lt;=$C$16*12,'Mortgage Calculators (By Month)'!$E160,"-")</f>
        <v>8.3333333333333339</v>
      </c>
      <c r="P142" s="132">
        <f t="shared" si="82"/>
        <v>0</v>
      </c>
      <c r="Q142" s="132">
        <f t="shared" si="62"/>
        <v>3111.3454106214863</v>
      </c>
      <c r="R142" s="132">
        <f t="shared" si="63"/>
        <v>11577.400746543541</v>
      </c>
      <c r="S142" s="132">
        <f t="shared" si="64"/>
        <v>0</v>
      </c>
      <c r="T142" s="132">
        <f t="shared" si="56"/>
        <v>11577.400746543541</v>
      </c>
      <c r="U142" s="132">
        <f>IF($F142&lt;=$C$16*12,SUM(T$5:T142),"-")</f>
        <v>1175362.5836497091</v>
      </c>
      <c r="V142" s="132">
        <f>IF($F142&lt;=$C$16*12,G142-$C$10-'RE Calculations'!$C329-'Mortgage Calculators (By Month)'!$F160,"-")</f>
        <v>1202626.0368471609</v>
      </c>
      <c r="W142" s="29">
        <f t="shared" si="65"/>
        <v>0.75115912276754915</v>
      </c>
      <c r="X142" s="31">
        <f t="shared" si="66"/>
        <v>6.5318184588482528E-2</v>
      </c>
      <c r="Y142" s="132">
        <f t="shared" si="67"/>
        <v>2377988.62049687</v>
      </c>
      <c r="Z142" s="29">
        <f t="shared" si="68"/>
        <v>1.4852895176014334</v>
      </c>
      <c r="AA142" s="31">
        <f t="shared" si="69"/>
        <v>0.12915561022621161</v>
      </c>
      <c r="AD142" s="12">
        <f t="shared" si="70"/>
        <v>138</v>
      </c>
      <c r="AE142" s="132">
        <f t="shared" si="71"/>
        <v>2865462.2824971033</v>
      </c>
      <c r="AF142" s="132">
        <f>IF($AD142&lt;=$C$25*12,$AE142-$C$7+SUM('Mortgage Calculators (By Month)'!$K$23:$K160),"-")</f>
        <v>2865462.2824971033</v>
      </c>
      <c r="AG142" s="132">
        <f t="shared" si="72"/>
        <v>14680.412823831693</v>
      </c>
      <c r="AH142" s="132">
        <f>IF($AD142&lt;=$C$25*12,SUM(Inputs!$C$61:$C$78)*'Forecast (By Month)'!AG142,"-")</f>
        <v>1614.8454106214863</v>
      </c>
      <c r="AI142" s="132">
        <f>IF($AD142&lt;=$C$25*12,(SUMIF(Inputs!$C$61:$C$78,0,Inputs!$F$61:$F$78)/12)*(1+$C$34)^ROUNDDOWN((AD142-1)/12,0),"-")</f>
        <v>1488.1666666666667</v>
      </c>
      <c r="AJ142" s="132">
        <f t="shared" si="73"/>
        <v>3103.0120772881528</v>
      </c>
      <c r="AK142" s="132">
        <f>IF($AD142&lt;=$C$25*12,'Mortgage Calculators (By Month)'!$J160,"-")</f>
        <v>0</v>
      </c>
      <c r="AL142" s="132">
        <f>IF($AD142&lt;=$C$25*12,'Mortgage Calculators (By Month)'!$K160,"-")</f>
        <v>0</v>
      </c>
      <c r="AM142" s="132">
        <f>IF($AD142&lt;=$C$25*12,'Mortgage Calculators (By Month)'!$L160,"-")</f>
        <v>10</v>
      </c>
      <c r="AN142" s="132">
        <f t="shared" si="83"/>
        <v>0</v>
      </c>
      <c r="AO142" s="132">
        <f t="shared" si="74"/>
        <v>3113.0120772881528</v>
      </c>
      <c r="AP142" s="132">
        <f t="shared" si="75"/>
        <v>11577.400746543541</v>
      </c>
      <c r="AQ142" s="132">
        <f t="shared" si="76"/>
        <v>0</v>
      </c>
      <c r="AR142" s="132">
        <f t="shared" si="57"/>
        <v>11577.400746543541</v>
      </c>
      <c r="AS142" s="132">
        <f>IF($AD142&lt;=$C$25*12,SUM(AR$5:AR142),"-")</f>
        <v>1175352.5836497091</v>
      </c>
      <c r="AT142" s="132">
        <f>IF($AD142&lt;=$C$25*12,AE142-$C$10-'RE Calculations'!$C329-'Mortgage Calculators (By Month)'!$M160,"-")</f>
        <v>1202626.0368471609</v>
      </c>
      <c r="AU142" s="29">
        <f t="shared" si="77"/>
        <v>0.75115912276754915</v>
      </c>
      <c r="AV142" s="31">
        <f t="shared" si="78"/>
        <v>6.5318184588482528E-2</v>
      </c>
      <c r="AW142" s="132">
        <f t="shared" si="79"/>
        <v>2377978.62049687</v>
      </c>
      <c r="AX142" s="29">
        <f t="shared" si="80"/>
        <v>1.4852832716105788</v>
      </c>
      <c r="AY142" s="31">
        <f t="shared" si="81"/>
        <v>0.12915506709657207</v>
      </c>
    </row>
    <row r="143" spans="6:51" x14ac:dyDescent="0.35">
      <c r="F143" s="12">
        <f t="shared" si="58"/>
        <v>139</v>
      </c>
      <c r="G143" s="132">
        <f t="shared" si="59"/>
        <v>2877136.530533372</v>
      </c>
      <c r="H143" s="132">
        <f>IF($F143&lt;=$C$16*12,$G143-$C$7+SUM('Mortgage Calculators (By Month)'!$D$23:$D161),"-")</f>
        <v>2877136.530533372</v>
      </c>
      <c r="I143" s="132">
        <f t="shared" si="60"/>
        <v>14680.412823831693</v>
      </c>
      <c r="J143" s="132">
        <f>IF($F143&lt;=$C$16*12,SUM(Inputs!$C$61:$C$78)*'Forecast (By Month)'!I143,"-")</f>
        <v>1614.8454106214863</v>
      </c>
      <c r="K143" s="132">
        <f>IF($F143&lt;=$C$16*12,(SUMIF(Inputs!$C$61:$C$78,0,Inputs!$F$61:$F$78)/12)*(1+$C$34)^ROUNDDOWN((F143-1)/12,0),"-")</f>
        <v>1488.1666666666667</v>
      </c>
      <c r="L143" s="132">
        <f t="shared" si="61"/>
        <v>3103.0120772881528</v>
      </c>
      <c r="M143" s="132">
        <f>IF($F143&lt;=$C$16*12,'Mortgage Calculators (By Month)'!$C161,"-")</f>
        <v>0</v>
      </c>
      <c r="N143" s="132">
        <f>IF($F143&lt;=$C$16*12,'Mortgage Calculators (By Month)'!$D161,"-")</f>
        <v>0</v>
      </c>
      <c r="O143" s="132">
        <f>IF($F143&lt;=$C$16*12,'Mortgage Calculators (By Month)'!$E161,"-")</f>
        <v>8.3333333333333339</v>
      </c>
      <c r="P143" s="132">
        <f t="shared" si="82"/>
        <v>0</v>
      </c>
      <c r="Q143" s="132">
        <f t="shared" si="62"/>
        <v>3111.3454106214863</v>
      </c>
      <c r="R143" s="132">
        <f t="shared" si="63"/>
        <v>11577.400746543541</v>
      </c>
      <c r="S143" s="132">
        <f t="shared" si="64"/>
        <v>0</v>
      </c>
      <c r="T143" s="132">
        <f t="shared" si="56"/>
        <v>11577.400746543541</v>
      </c>
      <c r="U143" s="132">
        <f>IF($F143&lt;=$C$16*12,SUM(T$5:T143),"-")</f>
        <v>1186939.9843962525</v>
      </c>
      <c r="V143" s="132">
        <f>IF($F143&lt;=$C$16*12,G143-$C$10-'RE Calculations'!$C330-'Mortgage Calculators (By Month)'!$F161,"-")</f>
        <v>1214066.7999227042</v>
      </c>
      <c r="W143" s="29">
        <f t="shared" si="65"/>
        <v>0.75830501292152119</v>
      </c>
      <c r="X143" s="31">
        <f t="shared" si="66"/>
        <v>6.5465180971642112E-2</v>
      </c>
      <c r="Y143" s="132">
        <f t="shared" si="67"/>
        <v>2401006.7843189565</v>
      </c>
      <c r="Z143" s="29">
        <f t="shared" si="68"/>
        <v>1.4996666416737234</v>
      </c>
      <c r="AA143" s="31">
        <f t="shared" si="69"/>
        <v>0.12946762374161641</v>
      </c>
      <c r="AD143" s="12">
        <f t="shared" si="70"/>
        <v>139</v>
      </c>
      <c r="AE143" s="132">
        <f t="shared" si="71"/>
        <v>2877136.530533372</v>
      </c>
      <c r="AF143" s="132">
        <f>IF($AD143&lt;=$C$25*12,$AE143-$C$7+SUM('Mortgage Calculators (By Month)'!$K$23:$K161),"-")</f>
        <v>2877136.530533372</v>
      </c>
      <c r="AG143" s="132">
        <f t="shared" si="72"/>
        <v>14680.412823831693</v>
      </c>
      <c r="AH143" s="132">
        <f>IF($AD143&lt;=$C$25*12,SUM(Inputs!$C$61:$C$78)*'Forecast (By Month)'!AG143,"-")</f>
        <v>1614.8454106214863</v>
      </c>
      <c r="AI143" s="132">
        <f>IF($AD143&lt;=$C$25*12,(SUMIF(Inputs!$C$61:$C$78,0,Inputs!$F$61:$F$78)/12)*(1+$C$34)^ROUNDDOWN((AD143-1)/12,0),"-")</f>
        <v>1488.1666666666667</v>
      </c>
      <c r="AJ143" s="132">
        <f t="shared" si="73"/>
        <v>3103.0120772881528</v>
      </c>
      <c r="AK143" s="132">
        <f>IF($AD143&lt;=$C$25*12,'Mortgage Calculators (By Month)'!$J161,"-")</f>
        <v>0</v>
      </c>
      <c r="AL143" s="132">
        <f>IF($AD143&lt;=$C$25*12,'Mortgage Calculators (By Month)'!$K161,"-")</f>
        <v>0</v>
      </c>
      <c r="AM143" s="132">
        <f>IF($AD143&lt;=$C$25*12,'Mortgage Calculators (By Month)'!$L161,"-")</f>
        <v>10</v>
      </c>
      <c r="AN143" s="132">
        <f t="shared" si="83"/>
        <v>0</v>
      </c>
      <c r="AO143" s="132">
        <f t="shared" si="74"/>
        <v>3113.0120772881528</v>
      </c>
      <c r="AP143" s="132">
        <f t="shared" si="75"/>
        <v>11577.400746543541</v>
      </c>
      <c r="AQ143" s="132">
        <f t="shared" si="76"/>
        <v>0</v>
      </c>
      <c r="AR143" s="132">
        <f t="shared" si="57"/>
        <v>11577.400746543541</v>
      </c>
      <c r="AS143" s="132">
        <f>IF($AD143&lt;=$C$25*12,SUM(AR$5:AR143),"-")</f>
        <v>1186929.9843962525</v>
      </c>
      <c r="AT143" s="132">
        <f>IF($AD143&lt;=$C$25*12,AE143-$C$10-'RE Calculations'!$C330-'Mortgage Calculators (By Month)'!$M161,"-")</f>
        <v>1214066.7999227042</v>
      </c>
      <c r="AU143" s="29">
        <f t="shared" si="77"/>
        <v>0.75830501292152119</v>
      </c>
      <c r="AV143" s="31">
        <f t="shared" si="78"/>
        <v>6.5465180971642112E-2</v>
      </c>
      <c r="AW143" s="132">
        <f t="shared" si="79"/>
        <v>2400996.7843189565</v>
      </c>
      <c r="AX143" s="29">
        <f t="shared" si="80"/>
        <v>1.4996603956828689</v>
      </c>
      <c r="AY143" s="31">
        <f t="shared" si="81"/>
        <v>0.12946708451938435</v>
      </c>
    </row>
    <row r="144" spans="6:51" x14ac:dyDescent="0.35">
      <c r="F144" s="12">
        <f t="shared" si="58"/>
        <v>140</v>
      </c>
      <c r="G144" s="132">
        <f t="shared" si="59"/>
        <v>2888858.3409012216</v>
      </c>
      <c r="H144" s="132">
        <f>IF($F144&lt;=$C$16*12,$G144-$C$7+SUM('Mortgage Calculators (By Month)'!$D$23:$D162),"-")</f>
        <v>2888858.3409012216</v>
      </c>
      <c r="I144" s="132">
        <f t="shared" si="60"/>
        <v>14680.412823831693</v>
      </c>
      <c r="J144" s="132">
        <f>IF($F144&lt;=$C$16*12,SUM(Inputs!$C$61:$C$78)*'Forecast (By Month)'!I144,"-")</f>
        <v>1614.8454106214863</v>
      </c>
      <c r="K144" s="132">
        <f>IF($F144&lt;=$C$16*12,(SUMIF(Inputs!$C$61:$C$78,0,Inputs!$F$61:$F$78)/12)*(1+$C$34)^ROUNDDOWN((F144-1)/12,0),"-")</f>
        <v>1488.1666666666667</v>
      </c>
      <c r="L144" s="132">
        <f t="shared" si="61"/>
        <v>3103.0120772881528</v>
      </c>
      <c r="M144" s="132">
        <f>IF($F144&lt;=$C$16*12,'Mortgage Calculators (By Month)'!$C162,"-")</f>
        <v>0</v>
      </c>
      <c r="N144" s="132">
        <f>IF($F144&lt;=$C$16*12,'Mortgage Calculators (By Month)'!$D162,"-")</f>
        <v>0</v>
      </c>
      <c r="O144" s="132">
        <f>IF($F144&lt;=$C$16*12,'Mortgage Calculators (By Month)'!$E162,"-")</f>
        <v>8.3333333333333339</v>
      </c>
      <c r="P144" s="132">
        <f t="shared" si="82"/>
        <v>0</v>
      </c>
      <c r="Q144" s="132">
        <f t="shared" si="62"/>
        <v>3111.3454106214863</v>
      </c>
      <c r="R144" s="132">
        <f t="shared" si="63"/>
        <v>11577.400746543541</v>
      </c>
      <c r="S144" s="132">
        <f t="shared" si="64"/>
        <v>0</v>
      </c>
      <c r="T144" s="132">
        <f t="shared" si="56"/>
        <v>11577.400746543541</v>
      </c>
      <c r="U144" s="132">
        <f>IF($F144&lt;=$C$16*12,SUM(T$5:T144),"-")</f>
        <v>1198517.385142796</v>
      </c>
      <c r="V144" s="132">
        <f>IF($F144&lt;=$C$16*12,G144-$C$10-'RE Calculations'!$C331-'Mortgage Calculators (By Month)'!$F162,"-")</f>
        <v>1225554.1740831968</v>
      </c>
      <c r="W144" s="29">
        <f t="shared" si="65"/>
        <v>0.76548001631652485</v>
      </c>
      <c r="X144" s="31">
        <f t="shared" si="66"/>
        <v>6.5612572827130705E-2</v>
      </c>
      <c r="Y144" s="132">
        <f t="shared" si="67"/>
        <v>2424071.5592259928</v>
      </c>
      <c r="Z144" s="29">
        <f t="shared" si="68"/>
        <v>1.5140728789870457</v>
      </c>
      <c r="AA144" s="31">
        <f t="shared" si="69"/>
        <v>0.12977767534174678</v>
      </c>
      <c r="AD144" s="12">
        <f t="shared" si="70"/>
        <v>140</v>
      </c>
      <c r="AE144" s="132">
        <f t="shared" si="71"/>
        <v>2888858.3409012216</v>
      </c>
      <c r="AF144" s="132">
        <f>IF($AD144&lt;=$C$25*12,$AE144-$C$7+SUM('Mortgage Calculators (By Month)'!$K$23:$K162),"-")</f>
        <v>2888858.3409012216</v>
      </c>
      <c r="AG144" s="132">
        <f t="shared" si="72"/>
        <v>14680.412823831693</v>
      </c>
      <c r="AH144" s="132">
        <f>IF($AD144&lt;=$C$25*12,SUM(Inputs!$C$61:$C$78)*'Forecast (By Month)'!AG144,"-")</f>
        <v>1614.8454106214863</v>
      </c>
      <c r="AI144" s="132">
        <f>IF($AD144&lt;=$C$25*12,(SUMIF(Inputs!$C$61:$C$78,0,Inputs!$F$61:$F$78)/12)*(1+$C$34)^ROUNDDOWN((AD144-1)/12,0),"-")</f>
        <v>1488.1666666666667</v>
      </c>
      <c r="AJ144" s="132">
        <f t="shared" si="73"/>
        <v>3103.0120772881528</v>
      </c>
      <c r="AK144" s="132">
        <f>IF($AD144&lt;=$C$25*12,'Mortgage Calculators (By Month)'!$J162,"-")</f>
        <v>0</v>
      </c>
      <c r="AL144" s="132">
        <f>IF($AD144&lt;=$C$25*12,'Mortgage Calculators (By Month)'!$K162,"-")</f>
        <v>0</v>
      </c>
      <c r="AM144" s="132">
        <f>IF($AD144&lt;=$C$25*12,'Mortgage Calculators (By Month)'!$L162,"-")</f>
        <v>10</v>
      </c>
      <c r="AN144" s="132">
        <f t="shared" si="83"/>
        <v>0</v>
      </c>
      <c r="AO144" s="132">
        <f t="shared" si="74"/>
        <v>3113.0120772881528</v>
      </c>
      <c r="AP144" s="132">
        <f t="shared" si="75"/>
        <v>11577.400746543541</v>
      </c>
      <c r="AQ144" s="132">
        <f t="shared" si="76"/>
        <v>0</v>
      </c>
      <c r="AR144" s="132">
        <f t="shared" si="57"/>
        <v>11577.400746543541</v>
      </c>
      <c r="AS144" s="132">
        <f>IF($AD144&lt;=$C$25*12,SUM(AR$5:AR144),"-")</f>
        <v>1198507.385142796</v>
      </c>
      <c r="AT144" s="132">
        <f>IF($AD144&lt;=$C$25*12,AE144-$C$10-'RE Calculations'!$C331-'Mortgage Calculators (By Month)'!$M162,"-")</f>
        <v>1225554.1740831968</v>
      </c>
      <c r="AU144" s="29">
        <f t="shared" si="77"/>
        <v>0.76548001631652485</v>
      </c>
      <c r="AV144" s="31">
        <f t="shared" si="78"/>
        <v>6.5612572827130705E-2</v>
      </c>
      <c r="AW144" s="132">
        <f t="shared" si="79"/>
        <v>2424061.5592259928</v>
      </c>
      <c r="AX144" s="29">
        <f t="shared" si="80"/>
        <v>1.5140666329961912</v>
      </c>
      <c r="AY144" s="31">
        <f t="shared" si="81"/>
        <v>0.1297771399711021</v>
      </c>
    </row>
    <row r="145" spans="6:51" x14ac:dyDescent="0.35">
      <c r="F145" s="12">
        <f t="shared" si="58"/>
        <v>141</v>
      </c>
      <c r="G145" s="132">
        <f t="shared" si="59"/>
        <v>2900627.9073754782</v>
      </c>
      <c r="H145" s="132">
        <f>IF($F145&lt;=$C$16*12,$G145-$C$7+SUM('Mortgage Calculators (By Month)'!$D$23:$D163),"-")</f>
        <v>2900627.9073754782</v>
      </c>
      <c r="I145" s="132">
        <f t="shared" si="60"/>
        <v>14680.412823831693</v>
      </c>
      <c r="J145" s="132">
        <f>IF($F145&lt;=$C$16*12,SUM(Inputs!$C$61:$C$78)*'Forecast (By Month)'!I145,"-")</f>
        <v>1614.8454106214863</v>
      </c>
      <c r="K145" s="132">
        <f>IF($F145&lt;=$C$16*12,(SUMIF(Inputs!$C$61:$C$78,0,Inputs!$F$61:$F$78)/12)*(1+$C$34)^ROUNDDOWN((F145-1)/12,0),"-")</f>
        <v>1488.1666666666667</v>
      </c>
      <c r="L145" s="132">
        <f t="shared" si="61"/>
        <v>3103.0120772881528</v>
      </c>
      <c r="M145" s="132">
        <f>IF($F145&lt;=$C$16*12,'Mortgage Calculators (By Month)'!$C163,"-")</f>
        <v>0</v>
      </c>
      <c r="N145" s="132">
        <f>IF($F145&lt;=$C$16*12,'Mortgage Calculators (By Month)'!$D163,"-")</f>
        <v>0</v>
      </c>
      <c r="O145" s="132">
        <f>IF($F145&lt;=$C$16*12,'Mortgage Calculators (By Month)'!$E163,"-")</f>
        <v>8.3333333333333339</v>
      </c>
      <c r="P145" s="132">
        <f t="shared" si="82"/>
        <v>0</v>
      </c>
      <c r="Q145" s="132">
        <f t="shared" si="62"/>
        <v>3111.3454106214863</v>
      </c>
      <c r="R145" s="132">
        <f t="shared" si="63"/>
        <v>11577.400746543541</v>
      </c>
      <c r="S145" s="132">
        <f t="shared" si="64"/>
        <v>0</v>
      </c>
      <c r="T145" s="132">
        <f t="shared" si="56"/>
        <v>11577.400746543541</v>
      </c>
      <c r="U145" s="132">
        <f>IF($F145&lt;=$C$16*12,SUM(T$5:T145),"-")</f>
        <v>1210094.7858893394</v>
      </c>
      <c r="V145" s="132">
        <f>IF($F145&lt;=$C$16*12,G145-$C$10-'RE Calculations'!$C332-'Mortgage Calculators (By Month)'!$F163,"-")</f>
        <v>1237088.3492279684</v>
      </c>
      <c r="W145" s="29">
        <f t="shared" si="65"/>
        <v>0.77268425156350795</v>
      </c>
      <c r="X145" s="31">
        <f t="shared" si="66"/>
        <v>6.5760361835192169E-2</v>
      </c>
      <c r="Y145" s="132">
        <f t="shared" si="67"/>
        <v>2447183.1351173078</v>
      </c>
      <c r="Z145" s="29">
        <f t="shared" si="68"/>
        <v>1.5285083481523472</v>
      </c>
      <c r="AA145" s="31">
        <f t="shared" si="69"/>
        <v>0.13008581686402954</v>
      </c>
      <c r="AD145" s="12">
        <f t="shared" si="70"/>
        <v>141</v>
      </c>
      <c r="AE145" s="132">
        <f t="shared" si="71"/>
        <v>2900627.9073754782</v>
      </c>
      <c r="AF145" s="132">
        <f>IF($AD145&lt;=$C$25*12,$AE145-$C$7+SUM('Mortgage Calculators (By Month)'!$K$23:$K163),"-")</f>
        <v>2900627.9073754782</v>
      </c>
      <c r="AG145" s="132">
        <f t="shared" si="72"/>
        <v>14680.412823831693</v>
      </c>
      <c r="AH145" s="132">
        <f>IF($AD145&lt;=$C$25*12,SUM(Inputs!$C$61:$C$78)*'Forecast (By Month)'!AG145,"-")</f>
        <v>1614.8454106214863</v>
      </c>
      <c r="AI145" s="132">
        <f>IF($AD145&lt;=$C$25*12,(SUMIF(Inputs!$C$61:$C$78,0,Inputs!$F$61:$F$78)/12)*(1+$C$34)^ROUNDDOWN((AD145-1)/12,0),"-")</f>
        <v>1488.1666666666667</v>
      </c>
      <c r="AJ145" s="132">
        <f t="shared" si="73"/>
        <v>3103.0120772881528</v>
      </c>
      <c r="AK145" s="132">
        <f>IF($AD145&lt;=$C$25*12,'Mortgage Calculators (By Month)'!$J163,"-")</f>
        <v>0</v>
      </c>
      <c r="AL145" s="132">
        <f>IF($AD145&lt;=$C$25*12,'Mortgage Calculators (By Month)'!$K163,"-")</f>
        <v>0</v>
      </c>
      <c r="AM145" s="132">
        <f>IF($AD145&lt;=$C$25*12,'Mortgage Calculators (By Month)'!$L163,"-")</f>
        <v>10</v>
      </c>
      <c r="AN145" s="132">
        <f t="shared" si="83"/>
        <v>0</v>
      </c>
      <c r="AO145" s="132">
        <f t="shared" si="74"/>
        <v>3113.0120772881528</v>
      </c>
      <c r="AP145" s="132">
        <f t="shared" si="75"/>
        <v>11577.400746543541</v>
      </c>
      <c r="AQ145" s="132">
        <f t="shared" si="76"/>
        <v>0</v>
      </c>
      <c r="AR145" s="132">
        <f t="shared" si="57"/>
        <v>11577.400746543541</v>
      </c>
      <c r="AS145" s="132">
        <f>IF($AD145&lt;=$C$25*12,SUM(AR$5:AR145),"-")</f>
        <v>1210084.7858893394</v>
      </c>
      <c r="AT145" s="132">
        <f>IF($AD145&lt;=$C$25*12,AE145-$C$10-'RE Calculations'!$C332-'Mortgage Calculators (By Month)'!$M163,"-")</f>
        <v>1237088.3492279684</v>
      </c>
      <c r="AU145" s="29">
        <f t="shared" si="77"/>
        <v>0.77268425156350795</v>
      </c>
      <c r="AV145" s="31">
        <f t="shared" si="78"/>
        <v>6.5760361835192169E-2</v>
      </c>
      <c r="AW145" s="132">
        <f t="shared" si="79"/>
        <v>2447173.1351173078</v>
      </c>
      <c r="AX145" s="29">
        <f t="shared" si="80"/>
        <v>1.5285021021614924</v>
      </c>
      <c r="AY145" s="31">
        <f t="shared" si="81"/>
        <v>0.13008528529033977</v>
      </c>
    </row>
    <row r="146" spans="6:51" x14ac:dyDescent="0.35">
      <c r="F146" s="12">
        <f t="shared" si="58"/>
        <v>142</v>
      </c>
      <c r="G146" s="132">
        <f t="shared" si="59"/>
        <v>2912445.4245204306</v>
      </c>
      <c r="H146" s="132">
        <f>IF($F146&lt;=$C$16*12,$G146-$C$7+SUM('Mortgage Calculators (By Month)'!$D$23:$D164),"-")</f>
        <v>2912445.4245204306</v>
      </c>
      <c r="I146" s="132">
        <f t="shared" si="60"/>
        <v>14680.412823831693</v>
      </c>
      <c r="J146" s="132">
        <f>IF($F146&lt;=$C$16*12,SUM(Inputs!$C$61:$C$78)*'Forecast (By Month)'!I146,"-")</f>
        <v>1614.8454106214863</v>
      </c>
      <c r="K146" s="132">
        <f>IF($F146&lt;=$C$16*12,(SUMIF(Inputs!$C$61:$C$78,0,Inputs!$F$61:$F$78)/12)*(1+$C$34)^ROUNDDOWN((F146-1)/12,0),"-")</f>
        <v>1488.1666666666667</v>
      </c>
      <c r="L146" s="132">
        <f t="shared" si="61"/>
        <v>3103.0120772881528</v>
      </c>
      <c r="M146" s="132">
        <f>IF($F146&lt;=$C$16*12,'Mortgage Calculators (By Month)'!$C164,"-")</f>
        <v>0</v>
      </c>
      <c r="N146" s="132">
        <f>IF($F146&lt;=$C$16*12,'Mortgage Calculators (By Month)'!$D164,"-")</f>
        <v>0</v>
      </c>
      <c r="O146" s="132">
        <f>IF($F146&lt;=$C$16*12,'Mortgage Calculators (By Month)'!$E164,"-")</f>
        <v>8.3333333333333339</v>
      </c>
      <c r="P146" s="132">
        <f t="shared" si="82"/>
        <v>0</v>
      </c>
      <c r="Q146" s="132">
        <f t="shared" si="62"/>
        <v>3111.3454106214863</v>
      </c>
      <c r="R146" s="132">
        <f t="shared" si="63"/>
        <v>11577.400746543541</v>
      </c>
      <c r="S146" s="132">
        <f t="shared" si="64"/>
        <v>0</v>
      </c>
      <c r="T146" s="132">
        <f t="shared" si="56"/>
        <v>11577.400746543541</v>
      </c>
      <c r="U146" s="132">
        <f>IF($F146&lt;=$C$16*12,SUM(T$5:T146),"-")</f>
        <v>1221672.1866358828</v>
      </c>
      <c r="V146" s="132">
        <f>IF($F146&lt;=$C$16*12,G146-$C$10-'RE Calculations'!$C333-'Mortgage Calculators (By Month)'!$F164,"-")</f>
        <v>1248669.5160300217</v>
      </c>
      <c r="W146" s="29">
        <f t="shared" si="65"/>
        <v>0.77991783775665346</v>
      </c>
      <c r="X146" s="31">
        <f t="shared" si="66"/>
        <v>6.590854966957635E-2</v>
      </c>
      <c r="Y146" s="132">
        <f t="shared" si="67"/>
        <v>2470341.7026659045</v>
      </c>
      <c r="Z146" s="29">
        <f t="shared" si="68"/>
        <v>1.542973168263811</v>
      </c>
      <c r="AA146" s="31">
        <f t="shared" si="69"/>
        <v>0.13039209872651925</v>
      </c>
      <c r="AD146" s="12">
        <f t="shared" si="70"/>
        <v>142</v>
      </c>
      <c r="AE146" s="132">
        <f t="shared" si="71"/>
        <v>2912445.4245204306</v>
      </c>
      <c r="AF146" s="132">
        <f>IF($AD146&lt;=$C$25*12,$AE146-$C$7+SUM('Mortgage Calculators (By Month)'!$K$23:$K164),"-")</f>
        <v>2912445.4245204306</v>
      </c>
      <c r="AG146" s="132">
        <f t="shared" si="72"/>
        <v>14680.412823831693</v>
      </c>
      <c r="AH146" s="132">
        <f>IF($AD146&lt;=$C$25*12,SUM(Inputs!$C$61:$C$78)*'Forecast (By Month)'!AG146,"-")</f>
        <v>1614.8454106214863</v>
      </c>
      <c r="AI146" s="132">
        <f>IF($AD146&lt;=$C$25*12,(SUMIF(Inputs!$C$61:$C$78,0,Inputs!$F$61:$F$78)/12)*(1+$C$34)^ROUNDDOWN((AD146-1)/12,0),"-")</f>
        <v>1488.1666666666667</v>
      </c>
      <c r="AJ146" s="132">
        <f t="shared" si="73"/>
        <v>3103.0120772881528</v>
      </c>
      <c r="AK146" s="132">
        <f>IF($AD146&lt;=$C$25*12,'Mortgage Calculators (By Month)'!$J164,"-")</f>
        <v>0</v>
      </c>
      <c r="AL146" s="132">
        <f>IF($AD146&lt;=$C$25*12,'Mortgage Calculators (By Month)'!$K164,"-")</f>
        <v>0</v>
      </c>
      <c r="AM146" s="132">
        <f>IF($AD146&lt;=$C$25*12,'Mortgage Calculators (By Month)'!$L164,"-")</f>
        <v>10</v>
      </c>
      <c r="AN146" s="132">
        <f t="shared" si="83"/>
        <v>0</v>
      </c>
      <c r="AO146" s="132">
        <f t="shared" si="74"/>
        <v>3113.0120772881528</v>
      </c>
      <c r="AP146" s="132">
        <f t="shared" si="75"/>
        <v>11577.400746543541</v>
      </c>
      <c r="AQ146" s="132">
        <f t="shared" si="76"/>
        <v>0</v>
      </c>
      <c r="AR146" s="132">
        <f t="shared" si="57"/>
        <v>11577.400746543541</v>
      </c>
      <c r="AS146" s="132">
        <f>IF($AD146&lt;=$C$25*12,SUM(AR$5:AR146),"-")</f>
        <v>1221662.1866358828</v>
      </c>
      <c r="AT146" s="132">
        <f>IF($AD146&lt;=$C$25*12,AE146-$C$10-'RE Calculations'!$C333-'Mortgage Calculators (By Month)'!$M164,"-")</f>
        <v>1248669.5160300217</v>
      </c>
      <c r="AU146" s="29">
        <f t="shared" si="77"/>
        <v>0.77991783775665346</v>
      </c>
      <c r="AV146" s="31">
        <f t="shared" si="78"/>
        <v>6.590854966957635E-2</v>
      </c>
      <c r="AW146" s="132">
        <f t="shared" si="79"/>
        <v>2470331.7026659045</v>
      </c>
      <c r="AX146" s="29">
        <f t="shared" si="80"/>
        <v>1.5429669222729563</v>
      </c>
      <c r="AY146" s="31">
        <f t="shared" si="81"/>
        <v>0.13039157089630615</v>
      </c>
    </row>
    <row r="147" spans="6:51" x14ac:dyDescent="0.35">
      <c r="F147" s="12">
        <f t="shared" si="58"/>
        <v>143</v>
      </c>
      <c r="G147" s="132">
        <f t="shared" si="59"/>
        <v>2924311.0876930472</v>
      </c>
      <c r="H147" s="132">
        <f>IF($F147&lt;=$C$16*12,$G147-$C$7+SUM('Mortgage Calculators (By Month)'!$D$23:$D165),"-")</f>
        <v>2924311.0876930472</v>
      </c>
      <c r="I147" s="132">
        <f t="shared" si="60"/>
        <v>14680.412823831693</v>
      </c>
      <c r="J147" s="132">
        <f>IF($F147&lt;=$C$16*12,SUM(Inputs!$C$61:$C$78)*'Forecast (By Month)'!I147,"-")</f>
        <v>1614.8454106214863</v>
      </c>
      <c r="K147" s="132">
        <f>IF($F147&lt;=$C$16*12,(SUMIF(Inputs!$C$61:$C$78,0,Inputs!$F$61:$F$78)/12)*(1+$C$34)^ROUNDDOWN((F147-1)/12,0),"-")</f>
        <v>1488.1666666666667</v>
      </c>
      <c r="L147" s="132">
        <f t="shared" si="61"/>
        <v>3103.0120772881528</v>
      </c>
      <c r="M147" s="132">
        <f>IF($F147&lt;=$C$16*12,'Mortgage Calculators (By Month)'!$C165,"-")</f>
        <v>0</v>
      </c>
      <c r="N147" s="132">
        <f>IF($F147&lt;=$C$16*12,'Mortgage Calculators (By Month)'!$D165,"-")</f>
        <v>0</v>
      </c>
      <c r="O147" s="132">
        <f>IF($F147&lt;=$C$16*12,'Mortgage Calculators (By Month)'!$E165,"-")</f>
        <v>8.3333333333333339</v>
      </c>
      <c r="P147" s="132">
        <f t="shared" si="82"/>
        <v>0</v>
      </c>
      <c r="Q147" s="132">
        <f t="shared" si="62"/>
        <v>3111.3454106214863</v>
      </c>
      <c r="R147" s="132">
        <f t="shared" si="63"/>
        <v>11577.400746543541</v>
      </c>
      <c r="S147" s="132">
        <f t="shared" si="64"/>
        <v>0</v>
      </c>
      <c r="T147" s="132">
        <f t="shared" si="56"/>
        <v>11577.400746543541</v>
      </c>
      <c r="U147" s="132">
        <f>IF($F147&lt;=$C$16*12,SUM(T$5:T147),"-")</f>
        <v>1233249.5873824263</v>
      </c>
      <c r="V147" s="132">
        <f>IF($F147&lt;=$C$16*12,G147-$C$10-'RE Calculations'!$C334-'Mortgage Calculators (By Month)'!$F165,"-")</f>
        <v>1260297.865939186</v>
      </c>
      <c r="W147" s="29">
        <f t="shared" si="65"/>
        <v>0.78718089447534989</v>
      </c>
      <c r="X147" s="31">
        <f t="shared" si="66"/>
        <v>6.6057137997931462E-2</v>
      </c>
      <c r="Y147" s="132">
        <f t="shared" si="67"/>
        <v>2493547.4533216124</v>
      </c>
      <c r="Z147" s="29">
        <f t="shared" si="68"/>
        <v>1.5574674589008257</v>
      </c>
      <c r="AA147" s="31">
        <f t="shared" si="69"/>
        <v>0.13069656997769166</v>
      </c>
      <c r="AD147" s="12">
        <f t="shared" si="70"/>
        <v>143</v>
      </c>
      <c r="AE147" s="132">
        <f t="shared" si="71"/>
        <v>2924311.0876930472</v>
      </c>
      <c r="AF147" s="132">
        <f>IF($AD147&lt;=$C$25*12,$AE147-$C$7+SUM('Mortgage Calculators (By Month)'!$K$23:$K165),"-")</f>
        <v>2924311.0876930472</v>
      </c>
      <c r="AG147" s="132">
        <f t="shared" si="72"/>
        <v>14680.412823831693</v>
      </c>
      <c r="AH147" s="132">
        <f>IF($AD147&lt;=$C$25*12,SUM(Inputs!$C$61:$C$78)*'Forecast (By Month)'!AG147,"-")</f>
        <v>1614.8454106214863</v>
      </c>
      <c r="AI147" s="132">
        <f>IF($AD147&lt;=$C$25*12,(SUMIF(Inputs!$C$61:$C$78,0,Inputs!$F$61:$F$78)/12)*(1+$C$34)^ROUNDDOWN((AD147-1)/12,0),"-")</f>
        <v>1488.1666666666667</v>
      </c>
      <c r="AJ147" s="132">
        <f t="shared" si="73"/>
        <v>3103.0120772881528</v>
      </c>
      <c r="AK147" s="132">
        <f>IF($AD147&lt;=$C$25*12,'Mortgage Calculators (By Month)'!$J165,"-")</f>
        <v>0</v>
      </c>
      <c r="AL147" s="132">
        <f>IF($AD147&lt;=$C$25*12,'Mortgage Calculators (By Month)'!$K165,"-")</f>
        <v>0</v>
      </c>
      <c r="AM147" s="132">
        <f>IF($AD147&lt;=$C$25*12,'Mortgage Calculators (By Month)'!$L165,"-")</f>
        <v>10</v>
      </c>
      <c r="AN147" s="132">
        <f t="shared" si="83"/>
        <v>0</v>
      </c>
      <c r="AO147" s="132">
        <f t="shared" si="74"/>
        <v>3113.0120772881528</v>
      </c>
      <c r="AP147" s="132">
        <f t="shared" si="75"/>
        <v>11577.400746543541</v>
      </c>
      <c r="AQ147" s="132">
        <f t="shared" si="76"/>
        <v>0</v>
      </c>
      <c r="AR147" s="132">
        <f t="shared" si="57"/>
        <v>11577.400746543541</v>
      </c>
      <c r="AS147" s="132">
        <f>IF($AD147&lt;=$C$25*12,SUM(AR$5:AR147),"-")</f>
        <v>1233239.5873824263</v>
      </c>
      <c r="AT147" s="132">
        <f>IF($AD147&lt;=$C$25*12,AE147-$C$10-'RE Calculations'!$C334-'Mortgage Calculators (By Month)'!$M165,"-")</f>
        <v>1260297.865939186</v>
      </c>
      <c r="AU147" s="29">
        <f t="shared" si="77"/>
        <v>0.78718089447534989</v>
      </c>
      <c r="AV147" s="31">
        <f t="shared" si="78"/>
        <v>6.6057137997931462E-2</v>
      </c>
      <c r="AW147" s="132">
        <f t="shared" si="79"/>
        <v>2493537.4533216124</v>
      </c>
      <c r="AX147" s="29">
        <f t="shared" si="80"/>
        <v>1.5574612129099712</v>
      </c>
      <c r="AY147" s="31">
        <f t="shared" si="81"/>
        <v>0.13069604583859898</v>
      </c>
    </row>
    <row r="148" spans="6:51" x14ac:dyDescent="0.35">
      <c r="F148" s="12">
        <f t="shared" si="58"/>
        <v>144</v>
      </c>
      <c r="G148" s="132">
        <f t="shared" si="59"/>
        <v>2936225.0930462042</v>
      </c>
      <c r="H148" s="132">
        <f>IF($F148&lt;=$C$16*12,$G148-$C$7+SUM('Mortgage Calculators (By Month)'!$D$23:$D166),"-")</f>
        <v>2936225.0930462042</v>
      </c>
      <c r="I148" s="132">
        <f t="shared" si="60"/>
        <v>14680.412823831693</v>
      </c>
      <c r="J148" s="132">
        <f>IF($F148&lt;=$C$16*12,SUM(Inputs!$C$61:$C$78)*'Forecast (By Month)'!I148,"-")</f>
        <v>1614.8454106214863</v>
      </c>
      <c r="K148" s="132">
        <f>IF($F148&lt;=$C$16*12,(SUMIF(Inputs!$C$61:$C$78,0,Inputs!$F$61:$F$78)/12)*(1+$C$34)^ROUNDDOWN((F148-1)/12,0),"-")</f>
        <v>1488.1666666666667</v>
      </c>
      <c r="L148" s="132">
        <f t="shared" si="61"/>
        <v>3103.0120772881528</v>
      </c>
      <c r="M148" s="132">
        <f>IF($F148&lt;=$C$16*12,'Mortgage Calculators (By Month)'!$C166,"-")</f>
        <v>0</v>
      </c>
      <c r="N148" s="132">
        <f>IF($F148&lt;=$C$16*12,'Mortgage Calculators (By Month)'!$D166,"-")</f>
        <v>0</v>
      </c>
      <c r="O148" s="132">
        <f>IF($F148&lt;=$C$16*12,'Mortgage Calculators (By Month)'!$E166,"-")</f>
        <v>8.3333333333333339</v>
      </c>
      <c r="P148" s="132">
        <f t="shared" si="82"/>
        <v>0</v>
      </c>
      <c r="Q148" s="132">
        <f t="shared" si="62"/>
        <v>3111.3454106214863</v>
      </c>
      <c r="R148" s="132">
        <f t="shared" si="63"/>
        <v>11577.400746543541</v>
      </c>
      <c r="S148" s="132">
        <f t="shared" si="64"/>
        <v>0</v>
      </c>
      <c r="T148" s="132">
        <f t="shared" si="56"/>
        <v>11577.400746543541</v>
      </c>
      <c r="U148" s="132">
        <f>IF($F148&lt;=$C$16*12,SUM(T$5:T148),"-")</f>
        <v>1244826.9881289697</v>
      </c>
      <c r="V148" s="132">
        <f>IF($F148&lt;=$C$16*12,G148-$C$10-'RE Calculations'!$C335-'Mortgage Calculators (By Month)'!$F166,"-")</f>
        <v>1271973.5911852799</v>
      </c>
      <c r="W148" s="29">
        <f t="shared" si="65"/>
        <v>0.79447354178616592</v>
      </c>
      <c r="X148" s="31">
        <f t="shared" si="66"/>
        <v>6.6206128482180493E-2</v>
      </c>
      <c r="Y148" s="132">
        <f t="shared" si="67"/>
        <v>2516800.5793142496</v>
      </c>
      <c r="Z148" s="29">
        <f t="shared" si="68"/>
        <v>1.5719913401299601</v>
      </c>
      <c r="AA148" s="31">
        <f t="shared" si="69"/>
        <v>0.13099927834416333</v>
      </c>
      <c r="AD148" s="12">
        <f t="shared" si="70"/>
        <v>144</v>
      </c>
      <c r="AE148" s="132">
        <f t="shared" si="71"/>
        <v>2936225.0930462042</v>
      </c>
      <c r="AF148" s="132">
        <f>IF($AD148&lt;=$C$25*12,$AE148-$C$7+SUM('Mortgage Calculators (By Month)'!$K$23:$K166),"-")</f>
        <v>2936225.0930462042</v>
      </c>
      <c r="AG148" s="132">
        <f t="shared" si="72"/>
        <v>14680.412823831693</v>
      </c>
      <c r="AH148" s="132">
        <f>IF($AD148&lt;=$C$25*12,SUM(Inputs!$C$61:$C$78)*'Forecast (By Month)'!AG148,"-")</f>
        <v>1614.8454106214863</v>
      </c>
      <c r="AI148" s="132">
        <f>IF($AD148&lt;=$C$25*12,(SUMIF(Inputs!$C$61:$C$78,0,Inputs!$F$61:$F$78)/12)*(1+$C$34)^ROUNDDOWN((AD148-1)/12,0),"-")</f>
        <v>1488.1666666666667</v>
      </c>
      <c r="AJ148" s="132">
        <f t="shared" si="73"/>
        <v>3103.0120772881528</v>
      </c>
      <c r="AK148" s="132">
        <f>IF($AD148&lt;=$C$25*12,'Mortgage Calculators (By Month)'!$J166,"-")</f>
        <v>0</v>
      </c>
      <c r="AL148" s="132">
        <f>IF($AD148&lt;=$C$25*12,'Mortgage Calculators (By Month)'!$K166,"-")</f>
        <v>0</v>
      </c>
      <c r="AM148" s="132">
        <f>IF($AD148&lt;=$C$25*12,'Mortgage Calculators (By Month)'!$L166,"-")</f>
        <v>10</v>
      </c>
      <c r="AN148" s="132">
        <f t="shared" si="83"/>
        <v>0</v>
      </c>
      <c r="AO148" s="132">
        <f t="shared" si="74"/>
        <v>3113.0120772881528</v>
      </c>
      <c r="AP148" s="132">
        <f t="shared" si="75"/>
        <v>11577.400746543541</v>
      </c>
      <c r="AQ148" s="132">
        <f t="shared" si="76"/>
        <v>0</v>
      </c>
      <c r="AR148" s="132">
        <f t="shared" si="57"/>
        <v>11577.400746543541</v>
      </c>
      <c r="AS148" s="132">
        <f>IF($AD148&lt;=$C$25*12,SUM(AR$5:AR148),"-")</f>
        <v>1244816.9881289697</v>
      </c>
      <c r="AT148" s="132">
        <f>IF($AD148&lt;=$C$25*12,AE148-$C$10-'RE Calculations'!$C335-'Mortgage Calculators (By Month)'!$M166,"-")</f>
        <v>1271973.5911852799</v>
      </c>
      <c r="AU148" s="29">
        <f t="shared" si="77"/>
        <v>0.79447354178616592</v>
      </c>
      <c r="AV148" s="31">
        <f t="shared" si="78"/>
        <v>6.6206128482180493E-2</v>
      </c>
      <c r="AW148" s="132">
        <f t="shared" si="79"/>
        <v>2516790.5793142496</v>
      </c>
      <c r="AX148" s="29">
        <f t="shared" si="80"/>
        <v>1.5719850941391054</v>
      </c>
      <c r="AY148" s="31">
        <f t="shared" si="81"/>
        <v>0.13099875784492546</v>
      </c>
    </row>
    <row r="149" spans="6:51" x14ac:dyDescent="0.35">
      <c r="F149" s="12">
        <f t="shared" si="58"/>
        <v>145</v>
      </c>
      <c r="G149" s="132">
        <f t="shared" si="59"/>
        <v>2948187.6375319287</v>
      </c>
      <c r="H149" s="132">
        <f>IF($F149&lt;=$C$16*12,$G149-$C$7+SUM('Mortgage Calculators (By Month)'!$D$23:$D167),"-")</f>
        <v>2948187.6375319287</v>
      </c>
      <c r="I149" s="132">
        <f t="shared" si="60"/>
        <v>15414.433465023276</v>
      </c>
      <c r="J149" s="132">
        <f>IF($F149&lt;=$C$16*12,SUM(Inputs!$C$61:$C$78)*'Forecast (By Month)'!I149,"-")</f>
        <v>1695.5876811525604</v>
      </c>
      <c r="K149" s="132">
        <f>IF($F149&lt;=$C$16*12,(SUMIF(Inputs!$C$61:$C$78,0,Inputs!$F$61:$F$78)/12)*(1+$C$34)^ROUNDDOWN((F149-1)/12,0),"-")</f>
        <v>1488.1666666666667</v>
      </c>
      <c r="L149" s="132">
        <f t="shared" si="61"/>
        <v>3183.7543478192274</v>
      </c>
      <c r="M149" s="132">
        <f>IF($F149&lt;=$C$16*12,'Mortgage Calculators (By Month)'!$C167,"-")</f>
        <v>0</v>
      </c>
      <c r="N149" s="132">
        <f>IF($F149&lt;=$C$16*12,'Mortgage Calculators (By Month)'!$D167,"-")</f>
        <v>0</v>
      </c>
      <c r="O149" s="132">
        <f>IF($F149&lt;=$C$16*12,'Mortgage Calculators (By Month)'!$E167,"-")</f>
        <v>8.3333333333333339</v>
      </c>
      <c r="P149" s="132">
        <f t="shared" si="82"/>
        <v>0</v>
      </c>
      <c r="Q149" s="132">
        <f t="shared" si="62"/>
        <v>3192.0876811525609</v>
      </c>
      <c r="R149" s="132">
        <f t="shared" si="63"/>
        <v>12230.679117204048</v>
      </c>
      <c r="S149" s="132">
        <f t="shared" si="64"/>
        <v>0</v>
      </c>
      <c r="T149" s="132">
        <f t="shared" si="56"/>
        <v>12230.679117204048</v>
      </c>
      <c r="U149" s="132">
        <f>IF($F149&lt;=$C$16*12,SUM(T$5:T149),"-")</f>
        <v>1257057.6672461738</v>
      </c>
      <c r="V149" s="132">
        <f>IF($F149&lt;=$C$16*12,G149-$C$10-'RE Calculations'!$C336-'Mortgage Calculators (By Month)'!$F167,"-")</f>
        <v>1283696.8847812898</v>
      </c>
      <c r="W149" s="29">
        <f t="shared" si="65"/>
        <v>0.80179590024483649</v>
      </c>
      <c r="X149" s="31">
        <f t="shared" si="66"/>
        <v>6.6355522778883014E-2</v>
      </c>
      <c r="Y149" s="132">
        <f t="shared" si="67"/>
        <v>2540754.5520274639</v>
      </c>
      <c r="Z149" s="29">
        <f t="shared" si="68"/>
        <v>1.5869529695798159</v>
      </c>
      <c r="AA149" s="31">
        <f t="shared" si="69"/>
        <v>0.13133403886177786</v>
      </c>
      <c r="AD149" s="12">
        <f t="shared" si="70"/>
        <v>145</v>
      </c>
      <c r="AE149" s="132">
        <f t="shared" si="71"/>
        <v>2948187.6375319287</v>
      </c>
      <c r="AF149" s="132">
        <f>IF($AD149&lt;=$C$25*12,$AE149-$C$7+SUM('Mortgage Calculators (By Month)'!$K$23:$K167),"-")</f>
        <v>2948187.6375319287</v>
      </c>
      <c r="AG149" s="132">
        <f t="shared" si="72"/>
        <v>15414.433465023276</v>
      </c>
      <c r="AH149" s="132">
        <f>IF($AD149&lt;=$C$25*12,SUM(Inputs!$C$61:$C$78)*'Forecast (By Month)'!AG149,"-")</f>
        <v>1695.5876811525604</v>
      </c>
      <c r="AI149" s="132">
        <f>IF($AD149&lt;=$C$25*12,(SUMIF(Inputs!$C$61:$C$78,0,Inputs!$F$61:$F$78)/12)*(1+$C$34)^ROUNDDOWN((AD149-1)/12,0),"-")</f>
        <v>1488.1666666666667</v>
      </c>
      <c r="AJ149" s="132">
        <f t="shared" si="73"/>
        <v>3183.7543478192274</v>
      </c>
      <c r="AK149" s="132">
        <f>IF($AD149&lt;=$C$25*12,'Mortgage Calculators (By Month)'!$J167,"-")</f>
        <v>0</v>
      </c>
      <c r="AL149" s="132">
        <f>IF($AD149&lt;=$C$25*12,'Mortgage Calculators (By Month)'!$K167,"-")</f>
        <v>0</v>
      </c>
      <c r="AM149" s="132">
        <f>IF($AD149&lt;=$C$25*12,'Mortgage Calculators (By Month)'!$L167,"-")</f>
        <v>10</v>
      </c>
      <c r="AN149" s="132">
        <f t="shared" si="83"/>
        <v>0</v>
      </c>
      <c r="AO149" s="132">
        <f t="shared" si="74"/>
        <v>3193.7543478192274</v>
      </c>
      <c r="AP149" s="132">
        <f t="shared" si="75"/>
        <v>12230.679117204048</v>
      </c>
      <c r="AQ149" s="132">
        <f t="shared" si="76"/>
        <v>0</v>
      </c>
      <c r="AR149" s="132">
        <f t="shared" si="57"/>
        <v>12230.679117204048</v>
      </c>
      <c r="AS149" s="132">
        <f>IF($AD149&lt;=$C$25*12,SUM(AR$5:AR149),"-")</f>
        <v>1257047.6672461738</v>
      </c>
      <c r="AT149" s="132">
        <f>IF($AD149&lt;=$C$25*12,AE149-$C$10-'RE Calculations'!$C336-'Mortgage Calculators (By Month)'!$M167,"-")</f>
        <v>1283696.8847812898</v>
      </c>
      <c r="AU149" s="29">
        <f t="shared" si="77"/>
        <v>0.80179590024483649</v>
      </c>
      <c r="AV149" s="31">
        <f t="shared" si="78"/>
        <v>6.6355522778883014E-2</v>
      </c>
      <c r="AW149" s="132">
        <f t="shared" si="79"/>
        <v>2540744.5520274639</v>
      </c>
      <c r="AX149" s="29">
        <f t="shared" si="80"/>
        <v>1.5869467235889614</v>
      </c>
      <c r="AY149" s="31">
        <f t="shared" si="81"/>
        <v>0.13133352195218989</v>
      </c>
    </row>
    <row r="150" spans="6:51" x14ac:dyDescent="0.35">
      <c r="F150" s="12">
        <f t="shared" si="58"/>
        <v>146</v>
      </c>
      <c r="G150" s="132">
        <f t="shared" si="59"/>
        <v>2960198.9189046556</v>
      </c>
      <c r="H150" s="132">
        <f>IF($F150&lt;=$C$16*12,$G150-$C$7+SUM('Mortgage Calculators (By Month)'!$D$23:$D168),"-")</f>
        <v>2960198.9189046556</v>
      </c>
      <c r="I150" s="132">
        <f t="shared" si="60"/>
        <v>15414.433465023276</v>
      </c>
      <c r="J150" s="132">
        <f>IF($F150&lt;=$C$16*12,SUM(Inputs!$C$61:$C$78)*'Forecast (By Month)'!I150,"-")</f>
        <v>1695.5876811525604</v>
      </c>
      <c r="K150" s="132">
        <f>IF($F150&lt;=$C$16*12,(SUMIF(Inputs!$C$61:$C$78,0,Inputs!$F$61:$F$78)/12)*(1+$C$34)^ROUNDDOWN((F150-1)/12,0),"-")</f>
        <v>1488.1666666666667</v>
      </c>
      <c r="L150" s="132">
        <f t="shared" si="61"/>
        <v>3183.7543478192274</v>
      </c>
      <c r="M150" s="132">
        <f>IF($F150&lt;=$C$16*12,'Mortgage Calculators (By Month)'!$C168,"-")</f>
        <v>0</v>
      </c>
      <c r="N150" s="132">
        <f>IF($F150&lt;=$C$16*12,'Mortgage Calculators (By Month)'!$D168,"-")</f>
        <v>0</v>
      </c>
      <c r="O150" s="132">
        <f>IF($F150&lt;=$C$16*12,'Mortgage Calculators (By Month)'!$E168,"-")</f>
        <v>8.3333333333333339</v>
      </c>
      <c r="P150" s="132">
        <f t="shared" si="82"/>
        <v>0</v>
      </c>
      <c r="Q150" s="132">
        <f t="shared" si="62"/>
        <v>3192.0876811525609</v>
      </c>
      <c r="R150" s="132">
        <f t="shared" si="63"/>
        <v>12230.679117204048</v>
      </c>
      <c r="S150" s="132">
        <f t="shared" si="64"/>
        <v>0</v>
      </c>
      <c r="T150" s="132">
        <f t="shared" si="56"/>
        <v>12230.679117204048</v>
      </c>
      <c r="U150" s="132">
        <f>IF($F150&lt;=$C$16*12,SUM(T$5:T150),"-")</f>
        <v>1269288.346363378</v>
      </c>
      <c r="V150" s="132">
        <f>IF($F150&lt;=$C$16*12,G150-$C$10-'RE Calculations'!$C337-'Mortgage Calculators (By Month)'!$F168,"-")</f>
        <v>1295467.9405265623</v>
      </c>
      <c r="W150" s="29">
        <f t="shared" si="65"/>
        <v>0.80914809089825612</v>
      </c>
      <c r="X150" s="31">
        <f t="shared" si="66"/>
        <v>6.6505322539582704E-2</v>
      </c>
      <c r="Y150" s="132">
        <f t="shared" si="67"/>
        <v>2564756.2868899405</v>
      </c>
      <c r="Z150" s="29">
        <f t="shared" si="68"/>
        <v>1.6019444312244207</v>
      </c>
      <c r="AA150" s="31">
        <f t="shared" si="69"/>
        <v>0.13166666558008938</v>
      </c>
      <c r="AD150" s="12">
        <f t="shared" si="70"/>
        <v>146</v>
      </c>
      <c r="AE150" s="132">
        <f t="shared" si="71"/>
        <v>2960198.9189046556</v>
      </c>
      <c r="AF150" s="132">
        <f>IF($AD150&lt;=$C$25*12,$AE150-$C$7+SUM('Mortgage Calculators (By Month)'!$K$23:$K168),"-")</f>
        <v>2960198.9189046556</v>
      </c>
      <c r="AG150" s="132">
        <f t="shared" si="72"/>
        <v>15414.433465023276</v>
      </c>
      <c r="AH150" s="132">
        <f>IF($AD150&lt;=$C$25*12,SUM(Inputs!$C$61:$C$78)*'Forecast (By Month)'!AG150,"-")</f>
        <v>1695.5876811525604</v>
      </c>
      <c r="AI150" s="132">
        <f>IF($AD150&lt;=$C$25*12,(SUMIF(Inputs!$C$61:$C$78,0,Inputs!$F$61:$F$78)/12)*(1+$C$34)^ROUNDDOWN((AD150-1)/12,0),"-")</f>
        <v>1488.1666666666667</v>
      </c>
      <c r="AJ150" s="132">
        <f t="shared" si="73"/>
        <v>3183.7543478192274</v>
      </c>
      <c r="AK150" s="132">
        <f>IF($AD150&lt;=$C$25*12,'Mortgage Calculators (By Month)'!$J168,"-")</f>
        <v>0</v>
      </c>
      <c r="AL150" s="132">
        <f>IF($AD150&lt;=$C$25*12,'Mortgage Calculators (By Month)'!$K168,"-")</f>
        <v>0</v>
      </c>
      <c r="AM150" s="132">
        <f>IF($AD150&lt;=$C$25*12,'Mortgage Calculators (By Month)'!$L168,"-")</f>
        <v>10</v>
      </c>
      <c r="AN150" s="132">
        <f t="shared" si="83"/>
        <v>0</v>
      </c>
      <c r="AO150" s="132">
        <f t="shared" si="74"/>
        <v>3193.7543478192274</v>
      </c>
      <c r="AP150" s="132">
        <f t="shared" si="75"/>
        <v>12230.679117204048</v>
      </c>
      <c r="AQ150" s="132">
        <f t="shared" si="76"/>
        <v>0</v>
      </c>
      <c r="AR150" s="132">
        <f t="shared" si="57"/>
        <v>12230.679117204048</v>
      </c>
      <c r="AS150" s="132">
        <f>IF($AD150&lt;=$C$25*12,SUM(AR$5:AR150),"-")</f>
        <v>1269278.346363378</v>
      </c>
      <c r="AT150" s="132">
        <f>IF($AD150&lt;=$C$25*12,AE150-$C$10-'RE Calculations'!$C337-'Mortgage Calculators (By Month)'!$M168,"-")</f>
        <v>1295467.9405265623</v>
      </c>
      <c r="AU150" s="29">
        <f t="shared" si="77"/>
        <v>0.80914809089825612</v>
      </c>
      <c r="AV150" s="31">
        <f t="shared" si="78"/>
        <v>6.6505322539582704E-2</v>
      </c>
      <c r="AW150" s="132">
        <f t="shared" si="79"/>
        <v>2564746.2868899405</v>
      </c>
      <c r="AX150" s="29">
        <f t="shared" si="80"/>
        <v>1.6019381852335661</v>
      </c>
      <c r="AY150" s="31">
        <f t="shared" si="81"/>
        <v>0.13166615221097805</v>
      </c>
    </row>
    <row r="151" spans="6:51" x14ac:dyDescent="0.35">
      <c r="F151" s="12">
        <f t="shared" si="58"/>
        <v>147</v>
      </c>
      <c r="G151" s="132">
        <f t="shared" si="59"/>
        <v>2972259.1357244952</v>
      </c>
      <c r="H151" s="132">
        <f>IF($F151&lt;=$C$16*12,$G151-$C$7+SUM('Mortgage Calculators (By Month)'!$D$23:$D169),"-")</f>
        <v>2972259.1357244952</v>
      </c>
      <c r="I151" s="132">
        <f t="shared" si="60"/>
        <v>15414.433465023276</v>
      </c>
      <c r="J151" s="132">
        <f>IF($F151&lt;=$C$16*12,SUM(Inputs!$C$61:$C$78)*'Forecast (By Month)'!I151,"-")</f>
        <v>1695.5876811525604</v>
      </c>
      <c r="K151" s="132">
        <f>IF($F151&lt;=$C$16*12,(SUMIF(Inputs!$C$61:$C$78,0,Inputs!$F$61:$F$78)/12)*(1+$C$34)^ROUNDDOWN((F151-1)/12,0),"-")</f>
        <v>1488.1666666666667</v>
      </c>
      <c r="L151" s="132">
        <f t="shared" si="61"/>
        <v>3183.7543478192274</v>
      </c>
      <c r="M151" s="132">
        <f>IF($F151&lt;=$C$16*12,'Mortgage Calculators (By Month)'!$C169,"-")</f>
        <v>0</v>
      </c>
      <c r="N151" s="132">
        <f>IF($F151&lt;=$C$16*12,'Mortgage Calculators (By Month)'!$D169,"-")</f>
        <v>0</v>
      </c>
      <c r="O151" s="132">
        <f>IF($F151&lt;=$C$16*12,'Mortgage Calculators (By Month)'!$E169,"-")</f>
        <v>8.3333333333333339</v>
      </c>
      <c r="P151" s="132">
        <f t="shared" si="82"/>
        <v>0</v>
      </c>
      <c r="Q151" s="132">
        <f t="shared" si="62"/>
        <v>3192.0876811525609</v>
      </c>
      <c r="R151" s="132">
        <f t="shared" si="63"/>
        <v>12230.679117204048</v>
      </c>
      <c r="S151" s="132">
        <f t="shared" si="64"/>
        <v>0</v>
      </c>
      <c r="T151" s="132">
        <f t="shared" si="56"/>
        <v>12230.679117204048</v>
      </c>
      <c r="U151" s="132">
        <f>IF($F151&lt;=$C$16*12,SUM(T$5:T151),"-")</f>
        <v>1281519.0254805821</v>
      </c>
      <c r="V151" s="132">
        <f>IF($F151&lt;=$C$16*12,G151-$C$10-'RE Calculations'!$C338-'Mortgage Calculators (By Month)'!$F169,"-")</f>
        <v>1307286.9530100049</v>
      </c>
      <c r="W151" s="29">
        <f t="shared" si="65"/>
        <v>0.81653023528647861</v>
      </c>
      <c r="X151" s="31">
        <f t="shared" si="66"/>
        <v>6.6655529411141112E-2</v>
      </c>
      <c r="Y151" s="132">
        <f t="shared" si="67"/>
        <v>2588805.9784905873</v>
      </c>
      <c r="Z151" s="29">
        <f t="shared" si="68"/>
        <v>1.6169658466038281</v>
      </c>
      <c r="AA151" s="31">
        <f t="shared" si="69"/>
        <v>0.13199721196765943</v>
      </c>
      <c r="AD151" s="12">
        <f t="shared" si="70"/>
        <v>147</v>
      </c>
      <c r="AE151" s="132">
        <f t="shared" si="71"/>
        <v>2972259.1357244952</v>
      </c>
      <c r="AF151" s="132">
        <f>IF($AD151&lt;=$C$25*12,$AE151-$C$7+SUM('Mortgage Calculators (By Month)'!$K$23:$K169),"-")</f>
        <v>2972259.1357244952</v>
      </c>
      <c r="AG151" s="132">
        <f t="shared" si="72"/>
        <v>15414.433465023276</v>
      </c>
      <c r="AH151" s="132">
        <f>IF($AD151&lt;=$C$25*12,SUM(Inputs!$C$61:$C$78)*'Forecast (By Month)'!AG151,"-")</f>
        <v>1695.5876811525604</v>
      </c>
      <c r="AI151" s="132">
        <f>IF($AD151&lt;=$C$25*12,(SUMIF(Inputs!$C$61:$C$78,0,Inputs!$F$61:$F$78)/12)*(1+$C$34)^ROUNDDOWN((AD151-1)/12,0),"-")</f>
        <v>1488.1666666666667</v>
      </c>
      <c r="AJ151" s="132">
        <f t="shared" si="73"/>
        <v>3183.7543478192274</v>
      </c>
      <c r="AK151" s="132">
        <f>IF($AD151&lt;=$C$25*12,'Mortgage Calculators (By Month)'!$J169,"-")</f>
        <v>0</v>
      </c>
      <c r="AL151" s="132">
        <f>IF($AD151&lt;=$C$25*12,'Mortgage Calculators (By Month)'!$K169,"-")</f>
        <v>0</v>
      </c>
      <c r="AM151" s="132">
        <f>IF($AD151&lt;=$C$25*12,'Mortgage Calculators (By Month)'!$L169,"-")</f>
        <v>10</v>
      </c>
      <c r="AN151" s="132">
        <f t="shared" si="83"/>
        <v>0</v>
      </c>
      <c r="AO151" s="132">
        <f t="shared" si="74"/>
        <v>3193.7543478192274</v>
      </c>
      <c r="AP151" s="132">
        <f t="shared" si="75"/>
        <v>12230.679117204048</v>
      </c>
      <c r="AQ151" s="132">
        <f t="shared" si="76"/>
        <v>0</v>
      </c>
      <c r="AR151" s="132">
        <f t="shared" si="57"/>
        <v>12230.679117204048</v>
      </c>
      <c r="AS151" s="132">
        <f>IF($AD151&lt;=$C$25*12,SUM(AR$5:AR151),"-")</f>
        <v>1281509.0254805821</v>
      </c>
      <c r="AT151" s="132">
        <f>IF($AD151&lt;=$C$25*12,AE151-$C$10-'RE Calculations'!$C338-'Mortgage Calculators (By Month)'!$M169,"-")</f>
        <v>1307286.9530100049</v>
      </c>
      <c r="AU151" s="29">
        <f t="shared" si="77"/>
        <v>0.81653023528647861</v>
      </c>
      <c r="AV151" s="31">
        <f t="shared" si="78"/>
        <v>6.6655529411141112E-2</v>
      </c>
      <c r="AW151" s="132">
        <f t="shared" si="79"/>
        <v>2588795.9784905873</v>
      </c>
      <c r="AX151" s="29">
        <f t="shared" si="80"/>
        <v>1.6169596006129736</v>
      </c>
      <c r="AY151" s="31">
        <f t="shared" si="81"/>
        <v>0.13199670209085498</v>
      </c>
    </row>
    <row r="152" spans="6:51" x14ac:dyDescent="0.35">
      <c r="F152" s="12">
        <f t="shared" si="58"/>
        <v>148</v>
      </c>
      <c r="G152" s="132">
        <f t="shared" si="59"/>
        <v>2984368.4873605166</v>
      </c>
      <c r="H152" s="132">
        <f>IF($F152&lt;=$C$16*12,$G152-$C$7+SUM('Mortgage Calculators (By Month)'!$D$23:$D170),"-")</f>
        <v>2984368.4873605166</v>
      </c>
      <c r="I152" s="132">
        <f t="shared" si="60"/>
        <v>15414.433465023276</v>
      </c>
      <c r="J152" s="132">
        <f>IF($F152&lt;=$C$16*12,SUM(Inputs!$C$61:$C$78)*'Forecast (By Month)'!I152,"-")</f>
        <v>1695.5876811525604</v>
      </c>
      <c r="K152" s="132">
        <f>IF($F152&lt;=$C$16*12,(SUMIF(Inputs!$C$61:$C$78,0,Inputs!$F$61:$F$78)/12)*(1+$C$34)^ROUNDDOWN((F152-1)/12,0),"-")</f>
        <v>1488.1666666666667</v>
      </c>
      <c r="L152" s="132">
        <f t="shared" si="61"/>
        <v>3183.7543478192274</v>
      </c>
      <c r="M152" s="132">
        <f>IF($F152&lt;=$C$16*12,'Mortgage Calculators (By Month)'!$C170,"-")</f>
        <v>0</v>
      </c>
      <c r="N152" s="132">
        <f>IF($F152&lt;=$C$16*12,'Mortgage Calculators (By Month)'!$D170,"-")</f>
        <v>0</v>
      </c>
      <c r="O152" s="132">
        <f>IF($F152&lt;=$C$16*12,'Mortgage Calculators (By Month)'!$E170,"-")</f>
        <v>8.3333333333333339</v>
      </c>
      <c r="P152" s="132">
        <f t="shared" si="82"/>
        <v>0</v>
      </c>
      <c r="Q152" s="132">
        <f t="shared" si="62"/>
        <v>3192.0876811525609</v>
      </c>
      <c r="R152" s="132">
        <f t="shared" si="63"/>
        <v>12230.679117204048</v>
      </c>
      <c r="S152" s="132">
        <f t="shared" si="64"/>
        <v>0</v>
      </c>
      <c r="T152" s="132">
        <f t="shared" si="56"/>
        <v>12230.679117204048</v>
      </c>
      <c r="U152" s="132">
        <f>IF($F152&lt;=$C$16*12,SUM(T$5:T152),"-")</f>
        <v>1293749.7045977863</v>
      </c>
      <c r="V152" s="132">
        <f>IF($F152&lt;=$C$16*12,G152-$C$10-'RE Calculations'!$C339-'Mortgage Calculators (By Month)'!$F170,"-")</f>
        <v>1319154.1176133058</v>
      </c>
      <c r="W152" s="29">
        <f t="shared" si="65"/>
        <v>0.82394245544472755</v>
      </c>
      <c r="X152" s="31">
        <f t="shared" si="66"/>
        <v>6.6806145036058986E-2</v>
      </c>
      <c r="Y152" s="132">
        <f t="shared" si="67"/>
        <v>2612903.8222110923</v>
      </c>
      <c r="Z152" s="29">
        <f t="shared" si="68"/>
        <v>1.6320173377532623</v>
      </c>
      <c r="AA152" s="31">
        <f t="shared" si="69"/>
        <v>0.13232573008810233</v>
      </c>
      <c r="AD152" s="12">
        <f t="shared" si="70"/>
        <v>148</v>
      </c>
      <c r="AE152" s="132">
        <f t="shared" si="71"/>
        <v>2984368.4873605166</v>
      </c>
      <c r="AF152" s="132">
        <f>IF($AD152&lt;=$C$25*12,$AE152-$C$7+SUM('Mortgage Calculators (By Month)'!$K$23:$K170),"-")</f>
        <v>2984368.4873605166</v>
      </c>
      <c r="AG152" s="132">
        <f t="shared" si="72"/>
        <v>15414.433465023276</v>
      </c>
      <c r="AH152" s="132">
        <f>IF($AD152&lt;=$C$25*12,SUM(Inputs!$C$61:$C$78)*'Forecast (By Month)'!AG152,"-")</f>
        <v>1695.5876811525604</v>
      </c>
      <c r="AI152" s="132">
        <f>IF($AD152&lt;=$C$25*12,(SUMIF(Inputs!$C$61:$C$78,0,Inputs!$F$61:$F$78)/12)*(1+$C$34)^ROUNDDOWN((AD152-1)/12,0),"-")</f>
        <v>1488.1666666666667</v>
      </c>
      <c r="AJ152" s="132">
        <f t="shared" si="73"/>
        <v>3183.7543478192274</v>
      </c>
      <c r="AK152" s="132">
        <f>IF($AD152&lt;=$C$25*12,'Mortgage Calculators (By Month)'!$J170,"-")</f>
        <v>0</v>
      </c>
      <c r="AL152" s="132">
        <f>IF($AD152&lt;=$C$25*12,'Mortgage Calculators (By Month)'!$K170,"-")</f>
        <v>0</v>
      </c>
      <c r="AM152" s="132">
        <f>IF($AD152&lt;=$C$25*12,'Mortgage Calculators (By Month)'!$L170,"-")</f>
        <v>10</v>
      </c>
      <c r="AN152" s="132">
        <f t="shared" si="83"/>
        <v>0</v>
      </c>
      <c r="AO152" s="132">
        <f t="shared" si="74"/>
        <v>3193.7543478192274</v>
      </c>
      <c r="AP152" s="132">
        <f t="shared" si="75"/>
        <v>12230.679117204048</v>
      </c>
      <c r="AQ152" s="132">
        <f t="shared" si="76"/>
        <v>0</v>
      </c>
      <c r="AR152" s="132">
        <f t="shared" si="57"/>
        <v>12230.679117204048</v>
      </c>
      <c r="AS152" s="132">
        <f>IF($AD152&lt;=$C$25*12,SUM(AR$5:AR152),"-")</f>
        <v>1293739.7045977863</v>
      </c>
      <c r="AT152" s="132">
        <f>IF($AD152&lt;=$C$25*12,AE152-$C$10-'RE Calculations'!$C339-'Mortgage Calculators (By Month)'!$M170,"-")</f>
        <v>1319154.1176133058</v>
      </c>
      <c r="AU152" s="29">
        <f t="shared" si="77"/>
        <v>0.82394245544472755</v>
      </c>
      <c r="AV152" s="31">
        <f t="shared" si="78"/>
        <v>6.6806145036058986E-2</v>
      </c>
      <c r="AW152" s="132">
        <f t="shared" si="79"/>
        <v>2612893.8222110923</v>
      </c>
      <c r="AX152" s="29">
        <f t="shared" si="80"/>
        <v>1.6320110917624078</v>
      </c>
      <c r="AY152" s="31">
        <f t="shared" si="81"/>
        <v>0.13232522365641144</v>
      </c>
    </row>
    <row r="153" spans="6:51" x14ac:dyDescent="0.35">
      <c r="F153" s="12">
        <f t="shared" si="58"/>
        <v>149</v>
      </c>
      <c r="G153" s="132">
        <f t="shared" si="59"/>
        <v>2996527.1739940429</v>
      </c>
      <c r="H153" s="132">
        <f>IF($F153&lt;=$C$16*12,$G153-$C$7+SUM('Mortgage Calculators (By Month)'!$D$23:$D171),"-")</f>
        <v>2996527.1739940429</v>
      </c>
      <c r="I153" s="132">
        <f t="shared" si="60"/>
        <v>15414.433465023276</v>
      </c>
      <c r="J153" s="132">
        <f>IF($F153&lt;=$C$16*12,SUM(Inputs!$C$61:$C$78)*'Forecast (By Month)'!I153,"-")</f>
        <v>1695.5876811525604</v>
      </c>
      <c r="K153" s="132">
        <f>IF($F153&lt;=$C$16*12,(SUMIF(Inputs!$C$61:$C$78,0,Inputs!$F$61:$F$78)/12)*(1+$C$34)^ROUNDDOWN((F153-1)/12,0),"-")</f>
        <v>1488.1666666666667</v>
      </c>
      <c r="L153" s="132">
        <f t="shared" si="61"/>
        <v>3183.7543478192274</v>
      </c>
      <c r="M153" s="132">
        <f>IF($F153&lt;=$C$16*12,'Mortgage Calculators (By Month)'!$C171,"-")</f>
        <v>0</v>
      </c>
      <c r="N153" s="132">
        <f>IF($F153&lt;=$C$16*12,'Mortgage Calculators (By Month)'!$D171,"-")</f>
        <v>0</v>
      </c>
      <c r="O153" s="132">
        <f>IF($F153&lt;=$C$16*12,'Mortgage Calculators (By Month)'!$E171,"-")</f>
        <v>8.3333333333333339</v>
      </c>
      <c r="P153" s="132">
        <f t="shared" si="82"/>
        <v>0</v>
      </c>
      <c r="Q153" s="132">
        <f t="shared" si="62"/>
        <v>3192.0876811525609</v>
      </c>
      <c r="R153" s="132">
        <f t="shared" si="63"/>
        <v>12230.679117204048</v>
      </c>
      <c r="S153" s="132">
        <f t="shared" si="64"/>
        <v>0</v>
      </c>
      <c r="T153" s="132">
        <f t="shared" si="56"/>
        <v>12230.679117204048</v>
      </c>
      <c r="U153" s="132">
        <f>IF($F153&lt;=$C$16*12,SUM(T$5:T153),"-")</f>
        <v>1305980.3837149905</v>
      </c>
      <c r="V153" s="132">
        <f>IF($F153&lt;=$C$16*12,G153-$C$10-'RE Calculations'!$C340-'Mortgage Calculators (By Month)'!$F171,"-")</f>
        <v>1331069.6305141617</v>
      </c>
      <c r="W153" s="29">
        <f t="shared" si="65"/>
        <v>0.83138487390541305</v>
      </c>
      <c r="X153" s="31">
        <f t="shared" si="66"/>
        <v>6.6957171052784953E-2</v>
      </c>
      <c r="Y153" s="132">
        <f t="shared" si="67"/>
        <v>2637050.0142291524</v>
      </c>
      <c r="Z153" s="29">
        <f t="shared" si="68"/>
        <v>1.6470990272051329</v>
      </c>
      <c r="AA153" s="31">
        <f t="shared" si="69"/>
        <v>0.13265227064739327</v>
      </c>
      <c r="AD153" s="12">
        <f t="shared" si="70"/>
        <v>149</v>
      </c>
      <c r="AE153" s="132">
        <f t="shared" si="71"/>
        <v>2996527.1739940429</v>
      </c>
      <c r="AF153" s="132">
        <f>IF($AD153&lt;=$C$25*12,$AE153-$C$7+SUM('Mortgage Calculators (By Month)'!$K$23:$K171),"-")</f>
        <v>2996527.1739940429</v>
      </c>
      <c r="AG153" s="132">
        <f t="shared" si="72"/>
        <v>15414.433465023276</v>
      </c>
      <c r="AH153" s="132">
        <f>IF($AD153&lt;=$C$25*12,SUM(Inputs!$C$61:$C$78)*'Forecast (By Month)'!AG153,"-")</f>
        <v>1695.5876811525604</v>
      </c>
      <c r="AI153" s="132">
        <f>IF($AD153&lt;=$C$25*12,(SUMIF(Inputs!$C$61:$C$78,0,Inputs!$F$61:$F$78)/12)*(1+$C$34)^ROUNDDOWN((AD153-1)/12,0),"-")</f>
        <v>1488.1666666666667</v>
      </c>
      <c r="AJ153" s="132">
        <f t="shared" si="73"/>
        <v>3183.7543478192274</v>
      </c>
      <c r="AK153" s="132">
        <f>IF($AD153&lt;=$C$25*12,'Mortgage Calculators (By Month)'!$J171,"-")</f>
        <v>0</v>
      </c>
      <c r="AL153" s="132">
        <f>IF($AD153&lt;=$C$25*12,'Mortgage Calculators (By Month)'!$K171,"-")</f>
        <v>0</v>
      </c>
      <c r="AM153" s="132">
        <f>IF($AD153&lt;=$C$25*12,'Mortgage Calculators (By Month)'!$L171,"-")</f>
        <v>10</v>
      </c>
      <c r="AN153" s="132">
        <f t="shared" si="83"/>
        <v>0</v>
      </c>
      <c r="AO153" s="132">
        <f t="shared" si="74"/>
        <v>3193.7543478192274</v>
      </c>
      <c r="AP153" s="132">
        <f t="shared" si="75"/>
        <v>12230.679117204048</v>
      </c>
      <c r="AQ153" s="132">
        <f t="shared" si="76"/>
        <v>0</v>
      </c>
      <c r="AR153" s="132">
        <f t="shared" si="57"/>
        <v>12230.679117204048</v>
      </c>
      <c r="AS153" s="132">
        <f>IF($AD153&lt;=$C$25*12,SUM(AR$5:AR153),"-")</f>
        <v>1305970.3837149905</v>
      </c>
      <c r="AT153" s="132">
        <f>IF($AD153&lt;=$C$25*12,AE153-$C$10-'RE Calculations'!$C340-'Mortgage Calculators (By Month)'!$M171,"-")</f>
        <v>1331069.6305141617</v>
      </c>
      <c r="AU153" s="29">
        <f t="shared" si="77"/>
        <v>0.83138487390541305</v>
      </c>
      <c r="AV153" s="31">
        <f t="shared" si="78"/>
        <v>6.6957171052784953E-2</v>
      </c>
      <c r="AW153" s="132">
        <f t="shared" si="79"/>
        <v>2637040.0142291524</v>
      </c>
      <c r="AX153" s="29">
        <f t="shared" si="80"/>
        <v>1.6470927812142784</v>
      </c>
      <c r="AY153" s="31">
        <f t="shared" si="81"/>
        <v>0.13265176761457276</v>
      </c>
    </row>
    <row r="154" spans="6:51" x14ac:dyDescent="0.35">
      <c r="F154" s="12">
        <f t="shared" si="58"/>
        <v>150</v>
      </c>
      <c r="G154" s="132">
        <f t="shared" si="59"/>
        <v>3008735.3966219607</v>
      </c>
      <c r="H154" s="132">
        <f>IF($F154&lt;=$C$16*12,$G154-$C$7+SUM('Mortgage Calculators (By Month)'!$D$23:$D172),"-")</f>
        <v>3008735.3966219607</v>
      </c>
      <c r="I154" s="132">
        <f t="shared" si="60"/>
        <v>15414.433465023276</v>
      </c>
      <c r="J154" s="132">
        <f>IF($F154&lt;=$C$16*12,SUM(Inputs!$C$61:$C$78)*'Forecast (By Month)'!I154,"-")</f>
        <v>1695.5876811525604</v>
      </c>
      <c r="K154" s="132">
        <f>IF($F154&lt;=$C$16*12,(SUMIF(Inputs!$C$61:$C$78,0,Inputs!$F$61:$F$78)/12)*(1+$C$34)^ROUNDDOWN((F154-1)/12,0),"-")</f>
        <v>1488.1666666666667</v>
      </c>
      <c r="L154" s="132">
        <f t="shared" si="61"/>
        <v>3183.7543478192274</v>
      </c>
      <c r="M154" s="132">
        <f>IF($F154&lt;=$C$16*12,'Mortgage Calculators (By Month)'!$C172,"-")</f>
        <v>0</v>
      </c>
      <c r="N154" s="132">
        <f>IF($F154&lt;=$C$16*12,'Mortgage Calculators (By Month)'!$D172,"-")</f>
        <v>0</v>
      </c>
      <c r="O154" s="132">
        <f>IF($F154&lt;=$C$16*12,'Mortgage Calculators (By Month)'!$E172,"-")</f>
        <v>8.3333333333333339</v>
      </c>
      <c r="P154" s="132">
        <f t="shared" si="82"/>
        <v>0</v>
      </c>
      <c r="Q154" s="132">
        <f t="shared" si="62"/>
        <v>3192.0876811525609</v>
      </c>
      <c r="R154" s="132">
        <f t="shared" si="63"/>
        <v>12230.679117204048</v>
      </c>
      <c r="S154" s="132">
        <f t="shared" si="64"/>
        <v>0</v>
      </c>
      <c r="T154" s="132">
        <f t="shared" si="56"/>
        <v>12230.679117204048</v>
      </c>
      <c r="U154" s="132">
        <f>IF($F154&lt;=$C$16*12,SUM(T$5:T154),"-")</f>
        <v>1318211.0628321946</v>
      </c>
      <c r="V154" s="132">
        <f>IF($F154&lt;=$C$16*12,G154-$C$10-'RE Calculations'!$C341-'Mortgage Calculators (By Month)'!$F172,"-")</f>
        <v>1343033.688689521</v>
      </c>
      <c r="W154" s="29">
        <f t="shared" si="65"/>
        <v>0.83885761370015688</v>
      </c>
      <c r="X154" s="31">
        <f t="shared" si="66"/>
        <v>6.7108609096012545E-2</v>
      </c>
      <c r="Y154" s="132">
        <f t="shared" si="67"/>
        <v>2661244.7515217159</v>
      </c>
      <c r="Z154" s="29">
        <f t="shared" si="68"/>
        <v>1.662211037991062</v>
      </c>
      <c r="AA154" s="31">
        <f t="shared" si="69"/>
        <v>0.13297688303928495</v>
      </c>
      <c r="AD154" s="12">
        <f t="shared" si="70"/>
        <v>150</v>
      </c>
      <c r="AE154" s="132">
        <f t="shared" si="71"/>
        <v>3008735.3966219607</v>
      </c>
      <c r="AF154" s="132">
        <f>IF($AD154&lt;=$C$25*12,$AE154-$C$7+SUM('Mortgage Calculators (By Month)'!$K$23:$K172),"-")</f>
        <v>3008735.3966219607</v>
      </c>
      <c r="AG154" s="132">
        <f t="shared" si="72"/>
        <v>15414.433465023276</v>
      </c>
      <c r="AH154" s="132">
        <f>IF($AD154&lt;=$C$25*12,SUM(Inputs!$C$61:$C$78)*'Forecast (By Month)'!AG154,"-")</f>
        <v>1695.5876811525604</v>
      </c>
      <c r="AI154" s="132">
        <f>IF($AD154&lt;=$C$25*12,(SUMIF(Inputs!$C$61:$C$78,0,Inputs!$F$61:$F$78)/12)*(1+$C$34)^ROUNDDOWN((AD154-1)/12,0),"-")</f>
        <v>1488.1666666666667</v>
      </c>
      <c r="AJ154" s="132">
        <f t="shared" si="73"/>
        <v>3183.7543478192274</v>
      </c>
      <c r="AK154" s="132">
        <f>IF($AD154&lt;=$C$25*12,'Mortgage Calculators (By Month)'!$J172,"-")</f>
        <v>0</v>
      </c>
      <c r="AL154" s="132">
        <f>IF($AD154&lt;=$C$25*12,'Mortgage Calculators (By Month)'!$K172,"-")</f>
        <v>0</v>
      </c>
      <c r="AM154" s="132">
        <f>IF($AD154&lt;=$C$25*12,'Mortgage Calculators (By Month)'!$L172,"-")</f>
        <v>10</v>
      </c>
      <c r="AN154" s="132">
        <f t="shared" si="83"/>
        <v>0</v>
      </c>
      <c r="AO154" s="132">
        <f t="shared" si="74"/>
        <v>3193.7543478192274</v>
      </c>
      <c r="AP154" s="132">
        <f t="shared" si="75"/>
        <v>12230.679117204048</v>
      </c>
      <c r="AQ154" s="132">
        <f t="shared" si="76"/>
        <v>0</v>
      </c>
      <c r="AR154" s="132">
        <f t="shared" si="57"/>
        <v>12230.679117204048</v>
      </c>
      <c r="AS154" s="132">
        <f>IF($AD154&lt;=$C$25*12,SUM(AR$5:AR154),"-")</f>
        <v>1318201.0628321946</v>
      </c>
      <c r="AT154" s="132">
        <f>IF($AD154&lt;=$C$25*12,AE154-$C$10-'RE Calculations'!$C341-'Mortgage Calculators (By Month)'!$M172,"-")</f>
        <v>1343033.688689521</v>
      </c>
      <c r="AU154" s="29">
        <f t="shared" si="77"/>
        <v>0.83885761370015688</v>
      </c>
      <c r="AV154" s="31">
        <f t="shared" si="78"/>
        <v>6.7108609096012545E-2</v>
      </c>
      <c r="AW154" s="132">
        <f t="shared" si="79"/>
        <v>2661234.7515217159</v>
      </c>
      <c r="AX154" s="29">
        <f t="shared" si="80"/>
        <v>1.6622047920002072</v>
      </c>
      <c r="AY154" s="31">
        <f t="shared" si="81"/>
        <v>0.13297638336001658</v>
      </c>
    </row>
    <row r="155" spans="6:51" x14ac:dyDescent="0.35">
      <c r="F155" s="12">
        <f t="shared" si="58"/>
        <v>151</v>
      </c>
      <c r="G155" s="132">
        <f t="shared" si="59"/>
        <v>3020993.3570600427</v>
      </c>
      <c r="H155" s="132">
        <f>IF($F155&lt;=$C$16*12,$G155-$C$7+SUM('Mortgage Calculators (By Month)'!$D$23:$D173),"-")</f>
        <v>3020993.3570600427</v>
      </c>
      <c r="I155" s="132">
        <f t="shared" si="60"/>
        <v>15414.433465023276</v>
      </c>
      <c r="J155" s="132">
        <f>IF($F155&lt;=$C$16*12,SUM(Inputs!$C$61:$C$78)*'Forecast (By Month)'!I155,"-")</f>
        <v>1695.5876811525604</v>
      </c>
      <c r="K155" s="132">
        <f>IF($F155&lt;=$C$16*12,(SUMIF(Inputs!$C$61:$C$78,0,Inputs!$F$61:$F$78)/12)*(1+$C$34)^ROUNDDOWN((F155-1)/12,0),"-")</f>
        <v>1488.1666666666667</v>
      </c>
      <c r="L155" s="132">
        <f t="shared" si="61"/>
        <v>3183.7543478192274</v>
      </c>
      <c r="M155" s="132">
        <f>IF($F155&lt;=$C$16*12,'Mortgage Calculators (By Month)'!$C173,"-")</f>
        <v>0</v>
      </c>
      <c r="N155" s="132">
        <f>IF($F155&lt;=$C$16*12,'Mortgage Calculators (By Month)'!$D173,"-")</f>
        <v>0</v>
      </c>
      <c r="O155" s="132">
        <f>IF($F155&lt;=$C$16*12,'Mortgage Calculators (By Month)'!$E173,"-")</f>
        <v>8.3333333333333339</v>
      </c>
      <c r="P155" s="132">
        <f t="shared" si="82"/>
        <v>0</v>
      </c>
      <c r="Q155" s="132">
        <f t="shared" si="62"/>
        <v>3192.0876811525609</v>
      </c>
      <c r="R155" s="132">
        <f t="shared" si="63"/>
        <v>12230.679117204048</v>
      </c>
      <c r="S155" s="132">
        <f t="shared" si="64"/>
        <v>0</v>
      </c>
      <c r="T155" s="132">
        <f t="shared" si="56"/>
        <v>12230.679117204048</v>
      </c>
      <c r="U155" s="132">
        <f>IF($F155&lt;=$C$16*12,SUM(T$5:T155),"-")</f>
        <v>1330441.7419493988</v>
      </c>
      <c r="V155" s="132">
        <f>IF($F155&lt;=$C$16*12,G155-$C$10-'RE Calculations'!$C342-'Mortgage Calculators (By Month)'!$F173,"-")</f>
        <v>1355046.4899188415</v>
      </c>
      <c r="W155" s="29">
        <f t="shared" si="65"/>
        <v>0.84636079836182743</v>
      </c>
      <c r="X155" s="31">
        <f t="shared" si="66"/>
        <v>6.7260460796966418E-2</v>
      </c>
      <c r="Y155" s="132">
        <f t="shared" si="67"/>
        <v>2685488.2318682401</v>
      </c>
      <c r="Z155" s="29">
        <f t="shared" si="68"/>
        <v>1.6773534936439174</v>
      </c>
      <c r="AA155" s="31">
        <f t="shared" si="69"/>
        <v>0.13329961538892057</v>
      </c>
      <c r="AD155" s="12">
        <f t="shared" si="70"/>
        <v>151</v>
      </c>
      <c r="AE155" s="132">
        <f t="shared" si="71"/>
        <v>3020993.3570600427</v>
      </c>
      <c r="AF155" s="132">
        <f>IF($AD155&lt;=$C$25*12,$AE155-$C$7+SUM('Mortgage Calculators (By Month)'!$K$23:$K173),"-")</f>
        <v>3020993.3570600427</v>
      </c>
      <c r="AG155" s="132">
        <f t="shared" si="72"/>
        <v>15414.433465023276</v>
      </c>
      <c r="AH155" s="132">
        <f>IF($AD155&lt;=$C$25*12,SUM(Inputs!$C$61:$C$78)*'Forecast (By Month)'!AG155,"-")</f>
        <v>1695.5876811525604</v>
      </c>
      <c r="AI155" s="132">
        <f>IF($AD155&lt;=$C$25*12,(SUMIF(Inputs!$C$61:$C$78,0,Inputs!$F$61:$F$78)/12)*(1+$C$34)^ROUNDDOWN((AD155-1)/12,0),"-")</f>
        <v>1488.1666666666667</v>
      </c>
      <c r="AJ155" s="132">
        <f t="shared" si="73"/>
        <v>3183.7543478192274</v>
      </c>
      <c r="AK155" s="132">
        <f>IF($AD155&lt;=$C$25*12,'Mortgage Calculators (By Month)'!$J173,"-")</f>
        <v>0</v>
      </c>
      <c r="AL155" s="132">
        <f>IF($AD155&lt;=$C$25*12,'Mortgage Calculators (By Month)'!$K173,"-")</f>
        <v>0</v>
      </c>
      <c r="AM155" s="132">
        <f>IF($AD155&lt;=$C$25*12,'Mortgage Calculators (By Month)'!$L173,"-")</f>
        <v>10</v>
      </c>
      <c r="AN155" s="132">
        <f t="shared" si="83"/>
        <v>0</v>
      </c>
      <c r="AO155" s="132">
        <f t="shared" si="74"/>
        <v>3193.7543478192274</v>
      </c>
      <c r="AP155" s="132">
        <f t="shared" si="75"/>
        <v>12230.679117204048</v>
      </c>
      <c r="AQ155" s="132">
        <f t="shared" si="76"/>
        <v>0</v>
      </c>
      <c r="AR155" s="132">
        <f t="shared" si="57"/>
        <v>12230.679117204048</v>
      </c>
      <c r="AS155" s="132">
        <f>IF($AD155&lt;=$C$25*12,SUM(AR$5:AR155),"-")</f>
        <v>1330431.7419493988</v>
      </c>
      <c r="AT155" s="132">
        <f>IF($AD155&lt;=$C$25*12,AE155-$C$10-'RE Calculations'!$C342-'Mortgage Calculators (By Month)'!$M173,"-")</f>
        <v>1355046.4899188415</v>
      </c>
      <c r="AU155" s="29">
        <f t="shared" si="77"/>
        <v>0.84636079836182743</v>
      </c>
      <c r="AV155" s="31">
        <f t="shared" si="78"/>
        <v>6.7260460796966418E-2</v>
      </c>
      <c r="AW155" s="132">
        <f t="shared" si="79"/>
        <v>2685478.2318682401</v>
      </c>
      <c r="AX155" s="29">
        <f t="shared" si="80"/>
        <v>1.6773472476530626</v>
      </c>
      <c r="AY155" s="31">
        <f t="shared" si="81"/>
        <v>0.13329911901878644</v>
      </c>
    </row>
    <row r="156" spans="6:51" x14ac:dyDescent="0.35">
      <c r="F156" s="12">
        <f t="shared" si="58"/>
        <v>152</v>
      </c>
      <c r="G156" s="132">
        <f t="shared" si="59"/>
        <v>3033301.2579462845</v>
      </c>
      <c r="H156" s="132">
        <f>IF($F156&lt;=$C$16*12,$G156-$C$7+SUM('Mortgage Calculators (By Month)'!$D$23:$D174),"-")</f>
        <v>3033301.2579462845</v>
      </c>
      <c r="I156" s="132">
        <f t="shared" si="60"/>
        <v>15414.433465023276</v>
      </c>
      <c r="J156" s="132">
        <f>IF($F156&lt;=$C$16*12,SUM(Inputs!$C$61:$C$78)*'Forecast (By Month)'!I156,"-")</f>
        <v>1695.5876811525604</v>
      </c>
      <c r="K156" s="132">
        <f>IF($F156&lt;=$C$16*12,(SUMIF(Inputs!$C$61:$C$78,0,Inputs!$F$61:$F$78)/12)*(1+$C$34)^ROUNDDOWN((F156-1)/12,0),"-")</f>
        <v>1488.1666666666667</v>
      </c>
      <c r="L156" s="132">
        <f t="shared" si="61"/>
        <v>3183.7543478192274</v>
      </c>
      <c r="M156" s="132">
        <f>IF($F156&lt;=$C$16*12,'Mortgage Calculators (By Month)'!$C174,"-")</f>
        <v>0</v>
      </c>
      <c r="N156" s="132">
        <f>IF($F156&lt;=$C$16*12,'Mortgage Calculators (By Month)'!$D174,"-")</f>
        <v>0</v>
      </c>
      <c r="O156" s="132">
        <f>IF($F156&lt;=$C$16*12,'Mortgage Calculators (By Month)'!$E174,"-")</f>
        <v>8.3333333333333339</v>
      </c>
      <c r="P156" s="132">
        <f t="shared" si="82"/>
        <v>0</v>
      </c>
      <c r="Q156" s="132">
        <f t="shared" si="62"/>
        <v>3192.0876811525609</v>
      </c>
      <c r="R156" s="132">
        <f t="shared" si="63"/>
        <v>12230.679117204048</v>
      </c>
      <c r="S156" s="132">
        <f t="shared" si="64"/>
        <v>0</v>
      </c>
      <c r="T156" s="132">
        <f t="shared" si="56"/>
        <v>12230.679117204048</v>
      </c>
      <c r="U156" s="132">
        <f>IF($F156&lt;=$C$16*12,SUM(T$5:T156),"-")</f>
        <v>1342672.4210666029</v>
      </c>
      <c r="V156" s="132">
        <f>IF($F156&lt;=$C$16*12,G156-$C$10-'RE Calculations'!$C343-'Mortgage Calculators (By Month)'!$F174,"-")</f>
        <v>1367108.2327873583</v>
      </c>
      <c r="W156" s="29">
        <f t="shared" si="65"/>
        <v>0.85389455192658104</v>
      </c>
      <c r="X156" s="31">
        <f t="shared" si="66"/>
        <v>6.7412727783677448E-2</v>
      </c>
      <c r="Y156" s="132">
        <f t="shared" si="67"/>
        <v>2709780.6538539613</v>
      </c>
      <c r="Z156" s="29">
        <f t="shared" si="68"/>
        <v>1.6925265181998563</v>
      </c>
      <c r="AA156" s="31">
        <f t="shared" si="69"/>
        <v>0.13362051459472551</v>
      </c>
      <c r="AD156" s="12">
        <f t="shared" si="70"/>
        <v>152</v>
      </c>
      <c r="AE156" s="132">
        <f t="shared" si="71"/>
        <v>3033301.2579462845</v>
      </c>
      <c r="AF156" s="132">
        <f>IF($AD156&lt;=$C$25*12,$AE156-$C$7+SUM('Mortgage Calculators (By Month)'!$K$23:$K174),"-")</f>
        <v>3033301.2579462845</v>
      </c>
      <c r="AG156" s="132">
        <f t="shared" si="72"/>
        <v>15414.433465023276</v>
      </c>
      <c r="AH156" s="132">
        <f>IF($AD156&lt;=$C$25*12,SUM(Inputs!$C$61:$C$78)*'Forecast (By Month)'!AG156,"-")</f>
        <v>1695.5876811525604</v>
      </c>
      <c r="AI156" s="132">
        <f>IF($AD156&lt;=$C$25*12,(SUMIF(Inputs!$C$61:$C$78,0,Inputs!$F$61:$F$78)/12)*(1+$C$34)^ROUNDDOWN((AD156-1)/12,0),"-")</f>
        <v>1488.1666666666667</v>
      </c>
      <c r="AJ156" s="132">
        <f t="shared" si="73"/>
        <v>3183.7543478192274</v>
      </c>
      <c r="AK156" s="132">
        <f>IF($AD156&lt;=$C$25*12,'Mortgage Calculators (By Month)'!$J174,"-")</f>
        <v>0</v>
      </c>
      <c r="AL156" s="132">
        <f>IF($AD156&lt;=$C$25*12,'Mortgage Calculators (By Month)'!$K174,"-")</f>
        <v>0</v>
      </c>
      <c r="AM156" s="132">
        <f>IF($AD156&lt;=$C$25*12,'Mortgage Calculators (By Month)'!$L174,"-")</f>
        <v>10</v>
      </c>
      <c r="AN156" s="132">
        <f t="shared" si="83"/>
        <v>0</v>
      </c>
      <c r="AO156" s="132">
        <f t="shared" si="74"/>
        <v>3193.7543478192274</v>
      </c>
      <c r="AP156" s="132">
        <f t="shared" si="75"/>
        <v>12230.679117204048</v>
      </c>
      <c r="AQ156" s="132">
        <f t="shared" si="76"/>
        <v>0</v>
      </c>
      <c r="AR156" s="132">
        <f t="shared" si="57"/>
        <v>12230.679117204048</v>
      </c>
      <c r="AS156" s="132">
        <f>IF($AD156&lt;=$C$25*12,SUM(AR$5:AR156),"-")</f>
        <v>1342662.4210666029</v>
      </c>
      <c r="AT156" s="132">
        <f>IF($AD156&lt;=$C$25*12,AE156-$C$10-'RE Calculations'!$C343-'Mortgage Calculators (By Month)'!$M174,"-")</f>
        <v>1367108.2327873583</v>
      </c>
      <c r="AU156" s="29">
        <f t="shared" si="77"/>
        <v>0.85389455192658104</v>
      </c>
      <c r="AV156" s="31">
        <f t="shared" si="78"/>
        <v>6.7412727783677448E-2</v>
      </c>
      <c r="AW156" s="132">
        <f t="shared" si="79"/>
        <v>2709770.6538539613</v>
      </c>
      <c r="AX156" s="29">
        <f t="shared" si="80"/>
        <v>1.6925202722090016</v>
      </c>
      <c r="AY156" s="31">
        <f t="shared" si="81"/>
        <v>0.13362002149018434</v>
      </c>
    </row>
    <row r="157" spans="6:51" x14ac:dyDescent="0.35">
      <c r="F157" s="12">
        <f t="shared" si="58"/>
        <v>153</v>
      </c>
      <c r="G157" s="132">
        <f t="shared" si="59"/>
        <v>3045659.302744254</v>
      </c>
      <c r="H157" s="132">
        <f>IF($F157&lt;=$C$16*12,$G157-$C$7+SUM('Mortgage Calculators (By Month)'!$D$23:$D175),"-")</f>
        <v>3045659.302744254</v>
      </c>
      <c r="I157" s="132">
        <f t="shared" si="60"/>
        <v>15414.433465023276</v>
      </c>
      <c r="J157" s="132">
        <f>IF($F157&lt;=$C$16*12,SUM(Inputs!$C$61:$C$78)*'Forecast (By Month)'!I157,"-")</f>
        <v>1695.5876811525604</v>
      </c>
      <c r="K157" s="132">
        <f>IF($F157&lt;=$C$16*12,(SUMIF(Inputs!$C$61:$C$78,0,Inputs!$F$61:$F$78)/12)*(1+$C$34)^ROUNDDOWN((F157-1)/12,0),"-")</f>
        <v>1488.1666666666667</v>
      </c>
      <c r="L157" s="132">
        <f t="shared" si="61"/>
        <v>3183.7543478192274</v>
      </c>
      <c r="M157" s="132">
        <f>IF($F157&lt;=$C$16*12,'Mortgage Calculators (By Month)'!$C175,"-")</f>
        <v>0</v>
      </c>
      <c r="N157" s="132">
        <f>IF($F157&lt;=$C$16*12,'Mortgage Calculators (By Month)'!$D175,"-")</f>
        <v>0</v>
      </c>
      <c r="O157" s="132">
        <f>IF($F157&lt;=$C$16*12,'Mortgage Calculators (By Month)'!$E175,"-")</f>
        <v>8.3333333333333339</v>
      </c>
      <c r="P157" s="132">
        <f t="shared" si="82"/>
        <v>0</v>
      </c>
      <c r="Q157" s="132">
        <f t="shared" si="62"/>
        <v>3192.0876811525609</v>
      </c>
      <c r="R157" s="132">
        <f t="shared" si="63"/>
        <v>12230.679117204048</v>
      </c>
      <c r="S157" s="132">
        <f t="shared" si="64"/>
        <v>0</v>
      </c>
      <c r="T157" s="132">
        <f t="shared" si="56"/>
        <v>12230.679117204048</v>
      </c>
      <c r="U157" s="132">
        <f>IF($F157&lt;=$C$16*12,SUM(T$5:T157),"-")</f>
        <v>1354903.1001838071</v>
      </c>
      <c r="V157" s="132">
        <f>IF($F157&lt;=$C$16*12,G157-$C$10-'RE Calculations'!$C344-'Mortgage Calculators (By Month)'!$F175,"-")</f>
        <v>1379219.1166893686</v>
      </c>
      <c r="W157" s="29">
        <f t="shared" si="65"/>
        <v>0.86145899893591338</v>
      </c>
      <c r="X157" s="31">
        <f t="shared" si="66"/>
        <v>6.7565411681248105E-2</v>
      </c>
      <c r="Y157" s="132">
        <f t="shared" si="67"/>
        <v>2734122.2168731755</v>
      </c>
      <c r="Z157" s="29">
        <f t="shared" si="68"/>
        <v>1.7077302362003735</v>
      </c>
      <c r="AA157" s="31">
        <f t="shared" si="69"/>
        <v>0.13393962636865675</v>
      </c>
      <c r="AD157" s="12">
        <f t="shared" si="70"/>
        <v>153</v>
      </c>
      <c r="AE157" s="132">
        <f t="shared" si="71"/>
        <v>3045659.302744254</v>
      </c>
      <c r="AF157" s="132">
        <f>IF($AD157&lt;=$C$25*12,$AE157-$C$7+SUM('Mortgage Calculators (By Month)'!$K$23:$K175),"-")</f>
        <v>3045659.302744254</v>
      </c>
      <c r="AG157" s="132">
        <f t="shared" si="72"/>
        <v>15414.433465023276</v>
      </c>
      <c r="AH157" s="132">
        <f>IF($AD157&lt;=$C$25*12,SUM(Inputs!$C$61:$C$78)*'Forecast (By Month)'!AG157,"-")</f>
        <v>1695.5876811525604</v>
      </c>
      <c r="AI157" s="132">
        <f>IF($AD157&lt;=$C$25*12,(SUMIF(Inputs!$C$61:$C$78,0,Inputs!$F$61:$F$78)/12)*(1+$C$34)^ROUNDDOWN((AD157-1)/12,0),"-")</f>
        <v>1488.1666666666667</v>
      </c>
      <c r="AJ157" s="132">
        <f t="shared" si="73"/>
        <v>3183.7543478192274</v>
      </c>
      <c r="AK157" s="132">
        <f>IF($AD157&lt;=$C$25*12,'Mortgage Calculators (By Month)'!$J175,"-")</f>
        <v>0</v>
      </c>
      <c r="AL157" s="132">
        <f>IF($AD157&lt;=$C$25*12,'Mortgage Calculators (By Month)'!$K175,"-")</f>
        <v>0</v>
      </c>
      <c r="AM157" s="132">
        <f>IF($AD157&lt;=$C$25*12,'Mortgage Calculators (By Month)'!$L175,"-")</f>
        <v>10</v>
      </c>
      <c r="AN157" s="132">
        <f t="shared" si="83"/>
        <v>0</v>
      </c>
      <c r="AO157" s="132">
        <f t="shared" si="74"/>
        <v>3193.7543478192274</v>
      </c>
      <c r="AP157" s="132">
        <f t="shared" si="75"/>
        <v>12230.679117204048</v>
      </c>
      <c r="AQ157" s="132">
        <f t="shared" si="76"/>
        <v>0</v>
      </c>
      <c r="AR157" s="132">
        <f t="shared" si="57"/>
        <v>12230.679117204048</v>
      </c>
      <c r="AS157" s="132">
        <f>IF($AD157&lt;=$C$25*12,SUM(AR$5:AR157),"-")</f>
        <v>1354893.1001838071</v>
      </c>
      <c r="AT157" s="132">
        <f>IF($AD157&lt;=$C$25*12,AE157-$C$10-'RE Calculations'!$C344-'Mortgage Calculators (By Month)'!$M175,"-")</f>
        <v>1379219.1166893686</v>
      </c>
      <c r="AU157" s="29">
        <f t="shared" si="77"/>
        <v>0.86145899893591338</v>
      </c>
      <c r="AV157" s="31">
        <f t="shared" si="78"/>
        <v>6.7565411681248105E-2</v>
      </c>
      <c r="AW157" s="132">
        <f t="shared" si="79"/>
        <v>2734112.2168731755</v>
      </c>
      <c r="AX157" s="29">
        <f t="shared" si="80"/>
        <v>1.7077239902095189</v>
      </c>
      <c r="AY157" s="31">
        <f t="shared" si="81"/>
        <v>0.1339391364870211</v>
      </c>
    </row>
    <row r="158" spans="6:51" x14ac:dyDescent="0.35">
      <c r="F158" s="12">
        <f t="shared" si="58"/>
        <v>154</v>
      </c>
      <c r="G158" s="132">
        <f t="shared" si="59"/>
        <v>3058067.6957464544</v>
      </c>
      <c r="H158" s="132">
        <f>IF($F158&lt;=$C$16*12,$G158-$C$7+SUM('Mortgage Calculators (By Month)'!$D$23:$D176),"-")</f>
        <v>3058067.6957464544</v>
      </c>
      <c r="I158" s="132">
        <f t="shared" si="60"/>
        <v>15414.433465023276</v>
      </c>
      <c r="J158" s="132">
        <f>IF($F158&lt;=$C$16*12,SUM(Inputs!$C$61:$C$78)*'Forecast (By Month)'!I158,"-")</f>
        <v>1695.5876811525604</v>
      </c>
      <c r="K158" s="132">
        <f>IF($F158&lt;=$C$16*12,(SUMIF(Inputs!$C$61:$C$78,0,Inputs!$F$61:$F$78)/12)*(1+$C$34)^ROUNDDOWN((F158-1)/12,0),"-")</f>
        <v>1488.1666666666667</v>
      </c>
      <c r="L158" s="132">
        <f t="shared" si="61"/>
        <v>3183.7543478192274</v>
      </c>
      <c r="M158" s="132">
        <f>IF($F158&lt;=$C$16*12,'Mortgage Calculators (By Month)'!$C176,"-")</f>
        <v>0</v>
      </c>
      <c r="N158" s="132">
        <f>IF($F158&lt;=$C$16*12,'Mortgage Calculators (By Month)'!$D176,"-")</f>
        <v>0</v>
      </c>
      <c r="O158" s="132">
        <f>IF($F158&lt;=$C$16*12,'Mortgage Calculators (By Month)'!$E176,"-")</f>
        <v>8.3333333333333339</v>
      </c>
      <c r="P158" s="132">
        <f t="shared" si="82"/>
        <v>0</v>
      </c>
      <c r="Q158" s="132">
        <f t="shared" si="62"/>
        <v>3192.0876811525609</v>
      </c>
      <c r="R158" s="132">
        <f t="shared" si="63"/>
        <v>12230.679117204048</v>
      </c>
      <c r="S158" s="132">
        <f t="shared" si="64"/>
        <v>0</v>
      </c>
      <c r="T158" s="132">
        <f t="shared" si="56"/>
        <v>12230.679117204048</v>
      </c>
      <c r="U158" s="132">
        <f>IF($F158&lt;=$C$16*12,SUM(T$5:T158),"-")</f>
        <v>1367133.7793010112</v>
      </c>
      <c r="V158" s="132">
        <f>IF($F158&lt;=$C$16*12,G158-$C$10-'RE Calculations'!$C345-'Mortgage Calculators (By Month)'!$F176,"-")</f>
        <v>1391379.3418315249</v>
      </c>
      <c r="W158" s="29">
        <f t="shared" si="65"/>
        <v>0.86905426443871647</v>
      </c>
      <c r="X158" s="31">
        <f t="shared" si="66"/>
        <v>6.7718514112107775E-2</v>
      </c>
      <c r="Y158" s="132">
        <f t="shared" si="67"/>
        <v>2758513.1211325359</v>
      </c>
      <c r="Z158" s="29">
        <f t="shared" si="68"/>
        <v>1.7229647726943618</v>
      </c>
      <c r="AA158" s="31">
        <f t="shared" si="69"/>
        <v>0.13425699527488533</v>
      </c>
      <c r="AD158" s="12">
        <f t="shared" si="70"/>
        <v>154</v>
      </c>
      <c r="AE158" s="132">
        <f t="shared" si="71"/>
        <v>3058067.6957464544</v>
      </c>
      <c r="AF158" s="132">
        <f>IF($AD158&lt;=$C$25*12,$AE158-$C$7+SUM('Mortgage Calculators (By Month)'!$K$23:$K176),"-")</f>
        <v>3058067.6957464544</v>
      </c>
      <c r="AG158" s="132">
        <f t="shared" si="72"/>
        <v>15414.433465023276</v>
      </c>
      <c r="AH158" s="132">
        <f>IF($AD158&lt;=$C$25*12,SUM(Inputs!$C$61:$C$78)*'Forecast (By Month)'!AG158,"-")</f>
        <v>1695.5876811525604</v>
      </c>
      <c r="AI158" s="132">
        <f>IF($AD158&lt;=$C$25*12,(SUMIF(Inputs!$C$61:$C$78,0,Inputs!$F$61:$F$78)/12)*(1+$C$34)^ROUNDDOWN((AD158-1)/12,0),"-")</f>
        <v>1488.1666666666667</v>
      </c>
      <c r="AJ158" s="132">
        <f t="shared" si="73"/>
        <v>3183.7543478192274</v>
      </c>
      <c r="AK158" s="132">
        <f>IF($AD158&lt;=$C$25*12,'Mortgage Calculators (By Month)'!$J176,"-")</f>
        <v>0</v>
      </c>
      <c r="AL158" s="132">
        <f>IF($AD158&lt;=$C$25*12,'Mortgage Calculators (By Month)'!$K176,"-")</f>
        <v>0</v>
      </c>
      <c r="AM158" s="132">
        <f>IF($AD158&lt;=$C$25*12,'Mortgage Calculators (By Month)'!$L176,"-")</f>
        <v>10</v>
      </c>
      <c r="AN158" s="132">
        <f t="shared" si="83"/>
        <v>0</v>
      </c>
      <c r="AO158" s="132">
        <f t="shared" si="74"/>
        <v>3193.7543478192274</v>
      </c>
      <c r="AP158" s="132">
        <f t="shared" si="75"/>
        <v>12230.679117204048</v>
      </c>
      <c r="AQ158" s="132">
        <f t="shared" si="76"/>
        <v>0</v>
      </c>
      <c r="AR158" s="132">
        <f t="shared" si="57"/>
        <v>12230.679117204048</v>
      </c>
      <c r="AS158" s="132">
        <f>IF($AD158&lt;=$C$25*12,SUM(AR$5:AR158),"-")</f>
        <v>1367123.7793010112</v>
      </c>
      <c r="AT158" s="132">
        <f>IF($AD158&lt;=$C$25*12,AE158-$C$10-'RE Calculations'!$C345-'Mortgage Calculators (By Month)'!$M176,"-")</f>
        <v>1391379.3418315249</v>
      </c>
      <c r="AU158" s="29">
        <f t="shared" si="77"/>
        <v>0.86905426443871647</v>
      </c>
      <c r="AV158" s="31">
        <f t="shared" si="78"/>
        <v>6.7718514112107775E-2</v>
      </c>
      <c r="AW158" s="132">
        <f t="shared" si="79"/>
        <v>2758503.1211325359</v>
      </c>
      <c r="AX158" s="29">
        <f t="shared" si="80"/>
        <v>1.722958526703507</v>
      </c>
      <c r="AY158" s="31">
        <f t="shared" si="81"/>
        <v>0.13425650857429924</v>
      </c>
    </row>
    <row r="159" spans="6:51" x14ac:dyDescent="0.35">
      <c r="F159" s="12">
        <f t="shared" si="58"/>
        <v>155</v>
      </c>
      <c r="G159" s="132">
        <f t="shared" si="59"/>
        <v>3070526.6420777016</v>
      </c>
      <c r="H159" s="132">
        <f>IF($F159&lt;=$C$16*12,$G159-$C$7+SUM('Mortgage Calculators (By Month)'!$D$23:$D177),"-")</f>
        <v>3070526.6420777016</v>
      </c>
      <c r="I159" s="132">
        <f t="shared" si="60"/>
        <v>15414.433465023276</v>
      </c>
      <c r="J159" s="132">
        <f>IF($F159&lt;=$C$16*12,SUM(Inputs!$C$61:$C$78)*'Forecast (By Month)'!I159,"-")</f>
        <v>1695.5876811525604</v>
      </c>
      <c r="K159" s="132">
        <f>IF($F159&lt;=$C$16*12,(SUMIF(Inputs!$C$61:$C$78,0,Inputs!$F$61:$F$78)/12)*(1+$C$34)^ROUNDDOWN((F159-1)/12,0),"-")</f>
        <v>1488.1666666666667</v>
      </c>
      <c r="L159" s="132">
        <f t="shared" si="61"/>
        <v>3183.7543478192274</v>
      </c>
      <c r="M159" s="132">
        <f>IF($F159&lt;=$C$16*12,'Mortgage Calculators (By Month)'!$C177,"-")</f>
        <v>0</v>
      </c>
      <c r="N159" s="132">
        <f>IF($F159&lt;=$C$16*12,'Mortgage Calculators (By Month)'!$D177,"-")</f>
        <v>0</v>
      </c>
      <c r="O159" s="132">
        <f>IF($F159&lt;=$C$16*12,'Mortgage Calculators (By Month)'!$E177,"-")</f>
        <v>8.3333333333333339</v>
      </c>
      <c r="P159" s="132">
        <f t="shared" si="82"/>
        <v>0</v>
      </c>
      <c r="Q159" s="132">
        <f t="shared" si="62"/>
        <v>3192.0876811525609</v>
      </c>
      <c r="R159" s="132">
        <f t="shared" si="63"/>
        <v>12230.679117204048</v>
      </c>
      <c r="S159" s="132">
        <f t="shared" si="64"/>
        <v>0</v>
      </c>
      <c r="T159" s="132">
        <f t="shared" si="56"/>
        <v>12230.679117204048</v>
      </c>
      <c r="U159" s="132">
        <f>IF($F159&lt;=$C$16*12,SUM(T$5:T159),"-")</f>
        <v>1379364.4584182154</v>
      </c>
      <c r="V159" s="132">
        <f>IF($F159&lt;=$C$16*12,G159-$C$10-'RE Calculations'!$C346-'Mortgage Calculators (By Month)'!$F177,"-")</f>
        <v>1403589.1092361473</v>
      </c>
      <c r="W159" s="29">
        <f t="shared" si="65"/>
        <v>0.87668047399334759</v>
      </c>
      <c r="X159" s="31">
        <f t="shared" si="66"/>
        <v>6.7872036696259172E-2</v>
      </c>
      <c r="Y159" s="132">
        <f t="shared" si="67"/>
        <v>2782953.5676543629</v>
      </c>
      <c r="Z159" s="29">
        <f t="shared" si="68"/>
        <v>1.7382302532401783</v>
      </c>
      <c r="AA159" s="31">
        <f t="shared" si="69"/>
        <v>0.13457266476698154</v>
      </c>
      <c r="AD159" s="12">
        <f t="shared" si="70"/>
        <v>155</v>
      </c>
      <c r="AE159" s="132">
        <f t="shared" si="71"/>
        <v>3070526.6420777016</v>
      </c>
      <c r="AF159" s="132">
        <f>IF($AD159&lt;=$C$25*12,$AE159-$C$7+SUM('Mortgage Calculators (By Month)'!$K$23:$K177),"-")</f>
        <v>3070526.6420777016</v>
      </c>
      <c r="AG159" s="132">
        <f t="shared" si="72"/>
        <v>15414.433465023276</v>
      </c>
      <c r="AH159" s="132">
        <f>IF($AD159&lt;=$C$25*12,SUM(Inputs!$C$61:$C$78)*'Forecast (By Month)'!AG159,"-")</f>
        <v>1695.5876811525604</v>
      </c>
      <c r="AI159" s="132">
        <f>IF($AD159&lt;=$C$25*12,(SUMIF(Inputs!$C$61:$C$78,0,Inputs!$F$61:$F$78)/12)*(1+$C$34)^ROUNDDOWN((AD159-1)/12,0),"-")</f>
        <v>1488.1666666666667</v>
      </c>
      <c r="AJ159" s="132">
        <f t="shared" si="73"/>
        <v>3183.7543478192274</v>
      </c>
      <c r="AK159" s="132">
        <f>IF($AD159&lt;=$C$25*12,'Mortgage Calculators (By Month)'!$J177,"-")</f>
        <v>0</v>
      </c>
      <c r="AL159" s="132">
        <f>IF($AD159&lt;=$C$25*12,'Mortgage Calculators (By Month)'!$K177,"-")</f>
        <v>0</v>
      </c>
      <c r="AM159" s="132">
        <f>IF($AD159&lt;=$C$25*12,'Mortgage Calculators (By Month)'!$L177,"-")</f>
        <v>10</v>
      </c>
      <c r="AN159" s="132">
        <f t="shared" si="83"/>
        <v>0</v>
      </c>
      <c r="AO159" s="132">
        <f t="shared" si="74"/>
        <v>3193.7543478192274</v>
      </c>
      <c r="AP159" s="132">
        <f t="shared" si="75"/>
        <v>12230.679117204048</v>
      </c>
      <c r="AQ159" s="132">
        <f t="shared" si="76"/>
        <v>0</v>
      </c>
      <c r="AR159" s="132">
        <f t="shared" si="57"/>
        <v>12230.679117204048</v>
      </c>
      <c r="AS159" s="132">
        <f>IF($AD159&lt;=$C$25*12,SUM(AR$5:AR159),"-")</f>
        <v>1379354.4584182154</v>
      </c>
      <c r="AT159" s="132">
        <f>IF($AD159&lt;=$C$25*12,AE159-$C$10-'RE Calculations'!$C346-'Mortgage Calculators (By Month)'!$M177,"-")</f>
        <v>1403589.1092361473</v>
      </c>
      <c r="AU159" s="29">
        <f t="shared" si="77"/>
        <v>0.87668047399334759</v>
      </c>
      <c r="AV159" s="31">
        <f t="shared" si="78"/>
        <v>6.7872036696259172E-2</v>
      </c>
      <c r="AW159" s="132">
        <f t="shared" si="79"/>
        <v>2782943.5676543629</v>
      </c>
      <c r="AX159" s="29">
        <f t="shared" si="80"/>
        <v>1.7382240072493236</v>
      </c>
      <c r="AY159" s="31">
        <f t="shared" si="81"/>
        <v>0.13457218120639924</v>
      </c>
    </row>
    <row r="160" spans="6:51" x14ac:dyDescent="0.35">
      <c r="F160" s="12">
        <f t="shared" si="58"/>
        <v>156</v>
      </c>
      <c r="G160" s="132">
        <f t="shared" si="59"/>
        <v>3083036.3476985162</v>
      </c>
      <c r="H160" s="132">
        <f>IF($F160&lt;=$C$16*12,$G160-$C$7+SUM('Mortgage Calculators (By Month)'!$D$23:$D178),"-")</f>
        <v>3083036.3476985162</v>
      </c>
      <c r="I160" s="132">
        <f t="shared" si="60"/>
        <v>15414.433465023276</v>
      </c>
      <c r="J160" s="132">
        <f>IF($F160&lt;=$C$16*12,SUM(Inputs!$C$61:$C$78)*'Forecast (By Month)'!I160,"-")</f>
        <v>1695.5876811525604</v>
      </c>
      <c r="K160" s="132">
        <f>IF($F160&lt;=$C$16*12,(SUMIF(Inputs!$C$61:$C$78,0,Inputs!$F$61:$F$78)/12)*(1+$C$34)^ROUNDDOWN((F160-1)/12,0),"-")</f>
        <v>1488.1666666666667</v>
      </c>
      <c r="L160" s="132">
        <f t="shared" si="61"/>
        <v>3183.7543478192274</v>
      </c>
      <c r="M160" s="132">
        <f>IF($F160&lt;=$C$16*12,'Mortgage Calculators (By Month)'!$C178,"-")</f>
        <v>0</v>
      </c>
      <c r="N160" s="132">
        <f>IF($F160&lt;=$C$16*12,'Mortgage Calculators (By Month)'!$D178,"-")</f>
        <v>0</v>
      </c>
      <c r="O160" s="132">
        <f>IF($F160&lt;=$C$16*12,'Mortgage Calculators (By Month)'!$E178,"-")</f>
        <v>8.3333333333333339</v>
      </c>
      <c r="P160" s="132">
        <f t="shared" si="82"/>
        <v>0</v>
      </c>
      <c r="Q160" s="132">
        <f t="shared" si="62"/>
        <v>3192.0876811525609</v>
      </c>
      <c r="R160" s="132">
        <f t="shared" si="63"/>
        <v>12230.679117204048</v>
      </c>
      <c r="S160" s="132">
        <f t="shared" si="64"/>
        <v>0</v>
      </c>
      <c r="T160" s="132">
        <f t="shared" si="56"/>
        <v>12230.679117204048</v>
      </c>
      <c r="U160" s="132">
        <f>IF($F160&lt;=$C$16*12,SUM(T$5:T160),"-")</f>
        <v>1391595.1375354195</v>
      </c>
      <c r="V160" s="132">
        <f>IF($F160&lt;=$C$16*12,G160-$C$10-'RE Calculations'!$C347-'Mortgage Calculators (By Month)'!$F178,"-")</f>
        <v>1415848.6207445455</v>
      </c>
      <c r="W160" s="29">
        <f t="shared" si="65"/>
        <v>0.88433775366970413</v>
      </c>
      <c r="X160" s="31">
        <f t="shared" si="66"/>
        <v>6.8025981051515708E-2</v>
      </c>
      <c r="Y160" s="132">
        <f t="shared" si="67"/>
        <v>2807443.7582799653</v>
      </c>
      <c r="Z160" s="29">
        <f t="shared" si="68"/>
        <v>1.7535268039077201</v>
      </c>
      <c r="AA160" s="31">
        <f t="shared" si="69"/>
        <v>0.13488667722367079</v>
      </c>
      <c r="AD160" s="12">
        <f t="shared" si="70"/>
        <v>156</v>
      </c>
      <c r="AE160" s="132">
        <f t="shared" si="71"/>
        <v>3083036.3476985162</v>
      </c>
      <c r="AF160" s="132">
        <f>IF($AD160&lt;=$C$25*12,$AE160-$C$7+SUM('Mortgage Calculators (By Month)'!$K$23:$K178),"-")</f>
        <v>3083036.3476985162</v>
      </c>
      <c r="AG160" s="132">
        <f t="shared" si="72"/>
        <v>15414.433465023276</v>
      </c>
      <c r="AH160" s="132">
        <f>IF($AD160&lt;=$C$25*12,SUM(Inputs!$C$61:$C$78)*'Forecast (By Month)'!AG160,"-")</f>
        <v>1695.5876811525604</v>
      </c>
      <c r="AI160" s="132">
        <f>IF($AD160&lt;=$C$25*12,(SUMIF(Inputs!$C$61:$C$78,0,Inputs!$F$61:$F$78)/12)*(1+$C$34)^ROUNDDOWN((AD160-1)/12,0),"-")</f>
        <v>1488.1666666666667</v>
      </c>
      <c r="AJ160" s="132">
        <f t="shared" si="73"/>
        <v>3183.7543478192274</v>
      </c>
      <c r="AK160" s="132">
        <f>IF($AD160&lt;=$C$25*12,'Mortgage Calculators (By Month)'!$J178,"-")</f>
        <v>0</v>
      </c>
      <c r="AL160" s="132">
        <f>IF($AD160&lt;=$C$25*12,'Mortgage Calculators (By Month)'!$K178,"-")</f>
        <v>0</v>
      </c>
      <c r="AM160" s="132">
        <f>IF($AD160&lt;=$C$25*12,'Mortgage Calculators (By Month)'!$L178,"-")</f>
        <v>10</v>
      </c>
      <c r="AN160" s="132">
        <f t="shared" si="83"/>
        <v>0</v>
      </c>
      <c r="AO160" s="132">
        <f t="shared" si="74"/>
        <v>3193.7543478192274</v>
      </c>
      <c r="AP160" s="132">
        <f t="shared" si="75"/>
        <v>12230.679117204048</v>
      </c>
      <c r="AQ160" s="132">
        <f t="shared" si="76"/>
        <v>0</v>
      </c>
      <c r="AR160" s="132">
        <f t="shared" si="57"/>
        <v>12230.679117204048</v>
      </c>
      <c r="AS160" s="132">
        <f>IF($AD160&lt;=$C$25*12,SUM(AR$5:AR160),"-")</f>
        <v>1391585.1375354195</v>
      </c>
      <c r="AT160" s="132">
        <f>IF($AD160&lt;=$C$25*12,AE160-$C$10-'RE Calculations'!$C347-'Mortgage Calculators (By Month)'!$M178,"-")</f>
        <v>1415848.6207445455</v>
      </c>
      <c r="AU160" s="29">
        <f t="shared" si="77"/>
        <v>0.88433775366970413</v>
      </c>
      <c r="AV160" s="31">
        <f t="shared" si="78"/>
        <v>6.8025981051515708E-2</v>
      </c>
      <c r="AW160" s="132">
        <f t="shared" si="79"/>
        <v>2807433.7582799653</v>
      </c>
      <c r="AX160" s="29">
        <f t="shared" si="80"/>
        <v>1.7535205579168653</v>
      </c>
      <c r="AY160" s="31">
        <f t="shared" si="81"/>
        <v>0.13488619676283581</v>
      </c>
    </row>
    <row r="161" spans="6:51" x14ac:dyDescent="0.35">
      <c r="F161" s="12">
        <f t="shared" si="58"/>
        <v>157</v>
      </c>
      <c r="G161" s="132">
        <f t="shared" si="59"/>
        <v>3095597.0194085273</v>
      </c>
      <c r="H161" s="132">
        <f>IF($F161&lt;=$C$16*12,$G161-$C$7+SUM('Mortgage Calculators (By Month)'!$D$23:$D179),"-")</f>
        <v>3095597.0194085273</v>
      </c>
      <c r="I161" s="132">
        <f t="shared" si="60"/>
        <v>16185.155138274444</v>
      </c>
      <c r="J161" s="132">
        <f>IF($F161&lt;=$C$16*12,SUM(Inputs!$C$61:$C$78)*'Forecast (By Month)'!I161,"-")</f>
        <v>1780.3670652101889</v>
      </c>
      <c r="K161" s="132">
        <f>IF($F161&lt;=$C$16*12,(SUMIF(Inputs!$C$61:$C$78,0,Inputs!$F$61:$F$78)/12)*(1+$C$34)^ROUNDDOWN((F161-1)/12,0),"-")</f>
        <v>1488.1666666666667</v>
      </c>
      <c r="L161" s="132">
        <f t="shared" si="61"/>
        <v>3268.5337318768557</v>
      </c>
      <c r="M161" s="132">
        <f>IF($F161&lt;=$C$16*12,'Mortgage Calculators (By Month)'!$C179,"-")</f>
        <v>0</v>
      </c>
      <c r="N161" s="132">
        <f>IF($F161&lt;=$C$16*12,'Mortgage Calculators (By Month)'!$D179,"-")</f>
        <v>0</v>
      </c>
      <c r="O161" s="132">
        <f>IF($F161&lt;=$C$16*12,'Mortgage Calculators (By Month)'!$E179,"-")</f>
        <v>8.3333333333333339</v>
      </c>
      <c r="P161" s="132">
        <f t="shared" si="82"/>
        <v>0</v>
      </c>
      <c r="Q161" s="132">
        <f t="shared" si="62"/>
        <v>3276.8670652101891</v>
      </c>
      <c r="R161" s="132">
        <f t="shared" si="63"/>
        <v>12916.621406397588</v>
      </c>
      <c r="S161" s="132">
        <f t="shared" si="64"/>
        <v>0</v>
      </c>
      <c r="T161" s="132">
        <f t="shared" si="56"/>
        <v>12916.621406397588</v>
      </c>
      <c r="U161" s="132">
        <f>IF($F161&lt;=$C$16*12,SUM(T$5:T161),"-")</f>
        <v>1404511.7589418171</v>
      </c>
      <c r="V161" s="132">
        <f>IF($F161&lt;=$C$16*12,G161-$C$10-'RE Calculations'!$C348-'Mortgage Calculators (By Month)'!$F179,"-")</f>
        <v>1428158.0790203563</v>
      </c>
      <c r="W161" s="29">
        <f t="shared" si="65"/>
        <v>0.89202623005130854</v>
      </c>
      <c r="X161" s="31">
        <f t="shared" si="66"/>
        <v>6.8180348793730583E-2</v>
      </c>
      <c r="Y161" s="132">
        <f t="shared" si="67"/>
        <v>2832669.8379621734</v>
      </c>
      <c r="Z161" s="29">
        <f t="shared" si="68"/>
        <v>1.7692829902070193</v>
      </c>
      <c r="AA161" s="31">
        <f t="shared" si="69"/>
        <v>0.13523182090754288</v>
      </c>
      <c r="AD161" s="12">
        <f t="shared" si="70"/>
        <v>157</v>
      </c>
      <c r="AE161" s="132">
        <f t="shared" si="71"/>
        <v>3095597.0194085273</v>
      </c>
      <c r="AF161" s="132">
        <f>IF($AD161&lt;=$C$25*12,$AE161-$C$7+SUM('Mortgage Calculators (By Month)'!$K$23:$K179),"-")</f>
        <v>3095597.0194085273</v>
      </c>
      <c r="AG161" s="132">
        <f t="shared" si="72"/>
        <v>16185.155138274444</v>
      </c>
      <c r="AH161" s="132">
        <f>IF($AD161&lt;=$C$25*12,SUM(Inputs!$C$61:$C$78)*'Forecast (By Month)'!AG161,"-")</f>
        <v>1780.3670652101889</v>
      </c>
      <c r="AI161" s="132">
        <f>IF($AD161&lt;=$C$25*12,(SUMIF(Inputs!$C$61:$C$78,0,Inputs!$F$61:$F$78)/12)*(1+$C$34)^ROUNDDOWN((AD161-1)/12,0),"-")</f>
        <v>1488.1666666666667</v>
      </c>
      <c r="AJ161" s="132">
        <f t="shared" si="73"/>
        <v>3268.5337318768557</v>
      </c>
      <c r="AK161" s="132">
        <f>IF($AD161&lt;=$C$25*12,'Mortgage Calculators (By Month)'!$J179,"-")</f>
        <v>0</v>
      </c>
      <c r="AL161" s="132">
        <f>IF($AD161&lt;=$C$25*12,'Mortgage Calculators (By Month)'!$K179,"-")</f>
        <v>0</v>
      </c>
      <c r="AM161" s="132">
        <f>IF($AD161&lt;=$C$25*12,'Mortgage Calculators (By Month)'!$L179,"-")</f>
        <v>10</v>
      </c>
      <c r="AN161" s="132">
        <f t="shared" si="83"/>
        <v>0</v>
      </c>
      <c r="AO161" s="132">
        <f t="shared" si="74"/>
        <v>3278.5337318768557</v>
      </c>
      <c r="AP161" s="132">
        <f t="shared" si="75"/>
        <v>12916.621406397588</v>
      </c>
      <c r="AQ161" s="132">
        <f t="shared" si="76"/>
        <v>0</v>
      </c>
      <c r="AR161" s="132">
        <f t="shared" si="57"/>
        <v>12916.621406397588</v>
      </c>
      <c r="AS161" s="132">
        <f>IF($AD161&lt;=$C$25*12,SUM(AR$5:AR161),"-")</f>
        <v>1404501.7589418171</v>
      </c>
      <c r="AT161" s="132">
        <f>IF($AD161&lt;=$C$25*12,AE161-$C$10-'RE Calculations'!$C348-'Mortgage Calculators (By Month)'!$M179,"-")</f>
        <v>1428158.0790203563</v>
      </c>
      <c r="AU161" s="29">
        <f t="shared" si="77"/>
        <v>0.89202623005130854</v>
      </c>
      <c r="AV161" s="31">
        <f t="shared" si="78"/>
        <v>6.8180348793730583E-2</v>
      </c>
      <c r="AW161" s="132">
        <f t="shared" si="79"/>
        <v>2832659.8379621734</v>
      </c>
      <c r="AX161" s="29">
        <f t="shared" si="80"/>
        <v>1.7692767442161645</v>
      </c>
      <c r="AY161" s="31">
        <f t="shared" si="81"/>
        <v>0.13523134350696797</v>
      </c>
    </row>
    <row r="162" spans="6:51" x14ac:dyDescent="0.35">
      <c r="F162" s="12">
        <f t="shared" si="58"/>
        <v>158</v>
      </c>
      <c r="G162" s="132">
        <f t="shared" si="59"/>
        <v>3108208.8648498906</v>
      </c>
      <c r="H162" s="132">
        <f>IF($F162&lt;=$C$16*12,$G162-$C$7+SUM('Mortgage Calculators (By Month)'!$D$23:$D180),"-")</f>
        <v>3108208.8648498906</v>
      </c>
      <c r="I162" s="132">
        <f t="shared" si="60"/>
        <v>16185.155138274444</v>
      </c>
      <c r="J162" s="132">
        <f>IF($F162&lt;=$C$16*12,SUM(Inputs!$C$61:$C$78)*'Forecast (By Month)'!I162,"-")</f>
        <v>1780.3670652101889</v>
      </c>
      <c r="K162" s="132">
        <f>IF($F162&lt;=$C$16*12,(SUMIF(Inputs!$C$61:$C$78,0,Inputs!$F$61:$F$78)/12)*(1+$C$34)^ROUNDDOWN((F162-1)/12,0),"-")</f>
        <v>1488.1666666666667</v>
      </c>
      <c r="L162" s="132">
        <f t="shared" si="61"/>
        <v>3268.5337318768557</v>
      </c>
      <c r="M162" s="132">
        <f>IF($F162&lt;=$C$16*12,'Mortgage Calculators (By Month)'!$C180,"-")</f>
        <v>0</v>
      </c>
      <c r="N162" s="132">
        <f>IF($F162&lt;=$C$16*12,'Mortgage Calculators (By Month)'!$D180,"-")</f>
        <v>0</v>
      </c>
      <c r="O162" s="132">
        <f>IF($F162&lt;=$C$16*12,'Mortgage Calculators (By Month)'!$E180,"-")</f>
        <v>8.3333333333333339</v>
      </c>
      <c r="P162" s="132">
        <f t="shared" si="82"/>
        <v>0</v>
      </c>
      <c r="Q162" s="132">
        <f t="shared" si="62"/>
        <v>3276.8670652101891</v>
      </c>
      <c r="R162" s="132">
        <f t="shared" si="63"/>
        <v>12916.621406397588</v>
      </c>
      <c r="S162" s="132">
        <f t="shared" si="64"/>
        <v>0</v>
      </c>
      <c r="T162" s="132">
        <f t="shared" si="56"/>
        <v>12916.621406397588</v>
      </c>
      <c r="U162" s="132">
        <f>IF($F162&lt;=$C$16*12,SUM(T$5:T162),"-")</f>
        <v>1417428.3803482146</v>
      </c>
      <c r="V162" s="132">
        <f>IF($F162&lt;=$C$16*12,G162-$C$10-'RE Calculations'!$C349-'Mortgage Calculators (By Month)'!$F180,"-")</f>
        <v>1440517.6875528924</v>
      </c>
      <c r="W162" s="29">
        <f t="shared" si="65"/>
        <v>0.89974603023739907</v>
      </c>
      <c r="X162" s="31">
        <f t="shared" si="66"/>
        <v>6.8335141537017655E-2</v>
      </c>
      <c r="Y162" s="132">
        <f t="shared" si="67"/>
        <v>2857946.067901107</v>
      </c>
      <c r="Z162" s="29">
        <f t="shared" si="68"/>
        <v>1.7850705003108049</v>
      </c>
      <c r="AA162" s="31">
        <f t="shared" si="69"/>
        <v>0.13557497470714974</v>
      </c>
      <c r="AD162" s="12">
        <f t="shared" si="70"/>
        <v>158</v>
      </c>
      <c r="AE162" s="132">
        <f t="shared" si="71"/>
        <v>3108208.8648498906</v>
      </c>
      <c r="AF162" s="132">
        <f>IF($AD162&lt;=$C$25*12,$AE162-$C$7+SUM('Mortgage Calculators (By Month)'!$K$23:$K180),"-")</f>
        <v>3108208.8648498906</v>
      </c>
      <c r="AG162" s="132">
        <f t="shared" si="72"/>
        <v>16185.155138274444</v>
      </c>
      <c r="AH162" s="132">
        <f>IF($AD162&lt;=$C$25*12,SUM(Inputs!$C$61:$C$78)*'Forecast (By Month)'!AG162,"-")</f>
        <v>1780.3670652101889</v>
      </c>
      <c r="AI162" s="132">
        <f>IF($AD162&lt;=$C$25*12,(SUMIF(Inputs!$C$61:$C$78,0,Inputs!$F$61:$F$78)/12)*(1+$C$34)^ROUNDDOWN((AD162-1)/12,0),"-")</f>
        <v>1488.1666666666667</v>
      </c>
      <c r="AJ162" s="132">
        <f t="shared" si="73"/>
        <v>3268.5337318768557</v>
      </c>
      <c r="AK162" s="132">
        <f>IF($AD162&lt;=$C$25*12,'Mortgage Calculators (By Month)'!$J180,"-")</f>
        <v>0</v>
      </c>
      <c r="AL162" s="132">
        <f>IF($AD162&lt;=$C$25*12,'Mortgage Calculators (By Month)'!$K180,"-")</f>
        <v>0</v>
      </c>
      <c r="AM162" s="132">
        <f>IF($AD162&lt;=$C$25*12,'Mortgage Calculators (By Month)'!$L180,"-")</f>
        <v>10</v>
      </c>
      <c r="AN162" s="132">
        <f t="shared" si="83"/>
        <v>0</v>
      </c>
      <c r="AO162" s="132">
        <f t="shared" si="74"/>
        <v>3278.5337318768557</v>
      </c>
      <c r="AP162" s="132">
        <f t="shared" si="75"/>
        <v>12916.621406397588</v>
      </c>
      <c r="AQ162" s="132">
        <f t="shared" si="76"/>
        <v>0</v>
      </c>
      <c r="AR162" s="132">
        <f t="shared" si="57"/>
        <v>12916.621406397588</v>
      </c>
      <c r="AS162" s="132">
        <f>IF($AD162&lt;=$C$25*12,SUM(AR$5:AR162),"-")</f>
        <v>1417418.3803482146</v>
      </c>
      <c r="AT162" s="132">
        <f>IF($AD162&lt;=$C$25*12,AE162-$C$10-'RE Calculations'!$C349-'Mortgage Calculators (By Month)'!$M180,"-")</f>
        <v>1440517.6875528924</v>
      </c>
      <c r="AU162" s="29">
        <f t="shared" si="77"/>
        <v>0.89974603023739907</v>
      </c>
      <c r="AV162" s="31">
        <f t="shared" si="78"/>
        <v>6.8335141537017655E-2</v>
      </c>
      <c r="AW162" s="132">
        <f t="shared" si="79"/>
        <v>2857936.067901107</v>
      </c>
      <c r="AX162" s="29">
        <f t="shared" si="80"/>
        <v>1.7850642543199502</v>
      </c>
      <c r="AY162" s="31">
        <f t="shared" si="81"/>
        <v>0.13557450032809748</v>
      </c>
    </row>
    <row r="163" spans="6:51" x14ac:dyDescent="0.35">
      <c r="F163" s="12">
        <f t="shared" si="58"/>
        <v>159</v>
      </c>
      <c r="G163" s="132">
        <f t="shared" si="59"/>
        <v>3120872.0925107221</v>
      </c>
      <c r="H163" s="132">
        <f>IF($F163&lt;=$C$16*12,$G163-$C$7+SUM('Mortgage Calculators (By Month)'!$D$23:$D181),"-")</f>
        <v>3120872.0925107221</v>
      </c>
      <c r="I163" s="132">
        <f t="shared" si="60"/>
        <v>16185.155138274444</v>
      </c>
      <c r="J163" s="132">
        <f>IF($F163&lt;=$C$16*12,SUM(Inputs!$C$61:$C$78)*'Forecast (By Month)'!I163,"-")</f>
        <v>1780.3670652101889</v>
      </c>
      <c r="K163" s="132">
        <f>IF($F163&lt;=$C$16*12,(SUMIF(Inputs!$C$61:$C$78,0,Inputs!$F$61:$F$78)/12)*(1+$C$34)^ROUNDDOWN((F163-1)/12,0),"-")</f>
        <v>1488.1666666666667</v>
      </c>
      <c r="L163" s="132">
        <f t="shared" si="61"/>
        <v>3268.5337318768557</v>
      </c>
      <c r="M163" s="132">
        <f>IF($F163&lt;=$C$16*12,'Mortgage Calculators (By Month)'!$C181,"-")</f>
        <v>0</v>
      </c>
      <c r="N163" s="132">
        <f>IF($F163&lt;=$C$16*12,'Mortgage Calculators (By Month)'!$D181,"-")</f>
        <v>0</v>
      </c>
      <c r="O163" s="132">
        <f>IF($F163&lt;=$C$16*12,'Mortgage Calculators (By Month)'!$E181,"-")</f>
        <v>8.3333333333333339</v>
      </c>
      <c r="P163" s="132">
        <f t="shared" si="82"/>
        <v>0</v>
      </c>
      <c r="Q163" s="132">
        <f t="shared" si="62"/>
        <v>3276.8670652101891</v>
      </c>
      <c r="R163" s="132">
        <f t="shared" si="63"/>
        <v>12916.621406397588</v>
      </c>
      <c r="S163" s="132">
        <f t="shared" si="64"/>
        <v>0</v>
      </c>
      <c r="T163" s="132">
        <f t="shared" si="56"/>
        <v>12916.621406397588</v>
      </c>
      <c r="U163" s="132">
        <f>IF($F163&lt;=$C$16*12,SUM(T$5:T163),"-")</f>
        <v>1430345.0017546122</v>
      </c>
      <c r="V163" s="132">
        <f>IF($F163&lt;=$C$16*12,G163-$C$10-'RE Calculations'!$C350-'Mortgage Calculators (By Month)'!$F181,"-")</f>
        <v>1452927.6506605074</v>
      </c>
      <c r="W163" s="29">
        <f t="shared" si="65"/>
        <v>0.90749728184503287</v>
      </c>
      <c r="X163" s="31">
        <f t="shared" si="66"/>
        <v>6.849036089396475E-2</v>
      </c>
      <c r="Y163" s="132">
        <f t="shared" si="67"/>
        <v>2883272.6524151196</v>
      </c>
      <c r="Z163" s="29">
        <f t="shared" si="68"/>
        <v>1.8008894618361337</v>
      </c>
      <c r="AA163" s="31">
        <f t="shared" si="69"/>
        <v>0.13591618579895348</v>
      </c>
      <c r="AD163" s="12">
        <f t="shared" si="70"/>
        <v>159</v>
      </c>
      <c r="AE163" s="132">
        <f t="shared" si="71"/>
        <v>3120872.0925107221</v>
      </c>
      <c r="AF163" s="132">
        <f>IF($AD163&lt;=$C$25*12,$AE163-$C$7+SUM('Mortgage Calculators (By Month)'!$K$23:$K181),"-")</f>
        <v>3120872.0925107221</v>
      </c>
      <c r="AG163" s="132">
        <f t="shared" si="72"/>
        <v>16185.155138274444</v>
      </c>
      <c r="AH163" s="132">
        <f>IF($AD163&lt;=$C$25*12,SUM(Inputs!$C$61:$C$78)*'Forecast (By Month)'!AG163,"-")</f>
        <v>1780.3670652101889</v>
      </c>
      <c r="AI163" s="132">
        <f>IF($AD163&lt;=$C$25*12,(SUMIF(Inputs!$C$61:$C$78,0,Inputs!$F$61:$F$78)/12)*(1+$C$34)^ROUNDDOWN((AD163-1)/12,0),"-")</f>
        <v>1488.1666666666667</v>
      </c>
      <c r="AJ163" s="132">
        <f t="shared" si="73"/>
        <v>3268.5337318768557</v>
      </c>
      <c r="AK163" s="132">
        <f>IF($AD163&lt;=$C$25*12,'Mortgage Calculators (By Month)'!$J181,"-")</f>
        <v>0</v>
      </c>
      <c r="AL163" s="132">
        <f>IF($AD163&lt;=$C$25*12,'Mortgage Calculators (By Month)'!$K181,"-")</f>
        <v>0</v>
      </c>
      <c r="AM163" s="132">
        <f>IF($AD163&lt;=$C$25*12,'Mortgage Calculators (By Month)'!$L181,"-")</f>
        <v>10</v>
      </c>
      <c r="AN163" s="132">
        <f t="shared" si="83"/>
        <v>0</v>
      </c>
      <c r="AO163" s="132">
        <f t="shared" si="74"/>
        <v>3278.5337318768557</v>
      </c>
      <c r="AP163" s="132">
        <f t="shared" si="75"/>
        <v>12916.621406397588</v>
      </c>
      <c r="AQ163" s="132">
        <f t="shared" si="76"/>
        <v>0</v>
      </c>
      <c r="AR163" s="132">
        <f t="shared" si="57"/>
        <v>12916.621406397588</v>
      </c>
      <c r="AS163" s="132">
        <f>IF($AD163&lt;=$C$25*12,SUM(AR$5:AR163),"-")</f>
        <v>1430335.0017546122</v>
      </c>
      <c r="AT163" s="132">
        <f>IF($AD163&lt;=$C$25*12,AE163-$C$10-'RE Calculations'!$C350-'Mortgage Calculators (By Month)'!$M181,"-")</f>
        <v>1452927.6506605074</v>
      </c>
      <c r="AU163" s="29">
        <f t="shared" si="77"/>
        <v>0.90749728184503287</v>
      </c>
      <c r="AV163" s="31">
        <f t="shared" si="78"/>
        <v>6.849036089396475E-2</v>
      </c>
      <c r="AW163" s="132">
        <f t="shared" si="79"/>
        <v>2883262.6524151196</v>
      </c>
      <c r="AX163" s="29">
        <f t="shared" si="80"/>
        <v>1.800883215845279</v>
      </c>
      <c r="AY163" s="31">
        <f t="shared" si="81"/>
        <v>0.13591571440341729</v>
      </c>
    </row>
    <row r="164" spans="6:51" x14ac:dyDescent="0.35">
      <c r="F164" s="12">
        <f t="shared" si="58"/>
        <v>160</v>
      </c>
      <c r="G164" s="132">
        <f t="shared" si="59"/>
        <v>3133586.9117285446</v>
      </c>
      <c r="H164" s="132">
        <f>IF($F164&lt;=$C$16*12,$G164-$C$7+SUM('Mortgage Calculators (By Month)'!$D$23:$D182),"-")</f>
        <v>3133586.9117285446</v>
      </c>
      <c r="I164" s="132">
        <f t="shared" si="60"/>
        <v>16185.155138274444</v>
      </c>
      <c r="J164" s="132">
        <f>IF($F164&lt;=$C$16*12,SUM(Inputs!$C$61:$C$78)*'Forecast (By Month)'!I164,"-")</f>
        <v>1780.3670652101889</v>
      </c>
      <c r="K164" s="132">
        <f>IF($F164&lt;=$C$16*12,(SUMIF(Inputs!$C$61:$C$78,0,Inputs!$F$61:$F$78)/12)*(1+$C$34)^ROUNDDOWN((F164-1)/12,0),"-")</f>
        <v>1488.1666666666667</v>
      </c>
      <c r="L164" s="132">
        <f t="shared" si="61"/>
        <v>3268.5337318768557</v>
      </c>
      <c r="M164" s="132">
        <f>IF($F164&lt;=$C$16*12,'Mortgage Calculators (By Month)'!$C182,"-")</f>
        <v>0</v>
      </c>
      <c r="N164" s="132">
        <f>IF($F164&lt;=$C$16*12,'Mortgage Calculators (By Month)'!$D182,"-")</f>
        <v>0</v>
      </c>
      <c r="O164" s="132">
        <f>IF($F164&lt;=$C$16*12,'Mortgage Calculators (By Month)'!$E182,"-")</f>
        <v>8.3333333333333339</v>
      </c>
      <c r="P164" s="132">
        <f t="shared" si="82"/>
        <v>0</v>
      </c>
      <c r="Q164" s="132">
        <f t="shared" si="62"/>
        <v>3276.8670652101891</v>
      </c>
      <c r="R164" s="132">
        <f t="shared" si="63"/>
        <v>12916.621406397588</v>
      </c>
      <c r="S164" s="132">
        <f t="shared" si="64"/>
        <v>0</v>
      </c>
      <c r="T164" s="132">
        <f t="shared" si="56"/>
        <v>12916.621406397588</v>
      </c>
      <c r="U164" s="132">
        <f>IF($F164&lt;=$C$16*12,SUM(T$5:T164),"-")</f>
        <v>1443261.6231610097</v>
      </c>
      <c r="V164" s="132">
        <f>IF($F164&lt;=$C$16*12,G164-$C$10-'RE Calculations'!$C351-'Mortgage Calculators (By Month)'!$F182,"-")</f>
        <v>1465388.1734939734</v>
      </c>
      <c r="W164" s="29">
        <f t="shared" si="65"/>
        <v>0.91528011301119439</v>
      </c>
      <c r="X164" s="31">
        <f t="shared" si="66"/>
        <v>6.8646008475839571E-2</v>
      </c>
      <c r="Y164" s="132">
        <f t="shared" si="67"/>
        <v>2908649.7966549834</v>
      </c>
      <c r="Z164" s="29">
        <f t="shared" si="68"/>
        <v>1.8167400029199903</v>
      </c>
      <c r="AA164" s="31">
        <f t="shared" si="69"/>
        <v>0.13625550021899926</v>
      </c>
      <c r="AD164" s="12">
        <f t="shared" si="70"/>
        <v>160</v>
      </c>
      <c r="AE164" s="132">
        <f t="shared" si="71"/>
        <v>3133586.9117285446</v>
      </c>
      <c r="AF164" s="132">
        <f>IF($AD164&lt;=$C$25*12,$AE164-$C$7+SUM('Mortgage Calculators (By Month)'!$K$23:$K182),"-")</f>
        <v>3133586.9117285446</v>
      </c>
      <c r="AG164" s="132">
        <f t="shared" si="72"/>
        <v>16185.155138274444</v>
      </c>
      <c r="AH164" s="132">
        <f>IF($AD164&lt;=$C$25*12,SUM(Inputs!$C$61:$C$78)*'Forecast (By Month)'!AG164,"-")</f>
        <v>1780.3670652101889</v>
      </c>
      <c r="AI164" s="132">
        <f>IF($AD164&lt;=$C$25*12,(SUMIF(Inputs!$C$61:$C$78,0,Inputs!$F$61:$F$78)/12)*(1+$C$34)^ROUNDDOWN((AD164-1)/12,0),"-")</f>
        <v>1488.1666666666667</v>
      </c>
      <c r="AJ164" s="132">
        <f t="shared" si="73"/>
        <v>3268.5337318768557</v>
      </c>
      <c r="AK164" s="132">
        <f>IF($AD164&lt;=$C$25*12,'Mortgage Calculators (By Month)'!$J182,"-")</f>
        <v>0</v>
      </c>
      <c r="AL164" s="132">
        <f>IF($AD164&lt;=$C$25*12,'Mortgage Calculators (By Month)'!$K182,"-")</f>
        <v>0</v>
      </c>
      <c r="AM164" s="132">
        <f>IF($AD164&lt;=$C$25*12,'Mortgage Calculators (By Month)'!$L182,"-")</f>
        <v>10</v>
      </c>
      <c r="AN164" s="132">
        <f t="shared" si="83"/>
        <v>0</v>
      </c>
      <c r="AO164" s="132">
        <f t="shared" si="74"/>
        <v>3278.5337318768557</v>
      </c>
      <c r="AP164" s="132">
        <f t="shared" si="75"/>
        <v>12916.621406397588</v>
      </c>
      <c r="AQ164" s="132">
        <f t="shared" si="76"/>
        <v>0</v>
      </c>
      <c r="AR164" s="132">
        <f t="shared" si="57"/>
        <v>12916.621406397588</v>
      </c>
      <c r="AS164" s="132">
        <f>IF($AD164&lt;=$C$25*12,SUM(AR$5:AR164),"-")</f>
        <v>1443251.6231610097</v>
      </c>
      <c r="AT164" s="132">
        <f>IF($AD164&lt;=$C$25*12,AE164-$C$10-'RE Calculations'!$C351-'Mortgage Calculators (By Month)'!$M182,"-")</f>
        <v>1465388.1734939734</v>
      </c>
      <c r="AU164" s="29">
        <f t="shared" si="77"/>
        <v>0.91528011301119439</v>
      </c>
      <c r="AV164" s="31">
        <f t="shared" si="78"/>
        <v>6.8646008475839571E-2</v>
      </c>
      <c r="AW164" s="132">
        <f t="shared" si="79"/>
        <v>2908639.7966549834</v>
      </c>
      <c r="AX164" s="29">
        <f t="shared" si="80"/>
        <v>1.8167337569291357</v>
      </c>
      <c r="AY164" s="31">
        <f t="shared" si="81"/>
        <v>0.13625503176968518</v>
      </c>
    </row>
    <row r="165" spans="6:51" x14ac:dyDescent="0.35">
      <c r="F165" s="12">
        <f t="shared" si="58"/>
        <v>161</v>
      </c>
      <c r="G165" s="132">
        <f t="shared" si="59"/>
        <v>3146353.532693747</v>
      </c>
      <c r="H165" s="132">
        <f>IF($F165&lt;=$C$16*12,$G165-$C$7+SUM('Mortgage Calculators (By Month)'!$D$23:$D183),"-")</f>
        <v>3146353.532693747</v>
      </c>
      <c r="I165" s="132">
        <f t="shared" si="60"/>
        <v>16185.155138274444</v>
      </c>
      <c r="J165" s="132">
        <f>IF($F165&lt;=$C$16*12,SUM(Inputs!$C$61:$C$78)*'Forecast (By Month)'!I165,"-")</f>
        <v>1780.3670652101889</v>
      </c>
      <c r="K165" s="132">
        <f>IF($F165&lt;=$C$16*12,(SUMIF(Inputs!$C$61:$C$78,0,Inputs!$F$61:$F$78)/12)*(1+$C$34)^ROUNDDOWN((F165-1)/12,0),"-")</f>
        <v>1488.1666666666667</v>
      </c>
      <c r="L165" s="132">
        <f t="shared" si="61"/>
        <v>3268.5337318768557</v>
      </c>
      <c r="M165" s="132">
        <f>IF($F165&lt;=$C$16*12,'Mortgage Calculators (By Month)'!$C183,"-")</f>
        <v>0</v>
      </c>
      <c r="N165" s="132">
        <f>IF($F165&lt;=$C$16*12,'Mortgage Calculators (By Month)'!$D183,"-")</f>
        <v>0</v>
      </c>
      <c r="O165" s="132">
        <f>IF($F165&lt;=$C$16*12,'Mortgage Calculators (By Month)'!$E183,"-")</f>
        <v>8.3333333333333339</v>
      </c>
      <c r="P165" s="132">
        <f t="shared" si="82"/>
        <v>0</v>
      </c>
      <c r="Q165" s="132">
        <f t="shared" si="62"/>
        <v>3276.8670652101891</v>
      </c>
      <c r="R165" s="132">
        <f t="shared" si="63"/>
        <v>12916.621406397588</v>
      </c>
      <c r="S165" s="132">
        <f t="shared" si="64"/>
        <v>0</v>
      </c>
      <c r="T165" s="132">
        <f t="shared" si="56"/>
        <v>12916.621406397588</v>
      </c>
      <c r="U165" s="132">
        <f>IF($F165&lt;=$C$16*12,SUM(T$5:T165),"-")</f>
        <v>1456178.2445674073</v>
      </c>
      <c r="V165" s="132">
        <f>IF($F165&lt;=$C$16*12,G165-$C$10-'RE Calculations'!$C352-'Mortgage Calculators (By Month)'!$F183,"-")</f>
        <v>1477899.4620398716</v>
      </c>
      <c r="W165" s="29">
        <f t="shared" si="65"/>
        <v>0.92309465239491373</v>
      </c>
      <c r="X165" s="31">
        <f t="shared" si="66"/>
        <v>6.8802085892788606E-2</v>
      </c>
      <c r="Y165" s="132">
        <f t="shared" si="67"/>
        <v>2934077.7066072789</v>
      </c>
      <c r="Z165" s="29">
        <f t="shared" si="68"/>
        <v>1.8326222522214046</v>
      </c>
      <c r="AA165" s="31">
        <f t="shared" si="69"/>
        <v>0.13659296289848979</v>
      </c>
      <c r="AD165" s="12">
        <f t="shared" si="70"/>
        <v>161</v>
      </c>
      <c r="AE165" s="132">
        <f t="shared" si="71"/>
        <v>3146353.532693747</v>
      </c>
      <c r="AF165" s="132">
        <f>IF($AD165&lt;=$C$25*12,$AE165-$C$7+SUM('Mortgage Calculators (By Month)'!$K$23:$K183),"-")</f>
        <v>3146353.532693747</v>
      </c>
      <c r="AG165" s="132">
        <f t="shared" si="72"/>
        <v>16185.155138274444</v>
      </c>
      <c r="AH165" s="132">
        <f>IF($AD165&lt;=$C$25*12,SUM(Inputs!$C$61:$C$78)*'Forecast (By Month)'!AG165,"-")</f>
        <v>1780.3670652101889</v>
      </c>
      <c r="AI165" s="132">
        <f>IF($AD165&lt;=$C$25*12,(SUMIF(Inputs!$C$61:$C$78,0,Inputs!$F$61:$F$78)/12)*(1+$C$34)^ROUNDDOWN((AD165-1)/12,0),"-")</f>
        <v>1488.1666666666667</v>
      </c>
      <c r="AJ165" s="132">
        <f t="shared" si="73"/>
        <v>3268.5337318768557</v>
      </c>
      <c r="AK165" s="132">
        <f>IF($AD165&lt;=$C$25*12,'Mortgage Calculators (By Month)'!$J183,"-")</f>
        <v>0</v>
      </c>
      <c r="AL165" s="132">
        <f>IF($AD165&lt;=$C$25*12,'Mortgage Calculators (By Month)'!$K183,"-")</f>
        <v>0</v>
      </c>
      <c r="AM165" s="132">
        <f>IF($AD165&lt;=$C$25*12,'Mortgage Calculators (By Month)'!$L183,"-")</f>
        <v>10</v>
      </c>
      <c r="AN165" s="132">
        <f t="shared" si="83"/>
        <v>0</v>
      </c>
      <c r="AO165" s="132">
        <f t="shared" si="74"/>
        <v>3278.5337318768557</v>
      </c>
      <c r="AP165" s="132">
        <f t="shared" si="75"/>
        <v>12916.621406397588</v>
      </c>
      <c r="AQ165" s="132">
        <f t="shared" si="76"/>
        <v>0</v>
      </c>
      <c r="AR165" s="132">
        <f t="shared" si="57"/>
        <v>12916.621406397588</v>
      </c>
      <c r="AS165" s="132">
        <f>IF($AD165&lt;=$C$25*12,SUM(AR$5:AR165),"-")</f>
        <v>1456168.2445674073</v>
      </c>
      <c r="AT165" s="132">
        <f>IF($AD165&lt;=$C$25*12,AE165-$C$10-'RE Calculations'!$C352-'Mortgage Calculators (By Month)'!$M183,"-")</f>
        <v>1477899.4620398716</v>
      </c>
      <c r="AU165" s="29">
        <f t="shared" si="77"/>
        <v>0.92309465239491373</v>
      </c>
      <c r="AV165" s="31">
        <f t="shared" si="78"/>
        <v>6.8802085892788606E-2</v>
      </c>
      <c r="AW165" s="132">
        <f t="shared" si="79"/>
        <v>2934067.7066072789</v>
      </c>
      <c r="AX165" s="29">
        <f t="shared" si="80"/>
        <v>1.8326160062305501</v>
      </c>
      <c r="AY165" s="31">
        <f t="shared" si="81"/>
        <v>0.13659249735879878</v>
      </c>
    </row>
    <row r="166" spans="6:51" x14ac:dyDescent="0.35">
      <c r="F166" s="12">
        <f t="shared" si="58"/>
        <v>162</v>
      </c>
      <c r="G166" s="132">
        <f t="shared" si="59"/>
        <v>3159172.1664530607</v>
      </c>
      <c r="H166" s="132">
        <f>IF($F166&lt;=$C$16*12,$G166-$C$7+SUM('Mortgage Calculators (By Month)'!$D$23:$D184),"-")</f>
        <v>3159172.1664530607</v>
      </c>
      <c r="I166" s="132">
        <f t="shared" si="60"/>
        <v>16185.155138274444</v>
      </c>
      <c r="J166" s="132">
        <f>IF($F166&lt;=$C$16*12,SUM(Inputs!$C$61:$C$78)*'Forecast (By Month)'!I166,"-")</f>
        <v>1780.3670652101889</v>
      </c>
      <c r="K166" s="132">
        <f>IF($F166&lt;=$C$16*12,(SUMIF(Inputs!$C$61:$C$78,0,Inputs!$F$61:$F$78)/12)*(1+$C$34)^ROUNDDOWN((F166-1)/12,0),"-")</f>
        <v>1488.1666666666667</v>
      </c>
      <c r="L166" s="132">
        <f t="shared" si="61"/>
        <v>3268.5337318768557</v>
      </c>
      <c r="M166" s="132">
        <f>IF($F166&lt;=$C$16*12,'Mortgage Calculators (By Month)'!$C184,"-")</f>
        <v>0</v>
      </c>
      <c r="N166" s="132">
        <f>IF($F166&lt;=$C$16*12,'Mortgage Calculators (By Month)'!$D184,"-")</f>
        <v>0</v>
      </c>
      <c r="O166" s="132">
        <f>IF($F166&lt;=$C$16*12,'Mortgage Calculators (By Month)'!$E184,"-")</f>
        <v>8.3333333333333339</v>
      </c>
      <c r="P166" s="132">
        <f t="shared" si="82"/>
        <v>0</v>
      </c>
      <c r="Q166" s="132">
        <f t="shared" si="62"/>
        <v>3276.8670652101891</v>
      </c>
      <c r="R166" s="132">
        <f t="shared" si="63"/>
        <v>12916.621406397588</v>
      </c>
      <c r="S166" s="132">
        <f t="shared" si="64"/>
        <v>0</v>
      </c>
      <c r="T166" s="132">
        <f t="shared" si="56"/>
        <v>12916.621406397588</v>
      </c>
      <c r="U166" s="132">
        <f>IF($F166&lt;=$C$16*12,SUM(T$5:T166),"-")</f>
        <v>1469094.8659738048</v>
      </c>
      <c r="V166" s="132">
        <f>IF($F166&lt;=$C$16*12,G166-$C$10-'RE Calculations'!$C353-'Mortgage Calculators (By Month)'!$F184,"-")</f>
        <v>1490461.7231239991</v>
      </c>
      <c r="W166" s="29">
        <f t="shared" si="65"/>
        <v>0.93094102917939492</v>
      </c>
      <c r="X166" s="31">
        <f t="shared" si="66"/>
        <v>6.8958594754029254E-2</v>
      </c>
      <c r="Y166" s="132">
        <f t="shared" si="67"/>
        <v>2959556.5890978039</v>
      </c>
      <c r="Z166" s="29">
        <f t="shared" si="68"/>
        <v>1.8485363389235809</v>
      </c>
      <c r="AA166" s="31">
        <f t="shared" si="69"/>
        <v>0.13692861769804304</v>
      </c>
      <c r="AD166" s="12">
        <f t="shared" si="70"/>
        <v>162</v>
      </c>
      <c r="AE166" s="132">
        <f t="shared" si="71"/>
        <v>3159172.1664530607</v>
      </c>
      <c r="AF166" s="132">
        <f>IF($AD166&lt;=$C$25*12,$AE166-$C$7+SUM('Mortgage Calculators (By Month)'!$K$23:$K184),"-")</f>
        <v>3159172.1664530607</v>
      </c>
      <c r="AG166" s="132">
        <f t="shared" si="72"/>
        <v>16185.155138274444</v>
      </c>
      <c r="AH166" s="132">
        <f>IF($AD166&lt;=$C$25*12,SUM(Inputs!$C$61:$C$78)*'Forecast (By Month)'!AG166,"-")</f>
        <v>1780.3670652101889</v>
      </c>
      <c r="AI166" s="132">
        <f>IF($AD166&lt;=$C$25*12,(SUMIF(Inputs!$C$61:$C$78,0,Inputs!$F$61:$F$78)/12)*(1+$C$34)^ROUNDDOWN((AD166-1)/12,0),"-")</f>
        <v>1488.1666666666667</v>
      </c>
      <c r="AJ166" s="132">
        <f t="shared" si="73"/>
        <v>3268.5337318768557</v>
      </c>
      <c r="AK166" s="132">
        <f>IF($AD166&lt;=$C$25*12,'Mortgage Calculators (By Month)'!$J184,"-")</f>
        <v>0</v>
      </c>
      <c r="AL166" s="132">
        <f>IF($AD166&lt;=$C$25*12,'Mortgage Calculators (By Month)'!$K184,"-")</f>
        <v>0</v>
      </c>
      <c r="AM166" s="132">
        <f>IF($AD166&lt;=$C$25*12,'Mortgage Calculators (By Month)'!$L184,"-")</f>
        <v>10</v>
      </c>
      <c r="AN166" s="132">
        <f t="shared" si="83"/>
        <v>0</v>
      </c>
      <c r="AO166" s="132">
        <f t="shared" si="74"/>
        <v>3278.5337318768557</v>
      </c>
      <c r="AP166" s="132">
        <f t="shared" si="75"/>
        <v>12916.621406397588</v>
      </c>
      <c r="AQ166" s="132">
        <f t="shared" si="76"/>
        <v>0</v>
      </c>
      <c r="AR166" s="132">
        <f t="shared" si="57"/>
        <v>12916.621406397588</v>
      </c>
      <c r="AS166" s="132">
        <f>IF($AD166&lt;=$C$25*12,SUM(AR$5:AR166),"-")</f>
        <v>1469084.8659738048</v>
      </c>
      <c r="AT166" s="132">
        <f>IF($AD166&lt;=$C$25*12,AE166-$C$10-'RE Calculations'!$C353-'Mortgage Calculators (By Month)'!$M184,"-")</f>
        <v>1490461.7231239991</v>
      </c>
      <c r="AU166" s="29">
        <f t="shared" si="77"/>
        <v>0.93094102917939492</v>
      </c>
      <c r="AV166" s="31">
        <f t="shared" si="78"/>
        <v>6.8958594754029254E-2</v>
      </c>
      <c r="AW166" s="132">
        <f t="shared" si="79"/>
        <v>2959546.5890978039</v>
      </c>
      <c r="AX166" s="29">
        <f t="shared" si="80"/>
        <v>1.8485300929327262</v>
      </c>
      <c r="AY166" s="31">
        <f t="shared" si="81"/>
        <v>0.1369281550320538</v>
      </c>
    </row>
    <row r="167" spans="6:51" x14ac:dyDescent="0.35">
      <c r="F167" s="12">
        <f t="shared" si="58"/>
        <v>163</v>
      </c>
      <c r="G167" s="132">
        <f t="shared" si="59"/>
        <v>3172043.024913047</v>
      </c>
      <c r="H167" s="132">
        <f>IF($F167&lt;=$C$16*12,$G167-$C$7+SUM('Mortgage Calculators (By Month)'!$D$23:$D185),"-")</f>
        <v>3172043.024913047</v>
      </c>
      <c r="I167" s="132">
        <f t="shared" si="60"/>
        <v>16185.155138274444</v>
      </c>
      <c r="J167" s="132">
        <f>IF($F167&lt;=$C$16*12,SUM(Inputs!$C$61:$C$78)*'Forecast (By Month)'!I167,"-")</f>
        <v>1780.3670652101889</v>
      </c>
      <c r="K167" s="132">
        <f>IF($F167&lt;=$C$16*12,(SUMIF(Inputs!$C$61:$C$78,0,Inputs!$F$61:$F$78)/12)*(1+$C$34)^ROUNDDOWN((F167-1)/12,0),"-")</f>
        <v>1488.1666666666667</v>
      </c>
      <c r="L167" s="132">
        <f t="shared" si="61"/>
        <v>3268.5337318768557</v>
      </c>
      <c r="M167" s="132">
        <f>IF($F167&lt;=$C$16*12,'Mortgage Calculators (By Month)'!$C185,"-")</f>
        <v>0</v>
      </c>
      <c r="N167" s="132">
        <f>IF($F167&lt;=$C$16*12,'Mortgage Calculators (By Month)'!$D185,"-")</f>
        <v>0</v>
      </c>
      <c r="O167" s="132">
        <f>IF($F167&lt;=$C$16*12,'Mortgage Calculators (By Month)'!$E185,"-")</f>
        <v>8.3333333333333339</v>
      </c>
      <c r="P167" s="132">
        <f t="shared" si="82"/>
        <v>0</v>
      </c>
      <c r="Q167" s="132">
        <f t="shared" si="62"/>
        <v>3276.8670652101891</v>
      </c>
      <c r="R167" s="132">
        <f t="shared" si="63"/>
        <v>12916.621406397588</v>
      </c>
      <c r="S167" s="132">
        <f t="shared" si="64"/>
        <v>0</v>
      </c>
      <c r="T167" s="132">
        <f t="shared" si="56"/>
        <v>12916.621406397588</v>
      </c>
      <c r="U167" s="132">
        <f>IF($F167&lt;=$C$16*12,SUM(T$5:T167),"-")</f>
        <v>1482011.4873802024</v>
      </c>
      <c r="V167" s="132">
        <f>IF($F167&lt;=$C$16*12,G167-$C$10-'RE Calculations'!$C354-'Mortgage Calculators (By Month)'!$F185,"-")</f>
        <v>1503075.1644147856</v>
      </c>
      <c r="W167" s="29">
        <f t="shared" si="65"/>
        <v>0.93881937307414898</v>
      </c>
      <c r="X167" s="31">
        <f t="shared" si="66"/>
        <v>6.9115536668035507E-2</v>
      </c>
      <c r="Y167" s="132">
        <f t="shared" si="67"/>
        <v>2985086.6517949877</v>
      </c>
      <c r="Z167" s="29">
        <f t="shared" si="68"/>
        <v>1.8644823927360299</v>
      </c>
      <c r="AA167" s="31">
        <f t="shared" si="69"/>
        <v>0.13726250744068932</v>
      </c>
      <c r="AD167" s="12">
        <f t="shared" si="70"/>
        <v>163</v>
      </c>
      <c r="AE167" s="132">
        <f t="shared" si="71"/>
        <v>3172043.024913047</v>
      </c>
      <c r="AF167" s="132">
        <f>IF($AD167&lt;=$C$25*12,$AE167-$C$7+SUM('Mortgage Calculators (By Month)'!$K$23:$K185),"-")</f>
        <v>3172043.024913047</v>
      </c>
      <c r="AG167" s="132">
        <f t="shared" si="72"/>
        <v>16185.155138274444</v>
      </c>
      <c r="AH167" s="132">
        <f>IF($AD167&lt;=$C$25*12,SUM(Inputs!$C$61:$C$78)*'Forecast (By Month)'!AG167,"-")</f>
        <v>1780.3670652101889</v>
      </c>
      <c r="AI167" s="132">
        <f>IF($AD167&lt;=$C$25*12,(SUMIF(Inputs!$C$61:$C$78,0,Inputs!$F$61:$F$78)/12)*(1+$C$34)^ROUNDDOWN((AD167-1)/12,0),"-")</f>
        <v>1488.1666666666667</v>
      </c>
      <c r="AJ167" s="132">
        <f t="shared" si="73"/>
        <v>3268.5337318768557</v>
      </c>
      <c r="AK167" s="132">
        <f>IF($AD167&lt;=$C$25*12,'Mortgage Calculators (By Month)'!$J185,"-")</f>
        <v>0</v>
      </c>
      <c r="AL167" s="132">
        <f>IF($AD167&lt;=$C$25*12,'Mortgage Calculators (By Month)'!$K185,"-")</f>
        <v>0</v>
      </c>
      <c r="AM167" s="132">
        <f>IF($AD167&lt;=$C$25*12,'Mortgage Calculators (By Month)'!$L185,"-")</f>
        <v>10</v>
      </c>
      <c r="AN167" s="132">
        <f t="shared" si="83"/>
        <v>0</v>
      </c>
      <c r="AO167" s="132">
        <f t="shared" si="74"/>
        <v>3278.5337318768557</v>
      </c>
      <c r="AP167" s="132">
        <f t="shared" si="75"/>
        <v>12916.621406397588</v>
      </c>
      <c r="AQ167" s="132">
        <f t="shared" si="76"/>
        <v>0</v>
      </c>
      <c r="AR167" s="132">
        <f t="shared" si="57"/>
        <v>12916.621406397588</v>
      </c>
      <c r="AS167" s="132">
        <f>IF($AD167&lt;=$C$25*12,SUM(AR$5:AR167),"-")</f>
        <v>1482001.4873802024</v>
      </c>
      <c r="AT167" s="132">
        <f>IF($AD167&lt;=$C$25*12,AE167-$C$10-'RE Calculations'!$C354-'Mortgage Calculators (By Month)'!$M185,"-")</f>
        <v>1503075.1644147856</v>
      </c>
      <c r="AU167" s="29">
        <f t="shared" si="77"/>
        <v>0.93881937307414898</v>
      </c>
      <c r="AV167" s="31">
        <f t="shared" si="78"/>
        <v>6.9115536668035507E-2</v>
      </c>
      <c r="AW167" s="132">
        <f t="shared" si="79"/>
        <v>2985076.6517949877</v>
      </c>
      <c r="AX167" s="29">
        <f t="shared" si="80"/>
        <v>1.8644761467451754</v>
      </c>
      <c r="AY167" s="31">
        <f t="shared" si="81"/>
        <v>0.13726204761314173</v>
      </c>
    </row>
    <row r="168" spans="6:51" x14ac:dyDescent="0.35">
      <c r="F168" s="12">
        <f t="shared" si="58"/>
        <v>164</v>
      </c>
      <c r="G168" s="132">
        <f t="shared" si="59"/>
        <v>3184966.3208436011</v>
      </c>
      <c r="H168" s="132">
        <f>IF($F168&lt;=$C$16*12,$G168-$C$7+SUM('Mortgage Calculators (By Month)'!$D$23:$D186),"-")</f>
        <v>3184966.3208436011</v>
      </c>
      <c r="I168" s="132">
        <f t="shared" si="60"/>
        <v>16185.155138274444</v>
      </c>
      <c r="J168" s="132">
        <f>IF($F168&lt;=$C$16*12,SUM(Inputs!$C$61:$C$78)*'Forecast (By Month)'!I168,"-")</f>
        <v>1780.3670652101889</v>
      </c>
      <c r="K168" s="132">
        <f>IF($F168&lt;=$C$16*12,(SUMIF(Inputs!$C$61:$C$78,0,Inputs!$F$61:$F$78)/12)*(1+$C$34)^ROUNDDOWN((F168-1)/12,0),"-")</f>
        <v>1488.1666666666667</v>
      </c>
      <c r="L168" s="132">
        <f t="shared" si="61"/>
        <v>3268.5337318768557</v>
      </c>
      <c r="M168" s="132">
        <f>IF($F168&lt;=$C$16*12,'Mortgage Calculators (By Month)'!$C186,"-")</f>
        <v>0</v>
      </c>
      <c r="N168" s="132">
        <f>IF($F168&lt;=$C$16*12,'Mortgage Calculators (By Month)'!$D186,"-")</f>
        <v>0</v>
      </c>
      <c r="O168" s="132">
        <f>IF($F168&lt;=$C$16*12,'Mortgage Calculators (By Month)'!$E186,"-")</f>
        <v>8.3333333333333339</v>
      </c>
      <c r="P168" s="132">
        <f t="shared" si="82"/>
        <v>0</v>
      </c>
      <c r="Q168" s="132">
        <f t="shared" si="62"/>
        <v>3276.8670652101891</v>
      </c>
      <c r="R168" s="132">
        <f t="shared" si="63"/>
        <v>12916.621406397588</v>
      </c>
      <c r="S168" s="132">
        <f t="shared" si="64"/>
        <v>0</v>
      </c>
      <c r="T168" s="132">
        <f t="shared" si="56"/>
        <v>12916.621406397588</v>
      </c>
      <c r="U168" s="132">
        <f>IF($F168&lt;=$C$16*12,SUM(T$5:T168),"-")</f>
        <v>1494928.1087865999</v>
      </c>
      <c r="V168" s="132">
        <f>IF($F168&lt;=$C$16*12,G168-$C$10-'RE Calculations'!$C355-'Mortgage Calculators (By Month)'!$F186,"-")</f>
        <v>1515739.9944267287</v>
      </c>
      <c r="W168" s="29">
        <f t="shared" si="65"/>
        <v>0.94672981431714065</v>
      </c>
      <c r="X168" s="31">
        <f t="shared" si="66"/>
        <v>6.9272913242717615E-2</v>
      </c>
      <c r="Y168" s="132">
        <f t="shared" si="67"/>
        <v>3010668.1032133289</v>
      </c>
      <c r="Z168" s="29">
        <f t="shared" si="68"/>
        <v>1.8804605438967168</v>
      </c>
      <c r="AA168" s="31">
        <f t="shared" si="69"/>
        <v>0.1375946739436622</v>
      </c>
      <c r="AD168" s="12">
        <f t="shared" si="70"/>
        <v>164</v>
      </c>
      <c r="AE168" s="132">
        <f t="shared" si="71"/>
        <v>3184966.3208436011</v>
      </c>
      <c r="AF168" s="132">
        <f>IF($AD168&lt;=$C$25*12,$AE168-$C$7+SUM('Mortgage Calculators (By Month)'!$K$23:$K186),"-")</f>
        <v>3184966.3208436011</v>
      </c>
      <c r="AG168" s="132">
        <f t="shared" si="72"/>
        <v>16185.155138274444</v>
      </c>
      <c r="AH168" s="132">
        <f>IF($AD168&lt;=$C$25*12,SUM(Inputs!$C$61:$C$78)*'Forecast (By Month)'!AG168,"-")</f>
        <v>1780.3670652101889</v>
      </c>
      <c r="AI168" s="132">
        <f>IF($AD168&lt;=$C$25*12,(SUMIF(Inputs!$C$61:$C$78,0,Inputs!$F$61:$F$78)/12)*(1+$C$34)^ROUNDDOWN((AD168-1)/12,0),"-")</f>
        <v>1488.1666666666667</v>
      </c>
      <c r="AJ168" s="132">
        <f t="shared" si="73"/>
        <v>3268.5337318768557</v>
      </c>
      <c r="AK168" s="132">
        <f>IF($AD168&lt;=$C$25*12,'Mortgage Calculators (By Month)'!$J186,"-")</f>
        <v>0</v>
      </c>
      <c r="AL168" s="132">
        <f>IF($AD168&lt;=$C$25*12,'Mortgage Calculators (By Month)'!$K186,"-")</f>
        <v>0</v>
      </c>
      <c r="AM168" s="132">
        <f>IF($AD168&lt;=$C$25*12,'Mortgage Calculators (By Month)'!$L186,"-")</f>
        <v>10</v>
      </c>
      <c r="AN168" s="132">
        <f t="shared" si="83"/>
        <v>0</v>
      </c>
      <c r="AO168" s="132">
        <f t="shared" si="74"/>
        <v>3278.5337318768557</v>
      </c>
      <c r="AP168" s="132">
        <f t="shared" si="75"/>
        <v>12916.621406397588</v>
      </c>
      <c r="AQ168" s="132">
        <f t="shared" si="76"/>
        <v>0</v>
      </c>
      <c r="AR168" s="132">
        <f t="shared" si="57"/>
        <v>12916.621406397588</v>
      </c>
      <c r="AS168" s="132">
        <f>IF($AD168&lt;=$C$25*12,SUM(AR$5:AR168),"-")</f>
        <v>1494918.1087865999</v>
      </c>
      <c r="AT168" s="132">
        <f>IF($AD168&lt;=$C$25*12,AE168-$C$10-'RE Calculations'!$C355-'Mortgage Calculators (By Month)'!$M186,"-")</f>
        <v>1515739.9944267287</v>
      </c>
      <c r="AU168" s="29">
        <f t="shared" si="77"/>
        <v>0.94672981431714065</v>
      </c>
      <c r="AV168" s="31">
        <f t="shared" si="78"/>
        <v>6.9272913242717615E-2</v>
      </c>
      <c r="AW168" s="132">
        <f t="shared" si="79"/>
        <v>3010658.1032133289</v>
      </c>
      <c r="AX168" s="29">
        <f t="shared" si="80"/>
        <v>1.8804542979058623</v>
      </c>
      <c r="AY168" s="31">
        <f t="shared" si="81"/>
        <v>0.13759421691994114</v>
      </c>
    </row>
    <row r="169" spans="6:51" x14ac:dyDescent="0.35">
      <c r="F169" s="12">
        <f t="shared" si="58"/>
        <v>165</v>
      </c>
      <c r="G169" s="132">
        <f t="shared" si="59"/>
        <v>3197942.2678814689</v>
      </c>
      <c r="H169" s="132">
        <f>IF($F169&lt;=$C$16*12,$G169-$C$7+SUM('Mortgage Calculators (By Month)'!$D$23:$D187),"-")</f>
        <v>3197942.2678814689</v>
      </c>
      <c r="I169" s="132">
        <f t="shared" si="60"/>
        <v>16185.155138274444</v>
      </c>
      <c r="J169" s="132">
        <f>IF($F169&lt;=$C$16*12,SUM(Inputs!$C$61:$C$78)*'Forecast (By Month)'!I169,"-")</f>
        <v>1780.3670652101889</v>
      </c>
      <c r="K169" s="132">
        <f>IF($F169&lt;=$C$16*12,(SUMIF(Inputs!$C$61:$C$78,0,Inputs!$F$61:$F$78)/12)*(1+$C$34)^ROUNDDOWN((F169-1)/12,0),"-")</f>
        <v>1488.1666666666667</v>
      </c>
      <c r="L169" s="132">
        <f t="shared" si="61"/>
        <v>3268.5337318768557</v>
      </c>
      <c r="M169" s="132">
        <f>IF($F169&lt;=$C$16*12,'Mortgage Calculators (By Month)'!$C187,"-")</f>
        <v>0</v>
      </c>
      <c r="N169" s="132">
        <f>IF($F169&lt;=$C$16*12,'Mortgage Calculators (By Month)'!$D187,"-")</f>
        <v>0</v>
      </c>
      <c r="O169" s="132">
        <f>IF($F169&lt;=$C$16*12,'Mortgage Calculators (By Month)'!$E187,"-")</f>
        <v>8.3333333333333339</v>
      </c>
      <c r="P169" s="132">
        <f t="shared" si="82"/>
        <v>0</v>
      </c>
      <c r="Q169" s="132">
        <f t="shared" si="62"/>
        <v>3276.8670652101891</v>
      </c>
      <c r="R169" s="132">
        <f t="shared" si="63"/>
        <v>12916.621406397588</v>
      </c>
      <c r="S169" s="132">
        <f t="shared" si="64"/>
        <v>0</v>
      </c>
      <c r="T169" s="132">
        <f t="shared" si="56"/>
        <v>12916.621406397588</v>
      </c>
      <c r="U169" s="132">
        <f>IF($F169&lt;=$C$16*12,SUM(T$5:T169),"-")</f>
        <v>1507844.7301929975</v>
      </c>
      <c r="V169" s="132">
        <f>IF($F169&lt;=$C$16*12,G169-$C$10-'RE Calculations'!$C356-'Mortgage Calculators (By Month)'!$F187,"-")</f>
        <v>1528456.4225238392</v>
      </c>
      <c r="W169" s="29">
        <f t="shared" si="65"/>
        <v>0.95467248367693935</v>
      </c>
      <c r="X169" s="31">
        <f t="shared" si="66"/>
        <v>6.9430726085595584E-2</v>
      </c>
      <c r="Y169" s="132">
        <f t="shared" si="67"/>
        <v>3036301.1527168369</v>
      </c>
      <c r="Z169" s="29">
        <f t="shared" si="68"/>
        <v>1.8964709231742105</v>
      </c>
      <c r="AA169" s="31">
        <f t="shared" si="69"/>
        <v>0.13792515804903349</v>
      </c>
      <c r="AD169" s="12">
        <f t="shared" si="70"/>
        <v>165</v>
      </c>
      <c r="AE169" s="132">
        <f t="shared" si="71"/>
        <v>3197942.2678814689</v>
      </c>
      <c r="AF169" s="132">
        <f>IF($AD169&lt;=$C$25*12,$AE169-$C$7+SUM('Mortgage Calculators (By Month)'!$K$23:$K187),"-")</f>
        <v>3197942.2678814689</v>
      </c>
      <c r="AG169" s="132">
        <f t="shared" si="72"/>
        <v>16185.155138274444</v>
      </c>
      <c r="AH169" s="132">
        <f>IF($AD169&lt;=$C$25*12,SUM(Inputs!$C$61:$C$78)*'Forecast (By Month)'!AG169,"-")</f>
        <v>1780.3670652101889</v>
      </c>
      <c r="AI169" s="132">
        <f>IF($AD169&lt;=$C$25*12,(SUMIF(Inputs!$C$61:$C$78,0,Inputs!$F$61:$F$78)/12)*(1+$C$34)^ROUNDDOWN((AD169-1)/12,0),"-")</f>
        <v>1488.1666666666667</v>
      </c>
      <c r="AJ169" s="132">
        <f t="shared" si="73"/>
        <v>3268.5337318768557</v>
      </c>
      <c r="AK169" s="132">
        <f>IF($AD169&lt;=$C$25*12,'Mortgage Calculators (By Month)'!$J187,"-")</f>
        <v>0</v>
      </c>
      <c r="AL169" s="132">
        <f>IF($AD169&lt;=$C$25*12,'Mortgage Calculators (By Month)'!$K187,"-")</f>
        <v>0</v>
      </c>
      <c r="AM169" s="132">
        <f>IF($AD169&lt;=$C$25*12,'Mortgage Calculators (By Month)'!$L187,"-")</f>
        <v>10</v>
      </c>
      <c r="AN169" s="132">
        <f t="shared" si="83"/>
        <v>0</v>
      </c>
      <c r="AO169" s="132">
        <f t="shared" si="74"/>
        <v>3278.5337318768557</v>
      </c>
      <c r="AP169" s="132">
        <f t="shared" si="75"/>
        <v>12916.621406397588</v>
      </c>
      <c r="AQ169" s="132">
        <f t="shared" si="76"/>
        <v>0</v>
      </c>
      <c r="AR169" s="132">
        <f t="shared" si="57"/>
        <v>12916.621406397588</v>
      </c>
      <c r="AS169" s="132">
        <f>IF($AD169&lt;=$C$25*12,SUM(AR$5:AR169),"-")</f>
        <v>1507834.7301929975</v>
      </c>
      <c r="AT169" s="132">
        <f>IF($AD169&lt;=$C$25*12,AE169-$C$10-'RE Calculations'!$C356-'Mortgage Calculators (By Month)'!$M187,"-")</f>
        <v>1528456.4225238392</v>
      </c>
      <c r="AU169" s="29">
        <f t="shared" si="77"/>
        <v>0.95467248367693935</v>
      </c>
      <c r="AV169" s="31">
        <f t="shared" si="78"/>
        <v>6.9430726085595584E-2</v>
      </c>
      <c r="AW169" s="132">
        <f t="shared" si="79"/>
        <v>3036291.1527168369</v>
      </c>
      <c r="AX169" s="29">
        <f t="shared" si="80"/>
        <v>1.896464677183356</v>
      </c>
      <c r="AY169" s="31">
        <f t="shared" si="81"/>
        <v>0.13792470379515318</v>
      </c>
    </row>
    <row r="170" spans="6:51" x14ac:dyDescent="0.35">
      <c r="F170" s="12">
        <f t="shared" si="58"/>
        <v>166</v>
      </c>
      <c r="G170" s="132">
        <f t="shared" si="59"/>
        <v>3210971.0805337792</v>
      </c>
      <c r="H170" s="132">
        <f>IF($F170&lt;=$C$16*12,$G170-$C$7+SUM('Mortgage Calculators (By Month)'!$D$23:$D188),"-")</f>
        <v>3210971.0805337792</v>
      </c>
      <c r="I170" s="132">
        <f t="shared" si="60"/>
        <v>16185.155138274444</v>
      </c>
      <c r="J170" s="132">
        <f>IF($F170&lt;=$C$16*12,SUM(Inputs!$C$61:$C$78)*'Forecast (By Month)'!I170,"-")</f>
        <v>1780.3670652101889</v>
      </c>
      <c r="K170" s="132">
        <f>IF($F170&lt;=$C$16*12,(SUMIF(Inputs!$C$61:$C$78,0,Inputs!$F$61:$F$78)/12)*(1+$C$34)^ROUNDDOWN((F170-1)/12,0),"-")</f>
        <v>1488.1666666666667</v>
      </c>
      <c r="L170" s="132">
        <f t="shared" si="61"/>
        <v>3268.5337318768557</v>
      </c>
      <c r="M170" s="132">
        <f>IF($F170&lt;=$C$16*12,'Mortgage Calculators (By Month)'!$C188,"-")</f>
        <v>0</v>
      </c>
      <c r="N170" s="132">
        <f>IF($F170&lt;=$C$16*12,'Mortgage Calculators (By Month)'!$D188,"-")</f>
        <v>0</v>
      </c>
      <c r="O170" s="132">
        <f>IF($F170&lt;=$C$16*12,'Mortgage Calculators (By Month)'!$E188,"-")</f>
        <v>8.3333333333333339</v>
      </c>
      <c r="P170" s="132">
        <f t="shared" si="82"/>
        <v>0</v>
      </c>
      <c r="Q170" s="132">
        <f t="shared" si="62"/>
        <v>3276.8670652101891</v>
      </c>
      <c r="R170" s="132">
        <f t="shared" si="63"/>
        <v>12916.621406397588</v>
      </c>
      <c r="S170" s="132">
        <f t="shared" si="64"/>
        <v>0</v>
      </c>
      <c r="T170" s="132">
        <f t="shared" si="56"/>
        <v>12916.621406397588</v>
      </c>
      <c r="U170" s="132">
        <f>IF($F170&lt;=$C$16*12,SUM(T$5:T170),"-")</f>
        <v>1520761.351599395</v>
      </c>
      <c r="V170" s="132">
        <f>IF($F170&lt;=$C$16*12,G170-$C$10-'RE Calculations'!$C357-'Mortgage Calculators (By Month)'!$F188,"-")</f>
        <v>1541224.6589231032</v>
      </c>
      <c r="W170" s="29">
        <f t="shared" si="65"/>
        <v>0.96264751245488256</v>
      </c>
      <c r="X170" s="31">
        <f t="shared" si="66"/>
        <v>6.9588976803967417E-2</v>
      </c>
      <c r="Y170" s="132">
        <f t="shared" si="67"/>
        <v>3061986.0105224983</v>
      </c>
      <c r="Z170" s="29">
        <f t="shared" si="68"/>
        <v>1.9125136618698486</v>
      </c>
      <c r="AA170" s="31">
        <f t="shared" si="69"/>
        <v>0.13825399965324206</v>
      </c>
      <c r="AD170" s="12">
        <f t="shared" si="70"/>
        <v>166</v>
      </c>
      <c r="AE170" s="132">
        <f t="shared" si="71"/>
        <v>3210971.0805337792</v>
      </c>
      <c r="AF170" s="132">
        <f>IF($AD170&lt;=$C$25*12,$AE170-$C$7+SUM('Mortgage Calculators (By Month)'!$K$23:$K188),"-")</f>
        <v>3210971.0805337792</v>
      </c>
      <c r="AG170" s="132">
        <f t="shared" si="72"/>
        <v>16185.155138274444</v>
      </c>
      <c r="AH170" s="132">
        <f>IF($AD170&lt;=$C$25*12,SUM(Inputs!$C$61:$C$78)*'Forecast (By Month)'!AG170,"-")</f>
        <v>1780.3670652101889</v>
      </c>
      <c r="AI170" s="132">
        <f>IF($AD170&lt;=$C$25*12,(SUMIF(Inputs!$C$61:$C$78,0,Inputs!$F$61:$F$78)/12)*(1+$C$34)^ROUNDDOWN((AD170-1)/12,0),"-")</f>
        <v>1488.1666666666667</v>
      </c>
      <c r="AJ170" s="132">
        <f t="shared" si="73"/>
        <v>3268.5337318768557</v>
      </c>
      <c r="AK170" s="132">
        <f>IF($AD170&lt;=$C$25*12,'Mortgage Calculators (By Month)'!$J188,"-")</f>
        <v>0</v>
      </c>
      <c r="AL170" s="132">
        <f>IF($AD170&lt;=$C$25*12,'Mortgage Calculators (By Month)'!$K188,"-")</f>
        <v>0</v>
      </c>
      <c r="AM170" s="132">
        <f>IF($AD170&lt;=$C$25*12,'Mortgage Calculators (By Month)'!$L188,"-")</f>
        <v>10</v>
      </c>
      <c r="AN170" s="132">
        <f t="shared" si="83"/>
        <v>0</v>
      </c>
      <c r="AO170" s="132">
        <f t="shared" si="74"/>
        <v>3278.5337318768557</v>
      </c>
      <c r="AP170" s="132">
        <f t="shared" si="75"/>
        <v>12916.621406397588</v>
      </c>
      <c r="AQ170" s="132">
        <f t="shared" si="76"/>
        <v>0</v>
      </c>
      <c r="AR170" s="132">
        <f t="shared" si="57"/>
        <v>12916.621406397588</v>
      </c>
      <c r="AS170" s="132">
        <f>IF($AD170&lt;=$C$25*12,SUM(AR$5:AR170),"-")</f>
        <v>1520751.351599395</v>
      </c>
      <c r="AT170" s="132">
        <f>IF($AD170&lt;=$C$25*12,AE170-$C$10-'RE Calculations'!$C357-'Mortgage Calculators (By Month)'!$M188,"-")</f>
        <v>1541224.6589231032</v>
      </c>
      <c r="AU170" s="29">
        <f t="shared" si="77"/>
        <v>0.96264751245488256</v>
      </c>
      <c r="AV170" s="31">
        <f t="shared" si="78"/>
        <v>6.9588976803967417E-2</v>
      </c>
      <c r="AW170" s="132">
        <f t="shared" si="79"/>
        <v>3061976.0105224983</v>
      </c>
      <c r="AX170" s="29">
        <f t="shared" si="80"/>
        <v>1.9125074158789941</v>
      </c>
      <c r="AY170" s="31">
        <f t="shared" si="81"/>
        <v>0.13825354813583088</v>
      </c>
    </row>
    <row r="171" spans="6:51" x14ac:dyDescent="0.35">
      <c r="F171" s="12">
        <f t="shared" si="58"/>
        <v>167</v>
      </c>
      <c r="G171" s="132">
        <f t="shared" si="59"/>
        <v>3224052.9741815887</v>
      </c>
      <c r="H171" s="132">
        <f>IF($F171&lt;=$C$16*12,$G171-$C$7+SUM('Mortgage Calculators (By Month)'!$D$23:$D189),"-")</f>
        <v>3224052.9741815887</v>
      </c>
      <c r="I171" s="132">
        <f t="shared" si="60"/>
        <v>16185.155138274444</v>
      </c>
      <c r="J171" s="132">
        <f>IF($F171&lt;=$C$16*12,SUM(Inputs!$C$61:$C$78)*'Forecast (By Month)'!I171,"-")</f>
        <v>1780.3670652101889</v>
      </c>
      <c r="K171" s="132">
        <f>IF($F171&lt;=$C$16*12,(SUMIF(Inputs!$C$61:$C$78,0,Inputs!$F$61:$F$78)/12)*(1+$C$34)^ROUNDDOWN((F171-1)/12,0),"-")</f>
        <v>1488.1666666666667</v>
      </c>
      <c r="L171" s="132">
        <f t="shared" si="61"/>
        <v>3268.5337318768557</v>
      </c>
      <c r="M171" s="132">
        <f>IF($F171&lt;=$C$16*12,'Mortgage Calculators (By Month)'!$C189,"-")</f>
        <v>0</v>
      </c>
      <c r="N171" s="132">
        <f>IF($F171&lt;=$C$16*12,'Mortgage Calculators (By Month)'!$D189,"-")</f>
        <v>0</v>
      </c>
      <c r="O171" s="132">
        <f>IF($F171&lt;=$C$16*12,'Mortgage Calculators (By Month)'!$E189,"-")</f>
        <v>8.3333333333333339</v>
      </c>
      <c r="P171" s="132">
        <f t="shared" si="82"/>
        <v>0</v>
      </c>
      <c r="Q171" s="132">
        <f t="shared" si="62"/>
        <v>3276.8670652101891</v>
      </c>
      <c r="R171" s="132">
        <f t="shared" si="63"/>
        <v>12916.621406397588</v>
      </c>
      <c r="S171" s="132">
        <f t="shared" si="64"/>
        <v>0</v>
      </c>
      <c r="T171" s="132">
        <f t="shared" si="56"/>
        <v>12916.621406397588</v>
      </c>
      <c r="U171" s="132">
        <f>IF($F171&lt;=$C$16*12,SUM(T$5:T171),"-")</f>
        <v>1533677.9730057926</v>
      </c>
      <c r="V171" s="132">
        <f>IF($F171&lt;=$C$16*12,G171-$C$10-'RE Calculations'!$C358-'Mortgage Calculators (By Month)'!$F189,"-")</f>
        <v>1554044.9146979565</v>
      </c>
      <c r="W171" s="29">
        <f t="shared" si="65"/>
        <v>0.97065503248724505</v>
      </c>
      <c r="X171" s="31">
        <f t="shared" si="66"/>
        <v>6.9747667005071498E-2</v>
      </c>
      <c r="Y171" s="132">
        <f t="shared" si="67"/>
        <v>3087722.8877037494</v>
      </c>
      <c r="Z171" s="29">
        <f t="shared" si="68"/>
        <v>1.9285888918199063</v>
      </c>
      <c r="AA171" s="31">
        <f t="shared" si="69"/>
        <v>0.13858123773556213</v>
      </c>
      <c r="AD171" s="12">
        <f t="shared" si="70"/>
        <v>167</v>
      </c>
      <c r="AE171" s="132">
        <f t="shared" si="71"/>
        <v>3224052.9741815887</v>
      </c>
      <c r="AF171" s="132">
        <f>IF($AD171&lt;=$C$25*12,$AE171-$C$7+SUM('Mortgage Calculators (By Month)'!$K$23:$K189),"-")</f>
        <v>3224052.9741815887</v>
      </c>
      <c r="AG171" s="132">
        <f t="shared" si="72"/>
        <v>16185.155138274444</v>
      </c>
      <c r="AH171" s="132">
        <f>IF($AD171&lt;=$C$25*12,SUM(Inputs!$C$61:$C$78)*'Forecast (By Month)'!AG171,"-")</f>
        <v>1780.3670652101889</v>
      </c>
      <c r="AI171" s="132">
        <f>IF($AD171&lt;=$C$25*12,(SUMIF(Inputs!$C$61:$C$78,0,Inputs!$F$61:$F$78)/12)*(1+$C$34)^ROUNDDOWN((AD171-1)/12,0),"-")</f>
        <v>1488.1666666666667</v>
      </c>
      <c r="AJ171" s="132">
        <f t="shared" si="73"/>
        <v>3268.5337318768557</v>
      </c>
      <c r="AK171" s="132">
        <f>IF($AD171&lt;=$C$25*12,'Mortgage Calculators (By Month)'!$J189,"-")</f>
        <v>0</v>
      </c>
      <c r="AL171" s="132">
        <f>IF($AD171&lt;=$C$25*12,'Mortgage Calculators (By Month)'!$K189,"-")</f>
        <v>0</v>
      </c>
      <c r="AM171" s="132">
        <f>IF($AD171&lt;=$C$25*12,'Mortgage Calculators (By Month)'!$L189,"-")</f>
        <v>10</v>
      </c>
      <c r="AN171" s="132">
        <f t="shared" si="83"/>
        <v>0</v>
      </c>
      <c r="AO171" s="132">
        <f t="shared" si="74"/>
        <v>3278.5337318768557</v>
      </c>
      <c r="AP171" s="132">
        <f t="shared" si="75"/>
        <v>12916.621406397588</v>
      </c>
      <c r="AQ171" s="132">
        <f t="shared" si="76"/>
        <v>0</v>
      </c>
      <c r="AR171" s="132">
        <f t="shared" si="57"/>
        <v>12916.621406397588</v>
      </c>
      <c r="AS171" s="132">
        <f>IF($AD171&lt;=$C$25*12,SUM(AR$5:AR171),"-")</f>
        <v>1533667.9730057926</v>
      </c>
      <c r="AT171" s="132">
        <f>IF($AD171&lt;=$C$25*12,AE171-$C$10-'RE Calculations'!$C358-'Mortgage Calculators (By Month)'!$M189,"-")</f>
        <v>1554044.9146979565</v>
      </c>
      <c r="AU171" s="29">
        <f t="shared" si="77"/>
        <v>0.97065503248724505</v>
      </c>
      <c r="AV171" s="31">
        <f t="shared" si="78"/>
        <v>6.9747667005071498E-2</v>
      </c>
      <c r="AW171" s="132">
        <f t="shared" si="79"/>
        <v>3087712.8877037494</v>
      </c>
      <c r="AX171" s="29">
        <f t="shared" si="80"/>
        <v>1.9285826458290518</v>
      </c>
      <c r="AY171" s="31">
        <f t="shared" si="81"/>
        <v>0.13858078892184805</v>
      </c>
    </row>
    <row r="172" spans="6:51" x14ac:dyDescent="0.35">
      <c r="F172" s="12">
        <f t="shared" si="58"/>
        <v>168</v>
      </c>
      <c r="G172" s="132">
        <f t="shared" si="59"/>
        <v>3237188.1650834442</v>
      </c>
      <c r="H172" s="132">
        <f>IF($F172&lt;=$C$16*12,$G172-$C$7+SUM('Mortgage Calculators (By Month)'!$D$23:$D190),"-")</f>
        <v>3237188.1650834442</v>
      </c>
      <c r="I172" s="132">
        <f t="shared" si="60"/>
        <v>16185.155138274444</v>
      </c>
      <c r="J172" s="132">
        <f>IF($F172&lt;=$C$16*12,SUM(Inputs!$C$61:$C$78)*'Forecast (By Month)'!I172,"-")</f>
        <v>1780.3670652101889</v>
      </c>
      <c r="K172" s="132">
        <f>IF($F172&lt;=$C$16*12,(SUMIF(Inputs!$C$61:$C$78,0,Inputs!$F$61:$F$78)/12)*(1+$C$34)^ROUNDDOWN((F172-1)/12,0),"-")</f>
        <v>1488.1666666666667</v>
      </c>
      <c r="L172" s="132">
        <f t="shared" si="61"/>
        <v>3268.5337318768557</v>
      </c>
      <c r="M172" s="132">
        <f>IF($F172&lt;=$C$16*12,'Mortgage Calculators (By Month)'!$C190,"-")</f>
        <v>0</v>
      </c>
      <c r="N172" s="132">
        <f>IF($F172&lt;=$C$16*12,'Mortgage Calculators (By Month)'!$D190,"-")</f>
        <v>0</v>
      </c>
      <c r="O172" s="132">
        <f>IF($F172&lt;=$C$16*12,'Mortgage Calculators (By Month)'!$E190,"-")</f>
        <v>8.3333333333333339</v>
      </c>
      <c r="P172" s="132">
        <f t="shared" si="82"/>
        <v>0</v>
      </c>
      <c r="Q172" s="132">
        <f t="shared" si="62"/>
        <v>3276.8670652101891</v>
      </c>
      <c r="R172" s="132">
        <f t="shared" si="63"/>
        <v>12916.621406397588</v>
      </c>
      <c r="S172" s="132">
        <f t="shared" si="64"/>
        <v>0</v>
      </c>
      <c r="T172" s="132">
        <f t="shared" si="56"/>
        <v>12916.621406397588</v>
      </c>
      <c r="U172" s="132">
        <f>IF($F172&lt;=$C$16*12,SUM(T$5:T172),"-")</f>
        <v>1546594.5944121901</v>
      </c>
      <c r="V172" s="132">
        <f>IF($F172&lt;=$C$16*12,G172-$C$10-'RE Calculations'!$C359-'Mortgage Calculators (By Month)'!$F190,"-")</f>
        <v>1566917.4017817748</v>
      </c>
      <c r="W172" s="29">
        <f t="shared" si="65"/>
        <v>0.97869517614741963</v>
      </c>
      <c r="X172" s="31">
        <f t="shared" si="66"/>
        <v>6.9906798296244257E-2</v>
      </c>
      <c r="Y172" s="132">
        <f t="shared" si="67"/>
        <v>3113511.996193965</v>
      </c>
      <c r="Z172" s="29">
        <f t="shared" si="68"/>
        <v>1.9446967453977759</v>
      </c>
      <c r="AA172" s="31">
        <f t="shared" si="69"/>
        <v>0.13890691038555542</v>
      </c>
      <c r="AD172" s="12">
        <f t="shared" si="70"/>
        <v>168</v>
      </c>
      <c r="AE172" s="132">
        <f t="shared" si="71"/>
        <v>3237188.1650834442</v>
      </c>
      <c r="AF172" s="132">
        <f>IF($AD172&lt;=$C$25*12,$AE172-$C$7+SUM('Mortgage Calculators (By Month)'!$K$23:$K190),"-")</f>
        <v>3237188.1650834442</v>
      </c>
      <c r="AG172" s="132">
        <f t="shared" si="72"/>
        <v>16185.155138274444</v>
      </c>
      <c r="AH172" s="132">
        <f>IF($AD172&lt;=$C$25*12,SUM(Inputs!$C$61:$C$78)*'Forecast (By Month)'!AG172,"-")</f>
        <v>1780.3670652101889</v>
      </c>
      <c r="AI172" s="132">
        <f>IF($AD172&lt;=$C$25*12,(SUMIF(Inputs!$C$61:$C$78,0,Inputs!$F$61:$F$78)/12)*(1+$C$34)^ROUNDDOWN((AD172-1)/12,0),"-")</f>
        <v>1488.1666666666667</v>
      </c>
      <c r="AJ172" s="132">
        <f t="shared" si="73"/>
        <v>3268.5337318768557</v>
      </c>
      <c r="AK172" s="132">
        <f>IF($AD172&lt;=$C$25*12,'Mortgage Calculators (By Month)'!$J190,"-")</f>
        <v>0</v>
      </c>
      <c r="AL172" s="132">
        <f>IF($AD172&lt;=$C$25*12,'Mortgage Calculators (By Month)'!$K190,"-")</f>
        <v>0</v>
      </c>
      <c r="AM172" s="132">
        <f>IF($AD172&lt;=$C$25*12,'Mortgage Calculators (By Month)'!$L190,"-")</f>
        <v>10</v>
      </c>
      <c r="AN172" s="132">
        <f t="shared" si="83"/>
        <v>0</v>
      </c>
      <c r="AO172" s="132">
        <f t="shared" si="74"/>
        <v>3278.5337318768557</v>
      </c>
      <c r="AP172" s="132">
        <f t="shared" si="75"/>
        <v>12916.621406397588</v>
      </c>
      <c r="AQ172" s="132">
        <f t="shared" si="76"/>
        <v>0</v>
      </c>
      <c r="AR172" s="132">
        <f t="shared" si="57"/>
        <v>12916.621406397588</v>
      </c>
      <c r="AS172" s="132">
        <f>IF($AD172&lt;=$C$25*12,SUM(AR$5:AR172),"-")</f>
        <v>1546584.5944121901</v>
      </c>
      <c r="AT172" s="132">
        <f>IF($AD172&lt;=$C$25*12,AE172-$C$10-'RE Calculations'!$C359-'Mortgage Calculators (By Month)'!$M190,"-")</f>
        <v>1566917.4017817748</v>
      </c>
      <c r="AU172" s="29">
        <f t="shared" si="77"/>
        <v>0.97869517614741963</v>
      </c>
      <c r="AV172" s="31">
        <f t="shared" si="78"/>
        <v>6.9906798296244257E-2</v>
      </c>
      <c r="AW172" s="132">
        <f t="shared" si="79"/>
        <v>3113501.996193965</v>
      </c>
      <c r="AX172" s="29">
        <f t="shared" si="80"/>
        <v>1.9446904994069212</v>
      </c>
      <c r="AY172" s="31">
        <f t="shared" si="81"/>
        <v>0.13890646424335151</v>
      </c>
    </row>
    <row r="173" spans="6:51" x14ac:dyDescent="0.35">
      <c r="F173" s="12">
        <f t="shared" si="58"/>
        <v>169</v>
      </c>
      <c r="G173" s="132">
        <f t="shared" si="59"/>
        <v>3250376.8703789557</v>
      </c>
      <c r="H173" s="132">
        <f>IF($F173&lt;=$C$16*12,$G173-$C$7+SUM('Mortgage Calculators (By Month)'!$D$23:$D191),"-")</f>
        <v>3250376.8703789557</v>
      </c>
      <c r="I173" s="132">
        <f t="shared" si="60"/>
        <v>16994.412895188161</v>
      </c>
      <c r="J173" s="132">
        <f>IF($F173&lt;=$C$16*12,SUM(Inputs!$C$61:$C$78)*'Forecast (By Month)'!I173,"-")</f>
        <v>1869.3854184706977</v>
      </c>
      <c r="K173" s="132">
        <f>IF($F173&lt;=$C$16*12,(SUMIF(Inputs!$C$61:$C$78,0,Inputs!$F$61:$F$78)/12)*(1+$C$34)^ROUNDDOWN((F173-1)/12,0),"-")</f>
        <v>1488.1666666666667</v>
      </c>
      <c r="L173" s="132">
        <f t="shared" si="61"/>
        <v>3357.5520851373644</v>
      </c>
      <c r="M173" s="132">
        <f>IF($F173&lt;=$C$16*12,'Mortgage Calculators (By Month)'!$C191,"-")</f>
        <v>0</v>
      </c>
      <c r="N173" s="132">
        <f>IF($F173&lt;=$C$16*12,'Mortgage Calculators (By Month)'!$D191,"-")</f>
        <v>0</v>
      </c>
      <c r="O173" s="132">
        <f>IF($F173&lt;=$C$16*12,'Mortgage Calculators (By Month)'!$E191,"-")</f>
        <v>8.3333333333333339</v>
      </c>
      <c r="P173" s="132">
        <f t="shared" si="82"/>
        <v>0</v>
      </c>
      <c r="Q173" s="132">
        <f t="shared" si="62"/>
        <v>3365.8854184706979</v>
      </c>
      <c r="R173" s="132">
        <f t="shared" si="63"/>
        <v>13636.860810050797</v>
      </c>
      <c r="S173" s="132">
        <f t="shared" si="64"/>
        <v>0</v>
      </c>
      <c r="T173" s="132">
        <f t="shared" si="56"/>
        <v>13636.860810050797</v>
      </c>
      <c r="U173" s="132">
        <f>IF($F173&lt;=$C$16*12,SUM(T$5:T173),"-")</f>
        <v>1560231.4552222409</v>
      </c>
      <c r="V173" s="132">
        <f>IF($F173&lt;=$C$16*12,G173-$C$10-'RE Calculations'!$C360-'Mortgage Calculators (By Month)'!$F191,"-")</f>
        <v>1579842.3329713761</v>
      </c>
      <c r="W173" s="29">
        <f t="shared" si="65"/>
        <v>0.98676807634810415</v>
      </c>
      <c r="X173" s="31">
        <f t="shared" si="66"/>
        <v>7.0066372285072481E-2</v>
      </c>
      <c r="Y173" s="132">
        <f t="shared" si="67"/>
        <v>3140073.788193617</v>
      </c>
      <c r="Z173" s="29">
        <f t="shared" si="68"/>
        <v>1.961287216388991</v>
      </c>
      <c r="AA173" s="31">
        <f t="shared" si="69"/>
        <v>0.13926299761341948</v>
      </c>
      <c r="AD173" s="12">
        <f t="shared" si="70"/>
        <v>169</v>
      </c>
      <c r="AE173" s="132">
        <f t="shared" si="71"/>
        <v>3250376.8703789557</v>
      </c>
      <c r="AF173" s="132">
        <f>IF($AD173&lt;=$C$25*12,$AE173-$C$7+SUM('Mortgage Calculators (By Month)'!$K$23:$K191),"-")</f>
        <v>3250376.8703789557</v>
      </c>
      <c r="AG173" s="132">
        <f t="shared" si="72"/>
        <v>16994.412895188161</v>
      </c>
      <c r="AH173" s="132">
        <f>IF($AD173&lt;=$C$25*12,SUM(Inputs!$C$61:$C$78)*'Forecast (By Month)'!AG173,"-")</f>
        <v>1869.3854184706977</v>
      </c>
      <c r="AI173" s="132">
        <f>IF($AD173&lt;=$C$25*12,(SUMIF(Inputs!$C$61:$C$78,0,Inputs!$F$61:$F$78)/12)*(1+$C$34)^ROUNDDOWN((AD173-1)/12,0),"-")</f>
        <v>1488.1666666666667</v>
      </c>
      <c r="AJ173" s="132">
        <f t="shared" si="73"/>
        <v>3357.5520851373644</v>
      </c>
      <c r="AK173" s="132">
        <f>IF($AD173&lt;=$C$25*12,'Mortgage Calculators (By Month)'!$J191,"-")</f>
        <v>0</v>
      </c>
      <c r="AL173" s="132">
        <f>IF($AD173&lt;=$C$25*12,'Mortgage Calculators (By Month)'!$K191,"-")</f>
        <v>0</v>
      </c>
      <c r="AM173" s="132">
        <f>IF($AD173&lt;=$C$25*12,'Mortgage Calculators (By Month)'!$L191,"-")</f>
        <v>10</v>
      </c>
      <c r="AN173" s="132">
        <f t="shared" si="83"/>
        <v>0</v>
      </c>
      <c r="AO173" s="132">
        <f t="shared" si="74"/>
        <v>3367.5520851373644</v>
      </c>
      <c r="AP173" s="132">
        <f t="shared" si="75"/>
        <v>13636.860810050797</v>
      </c>
      <c r="AQ173" s="132">
        <f t="shared" si="76"/>
        <v>0</v>
      </c>
      <c r="AR173" s="132">
        <f t="shared" si="57"/>
        <v>13636.860810050797</v>
      </c>
      <c r="AS173" s="132">
        <f>IF($AD173&lt;=$C$25*12,SUM(AR$5:AR173),"-")</f>
        <v>1560221.4552222409</v>
      </c>
      <c r="AT173" s="132">
        <f>IF($AD173&lt;=$C$25*12,AE173-$C$10-'RE Calculations'!$C360-'Mortgage Calculators (By Month)'!$M191,"-")</f>
        <v>1579842.3329713761</v>
      </c>
      <c r="AU173" s="29">
        <f t="shared" si="77"/>
        <v>0.98676807634810415</v>
      </c>
      <c r="AV173" s="31">
        <f t="shared" si="78"/>
        <v>7.0066372285072481E-2</v>
      </c>
      <c r="AW173" s="132">
        <f t="shared" si="79"/>
        <v>3140063.788193617</v>
      </c>
      <c r="AX173" s="29">
        <f t="shared" si="80"/>
        <v>1.9612809703981364</v>
      </c>
      <c r="AY173" s="31">
        <f t="shared" si="81"/>
        <v>0.13926255411111027</v>
      </c>
    </row>
    <row r="174" spans="6:51" x14ac:dyDescent="0.35">
      <c r="F174" s="12">
        <f t="shared" si="58"/>
        <v>170</v>
      </c>
      <c r="G174" s="132">
        <f t="shared" si="59"/>
        <v>3263619.3080923869</v>
      </c>
      <c r="H174" s="132">
        <f>IF($F174&lt;=$C$16*12,$G174-$C$7+SUM('Mortgage Calculators (By Month)'!$D$23:$D192),"-")</f>
        <v>3263619.3080923869</v>
      </c>
      <c r="I174" s="132">
        <f t="shared" si="60"/>
        <v>16994.412895188161</v>
      </c>
      <c r="J174" s="132">
        <f>IF($F174&lt;=$C$16*12,SUM(Inputs!$C$61:$C$78)*'Forecast (By Month)'!I174,"-")</f>
        <v>1869.3854184706977</v>
      </c>
      <c r="K174" s="132">
        <f>IF($F174&lt;=$C$16*12,(SUMIF(Inputs!$C$61:$C$78,0,Inputs!$F$61:$F$78)/12)*(1+$C$34)^ROUNDDOWN((F174-1)/12,0),"-")</f>
        <v>1488.1666666666667</v>
      </c>
      <c r="L174" s="132">
        <f t="shared" si="61"/>
        <v>3357.5520851373644</v>
      </c>
      <c r="M174" s="132">
        <f>IF($F174&lt;=$C$16*12,'Mortgage Calculators (By Month)'!$C192,"-")</f>
        <v>0</v>
      </c>
      <c r="N174" s="132">
        <f>IF($F174&lt;=$C$16*12,'Mortgage Calculators (By Month)'!$D192,"-")</f>
        <v>0</v>
      </c>
      <c r="O174" s="132">
        <f>IF($F174&lt;=$C$16*12,'Mortgage Calculators (By Month)'!$E192,"-")</f>
        <v>8.3333333333333339</v>
      </c>
      <c r="P174" s="132">
        <f t="shared" si="82"/>
        <v>0</v>
      </c>
      <c r="Q174" s="132">
        <f t="shared" si="62"/>
        <v>3365.8854184706979</v>
      </c>
      <c r="R174" s="132">
        <f t="shared" si="63"/>
        <v>13636.860810050797</v>
      </c>
      <c r="S174" s="132">
        <f t="shared" si="64"/>
        <v>0</v>
      </c>
      <c r="T174" s="132">
        <f t="shared" si="56"/>
        <v>13636.860810050797</v>
      </c>
      <c r="U174" s="132">
        <f>IF($F174&lt;=$C$16*12,SUM(T$5:T174),"-")</f>
        <v>1573868.3160322916</v>
      </c>
      <c r="V174" s="132">
        <f>IF($F174&lt;=$C$16*12,G174-$C$10-'RE Calculations'!$C361-'Mortgage Calculators (By Month)'!$F192,"-")</f>
        <v>1592819.9219305387</v>
      </c>
      <c r="W174" s="29">
        <f t="shared" si="65"/>
        <v>0.99487386654349907</v>
      </c>
      <c r="X174" s="31">
        <f t="shared" si="66"/>
        <v>7.0226390579541109E-2</v>
      </c>
      <c r="Y174" s="132">
        <f t="shared" si="67"/>
        <v>3166688.2379628303</v>
      </c>
      <c r="Z174" s="29">
        <f t="shared" si="68"/>
        <v>1.9779105773749164</v>
      </c>
      <c r="AA174" s="31">
        <f t="shared" si="69"/>
        <v>0.1396172172264647</v>
      </c>
      <c r="AD174" s="12">
        <f t="shared" si="70"/>
        <v>170</v>
      </c>
      <c r="AE174" s="132">
        <f t="shared" si="71"/>
        <v>3263619.3080923869</v>
      </c>
      <c r="AF174" s="132">
        <f>IF($AD174&lt;=$C$25*12,$AE174-$C$7+SUM('Mortgage Calculators (By Month)'!$K$23:$K192),"-")</f>
        <v>3263619.3080923869</v>
      </c>
      <c r="AG174" s="132">
        <f t="shared" si="72"/>
        <v>16994.412895188161</v>
      </c>
      <c r="AH174" s="132">
        <f>IF($AD174&lt;=$C$25*12,SUM(Inputs!$C$61:$C$78)*'Forecast (By Month)'!AG174,"-")</f>
        <v>1869.3854184706977</v>
      </c>
      <c r="AI174" s="132">
        <f>IF($AD174&lt;=$C$25*12,(SUMIF(Inputs!$C$61:$C$78,0,Inputs!$F$61:$F$78)/12)*(1+$C$34)^ROUNDDOWN((AD174-1)/12,0),"-")</f>
        <v>1488.1666666666667</v>
      </c>
      <c r="AJ174" s="132">
        <f t="shared" si="73"/>
        <v>3357.5520851373644</v>
      </c>
      <c r="AK174" s="132">
        <f>IF($AD174&lt;=$C$25*12,'Mortgage Calculators (By Month)'!$J192,"-")</f>
        <v>0</v>
      </c>
      <c r="AL174" s="132">
        <f>IF($AD174&lt;=$C$25*12,'Mortgage Calculators (By Month)'!$K192,"-")</f>
        <v>0</v>
      </c>
      <c r="AM174" s="132">
        <f>IF($AD174&lt;=$C$25*12,'Mortgage Calculators (By Month)'!$L192,"-")</f>
        <v>10</v>
      </c>
      <c r="AN174" s="132">
        <f t="shared" si="83"/>
        <v>0</v>
      </c>
      <c r="AO174" s="132">
        <f t="shared" si="74"/>
        <v>3367.5520851373644</v>
      </c>
      <c r="AP174" s="132">
        <f t="shared" si="75"/>
        <v>13636.860810050797</v>
      </c>
      <c r="AQ174" s="132">
        <f t="shared" si="76"/>
        <v>0</v>
      </c>
      <c r="AR174" s="132">
        <f t="shared" si="57"/>
        <v>13636.860810050797</v>
      </c>
      <c r="AS174" s="132">
        <f>IF($AD174&lt;=$C$25*12,SUM(AR$5:AR174),"-")</f>
        <v>1573858.3160322916</v>
      </c>
      <c r="AT174" s="132">
        <f>IF($AD174&lt;=$C$25*12,AE174-$C$10-'RE Calculations'!$C361-'Mortgage Calculators (By Month)'!$M192,"-")</f>
        <v>1592819.9219305387</v>
      </c>
      <c r="AU174" s="29">
        <f t="shared" si="77"/>
        <v>0.99487386654349907</v>
      </c>
      <c r="AV174" s="31">
        <f t="shared" si="78"/>
        <v>7.0226390579541109E-2</v>
      </c>
      <c r="AW174" s="132">
        <f t="shared" si="79"/>
        <v>3166678.2379628303</v>
      </c>
      <c r="AX174" s="29">
        <f t="shared" si="80"/>
        <v>1.9779043313840619</v>
      </c>
      <c r="AY174" s="31">
        <f t="shared" si="81"/>
        <v>0.1396167763329926</v>
      </c>
    </row>
    <row r="175" spans="6:51" x14ac:dyDescent="0.35">
      <c r="F175" s="12">
        <f t="shared" si="58"/>
        <v>171</v>
      </c>
      <c r="G175" s="132">
        <f t="shared" si="59"/>
        <v>3276915.6971362601</v>
      </c>
      <c r="H175" s="132">
        <f>IF($F175&lt;=$C$16*12,$G175-$C$7+SUM('Mortgage Calculators (By Month)'!$D$23:$D193),"-")</f>
        <v>3276915.6971362601</v>
      </c>
      <c r="I175" s="132">
        <f t="shared" si="60"/>
        <v>16994.412895188161</v>
      </c>
      <c r="J175" s="132">
        <f>IF($F175&lt;=$C$16*12,SUM(Inputs!$C$61:$C$78)*'Forecast (By Month)'!I175,"-")</f>
        <v>1869.3854184706977</v>
      </c>
      <c r="K175" s="132">
        <f>IF($F175&lt;=$C$16*12,(SUMIF(Inputs!$C$61:$C$78,0,Inputs!$F$61:$F$78)/12)*(1+$C$34)^ROUNDDOWN((F175-1)/12,0),"-")</f>
        <v>1488.1666666666667</v>
      </c>
      <c r="L175" s="132">
        <f t="shared" si="61"/>
        <v>3357.5520851373644</v>
      </c>
      <c r="M175" s="132">
        <f>IF($F175&lt;=$C$16*12,'Mortgage Calculators (By Month)'!$C193,"-")</f>
        <v>0</v>
      </c>
      <c r="N175" s="132">
        <f>IF($F175&lt;=$C$16*12,'Mortgage Calculators (By Month)'!$D193,"-")</f>
        <v>0</v>
      </c>
      <c r="O175" s="132">
        <f>IF($F175&lt;=$C$16*12,'Mortgage Calculators (By Month)'!$E193,"-")</f>
        <v>8.3333333333333339</v>
      </c>
      <c r="P175" s="132">
        <f t="shared" si="82"/>
        <v>0</v>
      </c>
      <c r="Q175" s="132">
        <f t="shared" si="62"/>
        <v>3365.8854184706979</v>
      </c>
      <c r="R175" s="132">
        <f t="shared" si="63"/>
        <v>13636.860810050797</v>
      </c>
      <c r="S175" s="132">
        <f t="shared" si="64"/>
        <v>0</v>
      </c>
      <c r="T175" s="132">
        <f t="shared" si="56"/>
        <v>13636.860810050797</v>
      </c>
      <c r="U175" s="132">
        <f>IF($F175&lt;=$C$16*12,SUM(T$5:T175),"-")</f>
        <v>1587505.1768423424</v>
      </c>
      <c r="V175" s="132">
        <f>IF($F175&lt;=$C$16*12,G175-$C$10-'RE Calculations'!$C362-'Mortgage Calculators (By Month)'!$F193,"-")</f>
        <v>1605850.3831935343</v>
      </c>
      <c r="W175" s="29">
        <f t="shared" si="65"/>
        <v>1.0030126807315145</v>
      </c>
      <c r="X175" s="31">
        <f t="shared" si="66"/>
        <v>7.0386854788176453E-2</v>
      </c>
      <c r="Y175" s="132">
        <f t="shared" si="67"/>
        <v>3193355.5600358769</v>
      </c>
      <c r="Z175" s="29">
        <f t="shared" si="68"/>
        <v>1.9945669623534625</v>
      </c>
      <c r="AA175" s="31">
        <f t="shared" si="69"/>
        <v>0.13996961139322545</v>
      </c>
      <c r="AD175" s="12">
        <f t="shared" si="70"/>
        <v>171</v>
      </c>
      <c r="AE175" s="132">
        <f t="shared" si="71"/>
        <v>3276915.6971362601</v>
      </c>
      <c r="AF175" s="132">
        <f>IF($AD175&lt;=$C$25*12,$AE175-$C$7+SUM('Mortgage Calculators (By Month)'!$K$23:$K193),"-")</f>
        <v>3276915.6971362601</v>
      </c>
      <c r="AG175" s="132">
        <f t="shared" si="72"/>
        <v>16994.412895188161</v>
      </c>
      <c r="AH175" s="132">
        <f>IF($AD175&lt;=$C$25*12,SUM(Inputs!$C$61:$C$78)*'Forecast (By Month)'!AG175,"-")</f>
        <v>1869.3854184706977</v>
      </c>
      <c r="AI175" s="132">
        <f>IF($AD175&lt;=$C$25*12,(SUMIF(Inputs!$C$61:$C$78,0,Inputs!$F$61:$F$78)/12)*(1+$C$34)^ROUNDDOWN((AD175-1)/12,0),"-")</f>
        <v>1488.1666666666667</v>
      </c>
      <c r="AJ175" s="132">
        <f t="shared" si="73"/>
        <v>3357.5520851373644</v>
      </c>
      <c r="AK175" s="132">
        <f>IF($AD175&lt;=$C$25*12,'Mortgage Calculators (By Month)'!$J193,"-")</f>
        <v>0</v>
      </c>
      <c r="AL175" s="132">
        <f>IF($AD175&lt;=$C$25*12,'Mortgage Calculators (By Month)'!$K193,"-")</f>
        <v>0</v>
      </c>
      <c r="AM175" s="132">
        <f>IF($AD175&lt;=$C$25*12,'Mortgage Calculators (By Month)'!$L193,"-")</f>
        <v>10</v>
      </c>
      <c r="AN175" s="132">
        <f t="shared" si="83"/>
        <v>0</v>
      </c>
      <c r="AO175" s="132">
        <f t="shared" si="74"/>
        <v>3367.5520851373644</v>
      </c>
      <c r="AP175" s="132">
        <f t="shared" si="75"/>
        <v>13636.860810050797</v>
      </c>
      <c r="AQ175" s="132">
        <f t="shared" si="76"/>
        <v>0</v>
      </c>
      <c r="AR175" s="132">
        <f t="shared" si="57"/>
        <v>13636.860810050797</v>
      </c>
      <c r="AS175" s="132">
        <f>IF($AD175&lt;=$C$25*12,SUM(AR$5:AR175),"-")</f>
        <v>1587495.1768423424</v>
      </c>
      <c r="AT175" s="132">
        <f>IF($AD175&lt;=$C$25*12,AE175-$C$10-'RE Calculations'!$C362-'Mortgage Calculators (By Month)'!$M193,"-")</f>
        <v>1605850.3831935343</v>
      </c>
      <c r="AU175" s="29">
        <f t="shared" si="77"/>
        <v>1.0030126807315145</v>
      </c>
      <c r="AV175" s="31">
        <f t="shared" si="78"/>
        <v>7.0386854788176453E-2</v>
      </c>
      <c r="AW175" s="132">
        <f t="shared" si="79"/>
        <v>3193345.5600358769</v>
      </c>
      <c r="AX175" s="29">
        <f t="shared" si="80"/>
        <v>1.9945607163626078</v>
      </c>
      <c r="AY175" s="31">
        <f t="shared" si="81"/>
        <v>0.13996917307807774</v>
      </c>
    </row>
    <row r="176" spans="6:51" x14ac:dyDescent="0.35">
      <c r="F176" s="12">
        <f t="shared" si="58"/>
        <v>172</v>
      </c>
      <c r="G176" s="132">
        <f t="shared" si="59"/>
        <v>3290266.2573149735</v>
      </c>
      <c r="H176" s="132">
        <f>IF($F176&lt;=$C$16*12,$G176-$C$7+SUM('Mortgage Calculators (By Month)'!$D$23:$D194),"-")</f>
        <v>3290266.2573149735</v>
      </c>
      <c r="I176" s="132">
        <f t="shared" si="60"/>
        <v>16994.412895188161</v>
      </c>
      <c r="J176" s="132">
        <f>IF($F176&lt;=$C$16*12,SUM(Inputs!$C$61:$C$78)*'Forecast (By Month)'!I176,"-")</f>
        <v>1869.3854184706977</v>
      </c>
      <c r="K176" s="132">
        <f>IF($F176&lt;=$C$16*12,(SUMIF(Inputs!$C$61:$C$78,0,Inputs!$F$61:$F$78)/12)*(1+$C$34)^ROUNDDOWN((F176-1)/12,0),"-")</f>
        <v>1488.1666666666667</v>
      </c>
      <c r="L176" s="132">
        <f t="shared" si="61"/>
        <v>3357.5520851373644</v>
      </c>
      <c r="M176" s="132">
        <f>IF($F176&lt;=$C$16*12,'Mortgage Calculators (By Month)'!$C194,"-")</f>
        <v>0</v>
      </c>
      <c r="N176" s="132">
        <f>IF($F176&lt;=$C$16*12,'Mortgage Calculators (By Month)'!$D194,"-")</f>
        <v>0</v>
      </c>
      <c r="O176" s="132">
        <f>IF($F176&lt;=$C$16*12,'Mortgage Calculators (By Month)'!$E194,"-")</f>
        <v>8.3333333333333339</v>
      </c>
      <c r="P176" s="132">
        <f t="shared" si="82"/>
        <v>0</v>
      </c>
      <c r="Q176" s="132">
        <f t="shared" si="62"/>
        <v>3365.8854184706979</v>
      </c>
      <c r="R176" s="132">
        <f t="shared" si="63"/>
        <v>13636.860810050797</v>
      </c>
      <c r="S176" s="132">
        <f t="shared" si="64"/>
        <v>0</v>
      </c>
      <c r="T176" s="132">
        <f t="shared" si="56"/>
        <v>13636.860810050797</v>
      </c>
      <c r="U176" s="132">
        <f>IF($F176&lt;=$C$16*12,SUM(T$5:T176),"-")</f>
        <v>1601142.0376523931</v>
      </c>
      <c r="V176" s="132">
        <f>IF($F176&lt;=$C$16*12,G176-$C$10-'RE Calculations'!$C363-'Mortgage Calculators (By Month)'!$F194,"-")</f>
        <v>1618933.9321686737</v>
      </c>
      <c r="W176" s="29">
        <f t="shared" si="65"/>
        <v>1.0111846534559841</v>
      </c>
      <c r="X176" s="31">
        <f t="shared" si="66"/>
        <v>7.0547766520184935E-2</v>
      </c>
      <c r="Y176" s="132">
        <f t="shared" si="67"/>
        <v>3220075.9698210666</v>
      </c>
      <c r="Z176" s="29">
        <f t="shared" si="68"/>
        <v>2.0112565058684622</v>
      </c>
      <c r="AA176" s="31">
        <f t="shared" si="69"/>
        <v>0.14032022133966016</v>
      </c>
      <c r="AD176" s="12">
        <f t="shared" si="70"/>
        <v>172</v>
      </c>
      <c r="AE176" s="132">
        <f t="shared" si="71"/>
        <v>3290266.2573149735</v>
      </c>
      <c r="AF176" s="132">
        <f>IF($AD176&lt;=$C$25*12,$AE176-$C$7+SUM('Mortgage Calculators (By Month)'!$K$23:$K194),"-")</f>
        <v>3290266.2573149735</v>
      </c>
      <c r="AG176" s="132">
        <f t="shared" si="72"/>
        <v>16994.412895188161</v>
      </c>
      <c r="AH176" s="132">
        <f>IF($AD176&lt;=$C$25*12,SUM(Inputs!$C$61:$C$78)*'Forecast (By Month)'!AG176,"-")</f>
        <v>1869.3854184706977</v>
      </c>
      <c r="AI176" s="132">
        <f>IF($AD176&lt;=$C$25*12,(SUMIF(Inputs!$C$61:$C$78,0,Inputs!$F$61:$F$78)/12)*(1+$C$34)^ROUNDDOWN((AD176-1)/12,0),"-")</f>
        <v>1488.1666666666667</v>
      </c>
      <c r="AJ176" s="132">
        <f t="shared" si="73"/>
        <v>3357.5520851373644</v>
      </c>
      <c r="AK176" s="132">
        <f>IF($AD176&lt;=$C$25*12,'Mortgage Calculators (By Month)'!$J194,"-")</f>
        <v>0</v>
      </c>
      <c r="AL176" s="132">
        <f>IF($AD176&lt;=$C$25*12,'Mortgage Calculators (By Month)'!$K194,"-")</f>
        <v>0</v>
      </c>
      <c r="AM176" s="132">
        <f>IF($AD176&lt;=$C$25*12,'Mortgage Calculators (By Month)'!$L194,"-")</f>
        <v>10</v>
      </c>
      <c r="AN176" s="132">
        <f t="shared" si="83"/>
        <v>0</v>
      </c>
      <c r="AO176" s="132">
        <f t="shared" si="74"/>
        <v>3367.5520851373644</v>
      </c>
      <c r="AP176" s="132">
        <f t="shared" si="75"/>
        <v>13636.860810050797</v>
      </c>
      <c r="AQ176" s="132">
        <f t="shared" si="76"/>
        <v>0</v>
      </c>
      <c r="AR176" s="132">
        <f t="shared" si="57"/>
        <v>13636.860810050797</v>
      </c>
      <c r="AS176" s="132">
        <f>IF($AD176&lt;=$C$25*12,SUM(AR$5:AR176),"-")</f>
        <v>1601132.0376523931</v>
      </c>
      <c r="AT176" s="132">
        <f>IF($AD176&lt;=$C$25*12,AE176-$C$10-'RE Calculations'!$C363-'Mortgage Calculators (By Month)'!$M194,"-")</f>
        <v>1618933.9321686737</v>
      </c>
      <c r="AU176" s="29">
        <f t="shared" si="77"/>
        <v>1.0111846534559841</v>
      </c>
      <c r="AV176" s="31">
        <f t="shared" si="78"/>
        <v>7.0547766520184935E-2</v>
      </c>
      <c r="AW176" s="132">
        <f t="shared" si="79"/>
        <v>3220065.9698210666</v>
      </c>
      <c r="AX176" s="29">
        <f t="shared" si="80"/>
        <v>2.0112502598776079</v>
      </c>
      <c r="AY176" s="31">
        <f t="shared" si="81"/>
        <v>0.14031978557285635</v>
      </c>
    </row>
    <row r="177" spans="6:51" x14ac:dyDescent="0.35">
      <c r="F177" s="12">
        <f t="shared" si="58"/>
        <v>173</v>
      </c>
      <c r="G177" s="132">
        <f t="shared" si="59"/>
        <v>3303671.2093284363</v>
      </c>
      <c r="H177" s="132">
        <f>IF($F177&lt;=$C$16*12,$G177-$C$7+SUM('Mortgage Calculators (By Month)'!$D$23:$D195),"-")</f>
        <v>3303671.2093284363</v>
      </c>
      <c r="I177" s="132">
        <f t="shared" si="60"/>
        <v>16994.412895188161</v>
      </c>
      <c r="J177" s="132">
        <f>IF($F177&lt;=$C$16*12,SUM(Inputs!$C$61:$C$78)*'Forecast (By Month)'!I177,"-")</f>
        <v>1869.3854184706977</v>
      </c>
      <c r="K177" s="132">
        <f>IF($F177&lt;=$C$16*12,(SUMIF(Inputs!$C$61:$C$78,0,Inputs!$F$61:$F$78)/12)*(1+$C$34)^ROUNDDOWN((F177-1)/12,0),"-")</f>
        <v>1488.1666666666667</v>
      </c>
      <c r="L177" s="132">
        <f t="shared" si="61"/>
        <v>3357.5520851373644</v>
      </c>
      <c r="M177" s="132">
        <f>IF($F177&lt;=$C$16*12,'Mortgage Calculators (By Month)'!$C195,"-")</f>
        <v>0</v>
      </c>
      <c r="N177" s="132">
        <f>IF($F177&lt;=$C$16*12,'Mortgage Calculators (By Month)'!$D195,"-")</f>
        <v>0</v>
      </c>
      <c r="O177" s="132">
        <f>IF($F177&lt;=$C$16*12,'Mortgage Calculators (By Month)'!$E195,"-")</f>
        <v>8.3333333333333339</v>
      </c>
      <c r="P177" s="132">
        <f t="shared" si="82"/>
        <v>0</v>
      </c>
      <c r="Q177" s="132">
        <f t="shared" si="62"/>
        <v>3365.8854184706979</v>
      </c>
      <c r="R177" s="132">
        <f t="shared" si="63"/>
        <v>13636.860810050797</v>
      </c>
      <c r="S177" s="132">
        <f t="shared" si="64"/>
        <v>0</v>
      </c>
      <c r="T177" s="132">
        <f t="shared" si="56"/>
        <v>13636.860810050797</v>
      </c>
      <c r="U177" s="132">
        <f>IF($F177&lt;=$C$16*12,SUM(T$5:T177),"-")</f>
        <v>1614778.8984624438</v>
      </c>
      <c r="V177" s="132">
        <f>IF($F177&lt;=$C$16*12,G177-$C$10-'RE Calculations'!$C364-'Mortgage Calculators (By Month)'!$F195,"-")</f>
        <v>1632070.7851418671</v>
      </c>
      <c r="W177" s="29">
        <f t="shared" si="65"/>
        <v>1.0193899198088896</v>
      </c>
      <c r="X177" s="31">
        <f t="shared" si="66"/>
        <v>7.0709127385587725E-2</v>
      </c>
      <c r="Y177" s="132">
        <f t="shared" si="67"/>
        <v>3246849.6836043112</v>
      </c>
      <c r="Z177" s="29">
        <f t="shared" si="68"/>
        <v>2.0279793430118986</v>
      </c>
      <c r="AA177" s="31">
        <f t="shared" si="69"/>
        <v>0.14066908737654787</v>
      </c>
      <c r="AD177" s="12">
        <f t="shared" si="70"/>
        <v>173</v>
      </c>
      <c r="AE177" s="132">
        <f t="shared" si="71"/>
        <v>3303671.2093284363</v>
      </c>
      <c r="AF177" s="132">
        <f>IF($AD177&lt;=$C$25*12,$AE177-$C$7+SUM('Mortgage Calculators (By Month)'!$K$23:$K195),"-")</f>
        <v>3303671.2093284363</v>
      </c>
      <c r="AG177" s="132">
        <f t="shared" si="72"/>
        <v>16994.412895188161</v>
      </c>
      <c r="AH177" s="132">
        <f>IF($AD177&lt;=$C$25*12,SUM(Inputs!$C$61:$C$78)*'Forecast (By Month)'!AG177,"-")</f>
        <v>1869.3854184706977</v>
      </c>
      <c r="AI177" s="132">
        <f>IF($AD177&lt;=$C$25*12,(SUMIF(Inputs!$C$61:$C$78,0,Inputs!$F$61:$F$78)/12)*(1+$C$34)^ROUNDDOWN((AD177-1)/12,0),"-")</f>
        <v>1488.1666666666667</v>
      </c>
      <c r="AJ177" s="132">
        <f t="shared" si="73"/>
        <v>3357.5520851373644</v>
      </c>
      <c r="AK177" s="132">
        <f>IF($AD177&lt;=$C$25*12,'Mortgage Calculators (By Month)'!$J195,"-")</f>
        <v>0</v>
      </c>
      <c r="AL177" s="132">
        <f>IF($AD177&lt;=$C$25*12,'Mortgage Calculators (By Month)'!$K195,"-")</f>
        <v>0</v>
      </c>
      <c r="AM177" s="132">
        <f>IF($AD177&lt;=$C$25*12,'Mortgage Calculators (By Month)'!$L195,"-")</f>
        <v>10</v>
      </c>
      <c r="AN177" s="132">
        <f t="shared" si="83"/>
        <v>0</v>
      </c>
      <c r="AO177" s="132">
        <f t="shared" si="74"/>
        <v>3367.5520851373644</v>
      </c>
      <c r="AP177" s="132">
        <f t="shared" si="75"/>
        <v>13636.860810050797</v>
      </c>
      <c r="AQ177" s="132">
        <f t="shared" si="76"/>
        <v>0</v>
      </c>
      <c r="AR177" s="132">
        <f t="shared" si="57"/>
        <v>13636.860810050797</v>
      </c>
      <c r="AS177" s="132">
        <f>IF($AD177&lt;=$C$25*12,SUM(AR$5:AR177),"-")</f>
        <v>1614768.8984624438</v>
      </c>
      <c r="AT177" s="132">
        <f>IF($AD177&lt;=$C$25*12,AE177-$C$10-'RE Calculations'!$C364-'Mortgage Calculators (By Month)'!$M195,"-")</f>
        <v>1632070.7851418671</v>
      </c>
      <c r="AU177" s="29">
        <f t="shared" si="77"/>
        <v>1.0193899198088896</v>
      </c>
      <c r="AV177" s="31">
        <f t="shared" si="78"/>
        <v>7.0709127385587725E-2</v>
      </c>
      <c r="AW177" s="132">
        <f t="shared" si="79"/>
        <v>3246839.6836043112</v>
      </c>
      <c r="AX177" s="29">
        <f t="shared" si="80"/>
        <v>2.0279730970210443</v>
      </c>
      <c r="AY177" s="31">
        <f t="shared" si="81"/>
        <v>0.14066865412862736</v>
      </c>
    </row>
    <row r="178" spans="6:51" x14ac:dyDescent="0.35">
      <c r="F178" s="12">
        <f t="shared" si="58"/>
        <v>174</v>
      </c>
      <c r="G178" s="132">
        <f t="shared" si="59"/>
        <v>3317130.7747757155</v>
      </c>
      <c r="H178" s="132">
        <f>IF($F178&lt;=$C$16*12,$G178-$C$7+SUM('Mortgage Calculators (By Month)'!$D$23:$D196),"-")</f>
        <v>3317130.7747757155</v>
      </c>
      <c r="I178" s="132">
        <f t="shared" si="60"/>
        <v>16994.412895188161</v>
      </c>
      <c r="J178" s="132">
        <f>IF($F178&lt;=$C$16*12,SUM(Inputs!$C$61:$C$78)*'Forecast (By Month)'!I178,"-")</f>
        <v>1869.3854184706977</v>
      </c>
      <c r="K178" s="132">
        <f>IF($F178&lt;=$C$16*12,(SUMIF(Inputs!$C$61:$C$78,0,Inputs!$F$61:$F$78)/12)*(1+$C$34)^ROUNDDOWN((F178-1)/12,0),"-")</f>
        <v>1488.1666666666667</v>
      </c>
      <c r="L178" s="132">
        <f t="shared" si="61"/>
        <v>3357.5520851373644</v>
      </c>
      <c r="M178" s="132">
        <f>IF($F178&lt;=$C$16*12,'Mortgage Calculators (By Month)'!$C196,"-")</f>
        <v>0</v>
      </c>
      <c r="N178" s="132">
        <f>IF($F178&lt;=$C$16*12,'Mortgage Calculators (By Month)'!$D196,"-")</f>
        <v>0</v>
      </c>
      <c r="O178" s="132">
        <f>IF($F178&lt;=$C$16*12,'Mortgage Calculators (By Month)'!$E196,"-")</f>
        <v>8.3333333333333339</v>
      </c>
      <c r="P178" s="132">
        <f t="shared" si="82"/>
        <v>0</v>
      </c>
      <c r="Q178" s="132">
        <f t="shared" si="62"/>
        <v>3365.8854184706979</v>
      </c>
      <c r="R178" s="132">
        <f t="shared" si="63"/>
        <v>13636.860810050797</v>
      </c>
      <c r="S178" s="132">
        <f t="shared" si="64"/>
        <v>0</v>
      </c>
      <c r="T178" s="132">
        <f t="shared" si="56"/>
        <v>13636.860810050797</v>
      </c>
      <c r="U178" s="132">
        <f>IF($F178&lt;=$C$16*12,SUM(T$5:T178),"-")</f>
        <v>1628415.7592724946</v>
      </c>
      <c r="V178" s="132">
        <f>IF($F178&lt;=$C$16*12,G178-$C$10-'RE Calculations'!$C365-'Mortgage Calculators (By Month)'!$F196,"-")</f>
        <v>1645261.1592802007</v>
      </c>
      <c r="W178" s="29">
        <f t="shared" si="65"/>
        <v>1.0276286154325946</v>
      </c>
      <c r="X178" s="31">
        <f t="shared" si="66"/>
        <v>7.0870938995351351E-2</v>
      </c>
      <c r="Y178" s="132">
        <f t="shared" si="67"/>
        <v>3273676.9185526953</v>
      </c>
      <c r="Z178" s="29">
        <f t="shared" si="68"/>
        <v>2.0447356094261342</v>
      </c>
      <c r="AA178" s="31">
        <f t="shared" si="69"/>
        <v>0.14101624892594028</v>
      </c>
      <c r="AD178" s="12">
        <f t="shared" si="70"/>
        <v>174</v>
      </c>
      <c r="AE178" s="132">
        <f t="shared" si="71"/>
        <v>3317130.7747757155</v>
      </c>
      <c r="AF178" s="132">
        <f>IF($AD178&lt;=$C$25*12,$AE178-$C$7+SUM('Mortgage Calculators (By Month)'!$K$23:$K196),"-")</f>
        <v>3317130.7747757155</v>
      </c>
      <c r="AG178" s="132">
        <f t="shared" si="72"/>
        <v>16994.412895188161</v>
      </c>
      <c r="AH178" s="132">
        <f>IF($AD178&lt;=$C$25*12,SUM(Inputs!$C$61:$C$78)*'Forecast (By Month)'!AG178,"-")</f>
        <v>1869.3854184706977</v>
      </c>
      <c r="AI178" s="132">
        <f>IF($AD178&lt;=$C$25*12,(SUMIF(Inputs!$C$61:$C$78,0,Inputs!$F$61:$F$78)/12)*(1+$C$34)^ROUNDDOWN((AD178-1)/12,0),"-")</f>
        <v>1488.1666666666667</v>
      </c>
      <c r="AJ178" s="132">
        <f t="shared" si="73"/>
        <v>3357.5520851373644</v>
      </c>
      <c r="AK178" s="132">
        <f>IF($AD178&lt;=$C$25*12,'Mortgage Calculators (By Month)'!$J196,"-")</f>
        <v>0</v>
      </c>
      <c r="AL178" s="132">
        <f>IF($AD178&lt;=$C$25*12,'Mortgage Calculators (By Month)'!$K196,"-")</f>
        <v>0</v>
      </c>
      <c r="AM178" s="132">
        <f>IF($AD178&lt;=$C$25*12,'Mortgage Calculators (By Month)'!$L196,"-")</f>
        <v>10</v>
      </c>
      <c r="AN178" s="132">
        <f t="shared" si="83"/>
        <v>0</v>
      </c>
      <c r="AO178" s="132">
        <f t="shared" si="74"/>
        <v>3367.5520851373644</v>
      </c>
      <c r="AP178" s="132">
        <f t="shared" si="75"/>
        <v>13636.860810050797</v>
      </c>
      <c r="AQ178" s="132">
        <f t="shared" si="76"/>
        <v>0</v>
      </c>
      <c r="AR178" s="132">
        <f t="shared" si="57"/>
        <v>13636.860810050797</v>
      </c>
      <c r="AS178" s="132">
        <f>IF($AD178&lt;=$C$25*12,SUM(AR$5:AR178),"-")</f>
        <v>1628405.7592724946</v>
      </c>
      <c r="AT178" s="132">
        <f>IF($AD178&lt;=$C$25*12,AE178-$C$10-'RE Calculations'!$C365-'Mortgage Calculators (By Month)'!$M196,"-")</f>
        <v>1645261.1592802007</v>
      </c>
      <c r="AU178" s="29">
        <f t="shared" si="77"/>
        <v>1.0276286154325946</v>
      </c>
      <c r="AV178" s="31">
        <f t="shared" si="78"/>
        <v>7.0870938995351351E-2</v>
      </c>
      <c r="AW178" s="132">
        <f t="shared" si="79"/>
        <v>3273666.9185526953</v>
      </c>
      <c r="AX178" s="29">
        <f t="shared" si="80"/>
        <v>2.0447293634352794</v>
      </c>
      <c r="AY178" s="31">
        <f t="shared" si="81"/>
        <v>0.14101581816795031</v>
      </c>
    </row>
    <row r="179" spans="6:51" x14ac:dyDescent="0.35">
      <c r="F179" s="12">
        <f t="shared" si="58"/>
        <v>175</v>
      </c>
      <c r="G179" s="132">
        <f t="shared" si="59"/>
        <v>3330645.1761587011</v>
      </c>
      <c r="H179" s="132">
        <f>IF($F179&lt;=$C$16*12,$G179-$C$7+SUM('Mortgage Calculators (By Month)'!$D$23:$D197),"-")</f>
        <v>3330645.1761587011</v>
      </c>
      <c r="I179" s="132">
        <f t="shared" si="60"/>
        <v>16994.412895188161</v>
      </c>
      <c r="J179" s="132">
        <f>IF($F179&lt;=$C$16*12,SUM(Inputs!$C$61:$C$78)*'Forecast (By Month)'!I179,"-")</f>
        <v>1869.3854184706977</v>
      </c>
      <c r="K179" s="132">
        <f>IF($F179&lt;=$C$16*12,(SUMIF(Inputs!$C$61:$C$78,0,Inputs!$F$61:$F$78)/12)*(1+$C$34)^ROUNDDOWN((F179-1)/12,0),"-")</f>
        <v>1488.1666666666667</v>
      </c>
      <c r="L179" s="132">
        <f t="shared" si="61"/>
        <v>3357.5520851373644</v>
      </c>
      <c r="M179" s="132">
        <f>IF($F179&lt;=$C$16*12,'Mortgage Calculators (By Month)'!$C197,"-")</f>
        <v>0</v>
      </c>
      <c r="N179" s="132">
        <f>IF($F179&lt;=$C$16*12,'Mortgage Calculators (By Month)'!$D197,"-")</f>
        <v>0</v>
      </c>
      <c r="O179" s="132">
        <f>IF($F179&lt;=$C$16*12,'Mortgage Calculators (By Month)'!$E197,"-")</f>
        <v>8.3333333333333339</v>
      </c>
      <c r="P179" s="132">
        <f t="shared" si="82"/>
        <v>0</v>
      </c>
      <c r="Q179" s="132">
        <f t="shared" si="62"/>
        <v>3365.8854184706979</v>
      </c>
      <c r="R179" s="132">
        <f t="shared" si="63"/>
        <v>13636.860810050797</v>
      </c>
      <c r="S179" s="132">
        <f t="shared" si="64"/>
        <v>0</v>
      </c>
      <c r="T179" s="132">
        <f t="shared" si="56"/>
        <v>13636.860810050797</v>
      </c>
      <c r="U179" s="132">
        <f>IF($F179&lt;=$C$16*12,SUM(T$5:T179),"-")</f>
        <v>1642052.6200825453</v>
      </c>
      <c r="V179" s="132">
        <f>IF($F179&lt;=$C$16*12,G179-$C$10-'RE Calculations'!$C366-'Mortgage Calculators (By Month)'!$F197,"-")</f>
        <v>1658505.2726355265</v>
      </c>
      <c r="W179" s="29">
        <f t="shared" si="65"/>
        <v>1.0359008765220865</v>
      </c>
      <c r="X179" s="31">
        <f t="shared" si="66"/>
        <v>7.1033202961514497E-2</v>
      </c>
      <c r="Y179" s="132">
        <f t="shared" si="67"/>
        <v>3300557.892718072</v>
      </c>
      <c r="Z179" s="29">
        <f t="shared" si="68"/>
        <v>2.0615254413061566</v>
      </c>
      <c r="AA179" s="31">
        <f t="shared" si="69"/>
        <v>0.14136174454670788</v>
      </c>
      <c r="AD179" s="12">
        <f t="shared" si="70"/>
        <v>175</v>
      </c>
      <c r="AE179" s="132">
        <f t="shared" si="71"/>
        <v>3330645.1761587011</v>
      </c>
      <c r="AF179" s="132">
        <f>IF($AD179&lt;=$C$25*12,$AE179-$C$7+SUM('Mortgage Calculators (By Month)'!$K$23:$K197),"-")</f>
        <v>3330645.1761587011</v>
      </c>
      <c r="AG179" s="132">
        <f t="shared" si="72"/>
        <v>16994.412895188161</v>
      </c>
      <c r="AH179" s="132">
        <f>IF($AD179&lt;=$C$25*12,SUM(Inputs!$C$61:$C$78)*'Forecast (By Month)'!AG179,"-")</f>
        <v>1869.3854184706977</v>
      </c>
      <c r="AI179" s="132">
        <f>IF($AD179&lt;=$C$25*12,(SUMIF(Inputs!$C$61:$C$78,0,Inputs!$F$61:$F$78)/12)*(1+$C$34)^ROUNDDOWN((AD179-1)/12,0),"-")</f>
        <v>1488.1666666666667</v>
      </c>
      <c r="AJ179" s="132">
        <f t="shared" si="73"/>
        <v>3357.5520851373644</v>
      </c>
      <c r="AK179" s="132">
        <f>IF($AD179&lt;=$C$25*12,'Mortgage Calculators (By Month)'!$J197,"-")</f>
        <v>0</v>
      </c>
      <c r="AL179" s="132">
        <f>IF($AD179&lt;=$C$25*12,'Mortgage Calculators (By Month)'!$K197,"-")</f>
        <v>0</v>
      </c>
      <c r="AM179" s="132">
        <f>IF($AD179&lt;=$C$25*12,'Mortgage Calculators (By Month)'!$L197,"-")</f>
        <v>10</v>
      </c>
      <c r="AN179" s="132">
        <f t="shared" si="83"/>
        <v>0</v>
      </c>
      <c r="AO179" s="132">
        <f t="shared" si="74"/>
        <v>3367.5520851373644</v>
      </c>
      <c r="AP179" s="132">
        <f t="shared" si="75"/>
        <v>13636.860810050797</v>
      </c>
      <c r="AQ179" s="132">
        <f t="shared" si="76"/>
        <v>0</v>
      </c>
      <c r="AR179" s="132">
        <f t="shared" si="57"/>
        <v>13636.860810050797</v>
      </c>
      <c r="AS179" s="132">
        <f>IF($AD179&lt;=$C$25*12,SUM(AR$5:AR179),"-")</f>
        <v>1642042.6200825453</v>
      </c>
      <c r="AT179" s="132">
        <f>IF($AD179&lt;=$C$25*12,AE179-$C$10-'RE Calculations'!$C366-'Mortgage Calculators (By Month)'!$M197,"-")</f>
        <v>1658505.2726355265</v>
      </c>
      <c r="AU179" s="29">
        <f t="shared" si="77"/>
        <v>1.0359008765220865</v>
      </c>
      <c r="AV179" s="31">
        <f t="shared" si="78"/>
        <v>7.1033202961514497E-2</v>
      </c>
      <c r="AW179" s="132">
        <f t="shared" si="79"/>
        <v>3300547.892718072</v>
      </c>
      <c r="AX179" s="29">
        <f t="shared" si="80"/>
        <v>2.0615191953153018</v>
      </c>
      <c r="AY179" s="31">
        <f t="shared" si="81"/>
        <v>0.14136131625019213</v>
      </c>
    </row>
    <row r="180" spans="6:51" x14ac:dyDescent="0.35">
      <c r="F180" s="12">
        <f t="shared" si="58"/>
        <v>176</v>
      </c>
      <c r="G180" s="132">
        <f t="shared" si="59"/>
        <v>3344214.6368857827</v>
      </c>
      <c r="H180" s="132">
        <f>IF($F180&lt;=$C$16*12,$G180-$C$7+SUM('Mortgage Calculators (By Month)'!$D$23:$D198),"-")</f>
        <v>3344214.6368857827</v>
      </c>
      <c r="I180" s="132">
        <f t="shared" si="60"/>
        <v>16994.412895188161</v>
      </c>
      <c r="J180" s="132">
        <f>IF($F180&lt;=$C$16*12,SUM(Inputs!$C$61:$C$78)*'Forecast (By Month)'!I180,"-")</f>
        <v>1869.3854184706977</v>
      </c>
      <c r="K180" s="132">
        <f>IF($F180&lt;=$C$16*12,(SUMIF(Inputs!$C$61:$C$78,0,Inputs!$F$61:$F$78)/12)*(1+$C$34)^ROUNDDOWN((F180-1)/12,0),"-")</f>
        <v>1488.1666666666667</v>
      </c>
      <c r="L180" s="132">
        <f t="shared" si="61"/>
        <v>3357.5520851373644</v>
      </c>
      <c r="M180" s="132">
        <f>IF($F180&lt;=$C$16*12,'Mortgage Calculators (By Month)'!$C198,"-")</f>
        <v>0</v>
      </c>
      <c r="N180" s="132">
        <f>IF($F180&lt;=$C$16*12,'Mortgage Calculators (By Month)'!$D198,"-")</f>
        <v>0</v>
      </c>
      <c r="O180" s="132">
        <f>IF($F180&lt;=$C$16*12,'Mortgage Calculators (By Month)'!$E198,"-")</f>
        <v>8.3333333333333339</v>
      </c>
      <c r="P180" s="132">
        <f t="shared" si="82"/>
        <v>0</v>
      </c>
      <c r="Q180" s="132">
        <f t="shared" si="62"/>
        <v>3365.8854184706979</v>
      </c>
      <c r="R180" s="132">
        <f t="shared" si="63"/>
        <v>13636.860810050797</v>
      </c>
      <c r="S180" s="132">
        <f t="shared" si="64"/>
        <v>0</v>
      </c>
      <c r="T180" s="132">
        <f t="shared" si="56"/>
        <v>13636.860810050797</v>
      </c>
      <c r="U180" s="132">
        <f>IF($F180&lt;=$C$16*12,SUM(T$5:T180),"-")</f>
        <v>1655689.4808925961</v>
      </c>
      <c r="V180" s="132">
        <f>IF($F180&lt;=$C$16*12,G180-$C$10-'RE Calculations'!$C367-'Mortgage Calculators (By Month)'!$F198,"-")</f>
        <v>1671803.3441480666</v>
      </c>
      <c r="W180" s="29">
        <f t="shared" si="65"/>
        <v>1.0442068398272275</v>
      </c>
      <c r="X180" s="31">
        <f t="shared" si="66"/>
        <v>7.1195920897310971E-2</v>
      </c>
      <c r="Y180" s="132">
        <f t="shared" si="67"/>
        <v>3327492.8250406627</v>
      </c>
      <c r="Z180" s="29">
        <f t="shared" si="68"/>
        <v>2.0783489754018283</v>
      </c>
      <c r="AA180" s="31">
        <f t="shared" si="69"/>
        <v>0.14170561195921558</v>
      </c>
      <c r="AD180" s="12">
        <f t="shared" si="70"/>
        <v>176</v>
      </c>
      <c r="AE180" s="132">
        <f t="shared" si="71"/>
        <v>3344214.6368857827</v>
      </c>
      <c r="AF180" s="132">
        <f>IF($AD180&lt;=$C$25*12,$AE180-$C$7+SUM('Mortgage Calculators (By Month)'!$K$23:$K198),"-")</f>
        <v>3344214.6368857827</v>
      </c>
      <c r="AG180" s="132">
        <f t="shared" si="72"/>
        <v>16994.412895188161</v>
      </c>
      <c r="AH180" s="132">
        <f>IF($AD180&lt;=$C$25*12,SUM(Inputs!$C$61:$C$78)*'Forecast (By Month)'!AG180,"-")</f>
        <v>1869.3854184706977</v>
      </c>
      <c r="AI180" s="132">
        <f>IF($AD180&lt;=$C$25*12,(SUMIF(Inputs!$C$61:$C$78,0,Inputs!$F$61:$F$78)/12)*(1+$C$34)^ROUNDDOWN((AD180-1)/12,0),"-")</f>
        <v>1488.1666666666667</v>
      </c>
      <c r="AJ180" s="132">
        <f t="shared" si="73"/>
        <v>3357.5520851373644</v>
      </c>
      <c r="AK180" s="132">
        <f>IF($AD180&lt;=$C$25*12,'Mortgage Calculators (By Month)'!$J198,"-")</f>
        <v>0</v>
      </c>
      <c r="AL180" s="132">
        <f>IF($AD180&lt;=$C$25*12,'Mortgage Calculators (By Month)'!$K198,"-")</f>
        <v>0</v>
      </c>
      <c r="AM180" s="132">
        <f>IF($AD180&lt;=$C$25*12,'Mortgage Calculators (By Month)'!$L198,"-")</f>
        <v>10</v>
      </c>
      <c r="AN180" s="132">
        <f t="shared" si="83"/>
        <v>0</v>
      </c>
      <c r="AO180" s="132">
        <f t="shared" si="74"/>
        <v>3367.5520851373644</v>
      </c>
      <c r="AP180" s="132">
        <f t="shared" si="75"/>
        <v>13636.860810050797</v>
      </c>
      <c r="AQ180" s="132">
        <f t="shared" si="76"/>
        <v>0</v>
      </c>
      <c r="AR180" s="132">
        <f t="shared" si="57"/>
        <v>13636.860810050797</v>
      </c>
      <c r="AS180" s="132">
        <f>IF($AD180&lt;=$C$25*12,SUM(AR$5:AR180),"-")</f>
        <v>1655679.4808925961</v>
      </c>
      <c r="AT180" s="132">
        <f>IF($AD180&lt;=$C$25*12,AE180-$C$10-'RE Calculations'!$C367-'Mortgage Calculators (By Month)'!$M198,"-")</f>
        <v>1671803.3441480666</v>
      </c>
      <c r="AU180" s="29">
        <f t="shared" si="77"/>
        <v>1.0442068398272275</v>
      </c>
      <c r="AV180" s="31">
        <f t="shared" si="78"/>
        <v>7.1195920897310971E-2</v>
      </c>
      <c r="AW180" s="132">
        <f t="shared" si="79"/>
        <v>3327482.8250406627</v>
      </c>
      <c r="AX180" s="29">
        <f t="shared" si="80"/>
        <v>2.0783427294109735</v>
      </c>
      <c r="AY180" s="31">
        <f t="shared" si="81"/>
        <v>0.14170518609620275</v>
      </c>
    </row>
    <row r="181" spans="6:51" x14ac:dyDescent="0.35">
      <c r="F181" s="12">
        <f t="shared" si="58"/>
        <v>177</v>
      </c>
      <c r="G181" s="132">
        <f t="shared" si="59"/>
        <v>3357839.3812755439</v>
      </c>
      <c r="H181" s="132">
        <f>IF($F181&lt;=$C$16*12,$G181-$C$7+SUM('Mortgage Calculators (By Month)'!$D$23:$D199),"-")</f>
        <v>3357839.3812755439</v>
      </c>
      <c r="I181" s="132">
        <f t="shared" si="60"/>
        <v>16994.412895188161</v>
      </c>
      <c r="J181" s="132">
        <f>IF($F181&lt;=$C$16*12,SUM(Inputs!$C$61:$C$78)*'Forecast (By Month)'!I181,"-")</f>
        <v>1869.3854184706977</v>
      </c>
      <c r="K181" s="132">
        <f>IF($F181&lt;=$C$16*12,(SUMIF(Inputs!$C$61:$C$78,0,Inputs!$F$61:$F$78)/12)*(1+$C$34)^ROUNDDOWN((F181-1)/12,0),"-")</f>
        <v>1488.1666666666667</v>
      </c>
      <c r="L181" s="132">
        <f t="shared" si="61"/>
        <v>3357.5520851373644</v>
      </c>
      <c r="M181" s="132">
        <f>IF($F181&lt;=$C$16*12,'Mortgage Calculators (By Month)'!$C199,"-")</f>
        <v>0</v>
      </c>
      <c r="N181" s="132">
        <f>IF($F181&lt;=$C$16*12,'Mortgage Calculators (By Month)'!$D199,"-")</f>
        <v>0</v>
      </c>
      <c r="O181" s="132">
        <f>IF($F181&lt;=$C$16*12,'Mortgage Calculators (By Month)'!$E199,"-")</f>
        <v>8.3333333333333339</v>
      </c>
      <c r="P181" s="132">
        <f t="shared" si="82"/>
        <v>0</v>
      </c>
      <c r="Q181" s="132">
        <f t="shared" si="62"/>
        <v>3365.8854184706979</v>
      </c>
      <c r="R181" s="132">
        <f t="shared" si="63"/>
        <v>13636.860810050797</v>
      </c>
      <c r="S181" s="132">
        <f t="shared" si="64"/>
        <v>0</v>
      </c>
      <c r="T181" s="132">
        <f t="shared" si="56"/>
        <v>13636.860810050797</v>
      </c>
      <c r="U181" s="132">
        <f>IF($F181&lt;=$C$16*12,SUM(T$5:T181),"-")</f>
        <v>1669326.3417026468</v>
      </c>
      <c r="V181" s="132">
        <f>IF($F181&lt;=$C$16*12,G181-$C$10-'RE Calculations'!$C368-'Mortgage Calculators (By Month)'!$F199,"-")</f>
        <v>1685155.5936500325</v>
      </c>
      <c r="W181" s="29">
        <f t="shared" si="65"/>
        <v>1.0525466426550161</v>
      </c>
      <c r="X181" s="31">
        <f t="shared" si="66"/>
        <v>7.1359094417289229E-2</v>
      </c>
      <c r="Y181" s="132">
        <f t="shared" si="67"/>
        <v>3354481.9353526793</v>
      </c>
      <c r="Z181" s="29">
        <f t="shared" si="68"/>
        <v>2.0952063490201471</v>
      </c>
      <c r="AA181" s="31">
        <f t="shared" si="69"/>
        <v>0.14204788806916252</v>
      </c>
      <c r="AD181" s="12">
        <f t="shared" si="70"/>
        <v>177</v>
      </c>
      <c r="AE181" s="132">
        <f t="shared" si="71"/>
        <v>3357839.3812755439</v>
      </c>
      <c r="AF181" s="132">
        <f>IF($AD181&lt;=$C$25*12,$AE181-$C$7+SUM('Mortgage Calculators (By Month)'!$K$23:$K199),"-")</f>
        <v>3357839.3812755439</v>
      </c>
      <c r="AG181" s="132">
        <f t="shared" si="72"/>
        <v>16994.412895188161</v>
      </c>
      <c r="AH181" s="132">
        <f>IF($AD181&lt;=$C$25*12,SUM(Inputs!$C$61:$C$78)*'Forecast (By Month)'!AG181,"-")</f>
        <v>1869.3854184706977</v>
      </c>
      <c r="AI181" s="132">
        <f>IF($AD181&lt;=$C$25*12,(SUMIF(Inputs!$C$61:$C$78,0,Inputs!$F$61:$F$78)/12)*(1+$C$34)^ROUNDDOWN((AD181-1)/12,0),"-")</f>
        <v>1488.1666666666667</v>
      </c>
      <c r="AJ181" s="132">
        <f t="shared" si="73"/>
        <v>3357.5520851373644</v>
      </c>
      <c r="AK181" s="132">
        <f>IF($AD181&lt;=$C$25*12,'Mortgage Calculators (By Month)'!$J199,"-")</f>
        <v>0</v>
      </c>
      <c r="AL181" s="132">
        <f>IF($AD181&lt;=$C$25*12,'Mortgage Calculators (By Month)'!$K199,"-")</f>
        <v>0</v>
      </c>
      <c r="AM181" s="132">
        <f>IF($AD181&lt;=$C$25*12,'Mortgage Calculators (By Month)'!$L199,"-")</f>
        <v>10</v>
      </c>
      <c r="AN181" s="132">
        <f t="shared" si="83"/>
        <v>0</v>
      </c>
      <c r="AO181" s="132">
        <f t="shared" si="74"/>
        <v>3367.5520851373644</v>
      </c>
      <c r="AP181" s="132">
        <f t="shared" si="75"/>
        <v>13636.860810050797</v>
      </c>
      <c r="AQ181" s="132">
        <f t="shared" si="76"/>
        <v>0</v>
      </c>
      <c r="AR181" s="132">
        <f t="shared" si="57"/>
        <v>13636.860810050797</v>
      </c>
      <c r="AS181" s="132">
        <f>IF($AD181&lt;=$C$25*12,SUM(AR$5:AR181),"-")</f>
        <v>1669316.3417026468</v>
      </c>
      <c r="AT181" s="132">
        <f>IF($AD181&lt;=$C$25*12,AE181-$C$10-'RE Calculations'!$C368-'Mortgage Calculators (By Month)'!$M199,"-")</f>
        <v>1685155.5936500325</v>
      </c>
      <c r="AU181" s="29">
        <f t="shared" si="77"/>
        <v>1.0525466426550161</v>
      </c>
      <c r="AV181" s="31">
        <f t="shared" si="78"/>
        <v>7.1359094417289229E-2</v>
      </c>
      <c r="AW181" s="132">
        <f t="shared" si="79"/>
        <v>3354471.9353526793</v>
      </c>
      <c r="AX181" s="29">
        <f t="shared" si="80"/>
        <v>2.0952001030292928</v>
      </c>
      <c r="AY181" s="31">
        <f t="shared" si="81"/>
        <v>0.14204746461215545</v>
      </c>
    </row>
    <row r="182" spans="6:51" x14ac:dyDescent="0.35">
      <c r="F182" s="12">
        <f t="shared" si="58"/>
        <v>178</v>
      </c>
      <c r="G182" s="132">
        <f t="shared" si="59"/>
        <v>3371519.6345604695</v>
      </c>
      <c r="H182" s="132">
        <f>IF($F182&lt;=$C$16*12,$G182-$C$7+SUM('Mortgage Calculators (By Month)'!$D$23:$D200),"-")</f>
        <v>3371519.6345604695</v>
      </c>
      <c r="I182" s="132">
        <f t="shared" si="60"/>
        <v>16994.412895188161</v>
      </c>
      <c r="J182" s="132">
        <f>IF($F182&lt;=$C$16*12,SUM(Inputs!$C$61:$C$78)*'Forecast (By Month)'!I182,"-")</f>
        <v>1869.3854184706977</v>
      </c>
      <c r="K182" s="132">
        <f>IF($F182&lt;=$C$16*12,(SUMIF(Inputs!$C$61:$C$78,0,Inputs!$F$61:$F$78)/12)*(1+$C$34)^ROUNDDOWN((F182-1)/12,0),"-")</f>
        <v>1488.1666666666667</v>
      </c>
      <c r="L182" s="132">
        <f t="shared" si="61"/>
        <v>3357.5520851373644</v>
      </c>
      <c r="M182" s="132">
        <f>IF($F182&lt;=$C$16*12,'Mortgage Calculators (By Month)'!$C200,"-")</f>
        <v>0</v>
      </c>
      <c r="N182" s="132">
        <f>IF($F182&lt;=$C$16*12,'Mortgage Calculators (By Month)'!$D200,"-")</f>
        <v>0</v>
      </c>
      <c r="O182" s="132">
        <f>IF($F182&lt;=$C$16*12,'Mortgage Calculators (By Month)'!$E200,"-")</f>
        <v>8.3333333333333339</v>
      </c>
      <c r="P182" s="132">
        <f t="shared" si="82"/>
        <v>0</v>
      </c>
      <c r="Q182" s="132">
        <f t="shared" si="62"/>
        <v>3365.8854184706979</v>
      </c>
      <c r="R182" s="132">
        <f t="shared" si="63"/>
        <v>13636.860810050797</v>
      </c>
      <c r="S182" s="132">
        <f t="shared" si="64"/>
        <v>0</v>
      </c>
      <c r="T182" s="132">
        <f t="shared" si="56"/>
        <v>13636.860810050797</v>
      </c>
      <c r="U182" s="132">
        <f>IF($F182&lt;=$C$16*12,SUM(T$5:T182),"-")</f>
        <v>1682963.2025126975</v>
      </c>
      <c r="V182" s="132">
        <f>IF($F182&lt;=$C$16*12,G182-$C$10-'RE Calculations'!$C369-'Mortgage Calculators (By Month)'!$F200,"-")</f>
        <v>1698562.2418692596</v>
      </c>
      <c r="W182" s="29">
        <f t="shared" si="65"/>
        <v>1.0609204228718563</v>
      </c>
      <c r="X182" s="31">
        <f t="shared" si="66"/>
        <v>7.1522725137428508E-2</v>
      </c>
      <c r="Y182" s="132">
        <f t="shared" si="67"/>
        <v>3381525.4443819569</v>
      </c>
      <c r="Z182" s="29">
        <f t="shared" si="68"/>
        <v>2.1120977000275181</v>
      </c>
      <c r="AA182" s="31">
        <f t="shared" si="69"/>
        <v>0.1423886089906192</v>
      </c>
      <c r="AD182" s="12">
        <f t="shared" si="70"/>
        <v>178</v>
      </c>
      <c r="AE182" s="132">
        <f t="shared" si="71"/>
        <v>3371519.6345604695</v>
      </c>
      <c r="AF182" s="132">
        <f>IF($AD182&lt;=$C$25*12,$AE182-$C$7+SUM('Mortgage Calculators (By Month)'!$K$23:$K200),"-")</f>
        <v>3371519.6345604695</v>
      </c>
      <c r="AG182" s="132">
        <f t="shared" si="72"/>
        <v>16994.412895188161</v>
      </c>
      <c r="AH182" s="132">
        <f>IF($AD182&lt;=$C$25*12,SUM(Inputs!$C$61:$C$78)*'Forecast (By Month)'!AG182,"-")</f>
        <v>1869.3854184706977</v>
      </c>
      <c r="AI182" s="132">
        <f>IF($AD182&lt;=$C$25*12,(SUMIF(Inputs!$C$61:$C$78,0,Inputs!$F$61:$F$78)/12)*(1+$C$34)^ROUNDDOWN((AD182-1)/12,0),"-")</f>
        <v>1488.1666666666667</v>
      </c>
      <c r="AJ182" s="132">
        <f t="shared" si="73"/>
        <v>3357.5520851373644</v>
      </c>
      <c r="AK182" s="132">
        <f>IF($AD182&lt;=$C$25*12,'Mortgage Calculators (By Month)'!$J200,"-")</f>
        <v>0</v>
      </c>
      <c r="AL182" s="132">
        <f>IF($AD182&lt;=$C$25*12,'Mortgage Calculators (By Month)'!$K200,"-")</f>
        <v>0</v>
      </c>
      <c r="AM182" s="132">
        <f>IF($AD182&lt;=$C$25*12,'Mortgage Calculators (By Month)'!$L200,"-")</f>
        <v>10</v>
      </c>
      <c r="AN182" s="132">
        <f t="shared" si="83"/>
        <v>0</v>
      </c>
      <c r="AO182" s="132">
        <f t="shared" si="74"/>
        <v>3367.5520851373644</v>
      </c>
      <c r="AP182" s="132">
        <f t="shared" si="75"/>
        <v>13636.860810050797</v>
      </c>
      <c r="AQ182" s="132">
        <f t="shared" si="76"/>
        <v>0</v>
      </c>
      <c r="AR182" s="132">
        <f t="shared" si="57"/>
        <v>13636.860810050797</v>
      </c>
      <c r="AS182" s="132">
        <f>IF($AD182&lt;=$C$25*12,SUM(AR$5:AR182),"-")</f>
        <v>1682953.2025126975</v>
      </c>
      <c r="AT182" s="132">
        <f>IF($AD182&lt;=$C$25*12,AE182-$C$10-'RE Calculations'!$C369-'Mortgage Calculators (By Month)'!$M200,"-")</f>
        <v>1698562.2418692596</v>
      </c>
      <c r="AU182" s="29">
        <f t="shared" si="77"/>
        <v>1.0609204228718563</v>
      </c>
      <c r="AV182" s="31">
        <f t="shared" si="78"/>
        <v>7.1522725137428508E-2</v>
      </c>
      <c r="AW182" s="132">
        <f t="shared" si="79"/>
        <v>3381515.4443819569</v>
      </c>
      <c r="AX182" s="29">
        <f t="shared" si="80"/>
        <v>2.1120914540366633</v>
      </c>
      <c r="AY182" s="31">
        <f t="shared" si="81"/>
        <v>0.14238818791258404</v>
      </c>
    </row>
    <row r="183" spans="6:51" x14ac:dyDescent="0.35">
      <c r="F183" s="12">
        <f t="shared" si="58"/>
        <v>179</v>
      </c>
      <c r="G183" s="132">
        <f t="shared" si="59"/>
        <v>3385255.6228906699</v>
      </c>
      <c r="H183" s="132">
        <f>IF($F183&lt;=$C$16*12,$G183-$C$7+SUM('Mortgage Calculators (By Month)'!$D$23:$D201),"-")</f>
        <v>3385255.6228906699</v>
      </c>
      <c r="I183" s="132">
        <f t="shared" si="60"/>
        <v>16994.412895188161</v>
      </c>
      <c r="J183" s="132">
        <f>IF($F183&lt;=$C$16*12,SUM(Inputs!$C$61:$C$78)*'Forecast (By Month)'!I183,"-")</f>
        <v>1869.3854184706977</v>
      </c>
      <c r="K183" s="132">
        <f>IF($F183&lt;=$C$16*12,(SUMIF(Inputs!$C$61:$C$78,0,Inputs!$F$61:$F$78)/12)*(1+$C$34)^ROUNDDOWN((F183-1)/12,0),"-")</f>
        <v>1488.1666666666667</v>
      </c>
      <c r="L183" s="132">
        <f t="shared" si="61"/>
        <v>3357.5520851373644</v>
      </c>
      <c r="M183" s="132">
        <f>IF($F183&lt;=$C$16*12,'Mortgage Calculators (By Month)'!$C201,"-")</f>
        <v>0</v>
      </c>
      <c r="N183" s="132">
        <f>IF($F183&lt;=$C$16*12,'Mortgage Calculators (By Month)'!$D201,"-")</f>
        <v>0</v>
      </c>
      <c r="O183" s="132">
        <f>IF($F183&lt;=$C$16*12,'Mortgage Calculators (By Month)'!$E201,"-")</f>
        <v>8.3333333333333339</v>
      </c>
      <c r="P183" s="132">
        <f t="shared" si="82"/>
        <v>0</v>
      </c>
      <c r="Q183" s="132">
        <f t="shared" si="62"/>
        <v>3365.8854184706979</v>
      </c>
      <c r="R183" s="132">
        <f t="shared" si="63"/>
        <v>13636.860810050797</v>
      </c>
      <c r="S183" s="132">
        <f t="shared" si="64"/>
        <v>0</v>
      </c>
      <c r="T183" s="132">
        <f t="shared" si="56"/>
        <v>13636.860810050797</v>
      </c>
      <c r="U183" s="132">
        <f>IF($F183&lt;=$C$16*12,SUM(T$5:T183),"-")</f>
        <v>1696600.0633227483</v>
      </c>
      <c r="V183" s="132">
        <f>IF($F183&lt;=$C$16*12,G183-$C$10-'RE Calculations'!$C370-'Mortgage Calculators (By Month)'!$F201,"-")</f>
        <v>1712023.5104328559</v>
      </c>
      <c r="W183" s="29">
        <f t="shared" si="65"/>
        <v>1.0693283189058373</v>
      </c>
      <c r="X183" s="31">
        <f t="shared" si="66"/>
        <v>7.1686814675251675E-2</v>
      </c>
      <c r="Y183" s="132">
        <f t="shared" si="67"/>
        <v>3408623.5737556042</v>
      </c>
      <c r="Z183" s="29">
        <f t="shared" si="68"/>
        <v>2.1290231668520296</v>
      </c>
      <c r="AA183" s="31">
        <f t="shared" si="69"/>
        <v>0.14272781006829249</v>
      </c>
      <c r="AD183" s="12">
        <f t="shared" si="70"/>
        <v>179</v>
      </c>
      <c r="AE183" s="132">
        <f t="shared" si="71"/>
        <v>3385255.6228906699</v>
      </c>
      <c r="AF183" s="132">
        <f>IF($AD183&lt;=$C$25*12,$AE183-$C$7+SUM('Mortgage Calculators (By Month)'!$K$23:$K201),"-")</f>
        <v>3385255.6228906699</v>
      </c>
      <c r="AG183" s="132">
        <f t="shared" si="72"/>
        <v>16994.412895188161</v>
      </c>
      <c r="AH183" s="132">
        <f>IF($AD183&lt;=$C$25*12,SUM(Inputs!$C$61:$C$78)*'Forecast (By Month)'!AG183,"-")</f>
        <v>1869.3854184706977</v>
      </c>
      <c r="AI183" s="132">
        <f>IF($AD183&lt;=$C$25*12,(SUMIF(Inputs!$C$61:$C$78,0,Inputs!$F$61:$F$78)/12)*(1+$C$34)^ROUNDDOWN((AD183-1)/12,0),"-")</f>
        <v>1488.1666666666667</v>
      </c>
      <c r="AJ183" s="132">
        <f t="shared" si="73"/>
        <v>3357.5520851373644</v>
      </c>
      <c r="AK183" s="132">
        <f>IF($AD183&lt;=$C$25*12,'Mortgage Calculators (By Month)'!$J201,"-")</f>
        <v>0</v>
      </c>
      <c r="AL183" s="132">
        <f>IF($AD183&lt;=$C$25*12,'Mortgage Calculators (By Month)'!$K201,"-")</f>
        <v>0</v>
      </c>
      <c r="AM183" s="132">
        <f>IF($AD183&lt;=$C$25*12,'Mortgage Calculators (By Month)'!$L201,"-")</f>
        <v>10</v>
      </c>
      <c r="AN183" s="132">
        <f t="shared" si="83"/>
        <v>0</v>
      </c>
      <c r="AO183" s="132">
        <f t="shared" si="74"/>
        <v>3367.5520851373644</v>
      </c>
      <c r="AP183" s="132">
        <f t="shared" si="75"/>
        <v>13636.860810050797</v>
      </c>
      <c r="AQ183" s="132">
        <f t="shared" si="76"/>
        <v>0</v>
      </c>
      <c r="AR183" s="132">
        <f t="shared" si="57"/>
        <v>13636.860810050797</v>
      </c>
      <c r="AS183" s="132">
        <f>IF($AD183&lt;=$C$25*12,SUM(AR$5:AR183),"-")</f>
        <v>1696590.0633227483</v>
      </c>
      <c r="AT183" s="132">
        <f>IF($AD183&lt;=$C$25*12,AE183-$C$10-'RE Calculations'!$C370-'Mortgage Calculators (By Month)'!$M201,"-")</f>
        <v>1712023.5104328559</v>
      </c>
      <c r="AU183" s="29">
        <f t="shared" si="77"/>
        <v>1.0693283189058373</v>
      </c>
      <c r="AV183" s="31">
        <f t="shared" si="78"/>
        <v>7.1686814675251675E-2</v>
      </c>
      <c r="AW183" s="132">
        <f t="shared" si="79"/>
        <v>3408613.5737556042</v>
      </c>
      <c r="AX183" s="29">
        <f t="shared" si="80"/>
        <v>2.1290169208611749</v>
      </c>
      <c r="AY183" s="31">
        <f t="shared" si="81"/>
        <v>0.14272739134264861</v>
      </c>
    </row>
    <row r="184" spans="6:51" x14ac:dyDescent="0.35">
      <c r="F184" s="12">
        <f t="shared" si="58"/>
        <v>180</v>
      </c>
      <c r="G184" s="132">
        <f t="shared" si="59"/>
        <v>3399047.5733376183</v>
      </c>
      <c r="H184" s="132">
        <f>IF($F184&lt;=$C$16*12,$G184-$C$7+SUM('Mortgage Calculators (By Month)'!$D$23:$D202),"-")</f>
        <v>3399047.5733376183</v>
      </c>
      <c r="I184" s="132">
        <f t="shared" si="60"/>
        <v>16994.412895188161</v>
      </c>
      <c r="J184" s="132">
        <f>IF($F184&lt;=$C$16*12,SUM(Inputs!$C$61:$C$78)*'Forecast (By Month)'!I184,"-")</f>
        <v>1869.3854184706977</v>
      </c>
      <c r="K184" s="132">
        <f>IF($F184&lt;=$C$16*12,(SUMIF(Inputs!$C$61:$C$78,0,Inputs!$F$61:$F$78)/12)*(1+$C$34)^ROUNDDOWN((F184-1)/12,0),"-")</f>
        <v>1488.1666666666667</v>
      </c>
      <c r="L184" s="132">
        <f t="shared" si="61"/>
        <v>3357.5520851373644</v>
      </c>
      <c r="M184" s="132">
        <f>IF($F184&lt;=$C$16*12,'Mortgage Calculators (By Month)'!$C202,"-")</f>
        <v>0</v>
      </c>
      <c r="N184" s="132">
        <f>IF($F184&lt;=$C$16*12,'Mortgage Calculators (By Month)'!$D202,"-")</f>
        <v>0</v>
      </c>
      <c r="O184" s="132">
        <f>IF($F184&lt;=$C$16*12,'Mortgage Calculators (By Month)'!$E202,"-")</f>
        <v>8.3333333333333339</v>
      </c>
      <c r="P184" s="132">
        <f t="shared" si="82"/>
        <v>0</v>
      </c>
      <c r="Q184" s="132">
        <f t="shared" si="62"/>
        <v>3365.8854184706979</v>
      </c>
      <c r="R184" s="132">
        <f t="shared" si="63"/>
        <v>13636.860810050797</v>
      </c>
      <c r="S184" s="132">
        <f t="shared" si="64"/>
        <v>0</v>
      </c>
      <c r="T184" s="132">
        <f t="shared" si="56"/>
        <v>13636.860810050797</v>
      </c>
      <c r="U184" s="132">
        <f>IF($F184&lt;=$C$16*12,SUM(T$5:T184),"-")</f>
        <v>1710236.924132799</v>
      </c>
      <c r="V184" s="132">
        <f>IF($F184&lt;=$C$16*12,G184-$C$10-'RE Calculations'!$C371-'Mortgage Calculators (By Month)'!$F202,"-")</f>
        <v>1725539.6218708653</v>
      </c>
      <c r="W184" s="29">
        <f t="shared" si="65"/>
        <v>1.0777704697490207</v>
      </c>
      <c r="X184" s="31">
        <f t="shared" si="66"/>
        <v>7.1851364649934718E-2</v>
      </c>
      <c r="Y184" s="132">
        <f t="shared" si="67"/>
        <v>3435776.5460036644</v>
      </c>
      <c r="Z184" s="29">
        <f t="shared" si="68"/>
        <v>2.1459828884857433</v>
      </c>
      <c r="AA184" s="31">
        <f t="shared" si="69"/>
        <v>0.14306552589904956</v>
      </c>
      <c r="AD184" s="12">
        <f t="shared" si="70"/>
        <v>180</v>
      </c>
      <c r="AE184" s="132">
        <f t="shared" si="71"/>
        <v>3399047.5733376183</v>
      </c>
      <c r="AF184" s="132">
        <f>IF($AD184&lt;=$C$25*12,$AE184-$C$7+SUM('Mortgage Calculators (By Month)'!$K$23:$K202),"-")</f>
        <v>3399047.5733376183</v>
      </c>
      <c r="AG184" s="132">
        <f t="shared" si="72"/>
        <v>16994.412895188161</v>
      </c>
      <c r="AH184" s="132">
        <f>IF($AD184&lt;=$C$25*12,SUM(Inputs!$C$61:$C$78)*'Forecast (By Month)'!AG184,"-")</f>
        <v>1869.3854184706977</v>
      </c>
      <c r="AI184" s="132">
        <f>IF($AD184&lt;=$C$25*12,(SUMIF(Inputs!$C$61:$C$78,0,Inputs!$F$61:$F$78)/12)*(1+$C$34)^ROUNDDOWN((AD184-1)/12,0),"-")</f>
        <v>1488.1666666666667</v>
      </c>
      <c r="AJ184" s="132">
        <f t="shared" si="73"/>
        <v>3357.5520851373644</v>
      </c>
      <c r="AK184" s="132">
        <f>IF($AD184&lt;=$C$25*12,'Mortgage Calculators (By Month)'!$J202,"-")</f>
        <v>0</v>
      </c>
      <c r="AL184" s="132">
        <f>IF($AD184&lt;=$C$25*12,'Mortgage Calculators (By Month)'!$K202,"-")</f>
        <v>0</v>
      </c>
      <c r="AM184" s="132">
        <f>IF($AD184&lt;=$C$25*12,'Mortgage Calculators (By Month)'!$L202,"-")</f>
        <v>10</v>
      </c>
      <c r="AN184" s="132">
        <f t="shared" si="83"/>
        <v>0</v>
      </c>
      <c r="AO184" s="132">
        <f t="shared" si="74"/>
        <v>3367.5520851373644</v>
      </c>
      <c r="AP184" s="132">
        <f t="shared" si="75"/>
        <v>13636.860810050797</v>
      </c>
      <c r="AQ184" s="132">
        <f t="shared" si="76"/>
        <v>0</v>
      </c>
      <c r="AR184" s="132">
        <f t="shared" si="57"/>
        <v>13636.860810050797</v>
      </c>
      <c r="AS184" s="132">
        <f>IF($AD184&lt;=$C$25*12,SUM(AR$5:AR184),"-")</f>
        <v>1710226.924132799</v>
      </c>
      <c r="AT184" s="132">
        <f>IF($AD184&lt;=$C$25*12,AE184-$C$10-'RE Calculations'!$C371-'Mortgage Calculators (By Month)'!$M202,"-")</f>
        <v>1725539.6218708653</v>
      </c>
      <c r="AU184" s="29">
        <f t="shared" si="77"/>
        <v>1.0777704697490207</v>
      </c>
      <c r="AV184" s="31">
        <f t="shared" si="78"/>
        <v>7.1851364649934718E-2</v>
      </c>
      <c r="AW184" s="132">
        <f t="shared" si="79"/>
        <v>3435766.5460036644</v>
      </c>
      <c r="AX184" s="29">
        <f t="shared" si="80"/>
        <v>2.145976642494889</v>
      </c>
      <c r="AY184" s="31">
        <f t="shared" si="81"/>
        <v>0.14306510949965925</v>
      </c>
    </row>
    <row r="185" spans="6:51" x14ac:dyDescent="0.35">
      <c r="F185" s="12">
        <f t="shared" si="58"/>
        <v>181</v>
      </c>
      <c r="G185" s="132">
        <f t="shared" si="59"/>
        <v>3412895.7138979053</v>
      </c>
      <c r="H185" s="132">
        <f>IF($F185&lt;=$C$16*12,$G185-$C$7+SUM('Mortgage Calculators (By Month)'!$D$23:$D203),"-")</f>
        <v>3412895.7138979053</v>
      </c>
      <c r="I185" s="132">
        <f t="shared" si="60"/>
        <v>17844.133539947576</v>
      </c>
      <c r="J185" s="132">
        <f>IF($F185&lt;=$C$16*12,SUM(Inputs!$C$61:$C$78)*'Forecast (By Month)'!I185,"-")</f>
        <v>1962.8546893942332</v>
      </c>
      <c r="K185" s="132">
        <f>IF($F185&lt;=$C$16*12,(SUMIF(Inputs!$C$61:$C$78,0,Inputs!$F$61:$F$78)/12)*(1+$C$34)^ROUNDDOWN((F185-1)/12,0),"-")</f>
        <v>1488.1666666666667</v>
      </c>
      <c r="L185" s="132">
        <f t="shared" si="61"/>
        <v>3451.0213560609</v>
      </c>
      <c r="M185" s="132">
        <f>IF($F185&lt;=$C$16*12,'Mortgage Calculators (By Month)'!$C203,"-")</f>
        <v>0</v>
      </c>
      <c r="N185" s="132">
        <f>IF($F185&lt;=$C$16*12,'Mortgage Calculators (By Month)'!$D203,"-")</f>
        <v>0</v>
      </c>
      <c r="O185" s="132">
        <f>IF($F185&lt;=$C$16*12,'Mortgage Calculators (By Month)'!$E203,"-")</f>
        <v>8.3333333333333339</v>
      </c>
      <c r="P185" s="132">
        <f t="shared" si="82"/>
        <v>0</v>
      </c>
      <c r="Q185" s="132">
        <f t="shared" si="62"/>
        <v>3459.3546893942334</v>
      </c>
      <c r="R185" s="132">
        <f t="shared" si="63"/>
        <v>14393.112183886675</v>
      </c>
      <c r="S185" s="132">
        <f t="shared" si="64"/>
        <v>0</v>
      </c>
      <c r="T185" s="132">
        <f t="shared" si="56"/>
        <v>14393.112183886675</v>
      </c>
      <c r="U185" s="132">
        <f>IF($F185&lt;=$C$16*12,SUM(T$5:T185),"-")</f>
        <v>1724630.0363166856</v>
      </c>
      <c r="V185" s="132">
        <f>IF($F185&lt;=$C$16*12,G185-$C$10-'RE Calculations'!$C372-'Mortgage Calculators (By Month)'!$F203,"-")</f>
        <v>1739110.7996199466</v>
      </c>
      <c r="W185" s="29">
        <f t="shared" si="65"/>
        <v>1.0862470149597394</v>
      </c>
      <c r="X185" s="31">
        <f t="shared" si="66"/>
        <v>7.201637668241366E-2</v>
      </c>
      <c r="Y185" s="132">
        <f t="shared" si="67"/>
        <v>3463740.835936632</v>
      </c>
      <c r="Z185" s="29">
        <f t="shared" si="68"/>
        <v>2.16344935840347</v>
      </c>
      <c r="AA185" s="31">
        <f t="shared" si="69"/>
        <v>0.14343310663448419</v>
      </c>
      <c r="AD185" s="12">
        <f t="shared" si="70"/>
        <v>181</v>
      </c>
      <c r="AE185" s="132">
        <f t="shared" si="71"/>
        <v>3412895.7138979053</v>
      </c>
      <c r="AF185" s="132">
        <f>IF($AD185&lt;=$C$25*12,$AE185-$C$7+SUM('Mortgage Calculators (By Month)'!$K$23:$K203),"-")</f>
        <v>3412895.7138979053</v>
      </c>
      <c r="AG185" s="132">
        <f t="shared" si="72"/>
        <v>17844.133539947576</v>
      </c>
      <c r="AH185" s="132">
        <f>IF($AD185&lt;=$C$25*12,SUM(Inputs!$C$61:$C$78)*'Forecast (By Month)'!AG185,"-")</f>
        <v>1962.8546893942332</v>
      </c>
      <c r="AI185" s="132">
        <f>IF($AD185&lt;=$C$25*12,(SUMIF(Inputs!$C$61:$C$78,0,Inputs!$F$61:$F$78)/12)*(1+$C$34)^ROUNDDOWN((AD185-1)/12,0),"-")</f>
        <v>1488.1666666666667</v>
      </c>
      <c r="AJ185" s="132">
        <f t="shared" si="73"/>
        <v>3451.0213560609</v>
      </c>
      <c r="AK185" s="132">
        <f>IF($AD185&lt;=$C$25*12,'Mortgage Calculators (By Month)'!$J203,"-")</f>
        <v>0</v>
      </c>
      <c r="AL185" s="132">
        <f>IF($AD185&lt;=$C$25*12,'Mortgage Calculators (By Month)'!$K203,"-")</f>
        <v>0</v>
      </c>
      <c r="AM185" s="132">
        <f>IF($AD185&lt;=$C$25*12,'Mortgage Calculators (By Month)'!$L203,"-")</f>
        <v>10</v>
      </c>
      <c r="AN185" s="132">
        <f t="shared" si="83"/>
        <v>0</v>
      </c>
      <c r="AO185" s="132">
        <f t="shared" si="74"/>
        <v>3461.0213560609</v>
      </c>
      <c r="AP185" s="132">
        <f t="shared" si="75"/>
        <v>14393.112183886675</v>
      </c>
      <c r="AQ185" s="132">
        <f t="shared" si="76"/>
        <v>0</v>
      </c>
      <c r="AR185" s="132">
        <f t="shared" si="57"/>
        <v>14393.112183886675</v>
      </c>
      <c r="AS185" s="132">
        <f>IF($AD185&lt;=$C$25*12,SUM(AR$5:AR185),"-")</f>
        <v>1724620.0363166856</v>
      </c>
      <c r="AT185" s="132">
        <f>IF($AD185&lt;=$C$25*12,AE185-$C$10-'RE Calculations'!$C372-'Mortgage Calculators (By Month)'!$M203,"-")</f>
        <v>1739110.7996199466</v>
      </c>
      <c r="AU185" s="29">
        <f t="shared" si="77"/>
        <v>1.0862470149597394</v>
      </c>
      <c r="AV185" s="31">
        <f t="shared" si="78"/>
        <v>7.201637668241366E-2</v>
      </c>
      <c r="AW185" s="132">
        <f t="shared" si="79"/>
        <v>3463730.835936632</v>
      </c>
      <c r="AX185" s="29">
        <f t="shared" si="80"/>
        <v>2.1634431124126152</v>
      </c>
      <c r="AY185" s="31">
        <f t="shared" si="81"/>
        <v>0.143432692535643</v>
      </c>
    </row>
    <row r="186" spans="6:51" x14ac:dyDescent="0.35">
      <c r="F186" s="12">
        <f t="shared" si="58"/>
        <v>182</v>
      </c>
      <c r="G186" s="132">
        <f t="shared" si="59"/>
        <v>3426800.2734970083</v>
      </c>
      <c r="H186" s="132">
        <f>IF($F186&lt;=$C$16*12,$G186-$C$7+SUM('Mortgage Calculators (By Month)'!$D$23:$D204),"-")</f>
        <v>3426800.2734970083</v>
      </c>
      <c r="I186" s="132">
        <f t="shared" si="60"/>
        <v>17844.133539947576</v>
      </c>
      <c r="J186" s="132">
        <f>IF($F186&lt;=$C$16*12,SUM(Inputs!$C$61:$C$78)*'Forecast (By Month)'!I186,"-")</f>
        <v>1962.8546893942332</v>
      </c>
      <c r="K186" s="132">
        <f>IF($F186&lt;=$C$16*12,(SUMIF(Inputs!$C$61:$C$78,0,Inputs!$F$61:$F$78)/12)*(1+$C$34)^ROUNDDOWN((F186-1)/12,0),"-")</f>
        <v>1488.1666666666667</v>
      </c>
      <c r="L186" s="132">
        <f t="shared" si="61"/>
        <v>3451.0213560609</v>
      </c>
      <c r="M186" s="132">
        <f>IF($F186&lt;=$C$16*12,'Mortgage Calculators (By Month)'!$C204,"-")</f>
        <v>0</v>
      </c>
      <c r="N186" s="132">
        <f>IF($F186&lt;=$C$16*12,'Mortgage Calculators (By Month)'!$D204,"-")</f>
        <v>0</v>
      </c>
      <c r="O186" s="132">
        <f>IF($F186&lt;=$C$16*12,'Mortgage Calculators (By Month)'!$E204,"-")</f>
        <v>8.3333333333333339</v>
      </c>
      <c r="P186" s="132">
        <f t="shared" si="82"/>
        <v>0</v>
      </c>
      <c r="Q186" s="132">
        <f t="shared" si="62"/>
        <v>3459.3546893942334</v>
      </c>
      <c r="R186" s="132">
        <f t="shared" si="63"/>
        <v>14393.112183886675</v>
      </c>
      <c r="S186" s="132">
        <f t="shared" si="64"/>
        <v>0</v>
      </c>
      <c r="T186" s="132">
        <f t="shared" si="56"/>
        <v>14393.112183886675</v>
      </c>
      <c r="U186" s="132">
        <f>IF($F186&lt;=$C$16*12,SUM(T$5:T186),"-")</f>
        <v>1739023.1485005722</v>
      </c>
      <c r="V186" s="132">
        <f>IF($F186&lt;=$C$16*12,G186-$C$10-'RE Calculations'!$C373-'Mortgage Calculators (By Month)'!$F204,"-")</f>
        <v>1752737.2680270677</v>
      </c>
      <c r="W186" s="29">
        <f t="shared" si="65"/>
        <v>1.0947580946649043</v>
      </c>
      <c r="X186" s="31">
        <f t="shared" si="66"/>
        <v>7.2181852395488202E-2</v>
      </c>
      <c r="Y186" s="132">
        <f t="shared" si="67"/>
        <v>3491760.4165276401</v>
      </c>
      <c r="Z186" s="29">
        <f t="shared" si="68"/>
        <v>2.1809503628156426</v>
      </c>
      <c r="AA186" s="31">
        <f t="shared" si="69"/>
        <v>0.1437989250208116</v>
      </c>
      <c r="AD186" s="12">
        <f t="shared" si="70"/>
        <v>182</v>
      </c>
      <c r="AE186" s="132">
        <f t="shared" si="71"/>
        <v>3426800.2734970083</v>
      </c>
      <c r="AF186" s="132">
        <f>IF($AD186&lt;=$C$25*12,$AE186-$C$7+SUM('Mortgage Calculators (By Month)'!$K$23:$K204),"-")</f>
        <v>3426800.2734970083</v>
      </c>
      <c r="AG186" s="132">
        <f t="shared" si="72"/>
        <v>17844.133539947576</v>
      </c>
      <c r="AH186" s="132">
        <f>IF($AD186&lt;=$C$25*12,SUM(Inputs!$C$61:$C$78)*'Forecast (By Month)'!AG186,"-")</f>
        <v>1962.8546893942332</v>
      </c>
      <c r="AI186" s="132">
        <f>IF($AD186&lt;=$C$25*12,(SUMIF(Inputs!$C$61:$C$78,0,Inputs!$F$61:$F$78)/12)*(1+$C$34)^ROUNDDOWN((AD186-1)/12,0),"-")</f>
        <v>1488.1666666666667</v>
      </c>
      <c r="AJ186" s="132">
        <f t="shared" si="73"/>
        <v>3451.0213560609</v>
      </c>
      <c r="AK186" s="132">
        <f>IF($AD186&lt;=$C$25*12,'Mortgage Calculators (By Month)'!$J204,"-")</f>
        <v>0</v>
      </c>
      <c r="AL186" s="132">
        <f>IF($AD186&lt;=$C$25*12,'Mortgage Calculators (By Month)'!$K204,"-")</f>
        <v>0</v>
      </c>
      <c r="AM186" s="132">
        <f>IF($AD186&lt;=$C$25*12,'Mortgage Calculators (By Month)'!$L204,"-")</f>
        <v>10</v>
      </c>
      <c r="AN186" s="132">
        <f t="shared" si="83"/>
        <v>0</v>
      </c>
      <c r="AO186" s="132">
        <f t="shared" si="74"/>
        <v>3461.0213560609</v>
      </c>
      <c r="AP186" s="132">
        <f t="shared" si="75"/>
        <v>14393.112183886675</v>
      </c>
      <c r="AQ186" s="132">
        <f t="shared" si="76"/>
        <v>0</v>
      </c>
      <c r="AR186" s="132">
        <f t="shared" si="57"/>
        <v>14393.112183886675</v>
      </c>
      <c r="AS186" s="132">
        <f>IF($AD186&lt;=$C$25*12,SUM(AR$5:AR186),"-")</f>
        <v>1739013.1485005722</v>
      </c>
      <c r="AT186" s="132">
        <f>IF($AD186&lt;=$C$25*12,AE186-$C$10-'RE Calculations'!$C373-'Mortgage Calculators (By Month)'!$M204,"-")</f>
        <v>1752737.2680270677</v>
      </c>
      <c r="AU186" s="29">
        <f t="shared" si="77"/>
        <v>1.0947580946649043</v>
      </c>
      <c r="AV186" s="31">
        <f t="shared" si="78"/>
        <v>7.2181852395488202E-2</v>
      </c>
      <c r="AW186" s="132">
        <f t="shared" si="79"/>
        <v>3491750.4165276401</v>
      </c>
      <c r="AX186" s="29">
        <f t="shared" si="80"/>
        <v>2.1809441168247883</v>
      </c>
      <c r="AY186" s="31">
        <f t="shared" si="81"/>
        <v>0.1437985131972388</v>
      </c>
    </row>
    <row r="187" spans="6:51" x14ac:dyDescent="0.35">
      <c r="F187" s="12">
        <f t="shared" si="58"/>
        <v>183</v>
      </c>
      <c r="G187" s="132">
        <f t="shared" si="59"/>
        <v>3440761.481993075</v>
      </c>
      <c r="H187" s="132">
        <f>IF($F187&lt;=$C$16*12,$G187-$C$7+SUM('Mortgage Calculators (By Month)'!$D$23:$D205),"-")</f>
        <v>3440761.481993075</v>
      </c>
      <c r="I187" s="132">
        <f t="shared" si="60"/>
        <v>17844.133539947576</v>
      </c>
      <c r="J187" s="132">
        <f>IF($F187&lt;=$C$16*12,SUM(Inputs!$C$61:$C$78)*'Forecast (By Month)'!I187,"-")</f>
        <v>1962.8546893942332</v>
      </c>
      <c r="K187" s="132">
        <f>IF($F187&lt;=$C$16*12,(SUMIF(Inputs!$C$61:$C$78,0,Inputs!$F$61:$F$78)/12)*(1+$C$34)^ROUNDDOWN((F187-1)/12,0),"-")</f>
        <v>1488.1666666666667</v>
      </c>
      <c r="L187" s="132">
        <f t="shared" si="61"/>
        <v>3451.0213560609</v>
      </c>
      <c r="M187" s="132">
        <f>IF($F187&lt;=$C$16*12,'Mortgage Calculators (By Month)'!$C205,"-")</f>
        <v>0</v>
      </c>
      <c r="N187" s="132">
        <f>IF($F187&lt;=$C$16*12,'Mortgage Calculators (By Month)'!$D205,"-")</f>
        <v>0</v>
      </c>
      <c r="O187" s="132">
        <f>IF($F187&lt;=$C$16*12,'Mortgage Calculators (By Month)'!$E205,"-")</f>
        <v>8.3333333333333339</v>
      </c>
      <c r="P187" s="132">
        <f t="shared" si="82"/>
        <v>0</v>
      </c>
      <c r="Q187" s="132">
        <f t="shared" si="62"/>
        <v>3459.3546893942334</v>
      </c>
      <c r="R187" s="132">
        <f t="shared" si="63"/>
        <v>14393.112183886675</v>
      </c>
      <c r="S187" s="132">
        <f t="shared" si="64"/>
        <v>0</v>
      </c>
      <c r="T187" s="132">
        <f t="shared" si="56"/>
        <v>14393.112183886675</v>
      </c>
      <c r="U187" s="132">
        <f>IF($F187&lt;=$C$16*12,SUM(T$5:T187),"-")</f>
        <v>1753416.2606844588</v>
      </c>
      <c r="V187" s="132">
        <f>IF($F187&lt;=$C$16*12,G187-$C$10-'RE Calculations'!$C374-'Mortgage Calculators (By Month)'!$F205,"-")</f>
        <v>1766419.252353213</v>
      </c>
      <c r="W187" s="29">
        <f t="shared" si="65"/>
        <v>1.1033038495623204</v>
      </c>
      <c r="X187" s="31">
        <f t="shared" si="66"/>
        <v>7.2347793413922654E-2</v>
      </c>
      <c r="Y187" s="132">
        <f t="shared" si="67"/>
        <v>3519835.5130376718</v>
      </c>
      <c r="Z187" s="29">
        <f t="shared" si="68"/>
        <v>2.1984860424200665</v>
      </c>
      <c r="AA187" s="31">
        <f t="shared" si="69"/>
        <v>0.14416301917508634</v>
      </c>
      <c r="AD187" s="12">
        <f t="shared" si="70"/>
        <v>183</v>
      </c>
      <c r="AE187" s="132">
        <f t="shared" si="71"/>
        <v>3440761.481993075</v>
      </c>
      <c r="AF187" s="132">
        <f>IF($AD187&lt;=$C$25*12,$AE187-$C$7+SUM('Mortgage Calculators (By Month)'!$K$23:$K205),"-")</f>
        <v>3440761.481993075</v>
      </c>
      <c r="AG187" s="132">
        <f t="shared" si="72"/>
        <v>17844.133539947576</v>
      </c>
      <c r="AH187" s="132">
        <f>IF($AD187&lt;=$C$25*12,SUM(Inputs!$C$61:$C$78)*'Forecast (By Month)'!AG187,"-")</f>
        <v>1962.8546893942332</v>
      </c>
      <c r="AI187" s="132">
        <f>IF($AD187&lt;=$C$25*12,(SUMIF(Inputs!$C$61:$C$78,0,Inputs!$F$61:$F$78)/12)*(1+$C$34)^ROUNDDOWN((AD187-1)/12,0),"-")</f>
        <v>1488.1666666666667</v>
      </c>
      <c r="AJ187" s="132">
        <f t="shared" si="73"/>
        <v>3451.0213560609</v>
      </c>
      <c r="AK187" s="132">
        <f>IF($AD187&lt;=$C$25*12,'Mortgage Calculators (By Month)'!$J205,"-")</f>
        <v>0</v>
      </c>
      <c r="AL187" s="132">
        <f>IF($AD187&lt;=$C$25*12,'Mortgage Calculators (By Month)'!$K205,"-")</f>
        <v>0</v>
      </c>
      <c r="AM187" s="132">
        <f>IF($AD187&lt;=$C$25*12,'Mortgage Calculators (By Month)'!$L205,"-")</f>
        <v>10</v>
      </c>
      <c r="AN187" s="132">
        <f t="shared" si="83"/>
        <v>0</v>
      </c>
      <c r="AO187" s="132">
        <f t="shared" si="74"/>
        <v>3461.0213560609</v>
      </c>
      <c r="AP187" s="132">
        <f t="shared" si="75"/>
        <v>14393.112183886675</v>
      </c>
      <c r="AQ187" s="132">
        <f t="shared" si="76"/>
        <v>0</v>
      </c>
      <c r="AR187" s="132">
        <f t="shared" si="57"/>
        <v>14393.112183886675</v>
      </c>
      <c r="AS187" s="132">
        <f>IF($AD187&lt;=$C$25*12,SUM(AR$5:AR187),"-")</f>
        <v>1753406.2606844588</v>
      </c>
      <c r="AT187" s="132">
        <f>IF($AD187&lt;=$C$25*12,AE187-$C$10-'RE Calculations'!$C374-'Mortgage Calculators (By Month)'!$M205,"-")</f>
        <v>1766419.252353213</v>
      </c>
      <c r="AU187" s="29">
        <f t="shared" si="77"/>
        <v>1.1033038495623204</v>
      </c>
      <c r="AV187" s="31">
        <f t="shared" si="78"/>
        <v>7.2347793413922654E-2</v>
      </c>
      <c r="AW187" s="132">
        <f t="shared" si="79"/>
        <v>3519825.5130376718</v>
      </c>
      <c r="AX187" s="29">
        <f t="shared" si="80"/>
        <v>2.1984797964292118</v>
      </c>
      <c r="AY187" s="31">
        <f t="shared" si="81"/>
        <v>0.14416260960191551</v>
      </c>
    </row>
    <row r="188" spans="6:51" x14ac:dyDescent="0.35">
      <c r="F188" s="12">
        <f t="shared" si="58"/>
        <v>184</v>
      </c>
      <c r="G188" s="132">
        <f t="shared" si="59"/>
        <v>3454779.5701807239</v>
      </c>
      <c r="H188" s="132">
        <f>IF($F188&lt;=$C$16*12,$G188-$C$7+SUM('Mortgage Calculators (By Month)'!$D$23:$D206),"-")</f>
        <v>3454779.5701807239</v>
      </c>
      <c r="I188" s="132">
        <f t="shared" si="60"/>
        <v>17844.133539947576</v>
      </c>
      <c r="J188" s="132">
        <f>IF($F188&lt;=$C$16*12,SUM(Inputs!$C$61:$C$78)*'Forecast (By Month)'!I188,"-")</f>
        <v>1962.8546893942332</v>
      </c>
      <c r="K188" s="132">
        <f>IF($F188&lt;=$C$16*12,(SUMIF(Inputs!$C$61:$C$78,0,Inputs!$F$61:$F$78)/12)*(1+$C$34)^ROUNDDOWN((F188-1)/12,0),"-")</f>
        <v>1488.1666666666667</v>
      </c>
      <c r="L188" s="132">
        <f t="shared" si="61"/>
        <v>3451.0213560609</v>
      </c>
      <c r="M188" s="132">
        <f>IF($F188&lt;=$C$16*12,'Mortgage Calculators (By Month)'!$C206,"-")</f>
        <v>0</v>
      </c>
      <c r="N188" s="132">
        <f>IF($F188&lt;=$C$16*12,'Mortgage Calculators (By Month)'!$D206,"-")</f>
        <v>0</v>
      </c>
      <c r="O188" s="132">
        <f>IF($F188&lt;=$C$16*12,'Mortgage Calculators (By Month)'!$E206,"-")</f>
        <v>8.3333333333333339</v>
      </c>
      <c r="P188" s="132">
        <f t="shared" si="82"/>
        <v>0</v>
      </c>
      <c r="Q188" s="132">
        <f t="shared" si="62"/>
        <v>3459.3546893942334</v>
      </c>
      <c r="R188" s="132">
        <f t="shared" si="63"/>
        <v>14393.112183886675</v>
      </c>
      <c r="S188" s="132">
        <f t="shared" si="64"/>
        <v>0</v>
      </c>
      <c r="T188" s="132">
        <f t="shared" si="56"/>
        <v>14393.112183886675</v>
      </c>
      <c r="U188" s="132">
        <f>IF($F188&lt;=$C$16*12,SUM(T$5:T188),"-")</f>
        <v>1767809.3728683454</v>
      </c>
      <c r="V188" s="132">
        <f>IF($F188&lt;=$C$16*12,G188-$C$10-'RE Calculations'!$C375-'Mortgage Calculators (By Month)'!$F206,"-")</f>
        <v>1780156.9787771089</v>
      </c>
      <c r="W188" s="29">
        <f t="shared" si="65"/>
        <v>1.1118844209230132</v>
      </c>
      <c r="X188" s="31">
        <f t="shared" si="66"/>
        <v>7.251420136454434E-2</v>
      </c>
      <c r="Y188" s="132">
        <f t="shared" si="67"/>
        <v>3547966.3516454543</v>
      </c>
      <c r="Z188" s="29">
        <f t="shared" si="68"/>
        <v>2.2160565384877673</v>
      </c>
      <c r="AA188" s="31">
        <f t="shared" si="69"/>
        <v>0.14452542642311525</v>
      </c>
      <c r="AD188" s="12">
        <f t="shared" si="70"/>
        <v>184</v>
      </c>
      <c r="AE188" s="132">
        <f t="shared" si="71"/>
        <v>3454779.5701807239</v>
      </c>
      <c r="AF188" s="132">
        <f>IF($AD188&lt;=$C$25*12,$AE188-$C$7+SUM('Mortgage Calculators (By Month)'!$K$23:$K206),"-")</f>
        <v>3454779.5701807239</v>
      </c>
      <c r="AG188" s="132">
        <f t="shared" si="72"/>
        <v>17844.133539947576</v>
      </c>
      <c r="AH188" s="132">
        <f>IF($AD188&lt;=$C$25*12,SUM(Inputs!$C$61:$C$78)*'Forecast (By Month)'!AG188,"-")</f>
        <v>1962.8546893942332</v>
      </c>
      <c r="AI188" s="132">
        <f>IF($AD188&lt;=$C$25*12,(SUMIF(Inputs!$C$61:$C$78,0,Inputs!$F$61:$F$78)/12)*(1+$C$34)^ROUNDDOWN((AD188-1)/12,0),"-")</f>
        <v>1488.1666666666667</v>
      </c>
      <c r="AJ188" s="132">
        <f t="shared" si="73"/>
        <v>3451.0213560609</v>
      </c>
      <c r="AK188" s="132">
        <f>IF($AD188&lt;=$C$25*12,'Mortgage Calculators (By Month)'!$J206,"-")</f>
        <v>0</v>
      </c>
      <c r="AL188" s="132">
        <f>IF($AD188&lt;=$C$25*12,'Mortgage Calculators (By Month)'!$K206,"-")</f>
        <v>0</v>
      </c>
      <c r="AM188" s="132">
        <f>IF($AD188&lt;=$C$25*12,'Mortgage Calculators (By Month)'!$L206,"-")</f>
        <v>10</v>
      </c>
      <c r="AN188" s="132">
        <f t="shared" si="83"/>
        <v>0</v>
      </c>
      <c r="AO188" s="132">
        <f t="shared" si="74"/>
        <v>3461.0213560609</v>
      </c>
      <c r="AP188" s="132">
        <f t="shared" si="75"/>
        <v>14393.112183886675</v>
      </c>
      <c r="AQ188" s="132">
        <f t="shared" si="76"/>
        <v>0</v>
      </c>
      <c r="AR188" s="132">
        <f t="shared" si="57"/>
        <v>14393.112183886675</v>
      </c>
      <c r="AS188" s="132">
        <f>IF($AD188&lt;=$C$25*12,SUM(AR$5:AR188),"-")</f>
        <v>1767799.3728683454</v>
      </c>
      <c r="AT188" s="132">
        <f>IF($AD188&lt;=$C$25*12,AE188-$C$10-'RE Calculations'!$C375-'Mortgage Calculators (By Month)'!$M206,"-")</f>
        <v>1780156.9787771089</v>
      </c>
      <c r="AU188" s="29">
        <f t="shared" si="77"/>
        <v>1.1118844209230132</v>
      </c>
      <c r="AV188" s="31">
        <f t="shared" si="78"/>
        <v>7.251420136454434E-2</v>
      </c>
      <c r="AW188" s="132">
        <f t="shared" si="79"/>
        <v>3547956.3516454543</v>
      </c>
      <c r="AX188" s="29">
        <f t="shared" si="80"/>
        <v>2.2160502924969125</v>
      </c>
      <c r="AY188" s="31">
        <f t="shared" si="81"/>
        <v>0.14452501907588561</v>
      </c>
    </row>
    <row r="189" spans="6:51" x14ac:dyDescent="0.35">
      <c r="F189" s="12">
        <f t="shared" si="58"/>
        <v>185</v>
      </c>
      <c r="G189" s="132">
        <f t="shared" si="59"/>
        <v>3468854.7697948595</v>
      </c>
      <c r="H189" s="132">
        <f>IF($F189&lt;=$C$16*12,$G189-$C$7+SUM('Mortgage Calculators (By Month)'!$D$23:$D207),"-")</f>
        <v>3468854.7697948595</v>
      </c>
      <c r="I189" s="132">
        <f t="shared" si="60"/>
        <v>17844.133539947576</v>
      </c>
      <c r="J189" s="132">
        <f>IF($F189&lt;=$C$16*12,SUM(Inputs!$C$61:$C$78)*'Forecast (By Month)'!I189,"-")</f>
        <v>1962.8546893942332</v>
      </c>
      <c r="K189" s="132">
        <f>IF($F189&lt;=$C$16*12,(SUMIF(Inputs!$C$61:$C$78,0,Inputs!$F$61:$F$78)/12)*(1+$C$34)^ROUNDDOWN((F189-1)/12,0),"-")</f>
        <v>1488.1666666666667</v>
      </c>
      <c r="L189" s="132">
        <f t="shared" si="61"/>
        <v>3451.0213560609</v>
      </c>
      <c r="M189" s="132">
        <f>IF($F189&lt;=$C$16*12,'Mortgage Calculators (By Month)'!$C207,"-")</f>
        <v>0</v>
      </c>
      <c r="N189" s="132">
        <f>IF($F189&lt;=$C$16*12,'Mortgage Calculators (By Month)'!$D207,"-")</f>
        <v>0</v>
      </c>
      <c r="O189" s="132">
        <f>IF($F189&lt;=$C$16*12,'Mortgage Calculators (By Month)'!$E207,"-")</f>
        <v>8.3333333333333339</v>
      </c>
      <c r="P189" s="132">
        <f t="shared" si="82"/>
        <v>0</v>
      </c>
      <c r="Q189" s="132">
        <f t="shared" si="62"/>
        <v>3459.3546893942334</v>
      </c>
      <c r="R189" s="132">
        <f t="shared" si="63"/>
        <v>14393.112183886675</v>
      </c>
      <c r="S189" s="132">
        <f t="shared" si="64"/>
        <v>0</v>
      </c>
      <c r="T189" s="132">
        <f t="shared" si="56"/>
        <v>14393.112183886675</v>
      </c>
      <c r="U189" s="132">
        <f>IF($F189&lt;=$C$16*12,SUM(T$5:T189),"-")</f>
        <v>1782202.4850522319</v>
      </c>
      <c r="V189" s="132">
        <f>IF($F189&lt;=$C$16*12,G189-$C$10-'RE Calculations'!$C376-'Mortgage Calculators (By Month)'!$F207,"-")</f>
        <v>1793950.6743989617</v>
      </c>
      <c r="W189" s="29">
        <f t="shared" si="65"/>
        <v>1.1204999505935638</v>
      </c>
      <c r="X189" s="31">
        <f t="shared" si="66"/>
        <v>7.2681077876339276E-2</v>
      </c>
      <c r="Y189" s="132">
        <f t="shared" si="67"/>
        <v>3576153.1594511936</v>
      </c>
      <c r="Z189" s="29">
        <f t="shared" si="68"/>
        <v>2.2336619928653256</v>
      </c>
      <c r="AA189" s="31">
        <f t="shared" si="69"/>
        <v>0.14488618332099409</v>
      </c>
      <c r="AD189" s="12">
        <f t="shared" si="70"/>
        <v>185</v>
      </c>
      <c r="AE189" s="132">
        <f t="shared" si="71"/>
        <v>3468854.7697948595</v>
      </c>
      <c r="AF189" s="132">
        <f>IF($AD189&lt;=$C$25*12,$AE189-$C$7+SUM('Mortgage Calculators (By Month)'!$K$23:$K207),"-")</f>
        <v>3468854.7697948595</v>
      </c>
      <c r="AG189" s="132">
        <f t="shared" si="72"/>
        <v>17844.133539947576</v>
      </c>
      <c r="AH189" s="132">
        <f>IF($AD189&lt;=$C$25*12,SUM(Inputs!$C$61:$C$78)*'Forecast (By Month)'!AG189,"-")</f>
        <v>1962.8546893942332</v>
      </c>
      <c r="AI189" s="132">
        <f>IF($AD189&lt;=$C$25*12,(SUMIF(Inputs!$C$61:$C$78,0,Inputs!$F$61:$F$78)/12)*(1+$C$34)^ROUNDDOWN((AD189-1)/12,0),"-")</f>
        <v>1488.1666666666667</v>
      </c>
      <c r="AJ189" s="132">
        <f t="shared" si="73"/>
        <v>3451.0213560609</v>
      </c>
      <c r="AK189" s="132">
        <f>IF($AD189&lt;=$C$25*12,'Mortgage Calculators (By Month)'!$J207,"-")</f>
        <v>0</v>
      </c>
      <c r="AL189" s="132">
        <f>IF($AD189&lt;=$C$25*12,'Mortgage Calculators (By Month)'!$K207,"-")</f>
        <v>0</v>
      </c>
      <c r="AM189" s="132">
        <f>IF($AD189&lt;=$C$25*12,'Mortgage Calculators (By Month)'!$L207,"-")</f>
        <v>10</v>
      </c>
      <c r="AN189" s="132">
        <f t="shared" si="83"/>
        <v>0</v>
      </c>
      <c r="AO189" s="132">
        <f t="shared" si="74"/>
        <v>3461.0213560609</v>
      </c>
      <c r="AP189" s="132">
        <f t="shared" si="75"/>
        <v>14393.112183886675</v>
      </c>
      <c r="AQ189" s="132">
        <f t="shared" si="76"/>
        <v>0</v>
      </c>
      <c r="AR189" s="132">
        <f t="shared" si="57"/>
        <v>14393.112183886675</v>
      </c>
      <c r="AS189" s="132">
        <f>IF($AD189&lt;=$C$25*12,SUM(AR$5:AR189),"-")</f>
        <v>1782192.4850522319</v>
      </c>
      <c r="AT189" s="132">
        <f>IF($AD189&lt;=$C$25*12,AE189-$C$10-'RE Calculations'!$C376-'Mortgage Calculators (By Month)'!$M207,"-")</f>
        <v>1793950.6743989617</v>
      </c>
      <c r="AU189" s="29">
        <f t="shared" si="77"/>
        <v>1.1204999505935638</v>
      </c>
      <c r="AV189" s="31">
        <f t="shared" si="78"/>
        <v>7.2681077876339276E-2</v>
      </c>
      <c r="AW189" s="132">
        <f t="shared" si="79"/>
        <v>3576143.1594511936</v>
      </c>
      <c r="AX189" s="29">
        <f t="shared" si="80"/>
        <v>2.2336557468744709</v>
      </c>
      <c r="AY189" s="31">
        <f t="shared" si="81"/>
        <v>0.14488577817564136</v>
      </c>
    </row>
    <row r="190" spans="6:51" x14ac:dyDescent="0.35">
      <c r="F190" s="12">
        <f t="shared" si="58"/>
        <v>186</v>
      </c>
      <c r="G190" s="132">
        <f t="shared" si="59"/>
        <v>3482987.3135145027</v>
      </c>
      <c r="H190" s="132">
        <f>IF($F190&lt;=$C$16*12,$G190-$C$7+SUM('Mortgage Calculators (By Month)'!$D$23:$D208),"-")</f>
        <v>3482987.3135145027</v>
      </c>
      <c r="I190" s="132">
        <f t="shared" si="60"/>
        <v>17844.133539947576</v>
      </c>
      <c r="J190" s="132">
        <f>IF($F190&lt;=$C$16*12,SUM(Inputs!$C$61:$C$78)*'Forecast (By Month)'!I190,"-")</f>
        <v>1962.8546893942332</v>
      </c>
      <c r="K190" s="132">
        <f>IF($F190&lt;=$C$16*12,(SUMIF(Inputs!$C$61:$C$78,0,Inputs!$F$61:$F$78)/12)*(1+$C$34)^ROUNDDOWN((F190-1)/12,0),"-")</f>
        <v>1488.1666666666667</v>
      </c>
      <c r="L190" s="132">
        <f t="shared" si="61"/>
        <v>3451.0213560609</v>
      </c>
      <c r="M190" s="132">
        <f>IF($F190&lt;=$C$16*12,'Mortgage Calculators (By Month)'!$C208,"-")</f>
        <v>0</v>
      </c>
      <c r="N190" s="132">
        <f>IF($F190&lt;=$C$16*12,'Mortgage Calculators (By Month)'!$D208,"-")</f>
        <v>0</v>
      </c>
      <c r="O190" s="132">
        <f>IF($F190&lt;=$C$16*12,'Mortgage Calculators (By Month)'!$E208,"-")</f>
        <v>8.3333333333333339</v>
      </c>
      <c r="P190" s="132">
        <f t="shared" si="82"/>
        <v>0</v>
      </c>
      <c r="Q190" s="132">
        <f t="shared" si="62"/>
        <v>3459.3546893942334</v>
      </c>
      <c r="R190" s="132">
        <f t="shared" si="63"/>
        <v>14393.112183886675</v>
      </c>
      <c r="S190" s="132">
        <f t="shared" si="64"/>
        <v>0</v>
      </c>
      <c r="T190" s="132">
        <f t="shared" si="56"/>
        <v>14393.112183886675</v>
      </c>
      <c r="U190" s="132">
        <f>IF($F190&lt;=$C$16*12,SUM(T$5:T190),"-")</f>
        <v>1796595.5972361185</v>
      </c>
      <c r="V190" s="132">
        <f>IF($F190&lt;=$C$16*12,G190-$C$10-'RE Calculations'!$C377-'Mortgage Calculators (By Month)'!$F208,"-")</f>
        <v>1807800.5672442121</v>
      </c>
      <c r="W190" s="29">
        <f t="shared" si="65"/>
        <v>1.1291505809984541</v>
      </c>
      <c r="X190" s="31">
        <f t="shared" si="66"/>
        <v>7.2848424580545426E-2</v>
      </c>
      <c r="Y190" s="132">
        <f t="shared" si="67"/>
        <v>3604396.1644803304</v>
      </c>
      <c r="Z190" s="29">
        <f t="shared" si="68"/>
        <v>2.2513025479772235</v>
      </c>
      <c r="AA190" s="31">
        <f t="shared" si="69"/>
        <v>0.14524532567594992</v>
      </c>
      <c r="AD190" s="12">
        <f t="shared" si="70"/>
        <v>186</v>
      </c>
      <c r="AE190" s="132">
        <f t="shared" si="71"/>
        <v>3482987.3135145027</v>
      </c>
      <c r="AF190" s="132">
        <f>IF($AD190&lt;=$C$25*12,$AE190-$C$7+SUM('Mortgage Calculators (By Month)'!$K$23:$K208),"-")</f>
        <v>3482987.3135145027</v>
      </c>
      <c r="AG190" s="132">
        <f t="shared" si="72"/>
        <v>17844.133539947576</v>
      </c>
      <c r="AH190" s="132">
        <f>IF($AD190&lt;=$C$25*12,SUM(Inputs!$C$61:$C$78)*'Forecast (By Month)'!AG190,"-")</f>
        <v>1962.8546893942332</v>
      </c>
      <c r="AI190" s="132">
        <f>IF($AD190&lt;=$C$25*12,(SUMIF(Inputs!$C$61:$C$78,0,Inputs!$F$61:$F$78)/12)*(1+$C$34)^ROUNDDOWN((AD190-1)/12,0),"-")</f>
        <v>1488.1666666666667</v>
      </c>
      <c r="AJ190" s="132">
        <f t="shared" si="73"/>
        <v>3451.0213560609</v>
      </c>
      <c r="AK190" s="132">
        <f>IF($AD190&lt;=$C$25*12,'Mortgage Calculators (By Month)'!$J208,"-")</f>
        <v>0</v>
      </c>
      <c r="AL190" s="132">
        <f>IF($AD190&lt;=$C$25*12,'Mortgage Calculators (By Month)'!$K208,"-")</f>
        <v>0</v>
      </c>
      <c r="AM190" s="132">
        <f>IF($AD190&lt;=$C$25*12,'Mortgage Calculators (By Month)'!$L208,"-")</f>
        <v>10</v>
      </c>
      <c r="AN190" s="132">
        <f t="shared" si="83"/>
        <v>0</v>
      </c>
      <c r="AO190" s="132">
        <f t="shared" si="74"/>
        <v>3461.0213560609</v>
      </c>
      <c r="AP190" s="132">
        <f t="shared" si="75"/>
        <v>14393.112183886675</v>
      </c>
      <c r="AQ190" s="132">
        <f t="shared" si="76"/>
        <v>0</v>
      </c>
      <c r="AR190" s="132">
        <f t="shared" si="57"/>
        <v>14393.112183886675</v>
      </c>
      <c r="AS190" s="132">
        <f>IF($AD190&lt;=$C$25*12,SUM(AR$5:AR190),"-")</f>
        <v>1796585.5972361185</v>
      </c>
      <c r="AT190" s="132">
        <f>IF($AD190&lt;=$C$25*12,AE190-$C$10-'RE Calculations'!$C377-'Mortgage Calculators (By Month)'!$M208,"-")</f>
        <v>1807800.5672442121</v>
      </c>
      <c r="AU190" s="29">
        <f t="shared" si="77"/>
        <v>1.1291505809984541</v>
      </c>
      <c r="AV190" s="31">
        <f t="shared" si="78"/>
        <v>7.2848424580545426E-2</v>
      </c>
      <c r="AW190" s="132">
        <f t="shared" si="79"/>
        <v>3604386.1644803304</v>
      </c>
      <c r="AX190" s="29">
        <f t="shared" si="80"/>
        <v>2.2512963019863692</v>
      </c>
      <c r="AY190" s="31">
        <f t="shared" si="81"/>
        <v>0.14524492270879802</v>
      </c>
    </row>
    <row r="191" spans="6:51" x14ac:dyDescent="0.35">
      <c r="F191" s="12">
        <f t="shared" si="58"/>
        <v>187</v>
      </c>
      <c r="G191" s="132">
        <f t="shared" si="59"/>
        <v>3497177.4349666378</v>
      </c>
      <c r="H191" s="132">
        <f>IF($F191&lt;=$C$16*12,$G191-$C$7+SUM('Mortgage Calculators (By Month)'!$D$23:$D209),"-")</f>
        <v>3497177.4349666378</v>
      </c>
      <c r="I191" s="132">
        <f t="shared" si="60"/>
        <v>17844.133539947576</v>
      </c>
      <c r="J191" s="132">
        <f>IF($F191&lt;=$C$16*12,SUM(Inputs!$C$61:$C$78)*'Forecast (By Month)'!I191,"-")</f>
        <v>1962.8546893942332</v>
      </c>
      <c r="K191" s="132">
        <f>IF($F191&lt;=$C$16*12,(SUMIF(Inputs!$C$61:$C$78,0,Inputs!$F$61:$F$78)/12)*(1+$C$34)^ROUNDDOWN((F191-1)/12,0),"-")</f>
        <v>1488.1666666666667</v>
      </c>
      <c r="L191" s="132">
        <f t="shared" si="61"/>
        <v>3451.0213560609</v>
      </c>
      <c r="M191" s="132">
        <f>IF($F191&lt;=$C$16*12,'Mortgage Calculators (By Month)'!$C209,"-")</f>
        <v>0</v>
      </c>
      <c r="N191" s="132">
        <f>IF($F191&lt;=$C$16*12,'Mortgage Calculators (By Month)'!$D209,"-")</f>
        <v>0</v>
      </c>
      <c r="O191" s="132">
        <f>IF($F191&lt;=$C$16*12,'Mortgage Calculators (By Month)'!$E209,"-")</f>
        <v>8.3333333333333339</v>
      </c>
      <c r="P191" s="132">
        <f t="shared" si="82"/>
        <v>0</v>
      </c>
      <c r="Q191" s="132">
        <f t="shared" si="62"/>
        <v>3459.3546893942334</v>
      </c>
      <c r="R191" s="132">
        <f t="shared" si="63"/>
        <v>14393.112183886675</v>
      </c>
      <c r="S191" s="132">
        <f t="shared" si="64"/>
        <v>0</v>
      </c>
      <c r="T191" s="132">
        <f t="shared" si="56"/>
        <v>14393.112183886675</v>
      </c>
      <c r="U191" s="132">
        <f>IF($F191&lt;=$C$16*12,SUM(T$5:T191),"-")</f>
        <v>1810988.7094200051</v>
      </c>
      <c r="V191" s="132">
        <f>IF($F191&lt;=$C$16*12,G191-$C$10-'RE Calculations'!$C378-'Mortgage Calculators (By Month)'!$F209,"-")</f>
        <v>1821706.8862673044</v>
      </c>
      <c r="W191" s="29">
        <f t="shared" si="65"/>
        <v>1.1378364551424207</v>
      </c>
      <c r="X191" s="31">
        <f t="shared" si="66"/>
        <v>7.3016243110743576E-2</v>
      </c>
      <c r="Y191" s="132">
        <f t="shared" si="67"/>
        <v>3632695.5956873093</v>
      </c>
      <c r="Z191" s="29">
        <f t="shared" si="68"/>
        <v>2.2689783468281979</v>
      </c>
      <c r="AA191" s="31">
        <f t="shared" si="69"/>
        <v>0.14560288856651538</v>
      </c>
      <c r="AD191" s="12">
        <f t="shared" si="70"/>
        <v>187</v>
      </c>
      <c r="AE191" s="132">
        <f t="shared" si="71"/>
        <v>3497177.4349666378</v>
      </c>
      <c r="AF191" s="132">
        <f>IF($AD191&lt;=$C$25*12,$AE191-$C$7+SUM('Mortgage Calculators (By Month)'!$K$23:$K209),"-")</f>
        <v>3497177.4349666378</v>
      </c>
      <c r="AG191" s="132">
        <f t="shared" si="72"/>
        <v>17844.133539947576</v>
      </c>
      <c r="AH191" s="132">
        <f>IF($AD191&lt;=$C$25*12,SUM(Inputs!$C$61:$C$78)*'Forecast (By Month)'!AG191,"-")</f>
        <v>1962.8546893942332</v>
      </c>
      <c r="AI191" s="132">
        <f>IF($AD191&lt;=$C$25*12,(SUMIF(Inputs!$C$61:$C$78,0,Inputs!$F$61:$F$78)/12)*(1+$C$34)^ROUNDDOWN((AD191-1)/12,0),"-")</f>
        <v>1488.1666666666667</v>
      </c>
      <c r="AJ191" s="132">
        <f t="shared" si="73"/>
        <v>3451.0213560609</v>
      </c>
      <c r="AK191" s="132">
        <f>IF($AD191&lt;=$C$25*12,'Mortgage Calculators (By Month)'!$J209,"-")</f>
        <v>0</v>
      </c>
      <c r="AL191" s="132">
        <f>IF($AD191&lt;=$C$25*12,'Mortgage Calculators (By Month)'!$K209,"-")</f>
        <v>0</v>
      </c>
      <c r="AM191" s="132">
        <f>IF($AD191&lt;=$C$25*12,'Mortgage Calculators (By Month)'!$L209,"-")</f>
        <v>10</v>
      </c>
      <c r="AN191" s="132">
        <f t="shared" si="83"/>
        <v>0</v>
      </c>
      <c r="AO191" s="132">
        <f t="shared" si="74"/>
        <v>3461.0213560609</v>
      </c>
      <c r="AP191" s="132">
        <f t="shared" si="75"/>
        <v>14393.112183886675</v>
      </c>
      <c r="AQ191" s="132">
        <f t="shared" si="76"/>
        <v>0</v>
      </c>
      <c r="AR191" s="132">
        <f t="shared" si="57"/>
        <v>14393.112183886675</v>
      </c>
      <c r="AS191" s="132">
        <f>IF($AD191&lt;=$C$25*12,SUM(AR$5:AR191),"-")</f>
        <v>1810978.7094200051</v>
      </c>
      <c r="AT191" s="132">
        <f>IF($AD191&lt;=$C$25*12,AE191-$C$10-'RE Calculations'!$C378-'Mortgage Calculators (By Month)'!$M209,"-")</f>
        <v>1821706.8862673044</v>
      </c>
      <c r="AU191" s="29">
        <f t="shared" si="77"/>
        <v>1.1378364551424207</v>
      </c>
      <c r="AV191" s="31">
        <f t="shared" si="78"/>
        <v>7.3016243110743576E-2</v>
      </c>
      <c r="AW191" s="132">
        <f t="shared" si="79"/>
        <v>3632685.5956873093</v>
      </c>
      <c r="AX191" s="29">
        <f t="shared" si="80"/>
        <v>2.2689721008373431</v>
      </c>
      <c r="AY191" s="31">
        <f t="shared" si="81"/>
        <v>0.14560248775426801</v>
      </c>
    </row>
    <row r="192" spans="6:51" x14ac:dyDescent="0.35">
      <c r="F192" s="12">
        <f t="shared" si="58"/>
        <v>188</v>
      </c>
      <c r="G192" s="132">
        <f t="shared" si="59"/>
        <v>3511425.3687300738</v>
      </c>
      <c r="H192" s="132">
        <f>IF($F192&lt;=$C$16*12,$G192-$C$7+SUM('Mortgage Calculators (By Month)'!$D$23:$D210),"-")</f>
        <v>3511425.3687300738</v>
      </c>
      <c r="I192" s="132">
        <f t="shared" si="60"/>
        <v>17844.133539947576</v>
      </c>
      <c r="J192" s="132">
        <f>IF($F192&lt;=$C$16*12,SUM(Inputs!$C$61:$C$78)*'Forecast (By Month)'!I192,"-")</f>
        <v>1962.8546893942332</v>
      </c>
      <c r="K192" s="132">
        <f>IF($F192&lt;=$C$16*12,(SUMIF(Inputs!$C$61:$C$78,0,Inputs!$F$61:$F$78)/12)*(1+$C$34)^ROUNDDOWN((F192-1)/12,0),"-")</f>
        <v>1488.1666666666667</v>
      </c>
      <c r="L192" s="132">
        <f t="shared" si="61"/>
        <v>3451.0213560609</v>
      </c>
      <c r="M192" s="132">
        <f>IF($F192&lt;=$C$16*12,'Mortgage Calculators (By Month)'!$C210,"-")</f>
        <v>0</v>
      </c>
      <c r="N192" s="132">
        <f>IF($F192&lt;=$C$16*12,'Mortgage Calculators (By Month)'!$D210,"-")</f>
        <v>0</v>
      </c>
      <c r="O192" s="132">
        <f>IF($F192&lt;=$C$16*12,'Mortgage Calculators (By Month)'!$E210,"-")</f>
        <v>8.3333333333333339</v>
      </c>
      <c r="P192" s="132">
        <f t="shared" si="82"/>
        <v>0</v>
      </c>
      <c r="Q192" s="132">
        <f t="shared" si="62"/>
        <v>3459.3546893942334</v>
      </c>
      <c r="R192" s="132">
        <f t="shared" si="63"/>
        <v>14393.112183886675</v>
      </c>
      <c r="S192" s="132">
        <f t="shared" si="64"/>
        <v>0</v>
      </c>
      <c r="T192" s="132">
        <f t="shared" si="56"/>
        <v>14393.112183886675</v>
      </c>
      <c r="U192" s="132">
        <f>IF($F192&lt;=$C$16*12,SUM(T$5:T192),"-")</f>
        <v>1825381.8216038917</v>
      </c>
      <c r="V192" s="132">
        <f>IF($F192&lt;=$C$16*12,G192-$C$10-'RE Calculations'!$C379-'Mortgage Calculators (By Month)'!$F210,"-")</f>
        <v>1835669.8613554719</v>
      </c>
      <c r="W192" s="29">
        <f t="shared" si="65"/>
        <v>1.1465577166128191</v>
      </c>
      <c r="X192" s="31">
        <f t="shared" si="66"/>
        <v>7.3184535102945911E-2</v>
      </c>
      <c r="Y192" s="132">
        <f t="shared" si="67"/>
        <v>3661051.6829593638</v>
      </c>
      <c r="Z192" s="29">
        <f t="shared" si="68"/>
        <v>2.2866895330056045</v>
      </c>
      <c r="AA192" s="31">
        <f t="shared" si="69"/>
        <v>0.14595890636205988</v>
      </c>
      <c r="AD192" s="12">
        <f t="shared" si="70"/>
        <v>188</v>
      </c>
      <c r="AE192" s="132">
        <f t="shared" si="71"/>
        <v>3511425.3687300738</v>
      </c>
      <c r="AF192" s="132">
        <f>IF($AD192&lt;=$C$25*12,$AE192-$C$7+SUM('Mortgage Calculators (By Month)'!$K$23:$K210),"-")</f>
        <v>3511425.3687300738</v>
      </c>
      <c r="AG192" s="132">
        <f t="shared" si="72"/>
        <v>17844.133539947576</v>
      </c>
      <c r="AH192" s="132">
        <f>IF($AD192&lt;=$C$25*12,SUM(Inputs!$C$61:$C$78)*'Forecast (By Month)'!AG192,"-")</f>
        <v>1962.8546893942332</v>
      </c>
      <c r="AI192" s="132">
        <f>IF($AD192&lt;=$C$25*12,(SUMIF(Inputs!$C$61:$C$78,0,Inputs!$F$61:$F$78)/12)*(1+$C$34)^ROUNDDOWN((AD192-1)/12,0),"-")</f>
        <v>1488.1666666666667</v>
      </c>
      <c r="AJ192" s="132">
        <f t="shared" si="73"/>
        <v>3451.0213560609</v>
      </c>
      <c r="AK192" s="132">
        <f>IF($AD192&lt;=$C$25*12,'Mortgage Calculators (By Month)'!$J210,"-")</f>
        <v>0</v>
      </c>
      <c r="AL192" s="132">
        <f>IF($AD192&lt;=$C$25*12,'Mortgage Calculators (By Month)'!$K210,"-")</f>
        <v>0</v>
      </c>
      <c r="AM192" s="132">
        <f>IF($AD192&lt;=$C$25*12,'Mortgage Calculators (By Month)'!$L210,"-")</f>
        <v>10</v>
      </c>
      <c r="AN192" s="132">
        <f t="shared" si="83"/>
        <v>0</v>
      </c>
      <c r="AO192" s="132">
        <f t="shared" si="74"/>
        <v>3461.0213560609</v>
      </c>
      <c r="AP192" s="132">
        <f t="shared" si="75"/>
        <v>14393.112183886675</v>
      </c>
      <c r="AQ192" s="132">
        <f t="shared" si="76"/>
        <v>0</v>
      </c>
      <c r="AR192" s="132">
        <f t="shared" si="57"/>
        <v>14393.112183886675</v>
      </c>
      <c r="AS192" s="132">
        <f>IF($AD192&lt;=$C$25*12,SUM(AR$5:AR192),"-")</f>
        <v>1825371.8216038917</v>
      </c>
      <c r="AT192" s="132">
        <f>IF($AD192&lt;=$C$25*12,AE192-$C$10-'RE Calculations'!$C379-'Mortgage Calculators (By Month)'!$M210,"-")</f>
        <v>1835669.8613554719</v>
      </c>
      <c r="AU192" s="29">
        <f t="shared" si="77"/>
        <v>1.1465577166128191</v>
      </c>
      <c r="AV192" s="31">
        <f t="shared" si="78"/>
        <v>7.3184535102945911E-2</v>
      </c>
      <c r="AW192" s="132">
        <f t="shared" si="79"/>
        <v>3661041.6829593638</v>
      </c>
      <c r="AX192" s="29">
        <f t="shared" si="80"/>
        <v>2.2866832870147498</v>
      </c>
      <c r="AY192" s="31">
        <f t="shared" si="81"/>
        <v>0.14595850768179255</v>
      </c>
    </row>
    <row r="193" spans="6:51" x14ac:dyDescent="0.35">
      <c r="F193" s="12">
        <f t="shared" si="58"/>
        <v>189</v>
      </c>
      <c r="G193" s="132">
        <f t="shared" si="59"/>
        <v>3525731.3503393233</v>
      </c>
      <c r="H193" s="132">
        <f>IF($F193&lt;=$C$16*12,$G193-$C$7+SUM('Mortgage Calculators (By Month)'!$D$23:$D211),"-")</f>
        <v>3525731.3503393233</v>
      </c>
      <c r="I193" s="132">
        <f t="shared" si="60"/>
        <v>17844.133539947576</v>
      </c>
      <c r="J193" s="132">
        <f>IF($F193&lt;=$C$16*12,SUM(Inputs!$C$61:$C$78)*'Forecast (By Month)'!I193,"-")</f>
        <v>1962.8546893942332</v>
      </c>
      <c r="K193" s="132">
        <f>IF($F193&lt;=$C$16*12,(SUMIF(Inputs!$C$61:$C$78,0,Inputs!$F$61:$F$78)/12)*(1+$C$34)^ROUNDDOWN((F193-1)/12,0),"-")</f>
        <v>1488.1666666666667</v>
      </c>
      <c r="L193" s="132">
        <f t="shared" si="61"/>
        <v>3451.0213560609</v>
      </c>
      <c r="M193" s="132">
        <f>IF($F193&lt;=$C$16*12,'Mortgage Calculators (By Month)'!$C211,"-")</f>
        <v>0</v>
      </c>
      <c r="N193" s="132">
        <f>IF($F193&lt;=$C$16*12,'Mortgage Calculators (By Month)'!$D211,"-")</f>
        <v>0</v>
      </c>
      <c r="O193" s="132">
        <f>IF($F193&lt;=$C$16*12,'Mortgage Calculators (By Month)'!$E211,"-")</f>
        <v>8.3333333333333339</v>
      </c>
      <c r="P193" s="132">
        <f t="shared" si="82"/>
        <v>0</v>
      </c>
      <c r="Q193" s="132">
        <f t="shared" si="62"/>
        <v>3459.3546893942334</v>
      </c>
      <c r="R193" s="132">
        <f t="shared" si="63"/>
        <v>14393.112183886675</v>
      </c>
      <c r="S193" s="132">
        <f t="shared" si="64"/>
        <v>0</v>
      </c>
      <c r="T193" s="132">
        <f t="shared" si="56"/>
        <v>14393.112183886675</v>
      </c>
      <c r="U193" s="132">
        <f>IF($F193&lt;=$C$16*12,SUM(T$5:T193),"-")</f>
        <v>1839774.9337877783</v>
      </c>
      <c r="V193" s="132">
        <f>IF($F193&lt;=$C$16*12,G193-$C$10-'RE Calculations'!$C380-'Mortgage Calculators (By Month)'!$F211,"-")</f>
        <v>1849689.7233325364</v>
      </c>
      <c r="W193" s="29">
        <f t="shared" si="65"/>
        <v>1.1553145095819972</v>
      </c>
      <c r="X193" s="31">
        <f t="shared" si="66"/>
        <v>7.3353302195682368E-2</v>
      </c>
      <c r="Y193" s="132">
        <f t="shared" si="67"/>
        <v>3689464.6571203144</v>
      </c>
      <c r="Z193" s="29">
        <f t="shared" si="68"/>
        <v>2.3044362506817899</v>
      </c>
      <c r="AA193" s="31">
        <f t="shared" si="69"/>
        <v>0.14631341274170095</v>
      </c>
      <c r="AD193" s="12">
        <f t="shared" si="70"/>
        <v>189</v>
      </c>
      <c r="AE193" s="132">
        <f t="shared" si="71"/>
        <v>3525731.3503393233</v>
      </c>
      <c r="AF193" s="132">
        <f>IF($AD193&lt;=$C$25*12,$AE193-$C$7+SUM('Mortgage Calculators (By Month)'!$K$23:$K211),"-")</f>
        <v>3525731.3503393233</v>
      </c>
      <c r="AG193" s="132">
        <f t="shared" si="72"/>
        <v>17844.133539947576</v>
      </c>
      <c r="AH193" s="132">
        <f>IF($AD193&lt;=$C$25*12,SUM(Inputs!$C$61:$C$78)*'Forecast (By Month)'!AG193,"-")</f>
        <v>1962.8546893942332</v>
      </c>
      <c r="AI193" s="132">
        <f>IF($AD193&lt;=$C$25*12,(SUMIF(Inputs!$C$61:$C$78,0,Inputs!$F$61:$F$78)/12)*(1+$C$34)^ROUNDDOWN((AD193-1)/12,0),"-")</f>
        <v>1488.1666666666667</v>
      </c>
      <c r="AJ193" s="132">
        <f t="shared" si="73"/>
        <v>3451.0213560609</v>
      </c>
      <c r="AK193" s="132">
        <f>IF($AD193&lt;=$C$25*12,'Mortgage Calculators (By Month)'!$J211,"-")</f>
        <v>0</v>
      </c>
      <c r="AL193" s="132">
        <f>IF($AD193&lt;=$C$25*12,'Mortgage Calculators (By Month)'!$K211,"-")</f>
        <v>0</v>
      </c>
      <c r="AM193" s="132">
        <f>IF($AD193&lt;=$C$25*12,'Mortgage Calculators (By Month)'!$L211,"-")</f>
        <v>10</v>
      </c>
      <c r="AN193" s="132">
        <f t="shared" si="83"/>
        <v>0</v>
      </c>
      <c r="AO193" s="132">
        <f t="shared" si="74"/>
        <v>3461.0213560609</v>
      </c>
      <c r="AP193" s="132">
        <f t="shared" si="75"/>
        <v>14393.112183886675</v>
      </c>
      <c r="AQ193" s="132">
        <f t="shared" si="76"/>
        <v>0</v>
      </c>
      <c r="AR193" s="132">
        <f t="shared" si="57"/>
        <v>14393.112183886675</v>
      </c>
      <c r="AS193" s="132">
        <f>IF($AD193&lt;=$C$25*12,SUM(AR$5:AR193),"-")</f>
        <v>1839764.9337877783</v>
      </c>
      <c r="AT193" s="132">
        <f>IF($AD193&lt;=$C$25*12,AE193-$C$10-'RE Calculations'!$C380-'Mortgage Calculators (By Month)'!$M211,"-")</f>
        <v>1849689.7233325364</v>
      </c>
      <c r="AU193" s="29">
        <f t="shared" si="77"/>
        <v>1.1553145095819972</v>
      </c>
      <c r="AV193" s="31">
        <f t="shared" si="78"/>
        <v>7.3353302195682368E-2</v>
      </c>
      <c r="AW193" s="132">
        <f t="shared" si="79"/>
        <v>3689454.6571203144</v>
      </c>
      <c r="AX193" s="29">
        <f t="shared" si="80"/>
        <v>2.3044300046909356</v>
      </c>
      <c r="AY193" s="31">
        <f t="shared" si="81"/>
        <v>0.14631301617085304</v>
      </c>
    </row>
    <row r="194" spans="6:51" x14ac:dyDescent="0.35">
      <c r="F194" s="12">
        <f t="shared" si="58"/>
        <v>190</v>
      </c>
      <c r="G194" s="132">
        <f t="shared" si="59"/>
        <v>3540095.6162884953</v>
      </c>
      <c r="H194" s="132">
        <f>IF($F194&lt;=$C$16*12,$G194-$C$7+SUM('Mortgage Calculators (By Month)'!$D$23:$D212),"-")</f>
        <v>3540095.6162884953</v>
      </c>
      <c r="I194" s="132">
        <f t="shared" si="60"/>
        <v>17844.133539947576</v>
      </c>
      <c r="J194" s="132">
        <f>IF($F194&lt;=$C$16*12,SUM(Inputs!$C$61:$C$78)*'Forecast (By Month)'!I194,"-")</f>
        <v>1962.8546893942332</v>
      </c>
      <c r="K194" s="132">
        <f>IF($F194&lt;=$C$16*12,(SUMIF(Inputs!$C$61:$C$78,0,Inputs!$F$61:$F$78)/12)*(1+$C$34)^ROUNDDOWN((F194-1)/12,0),"-")</f>
        <v>1488.1666666666667</v>
      </c>
      <c r="L194" s="132">
        <f t="shared" si="61"/>
        <v>3451.0213560609</v>
      </c>
      <c r="M194" s="132">
        <f>IF($F194&lt;=$C$16*12,'Mortgage Calculators (By Month)'!$C212,"-")</f>
        <v>0</v>
      </c>
      <c r="N194" s="132">
        <f>IF($F194&lt;=$C$16*12,'Mortgage Calculators (By Month)'!$D212,"-")</f>
        <v>0</v>
      </c>
      <c r="O194" s="132">
        <f>IF($F194&lt;=$C$16*12,'Mortgage Calculators (By Month)'!$E212,"-")</f>
        <v>8.3333333333333339</v>
      </c>
      <c r="P194" s="132">
        <f t="shared" si="82"/>
        <v>0</v>
      </c>
      <c r="Q194" s="132">
        <f t="shared" si="62"/>
        <v>3459.3546893942334</v>
      </c>
      <c r="R194" s="132">
        <f t="shared" si="63"/>
        <v>14393.112183886675</v>
      </c>
      <c r="S194" s="132">
        <f t="shared" si="64"/>
        <v>0</v>
      </c>
      <c r="T194" s="132">
        <f t="shared" si="56"/>
        <v>14393.112183886675</v>
      </c>
      <c r="U194" s="132">
        <f>IF($F194&lt;=$C$16*12,SUM(T$5:T194),"-")</f>
        <v>1854168.0459716648</v>
      </c>
      <c r="V194" s="132">
        <f>IF($F194&lt;=$C$16*12,G194-$C$10-'RE Calculations'!$C381-'Mortgage Calculators (By Month)'!$F212,"-")</f>
        <v>1863766.7039627249</v>
      </c>
      <c r="W194" s="29">
        <f t="shared" si="65"/>
        <v>1.1641069788096796</v>
      </c>
      <c r="X194" s="31">
        <f t="shared" si="66"/>
        <v>7.3522546030085026E-2</v>
      </c>
      <c r="Y194" s="132">
        <f t="shared" si="67"/>
        <v>3717934.7499343897</v>
      </c>
      <c r="Z194" s="29">
        <f t="shared" si="68"/>
        <v>2.3222186446164805</v>
      </c>
      <c r="AA194" s="31">
        <f t="shared" si="69"/>
        <v>0.14666644071261981</v>
      </c>
      <c r="AD194" s="12">
        <f t="shared" si="70"/>
        <v>190</v>
      </c>
      <c r="AE194" s="132">
        <f t="shared" si="71"/>
        <v>3540095.6162884953</v>
      </c>
      <c r="AF194" s="132">
        <f>IF($AD194&lt;=$C$25*12,$AE194-$C$7+SUM('Mortgage Calculators (By Month)'!$K$23:$K212),"-")</f>
        <v>3540095.6162884953</v>
      </c>
      <c r="AG194" s="132">
        <f t="shared" si="72"/>
        <v>17844.133539947576</v>
      </c>
      <c r="AH194" s="132">
        <f>IF($AD194&lt;=$C$25*12,SUM(Inputs!$C$61:$C$78)*'Forecast (By Month)'!AG194,"-")</f>
        <v>1962.8546893942332</v>
      </c>
      <c r="AI194" s="132">
        <f>IF($AD194&lt;=$C$25*12,(SUMIF(Inputs!$C$61:$C$78,0,Inputs!$F$61:$F$78)/12)*(1+$C$34)^ROUNDDOWN((AD194-1)/12,0),"-")</f>
        <v>1488.1666666666667</v>
      </c>
      <c r="AJ194" s="132">
        <f t="shared" si="73"/>
        <v>3451.0213560609</v>
      </c>
      <c r="AK194" s="132">
        <f>IF($AD194&lt;=$C$25*12,'Mortgage Calculators (By Month)'!$J212,"-")</f>
        <v>0</v>
      </c>
      <c r="AL194" s="132">
        <f>IF($AD194&lt;=$C$25*12,'Mortgage Calculators (By Month)'!$K212,"-")</f>
        <v>0</v>
      </c>
      <c r="AM194" s="132">
        <f>IF($AD194&lt;=$C$25*12,'Mortgage Calculators (By Month)'!$L212,"-")</f>
        <v>10</v>
      </c>
      <c r="AN194" s="132">
        <f t="shared" si="83"/>
        <v>0</v>
      </c>
      <c r="AO194" s="132">
        <f t="shared" si="74"/>
        <v>3461.0213560609</v>
      </c>
      <c r="AP194" s="132">
        <f t="shared" si="75"/>
        <v>14393.112183886675</v>
      </c>
      <c r="AQ194" s="132">
        <f t="shared" si="76"/>
        <v>0</v>
      </c>
      <c r="AR194" s="132">
        <f t="shared" si="57"/>
        <v>14393.112183886675</v>
      </c>
      <c r="AS194" s="132">
        <f>IF($AD194&lt;=$C$25*12,SUM(AR$5:AR194),"-")</f>
        <v>1854158.0459716648</v>
      </c>
      <c r="AT194" s="132">
        <f>IF($AD194&lt;=$C$25*12,AE194-$C$10-'RE Calculations'!$C381-'Mortgage Calculators (By Month)'!$M212,"-")</f>
        <v>1863766.7039627249</v>
      </c>
      <c r="AU194" s="29">
        <f t="shared" si="77"/>
        <v>1.1641069788096796</v>
      </c>
      <c r="AV194" s="31">
        <f t="shared" si="78"/>
        <v>7.3522546030085026E-2</v>
      </c>
      <c r="AW194" s="132">
        <f t="shared" si="79"/>
        <v>3717924.7499343897</v>
      </c>
      <c r="AX194" s="29">
        <f t="shared" si="80"/>
        <v>2.3222123986256258</v>
      </c>
      <c r="AY194" s="31">
        <f t="shared" si="81"/>
        <v>0.14666604622898688</v>
      </c>
    </row>
    <row r="195" spans="6:51" x14ac:dyDescent="0.35">
      <c r="F195" s="12">
        <f t="shared" si="58"/>
        <v>191</v>
      </c>
      <c r="G195" s="132">
        <f t="shared" si="59"/>
        <v>3554518.4040352055</v>
      </c>
      <c r="H195" s="132">
        <f>IF($F195&lt;=$C$16*12,$G195-$C$7+SUM('Mortgage Calculators (By Month)'!$D$23:$D213),"-")</f>
        <v>3554518.4040352055</v>
      </c>
      <c r="I195" s="132">
        <f t="shared" si="60"/>
        <v>17844.133539947576</v>
      </c>
      <c r="J195" s="132">
        <f>IF($F195&lt;=$C$16*12,SUM(Inputs!$C$61:$C$78)*'Forecast (By Month)'!I195,"-")</f>
        <v>1962.8546893942332</v>
      </c>
      <c r="K195" s="132">
        <f>IF($F195&lt;=$C$16*12,(SUMIF(Inputs!$C$61:$C$78,0,Inputs!$F$61:$F$78)/12)*(1+$C$34)^ROUNDDOWN((F195-1)/12,0),"-")</f>
        <v>1488.1666666666667</v>
      </c>
      <c r="L195" s="132">
        <f t="shared" si="61"/>
        <v>3451.0213560609</v>
      </c>
      <c r="M195" s="132">
        <f>IF($F195&lt;=$C$16*12,'Mortgage Calculators (By Month)'!$C213,"-")</f>
        <v>0</v>
      </c>
      <c r="N195" s="132">
        <f>IF($F195&lt;=$C$16*12,'Mortgage Calculators (By Month)'!$D213,"-")</f>
        <v>0</v>
      </c>
      <c r="O195" s="132">
        <f>IF($F195&lt;=$C$16*12,'Mortgage Calculators (By Month)'!$E213,"-")</f>
        <v>8.3333333333333339</v>
      </c>
      <c r="P195" s="132">
        <f t="shared" si="82"/>
        <v>0</v>
      </c>
      <c r="Q195" s="132">
        <f t="shared" si="62"/>
        <v>3459.3546893942334</v>
      </c>
      <c r="R195" s="132">
        <f t="shared" si="63"/>
        <v>14393.112183886675</v>
      </c>
      <c r="S195" s="132">
        <f t="shared" si="64"/>
        <v>0</v>
      </c>
      <c r="T195" s="132">
        <f t="shared" si="56"/>
        <v>14393.112183886675</v>
      </c>
      <c r="U195" s="132">
        <f>IF($F195&lt;=$C$16*12,SUM(T$5:T195),"-")</f>
        <v>1868561.1581555514</v>
      </c>
      <c r="V195" s="132">
        <f>IF($F195&lt;=$C$16*12,G195-$C$10-'RE Calculations'!$C382-'Mortgage Calculators (By Month)'!$F213,"-")</f>
        <v>1877901.0359545008</v>
      </c>
      <c r="W195" s="29">
        <f t="shared" si="65"/>
        <v>1.1729352696453594</v>
      </c>
      <c r="X195" s="31">
        <f t="shared" si="66"/>
        <v>7.369226824997023E-2</v>
      </c>
      <c r="Y195" s="132">
        <f t="shared" si="67"/>
        <v>3746462.1941100522</v>
      </c>
      <c r="Z195" s="29">
        <f t="shared" si="68"/>
        <v>2.3400368601591679</v>
      </c>
      <c r="AA195" s="31">
        <f t="shared" si="69"/>
        <v>0.14701802262780114</v>
      </c>
      <c r="AD195" s="12">
        <f t="shared" si="70"/>
        <v>191</v>
      </c>
      <c r="AE195" s="132">
        <f t="shared" si="71"/>
        <v>3554518.4040352055</v>
      </c>
      <c r="AF195" s="132">
        <f>IF($AD195&lt;=$C$25*12,$AE195-$C$7+SUM('Mortgage Calculators (By Month)'!$K$23:$K213),"-")</f>
        <v>3554518.4040352055</v>
      </c>
      <c r="AG195" s="132">
        <f t="shared" si="72"/>
        <v>17844.133539947576</v>
      </c>
      <c r="AH195" s="132">
        <f>IF($AD195&lt;=$C$25*12,SUM(Inputs!$C$61:$C$78)*'Forecast (By Month)'!AG195,"-")</f>
        <v>1962.8546893942332</v>
      </c>
      <c r="AI195" s="132">
        <f>IF($AD195&lt;=$C$25*12,(SUMIF(Inputs!$C$61:$C$78,0,Inputs!$F$61:$F$78)/12)*(1+$C$34)^ROUNDDOWN((AD195-1)/12,0),"-")</f>
        <v>1488.1666666666667</v>
      </c>
      <c r="AJ195" s="132">
        <f t="shared" si="73"/>
        <v>3451.0213560609</v>
      </c>
      <c r="AK195" s="132">
        <f>IF($AD195&lt;=$C$25*12,'Mortgage Calculators (By Month)'!$J213,"-")</f>
        <v>0</v>
      </c>
      <c r="AL195" s="132">
        <f>IF($AD195&lt;=$C$25*12,'Mortgage Calculators (By Month)'!$K213,"-")</f>
        <v>0</v>
      </c>
      <c r="AM195" s="132">
        <f>IF($AD195&lt;=$C$25*12,'Mortgage Calculators (By Month)'!$L213,"-")</f>
        <v>10</v>
      </c>
      <c r="AN195" s="132">
        <f t="shared" si="83"/>
        <v>0</v>
      </c>
      <c r="AO195" s="132">
        <f t="shared" si="74"/>
        <v>3461.0213560609</v>
      </c>
      <c r="AP195" s="132">
        <f t="shared" si="75"/>
        <v>14393.112183886675</v>
      </c>
      <c r="AQ195" s="132">
        <f t="shared" si="76"/>
        <v>0</v>
      </c>
      <c r="AR195" s="132">
        <f t="shared" si="57"/>
        <v>14393.112183886675</v>
      </c>
      <c r="AS195" s="132">
        <f>IF($AD195&lt;=$C$25*12,SUM(AR$5:AR195),"-")</f>
        <v>1868551.1581555514</v>
      </c>
      <c r="AT195" s="132">
        <f>IF($AD195&lt;=$C$25*12,AE195-$C$10-'RE Calculations'!$C382-'Mortgage Calculators (By Month)'!$M213,"-")</f>
        <v>1877901.0359545008</v>
      </c>
      <c r="AU195" s="29">
        <f t="shared" si="77"/>
        <v>1.1729352696453594</v>
      </c>
      <c r="AV195" s="31">
        <f t="shared" si="78"/>
        <v>7.369226824997023E-2</v>
      </c>
      <c r="AW195" s="132">
        <f t="shared" si="79"/>
        <v>3746452.1941100522</v>
      </c>
      <c r="AX195" s="29">
        <f t="shared" si="80"/>
        <v>2.3400306141683132</v>
      </c>
      <c r="AY195" s="31">
        <f t="shared" si="81"/>
        <v>0.14701763020952754</v>
      </c>
    </row>
    <row r="196" spans="6:51" x14ac:dyDescent="0.35">
      <c r="F196" s="12">
        <f t="shared" si="58"/>
        <v>192</v>
      </c>
      <c r="G196" s="132">
        <f t="shared" si="59"/>
        <v>3568999.9520045011</v>
      </c>
      <c r="H196" s="132">
        <f>IF($F196&lt;=$C$16*12,$G196-$C$7+SUM('Mortgage Calculators (By Month)'!$D$23:$D214),"-")</f>
        <v>3568999.9520045011</v>
      </c>
      <c r="I196" s="132">
        <f t="shared" si="60"/>
        <v>17844.133539947576</v>
      </c>
      <c r="J196" s="132">
        <f>IF($F196&lt;=$C$16*12,SUM(Inputs!$C$61:$C$78)*'Forecast (By Month)'!I196,"-")</f>
        <v>1962.8546893942332</v>
      </c>
      <c r="K196" s="132">
        <f>IF($F196&lt;=$C$16*12,(SUMIF(Inputs!$C$61:$C$78,0,Inputs!$F$61:$F$78)/12)*(1+$C$34)^ROUNDDOWN((F196-1)/12,0),"-")</f>
        <v>1488.1666666666667</v>
      </c>
      <c r="L196" s="132">
        <f t="shared" si="61"/>
        <v>3451.0213560609</v>
      </c>
      <c r="M196" s="132">
        <f>IF($F196&lt;=$C$16*12,'Mortgage Calculators (By Month)'!$C214,"-")</f>
        <v>0</v>
      </c>
      <c r="N196" s="132">
        <f>IF($F196&lt;=$C$16*12,'Mortgage Calculators (By Month)'!$D214,"-")</f>
        <v>0</v>
      </c>
      <c r="O196" s="132">
        <f>IF($F196&lt;=$C$16*12,'Mortgage Calculators (By Month)'!$E214,"-")</f>
        <v>8.3333333333333339</v>
      </c>
      <c r="P196" s="132">
        <f t="shared" si="82"/>
        <v>0</v>
      </c>
      <c r="Q196" s="132">
        <f t="shared" si="62"/>
        <v>3459.3546893942334</v>
      </c>
      <c r="R196" s="132">
        <f t="shared" si="63"/>
        <v>14393.112183886675</v>
      </c>
      <c r="S196" s="132">
        <f t="shared" si="64"/>
        <v>0</v>
      </c>
      <c r="T196" s="132">
        <f t="shared" ref="T196:T259" si="84">IF($F196&lt;=$C$16*12,R196-S196,"-")</f>
        <v>14393.112183886675</v>
      </c>
      <c r="U196" s="132">
        <f>IF($F196&lt;=$C$16*12,SUM(T$5:T196),"-")</f>
        <v>1882954.270339438</v>
      </c>
      <c r="V196" s="132">
        <f>IF($F196&lt;=$C$16*12,G196-$C$10-'RE Calculations'!$C383-'Mortgage Calculators (By Month)'!$F214,"-")</f>
        <v>1892092.9529644107</v>
      </c>
      <c r="W196" s="29">
        <f t="shared" si="65"/>
        <v>1.1817995280307019</v>
      </c>
      <c r="X196" s="31">
        <f t="shared" si="66"/>
        <v>7.3862470501918867E-2</v>
      </c>
      <c r="Y196" s="132">
        <f t="shared" si="67"/>
        <v>3775047.2233038489</v>
      </c>
      <c r="Z196" s="29">
        <f t="shared" si="68"/>
        <v>2.3578910432515183</v>
      </c>
      <c r="AA196" s="31">
        <f t="shared" si="69"/>
        <v>0.1473681902032199</v>
      </c>
      <c r="AD196" s="12">
        <f t="shared" si="70"/>
        <v>192</v>
      </c>
      <c r="AE196" s="132">
        <f t="shared" si="71"/>
        <v>3568999.9520045011</v>
      </c>
      <c r="AF196" s="132">
        <f>IF($AD196&lt;=$C$25*12,$AE196-$C$7+SUM('Mortgage Calculators (By Month)'!$K$23:$K214),"-")</f>
        <v>3568999.9520045011</v>
      </c>
      <c r="AG196" s="132">
        <f t="shared" si="72"/>
        <v>17844.133539947576</v>
      </c>
      <c r="AH196" s="132">
        <f>IF($AD196&lt;=$C$25*12,SUM(Inputs!$C$61:$C$78)*'Forecast (By Month)'!AG196,"-")</f>
        <v>1962.8546893942332</v>
      </c>
      <c r="AI196" s="132">
        <f>IF($AD196&lt;=$C$25*12,(SUMIF(Inputs!$C$61:$C$78,0,Inputs!$F$61:$F$78)/12)*(1+$C$34)^ROUNDDOWN((AD196-1)/12,0),"-")</f>
        <v>1488.1666666666667</v>
      </c>
      <c r="AJ196" s="132">
        <f t="shared" si="73"/>
        <v>3451.0213560609</v>
      </c>
      <c r="AK196" s="132">
        <f>IF($AD196&lt;=$C$25*12,'Mortgage Calculators (By Month)'!$J214,"-")</f>
        <v>0</v>
      </c>
      <c r="AL196" s="132">
        <f>IF($AD196&lt;=$C$25*12,'Mortgage Calculators (By Month)'!$K214,"-")</f>
        <v>0</v>
      </c>
      <c r="AM196" s="132">
        <f>IF($AD196&lt;=$C$25*12,'Mortgage Calculators (By Month)'!$L214,"-")</f>
        <v>10</v>
      </c>
      <c r="AN196" s="132">
        <f t="shared" si="83"/>
        <v>0</v>
      </c>
      <c r="AO196" s="132">
        <f t="shared" si="74"/>
        <v>3461.0213560609</v>
      </c>
      <c r="AP196" s="132">
        <f t="shared" si="75"/>
        <v>14393.112183886675</v>
      </c>
      <c r="AQ196" s="132">
        <f t="shared" si="76"/>
        <v>0</v>
      </c>
      <c r="AR196" s="132">
        <f t="shared" ref="AR196:AR259" si="85">IF($AD196&lt;=$C$25*12,AP196-AQ196,"-")</f>
        <v>14393.112183886675</v>
      </c>
      <c r="AS196" s="132">
        <f>IF($AD196&lt;=$C$25*12,SUM(AR$5:AR196),"-")</f>
        <v>1882944.270339438</v>
      </c>
      <c r="AT196" s="132">
        <f>IF($AD196&lt;=$C$25*12,AE196-$C$10-'RE Calculations'!$C383-'Mortgage Calculators (By Month)'!$M214,"-")</f>
        <v>1892092.9529644107</v>
      </c>
      <c r="AU196" s="29">
        <f t="shared" si="77"/>
        <v>1.1817995280307019</v>
      </c>
      <c r="AV196" s="31">
        <f t="shared" si="78"/>
        <v>7.3862470501918867E-2</v>
      </c>
      <c r="AW196" s="132">
        <f t="shared" si="79"/>
        <v>3775037.2233038489</v>
      </c>
      <c r="AX196" s="29">
        <f t="shared" si="80"/>
        <v>2.357884797260664</v>
      </c>
      <c r="AY196" s="31">
        <f t="shared" si="81"/>
        <v>0.1473677998287915</v>
      </c>
    </row>
    <row r="197" spans="6:51" x14ac:dyDescent="0.35">
      <c r="F197" s="12">
        <f t="shared" ref="F197:F260" si="86">IF(F196&lt;$C$16*12,F196+1,"-")</f>
        <v>193</v>
      </c>
      <c r="G197" s="132">
        <f t="shared" ref="G197:G260" si="87">IF($F197&lt;=$C$16*12,G196*(1+$C$32),"-")</f>
        <v>3583540.4995928025</v>
      </c>
      <c r="H197" s="132">
        <f>IF($F197&lt;=$C$16*12,$G197-$C$7+SUM('Mortgage Calculators (By Month)'!$D$23:$D215),"-")</f>
        <v>3583540.4995928025</v>
      </c>
      <c r="I197" s="132">
        <f t="shared" ref="I197:I260" si="88">IF($F197&lt;=$C$16*12,$C$9*(1+$C$33)^ROUNDDOWN((F197-1)/12,0),"-")</f>
        <v>18736.340216944951</v>
      </c>
      <c r="J197" s="132">
        <f>IF($F197&lt;=$C$16*12,SUM(Inputs!$C$61:$C$78)*'Forecast (By Month)'!I197,"-")</f>
        <v>2060.9974238639447</v>
      </c>
      <c r="K197" s="132">
        <f>IF($F197&lt;=$C$16*12,(SUMIF(Inputs!$C$61:$C$78,0,Inputs!$F$61:$F$78)/12)*(1+$C$34)^ROUNDDOWN((F197-1)/12,0),"-")</f>
        <v>1488.1666666666667</v>
      </c>
      <c r="L197" s="132">
        <f t="shared" ref="L197:L260" si="89">IF($F197&lt;=$C$16*12,SUM(J197:K197),"-")</f>
        <v>3549.1640905306112</v>
      </c>
      <c r="M197" s="132">
        <f>IF($F197&lt;=$C$16*12,'Mortgage Calculators (By Month)'!$C215,"-")</f>
        <v>0</v>
      </c>
      <c r="N197" s="132">
        <f>IF($F197&lt;=$C$16*12,'Mortgage Calculators (By Month)'!$D215,"-")</f>
        <v>0</v>
      </c>
      <c r="O197" s="132">
        <f>IF($F197&lt;=$C$16*12,'Mortgage Calculators (By Month)'!$E215,"-")</f>
        <v>8.3333333333333339</v>
      </c>
      <c r="P197" s="132">
        <f t="shared" si="82"/>
        <v>0</v>
      </c>
      <c r="Q197" s="132">
        <f t="shared" ref="Q197:Q260" si="90">IF($F197&lt;=$C$16*12,L197+O197+P197,"-")</f>
        <v>3557.4974238639447</v>
      </c>
      <c r="R197" s="132">
        <f t="shared" ref="R197:R260" si="91">IF($F197&lt;=$C$16*12,$I197-$L197-M197,"-")</f>
        <v>15187.176126414339</v>
      </c>
      <c r="S197" s="132">
        <f t="shared" ref="S197:S260" si="92">IF($F197&lt;=$C$16*12,(I197-Q197)*$C$35,"-")</f>
        <v>0</v>
      </c>
      <c r="T197" s="132">
        <f t="shared" si="84"/>
        <v>15187.176126414339</v>
      </c>
      <c r="U197" s="132">
        <f>IF($F197&lt;=$C$16*12,SUM(T$5:T197),"-")</f>
        <v>1898141.4464658524</v>
      </c>
      <c r="V197" s="132">
        <f>IF($F197&lt;=$C$16*12,G197-$C$10-'RE Calculations'!$C384-'Mortgage Calculators (By Month)'!$F215,"-")</f>
        <v>1906342.6896009459</v>
      </c>
      <c r="W197" s="29">
        <f t="shared" ref="W197:W260" si="93">IF($F197&lt;=$C$16*12,V197/$C$10,"-")</f>
        <v>1.1906999005019565</v>
      </c>
      <c r="X197" s="31">
        <f t="shared" ref="X197:X260" si="94">IF($F197&lt;=$C$16*12,W197/($F197/12),"-")</f>
        <v>7.4033154435354812E-2</v>
      </c>
      <c r="Y197" s="132">
        <f t="shared" ref="Y197:Y260" si="95">IF($F197&lt;=$C$16*12,V197+U197,"-")</f>
        <v>3804484.1360667981</v>
      </c>
      <c r="Z197" s="29">
        <f t="shared" ref="Z197:Z260" si="96">IF($F197&lt;=$C$16*12,Y197/$C$10,"-")</f>
        <v>2.3762773120420819</v>
      </c>
      <c r="AA197" s="31">
        <f t="shared" ref="AA197:AA260" si="97">IF($F197&lt;=$C$16*12,Z197/($F197/12),"-")</f>
        <v>0.14774781214769422</v>
      </c>
      <c r="AD197" s="12">
        <f t="shared" ref="AD197:AD260" si="98">IF($AD196&lt;$C$25*12,AD196+1,"-")</f>
        <v>193</v>
      </c>
      <c r="AE197" s="132">
        <f t="shared" ref="AE197:AE260" si="99">IF($AD197&lt;=$C$25*12,AE196*(1+$C$32),"-")</f>
        <v>3583540.4995928025</v>
      </c>
      <c r="AF197" s="132">
        <f>IF($AD197&lt;=$C$25*12,$AE197-$C$7+SUM('Mortgage Calculators (By Month)'!$K$23:$K215),"-")</f>
        <v>3583540.4995928025</v>
      </c>
      <c r="AG197" s="132">
        <f t="shared" ref="AG197:AG260" si="100">IF($AD197&lt;=$C$25*12,$C$9*(1+$C$33)^ROUNDDOWN((AD197-1)/12,0),"-")</f>
        <v>18736.340216944951</v>
      </c>
      <c r="AH197" s="132">
        <f>IF($AD197&lt;=$C$25*12,SUM(Inputs!$C$61:$C$78)*'Forecast (By Month)'!AG197,"-")</f>
        <v>2060.9974238639447</v>
      </c>
      <c r="AI197" s="132">
        <f>IF($AD197&lt;=$C$25*12,(SUMIF(Inputs!$C$61:$C$78,0,Inputs!$F$61:$F$78)/12)*(1+$C$34)^ROUNDDOWN((AD197-1)/12,0),"-")</f>
        <v>1488.1666666666667</v>
      </c>
      <c r="AJ197" s="132">
        <f t="shared" ref="AJ197:AJ260" si="101">IF($AD197&lt;=$C$25*12,SUM(AH197:AI197),"-")</f>
        <v>3549.1640905306112</v>
      </c>
      <c r="AK197" s="132">
        <f>IF($AD197&lt;=$C$25*12,'Mortgage Calculators (By Month)'!$J215,"-")</f>
        <v>0</v>
      </c>
      <c r="AL197" s="132">
        <f>IF($AD197&lt;=$C$25*12,'Mortgage Calculators (By Month)'!$K215,"-")</f>
        <v>0</v>
      </c>
      <c r="AM197" s="132">
        <f>IF($AD197&lt;=$C$25*12,'Mortgage Calculators (By Month)'!$L215,"-")</f>
        <v>10</v>
      </c>
      <c r="AN197" s="132">
        <f t="shared" si="83"/>
        <v>0</v>
      </c>
      <c r="AO197" s="132">
        <f t="shared" ref="AO197:AO260" si="102">IF($AD197&lt;=$C$25*12,AJ197+AM197+AN197,"-")</f>
        <v>3559.1640905306112</v>
      </c>
      <c r="AP197" s="132">
        <f t="shared" ref="AP197:AP260" si="103">IF($AD197&lt;=$C$25*12,$AG197-$AJ197-AK197,"-")</f>
        <v>15187.176126414339</v>
      </c>
      <c r="AQ197" s="132">
        <f t="shared" ref="AQ197:AQ260" si="104">IF($AD197&lt;=$C$25*12,(AG197-AO197)*$C$35,"-")</f>
        <v>0</v>
      </c>
      <c r="AR197" s="132">
        <f t="shared" si="85"/>
        <v>15187.176126414339</v>
      </c>
      <c r="AS197" s="132">
        <f>IF($AD197&lt;=$C$25*12,SUM(AR$5:AR197),"-")</f>
        <v>1898131.4464658524</v>
      </c>
      <c r="AT197" s="132">
        <f>IF($AD197&lt;=$C$25*12,AE197-$C$10-'RE Calculations'!$C384-'Mortgage Calculators (By Month)'!$M215,"-")</f>
        <v>1906342.6896009459</v>
      </c>
      <c r="AU197" s="29">
        <f t="shared" ref="AU197:AU260" si="105">IF($AD197&lt;=$C$25*12,AT197/$C$10,"-")</f>
        <v>1.1906999005019565</v>
      </c>
      <c r="AV197" s="31">
        <f t="shared" ref="AV197:AV260" si="106">IF($AD197&lt;=$C$25*12,AU197/($AD197/12),"-")</f>
        <v>7.4033154435354812E-2</v>
      </c>
      <c r="AW197" s="132">
        <f t="shared" ref="AW197:AW260" si="107">IF($AD197&lt;=$C$25*12,AT197+AS197,"-")</f>
        <v>3804474.1360667981</v>
      </c>
      <c r="AX197" s="29">
        <f t="shared" ref="AX197:AX260" si="108">IF($AD197&lt;=$C$25*12,AW197/$C$10,"-")</f>
        <v>2.3762710660512272</v>
      </c>
      <c r="AY197" s="31">
        <f t="shared" ref="AY197:AY260" si="109">IF($AD197&lt;=$C$25*12,AX197/($AD197/12),"-")</f>
        <v>0.14774742379593123</v>
      </c>
    </row>
    <row r="198" spans="6:51" x14ac:dyDescent="0.35">
      <c r="F198" s="12">
        <f t="shared" si="86"/>
        <v>194</v>
      </c>
      <c r="G198" s="132">
        <f t="shared" si="87"/>
        <v>3598140.2871718607</v>
      </c>
      <c r="H198" s="132">
        <f>IF($F198&lt;=$C$16*12,$G198-$C$7+SUM('Mortgage Calculators (By Month)'!$D$23:$D216),"-")</f>
        <v>3598140.2871718607</v>
      </c>
      <c r="I198" s="132">
        <f t="shared" si="88"/>
        <v>18736.340216944951</v>
      </c>
      <c r="J198" s="132">
        <f>IF($F198&lt;=$C$16*12,SUM(Inputs!$C$61:$C$78)*'Forecast (By Month)'!I198,"-")</f>
        <v>2060.9974238639447</v>
      </c>
      <c r="K198" s="132">
        <f>IF($F198&lt;=$C$16*12,(SUMIF(Inputs!$C$61:$C$78,0,Inputs!$F$61:$F$78)/12)*(1+$C$34)^ROUNDDOWN((F198-1)/12,0),"-")</f>
        <v>1488.1666666666667</v>
      </c>
      <c r="L198" s="132">
        <f t="shared" si="89"/>
        <v>3549.1640905306112</v>
      </c>
      <c r="M198" s="132">
        <f>IF($F198&lt;=$C$16*12,'Mortgage Calculators (By Month)'!$C216,"-")</f>
        <v>0</v>
      </c>
      <c r="N198" s="132">
        <f>IF($F198&lt;=$C$16*12,'Mortgage Calculators (By Month)'!$D216,"-")</f>
        <v>0</v>
      </c>
      <c r="O198" s="132">
        <f>IF($F198&lt;=$C$16*12,'Mortgage Calculators (By Month)'!$E216,"-")</f>
        <v>8.3333333333333339</v>
      </c>
      <c r="P198" s="132">
        <f t="shared" ref="P198:P261" si="110">IF($F198&lt;=$C$16*12,IF($F198&lt;=$C$38*12,IFERROR($C$37/($C$38*12),0),0),"-")</f>
        <v>0</v>
      </c>
      <c r="Q198" s="132">
        <f t="shared" si="90"/>
        <v>3557.4974238639447</v>
      </c>
      <c r="R198" s="132">
        <f t="shared" si="91"/>
        <v>15187.176126414339</v>
      </c>
      <c r="S198" s="132">
        <f t="shared" si="92"/>
        <v>0</v>
      </c>
      <c r="T198" s="132">
        <f t="shared" si="84"/>
        <v>15187.176126414339</v>
      </c>
      <c r="U198" s="132">
        <f>IF($F198&lt;=$C$16*12,SUM(T$5:T198),"-")</f>
        <v>1913328.6225922669</v>
      </c>
      <c r="V198" s="132">
        <f>IF($F198&lt;=$C$16*12,G198-$C$10-'RE Calculations'!$C385-'Mortgage Calculators (By Month)'!$F216,"-")</f>
        <v>1920650.481428423</v>
      </c>
      <c r="W198" s="29">
        <f t="shared" si="93"/>
        <v>1.1996365341923796</v>
      </c>
      <c r="X198" s="31">
        <f t="shared" si="94"/>
        <v>7.4204321702621409E-2</v>
      </c>
      <c r="Y198" s="132">
        <f t="shared" si="95"/>
        <v>3833979.1040206896</v>
      </c>
      <c r="Z198" s="29">
        <f t="shared" si="96"/>
        <v>2.3946998420518142</v>
      </c>
      <c r="AA198" s="31">
        <f t="shared" si="97"/>
        <v>0.1481257634258854</v>
      </c>
      <c r="AD198" s="12">
        <f t="shared" si="98"/>
        <v>194</v>
      </c>
      <c r="AE198" s="132">
        <f t="shared" si="99"/>
        <v>3598140.2871718607</v>
      </c>
      <c r="AF198" s="132">
        <f>IF($AD198&lt;=$C$25*12,$AE198-$C$7+SUM('Mortgage Calculators (By Month)'!$K$23:$K216),"-")</f>
        <v>3598140.2871718607</v>
      </c>
      <c r="AG198" s="132">
        <f t="shared" si="100"/>
        <v>18736.340216944951</v>
      </c>
      <c r="AH198" s="132">
        <f>IF($AD198&lt;=$C$25*12,SUM(Inputs!$C$61:$C$78)*'Forecast (By Month)'!AG198,"-")</f>
        <v>2060.9974238639447</v>
      </c>
      <c r="AI198" s="132">
        <f>IF($AD198&lt;=$C$25*12,(SUMIF(Inputs!$C$61:$C$78,0,Inputs!$F$61:$F$78)/12)*(1+$C$34)^ROUNDDOWN((AD198-1)/12,0),"-")</f>
        <v>1488.1666666666667</v>
      </c>
      <c r="AJ198" s="132">
        <f t="shared" si="101"/>
        <v>3549.1640905306112</v>
      </c>
      <c r="AK198" s="132">
        <f>IF($AD198&lt;=$C$25*12,'Mortgage Calculators (By Month)'!$J216,"-")</f>
        <v>0</v>
      </c>
      <c r="AL198" s="132">
        <f>IF($AD198&lt;=$C$25*12,'Mortgage Calculators (By Month)'!$K216,"-")</f>
        <v>0</v>
      </c>
      <c r="AM198" s="132">
        <f>IF($AD198&lt;=$C$25*12,'Mortgage Calculators (By Month)'!$L216,"-")</f>
        <v>10</v>
      </c>
      <c r="AN198" s="132">
        <f t="shared" ref="AN198:AN261" si="111">IF($AD198&lt;=$C$25*12,IF($AD198&lt;=$C$38*12,IFERROR($C$37/($C$38*12),0),0),"-")</f>
        <v>0</v>
      </c>
      <c r="AO198" s="132">
        <f t="shared" si="102"/>
        <v>3559.1640905306112</v>
      </c>
      <c r="AP198" s="132">
        <f t="shared" si="103"/>
        <v>15187.176126414339</v>
      </c>
      <c r="AQ198" s="132">
        <f t="shared" si="104"/>
        <v>0</v>
      </c>
      <c r="AR198" s="132">
        <f t="shared" si="85"/>
        <v>15187.176126414339</v>
      </c>
      <c r="AS198" s="132">
        <f>IF($AD198&lt;=$C$25*12,SUM(AR$5:AR198),"-")</f>
        <v>1913318.6225922669</v>
      </c>
      <c r="AT198" s="132">
        <f>IF($AD198&lt;=$C$25*12,AE198-$C$10-'RE Calculations'!$C385-'Mortgage Calculators (By Month)'!$M216,"-")</f>
        <v>1920650.481428423</v>
      </c>
      <c r="AU198" s="29">
        <f t="shared" si="105"/>
        <v>1.1996365341923796</v>
      </c>
      <c r="AV198" s="31">
        <f t="shared" si="106"/>
        <v>7.4204321702621409E-2</v>
      </c>
      <c r="AW198" s="132">
        <f t="shared" si="107"/>
        <v>3833969.1040206896</v>
      </c>
      <c r="AX198" s="29">
        <f t="shared" si="108"/>
        <v>2.3946935960609594</v>
      </c>
      <c r="AY198" s="31">
        <f t="shared" si="109"/>
        <v>0.14812537707593562</v>
      </c>
    </row>
    <row r="199" spans="6:51" x14ac:dyDescent="0.35">
      <c r="F199" s="12">
        <f t="shared" si="86"/>
        <v>195</v>
      </c>
      <c r="G199" s="132">
        <f t="shared" si="87"/>
        <v>3612799.5560927307</v>
      </c>
      <c r="H199" s="132">
        <f>IF($F199&lt;=$C$16*12,$G199-$C$7+SUM('Mortgage Calculators (By Month)'!$D$23:$D217),"-")</f>
        <v>3612799.5560927307</v>
      </c>
      <c r="I199" s="132">
        <f t="shared" si="88"/>
        <v>18736.340216944951</v>
      </c>
      <c r="J199" s="132">
        <f>IF($F199&lt;=$C$16*12,SUM(Inputs!$C$61:$C$78)*'Forecast (By Month)'!I199,"-")</f>
        <v>2060.9974238639447</v>
      </c>
      <c r="K199" s="132">
        <f>IF($F199&lt;=$C$16*12,(SUMIF(Inputs!$C$61:$C$78,0,Inputs!$F$61:$F$78)/12)*(1+$C$34)^ROUNDDOWN((F199-1)/12,0),"-")</f>
        <v>1488.1666666666667</v>
      </c>
      <c r="L199" s="132">
        <f t="shared" si="89"/>
        <v>3549.1640905306112</v>
      </c>
      <c r="M199" s="132">
        <f>IF($F199&lt;=$C$16*12,'Mortgage Calculators (By Month)'!$C217,"-")</f>
        <v>0</v>
      </c>
      <c r="N199" s="132">
        <f>IF($F199&lt;=$C$16*12,'Mortgage Calculators (By Month)'!$D217,"-")</f>
        <v>0</v>
      </c>
      <c r="O199" s="132">
        <f>IF($F199&lt;=$C$16*12,'Mortgage Calculators (By Month)'!$E217,"-")</f>
        <v>8.3333333333333339</v>
      </c>
      <c r="P199" s="132">
        <f t="shared" si="110"/>
        <v>0</v>
      </c>
      <c r="Q199" s="132">
        <f t="shared" si="90"/>
        <v>3557.4974238639447</v>
      </c>
      <c r="R199" s="132">
        <f t="shared" si="91"/>
        <v>15187.176126414339</v>
      </c>
      <c r="S199" s="132">
        <f t="shared" si="92"/>
        <v>0</v>
      </c>
      <c r="T199" s="132">
        <f t="shared" si="84"/>
        <v>15187.176126414339</v>
      </c>
      <c r="U199" s="132">
        <f>IF($F199&lt;=$C$16*12,SUM(T$5:T199),"-")</f>
        <v>1928515.7987186813</v>
      </c>
      <c r="V199" s="132">
        <f>IF($F199&lt;=$C$16*12,G199-$C$10-'RE Calculations'!$C386-'Mortgage Calculators (By Month)'!$F217,"-")</f>
        <v>1935016.5649708756</v>
      </c>
      <c r="W199" s="29">
        <f t="shared" si="93"/>
        <v>1.2086095768346665</v>
      </c>
      <c r="X199" s="31">
        <f t="shared" si="94"/>
        <v>7.4375973959056402E-2</v>
      </c>
      <c r="Y199" s="132">
        <f t="shared" si="95"/>
        <v>3863532.3636895567</v>
      </c>
      <c r="Z199" s="29">
        <f t="shared" si="96"/>
        <v>2.4131587810134101</v>
      </c>
      <c r="AA199" s="31">
        <f t="shared" si="97"/>
        <v>0.14850207883159447</v>
      </c>
      <c r="AD199" s="12">
        <f t="shared" si="98"/>
        <v>195</v>
      </c>
      <c r="AE199" s="132">
        <f t="shared" si="99"/>
        <v>3612799.5560927307</v>
      </c>
      <c r="AF199" s="132">
        <f>IF($AD199&lt;=$C$25*12,$AE199-$C$7+SUM('Mortgage Calculators (By Month)'!$K$23:$K217),"-")</f>
        <v>3612799.5560927307</v>
      </c>
      <c r="AG199" s="132">
        <f t="shared" si="100"/>
        <v>18736.340216944951</v>
      </c>
      <c r="AH199" s="132">
        <f>IF($AD199&lt;=$C$25*12,SUM(Inputs!$C$61:$C$78)*'Forecast (By Month)'!AG199,"-")</f>
        <v>2060.9974238639447</v>
      </c>
      <c r="AI199" s="132">
        <f>IF($AD199&lt;=$C$25*12,(SUMIF(Inputs!$C$61:$C$78,0,Inputs!$F$61:$F$78)/12)*(1+$C$34)^ROUNDDOWN((AD199-1)/12,0),"-")</f>
        <v>1488.1666666666667</v>
      </c>
      <c r="AJ199" s="132">
        <f t="shared" si="101"/>
        <v>3549.1640905306112</v>
      </c>
      <c r="AK199" s="132">
        <f>IF($AD199&lt;=$C$25*12,'Mortgage Calculators (By Month)'!$J217,"-")</f>
        <v>0</v>
      </c>
      <c r="AL199" s="132">
        <f>IF($AD199&lt;=$C$25*12,'Mortgage Calculators (By Month)'!$K217,"-")</f>
        <v>0</v>
      </c>
      <c r="AM199" s="132">
        <f>IF($AD199&lt;=$C$25*12,'Mortgage Calculators (By Month)'!$L217,"-")</f>
        <v>10</v>
      </c>
      <c r="AN199" s="132">
        <f t="shared" si="111"/>
        <v>0</v>
      </c>
      <c r="AO199" s="132">
        <f t="shared" si="102"/>
        <v>3559.1640905306112</v>
      </c>
      <c r="AP199" s="132">
        <f t="shared" si="103"/>
        <v>15187.176126414339</v>
      </c>
      <c r="AQ199" s="132">
        <f t="shared" si="104"/>
        <v>0</v>
      </c>
      <c r="AR199" s="132">
        <f t="shared" si="85"/>
        <v>15187.176126414339</v>
      </c>
      <c r="AS199" s="132">
        <f>IF($AD199&lt;=$C$25*12,SUM(AR$5:AR199),"-")</f>
        <v>1928505.7987186813</v>
      </c>
      <c r="AT199" s="132">
        <f>IF($AD199&lt;=$C$25*12,AE199-$C$10-'RE Calculations'!$C386-'Mortgage Calculators (By Month)'!$M217,"-")</f>
        <v>1935016.5649708756</v>
      </c>
      <c r="AU199" s="29">
        <f t="shared" si="105"/>
        <v>1.2086095768346665</v>
      </c>
      <c r="AV199" s="31">
        <f t="shared" si="106"/>
        <v>7.4375973959056402E-2</v>
      </c>
      <c r="AW199" s="132">
        <f t="shared" si="107"/>
        <v>3863522.3636895567</v>
      </c>
      <c r="AX199" s="29">
        <f t="shared" si="108"/>
        <v>2.4131525350225553</v>
      </c>
      <c r="AY199" s="31">
        <f t="shared" si="109"/>
        <v>0.14850169446292649</v>
      </c>
    </row>
    <row r="200" spans="6:51" x14ac:dyDescent="0.35">
      <c r="F200" s="12">
        <f t="shared" si="86"/>
        <v>196</v>
      </c>
      <c r="G200" s="132">
        <f t="shared" si="87"/>
        <v>3627518.5486897621</v>
      </c>
      <c r="H200" s="132">
        <f>IF($F200&lt;=$C$16*12,$G200-$C$7+SUM('Mortgage Calculators (By Month)'!$D$23:$D218),"-")</f>
        <v>3627518.5486897621</v>
      </c>
      <c r="I200" s="132">
        <f t="shared" si="88"/>
        <v>18736.340216944951</v>
      </c>
      <c r="J200" s="132">
        <f>IF($F200&lt;=$C$16*12,SUM(Inputs!$C$61:$C$78)*'Forecast (By Month)'!I200,"-")</f>
        <v>2060.9974238639447</v>
      </c>
      <c r="K200" s="132">
        <f>IF($F200&lt;=$C$16*12,(SUMIF(Inputs!$C$61:$C$78,0,Inputs!$F$61:$F$78)/12)*(1+$C$34)^ROUNDDOWN((F200-1)/12,0),"-")</f>
        <v>1488.1666666666667</v>
      </c>
      <c r="L200" s="132">
        <f t="shared" si="89"/>
        <v>3549.1640905306112</v>
      </c>
      <c r="M200" s="132">
        <f>IF($F200&lt;=$C$16*12,'Mortgage Calculators (By Month)'!$C218,"-")</f>
        <v>0</v>
      </c>
      <c r="N200" s="132">
        <f>IF($F200&lt;=$C$16*12,'Mortgage Calculators (By Month)'!$D218,"-")</f>
        <v>0</v>
      </c>
      <c r="O200" s="132">
        <f>IF($F200&lt;=$C$16*12,'Mortgage Calculators (By Month)'!$E218,"-")</f>
        <v>8.3333333333333339</v>
      </c>
      <c r="P200" s="132">
        <f t="shared" si="110"/>
        <v>0</v>
      </c>
      <c r="Q200" s="132">
        <f t="shared" si="90"/>
        <v>3557.4974238639447</v>
      </c>
      <c r="R200" s="132">
        <f t="shared" si="91"/>
        <v>15187.176126414339</v>
      </c>
      <c r="S200" s="132">
        <f t="shared" si="92"/>
        <v>0</v>
      </c>
      <c r="T200" s="132">
        <f t="shared" si="84"/>
        <v>15187.176126414339</v>
      </c>
      <c r="U200" s="132">
        <f>IF($F200&lt;=$C$16*12,SUM(T$5:T200),"-")</f>
        <v>1943702.9748450958</v>
      </c>
      <c r="V200" s="132">
        <f>IF($F200&lt;=$C$16*12,G200-$C$10-'RE Calculations'!$C387-'Mortgage Calculators (By Month)'!$F218,"-")</f>
        <v>1949441.1777159662</v>
      </c>
      <c r="W200" s="29">
        <f t="shared" si="93"/>
        <v>1.2176191767633939</v>
      </c>
      <c r="X200" s="31">
        <f t="shared" si="94"/>
        <v>7.4548112863064939E-2</v>
      </c>
      <c r="Y200" s="132">
        <f t="shared" si="95"/>
        <v>3893144.152561062</v>
      </c>
      <c r="Z200" s="29">
        <f t="shared" si="96"/>
        <v>2.4316542772614467</v>
      </c>
      <c r="AA200" s="31">
        <f t="shared" si="97"/>
        <v>0.1488767924853947</v>
      </c>
      <c r="AD200" s="12">
        <f t="shared" si="98"/>
        <v>196</v>
      </c>
      <c r="AE200" s="132">
        <f t="shared" si="99"/>
        <v>3627518.5486897621</v>
      </c>
      <c r="AF200" s="132">
        <f>IF($AD200&lt;=$C$25*12,$AE200-$C$7+SUM('Mortgage Calculators (By Month)'!$K$23:$K218),"-")</f>
        <v>3627518.5486897621</v>
      </c>
      <c r="AG200" s="132">
        <f t="shared" si="100"/>
        <v>18736.340216944951</v>
      </c>
      <c r="AH200" s="132">
        <f>IF($AD200&lt;=$C$25*12,SUM(Inputs!$C$61:$C$78)*'Forecast (By Month)'!AG200,"-")</f>
        <v>2060.9974238639447</v>
      </c>
      <c r="AI200" s="132">
        <f>IF($AD200&lt;=$C$25*12,(SUMIF(Inputs!$C$61:$C$78,0,Inputs!$F$61:$F$78)/12)*(1+$C$34)^ROUNDDOWN((AD200-1)/12,0),"-")</f>
        <v>1488.1666666666667</v>
      </c>
      <c r="AJ200" s="132">
        <f t="shared" si="101"/>
        <v>3549.1640905306112</v>
      </c>
      <c r="AK200" s="132">
        <f>IF($AD200&lt;=$C$25*12,'Mortgage Calculators (By Month)'!$J218,"-")</f>
        <v>0</v>
      </c>
      <c r="AL200" s="132">
        <f>IF($AD200&lt;=$C$25*12,'Mortgage Calculators (By Month)'!$K218,"-")</f>
        <v>0</v>
      </c>
      <c r="AM200" s="132">
        <f>IF($AD200&lt;=$C$25*12,'Mortgage Calculators (By Month)'!$L218,"-")</f>
        <v>10</v>
      </c>
      <c r="AN200" s="132">
        <f t="shared" si="111"/>
        <v>0</v>
      </c>
      <c r="AO200" s="132">
        <f t="shared" si="102"/>
        <v>3559.1640905306112</v>
      </c>
      <c r="AP200" s="132">
        <f t="shared" si="103"/>
        <v>15187.176126414339</v>
      </c>
      <c r="AQ200" s="132">
        <f t="shared" si="104"/>
        <v>0</v>
      </c>
      <c r="AR200" s="132">
        <f t="shared" si="85"/>
        <v>15187.176126414339</v>
      </c>
      <c r="AS200" s="132">
        <f>IF($AD200&lt;=$C$25*12,SUM(AR$5:AR200),"-")</f>
        <v>1943692.9748450958</v>
      </c>
      <c r="AT200" s="132">
        <f>IF($AD200&lt;=$C$25*12,AE200-$C$10-'RE Calculations'!$C387-'Mortgage Calculators (By Month)'!$M218,"-")</f>
        <v>1949441.1777159662</v>
      </c>
      <c r="AU200" s="29">
        <f t="shared" si="105"/>
        <v>1.2176191767633939</v>
      </c>
      <c r="AV200" s="31">
        <f t="shared" si="106"/>
        <v>7.4548112863064939E-2</v>
      </c>
      <c r="AW200" s="132">
        <f t="shared" si="107"/>
        <v>3893134.152561062</v>
      </c>
      <c r="AX200" s="29">
        <f t="shared" si="108"/>
        <v>2.4316480312705919</v>
      </c>
      <c r="AY200" s="31">
        <f t="shared" si="109"/>
        <v>0.14887641007779134</v>
      </c>
    </row>
    <row r="201" spans="6:51" x14ac:dyDescent="0.35">
      <c r="F201" s="12">
        <f t="shared" si="86"/>
        <v>197</v>
      </c>
      <c r="G201" s="132">
        <f t="shared" si="87"/>
        <v>3642297.5082846046</v>
      </c>
      <c r="H201" s="132">
        <f>IF($F201&lt;=$C$16*12,$G201-$C$7+SUM('Mortgage Calculators (By Month)'!$D$23:$D219),"-")</f>
        <v>3642297.5082846046</v>
      </c>
      <c r="I201" s="132">
        <f t="shared" si="88"/>
        <v>18736.340216944951</v>
      </c>
      <c r="J201" s="132">
        <f>IF($F201&lt;=$C$16*12,SUM(Inputs!$C$61:$C$78)*'Forecast (By Month)'!I201,"-")</f>
        <v>2060.9974238639447</v>
      </c>
      <c r="K201" s="132">
        <f>IF($F201&lt;=$C$16*12,(SUMIF(Inputs!$C$61:$C$78,0,Inputs!$F$61:$F$78)/12)*(1+$C$34)^ROUNDDOWN((F201-1)/12,0),"-")</f>
        <v>1488.1666666666667</v>
      </c>
      <c r="L201" s="132">
        <f t="shared" si="89"/>
        <v>3549.1640905306112</v>
      </c>
      <c r="M201" s="132">
        <f>IF($F201&lt;=$C$16*12,'Mortgage Calculators (By Month)'!$C219,"-")</f>
        <v>0</v>
      </c>
      <c r="N201" s="132">
        <f>IF($F201&lt;=$C$16*12,'Mortgage Calculators (By Month)'!$D219,"-")</f>
        <v>0</v>
      </c>
      <c r="O201" s="132">
        <f>IF($F201&lt;=$C$16*12,'Mortgage Calculators (By Month)'!$E219,"-")</f>
        <v>8.3333333333333339</v>
      </c>
      <c r="P201" s="132">
        <f t="shared" si="110"/>
        <v>0</v>
      </c>
      <c r="Q201" s="132">
        <f t="shared" si="90"/>
        <v>3557.4974238639447</v>
      </c>
      <c r="R201" s="132">
        <f t="shared" si="91"/>
        <v>15187.176126414339</v>
      </c>
      <c r="S201" s="132">
        <f t="shared" si="92"/>
        <v>0</v>
      </c>
      <c r="T201" s="132">
        <f t="shared" si="84"/>
        <v>15187.176126414339</v>
      </c>
      <c r="U201" s="132">
        <f>IF($F201&lt;=$C$16*12,SUM(T$5:T201),"-")</f>
        <v>1958890.1509715102</v>
      </c>
      <c r="V201" s="132">
        <f>IF($F201&lt;=$C$16*12,G201-$C$10-'RE Calculations'!$C388-'Mortgage Calculators (By Month)'!$F219,"-")</f>
        <v>1963924.5581189119</v>
      </c>
      <c r="W201" s="29">
        <f t="shared" si="93"/>
        <v>1.2266654829174723</v>
      </c>
      <c r="X201" s="31">
        <f t="shared" si="94"/>
        <v>7.47207400761912E-2</v>
      </c>
      <c r="Y201" s="132">
        <f t="shared" si="95"/>
        <v>3922814.7090904219</v>
      </c>
      <c r="Z201" s="29">
        <f t="shared" si="96"/>
        <v>2.4501864797348341</v>
      </c>
      <c r="AA201" s="31">
        <f t="shared" si="97"/>
        <v>0.14924993785186805</v>
      </c>
      <c r="AD201" s="12">
        <f t="shared" si="98"/>
        <v>197</v>
      </c>
      <c r="AE201" s="132">
        <f t="shared" si="99"/>
        <v>3642297.5082846046</v>
      </c>
      <c r="AF201" s="132">
        <f>IF($AD201&lt;=$C$25*12,$AE201-$C$7+SUM('Mortgage Calculators (By Month)'!$K$23:$K219),"-")</f>
        <v>3642297.5082846046</v>
      </c>
      <c r="AG201" s="132">
        <f t="shared" si="100"/>
        <v>18736.340216944951</v>
      </c>
      <c r="AH201" s="132">
        <f>IF($AD201&lt;=$C$25*12,SUM(Inputs!$C$61:$C$78)*'Forecast (By Month)'!AG201,"-")</f>
        <v>2060.9974238639447</v>
      </c>
      <c r="AI201" s="132">
        <f>IF($AD201&lt;=$C$25*12,(SUMIF(Inputs!$C$61:$C$78,0,Inputs!$F$61:$F$78)/12)*(1+$C$34)^ROUNDDOWN((AD201-1)/12,0),"-")</f>
        <v>1488.1666666666667</v>
      </c>
      <c r="AJ201" s="132">
        <f t="shared" si="101"/>
        <v>3549.1640905306112</v>
      </c>
      <c r="AK201" s="132">
        <f>IF($AD201&lt;=$C$25*12,'Mortgage Calculators (By Month)'!$J219,"-")</f>
        <v>0</v>
      </c>
      <c r="AL201" s="132">
        <f>IF($AD201&lt;=$C$25*12,'Mortgage Calculators (By Month)'!$K219,"-")</f>
        <v>0</v>
      </c>
      <c r="AM201" s="132">
        <f>IF($AD201&lt;=$C$25*12,'Mortgage Calculators (By Month)'!$L219,"-")</f>
        <v>10</v>
      </c>
      <c r="AN201" s="132">
        <f t="shared" si="111"/>
        <v>0</v>
      </c>
      <c r="AO201" s="132">
        <f t="shared" si="102"/>
        <v>3559.1640905306112</v>
      </c>
      <c r="AP201" s="132">
        <f t="shared" si="103"/>
        <v>15187.176126414339</v>
      </c>
      <c r="AQ201" s="132">
        <f t="shared" si="104"/>
        <v>0</v>
      </c>
      <c r="AR201" s="132">
        <f t="shared" si="85"/>
        <v>15187.176126414339</v>
      </c>
      <c r="AS201" s="132">
        <f>IF($AD201&lt;=$C$25*12,SUM(AR$5:AR201),"-")</f>
        <v>1958880.1509715102</v>
      </c>
      <c r="AT201" s="132">
        <f>IF($AD201&lt;=$C$25*12,AE201-$C$10-'RE Calculations'!$C388-'Mortgage Calculators (By Month)'!$M219,"-")</f>
        <v>1963924.5581189119</v>
      </c>
      <c r="AU201" s="29">
        <f t="shared" si="105"/>
        <v>1.2266654829174723</v>
      </c>
      <c r="AV201" s="31">
        <f t="shared" si="106"/>
        <v>7.47207400761912E-2</v>
      </c>
      <c r="AW201" s="132">
        <f t="shared" si="107"/>
        <v>3922804.7090904219</v>
      </c>
      <c r="AX201" s="29">
        <f t="shared" si="108"/>
        <v>2.4501802337439793</v>
      </c>
      <c r="AY201" s="31">
        <f t="shared" si="109"/>
        <v>0.14924955738542006</v>
      </c>
    </row>
    <row r="202" spans="6:51" x14ac:dyDescent="0.35">
      <c r="F202" s="12">
        <f t="shared" si="86"/>
        <v>198</v>
      </c>
      <c r="G202" s="132">
        <f t="shared" si="87"/>
        <v>3657136.6791902301</v>
      </c>
      <c r="H202" s="132">
        <f>IF($F202&lt;=$C$16*12,$G202-$C$7+SUM('Mortgage Calculators (By Month)'!$D$23:$D220),"-")</f>
        <v>3657136.6791902301</v>
      </c>
      <c r="I202" s="132">
        <f t="shared" si="88"/>
        <v>18736.340216944951</v>
      </c>
      <c r="J202" s="132">
        <f>IF($F202&lt;=$C$16*12,SUM(Inputs!$C$61:$C$78)*'Forecast (By Month)'!I202,"-")</f>
        <v>2060.9974238639447</v>
      </c>
      <c r="K202" s="132">
        <f>IF($F202&lt;=$C$16*12,(SUMIF(Inputs!$C$61:$C$78,0,Inputs!$F$61:$F$78)/12)*(1+$C$34)^ROUNDDOWN((F202-1)/12,0),"-")</f>
        <v>1488.1666666666667</v>
      </c>
      <c r="L202" s="132">
        <f t="shared" si="89"/>
        <v>3549.1640905306112</v>
      </c>
      <c r="M202" s="132">
        <f>IF($F202&lt;=$C$16*12,'Mortgage Calculators (By Month)'!$C220,"-")</f>
        <v>0</v>
      </c>
      <c r="N202" s="132">
        <f>IF($F202&lt;=$C$16*12,'Mortgage Calculators (By Month)'!$D220,"-")</f>
        <v>0</v>
      </c>
      <c r="O202" s="132">
        <f>IF($F202&lt;=$C$16*12,'Mortgage Calculators (By Month)'!$E220,"-")</f>
        <v>8.3333333333333339</v>
      </c>
      <c r="P202" s="132">
        <f t="shared" si="110"/>
        <v>0</v>
      </c>
      <c r="Q202" s="132">
        <f t="shared" si="90"/>
        <v>3557.4974238639447</v>
      </c>
      <c r="R202" s="132">
        <f t="shared" si="91"/>
        <v>15187.176126414339</v>
      </c>
      <c r="S202" s="132">
        <f t="shared" si="92"/>
        <v>0</v>
      </c>
      <c r="T202" s="132">
        <f t="shared" si="84"/>
        <v>15187.176126414339</v>
      </c>
      <c r="U202" s="132">
        <f>IF($F202&lt;=$C$16*12,SUM(T$5:T202),"-")</f>
        <v>1974077.3270979247</v>
      </c>
      <c r="V202" s="132">
        <f>IF($F202&lt;=$C$16*12,G202-$C$10-'RE Calculations'!$C389-'Mortgage Calculators (By Month)'!$F220,"-")</f>
        <v>1978466.9456064249</v>
      </c>
      <c r="W202" s="29">
        <f t="shared" si="93"/>
        <v>1.2357486448426072</v>
      </c>
      <c r="X202" s="31">
        <f t="shared" si="94"/>
        <v>7.4893857263188313E-2</v>
      </c>
      <c r="Y202" s="132">
        <f t="shared" si="95"/>
        <v>3952544.2727043498</v>
      </c>
      <c r="Z202" s="29">
        <f t="shared" si="96"/>
        <v>2.4687555379792783</v>
      </c>
      <c r="AA202" s="31">
        <f t="shared" si="97"/>
        <v>0.14962154775631989</v>
      </c>
      <c r="AD202" s="12">
        <f t="shared" si="98"/>
        <v>198</v>
      </c>
      <c r="AE202" s="132">
        <f t="shared" si="99"/>
        <v>3657136.6791902301</v>
      </c>
      <c r="AF202" s="132">
        <f>IF($AD202&lt;=$C$25*12,$AE202-$C$7+SUM('Mortgage Calculators (By Month)'!$K$23:$K220),"-")</f>
        <v>3657136.6791902301</v>
      </c>
      <c r="AG202" s="132">
        <f t="shared" si="100"/>
        <v>18736.340216944951</v>
      </c>
      <c r="AH202" s="132">
        <f>IF($AD202&lt;=$C$25*12,SUM(Inputs!$C$61:$C$78)*'Forecast (By Month)'!AG202,"-")</f>
        <v>2060.9974238639447</v>
      </c>
      <c r="AI202" s="132">
        <f>IF($AD202&lt;=$C$25*12,(SUMIF(Inputs!$C$61:$C$78,0,Inputs!$F$61:$F$78)/12)*(1+$C$34)^ROUNDDOWN((AD202-1)/12,0),"-")</f>
        <v>1488.1666666666667</v>
      </c>
      <c r="AJ202" s="132">
        <f t="shared" si="101"/>
        <v>3549.1640905306112</v>
      </c>
      <c r="AK202" s="132">
        <f>IF($AD202&lt;=$C$25*12,'Mortgage Calculators (By Month)'!$J220,"-")</f>
        <v>0</v>
      </c>
      <c r="AL202" s="132">
        <f>IF($AD202&lt;=$C$25*12,'Mortgage Calculators (By Month)'!$K220,"-")</f>
        <v>0</v>
      </c>
      <c r="AM202" s="132">
        <f>IF($AD202&lt;=$C$25*12,'Mortgage Calculators (By Month)'!$L220,"-")</f>
        <v>10</v>
      </c>
      <c r="AN202" s="132">
        <f t="shared" si="111"/>
        <v>0</v>
      </c>
      <c r="AO202" s="132">
        <f t="shared" si="102"/>
        <v>3559.1640905306112</v>
      </c>
      <c r="AP202" s="132">
        <f t="shared" si="103"/>
        <v>15187.176126414339</v>
      </c>
      <c r="AQ202" s="132">
        <f t="shared" si="104"/>
        <v>0</v>
      </c>
      <c r="AR202" s="132">
        <f t="shared" si="85"/>
        <v>15187.176126414339</v>
      </c>
      <c r="AS202" s="132">
        <f>IF($AD202&lt;=$C$25*12,SUM(AR$5:AR202),"-")</f>
        <v>1974067.3270979247</v>
      </c>
      <c r="AT202" s="132">
        <f>IF($AD202&lt;=$C$25*12,AE202-$C$10-'RE Calculations'!$C389-'Mortgage Calculators (By Month)'!$M220,"-")</f>
        <v>1978466.9456064249</v>
      </c>
      <c r="AU202" s="29">
        <f t="shared" si="105"/>
        <v>1.2357486448426072</v>
      </c>
      <c r="AV202" s="31">
        <f t="shared" si="106"/>
        <v>7.4893857263188313E-2</v>
      </c>
      <c r="AW202" s="132">
        <f t="shared" si="107"/>
        <v>3952534.2727043498</v>
      </c>
      <c r="AX202" s="29">
        <f t="shared" si="108"/>
        <v>2.4687492919884235</v>
      </c>
      <c r="AY202" s="31">
        <f t="shared" si="109"/>
        <v>0.1496211692114196</v>
      </c>
    </row>
    <row r="203" spans="6:51" x14ac:dyDescent="0.35">
      <c r="F203" s="12">
        <f t="shared" si="86"/>
        <v>199</v>
      </c>
      <c r="G203" s="132">
        <f t="shared" si="87"/>
        <v>3672036.3067149715</v>
      </c>
      <c r="H203" s="132">
        <f>IF($F203&lt;=$C$16*12,$G203-$C$7+SUM('Mortgage Calculators (By Month)'!$D$23:$D221),"-")</f>
        <v>3672036.3067149715</v>
      </c>
      <c r="I203" s="132">
        <f t="shared" si="88"/>
        <v>18736.340216944951</v>
      </c>
      <c r="J203" s="132">
        <f>IF($F203&lt;=$C$16*12,SUM(Inputs!$C$61:$C$78)*'Forecast (By Month)'!I203,"-")</f>
        <v>2060.9974238639447</v>
      </c>
      <c r="K203" s="132">
        <f>IF($F203&lt;=$C$16*12,(SUMIF(Inputs!$C$61:$C$78,0,Inputs!$F$61:$F$78)/12)*(1+$C$34)^ROUNDDOWN((F203-1)/12,0),"-")</f>
        <v>1488.1666666666667</v>
      </c>
      <c r="L203" s="132">
        <f t="shared" si="89"/>
        <v>3549.1640905306112</v>
      </c>
      <c r="M203" s="132">
        <f>IF($F203&lt;=$C$16*12,'Mortgage Calculators (By Month)'!$C221,"-")</f>
        <v>0</v>
      </c>
      <c r="N203" s="132">
        <f>IF($F203&lt;=$C$16*12,'Mortgage Calculators (By Month)'!$D221,"-")</f>
        <v>0</v>
      </c>
      <c r="O203" s="132">
        <f>IF($F203&lt;=$C$16*12,'Mortgage Calculators (By Month)'!$E221,"-")</f>
        <v>8.3333333333333339</v>
      </c>
      <c r="P203" s="132">
        <f t="shared" si="110"/>
        <v>0</v>
      </c>
      <c r="Q203" s="132">
        <f t="shared" si="90"/>
        <v>3557.4974238639447</v>
      </c>
      <c r="R203" s="132">
        <f t="shared" si="91"/>
        <v>15187.176126414339</v>
      </c>
      <c r="S203" s="132">
        <f t="shared" si="92"/>
        <v>0</v>
      </c>
      <c r="T203" s="132">
        <f t="shared" si="84"/>
        <v>15187.176126414339</v>
      </c>
      <c r="U203" s="132">
        <f>IF($F203&lt;=$C$16*12,SUM(T$5:T203),"-")</f>
        <v>1989264.5032243391</v>
      </c>
      <c r="V203" s="132">
        <f>IF($F203&lt;=$C$16*12,G203-$C$10-'RE Calculations'!$C390-'Mortgage Calculators (By Month)'!$F221,"-")</f>
        <v>1993068.5805806716</v>
      </c>
      <c r="W203" s="29">
        <f t="shared" si="93"/>
        <v>1.2448688126937719</v>
      </c>
      <c r="X203" s="31">
        <f t="shared" si="94"/>
        <v>7.5067466092086754E-2</v>
      </c>
      <c r="Y203" s="132">
        <f t="shared" si="95"/>
        <v>3982333.0838050107</v>
      </c>
      <c r="Z203" s="29">
        <f t="shared" si="96"/>
        <v>2.4873616021497518</v>
      </c>
      <c r="AA203" s="31">
        <f t="shared" si="97"/>
        <v>0.14999165440099008</v>
      </c>
      <c r="AD203" s="12">
        <f t="shared" si="98"/>
        <v>199</v>
      </c>
      <c r="AE203" s="132">
        <f t="shared" si="99"/>
        <v>3672036.3067149715</v>
      </c>
      <c r="AF203" s="132">
        <f>IF($AD203&lt;=$C$25*12,$AE203-$C$7+SUM('Mortgage Calculators (By Month)'!$K$23:$K221),"-")</f>
        <v>3672036.3067149715</v>
      </c>
      <c r="AG203" s="132">
        <f t="shared" si="100"/>
        <v>18736.340216944951</v>
      </c>
      <c r="AH203" s="132">
        <f>IF($AD203&lt;=$C$25*12,SUM(Inputs!$C$61:$C$78)*'Forecast (By Month)'!AG203,"-")</f>
        <v>2060.9974238639447</v>
      </c>
      <c r="AI203" s="132">
        <f>IF($AD203&lt;=$C$25*12,(SUMIF(Inputs!$C$61:$C$78,0,Inputs!$F$61:$F$78)/12)*(1+$C$34)^ROUNDDOWN((AD203-1)/12,0),"-")</f>
        <v>1488.1666666666667</v>
      </c>
      <c r="AJ203" s="132">
        <f t="shared" si="101"/>
        <v>3549.1640905306112</v>
      </c>
      <c r="AK203" s="132">
        <f>IF($AD203&lt;=$C$25*12,'Mortgage Calculators (By Month)'!$J221,"-")</f>
        <v>0</v>
      </c>
      <c r="AL203" s="132">
        <f>IF($AD203&lt;=$C$25*12,'Mortgage Calculators (By Month)'!$K221,"-")</f>
        <v>0</v>
      </c>
      <c r="AM203" s="132">
        <f>IF($AD203&lt;=$C$25*12,'Mortgage Calculators (By Month)'!$L221,"-")</f>
        <v>10</v>
      </c>
      <c r="AN203" s="132">
        <f t="shared" si="111"/>
        <v>0</v>
      </c>
      <c r="AO203" s="132">
        <f t="shared" si="102"/>
        <v>3559.1640905306112</v>
      </c>
      <c r="AP203" s="132">
        <f t="shared" si="103"/>
        <v>15187.176126414339</v>
      </c>
      <c r="AQ203" s="132">
        <f t="shared" si="104"/>
        <v>0</v>
      </c>
      <c r="AR203" s="132">
        <f t="shared" si="85"/>
        <v>15187.176126414339</v>
      </c>
      <c r="AS203" s="132">
        <f>IF($AD203&lt;=$C$25*12,SUM(AR$5:AR203),"-")</f>
        <v>1989254.5032243391</v>
      </c>
      <c r="AT203" s="132">
        <f>IF($AD203&lt;=$C$25*12,AE203-$C$10-'RE Calculations'!$C390-'Mortgage Calculators (By Month)'!$M221,"-")</f>
        <v>1993068.5805806716</v>
      </c>
      <c r="AU203" s="29">
        <f t="shared" si="105"/>
        <v>1.2448688126937719</v>
      </c>
      <c r="AV203" s="31">
        <f t="shared" si="106"/>
        <v>7.5067466092086754E-2</v>
      </c>
      <c r="AW203" s="132">
        <f t="shared" si="107"/>
        <v>3982323.0838050107</v>
      </c>
      <c r="AX203" s="29">
        <f t="shared" si="108"/>
        <v>2.487355356158897</v>
      </c>
      <c r="AY203" s="31">
        <f t="shared" si="109"/>
        <v>0.14999127775832546</v>
      </c>
    </row>
    <row r="204" spans="6:51" x14ac:dyDescent="0.35">
      <c r="F204" s="12">
        <f t="shared" si="86"/>
        <v>200</v>
      </c>
      <c r="G204" s="132">
        <f t="shared" si="87"/>
        <v>3686996.6371665793</v>
      </c>
      <c r="H204" s="132">
        <f>IF($F204&lt;=$C$16*12,$G204-$C$7+SUM('Mortgage Calculators (By Month)'!$D$23:$D222),"-")</f>
        <v>3686996.6371665793</v>
      </c>
      <c r="I204" s="132">
        <f t="shared" si="88"/>
        <v>18736.340216944951</v>
      </c>
      <c r="J204" s="132">
        <f>IF($F204&lt;=$C$16*12,SUM(Inputs!$C$61:$C$78)*'Forecast (By Month)'!I204,"-")</f>
        <v>2060.9974238639447</v>
      </c>
      <c r="K204" s="132">
        <f>IF($F204&lt;=$C$16*12,(SUMIF(Inputs!$C$61:$C$78,0,Inputs!$F$61:$F$78)/12)*(1+$C$34)^ROUNDDOWN((F204-1)/12,0),"-")</f>
        <v>1488.1666666666667</v>
      </c>
      <c r="L204" s="132">
        <f t="shared" si="89"/>
        <v>3549.1640905306112</v>
      </c>
      <c r="M204" s="132">
        <f>IF($F204&lt;=$C$16*12,'Mortgage Calculators (By Month)'!$C222,"-")</f>
        <v>0</v>
      </c>
      <c r="N204" s="132">
        <f>IF($F204&lt;=$C$16*12,'Mortgage Calculators (By Month)'!$D222,"-")</f>
        <v>0</v>
      </c>
      <c r="O204" s="132">
        <f>IF($F204&lt;=$C$16*12,'Mortgage Calculators (By Month)'!$E222,"-")</f>
        <v>8.3333333333333339</v>
      </c>
      <c r="P204" s="132">
        <f t="shared" si="110"/>
        <v>0</v>
      </c>
      <c r="Q204" s="132">
        <f t="shared" si="90"/>
        <v>3557.4974238639447</v>
      </c>
      <c r="R204" s="132">
        <f t="shared" si="91"/>
        <v>15187.176126414339</v>
      </c>
      <c r="S204" s="132">
        <f t="shared" si="92"/>
        <v>0</v>
      </c>
      <c r="T204" s="132">
        <f t="shared" si="84"/>
        <v>15187.176126414339</v>
      </c>
      <c r="U204" s="132">
        <f>IF($F204&lt;=$C$16*12,SUM(T$5:T204),"-")</f>
        <v>2004451.6793507535</v>
      </c>
      <c r="V204" s="132">
        <f>IF($F204&lt;=$C$16*12,G204-$C$10-'RE Calculations'!$C391-'Mortgage Calculators (By Month)'!$F222,"-")</f>
        <v>2007729.7044232471</v>
      </c>
      <c r="W204" s="29">
        <f t="shared" si="93"/>
        <v>1.25402613723769</v>
      </c>
      <c r="X204" s="31">
        <f t="shared" si="94"/>
        <v>7.5241568234261397E-2</v>
      </c>
      <c r="Y204" s="132">
        <f t="shared" si="95"/>
        <v>4012181.3837740007</v>
      </c>
      <c r="Z204" s="29">
        <f t="shared" si="96"/>
        <v>2.506004823012979</v>
      </c>
      <c r="AA204" s="31">
        <f t="shared" si="97"/>
        <v>0.15036028938077872</v>
      </c>
      <c r="AD204" s="12">
        <f t="shared" si="98"/>
        <v>200</v>
      </c>
      <c r="AE204" s="132">
        <f t="shared" si="99"/>
        <v>3686996.6371665793</v>
      </c>
      <c r="AF204" s="132">
        <f>IF($AD204&lt;=$C$25*12,$AE204-$C$7+SUM('Mortgage Calculators (By Month)'!$K$23:$K222),"-")</f>
        <v>3686996.6371665793</v>
      </c>
      <c r="AG204" s="132">
        <f t="shared" si="100"/>
        <v>18736.340216944951</v>
      </c>
      <c r="AH204" s="132">
        <f>IF($AD204&lt;=$C$25*12,SUM(Inputs!$C$61:$C$78)*'Forecast (By Month)'!AG204,"-")</f>
        <v>2060.9974238639447</v>
      </c>
      <c r="AI204" s="132">
        <f>IF($AD204&lt;=$C$25*12,(SUMIF(Inputs!$C$61:$C$78,0,Inputs!$F$61:$F$78)/12)*(1+$C$34)^ROUNDDOWN((AD204-1)/12,0),"-")</f>
        <v>1488.1666666666667</v>
      </c>
      <c r="AJ204" s="132">
        <f t="shared" si="101"/>
        <v>3549.1640905306112</v>
      </c>
      <c r="AK204" s="132">
        <f>IF($AD204&lt;=$C$25*12,'Mortgage Calculators (By Month)'!$J222,"-")</f>
        <v>0</v>
      </c>
      <c r="AL204" s="132">
        <f>IF($AD204&lt;=$C$25*12,'Mortgage Calculators (By Month)'!$K222,"-")</f>
        <v>0</v>
      </c>
      <c r="AM204" s="132">
        <f>IF($AD204&lt;=$C$25*12,'Mortgage Calculators (By Month)'!$L222,"-")</f>
        <v>10</v>
      </c>
      <c r="AN204" s="132">
        <f t="shared" si="111"/>
        <v>0</v>
      </c>
      <c r="AO204" s="132">
        <f t="shared" si="102"/>
        <v>3559.1640905306112</v>
      </c>
      <c r="AP204" s="132">
        <f t="shared" si="103"/>
        <v>15187.176126414339</v>
      </c>
      <c r="AQ204" s="132">
        <f t="shared" si="104"/>
        <v>0</v>
      </c>
      <c r="AR204" s="132">
        <f t="shared" si="85"/>
        <v>15187.176126414339</v>
      </c>
      <c r="AS204" s="132">
        <f>IF($AD204&lt;=$C$25*12,SUM(AR$5:AR204),"-")</f>
        <v>2004441.6793507535</v>
      </c>
      <c r="AT204" s="132">
        <f>IF($AD204&lt;=$C$25*12,AE204-$C$10-'RE Calculations'!$C391-'Mortgage Calculators (By Month)'!$M222,"-")</f>
        <v>2007729.7044232471</v>
      </c>
      <c r="AU204" s="29">
        <f t="shared" si="105"/>
        <v>1.25402613723769</v>
      </c>
      <c r="AV204" s="31">
        <f t="shared" si="106"/>
        <v>7.5241568234261397E-2</v>
      </c>
      <c r="AW204" s="132">
        <f t="shared" si="107"/>
        <v>4012171.3837740007</v>
      </c>
      <c r="AX204" s="29">
        <f t="shared" si="108"/>
        <v>2.5059985770221243</v>
      </c>
      <c r="AY204" s="31">
        <f t="shared" si="109"/>
        <v>0.15035991462132745</v>
      </c>
    </row>
    <row r="205" spans="6:51" x14ac:dyDescent="0.35">
      <c r="F205" s="12">
        <f t="shared" si="86"/>
        <v>201</v>
      </c>
      <c r="G205" s="132">
        <f t="shared" si="87"/>
        <v>3702017.9178562909</v>
      </c>
      <c r="H205" s="132">
        <f>IF($F205&lt;=$C$16*12,$G205-$C$7+SUM('Mortgage Calculators (By Month)'!$D$23:$D223),"-")</f>
        <v>3702017.9178562909</v>
      </c>
      <c r="I205" s="132">
        <f t="shared" si="88"/>
        <v>18736.340216944951</v>
      </c>
      <c r="J205" s="132">
        <f>IF($F205&lt;=$C$16*12,SUM(Inputs!$C$61:$C$78)*'Forecast (By Month)'!I205,"-")</f>
        <v>2060.9974238639447</v>
      </c>
      <c r="K205" s="132">
        <f>IF($F205&lt;=$C$16*12,(SUMIF(Inputs!$C$61:$C$78,0,Inputs!$F$61:$F$78)/12)*(1+$C$34)^ROUNDDOWN((F205-1)/12,0),"-")</f>
        <v>1488.1666666666667</v>
      </c>
      <c r="L205" s="132">
        <f t="shared" si="89"/>
        <v>3549.1640905306112</v>
      </c>
      <c r="M205" s="132">
        <f>IF($F205&lt;=$C$16*12,'Mortgage Calculators (By Month)'!$C223,"-")</f>
        <v>0</v>
      </c>
      <c r="N205" s="132">
        <f>IF($F205&lt;=$C$16*12,'Mortgage Calculators (By Month)'!$D223,"-")</f>
        <v>0</v>
      </c>
      <c r="O205" s="132">
        <f>IF($F205&lt;=$C$16*12,'Mortgage Calculators (By Month)'!$E223,"-")</f>
        <v>8.3333333333333339</v>
      </c>
      <c r="P205" s="132">
        <f t="shared" si="110"/>
        <v>0</v>
      </c>
      <c r="Q205" s="132">
        <f t="shared" si="90"/>
        <v>3557.4974238639447</v>
      </c>
      <c r="R205" s="132">
        <f t="shared" si="91"/>
        <v>15187.176126414339</v>
      </c>
      <c r="S205" s="132">
        <f t="shared" si="92"/>
        <v>0</v>
      </c>
      <c r="T205" s="132">
        <f t="shared" si="84"/>
        <v>15187.176126414339</v>
      </c>
      <c r="U205" s="132">
        <f>IF($F205&lt;=$C$16*12,SUM(T$5:T205),"-")</f>
        <v>2019638.855477168</v>
      </c>
      <c r="V205" s="132">
        <f>IF($F205&lt;=$C$16*12,G205-$C$10-'RE Calculations'!$C392-'Mortgage Calculators (By Month)'!$F223,"-")</f>
        <v>2022450.5594991646</v>
      </c>
      <c r="W205" s="29">
        <f t="shared" si="93"/>
        <v>1.2632207698553271</v>
      </c>
      <c r="X205" s="31">
        <f t="shared" si="94"/>
        <v>7.5416165364497134E-2</v>
      </c>
      <c r="Y205" s="132">
        <f t="shared" si="95"/>
        <v>4042089.4149763323</v>
      </c>
      <c r="Z205" s="29">
        <f t="shared" si="96"/>
        <v>2.524685351949925</v>
      </c>
      <c r="AA205" s="31">
        <f t="shared" si="97"/>
        <v>0.150727483698503</v>
      </c>
      <c r="AD205" s="12">
        <f t="shared" si="98"/>
        <v>201</v>
      </c>
      <c r="AE205" s="132">
        <f t="shared" si="99"/>
        <v>3702017.9178562909</v>
      </c>
      <c r="AF205" s="132">
        <f>IF($AD205&lt;=$C$25*12,$AE205-$C$7+SUM('Mortgage Calculators (By Month)'!$K$23:$K223),"-")</f>
        <v>3702017.9178562909</v>
      </c>
      <c r="AG205" s="132">
        <f t="shared" si="100"/>
        <v>18736.340216944951</v>
      </c>
      <c r="AH205" s="132">
        <f>IF($AD205&lt;=$C$25*12,SUM(Inputs!$C$61:$C$78)*'Forecast (By Month)'!AG205,"-")</f>
        <v>2060.9974238639447</v>
      </c>
      <c r="AI205" s="132">
        <f>IF($AD205&lt;=$C$25*12,(SUMIF(Inputs!$C$61:$C$78,0,Inputs!$F$61:$F$78)/12)*(1+$C$34)^ROUNDDOWN((AD205-1)/12,0),"-")</f>
        <v>1488.1666666666667</v>
      </c>
      <c r="AJ205" s="132">
        <f t="shared" si="101"/>
        <v>3549.1640905306112</v>
      </c>
      <c r="AK205" s="132">
        <f>IF($AD205&lt;=$C$25*12,'Mortgage Calculators (By Month)'!$J223,"-")</f>
        <v>0</v>
      </c>
      <c r="AL205" s="132">
        <f>IF($AD205&lt;=$C$25*12,'Mortgage Calculators (By Month)'!$K223,"-")</f>
        <v>0</v>
      </c>
      <c r="AM205" s="132">
        <f>IF($AD205&lt;=$C$25*12,'Mortgage Calculators (By Month)'!$L223,"-")</f>
        <v>10</v>
      </c>
      <c r="AN205" s="132">
        <f t="shared" si="111"/>
        <v>0</v>
      </c>
      <c r="AO205" s="132">
        <f t="shared" si="102"/>
        <v>3559.1640905306112</v>
      </c>
      <c r="AP205" s="132">
        <f t="shared" si="103"/>
        <v>15187.176126414339</v>
      </c>
      <c r="AQ205" s="132">
        <f t="shared" si="104"/>
        <v>0</v>
      </c>
      <c r="AR205" s="132">
        <f t="shared" si="85"/>
        <v>15187.176126414339</v>
      </c>
      <c r="AS205" s="132">
        <f>IF($AD205&lt;=$C$25*12,SUM(AR$5:AR205),"-")</f>
        <v>2019628.855477168</v>
      </c>
      <c r="AT205" s="132">
        <f>IF($AD205&lt;=$C$25*12,AE205-$C$10-'RE Calculations'!$C392-'Mortgage Calculators (By Month)'!$M223,"-")</f>
        <v>2022450.5594991646</v>
      </c>
      <c r="AU205" s="29">
        <f t="shared" si="105"/>
        <v>1.2632207698553271</v>
      </c>
      <c r="AV205" s="31">
        <f t="shared" si="106"/>
        <v>7.5416165364497134E-2</v>
      </c>
      <c r="AW205" s="132">
        <f t="shared" si="107"/>
        <v>4042079.4149763323</v>
      </c>
      <c r="AX205" s="29">
        <f t="shared" si="108"/>
        <v>2.5246791059590703</v>
      </c>
      <c r="AY205" s="31">
        <f t="shared" si="109"/>
        <v>0.15072711080352658</v>
      </c>
    </row>
    <row r="206" spans="6:51" x14ac:dyDescent="0.35">
      <c r="F206" s="12">
        <f t="shared" si="86"/>
        <v>202</v>
      </c>
      <c r="G206" s="132">
        <f t="shared" si="87"/>
        <v>3717100.3971029217</v>
      </c>
      <c r="H206" s="132">
        <f>IF($F206&lt;=$C$16*12,$G206-$C$7+SUM('Mortgage Calculators (By Month)'!$D$23:$D224),"-")</f>
        <v>3717100.3971029217</v>
      </c>
      <c r="I206" s="132">
        <f t="shared" si="88"/>
        <v>18736.340216944951</v>
      </c>
      <c r="J206" s="132">
        <f>IF($F206&lt;=$C$16*12,SUM(Inputs!$C$61:$C$78)*'Forecast (By Month)'!I206,"-")</f>
        <v>2060.9974238639447</v>
      </c>
      <c r="K206" s="132">
        <f>IF($F206&lt;=$C$16*12,(SUMIF(Inputs!$C$61:$C$78,0,Inputs!$F$61:$F$78)/12)*(1+$C$34)^ROUNDDOWN((F206-1)/12,0),"-")</f>
        <v>1488.1666666666667</v>
      </c>
      <c r="L206" s="132">
        <f t="shared" si="89"/>
        <v>3549.1640905306112</v>
      </c>
      <c r="M206" s="132">
        <f>IF($F206&lt;=$C$16*12,'Mortgage Calculators (By Month)'!$C224,"-")</f>
        <v>0</v>
      </c>
      <c r="N206" s="132">
        <f>IF($F206&lt;=$C$16*12,'Mortgage Calculators (By Month)'!$D224,"-")</f>
        <v>0</v>
      </c>
      <c r="O206" s="132">
        <f>IF($F206&lt;=$C$16*12,'Mortgage Calculators (By Month)'!$E224,"-")</f>
        <v>8.3333333333333339</v>
      </c>
      <c r="P206" s="132">
        <f t="shared" si="110"/>
        <v>0</v>
      </c>
      <c r="Q206" s="132">
        <f t="shared" si="90"/>
        <v>3557.4974238639447</v>
      </c>
      <c r="R206" s="132">
        <f t="shared" si="91"/>
        <v>15187.176126414339</v>
      </c>
      <c r="S206" s="132">
        <f t="shared" si="92"/>
        <v>0</v>
      </c>
      <c r="T206" s="132">
        <f t="shared" si="84"/>
        <v>15187.176126414339</v>
      </c>
      <c r="U206" s="132">
        <f>IF($F206&lt;=$C$16*12,SUM(T$5:T206),"-")</f>
        <v>2034826.0316035824</v>
      </c>
      <c r="V206" s="132">
        <f>IF($F206&lt;=$C$16*12,G206-$C$10-'RE Calculations'!$C393-'Mortgage Calculators (By Month)'!$F224,"-")</f>
        <v>2037231.3891608627</v>
      </c>
      <c r="W206" s="29">
        <f t="shared" si="93"/>
        <v>1.2724528625443934</v>
      </c>
      <c r="X206" s="31">
        <f t="shared" si="94"/>
        <v>7.5591259161053082E-2</v>
      </c>
      <c r="Y206" s="132">
        <f t="shared" si="95"/>
        <v>4072057.4207644453</v>
      </c>
      <c r="Z206" s="29">
        <f t="shared" si="96"/>
        <v>2.5434033409583008</v>
      </c>
      <c r="AA206" s="31">
        <f t="shared" si="97"/>
        <v>0.15109326777970106</v>
      </c>
      <c r="AD206" s="12">
        <f t="shared" si="98"/>
        <v>202</v>
      </c>
      <c r="AE206" s="132">
        <f t="shared" si="99"/>
        <v>3717100.3971029217</v>
      </c>
      <c r="AF206" s="132">
        <f>IF($AD206&lt;=$C$25*12,$AE206-$C$7+SUM('Mortgage Calculators (By Month)'!$K$23:$K224),"-")</f>
        <v>3717100.3971029217</v>
      </c>
      <c r="AG206" s="132">
        <f t="shared" si="100"/>
        <v>18736.340216944951</v>
      </c>
      <c r="AH206" s="132">
        <f>IF($AD206&lt;=$C$25*12,SUM(Inputs!$C$61:$C$78)*'Forecast (By Month)'!AG206,"-")</f>
        <v>2060.9974238639447</v>
      </c>
      <c r="AI206" s="132">
        <f>IF($AD206&lt;=$C$25*12,(SUMIF(Inputs!$C$61:$C$78,0,Inputs!$F$61:$F$78)/12)*(1+$C$34)^ROUNDDOWN((AD206-1)/12,0),"-")</f>
        <v>1488.1666666666667</v>
      </c>
      <c r="AJ206" s="132">
        <f t="shared" si="101"/>
        <v>3549.1640905306112</v>
      </c>
      <c r="AK206" s="132">
        <f>IF($AD206&lt;=$C$25*12,'Mortgage Calculators (By Month)'!$J224,"-")</f>
        <v>0</v>
      </c>
      <c r="AL206" s="132">
        <f>IF($AD206&lt;=$C$25*12,'Mortgage Calculators (By Month)'!$K224,"-")</f>
        <v>0</v>
      </c>
      <c r="AM206" s="132">
        <f>IF($AD206&lt;=$C$25*12,'Mortgage Calculators (By Month)'!$L224,"-")</f>
        <v>10</v>
      </c>
      <c r="AN206" s="132">
        <f t="shared" si="111"/>
        <v>0</v>
      </c>
      <c r="AO206" s="132">
        <f t="shared" si="102"/>
        <v>3559.1640905306112</v>
      </c>
      <c r="AP206" s="132">
        <f t="shared" si="103"/>
        <v>15187.176126414339</v>
      </c>
      <c r="AQ206" s="132">
        <f t="shared" si="104"/>
        <v>0</v>
      </c>
      <c r="AR206" s="132">
        <f t="shared" si="85"/>
        <v>15187.176126414339</v>
      </c>
      <c r="AS206" s="132">
        <f>IF($AD206&lt;=$C$25*12,SUM(AR$5:AR206),"-")</f>
        <v>2034816.0316035824</v>
      </c>
      <c r="AT206" s="132">
        <f>IF($AD206&lt;=$C$25*12,AE206-$C$10-'RE Calculations'!$C393-'Mortgage Calculators (By Month)'!$M224,"-")</f>
        <v>2037231.3891608627</v>
      </c>
      <c r="AU206" s="29">
        <f t="shared" si="105"/>
        <v>1.2724528625443934</v>
      </c>
      <c r="AV206" s="31">
        <f t="shared" si="106"/>
        <v>7.5591259161053082E-2</v>
      </c>
      <c r="AW206" s="132">
        <f t="shared" si="107"/>
        <v>4072047.4207644453</v>
      </c>
      <c r="AX206" s="29">
        <f t="shared" si="108"/>
        <v>2.543397094967446</v>
      </c>
      <c r="AY206" s="31">
        <f t="shared" si="109"/>
        <v>0.15109289673073939</v>
      </c>
    </row>
    <row r="207" spans="6:51" x14ac:dyDescent="0.35">
      <c r="F207" s="12">
        <f t="shared" si="86"/>
        <v>203</v>
      </c>
      <c r="G207" s="132">
        <f t="shared" si="87"/>
        <v>3732244.3242369676</v>
      </c>
      <c r="H207" s="132">
        <f>IF($F207&lt;=$C$16*12,$G207-$C$7+SUM('Mortgage Calculators (By Month)'!$D$23:$D225),"-")</f>
        <v>3732244.3242369676</v>
      </c>
      <c r="I207" s="132">
        <f t="shared" si="88"/>
        <v>18736.340216944951</v>
      </c>
      <c r="J207" s="132">
        <f>IF($F207&lt;=$C$16*12,SUM(Inputs!$C$61:$C$78)*'Forecast (By Month)'!I207,"-")</f>
        <v>2060.9974238639447</v>
      </c>
      <c r="K207" s="132">
        <f>IF($F207&lt;=$C$16*12,(SUMIF(Inputs!$C$61:$C$78,0,Inputs!$F$61:$F$78)/12)*(1+$C$34)^ROUNDDOWN((F207-1)/12,0),"-")</f>
        <v>1488.1666666666667</v>
      </c>
      <c r="L207" s="132">
        <f t="shared" si="89"/>
        <v>3549.1640905306112</v>
      </c>
      <c r="M207" s="132">
        <f>IF($F207&lt;=$C$16*12,'Mortgage Calculators (By Month)'!$C225,"-")</f>
        <v>0</v>
      </c>
      <c r="N207" s="132">
        <f>IF($F207&lt;=$C$16*12,'Mortgage Calculators (By Month)'!$D225,"-")</f>
        <v>0</v>
      </c>
      <c r="O207" s="132">
        <f>IF($F207&lt;=$C$16*12,'Mortgage Calculators (By Month)'!$E225,"-")</f>
        <v>8.3333333333333339</v>
      </c>
      <c r="P207" s="132">
        <f t="shared" si="110"/>
        <v>0</v>
      </c>
      <c r="Q207" s="132">
        <f t="shared" si="90"/>
        <v>3557.4974238639447</v>
      </c>
      <c r="R207" s="132">
        <f t="shared" si="91"/>
        <v>15187.176126414339</v>
      </c>
      <c r="S207" s="132">
        <f t="shared" si="92"/>
        <v>0</v>
      </c>
      <c r="T207" s="132">
        <f t="shared" si="84"/>
        <v>15187.176126414339</v>
      </c>
      <c r="U207" s="132">
        <f>IF($F207&lt;=$C$16*12,SUM(T$5:T207),"-")</f>
        <v>2050013.2077299969</v>
      </c>
      <c r="V207" s="132">
        <f>IF($F207&lt;=$C$16*12,G207-$C$10-'RE Calculations'!$C394-'Mortgage Calculators (By Month)'!$F225,"-")</f>
        <v>2052072.4377522278</v>
      </c>
      <c r="W207" s="29">
        <f t="shared" si="93"/>
        <v>1.2817225679218576</v>
      </c>
      <c r="X207" s="31">
        <f t="shared" si="94"/>
        <v>7.5766851305725566E-2</v>
      </c>
      <c r="Y207" s="132">
        <f t="shared" si="95"/>
        <v>4102085.6454822244</v>
      </c>
      <c r="Z207" s="29">
        <f t="shared" si="96"/>
        <v>2.5621589426550737</v>
      </c>
      <c r="AA207" s="31">
        <f t="shared" si="97"/>
        <v>0.15145767148699943</v>
      </c>
      <c r="AD207" s="12">
        <f t="shared" si="98"/>
        <v>203</v>
      </c>
      <c r="AE207" s="132">
        <f t="shared" si="99"/>
        <v>3732244.3242369676</v>
      </c>
      <c r="AF207" s="132">
        <f>IF($AD207&lt;=$C$25*12,$AE207-$C$7+SUM('Mortgage Calculators (By Month)'!$K$23:$K225),"-")</f>
        <v>3732244.3242369676</v>
      </c>
      <c r="AG207" s="132">
        <f t="shared" si="100"/>
        <v>18736.340216944951</v>
      </c>
      <c r="AH207" s="132">
        <f>IF($AD207&lt;=$C$25*12,SUM(Inputs!$C$61:$C$78)*'Forecast (By Month)'!AG207,"-")</f>
        <v>2060.9974238639447</v>
      </c>
      <c r="AI207" s="132">
        <f>IF($AD207&lt;=$C$25*12,(SUMIF(Inputs!$C$61:$C$78,0,Inputs!$F$61:$F$78)/12)*(1+$C$34)^ROUNDDOWN((AD207-1)/12,0),"-")</f>
        <v>1488.1666666666667</v>
      </c>
      <c r="AJ207" s="132">
        <f t="shared" si="101"/>
        <v>3549.1640905306112</v>
      </c>
      <c r="AK207" s="132">
        <f>IF($AD207&lt;=$C$25*12,'Mortgage Calculators (By Month)'!$J225,"-")</f>
        <v>0</v>
      </c>
      <c r="AL207" s="132">
        <f>IF($AD207&lt;=$C$25*12,'Mortgage Calculators (By Month)'!$K225,"-")</f>
        <v>0</v>
      </c>
      <c r="AM207" s="132">
        <f>IF($AD207&lt;=$C$25*12,'Mortgage Calculators (By Month)'!$L225,"-")</f>
        <v>10</v>
      </c>
      <c r="AN207" s="132">
        <f t="shared" si="111"/>
        <v>0</v>
      </c>
      <c r="AO207" s="132">
        <f t="shared" si="102"/>
        <v>3559.1640905306112</v>
      </c>
      <c r="AP207" s="132">
        <f t="shared" si="103"/>
        <v>15187.176126414339</v>
      </c>
      <c r="AQ207" s="132">
        <f t="shared" si="104"/>
        <v>0</v>
      </c>
      <c r="AR207" s="132">
        <f t="shared" si="85"/>
        <v>15187.176126414339</v>
      </c>
      <c r="AS207" s="132">
        <f>IF($AD207&lt;=$C$25*12,SUM(AR$5:AR207),"-")</f>
        <v>2050003.2077299969</v>
      </c>
      <c r="AT207" s="132">
        <f>IF($AD207&lt;=$C$25*12,AE207-$C$10-'RE Calculations'!$C394-'Mortgage Calculators (By Month)'!$M225,"-")</f>
        <v>2052072.4377522278</v>
      </c>
      <c r="AU207" s="29">
        <f t="shared" si="105"/>
        <v>1.2817225679218576</v>
      </c>
      <c r="AV207" s="31">
        <f t="shared" si="106"/>
        <v>7.5766851305725566E-2</v>
      </c>
      <c r="AW207" s="132">
        <f t="shared" si="107"/>
        <v>4102075.6454822244</v>
      </c>
      <c r="AX207" s="29">
        <f t="shared" si="108"/>
        <v>2.562152696664219</v>
      </c>
      <c r="AY207" s="31">
        <f t="shared" si="109"/>
        <v>0.15145730226586515</v>
      </c>
    </row>
    <row r="208" spans="6:51" x14ac:dyDescent="0.35">
      <c r="F208" s="12">
        <f t="shared" si="86"/>
        <v>204</v>
      </c>
      <c r="G208" s="132">
        <f t="shared" si="87"/>
        <v>3747449.9496047278</v>
      </c>
      <c r="H208" s="132">
        <f>IF($F208&lt;=$C$16*12,$G208-$C$7+SUM('Mortgage Calculators (By Month)'!$D$23:$D226),"-")</f>
        <v>3747449.9496047278</v>
      </c>
      <c r="I208" s="132">
        <f t="shared" si="88"/>
        <v>18736.340216944951</v>
      </c>
      <c r="J208" s="132">
        <f>IF($F208&lt;=$C$16*12,SUM(Inputs!$C$61:$C$78)*'Forecast (By Month)'!I208,"-")</f>
        <v>2060.9974238639447</v>
      </c>
      <c r="K208" s="132">
        <f>IF($F208&lt;=$C$16*12,(SUMIF(Inputs!$C$61:$C$78,0,Inputs!$F$61:$F$78)/12)*(1+$C$34)^ROUNDDOWN((F208-1)/12,0),"-")</f>
        <v>1488.1666666666667</v>
      </c>
      <c r="L208" s="132">
        <f t="shared" si="89"/>
        <v>3549.1640905306112</v>
      </c>
      <c r="M208" s="132">
        <f>IF($F208&lt;=$C$16*12,'Mortgage Calculators (By Month)'!$C226,"-")</f>
        <v>0</v>
      </c>
      <c r="N208" s="132">
        <f>IF($F208&lt;=$C$16*12,'Mortgage Calculators (By Month)'!$D226,"-")</f>
        <v>0</v>
      </c>
      <c r="O208" s="132">
        <f>IF($F208&lt;=$C$16*12,'Mortgage Calculators (By Month)'!$E226,"-")</f>
        <v>8.3333333333333339</v>
      </c>
      <c r="P208" s="132">
        <f t="shared" si="110"/>
        <v>0</v>
      </c>
      <c r="Q208" s="132">
        <f t="shared" si="90"/>
        <v>3557.4974238639447</v>
      </c>
      <c r="R208" s="132">
        <f t="shared" si="91"/>
        <v>15187.176126414339</v>
      </c>
      <c r="S208" s="132">
        <f t="shared" si="92"/>
        <v>0</v>
      </c>
      <c r="T208" s="132">
        <f t="shared" si="84"/>
        <v>15187.176126414339</v>
      </c>
      <c r="U208" s="132">
        <f>IF($F208&lt;=$C$16*12,SUM(T$5:T208),"-")</f>
        <v>2065200.3838564113</v>
      </c>
      <c r="V208" s="132">
        <f>IF($F208&lt;=$C$16*12,G208-$C$10-'RE Calculations'!$C395-'Mortgage Calculators (By Month)'!$F226,"-")</f>
        <v>2066973.9506126326</v>
      </c>
      <c r="W208" s="29">
        <f t="shared" si="93"/>
        <v>1.2910300392264669</v>
      </c>
      <c r="X208" s="31">
        <f t="shared" si="94"/>
        <v>7.5942943483909814E-2</v>
      </c>
      <c r="Y208" s="132">
        <f t="shared" si="95"/>
        <v>4132174.3344690436</v>
      </c>
      <c r="Z208" s="29">
        <f t="shared" si="96"/>
        <v>2.5809523102789917</v>
      </c>
      <c r="AA208" s="31">
        <f t="shared" si="97"/>
        <v>0.15182072413405834</v>
      </c>
      <c r="AD208" s="12">
        <f t="shared" si="98"/>
        <v>204</v>
      </c>
      <c r="AE208" s="132">
        <f t="shared" si="99"/>
        <v>3747449.9496047278</v>
      </c>
      <c r="AF208" s="132">
        <f>IF($AD208&lt;=$C$25*12,$AE208-$C$7+SUM('Mortgage Calculators (By Month)'!$K$23:$K226),"-")</f>
        <v>3747449.9496047278</v>
      </c>
      <c r="AG208" s="132">
        <f t="shared" si="100"/>
        <v>18736.340216944951</v>
      </c>
      <c r="AH208" s="132">
        <f>IF($AD208&lt;=$C$25*12,SUM(Inputs!$C$61:$C$78)*'Forecast (By Month)'!AG208,"-")</f>
        <v>2060.9974238639447</v>
      </c>
      <c r="AI208" s="132">
        <f>IF($AD208&lt;=$C$25*12,(SUMIF(Inputs!$C$61:$C$78,0,Inputs!$F$61:$F$78)/12)*(1+$C$34)^ROUNDDOWN((AD208-1)/12,0),"-")</f>
        <v>1488.1666666666667</v>
      </c>
      <c r="AJ208" s="132">
        <f t="shared" si="101"/>
        <v>3549.1640905306112</v>
      </c>
      <c r="AK208" s="132">
        <f>IF($AD208&lt;=$C$25*12,'Mortgage Calculators (By Month)'!$J226,"-")</f>
        <v>0</v>
      </c>
      <c r="AL208" s="132">
        <f>IF($AD208&lt;=$C$25*12,'Mortgage Calculators (By Month)'!$K226,"-")</f>
        <v>0</v>
      </c>
      <c r="AM208" s="132">
        <f>IF($AD208&lt;=$C$25*12,'Mortgage Calculators (By Month)'!$L226,"-")</f>
        <v>10</v>
      </c>
      <c r="AN208" s="132">
        <f t="shared" si="111"/>
        <v>0</v>
      </c>
      <c r="AO208" s="132">
        <f t="shared" si="102"/>
        <v>3559.1640905306112</v>
      </c>
      <c r="AP208" s="132">
        <f t="shared" si="103"/>
        <v>15187.176126414339</v>
      </c>
      <c r="AQ208" s="132">
        <f t="shared" si="104"/>
        <v>0</v>
      </c>
      <c r="AR208" s="132">
        <f t="shared" si="85"/>
        <v>15187.176126414339</v>
      </c>
      <c r="AS208" s="132">
        <f>IF($AD208&lt;=$C$25*12,SUM(AR$5:AR208),"-")</f>
        <v>2065190.3838564113</v>
      </c>
      <c r="AT208" s="132">
        <f>IF($AD208&lt;=$C$25*12,AE208-$C$10-'RE Calculations'!$C395-'Mortgage Calculators (By Month)'!$M226,"-")</f>
        <v>2066973.9506126326</v>
      </c>
      <c r="AU208" s="29">
        <f t="shared" si="105"/>
        <v>1.2910300392264669</v>
      </c>
      <c r="AV208" s="31">
        <f t="shared" si="106"/>
        <v>7.5942943483909814E-2</v>
      </c>
      <c r="AW208" s="132">
        <f t="shared" si="107"/>
        <v>4132164.3344690436</v>
      </c>
      <c r="AX208" s="29">
        <f t="shared" si="108"/>
        <v>2.5809460642881374</v>
      </c>
      <c r="AY208" s="31">
        <f t="shared" si="109"/>
        <v>0.15182035672283162</v>
      </c>
    </row>
    <row r="209" spans="6:51" x14ac:dyDescent="0.35">
      <c r="F209" s="12">
        <f t="shared" si="86"/>
        <v>205</v>
      </c>
      <c r="G209" s="132">
        <f t="shared" si="87"/>
        <v>3762717.5245724441</v>
      </c>
      <c r="H209" s="132">
        <f>IF($F209&lt;=$C$16*12,$G209-$C$7+SUM('Mortgage Calculators (By Month)'!$D$23:$D227),"-")</f>
        <v>3762717.5245724441</v>
      </c>
      <c r="I209" s="132">
        <f t="shared" si="88"/>
        <v>19673.157227792202</v>
      </c>
      <c r="J209" s="132">
        <f>IF($F209&lt;=$C$16*12,SUM(Inputs!$C$61:$C$78)*'Forecast (By Month)'!I209,"-")</f>
        <v>2164.0472950571425</v>
      </c>
      <c r="K209" s="132">
        <f>IF($F209&lt;=$C$16*12,(SUMIF(Inputs!$C$61:$C$78,0,Inputs!$F$61:$F$78)/12)*(1+$C$34)^ROUNDDOWN((F209-1)/12,0),"-")</f>
        <v>1488.1666666666667</v>
      </c>
      <c r="L209" s="132">
        <f t="shared" si="89"/>
        <v>3652.213961723809</v>
      </c>
      <c r="M209" s="132">
        <f>IF($F209&lt;=$C$16*12,'Mortgage Calculators (By Month)'!$C227,"-")</f>
        <v>0</v>
      </c>
      <c r="N209" s="132">
        <f>IF($F209&lt;=$C$16*12,'Mortgage Calculators (By Month)'!$D227,"-")</f>
        <v>0</v>
      </c>
      <c r="O209" s="132">
        <f>IF($F209&lt;=$C$16*12,'Mortgage Calculators (By Month)'!$E227,"-")</f>
        <v>8.3333333333333339</v>
      </c>
      <c r="P209" s="132">
        <f t="shared" si="110"/>
        <v>0</v>
      </c>
      <c r="Q209" s="132">
        <f t="shared" si="90"/>
        <v>3660.5472950571425</v>
      </c>
      <c r="R209" s="132">
        <f t="shared" si="91"/>
        <v>16020.943266068392</v>
      </c>
      <c r="S209" s="132">
        <f t="shared" si="92"/>
        <v>0</v>
      </c>
      <c r="T209" s="132">
        <f t="shared" si="84"/>
        <v>16020.943266068392</v>
      </c>
      <c r="U209" s="132">
        <f>IF($F209&lt;=$C$16*12,SUM(T$5:T209),"-")</f>
        <v>2081221.3271224797</v>
      </c>
      <c r="V209" s="132">
        <f>IF($F209&lt;=$C$16*12,G209-$C$10-'RE Calculations'!$C396-'Mortgage Calculators (By Month)'!$F227,"-")</f>
        <v>2081936.1740809947</v>
      </c>
      <c r="W209" s="29">
        <f t="shared" si="93"/>
        <v>1.3003754303212842</v>
      </c>
      <c r="X209" s="31">
        <f t="shared" si="94"/>
        <v>7.6119537384660541E-2</v>
      </c>
      <c r="Y209" s="132">
        <f t="shared" si="95"/>
        <v>4163157.5012034746</v>
      </c>
      <c r="Z209" s="29">
        <f t="shared" si="96"/>
        <v>2.6003043678860349</v>
      </c>
      <c r="AA209" s="31">
        <f t="shared" si="97"/>
        <v>0.15221293860796303</v>
      </c>
      <c r="AD209" s="12">
        <f t="shared" si="98"/>
        <v>205</v>
      </c>
      <c r="AE209" s="132">
        <f t="shared" si="99"/>
        <v>3762717.5245724441</v>
      </c>
      <c r="AF209" s="132">
        <f>IF($AD209&lt;=$C$25*12,$AE209-$C$7+SUM('Mortgage Calculators (By Month)'!$K$23:$K227),"-")</f>
        <v>3762717.5245724441</v>
      </c>
      <c r="AG209" s="132">
        <f t="shared" si="100"/>
        <v>19673.157227792202</v>
      </c>
      <c r="AH209" s="132">
        <f>IF($AD209&lt;=$C$25*12,SUM(Inputs!$C$61:$C$78)*'Forecast (By Month)'!AG209,"-")</f>
        <v>2164.0472950571425</v>
      </c>
      <c r="AI209" s="132">
        <f>IF($AD209&lt;=$C$25*12,(SUMIF(Inputs!$C$61:$C$78,0,Inputs!$F$61:$F$78)/12)*(1+$C$34)^ROUNDDOWN((AD209-1)/12,0),"-")</f>
        <v>1488.1666666666667</v>
      </c>
      <c r="AJ209" s="132">
        <f t="shared" si="101"/>
        <v>3652.213961723809</v>
      </c>
      <c r="AK209" s="132">
        <f>IF($AD209&lt;=$C$25*12,'Mortgage Calculators (By Month)'!$J227,"-")</f>
        <v>0</v>
      </c>
      <c r="AL209" s="132">
        <f>IF($AD209&lt;=$C$25*12,'Mortgage Calculators (By Month)'!$K227,"-")</f>
        <v>0</v>
      </c>
      <c r="AM209" s="132">
        <f>IF($AD209&lt;=$C$25*12,'Mortgage Calculators (By Month)'!$L227,"-")</f>
        <v>10</v>
      </c>
      <c r="AN209" s="132">
        <f t="shared" si="111"/>
        <v>0</v>
      </c>
      <c r="AO209" s="132">
        <f t="shared" si="102"/>
        <v>3662.213961723809</v>
      </c>
      <c r="AP209" s="132">
        <f t="shared" si="103"/>
        <v>16020.943266068392</v>
      </c>
      <c r="AQ209" s="132">
        <f t="shared" si="104"/>
        <v>0</v>
      </c>
      <c r="AR209" s="132">
        <f t="shared" si="85"/>
        <v>16020.943266068392</v>
      </c>
      <c r="AS209" s="132">
        <f>IF($AD209&lt;=$C$25*12,SUM(AR$5:AR209),"-")</f>
        <v>2081211.3271224797</v>
      </c>
      <c r="AT209" s="132">
        <f>IF($AD209&lt;=$C$25*12,AE209-$C$10-'RE Calculations'!$C396-'Mortgage Calculators (By Month)'!$M227,"-")</f>
        <v>2081936.1740809947</v>
      </c>
      <c r="AU209" s="29">
        <f t="shared" si="105"/>
        <v>1.3003754303212842</v>
      </c>
      <c r="AV209" s="31">
        <f t="shared" si="106"/>
        <v>7.6119537384660541E-2</v>
      </c>
      <c r="AW209" s="132">
        <f t="shared" si="107"/>
        <v>4163147.5012034746</v>
      </c>
      <c r="AX209" s="29">
        <f t="shared" si="108"/>
        <v>2.6002981218951802</v>
      </c>
      <c r="AY209" s="31">
        <f t="shared" si="109"/>
        <v>0.15221257298898616</v>
      </c>
    </row>
    <row r="210" spans="6:51" x14ac:dyDescent="0.35">
      <c r="F210" s="12">
        <f t="shared" si="86"/>
        <v>206</v>
      </c>
      <c r="G210" s="132">
        <f t="shared" si="87"/>
        <v>3778047.3015304552</v>
      </c>
      <c r="H210" s="132">
        <f>IF($F210&lt;=$C$16*12,$G210-$C$7+SUM('Mortgage Calculators (By Month)'!$D$23:$D228),"-")</f>
        <v>3778047.3015304552</v>
      </c>
      <c r="I210" s="132">
        <f t="shared" si="88"/>
        <v>19673.157227792202</v>
      </c>
      <c r="J210" s="132">
        <f>IF($F210&lt;=$C$16*12,SUM(Inputs!$C$61:$C$78)*'Forecast (By Month)'!I210,"-")</f>
        <v>2164.0472950571425</v>
      </c>
      <c r="K210" s="132">
        <f>IF($F210&lt;=$C$16*12,(SUMIF(Inputs!$C$61:$C$78,0,Inputs!$F$61:$F$78)/12)*(1+$C$34)^ROUNDDOWN((F210-1)/12,0),"-")</f>
        <v>1488.1666666666667</v>
      </c>
      <c r="L210" s="132">
        <f t="shared" si="89"/>
        <v>3652.213961723809</v>
      </c>
      <c r="M210" s="132">
        <f>IF($F210&lt;=$C$16*12,'Mortgage Calculators (By Month)'!$C228,"-")</f>
        <v>0</v>
      </c>
      <c r="N210" s="132">
        <f>IF($F210&lt;=$C$16*12,'Mortgage Calculators (By Month)'!$D228,"-")</f>
        <v>0</v>
      </c>
      <c r="O210" s="132">
        <f>IF($F210&lt;=$C$16*12,'Mortgage Calculators (By Month)'!$E228,"-")</f>
        <v>8.3333333333333339</v>
      </c>
      <c r="P210" s="132">
        <f t="shared" si="110"/>
        <v>0</v>
      </c>
      <c r="Q210" s="132">
        <f t="shared" si="90"/>
        <v>3660.5472950571425</v>
      </c>
      <c r="R210" s="132">
        <f t="shared" si="91"/>
        <v>16020.943266068392</v>
      </c>
      <c r="S210" s="132">
        <f t="shared" si="92"/>
        <v>0</v>
      </c>
      <c r="T210" s="132">
        <f t="shared" si="84"/>
        <v>16020.943266068392</v>
      </c>
      <c r="U210" s="132">
        <f>IF($F210&lt;=$C$16*12,SUM(T$5:T210),"-")</f>
        <v>2097242.2703885483</v>
      </c>
      <c r="V210" s="132">
        <f>IF($F210&lt;=$C$16*12,G210-$C$10-'RE Calculations'!$C397-'Mortgage Calculators (By Month)'!$F228,"-")</f>
        <v>2096959.3554998455</v>
      </c>
      <c r="W210" s="29">
        <f t="shared" si="93"/>
        <v>1.3097588956962285</v>
      </c>
      <c r="X210" s="31">
        <f t="shared" si="94"/>
        <v>7.6296634700751167E-2</v>
      </c>
      <c r="Y210" s="132">
        <f t="shared" si="95"/>
        <v>4194201.6258883937</v>
      </c>
      <c r="Z210" s="29">
        <f t="shared" si="96"/>
        <v>2.6196944997732041</v>
      </c>
      <c r="AA210" s="31">
        <f t="shared" si="97"/>
        <v>0.15260356309358469</v>
      </c>
      <c r="AD210" s="12">
        <f t="shared" si="98"/>
        <v>206</v>
      </c>
      <c r="AE210" s="132">
        <f t="shared" si="99"/>
        <v>3778047.3015304552</v>
      </c>
      <c r="AF210" s="132">
        <f>IF($AD210&lt;=$C$25*12,$AE210-$C$7+SUM('Mortgage Calculators (By Month)'!$K$23:$K228),"-")</f>
        <v>3778047.3015304552</v>
      </c>
      <c r="AG210" s="132">
        <f t="shared" si="100"/>
        <v>19673.157227792202</v>
      </c>
      <c r="AH210" s="132">
        <f>IF($AD210&lt;=$C$25*12,SUM(Inputs!$C$61:$C$78)*'Forecast (By Month)'!AG210,"-")</f>
        <v>2164.0472950571425</v>
      </c>
      <c r="AI210" s="132">
        <f>IF($AD210&lt;=$C$25*12,(SUMIF(Inputs!$C$61:$C$78,0,Inputs!$F$61:$F$78)/12)*(1+$C$34)^ROUNDDOWN((AD210-1)/12,0),"-")</f>
        <v>1488.1666666666667</v>
      </c>
      <c r="AJ210" s="132">
        <f t="shared" si="101"/>
        <v>3652.213961723809</v>
      </c>
      <c r="AK210" s="132">
        <f>IF($AD210&lt;=$C$25*12,'Mortgage Calculators (By Month)'!$J228,"-")</f>
        <v>0</v>
      </c>
      <c r="AL210" s="132">
        <f>IF($AD210&lt;=$C$25*12,'Mortgage Calculators (By Month)'!$K228,"-")</f>
        <v>0</v>
      </c>
      <c r="AM210" s="132">
        <f>IF($AD210&lt;=$C$25*12,'Mortgage Calculators (By Month)'!$L228,"-")</f>
        <v>10</v>
      </c>
      <c r="AN210" s="132">
        <f t="shared" si="111"/>
        <v>0</v>
      </c>
      <c r="AO210" s="132">
        <f t="shared" si="102"/>
        <v>3662.213961723809</v>
      </c>
      <c r="AP210" s="132">
        <f t="shared" si="103"/>
        <v>16020.943266068392</v>
      </c>
      <c r="AQ210" s="132">
        <f t="shared" si="104"/>
        <v>0</v>
      </c>
      <c r="AR210" s="132">
        <f t="shared" si="85"/>
        <v>16020.943266068392</v>
      </c>
      <c r="AS210" s="132">
        <f>IF($AD210&lt;=$C$25*12,SUM(AR$5:AR210),"-")</f>
        <v>2097232.2703885483</v>
      </c>
      <c r="AT210" s="132">
        <f>IF($AD210&lt;=$C$25*12,AE210-$C$10-'RE Calculations'!$C397-'Mortgage Calculators (By Month)'!$M228,"-")</f>
        <v>2096959.3554998455</v>
      </c>
      <c r="AU210" s="29">
        <f t="shared" si="105"/>
        <v>1.3097588956962285</v>
      </c>
      <c r="AV210" s="31">
        <f t="shared" si="106"/>
        <v>7.6296634700751167E-2</v>
      </c>
      <c r="AW210" s="132">
        <f t="shared" si="107"/>
        <v>4194191.6258883937</v>
      </c>
      <c r="AX210" s="29">
        <f t="shared" si="108"/>
        <v>2.6196882537823494</v>
      </c>
      <c r="AY210" s="31">
        <f t="shared" si="109"/>
        <v>0.15260319924945723</v>
      </c>
    </row>
    <row r="211" spans="6:51" x14ac:dyDescent="0.35">
      <c r="F211" s="12">
        <f t="shared" si="86"/>
        <v>207</v>
      </c>
      <c r="G211" s="132">
        <f t="shared" si="87"/>
        <v>3793439.5338973692</v>
      </c>
      <c r="H211" s="132">
        <f>IF($F211&lt;=$C$16*12,$G211-$C$7+SUM('Mortgage Calculators (By Month)'!$D$23:$D229),"-")</f>
        <v>3793439.5338973692</v>
      </c>
      <c r="I211" s="132">
        <f t="shared" si="88"/>
        <v>19673.157227792202</v>
      </c>
      <c r="J211" s="132">
        <f>IF($F211&lt;=$C$16*12,SUM(Inputs!$C$61:$C$78)*'Forecast (By Month)'!I211,"-")</f>
        <v>2164.0472950571425</v>
      </c>
      <c r="K211" s="132">
        <f>IF($F211&lt;=$C$16*12,(SUMIF(Inputs!$C$61:$C$78,0,Inputs!$F$61:$F$78)/12)*(1+$C$34)^ROUNDDOWN((F211-1)/12,0),"-")</f>
        <v>1488.1666666666667</v>
      </c>
      <c r="L211" s="132">
        <f t="shared" si="89"/>
        <v>3652.213961723809</v>
      </c>
      <c r="M211" s="132">
        <f>IF($F211&lt;=$C$16*12,'Mortgage Calculators (By Month)'!$C229,"-")</f>
        <v>0</v>
      </c>
      <c r="N211" s="132">
        <f>IF($F211&lt;=$C$16*12,'Mortgage Calculators (By Month)'!$D229,"-")</f>
        <v>0</v>
      </c>
      <c r="O211" s="132">
        <f>IF($F211&lt;=$C$16*12,'Mortgage Calculators (By Month)'!$E229,"-")</f>
        <v>8.3333333333333339</v>
      </c>
      <c r="P211" s="132">
        <f t="shared" si="110"/>
        <v>0</v>
      </c>
      <c r="Q211" s="132">
        <f t="shared" si="90"/>
        <v>3660.5472950571425</v>
      </c>
      <c r="R211" s="132">
        <f t="shared" si="91"/>
        <v>16020.943266068392</v>
      </c>
      <c r="S211" s="132">
        <f t="shared" si="92"/>
        <v>0</v>
      </c>
      <c r="T211" s="132">
        <f t="shared" si="84"/>
        <v>16020.943266068392</v>
      </c>
      <c r="U211" s="132">
        <f>IF($F211&lt;=$C$16*12,SUM(T$5:T211),"-")</f>
        <v>2113263.2136546168</v>
      </c>
      <c r="V211" s="132">
        <f>IF($F211&lt;=$C$16*12,G211-$C$10-'RE Calculations'!$C398-'Mortgage Calculators (By Month)'!$F229,"-")</f>
        <v>2112043.7432194212</v>
      </c>
      <c r="W211" s="29">
        <f t="shared" si="93"/>
        <v>1.31918059047063</v>
      </c>
      <c r="X211" s="31">
        <f t="shared" si="94"/>
        <v>7.6474237128732178E-2</v>
      </c>
      <c r="Y211" s="132">
        <f t="shared" si="95"/>
        <v>4225306.9568740381</v>
      </c>
      <c r="Z211" s="29">
        <f t="shared" si="96"/>
        <v>2.639122861059831</v>
      </c>
      <c r="AA211" s="31">
        <f t="shared" si="97"/>
        <v>0.15299262962665686</v>
      </c>
      <c r="AD211" s="12">
        <f t="shared" si="98"/>
        <v>207</v>
      </c>
      <c r="AE211" s="132">
        <f t="shared" si="99"/>
        <v>3793439.5338973692</v>
      </c>
      <c r="AF211" s="132">
        <f>IF($AD211&lt;=$C$25*12,$AE211-$C$7+SUM('Mortgage Calculators (By Month)'!$K$23:$K229),"-")</f>
        <v>3793439.5338973692</v>
      </c>
      <c r="AG211" s="132">
        <f t="shared" si="100"/>
        <v>19673.157227792202</v>
      </c>
      <c r="AH211" s="132">
        <f>IF($AD211&lt;=$C$25*12,SUM(Inputs!$C$61:$C$78)*'Forecast (By Month)'!AG211,"-")</f>
        <v>2164.0472950571425</v>
      </c>
      <c r="AI211" s="132">
        <f>IF($AD211&lt;=$C$25*12,(SUMIF(Inputs!$C$61:$C$78,0,Inputs!$F$61:$F$78)/12)*(1+$C$34)^ROUNDDOWN((AD211-1)/12,0),"-")</f>
        <v>1488.1666666666667</v>
      </c>
      <c r="AJ211" s="132">
        <f t="shared" si="101"/>
        <v>3652.213961723809</v>
      </c>
      <c r="AK211" s="132">
        <f>IF($AD211&lt;=$C$25*12,'Mortgage Calculators (By Month)'!$J229,"-")</f>
        <v>0</v>
      </c>
      <c r="AL211" s="132">
        <f>IF($AD211&lt;=$C$25*12,'Mortgage Calculators (By Month)'!$K229,"-")</f>
        <v>0</v>
      </c>
      <c r="AM211" s="132">
        <f>IF($AD211&lt;=$C$25*12,'Mortgage Calculators (By Month)'!$L229,"-")</f>
        <v>10</v>
      </c>
      <c r="AN211" s="132">
        <f t="shared" si="111"/>
        <v>0</v>
      </c>
      <c r="AO211" s="132">
        <f t="shared" si="102"/>
        <v>3662.213961723809</v>
      </c>
      <c r="AP211" s="132">
        <f t="shared" si="103"/>
        <v>16020.943266068392</v>
      </c>
      <c r="AQ211" s="132">
        <f t="shared" si="104"/>
        <v>0</v>
      </c>
      <c r="AR211" s="132">
        <f t="shared" si="85"/>
        <v>16020.943266068392</v>
      </c>
      <c r="AS211" s="132">
        <f>IF($AD211&lt;=$C$25*12,SUM(AR$5:AR211),"-")</f>
        <v>2113253.2136546168</v>
      </c>
      <c r="AT211" s="132">
        <f>IF($AD211&lt;=$C$25*12,AE211-$C$10-'RE Calculations'!$C398-'Mortgage Calculators (By Month)'!$M229,"-")</f>
        <v>2112043.7432194212</v>
      </c>
      <c r="AU211" s="29">
        <f t="shared" si="105"/>
        <v>1.31918059047063</v>
      </c>
      <c r="AV211" s="31">
        <f t="shared" si="106"/>
        <v>7.6474237128732178E-2</v>
      </c>
      <c r="AW211" s="132">
        <f t="shared" si="107"/>
        <v>4225296.9568740381</v>
      </c>
      <c r="AX211" s="29">
        <f t="shared" si="108"/>
        <v>2.6391166150689762</v>
      </c>
      <c r="AY211" s="31">
        <f t="shared" si="109"/>
        <v>0.15299226754023051</v>
      </c>
    </row>
    <row r="212" spans="6:51" x14ac:dyDescent="0.35">
      <c r="F212" s="12">
        <f t="shared" si="86"/>
        <v>208</v>
      </c>
      <c r="G212" s="132">
        <f t="shared" si="87"/>
        <v>3808894.4761242522</v>
      </c>
      <c r="H212" s="132">
        <f>IF($F212&lt;=$C$16*12,$G212-$C$7+SUM('Mortgage Calculators (By Month)'!$D$23:$D230),"-")</f>
        <v>3808894.4761242522</v>
      </c>
      <c r="I212" s="132">
        <f t="shared" si="88"/>
        <v>19673.157227792202</v>
      </c>
      <c r="J212" s="132">
        <f>IF($F212&lt;=$C$16*12,SUM(Inputs!$C$61:$C$78)*'Forecast (By Month)'!I212,"-")</f>
        <v>2164.0472950571425</v>
      </c>
      <c r="K212" s="132">
        <f>IF($F212&lt;=$C$16*12,(SUMIF(Inputs!$C$61:$C$78,0,Inputs!$F$61:$F$78)/12)*(1+$C$34)^ROUNDDOWN((F212-1)/12,0),"-")</f>
        <v>1488.1666666666667</v>
      </c>
      <c r="L212" s="132">
        <f t="shared" si="89"/>
        <v>3652.213961723809</v>
      </c>
      <c r="M212" s="132">
        <f>IF($F212&lt;=$C$16*12,'Mortgage Calculators (By Month)'!$C230,"-")</f>
        <v>0</v>
      </c>
      <c r="N212" s="132">
        <f>IF($F212&lt;=$C$16*12,'Mortgage Calculators (By Month)'!$D230,"-")</f>
        <v>0</v>
      </c>
      <c r="O212" s="132">
        <f>IF($F212&lt;=$C$16*12,'Mortgage Calculators (By Month)'!$E230,"-")</f>
        <v>8.3333333333333339</v>
      </c>
      <c r="P212" s="132">
        <f t="shared" si="110"/>
        <v>0</v>
      </c>
      <c r="Q212" s="132">
        <f t="shared" si="90"/>
        <v>3660.5472950571425</v>
      </c>
      <c r="R212" s="132">
        <f t="shared" si="91"/>
        <v>16020.943266068392</v>
      </c>
      <c r="S212" s="132">
        <f t="shared" si="92"/>
        <v>0</v>
      </c>
      <c r="T212" s="132">
        <f t="shared" si="84"/>
        <v>16020.943266068392</v>
      </c>
      <c r="U212" s="132">
        <f>IF($F212&lt;=$C$16*12,SUM(T$5:T212),"-")</f>
        <v>2129284.1569206854</v>
      </c>
      <c r="V212" s="132">
        <f>IF($F212&lt;=$C$16*12,G212-$C$10-'RE Calculations'!$C399-'Mortgage Calculators (By Month)'!$F230,"-")</f>
        <v>2127189.5866017663</v>
      </c>
      <c r="W212" s="29">
        <f t="shared" si="93"/>
        <v>1.3286406703957936</v>
      </c>
      <c r="X212" s="31">
        <f t="shared" si="94"/>
        <v>7.66523463689881E-2</v>
      </c>
      <c r="Y212" s="132">
        <f t="shared" si="95"/>
        <v>4256473.7435224522</v>
      </c>
      <c r="Z212" s="29">
        <f t="shared" si="96"/>
        <v>2.6585896074972202</v>
      </c>
      <c r="AA212" s="31">
        <f t="shared" si="97"/>
        <v>0.15338016966330117</v>
      </c>
      <c r="AD212" s="12">
        <f t="shared" si="98"/>
        <v>208</v>
      </c>
      <c r="AE212" s="132">
        <f t="shared" si="99"/>
        <v>3808894.4761242522</v>
      </c>
      <c r="AF212" s="132">
        <f>IF($AD212&lt;=$C$25*12,$AE212-$C$7+SUM('Mortgage Calculators (By Month)'!$K$23:$K230),"-")</f>
        <v>3808894.4761242522</v>
      </c>
      <c r="AG212" s="132">
        <f t="shared" si="100"/>
        <v>19673.157227792202</v>
      </c>
      <c r="AH212" s="132">
        <f>IF($AD212&lt;=$C$25*12,SUM(Inputs!$C$61:$C$78)*'Forecast (By Month)'!AG212,"-")</f>
        <v>2164.0472950571425</v>
      </c>
      <c r="AI212" s="132">
        <f>IF($AD212&lt;=$C$25*12,(SUMIF(Inputs!$C$61:$C$78,0,Inputs!$F$61:$F$78)/12)*(1+$C$34)^ROUNDDOWN((AD212-1)/12,0),"-")</f>
        <v>1488.1666666666667</v>
      </c>
      <c r="AJ212" s="132">
        <f t="shared" si="101"/>
        <v>3652.213961723809</v>
      </c>
      <c r="AK212" s="132">
        <f>IF($AD212&lt;=$C$25*12,'Mortgage Calculators (By Month)'!$J230,"-")</f>
        <v>0</v>
      </c>
      <c r="AL212" s="132">
        <f>IF($AD212&lt;=$C$25*12,'Mortgage Calculators (By Month)'!$K230,"-")</f>
        <v>0</v>
      </c>
      <c r="AM212" s="132">
        <f>IF($AD212&lt;=$C$25*12,'Mortgage Calculators (By Month)'!$L230,"-")</f>
        <v>10</v>
      </c>
      <c r="AN212" s="132">
        <f t="shared" si="111"/>
        <v>0</v>
      </c>
      <c r="AO212" s="132">
        <f t="shared" si="102"/>
        <v>3662.213961723809</v>
      </c>
      <c r="AP212" s="132">
        <f t="shared" si="103"/>
        <v>16020.943266068392</v>
      </c>
      <c r="AQ212" s="132">
        <f t="shared" si="104"/>
        <v>0</v>
      </c>
      <c r="AR212" s="132">
        <f t="shared" si="85"/>
        <v>16020.943266068392</v>
      </c>
      <c r="AS212" s="132">
        <f>IF($AD212&lt;=$C$25*12,SUM(AR$5:AR212),"-")</f>
        <v>2129274.1569206854</v>
      </c>
      <c r="AT212" s="132">
        <f>IF($AD212&lt;=$C$25*12,AE212-$C$10-'RE Calculations'!$C399-'Mortgage Calculators (By Month)'!$M230,"-")</f>
        <v>2127189.5866017663</v>
      </c>
      <c r="AU212" s="29">
        <f t="shared" si="105"/>
        <v>1.3286406703957936</v>
      </c>
      <c r="AV212" s="31">
        <f t="shared" si="106"/>
        <v>7.66523463689881E-2</v>
      </c>
      <c r="AW212" s="132">
        <f t="shared" si="107"/>
        <v>4256463.7435224522</v>
      </c>
      <c r="AX212" s="29">
        <f t="shared" si="108"/>
        <v>2.6585833615063659</v>
      </c>
      <c r="AY212" s="31">
        <f t="shared" si="109"/>
        <v>0.15337980931767498</v>
      </c>
    </row>
    <row r="213" spans="6:51" x14ac:dyDescent="0.35">
      <c r="F213" s="12">
        <f t="shared" si="86"/>
        <v>209</v>
      </c>
      <c r="G213" s="132">
        <f t="shared" si="87"/>
        <v>3824412.3836988369</v>
      </c>
      <c r="H213" s="132">
        <f>IF($F213&lt;=$C$16*12,$G213-$C$7+SUM('Mortgage Calculators (By Month)'!$D$23:$D231),"-")</f>
        <v>3824412.3836988369</v>
      </c>
      <c r="I213" s="132">
        <f t="shared" si="88"/>
        <v>19673.157227792202</v>
      </c>
      <c r="J213" s="132">
        <f>IF($F213&lt;=$C$16*12,SUM(Inputs!$C$61:$C$78)*'Forecast (By Month)'!I213,"-")</f>
        <v>2164.0472950571425</v>
      </c>
      <c r="K213" s="132">
        <f>IF($F213&lt;=$C$16*12,(SUMIF(Inputs!$C$61:$C$78,0,Inputs!$F$61:$F$78)/12)*(1+$C$34)^ROUNDDOWN((F213-1)/12,0),"-")</f>
        <v>1488.1666666666667</v>
      </c>
      <c r="L213" s="132">
        <f t="shared" si="89"/>
        <v>3652.213961723809</v>
      </c>
      <c r="M213" s="132">
        <f>IF($F213&lt;=$C$16*12,'Mortgage Calculators (By Month)'!$C231,"-")</f>
        <v>0</v>
      </c>
      <c r="N213" s="132">
        <f>IF($F213&lt;=$C$16*12,'Mortgage Calculators (By Month)'!$D231,"-")</f>
        <v>0</v>
      </c>
      <c r="O213" s="132">
        <f>IF($F213&lt;=$C$16*12,'Mortgage Calculators (By Month)'!$E231,"-")</f>
        <v>8.3333333333333339</v>
      </c>
      <c r="P213" s="132">
        <f t="shared" si="110"/>
        <v>0</v>
      </c>
      <c r="Q213" s="132">
        <f t="shared" si="90"/>
        <v>3660.5472950571425</v>
      </c>
      <c r="R213" s="132">
        <f t="shared" si="91"/>
        <v>16020.943266068392</v>
      </c>
      <c r="S213" s="132">
        <f t="shared" si="92"/>
        <v>0</v>
      </c>
      <c r="T213" s="132">
        <f t="shared" si="84"/>
        <v>16020.943266068392</v>
      </c>
      <c r="U213" s="132">
        <f>IF($F213&lt;=$C$16*12,SUM(T$5:T213),"-")</f>
        <v>2145305.100186754</v>
      </c>
      <c r="V213" s="132">
        <f>IF($F213&lt;=$C$16*12,G213-$C$10-'RE Calculations'!$C400-'Mortgage Calculators (By Month)'!$F231,"-")</f>
        <v>2142397.1360248597</v>
      </c>
      <c r="W213" s="29">
        <f t="shared" si="93"/>
        <v>1.3381392918575763</v>
      </c>
      <c r="X213" s="31">
        <f t="shared" si="94"/>
        <v>7.6830964125793849E-2</v>
      </c>
      <c r="Y213" s="132">
        <f t="shared" si="95"/>
        <v>4287702.2362116138</v>
      </c>
      <c r="Z213" s="29">
        <f t="shared" si="96"/>
        <v>2.678094895471228</v>
      </c>
      <c r="AA213" s="31">
        <f t="shared" si="97"/>
        <v>0.15376621409404179</v>
      </c>
      <c r="AD213" s="12">
        <f t="shared" si="98"/>
        <v>209</v>
      </c>
      <c r="AE213" s="132">
        <f t="shared" si="99"/>
        <v>3824412.3836988369</v>
      </c>
      <c r="AF213" s="132">
        <f>IF($AD213&lt;=$C$25*12,$AE213-$C$7+SUM('Mortgage Calculators (By Month)'!$K$23:$K231),"-")</f>
        <v>3824412.3836988369</v>
      </c>
      <c r="AG213" s="132">
        <f t="shared" si="100"/>
        <v>19673.157227792202</v>
      </c>
      <c r="AH213" s="132">
        <f>IF($AD213&lt;=$C$25*12,SUM(Inputs!$C$61:$C$78)*'Forecast (By Month)'!AG213,"-")</f>
        <v>2164.0472950571425</v>
      </c>
      <c r="AI213" s="132">
        <f>IF($AD213&lt;=$C$25*12,(SUMIF(Inputs!$C$61:$C$78,0,Inputs!$F$61:$F$78)/12)*(1+$C$34)^ROUNDDOWN((AD213-1)/12,0),"-")</f>
        <v>1488.1666666666667</v>
      </c>
      <c r="AJ213" s="132">
        <f t="shared" si="101"/>
        <v>3652.213961723809</v>
      </c>
      <c r="AK213" s="132">
        <f>IF($AD213&lt;=$C$25*12,'Mortgage Calculators (By Month)'!$J231,"-")</f>
        <v>0</v>
      </c>
      <c r="AL213" s="132">
        <f>IF($AD213&lt;=$C$25*12,'Mortgage Calculators (By Month)'!$K231,"-")</f>
        <v>0</v>
      </c>
      <c r="AM213" s="132">
        <f>IF($AD213&lt;=$C$25*12,'Mortgage Calculators (By Month)'!$L231,"-")</f>
        <v>10</v>
      </c>
      <c r="AN213" s="132">
        <f t="shared" si="111"/>
        <v>0</v>
      </c>
      <c r="AO213" s="132">
        <f t="shared" si="102"/>
        <v>3662.213961723809</v>
      </c>
      <c r="AP213" s="132">
        <f t="shared" si="103"/>
        <v>16020.943266068392</v>
      </c>
      <c r="AQ213" s="132">
        <f t="shared" si="104"/>
        <v>0</v>
      </c>
      <c r="AR213" s="132">
        <f t="shared" si="85"/>
        <v>16020.943266068392</v>
      </c>
      <c r="AS213" s="132">
        <f>IF($AD213&lt;=$C$25*12,SUM(AR$5:AR213),"-")</f>
        <v>2145295.100186754</v>
      </c>
      <c r="AT213" s="132">
        <f>IF($AD213&lt;=$C$25*12,AE213-$C$10-'RE Calculations'!$C400-'Mortgage Calculators (By Month)'!$M231,"-")</f>
        <v>2142397.1360248597</v>
      </c>
      <c r="AU213" s="29">
        <f t="shared" si="105"/>
        <v>1.3381392918575763</v>
      </c>
      <c r="AV213" s="31">
        <f t="shared" si="106"/>
        <v>7.6830964125793849E-2</v>
      </c>
      <c r="AW213" s="132">
        <f t="shared" si="107"/>
        <v>4287692.2362116138</v>
      </c>
      <c r="AX213" s="29">
        <f t="shared" si="108"/>
        <v>2.6780886494803733</v>
      </c>
      <c r="AY213" s="31">
        <f t="shared" si="109"/>
        <v>0.15376585547255731</v>
      </c>
    </row>
    <row r="214" spans="6:51" x14ac:dyDescent="0.35">
      <c r="F214" s="12">
        <f t="shared" si="86"/>
        <v>210</v>
      </c>
      <c r="G214" s="132">
        <f t="shared" si="87"/>
        <v>3839993.5131497434</v>
      </c>
      <c r="H214" s="132">
        <f>IF($F214&lt;=$C$16*12,$G214-$C$7+SUM('Mortgage Calculators (By Month)'!$D$23:$D232),"-")</f>
        <v>3839993.5131497434</v>
      </c>
      <c r="I214" s="132">
        <f t="shared" si="88"/>
        <v>19673.157227792202</v>
      </c>
      <c r="J214" s="132">
        <f>IF($F214&lt;=$C$16*12,SUM(Inputs!$C$61:$C$78)*'Forecast (By Month)'!I214,"-")</f>
        <v>2164.0472950571425</v>
      </c>
      <c r="K214" s="132">
        <f>IF($F214&lt;=$C$16*12,(SUMIF(Inputs!$C$61:$C$78,0,Inputs!$F$61:$F$78)/12)*(1+$C$34)^ROUNDDOWN((F214-1)/12,0),"-")</f>
        <v>1488.1666666666667</v>
      </c>
      <c r="L214" s="132">
        <f t="shared" si="89"/>
        <v>3652.213961723809</v>
      </c>
      <c r="M214" s="132">
        <f>IF($F214&lt;=$C$16*12,'Mortgage Calculators (By Month)'!$C232,"-")</f>
        <v>0</v>
      </c>
      <c r="N214" s="132">
        <f>IF($F214&lt;=$C$16*12,'Mortgage Calculators (By Month)'!$D232,"-")</f>
        <v>0</v>
      </c>
      <c r="O214" s="132">
        <f>IF($F214&lt;=$C$16*12,'Mortgage Calculators (By Month)'!$E232,"-")</f>
        <v>8.3333333333333339</v>
      </c>
      <c r="P214" s="132">
        <f t="shared" si="110"/>
        <v>0</v>
      </c>
      <c r="Q214" s="132">
        <f t="shared" si="90"/>
        <v>3660.5472950571425</v>
      </c>
      <c r="R214" s="132">
        <f t="shared" si="91"/>
        <v>16020.943266068392</v>
      </c>
      <c r="S214" s="132">
        <f t="shared" si="92"/>
        <v>0</v>
      </c>
      <c r="T214" s="132">
        <f t="shared" si="84"/>
        <v>16020.943266068392</v>
      </c>
      <c r="U214" s="132">
        <f>IF($F214&lt;=$C$16*12,SUM(T$5:T214),"-")</f>
        <v>2161326.0434528226</v>
      </c>
      <c r="V214" s="132">
        <f>IF($F214&lt;=$C$16*12,G214-$C$10-'RE Calculations'!$C401-'Mortgage Calculators (By Month)'!$F232,"-")</f>
        <v>2157666.6428867481</v>
      </c>
      <c r="W214" s="29">
        <f t="shared" si="93"/>
        <v>1.3476766118789678</v>
      </c>
      <c r="X214" s="31">
        <f t="shared" si="94"/>
        <v>7.7010092107369588E-2</v>
      </c>
      <c r="Y214" s="132">
        <f t="shared" si="95"/>
        <v>4318992.6863395702</v>
      </c>
      <c r="Z214" s="29">
        <f t="shared" si="96"/>
        <v>2.6976388820048447</v>
      </c>
      <c r="AA214" s="31">
        <f t="shared" si="97"/>
        <v>0.1541507932574197</v>
      </c>
      <c r="AD214" s="12">
        <f t="shared" si="98"/>
        <v>210</v>
      </c>
      <c r="AE214" s="132">
        <f t="shared" si="99"/>
        <v>3839993.5131497434</v>
      </c>
      <c r="AF214" s="132">
        <f>IF($AD214&lt;=$C$25*12,$AE214-$C$7+SUM('Mortgage Calculators (By Month)'!$K$23:$K232),"-")</f>
        <v>3839993.5131497434</v>
      </c>
      <c r="AG214" s="132">
        <f t="shared" si="100"/>
        <v>19673.157227792202</v>
      </c>
      <c r="AH214" s="132">
        <f>IF($AD214&lt;=$C$25*12,SUM(Inputs!$C$61:$C$78)*'Forecast (By Month)'!AG214,"-")</f>
        <v>2164.0472950571425</v>
      </c>
      <c r="AI214" s="132">
        <f>IF($AD214&lt;=$C$25*12,(SUMIF(Inputs!$C$61:$C$78,0,Inputs!$F$61:$F$78)/12)*(1+$C$34)^ROUNDDOWN((AD214-1)/12,0),"-")</f>
        <v>1488.1666666666667</v>
      </c>
      <c r="AJ214" s="132">
        <f t="shared" si="101"/>
        <v>3652.213961723809</v>
      </c>
      <c r="AK214" s="132">
        <f>IF($AD214&lt;=$C$25*12,'Mortgage Calculators (By Month)'!$J232,"-")</f>
        <v>0</v>
      </c>
      <c r="AL214" s="132">
        <f>IF($AD214&lt;=$C$25*12,'Mortgage Calculators (By Month)'!$K232,"-")</f>
        <v>0</v>
      </c>
      <c r="AM214" s="132">
        <f>IF($AD214&lt;=$C$25*12,'Mortgage Calculators (By Month)'!$L232,"-")</f>
        <v>10</v>
      </c>
      <c r="AN214" s="132">
        <f t="shared" si="111"/>
        <v>0</v>
      </c>
      <c r="AO214" s="132">
        <f t="shared" si="102"/>
        <v>3662.213961723809</v>
      </c>
      <c r="AP214" s="132">
        <f t="shared" si="103"/>
        <v>16020.943266068392</v>
      </c>
      <c r="AQ214" s="132">
        <f t="shared" si="104"/>
        <v>0</v>
      </c>
      <c r="AR214" s="132">
        <f t="shared" si="85"/>
        <v>16020.943266068392</v>
      </c>
      <c r="AS214" s="132">
        <f>IF($AD214&lt;=$C$25*12,SUM(AR$5:AR214),"-")</f>
        <v>2161316.0434528226</v>
      </c>
      <c r="AT214" s="132">
        <f>IF($AD214&lt;=$C$25*12,AE214-$C$10-'RE Calculations'!$C401-'Mortgage Calculators (By Month)'!$M232,"-")</f>
        <v>2157666.6428867481</v>
      </c>
      <c r="AU214" s="29">
        <f t="shared" si="105"/>
        <v>1.3476766118789678</v>
      </c>
      <c r="AV214" s="31">
        <f t="shared" si="106"/>
        <v>7.7010092107369588E-2</v>
      </c>
      <c r="AW214" s="132">
        <f t="shared" si="107"/>
        <v>4318982.6863395702</v>
      </c>
      <c r="AX214" s="29">
        <f t="shared" si="108"/>
        <v>2.6976326360139899</v>
      </c>
      <c r="AY214" s="31">
        <f t="shared" si="109"/>
        <v>0.15415043634365658</v>
      </c>
    </row>
    <row r="215" spans="6:51" x14ac:dyDescent="0.35">
      <c r="F215" s="12">
        <f t="shared" si="86"/>
        <v>211</v>
      </c>
      <c r="G215" s="132">
        <f t="shared" si="87"/>
        <v>3855638.1220507221</v>
      </c>
      <c r="H215" s="132">
        <f>IF($F215&lt;=$C$16*12,$G215-$C$7+SUM('Mortgage Calculators (By Month)'!$D$23:$D233),"-")</f>
        <v>3855638.1220507221</v>
      </c>
      <c r="I215" s="132">
        <f t="shared" si="88"/>
        <v>19673.157227792202</v>
      </c>
      <c r="J215" s="132">
        <f>IF($F215&lt;=$C$16*12,SUM(Inputs!$C$61:$C$78)*'Forecast (By Month)'!I215,"-")</f>
        <v>2164.0472950571425</v>
      </c>
      <c r="K215" s="132">
        <f>IF($F215&lt;=$C$16*12,(SUMIF(Inputs!$C$61:$C$78,0,Inputs!$F$61:$F$78)/12)*(1+$C$34)^ROUNDDOWN((F215-1)/12,0),"-")</f>
        <v>1488.1666666666667</v>
      </c>
      <c r="L215" s="132">
        <f t="shared" si="89"/>
        <v>3652.213961723809</v>
      </c>
      <c r="M215" s="132">
        <f>IF($F215&lt;=$C$16*12,'Mortgage Calculators (By Month)'!$C233,"-")</f>
        <v>0</v>
      </c>
      <c r="N215" s="132">
        <f>IF($F215&lt;=$C$16*12,'Mortgage Calculators (By Month)'!$D233,"-")</f>
        <v>0</v>
      </c>
      <c r="O215" s="132">
        <f>IF($F215&lt;=$C$16*12,'Mortgage Calculators (By Month)'!$E233,"-")</f>
        <v>8.3333333333333339</v>
      </c>
      <c r="P215" s="132">
        <f t="shared" si="110"/>
        <v>0</v>
      </c>
      <c r="Q215" s="132">
        <f t="shared" si="90"/>
        <v>3660.5472950571425</v>
      </c>
      <c r="R215" s="132">
        <f t="shared" si="91"/>
        <v>16020.943266068392</v>
      </c>
      <c r="S215" s="132">
        <f t="shared" si="92"/>
        <v>0</v>
      </c>
      <c r="T215" s="132">
        <f t="shared" si="84"/>
        <v>16020.943266068392</v>
      </c>
      <c r="U215" s="132">
        <f>IF($F215&lt;=$C$16*12,SUM(T$5:T215),"-")</f>
        <v>2177346.9867188912</v>
      </c>
      <c r="V215" s="132">
        <f>IF($F215&lt;=$C$16*12,G215-$C$10-'RE Calculations'!$C402-'Mortgage Calculators (By Month)'!$F233,"-")</f>
        <v>2172998.3596097073</v>
      </c>
      <c r="W215" s="29">
        <f t="shared" si="93"/>
        <v>1.3572527881226908</v>
      </c>
      <c r="X215" s="31">
        <f t="shared" si="94"/>
        <v>7.7189732025935029E-2</v>
      </c>
      <c r="Y215" s="132">
        <f t="shared" si="95"/>
        <v>4350345.3463285984</v>
      </c>
      <c r="Z215" s="29">
        <f t="shared" si="96"/>
        <v>2.717221724760793</v>
      </c>
      <c r="AA215" s="31">
        <f t="shared" si="97"/>
        <v>0.15453393695322046</v>
      </c>
      <c r="AD215" s="12">
        <f t="shared" si="98"/>
        <v>211</v>
      </c>
      <c r="AE215" s="132">
        <f t="shared" si="99"/>
        <v>3855638.1220507221</v>
      </c>
      <c r="AF215" s="132">
        <f>IF($AD215&lt;=$C$25*12,$AE215-$C$7+SUM('Mortgage Calculators (By Month)'!$K$23:$K233),"-")</f>
        <v>3855638.1220507221</v>
      </c>
      <c r="AG215" s="132">
        <f t="shared" si="100"/>
        <v>19673.157227792202</v>
      </c>
      <c r="AH215" s="132">
        <f>IF($AD215&lt;=$C$25*12,SUM(Inputs!$C$61:$C$78)*'Forecast (By Month)'!AG215,"-")</f>
        <v>2164.0472950571425</v>
      </c>
      <c r="AI215" s="132">
        <f>IF($AD215&lt;=$C$25*12,(SUMIF(Inputs!$C$61:$C$78,0,Inputs!$F$61:$F$78)/12)*(1+$C$34)^ROUNDDOWN((AD215-1)/12,0),"-")</f>
        <v>1488.1666666666667</v>
      </c>
      <c r="AJ215" s="132">
        <f t="shared" si="101"/>
        <v>3652.213961723809</v>
      </c>
      <c r="AK215" s="132">
        <f>IF($AD215&lt;=$C$25*12,'Mortgage Calculators (By Month)'!$J233,"-")</f>
        <v>0</v>
      </c>
      <c r="AL215" s="132">
        <f>IF($AD215&lt;=$C$25*12,'Mortgage Calculators (By Month)'!$K233,"-")</f>
        <v>0</v>
      </c>
      <c r="AM215" s="132">
        <f>IF($AD215&lt;=$C$25*12,'Mortgage Calculators (By Month)'!$L233,"-")</f>
        <v>10</v>
      </c>
      <c r="AN215" s="132">
        <f t="shared" si="111"/>
        <v>0</v>
      </c>
      <c r="AO215" s="132">
        <f t="shared" si="102"/>
        <v>3662.213961723809</v>
      </c>
      <c r="AP215" s="132">
        <f t="shared" si="103"/>
        <v>16020.943266068392</v>
      </c>
      <c r="AQ215" s="132">
        <f t="shared" si="104"/>
        <v>0</v>
      </c>
      <c r="AR215" s="132">
        <f t="shared" si="85"/>
        <v>16020.943266068392</v>
      </c>
      <c r="AS215" s="132">
        <f>IF($AD215&lt;=$C$25*12,SUM(AR$5:AR215),"-")</f>
        <v>2177336.9867188912</v>
      </c>
      <c r="AT215" s="132">
        <f>IF($AD215&lt;=$C$25*12,AE215-$C$10-'RE Calculations'!$C402-'Mortgage Calculators (By Month)'!$M233,"-")</f>
        <v>2172998.3596097073</v>
      </c>
      <c r="AU215" s="29">
        <f t="shared" si="105"/>
        <v>1.3572527881226908</v>
      </c>
      <c r="AV215" s="31">
        <f t="shared" si="106"/>
        <v>7.7189732025935029E-2</v>
      </c>
      <c r="AW215" s="132">
        <f t="shared" si="107"/>
        <v>4350335.3463285984</v>
      </c>
      <c r="AX215" s="29">
        <f t="shared" si="108"/>
        <v>2.7172154787699387</v>
      </c>
      <c r="AY215" s="31">
        <f t="shared" si="109"/>
        <v>0.1545335817309918</v>
      </c>
    </row>
    <row r="216" spans="6:51" x14ac:dyDescent="0.35">
      <c r="F216" s="12">
        <f t="shared" si="86"/>
        <v>212</v>
      </c>
      <c r="G216" s="132">
        <f t="shared" si="87"/>
        <v>3871346.4690249101</v>
      </c>
      <c r="H216" s="132">
        <f>IF($F216&lt;=$C$16*12,$G216-$C$7+SUM('Mortgage Calculators (By Month)'!$D$23:$D234),"-")</f>
        <v>3871346.4690249101</v>
      </c>
      <c r="I216" s="132">
        <f t="shared" si="88"/>
        <v>19673.157227792202</v>
      </c>
      <c r="J216" s="132">
        <f>IF($F216&lt;=$C$16*12,SUM(Inputs!$C$61:$C$78)*'Forecast (By Month)'!I216,"-")</f>
        <v>2164.0472950571425</v>
      </c>
      <c r="K216" s="132">
        <f>IF($F216&lt;=$C$16*12,(SUMIF(Inputs!$C$61:$C$78,0,Inputs!$F$61:$F$78)/12)*(1+$C$34)^ROUNDDOWN((F216-1)/12,0),"-")</f>
        <v>1488.1666666666667</v>
      </c>
      <c r="L216" s="132">
        <f t="shared" si="89"/>
        <v>3652.213961723809</v>
      </c>
      <c r="M216" s="132">
        <f>IF($F216&lt;=$C$16*12,'Mortgage Calculators (By Month)'!$C234,"-")</f>
        <v>0</v>
      </c>
      <c r="N216" s="132">
        <f>IF($F216&lt;=$C$16*12,'Mortgage Calculators (By Month)'!$D234,"-")</f>
        <v>0</v>
      </c>
      <c r="O216" s="132">
        <f>IF($F216&lt;=$C$16*12,'Mortgage Calculators (By Month)'!$E234,"-")</f>
        <v>8.3333333333333339</v>
      </c>
      <c r="P216" s="132">
        <f t="shared" si="110"/>
        <v>0</v>
      </c>
      <c r="Q216" s="132">
        <f t="shared" si="90"/>
        <v>3660.5472950571425</v>
      </c>
      <c r="R216" s="132">
        <f t="shared" si="91"/>
        <v>16020.943266068392</v>
      </c>
      <c r="S216" s="132">
        <f t="shared" si="92"/>
        <v>0</v>
      </c>
      <c r="T216" s="132">
        <f t="shared" si="84"/>
        <v>16020.943266068392</v>
      </c>
      <c r="U216" s="132">
        <f>IF($F216&lt;=$C$16*12,SUM(T$5:T216),"-")</f>
        <v>2193367.9299849598</v>
      </c>
      <c r="V216" s="132">
        <f>IF($F216&lt;=$C$16*12,G216-$C$10-'RE Calculations'!$C403-'Mortgage Calculators (By Month)'!$F234,"-")</f>
        <v>2188392.5396444113</v>
      </c>
      <c r="W216" s="29">
        <f t="shared" si="93"/>
        <v>1.3668679788938045</v>
      </c>
      <c r="X216" s="31">
        <f t="shared" si="94"/>
        <v>7.7369885597762519E-2</v>
      </c>
      <c r="Y216" s="132">
        <f t="shared" si="95"/>
        <v>4381760.4696293715</v>
      </c>
      <c r="Z216" s="29">
        <f t="shared" si="96"/>
        <v>2.7368435820441328</v>
      </c>
      <c r="AA216" s="31">
        <f t="shared" si="97"/>
        <v>0.15491567445532825</v>
      </c>
      <c r="AD216" s="12">
        <f t="shared" si="98"/>
        <v>212</v>
      </c>
      <c r="AE216" s="132">
        <f t="shared" si="99"/>
        <v>3871346.4690249101</v>
      </c>
      <c r="AF216" s="132">
        <f>IF($AD216&lt;=$C$25*12,$AE216-$C$7+SUM('Mortgage Calculators (By Month)'!$K$23:$K234),"-")</f>
        <v>3871346.4690249101</v>
      </c>
      <c r="AG216" s="132">
        <f t="shared" si="100"/>
        <v>19673.157227792202</v>
      </c>
      <c r="AH216" s="132">
        <f>IF($AD216&lt;=$C$25*12,SUM(Inputs!$C$61:$C$78)*'Forecast (By Month)'!AG216,"-")</f>
        <v>2164.0472950571425</v>
      </c>
      <c r="AI216" s="132">
        <f>IF($AD216&lt;=$C$25*12,(SUMIF(Inputs!$C$61:$C$78,0,Inputs!$F$61:$F$78)/12)*(1+$C$34)^ROUNDDOWN((AD216-1)/12,0),"-")</f>
        <v>1488.1666666666667</v>
      </c>
      <c r="AJ216" s="132">
        <f t="shared" si="101"/>
        <v>3652.213961723809</v>
      </c>
      <c r="AK216" s="132">
        <f>IF($AD216&lt;=$C$25*12,'Mortgage Calculators (By Month)'!$J234,"-")</f>
        <v>0</v>
      </c>
      <c r="AL216" s="132">
        <f>IF($AD216&lt;=$C$25*12,'Mortgage Calculators (By Month)'!$K234,"-")</f>
        <v>0</v>
      </c>
      <c r="AM216" s="132">
        <f>IF($AD216&lt;=$C$25*12,'Mortgage Calculators (By Month)'!$L234,"-")</f>
        <v>10</v>
      </c>
      <c r="AN216" s="132">
        <f t="shared" si="111"/>
        <v>0</v>
      </c>
      <c r="AO216" s="132">
        <f t="shared" si="102"/>
        <v>3662.213961723809</v>
      </c>
      <c r="AP216" s="132">
        <f t="shared" si="103"/>
        <v>16020.943266068392</v>
      </c>
      <c r="AQ216" s="132">
        <f t="shared" si="104"/>
        <v>0</v>
      </c>
      <c r="AR216" s="132">
        <f t="shared" si="85"/>
        <v>16020.943266068392</v>
      </c>
      <c r="AS216" s="132">
        <f>IF($AD216&lt;=$C$25*12,SUM(AR$5:AR216),"-")</f>
        <v>2193357.9299849598</v>
      </c>
      <c r="AT216" s="132">
        <f>IF($AD216&lt;=$C$25*12,AE216-$C$10-'RE Calculations'!$C403-'Mortgage Calculators (By Month)'!$M234,"-")</f>
        <v>2188392.5396444113</v>
      </c>
      <c r="AU216" s="29">
        <f t="shared" si="105"/>
        <v>1.3668679788938045</v>
      </c>
      <c r="AV216" s="31">
        <f t="shared" si="106"/>
        <v>7.7369885597762519E-2</v>
      </c>
      <c r="AW216" s="132">
        <f t="shared" si="107"/>
        <v>4381750.4696293715</v>
      </c>
      <c r="AX216" s="29">
        <f t="shared" si="108"/>
        <v>2.7368373360532781</v>
      </c>
      <c r="AY216" s="31">
        <f t="shared" si="109"/>
        <v>0.1549153209086761</v>
      </c>
    </row>
    <row r="217" spans="6:51" x14ac:dyDescent="0.35">
      <c r="F217" s="12">
        <f t="shared" si="86"/>
        <v>213</v>
      </c>
      <c r="G217" s="132">
        <f t="shared" si="87"/>
        <v>3887118.8137491075</v>
      </c>
      <c r="H217" s="132">
        <f>IF($F217&lt;=$C$16*12,$G217-$C$7+SUM('Mortgage Calculators (By Month)'!$D$23:$D235),"-")</f>
        <v>3887118.8137491075</v>
      </c>
      <c r="I217" s="132">
        <f t="shared" si="88"/>
        <v>19673.157227792202</v>
      </c>
      <c r="J217" s="132">
        <f>IF($F217&lt;=$C$16*12,SUM(Inputs!$C$61:$C$78)*'Forecast (By Month)'!I217,"-")</f>
        <v>2164.0472950571425</v>
      </c>
      <c r="K217" s="132">
        <f>IF($F217&lt;=$C$16*12,(SUMIF(Inputs!$C$61:$C$78,0,Inputs!$F$61:$F$78)/12)*(1+$C$34)^ROUNDDOWN((F217-1)/12,0),"-")</f>
        <v>1488.1666666666667</v>
      </c>
      <c r="L217" s="132">
        <f t="shared" si="89"/>
        <v>3652.213961723809</v>
      </c>
      <c r="M217" s="132">
        <f>IF($F217&lt;=$C$16*12,'Mortgage Calculators (By Month)'!$C235,"-")</f>
        <v>0</v>
      </c>
      <c r="N217" s="132">
        <f>IF($F217&lt;=$C$16*12,'Mortgage Calculators (By Month)'!$D235,"-")</f>
        <v>0</v>
      </c>
      <c r="O217" s="132">
        <f>IF($F217&lt;=$C$16*12,'Mortgage Calculators (By Month)'!$E235,"-")</f>
        <v>8.3333333333333339</v>
      </c>
      <c r="P217" s="132">
        <f t="shared" si="110"/>
        <v>0</v>
      </c>
      <c r="Q217" s="132">
        <f t="shared" si="90"/>
        <v>3660.5472950571425</v>
      </c>
      <c r="R217" s="132">
        <f t="shared" si="91"/>
        <v>16020.943266068392</v>
      </c>
      <c r="S217" s="132">
        <f t="shared" si="92"/>
        <v>0</v>
      </c>
      <c r="T217" s="132">
        <f t="shared" si="84"/>
        <v>16020.943266068392</v>
      </c>
      <c r="U217" s="132">
        <f>IF($F217&lt;=$C$16*12,SUM(T$5:T217),"-")</f>
        <v>2209388.8732510284</v>
      </c>
      <c r="V217" s="132">
        <f>IF($F217&lt;=$C$16*12,G217-$C$10-'RE Calculations'!$C404-'Mortgage Calculators (By Month)'!$F235,"-")</f>
        <v>2203849.4374741246</v>
      </c>
      <c r="W217" s="29">
        <f t="shared" si="93"/>
        <v>1.3765223431423235</v>
      </c>
      <c r="X217" s="31">
        <f t="shared" si="94"/>
        <v>7.7550554543229497E-2</v>
      </c>
      <c r="Y217" s="132">
        <f t="shared" si="95"/>
        <v>4413238.3107251525</v>
      </c>
      <c r="Z217" s="29">
        <f t="shared" si="96"/>
        <v>2.7565046128048762</v>
      </c>
      <c r="AA217" s="31">
        <f t="shared" si="97"/>
        <v>0.15529603452421839</v>
      </c>
      <c r="AD217" s="12">
        <f t="shared" si="98"/>
        <v>213</v>
      </c>
      <c r="AE217" s="132">
        <f t="shared" si="99"/>
        <v>3887118.8137491075</v>
      </c>
      <c r="AF217" s="132">
        <f>IF($AD217&lt;=$C$25*12,$AE217-$C$7+SUM('Mortgage Calculators (By Month)'!$K$23:$K235),"-")</f>
        <v>3887118.8137491075</v>
      </c>
      <c r="AG217" s="132">
        <f t="shared" si="100"/>
        <v>19673.157227792202</v>
      </c>
      <c r="AH217" s="132">
        <f>IF($AD217&lt;=$C$25*12,SUM(Inputs!$C$61:$C$78)*'Forecast (By Month)'!AG217,"-")</f>
        <v>2164.0472950571425</v>
      </c>
      <c r="AI217" s="132">
        <f>IF($AD217&lt;=$C$25*12,(SUMIF(Inputs!$C$61:$C$78,0,Inputs!$F$61:$F$78)/12)*(1+$C$34)^ROUNDDOWN((AD217-1)/12,0),"-")</f>
        <v>1488.1666666666667</v>
      </c>
      <c r="AJ217" s="132">
        <f t="shared" si="101"/>
        <v>3652.213961723809</v>
      </c>
      <c r="AK217" s="132">
        <f>IF($AD217&lt;=$C$25*12,'Mortgage Calculators (By Month)'!$J235,"-")</f>
        <v>0</v>
      </c>
      <c r="AL217" s="132">
        <f>IF($AD217&lt;=$C$25*12,'Mortgage Calculators (By Month)'!$K235,"-")</f>
        <v>0</v>
      </c>
      <c r="AM217" s="132">
        <f>IF($AD217&lt;=$C$25*12,'Mortgage Calculators (By Month)'!$L235,"-")</f>
        <v>10</v>
      </c>
      <c r="AN217" s="132">
        <f t="shared" si="111"/>
        <v>0</v>
      </c>
      <c r="AO217" s="132">
        <f t="shared" si="102"/>
        <v>3662.213961723809</v>
      </c>
      <c r="AP217" s="132">
        <f t="shared" si="103"/>
        <v>16020.943266068392</v>
      </c>
      <c r="AQ217" s="132">
        <f t="shared" si="104"/>
        <v>0</v>
      </c>
      <c r="AR217" s="132">
        <f t="shared" si="85"/>
        <v>16020.943266068392</v>
      </c>
      <c r="AS217" s="132">
        <f>IF($AD217&lt;=$C$25*12,SUM(AR$5:AR217),"-")</f>
        <v>2209378.8732510284</v>
      </c>
      <c r="AT217" s="132">
        <f>IF($AD217&lt;=$C$25*12,AE217-$C$10-'RE Calculations'!$C404-'Mortgage Calculators (By Month)'!$M235,"-")</f>
        <v>2203849.4374741246</v>
      </c>
      <c r="AU217" s="29">
        <f t="shared" si="105"/>
        <v>1.3765223431423235</v>
      </c>
      <c r="AV217" s="31">
        <f t="shared" si="106"/>
        <v>7.7550554543229497E-2</v>
      </c>
      <c r="AW217" s="132">
        <f t="shared" si="107"/>
        <v>4413228.3107251525</v>
      </c>
      <c r="AX217" s="29">
        <f t="shared" si="108"/>
        <v>2.7564983668140215</v>
      </c>
      <c r="AY217" s="31">
        <f t="shared" si="109"/>
        <v>0.15529568263740967</v>
      </c>
    </row>
    <row r="218" spans="6:51" x14ac:dyDescent="0.35">
      <c r="F218" s="12">
        <f t="shared" si="86"/>
        <v>214</v>
      </c>
      <c r="G218" s="132">
        <f t="shared" si="87"/>
        <v>3902955.4169580699</v>
      </c>
      <c r="H218" s="132">
        <f>IF($F218&lt;=$C$16*12,$G218-$C$7+SUM('Mortgage Calculators (By Month)'!$D$23:$D236),"-")</f>
        <v>3902955.4169580699</v>
      </c>
      <c r="I218" s="132">
        <f t="shared" si="88"/>
        <v>19673.157227792202</v>
      </c>
      <c r="J218" s="132">
        <f>IF($F218&lt;=$C$16*12,SUM(Inputs!$C$61:$C$78)*'Forecast (By Month)'!I218,"-")</f>
        <v>2164.0472950571425</v>
      </c>
      <c r="K218" s="132">
        <f>IF($F218&lt;=$C$16*12,(SUMIF(Inputs!$C$61:$C$78,0,Inputs!$F$61:$F$78)/12)*(1+$C$34)^ROUNDDOWN((F218-1)/12,0),"-")</f>
        <v>1488.1666666666667</v>
      </c>
      <c r="L218" s="132">
        <f t="shared" si="89"/>
        <v>3652.213961723809</v>
      </c>
      <c r="M218" s="132">
        <f>IF($F218&lt;=$C$16*12,'Mortgage Calculators (By Month)'!$C236,"-")</f>
        <v>0</v>
      </c>
      <c r="N218" s="132">
        <f>IF($F218&lt;=$C$16*12,'Mortgage Calculators (By Month)'!$D236,"-")</f>
        <v>0</v>
      </c>
      <c r="O218" s="132">
        <f>IF($F218&lt;=$C$16*12,'Mortgage Calculators (By Month)'!$E236,"-")</f>
        <v>8.3333333333333339</v>
      </c>
      <c r="P218" s="132">
        <f t="shared" si="110"/>
        <v>0</v>
      </c>
      <c r="Q218" s="132">
        <f t="shared" si="90"/>
        <v>3660.5472950571425</v>
      </c>
      <c r="R218" s="132">
        <f t="shared" si="91"/>
        <v>16020.943266068392</v>
      </c>
      <c r="S218" s="132">
        <f t="shared" si="92"/>
        <v>0</v>
      </c>
      <c r="T218" s="132">
        <f t="shared" si="84"/>
        <v>16020.943266068392</v>
      </c>
      <c r="U218" s="132">
        <f>IF($F218&lt;=$C$16*12,SUM(T$5:T218),"-")</f>
        <v>2225409.8165170969</v>
      </c>
      <c r="V218" s="132">
        <f>IF($F218&lt;=$C$16*12,G218-$C$10-'RE Calculations'!$C405-'Mortgage Calculators (By Month)'!$F236,"-")</f>
        <v>2219369.3086189078</v>
      </c>
      <c r="W218" s="29">
        <f t="shared" si="93"/>
        <v>1.3862160404658435</v>
      </c>
      <c r="X218" s="31">
        <f t="shared" si="94"/>
        <v>7.7731740586869727E-2</v>
      </c>
      <c r="Y218" s="132">
        <f t="shared" si="95"/>
        <v>4444779.1251360048</v>
      </c>
      <c r="Z218" s="29">
        <f t="shared" si="96"/>
        <v>2.7762049766406216</v>
      </c>
      <c r="AA218" s="31">
        <f t="shared" si="97"/>
        <v>0.15567504541910029</v>
      </c>
      <c r="AD218" s="12">
        <f t="shared" si="98"/>
        <v>214</v>
      </c>
      <c r="AE218" s="132">
        <f t="shared" si="99"/>
        <v>3902955.4169580699</v>
      </c>
      <c r="AF218" s="132">
        <f>IF($AD218&lt;=$C$25*12,$AE218-$C$7+SUM('Mortgage Calculators (By Month)'!$K$23:$K236),"-")</f>
        <v>3902955.4169580699</v>
      </c>
      <c r="AG218" s="132">
        <f t="shared" si="100"/>
        <v>19673.157227792202</v>
      </c>
      <c r="AH218" s="132">
        <f>IF($AD218&lt;=$C$25*12,SUM(Inputs!$C$61:$C$78)*'Forecast (By Month)'!AG218,"-")</f>
        <v>2164.0472950571425</v>
      </c>
      <c r="AI218" s="132">
        <f>IF($AD218&lt;=$C$25*12,(SUMIF(Inputs!$C$61:$C$78,0,Inputs!$F$61:$F$78)/12)*(1+$C$34)^ROUNDDOWN((AD218-1)/12,0),"-")</f>
        <v>1488.1666666666667</v>
      </c>
      <c r="AJ218" s="132">
        <f t="shared" si="101"/>
        <v>3652.213961723809</v>
      </c>
      <c r="AK218" s="132">
        <f>IF($AD218&lt;=$C$25*12,'Mortgage Calculators (By Month)'!$J236,"-")</f>
        <v>0</v>
      </c>
      <c r="AL218" s="132">
        <f>IF($AD218&lt;=$C$25*12,'Mortgage Calculators (By Month)'!$K236,"-")</f>
        <v>0</v>
      </c>
      <c r="AM218" s="132">
        <f>IF($AD218&lt;=$C$25*12,'Mortgage Calculators (By Month)'!$L236,"-")</f>
        <v>10</v>
      </c>
      <c r="AN218" s="132">
        <f t="shared" si="111"/>
        <v>0</v>
      </c>
      <c r="AO218" s="132">
        <f t="shared" si="102"/>
        <v>3662.213961723809</v>
      </c>
      <c r="AP218" s="132">
        <f t="shared" si="103"/>
        <v>16020.943266068392</v>
      </c>
      <c r="AQ218" s="132">
        <f t="shared" si="104"/>
        <v>0</v>
      </c>
      <c r="AR218" s="132">
        <f t="shared" si="85"/>
        <v>16020.943266068392</v>
      </c>
      <c r="AS218" s="132">
        <f>IF($AD218&lt;=$C$25*12,SUM(AR$5:AR218),"-")</f>
        <v>2225399.8165170969</v>
      </c>
      <c r="AT218" s="132">
        <f>IF($AD218&lt;=$C$25*12,AE218-$C$10-'RE Calculations'!$C405-'Mortgage Calculators (By Month)'!$M236,"-")</f>
        <v>2219369.3086189078</v>
      </c>
      <c r="AU218" s="29">
        <f t="shared" si="105"/>
        <v>1.3862160404658435</v>
      </c>
      <c r="AV218" s="31">
        <f t="shared" si="106"/>
        <v>7.7731740586869727E-2</v>
      </c>
      <c r="AW218" s="132">
        <f t="shared" si="107"/>
        <v>4444769.1251360048</v>
      </c>
      <c r="AX218" s="29">
        <f t="shared" si="108"/>
        <v>2.7761987306497673</v>
      </c>
      <c r="AY218" s="31">
        <f t="shared" si="109"/>
        <v>0.15567469517662247</v>
      </c>
    </row>
    <row r="219" spans="6:51" x14ac:dyDescent="0.35">
      <c r="F219" s="12">
        <f t="shared" si="86"/>
        <v>215</v>
      </c>
      <c r="G219" s="132">
        <f t="shared" si="87"/>
        <v>3918856.5404488179</v>
      </c>
      <c r="H219" s="132">
        <f>IF($F219&lt;=$C$16*12,$G219-$C$7+SUM('Mortgage Calculators (By Month)'!$D$23:$D237),"-")</f>
        <v>3918856.5404488179</v>
      </c>
      <c r="I219" s="132">
        <f t="shared" si="88"/>
        <v>19673.157227792202</v>
      </c>
      <c r="J219" s="132">
        <f>IF($F219&lt;=$C$16*12,SUM(Inputs!$C$61:$C$78)*'Forecast (By Month)'!I219,"-")</f>
        <v>2164.0472950571425</v>
      </c>
      <c r="K219" s="132">
        <f>IF($F219&lt;=$C$16*12,(SUMIF(Inputs!$C$61:$C$78,0,Inputs!$F$61:$F$78)/12)*(1+$C$34)^ROUNDDOWN((F219-1)/12,0),"-")</f>
        <v>1488.1666666666667</v>
      </c>
      <c r="L219" s="132">
        <f t="shared" si="89"/>
        <v>3652.213961723809</v>
      </c>
      <c r="M219" s="132">
        <f>IF($F219&lt;=$C$16*12,'Mortgage Calculators (By Month)'!$C237,"-")</f>
        <v>0</v>
      </c>
      <c r="N219" s="132">
        <f>IF($F219&lt;=$C$16*12,'Mortgage Calculators (By Month)'!$D237,"-")</f>
        <v>0</v>
      </c>
      <c r="O219" s="132">
        <f>IF($F219&lt;=$C$16*12,'Mortgage Calculators (By Month)'!$E237,"-")</f>
        <v>8.3333333333333339</v>
      </c>
      <c r="P219" s="132">
        <f t="shared" si="110"/>
        <v>0</v>
      </c>
      <c r="Q219" s="132">
        <f t="shared" si="90"/>
        <v>3660.5472950571425</v>
      </c>
      <c r="R219" s="132">
        <f t="shared" si="91"/>
        <v>16020.943266068392</v>
      </c>
      <c r="S219" s="132">
        <f t="shared" si="92"/>
        <v>0</v>
      </c>
      <c r="T219" s="132">
        <f t="shared" si="84"/>
        <v>16020.943266068392</v>
      </c>
      <c r="U219" s="132">
        <f>IF($F219&lt;=$C$16*12,SUM(T$5:T219),"-")</f>
        <v>2241430.7597831655</v>
      </c>
      <c r="V219" s="132">
        <f>IF($F219&lt;=$C$16*12,G219-$C$10-'RE Calculations'!$C406-'Mortgage Calculators (By Month)'!$F237,"-")</f>
        <v>2234952.4096398409</v>
      </c>
      <c r="W219" s="29">
        <f t="shared" si="93"/>
        <v>1.3959492311121804</v>
      </c>
      <c r="X219" s="31">
        <f t="shared" si="94"/>
        <v>7.7913445457424013E-2</v>
      </c>
      <c r="Y219" s="132">
        <f t="shared" si="95"/>
        <v>4476383.1694230065</v>
      </c>
      <c r="Z219" s="29">
        <f t="shared" si="96"/>
        <v>2.7959448337991843</v>
      </c>
      <c r="AA219" s="31">
        <f t="shared" si="97"/>
        <v>0.15605273490972191</v>
      </c>
      <c r="AD219" s="12">
        <f t="shared" si="98"/>
        <v>215</v>
      </c>
      <c r="AE219" s="132">
        <f t="shared" si="99"/>
        <v>3918856.5404488179</v>
      </c>
      <c r="AF219" s="132">
        <f>IF($AD219&lt;=$C$25*12,$AE219-$C$7+SUM('Mortgage Calculators (By Month)'!$K$23:$K237),"-")</f>
        <v>3918856.5404488179</v>
      </c>
      <c r="AG219" s="132">
        <f t="shared" si="100"/>
        <v>19673.157227792202</v>
      </c>
      <c r="AH219" s="132">
        <f>IF($AD219&lt;=$C$25*12,SUM(Inputs!$C$61:$C$78)*'Forecast (By Month)'!AG219,"-")</f>
        <v>2164.0472950571425</v>
      </c>
      <c r="AI219" s="132">
        <f>IF($AD219&lt;=$C$25*12,(SUMIF(Inputs!$C$61:$C$78,0,Inputs!$F$61:$F$78)/12)*(1+$C$34)^ROUNDDOWN((AD219-1)/12,0),"-")</f>
        <v>1488.1666666666667</v>
      </c>
      <c r="AJ219" s="132">
        <f t="shared" si="101"/>
        <v>3652.213961723809</v>
      </c>
      <c r="AK219" s="132">
        <f>IF($AD219&lt;=$C$25*12,'Mortgage Calculators (By Month)'!$J237,"-")</f>
        <v>0</v>
      </c>
      <c r="AL219" s="132">
        <f>IF($AD219&lt;=$C$25*12,'Mortgage Calculators (By Month)'!$K237,"-")</f>
        <v>0</v>
      </c>
      <c r="AM219" s="132">
        <f>IF($AD219&lt;=$C$25*12,'Mortgage Calculators (By Month)'!$L237,"-")</f>
        <v>10</v>
      </c>
      <c r="AN219" s="132">
        <f t="shared" si="111"/>
        <v>0</v>
      </c>
      <c r="AO219" s="132">
        <f t="shared" si="102"/>
        <v>3662.213961723809</v>
      </c>
      <c r="AP219" s="132">
        <f t="shared" si="103"/>
        <v>16020.943266068392</v>
      </c>
      <c r="AQ219" s="132">
        <f t="shared" si="104"/>
        <v>0</v>
      </c>
      <c r="AR219" s="132">
        <f t="shared" si="85"/>
        <v>16020.943266068392</v>
      </c>
      <c r="AS219" s="132">
        <f>IF($AD219&lt;=$C$25*12,SUM(AR$5:AR219),"-")</f>
        <v>2241420.7597831655</v>
      </c>
      <c r="AT219" s="132">
        <f>IF($AD219&lt;=$C$25*12,AE219-$C$10-'RE Calculations'!$C406-'Mortgage Calculators (By Month)'!$M237,"-")</f>
        <v>2234952.4096398409</v>
      </c>
      <c r="AU219" s="29">
        <f t="shared" si="105"/>
        <v>1.3959492311121804</v>
      </c>
      <c r="AV219" s="31">
        <f t="shared" si="106"/>
        <v>7.7913445457424013E-2</v>
      </c>
      <c r="AW219" s="132">
        <f t="shared" si="107"/>
        <v>4476373.1694230065</v>
      </c>
      <c r="AX219" s="29">
        <f t="shared" si="108"/>
        <v>2.7959385878083296</v>
      </c>
      <c r="AY219" s="31">
        <f t="shared" si="109"/>
        <v>0.15605238629627885</v>
      </c>
    </row>
    <row r="220" spans="6:51" x14ac:dyDescent="0.35">
      <c r="F220" s="12">
        <f t="shared" si="86"/>
        <v>216</v>
      </c>
      <c r="G220" s="132">
        <f t="shared" si="87"/>
        <v>3934822.4470849661</v>
      </c>
      <c r="H220" s="132">
        <f>IF($F220&lt;=$C$16*12,$G220-$C$7+SUM('Mortgage Calculators (By Month)'!$D$23:$D238),"-")</f>
        <v>3934822.4470849661</v>
      </c>
      <c r="I220" s="132">
        <f t="shared" si="88"/>
        <v>19673.157227792202</v>
      </c>
      <c r="J220" s="132">
        <f>IF($F220&lt;=$C$16*12,SUM(Inputs!$C$61:$C$78)*'Forecast (By Month)'!I220,"-")</f>
        <v>2164.0472950571425</v>
      </c>
      <c r="K220" s="132">
        <f>IF($F220&lt;=$C$16*12,(SUMIF(Inputs!$C$61:$C$78,0,Inputs!$F$61:$F$78)/12)*(1+$C$34)^ROUNDDOWN((F220-1)/12,0),"-")</f>
        <v>1488.1666666666667</v>
      </c>
      <c r="L220" s="132">
        <f t="shared" si="89"/>
        <v>3652.213961723809</v>
      </c>
      <c r="M220" s="132">
        <f>IF($F220&lt;=$C$16*12,'Mortgage Calculators (By Month)'!$C238,"-")</f>
        <v>0</v>
      </c>
      <c r="N220" s="132">
        <f>IF($F220&lt;=$C$16*12,'Mortgage Calculators (By Month)'!$D238,"-")</f>
        <v>0</v>
      </c>
      <c r="O220" s="132">
        <f>IF($F220&lt;=$C$16*12,'Mortgage Calculators (By Month)'!$E238,"-")</f>
        <v>8.3333333333333339</v>
      </c>
      <c r="P220" s="132">
        <f t="shared" si="110"/>
        <v>0</v>
      </c>
      <c r="Q220" s="132">
        <f t="shared" si="90"/>
        <v>3660.5472950571425</v>
      </c>
      <c r="R220" s="132">
        <f t="shared" si="91"/>
        <v>16020.943266068392</v>
      </c>
      <c r="S220" s="132">
        <f t="shared" si="92"/>
        <v>0</v>
      </c>
      <c r="T220" s="132">
        <f t="shared" si="84"/>
        <v>16020.943266068392</v>
      </c>
      <c r="U220" s="132">
        <f>IF($F220&lt;=$C$16*12,SUM(T$5:T220),"-")</f>
        <v>2257451.7030492341</v>
      </c>
      <c r="V220" s="132">
        <f>IF($F220&lt;=$C$16*12,G220-$C$10-'RE Calculations'!$C407-'Mortgage Calculators (By Month)'!$F238,"-")</f>
        <v>2250598.998143266</v>
      </c>
      <c r="W220" s="29">
        <f t="shared" si="93"/>
        <v>1.4057220759820204</v>
      </c>
      <c r="X220" s="31">
        <f t="shared" si="94"/>
        <v>7.8095670887890017E-2</v>
      </c>
      <c r="Y220" s="132">
        <f t="shared" si="95"/>
        <v>4508050.7011925001</v>
      </c>
      <c r="Z220" s="29">
        <f t="shared" si="96"/>
        <v>2.8157243451812493</v>
      </c>
      <c r="AA220" s="31">
        <f t="shared" si="97"/>
        <v>0.15642913028784719</v>
      </c>
      <c r="AD220" s="12">
        <f t="shared" si="98"/>
        <v>216</v>
      </c>
      <c r="AE220" s="132">
        <f t="shared" si="99"/>
        <v>3934822.4470849661</v>
      </c>
      <c r="AF220" s="132">
        <f>IF($AD220&lt;=$C$25*12,$AE220-$C$7+SUM('Mortgage Calculators (By Month)'!$K$23:$K238),"-")</f>
        <v>3934822.4470849661</v>
      </c>
      <c r="AG220" s="132">
        <f t="shared" si="100"/>
        <v>19673.157227792202</v>
      </c>
      <c r="AH220" s="132">
        <f>IF($AD220&lt;=$C$25*12,SUM(Inputs!$C$61:$C$78)*'Forecast (By Month)'!AG220,"-")</f>
        <v>2164.0472950571425</v>
      </c>
      <c r="AI220" s="132">
        <f>IF($AD220&lt;=$C$25*12,(SUMIF(Inputs!$C$61:$C$78,0,Inputs!$F$61:$F$78)/12)*(1+$C$34)^ROUNDDOWN((AD220-1)/12,0),"-")</f>
        <v>1488.1666666666667</v>
      </c>
      <c r="AJ220" s="132">
        <f t="shared" si="101"/>
        <v>3652.213961723809</v>
      </c>
      <c r="AK220" s="132">
        <f>IF($AD220&lt;=$C$25*12,'Mortgage Calculators (By Month)'!$J238,"-")</f>
        <v>0</v>
      </c>
      <c r="AL220" s="132">
        <f>IF($AD220&lt;=$C$25*12,'Mortgage Calculators (By Month)'!$K238,"-")</f>
        <v>0</v>
      </c>
      <c r="AM220" s="132">
        <f>IF($AD220&lt;=$C$25*12,'Mortgage Calculators (By Month)'!$L238,"-")</f>
        <v>10</v>
      </c>
      <c r="AN220" s="132">
        <f t="shared" si="111"/>
        <v>0</v>
      </c>
      <c r="AO220" s="132">
        <f t="shared" si="102"/>
        <v>3662.213961723809</v>
      </c>
      <c r="AP220" s="132">
        <f t="shared" si="103"/>
        <v>16020.943266068392</v>
      </c>
      <c r="AQ220" s="132">
        <f t="shared" si="104"/>
        <v>0</v>
      </c>
      <c r="AR220" s="132">
        <f t="shared" si="85"/>
        <v>16020.943266068392</v>
      </c>
      <c r="AS220" s="132">
        <f>IF($AD220&lt;=$C$25*12,SUM(AR$5:AR220),"-")</f>
        <v>2257441.7030492341</v>
      </c>
      <c r="AT220" s="132">
        <f>IF($AD220&lt;=$C$25*12,AE220-$C$10-'RE Calculations'!$C407-'Mortgage Calculators (By Month)'!$M238,"-")</f>
        <v>2250598.998143266</v>
      </c>
      <c r="AU220" s="29">
        <f t="shared" si="105"/>
        <v>1.4057220759820204</v>
      </c>
      <c r="AV220" s="31">
        <f t="shared" si="106"/>
        <v>7.8095670887890017E-2</v>
      </c>
      <c r="AW220" s="132">
        <f t="shared" si="107"/>
        <v>4508040.7011925001</v>
      </c>
      <c r="AX220" s="29">
        <f t="shared" si="108"/>
        <v>2.8157180991903945</v>
      </c>
      <c r="AY220" s="31">
        <f t="shared" si="109"/>
        <v>0.15642878328835524</v>
      </c>
    </row>
    <row r="221" spans="6:51" x14ac:dyDescent="0.35">
      <c r="F221" s="12">
        <f t="shared" si="86"/>
        <v>217</v>
      </c>
      <c r="G221" s="132">
        <f t="shared" si="87"/>
        <v>3950853.4008010682</v>
      </c>
      <c r="H221" s="132">
        <f>IF($F221&lt;=$C$16*12,$G221-$C$7+SUM('Mortgage Calculators (By Month)'!$D$23:$D239),"-")</f>
        <v>3950853.4008010682</v>
      </c>
      <c r="I221" s="132">
        <f t="shared" si="88"/>
        <v>20656.815089181811</v>
      </c>
      <c r="J221" s="132">
        <f>IF($F221&lt;=$C$16*12,SUM(Inputs!$C$61:$C$78)*'Forecast (By Month)'!I221,"-")</f>
        <v>2272.2496598099992</v>
      </c>
      <c r="K221" s="132">
        <f>IF($F221&lt;=$C$16*12,(SUMIF(Inputs!$C$61:$C$78,0,Inputs!$F$61:$F$78)/12)*(1+$C$34)^ROUNDDOWN((F221-1)/12,0),"-")</f>
        <v>1488.1666666666667</v>
      </c>
      <c r="L221" s="132">
        <f t="shared" si="89"/>
        <v>3760.4163264766657</v>
      </c>
      <c r="M221" s="132">
        <f>IF($F221&lt;=$C$16*12,'Mortgage Calculators (By Month)'!$C239,"-")</f>
        <v>0</v>
      </c>
      <c r="N221" s="132">
        <f>IF($F221&lt;=$C$16*12,'Mortgage Calculators (By Month)'!$D239,"-")</f>
        <v>0</v>
      </c>
      <c r="O221" s="132">
        <f>IF($F221&lt;=$C$16*12,'Mortgage Calculators (By Month)'!$E239,"-")</f>
        <v>8.3333333333333339</v>
      </c>
      <c r="P221" s="132">
        <f t="shared" si="110"/>
        <v>0</v>
      </c>
      <c r="Q221" s="132">
        <f t="shared" si="90"/>
        <v>3768.7496598099992</v>
      </c>
      <c r="R221" s="132">
        <f t="shared" si="91"/>
        <v>16896.398762705147</v>
      </c>
      <c r="S221" s="132">
        <f t="shared" si="92"/>
        <v>0</v>
      </c>
      <c r="T221" s="132">
        <f t="shared" si="84"/>
        <v>16896.398762705147</v>
      </c>
      <c r="U221" s="132">
        <f>IF($F221&lt;=$C$16*12,SUM(T$5:T221),"-")</f>
        <v>2274348.1018119394</v>
      </c>
      <c r="V221" s="132">
        <f>IF($F221&lt;=$C$16*12,G221-$C$10-'RE Calculations'!$C408-'Mortgage Calculators (By Month)'!$F239,"-")</f>
        <v>2266309.3327850462</v>
      </c>
      <c r="W221" s="29">
        <f t="shared" si="93"/>
        <v>1.4155347366315785</v>
      </c>
      <c r="X221" s="31">
        <f t="shared" si="94"/>
        <v>7.8278418615571166E-2</v>
      </c>
      <c r="Y221" s="132">
        <f t="shared" si="95"/>
        <v>4540657.4345969856</v>
      </c>
      <c r="Z221" s="29">
        <f t="shared" si="96"/>
        <v>2.8360904810455949</v>
      </c>
      <c r="AA221" s="31">
        <f t="shared" si="97"/>
        <v>0.15683449664768268</v>
      </c>
      <c r="AD221" s="12">
        <f t="shared" si="98"/>
        <v>217</v>
      </c>
      <c r="AE221" s="132">
        <f t="shared" si="99"/>
        <v>3950853.4008010682</v>
      </c>
      <c r="AF221" s="132">
        <f>IF($AD221&lt;=$C$25*12,$AE221-$C$7+SUM('Mortgage Calculators (By Month)'!$K$23:$K239),"-")</f>
        <v>3950853.4008010682</v>
      </c>
      <c r="AG221" s="132">
        <f t="shared" si="100"/>
        <v>20656.815089181811</v>
      </c>
      <c r="AH221" s="132">
        <f>IF($AD221&lt;=$C$25*12,SUM(Inputs!$C$61:$C$78)*'Forecast (By Month)'!AG221,"-")</f>
        <v>2272.2496598099992</v>
      </c>
      <c r="AI221" s="132">
        <f>IF($AD221&lt;=$C$25*12,(SUMIF(Inputs!$C$61:$C$78,0,Inputs!$F$61:$F$78)/12)*(1+$C$34)^ROUNDDOWN((AD221-1)/12,0),"-")</f>
        <v>1488.1666666666667</v>
      </c>
      <c r="AJ221" s="132">
        <f t="shared" si="101"/>
        <v>3760.4163264766657</v>
      </c>
      <c r="AK221" s="132">
        <f>IF($AD221&lt;=$C$25*12,'Mortgage Calculators (By Month)'!$J239,"-")</f>
        <v>0</v>
      </c>
      <c r="AL221" s="132">
        <f>IF($AD221&lt;=$C$25*12,'Mortgage Calculators (By Month)'!$K239,"-")</f>
        <v>0</v>
      </c>
      <c r="AM221" s="132">
        <f>IF($AD221&lt;=$C$25*12,'Mortgage Calculators (By Month)'!$L239,"-")</f>
        <v>10</v>
      </c>
      <c r="AN221" s="132">
        <f t="shared" si="111"/>
        <v>0</v>
      </c>
      <c r="AO221" s="132">
        <f t="shared" si="102"/>
        <v>3770.4163264766657</v>
      </c>
      <c r="AP221" s="132">
        <f t="shared" si="103"/>
        <v>16896.398762705147</v>
      </c>
      <c r="AQ221" s="132">
        <f t="shared" si="104"/>
        <v>0</v>
      </c>
      <c r="AR221" s="132">
        <f t="shared" si="85"/>
        <v>16896.398762705147</v>
      </c>
      <c r="AS221" s="132">
        <f>IF($AD221&lt;=$C$25*12,SUM(AR$5:AR221),"-")</f>
        <v>2274338.1018119394</v>
      </c>
      <c r="AT221" s="132">
        <f>IF($AD221&lt;=$C$25*12,AE221-$C$10-'RE Calculations'!$C408-'Mortgage Calculators (By Month)'!$M239,"-")</f>
        <v>2266309.3327850462</v>
      </c>
      <c r="AU221" s="29">
        <f t="shared" si="105"/>
        <v>1.4155347366315785</v>
      </c>
      <c r="AV221" s="31">
        <f t="shared" si="106"/>
        <v>7.8278418615571166E-2</v>
      </c>
      <c r="AW221" s="132">
        <f t="shared" si="107"/>
        <v>4540647.4345969856</v>
      </c>
      <c r="AX221" s="29">
        <f t="shared" si="108"/>
        <v>2.8360842350547402</v>
      </c>
      <c r="AY221" s="31">
        <f t="shared" si="109"/>
        <v>0.15683415124726674</v>
      </c>
    </row>
    <row r="222" spans="6:51" x14ac:dyDescent="0.35">
      <c r="F222" s="12">
        <f t="shared" si="86"/>
        <v>218</v>
      </c>
      <c r="G222" s="132">
        <f t="shared" si="87"/>
        <v>3966949.6666069799</v>
      </c>
      <c r="H222" s="132">
        <f>IF($F222&lt;=$C$16*12,$G222-$C$7+SUM('Mortgage Calculators (By Month)'!$D$23:$D240),"-")</f>
        <v>3966949.6666069799</v>
      </c>
      <c r="I222" s="132">
        <f t="shared" si="88"/>
        <v>20656.815089181811</v>
      </c>
      <c r="J222" s="132">
        <f>IF($F222&lt;=$C$16*12,SUM(Inputs!$C$61:$C$78)*'Forecast (By Month)'!I222,"-")</f>
        <v>2272.2496598099992</v>
      </c>
      <c r="K222" s="132">
        <f>IF($F222&lt;=$C$16*12,(SUMIF(Inputs!$C$61:$C$78,0,Inputs!$F$61:$F$78)/12)*(1+$C$34)^ROUNDDOWN((F222-1)/12,0),"-")</f>
        <v>1488.1666666666667</v>
      </c>
      <c r="L222" s="132">
        <f t="shared" si="89"/>
        <v>3760.4163264766657</v>
      </c>
      <c r="M222" s="132">
        <f>IF($F222&lt;=$C$16*12,'Mortgage Calculators (By Month)'!$C240,"-")</f>
        <v>0</v>
      </c>
      <c r="N222" s="132">
        <f>IF($F222&lt;=$C$16*12,'Mortgage Calculators (By Month)'!$D240,"-")</f>
        <v>0</v>
      </c>
      <c r="O222" s="132">
        <f>IF($F222&lt;=$C$16*12,'Mortgage Calculators (By Month)'!$E240,"-")</f>
        <v>8.3333333333333339</v>
      </c>
      <c r="P222" s="132">
        <f t="shared" si="110"/>
        <v>0</v>
      </c>
      <c r="Q222" s="132">
        <f t="shared" si="90"/>
        <v>3768.7496598099992</v>
      </c>
      <c r="R222" s="132">
        <f t="shared" si="91"/>
        <v>16896.398762705147</v>
      </c>
      <c r="S222" s="132">
        <f t="shared" si="92"/>
        <v>0</v>
      </c>
      <c r="T222" s="132">
        <f t="shared" si="84"/>
        <v>16896.398762705147</v>
      </c>
      <c r="U222" s="132">
        <f>IF($F222&lt;=$C$16*12,SUM(T$5:T222),"-")</f>
        <v>2291244.5005746447</v>
      </c>
      <c r="V222" s="132">
        <f>IF($F222&lt;=$C$16*12,G222-$C$10-'RE Calculations'!$C409-'Mortgage Calculators (By Month)'!$F240,"-")</f>
        <v>2282083.6732748398</v>
      </c>
      <c r="W222" s="29">
        <f t="shared" si="93"/>
        <v>1.4253873752752699</v>
      </c>
      <c r="X222" s="31">
        <f t="shared" si="94"/>
        <v>7.8461690382124943E-2</v>
      </c>
      <c r="Y222" s="132">
        <f t="shared" si="95"/>
        <v>4573328.173849484</v>
      </c>
      <c r="Z222" s="29">
        <f t="shared" si="96"/>
        <v>2.8564965949040735</v>
      </c>
      <c r="AA222" s="31">
        <f t="shared" si="97"/>
        <v>0.15723834467361872</v>
      </c>
      <c r="AD222" s="12">
        <f t="shared" si="98"/>
        <v>218</v>
      </c>
      <c r="AE222" s="132">
        <f t="shared" si="99"/>
        <v>3966949.6666069799</v>
      </c>
      <c r="AF222" s="132">
        <f>IF($AD222&lt;=$C$25*12,$AE222-$C$7+SUM('Mortgage Calculators (By Month)'!$K$23:$K240),"-")</f>
        <v>3966949.6666069799</v>
      </c>
      <c r="AG222" s="132">
        <f t="shared" si="100"/>
        <v>20656.815089181811</v>
      </c>
      <c r="AH222" s="132">
        <f>IF($AD222&lt;=$C$25*12,SUM(Inputs!$C$61:$C$78)*'Forecast (By Month)'!AG222,"-")</f>
        <v>2272.2496598099992</v>
      </c>
      <c r="AI222" s="132">
        <f>IF($AD222&lt;=$C$25*12,(SUMIF(Inputs!$C$61:$C$78,0,Inputs!$F$61:$F$78)/12)*(1+$C$34)^ROUNDDOWN((AD222-1)/12,0),"-")</f>
        <v>1488.1666666666667</v>
      </c>
      <c r="AJ222" s="132">
        <f t="shared" si="101"/>
        <v>3760.4163264766657</v>
      </c>
      <c r="AK222" s="132">
        <f>IF($AD222&lt;=$C$25*12,'Mortgage Calculators (By Month)'!$J240,"-")</f>
        <v>0</v>
      </c>
      <c r="AL222" s="132">
        <f>IF($AD222&lt;=$C$25*12,'Mortgage Calculators (By Month)'!$K240,"-")</f>
        <v>0</v>
      </c>
      <c r="AM222" s="132">
        <f>IF($AD222&lt;=$C$25*12,'Mortgage Calculators (By Month)'!$L240,"-")</f>
        <v>10</v>
      </c>
      <c r="AN222" s="132">
        <f t="shared" si="111"/>
        <v>0</v>
      </c>
      <c r="AO222" s="132">
        <f t="shared" si="102"/>
        <v>3770.4163264766657</v>
      </c>
      <c r="AP222" s="132">
        <f t="shared" si="103"/>
        <v>16896.398762705147</v>
      </c>
      <c r="AQ222" s="132">
        <f t="shared" si="104"/>
        <v>0</v>
      </c>
      <c r="AR222" s="132">
        <f t="shared" si="85"/>
        <v>16896.398762705147</v>
      </c>
      <c r="AS222" s="132">
        <f>IF($AD222&lt;=$C$25*12,SUM(AR$5:AR222),"-")</f>
        <v>2291234.5005746447</v>
      </c>
      <c r="AT222" s="132">
        <f>IF($AD222&lt;=$C$25*12,AE222-$C$10-'RE Calculations'!$C409-'Mortgage Calculators (By Month)'!$M240,"-")</f>
        <v>2282083.6732748398</v>
      </c>
      <c r="AU222" s="29">
        <f t="shared" si="105"/>
        <v>1.4253873752752699</v>
      </c>
      <c r="AV222" s="31">
        <f t="shared" si="106"/>
        <v>7.8461690382124943E-2</v>
      </c>
      <c r="AW222" s="132">
        <f t="shared" si="107"/>
        <v>4573318.173849484</v>
      </c>
      <c r="AX222" s="29">
        <f t="shared" si="108"/>
        <v>2.8564903489132187</v>
      </c>
      <c r="AY222" s="31">
        <f t="shared" si="109"/>
        <v>0.15723800085760836</v>
      </c>
    </row>
    <row r="223" spans="6:51" x14ac:dyDescent="0.35">
      <c r="F223" s="12">
        <f t="shared" si="86"/>
        <v>219</v>
      </c>
      <c r="G223" s="132">
        <f t="shared" si="87"/>
        <v>3983111.5105922394</v>
      </c>
      <c r="H223" s="132">
        <f>IF($F223&lt;=$C$16*12,$G223-$C$7+SUM('Mortgage Calculators (By Month)'!$D$23:$D241),"-")</f>
        <v>3983111.5105922394</v>
      </c>
      <c r="I223" s="132">
        <f t="shared" si="88"/>
        <v>20656.815089181811</v>
      </c>
      <c r="J223" s="132">
        <f>IF($F223&lt;=$C$16*12,SUM(Inputs!$C$61:$C$78)*'Forecast (By Month)'!I223,"-")</f>
        <v>2272.2496598099992</v>
      </c>
      <c r="K223" s="132">
        <f>IF($F223&lt;=$C$16*12,(SUMIF(Inputs!$C$61:$C$78,0,Inputs!$F$61:$F$78)/12)*(1+$C$34)^ROUNDDOWN((F223-1)/12,0),"-")</f>
        <v>1488.1666666666667</v>
      </c>
      <c r="L223" s="132">
        <f t="shared" si="89"/>
        <v>3760.4163264766657</v>
      </c>
      <c r="M223" s="132">
        <f>IF($F223&lt;=$C$16*12,'Mortgage Calculators (By Month)'!$C241,"-")</f>
        <v>0</v>
      </c>
      <c r="N223" s="132">
        <f>IF($F223&lt;=$C$16*12,'Mortgage Calculators (By Month)'!$D241,"-")</f>
        <v>0</v>
      </c>
      <c r="O223" s="132">
        <f>IF($F223&lt;=$C$16*12,'Mortgage Calculators (By Month)'!$E241,"-")</f>
        <v>8.3333333333333339</v>
      </c>
      <c r="P223" s="132">
        <f t="shared" si="110"/>
        <v>0</v>
      </c>
      <c r="Q223" s="132">
        <f t="shared" si="90"/>
        <v>3768.7496598099992</v>
      </c>
      <c r="R223" s="132">
        <f t="shared" si="91"/>
        <v>16896.398762705147</v>
      </c>
      <c r="S223" s="132">
        <f t="shared" si="92"/>
        <v>0</v>
      </c>
      <c r="T223" s="132">
        <f t="shared" si="84"/>
        <v>16896.398762705147</v>
      </c>
      <c r="U223" s="132">
        <f>IF($F223&lt;=$C$16*12,SUM(T$5:T223),"-")</f>
        <v>2308140.8993373499</v>
      </c>
      <c r="V223" s="132">
        <f>IF($F223&lt;=$C$16*12,G223-$C$10-'RE Calculations'!$C410-'Mortgage Calculators (By Month)'!$F241,"-")</f>
        <v>2297922.2803803938</v>
      </c>
      <c r="W223" s="29">
        <f t="shared" si="93"/>
        <v>1.4352801547883913</v>
      </c>
      <c r="X223" s="31">
        <f t="shared" si="94"/>
        <v>7.8645487933610481E-2</v>
      </c>
      <c r="Y223" s="132">
        <f t="shared" si="95"/>
        <v>4606063.1797177438</v>
      </c>
      <c r="Z223" s="29">
        <f t="shared" si="96"/>
        <v>2.8769428496319822</v>
      </c>
      <c r="AA223" s="31">
        <f t="shared" si="97"/>
        <v>0.15764070408942368</v>
      </c>
      <c r="AD223" s="12">
        <f t="shared" si="98"/>
        <v>219</v>
      </c>
      <c r="AE223" s="132">
        <f t="shared" si="99"/>
        <v>3983111.5105922394</v>
      </c>
      <c r="AF223" s="132">
        <f>IF($AD223&lt;=$C$25*12,$AE223-$C$7+SUM('Mortgage Calculators (By Month)'!$K$23:$K241),"-")</f>
        <v>3983111.5105922394</v>
      </c>
      <c r="AG223" s="132">
        <f t="shared" si="100"/>
        <v>20656.815089181811</v>
      </c>
      <c r="AH223" s="132">
        <f>IF($AD223&lt;=$C$25*12,SUM(Inputs!$C$61:$C$78)*'Forecast (By Month)'!AG223,"-")</f>
        <v>2272.2496598099992</v>
      </c>
      <c r="AI223" s="132">
        <f>IF($AD223&lt;=$C$25*12,(SUMIF(Inputs!$C$61:$C$78,0,Inputs!$F$61:$F$78)/12)*(1+$C$34)^ROUNDDOWN((AD223-1)/12,0),"-")</f>
        <v>1488.1666666666667</v>
      </c>
      <c r="AJ223" s="132">
        <f t="shared" si="101"/>
        <v>3760.4163264766657</v>
      </c>
      <c r="AK223" s="132">
        <f>IF($AD223&lt;=$C$25*12,'Mortgage Calculators (By Month)'!$J241,"-")</f>
        <v>0</v>
      </c>
      <c r="AL223" s="132">
        <f>IF($AD223&lt;=$C$25*12,'Mortgage Calculators (By Month)'!$K241,"-")</f>
        <v>0</v>
      </c>
      <c r="AM223" s="132">
        <f>IF($AD223&lt;=$C$25*12,'Mortgage Calculators (By Month)'!$L241,"-")</f>
        <v>10</v>
      </c>
      <c r="AN223" s="132">
        <f t="shared" si="111"/>
        <v>0</v>
      </c>
      <c r="AO223" s="132">
        <f t="shared" si="102"/>
        <v>3770.4163264766657</v>
      </c>
      <c r="AP223" s="132">
        <f t="shared" si="103"/>
        <v>16896.398762705147</v>
      </c>
      <c r="AQ223" s="132">
        <f t="shared" si="104"/>
        <v>0</v>
      </c>
      <c r="AR223" s="132">
        <f t="shared" si="85"/>
        <v>16896.398762705147</v>
      </c>
      <c r="AS223" s="132">
        <f>IF($AD223&lt;=$C$25*12,SUM(AR$5:AR223),"-")</f>
        <v>2308130.8993373499</v>
      </c>
      <c r="AT223" s="132">
        <f>IF($AD223&lt;=$C$25*12,AE223-$C$10-'RE Calculations'!$C410-'Mortgage Calculators (By Month)'!$M241,"-")</f>
        <v>2297922.2803803938</v>
      </c>
      <c r="AU223" s="29">
        <f t="shared" si="105"/>
        <v>1.4352801547883913</v>
      </c>
      <c r="AV223" s="31">
        <f t="shared" si="106"/>
        <v>7.8645487933610481E-2</v>
      </c>
      <c r="AW223" s="132">
        <f t="shared" si="107"/>
        <v>4606053.1797177438</v>
      </c>
      <c r="AX223" s="29">
        <f t="shared" si="108"/>
        <v>2.8769366036411279</v>
      </c>
      <c r="AY223" s="31">
        <f t="shared" si="109"/>
        <v>0.15764036184334948</v>
      </c>
    </row>
    <row r="224" spans="6:51" x14ac:dyDescent="0.35">
      <c r="F224" s="12">
        <f t="shared" si="86"/>
        <v>220</v>
      </c>
      <c r="G224" s="132">
        <f t="shared" si="87"/>
        <v>3999339.1999304667</v>
      </c>
      <c r="H224" s="132">
        <f>IF($F224&lt;=$C$16*12,$G224-$C$7+SUM('Mortgage Calculators (By Month)'!$D$23:$D242),"-")</f>
        <v>3999339.1999304667</v>
      </c>
      <c r="I224" s="132">
        <f t="shared" si="88"/>
        <v>20656.815089181811</v>
      </c>
      <c r="J224" s="132">
        <f>IF($F224&lt;=$C$16*12,SUM(Inputs!$C$61:$C$78)*'Forecast (By Month)'!I224,"-")</f>
        <v>2272.2496598099992</v>
      </c>
      <c r="K224" s="132">
        <f>IF($F224&lt;=$C$16*12,(SUMIF(Inputs!$C$61:$C$78,0,Inputs!$F$61:$F$78)/12)*(1+$C$34)^ROUNDDOWN((F224-1)/12,0),"-")</f>
        <v>1488.1666666666667</v>
      </c>
      <c r="L224" s="132">
        <f t="shared" si="89"/>
        <v>3760.4163264766657</v>
      </c>
      <c r="M224" s="132">
        <f>IF($F224&lt;=$C$16*12,'Mortgage Calculators (By Month)'!$C242,"-")</f>
        <v>0</v>
      </c>
      <c r="N224" s="132">
        <f>IF($F224&lt;=$C$16*12,'Mortgage Calculators (By Month)'!$D242,"-")</f>
        <v>0</v>
      </c>
      <c r="O224" s="132">
        <f>IF($F224&lt;=$C$16*12,'Mortgage Calculators (By Month)'!$E242,"-")</f>
        <v>8.3333333333333339</v>
      </c>
      <c r="P224" s="132">
        <f t="shared" si="110"/>
        <v>0</v>
      </c>
      <c r="Q224" s="132">
        <f t="shared" si="90"/>
        <v>3768.7496598099992</v>
      </c>
      <c r="R224" s="132">
        <f t="shared" si="91"/>
        <v>16896.398762705147</v>
      </c>
      <c r="S224" s="132">
        <f t="shared" si="92"/>
        <v>0</v>
      </c>
      <c r="T224" s="132">
        <f t="shared" si="84"/>
        <v>16896.398762705147</v>
      </c>
      <c r="U224" s="132">
        <f>IF($F224&lt;=$C$16*12,SUM(T$5:T224),"-")</f>
        <v>2325037.2981000552</v>
      </c>
      <c r="V224" s="132">
        <f>IF($F224&lt;=$C$16*12,G224-$C$10-'RE Calculations'!$C411-'Mortgage Calculators (By Month)'!$F242,"-")</f>
        <v>2313825.4159318567</v>
      </c>
      <c r="W224" s="29">
        <f t="shared" si="93"/>
        <v>1.4452132387098136</v>
      </c>
      <c r="X224" s="31">
        <f t="shared" si="94"/>
        <v>7.8829813020535294E-2</v>
      </c>
      <c r="Y224" s="132">
        <f t="shared" si="95"/>
        <v>4638862.7140319124</v>
      </c>
      <c r="Z224" s="29">
        <f t="shared" si="96"/>
        <v>2.897429408768192</v>
      </c>
      <c r="AA224" s="31">
        <f t="shared" si="97"/>
        <v>0.15804160411462867</v>
      </c>
      <c r="AD224" s="12">
        <f t="shared" si="98"/>
        <v>220</v>
      </c>
      <c r="AE224" s="132">
        <f t="shared" si="99"/>
        <v>3999339.1999304667</v>
      </c>
      <c r="AF224" s="132">
        <f>IF($AD224&lt;=$C$25*12,$AE224-$C$7+SUM('Mortgage Calculators (By Month)'!$K$23:$K242),"-")</f>
        <v>3999339.1999304667</v>
      </c>
      <c r="AG224" s="132">
        <f t="shared" si="100"/>
        <v>20656.815089181811</v>
      </c>
      <c r="AH224" s="132">
        <f>IF($AD224&lt;=$C$25*12,SUM(Inputs!$C$61:$C$78)*'Forecast (By Month)'!AG224,"-")</f>
        <v>2272.2496598099992</v>
      </c>
      <c r="AI224" s="132">
        <f>IF($AD224&lt;=$C$25*12,(SUMIF(Inputs!$C$61:$C$78,0,Inputs!$F$61:$F$78)/12)*(1+$C$34)^ROUNDDOWN((AD224-1)/12,0),"-")</f>
        <v>1488.1666666666667</v>
      </c>
      <c r="AJ224" s="132">
        <f t="shared" si="101"/>
        <v>3760.4163264766657</v>
      </c>
      <c r="AK224" s="132">
        <f>IF($AD224&lt;=$C$25*12,'Mortgage Calculators (By Month)'!$J242,"-")</f>
        <v>0</v>
      </c>
      <c r="AL224" s="132">
        <f>IF($AD224&lt;=$C$25*12,'Mortgage Calculators (By Month)'!$K242,"-")</f>
        <v>0</v>
      </c>
      <c r="AM224" s="132">
        <f>IF($AD224&lt;=$C$25*12,'Mortgage Calculators (By Month)'!$L242,"-")</f>
        <v>10</v>
      </c>
      <c r="AN224" s="132">
        <f t="shared" si="111"/>
        <v>0</v>
      </c>
      <c r="AO224" s="132">
        <f t="shared" si="102"/>
        <v>3770.4163264766657</v>
      </c>
      <c r="AP224" s="132">
        <f t="shared" si="103"/>
        <v>16896.398762705147</v>
      </c>
      <c r="AQ224" s="132">
        <f t="shared" si="104"/>
        <v>0</v>
      </c>
      <c r="AR224" s="132">
        <f t="shared" si="85"/>
        <v>16896.398762705147</v>
      </c>
      <c r="AS224" s="132">
        <f>IF($AD224&lt;=$C$25*12,SUM(AR$5:AR224),"-")</f>
        <v>2325027.2981000552</v>
      </c>
      <c r="AT224" s="132">
        <f>IF($AD224&lt;=$C$25*12,AE224-$C$10-'RE Calculations'!$C411-'Mortgage Calculators (By Month)'!$M242,"-")</f>
        <v>2313825.4159318567</v>
      </c>
      <c r="AU224" s="29">
        <f t="shared" si="105"/>
        <v>1.4452132387098136</v>
      </c>
      <c r="AV224" s="31">
        <f t="shared" si="106"/>
        <v>7.8829813020535294E-2</v>
      </c>
      <c r="AW224" s="132">
        <f t="shared" si="107"/>
        <v>4638852.7140319124</v>
      </c>
      <c r="AX224" s="29">
        <f t="shared" si="108"/>
        <v>2.8974231627773377</v>
      </c>
      <c r="AY224" s="31">
        <f t="shared" si="109"/>
        <v>0.15804126342421843</v>
      </c>
    </row>
    <row r="225" spans="6:51" x14ac:dyDescent="0.35">
      <c r="F225" s="12">
        <f t="shared" si="86"/>
        <v>221</v>
      </c>
      <c r="G225" s="132">
        <f t="shared" si="87"/>
        <v>4015633.0028837807</v>
      </c>
      <c r="H225" s="132">
        <f>IF($F225&lt;=$C$16*12,$G225-$C$7+SUM('Mortgage Calculators (By Month)'!$D$23:$D243),"-")</f>
        <v>4015633.0028837807</v>
      </c>
      <c r="I225" s="132">
        <f t="shared" si="88"/>
        <v>20656.815089181811</v>
      </c>
      <c r="J225" s="132">
        <f>IF($F225&lt;=$C$16*12,SUM(Inputs!$C$61:$C$78)*'Forecast (By Month)'!I225,"-")</f>
        <v>2272.2496598099992</v>
      </c>
      <c r="K225" s="132">
        <f>IF($F225&lt;=$C$16*12,(SUMIF(Inputs!$C$61:$C$78,0,Inputs!$F$61:$F$78)/12)*(1+$C$34)^ROUNDDOWN((F225-1)/12,0),"-")</f>
        <v>1488.1666666666667</v>
      </c>
      <c r="L225" s="132">
        <f t="shared" si="89"/>
        <v>3760.4163264766657</v>
      </c>
      <c r="M225" s="132">
        <f>IF($F225&lt;=$C$16*12,'Mortgage Calculators (By Month)'!$C243,"-")</f>
        <v>0</v>
      </c>
      <c r="N225" s="132">
        <f>IF($F225&lt;=$C$16*12,'Mortgage Calculators (By Month)'!$D243,"-")</f>
        <v>0</v>
      </c>
      <c r="O225" s="132">
        <f>IF($F225&lt;=$C$16*12,'Mortgage Calculators (By Month)'!$E243,"-")</f>
        <v>8.3333333333333339</v>
      </c>
      <c r="P225" s="132">
        <f t="shared" si="110"/>
        <v>0</v>
      </c>
      <c r="Q225" s="132">
        <f t="shared" si="90"/>
        <v>3768.7496598099992</v>
      </c>
      <c r="R225" s="132">
        <f t="shared" si="91"/>
        <v>16896.398762705147</v>
      </c>
      <c r="S225" s="132">
        <f t="shared" si="92"/>
        <v>0</v>
      </c>
      <c r="T225" s="132">
        <f t="shared" si="84"/>
        <v>16896.398762705147</v>
      </c>
      <c r="U225" s="132">
        <f>IF($F225&lt;=$C$16*12,SUM(T$5:T225),"-")</f>
        <v>2341933.6968627605</v>
      </c>
      <c r="V225" s="132">
        <f>IF($F225&lt;=$C$16*12,G225-$C$10-'RE Calculations'!$C412-'Mortgage Calculators (By Month)'!$F243,"-")</f>
        <v>2329793.3428261043</v>
      </c>
      <c r="W225" s="29">
        <f t="shared" si="93"/>
        <v>1.455186791244685</v>
      </c>
      <c r="X225" s="31">
        <f t="shared" si="94"/>
        <v>7.9014667397901445E-2</v>
      </c>
      <c r="Y225" s="132">
        <f t="shared" si="95"/>
        <v>4671727.0396888647</v>
      </c>
      <c r="Z225" s="29">
        <f t="shared" si="96"/>
        <v>2.9179564365178505</v>
      </c>
      <c r="AA225" s="31">
        <f t="shared" si="97"/>
        <v>0.15844107347608238</v>
      </c>
      <c r="AD225" s="12">
        <f t="shared" si="98"/>
        <v>221</v>
      </c>
      <c r="AE225" s="132">
        <f t="shared" si="99"/>
        <v>4015633.0028837807</v>
      </c>
      <c r="AF225" s="132">
        <f>IF($AD225&lt;=$C$25*12,$AE225-$C$7+SUM('Mortgage Calculators (By Month)'!$K$23:$K243),"-")</f>
        <v>4015633.0028837807</v>
      </c>
      <c r="AG225" s="132">
        <f t="shared" si="100"/>
        <v>20656.815089181811</v>
      </c>
      <c r="AH225" s="132">
        <f>IF($AD225&lt;=$C$25*12,SUM(Inputs!$C$61:$C$78)*'Forecast (By Month)'!AG225,"-")</f>
        <v>2272.2496598099992</v>
      </c>
      <c r="AI225" s="132">
        <f>IF($AD225&lt;=$C$25*12,(SUMIF(Inputs!$C$61:$C$78,0,Inputs!$F$61:$F$78)/12)*(1+$C$34)^ROUNDDOWN((AD225-1)/12,0),"-")</f>
        <v>1488.1666666666667</v>
      </c>
      <c r="AJ225" s="132">
        <f t="shared" si="101"/>
        <v>3760.4163264766657</v>
      </c>
      <c r="AK225" s="132">
        <f>IF($AD225&lt;=$C$25*12,'Mortgage Calculators (By Month)'!$J243,"-")</f>
        <v>0</v>
      </c>
      <c r="AL225" s="132">
        <f>IF($AD225&lt;=$C$25*12,'Mortgage Calculators (By Month)'!$K243,"-")</f>
        <v>0</v>
      </c>
      <c r="AM225" s="132">
        <f>IF($AD225&lt;=$C$25*12,'Mortgage Calculators (By Month)'!$L243,"-")</f>
        <v>10</v>
      </c>
      <c r="AN225" s="132">
        <f t="shared" si="111"/>
        <v>0</v>
      </c>
      <c r="AO225" s="132">
        <f t="shared" si="102"/>
        <v>3770.4163264766657</v>
      </c>
      <c r="AP225" s="132">
        <f t="shared" si="103"/>
        <v>16896.398762705147</v>
      </c>
      <c r="AQ225" s="132">
        <f t="shared" si="104"/>
        <v>0</v>
      </c>
      <c r="AR225" s="132">
        <f t="shared" si="85"/>
        <v>16896.398762705147</v>
      </c>
      <c r="AS225" s="132">
        <f>IF($AD225&lt;=$C$25*12,SUM(AR$5:AR225),"-")</f>
        <v>2341923.6968627605</v>
      </c>
      <c r="AT225" s="132">
        <f>IF($AD225&lt;=$C$25*12,AE225-$C$10-'RE Calculations'!$C412-'Mortgage Calculators (By Month)'!$M243,"-")</f>
        <v>2329793.3428261043</v>
      </c>
      <c r="AU225" s="29">
        <f t="shared" si="105"/>
        <v>1.455186791244685</v>
      </c>
      <c r="AV225" s="31">
        <f t="shared" si="106"/>
        <v>7.9014667397901445E-2</v>
      </c>
      <c r="AW225" s="132">
        <f t="shared" si="107"/>
        <v>4671717.0396888647</v>
      </c>
      <c r="AX225" s="29">
        <f t="shared" si="108"/>
        <v>2.9179501905269958</v>
      </c>
      <c r="AY225" s="31">
        <f t="shared" si="109"/>
        <v>0.15844073432725769</v>
      </c>
    </row>
    <row r="226" spans="6:51" x14ac:dyDescent="0.35">
      <c r="F226" s="12">
        <f t="shared" si="86"/>
        <v>222</v>
      </c>
      <c r="G226" s="132">
        <f t="shared" si="87"/>
        <v>4031993.1888072328</v>
      </c>
      <c r="H226" s="132">
        <f>IF($F226&lt;=$C$16*12,$G226-$C$7+SUM('Mortgage Calculators (By Month)'!$D$23:$D244),"-")</f>
        <v>4031993.1888072328</v>
      </c>
      <c r="I226" s="132">
        <f t="shared" si="88"/>
        <v>20656.815089181811</v>
      </c>
      <c r="J226" s="132">
        <f>IF($F226&lt;=$C$16*12,SUM(Inputs!$C$61:$C$78)*'Forecast (By Month)'!I226,"-")</f>
        <v>2272.2496598099992</v>
      </c>
      <c r="K226" s="132">
        <f>IF($F226&lt;=$C$16*12,(SUMIF(Inputs!$C$61:$C$78,0,Inputs!$F$61:$F$78)/12)*(1+$C$34)^ROUNDDOWN((F226-1)/12,0),"-")</f>
        <v>1488.1666666666667</v>
      </c>
      <c r="L226" s="132">
        <f t="shared" si="89"/>
        <v>3760.4163264766657</v>
      </c>
      <c r="M226" s="132">
        <f>IF($F226&lt;=$C$16*12,'Mortgage Calculators (By Month)'!$C244,"-")</f>
        <v>0</v>
      </c>
      <c r="N226" s="132">
        <f>IF($F226&lt;=$C$16*12,'Mortgage Calculators (By Month)'!$D244,"-")</f>
        <v>0</v>
      </c>
      <c r="O226" s="132">
        <f>IF($F226&lt;=$C$16*12,'Mortgage Calculators (By Month)'!$E244,"-")</f>
        <v>8.3333333333333339</v>
      </c>
      <c r="P226" s="132">
        <f t="shared" si="110"/>
        <v>0</v>
      </c>
      <c r="Q226" s="132">
        <f t="shared" si="90"/>
        <v>3768.7496598099992</v>
      </c>
      <c r="R226" s="132">
        <f t="shared" si="91"/>
        <v>16896.398762705147</v>
      </c>
      <c r="S226" s="132">
        <f t="shared" si="92"/>
        <v>0</v>
      </c>
      <c r="T226" s="132">
        <f t="shared" si="84"/>
        <v>16896.398762705147</v>
      </c>
      <c r="U226" s="132">
        <f>IF($F226&lt;=$C$16*12,SUM(T$5:T226),"-")</f>
        <v>2358830.0956254657</v>
      </c>
      <c r="V226" s="132">
        <f>IF($F226&lt;=$C$16*12,G226-$C$10-'RE Calculations'!$C413-'Mortgage Calculators (By Month)'!$F244,"-")</f>
        <v>2345826.3250310873</v>
      </c>
      <c r="W226" s="29">
        <f t="shared" si="93"/>
        <v>1.4652009772671462</v>
      </c>
      <c r="X226" s="31">
        <f t="shared" si="94"/>
        <v>7.9200052825251138E-2</v>
      </c>
      <c r="Y226" s="132">
        <f t="shared" si="95"/>
        <v>4704656.4206565525</v>
      </c>
      <c r="Z226" s="29">
        <f t="shared" si="96"/>
        <v>2.9385240977550988</v>
      </c>
      <c r="AA226" s="31">
        <f t="shared" si="97"/>
        <v>0.15883914041919453</v>
      </c>
      <c r="AD226" s="12">
        <f t="shared" si="98"/>
        <v>222</v>
      </c>
      <c r="AE226" s="132">
        <f t="shared" si="99"/>
        <v>4031993.1888072328</v>
      </c>
      <c r="AF226" s="132">
        <f>IF($AD226&lt;=$C$25*12,$AE226-$C$7+SUM('Mortgage Calculators (By Month)'!$K$23:$K244),"-")</f>
        <v>4031993.1888072328</v>
      </c>
      <c r="AG226" s="132">
        <f t="shared" si="100"/>
        <v>20656.815089181811</v>
      </c>
      <c r="AH226" s="132">
        <f>IF($AD226&lt;=$C$25*12,SUM(Inputs!$C$61:$C$78)*'Forecast (By Month)'!AG226,"-")</f>
        <v>2272.2496598099992</v>
      </c>
      <c r="AI226" s="132">
        <f>IF($AD226&lt;=$C$25*12,(SUMIF(Inputs!$C$61:$C$78,0,Inputs!$F$61:$F$78)/12)*(1+$C$34)^ROUNDDOWN((AD226-1)/12,0),"-")</f>
        <v>1488.1666666666667</v>
      </c>
      <c r="AJ226" s="132">
        <f t="shared" si="101"/>
        <v>3760.4163264766657</v>
      </c>
      <c r="AK226" s="132">
        <f>IF($AD226&lt;=$C$25*12,'Mortgage Calculators (By Month)'!$J244,"-")</f>
        <v>0</v>
      </c>
      <c r="AL226" s="132">
        <f>IF($AD226&lt;=$C$25*12,'Mortgage Calculators (By Month)'!$K244,"-")</f>
        <v>0</v>
      </c>
      <c r="AM226" s="132">
        <f>IF($AD226&lt;=$C$25*12,'Mortgage Calculators (By Month)'!$L244,"-")</f>
        <v>10</v>
      </c>
      <c r="AN226" s="132">
        <f t="shared" si="111"/>
        <v>0</v>
      </c>
      <c r="AO226" s="132">
        <f t="shared" si="102"/>
        <v>3770.4163264766657</v>
      </c>
      <c r="AP226" s="132">
        <f t="shared" si="103"/>
        <v>16896.398762705147</v>
      </c>
      <c r="AQ226" s="132">
        <f t="shared" si="104"/>
        <v>0</v>
      </c>
      <c r="AR226" s="132">
        <f t="shared" si="85"/>
        <v>16896.398762705147</v>
      </c>
      <c r="AS226" s="132">
        <f>IF($AD226&lt;=$C$25*12,SUM(AR$5:AR226),"-")</f>
        <v>2358820.0956254657</v>
      </c>
      <c r="AT226" s="132">
        <f>IF($AD226&lt;=$C$25*12,AE226-$C$10-'RE Calculations'!$C413-'Mortgage Calculators (By Month)'!$M244,"-")</f>
        <v>2345826.3250310873</v>
      </c>
      <c r="AU226" s="29">
        <f t="shared" si="105"/>
        <v>1.4652009772671462</v>
      </c>
      <c r="AV226" s="31">
        <f t="shared" si="106"/>
        <v>7.9200052825251138E-2</v>
      </c>
      <c r="AW226" s="132">
        <f t="shared" si="107"/>
        <v>4704646.4206565525</v>
      </c>
      <c r="AX226" s="29">
        <f t="shared" si="108"/>
        <v>2.9385178517642441</v>
      </c>
      <c r="AY226" s="31">
        <f t="shared" si="109"/>
        <v>0.15883880279806725</v>
      </c>
    </row>
    <row r="227" spans="6:51" x14ac:dyDescent="0.35">
      <c r="F227" s="12">
        <f t="shared" si="86"/>
        <v>223</v>
      </c>
      <c r="G227" s="132">
        <f t="shared" si="87"/>
        <v>4048420.0281532607</v>
      </c>
      <c r="H227" s="132">
        <f>IF($F227&lt;=$C$16*12,$G227-$C$7+SUM('Mortgage Calculators (By Month)'!$D$23:$D245),"-")</f>
        <v>4048420.0281532607</v>
      </c>
      <c r="I227" s="132">
        <f t="shared" si="88"/>
        <v>20656.815089181811</v>
      </c>
      <c r="J227" s="132">
        <f>IF($F227&lt;=$C$16*12,SUM(Inputs!$C$61:$C$78)*'Forecast (By Month)'!I227,"-")</f>
        <v>2272.2496598099992</v>
      </c>
      <c r="K227" s="132">
        <f>IF($F227&lt;=$C$16*12,(SUMIF(Inputs!$C$61:$C$78,0,Inputs!$F$61:$F$78)/12)*(1+$C$34)^ROUNDDOWN((F227-1)/12,0),"-")</f>
        <v>1488.1666666666667</v>
      </c>
      <c r="L227" s="132">
        <f t="shared" si="89"/>
        <v>3760.4163264766657</v>
      </c>
      <c r="M227" s="132">
        <f>IF($F227&lt;=$C$16*12,'Mortgage Calculators (By Month)'!$C245,"-")</f>
        <v>0</v>
      </c>
      <c r="N227" s="132">
        <f>IF($F227&lt;=$C$16*12,'Mortgage Calculators (By Month)'!$D245,"-")</f>
        <v>0</v>
      </c>
      <c r="O227" s="132">
        <f>IF($F227&lt;=$C$16*12,'Mortgage Calculators (By Month)'!$E245,"-")</f>
        <v>8.3333333333333339</v>
      </c>
      <c r="P227" s="132">
        <f t="shared" si="110"/>
        <v>0</v>
      </c>
      <c r="Q227" s="132">
        <f t="shared" si="90"/>
        <v>3768.7496598099992</v>
      </c>
      <c r="R227" s="132">
        <f t="shared" si="91"/>
        <v>16896.398762705147</v>
      </c>
      <c r="S227" s="132">
        <f t="shared" si="92"/>
        <v>0</v>
      </c>
      <c r="T227" s="132">
        <f t="shared" si="84"/>
        <v>16896.398762705147</v>
      </c>
      <c r="U227" s="132">
        <f>IF($F227&lt;=$C$16*12,SUM(T$5:T227),"-")</f>
        <v>2375726.494388171</v>
      </c>
      <c r="V227" s="132">
        <f>IF($F227&lt;=$C$16*12,G227-$C$10-'RE Calculations'!$C414-'Mortgage Calculators (By Month)'!$F245,"-")</f>
        <v>2361924.6275901948</v>
      </c>
      <c r="W227" s="29">
        <f t="shared" si="93"/>
        <v>1.4752559623230557</v>
      </c>
      <c r="X227" s="31">
        <f t="shared" si="94"/>
        <v>7.9385971066711525E-2</v>
      </c>
      <c r="Y227" s="132">
        <f t="shared" si="95"/>
        <v>4737651.1219783658</v>
      </c>
      <c r="Z227" s="29">
        <f t="shared" si="96"/>
        <v>2.9591325580257957</v>
      </c>
      <c r="AA227" s="31">
        <f t="shared" si="97"/>
        <v>0.1592358327188769</v>
      </c>
      <c r="AD227" s="12">
        <f t="shared" si="98"/>
        <v>223</v>
      </c>
      <c r="AE227" s="132">
        <f t="shared" si="99"/>
        <v>4048420.0281532607</v>
      </c>
      <c r="AF227" s="132">
        <f>IF($AD227&lt;=$C$25*12,$AE227-$C$7+SUM('Mortgage Calculators (By Month)'!$K$23:$K245),"-")</f>
        <v>4048420.0281532607</v>
      </c>
      <c r="AG227" s="132">
        <f t="shared" si="100"/>
        <v>20656.815089181811</v>
      </c>
      <c r="AH227" s="132">
        <f>IF($AD227&lt;=$C$25*12,SUM(Inputs!$C$61:$C$78)*'Forecast (By Month)'!AG227,"-")</f>
        <v>2272.2496598099992</v>
      </c>
      <c r="AI227" s="132">
        <f>IF($AD227&lt;=$C$25*12,(SUMIF(Inputs!$C$61:$C$78,0,Inputs!$F$61:$F$78)/12)*(1+$C$34)^ROUNDDOWN((AD227-1)/12,0),"-")</f>
        <v>1488.1666666666667</v>
      </c>
      <c r="AJ227" s="132">
        <f t="shared" si="101"/>
        <v>3760.4163264766657</v>
      </c>
      <c r="AK227" s="132">
        <f>IF($AD227&lt;=$C$25*12,'Mortgage Calculators (By Month)'!$J245,"-")</f>
        <v>0</v>
      </c>
      <c r="AL227" s="132">
        <f>IF($AD227&lt;=$C$25*12,'Mortgage Calculators (By Month)'!$K245,"-")</f>
        <v>0</v>
      </c>
      <c r="AM227" s="132">
        <f>IF($AD227&lt;=$C$25*12,'Mortgage Calculators (By Month)'!$L245,"-")</f>
        <v>10</v>
      </c>
      <c r="AN227" s="132">
        <f t="shared" si="111"/>
        <v>0</v>
      </c>
      <c r="AO227" s="132">
        <f t="shared" si="102"/>
        <v>3770.4163264766657</v>
      </c>
      <c r="AP227" s="132">
        <f t="shared" si="103"/>
        <v>16896.398762705147</v>
      </c>
      <c r="AQ227" s="132">
        <f t="shared" si="104"/>
        <v>0</v>
      </c>
      <c r="AR227" s="132">
        <f t="shared" si="85"/>
        <v>16896.398762705147</v>
      </c>
      <c r="AS227" s="132">
        <f>IF($AD227&lt;=$C$25*12,SUM(AR$5:AR227),"-")</f>
        <v>2375716.494388171</v>
      </c>
      <c r="AT227" s="132">
        <f>IF($AD227&lt;=$C$25*12,AE227-$C$10-'RE Calculations'!$C414-'Mortgage Calculators (By Month)'!$M245,"-")</f>
        <v>2361924.6275901948</v>
      </c>
      <c r="AU227" s="29">
        <f t="shared" si="105"/>
        <v>1.4752559623230557</v>
      </c>
      <c r="AV227" s="31">
        <f t="shared" si="106"/>
        <v>7.9385971066711525E-2</v>
      </c>
      <c r="AW227" s="132">
        <f t="shared" si="107"/>
        <v>4737641.1219783658</v>
      </c>
      <c r="AX227" s="29">
        <f t="shared" si="108"/>
        <v>2.9591263120349414</v>
      </c>
      <c r="AY227" s="31">
        <f t="shared" si="109"/>
        <v>0.15923549661174574</v>
      </c>
    </row>
    <row r="228" spans="6:51" x14ac:dyDescent="0.35">
      <c r="F228" s="12">
        <f t="shared" si="86"/>
        <v>224</v>
      </c>
      <c r="G228" s="132">
        <f t="shared" si="87"/>
        <v>4064913.7924761581</v>
      </c>
      <c r="H228" s="132">
        <f>IF($F228&lt;=$C$16*12,$G228-$C$7+SUM('Mortgage Calculators (By Month)'!$D$23:$D246),"-")</f>
        <v>4064913.7924761581</v>
      </c>
      <c r="I228" s="132">
        <f t="shared" si="88"/>
        <v>20656.815089181811</v>
      </c>
      <c r="J228" s="132">
        <f>IF($F228&lt;=$C$16*12,SUM(Inputs!$C$61:$C$78)*'Forecast (By Month)'!I228,"-")</f>
        <v>2272.2496598099992</v>
      </c>
      <c r="K228" s="132">
        <f>IF($F228&lt;=$C$16*12,(SUMIF(Inputs!$C$61:$C$78,0,Inputs!$F$61:$F$78)/12)*(1+$C$34)^ROUNDDOWN((F228-1)/12,0),"-")</f>
        <v>1488.1666666666667</v>
      </c>
      <c r="L228" s="132">
        <f t="shared" si="89"/>
        <v>3760.4163264766657</v>
      </c>
      <c r="M228" s="132">
        <f>IF($F228&lt;=$C$16*12,'Mortgage Calculators (By Month)'!$C246,"-")</f>
        <v>0</v>
      </c>
      <c r="N228" s="132">
        <f>IF($F228&lt;=$C$16*12,'Mortgage Calculators (By Month)'!$D246,"-")</f>
        <v>0</v>
      </c>
      <c r="O228" s="132">
        <f>IF($F228&lt;=$C$16*12,'Mortgage Calculators (By Month)'!$E246,"-")</f>
        <v>8.3333333333333339</v>
      </c>
      <c r="P228" s="132">
        <f t="shared" si="110"/>
        <v>0</v>
      </c>
      <c r="Q228" s="132">
        <f t="shared" si="90"/>
        <v>3768.7496598099992</v>
      </c>
      <c r="R228" s="132">
        <f t="shared" si="91"/>
        <v>16896.398762705147</v>
      </c>
      <c r="S228" s="132">
        <f t="shared" si="92"/>
        <v>0</v>
      </c>
      <c r="T228" s="132">
        <f t="shared" si="84"/>
        <v>16896.398762705147</v>
      </c>
      <c r="U228" s="132">
        <f>IF($F228&lt;=$C$16*12,SUM(T$5:T228),"-")</f>
        <v>2392622.8931508763</v>
      </c>
      <c r="V228" s="132">
        <f>IF($F228&lt;=$C$16*12,G228-$C$10-'RE Calculations'!$C415-'Mortgage Calculators (By Month)'!$F246,"-")</f>
        <v>2378088.5166266342</v>
      </c>
      <c r="W228" s="29">
        <f t="shared" si="93"/>
        <v>1.4853519126327253</v>
      </c>
      <c r="X228" s="31">
        <f t="shared" si="94"/>
        <v>7.9572423891038843E-2</v>
      </c>
      <c r="Y228" s="132">
        <f t="shared" si="95"/>
        <v>4770711.4097775109</v>
      </c>
      <c r="Z228" s="29">
        <f t="shared" si="96"/>
        <v>2.9797819835502528</v>
      </c>
      <c r="AA228" s="31">
        <f t="shared" si="97"/>
        <v>0.15963117769019211</v>
      </c>
      <c r="AD228" s="12">
        <f t="shared" si="98"/>
        <v>224</v>
      </c>
      <c r="AE228" s="132">
        <f t="shared" si="99"/>
        <v>4064913.7924761581</v>
      </c>
      <c r="AF228" s="132">
        <f>IF($AD228&lt;=$C$25*12,$AE228-$C$7+SUM('Mortgage Calculators (By Month)'!$K$23:$K246),"-")</f>
        <v>4064913.7924761581</v>
      </c>
      <c r="AG228" s="132">
        <f t="shared" si="100"/>
        <v>20656.815089181811</v>
      </c>
      <c r="AH228" s="132">
        <f>IF($AD228&lt;=$C$25*12,SUM(Inputs!$C$61:$C$78)*'Forecast (By Month)'!AG228,"-")</f>
        <v>2272.2496598099992</v>
      </c>
      <c r="AI228" s="132">
        <f>IF($AD228&lt;=$C$25*12,(SUMIF(Inputs!$C$61:$C$78,0,Inputs!$F$61:$F$78)/12)*(1+$C$34)^ROUNDDOWN((AD228-1)/12,0),"-")</f>
        <v>1488.1666666666667</v>
      </c>
      <c r="AJ228" s="132">
        <f t="shared" si="101"/>
        <v>3760.4163264766657</v>
      </c>
      <c r="AK228" s="132">
        <f>IF($AD228&lt;=$C$25*12,'Mortgage Calculators (By Month)'!$J246,"-")</f>
        <v>0</v>
      </c>
      <c r="AL228" s="132">
        <f>IF($AD228&lt;=$C$25*12,'Mortgage Calculators (By Month)'!$K246,"-")</f>
        <v>0</v>
      </c>
      <c r="AM228" s="132">
        <f>IF($AD228&lt;=$C$25*12,'Mortgage Calculators (By Month)'!$L246,"-")</f>
        <v>10</v>
      </c>
      <c r="AN228" s="132">
        <f t="shared" si="111"/>
        <v>0</v>
      </c>
      <c r="AO228" s="132">
        <f t="shared" si="102"/>
        <v>3770.4163264766657</v>
      </c>
      <c r="AP228" s="132">
        <f t="shared" si="103"/>
        <v>16896.398762705147</v>
      </c>
      <c r="AQ228" s="132">
        <f t="shared" si="104"/>
        <v>0</v>
      </c>
      <c r="AR228" s="132">
        <f t="shared" si="85"/>
        <v>16896.398762705147</v>
      </c>
      <c r="AS228" s="132">
        <f>IF($AD228&lt;=$C$25*12,SUM(AR$5:AR228),"-")</f>
        <v>2392612.8931508763</v>
      </c>
      <c r="AT228" s="132">
        <f>IF($AD228&lt;=$C$25*12,AE228-$C$10-'RE Calculations'!$C415-'Mortgage Calculators (By Month)'!$M246,"-")</f>
        <v>2378088.5166266342</v>
      </c>
      <c r="AU228" s="29">
        <f t="shared" si="105"/>
        <v>1.4853519126327253</v>
      </c>
      <c r="AV228" s="31">
        <f t="shared" si="106"/>
        <v>7.9572423891038843E-2</v>
      </c>
      <c r="AW228" s="132">
        <f t="shared" si="107"/>
        <v>4770701.4097775109</v>
      </c>
      <c r="AX228" s="29">
        <f t="shared" si="108"/>
        <v>2.9797757375593985</v>
      </c>
      <c r="AY228" s="31">
        <f t="shared" si="109"/>
        <v>0.1596308430835392</v>
      </c>
    </row>
    <row r="229" spans="6:51" x14ac:dyDescent="0.35">
      <c r="F229" s="12">
        <f t="shared" si="86"/>
        <v>225</v>
      </c>
      <c r="G229" s="132">
        <f t="shared" si="87"/>
        <v>4081474.7544365656</v>
      </c>
      <c r="H229" s="132">
        <f>IF($F229&lt;=$C$16*12,$G229-$C$7+SUM('Mortgage Calculators (By Month)'!$D$23:$D247),"-")</f>
        <v>4081474.7544365656</v>
      </c>
      <c r="I229" s="132">
        <f t="shared" si="88"/>
        <v>20656.815089181811</v>
      </c>
      <c r="J229" s="132">
        <f>IF($F229&lt;=$C$16*12,SUM(Inputs!$C$61:$C$78)*'Forecast (By Month)'!I229,"-")</f>
        <v>2272.2496598099992</v>
      </c>
      <c r="K229" s="132">
        <f>IF($F229&lt;=$C$16*12,(SUMIF(Inputs!$C$61:$C$78,0,Inputs!$F$61:$F$78)/12)*(1+$C$34)^ROUNDDOWN((F229-1)/12,0),"-")</f>
        <v>1488.1666666666667</v>
      </c>
      <c r="L229" s="132">
        <f t="shared" si="89"/>
        <v>3760.4163264766657</v>
      </c>
      <c r="M229" s="132">
        <f>IF($F229&lt;=$C$16*12,'Mortgage Calculators (By Month)'!$C247,"-")</f>
        <v>0</v>
      </c>
      <c r="N229" s="132">
        <f>IF($F229&lt;=$C$16*12,'Mortgage Calculators (By Month)'!$D247,"-")</f>
        <v>0</v>
      </c>
      <c r="O229" s="132">
        <f>IF($F229&lt;=$C$16*12,'Mortgage Calculators (By Month)'!$E247,"-")</f>
        <v>8.3333333333333339</v>
      </c>
      <c r="P229" s="132">
        <f t="shared" si="110"/>
        <v>0</v>
      </c>
      <c r="Q229" s="132">
        <f t="shared" si="90"/>
        <v>3768.7496598099992</v>
      </c>
      <c r="R229" s="132">
        <f t="shared" si="91"/>
        <v>16896.398762705147</v>
      </c>
      <c r="S229" s="132">
        <f t="shared" si="92"/>
        <v>0</v>
      </c>
      <c r="T229" s="132">
        <f t="shared" si="84"/>
        <v>16896.398762705147</v>
      </c>
      <c r="U229" s="132">
        <f>IF($F229&lt;=$C$16*12,SUM(T$5:T229),"-")</f>
        <v>2409519.2919135815</v>
      </c>
      <c r="V229" s="132">
        <f>IF($F229&lt;=$C$16*12,G229-$C$10-'RE Calculations'!$C416-'Mortgage Calculators (By Month)'!$F247,"-")</f>
        <v>2394318.2593478337</v>
      </c>
      <c r="W229" s="29">
        <f t="shared" si="93"/>
        <v>1.4954889950936703</v>
      </c>
      <c r="X229" s="31">
        <f t="shared" si="94"/>
        <v>7.9759413071662413E-2</v>
      </c>
      <c r="Y229" s="132">
        <f t="shared" si="95"/>
        <v>4803837.5512614157</v>
      </c>
      <c r="Z229" s="29">
        <f t="shared" si="96"/>
        <v>3.0004725412259852</v>
      </c>
      <c r="AA229" s="31">
        <f t="shared" si="97"/>
        <v>0.16002520219871921</v>
      </c>
      <c r="AD229" s="12">
        <f t="shared" si="98"/>
        <v>225</v>
      </c>
      <c r="AE229" s="132">
        <f t="shared" si="99"/>
        <v>4081474.7544365656</v>
      </c>
      <c r="AF229" s="132">
        <f>IF($AD229&lt;=$C$25*12,$AE229-$C$7+SUM('Mortgage Calculators (By Month)'!$K$23:$K247),"-")</f>
        <v>4081474.7544365656</v>
      </c>
      <c r="AG229" s="132">
        <f t="shared" si="100"/>
        <v>20656.815089181811</v>
      </c>
      <c r="AH229" s="132">
        <f>IF($AD229&lt;=$C$25*12,SUM(Inputs!$C$61:$C$78)*'Forecast (By Month)'!AG229,"-")</f>
        <v>2272.2496598099992</v>
      </c>
      <c r="AI229" s="132">
        <f>IF($AD229&lt;=$C$25*12,(SUMIF(Inputs!$C$61:$C$78,0,Inputs!$F$61:$F$78)/12)*(1+$C$34)^ROUNDDOWN((AD229-1)/12,0),"-")</f>
        <v>1488.1666666666667</v>
      </c>
      <c r="AJ229" s="132">
        <f t="shared" si="101"/>
        <v>3760.4163264766657</v>
      </c>
      <c r="AK229" s="132">
        <f>IF($AD229&lt;=$C$25*12,'Mortgage Calculators (By Month)'!$J247,"-")</f>
        <v>0</v>
      </c>
      <c r="AL229" s="132">
        <f>IF($AD229&lt;=$C$25*12,'Mortgage Calculators (By Month)'!$K247,"-")</f>
        <v>0</v>
      </c>
      <c r="AM229" s="132">
        <f>IF($AD229&lt;=$C$25*12,'Mortgage Calculators (By Month)'!$L247,"-")</f>
        <v>10</v>
      </c>
      <c r="AN229" s="132">
        <f t="shared" si="111"/>
        <v>0</v>
      </c>
      <c r="AO229" s="132">
        <f t="shared" si="102"/>
        <v>3770.4163264766657</v>
      </c>
      <c r="AP229" s="132">
        <f t="shared" si="103"/>
        <v>16896.398762705147</v>
      </c>
      <c r="AQ229" s="132">
        <f t="shared" si="104"/>
        <v>0</v>
      </c>
      <c r="AR229" s="132">
        <f t="shared" si="85"/>
        <v>16896.398762705147</v>
      </c>
      <c r="AS229" s="132">
        <f>IF($AD229&lt;=$C$25*12,SUM(AR$5:AR229),"-")</f>
        <v>2409509.2919135815</v>
      </c>
      <c r="AT229" s="132">
        <f>IF($AD229&lt;=$C$25*12,AE229-$C$10-'RE Calculations'!$C416-'Mortgage Calculators (By Month)'!$M247,"-")</f>
        <v>2394318.2593478337</v>
      </c>
      <c r="AU229" s="29">
        <f t="shared" si="105"/>
        <v>1.4954889950936703</v>
      </c>
      <c r="AV229" s="31">
        <f t="shared" si="106"/>
        <v>7.9759413071662413E-2</v>
      </c>
      <c r="AW229" s="132">
        <f t="shared" si="107"/>
        <v>4803827.5512614157</v>
      </c>
      <c r="AX229" s="29">
        <f t="shared" si="108"/>
        <v>3.0004662952351309</v>
      </c>
      <c r="AY229" s="31">
        <f t="shared" si="109"/>
        <v>0.16002486907920699</v>
      </c>
    </row>
    <row r="230" spans="6:51" x14ac:dyDescent="0.35">
      <c r="F230" s="12">
        <f t="shared" si="86"/>
        <v>226</v>
      </c>
      <c r="G230" s="132">
        <f t="shared" si="87"/>
        <v>4098103.1878059758</v>
      </c>
      <c r="H230" s="132">
        <f>IF($F230&lt;=$C$16*12,$G230-$C$7+SUM('Mortgage Calculators (By Month)'!$D$23:$D248),"-")</f>
        <v>4098103.1878059758</v>
      </c>
      <c r="I230" s="132">
        <f t="shared" si="88"/>
        <v>20656.815089181811</v>
      </c>
      <c r="J230" s="132">
        <f>IF($F230&lt;=$C$16*12,SUM(Inputs!$C$61:$C$78)*'Forecast (By Month)'!I230,"-")</f>
        <v>2272.2496598099992</v>
      </c>
      <c r="K230" s="132">
        <f>IF($F230&lt;=$C$16*12,(SUMIF(Inputs!$C$61:$C$78,0,Inputs!$F$61:$F$78)/12)*(1+$C$34)^ROUNDDOWN((F230-1)/12,0),"-")</f>
        <v>1488.1666666666667</v>
      </c>
      <c r="L230" s="132">
        <f t="shared" si="89"/>
        <v>3760.4163264766657</v>
      </c>
      <c r="M230" s="132">
        <f>IF($F230&lt;=$C$16*12,'Mortgage Calculators (By Month)'!$C248,"-")</f>
        <v>0</v>
      </c>
      <c r="N230" s="132">
        <f>IF($F230&lt;=$C$16*12,'Mortgage Calculators (By Month)'!$D248,"-")</f>
        <v>0</v>
      </c>
      <c r="O230" s="132">
        <f>IF($F230&lt;=$C$16*12,'Mortgage Calculators (By Month)'!$E248,"-")</f>
        <v>8.3333333333333339</v>
      </c>
      <c r="P230" s="132">
        <f t="shared" si="110"/>
        <v>0</v>
      </c>
      <c r="Q230" s="132">
        <f t="shared" si="90"/>
        <v>3768.7496598099992</v>
      </c>
      <c r="R230" s="132">
        <f t="shared" si="91"/>
        <v>16896.398762705147</v>
      </c>
      <c r="S230" s="132">
        <f t="shared" si="92"/>
        <v>0</v>
      </c>
      <c r="T230" s="132">
        <f t="shared" si="84"/>
        <v>16896.398762705147</v>
      </c>
      <c r="U230" s="132">
        <f>IF($F230&lt;=$C$16*12,SUM(T$5:T230),"-")</f>
        <v>2426415.6906762868</v>
      </c>
      <c r="V230" s="132">
        <f>IF($F230&lt;=$C$16*12,G230-$C$10-'RE Calculations'!$C417-'Mortgage Calculators (By Month)'!$F248,"-")</f>
        <v>2410614.1240498554</v>
      </c>
      <c r="W230" s="29">
        <f t="shared" si="93"/>
        <v>1.505667377283366</v>
      </c>
      <c r="X230" s="31">
        <f t="shared" si="94"/>
        <v>7.9946940386727408E-2</v>
      </c>
      <c r="Y230" s="132">
        <f t="shared" si="95"/>
        <v>4837029.8147261422</v>
      </c>
      <c r="Z230" s="29">
        <f t="shared" si="96"/>
        <v>3.0212043986304677</v>
      </c>
      <c r="AA230" s="31">
        <f t="shared" si="97"/>
        <v>0.1604179326706443</v>
      </c>
      <c r="AD230" s="12">
        <f t="shared" si="98"/>
        <v>226</v>
      </c>
      <c r="AE230" s="132">
        <f t="shared" si="99"/>
        <v>4098103.1878059758</v>
      </c>
      <c r="AF230" s="132">
        <f>IF($AD230&lt;=$C$25*12,$AE230-$C$7+SUM('Mortgage Calculators (By Month)'!$K$23:$K248),"-")</f>
        <v>4098103.1878059758</v>
      </c>
      <c r="AG230" s="132">
        <f t="shared" si="100"/>
        <v>20656.815089181811</v>
      </c>
      <c r="AH230" s="132">
        <f>IF($AD230&lt;=$C$25*12,SUM(Inputs!$C$61:$C$78)*'Forecast (By Month)'!AG230,"-")</f>
        <v>2272.2496598099992</v>
      </c>
      <c r="AI230" s="132">
        <f>IF($AD230&lt;=$C$25*12,(SUMIF(Inputs!$C$61:$C$78,0,Inputs!$F$61:$F$78)/12)*(1+$C$34)^ROUNDDOWN((AD230-1)/12,0),"-")</f>
        <v>1488.1666666666667</v>
      </c>
      <c r="AJ230" s="132">
        <f t="shared" si="101"/>
        <v>3760.4163264766657</v>
      </c>
      <c r="AK230" s="132">
        <f>IF($AD230&lt;=$C$25*12,'Mortgage Calculators (By Month)'!$J248,"-")</f>
        <v>0</v>
      </c>
      <c r="AL230" s="132">
        <f>IF($AD230&lt;=$C$25*12,'Mortgage Calculators (By Month)'!$K248,"-")</f>
        <v>0</v>
      </c>
      <c r="AM230" s="132">
        <f>IF($AD230&lt;=$C$25*12,'Mortgage Calculators (By Month)'!$L248,"-")</f>
        <v>10</v>
      </c>
      <c r="AN230" s="132">
        <f t="shared" si="111"/>
        <v>0</v>
      </c>
      <c r="AO230" s="132">
        <f t="shared" si="102"/>
        <v>3770.4163264766657</v>
      </c>
      <c r="AP230" s="132">
        <f t="shared" si="103"/>
        <v>16896.398762705147</v>
      </c>
      <c r="AQ230" s="132">
        <f t="shared" si="104"/>
        <v>0</v>
      </c>
      <c r="AR230" s="132">
        <f t="shared" si="85"/>
        <v>16896.398762705147</v>
      </c>
      <c r="AS230" s="132">
        <f>IF($AD230&lt;=$C$25*12,SUM(AR$5:AR230),"-")</f>
        <v>2426405.6906762868</v>
      </c>
      <c r="AT230" s="132">
        <f>IF($AD230&lt;=$C$25*12,AE230-$C$10-'RE Calculations'!$C417-'Mortgage Calculators (By Month)'!$M248,"-")</f>
        <v>2410614.1240498554</v>
      </c>
      <c r="AU230" s="29">
        <f t="shared" si="105"/>
        <v>1.505667377283366</v>
      </c>
      <c r="AV230" s="31">
        <f t="shared" si="106"/>
        <v>7.9946940386727408E-2</v>
      </c>
      <c r="AW230" s="132">
        <f t="shared" si="107"/>
        <v>4837019.8147261422</v>
      </c>
      <c r="AX230" s="29">
        <f t="shared" si="108"/>
        <v>3.0211981526396134</v>
      </c>
      <c r="AY230" s="31">
        <f t="shared" si="109"/>
        <v>0.16041760102511224</v>
      </c>
    </row>
    <row r="231" spans="6:51" x14ac:dyDescent="0.35">
      <c r="F231" s="12">
        <f t="shared" si="86"/>
        <v>227</v>
      </c>
      <c r="G231" s="132">
        <f t="shared" si="87"/>
        <v>4114799.3674712614</v>
      </c>
      <c r="H231" s="132">
        <f>IF($F231&lt;=$C$16*12,$G231-$C$7+SUM('Mortgage Calculators (By Month)'!$D$23:$D249),"-")</f>
        <v>4114799.3674712614</v>
      </c>
      <c r="I231" s="132">
        <f t="shared" si="88"/>
        <v>20656.815089181811</v>
      </c>
      <c r="J231" s="132">
        <f>IF($F231&lt;=$C$16*12,SUM(Inputs!$C$61:$C$78)*'Forecast (By Month)'!I231,"-")</f>
        <v>2272.2496598099992</v>
      </c>
      <c r="K231" s="132">
        <f>IF($F231&lt;=$C$16*12,(SUMIF(Inputs!$C$61:$C$78,0,Inputs!$F$61:$F$78)/12)*(1+$C$34)^ROUNDDOWN((F231-1)/12,0),"-")</f>
        <v>1488.1666666666667</v>
      </c>
      <c r="L231" s="132">
        <f t="shared" si="89"/>
        <v>3760.4163264766657</v>
      </c>
      <c r="M231" s="132">
        <f>IF($F231&lt;=$C$16*12,'Mortgage Calculators (By Month)'!$C249,"-")</f>
        <v>0</v>
      </c>
      <c r="N231" s="132">
        <f>IF($F231&lt;=$C$16*12,'Mortgage Calculators (By Month)'!$D249,"-")</f>
        <v>0</v>
      </c>
      <c r="O231" s="132">
        <f>IF($F231&lt;=$C$16*12,'Mortgage Calculators (By Month)'!$E249,"-")</f>
        <v>8.3333333333333339</v>
      </c>
      <c r="P231" s="132">
        <f t="shared" si="110"/>
        <v>0</v>
      </c>
      <c r="Q231" s="132">
        <f t="shared" si="90"/>
        <v>3768.7496598099992</v>
      </c>
      <c r="R231" s="132">
        <f t="shared" si="91"/>
        <v>16896.398762705147</v>
      </c>
      <c r="S231" s="132">
        <f t="shared" si="92"/>
        <v>0</v>
      </c>
      <c r="T231" s="132">
        <f t="shared" si="84"/>
        <v>16896.398762705147</v>
      </c>
      <c r="U231" s="132">
        <f>IF($F231&lt;=$C$16*12,SUM(T$5:T231),"-")</f>
        <v>2443312.0894389921</v>
      </c>
      <c r="V231" s="132">
        <f>IF($F231&lt;=$C$16*12,G231-$C$10-'RE Calculations'!$C418-'Mortgage Calculators (By Month)'!$F249,"-")</f>
        <v>2426976.3801218355</v>
      </c>
      <c r="W231" s="29">
        <f t="shared" si="93"/>
        <v>1.5158872274620201</v>
      </c>
      <c r="X231" s="31">
        <f t="shared" si="94"/>
        <v>8.0135007619137624E-2</v>
      </c>
      <c r="Y231" s="132">
        <f t="shared" si="95"/>
        <v>4870288.4695608281</v>
      </c>
      <c r="Z231" s="29">
        <f t="shared" si="96"/>
        <v>3.0419777240239099</v>
      </c>
      <c r="AA231" s="31">
        <f t="shared" si="97"/>
        <v>0.16080939510258555</v>
      </c>
      <c r="AD231" s="12">
        <f t="shared" si="98"/>
        <v>227</v>
      </c>
      <c r="AE231" s="132">
        <f t="shared" si="99"/>
        <v>4114799.3674712614</v>
      </c>
      <c r="AF231" s="132">
        <f>IF($AD231&lt;=$C$25*12,$AE231-$C$7+SUM('Mortgage Calculators (By Month)'!$K$23:$K249),"-")</f>
        <v>4114799.3674712614</v>
      </c>
      <c r="AG231" s="132">
        <f t="shared" si="100"/>
        <v>20656.815089181811</v>
      </c>
      <c r="AH231" s="132">
        <f>IF($AD231&lt;=$C$25*12,SUM(Inputs!$C$61:$C$78)*'Forecast (By Month)'!AG231,"-")</f>
        <v>2272.2496598099992</v>
      </c>
      <c r="AI231" s="132">
        <f>IF($AD231&lt;=$C$25*12,(SUMIF(Inputs!$C$61:$C$78,0,Inputs!$F$61:$F$78)/12)*(1+$C$34)^ROUNDDOWN((AD231-1)/12,0),"-")</f>
        <v>1488.1666666666667</v>
      </c>
      <c r="AJ231" s="132">
        <f t="shared" si="101"/>
        <v>3760.4163264766657</v>
      </c>
      <c r="AK231" s="132">
        <f>IF($AD231&lt;=$C$25*12,'Mortgage Calculators (By Month)'!$J249,"-")</f>
        <v>0</v>
      </c>
      <c r="AL231" s="132">
        <f>IF($AD231&lt;=$C$25*12,'Mortgage Calculators (By Month)'!$K249,"-")</f>
        <v>0</v>
      </c>
      <c r="AM231" s="132">
        <f>IF($AD231&lt;=$C$25*12,'Mortgage Calculators (By Month)'!$L249,"-")</f>
        <v>10</v>
      </c>
      <c r="AN231" s="132">
        <f t="shared" si="111"/>
        <v>0</v>
      </c>
      <c r="AO231" s="132">
        <f t="shared" si="102"/>
        <v>3770.4163264766657</v>
      </c>
      <c r="AP231" s="132">
        <f t="shared" si="103"/>
        <v>16896.398762705147</v>
      </c>
      <c r="AQ231" s="132">
        <f t="shared" si="104"/>
        <v>0</v>
      </c>
      <c r="AR231" s="132">
        <f t="shared" si="85"/>
        <v>16896.398762705147</v>
      </c>
      <c r="AS231" s="132">
        <f>IF($AD231&lt;=$C$25*12,SUM(AR$5:AR231),"-")</f>
        <v>2443302.0894389921</v>
      </c>
      <c r="AT231" s="132">
        <f>IF($AD231&lt;=$C$25*12,AE231-$C$10-'RE Calculations'!$C418-'Mortgage Calculators (By Month)'!$M249,"-")</f>
        <v>2426976.3801218355</v>
      </c>
      <c r="AU231" s="29">
        <f t="shared" si="105"/>
        <v>1.5158872274620201</v>
      </c>
      <c r="AV231" s="31">
        <f t="shared" si="106"/>
        <v>8.0135007619137624E-2</v>
      </c>
      <c r="AW231" s="132">
        <f t="shared" si="107"/>
        <v>4870278.4695608281</v>
      </c>
      <c r="AX231" s="29">
        <f t="shared" si="108"/>
        <v>3.0419714780330551</v>
      </c>
      <c r="AY231" s="31">
        <f t="shared" si="109"/>
        <v>0.16080906491804695</v>
      </c>
    </row>
    <row r="232" spans="6:51" x14ac:dyDescent="0.35">
      <c r="F232" s="12">
        <f t="shared" si="86"/>
        <v>228</v>
      </c>
      <c r="G232" s="132">
        <f t="shared" si="87"/>
        <v>4131563.5694392174</v>
      </c>
      <c r="H232" s="132">
        <f>IF($F232&lt;=$C$16*12,$G232-$C$7+SUM('Mortgage Calculators (By Month)'!$D$23:$D250),"-")</f>
        <v>4131563.5694392174</v>
      </c>
      <c r="I232" s="132">
        <f t="shared" si="88"/>
        <v>20656.815089181811</v>
      </c>
      <c r="J232" s="132">
        <f>IF($F232&lt;=$C$16*12,SUM(Inputs!$C$61:$C$78)*'Forecast (By Month)'!I232,"-")</f>
        <v>2272.2496598099992</v>
      </c>
      <c r="K232" s="132">
        <f>IF($F232&lt;=$C$16*12,(SUMIF(Inputs!$C$61:$C$78,0,Inputs!$F$61:$F$78)/12)*(1+$C$34)^ROUNDDOWN((F232-1)/12,0),"-")</f>
        <v>1488.1666666666667</v>
      </c>
      <c r="L232" s="132">
        <f t="shared" si="89"/>
        <v>3760.4163264766657</v>
      </c>
      <c r="M232" s="132">
        <f>IF($F232&lt;=$C$16*12,'Mortgage Calculators (By Month)'!$C250,"-")</f>
        <v>0</v>
      </c>
      <c r="N232" s="132">
        <f>IF($F232&lt;=$C$16*12,'Mortgage Calculators (By Month)'!$D250,"-")</f>
        <v>0</v>
      </c>
      <c r="O232" s="132">
        <f>IF($F232&lt;=$C$16*12,'Mortgage Calculators (By Month)'!$E250,"-")</f>
        <v>8.3333333333333339</v>
      </c>
      <c r="P232" s="132">
        <f t="shared" si="110"/>
        <v>0</v>
      </c>
      <c r="Q232" s="132">
        <f t="shared" si="90"/>
        <v>3768.7496598099992</v>
      </c>
      <c r="R232" s="132">
        <f t="shared" si="91"/>
        <v>16896.398762705147</v>
      </c>
      <c r="S232" s="132">
        <f t="shared" si="92"/>
        <v>0</v>
      </c>
      <c r="T232" s="132">
        <f t="shared" si="84"/>
        <v>16896.398762705147</v>
      </c>
      <c r="U232" s="132">
        <f>IF($F232&lt;=$C$16*12,SUM(T$5:T232),"-")</f>
        <v>2460208.4882016974</v>
      </c>
      <c r="V232" s="132">
        <f>IF($F232&lt;=$C$16*12,G232-$C$10-'RE Calculations'!$C419-'Mortgage Calculators (By Month)'!$F250,"-")</f>
        <v>2443405.2980504325</v>
      </c>
      <c r="W232" s="29">
        <f t="shared" si="93"/>
        <v>1.5261487145753523</v>
      </c>
      <c r="X232" s="31">
        <f t="shared" si="94"/>
        <v>8.0323616556597491E-2</v>
      </c>
      <c r="Y232" s="132">
        <f t="shared" si="95"/>
        <v>4903613.7862521298</v>
      </c>
      <c r="Z232" s="29">
        <f t="shared" si="96"/>
        <v>3.0627926863520289</v>
      </c>
      <c r="AA232" s="31">
        <f t="shared" si="97"/>
        <v>0.16119961507115943</v>
      </c>
      <c r="AD232" s="12">
        <f t="shared" si="98"/>
        <v>228</v>
      </c>
      <c r="AE232" s="132">
        <f t="shared" si="99"/>
        <v>4131563.5694392174</v>
      </c>
      <c r="AF232" s="132">
        <f>IF($AD232&lt;=$C$25*12,$AE232-$C$7+SUM('Mortgage Calculators (By Month)'!$K$23:$K250),"-")</f>
        <v>4131563.5694392174</v>
      </c>
      <c r="AG232" s="132">
        <f t="shared" si="100"/>
        <v>20656.815089181811</v>
      </c>
      <c r="AH232" s="132">
        <f>IF($AD232&lt;=$C$25*12,SUM(Inputs!$C$61:$C$78)*'Forecast (By Month)'!AG232,"-")</f>
        <v>2272.2496598099992</v>
      </c>
      <c r="AI232" s="132">
        <f>IF($AD232&lt;=$C$25*12,(SUMIF(Inputs!$C$61:$C$78,0,Inputs!$F$61:$F$78)/12)*(1+$C$34)^ROUNDDOWN((AD232-1)/12,0),"-")</f>
        <v>1488.1666666666667</v>
      </c>
      <c r="AJ232" s="132">
        <f t="shared" si="101"/>
        <v>3760.4163264766657</v>
      </c>
      <c r="AK232" s="132">
        <f>IF($AD232&lt;=$C$25*12,'Mortgage Calculators (By Month)'!$J250,"-")</f>
        <v>0</v>
      </c>
      <c r="AL232" s="132">
        <f>IF($AD232&lt;=$C$25*12,'Mortgage Calculators (By Month)'!$K250,"-")</f>
        <v>0</v>
      </c>
      <c r="AM232" s="132">
        <f>IF($AD232&lt;=$C$25*12,'Mortgage Calculators (By Month)'!$L250,"-")</f>
        <v>10</v>
      </c>
      <c r="AN232" s="132">
        <f t="shared" si="111"/>
        <v>0</v>
      </c>
      <c r="AO232" s="132">
        <f t="shared" si="102"/>
        <v>3770.4163264766657</v>
      </c>
      <c r="AP232" s="132">
        <f t="shared" si="103"/>
        <v>16896.398762705147</v>
      </c>
      <c r="AQ232" s="132">
        <f t="shared" si="104"/>
        <v>0</v>
      </c>
      <c r="AR232" s="132">
        <f t="shared" si="85"/>
        <v>16896.398762705147</v>
      </c>
      <c r="AS232" s="132">
        <f>IF($AD232&lt;=$C$25*12,SUM(AR$5:AR232),"-")</f>
        <v>2460198.4882016974</v>
      </c>
      <c r="AT232" s="132">
        <f>IF($AD232&lt;=$C$25*12,AE232-$C$10-'RE Calculations'!$C419-'Mortgage Calculators (By Month)'!$M250,"-")</f>
        <v>2443405.2980504325</v>
      </c>
      <c r="AU232" s="29">
        <f t="shared" si="105"/>
        <v>1.5261487145753523</v>
      </c>
      <c r="AV232" s="31">
        <f t="shared" si="106"/>
        <v>8.0323616556597491E-2</v>
      </c>
      <c r="AW232" s="132">
        <f t="shared" si="107"/>
        <v>4903603.7862521298</v>
      </c>
      <c r="AX232" s="29">
        <f t="shared" si="108"/>
        <v>3.0627864403611742</v>
      </c>
      <c r="AY232" s="31">
        <f t="shared" si="109"/>
        <v>0.16119928633479863</v>
      </c>
    </row>
    <row r="233" spans="6:51" x14ac:dyDescent="0.35">
      <c r="F233" s="12">
        <f t="shared" si="86"/>
        <v>229</v>
      </c>
      <c r="G233" s="132">
        <f t="shared" si="87"/>
        <v>4148396.0708411247</v>
      </c>
      <c r="H233" s="132">
        <f>IF($F233&lt;=$C$16*12,$G233-$C$7+SUM('Mortgage Calculators (By Month)'!$D$23:$D251),"-")</f>
        <v>4148396.0708411247</v>
      </c>
      <c r="I233" s="132">
        <f t="shared" si="88"/>
        <v>21689.655843640903</v>
      </c>
      <c r="J233" s="132">
        <f>IF($F233&lt;=$C$16*12,SUM(Inputs!$C$61:$C$78)*'Forecast (By Month)'!I233,"-")</f>
        <v>2385.8621428004994</v>
      </c>
      <c r="K233" s="132">
        <f>IF($F233&lt;=$C$16*12,(SUMIF(Inputs!$C$61:$C$78,0,Inputs!$F$61:$F$78)/12)*(1+$C$34)^ROUNDDOWN((F233-1)/12,0),"-")</f>
        <v>1488.1666666666667</v>
      </c>
      <c r="L233" s="132">
        <f t="shared" si="89"/>
        <v>3874.028809467166</v>
      </c>
      <c r="M233" s="132">
        <f>IF($F233&lt;=$C$16*12,'Mortgage Calculators (By Month)'!$C251,"-")</f>
        <v>0</v>
      </c>
      <c r="N233" s="132">
        <f>IF($F233&lt;=$C$16*12,'Mortgage Calculators (By Month)'!$D251,"-")</f>
        <v>0</v>
      </c>
      <c r="O233" s="132">
        <f>IF($F233&lt;=$C$16*12,'Mortgage Calculators (By Month)'!$E251,"-")</f>
        <v>8.3333333333333339</v>
      </c>
      <c r="P233" s="132">
        <f t="shared" si="110"/>
        <v>0</v>
      </c>
      <c r="Q233" s="132">
        <f t="shared" si="90"/>
        <v>3882.3621428004994</v>
      </c>
      <c r="R233" s="132">
        <f t="shared" si="91"/>
        <v>17815.627034173736</v>
      </c>
      <c r="S233" s="132">
        <f t="shared" si="92"/>
        <v>0</v>
      </c>
      <c r="T233" s="132">
        <f t="shared" si="84"/>
        <v>17815.627034173736</v>
      </c>
      <c r="U233" s="132">
        <f>IF($F233&lt;=$C$16*12,SUM(T$5:T233),"-")</f>
        <v>2478024.1152358712</v>
      </c>
      <c r="V233" s="132">
        <f>IF($F233&lt;=$C$16*12,G233-$C$10-'RE Calculations'!$C420-'Mortgage Calculators (By Month)'!$F251,"-")</f>
        <v>2459901.1494243015</v>
      </c>
      <c r="W233" s="29">
        <f t="shared" si="93"/>
        <v>1.5364520082573883</v>
      </c>
      <c r="X233" s="31">
        <f t="shared" si="94"/>
        <v>8.0512768991653536E-2</v>
      </c>
      <c r="Y233" s="132">
        <f t="shared" si="95"/>
        <v>4937925.2646601722</v>
      </c>
      <c r="Z233" s="29">
        <f t="shared" si="96"/>
        <v>3.0842236043865419</v>
      </c>
      <c r="AA233" s="31">
        <f t="shared" si="97"/>
        <v>0.16161870415999346</v>
      </c>
      <c r="AD233" s="12">
        <f t="shared" si="98"/>
        <v>229</v>
      </c>
      <c r="AE233" s="132">
        <f t="shared" si="99"/>
        <v>4148396.0708411247</v>
      </c>
      <c r="AF233" s="132">
        <f>IF($AD233&lt;=$C$25*12,$AE233-$C$7+SUM('Mortgage Calculators (By Month)'!$K$23:$K251),"-")</f>
        <v>4148396.0708411247</v>
      </c>
      <c r="AG233" s="132">
        <f t="shared" si="100"/>
        <v>21689.655843640903</v>
      </c>
      <c r="AH233" s="132">
        <f>IF($AD233&lt;=$C$25*12,SUM(Inputs!$C$61:$C$78)*'Forecast (By Month)'!AG233,"-")</f>
        <v>2385.8621428004994</v>
      </c>
      <c r="AI233" s="132">
        <f>IF($AD233&lt;=$C$25*12,(SUMIF(Inputs!$C$61:$C$78,0,Inputs!$F$61:$F$78)/12)*(1+$C$34)^ROUNDDOWN((AD233-1)/12,0),"-")</f>
        <v>1488.1666666666667</v>
      </c>
      <c r="AJ233" s="132">
        <f t="shared" si="101"/>
        <v>3874.028809467166</v>
      </c>
      <c r="AK233" s="132">
        <f>IF($AD233&lt;=$C$25*12,'Mortgage Calculators (By Month)'!$J251,"-")</f>
        <v>0</v>
      </c>
      <c r="AL233" s="132">
        <f>IF($AD233&lt;=$C$25*12,'Mortgage Calculators (By Month)'!$K251,"-")</f>
        <v>0</v>
      </c>
      <c r="AM233" s="132">
        <f>IF($AD233&lt;=$C$25*12,'Mortgage Calculators (By Month)'!$L251,"-")</f>
        <v>10</v>
      </c>
      <c r="AN233" s="132">
        <f t="shared" si="111"/>
        <v>0</v>
      </c>
      <c r="AO233" s="132">
        <f t="shared" si="102"/>
        <v>3884.028809467166</v>
      </c>
      <c r="AP233" s="132">
        <f t="shared" si="103"/>
        <v>17815.627034173736</v>
      </c>
      <c r="AQ233" s="132">
        <f t="shared" si="104"/>
        <v>0</v>
      </c>
      <c r="AR233" s="132">
        <f t="shared" si="85"/>
        <v>17815.627034173736</v>
      </c>
      <c r="AS233" s="132">
        <f>IF($AD233&lt;=$C$25*12,SUM(AR$5:AR233),"-")</f>
        <v>2478014.1152358712</v>
      </c>
      <c r="AT233" s="132">
        <f>IF($AD233&lt;=$C$25*12,AE233-$C$10-'RE Calculations'!$C420-'Mortgage Calculators (By Month)'!$M251,"-")</f>
        <v>2459901.1494243015</v>
      </c>
      <c r="AU233" s="29">
        <f t="shared" si="105"/>
        <v>1.5364520082573883</v>
      </c>
      <c r="AV233" s="31">
        <f t="shared" si="106"/>
        <v>8.0512768991653536E-2</v>
      </c>
      <c r="AW233" s="132">
        <f t="shared" si="107"/>
        <v>4937915.2646601722</v>
      </c>
      <c r="AX233" s="29">
        <f t="shared" si="108"/>
        <v>3.0842173583956876</v>
      </c>
      <c r="AY233" s="31">
        <f t="shared" si="109"/>
        <v>0.16161837685916267</v>
      </c>
    </row>
    <row r="234" spans="6:51" x14ac:dyDescent="0.35">
      <c r="F234" s="12">
        <f t="shared" si="86"/>
        <v>230</v>
      </c>
      <c r="G234" s="132">
        <f t="shared" si="87"/>
        <v>4165297.1499373321</v>
      </c>
      <c r="H234" s="132">
        <f>IF($F234&lt;=$C$16*12,$G234-$C$7+SUM('Mortgage Calculators (By Month)'!$D$23:$D252),"-")</f>
        <v>4165297.1499373321</v>
      </c>
      <c r="I234" s="132">
        <f t="shared" si="88"/>
        <v>21689.655843640903</v>
      </c>
      <c r="J234" s="132">
        <f>IF($F234&lt;=$C$16*12,SUM(Inputs!$C$61:$C$78)*'Forecast (By Month)'!I234,"-")</f>
        <v>2385.8621428004994</v>
      </c>
      <c r="K234" s="132">
        <f>IF($F234&lt;=$C$16*12,(SUMIF(Inputs!$C$61:$C$78,0,Inputs!$F$61:$F$78)/12)*(1+$C$34)^ROUNDDOWN((F234-1)/12,0),"-")</f>
        <v>1488.1666666666667</v>
      </c>
      <c r="L234" s="132">
        <f t="shared" si="89"/>
        <v>3874.028809467166</v>
      </c>
      <c r="M234" s="132">
        <f>IF($F234&lt;=$C$16*12,'Mortgage Calculators (By Month)'!$C252,"-")</f>
        <v>0</v>
      </c>
      <c r="N234" s="132">
        <f>IF($F234&lt;=$C$16*12,'Mortgage Calculators (By Month)'!$D252,"-")</f>
        <v>0</v>
      </c>
      <c r="O234" s="132">
        <f>IF($F234&lt;=$C$16*12,'Mortgage Calculators (By Month)'!$E252,"-")</f>
        <v>8.3333333333333339</v>
      </c>
      <c r="P234" s="132">
        <f t="shared" si="110"/>
        <v>0</v>
      </c>
      <c r="Q234" s="132">
        <f t="shared" si="90"/>
        <v>3882.3621428004994</v>
      </c>
      <c r="R234" s="132">
        <f t="shared" si="91"/>
        <v>17815.627034173736</v>
      </c>
      <c r="S234" s="132">
        <f t="shared" si="92"/>
        <v>0</v>
      </c>
      <c r="T234" s="132">
        <f t="shared" si="84"/>
        <v>17815.627034173736</v>
      </c>
      <c r="U234" s="132">
        <f>IF($F234&lt;=$C$16*12,SUM(T$5:T234),"-")</f>
        <v>2495839.742270045</v>
      </c>
      <c r="V234" s="132">
        <f>IF($F234&lt;=$C$16*12,G234-$C$10-'RE Calculations'!$C421-'Mortgage Calculators (By Month)'!$F252,"-")</f>
        <v>2476464.2069385848</v>
      </c>
      <c r="W234" s="29">
        <f t="shared" si="93"/>
        <v>1.5467972788332645</v>
      </c>
      <c r="X234" s="31">
        <f t="shared" si="94"/>
        <v>8.0702466721735533E-2</v>
      </c>
      <c r="Y234" s="132">
        <f t="shared" si="95"/>
        <v>4972303.9492086302</v>
      </c>
      <c r="Z234" s="29">
        <f t="shared" si="96"/>
        <v>3.1056964993148961</v>
      </c>
      <c r="AA234" s="31">
        <f t="shared" si="97"/>
        <v>0.16203633909469023</v>
      </c>
      <c r="AD234" s="12">
        <f t="shared" si="98"/>
        <v>230</v>
      </c>
      <c r="AE234" s="132">
        <f t="shared" si="99"/>
        <v>4165297.1499373321</v>
      </c>
      <c r="AF234" s="132">
        <f>IF($AD234&lt;=$C$25*12,$AE234-$C$7+SUM('Mortgage Calculators (By Month)'!$K$23:$K252),"-")</f>
        <v>4165297.1499373321</v>
      </c>
      <c r="AG234" s="132">
        <f t="shared" si="100"/>
        <v>21689.655843640903</v>
      </c>
      <c r="AH234" s="132">
        <f>IF($AD234&lt;=$C$25*12,SUM(Inputs!$C$61:$C$78)*'Forecast (By Month)'!AG234,"-")</f>
        <v>2385.8621428004994</v>
      </c>
      <c r="AI234" s="132">
        <f>IF($AD234&lt;=$C$25*12,(SUMIF(Inputs!$C$61:$C$78,0,Inputs!$F$61:$F$78)/12)*(1+$C$34)^ROUNDDOWN((AD234-1)/12,0),"-")</f>
        <v>1488.1666666666667</v>
      </c>
      <c r="AJ234" s="132">
        <f t="shared" si="101"/>
        <v>3874.028809467166</v>
      </c>
      <c r="AK234" s="132">
        <f>IF($AD234&lt;=$C$25*12,'Mortgage Calculators (By Month)'!$J252,"-")</f>
        <v>0</v>
      </c>
      <c r="AL234" s="132">
        <f>IF($AD234&lt;=$C$25*12,'Mortgage Calculators (By Month)'!$K252,"-")</f>
        <v>0</v>
      </c>
      <c r="AM234" s="132">
        <f>IF($AD234&lt;=$C$25*12,'Mortgage Calculators (By Month)'!$L252,"-")</f>
        <v>10</v>
      </c>
      <c r="AN234" s="132">
        <f t="shared" si="111"/>
        <v>0</v>
      </c>
      <c r="AO234" s="132">
        <f t="shared" si="102"/>
        <v>3884.028809467166</v>
      </c>
      <c r="AP234" s="132">
        <f t="shared" si="103"/>
        <v>17815.627034173736</v>
      </c>
      <c r="AQ234" s="132">
        <f t="shared" si="104"/>
        <v>0</v>
      </c>
      <c r="AR234" s="132">
        <f t="shared" si="85"/>
        <v>17815.627034173736</v>
      </c>
      <c r="AS234" s="132">
        <f>IF($AD234&lt;=$C$25*12,SUM(AR$5:AR234),"-")</f>
        <v>2495829.742270045</v>
      </c>
      <c r="AT234" s="132">
        <f>IF($AD234&lt;=$C$25*12,AE234-$C$10-'RE Calculations'!$C421-'Mortgage Calculators (By Month)'!$M252,"-")</f>
        <v>2476464.2069385848</v>
      </c>
      <c r="AU234" s="29">
        <f t="shared" si="105"/>
        <v>1.5467972788332645</v>
      </c>
      <c r="AV234" s="31">
        <f t="shared" si="106"/>
        <v>8.0702466721735533E-2</v>
      </c>
      <c r="AW234" s="132">
        <f t="shared" si="107"/>
        <v>4972293.9492086302</v>
      </c>
      <c r="AX234" s="29">
        <f t="shared" si="108"/>
        <v>3.1056902533240414</v>
      </c>
      <c r="AY234" s="31">
        <f t="shared" si="109"/>
        <v>0.1620360132169065</v>
      </c>
    </row>
    <row r="235" spans="6:51" x14ac:dyDescent="0.35">
      <c r="F235" s="12">
        <f t="shared" si="86"/>
        <v>231</v>
      </c>
      <c r="G235" s="132">
        <f t="shared" si="87"/>
        <v>4182267.0861218544</v>
      </c>
      <c r="H235" s="132">
        <f>IF($F235&lt;=$C$16*12,$G235-$C$7+SUM('Mortgage Calculators (By Month)'!$D$23:$D253),"-")</f>
        <v>4182267.0861218544</v>
      </c>
      <c r="I235" s="132">
        <f t="shared" si="88"/>
        <v>21689.655843640903</v>
      </c>
      <c r="J235" s="132">
        <f>IF($F235&lt;=$C$16*12,SUM(Inputs!$C$61:$C$78)*'Forecast (By Month)'!I235,"-")</f>
        <v>2385.8621428004994</v>
      </c>
      <c r="K235" s="132">
        <f>IF($F235&lt;=$C$16*12,(SUMIF(Inputs!$C$61:$C$78,0,Inputs!$F$61:$F$78)/12)*(1+$C$34)^ROUNDDOWN((F235-1)/12,0),"-")</f>
        <v>1488.1666666666667</v>
      </c>
      <c r="L235" s="132">
        <f t="shared" si="89"/>
        <v>3874.028809467166</v>
      </c>
      <c r="M235" s="132">
        <f>IF($F235&lt;=$C$16*12,'Mortgage Calculators (By Month)'!$C253,"-")</f>
        <v>0</v>
      </c>
      <c r="N235" s="132">
        <f>IF($F235&lt;=$C$16*12,'Mortgage Calculators (By Month)'!$D253,"-")</f>
        <v>0</v>
      </c>
      <c r="O235" s="132">
        <f>IF($F235&lt;=$C$16*12,'Mortgage Calculators (By Month)'!$E253,"-")</f>
        <v>8.3333333333333339</v>
      </c>
      <c r="P235" s="132">
        <f t="shared" si="110"/>
        <v>0</v>
      </c>
      <c r="Q235" s="132">
        <f t="shared" si="90"/>
        <v>3882.3621428004994</v>
      </c>
      <c r="R235" s="132">
        <f t="shared" si="91"/>
        <v>17815.627034173736</v>
      </c>
      <c r="S235" s="132">
        <f t="shared" si="92"/>
        <v>0</v>
      </c>
      <c r="T235" s="132">
        <f t="shared" si="84"/>
        <v>17815.627034173736</v>
      </c>
      <c r="U235" s="132">
        <f>IF($F235&lt;=$C$16*12,SUM(T$5:T235),"-")</f>
        <v>2513655.3693042188</v>
      </c>
      <c r="V235" s="132">
        <f>IF($F235&lt;=$C$16*12,G235-$C$10-'RE Calculations'!$C422-'Mortgage Calculators (By Month)'!$F253,"-")</f>
        <v>2493094.7443994163</v>
      </c>
      <c r="W235" s="29">
        <f t="shared" si="93"/>
        <v>1.5571846973220416</v>
      </c>
      <c r="X235" s="31">
        <f t="shared" si="94"/>
        <v>8.0892711549196958E-2</v>
      </c>
      <c r="Y235" s="132">
        <f t="shared" si="95"/>
        <v>5006750.1137036346</v>
      </c>
      <c r="Z235" s="29">
        <f t="shared" si="96"/>
        <v>3.1272115421561502</v>
      </c>
      <c r="AA235" s="31">
        <f t="shared" si="97"/>
        <v>0.16245254764447534</v>
      </c>
      <c r="AD235" s="12">
        <f t="shared" si="98"/>
        <v>231</v>
      </c>
      <c r="AE235" s="132">
        <f t="shared" si="99"/>
        <v>4182267.0861218544</v>
      </c>
      <c r="AF235" s="132">
        <f>IF($AD235&lt;=$C$25*12,$AE235-$C$7+SUM('Mortgage Calculators (By Month)'!$K$23:$K253),"-")</f>
        <v>4182267.0861218544</v>
      </c>
      <c r="AG235" s="132">
        <f t="shared" si="100"/>
        <v>21689.655843640903</v>
      </c>
      <c r="AH235" s="132">
        <f>IF($AD235&lt;=$C$25*12,SUM(Inputs!$C$61:$C$78)*'Forecast (By Month)'!AG235,"-")</f>
        <v>2385.8621428004994</v>
      </c>
      <c r="AI235" s="132">
        <f>IF($AD235&lt;=$C$25*12,(SUMIF(Inputs!$C$61:$C$78,0,Inputs!$F$61:$F$78)/12)*(1+$C$34)^ROUNDDOWN((AD235-1)/12,0),"-")</f>
        <v>1488.1666666666667</v>
      </c>
      <c r="AJ235" s="132">
        <f t="shared" si="101"/>
        <v>3874.028809467166</v>
      </c>
      <c r="AK235" s="132">
        <f>IF($AD235&lt;=$C$25*12,'Mortgage Calculators (By Month)'!$J253,"-")</f>
        <v>0</v>
      </c>
      <c r="AL235" s="132">
        <f>IF($AD235&lt;=$C$25*12,'Mortgage Calculators (By Month)'!$K253,"-")</f>
        <v>0</v>
      </c>
      <c r="AM235" s="132">
        <f>IF($AD235&lt;=$C$25*12,'Mortgage Calculators (By Month)'!$L253,"-")</f>
        <v>10</v>
      </c>
      <c r="AN235" s="132">
        <f t="shared" si="111"/>
        <v>0</v>
      </c>
      <c r="AO235" s="132">
        <f t="shared" si="102"/>
        <v>3884.028809467166</v>
      </c>
      <c r="AP235" s="132">
        <f t="shared" si="103"/>
        <v>17815.627034173736</v>
      </c>
      <c r="AQ235" s="132">
        <f t="shared" si="104"/>
        <v>0</v>
      </c>
      <c r="AR235" s="132">
        <f t="shared" si="85"/>
        <v>17815.627034173736</v>
      </c>
      <c r="AS235" s="132">
        <f>IF($AD235&lt;=$C$25*12,SUM(AR$5:AR235),"-")</f>
        <v>2513645.3693042188</v>
      </c>
      <c r="AT235" s="132">
        <f>IF($AD235&lt;=$C$25*12,AE235-$C$10-'RE Calculations'!$C422-'Mortgage Calculators (By Month)'!$M253,"-")</f>
        <v>2493094.7443994163</v>
      </c>
      <c r="AU235" s="29">
        <f t="shared" si="105"/>
        <v>1.5571846973220416</v>
      </c>
      <c r="AV235" s="31">
        <f t="shared" si="106"/>
        <v>8.0892711549196958E-2</v>
      </c>
      <c r="AW235" s="132">
        <f t="shared" si="107"/>
        <v>5006740.1137036346</v>
      </c>
      <c r="AX235" s="29">
        <f t="shared" si="108"/>
        <v>3.1272052961652954</v>
      </c>
      <c r="AY235" s="31">
        <f t="shared" si="109"/>
        <v>0.16245222317741795</v>
      </c>
    </row>
    <row r="236" spans="6:51" x14ac:dyDescent="0.35">
      <c r="F236" s="12">
        <f t="shared" si="86"/>
        <v>232</v>
      </c>
      <c r="G236" s="132">
        <f t="shared" si="87"/>
        <v>4199306.1599269928</v>
      </c>
      <c r="H236" s="132">
        <f>IF($F236&lt;=$C$16*12,$G236-$C$7+SUM('Mortgage Calculators (By Month)'!$D$23:$D254),"-")</f>
        <v>4199306.1599269928</v>
      </c>
      <c r="I236" s="132">
        <f t="shared" si="88"/>
        <v>21689.655843640903</v>
      </c>
      <c r="J236" s="132">
        <f>IF($F236&lt;=$C$16*12,SUM(Inputs!$C$61:$C$78)*'Forecast (By Month)'!I236,"-")</f>
        <v>2385.8621428004994</v>
      </c>
      <c r="K236" s="132">
        <f>IF($F236&lt;=$C$16*12,(SUMIF(Inputs!$C$61:$C$78,0,Inputs!$F$61:$F$78)/12)*(1+$C$34)^ROUNDDOWN((F236-1)/12,0),"-")</f>
        <v>1488.1666666666667</v>
      </c>
      <c r="L236" s="132">
        <f t="shared" si="89"/>
        <v>3874.028809467166</v>
      </c>
      <c r="M236" s="132">
        <f>IF($F236&lt;=$C$16*12,'Mortgage Calculators (By Month)'!$C254,"-")</f>
        <v>0</v>
      </c>
      <c r="N236" s="132">
        <f>IF($F236&lt;=$C$16*12,'Mortgage Calculators (By Month)'!$D254,"-")</f>
        <v>0</v>
      </c>
      <c r="O236" s="132">
        <f>IF($F236&lt;=$C$16*12,'Mortgage Calculators (By Month)'!$E254,"-")</f>
        <v>8.3333333333333339</v>
      </c>
      <c r="P236" s="132">
        <f t="shared" si="110"/>
        <v>0</v>
      </c>
      <c r="Q236" s="132">
        <f t="shared" si="90"/>
        <v>3882.3621428004994</v>
      </c>
      <c r="R236" s="132">
        <f t="shared" si="91"/>
        <v>17815.627034173736</v>
      </c>
      <c r="S236" s="132">
        <f t="shared" si="92"/>
        <v>0</v>
      </c>
      <c r="T236" s="132">
        <f t="shared" si="84"/>
        <v>17815.627034173736</v>
      </c>
      <c r="U236" s="132">
        <f>IF($F236&lt;=$C$16*12,SUM(T$5:T236),"-")</f>
        <v>2531470.9963383926</v>
      </c>
      <c r="V236" s="132">
        <f>IF($F236&lt;=$C$16*12,G236-$C$10-'RE Calculations'!$C423-'Mortgage Calculators (By Month)'!$F254,"-")</f>
        <v>2509793.036728452</v>
      </c>
      <c r="W236" s="29">
        <f t="shared" si="93"/>
        <v>1.5676144354395347</v>
      </c>
      <c r="X236" s="31">
        <f t="shared" si="94"/>
        <v>8.1083505281355245E-2</v>
      </c>
      <c r="Y236" s="132">
        <f t="shared" si="95"/>
        <v>5041264.0330668446</v>
      </c>
      <c r="Z236" s="29">
        <f t="shared" si="96"/>
        <v>3.1487689046261211</v>
      </c>
      <c r="AA236" s="31">
        <f t="shared" si="97"/>
        <v>0.16286735713583386</v>
      </c>
      <c r="AD236" s="12">
        <f t="shared" si="98"/>
        <v>232</v>
      </c>
      <c r="AE236" s="132">
        <f t="shared" si="99"/>
        <v>4199306.1599269928</v>
      </c>
      <c r="AF236" s="132">
        <f>IF($AD236&lt;=$C$25*12,$AE236-$C$7+SUM('Mortgage Calculators (By Month)'!$K$23:$K254),"-")</f>
        <v>4199306.1599269928</v>
      </c>
      <c r="AG236" s="132">
        <f t="shared" si="100"/>
        <v>21689.655843640903</v>
      </c>
      <c r="AH236" s="132">
        <f>IF($AD236&lt;=$C$25*12,SUM(Inputs!$C$61:$C$78)*'Forecast (By Month)'!AG236,"-")</f>
        <v>2385.8621428004994</v>
      </c>
      <c r="AI236" s="132">
        <f>IF($AD236&lt;=$C$25*12,(SUMIF(Inputs!$C$61:$C$78,0,Inputs!$F$61:$F$78)/12)*(1+$C$34)^ROUNDDOWN((AD236-1)/12,0),"-")</f>
        <v>1488.1666666666667</v>
      </c>
      <c r="AJ236" s="132">
        <f t="shared" si="101"/>
        <v>3874.028809467166</v>
      </c>
      <c r="AK236" s="132">
        <f>IF($AD236&lt;=$C$25*12,'Mortgage Calculators (By Month)'!$J254,"-")</f>
        <v>0</v>
      </c>
      <c r="AL236" s="132">
        <f>IF($AD236&lt;=$C$25*12,'Mortgage Calculators (By Month)'!$K254,"-")</f>
        <v>0</v>
      </c>
      <c r="AM236" s="132">
        <f>IF($AD236&lt;=$C$25*12,'Mortgage Calculators (By Month)'!$L254,"-")</f>
        <v>10</v>
      </c>
      <c r="AN236" s="132">
        <f t="shared" si="111"/>
        <v>0</v>
      </c>
      <c r="AO236" s="132">
        <f t="shared" si="102"/>
        <v>3884.028809467166</v>
      </c>
      <c r="AP236" s="132">
        <f t="shared" si="103"/>
        <v>17815.627034173736</v>
      </c>
      <c r="AQ236" s="132">
        <f t="shared" si="104"/>
        <v>0</v>
      </c>
      <c r="AR236" s="132">
        <f t="shared" si="85"/>
        <v>17815.627034173736</v>
      </c>
      <c r="AS236" s="132">
        <f>IF($AD236&lt;=$C$25*12,SUM(AR$5:AR236),"-")</f>
        <v>2531460.9963383926</v>
      </c>
      <c r="AT236" s="132">
        <f>IF($AD236&lt;=$C$25*12,AE236-$C$10-'RE Calculations'!$C423-'Mortgage Calculators (By Month)'!$M254,"-")</f>
        <v>2509793.036728452</v>
      </c>
      <c r="AU236" s="29">
        <f t="shared" si="105"/>
        <v>1.5676144354395347</v>
      </c>
      <c r="AV236" s="31">
        <f t="shared" si="106"/>
        <v>8.1083505281355245E-2</v>
      </c>
      <c r="AW236" s="132">
        <f t="shared" si="107"/>
        <v>5041254.0330668446</v>
      </c>
      <c r="AX236" s="29">
        <f t="shared" si="108"/>
        <v>3.1487626586352664</v>
      </c>
      <c r="AY236" s="31">
        <f t="shared" si="109"/>
        <v>0.16286703406734138</v>
      </c>
    </row>
    <row r="237" spans="6:51" x14ac:dyDescent="0.35">
      <c r="F237" s="12">
        <f t="shared" si="86"/>
        <v>233</v>
      </c>
      <c r="G237" s="132">
        <f t="shared" si="87"/>
        <v>4216414.6530279722</v>
      </c>
      <c r="H237" s="132">
        <f>IF($F237&lt;=$C$16*12,$G237-$C$7+SUM('Mortgage Calculators (By Month)'!$D$23:$D255),"-")</f>
        <v>4216414.6530279722</v>
      </c>
      <c r="I237" s="132">
        <f t="shared" si="88"/>
        <v>21689.655843640903</v>
      </c>
      <c r="J237" s="132">
        <f>IF($F237&lt;=$C$16*12,SUM(Inputs!$C$61:$C$78)*'Forecast (By Month)'!I237,"-")</f>
        <v>2385.8621428004994</v>
      </c>
      <c r="K237" s="132">
        <f>IF($F237&lt;=$C$16*12,(SUMIF(Inputs!$C$61:$C$78,0,Inputs!$F$61:$F$78)/12)*(1+$C$34)^ROUNDDOWN((F237-1)/12,0),"-")</f>
        <v>1488.1666666666667</v>
      </c>
      <c r="L237" s="132">
        <f t="shared" si="89"/>
        <v>3874.028809467166</v>
      </c>
      <c r="M237" s="132">
        <f>IF($F237&lt;=$C$16*12,'Mortgage Calculators (By Month)'!$C255,"-")</f>
        <v>0</v>
      </c>
      <c r="N237" s="132">
        <f>IF($F237&lt;=$C$16*12,'Mortgage Calculators (By Month)'!$D255,"-")</f>
        <v>0</v>
      </c>
      <c r="O237" s="132">
        <f>IF($F237&lt;=$C$16*12,'Mortgage Calculators (By Month)'!$E255,"-")</f>
        <v>8.3333333333333339</v>
      </c>
      <c r="P237" s="132">
        <f t="shared" si="110"/>
        <v>0</v>
      </c>
      <c r="Q237" s="132">
        <f t="shared" si="90"/>
        <v>3882.3621428004994</v>
      </c>
      <c r="R237" s="132">
        <f t="shared" si="91"/>
        <v>17815.627034173736</v>
      </c>
      <c r="S237" s="132">
        <f t="shared" si="92"/>
        <v>0</v>
      </c>
      <c r="T237" s="132">
        <f t="shared" si="84"/>
        <v>17815.627034173736</v>
      </c>
      <c r="U237" s="132">
        <f>IF($F237&lt;=$C$16*12,SUM(T$5:T237),"-")</f>
        <v>2549286.6233725664</v>
      </c>
      <c r="V237" s="132">
        <f>IF($F237&lt;=$C$16*12,G237-$C$10-'RE Calculations'!$C424-'Mortgage Calculators (By Month)'!$F255,"-")</f>
        <v>2526559.359967412</v>
      </c>
      <c r="W237" s="29">
        <f t="shared" si="93"/>
        <v>1.5780866656011496</v>
      </c>
      <c r="X237" s="31">
        <f t="shared" si="94"/>
        <v>8.1274849730531312E-2</v>
      </c>
      <c r="Y237" s="132">
        <f t="shared" si="95"/>
        <v>5075845.9833399784</v>
      </c>
      <c r="Z237" s="29">
        <f t="shared" si="96"/>
        <v>3.1703687591402132</v>
      </c>
      <c r="AA237" s="31">
        <f t="shared" si="97"/>
        <v>0.1632807944621569</v>
      </c>
      <c r="AD237" s="12">
        <f t="shared" si="98"/>
        <v>233</v>
      </c>
      <c r="AE237" s="132">
        <f t="shared" si="99"/>
        <v>4216414.6530279722</v>
      </c>
      <c r="AF237" s="132">
        <f>IF($AD237&lt;=$C$25*12,$AE237-$C$7+SUM('Mortgage Calculators (By Month)'!$K$23:$K255),"-")</f>
        <v>4216414.6530279722</v>
      </c>
      <c r="AG237" s="132">
        <f t="shared" si="100"/>
        <v>21689.655843640903</v>
      </c>
      <c r="AH237" s="132">
        <f>IF($AD237&lt;=$C$25*12,SUM(Inputs!$C$61:$C$78)*'Forecast (By Month)'!AG237,"-")</f>
        <v>2385.8621428004994</v>
      </c>
      <c r="AI237" s="132">
        <f>IF($AD237&lt;=$C$25*12,(SUMIF(Inputs!$C$61:$C$78,0,Inputs!$F$61:$F$78)/12)*(1+$C$34)^ROUNDDOWN((AD237-1)/12,0),"-")</f>
        <v>1488.1666666666667</v>
      </c>
      <c r="AJ237" s="132">
        <f t="shared" si="101"/>
        <v>3874.028809467166</v>
      </c>
      <c r="AK237" s="132">
        <f>IF($AD237&lt;=$C$25*12,'Mortgage Calculators (By Month)'!$J255,"-")</f>
        <v>0</v>
      </c>
      <c r="AL237" s="132">
        <f>IF($AD237&lt;=$C$25*12,'Mortgage Calculators (By Month)'!$K255,"-")</f>
        <v>0</v>
      </c>
      <c r="AM237" s="132">
        <f>IF($AD237&lt;=$C$25*12,'Mortgage Calculators (By Month)'!$L255,"-")</f>
        <v>10</v>
      </c>
      <c r="AN237" s="132">
        <f t="shared" si="111"/>
        <v>0</v>
      </c>
      <c r="AO237" s="132">
        <f t="shared" si="102"/>
        <v>3884.028809467166</v>
      </c>
      <c r="AP237" s="132">
        <f t="shared" si="103"/>
        <v>17815.627034173736</v>
      </c>
      <c r="AQ237" s="132">
        <f t="shared" si="104"/>
        <v>0</v>
      </c>
      <c r="AR237" s="132">
        <f t="shared" si="85"/>
        <v>17815.627034173736</v>
      </c>
      <c r="AS237" s="132">
        <f>IF($AD237&lt;=$C$25*12,SUM(AR$5:AR237),"-")</f>
        <v>2549276.6233725664</v>
      </c>
      <c r="AT237" s="132">
        <f>IF($AD237&lt;=$C$25*12,AE237-$C$10-'RE Calculations'!$C424-'Mortgage Calculators (By Month)'!$M255,"-")</f>
        <v>2526559.359967412</v>
      </c>
      <c r="AU237" s="29">
        <f t="shared" si="105"/>
        <v>1.5780866656011496</v>
      </c>
      <c r="AV237" s="31">
        <f t="shared" si="106"/>
        <v>8.1274849730531312E-2</v>
      </c>
      <c r="AW237" s="132">
        <f t="shared" si="107"/>
        <v>5075835.9833399784</v>
      </c>
      <c r="AX237" s="29">
        <f t="shared" si="108"/>
        <v>3.1703625131493589</v>
      </c>
      <c r="AY237" s="31">
        <f t="shared" si="109"/>
        <v>0.16328047278022448</v>
      </c>
    </row>
    <row r="238" spans="6:51" x14ac:dyDescent="0.35">
      <c r="F238" s="12">
        <f t="shared" si="86"/>
        <v>234</v>
      </c>
      <c r="G238" s="132">
        <f t="shared" si="87"/>
        <v>4233592.848247597</v>
      </c>
      <c r="H238" s="132">
        <f>IF($F238&lt;=$C$16*12,$G238-$C$7+SUM('Mortgage Calculators (By Month)'!$D$23:$D256),"-")</f>
        <v>4233592.848247597</v>
      </c>
      <c r="I238" s="132">
        <f t="shared" si="88"/>
        <v>21689.655843640903</v>
      </c>
      <c r="J238" s="132">
        <f>IF($F238&lt;=$C$16*12,SUM(Inputs!$C$61:$C$78)*'Forecast (By Month)'!I238,"-")</f>
        <v>2385.8621428004994</v>
      </c>
      <c r="K238" s="132">
        <f>IF($F238&lt;=$C$16*12,(SUMIF(Inputs!$C$61:$C$78,0,Inputs!$F$61:$F$78)/12)*(1+$C$34)^ROUNDDOWN((F238-1)/12,0),"-")</f>
        <v>1488.1666666666667</v>
      </c>
      <c r="L238" s="132">
        <f t="shared" si="89"/>
        <v>3874.028809467166</v>
      </c>
      <c r="M238" s="132">
        <f>IF($F238&lt;=$C$16*12,'Mortgage Calculators (By Month)'!$C256,"-")</f>
        <v>0</v>
      </c>
      <c r="N238" s="132">
        <f>IF($F238&lt;=$C$16*12,'Mortgage Calculators (By Month)'!$D256,"-")</f>
        <v>0</v>
      </c>
      <c r="O238" s="132">
        <f>IF($F238&lt;=$C$16*12,'Mortgage Calculators (By Month)'!$E256,"-")</f>
        <v>8.3333333333333339</v>
      </c>
      <c r="P238" s="132">
        <f t="shared" si="110"/>
        <v>0</v>
      </c>
      <c r="Q238" s="132">
        <f t="shared" si="90"/>
        <v>3882.3621428004994</v>
      </c>
      <c r="R238" s="132">
        <f t="shared" si="91"/>
        <v>17815.627034173736</v>
      </c>
      <c r="S238" s="132">
        <f t="shared" si="92"/>
        <v>0</v>
      </c>
      <c r="T238" s="132">
        <f t="shared" si="84"/>
        <v>17815.627034173736</v>
      </c>
      <c r="U238" s="132">
        <f>IF($F238&lt;=$C$16*12,SUM(T$5:T238),"-")</f>
        <v>2567102.2504067402</v>
      </c>
      <c r="V238" s="132">
        <f>IF($F238&lt;=$C$16*12,G238-$C$10-'RE Calculations'!$C425-'Mortgage Calculators (By Month)'!$F256,"-")</f>
        <v>2543393.9912826442</v>
      </c>
      <c r="W238" s="29">
        <f t="shared" si="93"/>
        <v>1.5886015609247341</v>
      </c>
      <c r="X238" s="31">
        <f t="shared" si="94"/>
        <v>8.1466746714088933E-2</v>
      </c>
      <c r="Y238" s="132">
        <f t="shared" si="95"/>
        <v>5110496.241689384</v>
      </c>
      <c r="Z238" s="29">
        <f t="shared" si="96"/>
        <v>3.1920112788162749</v>
      </c>
      <c r="AA238" s="31">
        <f t="shared" si="97"/>
        <v>0.16369288609314231</v>
      </c>
      <c r="AD238" s="12">
        <f t="shared" si="98"/>
        <v>234</v>
      </c>
      <c r="AE238" s="132">
        <f t="shared" si="99"/>
        <v>4233592.848247597</v>
      </c>
      <c r="AF238" s="132">
        <f>IF($AD238&lt;=$C$25*12,$AE238-$C$7+SUM('Mortgage Calculators (By Month)'!$K$23:$K256),"-")</f>
        <v>4233592.848247597</v>
      </c>
      <c r="AG238" s="132">
        <f t="shared" si="100"/>
        <v>21689.655843640903</v>
      </c>
      <c r="AH238" s="132">
        <f>IF($AD238&lt;=$C$25*12,SUM(Inputs!$C$61:$C$78)*'Forecast (By Month)'!AG238,"-")</f>
        <v>2385.8621428004994</v>
      </c>
      <c r="AI238" s="132">
        <f>IF($AD238&lt;=$C$25*12,(SUMIF(Inputs!$C$61:$C$78,0,Inputs!$F$61:$F$78)/12)*(1+$C$34)^ROUNDDOWN((AD238-1)/12,0),"-")</f>
        <v>1488.1666666666667</v>
      </c>
      <c r="AJ238" s="132">
        <f t="shared" si="101"/>
        <v>3874.028809467166</v>
      </c>
      <c r="AK238" s="132">
        <f>IF($AD238&lt;=$C$25*12,'Mortgage Calculators (By Month)'!$J256,"-")</f>
        <v>0</v>
      </c>
      <c r="AL238" s="132">
        <f>IF($AD238&lt;=$C$25*12,'Mortgage Calculators (By Month)'!$K256,"-")</f>
        <v>0</v>
      </c>
      <c r="AM238" s="132">
        <f>IF($AD238&lt;=$C$25*12,'Mortgage Calculators (By Month)'!$L256,"-")</f>
        <v>10</v>
      </c>
      <c r="AN238" s="132">
        <f t="shared" si="111"/>
        <v>0</v>
      </c>
      <c r="AO238" s="132">
        <f t="shared" si="102"/>
        <v>3884.028809467166</v>
      </c>
      <c r="AP238" s="132">
        <f t="shared" si="103"/>
        <v>17815.627034173736</v>
      </c>
      <c r="AQ238" s="132">
        <f t="shared" si="104"/>
        <v>0</v>
      </c>
      <c r="AR238" s="132">
        <f t="shared" si="85"/>
        <v>17815.627034173736</v>
      </c>
      <c r="AS238" s="132">
        <f>IF($AD238&lt;=$C$25*12,SUM(AR$5:AR238),"-")</f>
        <v>2567092.2504067402</v>
      </c>
      <c r="AT238" s="132">
        <f>IF($AD238&lt;=$C$25*12,AE238-$C$10-'RE Calculations'!$C425-'Mortgage Calculators (By Month)'!$M256,"-")</f>
        <v>2543393.9912826442</v>
      </c>
      <c r="AU238" s="29">
        <f t="shared" si="105"/>
        <v>1.5886015609247341</v>
      </c>
      <c r="AV238" s="31">
        <f t="shared" si="106"/>
        <v>8.1466746714088933E-2</v>
      </c>
      <c r="AW238" s="132">
        <f t="shared" si="107"/>
        <v>5110486.241689384</v>
      </c>
      <c r="AX238" s="29">
        <f t="shared" si="108"/>
        <v>3.1920050328254201</v>
      </c>
      <c r="AY238" s="31">
        <f t="shared" si="109"/>
        <v>0.16369256578591898</v>
      </c>
    </row>
    <row r="239" spans="6:51" x14ac:dyDescent="0.35">
      <c r="F239" s="12">
        <f t="shared" si="86"/>
        <v>235</v>
      </c>
      <c r="G239" s="132">
        <f t="shared" si="87"/>
        <v>4250841.0295609264</v>
      </c>
      <c r="H239" s="132">
        <f>IF($F239&lt;=$C$16*12,$G239-$C$7+SUM('Mortgage Calculators (By Month)'!$D$23:$D257),"-")</f>
        <v>4250841.0295609264</v>
      </c>
      <c r="I239" s="132">
        <f t="shared" si="88"/>
        <v>21689.655843640903</v>
      </c>
      <c r="J239" s="132">
        <f>IF($F239&lt;=$C$16*12,SUM(Inputs!$C$61:$C$78)*'Forecast (By Month)'!I239,"-")</f>
        <v>2385.8621428004994</v>
      </c>
      <c r="K239" s="132">
        <f>IF($F239&lt;=$C$16*12,(SUMIF(Inputs!$C$61:$C$78,0,Inputs!$F$61:$F$78)/12)*(1+$C$34)^ROUNDDOWN((F239-1)/12,0),"-")</f>
        <v>1488.1666666666667</v>
      </c>
      <c r="L239" s="132">
        <f t="shared" si="89"/>
        <v>3874.028809467166</v>
      </c>
      <c r="M239" s="132">
        <f>IF($F239&lt;=$C$16*12,'Mortgage Calculators (By Month)'!$C257,"-")</f>
        <v>0</v>
      </c>
      <c r="N239" s="132">
        <f>IF($F239&lt;=$C$16*12,'Mortgage Calculators (By Month)'!$D257,"-")</f>
        <v>0</v>
      </c>
      <c r="O239" s="132">
        <f>IF($F239&lt;=$C$16*12,'Mortgage Calculators (By Month)'!$E257,"-")</f>
        <v>8.3333333333333339</v>
      </c>
      <c r="P239" s="132">
        <f t="shared" si="110"/>
        <v>0</v>
      </c>
      <c r="Q239" s="132">
        <f t="shared" si="90"/>
        <v>3882.3621428004994</v>
      </c>
      <c r="R239" s="132">
        <f t="shared" si="91"/>
        <v>17815.627034173736</v>
      </c>
      <c r="S239" s="132">
        <f t="shared" si="92"/>
        <v>0</v>
      </c>
      <c r="T239" s="132">
        <f t="shared" si="84"/>
        <v>17815.627034173736</v>
      </c>
      <c r="U239" s="132">
        <f>IF($F239&lt;=$C$16*12,SUM(T$5:T239),"-")</f>
        <v>2584917.877440914</v>
      </c>
      <c r="V239" s="132">
        <f>IF($F239&lt;=$C$16*12,G239-$C$10-'RE Calculations'!$C426-'Mortgage Calculators (By Month)'!$F257,"-")</f>
        <v>2560297.2089697071</v>
      </c>
      <c r="W239" s="29">
        <f t="shared" si="93"/>
        <v>1.599159295233439</v>
      </c>
      <c r="X239" s="31">
        <f t="shared" si="94"/>
        <v>8.1659198054473484E-2</v>
      </c>
      <c r="Y239" s="132">
        <f t="shared" si="95"/>
        <v>5145215.0864106212</v>
      </c>
      <c r="Z239" s="29">
        <f t="shared" si="96"/>
        <v>3.2136966374774576</v>
      </c>
      <c r="AA239" s="31">
        <f t="shared" si="97"/>
        <v>0.1641036580839553</v>
      </c>
      <c r="AD239" s="12">
        <f t="shared" si="98"/>
        <v>235</v>
      </c>
      <c r="AE239" s="132">
        <f t="shared" si="99"/>
        <v>4250841.0295609264</v>
      </c>
      <c r="AF239" s="132">
        <f>IF($AD239&lt;=$C$25*12,$AE239-$C$7+SUM('Mortgage Calculators (By Month)'!$K$23:$K257),"-")</f>
        <v>4250841.0295609264</v>
      </c>
      <c r="AG239" s="132">
        <f t="shared" si="100"/>
        <v>21689.655843640903</v>
      </c>
      <c r="AH239" s="132">
        <f>IF($AD239&lt;=$C$25*12,SUM(Inputs!$C$61:$C$78)*'Forecast (By Month)'!AG239,"-")</f>
        <v>2385.8621428004994</v>
      </c>
      <c r="AI239" s="132">
        <f>IF($AD239&lt;=$C$25*12,(SUMIF(Inputs!$C$61:$C$78,0,Inputs!$F$61:$F$78)/12)*(1+$C$34)^ROUNDDOWN((AD239-1)/12,0),"-")</f>
        <v>1488.1666666666667</v>
      </c>
      <c r="AJ239" s="132">
        <f t="shared" si="101"/>
        <v>3874.028809467166</v>
      </c>
      <c r="AK239" s="132">
        <f>IF($AD239&lt;=$C$25*12,'Mortgage Calculators (By Month)'!$J257,"-")</f>
        <v>0</v>
      </c>
      <c r="AL239" s="132">
        <f>IF($AD239&lt;=$C$25*12,'Mortgage Calculators (By Month)'!$K257,"-")</f>
        <v>0</v>
      </c>
      <c r="AM239" s="132">
        <f>IF($AD239&lt;=$C$25*12,'Mortgage Calculators (By Month)'!$L257,"-")</f>
        <v>10</v>
      </c>
      <c r="AN239" s="132">
        <f t="shared" si="111"/>
        <v>0</v>
      </c>
      <c r="AO239" s="132">
        <f t="shared" si="102"/>
        <v>3884.028809467166</v>
      </c>
      <c r="AP239" s="132">
        <f t="shared" si="103"/>
        <v>17815.627034173736</v>
      </c>
      <c r="AQ239" s="132">
        <f t="shared" si="104"/>
        <v>0</v>
      </c>
      <c r="AR239" s="132">
        <f t="shared" si="85"/>
        <v>17815.627034173736</v>
      </c>
      <c r="AS239" s="132">
        <f>IF($AD239&lt;=$C$25*12,SUM(AR$5:AR239),"-")</f>
        <v>2584907.877440914</v>
      </c>
      <c r="AT239" s="132">
        <f>IF($AD239&lt;=$C$25*12,AE239-$C$10-'RE Calculations'!$C426-'Mortgage Calculators (By Month)'!$M257,"-")</f>
        <v>2560297.2089697071</v>
      </c>
      <c r="AU239" s="29">
        <f t="shared" si="105"/>
        <v>1.599159295233439</v>
      </c>
      <c r="AV239" s="31">
        <f t="shared" si="106"/>
        <v>8.1659198054473484E-2</v>
      </c>
      <c r="AW239" s="132">
        <f t="shared" si="107"/>
        <v>5145205.0864106212</v>
      </c>
      <c r="AX239" s="29">
        <f t="shared" si="108"/>
        <v>3.2136903914866028</v>
      </c>
      <c r="AY239" s="31">
        <f t="shared" si="109"/>
        <v>0.16410333913974143</v>
      </c>
    </row>
    <row r="240" spans="6:51" x14ac:dyDescent="0.35">
      <c r="F240" s="12">
        <f t="shared" si="86"/>
        <v>236</v>
      </c>
      <c r="G240" s="132">
        <f t="shared" si="87"/>
        <v>4268159.4820999689</v>
      </c>
      <c r="H240" s="132">
        <f>IF($F240&lt;=$C$16*12,$G240-$C$7+SUM('Mortgage Calculators (By Month)'!$D$23:$D258),"-")</f>
        <v>4268159.4820999689</v>
      </c>
      <c r="I240" s="132">
        <f t="shared" si="88"/>
        <v>21689.655843640903</v>
      </c>
      <c r="J240" s="132">
        <f>IF($F240&lt;=$C$16*12,SUM(Inputs!$C$61:$C$78)*'Forecast (By Month)'!I240,"-")</f>
        <v>2385.8621428004994</v>
      </c>
      <c r="K240" s="132">
        <f>IF($F240&lt;=$C$16*12,(SUMIF(Inputs!$C$61:$C$78,0,Inputs!$F$61:$F$78)/12)*(1+$C$34)^ROUNDDOWN((F240-1)/12,0),"-")</f>
        <v>1488.1666666666667</v>
      </c>
      <c r="L240" s="132">
        <f t="shared" si="89"/>
        <v>3874.028809467166</v>
      </c>
      <c r="M240" s="132">
        <f>IF($F240&lt;=$C$16*12,'Mortgage Calculators (By Month)'!$C258,"-")</f>
        <v>0</v>
      </c>
      <c r="N240" s="132">
        <f>IF($F240&lt;=$C$16*12,'Mortgage Calculators (By Month)'!$D258,"-")</f>
        <v>0</v>
      </c>
      <c r="O240" s="132">
        <f>IF($F240&lt;=$C$16*12,'Mortgage Calculators (By Month)'!$E258,"-")</f>
        <v>8.3333333333333339</v>
      </c>
      <c r="P240" s="132">
        <f t="shared" si="110"/>
        <v>0</v>
      </c>
      <c r="Q240" s="132">
        <f t="shared" si="90"/>
        <v>3882.3621428004994</v>
      </c>
      <c r="R240" s="132">
        <f t="shared" si="91"/>
        <v>17815.627034173736</v>
      </c>
      <c r="S240" s="132">
        <f t="shared" si="92"/>
        <v>0</v>
      </c>
      <c r="T240" s="132">
        <f t="shared" si="84"/>
        <v>17815.627034173736</v>
      </c>
      <c r="U240" s="132">
        <f>IF($F240&lt;=$C$16*12,SUM(T$5:T240),"-")</f>
        <v>2602733.5044750879</v>
      </c>
      <c r="V240" s="132">
        <f>IF($F240&lt;=$C$16*12,G240-$C$10-'RE Calculations'!$C427-'Mortgage Calculators (By Month)'!$F258,"-")</f>
        <v>2577269.2924579689</v>
      </c>
      <c r="W240" s="29">
        <f t="shared" si="93"/>
        <v>1.6097600430585923</v>
      </c>
      <c r="X240" s="31">
        <f t="shared" si="94"/>
        <v>8.185220557925045E-2</v>
      </c>
      <c r="Y240" s="132">
        <f t="shared" si="95"/>
        <v>5180002.7969330568</v>
      </c>
      <c r="Z240" s="29">
        <f t="shared" si="96"/>
        <v>3.2354250096550881</v>
      </c>
      <c r="AA240" s="31">
        <f t="shared" si="97"/>
        <v>0.16451313608415702</v>
      </c>
      <c r="AD240" s="12">
        <f t="shared" si="98"/>
        <v>236</v>
      </c>
      <c r="AE240" s="132">
        <f t="shared" si="99"/>
        <v>4268159.4820999689</v>
      </c>
      <c r="AF240" s="132">
        <f>IF($AD240&lt;=$C$25*12,$AE240-$C$7+SUM('Mortgage Calculators (By Month)'!$K$23:$K258),"-")</f>
        <v>4268159.4820999689</v>
      </c>
      <c r="AG240" s="132">
        <f t="shared" si="100"/>
        <v>21689.655843640903</v>
      </c>
      <c r="AH240" s="132">
        <f>IF($AD240&lt;=$C$25*12,SUM(Inputs!$C$61:$C$78)*'Forecast (By Month)'!AG240,"-")</f>
        <v>2385.8621428004994</v>
      </c>
      <c r="AI240" s="132">
        <f>IF($AD240&lt;=$C$25*12,(SUMIF(Inputs!$C$61:$C$78,0,Inputs!$F$61:$F$78)/12)*(1+$C$34)^ROUNDDOWN((AD240-1)/12,0),"-")</f>
        <v>1488.1666666666667</v>
      </c>
      <c r="AJ240" s="132">
        <f t="shared" si="101"/>
        <v>3874.028809467166</v>
      </c>
      <c r="AK240" s="132">
        <f>IF($AD240&lt;=$C$25*12,'Mortgage Calculators (By Month)'!$J258,"-")</f>
        <v>0</v>
      </c>
      <c r="AL240" s="132">
        <f>IF($AD240&lt;=$C$25*12,'Mortgage Calculators (By Month)'!$K258,"-")</f>
        <v>0</v>
      </c>
      <c r="AM240" s="132">
        <f>IF($AD240&lt;=$C$25*12,'Mortgage Calculators (By Month)'!$L258,"-")</f>
        <v>10</v>
      </c>
      <c r="AN240" s="132">
        <f t="shared" si="111"/>
        <v>0</v>
      </c>
      <c r="AO240" s="132">
        <f t="shared" si="102"/>
        <v>3884.028809467166</v>
      </c>
      <c r="AP240" s="132">
        <f t="shared" si="103"/>
        <v>17815.627034173736</v>
      </c>
      <c r="AQ240" s="132">
        <f t="shared" si="104"/>
        <v>0</v>
      </c>
      <c r="AR240" s="132">
        <f t="shared" si="85"/>
        <v>17815.627034173736</v>
      </c>
      <c r="AS240" s="132">
        <f>IF($AD240&lt;=$C$25*12,SUM(AR$5:AR240),"-")</f>
        <v>2602723.5044750879</v>
      </c>
      <c r="AT240" s="132">
        <f>IF($AD240&lt;=$C$25*12,AE240-$C$10-'RE Calculations'!$C427-'Mortgage Calculators (By Month)'!$M258,"-")</f>
        <v>2577269.2924579689</v>
      </c>
      <c r="AU240" s="29">
        <f t="shared" si="105"/>
        <v>1.6097600430585923</v>
      </c>
      <c r="AV240" s="31">
        <f t="shared" si="106"/>
        <v>8.185220557925045E-2</v>
      </c>
      <c r="AW240" s="132">
        <f t="shared" si="107"/>
        <v>5179992.7969330568</v>
      </c>
      <c r="AX240" s="29">
        <f t="shared" si="108"/>
        <v>3.2354187636642333</v>
      </c>
      <c r="AY240" s="31">
        <f t="shared" si="109"/>
        <v>0.16451281849140167</v>
      </c>
    </row>
    <row r="241" spans="6:51" x14ac:dyDescent="0.35">
      <c r="F241" s="12">
        <f t="shared" si="86"/>
        <v>237</v>
      </c>
      <c r="G241" s="132">
        <f t="shared" si="87"/>
        <v>4285548.4921583971</v>
      </c>
      <c r="H241" s="132">
        <f>IF($F241&lt;=$C$16*12,$G241-$C$7+SUM('Mortgage Calculators (By Month)'!$D$23:$D259),"-")</f>
        <v>4285548.4921583971</v>
      </c>
      <c r="I241" s="132">
        <f t="shared" si="88"/>
        <v>21689.655843640903</v>
      </c>
      <c r="J241" s="132">
        <f>IF($F241&lt;=$C$16*12,SUM(Inputs!$C$61:$C$78)*'Forecast (By Month)'!I241,"-")</f>
        <v>2385.8621428004994</v>
      </c>
      <c r="K241" s="132">
        <f>IF($F241&lt;=$C$16*12,(SUMIF(Inputs!$C$61:$C$78,0,Inputs!$F$61:$F$78)/12)*(1+$C$34)^ROUNDDOWN((F241-1)/12,0),"-")</f>
        <v>1488.1666666666667</v>
      </c>
      <c r="L241" s="132">
        <f t="shared" si="89"/>
        <v>3874.028809467166</v>
      </c>
      <c r="M241" s="132">
        <f>IF($F241&lt;=$C$16*12,'Mortgage Calculators (By Month)'!$C259,"-")</f>
        <v>0</v>
      </c>
      <c r="N241" s="132">
        <f>IF($F241&lt;=$C$16*12,'Mortgage Calculators (By Month)'!$D259,"-")</f>
        <v>0</v>
      </c>
      <c r="O241" s="132">
        <f>IF($F241&lt;=$C$16*12,'Mortgage Calculators (By Month)'!$E259,"-")</f>
        <v>8.3333333333333339</v>
      </c>
      <c r="P241" s="132">
        <f t="shared" si="110"/>
        <v>0</v>
      </c>
      <c r="Q241" s="132">
        <f t="shared" si="90"/>
        <v>3882.3621428004994</v>
      </c>
      <c r="R241" s="132">
        <f t="shared" si="91"/>
        <v>17815.627034173736</v>
      </c>
      <c r="S241" s="132">
        <f t="shared" si="92"/>
        <v>0</v>
      </c>
      <c r="T241" s="132">
        <f t="shared" si="84"/>
        <v>17815.627034173736</v>
      </c>
      <c r="U241" s="132">
        <f>IF($F241&lt;=$C$16*12,SUM(T$5:T241),"-")</f>
        <v>2620549.1315092617</v>
      </c>
      <c r="V241" s="132">
        <f>IF($F241&lt;=$C$16*12,G241-$C$10-'RE Calculations'!$C428-'Mortgage Calculators (By Month)'!$F259,"-")</f>
        <v>2594310.5223152284</v>
      </c>
      <c r="W241" s="29">
        <f t="shared" si="93"/>
        <v>1.6204039796425846</v>
      </c>
      <c r="X241" s="31">
        <f t="shared" si="94"/>
        <v>8.2045771121143529E-2</v>
      </c>
      <c r="Y241" s="132">
        <f t="shared" si="95"/>
        <v>5214859.6538244896</v>
      </c>
      <c r="Z241" s="29">
        <f t="shared" si="96"/>
        <v>3.2571965705915575</v>
      </c>
      <c r="AA241" s="31">
        <f t="shared" si="97"/>
        <v>0.16492134534640798</v>
      </c>
      <c r="AD241" s="12">
        <f t="shared" si="98"/>
        <v>237</v>
      </c>
      <c r="AE241" s="132">
        <f t="shared" si="99"/>
        <v>4285548.4921583971</v>
      </c>
      <c r="AF241" s="132">
        <f>IF($AD241&lt;=$C$25*12,$AE241-$C$7+SUM('Mortgage Calculators (By Month)'!$K$23:$K259),"-")</f>
        <v>4285548.4921583971</v>
      </c>
      <c r="AG241" s="132">
        <f t="shared" si="100"/>
        <v>21689.655843640903</v>
      </c>
      <c r="AH241" s="132">
        <f>IF($AD241&lt;=$C$25*12,SUM(Inputs!$C$61:$C$78)*'Forecast (By Month)'!AG241,"-")</f>
        <v>2385.8621428004994</v>
      </c>
      <c r="AI241" s="132">
        <f>IF($AD241&lt;=$C$25*12,(SUMIF(Inputs!$C$61:$C$78,0,Inputs!$F$61:$F$78)/12)*(1+$C$34)^ROUNDDOWN((AD241-1)/12,0),"-")</f>
        <v>1488.1666666666667</v>
      </c>
      <c r="AJ241" s="132">
        <f t="shared" si="101"/>
        <v>3874.028809467166</v>
      </c>
      <c r="AK241" s="132">
        <f>IF($AD241&lt;=$C$25*12,'Mortgage Calculators (By Month)'!$J259,"-")</f>
        <v>0</v>
      </c>
      <c r="AL241" s="132">
        <f>IF($AD241&lt;=$C$25*12,'Mortgage Calculators (By Month)'!$K259,"-")</f>
        <v>0</v>
      </c>
      <c r="AM241" s="132">
        <f>IF($AD241&lt;=$C$25*12,'Mortgage Calculators (By Month)'!$L259,"-")</f>
        <v>10</v>
      </c>
      <c r="AN241" s="132">
        <f t="shared" si="111"/>
        <v>0</v>
      </c>
      <c r="AO241" s="132">
        <f t="shared" si="102"/>
        <v>3884.028809467166</v>
      </c>
      <c r="AP241" s="132">
        <f t="shared" si="103"/>
        <v>17815.627034173736</v>
      </c>
      <c r="AQ241" s="132">
        <f t="shared" si="104"/>
        <v>0</v>
      </c>
      <c r="AR241" s="132">
        <f t="shared" si="85"/>
        <v>17815.627034173736</v>
      </c>
      <c r="AS241" s="132">
        <f>IF($AD241&lt;=$C$25*12,SUM(AR$5:AR241),"-")</f>
        <v>2620539.1315092617</v>
      </c>
      <c r="AT241" s="132">
        <f>IF($AD241&lt;=$C$25*12,AE241-$C$10-'RE Calculations'!$C428-'Mortgage Calculators (By Month)'!$M259,"-")</f>
        <v>2594310.5223152284</v>
      </c>
      <c r="AU241" s="29">
        <f t="shared" si="105"/>
        <v>1.6204039796425846</v>
      </c>
      <c r="AV241" s="31">
        <f t="shared" si="106"/>
        <v>8.2045771121143529E-2</v>
      </c>
      <c r="AW241" s="132">
        <f t="shared" si="107"/>
        <v>5214849.6538244896</v>
      </c>
      <c r="AX241" s="29">
        <f t="shared" si="108"/>
        <v>3.2571903246007028</v>
      </c>
      <c r="AY241" s="31">
        <f t="shared" si="109"/>
        <v>0.16492102909370648</v>
      </c>
    </row>
    <row r="242" spans="6:51" x14ac:dyDescent="0.35">
      <c r="F242" s="12">
        <f t="shared" si="86"/>
        <v>238</v>
      </c>
      <c r="G242" s="132">
        <f t="shared" si="87"/>
        <v>4303008.3471962782</v>
      </c>
      <c r="H242" s="132">
        <f>IF($F242&lt;=$C$16*12,$G242-$C$7+SUM('Mortgage Calculators (By Month)'!$D$23:$D260),"-")</f>
        <v>4303008.3471962782</v>
      </c>
      <c r="I242" s="132">
        <f t="shared" si="88"/>
        <v>21689.655843640903</v>
      </c>
      <c r="J242" s="132">
        <f>IF($F242&lt;=$C$16*12,SUM(Inputs!$C$61:$C$78)*'Forecast (By Month)'!I242,"-")</f>
        <v>2385.8621428004994</v>
      </c>
      <c r="K242" s="132">
        <f>IF($F242&lt;=$C$16*12,(SUMIF(Inputs!$C$61:$C$78,0,Inputs!$F$61:$F$78)/12)*(1+$C$34)^ROUNDDOWN((F242-1)/12,0),"-")</f>
        <v>1488.1666666666667</v>
      </c>
      <c r="L242" s="132">
        <f t="shared" si="89"/>
        <v>3874.028809467166</v>
      </c>
      <c r="M242" s="132">
        <f>IF($F242&lt;=$C$16*12,'Mortgage Calculators (By Month)'!$C260,"-")</f>
        <v>0</v>
      </c>
      <c r="N242" s="132">
        <f>IF($F242&lt;=$C$16*12,'Mortgage Calculators (By Month)'!$D260,"-")</f>
        <v>0</v>
      </c>
      <c r="O242" s="132">
        <f>IF($F242&lt;=$C$16*12,'Mortgage Calculators (By Month)'!$E260,"-")</f>
        <v>8.3333333333333339</v>
      </c>
      <c r="P242" s="132">
        <f t="shared" si="110"/>
        <v>0</v>
      </c>
      <c r="Q242" s="132">
        <f t="shared" si="90"/>
        <v>3882.3621428004994</v>
      </c>
      <c r="R242" s="132">
        <f t="shared" si="91"/>
        <v>17815.627034173736</v>
      </c>
      <c r="S242" s="132">
        <f t="shared" si="92"/>
        <v>0</v>
      </c>
      <c r="T242" s="132">
        <f t="shared" si="84"/>
        <v>17815.627034173736</v>
      </c>
      <c r="U242" s="132">
        <f>IF($F242&lt;=$C$16*12,SUM(T$5:T242),"-")</f>
        <v>2638364.7585434355</v>
      </c>
      <c r="V242" s="132">
        <f>IF($F242&lt;=$C$16*12,G242-$C$10-'RE Calculations'!$C429-'Mortgage Calculators (By Month)'!$F260,"-")</f>
        <v>2611421.1802523518</v>
      </c>
      <c r="W242" s="29">
        <f t="shared" si="93"/>
        <v>1.6310912809417655</v>
      </c>
      <c r="X242" s="31">
        <f t="shared" si="94"/>
        <v>8.2239896518072217E-2</v>
      </c>
      <c r="Y242" s="132">
        <f t="shared" si="95"/>
        <v>5249785.9387957873</v>
      </c>
      <c r="Z242" s="29">
        <f t="shared" si="96"/>
        <v>3.279011496243216</v>
      </c>
      <c r="AA242" s="31">
        <f t="shared" si="97"/>
        <v>0.16532831073495208</v>
      </c>
      <c r="AD242" s="12">
        <f t="shared" si="98"/>
        <v>238</v>
      </c>
      <c r="AE242" s="132">
        <f t="shared" si="99"/>
        <v>4303008.3471962782</v>
      </c>
      <c r="AF242" s="132">
        <f>IF($AD242&lt;=$C$25*12,$AE242-$C$7+SUM('Mortgage Calculators (By Month)'!$K$23:$K260),"-")</f>
        <v>4303008.3471962782</v>
      </c>
      <c r="AG242" s="132">
        <f t="shared" si="100"/>
        <v>21689.655843640903</v>
      </c>
      <c r="AH242" s="132">
        <f>IF($AD242&lt;=$C$25*12,SUM(Inputs!$C$61:$C$78)*'Forecast (By Month)'!AG242,"-")</f>
        <v>2385.8621428004994</v>
      </c>
      <c r="AI242" s="132">
        <f>IF($AD242&lt;=$C$25*12,(SUMIF(Inputs!$C$61:$C$78,0,Inputs!$F$61:$F$78)/12)*(1+$C$34)^ROUNDDOWN((AD242-1)/12,0),"-")</f>
        <v>1488.1666666666667</v>
      </c>
      <c r="AJ242" s="132">
        <f t="shared" si="101"/>
        <v>3874.028809467166</v>
      </c>
      <c r="AK242" s="132">
        <f>IF($AD242&lt;=$C$25*12,'Mortgage Calculators (By Month)'!$J260,"-")</f>
        <v>0</v>
      </c>
      <c r="AL242" s="132">
        <f>IF($AD242&lt;=$C$25*12,'Mortgage Calculators (By Month)'!$K260,"-")</f>
        <v>0</v>
      </c>
      <c r="AM242" s="132">
        <f>IF($AD242&lt;=$C$25*12,'Mortgage Calculators (By Month)'!$L260,"-")</f>
        <v>10</v>
      </c>
      <c r="AN242" s="132">
        <f t="shared" si="111"/>
        <v>0</v>
      </c>
      <c r="AO242" s="132">
        <f t="shared" si="102"/>
        <v>3884.028809467166</v>
      </c>
      <c r="AP242" s="132">
        <f t="shared" si="103"/>
        <v>17815.627034173736</v>
      </c>
      <c r="AQ242" s="132">
        <f t="shared" si="104"/>
        <v>0</v>
      </c>
      <c r="AR242" s="132">
        <f t="shared" si="85"/>
        <v>17815.627034173736</v>
      </c>
      <c r="AS242" s="132">
        <f>IF($AD242&lt;=$C$25*12,SUM(AR$5:AR242),"-")</f>
        <v>2638354.7585434355</v>
      </c>
      <c r="AT242" s="132">
        <f>IF($AD242&lt;=$C$25*12,AE242-$C$10-'RE Calculations'!$C429-'Mortgage Calculators (By Month)'!$M260,"-")</f>
        <v>2611421.1802523518</v>
      </c>
      <c r="AU242" s="29">
        <f t="shared" si="105"/>
        <v>1.6310912809417655</v>
      </c>
      <c r="AV242" s="31">
        <f t="shared" si="106"/>
        <v>8.2239896518072217E-2</v>
      </c>
      <c r="AW242" s="132">
        <f t="shared" si="107"/>
        <v>5249775.9387957873</v>
      </c>
      <c r="AX242" s="29">
        <f t="shared" si="108"/>
        <v>3.2790052502523612</v>
      </c>
      <c r="AY242" s="31">
        <f t="shared" si="109"/>
        <v>0.16532799581104343</v>
      </c>
    </row>
    <row r="243" spans="6:51" x14ac:dyDescent="0.35">
      <c r="F243" s="12">
        <f t="shared" si="86"/>
        <v>239</v>
      </c>
      <c r="G243" s="132">
        <f t="shared" si="87"/>
        <v>4320539.3358448278</v>
      </c>
      <c r="H243" s="132">
        <f>IF($F243&lt;=$C$16*12,$G243-$C$7+SUM('Mortgage Calculators (By Month)'!$D$23:$D261),"-")</f>
        <v>4320539.3358448278</v>
      </c>
      <c r="I243" s="132">
        <f t="shared" si="88"/>
        <v>21689.655843640903</v>
      </c>
      <c r="J243" s="132">
        <f>IF($F243&lt;=$C$16*12,SUM(Inputs!$C$61:$C$78)*'Forecast (By Month)'!I243,"-")</f>
        <v>2385.8621428004994</v>
      </c>
      <c r="K243" s="132">
        <f>IF($F243&lt;=$C$16*12,(SUMIF(Inputs!$C$61:$C$78,0,Inputs!$F$61:$F$78)/12)*(1+$C$34)^ROUNDDOWN((F243-1)/12,0),"-")</f>
        <v>1488.1666666666667</v>
      </c>
      <c r="L243" s="132">
        <f t="shared" si="89"/>
        <v>3874.028809467166</v>
      </c>
      <c r="M243" s="132">
        <f>IF($F243&lt;=$C$16*12,'Mortgage Calculators (By Month)'!$C261,"-")</f>
        <v>0</v>
      </c>
      <c r="N243" s="132">
        <f>IF($F243&lt;=$C$16*12,'Mortgage Calculators (By Month)'!$D261,"-")</f>
        <v>0</v>
      </c>
      <c r="O243" s="132">
        <f>IF($F243&lt;=$C$16*12,'Mortgage Calculators (By Month)'!$E261,"-")</f>
        <v>8.3333333333333339</v>
      </c>
      <c r="P243" s="132">
        <f t="shared" si="110"/>
        <v>0</v>
      </c>
      <c r="Q243" s="132">
        <f t="shared" si="90"/>
        <v>3882.3621428004994</v>
      </c>
      <c r="R243" s="132">
        <f t="shared" si="91"/>
        <v>17815.627034173736</v>
      </c>
      <c r="S243" s="132">
        <f t="shared" si="92"/>
        <v>0</v>
      </c>
      <c r="T243" s="132">
        <f t="shared" si="84"/>
        <v>17815.627034173736</v>
      </c>
      <c r="U243" s="132">
        <f>IF($F243&lt;=$C$16*12,SUM(T$5:T243),"-")</f>
        <v>2656180.3855776093</v>
      </c>
      <c r="V243" s="132">
        <f>IF($F243&lt;=$C$16*12,G243-$C$10-'RE Calculations'!$C430-'Mortgage Calculators (By Month)'!$F261,"-")</f>
        <v>2628601.5491279303</v>
      </c>
      <c r="W243" s="29">
        <f t="shared" si="93"/>
        <v>1.6418221236293518</v>
      </c>
      <c r="X243" s="31">
        <f t="shared" si="94"/>
        <v>8.24345836131892E-2</v>
      </c>
      <c r="Y243" s="132">
        <f t="shared" si="95"/>
        <v>5284781.9347055396</v>
      </c>
      <c r="Z243" s="29">
        <f t="shared" si="96"/>
        <v>3.3008699632832799</v>
      </c>
      <c r="AA243" s="31">
        <f t="shared" si="97"/>
        <v>0.16573405673388852</v>
      </c>
      <c r="AD243" s="12">
        <f t="shared" si="98"/>
        <v>239</v>
      </c>
      <c r="AE243" s="132">
        <f t="shared" si="99"/>
        <v>4320539.3358448278</v>
      </c>
      <c r="AF243" s="132">
        <f>IF($AD243&lt;=$C$25*12,$AE243-$C$7+SUM('Mortgage Calculators (By Month)'!$K$23:$K261),"-")</f>
        <v>4320539.3358448278</v>
      </c>
      <c r="AG243" s="132">
        <f t="shared" si="100"/>
        <v>21689.655843640903</v>
      </c>
      <c r="AH243" s="132">
        <f>IF($AD243&lt;=$C$25*12,SUM(Inputs!$C$61:$C$78)*'Forecast (By Month)'!AG243,"-")</f>
        <v>2385.8621428004994</v>
      </c>
      <c r="AI243" s="132">
        <f>IF($AD243&lt;=$C$25*12,(SUMIF(Inputs!$C$61:$C$78,0,Inputs!$F$61:$F$78)/12)*(1+$C$34)^ROUNDDOWN((AD243-1)/12,0),"-")</f>
        <v>1488.1666666666667</v>
      </c>
      <c r="AJ243" s="132">
        <f t="shared" si="101"/>
        <v>3874.028809467166</v>
      </c>
      <c r="AK243" s="132">
        <f>IF($AD243&lt;=$C$25*12,'Mortgage Calculators (By Month)'!$J261,"-")</f>
        <v>0</v>
      </c>
      <c r="AL243" s="132">
        <f>IF($AD243&lt;=$C$25*12,'Mortgage Calculators (By Month)'!$K261,"-")</f>
        <v>0</v>
      </c>
      <c r="AM243" s="132">
        <f>IF($AD243&lt;=$C$25*12,'Mortgage Calculators (By Month)'!$L261,"-")</f>
        <v>10</v>
      </c>
      <c r="AN243" s="132">
        <f t="shared" si="111"/>
        <v>0</v>
      </c>
      <c r="AO243" s="132">
        <f t="shared" si="102"/>
        <v>3884.028809467166</v>
      </c>
      <c r="AP243" s="132">
        <f t="shared" si="103"/>
        <v>17815.627034173736</v>
      </c>
      <c r="AQ243" s="132">
        <f t="shared" si="104"/>
        <v>0</v>
      </c>
      <c r="AR243" s="132">
        <f t="shared" si="85"/>
        <v>17815.627034173736</v>
      </c>
      <c r="AS243" s="132">
        <f>IF($AD243&lt;=$C$25*12,SUM(AR$5:AR243),"-")</f>
        <v>2656170.3855776093</v>
      </c>
      <c r="AT243" s="132">
        <f>IF($AD243&lt;=$C$25*12,AE243-$C$10-'RE Calculations'!$C430-'Mortgage Calculators (By Month)'!$M261,"-")</f>
        <v>2628601.5491279303</v>
      </c>
      <c r="AU243" s="29">
        <f t="shared" si="105"/>
        <v>1.6418221236293518</v>
      </c>
      <c r="AV243" s="31">
        <f t="shared" si="106"/>
        <v>8.24345836131892E-2</v>
      </c>
      <c r="AW243" s="132">
        <f t="shared" si="107"/>
        <v>5284771.9347055396</v>
      </c>
      <c r="AX243" s="29">
        <f t="shared" si="108"/>
        <v>3.3008637172924251</v>
      </c>
      <c r="AY243" s="31">
        <f t="shared" si="109"/>
        <v>0.16573374312765313</v>
      </c>
    </row>
    <row r="244" spans="6:51" x14ac:dyDescent="0.35">
      <c r="F244" s="12">
        <f t="shared" si="86"/>
        <v>240</v>
      </c>
      <c r="G244" s="132">
        <f t="shared" si="87"/>
        <v>4338141.7479111813</v>
      </c>
      <c r="H244" s="132">
        <f>IF($F244&lt;=$C$16*12,$G244-$C$7+SUM('Mortgage Calculators (By Month)'!$D$23:$D262),"-")</f>
        <v>4338141.7479111813</v>
      </c>
      <c r="I244" s="132">
        <f t="shared" si="88"/>
        <v>21689.655843640903</v>
      </c>
      <c r="J244" s="132">
        <f>IF($F244&lt;=$C$16*12,SUM(Inputs!$C$61:$C$78)*'Forecast (By Month)'!I244,"-")</f>
        <v>2385.8621428004994</v>
      </c>
      <c r="K244" s="132">
        <f>IF($F244&lt;=$C$16*12,(SUMIF(Inputs!$C$61:$C$78,0,Inputs!$F$61:$F$78)/12)*(1+$C$34)^ROUNDDOWN((F244-1)/12,0),"-")</f>
        <v>1488.1666666666667</v>
      </c>
      <c r="L244" s="132">
        <f t="shared" si="89"/>
        <v>3874.028809467166</v>
      </c>
      <c r="M244" s="132">
        <f>IF($F244&lt;=$C$16*12,'Mortgage Calculators (By Month)'!$C262,"-")</f>
        <v>0</v>
      </c>
      <c r="N244" s="132">
        <f>IF($F244&lt;=$C$16*12,'Mortgage Calculators (By Month)'!$D262,"-")</f>
        <v>0</v>
      </c>
      <c r="O244" s="132">
        <f>IF($F244&lt;=$C$16*12,'Mortgage Calculators (By Month)'!$E262,"-")</f>
        <v>8.3333333333333339</v>
      </c>
      <c r="P244" s="132">
        <f t="shared" si="110"/>
        <v>0</v>
      </c>
      <c r="Q244" s="132">
        <f t="shared" si="90"/>
        <v>3882.3621428004994</v>
      </c>
      <c r="R244" s="132">
        <f t="shared" si="91"/>
        <v>17815.627034173736</v>
      </c>
      <c r="S244" s="132">
        <f t="shared" si="92"/>
        <v>0</v>
      </c>
      <c r="T244" s="132">
        <f t="shared" si="84"/>
        <v>17815.627034173736</v>
      </c>
      <c r="U244" s="132">
        <f>IF($F244&lt;=$C$16*12,SUM(T$5:T244),"-")</f>
        <v>2673996.0126117831</v>
      </c>
      <c r="V244" s="132">
        <f>IF($F244&lt;=$C$16*12,G244-$C$10-'RE Calculations'!$C431-'Mortgage Calculators (By Month)'!$F262,"-")</f>
        <v>2645851.9129529567</v>
      </c>
      <c r="W244" s="29">
        <f t="shared" si="93"/>
        <v>1.6525966850983504</v>
      </c>
      <c r="X244" s="31">
        <f t="shared" si="94"/>
        <v>8.2629834254917517E-2</v>
      </c>
      <c r="Y244" s="132">
        <f t="shared" si="95"/>
        <v>5319847.9255647399</v>
      </c>
      <c r="Z244" s="29">
        <f t="shared" si="96"/>
        <v>3.3227721491047557</v>
      </c>
      <c r="AA244" s="31">
        <f t="shared" si="97"/>
        <v>0.16613860745523779</v>
      </c>
      <c r="AD244" s="12">
        <f t="shared" si="98"/>
        <v>240</v>
      </c>
      <c r="AE244" s="132">
        <f t="shared" si="99"/>
        <v>4338141.7479111813</v>
      </c>
      <c r="AF244" s="132">
        <f>IF($AD244&lt;=$C$25*12,$AE244-$C$7+SUM('Mortgage Calculators (By Month)'!$K$23:$K262),"-")</f>
        <v>4338141.7479111813</v>
      </c>
      <c r="AG244" s="132">
        <f t="shared" si="100"/>
        <v>21689.655843640903</v>
      </c>
      <c r="AH244" s="132">
        <f>IF($AD244&lt;=$C$25*12,SUM(Inputs!$C$61:$C$78)*'Forecast (By Month)'!AG244,"-")</f>
        <v>2385.8621428004994</v>
      </c>
      <c r="AI244" s="132">
        <f>IF($AD244&lt;=$C$25*12,(SUMIF(Inputs!$C$61:$C$78,0,Inputs!$F$61:$F$78)/12)*(1+$C$34)^ROUNDDOWN((AD244-1)/12,0),"-")</f>
        <v>1488.1666666666667</v>
      </c>
      <c r="AJ244" s="132">
        <f t="shared" si="101"/>
        <v>3874.028809467166</v>
      </c>
      <c r="AK244" s="132">
        <f>IF($AD244&lt;=$C$25*12,'Mortgage Calculators (By Month)'!$J262,"-")</f>
        <v>0</v>
      </c>
      <c r="AL244" s="132">
        <f>IF($AD244&lt;=$C$25*12,'Mortgage Calculators (By Month)'!$K262,"-")</f>
        <v>0</v>
      </c>
      <c r="AM244" s="132">
        <f>IF($AD244&lt;=$C$25*12,'Mortgage Calculators (By Month)'!$L262,"-")</f>
        <v>10</v>
      </c>
      <c r="AN244" s="132">
        <f t="shared" si="111"/>
        <v>0</v>
      </c>
      <c r="AO244" s="132">
        <f t="shared" si="102"/>
        <v>3884.028809467166</v>
      </c>
      <c r="AP244" s="132">
        <f t="shared" si="103"/>
        <v>17815.627034173736</v>
      </c>
      <c r="AQ244" s="132">
        <f t="shared" si="104"/>
        <v>0</v>
      </c>
      <c r="AR244" s="132">
        <f t="shared" si="85"/>
        <v>17815.627034173736</v>
      </c>
      <c r="AS244" s="132">
        <f>IF($AD244&lt;=$C$25*12,SUM(AR$5:AR244),"-")</f>
        <v>2673986.0126117831</v>
      </c>
      <c r="AT244" s="132">
        <f>IF($AD244&lt;=$C$25*12,AE244-$C$10-'RE Calculations'!$C431-'Mortgage Calculators (By Month)'!$M262,"-")</f>
        <v>2645851.9129529567</v>
      </c>
      <c r="AU244" s="29">
        <f t="shared" si="105"/>
        <v>1.6525966850983504</v>
      </c>
      <c r="AV244" s="31">
        <f t="shared" si="106"/>
        <v>8.2629834254917517E-2</v>
      </c>
      <c r="AW244" s="132">
        <f t="shared" si="107"/>
        <v>5319837.9255647399</v>
      </c>
      <c r="AX244" s="29">
        <f t="shared" si="108"/>
        <v>3.322765903113901</v>
      </c>
      <c r="AY244" s="31">
        <f t="shared" si="109"/>
        <v>0.16613829515569506</v>
      </c>
    </row>
    <row r="245" spans="6:51" x14ac:dyDescent="0.35">
      <c r="F245" s="12">
        <f t="shared" si="86"/>
        <v>241</v>
      </c>
      <c r="G245" s="132">
        <f t="shared" si="87"/>
        <v>4355815.8743831841</v>
      </c>
      <c r="H245" s="132">
        <f>IF($F245&lt;=$C$16*12,$G245-$C$7+SUM('Mortgage Calculators (By Month)'!$D$23:$D263),"-")</f>
        <v>4355815.8743831841</v>
      </c>
      <c r="I245" s="132">
        <f t="shared" si="88"/>
        <v>22774.138635822947</v>
      </c>
      <c r="J245" s="132">
        <f>IF($F245&lt;=$C$16*12,SUM(Inputs!$C$61:$C$78)*'Forecast (By Month)'!I245,"-")</f>
        <v>2505.1552499405243</v>
      </c>
      <c r="K245" s="132">
        <f>IF($F245&lt;=$C$16*12,(SUMIF(Inputs!$C$61:$C$78,0,Inputs!$F$61:$F$78)/12)*(1+$C$34)^ROUNDDOWN((F245-1)/12,0),"-")</f>
        <v>1488.1666666666667</v>
      </c>
      <c r="L245" s="132">
        <f t="shared" si="89"/>
        <v>3993.3219166071913</v>
      </c>
      <c r="M245" s="132">
        <f>IF($F245&lt;=$C$16*12,'Mortgage Calculators (By Month)'!$C263,"-")</f>
        <v>0</v>
      </c>
      <c r="N245" s="132">
        <f>IF($F245&lt;=$C$16*12,'Mortgage Calculators (By Month)'!$D263,"-")</f>
        <v>0</v>
      </c>
      <c r="O245" s="132">
        <f>IF($F245&lt;=$C$16*12,'Mortgage Calculators (By Month)'!$E263,"-")</f>
        <v>8.3333333333333339</v>
      </c>
      <c r="P245" s="132">
        <f t="shared" si="110"/>
        <v>0</v>
      </c>
      <c r="Q245" s="132">
        <f t="shared" si="90"/>
        <v>4001.6552499405248</v>
      </c>
      <c r="R245" s="132">
        <f t="shared" si="91"/>
        <v>18780.816719215756</v>
      </c>
      <c r="S245" s="132">
        <f t="shared" si="92"/>
        <v>0</v>
      </c>
      <c r="T245" s="132">
        <f t="shared" si="84"/>
        <v>18780.816719215756</v>
      </c>
      <c r="U245" s="132">
        <f>IF($F245&lt;=$C$16*12,SUM(T$5:T245),"-")</f>
        <v>2692776.8293309989</v>
      </c>
      <c r="V245" s="132">
        <f>IF($F245&lt;=$C$16*12,G245-$C$10-'RE Calculations'!$C432-'Mortgage Calculators (By Month)'!$F263,"-")</f>
        <v>2663172.5568955196</v>
      </c>
      <c r="W245" s="29">
        <f t="shared" si="93"/>
        <v>1.6634151434644884</v>
      </c>
      <c r="X245" s="31">
        <f t="shared" si="94"/>
        <v>8.2825650296986977E-2</v>
      </c>
      <c r="Y245" s="132">
        <f t="shared" si="95"/>
        <v>5355949.3862265181</v>
      </c>
      <c r="Z245" s="29">
        <f t="shared" si="96"/>
        <v>3.3453210884179456</v>
      </c>
      <c r="AA245" s="31">
        <f t="shared" si="97"/>
        <v>0.16657200440255332</v>
      </c>
      <c r="AD245" s="12">
        <f t="shared" si="98"/>
        <v>241</v>
      </c>
      <c r="AE245" s="132">
        <f t="shared" si="99"/>
        <v>4355815.8743831841</v>
      </c>
      <c r="AF245" s="132">
        <f>IF($AD245&lt;=$C$25*12,$AE245-$C$7+SUM('Mortgage Calculators (By Month)'!$K$23:$K263),"-")</f>
        <v>4355815.8743831841</v>
      </c>
      <c r="AG245" s="132">
        <f t="shared" si="100"/>
        <v>22774.138635822947</v>
      </c>
      <c r="AH245" s="132">
        <f>IF($AD245&lt;=$C$25*12,SUM(Inputs!$C$61:$C$78)*'Forecast (By Month)'!AG245,"-")</f>
        <v>2505.1552499405243</v>
      </c>
      <c r="AI245" s="132">
        <f>IF($AD245&lt;=$C$25*12,(SUMIF(Inputs!$C$61:$C$78,0,Inputs!$F$61:$F$78)/12)*(1+$C$34)^ROUNDDOWN((AD245-1)/12,0),"-")</f>
        <v>1488.1666666666667</v>
      </c>
      <c r="AJ245" s="132">
        <f t="shared" si="101"/>
        <v>3993.3219166071913</v>
      </c>
      <c r="AK245" s="132">
        <f>IF($AD245&lt;=$C$25*12,'Mortgage Calculators (By Month)'!$J263,"-")</f>
        <v>0</v>
      </c>
      <c r="AL245" s="132">
        <f>IF($AD245&lt;=$C$25*12,'Mortgage Calculators (By Month)'!$K263,"-")</f>
        <v>0</v>
      </c>
      <c r="AM245" s="132">
        <f>IF($AD245&lt;=$C$25*12,'Mortgage Calculators (By Month)'!$L263,"-")</f>
        <v>10</v>
      </c>
      <c r="AN245" s="132">
        <f t="shared" si="111"/>
        <v>0</v>
      </c>
      <c r="AO245" s="132">
        <f t="shared" si="102"/>
        <v>4003.3219166071913</v>
      </c>
      <c r="AP245" s="132">
        <f t="shared" si="103"/>
        <v>18780.816719215756</v>
      </c>
      <c r="AQ245" s="132">
        <f t="shared" si="104"/>
        <v>0</v>
      </c>
      <c r="AR245" s="132">
        <f t="shared" si="85"/>
        <v>18780.816719215756</v>
      </c>
      <c r="AS245" s="132">
        <f>IF($AD245&lt;=$C$25*12,SUM(AR$5:AR245),"-")</f>
        <v>2692766.8293309989</v>
      </c>
      <c r="AT245" s="132">
        <f>IF($AD245&lt;=$C$25*12,AE245-$C$10-'RE Calculations'!$C432-'Mortgage Calculators (By Month)'!$M263,"-")</f>
        <v>2663172.5568955196</v>
      </c>
      <c r="AU245" s="29">
        <f t="shared" si="105"/>
        <v>1.6634151434644884</v>
      </c>
      <c r="AV245" s="31">
        <f t="shared" si="106"/>
        <v>8.2825650296986977E-2</v>
      </c>
      <c r="AW245" s="132">
        <f t="shared" si="107"/>
        <v>5355939.3862265181</v>
      </c>
      <c r="AX245" s="29">
        <f t="shared" si="108"/>
        <v>3.3453148424270909</v>
      </c>
      <c r="AY245" s="31">
        <f t="shared" si="109"/>
        <v>0.1665716933988593</v>
      </c>
    </row>
    <row r="246" spans="6:51" x14ac:dyDescent="0.35">
      <c r="F246" s="12">
        <f t="shared" si="86"/>
        <v>242</v>
      </c>
      <c r="G246" s="132">
        <f t="shared" si="87"/>
        <v>4373562.0074342014</v>
      </c>
      <c r="H246" s="132">
        <f>IF($F246&lt;=$C$16*12,$G246-$C$7+SUM('Mortgage Calculators (By Month)'!$D$23:$D264),"-")</f>
        <v>4373562.0074342014</v>
      </c>
      <c r="I246" s="132">
        <f t="shared" si="88"/>
        <v>22774.138635822947</v>
      </c>
      <c r="J246" s="132">
        <f>IF($F246&lt;=$C$16*12,SUM(Inputs!$C$61:$C$78)*'Forecast (By Month)'!I246,"-")</f>
        <v>2505.1552499405243</v>
      </c>
      <c r="K246" s="132">
        <f>IF($F246&lt;=$C$16*12,(SUMIF(Inputs!$C$61:$C$78,0,Inputs!$F$61:$F$78)/12)*(1+$C$34)^ROUNDDOWN((F246-1)/12,0),"-")</f>
        <v>1488.1666666666667</v>
      </c>
      <c r="L246" s="132">
        <f t="shared" si="89"/>
        <v>3993.3219166071913</v>
      </c>
      <c r="M246" s="132">
        <f>IF($F246&lt;=$C$16*12,'Mortgage Calculators (By Month)'!$C264,"-")</f>
        <v>0</v>
      </c>
      <c r="N246" s="132">
        <f>IF($F246&lt;=$C$16*12,'Mortgage Calculators (By Month)'!$D264,"-")</f>
        <v>0</v>
      </c>
      <c r="O246" s="132">
        <f>IF($F246&lt;=$C$16*12,'Mortgage Calculators (By Month)'!$E264,"-")</f>
        <v>8.3333333333333339</v>
      </c>
      <c r="P246" s="132">
        <f t="shared" si="110"/>
        <v>0</v>
      </c>
      <c r="Q246" s="132">
        <f t="shared" si="90"/>
        <v>4001.6552499405248</v>
      </c>
      <c r="R246" s="132">
        <f t="shared" si="91"/>
        <v>18780.816719215756</v>
      </c>
      <c r="S246" s="132">
        <f t="shared" si="92"/>
        <v>0</v>
      </c>
      <c r="T246" s="132">
        <f t="shared" si="84"/>
        <v>18780.816719215756</v>
      </c>
      <c r="U246" s="132">
        <f>IF($F246&lt;=$C$16*12,SUM(T$5:T246),"-")</f>
        <v>2711557.6460502148</v>
      </c>
      <c r="V246" s="132">
        <f>IF($F246&lt;=$C$16*12,G246-$C$10-'RE Calculations'!$C433-'Mortgage Calculators (By Month)'!$F264,"-")</f>
        <v>2680563.7672855165</v>
      </c>
      <c r="W246" s="29">
        <f t="shared" si="93"/>
        <v>1.6742776775691581</v>
      </c>
      <c r="X246" s="31">
        <f t="shared" si="94"/>
        <v>8.3022033598470643E-2</v>
      </c>
      <c r="Y246" s="132">
        <f t="shared" si="95"/>
        <v>5392121.4133357313</v>
      </c>
      <c r="Z246" s="29">
        <f t="shared" si="96"/>
        <v>3.3679141034696674</v>
      </c>
      <c r="AA246" s="31">
        <f t="shared" si="97"/>
        <v>0.1670040051307273</v>
      </c>
      <c r="AD246" s="12">
        <f t="shared" si="98"/>
        <v>242</v>
      </c>
      <c r="AE246" s="132">
        <f t="shared" si="99"/>
        <v>4373562.0074342014</v>
      </c>
      <c r="AF246" s="132">
        <f>IF($AD246&lt;=$C$25*12,$AE246-$C$7+SUM('Mortgage Calculators (By Month)'!$K$23:$K264),"-")</f>
        <v>4373562.0074342014</v>
      </c>
      <c r="AG246" s="132">
        <f t="shared" si="100"/>
        <v>22774.138635822947</v>
      </c>
      <c r="AH246" s="132">
        <f>IF($AD246&lt;=$C$25*12,SUM(Inputs!$C$61:$C$78)*'Forecast (By Month)'!AG246,"-")</f>
        <v>2505.1552499405243</v>
      </c>
      <c r="AI246" s="132">
        <f>IF($AD246&lt;=$C$25*12,(SUMIF(Inputs!$C$61:$C$78,0,Inputs!$F$61:$F$78)/12)*(1+$C$34)^ROUNDDOWN((AD246-1)/12,0),"-")</f>
        <v>1488.1666666666667</v>
      </c>
      <c r="AJ246" s="132">
        <f t="shared" si="101"/>
        <v>3993.3219166071913</v>
      </c>
      <c r="AK246" s="132">
        <f>IF($AD246&lt;=$C$25*12,'Mortgage Calculators (By Month)'!$J264,"-")</f>
        <v>0</v>
      </c>
      <c r="AL246" s="132">
        <f>IF($AD246&lt;=$C$25*12,'Mortgage Calculators (By Month)'!$K264,"-")</f>
        <v>0</v>
      </c>
      <c r="AM246" s="132">
        <f>IF($AD246&lt;=$C$25*12,'Mortgage Calculators (By Month)'!$L264,"-")</f>
        <v>10</v>
      </c>
      <c r="AN246" s="132">
        <f t="shared" si="111"/>
        <v>0</v>
      </c>
      <c r="AO246" s="132">
        <f t="shared" si="102"/>
        <v>4003.3219166071913</v>
      </c>
      <c r="AP246" s="132">
        <f t="shared" si="103"/>
        <v>18780.816719215756</v>
      </c>
      <c r="AQ246" s="132">
        <f t="shared" si="104"/>
        <v>0</v>
      </c>
      <c r="AR246" s="132">
        <f t="shared" si="85"/>
        <v>18780.816719215756</v>
      </c>
      <c r="AS246" s="132">
        <f>IF($AD246&lt;=$C$25*12,SUM(AR$5:AR246),"-")</f>
        <v>2711547.6460502148</v>
      </c>
      <c r="AT246" s="132">
        <f>IF($AD246&lt;=$C$25*12,AE246-$C$10-'RE Calculations'!$C433-'Mortgage Calculators (By Month)'!$M264,"-")</f>
        <v>2680563.7672855165</v>
      </c>
      <c r="AU246" s="29">
        <f t="shared" si="105"/>
        <v>1.6742776775691581</v>
      </c>
      <c r="AV246" s="31">
        <f t="shared" si="106"/>
        <v>8.3022033598470643E-2</v>
      </c>
      <c r="AW246" s="132">
        <f t="shared" si="107"/>
        <v>5392111.4133357313</v>
      </c>
      <c r="AX246" s="29">
        <f t="shared" si="108"/>
        <v>3.3679078574788126</v>
      </c>
      <c r="AY246" s="31">
        <f t="shared" si="109"/>
        <v>0.16700369541217253</v>
      </c>
    </row>
    <row r="247" spans="6:51" x14ac:dyDescent="0.35">
      <c r="F247" s="12">
        <f t="shared" si="86"/>
        <v>243</v>
      </c>
      <c r="G247" s="132">
        <f t="shared" si="87"/>
        <v>4391380.4404279497</v>
      </c>
      <c r="H247" s="132">
        <f>IF($F247&lt;=$C$16*12,$G247-$C$7+SUM('Mortgage Calculators (By Month)'!$D$23:$D265),"-")</f>
        <v>4391380.4404279497</v>
      </c>
      <c r="I247" s="132">
        <f t="shared" si="88"/>
        <v>22774.138635822947</v>
      </c>
      <c r="J247" s="132">
        <f>IF($F247&lt;=$C$16*12,SUM(Inputs!$C$61:$C$78)*'Forecast (By Month)'!I247,"-")</f>
        <v>2505.1552499405243</v>
      </c>
      <c r="K247" s="132">
        <f>IF($F247&lt;=$C$16*12,(SUMIF(Inputs!$C$61:$C$78,0,Inputs!$F$61:$F$78)/12)*(1+$C$34)^ROUNDDOWN((F247-1)/12,0),"-")</f>
        <v>1488.1666666666667</v>
      </c>
      <c r="L247" s="132">
        <f t="shared" si="89"/>
        <v>3993.3219166071913</v>
      </c>
      <c r="M247" s="132">
        <f>IF($F247&lt;=$C$16*12,'Mortgage Calculators (By Month)'!$C265,"-")</f>
        <v>0</v>
      </c>
      <c r="N247" s="132">
        <f>IF($F247&lt;=$C$16*12,'Mortgage Calculators (By Month)'!$D265,"-")</f>
        <v>0</v>
      </c>
      <c r="O247" s="132">
        <f>IF($F247&lt;=$C$16*12,'Mortgage Calculators (By Month)'!$E265,"-")</f>
        <v>8.3333333333333339</v>
      </c>
      <c r="P247" s="132">
        <f t="shared" si="110"/>
        <v>0</v>
      </c>
      <c r="Q247" s="132">
        <f t="shared" si="90"/>
        <v>4001.6552499405248</v>
      </c>
      <c r="R247" s="132">
        <f t="shared" si="91"/>
        <v>18780.816719215756</v>
      </c>
      <c r="S247" s="132">
        <f t="shared" si="92"/>
        <v>0</v>
      </c>
      <c r="T247" s="132">
        <f t="shared" si="84"/>
        <v>18780.816719215756</v>
      </c>
      <c r="U247" s="132">
        <f>IF($F247&lt;=$C$16*12,SUM(T$5:T247),"-")</f>
        <v>2730338.4627694306</v>
      </c>
      <c r="V247" s="132">
        <f>IF($F247&lt;=$C$16*12,G247-$C$10-'RE Calculations'!$C434-'Mortgage Calculators (By Month)'!$F265,"-")</f>
        <v>2698025.8316193898</v>
      </c>
      <c r="W247" s="29">
        <f t="shared" si="93"/>
        <v>1.6851844669823743</v>
      </c>
      <c r="X247" s="31">
        <f t="shared" si="94"/>
        <v>8.3218986023820954E-2</v>
      </c>
      <c r="Y247" s="132">
        <f t="shared" si="95"/>
        <v>5428364.2943888204</v>
      </c>
      <c r="Z247" s="29">
        <f t="shared" si="96"/>
        <v>3.3905513738299358</v>
      </c>
      <c r="AA247" s="31">
        <f t="shared" si="97"/>
        <v>0.1674346357446882</v>
      </c>
      <c r="AD247" s="12">
        <f t="shared" si="98"/>
        <v>243</v>
      </c>
      <c r="AE247" s="132">
        <f t="shared" si="99"/>
        <v>4391380.4404279497</v>
      </c>
      <c r="AF247" s="132">
        <f>IF($AD247&lt;=$C$25*12,$AE247-$C$7+SUM('Mortgage Calculators (By Month)'!$K$23:$K265),"-")</f>
        <v>4391380.4404279497</v>
      </c>
      <c r="AG247" s="132">
        <f t="shared" si="100"/>
        <v>22774.138635822947</v>
      </c>
      <c r="AH247" s="132">
        <f>IF($AD247&lt;=$C$25*12,SUM(Inputs!$C$61:$C$78)*'Forecast (By Month)'!AG247,"-")</f>
        <v>2505.1552499405243</v>
      </c>
      <c r="AI247" s="132">
        <f>IF($AD247&lt;=$C$25*12,(SUMIF(Inputs!$C$61:$C$78,0,Inputs!$F$61:$F$78)/12)*(1+$C$34)^ROUNDDOWN((AD247-1)/12,0),"-")</f>
        <v>1488.1666666666667</v>
      </c>
      <c r="AJ247" s="132">
        <f t="shared" si="101"/>
        <v>3993.3219166071913</v>
      </c>
      <c r="AK247" s="132">
        <f>IF($AD247&lt;=$C$25*12,'Mortgage Calculators (By Month)'!$J265,"-")</f>
        <v>0</v>
      </c>
      <c r="AL247" s="132">
        <f>IF($AD247&lt;=$C$25*12,'Mortgage Calculators (By Month)'!$K265,"-")</f>
        <v>0</v>
      </c>
      <c r="AM247" s="132">
        <f>IF($AD247&lt;=$C$25*12,'Mortgage Calculators (By Month)'!$L265,"-")</f>
        <v>10</v>
      </c>
      <c r="AN247" s="132">
        <f t="shared" si="111"/>
        <v>0</v>
      </c>
      <c r="AO247" s="132">
        <f t="shared" si="102"/>
        <v>4003.3219166071913</v>
      </c>
      <c r="AP247" s="132">
        <f t="shared" si="103"/>
        <v>18780.816719215756</v>
      </c>
      <c r="AQ247" s="132">
        <f t="shared" si="104"/>
        <v>0</v>
      </c>
      <c r="AR247" s="132">
        <f t="shared" si="85"/>
        <v>18780.816719215756</v>
      </c>
      <c r="AS247" s="132">
        <f>IF($AD247&lt;=$C$25*12,SUM(AR$5:AR247),"-")</f>
        <v>2730328.4627694306</v>
      </c>
      <c r="AT247" s="132">
        <f>IF($AD247&lt;=$C$25*12,AE247-$C$10-'RE Calculations'!$C434-'Mortgage Calculators (By Month)'!$M265,"-")</f>
        <v>2698025.8316193898</v>
      </c>
      <c r="AU247" s="29">
        <f t="shared" si="105"/>
        <v>1.6851844669823743</v>
      </c>
      <c r="AV247" s="31">
        <f t="shared" si="106"/>
        <v>8.3218986023820954E-2</v>
      </c>
      <c r="AW247" s="132">
        <f t="shared" si="107"/>
        <v>5428354.2943888204</v>
      </c>
      <c r="AX247" s="29">
        <f t="shared" si="108"/>
        <v>3.390545127839081</v>
      </c>
      <c r="AY247" s="31">
        <f t="shared" si="109"/>
        <v>0.16743432730069535</v>
      </c>
    </row>
    <row r="248" spans="6:51" x14ac:dyDescent="0.35">
      <c r="F248" s="12">
        <f t="shared" si="86"/>
        <v>244</v>
      </c>
      <c r="G248" s="132">
        <f t="shared" si="87"/>
        <v>4409271.467923345</v>
      </c>
      <c r="H248" s="132">
        <f>IF($F248&lt;=$C$16*12,$G248-$C$7+SUM('Mortgage Calculators (By Month)'!$D$23:$D266),"-")</f>
        <v>4409271.467923345</v>
      </c>
      <c r="I248" s="132">
        <f t="shared" si="88"/>
        <v>22774.138635822947</v>
      </c>
      <c r="J248" s="132">
        <f>IF($F248&lt;=$C$16*12,SUM(Inputs!$C$61:$C$78)*'Forecast (By Month)'!I248,"-")</f>
        <v>2505.1552499405243</v>
      </c>
      <c r="K248" s="132">
        <f>IF($F248&lt;=$C$16*12,(SUMIF(Inputs!$C$61:$C$78,0,Inputs!$F$61:$F$78)/12)*(1+$C$34)^ROUNDDOWN((F248-1)/12,0),"-")</f>
        <v>1488.1666666666667</v>
      </c>
      <c r="L248" s="132">
        <f t="shared" si="89"/>
        <v>3993.3219166071913</v>
      </c>
      <c r="M248" s="132">
        <f>IF($F248&lt;=$C$16*12,'Mortgage Calculators (By Month)'!$C266,"-")</f>
        <v>0</v>
      </c>
      <c r="N248" s="132">
        <f>IF($F248&lt;=$C$16*12,'Mortgage Calculators (By Month)'!$D266,"-")</f>
        <v>0</v>
      </c>
      <c r="O248" s="132">
        <f>IF($F248&lt;=$C$16*12,'Mortgage Calculators (By Month)'!$E266,"-")</f>
        <v>8.3333333333333339</v>
      </c>
      <c r="P248" s="132">
        <f t="shared" si="110"/>
        <v>0</v>
      </c>
      <c r="Q248" s="132">
        <f t="shared" si="90"/>
        <v>4001.6552499405248</v>
      </c>
      <c r="R248" s="132">
        <f t="shared" si="91"/>
        <v>18780.816719215756</v>
      </c>
      <c r="S248" s="132">
        <f t="shared" si="92"/>
        <v>0</v>
      </c>
      <c r="T248" s="132">
        <f t="shared" si="84"/>
        <v>18780.816719215756</v>
      </c>
      <c r="U248" s="132">
        <f>IF($F248&lt;=$C$16*12,SUM(T$5:T248),"-")</f>
        <v>2749119.2794886464</v>
      </c>
      <c r="V248" s="132">
        <f>IF($F248&lt;=$C$16*12,G248-$C$10-'RE Calculations'!$C435-'Mortgage Calculators (By Month)'!$F266,"-")</f>
        <v>2715559.0385648771</v>
      </c>
      <c r="W248" s="29">
        <f t="shared" si="93"/>
        <v>1.696135692005742</v>
      </c>
      <c r="X248" s="31">
        <f t="shared" si="94"/>
        <v>8.3416509442905351E-2</v>
      </c>
      <c r="Y248" s="132">
        <f t="shared" si="95"/>
        <v>5464678.3180535231</v>
      </c>
      <c r="Z248" s="29">
        <f t="shared" si="96"/>
        <v>3.4132330798003552</v>
      </c>
      <c r="AA248" s="31">
        <f t="shared" si="97"/>
        <v>0.16786392195739452</v>
      </c>
      <c r="AD248" s="12">
        <f t="shared" si="98"/>
        <v>244</v>
      </c>
      <c r="AE248" s="132">
        <f t="shared" si="99"/>
        <v>4409271.467923345</v>
      </c>
      <c r="AF248" s="132">
        <f>IF($AD248&lt;=$C$25*12,$AE248-$C$7+SUM('Mortgage Calculators (By Month)'!$K$23:$K266),"-")</f>
        <v>4409271.467923345</v>
      </c>
      <c r="AG248" s="132">
        <f t="shared" si="100"/>
        <v>22774.138635822947</v>
      </c>
      <c r="AH248" s="132">
        <f>IF($AD248&lt;=$C$25*12,SUM(Inputs!$C$61:$C$78)*'Forecast (By Month)'!AG248,"-")</f>
        <v>2505.1552499405243</v>
      </c>
      <c r="AI248" s="132">
        <f>IF($AD248&lt;=$C$25*12,(SUMIF(Inputs!$C$61:$C$78,0,Inputs!$F$61:$F$78)/12)*(1+$C$34)^ROUNDDOWN((AD248-1)/12,0),"-")</f>
        <v>1488.1666666666667</v>
      </c>
      <c r="AJ248" s="132">
        <f t="shared" si="101"/>
        <v>3993.3219166071913</v>
      </c>
      <c r="AK248" s="132">
        <f>IF($AD248&lt;=$C$25*12,'Mortgage Calculators (By Month)'!$J266,"-")</f>
        <v>0</v>
      </c>
      <c r="AL248" s="132">
        <f>IF($AD248&lt;=$C$25*12,'Mortgage Calculators (By Month)'!$K266,"-")</f>
        <v>0</v>
      </c>
      <c r="AM248" s="132">
        <f>IF($AD248&lt;=$C$25*12,'Mortgage Calculators (By Month)'!$L266,"-")</f>
        <v>10</v>
      </c>
      <c r="AN248" s="132">
        <f t="shared" si="111"/>
        <v>0</v>
      </c>
      <c r="AO248" s="132">
        <f t="shared" si="102"/>
        <v>4003.3219166071913</v>
      </c>
      <c r="AP248" s="132">
        <f t="shared" si="103"/>
        <v>18780.816719215756</v>
      </c>
      <c r="AQ248" s="132">
        <f t="shared" si="104"/>
        <v>0</v>
      </c>
      <c r="AR248" s="132">
        <f t="shared" si="85"/>
        <v>18780.816719215756</v>
      </c>
      <c r="AS248" s="132">
        <f>IF($AD248&lt;=$C$25*12,SUM(AR$5:AR248),"-")</f>
        <v>2749109.2794886464</v>
      </c>
      <c r="AT248" s="132">
        <f>IF($AD248&lt;=$C$25*12,AE248-$C$10-'RE Calculations'!$C435-'Mortgage Calculators (By Month)'!$M266,"-")</f>
        <v>2715559.0385648771</v>
      </c>
      <c r="AU248" s="29">
        <f t="shared" si="105"/>
        <v>1.696135692005742</v>
      </c>
      <c r="AV248" s="31">
        <f t="shared" si="106"/>
        <v>8.3416509442905351E-2</v>
      </c>
      <c r="AW248" s="132">
        <f t="shared" si="107"/>
        <v>5464668.3180535231</v>
      </c>
      <c r="AX248" s="29">
        <f t="shared" si="108"/>
        <v>3.4132268338095004</v>
      </c>
      <c r="AY248" s="31">
        <f t="shared" si="109"/>
        <v>0.16786361477751643</v>
      </c>
    </row>
    <row r="249" spans="6:51" x14ac:dyDescent="0.35">
      <c r="F249" s="12">
        <f t="shared" si="86"/>
        <v>245</v>
      </c>
      <c r="G249" s="132">
        <f t="shared" si="87"/>
        <v>4427235.3856793735</v>
      </c>
      <c r="H249" s="132">
        <f>IF($F249&lt;=$C$16*12,$G249-$C$7+SUM('Mortgage Calculators (By Month)'!$D$23:$D267),"-")</f>
        <v>4427235.3856793735</v>
      </c>
      <c r="I249" s="132">
        <f t="shared" si="88"/>
        <v>22774.138635822947</v>
      </c>
      <c r="J249" s="132">
        <f>IF($F249&lt;=$C$16*12,SUM(Inputs!$C$61:$C$78)*'Forecast (By Month)'!I249,"-")</f>
        <v>2505.1552499405243</v>
      </c>
      <c r="K249" s="132">
        <f>IF($F249&lt;=$C$16*12,(SUMIF(Inputs!$C$61:$C$78,0,Inputs!$F$61:$F$78)/12)*(1+$C$34)^ROUNDDOWN((F249-1)/12,0),"-")</f>
        <v>1488.1666666666667</v>
      </c>
      <c r="L249" s="132">
        <f t="shared" si="89"/>
        <v>3993.3219166071913</v>
      </c>
      <c r="M249" s="132">
        <f>IF($F249&lt;=$C$16*12,'Mortgage Calculators (By Month)'!$C267,"-")</f>
        <v>0</v>
      </c>
      <c r="N249" s="132">
        <f>IF($F249&lt;=$C$16*12,'Mortgage Calculators (By Month)'!$D267,"-")</f>
        <v>0</v>
      </c>
      <c r="O249" s="132">
        <f>IF($F249&lt;=$C$16*12,'Mortgage Calculators (By Month)'!$E267,"-")</f>
        <v>8.3333333333333339</v>
      </c>
      <c r="P249" s="132">
        <f t="shared" si="110"/>
        <v>0</v>
      </c>
      <c r="Q249" s="132">
        <f t="shared" si="90"/>
        <v>4001.6552499405248</v>
      </c>
      <c r="R249" s="132">
        <f t="shared" si="91"/>
        <v>18780.816719215756</v>
      </c>
      <c r="S249" s="132">
        <f t="shared" si="92"/>
        <v>0</v>
      </c>
      <c r="T249" s="132">
        <f t="shared" si="84"/>
        <v>18780.816719215756</v>
      </c>
      <c r="U249" s="132">
        <f>IF($F249&lt;=$C$16*12,SUM(T$5:T249),"-")</f>
        <v>2767900.0962078623</v>
      </c>
      <c r="V249" s="132">
        <f>IF($F249&lt;=$C$16*12,G249-$C$10-'RE Calculations'!$C436-'Mortgage Calculators (By Month)'!$F267,"-")</f>
        <v>2733163.6779657854</v>
      </c>
      <c r="W249" s="29">
        <f t="shared" si="93"/>
        <v>1.707131533675438</v>
      </c>
      <c r="X249" s="31">
        <f t="shared" si="94"/>
        <v>8.3614605731041861E-2</v>
      </c>
      <c r="Y249" s="132">
        <f t="shared" si="95"/>
        <v>5501063.7741736472</v>
      </c>
      <c r="Z249" s="29">
        <f t="shared" si="96"/>
        <v>3.4359594024171032</v>
      </c>
      <c r="AA249" s="31">
        <f t="shared" si="97"/>
        <v>0.16829188909798054</v>
      </c>
      <c r="AD249" s="12">
        <f t="shared" si="98"/>
        <v>245</v>
      </c>
      <c r="AE249" s="132">
        <f t="shared" si="99"/>
        <v>4427235.3856793735</v>
      </c>
      <c r="AF249" s="132">
        <f>IF($AD249&lt;=$C$25*12,$AE249-$C$7+SUM('Mortgage Calculators (By Month)'!$K$23:$K267),"-")</f>
        <v>4427235.3856793735</v>
      </c>
      <c r="AG249" s="132">
        <f t="shared" si="100"/>
        <v>22774.138635822947</v>
      </c>
      <c r="AH249" s="132">
        <f>IF($AD249&lt;=$C$25*12,SUM(Inputs!$C$61:$C$78)*'Forecast (By Month)'!AG249,"-")</f>
        <v>2505.1552499405243</v>
      </c>
      <c r="AI249" s="132">
        <f>IF($AD249&lt;=$C$25*12,(SUMIF(Inputs!$C$61:$C$78,0,Inputs!$F$61:$F$78)/12)*(1+$C$34)^ROUNDDOWN((AD249-1)/12,0),"-")</f>
        <v>1488.1666666666667</v>
      </c>
      <c r="AJ249" s="132">
        <f t="shared" si="101"/>
        <v>3993.3219166071913</v>
      </c>
      <c r="AK249" s="132">
        <f>IF($AD249&lt;=$C$25*12,'Mortgage Calculators (By Month)'!$J267,"-")</f>
        <v>0</v>
      </c>
      <c r="AL249" s="132">
        <f>IF($AD249&lt;=$C$25*12,'Mortgage Calculators (By Month)'!$K267,"-")</f>
        <v>0</v>
      </c>
      <c r="AM249" s="132">
        <f>IF($AD249&lt;=$C$25*12,'Mortgage Calculators (By Month)'!$L267,"-")</f>
        <v>10</v>
      </c>
      <c r="AN249" s="132">
        <f t="shared" si="111"/>
        <v>0</v>
      </c>
      <c r="AO249" s="132">
        <f t="shared" si="102"/>
        <v>4003.3219166071913</v>
      </c>
      <c r="AP249" s="132">
        <f t="shared" si="103"/>
        <v>18780.816719215756</v>
      </c>
      <c r="AQ249" s="132">
        <f t="shared" si="104"/>
        <v>0</v>
      </c>
      <c r="AR249" s="132">
        <f t="shared" si="85"/>
        <v>18780.816719215756</v>
      </c>
      <c r="AS249" s="132">
        <f>IF($AD249&lt;=$C$25*12,SUM(AR$5:AR249),"-")</f>
        <v>2767890.0962078623</v>
      </c>
      <c r="AT249" s="132">
        <f>IF($AD249&lt;=$C$25*12,AE249-$C$10-'RE Calculations'!$C436-'Mortgage Calculators (By Month)'!$M267,"-")</f>
        <v>2733163.6779657854</v>
      </c>
      <c r="AU249" s="29">
        <f t="shared" si="105"/>
        <v>1.707131533675438</v>
      </c>
      <c r="AV249" s="31">
        <f t="shared" si="106"/>
        <v>8.3614605731041861E-2</v>
      </c>
      <c r="AW249" s="132">
        <f t="shared" si="107"/>
        <v>5501053.7741736472</v>
      </c>
      <c r="AX249" s="29">
        <f t="shared" si="108"/>
        <v>3.4359531564262484</v>
      </c>
      <c r="AY249" s="31">
        <f t="shared" si="109"/>
        <v>0.16829158317189788</v>
      </c>
    </row>
    <row r="250" spans="6:51" x14ac:dyDescent="0.35">
      <c r="F250" s="12">
        <f t="shared" si="86"/>
        <v>246</v>
      </c>
      <c r="G250" s="132">
        <f t="shared" si="87"/>
        <v>4445272.4906599792</v>
      </c>
      <c r="H250" s="132">
        <f>IF($F250&lt;=$C$16*12,$G250-$C$7+SUM('Mortgage Calculators (By Month)'!$D$23:$D268),"-")</f>
        <v>4445272.4906599792</v>
      </c>
      <c r="I250" s="132">
        <f t="shared" si="88"/>
        <v>22774.138635822947</v>
      </c>
      <c r="J250" s="132">
        <f>IF($F250&lt;=$C$16*12,SUM(Inputs!$C$61:$C$78)*'Forecast (By Month)'!I250,"-")</f>
        <v>2505.1552499405243</v>
      </c>
      <c r="K250" s="132">
        <f>IF($F250&lt;=$C$16*12,(SUMIF(Inputs!$C$61:$C$78,0,Inputs!$F$61:$F$78)/12)*(1+$C$34)^ROUNDDOWN((F250-1)/12,0),"-")</f>
        <v>1488.1666666666667</v>
      </c>
      <c r="L250" s="132">
        <f t="shared" si="89"/>
        <v>3993.3219166071913</v>
      </c>
      <c r="M250" s="132">
        <f>IF($F250&lt;=$C$16*12,'Mortgage Calculators (By Month)'!$C268,"-")</f>
        <v>0</v>
      </c>
      <c r="N250" s="132">
        <f>IF($F250&lt;=$C$16*12,'Mortgage Calculators (By Month)'!$D268,"-")</f>
        <v>0</v>
      </c>
      <c r="O250" s="132">
        <f>IF($F250&lt;=$C$16*12,'Mortgage Calculators (By Month)'!$E268,"-")</f>
        <v>8.3333333333333339</v>
      </c>
      <c r="P250" s="132">
        <f t="shared" si="110"/>
        <v>0</v>
      </c>
      <c r="Q250" s="132">
        <f t="shared" si="90"/>
        <v>4001.6552499405248</v>
      </c>
      <c r="R250" s="132">
        <f t="shared" si="91"/>
        <v>18780.816719215756</v>
      </c>
      <c r="S250" s="132">
        <f t="shared" si="92"/>
        <v>0</v>
      </c>
      <c r="T250" s="132">
        <f t="shared" si="84"/>
        <v>18780.816719215756</v>
      </c>
      <c r="U250" s="132">
        <f>IF($F250&lt;=$C$16*12,SUM(T$5:T250),"-")</f>
        <v>2786680.9129270781</v>
      </c>
      <c r="V250" s="132">
        <f>IF($F250&lt;=$C$16*12,G250-$C$10-'RE Calculations'!$C437-'Mortgage Calculators (By Month)'!$F268,"-")</f>
        <v>2750840.0408467785</v>
      </c>
      <c r="W250" s="29">
        <f t="shared" si="93"/>
        <v>1.7181721737652011</v>
      </c>
      <c r="X250" s="31">
        <f t="shared" si="94"/>
        <v>8.3813276769034203E-2</v>
      </c>
      <c r="Y250" s="132">
        <f t="shared" si="95"/>
        <v>5537520.9537738562</v>
      </c>
      <c r="Z250" s="29">
        <f t="shared" si="96"/>
        <v>3.4587305234539181</v>
      </c>
      <c r="AA250" s="31">
        <f t="shared" si="97"/>
        <v>0.16871856211970332</v>
      </c>
      <c r="AD250" s="12">
        <f t="shared" si="98"/>
        <v>246</v>
      </c>
      <c r="AE250" s="132">
        <f t="shared" si="99"/>
        <v>4445272.4906599792</v>
      </c>
      <c r="AF250" s="132">
        <f>IF($AD250&lt;=$C$25*12,$AE250-$C$7+SUM('Mortgage Calculators (By Month)'!$K$23:$K268),"-")</f>
        <v>4445272.4906599792</v>
      </c>
      <c r="AG250" s="132">
        <f t="shared" si="100"/>
        <v>22774.138635822947</v>
      </c>
      <c r="AH250" s="132">
        <f>IF($AD250&lt;=$C$25*12,SUM(Inputs!$C$61:$C$78)*'Forecast (By Month)'!AG250,"-")</f>
        <v>2505.1552499405243</v>
      </c>
      <c r="AI250" s="132">
        <f>IF($AD250&lt;=$C$25*12,(SUMIF(Inputs!$C$61:$C$78,0,Inputs!$F$61:$F$78)/12)*(1+$C$34)^ROUNDDOWN((AD250-1)/12,0),"-")</f>
        <v>1488.1666666666667</v>
      </c>
      <c r="AJ250" s="132">
        <f t="shared" si="101"/>
        <v>3993.3219166071913</v>
      </c>
      <c r="AK250" s="132">
        <f>IF($AD250&lt;=$C$25*12,'Mortgage Calculators (By Month)'!$J268,"-")</f>
        <v>0</v>
      </c>
      <c r="AL250" s="132">
        <f>IF($AD250&lt;=$C$25*12,'Mortgage Calculators (By Month)'!$K268,"-")</f>
        <v>0</v>
      </c>
      <c r="AM250" s="132">
        <f>IF($AD250&lt;=$C$25*12,'Mortgage Calculators (By Month)'!$L268,"-")</f>
        <v>10</v>
      </c>
      <c r="AN250" s="132">
        <f t="shared" si="111"/>
        <v>0</v>
      </c>
      <c r="AO250" s="132">
        <f t="shared" si="102"/>
        <v>4003.3219166071913</v>
      </c>
      <c r="AP250" s="132">
        <f t="shared" si="103"/>
        <v>18780.816719215756</v>
      </c>
      <c r="AQ250" s="132">
        <f t="shared" si="104"/>
        <v>0</v>
      </c>
      <c r="AR250" s="132">
        <f t="shared" si="85"/>
        <v>18780.816719215756</v>
      </c>
      <c r="AS250" s="132">
        <f>IF($AD250&lt;=$C$25*12,SUM(AR$5:AR250),"-")</f>
        <v>2786670.9129270781</v>
      </c>
      <c r="AT250" s="132">
        <f>IF($AD250&lt;=$C$25*12,AE250-$C$10-'RE Calculations'!$C437-'Mortgage Calculators (By Month)'!$M268,"-")</f>
        <v>2750840.0408467785</v>
      </c>
      <c r="AU250" s="29">
        <f t="shared" si="105"/>
        <v>1.7181721737652011</v>
      </c>
      <c r="AV250" s="31">
        <f t="shared" si="106"/>
        <v>8.3813276769034203E-2</v>
      </c>
      <c r="AW250" s="132">
        <f t="shared" si="107"/>
        <v>5537510.9537738562</v>
      </c>
      <c r="AX250" s="29">
        <f t="shared" si="108"/>
        <v>3.4587242774630633</v>
      </c>
      <c r="AY250" s="31">
        <f t="shared" si="109"/>
        <v>0.1687182574372226</v>
      </c>
    </row>
    <row r="251" spans="6:51" x14ac:dyDescent="0.35">
      <c r="F251" s="12">
        <f t="shared" si="86"/>
        <v>247</v>
      </c>
      <c r="G251" s="132">
        <f t="shared" si="87"/>
        <v>4463383.0810389752</v>
      </c>
      <c r="H251" s="132">
        <f>IF($F251&lt;=$C$16*12,$G251-$C$7+SUM('Mortgage Calculators (By Month)'!$D$23:$D269),"-")</f>
        <v>4463383.0810389752</v>
      </c>
      <c r="I251" s="132">
        <f t="shared" si="88"/>
        <v>22774.138635822947</v>
      </c>
      <c r="J251" s="132">
        <f>IF($F251&lt;=$C$16*12,SUM(Inputs!$C$61:$C$78)*'Forecast (By Month)'!I251,"-")</f>
        <v>2505.1552499405243</v>
      </c>
      <c r="K251" s="132">
        <f>IF($F251&lt;=$C$16*12,(SUMIF(Inputs!$C$61:$C$78,0,Inputs!$F$61:$F$78)/12)*(1+$C$34)^ROUNDDOWN((F251-1)/12,0),"-")</f>
        <v>1488.1666666666667</v>
      </c>
      <c r="L251" s="132">
        <f t="shared" si="89"/>
        <v>3993.3219166071913</v>
      </c>
      <c r="M251" s="132">
        <f>IF($F251&lt;=$C$16*12,'Mortgage Calculators (By Month)'!$C269,"-")</f>
        <v>0</v>
      </c>
      <c r="N251" s="132">
        <f>IF($F251&lt;=$C$16*12,'Mortgage Calculators (By Month)'!$D269,"-")</f>
        <v>0</v>
      </c>
      <c r="O251" s="132">
        <f>IF($F251&lt;=$C$16*12,'Mortgage Calculators (By Month)'!$E269,"-")</f>
        <v>8.3333333333333339</v>
      </c>
      <c r="P251" s="132">
        <f t="shared" si="110"/>
        <v>0</v>
      </c>
      <c r="Q251" s="132">
        <f t="shared" si="90"/>
        <v>4001.6552499405248</v>
      </c>
      <c r="R251" s="132">
        <f t="shared" si="91"/>
        <v>18780.816719215756</v>
      </c>
      <c r="S251" s="132">
        <f t="shared" si="92"/>
        <v>0</v>
      </c>
      <c r="T251" s="132">
        <f t="shared" si="84"/>
        <v>18780.816719215756</v>
      </c>
      <c r="U251" s="132">
        <f>IF($F251&lt;=$C$16*12,SUM(T$5:T251),"-")</f>
        <v>2805461.7296462939</v>
      </c>
      <c r="V251" s="132">
        <f>IF($F251&lt;=$C$16*12,G251-$C$10-'RE Calculations'!$C438-'Mortgage Calculators (By Month)'!$F269,"-")</f>
        <v>2768588.4194181948</v>
      </c>
      <c r="W251" s="29">
        <f t="shared" si="93"/>
        <v>1.7292577947893413</v>
      </c>
      <c r="X251" s="31">
        <f t="shared" si="94"/>
        <v>8.4012524443206865E-2</v>
      </c>
      <c r="Y251" s="132">
        <f t="shared" si="95"/>
        <v>5574050.1490644887</v>
      </c>
      <c r="Z251" s="29">
        <f t="shared" si="96"/>
        <v>3.4815466254251106</v>
      </c>
      <c r="AA251" s="31">
        <f t="shared" si="97"/>
        <v>0.1691439656076977</v>
      </c>
      <c r="AD251" s="12">
        <f t="shared" si="98"/>
        <v>247</v>
      </c>
      <c r="AE251" s="132">
        <f t="shared" si="99"/>
        <v>4463383.0810389752</v>
      </c>
      <c r="AF251" s="132">
        <f>IF($AD251&lt;=$C$25*12,$AE251-$C$7+SUM('Mortgage Calculators (By Month)'!$K$23:$K269),"-")</f>
        <v>4463383.0810389752</v>
      </c>
      <c r="AG251" s="132">
        <f t="shared" si="100"/>
        <v>22774.138635822947</v>
      </c>
      <c r="AH251" s="132">
        <f>IF($AD251&lt;=$C$25*12,SUM(Inputs!$C$61:$C$78)*'Forecast (By Month)'!AG251,"-")</f>
        <v>2505.1552499405243</v>
      </c>
      <c r="AI251" s="132">
        <f>IF($AD251&lt;=$C$25*12,(SUMIF(Inputs!$C$61:$C$78,0,Inputs!$F$61:$F$78)/12)*(1+$C$34)^ROUNDDOWN((AD251-1)/12,0),"-")</f>
        <v>1488.1666666666667</v>
      </c>
      <c r="AJ251" s="132">
        <f t="shared" si="101"/>
        <v>3993.3219166071913</v>
      </c>
      <c r="AK251" s="132">
        <f>IF($AD251&lt;=$C$25*12,'Mortgage Calculators (By Month)'!$J269,"-")</f>
        <v>0</v>
      </c>
      <c r="AL251" s="132">
        <f>IF($AD251&lt;=$C$25*12,'Mortgage Calculators (By Month)'!$K269,"-")</f>
        <v>0</v>
      </c>
      <c r="AM251" s="132">
        <f>IF($AD251&lt;=$C$25*12,'Mortgage Calculators (By Month)'!$L269,"-")</f>
        <v>10</v>
      </c>
      <c r="AN251" s="132">
        <f t="shared" si="111"/>
        <v>0</v>
      </c>
      <c r="AO251" s="132">
        <f t="shared" si="102"/>
        <v>4003.3219166071913</v>
      </c>
      <c r="AP251" s="132">
        <f t="shared" si="103"/>
        <v>18780.816719215756</v>
      </c>
      <c r="AQ251" s="132">
        <f t="shared" si="104"/>
        <v>0</v>
      </c>
      <c r="AR251" s="132">
        <f t="shared" si="85"/>
        <v>18780.816719215756</v>
      </c>
      <c r="AS251" s="132">
        <f>IF($AD251&lt;=$C$25*12,SUM(AR$5:AR251),"-")</f>
        <v>2805451.7296462939</v>
      </c>
      <c r="AT251" s="132">
        <f>IF($AD251&lt;=$C$25*12,AE251-$C$10-'RE Calculations'!$C438-'Mortgage Calculators (By Month)'!$M269,"-")</f>
        <v>2768588.4194181948</v>
      </c>
      <c r="AU251" s="29">
        <f t="shared" si="105"/>
        <v>1.7292577947893413</v>
      </c>
      <c r="AV251" s="31">
        <f t="shared" si="106"/>
        <v>8.4012524443206865E-2</v>
      </c>
      <c r="AW251" s="132">
        <f t="shared" si="107"/>
        <v>5574040.1490644887</v>
      </c>
      <c r="AX251" s="29">
        <f t="shared" si="108"/>
        <v>3.4815403794342559</v>
      </c>
      <c r="AY251" s="31">
        <f t="shared" si="109"/>
        <v>0.16914366215874929</v>
      </c>
    </row>
    <row r="252" spans="6:51" x14ac:dyDescent="0.35">
      <c r="F252" s="12">
        <f t="shared" si="86"/>
        <v>248</v>
      </c>
      <c r="G252" s="132">
        <f t="shared" si="87"/>
        <v>4481567.4562049694</v>
      </c>
      <c r="H252" s="132">
        <f>IF($F252&lt;=$C$16*12,$G252-$C$7+SUM('Mortgage Calculators (By Month)'!$D$23:$D270),"-")</f>
        <v>4481567.4562049694</v>
      </c>
      <c r="I252" s="132">
        <f t="shared" si="88"/>
        <v>22774.138635822947</v>
      </c>
      <c r="J252" s="132">
        <f>IF($F252&lt;=$C$16*12,SUM(Inputs!$C$61:$C$78)*'Forecast (By Month)'!I252,"-")</f>
        <v>2505.1552499405243</v>
      </c>
      <c r="K252" s="132">
        <f>IF($F252&lt;=$C$16*12,(SUMIF(Inputs!$C$61:$C$78,0,Inputs!$F$61:$F$78)/12)*(1+$C$34)^ROUNDDOWN((F252-1)/12,0),"-")</f>
        <v>1488.1666666666667</v>
      </c>
      <c r="L252" s="132">
        <f t="shared" si="89"/>
        <v>3993.3219166071913</v>
      </c>
      <c r="M252" s="132">
        <f>IF($F252&lt;=$C$16*12,'Mortgage Calculators (By Month)'!$C270,"-")</f>
        <v>0</v>
      </c>
      <c r="N252" s="132">
        <f>IF($F252&lt;=$C$16*12,'Mortgage Calculators (By Month)'!$D270,"-")</f>
        <v>0</v>
      </c>
      <c r="O252" s="132">
        <f>IF($F252&lt;=$C$16*12,'Mortgage Calculators (By Month)'!$E270,"-")</f>
        <v>8.3333333333333339</v>
      </c>
      <c r="P252" s="132">
        <f t="shared" si="110"/>
        <v>0</v>
      </c>
      <c r="Q252" s="132">
        <f t="shared" si="90"/>
        <v>4001.6552499405248</v>
      </c>
      <c r="R252" s="132">
        <f t="shared" si="91"/>
        <v>18780.816719215756</v>
      </c>
      <c r="S252" s="132">
        <f t="shared" si="92"/>
        <v>0</v>
      </c>
      <c r="T252" s="132">
        <f t="shared" si="84"/>
        <v>18780.816719215756</v>
      </c>
      <c r="U252" s="132">
        <f>IF($F252&lt;=$C$16*12,SUM(T$5:T252),"-")</f>
        <v>2824242.5463655097</v>
      </c>
      <c r="V252" s="132">
        <f>IF($F252&lt;=$C$16*12,G252-$C$10-'RE Calculations'!$C439-'Mortgage Calculators (By Month)'!$F270,"-")</f>
        <v>2786409.1070808689</v>
      </c>
      <c r="W252" s="29">
        <f t="shared" si="93"/>
        <v>1.7403885800057519</v>
      </c>
      <c r="X252" s="31">
        <f t="shared" si="94"/>
        <v>8.421235064543961E-2</v>
      </c>
      <c r="Y252" s="132">
        <f t="shared" si="95"/>
        <v>5610651.6534463782</v>
      </c>
      <c r="Z252" s="29">
        <f t="shared" si="96"/>
        <v>3.5044078915885728</v>
      </c>
      <c r="AA252" s="31">
        <f t="shared" si="97"/>
        <v>0.16956812378654385</v>
      </c>
      <c r="AD252" s="12">
        <f t="shared" si="98"/>
        <v>248</v>
      </c>
      <c r="AE252" s="132">
        <f t="shared" si="99"/>
        <v>4481567.4562049694</v>
      </c>
      <c r="AF252" s="132">
        <f>IF($AD252&lt;=$C$25*12,$AE252-$C$7+SUM('Mortgage Calculators (By Month)'!$K$23:$K270),"-")</f>
        <v>4481567.4562049694</v>
      </c>
      <c r="AG252" s="132">
        <f t="shared" si="100"/>
        <v>22774.138635822947</v>
      </c>
      <c r="AH252" s="132">
        <f>IF($AD252&lt;=$C$25*12,SUM(Inputs!$C$61:$C$78)*'Forecast (By Month)'!AG252,"-")</f>
        <v>2505.1552499405243</v>
      </c>
      <c r="AI252" s="132">
        <f>IF($AD252&lt;=$C$25*12,(SUMIF(Inputs!$C$61:$C$78,0,Inputs!$F$61:$F$78)/12)*(1+$C$34)^ROUNDDOWN((AD252-1)/12,0),"-")</f>
        <v>1488.1666666666667</v>
      </c>
      <c r="AJ252" s="132">
        <f t="shared" si="101"/>
        <v>3993.3219166071913</v>
      </c>
      <c r="AK252" s="132">
        <f>IF($AD252&lt;=$C$25*12,'Mortgage Calculators (By Month)'!$J270,"-")</f>
        <v>0</v>
      </c>
      <c r="AL252" s="132">
        <f>IF($AD252&lt;=$C$25*12,'Mortgage Calculators (By Month)'!$K270,"-")</f>
        <v>0</v>
      </c>
      <c r="AM252" s="132">
        <f>IF($AD252&lt;=$C$25*12,'Mortgage Calculators (By Month)'!$L270,"-")</f>
        <v>10</v>
      </c>
      <c r="AN252" s="132">
        <f t="shared" si="111"/>
        <v>0</v>
      </c>
      <c r="AO252" s="132">
        <f t="shared" si="102"/>
        <v>4003.3219166071913</v>
      </c>
      <c r="AP252" s="132">
        <f t="shared" si="103"/>
        <v>18780.816719215756</v>
      </c>
      <c r="AQ252" s="132">
        <f t="shared" si="104"/>
        <v>0</v>
      </c>
      <c r="AR252" s="132">
        <f t="shared" si="85"/>
        <v>18780.816719215756</v>
      </c>
      <c r="AS252" s="132">
        <f>IF($AD252&lt;=$C$25*12,SUM(AR$5:AR252),"-")</f>
        <v>2824232.5463655097</v>
      </c>
      <c r="AT252" s="132">
        <f>IF($AD252&lt;=$C$25*12,AE252-$C$10-'RE Calculations'!$C439-'Mortgage Calculators (By Month)'!$M270,"-")</f>
        <v>2786409.1070808689</v>
      </c>
      <c r="AU252" s="29">
        <f t="shared" si="105"/>
        <v>1.7403885800057519</v>
      </c>
      <c r="AV252" s="31">
        <f t="shared" si="106"/>
        <v>8.421235064543961E-2</v>
      </c>
      <c r="AW252" s="132">
        <f t="shared" si="107"/>
        <v>5610641.6534463782</v>
      </c>
      <c r="AX252" s="29">
        <f t="shared" si="108"/>
        <v>3.5044016455977185</v>
      </c>
      <c r="AY252" s="31">
        <f t="shared" si="109"/>
        <v>0.16956782156117992</v>
      </c>
    </row>
    <row r="253" spans="6:51" x14ac:dyDescent="0.35">
      <c r="F253" s="12">
        <f t="shared" si="86"/>
        <v>249</v>
      </c>
      <c r="G253" s="132">
        <f t="shared" si="87"/>
        <v>4499825.9167663185</v>
      </c>
      <c r="H253" s="132">
        <f>IF($F253&lt;=$C$16*12,$G253-$C$7+SUM('Mortgage Calculators (By Month)'!$D$23:$D271),"-")</f>
        <v>4499825.9167663185</v>
      </c>
      <c r="I253" s="132">
        <f t="shared" si="88"/>
        <v>22774.138635822947</v>
      </c>
      <c r="J253" s="132">
        <f>IF($F253&lt;=$C$16*12,SUM(Inputs!$C$61:$C$78)*'Forecast (By Month)'!I253,"-")</f>
        <v>2505.1552499405243</v>
      </c>
      <c r="K253" s="132">
        <f>IF($F253&lt;=$C$16*12,(SUMIF(Inputs!$C$61:$C$78,0,Inputs!$F$61:$F$78)/12)*(1+$C$34)^ROUNDDOWN((F253-1)/12,0),"-")</f>
        <v>1488.1666666666667</v>
      </c>
      <c r="L253" s="132">
        <f t="shared" si="89"/>
        <v>3993.3219166071913</v>
      </c>
      <c r="M253" s="132">
        <f>IF($F253&lt;=$C$16*12,'Mortgage Calculators (By Month)'!$C271,"-")</f>
        <v>0</v>
      </c>
      <c r="N253" s="132">
        <f>IF($F253&lt;=$C$16*12,'Mortgage Calculators (By Month)'!$D271,"-")</f>
        <v>0</v>
      </c>
      <c r="O253" s="132">
        <f>IF($F253&lt;=$C$16*12,'Mortgage Calculators (By Month)'!$E271,"-")</f>
        <v>8.3333333333333339</v>
      </c>
      <c r="P253" s="132">
        <f t="shared" si="110"/>
        <v>0</v>
      </c>
      <c r="Q253" s="132">
        <f t="shared" si="90"/>
        <v>4001.6552499405248</v>
      </c>
      <c r="R253" s="132">
        <f t="shared" si="91"/>
        <v>18780.816719215756</v>
      </c>
      <c r="S253" s="132">
        <f t="shared" si="92"/>
        <v>0</v>
      </c>
      <c r="T253" s="132">
        <f t="shared" si="84"/>
        <v>18780.816719215756</v>
      </c>
      <c r="U253" s="132">
        <f>IF($F253&lt;=$C$16*12,SUM(T$5:T253),"-")</f>
        <v>2843023.3630847256</v>
      </c>
      <c r="V253" s="132">
        <f>IF($F253&lt;=$C$16*12,G253-$C$10-'RE Calculations'!$C440-'Mortgage Calculators (By Month)'!$F271,"-")</f>
        <v>2804302.398430991</v>
      </c>
      <c r="W253" s="29">
        <f t="shared" si="93"/>
        <v>1.7515647134189436</v>
      </c>
      <c r="X253" s="31">
        <f t="shared" si="94"/>
        <v>8.4412757273202105E-2</v>
      </c>
      <c r="Y253" s="132">
        <f t="shared" si="95"/>
        <v>5647325.7615157161</v>
      </c>
      <c r="Z253" s="29">
        <f t="shared" si="96"/>
        <v>3.5273145059488167</v>
      </c>
      <c r="AA253" s="31">
        <f t="shared" si="97"/>
        <v>0.16999106052765381</v>
      </c>
      <c r="AD253" s="12">
        <f t="shared" si="98"/>
        <v>249</v>
      </c>
      <c r="AE253" s="132">
        <f t="shared" si="99"/>
        <v>4499825.9167663185</v>
      </c>
      <c r="AF253" s="132">
        <f>IF($AD253&lt;=$C$25*12,$AE253-$C$7+SUM('Mortgage Calculators (By Month)'!$K$23:$K271),"-")</f>
        <v>4499825.9167663185</v>
      </c>
      <c r="AG253" s="132">
        <f t="shared" si="100"/>
        <v>22774.138635822947</v>
      </c>
      <c r="AH253" s="132">
        <f>IF($AD253&lt;=$C$25*12,SUM(Inputs!$C$61:$C$78)*'Forecast (By Month)'!AG253,"-")</f>
        <v>2505.1552499405243</v>
      </c>
      <c r="AI253" s="132">
        <f>IF($AD253&lt;=$C$25*12,(SUMIF(Inputs!$C$61:$C$78,0,Inputs!$F$61:$F$78)/12)*(1+$C$34)^ROUNDDOWN((AD253-1)/12,0),"-")</f>
        <v>1488.1666666666667</v>
      </c>
      <c r="AJ253" s="132">
        <f t="shared" si="101"/>
        <v>3993.3219166071913</v>
      </c>
      <c r="AK253" s="132">
        <f>IF($AD253&lt;=$C$25*12,'Mortgage Calculators (By Month)'!$J271,"-")</f>
        <v>0</v>
      </c>
      <c r="AL253" s="132">
        <f>IF($AD253&lt;=$C$25*12,'Mortgage Calculators (By Month)'!$K271,"-")</f>
        <v>0</v>
      </c>
      <c r="AM253" s="132">
        <f>IF($AD253&lt;=$C$25*12,'Mortgage Calculators (By Month)'!$L271,"-")</f>
        <v>10</v>
      </c>
      <c r="AN253" s="132">
        <f t="shared" si="111"/>
        <v>0</v>
      </c>
      <c r="AO253" s="132">
        <f t="shared" si="102"/>
        <v>4003.3219166071913</v>
      </c>
      <c r="AP253" s="132">
        <f t="shared" si="103"/>
        <v>18780.816719215756</v>
      </c>
      <c r="AQ253" s="132">
        <f t="shared" si="104"/>
        <v>0</v>
      </c>
      <c r="AR253" s="132">
        <f t="shared" si="85"/>
        <v>18780.816719215756</v>
      </c>
      <c r="AS253" s="132">
        <f>IF($AD253&lt;=$C$25*12,SUM(AR$5:AR253),"-")</f>
        <v>2843013.3630847256</v>
      </c>
      <c r="AT253" s="132">
        <f>IF($AD253&lt;=$C$25*12,AE253-$C$10-'RE Calculations'!$C440-'Mortgage Calculators (By Month)'!$M271,"-")</f>
        <v>2804302.398430991</v>
      </c>
      <c r="AU253" s="29">
        <f t="shared" si="105"/>
        <v>1.7515647134189436</v>
      </c>
      <c r="AV253" s="31">
        <f t="shared" si="106"/>
        <v>8.4412757273202105E-2</v>
      </c>
      <c r="AW253" s="132">
        <f t="shared" si="107"/>
        <v>5647315.7615157161</v>
      </c>
      <c r="AX253" s="29">
        <f t="shared" si="108"/>
        <v>3.5273082599579619</v>
      </c>
      <c r="AY253" s="31">
        <f t="shared" si="109"/>
        <v>0.16999075951604636</v>
      </c>
    </row>
    <row r="254" spans="6:51" x14ac:dyDescent="0.35">
      <c r="F254" s="12">
        <f t="shared" si="86"/>
        <v>250</v>
      </c>
      <c r="G254" s="132">
        <f t="shared" si="87"/>
        <v>4518158.7645560931</v>
      </c>
      <c r="H254" s="132">
        <f>IF($F254&lt;=$C$16*12,$G254-$C$7+SUM('Mortgage Calculators (By Month)'!$D$23:$D272),"-")</f>
        <v>4518158.7645560931</v>
      </c>
      <c r="I254" s="132">
        <f t="shared" si="88"/>
        <v>22774.138635822947</v>
      </c>
      <c r="J254" s="132">
        <f>IF($F254&lt;=$C$16*12,SUM(Inputs!$C$61:$C$78)*'Forecast (By Month)'!I254,"-")</f>
        <v>2505.1552499405243</v>
      </c>
      <c r="K254" s="132">
        <f>IF($F254&lt;=$C$16*12,(SUMIF(Inputs!$C$61:$C$78,0,Inputs!$F$61:$F$78)/12)*(1+$C$34)^ROUNDDOWN((F254-1)/12,0),"-")</f>
        <v>1488.1666666666667</v>
      </c>
      <c r="L254" s="132">
        <f t="shared" si="89"/>
        <v>3993.3219166071913</v>
      </c>
      <c r="M254" s="132">
        <f>IF($F254&lt;=$C$16*12,'Mortgage Calculators (By Month)'!$C272,"-")</f>
        <v>0</v>
      </c>
      <c r="N254" s="132">
        <f>IF($F254&lt;=$C$16*12,'Mortgage Calculators (By Month)'!$D272,"-")</f>
        <v>0</v>
      </c>
      <c r="O254" s="132">
        <f>IF($F254&lt;=$C$16*12,'Mortgage Calculators (By Month)'!$E272,"-")</f>
        <v>8.3333333333333339</v>
      </c>
      <c r="P254" s="132">
        <f t="shared" si="110"/>
        <v>0</v>
      </c>
      <c r="Q254" s="132">
        <f t="shared" si="90"/>
        <v>4001.6552499405248</v>
      </c>
      <c r="R254" s="132">
        <f t="shared" si="91"/>
        <v>18780.816719215756</v>
      </c>
      <c r="S254" s="132">
        <f t="shared" si="92"/>
        <v>0</v>
      </c>
      <c r="T254" s="132">
        <f t="shared" si="84"/>
        <v>18780.816719215756</v>
      </c>
      <c r="U254" s="132">
        <f>IF($F254&lt;=$C$16*12,SUM(T$5:T254),"-")</f>
        <v>2861804.1798039414</v>
      </c>
      <c r="V254" s="132">
        <f>IF($F254&lt;=$C$16*12,G254-$C$10-'RE Calculations'!$C441-'Mortgage Calculators (By Month)'!$F272,"-")</f>
        <v>2822268.5892649703</v>
      </c>
      <c r="W254" s="29">
        <f t="shared" si="93"/>
        <v>1.7627863797830832</v>
      </c>
      <c r="X254" s="31">
        <f t="shared" si="94"/>
        <v>8.4613746229587991E-2</v>
      </c>
      <c r="Y254" s="132">
        <f t="shared" si="95"/>
        <v>5684072.7690689117</v>
      </c>
      <c r="Z254" s="29">
        <f t="shared" si="96"/>
        <v>3.5502666532600085</v>
      </c>
      <c r="AA254" s="31">
        <f t="shared" si="97"/>
        <v>0.1704127993564804</v>
      </c>
      <c r="AD254" s="12">
        <f t="shared" si="98"/>
        <v>250</v>
      </c>
      <c r="AE254" s="132">
        <f t="shared" si="99"/>
        <v>4518158.7645560931</v>
      </c>
      <c r="AF254" s="132">
        <f>IF($AD254&lt;=$C$25*12,$AE254-$C$7+SUM('Mortgage Calculators (By Month)'!$K$23:$K272),"-")</f>
        <v>4518158.7645560931</v>
      </c>
      <c r="AG254" s="132">
        <f t="shared" si="100"/>
        <v>22774.138635822947</v>
      </c>
      <c r="AH254" s="132">
        <f>IF($AD254&lt;=$C$25*12,SUM(Inputs!$C$61:$C$78)*'Forecast (By Month)'!AG254,"-")</f>
        <v>2505.1552499405243</v>
      </c>
      <c r="AI254" s="132">
        <f>IF($AD254&lt;=$C$25*12,(SUMIF(Inputs!$C$61:$C$78,0,Inputs!$F$61:$F$78)/12)*(1+$C$34)^ROUNDDOWN((AD254-1)/12,0),"-")</f>
        <v>1488.1666666666667</v>
      </c>
      <c r="AJ254" s="132">
        <f t="shared" si="101"/>
        <v>3993.3219166071913</v>
      </c>
      <c r="AK254" s="132">
        <f>IF($AD254&lt;=$C$25*12,'Mortgage Calculators (By Month)'!$J272,"-")</f>
        <v>0</v>
      </c>
      <c r="AL254" s="132">
        <f>IF($AD254&lt;=$C$25*12,'Mortgage Calculators (By Month)'!$K272,"-")</f>
        <v>0</v>
      </c>
      <c r="AM254" s="132">
        <f>IF($AD254&lt;=$C$25*12,'Mortgage Calculators (By Month)'!$L272,"-")</f>
        <v>10</v>
      </c>
      <c r="AN254" s="132">
        <f t="shared" si="111"/>
        <v>0</v>
      </c>
      <c r="AO254" s="132">
        <f t="shared" si="102"/>
        <v>4003.3219166071913</v>
      </c>
      <c r="AP254" s="132">
        <f t="shared" si="103"/>
        <v>18780.816719215756</v>
      </c>
      <c r="AQ254" s="132">
        <f t="shared" si="104"/>
        <v>0</v>
      </c>
      <c r="AR254" s="132">
        <f t="shared" si="85"/>
        <v>18780.816719215756</v>
      </c>
      <c r="AS254" s="132">
        <f>IF($AD254&lt;=$C$25*12,SUM(AR$5:AR254),"-")</f>
        <v>2861794.1798039414</v>
      </c>
      <c r="AT254" s="132">
        <f>IF($AD254&lt;=$C$25*12,AE254-$C$10-'RE Calculations'!$C441-'Mortgage Calculators (By Month)'!$M272,"-")</f>
        <v>2822268.5892649703</v>
      </c>
      <c r="AU254" s="29">
        <f t="shared" si="105"/>
        <v>1.7627863797830832</v>
      </c>
      <c r="AV254" s="31">
        <f t="shared" si="106"/>
        <v>8.4613746229587991E-2</v>
      </c>
      <c r="AW254" s="132">
        <f t="shared" si="107"/>
        <v>5684062.7690689117</v>
      </c>
      <c r="AX254" s="29">
        <f t="shared" si="108"/>
        <v>3.5502604072691537</v>
      </c>
      <c r="AY254" s="31">
        <f t="shared" si="109"/>
        <v>0.17041249954891938</v>
      </c>
    </row>
    <row r="255" spans="6:51" x14ac:dyDescent="0.35">
      <c r="F255" s="12">
        <f t="shared" si="86"/>
        <v>251</v>
      </c>
      <c r="G255" s="132">
        <f t="shared" si="87"/>
        <v>4536566.3026370704</v>
      </c>
      <c r="H255" s="132">
        <f>IF($F255&lt;=$C$16*12,$G255-$C$7+SUM('Mortgage Calculators (By Month)'!$D$23:$D273),"-")</f>
        <v>4536566.3026370704</v>
      </c>
      <c r="I255" s="132">
        <f t="shared" si="88"/>
        <v>22774.138635822947</v>
      </c>
      <c r="J255" s="132">
        <f>IF($F255&lt;=$C$16*12,SUM(Inputs!$C$61:$C$78)*'Forecast (By Month)'!I255,"-")</f>
        <v>2505.1552499405243</v>
      </c>
      <c r="K255" s="132">
        <f>IF($F255&lt;=$C$16*12,(SUMIF(Inputs!$C$61:$C$78,0,Inputs!$F$61:$F$78)/12)*(1+$C$34)^ROUNDDOWN((F255-1)/12,0),"-")</f>
        <v>1488.1666666666667</v>
      </c>
      <c r="L255" s="132">
        <f t="shared" si="89"/>
        <v>3993.3219166071913</v>
      </c>
      <c r="M255" s="132">
        <f>IF($F255&lt;=$C$16*12,'Mortgage Calculators (By Month)'!$C273,"-")</f>
        <v>0</v>
      </c>
      <c r="N255" s="132">
        <f>IF($F255&lt;=$C$16*12,'Mortgage Calculators (By Month)'!$D273,"-")</f>
        <v>0</v>
      </c>
      <c r="O255" s="132">
        <f>IF($F255&lt;=$C$16*12,'Mortgage Calculators (By Month)'!$E273,"-")</f>
        <v>8.3333333333333339</v>
      </c>
      <c r="P255" s="132">
        <f t="shared" si="110"/>
        <v>0</v>
      </c>
      <c r="Q255" s="132">
        <f t="shared" si="90"/>
        <v>4001.6552499405248</v>
      </c>
      <c r="R255" s="132">
        <f t="shared" si="91"/>
        <v>18780.816719215756</v>
      </c>
      <c r="S255" s="132">
        <f t="shared" si="92"/>
        <v>0</v>
      </c>
      <c r="T255" s="132">
        <f t="shared" si="84"/>
        <v>18780.816719215756</v>
      </c>
      <c r="U255" s="132">
        <f>IF($F255&lt;=$C$16*12,SUM(T$5:T255),"-")</f>
        <v>2880584.9965231572</v>
      </c>
      <c r="V255" s="132">
        <f>IF($F255&lt;=$C$16*12,G255-$C$10-'RE Calculations'!$C442-'Mortgage Calculators (By Month)'!$F273,"-")</f>
        <v>2840307.9765843279</v>
      </c>
      <c r="W255" s="29">
        <f t="shared" si="93"/>
        <v>1.7740537646050492</v>
      </c>
      <c r="X255" s="31">
        <f t="shared" si="94"/>
        <v>8.4815319423348953E-2</v>
      </c>
      <c r="Y255" s="132">
        <f t="shared" si="95"/>
        <v>5720892.9731074851</v>
      </c>
      <c r="Z255" s="29">
        <f t="shared" si="96"/>
        <v>3.5732645190290264</v>
      </c>
      <c r="AA255" s="31">
        <f t="shared" si="97"/>
        <v>0.17083336345955505</v>
      </c>
      <c r="AD255" s="12">
        <f t="shared" si="98"/>
        <v>251</v>
      </c>
      <c r="AE255" s="132">
        <f t="shared" si="99"/>
        <v>4536566.3026370704</v>
      </c>
      <c r="AF255" s="132">
        <f>IF($AD255&lt;=$C$25*12,$AE255-$C$7+SUM('Mortgage Calculators (By Month)'!$K$23:$K273),"-")</f>
        <v>4536566.3026370704</v>
      </c>
      <c r="AG255" s="132">
        <f t="shared" si="100"/>
        <v>22774.138635822947</v>
      </c>
      <c r="AH255" s="132">
        <f>IF($AD255&lt;=$C$25*12,SUM(Inputs!$C$61:$C$78)*'Forecast (By Month)'!AG255,"-")</f>
        <v>2505.1552499405243</v>
      </c>
      <c r="AI255" s="132">
        <f>IF($AD255&lt;=$C$25*12,(SUMIF(Inputs!$C$61:$C$78,0,Inputs!$F$61:$F$78)/12)*(1+$C$34)^ROUNDDOWN((AD255-1)/12,0),"-")</f>
        <v>1488.1666666666667</v>
      </c>
      <c r="AJ255" s="132">
        <f t="shared" si="101"/>
        <v>3993.3219166071913</v>
      </c>
      <c r="AK255" s="132">
        <f>IF($AD255&lt;=$C$25*12,'Mortgage Calculators (By Month)'!$J273,"-")</f>
        <v>0</v>
      </c>
      <c r="AL255" s="132">
        <f>IF($AD255&lt;=$C$25*12,'Mortgage Calculators (By Month)'!$K273,"-")</f>
        <v>0</v>
      </c>
      <c r="AM255" s="132">
        <f>IF($AD255&lt;=$C$25*12,'Mortgage Calculators (By Month)'!$L273,"-")</f>
        <v>10</v>
      </c>
      <c r="AN255" s="132">
        <f t="shared" si="111"/>
        <v>0</v>
      </c>
      <c r="AO255" s="132">
        <f t="shared" si="102"/>
        <v>4003.3219166071913</v>
      </c>
      <c r="AP255" s="132">
        <f t="shared" si="103"/>
        <v>18780.816719215756</v>
      </c>
      <c r="AQ255" s="132">
        <f t="shared" si="104"/>
        <v>0</v>
      </c>
      <c r="AR255" s="132">
        <f t="shared" si="85"/>
        <v>18780.816719215756</v>
      </c>
      <c r="AS255" s="132">
        <f>IF($AD255&lt;=$C$25*12,SUM(AR$5:AR255),"-")</f>
        <v>2880574.9965231572</v>
      </c>
      <c r="AT255" s="132">
        <f>IF($AD255&lt;=$C$25*12,AE255-$C$10-'RE Calculations'!$C442-'Mortgage Calculators (By Month)'!$M273,"-")</f>
        <v>2840307.9765843279</v>
      </c>
      <c r="AU255" s="29">
        <f t="shared" si="105"/>
        <v>1.7740537646050492</v>
      </c>
      <c r="AV255" s="31">
        <f t="shared" si="106"/>
        <v>8.4815319423348953E-2</v>
      </c>
      <c r="AW255" s="132">
        <f t="shared" si="107"/>
        <v>5720882.9731074851</v>
      </c>
      <c r="AX255" s="29">
        <f t="shared" si="108"/>
        <v>3.5732582730381717</v>
      </c>
      <c r="AY255" s="31">
        <f t="shared" si="109"/>
        <v>0.17083306484644645</v>
      </c>
    </row>
    <row r="256" spans="6:51" x14ac:dyDescent="0.35">
      <c r="F256" s="12">
        <f t="shared" si="86"/>
        <v>252</v>
      </c>
      <c r="G256" s="132">
        <f t="shared" si="87"/>
        <v>4555048.8353067422</v>
      </c>
      <c r="H256" s="132">
        <f>IF($F256&lt;=$C$16*12,$G256-$C$7+SUM('Mortgage Calculators (By Month)'!$D$23:$D274),"-")</f>
        <v>4555048.8353067422</v>
      </c>
      <c r="I256" s="132">
        <f t="shared" si="88"/>
        <v>22774.138635822947</v>
      </c>
      <c r="J256" s="132">
        <f>IF($F256&lt;=$C$16*12,SUM(Inputs!$C$61:$C$78)*'Forecast (By Month)'!I256,"-")</f>
        <v>2505.1552499405243</v>
      </c>
      <c r="K256" s="132">
        <f>IF($F256&lt;=$C$16*12,(SUMIF(Inputs!$C$61:$C$78,0,Inputs!$F$61:$F$78)/12)*(1+$C$34)^ROUNDDOWN((F256-1)/12,0),"-")</f>
        <v>1488.1666666666667</v>
      </c>
      <c r="L256" s="132">
        <f t="shared" si="89"/>
        <v>3993.3219166071913</v>
      </c>
      <c r="M256" s="132">
        <f>IF($F256&lt;=$C$16*12,'Mortgage Calculators (By Month)'!$C274,"-")</f>
        <v>0</v>
      </c>
      <c r="N256" s="132">
        <f>IF($F256&lt;=$C$16*12,'Mortgage Calculators (By Month)'!$D274,"-")</f>
        <v>0</v>
      </c>
      <c r="O256" s="132">
        <f>IF($F256&lt;=$C$16*12,'Mortgage Calculators (By Month)'!$E274,"-")</f>
        <v>8.3333333333333339</v>
      </c>
      <c r="P256" s="132">
        <f t="shared" si="110"/>
        <v>0</v>
      </c>
      <c r="Q256" s="132">
        <f t="shared" si="90"/>
        <v>4001.6552499405248</v>
      </c>
      <c r="R256" s="132">
        <f t="shared" si="91"/>
        <v>18780.816719215756</v>
      </c>
      <c r="S256" s="132">
        <f t="shared" si="92"/>
        <v>0</v>
      </c>
      <c r="T256" s="132">
        <f t="shared" si="84"/>
        <v>18780.816719215756</v>
      </c>
      <c r="U256" s="132">
        <f>IF($F256&lt;=$C$16*12,SUM(T$5:T256),"-")</f>
        <v>2899365.8132423731</v>
      </c>
      <c r="V256" s="132">
        <f>IF($F256&lt;=$C$16*12,G256-$C$10-'RE Calculations'!$C443-'Mortgage Calculators (By Month)'!$F274,"-")</f>
        <v>2858420.8586006062</v>
      </c>
      <c r="W256" s="29">
        <f t="shared" si="93"/>
        <v>1.785367054147498</v>
      </c>
      <c r="X256" s="31">
        <f t="shared" si="94"/>
        <v>8.501747876892847E-2</v>
      </c>
      <c r="Y256" s="132">
        <f t="shared" si="95"/>
        <v>5757786.6718429793</v>
      </c>
      <c r="Z256" s="29">
        <f t="shared" si="96"/>
        <v>3.5963082895185274</v>
      </c>
      <c r="AA256" s="31">
        <f t="shared" si="97"/>
        <v>0.17125277569135844</v>
      </c>
      <c r="AD256" s="12">
        <f t="shared" si="98"/>
        <v>252</v>
      </c>
      <c r="AE256" s="132">
        <f t="shared" si="99"/>
        <v>4555048.8353067422</v>
      </c>
      <c r="AF256" s="132">
        <f>IF($AD256&lt;=$C$25*12,$AE256-$C$7+SUM('Mortgage Calculators (By Month)'!$K$23:$K274),"-")</f>
        <v>4555048.8353067422</v>
      </c>
      <c r="AG256" s="132">
        <f t="shared" si="100"/>
        <v>22774.138635822947</v>
      </c>
      <c r="AH256" s="132">
        <f>IF($AD256&lt;=$C$25*12,SUM(Inputs!$C$61:$C$78)*'Forecast (By Month)'!AG256,"-")</f>
        <v>2505.1552499405243</v>
      </c>
      <c r="AI256" s="132">
        <f>IF($AD256&lt;=$C$25*12,(SUMIF(Inputs!$C$61:$C$78,0,Inputs!$F$61:$F$78)/12)*(1+$C$34)^ROUNDDOWN((AD256-1)/12,0),"-")</f>
        <v>1488.1666666666667</v>
      </c>
      <c r="AJ256" s="132">
        <f t="shared" si="101"/>
        <v>3993.3219166071913</v>
      </c>
      <c r="AK256" s="132">
        <f>IF($AD256&lt;=$C$25*12,'Mortgage Calculators (By Month)'!$J274,"-")</f>
        <v>0</v>
      </c>
      <c r="AL256" s="132">
        <f>IF($AD256&lt;=$C$25*12,'Mortgage Calculators (By Month)'!$K274,"-")</f>
        <v>0</v>
      </c>
      <c r="AM256" s="132">
        <f>IF($AD256&lt;=$C$25*12,'Mortgage Calculators (By Month)'!$L274,"-")</f>
        <v>10</v>
      </c>
      <c r="AN256" s="132">
        <f t="shared" si="111"/>
        <v>0</v>
      </c>
      <c r="AO256" s="132">
        <f t="shared" si="102"/>
        <v>4003.3219166071913</v>
      </c>
      <c r="AP256" s="132">
        <f t="shared" si="103"/>
        <v>18780.816719215756</v>
      </c>
      <c r="AQ256" s="132">
        <f t="shared" si="104"/>
        <v>0</v>
      </c>
      <c r="AR256" s="132">
        <f t="shared" si="85"/>
        <v>18780.816719215756</v>
      </c>
      <c r="AS256" s="132">
        <f>IF($AD256&lt;=$C$25*12,SUM(AR$5:AR256),"-")</f>
        <v>2899355.8132423731</v>
      </c>
      <c r="AT256" s="132">
        <f>IF($AD256&lt;=$C$25*12,AE256-$C$10-'RE Calculations'!$C443-'Mortgage Calculators (By Month)'!$M274,"-")</f>
        <v>2858420.8586006062</v>
      </c>
      <c r="AU256" s="29">
        <f t="shared" si="105"/>
        <v>1.785367054147498</v>
      </c>
      <c r="AV256" s="31">
        <f t="shared" si="106"/>
        <v>8.501747876892847E-2</v>
      </c>
      <c r="AW256" s="132">
        <f t="shared" si="107"/>
        <v>5757776.6718429793</v>
      </c>
      <c r="AX256" s="29">
        <f t="shared" si="108"/>
        <v>3.5963020435276727</v>
      </c>
      <c r="AY256" s="31">
        <f t="shared" si="109"/>
        <v>0.17125247826322251</v>
      </c>
    </row>
    <row r="257" spans="6:51" x14ac:dyDescent="0.35">
      <c r="F257" s="12">
        <f t="shared" si="86"/>
        <v>253</v>
      </c>
      <c r="G257" s="132">
        <f t="shared" si="87"/>
        <v>4573606.6681023454</v>
      </c>
      <c r="H257" s="132">
        <f>IF($F257&lt;=$C$16*12,$G257-$C$7+SUM('Mortgage Calculators (By Month)'!$D$23:$D275),"-")</f>
        <v>4573606.6681023454</v>
      </c>
      <c r="I257" s="132">
        <f t="shared" si="88"/>
        <v>23912.845567614095</v>
      </c>
      <c r="J257" s="132">
        <f>IF($F257&lt;=$C$16*12,SUM(Inputs!$C$61:$C$78)*'Forecast (By Month)'!I257,"-")</f>
        <v>2630.4130124375506</v>
      </c>
      <c r="K257" s="132">
        <f>IF($F257&lt;=$C$16*12,(SUMIF(Inputs!$C$61:$C$78,0,Inputs!$F$61:$F$78)/12)*(1+$C$34)^ROUNDDOWN((F257-1)/12,0),"-")</f>
        <v>1488.1666666666667</v>
      </c>
      <c r="L257" s="132">
        <f t="shared" si="89"/>
        <v>4118.5796791042176</v>
      </c>
      <c r="M257" s="132">
        <f>IF($F257&lt;=$C$16*12,'Mortgage Calculators (By Month)'!$C275,"-")</f>
        <v>0</v>
      </c>
      <c r="N257" s="132">
        <f>IF($F257&lt;=$C$16*12,'Mortgage Calculators (By Month)'!$D275,"-")</f>
        <v>0</v>
      </c>
      <c r="O257" s="132">
        <f>IF($F257&lt;=$C$16*12,'Mortgage Calculators (By Month)'!$E275,"-")</f>
        <v>8.3333333333333339</v>
      </c>
      <c r="P257" s="132">
        <f t="shared" si="110"/>
        <v>0</v>
      </c>
      <c r="Q257" s="132">
        <f t="shared" si="90"/>
        <v>4126.9130124375506</v>
      </c>
      <c r="R257" s="132">
        <f t="shared" si="91"/>
        <v>19794.265888509879</v>
      </c>
      <c r="S257" s="132">
        <f t="shared" si="92"/>
        <v>0</v>
      </c>
      <c r="T257" s="132">
        <f t="shared" si="84"/>
        <v>19794.265888509879</v>
      </c>
      <c r="U257" s="132">
        <f>IF($F257&lt;=$C$16*12,SUM(T$5:T257),"-")</f>
        <v>2919160.0791308829</v>
      </c>
      <c r="V257" s="132">
        <f>IF($F257&lt;=$C$16*12,G257-$C$10-'RE Calculations'!$C444-'Mortgage Calculators (By Month)'!$F275,"-")</f>
        <v>2876607.5347402976</v>
      </c>
      <c r="W257" s="29">
        <f t="shared" si="93"/>
        <v>1.7967264354319432</v>
      </c>
      <c r="X257" s="31">
        <f t="shared" si="94"/>
        <v>8.5220226186495329E-2</v>
      </c>
      <c r="Y257" s="132">
        <f t="shared" si="95"/>
        <v>5795767.6138711805</v>
      </c>
      <c r="Z257" s="29">
        <f t="shared" si="96"/>
        <v>3.6200311511743277</v>
      </c>
      <c r="AA257" s="31">
        <f t="shared" si="97"/>
        <v>0.17170108226913808</v>
      </c>
      <c r="AD257" s="12">
        <f t="shared" si="98"/>
        <v>253</v>
      </c>
      <c r="AE257" s="132">
        <f t="shared" si="99"/>
        <v>4573606.6681023454</v>
      </c>
      <c r="AF257" s="132">
        <f>IF($AD257&lt;=$C$25*12,$AE257-$C$7+SUM('Mortgage Calculators (By Month)'!$K$23:$K275),"-")</f>
        <v>4573606.6681023454</v>
      </c>
      <c r="AG257" s="132">
        <f t="shared" si="100"/>
        <v>23912.845567614095</v>
      </c>
      <c r="AH257" s="132">
        <f>IF($AD257&lt;=$C$25*12,SUM(Inputs!$C$61:$C$78)*'Forecast (By Month)'!AG257,"-")</f>
        <v>2630.4130124375506</v>
      </c>
      <c r="AI257" s="132">
        <f>IF($AD257&lt;=$C$25*12,(SUMIF(Inputs!$C$61:$C$78,0,Inputs!$F$61:$F$78)/12)*(1+$C$34)^ROUNDDOWN((AD257-1)/12,0),"-")</f>
        <v>1488.1666666666667</v>
      </c>
      <c r="AJ257" s="132">
        <f t="shared" si="101"/>
        <v>4118.5796791042176</v>
      </c>
      <c r="AK257" s="132">
        <f>IF($AD257&lt;=$C$25*12,'Mortgage Calculators (By Month)'!$J275,"-")</f>
        <v>0</v>
      </c>
      <c r="AL257" s="132">
        <f>IF($AD257&lt;=$C$25*12,'Mortgage Calculators (By Month)'!$K275,"-")</f>
        <v>0</v>
      </c>
      <c r="AM257" s="132">
        <f>IF($AD257&lt;=$C$25*12,'Mortgage Calculators (By Month)'!$L275,"-")</f>
        <v>10</v>
      </c>
      <c r="AN257" s="132">
        <f t="shared" si="111"/>
        <v>0</v>
      </c>
      <c r="AO257" s="132">
        <f t="shared" si="102"/>
        <v>4128.5796791042176</v>
      </c>
      <c r="AP257" s="132">
        <f t="shared" si="103"/>
        <v>19794.265888509879</v>
      </c>
      <c r="AQ257" s="132">
        <f t="shared" si="104"/>
        <v>0</v>
      </c>
      <c r="AR257" s="132">
        <f t="shared" si="85"/>
        <v>19794.265888509879</v>
      </c>
      <c r="AS257" s="132">
        <f>IF($AD257&lt;=$C$25*12,SUM(AR$5:AR257),"-")</f>
        <v>2919150.0791308829</v>
      </c>
      <c r="AT257" s="132">
        <f>IF($AD257&lt;=$C$25*12,AE257-$C$10-'RE Calculations'!$C444-'Mortgage Calculators (By Month)'!$M275,"-")</f>
        <v>2876607.5347402976</v>
      </c>
      <c r="AU257" s="29">
        <f t="shared" si="105"/>
        <v>1.7967264354319432</v>
      </c>
      <c r="AV257" s="31">
        <f t="shared" si="106"/>
        <v>8.5220226186495329E-2</v>
      </c>
      <c r="AW257" s="132">
        <f t="shared" si="107"/>
        <v>5795757.6138711805</v>
      </c>
      <c r="AX257" s="29">
        <f t="shared" si="108"/>
        <v>3.620024905183473</v>
      </c>
      <c r="AY257" s="31">
        <f t="shared" si="109"/>
        <v>0.17170078601660743</v>
      </c>
    </row>
    <row r="258" spans="6:51" x14ac:dyDescent="0.35">
      <c r="F258" s="12">
        <f t="shared" si="86"/>
        <v>254</v>
      </c>
      <c r="G258" s="132">
        <f t="shared" si="87"/>
        <v>4592240.1078059142</v>
      </c>
      <c r="H258" s="132">
        <f>IF($F258&lt;=$C$16*12,$G258-$C$7+SUM('Mortgage Calculators (By Month)'!$D$23:$D276),"-")</f>
        <v>4592240.1078059142</v>
      </c>
      <c r="I258" s="132">
        <f t="shared" si="88"/>
        <v>23912.845567614095</v>
      </c>
      <c r="J258" s="132">
        <f>IF($F258&lt;=$C$16*12,SUM(Inputs!$C$61:$C$78)*'Forecast (By Month)'!I258,"-")</f>
        <v>2630.4130124375506</v>
      </c>
      <c r="K258" s="132">
        <f>IF($F258&lt;=$C$16*12,(SUMIF(Inputs!$C$61:$C$78,0,Inputs!$F$61:$F$78)/12)*(1+$C$34)^ROUNDDOWN((F258-1)/12,0),"-")</f>
        <v>1488.1666666666667</v>
      </c>
      <c r="L258" s="132">
        <f t="shared" si="89"/>
        <v>4118.5796791042176</v>
      </c>
      <c r="M258" s="132">
        <f>IF($F258&lt;=$C$16*12,'Mortgage Calculators (By Month)'!$C276,"-")</f>
        <v>0</v>
      </c>
      <c r="N258" s="132">
        <f>IF($F258&lt;=$C$16*12,'Mortgage Calculators (By Month)'!$D276,"-")</f>
        <v>0</v>
      </c>
      <c r="O258" s="132">
        <f>IF($F258&lt;=$C$16*12,'Mortgage Calculators (By Month)'!$E276,"-")</f>
        <v>8.3333333333333339</v>
      </c>
      <c r="P258" s="132">
        <f t="shared" si="110"/>
        <v>0</v>
      </c>
      <c r="Q258" s="132">
        <f t="shared" si="90"/>
        <v>4126.9130124375506</v>
      </c>
      <c r="R258" s="132">
        <f t="shared" si="91"/>
        <v>19794.265888509879</v>
      </c>
      <c r="S258" s="132">
        <f t="shared" si="92"/>
        <v>0</v>
      </c>
      <c r="T258" s="132">
        <f t="shared" si="84"/>
        <v>19794.265888509879</v>
      </c>
      <c r="U258" s="132">
        <f>IF($F258&lt;=$C$16*12,SUM(T$5:T258),"-")</f>
        <v>2938954.3450193927</v>
      </c>
      <c r="V258" s="132">
        <f>IF($F258&lt;=$C$16*12,G258-$C$10-'RE Calculations'!$C445-'Mortgage Calculators (By Month)'!$F276,"-")</f>
        <v>2894868.3056497951</v>
      </c>
      <c r="W258" s="29">
        <f t="shared" si="93"/>
        <v>1.8081320962418468</v>
      </c>
      <c r="X258" s="31">
        <f t="shared" si="94"/>
        <v>8.5423563601977004E-2</v>
      </c>
      <c r="Y258" s="132">
        <f t="shared" si="95"/>
        <v>5833822.6506691873</v>
      </c>
      <c r="Z258" s="29">
        <f t="shared" si="96"/>
        <v>3.6438002923555861</v>
      </c>
      <c r="AA258" s="31">
        <f t="shared" si="97"/>
        <v>0.1721480453081379</v>
      </c>
      <c r="AD258" s="12">
        <f t="shared" si="98"/>
        <v>254</v>
      </c>
      <c r="AE258" s="132">
        <f t="shared" si="99"/>
        <v>4592240.1078059142</v>
      </c>
      <c r="AF258" s="132">
        <f>IF($AD258&lt;=$C$25*12,$AE258-$C$7+SUM('Mortgage Calculators (By Month)'!$K$23:$K276),"-")</f>
        <v>4592240.1078059142</v>
      </c>
      <c r="AG258" s="132">
        <f t="shared" si="100"/>
        <v>23912.845567614095</v>
      </c>
      <c r="AH258" s="132">
        <f>IF($AD258&lt;=$C$25*12,SUM(Inputs!$C$61:$C$78)*'Forecast (By Month)'!AG258,"-")</f>
        <v>2630.4130124375506</v>
      </c>
      <c r="AI258" s="132">
        <f>IF($AD258&lt;=$C$25*12,(SUMIF(Inputs!$C$61:$C$78,0,Inputs!$F$61:$F$78)/12)*(1+$C$34)^ROUNDDOWN((AD258-1)/12,0),"-")</f>
        <v>1488.1666666666667</v>
      </c>
      <c r="AJ258" s="132">
        <f t="shared" si="101"/>
        <v>4118.5796791042176</v>
      </c>
      <c r="AK258" s="132">
        <f>IF($AD258&lt;=$C$25*12,'Mortgage Calculators (By Month)'!$J276,"-")</f>
        <v>0</v>
      </c>
      <c r="AL258" s="132">
        <f>IF($AD258&lt;=$C$25*12,'Mortgage Calculators (By Month)'!$K276,"-")</f>
        <v>0</v>
      </c>
      <c r="AM258" s="132">
        <f>IF($AD258&lt;=$C$25*12,'Mortgage Calculators (By Month)'!$L276,"-")</f>
        <v>10</v>
      </c>
      <c r="AN258" s="132">
        <f t="shared" si="111"/>
        <v>0</v>
      </c>
      <c r="AO258" s="132">
        <f t="shared" si="102"/>
        <v>4128.5796791042176</v>
      </c>
      <c r="AP258" s="132">
        <f t="shared" si="103"/>
        <v>19794.265888509879</v>
      </c>
      <c r="AQ258" s="132">
        <f t="shared" si="104"/>
        <v>0</v>
      </c>
      <c r="AR258" s="132">
        <f t="shared" si="85"/>
        <v>19794.265888509879</v>
      </c>
      <c r="AS258" s="132">
        <f>IF($AD258&lt;=$C$25*12,SUM(AR$5:AR258),"-")</f>
        <v>2938944.3450193927</v>
      </c>
      <c r="AT258" s="132">
        <f>IF($AD258&lt;=$C$25*12,AE258-$C$10-'RE Calculations'!$C445-'Mortgage Calculators (By Month)'!$M276,"-")</f>
        <v>2894868.3056497951</v>
      </c>
      <c r="AU258" s="29">
        <f t="shared" si="105"/>
        <v>1.8081320962418468</v>
      </c>
      <c r="AV258" s="31">
        <f t="shared" si="106"/>
        <v>8.5423563601977004E-2</v>
      </c>
      <c r="AW258" s="132">
        <f t="shared" si="107"/>
        <v>5833812.6506691873</v>
      </c>
      <c r="AX258" s="29">
        <f t="shared" si="108"/>
        <v>3.6437940463647318</v>
      </c>
      <c r="AY258" s="31">
        <f t="shared" si="109"/>
        <v>0.17214775022195583</v>
      </c>
    </row>
    <row r="259" spans="6:51" x14ac:dyDescent="0.35">
      <c r="F259" s="12">
        <f t="shared" si="86"/>
        <v>255</v>
      </c>
      <c r="G259" s="132">
        <f t="shared" si="87"/>
        <v>4610949.4624493504</v>
      </c>
      <c r="H259" s="132">
        <f>IF($F259&lt;=$C$16*12,$G259-$C$7+SUM('Mortgage Calculators (By Month)'!$D$23:$D277),"-")</f>
        <v>4610949.4624493504</v>
      </c>
      <c r="I259" s="132">
        <f t="shared" si="88"/>
        <v>23912.845567614095</v>
      </c>
      <c r="J259" s="132">
        <f>IF($F259&lt;=$C$16*12,SUM(Inputs!$C$61:$C$78)*'Forecast (By Month)'!I259,"-")</f>
        <v>2630.4130124375506</v>
      </c>
      <c r="K259" s="132">
        <f>IF($F259&lt;=$C$16*12,(SUMIF(Inputs!$C$61:$C$78,0,Inputs!$F$61:$F$78)/12)*(1+$C$34)^ROUNDDOWN((F259-1)/12,0),"-")</f>
        <v>1488.1666666666667</v>
      </c>
      <c r="L259" s="132">
        <f t="shared" si="89"/>
        <v>4118.5796791042176</v>
      </c>
      <c r="M259" s="132">
        <f>IF($F259&lt;=$C$16*12,'Mortgage Calculators (By Month)'!$C277,"-")</f>
        <v>0</v>
      </c>
      <c r="N259" s="132">
        <f>IF($F259&lt;=$C$16*12,'Mortgage Calculators (By Month)'!$D277,"-")</f>
        <v>0</v>
      </c>
      <c r="O259" s="132">
        <f>IF($F259&lt;=$C$16*12,'Mortgage Calculators (By Month)'!$E277,"-")</f>
        <v>8.3333333333333339</v>
      </c>
      <c r="P259" s="132">
        <f t="shared" si="110"/>
        <v>0</v>
      </c>
      <c r="Q259" s="132">
        <f t="shared" si="90"/>
        <v>4126.9130124375506</v>
      </c>
      <c r="R259" s="132">
        <f t="shared" si="91"/>
        <v>19794.265888509879</v>
      </c>
      <c r="S259" s="132">
        <f t="shared" si="92"/>
        <v>0</v>
      </c>
      <c r="T259" s="132">
        <f t="shared" si="84"/>
        <v>19794.265888509879</v>
      </c>
      <c r="U259" s="132">
        <f>IF($F259&lt;=$C$16*12,SUM(T$5:T259),"-")</f>
        <v>2958748.6109079025</v>
      </c>
      <c r="V259" s="132">
        <f>IF($F259&lt;=$C$16*12,G259-$C$10-'RE Calculations'!$C446-'Mortgage Calculators (By Month)'!$F277,"-")</f>
        <v>2913203.4732003626</v>
      </c>
      <c r="W259" s="29">
        <f t="shared" si="93"/>
        <v>1.8195842251257242</v>
      </c>
      <c r="X259" s="31">
        <f t="shared" si="94"/>
        <v>8.5627492947092904E-2</v>
      </c>
      <c r="Y259" s="132">
        <f t="shared" si="95"/>
        <v>5871952.0841082651</v>
      </c>
      <c r="Z259" s="29">
        <f t="shared" si="96"/>
        <v>3.6676159016108194</v>
      </c>
      <c r="AA259" s="31">
        <f t="shared" si="97"/>
        <v>0.17259368948756798</v>
      </c>
      <c r="AD259" s="12">
        <f t="shared" si="98"/>
        <v>255</v>
      </c>
      <c r="AE259" s="132">
        <f t="shared" si="99"/>
        <v>4610949.4624493504</v>
      </c>
      <c r="AF259" s="132">
        <f>IF($AD259&lt;=$C$25*12,$AE259-$C$7+SUM('Mortgage Calculators (By Month)'!$K$23:$K277),"-")</f>
        <v>4610949.4624493504</v>
      </c>
      <c r="AG259" s="132">
        <f t="shared" si="100"/>
        <v>23912.845567614095</v>
      </c>
      <c r="AH259" s="132">
        <f>IF($AD259&lt;=$C$25*12,SUM(Inputs!$C$61:$C$78)*'Forecast (By Month)'!AG259,"-")</f>
        <v>2630.4130124375506</v>
      </c>
      <c r="AI259" s="132">
        <f>IF($AD259&lt;=$C$25*12,(SUMIF(Inputs!$C$61:$C$78,0,Inputs!$F$61:$F$78)/12)*(1+$C$34)^ROUNDDOWN((AD259-1)/12,0),"-")</f>
        <v>1488.1666666666667</v>
      </c>
      <c r="AJ259" s="132">
        <f t="shared" si="101"/>
        <v>4118.5796791042176</v>
      </c>
      <c r="AK259" s="132">
        <f>IF($AD259&lt;=$C$25*12,'Mortgage Calculators (By Month)'!$J277,"-")</f>
        <v>0</v>
      </c>
      <c r="AL259" s="132">
        <f>IF($AD259&lt;=$C$25*12,'Mortgage Calculators (By Month)'!$K277,"-")</f>
        <v>0</v>
      </c>
      <c r="AM259" s="132">
        <f>IF($AD259&lt;=$C$25*12,'Mortgage Calculators (By Month)'!$L277,"-")</f>
        <v>10</v>
      </c>
      <c r="AN259" s="132">
        <f t="shared" si="111"/>
        <v>0</v>
      </c>
      <c r="AO259" s="132">
        <f t="shared" si="102"/>
        <v>4128.5796791042176</v>
      </c>
      <c r="AP259" s="132">
        <f t="shared" si="103"/>
        <v>19794.265888509879</v>
      </c>
      <c r="AQ259" s="132">
        <f t="shared" si="104"/>
        <v>0</v>
      </c>
      <c r="AR259" s="132">
        <f t="shared" si="85"/>
        <v>19794.265888509879</v>
      </c>
      <c r="AS259" s="132">
        <f>IF($AD259&lt;=$C$25*12,SUM(AR$5:AR259),"-")</f>
        <v>2958738.6109079025</v>
      </c>
      <c r="AT259" s="132">
        <f>IF($AD259&lt;=$C$25*12,AE259-$C$10-'RE Calculations'!$C446-'Mortgage Calculators (By Month)'!$M277,"-")</f>
        <v>2913203.4732003626</v>
      </c>
      <c r="AU259" s="29">
        <f t="shared" si="105"/>
        <v>1.8195842251257242</v>
      </c>
      <c r="AV259" s="31">
        <f t="shared" si="106"/>
        <v>8.5627492947092904E-2</v>
      </c>
      <c r="AW259" s="132">
        <f t="shared" si="107"/>
        <v>5871942.0841082651</v>
      </c>
      <c r="AX259" s="29">
        <f t="shared" si="108"/>
        <v>3.6676096556199647</v>
      </c>
      <c r="AY259" s="31">
        <f t="shared" si="109"/>
        <v>0.17259339555858658</v>
      </c>
    </row>
    <row r="260" spans="6:51" x14ac:dyDescent="0.35">
      <c r="F260" s="12">
        <f t="shared" si="86"/>
        <v>256</v>
      </c>
      <c r="G260" s="132">
        <f t="shared" si="87"/>
        <v>4629735.0413195156</v>
      </c>
      <c r="H260" s="132">
        <f>IF($F260&lt;=$C$16*12,$G260-$C$7+SUM('Mortgage Calculators (By Month)'!$D$23:$D278),"-")</f>
        <v>4629735.0413195156</v>
      </c>
      <c r="I260" s="132">
        <f t="shared" si="88"/>
        <v>23912.845567614095</v>
      </c>
      <c r="J260" s="132">
        <f>IF($F260&lt;=$C$16*12,SUM(Inputs!$C$61:$C$78)*'Forecast (By Month)'!I260,"-")</f>
        <v>2630.4130124375506</v>
      </c>
      <c r="K260" s="132">
        <f>IF($F260&lt;=$C$16*12,(SUMIF(Inputs!$C$61:$C$78,0,Inputs!$F$61:$F$78)/12)*(1+$C$34)^ROUNDDOWN((F260-1)/12,0),"-")</f>
        <v>1488.1666666666667</v>
      </c>
      <c r="L260" s="132">
        <f t="shared" si="89"/>
        <v>4118.5796791042176</v>
      </c>
      <c r="M260" s="132">
        <f>IF($F260&lt;=$C$16*12,'Mortgage Calculators (By Month)'!$C278,"-")</f>
        <v>0</v>
      </c>
      <c r="N260" s="132">
        <f>IF($F260&lt;=$C$16*12,'Mortgage Calculators (By Month)'!$D278,"-")</f>
        <v>0</v>
      </c>
      <c r="O260" s="132">
        <f>IF($F260&lt;=$C$16*12,'Mortgage Calculators (By Month)'!$E278,"-")</f>
        <v>8.3333333333333339</v>
      </c>
      <c r="P260" s="132">
        <f t="shared" si="110"/>
        <v>0</v>
      </c>
      <c r="Q260" s="132">
        <f t="shared" si="90"/>
        <v>4126.9130124375506</v>
      </c>
      <c r="R260" s="132">
        <f t="shared" si="91"/>
        <v>19794.265888509879</v>
      </c>
      <c r="S260" s="132">
        <f t="shared" si="92"/>
        <v>0</v>
      </c>
      <c r="T260" s="132">
        <f t="shared" ref="T260:T323" si="112">IF($F260&lt;=$C$16*12,R260-S260,"-")</f>
        <v>19794.265888509879</v>
      </c>
      <c r="U260" s="132">
        <f>IF($F260&lt;=$C$16*12,SUM(T$5:T260),"-")</f>
        <v>2978542.8767964123</v>
      </c>
      <c r="V260" s="132">
        <f>IF($F260&lt;=$C$16*12,G260-$C$10-'RE Calculations'!$C447-'Mortgage Calculators (By Month)'!$F278,"-")</f>
        <v>2931613.3404931244</v>
      </c>
      <c r="W260" s="29">
        <f t="shared" si="93"/>
        <v>1.8310830114002603</v>
      </c>
      <c r="X260" s="31">
        <f t="shared" si="94"/>
        <v>8.5832016159387209E-2</v>
      </c>
      <c r="Y260" s="132">
        <f t="shared" si="95"/>
        <v>5910156.2172895372</v>
      </c>
      <c r="Z260" s="29">
        <f t="shared" si="96"/>
        <v>3.6914781682567108</v>
      </c>
      <c r="AA260" s="31">
        <f t="shared" si="97"/>
        <v>0.17303803913703333</v>
      </c>
      <c r="AD260" s="12">
        <f t="shared" si="98"/>
        <v>256</v>
      </c>
      <c r="AE260" s="132">
        <f t="shared" si="99"/>
        <v>4629735.0413195156</v>
      </c>
      <c r="AF260" s="132">
        <f>IF($AD260&lt;=$C$25*12,$AE260-$C$7+SUM('Mortgage Calculators (By Month)'!$K$23:$K278),"-")</f>
        <v>4629735.0413195156</v>
      </c>
      <c r="AG260" s="132">
        <f t="shared" si="100"/>
        <v>23912.845567614095</v>
      </c>
      <c r="AH260" s="132">
        <f>IF($AD260&lt;=$C$25*12,SUM(Inputs!$C$61:$C$78)*'Forecast (By Month)'!AG260,"-")</f>
        <v>2630.4130124375506</v>
      </c>
      <c r="AI260" s="132">
        <f>IF($AD260&lt;=$C$25*12,(SUMIF(Inputs!$C$61:$C$78,0,Inputs!$F$61:$F$78)/12)*(1+$C$34)^ROUNDDOWN((AD260-1)/12,0),"-")</f>
        <v>1488.1666666666667</v>
      </c>
      <c r="AJ260" s="132">
        <f t="shared" si="101"/>
        <v>4118.5796791042176</v>
      </c>
      <c r="AK260" s="132">
        <f>IF($AD260&lt;=$C$25*12,'Mortgage Calculators (By Month)'!$J278,"-")</f>
        <v>0</v>
      </c>
      <c r="AL260" s="132">
        <f>IF($AD260&lt;=$C$25*12,'Mortgage Calculators (By Month)'!$K278,"-")</f>
        <v>0</v>
      </c>
      <c r="AM260" s="132">
        <f>IF($AD260&lt;=$C$25*12,'Mortgage Calculators (By Month)'!$L278,"-")</f>
        <v>10</v>
      </c>
      <c r="AN260" s="132">
        <f t="shared" si="111"/>
        <v>0</v>
      </c>
      <c r="AO260" s="132">
        <f t="shared" si="102"/>
        <v>4128.5796791042176</v>
      </c>
      <c r="AP260" s="132">
        <f t="shared" si="103"/>
        <v>19794.265888509879</v>
      </c>
      <c r="AQ260" s="132">
        <f t="shared" si="104"/>
        <v>0</v>
      </c>
      <c r="AR260" s="132">
        <f t="shared" ref="AR260:AR323" si="113">IF($AD260&lt;=$C$25*12,AP260-AQ260,"-")</f>
        <v>19794.265888509879</v>
      </c>
      <c r="AS260" s="132">
        <f>IF($AD260&lt;=$C$25*12,SUM(AR$5:AR260),"-")</f>
        <v>2978532.8767964123</v>
      </c>
      <c r="AT260" s="132">
        <f>IF($AD260&lt;=$C$25*12,AE260-$C$10-'RE Calculations'!$C447-'Mortgage Calculators (By Month)'!$M278,"-")</f>
        <v>2931613.3404931244</v>
      </c>
      <c r="AU260" s="29">
        <f t="shared" si="105"/>
        <v>1.8310830114002603</v>
      </c>
      <c r="AV260" s="31">
        <f t="shared" si="106"/>
        <v>8.5832016159387209E-2</v>
      </c>
      <c r="AW260" s="132">
        <f t="shared" si="107"/>
        <v>5910146.2172895372</v>
      </c>
      <c r="AX260" s="29">
        <f t="shared" si="108"/>
        <v>3.6914719222658565</v>
      </c>
      <c r="AY260" s="31">
        <f t="shared" si="109"/>
        <v>0.17303774635621202</v>
      </c>
    </row>
    <row r="261" spans="6:51" x14ac:dyDescent="0.35">
      <c r="F261" s="12">
        <f t="shared" ref="F261:F324" si="114">IF(F260&lt;$C$16*12,F260+1,"-")</f>
        <v>257</v>
      </c>
      <c r="G261" s="132">
        <f t="shared" ref="G261:G324" si="115">IF($F261&lt;=$C$16*12,G260*(1+$C$32),"-")</f>
        <v>4648597.1549633453</v>
      </c>
      <c r="H261" s="132">
        <f>IF($F261&lt;=$C$16*12,$G261-$C$7+SUM('Mortgage Calculators (By Month)'!$D$23:$D279),"-")</f>
        <v>4648597.1549633453</v>
      </c>
      <c r="I261" s="132">
        <f t="shared" ref="I261:I324" si="116">IF($F261&lt;=$C$16*12,$C$9*(1+$C$33)^ROUNDDOWN((F261-1)/12,0),"-")</f>
        <v>23912.845567614095</v>
      </c>
      <c r="J261" s="132">
        <f>IF($F261&lt;=$C$16*12,SUM(Inputs!$C$61:$C$78)*'Forecast (By Month)'!I261,"-")</f>
        <v>2630.4130124375506</v>
      </c>
      <c r="K261" s="132">
        <f>IF($F261&lt;=$C$16*12,(SUMIF(Inputs!$C$61:$C$78,0,Inputs!$F$61:$F$78)/12)*(1+$C$34)^ROUNDDOWN((F261-1)/12,0),"-")</f>
        <v>1488.1666666666667</v>
      </c>
      <c r="L261" s="132">
        <f t="shared" ref="L261:L324" si="117">IF($F261&lt;=$C$16*12,SUM(J261:K261),"-")</f>
        <v>4118.5796791042176</v>
      </c>
      <c r="M261" s="132">
        <f>IF($F261&lt;=$C$16*12,'Mortgage Calculators (By Month)'!$C279,"-")</f>
        <v>0</v>
      </c>
      <c r="N261" s="132">
        <f>IF($F261&lt;=$C$16*12,'Mortgage Calculators (By Month)'!$D279,"-")</f>
        <v>0</v>
      </c>
      <c r="O261" s="132">
        <f>IF($F261&lt;=$C$16*12,'Mortgage Calculators (By Month)'!$E279,"-")</f>
        <v>8.3333333333333339</v>
      </c>
      <c r="P261" s="132">
        <f t="shared" si="110"/>
        <v>0</v>
      </c>
      <c r="Q261" s="132">
        <f t="shared" ref="Q261:Q324" si="118">IF($F261&lt;=$C$16*12,L261+O261+P261,"-")</f>
        <v>4126.9130124375506</v>
      </c>
      <c r="R261" s="132">
        <f t="shared" ref="R261:R324" si="119">IF($F261&lt;=$C$16*12,$I261-$L261-M261,"-")</f>
        <v>19794.265888509879</v>
      </c>
      <c r="S261" s="132">
        <f t="shared" ref="S261:S324" si="120">IF($F261&lt;=$C$16*12,(I261-Q261)*$C$35,"-")</f>
        <v>0</v>
      </c>
      <c r="T261" s="132">
        <f t="shared" si="112"/>
        <v>19794.265888509879</v>
      </c>
      <c r="U261" s="132">
        <f>IF($F261&lt;=$C$16*12,SUM(T$5:T261),"-")</f>
        <v>2998337.1426849221</v>
      </c>
      <c r="V261" s="132">
        <f>IF($F261&lt;=$C$16*12,G261-$C$10-'RE Calculations'!$C448-'Mortgage Calculators (By Month)'!$F279,"-")</f>
        <v>2950098.2118640775</v>
      </c>
      <c r="W261" s="29">
        <f t="shared" ref="W261:W324" si="121">IF($F261&lt;=$C$16*12,V261/$C$10,"-")</f>
        <v>1.8426286451534406</v>
      </c>
      <c r="X261" s="31">
        <f t="shared" ref="X261:X324" si="122">IF($F261&lt;=$C$16*12,W261/($F261/12),"-")</f>
        <v>8.6037135182261817E-2</v>
      </c>
      <c r="Y261" s="132">
        <f t="shared" ref="Y261:Y324" si="123">IF($F261&lt;=$C$16*12,V261+U261,"-")</f>
        <v>5948435.354549</v>
      </c>
      <c r="Z261" s="29">
        <f t="shared" ref="Z261:Z324" si="124">IF($F261&lt;=$C$16*12,Y261/$C$10,"-")</f>
        <v>3.7153872823812466</v>
      </c>
      <c r="AA261" s="31">
        <f t="shared" ref="AA261:AA324" si="125">IF($F261&lt;=$C$16*12,Z261/($F261/12),"-")</f>
        <v>0.17348111824348234</v>
      </c>
      <c r="AD261" s="12">
        <f t="shared" ref="AD261:AD324" si="126">IF($AD260&lt;$C$25*12,AD260+1,"-")</f>
        <v>257</v>
      </c>
      <c r="AE261" s="132">
        <f t="shared" ref="AE261:AE324" si="127">IF($AD261&lt;=$C$25*12,AE260*(1+$C$32),"-")</f>
        <v>4648597.1549633453</v>
      </c>
      <c r="AF261" s="132">
        <f>IF($AD261&lt;=$C$25*12,$AE261-$C$7+SUM('Mortgage Calculators (By Month)'!$K$23:$K279),"-")</f>
        <v>4648597.1549633453</v>
      </c>
      <c r="AG261" s="132">
        <f t="shared" ref="AG261:AG324" si="128">IF($AD261&lt;=$C$25*12,$C$9*(1+$C$33)^ROUNDDOWN((AD261-1)/12,0),"-")</f>
        <v>23912.845567614095</v>
      </c>
      <c r="AH261" s="132">
        <f>IF($AD261&lt;=$C$25*12,SUM(Inputs!$C$61:$C$78)*'Forecast (By Month)'!AG261,"-")</f>
        <v>2630.4130124375506</v>
      </c>
      <c r="AI261" s="132">
        <f>IF($AD261&lt;=$C$25*12,(SUMIF(Inputs!$C$61:$C$78,0,Inputs!$F$61:$F$78)/12)*(1+$C$34)^ROUNDDOWN((AD261-1)/12,0),"-")</f>
        <v>1488.1666666666667</v>
      </c>
      <c r="AJ261" s="132">
        <f t="shared" ref="AJ261:AJ324" si="129">IF($AD261&lt;=$C$25*12,SUM(AH261:AI261),"-")</f>
        <v>4118.5796791042176</v>
      </c>
      <c r="AK261" s="132">
        <f>IF($AD261&lt;=$C$25*12,'Mortgage Calculators (By Month)'!$J279,"-")</f>
        <v>0</v>
      </c>
      <c r="AL261" s="132">
        <f>IF($AD261&lt;=$C$25*12,'Mortgage Calculators (By Month)'!$K279,"-")</f>
        <v>0</v>
      </c>
      <c r="AM261" s="132">
        <f>IF($AD261&lt;=$C$25*12,'Mortgage Calculators (By Month)'!$L279,"-")</f>
        <v>10</v>
      </c>
      <c r="AN261" s="132">
        <f t="shared" si="111"/>
        <v>0</v>
      </c>
      <c r="AO261" s="132">
        <f t="shared" ref="AO261:AO324" si="130">IF($AD261&lt;=$C$25*12,AJ261+AM261+AN261,"-")</f>
        <v>4128.5796791042176</v>
      </c>
      <c r="AP261" s="132">
        <f t="shared" ref="AP261:AP324" si="131">IF($AD261&lt;=$C$25*12,$AG261-$AJ261-AK261,"-")</f>
        <v>19794.265888509879</v>
      </c>
      <c r="AQ261" s="132">
        <f t="shared" ref="AQ261:AQ324" si="132">IF($AD261&lt;=$C$25*12,(AG261-AO261)*$C$35,"-")</f>
        <v>0</v>
      </c>
      <c r="AR261" s="132">
        <f t="shared" si="113"/>
        <v>19794.265888509879</v>
      </c>
      <c r="AS261" s="132">
        <f>IF($AD261&lt;=$C$25*12,SUM(AR$5:AR261),"-")</f>
        <v>2998327.1426849221</v>
      </c>
      <c r="AT261" s="132">
        <f>IF($AD261&lt;=$C$25*12,AE261-$C$10-'RE Calculations'!$C448-'Mortgage Calculators (By Month)'!$M279,"-")</f>
        <v>2950098.2118640775</v>
      </c>
      <c r="AU261" s="29">
        <f t="shared" ref="AU261:AU324" si="133">IF($AD261&lt;=$C$25*12,AT261/$C$10,"-")</f>
        <v>1.8426286451534406</v>
      </c>
      <c r="AV261" s="31">
        <f t="shared" ref="AV261:AV324" si="134">IF($AD261&lt;=$C$25*12,AU261/($AD261/12),"-")</f>
        <v>8.6037135182261817E-2</v>
      </c>
      <c r="AW261" s="132">
        <f t="shared" ref="AW261:AW324" si="135">IF($AD261&lt;=$C$25*12,AT261+AS261,"-")</f>
        <v>5948425.354549</v>
      </c>
      <c r="AX261" s="29">
        <f t="shared" ref="AX261:AX324" si="136">IF($AD261&lt;=$C$25*12,AW261/$C$10,"-")</f>
        <v>3.7153810363903919</v>
      </c>
      <c r="AY261" s="31">
        <f t="shared" ref="AY261:AY324" si="137">IF($AD261&lt;=$C$25*12,AX261/($AD261/12),"-")</f>
        <v>0.17348082660188599</v>
      </c>
    </row>
    <row r="262" spans="6:51" x14ac:dyDescent="0.35">
      <c r="F262" s="12">
        <f t="shared" si="114"/>
        <v>258</v>
      </c>
      <c r="G262" s="132">
        <f t="shared" si="115"/>
        <v>4667536.1151929814</v>
      </c>
      <c r="H262" s="132">
        <f>IF($F262&lt;=$C$16*12,$G262-$C$7+SUM('Mortgage Calculators (By Month)'!$D$23:$D280),"-")</f>
        <v>4667536.1151929814</v>
      </c>
      <c r="I262" s="132">
        <f t="shared" si="116"/>
        <v>23912.845567614095</v>
      </c>
      <c r="J262" s="132">
        <f>IF($F262&lt;=$C$16*12,SUM(Inputs!$C$61:$C$78)*'Forecast (By Month)'!I262,"-")</f>
        <v>2630.4130124375506</v>
      </c>
      <c r="K262" s="132">
        <f>IF($F262&lt;=$C$16*12,(SUMIF(Inputs!$C$61:$C$78,0,Inputs!$F$61:$F$78)/12)*(1+$C$34)^ROUNDDOWN((F262-1)/12,0),"-")</f>
        <v>1488.1666666666667</v>
      </c>
      <c r="L262" s="132">
        <f t="shared" si="117"/>
        <v>4118.5796791042176</v>
      </c>
      <c r="M262" s="132">
        <f>IF($F262&lt;=$C$16*12,'Mortgage Calculators (By Month)'!$C280,"-")</f>
        <v>0</v>
      </c>
      <c r="N262" s="132">
        <f>IF($F262&lt;=$C$16*12,'Mortgage Calculators (By Month)'!$D280,"-")</f>
        <v>0</v>
      </c>
      <c r="O262" s="132">
        <f>IF($F262&lt;=$C$16*12,'Mortgage Calculators (By Month)'!$E280,"-")</f>
        <v>8.3333333333333339</v>
      </c>
      <c r="P262" s="132">
        <f t="shared" ref="P262:P325" si="138">IF($F262&lt;=$C$16*12,IF($F262&lt;=$C$38*12,IFERROR($C$37/($C$38*12),0),0),"-")</f>
        <v>0</v>
      </c>
      <c r="Q262" s="132">
        <f t="shared" si="118"/>
        <v>4126.9130124375506</v>
      </c>
      <c r="R262" s="132">
        <f t="shared" si="119"/>
        <v>19794.265888509879</v>
      </c>
      <c r="S262" s="132">
        <f t="shared" si="120"/>
        <v>0</v>
      </c>
      <c r="T262" s="132">
        <f t="shared" si="112"/>
        <v>19794.265888509879</v>
      </c>
      <c r="U262" s="132">
        <f>IF($F262&lt;=$C$16*12,SUM(T$5:T262),"-")</f>
        <v>3018131.4085734319</v>
      </c>
      <c r="V262" s="132">
        <f>IF($F262&lt;=$C$16*12,G262-$C$10-'RE Calculations'!$C449-'Mortgage Calculators (By Month)'!$F280,"-")</f>
        <v>2968658.3928891206</v>
      </c>
      <c r="W262" s="29">
        <f t="shared" si="121"/>
        <v>1.854221317247692</v>
      </c>
      <c r="X262" s="31">
        <f t="shared" si="122"/>
        <v>8.6242851965008929E-2</v>
      </c>
      <c r="Y262" s="132">
        <f t="shared" si="123"/>
        <v>5986789.8014625525</v>
      </c>
      <c r="Z262" s="29">
        <f t="shared" si="124"/>
        <v>3.7393434348468531</v>
      </c>
      <c r="AA262" s="31">
        <f t="shared" si="125"/>
        <v>0.17392295045799316</v>
      </c>
      <c r="AD262" s="12">
        <f t="shared" si="126"/>
        <v>258</v>
      </c>
      <c r="AE262" s="132">
        <f t="shared" si="127"/>
        <v>4667536.1151929814</v>
      </c>
      <c r="AF262" s="132">
        <f>IF($AD262&lt;=$C$25*12,$AE262-$C$7+SUM('Mortgage Calculators (By Month)'!$K$23:$K280),"-")</f>
        <v>4667536.1151929814</v>
      </c>
      <c r="AG262" s="132">
        <f t="shared" si="128"/>
        <v>23912.845567614095</v>
      </c>
      <c r="AH262" s="132">
        <f>IF($AD262&lt;=$C$25*12,SUM(Inputs!$C$61:$C$78)*'Forecast (By Month)'!AG262,"-")</f>
        <v>2630.4130124375506</v>
      </c>
      <c r="AI262" s="132">
        <f>IF($AD262&lt;=$C$25*12,(SUMIF(Inputs!$C$61:$C$78,0,Inputs!$F$61:$F$78)/12)*(1+$C$34)^ROUNDDOWN((AD262-1)/12,0),"-")</f>
        <v>1488.1666666666667</v>
      </c>
      <c r="AJ262" s="132">
        <f t="shared" si="129"/>
        <v>4118.5796791042176</v>
      </c>
      <c r="AK262" s="132">
        <f>IF($AD262&lt;=$C$25*12,'Mortgage Calculators (By Month)'!$J280,"-")</f>
        <v>0</v>
      </c>
      <c r="AL262" s="132">
        <f>IF($AD262&lt;=$C$25*12,'Mortgage Calculators (By Month)'!$K280,"-")</f>
        <v>0</v>
      </c>
      <c r="AM262" s="132">
        <f>IF($AD262&lt;=$C$25*12,'Mortgage Calculators (By Month)'!$L280,"-")</f>
        <v>10</v>
      </c>
      <c r="AN262" s="132">
        <f t="shared" ref="AN262:AN325" si="139">IF($AD262&lt;=$C$25*12,IF($AD262&lt;=$C$38*12,IFERROR($C$37/($C$38*12),0),0),"-")</f>
        <v>0</v>
      </c>
      <c r="AO262" s="132">
        <f t="shared" si="130"/>
        <v>4128.5796791042176</v>
      </c>
      <c r="AP262" s="132">
        <f t="shared" si="131"/>
        <v>19794.265888509879</v>
      </c>
      <c r="AQ262" s="132">
        <f t="shared" si="132"/>
        <v>0</v>
      </c>
      <c r="AR262" s="132">
        <f t="shared" si="113"/>
        <v>19794.265888509879</v>
      </c>
      <c r="AS262" s="132">
        <f>IF($AD262&lt;=$C$25*12,SUM(AR$5:AR262),"-")</f>
        <v>3018121.4085734319</v>
      </c>
      <c r="AT262" s="132">
        <f>IF($AD262&lt;=$C$25*12,AE262-$C$10-'RE Calculations'!$C449-'Mortgage Calculators (By Month)'!$M280,"-")</f>
        <v>2968658.3928891206</v>
      </c>
      <c r="AU262" s="29">
        <f t="shared" si="133"/>
        <v>1.854221317247692</v>
      </c>
      <c r="AV262" s="31">
        <f t="shared" si="134"/>
        <v>8.6242851965008929E-2</v>
      </c>
      <c r="AW262" s="132">
        <f t="shared" si="135"/>
        <v>5986779.8014625525</v>
      </c>
      <c r="AX262" s="29">
        <f t="shared" si="136"/>
        <v>3.7393371888559983</v>
      </c>
      <c r="AY262" s="31">
        <f t="shared" si="137"/>
        <v>0.17392265994679063</v>
      </c>
    </row>
    <row r="263" spans="6:51" x14ac:dyDescent="0.35">
      <c r="F263" s="12">
        <f t="shared" si="114"/>
        <v>259</v>
      </c>
      <c r="G263" s="132">
        <f t="shared" si="115"/>
        <v>4686552.2350909272</v>
      </c>
      <c r="H263" s="132">
        <f>IF($F263&lt;=$C$16*12,$G263-$C$7+SUM('Mortgage Calculators (By Month)'!$D$23:$D281),"-")</f>
        <v>4686552.2350909272</v>
      </c>
      <c r="I263" s="132">
        <f t="shared" si="116"/>
        <v>23912.845567614095</v>
      </c>
      <c r="J263" s="132">
        <f>IF($F263&lt;=$C$16*12,SUM(Inputs!$C$61:$C$78)*'Forecast (By Month)'!I263,"-")</f>
        <v>2630.4130124375506</v>
      </c>
      <c r="K263" s="132">
        <f>IF($F263&lt;=$C$16*12,(SUMIF(Inputs!$C$61:$C$78,0,Inputs!$F$61:$F$78)/12)*(1+$C$34)^ROUNDDOWN((F263-1)/12,0),"-")</f>
        <v>1488.1666666666667</v>
      </c>
      <c r="L263" s="132">
        <f t="shared" si="117"/>
        <v>4118.5796791042176</v>
      </c>
      <c r="M263" s="132">
        <f>IF($F263&lt;=$C$16*12,'Mortgage Calculators (By Month)'!$C281,"-")</f>
        <v>0</v>
      </c>
      <c r="N263" s="132">
        <f>IF($F263&lt;=$C$16*12,'Mortgage Calculators (By Month)'!$D281,"-")</f>
        <v>0</v>
      </c>
      <c r="O263" s="132">
        <f>IF($F263&lt;=$C$16*12,'Mortgage Calculators (By Month)'!$E281,"-")</f>
        <v>8.3333333333333339</v>
      </c>
      <c r="P263" s="132">
        <f t="shared" si="138"/>
        <v>0</v>
      </c>
      <c r="Q263" s="132">
        <f t="shared" si="118"/>
        <v>4126.9130124375506</v>
      </c>
      <c r="R263" s="132">
        <f t="shared" si="119"/>
        <v>19794.265888509879</v>
      </c>
      <c r="S263" s="132">
        <f t="shared" si="120"/>
        <v>0</v>
      </c>
      <c r="T263" s="132">
        <f t="shared" si="112"/>
        <v>19794.265888509879</v>
      </c>
      <c r="U263" s="132">
        <f>IF($F263&lt;=$C$16*12,SUM(T$5:T263),"-")</f>
        <v>3037925.6744619417</v>
      </c>
      <c r="V263" s="132">
        <f>IF($F263&lt;=$C$16*12,G263-$C$10-'RE Calculations'!$C450-'Mortgage Calculators (By Month)'!$F281,"-")</f>
        <v>2987294.1903891074</v>
      </c>
      <c r="W263" s="29">
        <f t="shared" si="121"/>
        <v>1.8658612193230393</v>
      </c>
      <c r="X263" s="31">
        <f t="shared" si="122"/>
        <v>8.644916846284352E-2</v>
      </c>
      <c r="Y263" s="132">
        <f t="shared" si="123"/>
        <v>6025219.8648510491</v>
      </c>
      <c r="Z263" s="29">
        <f t="shared" si="124"/>
        <v>3.7633468172935554</v>
      </c>
      <c r="AA263" s="31">
        <f t="shared" si="125"/>
        <v>0.17436355910240411</v>
      </c>
      <c r="AD263" s="12">
        <f t="shared" si="126"/>
        <v>259</v>
      </c>
      <c r="AE263" s="132">
        <f t="shared" si="127"/>
        <v>4686552.2350909272</v>
      </c>
      <c r="AF263" s="132">
        <f>IF($AD263&lt;=$C$25*12,$AE263-$C$7+SUM('Mortgage Calculators (By Month)'!$K$23:$K281),"-")</f>
        <v>4686552.2350909272</v>
      </c>
      <c r="AG263" s="132">
        <f t="shared" si="128"/>
        <v>23912.845567614095</v>
      </c>
      <c r="AH263" s="132">
        <f>IF($AD263&lt;=$C$25*12,SUM(Inputs!$C$61:$C$78)*'Forecast (By Month)'!AG263,"-")</f>
        <v>2630.4130124375506</v>
      </c>
      <c r="AI263" s="132">
        <f>IF($AD263&lt;=$C$25*12,(SUMIF(Inputs!$C$61:$C$78,0,Inputs!$F$61:$F$78)/12)*(1+$C$34)^ROUNDDOWN((AD263-1)/12,0),"-")</f>
        <v>1488.1666666666667</v>
      </c>
      <c r="AJ263" s="132">
        <f t="shared" si="129"/>
        <v>4118.5796791042176</v>
      </c>
      <c r="AK263" s="132">
        <f>IF($AD263&lt;=$C$25*12,'Mortgage Calculators (By Month)'!$J281,"-")</f>
        <v>0</v>
      </c>
      <c r="AL263" s="132">
        <f>IF($AD263&lt;=$C$25*12,'Mortgage Calculators (By Month)'!$K281,"-")</f>
        <v>0</v>
      </c>
      <c r="AM263" s="132">
        <f>IF($AD263&lt;=$C$25*12,'Mortgage Calculators (By Month)'!$L281,"-")</f>
        <v>10</v>
      </c>
      <c r="AN263" s="132">
        <f t="shared" si="139"/>
        <v>0</v>
      </c>
      <c r="AO263" s="132">
        <f t="shared" si="130"/>
        <v>4128.5796791042176</v>
      </c>
      <c r="AP263" s="132">
        <f t="shared" si="131"/>
        <v>19794.265888509879</v>
      </c>
      <c r="AQ263" s="132">
        <f t="shared" si="132"/>
        <v>0</v>
      </c>
      <c r="AR263" s="132">
        <f t="shared" si="113"/>
        <v>19794.265888509879</v>
      </c>
      <c r="AS263" s="132">
        <f>IF($AD263&lt;=$C$25*12,SUM(AR$5:AR263),"-")</f>
        <v>3037915.6744619417</v>
      </c>
      <c r="AT263" s="132">
        <f>IF($AD263&lt;=$C$25*12,AE263-$C$10-'RE Calculations'!$C450-'Mortgage Calculators (By Month)'!$M281,"-")</f>
        <v>2987294.1903891074</v>
      </c>
      <c r="AU263" s="29">
        <f t="shared" si="133"/>
        <v>1.8658612193230393</v>
      </c>
      <c r="AV263" s="31">
        <f t="shared" si="134"/>
        <v>8.644916846284352E-2</v>
      </c>
      <c r="AW263" s="132">
        <f t="shared" si="135"/>
        <v>6025209.8648510491</v>
      </c>
      <c r="AX263" s="29">
        <f t="shared" si="136"/>
        <v>3.7633405713027006</v>
      </c>
      <c r="AY263" s="31">
        <f t="shared" si="137"/>
        <v>0.17436326971286645</v>
      </c>
    </row>
    <row r="264" spans="6:51" x14ac:dyDescent="0.35">
      <c r="F264" s="12">
        <f t="shared" si="114"/>
        <v>260</v>
      </c>
      <c r="G264" s="132">
        <f t="shared" si="115"/>
        <v>4705645.8290152214</v>
      </c>
      <c r="H264" s="132">
        <f>IF($F264&lt;=$C$16*12,$G264-$C$7+SUM('Mortgage Calculators (By Month)'!$D$23:$D282),"-")</f>
        <v>4705645.8290152214</v>
      </c>
      <c r="I264" s="132">
        <f t="shared" si="116"/>
        <v>23912.845567614095</v>
      </c>
      <c r="J264" s="132">
        <f>IF($F264&lt;=$C$16*12,SUM(Inputs!$C$61:$C$78)*'Forecast (By Month)'!I264,"-")</f>
        <v>2630.4130124375506</v>
      </c>
      <c r="K264" s="132">
        <f>IF($F264&lt;=$C$16*12,(SUMIF(Inputs!$C$61:$C$78,0,Inputs!$F$61:$F$78)/12)*(1+$C$34)^ROUNDDOWN((F264-1)/12,0),"-")</f>
        <v>1488.1666666666667</v>
      </c>
      <c r="L264" s="132">
        <f t="shared" si="117"/>
        <v>4118.5796791042176</v>
      </c>
      <c r="M264" s="132">
        <f>IF($F264&lt;=$C$16*12,'Mortgage Calculators (By Month)'!$C282,"-")</f>
        <v>0</v>
      </c>
      <c r="N264" s="132">
        <f>IF($F264&lt;=$C$16*12,'Mortgage Calculators (By Month)'!$D282,"-")</f>
        <v>0</v>
      </c>
      <c r="O264" s="132">
        <f>IF($F264&lt;=$C$16*12,'Mortgage Calculators (By Month)'!$E282,"-")</f>
        <v>8.3333333333333339</v>
      </c>
      <c r="P264" s="132">
        <f t="shared" si="138"/>
        <v>0</v>
      </c>
      <c r="Q264" s="132">
        <f t="shared" si="118"/>
        <v>4126.9130124375506</v>
      </c>
      <c r="R264" s="132">
        <f t="shared" si="119"/>
        <v>19794.265888509879</v>
      </c>
      <c r="S264" s="132">
        <f t="shared" si="120"/>
        <v>0</v>
      </c>
      <c r="T264" s="132">
        <f t="shared" si="112"/>
        <v>19794.265888509879</v>
      </c>
      <c r="U264" s="132">
        <f>IF($F264&lt;=$C$16*12,SUM(T$5:T264),"-")</f>
        <v>3057719.9403504515</v>
      </c>
      <c r="V264" s="132">
        <f>IF($F264&lt;=$C$16*12,G264-$C$10-'RE Calculations'!$C451-'Mortgage Calculators (By Month)'!$F282,"-")</f>
        <v>3006005.912434916</v>
      </c>
      <c r="W264" s="29">
        <f t="shared" si="121"/>
        <v>1.8775485438002708</v>
      </c>
      <c r="X264" s="31">
        <f t="shared" si="122"/>
        <v>8.6656086636935567E-2</v>
      </c>
      <c r="Y264" s="132">
        <f t="shared" si="123"/>
        <v>6063725.8527853675</v>
      </c>
      <c r="Z264" s="29">
        <f t="shared" si="124"/>
        <v>3.7873976221421422</v>
      </c>
      <c r="AA264" s="31">
        <f t="shared" si="125"/>
        <v>0.17480296717579116</v>
      </c>
      <c r="AD264" s="12">
        <f t="shared" si="126"/>
        <v>260</v>
      </c>
      <c r="AE264" s="132">
        <f t="shared" si="127"/>
        <v>4705645.8290152214</v>
      </c>
      <c r="AF264" s="132">
        <f>IF($AD264&lt;=$C$25*12,$AE264-$C$7+SUM('Mortgage Calculators (By Month)'!$K$23:$K282),"-")</f>
        <v>4705645.8290152214</v>
      </c>
      <c r="AG264" s="132">
        <f t="shared" si="128"/>
        <v>23912.845567614095</v>
      </c>
      <c r="AH264" s="132">
        <f>IF($AD264&lt;=$C$25*12,SUM(Inputs!$C$61:$C$78)*'Forecast (By Month)'!AG264,"-")</f>
        <v>2630.4130124375506</v>
      </c>
      <c r="AI264" s="132">
        <f>IF($AD264&lt;=$C$25*12,(SUMIF(Inputs!$C$61:$C$78,0,Inputs!$F$61:$F$78)/12)*(1+$C$34)^ROUNDDOWN((AD264-1)/12,0),"-")</f>
        <v>1488.1666666666667</v>
      </c>
      <c r="AJ264" s="132">
        <f t="shared" si="129"/>
        <v>4118.5796791042176</v>
      </c>
      <c r="AK264" s="132">
        <f>IF($AD264&lt;=$C$25*12,'Mortgage Calculators (By Month)'!$J282,"-")</f>
        <v>0</v>
      </c>
      <c r="AL264" s="132">
        <f>IF($AD264&lt;=$C$25*12,'Mortgage Calculators (By Month)'!$K282,"-")</f>
        <v>0</v>
      </c>
      <c r="AM264" s="132">
        <f>IF($AD264&lt;=$C$25*12,'Mortgage Calculators (By Month)'!$L282,"-")</f>
        <v>10</v>
      </c>
      <c r="AN264" s="132">
        <f t="shared" si="139"/>
        <v>0</v>
      </c>
      <c r="AO264" s="132">
        <f t="shared" si="130"/>
        <v>4128.5796791042176</v>
      </c>
      <c r="AP264" s="132">
        <f t="shared" si="131"/>
        <v>19794.265888509879</v>
      </c>
      <c r="AQ264" s="132">
        <f t="shared" si="132"/>
        <v>0</v>
      </c>
      <c r="AR264" s="132">
        <f t="shared" si="113"/>
        <v>19794.265888509879</v>
      </c>
      <c r="AS264" s="132">
        <f>IF($AD264&lt;=$C$25*12,SUM(AR$5:AR264),"-")</f>
        <v>3057709.9403504515</v>
      </c>
      <c r="AT264" s="132">
        <f>IF($AD264&lt;=$C$25*12,AE264-$C$10-'RE Calculations'!$C451-'Mortgage Calculators (By Month)'!$M282,"-")</f>
        <v>3006005.912434916</v>
      </c>
      <c r="AU264" s="29">
        <f t="shared" si="133"/>
        <v>1.8775485438002708</v>
      </c>
      <c r="AV264" s="31">
        <f t="shared" si="134"/>
        <v>8.6656086636935567E-2</v>
      </c>
      <c r="AW264" s="132">
        <f t="shared" si="135"/>
        <v>6063715.8527853675</v>
      </c>
      <c r="AX264" s="29">
        <f t="shared" si="136"/>
        <v>3.7873913761512874</v>
      </c>
      <c r="AY264" s="31">
        <f t="shared" si="137"/>
        <v>0.17480267889929019</v>
      </c>
    </row>
    <row r="265" spans="6:51" x14ac:dyDescent="0.35">
      <c r="F265" s="12">
        <f t="shared" si="114"/>
        <v>261</v>
      </c>
      <c r="G265" s="132">
        <f t="shared" si="115"/>
        <v>4724817.2126046382</v>
      </c>
      <c r="H265" s="132">
        <f>IF($F265&lt;=$C$16*12,$G265-$C$7+SUM('Mortgage Calculators (By Month)'!$D$23:$D283),"-")</f>
        <v>4724817.2126046382</v>
      </c>
      <c r="I265" s="132">
        <f t="shared" si="116"/>
        <v>23912.845567614095</v>
      </c>
      <c r="J265" s="132">
        <f>IF($F265&lt;=$C$16*12,SUM(Inputs!$C$61:$C$78)*'Forecast (By Month)'!I265,"-")</f>
        <v>2630.4130124375506</v>
      </c>
      <c r="K265" s="132">
        <f>IF($F265&lt;=$C$16*12,(SUMIF(Inputs!$C$61:$C$78,0,Inputs!$F$61:$F$78)/12)*(1+$C$34)^ROUNDDOWN((F265-1)/12,0),"-")</f>
        <v>1488.1666666666667</v>
      </c>
      <c r="L265" s="132">
        <f t="shared" si="117"/>
        <v>4118.5796791042176</v>
      </c>
      <c r="M265" s="132">
        <f>IF($F265&lt;=$C$16*12,'Mortgage Calculators (By Month)'!$C283,"-")</f>
        <v>0</v>
      </c>
      <c r="N265" s="132">
        <f>IF($F265&lt;=$C$16*12,'Mortgage Calculators (By Month)'!$D283,"-")</f>
        <v>0</v>
      </c>
      <c r="O265" s="132">
        <f>IF($F265&lt;=$C$16*12,'Mortgage Calculators (By Month)'!$E283,"-")</f>
        <v>8.3333333333333339</v>
      </c>
      <c r="P265" s="132">
        <f t="shared" si="138"/>
        <v>0</v>
      </c>
      <c r="Q265" s="132">
        <f t="shared" si="118"/>
        <v>4126.9130124375506</v>
      </c>
      <c r="R265" s="132">
        <f t="shared" si="119"/>
        <v>19794.265888509879</v>
      </c>
      <c r="S265" s="132">
        <f t="shared" si="120"/>
        <v>0</v>
      </c>
      <c r="T265" s="132">
        <f t="shared" si="112"/>
        <v>19794.265888509879</v>
      </c>
      <c r="U265" s="132">
        <f>IF($F265&lt;=$C$16*12,SUM(T$5:T265),"-")</f>
        <v>3077514.2062389613</v>
      </c>
      <c r="V265" s="132">
        <f>IF($F265&lt;=$C$16*12,G265-$C$10-'RE Calculations'!$C452-'Mortgage Calculators (By Month)'!$F283,"-")</f>
        <v>3024793.8683525445</v>
      </c>
      <c r="W265" s="29">
        <f t="shared" si="121"/>
        <v>1.8892834838841222</v>
      </c>
      <c r="X265" s="31">
        <f t="shared" si="122"/>
        <v>8.6863608454442395E-2</v>
      </c>
      <c r="Y265" s="132">
        <f t="shared" si="123"/>
        <v>6102308.0745915063</v>
      </c>
      <c r="Z265" s="29">
        <f t="shared" si="124"/>
        <v>3.8114960425973492</v>
      </c>
      <c r="AA265" s="31">
        <f t="shared" si="125"/>
        <v>0.17524119736079766</v>
      </c>
      <c r="AD265" s="12">
        <f t="shared" si="126"/>
        <v>261</v>
      </c>
      <c r="AE265" s="132">
        <f t="shared" si="127"/>
        <v>4724817.2126046382</v>
      </c>
      <c r="AF265" s="132">
        <f>IF($AD265&lt;=$C$25*12,$AE265-$C$7+SUM('Mortgage Calculators (By Month)'!$K$23:$K283),"-")</f>
        <v>4724817.2126046382</v>
      </c>
      <c r="AG265" s="132">
        <f t="shared" si="128"/>
        <v>23912.845567614095</v>
      </c>
      <c r="AH265" s="132">
        <f>IF($AD265&lt;=$C$25*12,SUM(Inputs!$C$61:$C$78)*'Forecast (By Month)'!AG265,"-")</f>
        <v>2630.4130124375506</v>
      </c>
      <c r="AI265" s="132">
        <f>IF($AD265&lt;=$C$25*12,(SUMIF(Inputs!$C$61:$C$78,0,Inputs!$F$61:$F$78)/12)*(1+$C$34)^ROUNDDOWN((AD265-1)/12,0),"-")</f>
        <v>1488.1666666666667</v>
      </c>
      <c r="AJ265" s="132">
        <f t="shared" si="129"/>
        <v>4118.5796791042176</v>
      </c>
      <c r="AK265" s="132">
        <f>IF($AD265&lt;=$C$25*12,'Mortgage Calculators (By Month)'!$J283,"-")</f>
        <v>0</v>
      </c>
      <c r="AL265" s="132">
        <f>IF($AD265&lt;=$C$25*12,'Mortgage Calculators (By Month)'!$K283,"-")</f>
        <v>0</v>
      </c>
      <c r="AM265" s="132">
        <f>IF($AD265&lt;=$C$25*12,'Mortgage Calculators (By Month)'!$L283,"-")</f>
        <v>10</v>
      </c>
      <c r="AN265" s="132">
        <f t="shared" si="139"/>
        <v>0</v>
      </c>
      <c r="AO265" s="132">
        <f t="shared" si="130"/>
        <v>4128.5796791042176</v>
      </c>
      <c r="AP265" s="132">
        <f t="shared" si="131"/>
        <v>19794.265888509879</v>
      </c>
      <c r="AQ265" s="132">
        <f t="shared" si="132"/>
        <v>0</v>
      </c>
      <c r="AR265" s="132">
        <f t="shared" si="113"/>
        <v>19794.265888509879</v>
      </c>
      <c r="AS265" s="132">
        <f>IF($AD265&lt;=$C$25*12,SUM(AR$5:AR265),"-")</f>
        <v>3077504.2062389613</v>
      </c>
      <c r="AT265" s="132">
        <f>IF($AD265&lt;=$C$25*12,AE265-$C$10-'RE Calculations'!$C452-'Mortgage Calculators (By Month)'!$M283,"-")</f>
        <v>3024793.8683525445</v>
      </c>
      <c r="AU265" s="29">
        <f t="shared" si="133"/>
        <v>1.8892834838841222</v>
      </c>
      <c r="AV265" s="31">
        <f t="shared" si="134"/>
        <v>8.6863608454442395E-2</v>
      </c>
      <c r="AW265" s="132">
        <f t="shared" si="135"/>
        <v>6102298.0745915063</v>
      </c>
      <c r="AX265" s="29">
        <f t="shared" si="136"/>
        <v>3.8114897966064945</v>
      </c>
      <c r="AY265" s="31">
        <f t="shared" si="137"/>
        <v>0.17524091018880433</v>
      </c>
    </row>
    <row r="266" spans="6:51" x14ac:dyDescent="0.35">
      <c r="F266" s="12">
        <f t="shared" si="114"/>
        <v>262</v>
      </c>
      <c r="G266" s="132">
        <f t="shared" si="115"/>
        <v>4744066.7027839022</v>
      </c>
      <c r="H266" s="132">
        <f>IF($F266&lt;=$C$16*12,$G266-$C$7+SUM('Mortgage Calculators (By Month)'!$D$23:$D284),"-")</f>
        <v>4744066.7027839022</v>
      </c>
      <c r="I266" s="132">
        <f t="shared" si="116"/>
        <v>23912.845567614095</v>
      </c>
      <c r="J266" s="132">
        <f>IF($F266&lt;=$C$16*12,SUM(Inputs!$C$61:$C$78)*'Forecast (By Month)'!I266,"-")</f>
        <v>2630.4130124375506</v>
      </c>
      <c r="K266" s="132">
        <f>IF($F266&lt;=$C$16*12,(SUMIF(Inputs!$C$61:$C$78,0,Inputs!$F$61:$F$78)/12)*(1+$C$34)^ROUNDDOWN((F266-1)/12,0),"-")</f>
        <v>1488.1666666666667</v>
      </c>
      <c r="L266" s="132">
        <f t="shared" si="117"/>
        <v>4118.5796791042176</v>
      </c>
      <c r="M266" s="132">
        <f>IF($F266&lt;=$C$16*12,'Mortgage Calculators (By Month)'!$C284,"-")</f>
        <v>0</v>
      </c>
      <c r="N266" s="132">
        <f>IF($F266&lt;=$C$16*12,'Mortgage Calculators (By Month)'!$D284,"-")</f>
        <v>0</v>
      </c>
      <c r="O266" s="132">
        <f>IF($F266&lt;=$C$16*12,'Mortgage Calculators (By Month)'!$E284,"-")</f>
        <v>8.3333333333333339</v>
      </c>
      <c r="P266" s="132">
        <f t="shared" si="138"/>
        <v>0</v>
      </c>
      <c r="Q266" s="132">
        <f t="shared" si="118"/>
        <v>4126.9130124375506</v>
      </c>
      <c r="R266" s="132">
        <f t="shared" si="119"/>
        <v>19794.265888509879</v>
      </c>
      <c r="S266" s="132">
        <f t="shared" si="120"/>
        <v>0</v>
      </c>
      <c r="T266" s="132">
        <f t="shared" si="112"/>
        <v>19794.265888509879</v>
      </c>
      <c r="U266" s="132">
        <f>IF($F266&lt;=$C$16*12,SUM(T$5:T266),"-")</f>
        <v>3097308.4721274711</v>
      </c>
      <c r="V266" s="132">
        <f>IF($F266&lt;=$C$16*12,G266-$C$10-'RE Calculations'!$C453-'Mortgage Calculators (By Month)'!$F284,"-")</f>
        <v>3043658.3687282233</v>
      </c>
      <c r="W266" s="29">
        <f t="shared" si="121"/>
        <v>1.901066233566469</v>
      </c>
      <c r="X266" s="31">
        <f t="shared" si="122"/>
        <v>8.7071735888540572E-2</v>
      </c>
      <c r="Y266" s="132">
        <f t="shared" si="123"/>
        <v>6140966.8408556944</v>
      </c>
      <c r="Z266" s="29">
        <f t="shared" si="124"/>
        <v>3.8356422726510511</v>
      </c>
      <c r="AA266" s="31">
        <f t="shared" si="125"/>
        <v>0.17567827202981914</v>
      </c>
      <c r="AD266" s="12">
        <f t="shared" si="126"/>
        <v>262</v>
      </c>
      <c r="AE266" s="132">
        <f t="shared" si="127"/>
        <v>4744066.7027839022</v>
      </c>
      <c r="AF266" s="132">
        <f>IF($AD266&lt;=$C$25*12,$AE266-$C$7+SUM('Mortgage Calculators (By Month)'!$K$23:$K284),"-")</f>
        <v>4744066.7027839022</v>
      </c>
      <c r="AG266" s="132">
        <f t="shared" si="128"/>
        <v>23912.845567614095</v>
      </c>
      <c r="AH266" s="132">
        <f>IF($AD266&lt;=$C$25*12,SUM(Inputs!$C$61:$C$78)*'Forecast (By Month)'!AG266,"-")</f>
        <v>2630.4130124375506</v>
      </c>
      <c r="AI266" s="132">
        <f>IF($AD266&lt;=$C$25*12,(SUMIF(Inputs!$C$61:$C$78,0,Inputs!$F$61:$F$78)/12)*(1+$C$34)^ROUNDDOWN((AD266-1)/12,0),"-")</f>
        <v>1488.1666666666667</v>
      </c>
      <c r="AJ266" s="132">
        <f t="shared" si="129"/>
        <v>4118.5796791042176</v>
      </c>
      <c r="AK266" s="132">
        <f>IF($AD266&lt;=$C$25*12,'Mortgage Calculators (By Month)'!$J284,"-")</f>
        <v>0</v>
      </c>
      <c r="AL266" s="132">
        <f>IF($AD266&lt;=$C$25*12,'Mortgage Calculators (By Month)'!$K284,"-")</f>
        <v>0</v>
      </c>
      <c r="AM266" s="132">
        <f>IF($AD266&lt;=$C$25*12,'Mortgage Calculators (By Month)'!$L284,"-")</f>
        <v>10</v>
      </c>
      <c r="AN266" s="132">
        <f t="shared" si="139"/>
        <v>0</v>
      </c>
      <c r="AO266" s="132">
        <f t="shared" si="130"/>
        <v>4128.5796791042176</v>
      </c>
      <c r="AP266" s="132">
        <f t="shared" si="131"/>
        <v>19794.265888509879</v>
      </c>
      <c r="AQ266" s="132">
        <f t="shared" si="132"/>
        <v>0</v>
      </c>
      <c r="AR266" s="132">
        <f t="shared" si="113"/>
        <v>19794.265888509879</v>
      </c>
      <c r="AS266" s="132">
        <f>IF($AD266&lt;=$C$25*12,SUM(AR$5:AR266),"-")</f>
        <v>3097298.4721274711</v>
      </c>
      <c r="AT266" s="132">
        <f>IF($AD266&lt;=$C$25*12,AE266-$C$10-'RE Calculations'!$C453-'Mortgage Calculators (By Month)'!$M284,"-")</f>
        <v>3043658.3687282233</v>
      </c>
      <c r="AU266" s="29">
        <f t="shared" si="133"/>
        <v>1.901066233566469</v>
      </c>
      <c r="AV266" s="31">
        <f t="shared" si="134"/>
        <v>8.7071735888540572E-2</v>
      </c>
      <c r="AW266" s="132">
        <f t="shared" si="135"/>
        <v>6140956.8408556944</v>
      </c>
      <c r="AX266" s="29">
        <f t="shared" si="136"/>
        <v>3.8356360266601963</v>
      </c>
      <c r="AY266" s="31">
        <f t="shared" si="137"/>
        <v>0.17567798595390213</v>
      </c>
    </row>
    <row r="267" spans="6:51" x14ac:dyDescent="0.35">
      <c r="F267" s="12">
        <f t="shared" si="114"/>
        <v>263</v>
      </c>
      <c r="G267" s="132">
        <f t="shared" si="115"/>
        <v>4763394.6177689284</v>
      </c>
      <c r="H267" s="132">
        <f>IF($F267&lt;=$C$16*12,$G267-$C$7+SUM('Mortgage Calculators (By Month)'!$D$23:$D285),"-")</f>
        <v>4763394.6177689284</v>
      </c>
      <c r="I267" s="132">
        <f t="shared" si="116"/>
        <v>23912.845567614095</v>
      </c>
      <c r="J267" s="132">
        <f>IF($F267&lt;=$C$16*12,SUM(Inputs!$C$61:$C$78)*'Forecast (By Month)'!I267,"-")</f>
        <v>2630.4130124375506</v>
      </c>
      <c r="K267" s="132">
        <f>IF($F267&lt;=$C$16*12,(SUMIF(Inputs!$C$61:$C$78,0,Inputs!$F$61:$F$78)/12)*(1+$C$34)^ROUNDDOWN((F267-1)/12,0),"-")</f>
        <v>1488.1666666666667</v>
      </c>
      <c r="L267" s="132">
        <f t="shared" si="117"/>
        <v>4118.5796791042176</v>
      </c>
      <c r="M267" s="132">
        <f>IF($F267&lt;=$C$16*12,'Mortgage Calculators (By Month)'!$C285,"-")</f>
        <v>0</v>
      </c>
      <c r="N267" s="132">
        <f>IF($F267&lt;=$C$16*12,'Mortgage Calculators (By Month)'!$D285,"-")</f>
        <v>0</v>
      </c>
      <c r="O267" s="132">
        <f>IF($F267&lt;=$C$16*12,'Mortgage Calculators (By Month)'!$E285,"-")</f>
        <v>8.3333333333333339</v>
      </c>
      <c r="P267" s="132">
        <f t="shared" si="138"/>
        <v>0</v>
      </c>
      <c r="Q267" s="132">
        <f t="shared" si="118"/>
        <v>4126.9130124375506</v>
      </c>
      <c r="R267" s="132">
        <f t="shared" si="119"/>
        <v>19794.265888509879</v>
      </c>
      <c r="S267" s="132">
        <f t="shared" si="120"/>
        <v>0</v>
      </c>
      <c r="T267" s="132">
        <f t="shared" si="112"/>
        <v>19794.265888509879</v>
      </c>
      <c r="U267" s="132">
        <f>IF($F267&lt;=$C$16*12,SUM(T$5:T267),"-")</f>
        <v>3117102.7380159809</v>
      </c>
      <c r="V267" s="132">
        <f>IF($F267&lt;=$C$16*12,G267-$C$10-'RE Calculations'!$C454-'Mortgage Calculators (By Month)'!$F285,"-")</f>
        <v>3062599.7254135488</v>
      </c>
      <c r="W267" s="29">
        <f t="shared" si="121"/>
        <v>1.9128969876295332</v>
      </c>
      <c r="X267" s="31">
        <f t="shared" si="122"/>
        <v>8.7280470918457781E-2</v>
      </c>
      <c r="Y267" s="132">
        <f t="shared" si="123"/>
        <v>6179702.4634295292</v>
      </c>
      <c r="Z267" s="29">
        <f t="shared" si="124"/>
        <v>3.8598365070854701</v>
      </c>
      <c r="AA267" s="31">
        <f t="shared" si="125"/>
        <v>0.17611421325104806</v>
      </c>
      <c r="AD267" s="12">
        <f t="shared" si="126"/>
        <v>263</v>
      </c>
      <c r="AE267" s="132">
        <f t="shared" si="127"/>
        <v>4763394.6177689284</v>
      </c>
      <c r="AF267" s="132">
        <f>IF($AD267&lt;=$C$25*12,$AE267-$C$7+SUM('Mortgage Calculators (By Month)'!$K$23:$K285),"-")</f>
        <v>4763394.6177689284</v>
      </c>
      <c r="AG267" s="132">
        <f t="shared" si="128"/>
        <v>23912.845567614095</v>
      </c>
      <c r="AH267" s="132">
        <f>IF($AD267&lt;=$C$25*12,SUM(Inputs!$C$61:$C$78)*'Forecast (By Month)'!AG267,"-")</f>
        <v>2630.4130124375506</v>
      </c>
      <c r="AI267" s="132">
        <f>IF($AD267&lt;=$C$25*12,(SUMIF(Inputs!$C$61:$C$78,0,Inputs!$F$61:$F$78)/12)*(1+$C$34)^ROUNDDOWN((AD267-1)/12,0),"-")</f>
        <v>1488.1666666666667</v>
      </c>
      <c r="AJ267" s="132">
        <f t="shared" si="129"/>
        <v>4118.5796791042176</v>
      </c>
      <c r="AK267" s="132">
        <f>IF($AD267&lt;=$C$25*12,'Mortgage Calculators (By Month)'!$J285,"-")</f>
        <v>0</v>
      </c>
      <c r="AL267" s="132">
        <f>IF($AD267&lt;=$C$25*12,'Mortgage Calculators (By Month)'!$K285,"-")</f>
        <v>0</v>
      </c>
      <c r="AM267" s="132">
        <f>IF($AD267&lt;=$C$25*12,'Mortgage Calculators (By Month)'!$L285,"-")</f>
        <v>10</v>
      </c>
      <c r="AN267" s="132">
        <f t="shared" si="139"/>
        <v>0</v>
      </c>
      <c r="AO267" s="132">
        <f t="shared" si="130"/>
        <v>4128.5796791042176</v>
      </c>
      <c r="AP267" s="132">
        <f t="shared" si="131"/>
        <v>19794.265888509879</v>
      </c>
      <c r="AQ267" s="132">
        <f t="shared" si="132"/>
        <v>0</v>
      </c>
      <c r="AR267" s="132">
        <f t="shared" si="113"/>
        <v>19794.265888509879</v>
      </c>
      <c r="AS267" s="132">
        <f>IF($AD267&lt;=$C$25*12,SUM(AR$5:AR267),"-")</f>
        <v>3117092.7380159809</v>
      </c>
      <c r="AT267" s="132">
        <f>IF($AD267&lt;=$C$25*12,AE267-$C$10-'RE Calculations'!$C454-'Mortgage Calculators (By Month)'!$M285,"-")</f>
        <v>3062599.7254135488</v>
      </c>
      <c r="AU267" s="29">
        <f t="shared" si="133"/>
        <v>1.9128969876295332</v>
      </c>
      <c r="AV267" s="31">
        <f t="shared" si="134"/>
        <v>8.7280470918457781E-2</v>
      </c>
      <c r="AW267" s="132">
        <f t="shared" si="135"/>
        <v>6179692.4634295292</v>
      </c>
      <c r="AX267" s="29">
        <f t="shared" si="136"/>
        <v>3.8598302610946158</v>
      </c>
      <c r="AY267" s="31">
        <f t="shared" si="137"/>
        <v>0.1761139282628722</v>
      </c>
    </row>
    <row r="268" spans="6:51" x14ac:dyDescent="0.35">
      <c r="F268" s="12">
        <f t="shared" si="114"/>
        <v>264</v>
      </c>
      <c r="G268" s="132">
        <f t="shared" si="115"/>
        <v>4782801.2770720832</v>
      </c>
      <c r="H268" s="132">
        <f>IF($F268&lt;=$C$16*12,$G268-$C$7+SUM('Mortgage Calculators (By Month)'!$D$23:$D286),"-")</f>
        <v>4782801.2770720832</v>
      </c>
      <c r="I268" s="132">
        <f t="shared" si="116"/>
        <v>23912.845567614095</v>
      </c>
      <c r="J268" s="132">
        <f>IF($F268&lt;=$C$16*12,SUM(Inputs!$C$61:$C$78)*'Forecast (By Month)'!I268,"-")</f>
        <v>2630.4130124375506</v>
      </c>
      <c r="K268" s="132">
        <f>IF($F268&lt;=$C$16*12,(SUMIF(Inputs!$C$61:$C$78,0,Inputs!$F$61:$F$78)/12)*(1+$C$34)^ROUNDDOWN((F268-1)/12,0),"-")</f>
        <v>1488.1666666666667</v>
      </c>
      <c r="L268" s="132">
        <f t="shared" si="117"/>
        <v>4118.5796791042176</v>
      </c>
      <c r="M268" s="132">
        <f>IF($F268&lt;=$C$16*12,'Mortgage Calculators (By Month)'!$C286,"-")</f>
        <v>0</v>
      </c>
      <c r="N268" s="132">
        <f>IF($F268&lt;=$C$16*12,'Mortgage Calculators (By Month)'!$D286,"-")</f>
        <v>0</v>
      </c>
      <c r="O268" s="132">
        <f>IF($F268&lt;=$C$16*12,'Mortgage Calculators (By Month)'!$E286,"-")</f>
        <v>8.3333333333333339</v>
      </c>
      <c r="P268" s="132">
        <f t="shared" si="138"/>
        <v>0</v>
      </c>
      <c r="Q268" s="132">
        <f t="shared" si="118"/>
        <v>4126.9130124375506</v>
      </c>
      <c r="R268" s="132">
        <f t="shared" si="119"/>
        <v>19794.265888509879</v>
      </c>
      <c r="S268" s="132">
        <f t="shared" si="120"/>
        <v>0</v>
      </c>
      <c r="T268" s="132">
        <f t="shared" si="112"/>
        <v>19794.265888509879</v>
      </c>
      <c r="U268" s="132">
        <f>IF($F268&lt;=$C$16*12,SUM(T$5:T268),"-")</f>
        <v>3136897.0039044907</v>
      </c>
      <c r="V268" s="132">
        <f>IF($F268&lt;=$C$16*12,G268-$C$10-'RE Calculations'!$C455-'Mortgage Calculators (By Month)'!$F286,"-")</f>
        <v>3081618.2515306403</v>
      </c>
      <c r="W268" s="29">
        <f t="shared" si="121"/>
        <v>1.9247759416491041</v>
      </c>
      <c r="X268" s="31">
        <f t="shared" si="122"/>
        <v>8.748981552950473E-2</v>
      </c>
      <c r="Y268" s="132">
        <f t="shared" si="123"/>
        <v>6218515.2554351315</v>
      </c>
      <c r="Z268" s="29">
        <f t="shared" si="124"/>
        <v>3.884078941476397</v>
      </c>
      <c r="AA268" s="31">
        <f t="shared" si="125"/>
        <v>0.17654904279438169</v>
      </c>
      <c r="AD268" s="12">
        <f t="shared" si="126"/>
        <v>264</v>
      </c>
      <c r="AE268" s="132">
        <f t="shared" si="127"/>
        <v>4782801.2770720832</v>
      </c>
      <c r="AF268" s="132">
        <f>IF($AD268&lt;=$C$25*12,$AE268-$C$7+SUM('Mortgage Calculators (By Month)'!$K$23:$K286),"-")</f>
        <v>4782801.2770720832</v>
      </c>
      <c r="AG268" s="132">
        <f t="shared" si="128"/>
        <v>23912.845567614095</v>
      </c>
      <c r="AH268" s="132">
        <f>IF($AD268&lt;=$C$25*12,SUM(Inputs!$C$61:$C$78)*'Forecast (By Month)'!AG268,"-")</f>
        <v>2630.4130124375506</v>
      </c>
      <c r="AI268" s="132">
        <f>IF($AD268&lt;=$C$25*12,(SUMIF(Inputs!$C$61:$C$78,0,Inputs!$F$61:$F$78)/12)*(1+$C$34)^ROUNDDOWN((AD268-1)/12,0),"-")</f>
        <v>1488.1666666666667</v>
      </c>
      <c r="AJ268" s="132">
        <f t="shared" si="129"/>
        <v>4118.5796791042176</v>
      </c>
      <c r="AK268" s="132">
        <f>IF($AD268&lt;=$C$25*12,'Mortgage Calculators (By Month)'!$J286,"-")</f>
        <v>0</v>
      </c>
      <c r="AL268" s="132">
        <f>IF($AD268&lt;=$C$25*12,'Mortgage Calculators (By Month)'!$K286,"-")</f>
        <v>0</v>
      </c>
      <c r="AM268" s="132">
        <f>IF($AD268&lt;=$C$25*12,'Mortgage Calculators (By Month)'!$L286,"-")</f>
        <v>10</v>
      </c>
      <c r="AN268" s="132">
        <f t="shared" si="139"/>
        <v>0</v>
      </c>
      <c r="AO268" s="132">
        <f t="shared" si="130"/>
        <v>4128.5796791042176</v>
      </c>
      <c r="AP268" s="132">
        <f t="shared" si="131"/>
        <v>19794.265888509879</v>
      </c>
      <c r="AQ268" s="132">
        <f t="shared" si="132"/>
        <v>0</v>
      </c>
      <c r="AR268" s="132">
        <f t="shared" si="113"/>
        <v>19794.265888509879</v>
      </c>
      <c r="AS268" s="132">
        <f>IF($AD268&lt;=$C$25*12,SUM(AR$5:AR268),"-")</f>
        <v>3136887.0039044907</v>
      </c>
      <c r="AT268" s="132">
        <f>IF($AD268&lt;=$C$25*12,AE268-$C$10-'RE Calculations'!$C455-'Mortgage Calculators (By Month)'!$M286,"-")</f>
        <v>3081618.2515306403</v>
      </c>
      <c r="AU268" s="29">
        <f t="shared" si="133"/>
        <v>1.9247759416491041</v>
      </c>
      <c r="AV268" s="31">
        <f t="shared" si="134"/>
        <v>8.748981552950473E-2</v>
      </c>
      <c r="AW268" s="132">
        <f t="shared" si="135"/>
        <v>6218505.2554351315</v>
      </c>
      <c r="AX268" s="29">
        <f t="shared" si="136"/>
        <v>3.8840726954855422</v>
      </c>
      <c r="AY268" s="31">
        <f t="shared" si="137"/>
        <v>0.17654875888570645</v>
      </c>
    </row>
    <row r="269" spans="6:51" x14ac:dyDescent="0.35">
      <c r="F269" s="12">
        <f t="shared" si="114"/>
        <v>265</v>
      </c>
      <c r="G269" s="132">
        <f t="shared" si="115"/>
        <v>4802287.0015074667</v>
      </c>
      <c r="H269" s="132">
        <f>IF($F269&lt;=$C$16*12,$G269-$C$7+SUM('Mortgage Calculators (By Month)'!$D$23:$D287),"-")</f>
        <v>4802287.0015074667</v>
      </c>
      <c r="I269" s="132">
        <f t="shared" si="116"/>
        <v>25108.487845994798</v>
      </c>
      <c r="J269" s="132">
        <f>IF($F269&lt;=$C$16*12,SUM(Inputs!$C$61:$C$78)*'Forecast (By Month)'!I269,"-")</f>
        <v>2761.9336630594275</v>
      </c>
      <c r="K269" s="132">
        <f>IF($F269&lt;=$C$16*12,(SUMIF(Inputs!$C$61:$C$78,0,Inputs!$F$61:$F$78)/12)*(1+$C$34)^ROUNDDOWN((F269-1)/12,0),"-")</f>
        <v>1488.1666666666667</v>
      </c>
      <c r="L269" s="132">
        <f t="shared" si="117"/>
        <v>4250.1003297260941</v>
      </c>
      <c r="M269" s="132">
        <f>IF($F269&lt;=$C$16*12,'Mortgage Calculators (By Month)'!$C287,"-")</f>
        <v>0</v>
      </c>
      <c r="N269" s="132">
        <f>IF($F269&lt;=$C$16*12,'Mortgage Calculators (By Month)'!$D287,"-")</f>
        <v>0</v>
      </c>
      <c r="O269" s="132">
        <f>IF($F269&lt;=$C$16*12,'Mortgage Calculators (By Month)'!$E287,"-")</f>
        <v>8.3333333333333339</v>
      </c>
      <c r="P269" s="132">
        <f t="shared" si="138"/>
        <v>0</v>
      </c>
      <c r="Q269" s="132">
        <f t="shared" si="118"/>
        <v>4258.4336630594271</v>
      </c>
      <c r="R269" s="132">
        <f t="shared" si="119"/>
        <v>20858.387516268704</v>
      </c>
      <c r="S269" s="132">
        <f t="shared" si="120"/>
        <v>0</v>
      </c>
      <c r="T269" s="132">
        <f t="shared" si="112"/>
        <v>20858.387516268704</v>
      </c>
      <c r="U269" s="132">
        <f>IF($F269&lt;=$C$16*12,SUM(T$5:T269),"-")</f>
        <v>3157755.3914207593</v>
      </c>
      <c r="V269" s="132">
        <f>IF($F269&lt;=$C$16*12,G269-$C$10-'RE Calculations'!$C456-'Mortgage Calculators (By Month)'!$F287,"-")</f>
        <v>3100714.2614773163</v>
      </c>
      <c r="W269" s="29">
        <f t="shared" si="121"/>
        <v>1.9367032919977716</v>
      </c>
      <c r="X269" s="31">
        <f t="shared" si="122"/>
        <v>8.7699771713106639E-2</v>
      </c>
      <c r="Y269" s="132">
        <f t="shared" si="123"/>
        <v>6258469.6528980751</v>
      </c>
      <c r="Z269" s="29">
        <f t="shared" si="124"/>
        <v>3.9090344215919375</v>
      </c>
      <c r="AA269" s="31">
        <f t="shared" si="125"/>
        <v>0.17701287946831415</v>
      </c>
      <c r="AD269" s="12">
        <f t="shared" si="126"/>
        <v>265</v>
      </c>
      <c r="AE269" s="132">
        <f t="shared" si="127"/>
        <v>4802287.0015074667</v>
      </c>
      <c r="AF269" s="132">
        <f>IF($AD269&lt;=$C$25*12,$AE269-$C$7+SUM('Mortgage Calculators (By Month)'!$K$23:$K287),"-")</f>
        <v>4802287.0015074667</v>
      </c>
      <c r="AG269" s="132">
        <f t="shared" si="128"/>
        <v>25108.487845994798</v>
      </c>
      <c r="AH269" s="132">
        <f>IF($AD269&lt;=$C$25*12,SUM(Inputs!$C$61:$C$78)*'Forecast (By Month)'!AG269,"-")</f>
        <v>2761.9336630594275</v>
      </c>
      <c r="AI269" s="132">
        <f>IF($AD269&lt;=$C$25*12,(SUMIF(Inputs!$C$61:$C$78,0,Inputs!$F$61:$F$78)/12)*(1+$C$34)^ROUNDDOWN((AD269-1)/12,0),"-")</f>
        <v>1488.1666666666667</v>
      </c>
      <c r="AJ269" s="132">
        <f t="shared" si="129"/>
        <v>4250.1003297260941</v>
      </c>
      <c r="AK269" s="132">
        <f>IF($AD269&lt;=$C$25*12,'Mortgage Calculators (By Month)'!$J287,"-")</f>
        <v>0</v>
      </c>
      <c r="AL269" s="132">
        <f>IF($AD269&lt;=$C$25*12,'Mortgage Calculators (By Month)'!$K287,"-")</f>
        <v>0</v>
      </c>
      <c r="AM269" s="132">
        <f>IF($AD269&lt;=$C$25*12,'Mortgage Calculators (By Month)'!$L287,"-")</f>
        <v>10</v>
      </c>
      <c r="AN269" s="132">
        <f t="shared" si="139"/>
        <v>0</v>
      </c>
      <c r="AO269" s="132">
        <f t="shared" si="130"/>
        <v>4260.1003297260941</v>
      </c>
      <c r="AP269" s="132">
        <f t="shared" si="131"/>
        <v>20858.387516268704</v>
      </c>
      <c r="AQ269" s="132">
        <f t="shared" si="132"/>
        <v>0</v>
      </c>
      <c r="AR269" s="132">
        <f t="shared" si="113"/>
        <v>20858.387516268704</v>
      </c>
      <c r="AS269" s="132">
        <f>IF($AD269&lt;=$C$25*12,SUM(AR$5:AR269),"-")</f>
        <v>3157745.3914207593</v>
      </c>
      <c r="AT269" s="132">
        <f>IF($AD269&lt;=$C$25*12,AE269-$C$10-'RE Calculations'!$C456-'Mortgage Calculators (By Month)'!$M287,"-")</f>
        <v>3100714.2614773163</v>
      </c>
      <c r="AU269" s="29">
        <f t="shared" si="133"/>
        <v>1.9367032919977716</v>
      </c>
      <c r="AV269" s="31">
        <f t="shared" si="134"/>
        <v>8.7699771713106639E-2</v>
      </c>
      <c r="AW269" s="132">
        <f t="shared" si="135"/>
        <v>6258459.6528980751</v>
      </c>
      <c r="AX269" s="29">
        <f t="shared" si="136"/>
        <v>3.9090281756010832</v>
      </c>
      <c r="AY269" s="31">
        <f t="shared" si="137"/>
        <v>0.17701259663099245</v>
      </c>
    </row>
    <row r="270" spans="6:51" x14ac:dyDescent="0.35">
      <c r="F270" s="12">
        <f t="shared" si="114"/>
        <v>266</v>
      </c>
      <c r="G270" s="132">
        <f t="shared" si="115"/>
        <v>4821852.1131962137</v>
      </c>
      <c r="H270" s="132">
        <f>IF($F270&lt;=$C$16*12,$G270-$C$7+SUM('Mortgage Calculators (By Month)'!$D$23:$D288),"-")</f>
        <v>4821852.1131962137</v>
      </c>
      <c r="I270" s="132">
        <f t="shared" si="116"/>
        <v>25108.487845994798</v>
      </c>
      <c r="J270" s="132">
        <f>IF($F270&lt;=$C$16*12,SUM(Inputs!$C$61:$C$78)*'Forecast (By Month)'!I270,"-")</f>
        <v>2761.9336630594275</v>
      </c>
      <c r="K270" s="132">
        <f>IF($F270&lt;=$C$16*12,(SUMIF(Inputs!$C$61:$C$78,0,Inputs!$F$61:$F$78)/12)*(1+$C$34)^ROUNDDOWN((F270-1)/12,0),"-")</f>
        <v>1488.1666666666667</v>
      </c>
      <c r="L270" s="132">
        <f t="shared" si="117"/>
        <v>4250.1003297260941</v>
      </c>
      <c r="M270" s="132">
        <f>IF($F270&lt;=$C$16*12,'Mortgage Calculators (By Month)'!$C288,"-")</f>
        <v>0</v>
      </c>
      <c r="N270" s="132">
        <f>IF($F270&lt;=$C$16*12,'Mortgage Calculators (By Month)'!$D288,"-")</f>
        <v>0</v>
      </c>
      <c r="O270" s="132">
        <f>IF($F270&lt;=$C$16*12,'Mortgage Calculators (By Month)'!$E288,"-")</f>
        <v>8.3333333333333339</v>
      </c>
      <c r="P270" s="132">
        <f t="shared" si="138"/>
        <v>0</v>
      </c>
      <c r="Q270" s="132">
        <f t="shared" si="118"/>
        <v>4258.4336630594271</v>
      </c>
      <c r="R270" s="132">
        <f t="shared" si="119"/>
        <v>20858.387516268704</v>
      </c>
      <c r="S270" s="132">
        <f t="shared" si="120"/>
        <v>0</v>
      </c>
      <c r="T270" s="132">
        <f t="shared" si="112"/>
        <v>20858.387516268704</v>
      </c>
      <c r="U270" s="132">
        <f>IF($F270&lt;=$C$16*12,SUM(T$5:T270),"-")</f>
        <v>3178613.7789370278</v>
      </c>
      <c r="V270" s="132">
        <f>IF($F270&lt;=$C$16*12,G270-$C$10-'RE Calculations'!$C457-'Mortgage Calculators (By Month)'!$F288,"-")</f>
        <v>3119888.0709322882</v>
      </c>
      <c r="W270" s="29">
        <f t="shared" si="121"/>
        <v>1.9486792358481702</v>
      </c>
      <c r="X270" s="31">
        <f t="shared" si="122"/>
        <v>8.791034146683474E-2</v>
      </c>
      <c r="Y270" s="132">
        <f t="shared" si="123"/>
        <v>6298501.8498693164</v>
      </c>
      <c r="Z270" s="29">
        <f t="shared" si="124"/>
        <v>3.9340384952092102</v>
      </c>
      <c r="AA270" s="31">
        <f t="shared" si="125"/>
        <v>0.17747542083650572</v>
      </c>
      <c r="AD270" s="12">
        <f t="shared" si="126"/>
        <v>266</v>
      </c>
      <c r="AE270" s="132">
        <f t="shared" si="127"/>
        <v>4821852.1131962137</v>
      </c>
      <c r="AF270" s="132">
        <f>IF($AD270&lt;=$C$25*12,$AE270-$C$7+SUM('Mortgage Calculators (By Month)'!$K$23:$K288),"-")</f>
        <v>4821852.1131962137</v>
      </c>
      <c r="AG270" s="132">
        <f t="shared" si="128"/>
        <v>25108.487845994798</v>
      </c>
      <c r="AH270" s="132">
        <f>IF($AD270&lt;=$C$25*12,SUM(Inputs!$C$61:$C$78)*'Forecast (By Month)'!AG270,"-")</f>
        <v>2761.9336630594275</v>
      </c>
      <c r="AI270" s="132">
        <f>IF($AD270&lt;=$C$25*12,(SUMIF(Inputs!$C$61:$C$78,0,Inputs!$F$61:$F$78)/12)*(1+$C$34)^ROUNDDOWN((AD270-1)/12,0),"-")</f>
        <v>1488.1666666666667</v>
      </c>
      <c r="AJ270" s="132">
        <f t="shared" si="129"/>
        <v>4250.1003297260941</v>
      </c>
      <c r="AK270" s="132">
        <f>IF($AD270&lt;=$C$25*12,'Mortgage Calculators (By Month)'!$J288,"-")</f>
        <v>0</v>
      </c>
      <c r="AL270" s="132">
        <f>IF($AD270&lt;=$C$25*12,'Mortgage Calculators (By Month)'!$K288,"-")</f>
        <v>0</v>
      </c>
      <c r="AM270" s="132">
        <f>IF($AD270&lt;=$C$25*12,'Mortgage Calculators (By Month)'!$L288,"-")</f>
        <v>10</v>
      </c>
      <c r="AN270" s="132">
        <f t="shared" si="139"/>
        <v>0</v>
      </c>
      <c r="AO270" s="132">
        <f t="shared" si="130"/>
        <v>4260.1003297260941</v>
      </c>
      <c r="AP270" s="132">
        <f t="shared" si="131"/>
        <v>20858.387516268704</v>
      </c>
      <c r="AQ270" s="132">
        <f t="shared" si="132"/>
        <v>0</v>
      </c>
      <c r="AR270" s="132">
        <f t="shared" si="113"/>
        <v>20858.387516268704</v>
      </c>
      <c r="AS270" s="132">
        <f>IF($AD270&lt;=$C$25*12,SUM(AR$5:AR270),"-")</f>
        <v>3178603.7789370278</v>
      </c>
      <c r="AT270" s="132">
        <f>IF($AD270&lt;=$C$25*12,AE270-$C$10-'RE Calculations'!$C457-'Mortgage Calculators (By Month)'!$M288,"-")</f>
        <v>3119888.0709322882</v>
      </c>
      <c r="AU270" s="29">
        <f t="shared" si="133"/>
        <v>1.9486792358481702</v>
      </c>
      <c r="AV270" s="31">
        <f t="shared" si="134"/>
        <v>8.791034146683474E-2</v>
      </c>
      <c r="AW270" s="132">
        <f t="shared" si="135"/>
        <v>6298491.8498693164</v>
      </c>
      <c r="AX270" s="29">
        <f t="shared" si="136"/>
        <v>3.9340322492183559</v>
      </c>
      <c r="AY270" s="31">
        <f t="shared" si="137"/>
        <v>0.17747513906248222</v>
      </c>
    </row>
    <row r="271" spans="6:51" x14ac:dyDescent="0.35">
      <c r="F271" s="12">
        <f t="shared" si="114"/>
        <v>267</v>
      </c>
      <c r="G271" s="132">
        <f t="shared" si="115"/>
        <v>4841496.9355718214</v>
      </c>
      <c r="H271" s="132">
        <f>IF($F271&lt;=$C$16*12,$G271-$C$7+SUM('Mortgage Calculators (By Month)'!$D$23:$D289),"-")</f>
        <v>4841496.9355718214</v>
      </c>
      <c r="I271" s="132">
        <f t="shared" si="116"/>
        <v>25108.487845994798</v>
      </c>
      <c r="J271" s="132">
        <f>IF($F271&lt;=$C$16*12,SUM(Inputs!$C$61:$C$78)*'Forecast (By Month)'!I271,"-")</f>
        <v>2761.9336630594275</v>
      </c>
      <c r="K271" s="132">
        <f>IF($F271&lt;=$C$16*12,(SUMIF(Inputs!$C$61:$C$78,0,Inputs!$F$61:$F$78)/12)*(1+$C$34)^ROUNDDOWN((F271-1)/12,0),"-")</f>
        <v>1488.1666666666667</v>
      </c>
      <c r="L271" s="132">
        <f t="shared" si="117"/>
        <v>4250.1003297260941</v>
      </c>
      <c r="M271" s="132">
        <f>IF($F271&lt;=$C$16*12,'Mortgage Calculators (By Month)'!$C289,"-")</f>
        <v>0</v>
      </c>
      <c r="N271" s="132">
        <f>IF($F271&lt;=$C$16*12,'Mortgage Calculators (By Month)'!$D289,"-")</f>
        <v>0</v>
      </c>
      <c r="O271" s="132">
        <f>IF($F271&lt;=$C$16*12,'Mortgage Calculators (By Month)'!$E289,"-")</f>
        <v>8.3333333333333339</v>
      </c>
      <c r="P271" s="132">
        <f t="shared" si="138"/>
        <v>0</v>
      </c>
      <c r="Q271" s="132">
        <f t="shared" si="118"/>
        <v>4258.4336630594271</v>
      </c>
      <c r="R271" s="132">
        <f t="shared" si="119"/>
        <v>20858.387516268704</v>
      </c>
      <c r="S271" s="132">
        <f t="shared" si="120"/>
        <v>0</v>
      </c>
      <c r="T271" s="132">
        <f t="shared" si="112"/>
        <v>20858.387516268704</v>
      </c>
      <c r="U271" s="132">
        <f>IF($F271&lt;=$C$16*12,SUM(T$5:T271),"-")</f>
        <v>3199472.1664532963</v>
      </c>
      <c r="V271" s="132">
        <f>IF($F271&lt;=$C$16*12,G271-$C$10-'RE Calculations'!$C458-'Mortgage Calculators (By Month)'!$F289,"-")</f>
        <v>3139139.996860384</v>
      </c>
      <c r="W271" s="29">
        <f t="shared" si="121"/>
        <v>1.9607039711762413</v>
      </c>
      <c r="X271" s="31">
        <f t="shared" si="122"/>
        <v>8.8121526794437813E-2</v>
      </c>
      <c r="Y271" s="132">
        <f t="shared" si="123"/>
        <v>6338612.1633136803</v>
      </c>
      <c r="Z271" s="29">
        <f t="shared" si="124"/>
        <v>3.9590913603041549</v>
      </c>
      <c r="AA271" s="31">
        <f t="shared" si="125"/>
        <v>0.17793669035074852</v>
      </c>
      <c r="AD271" s="12">
        <f t="shared" si="126"/>
        <v>267</v>
      </c>
      <c r="AE271" s="132">
        <f t="shared" si="127"/>
        <v>4841496.9355718214</v>
      </c>
      <c r="AF271" s="132">
        <f>IF($AD271&lt;=$C$25*12,$AE271-$C$7+SUM('Mortgage Calculators (By Month)'!$K$23:$K289),"-")</f>
        <v>4841496.9355718214</v>
      </c>
      <c r="AG271" s="132">
        <f t="shared" si="128"/>
        <v>25108.487845994798</v>
      </c>
      <c r="AH271" s="132">
        <f>IF($AD271&lt;=$C$25*12,SUM(Inputs!$C$61:$C$78)*'Forecast (By Month)'!AG271,"-")</f>
        <v>2761.9336630594275</v>
      </c>
      <c r="AI271" s="132">
        <f>IF($AD271&lt;=$C$25*12,(SUMIF(Inputs!$C$61:$C$78,0,Inputs!$F$61:$F$78)/12)*(1+$C$34)^ROUNDDOWN((AD271-1)/12,0),"-")</f>
        <v>1488.1666666666667</v>
      </c>
      <c r="AJ271" s="132">
        <f t="shared" si="129"/>
        <v>4250.1003297260941</v>
      </c>
      <c r="AK271" s="132">
        <f>IF($AD271&lt;=$C$25*12,'Mortgage Calculators (By Month)'!$J289,"-")</f>
        <v>0</v>
      </c>
      <c r="AL271" s="132">
        <f>IF($AD271&lt;=$C$25*12,'Mortgage Calculators (By Month)'!$K289,"-")</f>
        <v>0</v>
      </c>
      <c r="AM271" s="132">
        <f>IF($AD271&lt;=$C$25*12,'Mortgage Calculators (By Month)'!$L289,"-")</f>
        <v>10</v>
      </c>
      <c r="AN271" s="132">
        <f t="shared" si="139"/>
        <v>0</v>
      </c>
      <c r="AO271" s="132">
        <f t="shared" si="130"/>
        <v>4260.1003297260941</v>
      </c>
      <c r="AP271" s="132">
        <f t="shared" si="131"/>
        <v>20858.387516268704</v>
      </c>
      <c r="AQ271" s="132">
        <f t="shared" si="132"/>
        <v>0</v>
      </c>
      <c r="AR271" s="132">
        <f t="shared" si="113"/>
        <v>20858.387516268704</v>
      </c>
      <c r="AS271" s="132">
        <f>IF($AD271&lt;=$C$25*12,SUM(AR$5:AR271),"-")</f>
        <v>3199462.1664532963</v>
      </c>
      <c r="AT271" s="132">
        <f>IF($AD271&lt;=$C$25*12,AE271-$C$10-'RE Calculations'!$C458-'Mortgage Calculators (By Month)'!$M289,"-")</f>
        <v>3139139.996860384</v>
      </c>
      <c r="AU271" s="29">
        <f t="shared" si="133"/>
        <v>1.9607039711762413</v>
      </c>
      <c r="AV271" s="31">
        <f t="shared" si="134"/>
        <v>8.8121526794437813E-2</v>
      </c>
      <c r="AW271" s="132">
        <f t="shared" si="135"/>
        <v>6338602.1633136803</v>
      </c>
      <c r="AX271" s="29">
        <f t="shared" si="136"/>
        <v>3.9590851143133006</v>
      </c>
      <c r="AY271" s="31">
        <f t="shared" si="137"/>
        <v>0.17793640963205845</v>
      </c>
    </row>
    <row r="272" spans="6:51" x14ac:dyDescent="0.35">
      <c r="F272" s="12">
        <f t="shared" si="114"/>
        <v>268</v>
      </c>
      <c r="G272" s="132">
        <f t="shared" si="115"/>
        <v>4861221.7933854954</v>
      </c>
      <c r="H272" s="132">
        <f>IF($F272&lt;=$C$16*12,$G272-$C$7+SUM('Mortgage Calculators (By Month)'!$D$23:$D290),"-")</f>
        <v>4861221.7933854954</v>
      </c>
      <c r="I272" s="132">
        <f t="shared" si="116"/>
        <v>25108.487845994798</v>
      </c>
      <c r="J272" s="132">
        <f>IF($F272&lt;=$C$16*12,SUM(Inputs!$C$61:$C$78)*'Forecast (By Month)'!I272,"-")</f>
        <v>2761.9336630594275</v>
      </c>
      <c r="K272" s="132">
        <f>IF($F272&lt;=$C$16*12,(SUMIF(Inputs!$C$61:$C$78,0,Inputs!$F$61:$F$78)/12)*(1+$C$34)^ROUNDDOWN((F272-1)/12,0),"-")</f>
        <v>1488.1666666666667</v>
      </c>
      <c r="L272" s="132">
        <f t="shared" si="117"/>
        <v>4250.1003297260941</v>
      </c>
      <c r="M272" s="132">
        <f>IF($F272&lt;=$C$16*12,'Mortgage Calculators (By Month)'!$C290,"-")</f>
        <v>0</v>
      </c>
      <c r="N272" s="132">
        <f>IF($F272&lt;=$C$16*12,'Mortgage Calculators (By Month)'!$D290,"-")</f>
        <v>0</v>
      </c>
      <c r="O272" s="132">
        <f>IF($F272&lt;=$C$16*12,'Mortgage Calculators (By Month)'!$E290,"-")</f>
        <v>8.3333333333333339</v>
      </c>
      <c r="P272" s="132">
        <f t="shared" si="138"/>
        <v>0</v>
      </c>
      <c r="Q272" s="132">
        <f t="shared" si="118"/>
        <v>4258.4336630594271</v>
      </c>
      <c r="R272" s="132">
        <f t="shared" si="119"/>
        <v>20858.387516268704</v>
      </c>
      <c r="S272" s="132">
        <f t="shared" si="120"/>
        <v>0</v>
      </c>
      <c r="T272" s="132">
        <f t="shared" si="112"/>
        <v>20858.387516268704</v>
      </c>
      <c r="U272" s="132">
        <f>IF($F272&lt;=$C$16*12,SUM(T$5:T272),"-")</f>
        <v>3220330.5539695648</v>
      </c>
      <c r="V272" s="132">
        <f>IF($F272&lt;=$C$16*12,G272-$C$10-'RE Calculations'!$C459-'Mortgage Calculators (By Month)'!$F290,"-")</f>
        <v>3158470.3575177845</v>
      </c>
      <c r="W272" s="29">
        <f t="shared" si="121"/>
        <v>1.9727776967645045</v>
      </c>
      <c r="X272" s="31">
        <f t="shared" si="122"/>
        <v>8.8333329705873348E-2</v>
      </c>
      <c r="Y272" s="132">
        <f t="shared" si="123"/>
        <v>6378800.9114873493</v>
      </c>
      <c r="Z272" s="29">
        <f t="shared" si="124"/>
        <v>3.9841932156592921</v>
      </c>
      <c r="AA272" s="31">
        <f t="shared" si="125"/>
        <v>0.17839671114892353</v>
      </c>
      <c r="AD272" s="12">
        <f t="shared" si="126"/>
        <v>268</v>
      </c>
      <c r="AE272" s="132">
        <f t="shared" si="127"/>
        <v>4861221.7933854954</v>
      </c>
      <c r="AF272" s="132">
        <f>IF($AD272&lt;=$C$25*12,$AE272-$C$7+SUM('Mortgage Calculators (By Month)'!$K$23:$K290),"-")</f>
        <v>4861221.7933854954</v>
      </c>
      <c r="AG272" s="132">
        <f t="shared" si="128"/>
        <v>25108.487845994798</v>
      </c>
      <c r="AH272" s="132">
        <f>IF($AD272&lt;=$C$25*12,SUM(Inputs!$C$61:$C$78)*'Forecast (By Month)'!AG272,"-")</f>
        <v>2761.9336630594275</v>
      </c>
      <c r="AI272" s="132">
        <f>IF($AD272&lt;=$C$25*12,(SUMIF(Inputs!$C$61:$C$78,0,Inputs!$F$61:$F$78)/12)*(1+$C$34)^ROUNDDOWN((AD272-1)/12,0),"-")</f>
        <v>1488.1666666666667</v>
      </c>
      <c r="AJ272" s="132">
        <f t="shared" si="129"/>
        <v>4250.1003297260941</v>
      </c>
      <c r="AK272" s="132">
        <f>IF($AD272&lt;=$C$25*12,'Mortgage Calculators (By Month)'!$J290,"-")</f>
        <v>0</v>
      </c>
      <c r="AL272" s="132">
        <f>IF($AD272&lt;=$C$25*12,'Mortgage Calculators (By Month)'!$K290,"-")</f>
        <v>0</v>
      </c>
      <c r="AM272" s="132">
        <f>IF($AD272&lt;=$C$25*12,'Mortgage Calculators (By Month)'!$L290,"-")</f>
        <v>10</v>
      </c>
      <c r="AN272" s="132">
        <f t="shared" si="139"/>
        <v>0</v>
      </c>
      <c r="AO272" s="132">
        <f t="shared" si="130"/>
        <v>4260.1003297260941</v>
      </c>
      <c r="AP272" s="132">
        <f t="shared" si="131"/>
        <v>20858.387516268704</v>
      </c>
      <c r="AQ272" s="132">
        <f t="shared" si="132"/>
        <v>0</v>
      </c>
      <c r="AR272" s="132">
        <f t="shared" si="113"/>
        <v>20858.387516268704</v>
      </c>
      <c r="AS272" s="132">
        <f>IF($AD272&lt;=$C$25*12,SUM(AR$5:AR272),"-")</f>
        <v>3220320.5539695648</v>
      </c>
      <c r="AT272" s="132">
        <f>IF($AD272&lt;=$C$25*12,AE272-$C$10-'RE Calculations'!$C459-'Mortgage Calculators (By Month)'!$M290,"-")</f>
        <v>3158470.3575177845</v>
      </c>
      <c r="AU272" s="29">
        <f t="shared" si="133"/>
        <v>1.9727776967645045</v>
      </c>
      <c r="AV272" s="31">
        <f t="shared" si="134"/>
        <v>8.8333329705873348E-2</v>
      </c>
      <c r="AW272" s="132">
        <f t="shared" si="135"/>
        <v>6378790.9114873493</v>
      </c>
      <c r="AX272" s="29">
        <f t="shared" si="136"/>
        <v>3.9841869696684373</v>
      </c>
      <c r="AY272" s="31">
        <f t="shared" si="137"/>
        <v>0.17839643147769124</v>
      </c>
    </row>
    <row r="273" spans="6:51" x14ac:dyDescent="0.35">
      <c r="F273" s="12">
        <f t="shared" si="114"/>
        <v>269</v>
      </c>
      <c r="G273" s="132">
        <f t="shared" si="115"/>
        <v>4881027.0127115166</v>
      </c>
      <c r="H273" s="132">
        <f>IF($F273&lt;=$C$16*12,$G273-$C$7+SUM('Mortgage Calculators (By Month)'!$D$23:$D291),"-")</f>
        <v>4881027.0127115166</v>
      </c>
      <c r="I273" s="132">
        <f t="shared" si="116"/>
        <v>25108.487845994798</v>
      </c>
      <c r="J273" s="132">
        <f>IF($F273&lt;=$C$16*12,SUM(Inputs!$C$61:$C$78)*'Forecast (By Month)'!I273,"-")</f>
        <v>2761.9336630594275</v>
      </c>
      <c r="K273" s="132">
        <f>IF($F273&lt;=$C$16*12,(SUMIF(Inputs!$C$61:$C$78,0,Inputs!$F$61:$F$78)/12)*(1+$C$34)^ROUNDDOWN((F273-1)/12,0),"-")</f>
        <v>1488.1666666666667</v>
      </c>
      <c r="L273" s="132">
        <f t="shared" si="117"/>
        <v>4250.1003297260941</v>
      </c>
      <c r="M273" s="132">
        <f>IF($F273&lt;=$C$16*12,'Mortgage Calculators (By Month)'!$C291,"-")</f>
        <v>0</v>
      </c>
      <c r="N273" s="132">
        <f>IF($F273&lt;=$C$16*12,'Mortgage Calculators (By Month)'!$D291,"-")</f>
        <v>0</v>
      </c>
      <c r="O273" s="132">
        <f>IF($F273&lt;=$C$16*12,'Mortgage Calculators (By Month)'!$E291,"-")</f>
        <v>8.3333333333333339</v>
      </c>
      <c r="P273" s="132">
        <f t="shared" si="138"/>
        <v>0</v>
      </c>
      <c r="Q273" s="132">
        <f t="shared" si="118"/>
        <v>4258.4336630594271</v>
      </c>
      <c r="R273" s="132">
        <f t="shared" si="119"/>
        <v>20858.387516268704</v>
      </c>
      <c r="S273" s="132">
        <f t="shared" si="120"/>
        <v>0</v>
      </c>
      <c r="T273" s="132">
        <f t="shared" si="112"/>
        <v>20858.387516268704</v>
      </c>
      <c r="U273" s="132">
        <f>IF($F273&lt;=$C$16*12,SUM(T$5:T273),"-")</f>
        <v>3241188.9414858334</v>
      </c>
      <c r="V273" s="132">
        <f>IF($F273&lt;=$C$16*12,G273-$C$10-'RE Calculations'!$C460-'Mortgage Calculators (By Month)'!$F291,"-")</f>
        <v>3177879.472457285</v>
      </c>
      <c r="W273" s="29">
        <f t="shared" si="121"/>
        <v>1.9849006122053439</v>
      </c>
      <c r="X273" s="31">
        <f t="shared" si="122"/>
        <v>8.854575221733875E-2</v>
      </c>
      <c r="Y273" s="132">
        <f t="shared" si="123"/>
        <v>6419068.4139431184</v>
      </c>
      <c r="Z273" s="29">
        <f t="shared" si="124"/>
        <v>4.0093442608670049</v>
      </c>
      <c r="AA273" s="31">
        <f t="shared" si="125"/>
        <v>0.17885550606098163</v>
      </c>
      <c r="AD273" s="12">
        <f t="shared" si="126"/>
        <v>269</v>
      </c>
      <c r="AE273" s="132">
        <f t="shared" si="127"/>
        <v>4881027.0127115166</v>
      </c>
      <c r="AF273" s="132">
        <f>IF($AD273&lt;=$C$25*12,$AE273-$C$7+SUM('Mortgage Calculators (By Month)'!$K$23:$K291),"-")</f>
        <v>4881027.0127115166</v>
      </c>
      <c r="AG273" s="132">
        <f t="shared" si="128"/>
        <v>25108.487845994798</v>
      </c>
      <c r="AH273" s="132">
        <f>IF($AD273&lt;=$C$25*12,SUM(Inputs!$C$61:$C$78)*'Forecast (By Month)'!AG273,"-")</f>
        <v>2761.9336630594275</v>
      </c>
      <c r="AI273" s="132">
        <f>IF($AD273&lt;=$C$25*12,(SUMIF(Inputs!$C$61:$C$78,0,Inputs!$F$61:$F$78)/12)*(1+$C$34)^ROUNDDOWN((AD273-1)/12,0),"-")</f>
        <v>1488.1666666666667</v>
      </c>
      <c r="AJ273" s="132">
        <f t="shared" si="129"/>
        <v>4250.1003297260941</v>
      </c>
      <c r="AK273" s="132">
        <f>IF($AD273&lt;=$C$25*12,'Mortgage Calculators (By Month)'!$J291,"-")</f>
        <v>0</v>
      </c>
      <c r="AL273" s="132">
        <f>IF($AD273&lt;=$C$25*12,'Mortgage Calculators (By Month)'!$K291,"-")</f>
        <v>0</v>
      </c>
      <c r="AM273" s="132">
        <f>IF($AD273&lt;=$C$25*12,'Mortgage Calculators (By Month)'!$L291,"-")</f>
        <v>10</v>
      </c>
      <c r="AN273" s="132">
        <f t="shared" si="139"/>
        <v>0</v>
      </c>
      <c r="AO273" s="132">
        <f t="shared" si="130"/>
        <v>4260.1003297260941</v>
      </c>
      <c r="AP273" s="132">
        <f t="shared" si="131"/>
        <v>20858.387516268704</v>
      </c>
      <c r="AQ273" s="132">
        <f t="shared" si="132"/>
        <v>0</v>
      </c>
      <c r="AR273" s="132">
        <f t="shared" si="113"/>
        <v>20858.387516268704</v>
      </c>
      <c r="AS273" s="132">
        <f>IF($AD273&lt;=$C$25*12,SUM(AR$5:AR273),"-")</f>
        <v>3241178.9414858334</v>
      </c>
      <c r="AT273" s="132">
        <f>IF($AD273&lt;=$C$25*12,AE273-$C$10-'RE Calculations'!$C460-'Mortgage Calculators (By Month)'!$M291,"-")</f>
        <v>3177879.472457285</v>
      </c>
      <c r="AU273" s="29">
        <f t="shared" si="133"/>
        <v>1.9849006122053439</v>
      </c>
      <c r="AV273" s="31">
        <f t="shared" si="134"/>
        <v>8.854575221733875E-2</v>
      </c>
      <c r="AW273" s="132">
        <f t="shared" si="135"/>
        <v>6419058.4139431184</v>
      </c>
      <c r="AX273" s="29">
        <f t="shared" si="136"/>
        <v>4.0093380148761506</v>
      </c>
      <c r="AY273" s="31">
        <f t="shared" si="137"/>
        <v>0.17885522742941934</v>
      </c>
    </row>
    <row r="274" spans="6:51" x14ac:dyDescent="0.35">
      <c r="F274" s="12">
        <f t="shared" si="114"/>
        <v>270</v>
      </c>
      <c r="G274" s="132">
        <f t="shared" si="115"/>
        <v>4900912.9209526349</v>
      </c>
      <c r="H274" s="132">
        <f>IF($F274&lt;=$C$16*12,$G274-$C$7+SUM('Mortgage Calculators (By Month)'!$D$23:$D292),"-")</f>
        <v>4900912.9209526349</v>
      </c>
      <c r="I274" s="132">
        <f t="shared" si="116"/>
        <v>25108.487845994798</v>
      </c>
      <c r="J274" s="132">
        <f>IF($F274&lt;=$C$16*12,SUM(Inputs!$C$61:$C$78)*'Forecast (By Month)'!I274,"-")</f>
        <v>2761.9336630594275</v>
      </c>
      <c r="K274" s="132">
        <f>IF($F274&lt;=$C$16*12,(SUMIF(Inputs!$C$61:$C$78,0,Inputs!$F$61:$F$78)/12)*(1+$C$34)^ROUNDDOWN((F274-1)/12,0),"-")</f>
        <v>1488.1666666666667</v>
      </c>
      <c r="L274" s="132">
        <f t="shared" si="117"/>
        <v>4250.1003297260941</v>
      </c>
      <c r="M274" s="132">
        <f>IF($F274&lt;=$C$16*12,'Mortgage Calculators (By Month)'!$C292,"-")</f>
        <v>0</v>
      </c>
      <c r="N274" s="132">
        <f>IF($F274&lt;=$C$16*12,'Mortgage Calculators (By Month)'!$D292,"-")</f>
        <v>0</v>
      </c>
      <c r="O274" s="132">
        <f>IF($F274&lt;=$C$16*12,'Mortgage Calculators (By Month)'!$E292,"-")</f>
        <v>8.3333333333333339</v>
      </c>
      <c r="P274" s="132">
        <f t="shared" si="138"/>
        <v>0</v>
      </c>
      <c r="Q274" s="132">
        <f t="shared" si="118"/>
        <v>4258.4336630594271</v>
      </c>
      <c r="R274" s="132">
        <f t="shared" si="119"/>
        <v>20858.387516268704</v>
      </c>
      <c r="S274" s="132">
        <f t="shared" si="120"/>
        <v>0</v>
      </c>
      <c r="T274" s="132">
        <f t="shared" si="112"/>
        <v>20858.387516268704</v>
      </c>
      <c r="U274" s="132">
        <f>IF($F274&lt;=$C$16*12,SUM(T$5:T274),"-")</f>
        <v>3262047.3290021019</v>
      </c>
      <c r="V274" s="132">
        <f>IF($F274&lt;=$C$16*12,G274-$C$10-'RE Calculations'!$C461-'Mortgage Calculators (By Month)'!$F292,"-")</f>
        <v>3197367.6625335813</v>
      </c>
      <c r="W274" s="29">
        <f t="shared" si="121"/>
        <v>1.9970729179043085</v>
      </c>
      <c r="X274" s="31">
        <f t="shared" si="122"/>
        <v>8.8758796351302599E-2</v>
      </c>
      <c r="Y274" s="132">
        <f t="shared" si="123"/>
        <v>6459414.9915356832</v>
      </c>
      <c r="Z274" s="29">
        <f t="shared" si="124"/>
        <v>4.0345446963328433</v>
      </c>
      <c r="AA274" s="31">
        <f t="shared" si="125"/>
        <v>0.17931309761479303</v>
      </c>
      <c r="AD274" s="12">
        <f t="shared" si="126"/>
        <v>270</v>
      </c>
      <c r="AE274" s="132">
        <f t="shared" si="127"/>
        <v>4900912.9209526349</v>
      </c>
      <c r="AF274" s="132">
        <f>IF($AD274&lt;=$C$25*12,$AE274-$C$7+SUM('Mortgage Calculators (By Month)'!$K$23:$K292),"-")</f>
        <v>4900912.9209526349</v>
      </c>
      <c r="AG274" s="132">
        <f t="shared" si="128"/>
        <v>25108.487845994798</v>
      </c>
      <c r="AH274" s="132">
        <f>IF($AD274&lt;=$C$25*12,SUM(Inputs!$C$61:$C$78)*'Forecast (By Month)'!AG274,"-")</f>
        <v>2761.9336630594275</v>
      </c>
      <c r="AI274" s="132">
        <f>IF($AD274&lt;=$C$25*12,(SUMIF(Inputs!$C$61:$C$78,0,Inputs!$F$61:$F$78)/12)*(1+$C$34)^ROUNDDOWN((AD274-1)/12,0),"-")</f>
        <v>1488.1666666666667</v>
      </c>
      <c r="AJ274" s="132">
        <f t="shared" si="129"/>
        <v>4250.1003297260941</v>
      </c>
      <c r="AK274" s="132">
        <f>IF($AD274&lt;=$C$25*12,'Mortgage Calculators (By Month)'!$J292,"-")</f>
        <v>0</v>
      </c>
      <c r="AL274" s="132">
        <f>IF($AD274&lt;=$C$25*12,'Mortgage Calculators (By Month)'!$K292,"-")</f>
        <v>0</v>
      </c>
      <c r="AM274" s="132">
        <f>IF($AD274&lt;=$C$25*12,'Mortgage Calculators (By Month)'!$L292,"-")</f>
        <v>10</v>
      </c>
      <c r="AN274" s="132">
        <f t="shared" si="139"/>
        <v>0</v>
      </c>
      <c r="AO274" s="132">
        <f t="shared" si="130"/>
        <v>4260.1003297260941</v>
      </c>
      <c r="AP274" s="132">
        <f t="shared" si="131"/>
        <v>20858.387516268704</v>
      </c>
      <c r="AQ274" s="132">
        <f t="shared" si="132"/>
        <v>0</v>
      </c>
      <c r="AR274" s="132">
        <f t="shared" si="113"/>
        <v>20858.387516268704</v>
      </c>
      <c r="AS274" s="132">
        <f>IF($AD274&lt;=$C$25*12,SUM(AR$5:AR274),"-")</f>
        <v>3262037.3290021019</v>
      </c>
      <c r="AT274" s="132">
        <f>IF($AD274&lt;=$C$25*12,AE274-$C$10-'RE Calculations'!$C461-'Mortgage Calculators (By Month)'!$M292,"-")</f>
        <v>3197367.6625335813</v>
      </c>
      <c r="AU274" s="29">
        <f t="shared" si="133"/>
        <v>1.9970729179043085</v>
      </c>
      <c r="AV274" s="31">
        <f t="shared" si="134"/>
        <v>8.8758796351302599E-2</v>
      </c>
      <c r="AW274" s="132">
        <f t="shared" si="135"/>
        <v>6459404.9915356832</v>
      </c>
      <c r="AX274" s="29">
        <f t="shared" si="136"/>
        <v>4.034538450341989</v>
      </c>
      <c r="AY274" s="31">
        <f t="shared" si="137"/>
        <v>0.17931282001519952</v>
      </c>
    </row>
    <row r="275" spans="6:51" x14ac:dyDescent="0.35">
      <c r="F275" s="12">
        <f t="shared" si="114"/>
        <v>271</v>
      </c>
      <c r="G275" s="132">
        <f t="shared" si="115"/>
        <v>4920879.8468454778</v>
      </c>
      <c r="H275" s="132">
        <f>IF($F275&lt;=$C$16*12,$G275-$C$7+SUM('Mortgage Calculators (By Month)'!$D$23:$D293),"-")</f>
        <v>4920879.8468454778</v>
      </c>
      <c r="I275" s="132">
        <f t="shared" si="116"/>
        <v>25108.487845994798</v>
      </c>
      <c r="J275" s="132">
        <f>IF($F275&lt;=$C$16*12,SUM(Inputs!$C$61:$C$78)*'Forecast (By Month)'!I275,"-")</f>
        <v>2761.9336630594275</v>
      </c>
      <c r="K275" s="132">
        <f>IF($F275&lt;=$C$16*12,(SUMIF(Inputs!$C$61:$C$78,0,Inputs!$F$61:$F$78)/12)*(1+$C$34)^ROUNDDOWN((F275-1)/12,0),"-")</f>
        <v>1488.1666666666667</v>
      </c>
      <c r="L275" s="132">
        <f t="shared" si="117"/>
        <v>4250.1003297260941</v>
      </c>
      <c r="M275" s="132">
        <f>IF($F275&lt;=$C$16*12,'Mortgage Calculators (By Month)'!$C293,"-")</f>
        <v>0</v>
      </c>
      <c r="N275" s="132">
        <f>IF($F275&lt;=$C$16*12,'Mortgage Calculators (By Month)'!$D293,"-")</f>
        <v>0</v>
      </c>
      <c r="O275" s="132">
        <f>IF($F275&lt;=$C$16*12,'Mortgage Calculators (By Month)'!$E293,"-")</f>
        <v>8.3333333333333339</v>
      </c>
      <c r="P275" s="132">
        <f t="shared" si="138"/>
        <v>0</v>
      </c>
      <c r="Q275" s="132">
        <f t="shared" si="118"/>
        <v>4258.4336630594271</v>
      </c>
      <c r="R275" s="132">
        <f t="shared" si="119"/>
        <v>20858.387516268704</v>
      </c>
      <c r="S275" s="132">
        <f t="shared" si="120"/>
        <v>0</v>
      </c>
      <c r="T275" s="132">
        <f t="shared" si="112"/>
        <v>20858.387516268704</v>
      </c>
      <c r="U275" s="132">
        <f>IF($F275&lt;=$C$16*12,SUM(T$5:T275),"-")</f>
        <v>3282905.7165183704</v>
      </c>
      <c r="V275" s="132">
        <f>IF($F275&lt;=$C$16*12,G275-$C$10-'RE Calculations'!$C462-'Mortgage Calculators (By Month)'!$F293,"-")</f>
        <v>3216935.2499085674</v>
      </c>
      <c r="W275" s="29">
        <f t="shared" si="121"/>
        <v>2.0092948150834231</v>
      </c>
      <c r="X275" s="31">
        <f t="shared" si="122"/>
        <v>8.897246413653534E-2</v>
      </c>
      <c r="Y275" s="132">
        <f t="shared" si="123"/>
        <v>6499840.9664269378</v>
      </c>
      <c r="Z275" s="29">
        <f t="shared" si="124"/>
        <v>4.0597947232788316</v>
      </c>
      <c r="AA275" s="31">
        <f t="shared" si="125"/>
        <v>0.17976950804186709</v>
      </c>
      <c r="AD275" s="12">
        <f t="shared" si="126"/>
        <v>271</v>
      </c>
      <c r="AE275" s="132">
        <f t="shared" si="127"/>
        <v>4920879.8468454778</v>
      </c>
      <c r="AF275" s="132">
        <f>IF($AD275&lt;=$C$25*12,$AE275-$C$7+SUM('Mortgage Calculators (By Month)'!$K$23:$K293),"-")</f>
        <v>4920879.8468454778</v>
      </c>
      <c r="AG275" s="132">
        <f t="shared" si="128"/>
        <v>25108.487845994798</v>
      </c>
      <c r="AH275" s="132">
        <f>IF($AD275&lt;=$C$25*12,SUM(Inputs!$C$61:$C$78)*'Forecast (By Month)'!AG275,"-")</f>
        <v>2761.9336630594275</v>
      </c>
      <c r="AI275" s="132">
        <f>IF($AD275&lt;=$C$25*12,(SUMIF(Inputs!$C$61:$C$78,0,Inputs!$F$61:$F$78)/12)*(1+$C$34)^ROUNDDOWN((AD275-1)/12,0),"-")</f>
        <v>1488.1666666666667</v>
      </c>
      <c r="AJ275" s="132">
        <f t="shared" si="129"/>
        <v>4250.1003297260941</v>
      </c>
      <c r="AK275" s="132">
        <f>IF($AD275&lt;=$C$25*12,'Mortgage Calculators (By Month)'!$J293,"-")</f>
        <v>0</v>
      </c>
      <c r="AL275" s="132">
        <f>IF($AD275&lt;=$C$25*12,'Mortgage Calculators (By Month)'!$K293,"-")</f>
        <v>0</v>
      </c>
      <c r="AM275" s="132">
        <f>IF($AD275&lt;=$C$25*12,'Mortgage Calculators (By Month)'!$L293,"-")</f>
        <v>10</v>
      </c>
      <c r="AN275" s="132">
        <f t="shared" si="139"/>
        <v>0</v>
      </c>
      <c r="AO275" s="132">
        <f t="shared" si="130"/>
        <v>4260.1003297260941</v>
      </c>
      <c r="AP275" s="132">
        <f t="shared" si="131"/>
        <v>20858.387516268704</v>
      </c>
      <c r="AQ275" s="132">
        <f t="shared" si="132"/>
        <v>0</v>
      </c>
      <c r="AR275" s="132">
        <f t="shared" si="113"/>
        <v>20858.387516268704</v>
      </c>
      <c r="AS275" s="132">
        <f>IF($AD275&lt;=$C$25*12,SUM(AR$5:AR275),"-")</f>
        <v>3282895.7165183704</v>
      </c>
      <c r="AT275" s="132">
        <f>IF($AD275&lt;=$C$25*12,AE275-$C$10-'RE Calculations'!$C462-'Mortgage Calculators (By Month)'!$M293,"-")</f>
        <v>3216935.2499085674</v>
      </c>
      <c r="AU275" s="29">
        <f t="shared" si="133"/>
        <v>2.0092948150834231</v>
      </c>
      <c r="AV275" s="31">
        <f t="shared" si="134"/>
        <v>8.897246413653534E-2</v>
      </c>
      <c r="AW275" s="132">
        <f t="shared" si="135"/>
        <v>6499830.9664269378</v>
      </c>
      <c r="AX275" s="29">
        <f t="shared" si="136"/>
        <v>4.0597884772879773</v>
      </c>
      <c r="AY275" s="31">
        <f t="shared" si="137"/>
        <v>0.17976923146662632</v>
      </c>
    </row>
    <row r="276" spans="6:51" x14ac:dyDescent="0.35">
      <c r="F276" s="12">
        <f t="shared" si="114"/>
        <v>272</v>
      </c>
      <c r="G276" s="132">
        <f t="shared" si="115"/>
        <v>4940928.1204659864</v>
      </c>
      <c r="H276" s="132">
        <f>IF($F276&lt;=$C$16*12,$G276-$C$7+SUM('Mortgage Calculators (By Month)'!$D$23:$D294),"-")</f>
        <v>4940928.1204659864</v>
      </c>
      <c r="I276" s="132">
        <f t="shared" si="116"/>
        <v>25108.487845994798</v>
      </c>
      <c r="J276" s="132">
        <f>IF($F276&lt;=$C$16*12,SUM(Inputs!$C$61:$C$78)*'Forecast (By Month)'!I276,"-")</f>
        <v>2761.9336630594275</v>
      </c>
      <c r="K276" s="132">
        <f>IF($F276&lt;=$C$16*12,(SUMIF(Inputs!$C$61:$C$78,0,Inputs!$F$61:$F$78)/12)*(1+$C$34)^ROUNDDOWN((F276-1)/12,0),"-")</f>
        <v>1488.1666666666667</v>
      </c>
      <c r="L276" s="132">
        <f t="shared" si="117"/>
        <v>4250.1003297260941</v>
      </c>
      <c r="M276" s="132">
        <f>IF($F276&lt;=$C$16*12,'Mortgage Calculators (By Month)'!$C294,"-")</f>
        <v>0</v>
      </c>
      <c r="N276" s="132">
        <f>IF($F276&lt;=$C$16*12,'Mortgage Calculators (By Month)'!$D294,"-")</f>
        <v>0</v>
      </c>
      <c r="O276" s="132">
        <f>IF($F276&lt;=$C$16*12,'Mortgage Calculators (By Month)'!$E294,"-")</f>
        <v>8.3333333333333339</v>
      </c>
      <c r="P276" s="132">
        <f t="shared" si="138"/>
        <v>0</v>
      </c>
      <c r="Q276" s="132">
        <f t="shared" si="118"/>
        <v>4258.4336630594271</v>
      </c>
      <c r="R276" s="132">
        <f t="shared" si="119"/>
        <v>20858.387516268704</v>
      </c>
      <c r="S276" s="132">
        <f t="shared" si="120"/>
        <v>0</v>
      </c>
      <c r="T276" s="132">
        <f t="shared" si="112"/>
        <v>20858.387516268704</v>
      </c>
      <c r="U276" s="132">
        <f>IF($F276&lt;=$C$16*12,SUM(T$5:T276),"-")</f>
        <v>3303764.104034639</v>
      </c>
      <c r="V276" s="132">
        <f>IF($F276&lt;=$C$16*12,G276-$C$10-'RE Calculations'!$C463-'Mortgage Calculators (By Month)'!$F294,"-")</f>
        <v>3236582.5580566656</v>
      </c>
      <c r="W276" s="29">
        <f t="shared" si="121"/>
        <v>2.0215665057845156</v>
      </c>
      <c r="X276" s="31">
        <f t="shared" si="122"/>
        <v>8.9186757608140391E-2</v>
      </c>
      <c r="Y276" s="132">
        <f t="shared" si="123"/>
        <v>6540346.6620913045</v>
      </c>
      <c r="Z276" s="29">
        <f t="shared" si="124"/>
        <v>4.0850945437467976</v>
      </c>
      <c r="AA276" s="31">
        <f t="shared" si="125"/>
        <v>0.18022475928294696</v>
      </c>
      <c r="AD276" s="12">
        <f t="shared" si="126"/>
        <v>272</v>
      </c>
      <c r="AE276" s="132">
        <f t="shared" si="127"/>
        <v>4940928.1204659864</v>
      </c>
      <c r="AF276" s="132">
        <f>IF($AD276&lt;=$C$25*12,$AE276-$C$7+SUM('Mortgage Calculators (By Month)'!$K$23:$K294),"-")</f>
        <v>4940928.1204659864</v>
      </c>
      <c r="AG276" s="132">
        <f t="shared" si="128"/>
        <v>25108.487845994798</v>
      </c>
      <c r="AH276" s="132">
        <f>IF($AD276&lt;=$C$25*12,SUM(Inputs!$C$61:$C$78)*'Forecast (By Month)'!AG276,"-")</f>
        <v>2761.9336630594275</v>
      </c>
      <c r="AI276" s="132">
        <f>IF($AD276&lt;=$C$25*12,(SUMIF(Inputs!$C$61:$C$78,0,Inputs!$F$61:$F$78)/12)*(1+$C$34)^ROUNDDOWN((AD276-1)/12,0),"-")</f>
        <v>1488.1666666666667</v>
      </c>
      <c r="AJ276" s="132">
        <f t="shared" si="129"/>
        <v>4250.1003297260941</v>
      </c>
      <c r="AK276" s="132">
        <f>IF($AD276&lt;=$C$25*12,'Mortgage Calculators (By Month)'!$J294,"-")</f>
        <v>0</v>
      </c>
      <c r="AL276" s="132">
        <f>IF($AD276&lt;=$C$25*12,'Mortgage Calculators (By Month)'!$K294,"-")</f>
        <v>0</v>
      </c>
      <c r="AM276" s="132">
        <f>IF($AD276&lt;=$C$25*12,'Mortgage Calculators (By Month)'!$L294,"-")</f>
        <v>10</v>
      </c>
      <c r="AN276" s="132">
        <f t="shared" si="139"/>
        <v>0</v>
      </c>
      <c r="AO276" s="132">
        <f t="shared" si="130"/>
        <v>4260.1003297260941</v>
      </c>
      <c r="AP276" s="132">
        <f t="shared" si="131"/>
        <v>20858.387516268704</v>
      </c>
      <c r="AQ276" s="132">
        <f t="shared" si="132"/>
        <v>0</v>
      </c>
      <c r="AR276" s="132">
        <f t="shared" si="113"/>
        <v>20858.387516268704</v>
      </c>
      <c r="AS276" s="132">
        <f>IF($AD276&lt;=$C$25*12,SUM(AR$5:AR276),"-")</f>
        <v>3303754.104034639</v>
      </c>
      <c r="AT276" s="132">
        <f>IF($AD276&lt;=$C$25*12,AE276-$C$10-'RE Calculations'!$C463-'Mortgage Calculators (By Month)'!$M294,"-")</f>
        <v>3236582.5580566656</v>
      </c>
      <c r="AU276" s="29">
        <f t="shared" si="133"/>
        <v>2.0215665057845156</v>
      </c>
      <c r="AV276" s="31">
        <f t="shared" si="134"/>
        <v>8.9186757608140391E-2</v>
      </c>
      <c r="AW276" s="132">
        <f t="shared" si="135"/>
        <v>6540336.6620913045</v>
      </c>
      <c r="AX276" s="29">
        <f t="shared" si="136"/>
        <v>4.0850882977559433</v>
      </c>
      <c r="AY276" s="31">
        <f t="shared" si="137"/>
        <v>0.1802244837245269</v>
      </c>
    </row>
    <row r="277" spans="6:51" x14ac:dyDescent="0.35">
      <c r="F277" s="12">
        <f t="shared" si="114"/>
        <v>273</v>
      </c>
      <c r="G277" s="132">
        <f t="shared" si="115"/>
        <v>4961058.0732348738</v>
      </c>
      <c r="H277" s="132">
        <f>IF($F277&lt;=$C$16*12,$G277-$C$7+SUM('Mortgage Calculators (By Month)'!$D$23:$D295),"-")</f>
        <v>4961058.0732348738</v>
      </c>
      <c r="I277" s="132">
        <f t="shared" si="116"/>
        <v>25108.487845994798</v>
      </c>
      <c r="J277" s="132">
        <f>IF($F277&lt;=$C$16*12,SUM(Inputs!$C$61:$C$78)*'Forecast (By Month)'!I277,"-")</f>
        <v>2761.9336630594275</v>
      </c>
      <c r="K277" s="132">
        <f>IF($F277&lt;=$C$16*12,(SUMIF(Inputs!$C$61:$C$78,0,Inputs!$F$61:$F$78)/12)*(1+$C$34)^ROUNDDOWN((F277-1)/12,0),"-")</f>
        <v>1488.1666666666667</v>
      </c>
      <c r="L277" s="132">
        <f t="shared" si="117"/>
        <v>4250.1003297260941</v>
      </c>
      <c r="M277" s="132">
        <f>IF($F277&lt;=$C$16*12,'Mortgage Calculators (By Month)'!$C295,"-")</f>
        <v>0</v>
      </c>
      <c r="N277" s="132">
        <f>IF($F277&lt;=$C$16*12,'Mortgage Calculators (By Month)'!$D295,"-")</f>
        <v>0</v>
      </c>
      <c r="O277" s="132">
        <f>IF($F277&lt;=$C$16*12,'Mortgage Calculators (By Month)'!$E295,"-")</f>
        <v>8.3333333333333339</v>
      </c>
      <c r="P277" s="132">
        <f t="shared" si="138"/>
        <v>0</v>
      </c>
      <c r="Q277" s="132">
        <f t="shared" si="118"/>
        <v>4258.4336630594271</v>
      </c>
      <c r="R277" s="132">
        <f t="shared" si="119"/>
        <v>20858.387516268704</v>
      </c>
      <c r="S277" s="132">
        <f t="shared" si="120"/>
        <v>0</v>
      </c>
      <c r="T277" s="132">
        <f t="shared" si="112"/>
        <v>20858.387516268704</v>
      </c>
      <c r="U277" s="132">
        <f>IF($F277&lt;=$C$16*12,SUM(T$5:T277),"-")</f>
        <v>3324622.4915509075</v>
      </c>
      <c r="V277" s="132">
        <f>IF($F277&lt;=$C$16*12,G277-$C$10-'RE Calculations'!$C464-'Mortgage Calculators (By Month)'!$F295,"-")</f>
        <v>3256309.9117701752</v>
      </c>
      <c r="W277" s="29">
        <f t="shared" si="121"/>
        <v>2.0338881928725594</v>
      </c>
      <c r="X277" s="31">
        <f t="shared" si="122"/>
        <v>8.9401678807585025E-2</v>
      </c>
      <c r="Y277" s="132">
        <f t="shared" si="123"/>
        <v>6580932.4033210827</v>
      </c>
      <c r="Z277" s="29">
        <f t="shared" si="124"/>
        <v>4.1104443606017158</v>
      </c>
      <c r="AA277" s="31">
        <f t="shared" si="125"/>
        <v>0.18067887299348201</v>
      </c>
      <c r="AD277" s="12">
        <f t="shared" si="126"/>
        <v>273</v>
      </c>
      <c r="AE277" s="132">
        <f t="shared" si="127"/>
        <v>4961058.0732348738</v>
      </c>
      <c r="AF277" s="132">
        <f>IF($AD277&lt;=$C$25*12,$AE277-$C$7+SUM('Mortgage Calculators (By Month)'!$K$23:$K295),"-")</f>
        <v>4961058.0732348738</v>
      </c>
      <c r="AG277" s="132">
        <f t="shared" si="128"/>
        <v>25108.487845994798</v>
      </c>
      <c r="AH277" s="132">
        <f>IF($AD277&lt;=$C$25*12,SUM(Inputs!$C$61:$C$78)*'Forecast (By Month)'!AG277,"-")</f>
        <v>2761.9336630594275</v>
      </c>
      <c r="AI277" s="132">
        <f>IF($AD277&lt;=$C$25*12,(SUMIF(Inputs!$C$61:$C$78,0,Inputs!$F$61:$F$78)/12)*(1+$C$34)^ROUNDDOWN((AD277-1)/12,0),"-")</f>
        <v>1488.1666666666667</v>
      </c>
      <c r="AJ277" s="132">
        <f t="shared" si="129"/>
        <v>4250.1003297260941</v>
      </c>
      <c r="AK277" s="132">
        <f>IF($AD277&lt;=$C$25*12,'Mortgage Calculators (By Month)'!$J295,"-")</f>
        <v>0</v>
      </c>
      <c r="AL277" s="132">
        <f>IF($AD277&lt;=$C$25*12,'Mortgage Calculators (By Month)'!$K295,"-")</f>
        <v>0</v>
      </c>
      <c r="AM277" s="132">
        <f>IF($AD277&lt;=$C$25*12,'Mortgage Calculators (By Month)'!$L295,"-")</f>
        <v>10</v>
      </c>
      <c r="AN277" s="132">
        <f t="shared" si="139"/>
        <v>0</v>
      </c>
      <c r="AO277" s="132">
        <f t="shared" si="130"/>
        <v>4260.1003297260941</v>
      </c>
      <c r="AP277" s="132">
        <f t="shared" si="131"/>
        <v>20858.387516268704</v>
      </c>
      <c r="AQ277" s="132">
        <f t="shared" si="132"/>
        <v>0</v>
      </c>
      <c r="AR277" s="132">
        <f t="shared" si="113"/>
        <v>20858.387516268704</v>
      </c>
      <c r="AS277" s="132">
        <f>IF($AD277&lt;=$C$25*12,SUM(AR$5:AR277),"-")</f>
        <v>3324612.4915509075</v>
      </c>
      <c r="AT277" s="132">
        <f>IF($AD277&lt;=$C$25*12,AE277-$C$10-'RE Calculations'!$C464-'Mortgage Calculators (By Month)'!$M295,"-")</f>
        <v>3256309.9117701752</v>
      </c>
      <c r="AU277" s="29">
        <f t="shared" si="133"/>
        <v>2.0338881928725594</v>
      </c>
      <c r="AV277" s="31">
        <f t="shared" si="134"/>
        <v>8.9401678807585025E-2</v>
      </c>
      <c r="AW277" s="132">
        <f t="shared" si="135"/>
        <v>6580922.4033210827</v>
      </c>
      <c r="AX277" s="29">
        <f t="shared" si="136"/>
        <v>4.1104381146108606</v>
      </c>
      <c r="AY277" s="31">
        <f t="shared" si="137"/>
        <v>0.18067859844443343</v>
      </c>
    </row>
    <row r="278" spans="6:51" x14ac:dyDescent="0.35">
      <c r="F278" s="12">
        <f t="shared" si="114"/>
        <v>274</v>
      </c>
      <c r="G278" s="132">
        <f t="shared" si="115"/>
        <v>4981270.0379231004</v>
      </c>
      <c r="H278" s="132">
        <f>IF($F278&lt;=$C$16*12,$G278-$C$7+SUM('Mortgage Calculators (By Month)'!$D$23:$D296),"-")</f>
        <v>4981270.0379231004</v>
      </c>
      <c r="I278" s="132">
        <f t="shared" si="116"/>
        <v>25108.487845994798</v>
      </c>
      <c r="J278" s="132">
        <f>IF($F278&lt;=$C$16*12,SUM(Inputs!$C$61:$C$78)*'Forecast (By Month)'!I278,"-")</f>
        <v>2761.9336630594275</v>
      </c>
      <c r="K278" s="132">
        <f>IF($F278&lt;=$C$16*12,(SUMIF(Inputs!$C$61:$C$78,0,Inputs!$F$61:$F$78)/12)*(1+$C$34)^ROUNDDOWN((F278-1)/12,0),"-")</f>
        <v>1488.1666666666667</v>
      </c>
      <c r="L278" s="132">
        <f t="shared" si="117"/>
        <v>4250.1003297260941</v>
      </c>
      <c r="M278" s="132">
        <f>IF($F278&lt;=$C$16*12,'Mortgage Calculators (By Month)'!$C296,"-")</f>
        <v>0</v>
      </c>
      <c r="N278" s="132">
        <f>IF($F278&lt;=$C$16*12,'Mortgage Calculators (By Month)'!$D296,"-")</f>
        <v>0</v>
      </c>
      <c r="O278" s="132">
        <f>IF($F278&lt;=$C$16*12,'Mortgage Calculators (By Month)'!$E296,"-")</f>
        <v>8.3333333333333339</v>
      </c>
      <c r="P278" s="132">
        <f t="shared" si="138"/>
        <v>0</v>
      </c>
      <c r="Q278" s="132">
        <f t="shared" si="118"/>
        <v>4258.4336630594271</v>
      </c>
      <c r="R278" s="132">
        <f t="shared" si="119"/>
        <v>20858.387516268704</v>
      </c>
      <c r="S278" s="132">
        <f t="shared" si="120"/>
        <v>0</v>
      </c>
      <c r="T278" s="132">
        <f t="shared" si="112"/>
        <v>20858.387516268704</v>
      </c>
      <c r="U278" s="132">
        <f>IF($F278&lt;=$C$16*12,SUM(T$5:T278),"-")</f>
        <v>3345480.879067176</v>
      </c>
      <c r="V278" s="132">
        <f>IF($F278&lt;=$C$16*12,G278-$C$10-'RE Calculations'!$C465-'Mortgage Calculators (By Month)'!$F296,"-")</f>
        <v>3276117.6371646374</v>
      </c>
      <c r="W278" s="29">
        <f t="shared" si="121"/>
        <v>2.0462600800390232</v>
      </c>
      <c r="X278" s="31">
        <f t="shared" si="122"/>
        <v>8.9617229782730942E-2</v>
      </c>
      <c r="Y278" s="132">
        <f t="shared" si="123"/>
        <v>6621598.5162318135</v>
      </c>
      <c r="Z278" s="29">
        <f t="shared" si="124"/>
        <v>4.1358443775350535</v>
      </c>
      <c r="AA278" s="31">
        <f t="shared" si="125"/>
        <v>0.18113187054898044</v>
      </c>
      <c r="AD278" s="12">
        <f t="shared" si="126"/>
        <v>274</v>
      </c>
      <c r="AE278" s="132">
        <f t="shared" si="127"/>
        <v>4981270.0379231004</v>
      </c>
      <c r="AF278" s="132">
        <f>IF($AD278&lt;=$C$25*12,$AE278-$C$7+SUM('Mortgage Calculators (By Month)'!$K$23:$K296),"-")</f>
        <v>4981270.0379231004</v>
      </c>
      <c r="AG278" s="132">
        <f t="shared" si="128"/>
        <v>25108.487845994798</v>
      </c>
      <c r="AH278" s="132">
        <f>IF($AD278&lt;=$C$25*12,SUM(Inputs!$C$61:$C$78)*'Forecast (By Month)'!AG278,"-")</f>
        <v>2761.9336630594275</v>
      </c>
      <c r="AI278" s="132">
        <f>IF($AD278&lt;=$C$25*12,(SUMIF(Inputs!$C$61:$C$78,0,Inputs!$F$61:$F$78)/12)*(1+$C$34)^ROUNDDOWN((AD278-1)/12,0),"-")</f>
        <v>1488.1666666666667</v>
      </c>
      <c r="AJ278" s="132">
        <f t="shared" si="129"/>
        <v>4250.1003297260941</v>
      </c>
      <c r="AK278" s="132">
        <f>IF($AD278&lt;=$C$25*12,'Mortgage Calculators (By Month)'!$J296,"-")</f>
        <v>0</v>
      </c>
      <c r="AL278" s="132">
        <f>IF($AD278&lt;=$C$25*12,'Mortgage Calculators (By Month)'!$K296,"-")</f>
        <v>0</v>
      </c>
      <c r="AM278" s="132">
        <f>IF($AD278&lt;=$C$25*12,'Mortgage Calculators (By Month)'!$L296,"-")</f>
        <v>10</v>
      </c>
      <c r="AN278" s="132">
        <f t="shared" si="139"/>
        <v>0</v>
      </c>
      <c r="AO278" s="132">
        <f t="shared" si="130"/>
        <v>4260.1003297260941</v>
      </c>
      <c r="AP278" s="132">
        <f t="shared" si="131"/>
        <v>20858.387516268704</v>
      </c>
      <c r="AQ278" s="132">
        <f t="shared" si="132"/>
        <v>0</v>
      </c>
      <c r="AR278" s="132">
        <f t="shared" si="113"/>
        <v>20858.387516268704</v>
      </c>
      <c r="AS278" s="132">
        <f>IF($AD278&lt;=$C$25*12,SUM(AR$5:AR278),"-")</f>
        <v>3345470.879067176</v>
      </c>
      <c r="AT278" s="132">
        <f>IF($AD278&lt;=$C$25*12,AE278-$C$10-'RE Calculations'!$C465-'Mortgage Calculators (By Month)'!$M296,"-")</f>
        <v>3276117.6371646374</v>
      </c>
      <c r="AU278" s="29">
        <f t="shared" si="133"/>
        <v>2.0462600800390232</v>
      </c>
      <c r="AV278" s="31">
        <f t="shared" si="134"/>
        <v>8.9617229782730942E-2</v>
      </c>
      <c r="AW278" s="132">
        <f t="shared" si="135"/>
        <v>6621588.5162318135</v>
      </c>
      <c r="AX278" s="29">
        <f t="shared" si="136"/>
        <v>4.1358381315441983</v>
      </c>
      <c r="AY278" s="31">
        <f t="shared" si="137"/>
        <v>0.18113159700193571</v>
      </c>
    </row>
    <row r="279" spans="6:51" x14ac:dyDescent="0.35">
      <c r="F279" s="12">
        <f t="shared" si="114"/>
        <v>275</v>
      </c>
      <c r="G279" s="132">
        <f t="shared" si="115"/>
        <v>5001564.348657378</v>
      </c>
      <c r="H279" s="132">
        <f>IF($F279&lt;=$C$16*12,$G279-$C$7+SUM('Mortgage Calculators (By Month)'!$D$23:$D297),"-")</f>
        <v>5001564.348657378</v>
      </c>
      <c r="I279" s="132">
        <f t="shared" si="116"/>
        <v>25108.487845994798</v>
      </c>
      <c r="J279" s="132">
        <f>IF($F279&lt;=$C$16*12,SUM(Inputs!$C$61:$C$78)*'Forecast (By Month)'!I279,"-")</f>
        <v>2761.9336630594275</v>
      </c>
      <c r="K279" s="132">
        <f>IF($F279&lt;=$C$16*12,(SUMIF(Inputs!$C$61:$C$78,0,Inputs!$F$61:$F$78)/12)*(1+$C$34)^ROUNDDOWN((F279-1)/12,0),"-")</f>
        <v>1488.1666666666667</v>
      </c>
      <c r="L279" s="132">
        <f t="shared" si="117"/>
        <v>4250.1003297260941</v>
      </c>
      <c r="M279" s="132">
        <f>IF($F279&lt;=$C$16*12,'Mortgage Calculators (By Month)'!$C297,"-")</f>
        <v>0</v>
      </c>
      <c r="N279" s="132">
        <f>IF($F279&lt;=$C$16*12,'Mortgage Calculators (By Month)'!$D297,"-")</f>
        <v>0</v>
      </c>
      <c r="O279" s="132">
        <f>IF($F279&lt;=$C$16*12,'Mortgage Calculators (By Month)'!$E297,"-")</f>
        <v>8.3333333333333339</v>
      </c>
      <c r="P279" s="132">
        <f t="shared" si="138"/>
        <v>0</v>
      </c>
      <c r="Q279" s="132">
        <f t="shared" si="118"/>
        <v>4258.4336630594271</v>
      </c>
      <c r="R279" s="132">
        <f t="shared" si="119"/>
        <v>20858.387516268704</v>
      </c>
      <c r="S279" s="132">
        <f t="shared" si="120"/>
        <v>0</v>
      </c>
      <c r="T279" s="132">
        <f t="shared" si="112"/>
        <v>20858.387516268704</v>
      </c>
      <c r="U279" s="132">
        <f>IF($F279&lt;=$C$16*12,SUM(T$5:T279),"-")</f>
        <v>3366339.2665834446</v>
      </c>
      <c r="V279" s="132">
        <f>IF($F279&lt;=$C$16*12,G279-$C$10-'RE Calculations'!$C466-'Mortgage Calculators (By Month)'!$F297,"-")</f>
        <v>3296006.0616842294</v>
      </c>
      <c r="W279" s="29">
        <f t="shared" si="121"/>
        <v>2.0586823718052409</v>
      </c>
      <c r="X279" s="31">
        <f t="shared" si="122"/>
        <v>8.983341258786505E-2</v>
      </c>
      <c r="Y279" s="132">
        <f t="shared" si="123"/>
        <v>6662345.328267674</v>
      </c>
      <c r="Z279" s="29">
        <f t="shared" si="124"/>
        <v>4.1612947990681439</v>
      </c>
      <c r="AA279" s="31">
        <f t="shared" si="125"/>
        <v>0.18158377305024628</v>
      </c>
      <c r="AD279" s="12">
        <f t="shared" si="126"/>
        <v>275</v>
      </c>
      <c r="AE279" s="132">
        <f t="shared" si="127"/>
        <v>5001564.348657378</v>
      </c>
      <c r="AF279" s="132">
        <f>IF($AD279&lt;=$C$25*12,$AE279-$C$7+SUM('Mortgage Calculators (By Month)'!$K$23:$K297),"-")</f>
        <v>5001564.348657378</v>
      </c>
      <c r="AG279" s="132">
        <f t="shared" si="128"/>
        <v>25108.487845994798</v>
      </c>
      <c r="AH279" s="132">
        <f>IF($AD279&lt;=$C$25*12,SUM(Inputs!$C$61:$C$78)*'Forecast (By Month)'!AG279,"-")</f>
        <v>2761.9336630594275</v>
      </c>
      <c r="AI279" s="132">
        <f>IF($AD279&lt;=$C$25*12,(SUMIF(Inputs!$C$61:$C$78,0,Inputs!$F$61:$F$78)/12)*(1+$C$34)^ROUNDDOWN((AD279-1)/12,0),"-")</f>
        <v>1488.1666666666667</v>
      </c>
      <c r="AJ279" s="132">
        <f t="shared" si="129"/>
        <v>4250.1003297260941</v>
      </c>
      <c r="AK279" s="132">
        <f>IF($AD279&lt;=$C$25*12,'Mortgage Calculators (By Month)'!$J297,"-")</f>
        <v>0</v>
      </c>
      <c r="AL279" s="132">
        <f>IF($AD279&lt;=$C$25*12,'Mortgage Calculators (By Month)'!$K297,"-")</f>
        <v>0</v>
      </c>
      <c r="AM279" s="132">
        <f>IF($AD279&lt;=$C$25*12,'Mortgage Calculators (By Month)'!$L297,"-")</f>
        <v>10</v>
      </c>
      <c r="AN279" s="132">
        <f t="shared" si="139"/>
        <v>0</v>
      </c>
      <c r="AO279" s="132">
        <f t="shared" si="130"/>
        <v>4260.1003297260941</v>
      </c>
      <c r="AP279" s="132">
        <f t="shared" si="131"/>
        <v>20858.387516268704</v>
      </c>
      <c r="AQ279" s="132">
        <f t="shared" si="132"/>
        <v>0</v>
      </c>
      <c r="AR279" s="132">
        <f t="shared" si="113"/>
        <v>20858.387516268704</v>
      </c>
      <c r="AS279" s="132">
        <f>IF($AD279&lt;=$C$25*12,SUM(AR$5:AR279),"-")</f>
        <v>3366329.2665834446</v>
      </c>
      <c r="AT279" s="132">
        <f>IF($AD279&lt;=$C$25*12,AE279-$C$10-'RE Calculations'!$C466-'Mortgage Calculators (By Month)'!$M297,"-")</f>
        <v>3296006.0616842294</v>
      </c>
      <c r="AU279" s="29">
        <f t="shared" si="133"/>
        <v>2.0586823718052409</v>
      </c>
      <c r="AV279" s="31">
        <f t="shared" si="134"/>
        <v>8.983341258786505E-2</v>
      </c>
      <c r="AW279" s="132">
        <f t="shared" si="135"/>
        <v>6662335.328267674</v>
      </c>
      <c r="AX279" s="29">
        <f t="shared" si="136"/>
        <v>4.1612885530772896</v>
      </c>
      <c r="AY279" s="31">
        <f t="shared" si="137"/>
        <v>0.18158350049791808</v>
      </c>
    </row>
    <row r="280" spans="6:51" x14ac:dyDescent="0.35">
      <c r="F280" s="12">
        <f t="shared" si="114"/>
        <v>276</v>
      </c>
      <c r="G280" s="132">
        <f t="shared" si="115"/>
        <v>5021941.3409256907</v>
      </c>
      <c r="H280" s="132">
        <f>IF($F280&lt;=$C$16*12,$G280-$C$7+SUM('Mortgage Calculators (By Month)'!$D$23:$D298),"-")</f>
        <v>5021941.3409256907</v>
      </c>
      <c r="I280" s="132">
        <f t="shared" si="116"/>
        <v>25108.487845994798</v>
      </c>
      <c r="J280" s="132">
        <f>IF($F280&lt;=$C$16*12,SUM(Inputs!$C$61:$C$78)*'Forecast (By Month)'!I280,"-")</f>
        <v>2761.9336630594275</v>
      </c>
      <c r="K280" s="132">
        <f>IF($F280&lt;=$C$16*12,(SUMIF(Inputs!$C$61:$C$78,0,Inputs!$F$61:$F$78)/12)*(1+$C$34)^ROUNDDOWN((F280-1)/12,0),"-")</f>
        <v>1488.1666666666667</v>
      </c>
      <c r="L280" s="132">
        <f t="shared" si="117"/>
        <v>4250.1003297260941</v>
      </c>
      <c r="M280" s="132">
        <f>IF($F280&lt;=$C$16*12,'Mortgage Calculators (By Month)'!$C298,"-")</f>
        <v>0</v>
      </c>
      <c r="N280" s="132">
        <f>IF($F280&lt;=$C$16*12,'Mortgage Calculators (By Month)'!$D298,"-")</f>
        <v>0</v>
      </c>
      <c r="O280" s="132">
        <f>IF($F280&lt;=$C$16*12,'Mortgage Calculators (By Month)'!$E298,"-")</f>
        <v>8.3333333333333339</v>
      </c>
      <c r="P280" s="132">
        <f t="shared" si="138"/>
        <v>0</v>
      </c>
      <c r="Q280" s="132">
        <f t="shared" si="118"/>
        <v>4258.4336630594271</v>
      </c>
      <c r="R280" s="132">
        <f t="shared" si="119"/>
        <v>20858.387516268704</v>
      </c>
      <c r="S280" s="132">
        <f t="shared" si="120"/>
        <v>0</v>
      </c>
      <c r="T280" s="132">
        <f t="shared" si="112"/>
        <v>20858.387516268704</v>
      </c>
      <c r="U280" s="132">
        <f>IF($F280&lt;=$C$16*12,SUM(T$5:T280),"-")</f>
        <v>3387197.6540997131</v>
      </c>
      <c r="V280" s="132">
        <f>IF($F280&lt;=$C$16*12,G280-$C$10-'RE Calculations'!$C467-'Mortgage Calculators (By Month)'!$F298,"-")</f>
        <v>3315975.5141071756</v>
      </c>
      <c r="W280" s="29">
        <f t="shared" si="121"/>
        <v>2.0711552735257905</v>
      </c>
      <c r="X280" s="31">
        <f t="shared" si="122"/>
        <v>9.0050229283730021E-2</v>
      </c>
      <c r="Y280" s="132">
        <f t="shared" si="123"/>
        <v>6703173.1682068892</v>
      </c>
      <c r="Z280" s="29">
        <f t="shared" si="124"/>
        <v>4.1867958305555675</v>
      </c>
      <c r="AA280" s="31">
        <f t="shared" si="125"/>
        <v>0.18203460132850294</v>
      </c>
      <c r="AD280" s="12">
        <f t="shared" si="126"/>
        <v>276</v>
      </c>
      <c r="AE280" s="132">
        <f t="shared" si="127"/>
        <v>5021941.3409256907</v>
      </c>
      <c r="AF280" s="132">
        <f>IF($AD280&lt;=$C$25*12,$AE280-$C$7+SUM('Mortgage Calculators (By Month)'!$K$23:$K298),"-")</f>
        <v>5021941.3409256907</v>
      </c>
      <c r="AG280" s="132">
        <f t="shared" si="128"/>
        <v>25108.487845994798</v>
      </c>
      <c r="AH280" s="132">
        <f>IF($AD280&lt;=$C$25*12,SUM(Inputs!$C$61:$C$78)*'Forecast (By Month)'!AG280,"-")</f>
        <v>2761.9336630594275</v>
      </c>
      <c r="AI280" s="132">
        <f>IF($AD280&lt;=$C$25*12,(SUMIF(Inputs!$C$61:$C$78,0,Inputs!$F$61:$F$78)/12)*(1+$C$34)^ROUNDDOWN((AD280-1)/12,0),"-")</f>
        <v>1488.1666666666667</v>
      </c>
      <c r="AJ280" s="132">
        <f t="shared" si="129"/>
        <v>4250.1003297260941</v>
      </c>
      <c r="AK280" s="132">
        <f>IF($AD280&lt;=$C$25*12,'Mortgage Calculators (By Month)'!$J298,"-")</f>
        <v>0</v>
      </c>
      <c r="AL280" s="132">
        <f>IF($AD280&lt;=$C$25*12,'Mortgage Calculators (By Month)'!$K298,"-")</f>
        <v>0</v>
      </c>
      <c r="AM280" s="132">
        <f>IF($AD280&lt;=$C$25*12,'Mortgage Calculators (By Month)'!$L298,"-")</f>
        <v>10</v>
      </c>
      <c r="AN280" s="132">
        <f t="shared" si="139"/>
        <v>0</v>
      </c>
      <c r="AO280" s="132">
        <f t="shared" si="130"/>
        <v>4260.1003297260941</v>
      </c>
      <c r="AP280" s="132">
        <f t="shared" si="131"/>
        <v>20858.387516268704</v>
      </c>
      <c r="AQ280" s="132">
        <f t="shared" si="132"/>
        <v>0</v>
      </c>
      <c r="AR280" s="132">
        <f t="shared" si="113"/>
        <v>20858.387516268704</v>
      </c>
      <c r="AS280" s="132">
        <f>IF($AD280&lt;=$C$25*12,SUM(AR$5:AR280),"-")</f>
        <v>3387187.6540997131</v>
      </c>
      <c r="AT280" s="132">
        <f>IF($AD280&lt;=$C$25*12,AE280-$C$10-'RE Calculations'!$C467-'Mortgage Calculators (By Month)'!$M298,"-")</f>
        <v>3315975.5141071756</v>
      </c>
      <c r="AU280" s="29">
        <f t="shared" si="133"/>
        <v>2.0711552735257905</v>
      </c>
      <c r="AV280" s="31">
        <f t="shared" si="134"/>
        <v>9.0050229283730021E-2</v>
      </c>
      <c r="AW280" s="132">
        <f t="shared" si="135"/>
        <v>6703163.1682068892</v>
      </c>
      <c r="AX280" s="29">
        <f t="shared" si="136"/>
        <v>4.1867895845647132</v>
      </c>
      <c r="AY280" s="31">
        <f t="shared" si="137"/>
        <v>0.18203432976368319</v>
      </c>
    </row>
    <row r="281" spans="6:51" x14ac:dyDescent="0.35">
      <c r="F281" s="12">
        <f t="shared" si="114"/>
        <v>277</v>
      </c>
      <c r="G281" s="132">
        <f t="shared" si="115"/>
        <v>5042401.3515828429</v>
      </c>
      <c r="H281" s="132">
        <f>IF($F281&lt;=$C$16*12,$G281-$C$7+SUM('Mortgage Calculators (By Month)'!$D$23:$D299),"-")</f>
        <v>5042401.3515828429</v>
      </c>
      <c r="I281" s="132">
        <f t="shared" si="116"/>
        <v>26363.912238294542</v>
      </c>
      <c r="J281" s="132">
        <f>IF($F281&lt;=$C$16*12,SUM(Inputs!$C$61:$C$78)*'Forecast (By Month)'!I281,"-")</f>
        <v>2900.0303462123998</v>
      </c>
      <c r="K281" s="132">
        <f>IF($F281&lt;=$C$16*12,(SUMIF(Inputs!$C$61:$C$78,0,Inputs!$F$61:$F$78)/12)*(1+$C$34)^ROUNDDOWN((F281-1)/12,0),"-")</f>
        <v>1488.1666666666667</v>
      </c>
      <c r="L281" s="132">
        <f t="shared" si="117"/>
        <v>4388.1970128790663</v>
      </c>
      <c r="M281" s="132">
        <f>IF($F281&lt;=$C$16*12,'Mortgage Calculators (By Month)'!$C299,"-")</f>
        <v>0</v>
      </c>
      <c r="N281" s="132">
        <f>IF($F281&lt;=$C$16*12,'Mortgage Calculators (By Month)'!$D299,"-")</f>
        <v>0</v>
      </c>
      <c r="O281" s="132">
        <f>IF($F281&lt;=$C$16*12,'Mortgage Calculators (By Month)'!$E299,"-")</f>
        <v>8.3333333333333339</v>
      </c>
      <c r="P281" s="132">
        <f t="shared" si="138"/>
        <v>0</v>
      </c>
      <c r="Q281" s="132">
        <f t="shared" si="118"/>
        <v>4396.5303462123993</v>
      </c>
      <c r="R281" s="132">
        <f t="shared" si="119"/>
        <v>21975.715225415475</v>
      </c>
      <c r="S281" s="132">
        <f t="shared" si="120"/>
        <v>0</v>
      </c>
      <c r="T281" s="132">
        <f t="shared" si="112"/>
        <v>21975.715225415475</v>
      </c>
      <c r="U281" s="132">
        <f>IF($F281&lt;=$C$16*12,SUM(T$5:T281),"-")</f>
        <v>3409173.3693251284</v>
      </c>
      <c r="V281" s="132">
        <f>IF($F281&lt;=$C$16*12,G281-$C$10-'RE Calculations'!$C468-'Mortgage Calculators (By Month)'!$F299,"-")</f>
        <v>3336026.3245511847</v>
      </c>
      <c r="W281" s="29">
        <f t="shared" si="121"/>
        <v>2.0836789913918907</v>
      </c>
      <c r="X281" s="31">
        <f t="shared" si="122"/>
        <v>9.0267681937554842E-2</v>
      </c>
      <c r="Y281" s="132">
        <f t="shared" si="123"/>
        <v>6745199.693876313</v>
      </c>
      <c r="Z281" s="29">
        <f t="shared" si="124"/>
        <v>4.2130455600538363</v>
      </c>
      <c r="AA281" s="31">
        <f t="shared" si="125"/>
        <v>0.18251460909980519</v>
      </c>
      <c r="AD281" s="12">
        <f t="shared" si="126"/>
        <v>277</v>
      </c>
      <c r="AE281" s="132">
        <f t="shared" si="127"/>
        <v>5042401.3515828429</v>
      </c>
      <c r="AF281" s="132">
        <f>IF($AD281&lt;=$C$25*12,$AE281-$C$7+SUM('Mortgage Calculators (By Month)'!$K$23:$K299),"-")</f>
        <v>5042401.3515828429</v>
      </c>
      <c r="AG281" s="132">
        <f t="shared" si="128"/>
        <v>26363.912238294542</v>
      </c>
      <c r="AH281" s="132">
        <f>IF($AD281&lt;=$C$25*12,SUM(Inputs!$C$61:$C$78)*'Forecast (By Month)'!AG281,"-")</f>
        <v>2900.0303462123998</v>
      </c>
      <c r="AI281" s="132">
        <f>IF($AD281&lt;=$C$25*12,(SUMIF(Inputs!$C$61:$C$78,0,Inputs!$F$61:$F$78)/12)*(1+$C$34)^ROUNDDOWN((AD281-1)/12,0),"-")</f>
        <v>1488.1666666666667</v>
      </c>
      <c r="AJ281" s="132">
        <f t="shared" si="129"/>
        <v>4388.1970128790663</v>
      </c>
      <c r="AK281" s="132">
        <f>IF($AD281&lt;=$C$25*12,'Mortgage Calculators (By Month)'!$J299,"-")</f>
        <v>0</v>
      </c>
      <c r="AL281" s="132">
        <f>IF($AD281&lt;=$C$25*12,'Mortgage Calculators (By Month)'!$K299,"-")</f>
        <v>0</v>
      </c>
      <c r="AM281" s="132">
        <f>IF($AD281&lt;=$C$25*12,'Mortgage Calculators (By Month)'!$L299,"-")</f>
        <v>10</v>
      </c>
      <c r="AN281" s="132">
        <f t="shared" si="139"/>
        <v>0</v>
      </c>
      <c r="AO281" s="132">
        <f t="shared" si="130"/>
        <v>4398.1970128790663</v>
      </c>
      <c r="AP281" s="132">
        <f t="shared" si="131"/>
        <v>21975.715225415475</v>
      </c>
      <c r="AQ281" s="132">
        <f t="shared" si="132"/>
        <v>0</v>
      </c>
      <c r="AR281" s="132">
        <f t="shared" si="113"/>
        <v>21975.715225415475</v>
      </c>
      <c r="AS281" s="132">
        <f>IF($AD281&lt;=$C$25*12,SUM(AR$5:AR281),"-")</f>
        <v>3409163.3693251284</v>
      </c>
      <c r="AT281" s="132">
        <f>IF($AD281&lt;=$C$25*12,AE281-$C$10-'RE Calculations'!$C468-'Mortgage Calculators (By Month)'!$M299,"-")</f>
        <v>3336026.3245511847</v>
      </c>
      <c r="AU281" s="29">
        <f t="shared" si="133"/>
        <v>2.0836789913918907</v>
      </c>
      <c r="AV281" s="31">
        <f t="shared" si="134"/>
        <v>9.0267681937554842E-2</v>
      </c>
      <c r="AW281" s="132">
        <f t="shared" si="135"/>
        <v>6745189.693876313</v>
      </c>
      <c r="AX281" s="29">
        <f t="shared" si="136"/>
        <v>4.2130393140629812</v>
      </c>
      <c r="AY281" s="31">
        <f t="shared" si="137"/>
        <v>0.18251433851536381</v>
      </c>
    </row>
    <row r="282" spans="6:51" x14ac:dyDescent="0.35">
      <c r="F282" s="12">
        <f t="shared" si="114"/>
        <v>278</v>
      </c>
      <c r="G282" s="132">
        <f t="shared" si="115"/>
        <v>5062944.7188560273</v>
      </c>
      <c r="H282" s="132">
        <f>IF($F282&lt;=$C$16*12,$G282-$C$7+SUM('Mortgage Calculators (By Month)'!$D$23:$D300),"-")</f>
        <v>5062944.7188560273</v>
      </c>
      <c r="I282" s="132">
        <f t="shared" si="116"/>
        <v>26363.912238294542</v>
      </c>
      <c r="J282" s="132">
        <f>IF($F282&lt;=$C$16*12,SUM(Inputs!$C$61:$C$78)*'Forecast (By Month)'!I282,"-")</f>
        <v>2900.0303462123998</v>
      </c>
      <c r="K282" s="132">
        <f>IF($F282&lt;=$C$16*12,(SUMIF(Inputs!$C$61:$C$78,0,Inputs!$F$61:$F$78)/12)*(1+$C$34)^ROUNDDOWN((F282-1)/12,0),"-")</f>
        <v>1488.1666666666667</v>
      </c>
      <c r="L282" s="132">
        <f t="shared" si="117"/>
        <v>4388.1970128790663</v>
      </c>
      <c r="M282" s="132">
        <f>IF($F282&lt;=$C$16*12,'Mortgage Calculators (By Month)'!$C300,"-")</f>
        <v>0</v>
      </c>
      <c r="N282" s="132">
        <f>IF($F282&lt;=$C$16*12,'Mortgage Calculators (By Month)'!$D300,"-")</f>
        <v>0</v>
      </c>
      <c r="O282" s="132">
        <f>IF($F282&lt;=$C$16*12,'Mortgage Calculators (By Month)'!$E300,"-")</f>
        <v>8.3333333333333339</v>
      </c>
      <c r="P282" s="132">
        <f t="shared" si="138"/>
        <v>0</v>
      </c>
      <c r="Q282" s="132">
        <f t="shared" si="118"/>
        <v>4396.5303462123993</v>
      </c>
      <c r="R282" s="132">
        <f t="shared" si="119"/>
        <v>21975.715225415475</v>
      </c>
      <c r="S282" s="132">
        <f t="shared" si="120"/>
        <v>0</v>
      </c>
      <c r="T282" s="132">
        <f t="shared" si="112"/>
        <v>21975.715225415475</v>
      </c>
      <c r="U282" s="132">
        <f>IF($F282&lt;=$C$16*12,SUM(T$5:T282),"-")</f>
        <v>3431149.0845505437</v>
      </c>
      <c r="V282" s="132">
        <f>IF($F282&lt;=$C$16*12,G282-$C$10-'RE Calculations'!$C469-'Mortgage Calculators (By Month)'!$F300,"-")</f>
        <v>3356158.8244789056</v>
      </c>
      <c r="W282" s="29">
        <f t="shared" si="121"/>
        <v>2.0962537324348096</v>
      </c>
      <c r="X282" s="31">
        <f t="shared" si="122"/>
        <v>9.0485772623085298E-2</v>
      </c>
      <c r="Y282" s="132">
        <f t="shared" si="123"/>
        <v>6787307.9090294493</v>
      </c>
      <c r="Z282" s="29">
        <f t="shared" si="124"/>
        <v>4.239346312728923</v>
      </c>
      <c r="AA282" s="31">
        <f t="shared" si="125"/>
        <v>0.1829933660170758</v>
      </c>
      <c r="AD282" s="12">
        <f t="shared" si="126"/>
        <v>278</v>
      </c>
      <c r="AE282" s="132">
        <f t="shared" si="127"/>
        <v>5062944.7188560273</v>
      </c>
      <c r="AF282" s="132">
        <f>IF($AD282&lt;=$C$25*12,$AE282-$C$7+SUM('Mortgage Calculators (By Month)'!$K$23:$K300),"-")</f>
        <v>5062944.7188560273</v>
      </c>
      <c r="AG282" s="132">
        <f t="shared" si="128"/>
        <v>26363.912238294542</v>
      </c>
      <c r="AH282" s="132">
        <f>IF($AD282&lt;=$C$25*12,SUM(Inputs!$C$61:$C$78)*'Forecast (By Month)'!AG282,"-")</f>
        <v>2900.0303462123998</v>
      </c>
      <c r="AI282" s="132">
        <f>IF($AD282&lt;=$C$25*12,(SUMIF(Inputs!$C$61:$C$78,0,Inputs!$F$61:$F$78)/12)*(1+$C$34)^ROUNDDOWN((AD282-1)/12,0),"-")</f>
        <v>1488.1666666666667</v>
      </c>
      <c r="AJ282" s="132">
        <f t="shared" si="129"/>
        <v>4388.1970128790663</v>
      </c>
      <c r="AK282" s="132">
        <f>IF($AD282&lt;=$C$25*12,'Mortgage Calculators (By Month)'!$J300,"-")</f>
        <v>0</v>
      </c>
      <c r="AL282" s="132">
        <f>IF($AD282&lt;=$C$25*12,'Mortgage Calculators (By Month)'!$K300,"-")</f>
        <v>0</v>
      </c>
      <c r="AM282" s="132">
        <f>IF($AD282&lt;=$C$25*12,'Mortgage Calculators (By Month)'!$L300,"-")</f>
        <v>10</v>
      </c>
      <c r="AN282" s="132">
        <f t="shared" si="139"/>
        <v>0</v>
      </c>
      <c r="AO282" s="132">
        <f t="shared" si="130"/>
        <v>4398.1970128790663</v>
      </c>
      <c r="AP282" s="132">
        <f t="shared" si="131"/>
        <v>21975.715225415475</v>
      </c>
      <c r="AQ282" s="132">
        <f t="shared" si="132"/>
        <v>0</v>
      </c>
      <c r="AR282" s="132">
        <f t="shared" si="113"/>
        <v>21975.715225415475</v>
      </c>
      <c r="AS282" s="132">
        <f>IF($AD282&lt;=$C$25*12,SUM(AR$5:AR282),"-")</f>
        <v>3431139.0845505437</v>
      </c>
      <c r="AT282" s="132">
        <f>IF($AD282&lt;=$C$25*12,AE282-$C$10-'RE Calculations'!$C469-'Mortgage Calculators (By Month)'!$M300,"-")</f>
        <v>3356158.8244789056</v>
      </c>
      <c r="AU282" s="29">
        <f t="shared" si="133"/>
        <v>2.0962537324348096</v>
      </c>
      <c r="AV282" s="31">
        <f t="shared" si="134"/>
        <v>9.0485772623085298E-2</v>
      </c>
      <c r="AW282" s="132">
        <f t="shared" si="135"/>
        <v>6787297.9090294493</v>
      </c>
      <c r="AX282" s="29">
        <f t="shared" si="136"/>
        <v>4.2393400667380687</v>
      </c>
      <c r="AY282" s="31">
        <f t="shared" si="137"/>
        <v>0.18299309640595979</v>
      </c>
    </row>
    <row r="283" spans="6:51" x14ac:dyDescent="0.35">
      <c r="F283" s="12">
        <f t="shared" si="114"/>
        <v>279</v>
      </c>
      <c r="G283" s="132">
        <f t="shared" si="115"/>
        <v>5083571.7823504154</v>
      </c>
      <c r="H283" s="132">
        <f>IF($F283&lt;=$C$16*12,$G283-$C$7+SUM('Mortgage Calculators (By Month)'!$D$23:$D301),"-")</f>
        <v>5083571.7823504154</v>
      </c>
      <c r="I283" s="132">
        <f t="shared" si="116"/>
        <v>26363.912238294542</v>
      </c>
      <c r="J283" s="132">
        <f>IF($F283&lt;=$C$16*12,SUM(Inputs!$C$61:$C$78)*'Forecast (By Month)'!I283,"-")</f>
        <v>2900.0303462123998</v>
      </c>
      <c r="K283" s="132">
        <f>IF($F283&lt;=$C$16*12,(SUMIF(Inputs!$C$61:$C$78,0,Inputs!$F$61:$F$78)/12)*(1+$C$34)^ROUNDDOWN((F283-1)/12,0),"-")</f>
        <v>1488.1666666666667</v>
      </c>
      <c r="L283" s="132">
        <f t="shared" si="117"/>
        <v>4388.1970128790663</v>
      </c>
      <c r="M283" s="132">
        <f>IF($F283&lt;=$C$16*12,'Mortgage Calculators (By Month)'!$C301,"-")</f>
        <v>0</v>
      </c>
      <c r="N283" s="132">
        <f>IF($F283&lt;=$C$16*12,'Mortgage Calculators (By Month)'!$D301,"-")</f>
        <v>0</v>
      </c>
      <c r="O283" s="132">
        <f>IF($F283&lt;=$C$16*12,'Mortgage Calculators (By Month)'!$E301,"-")</f>
        <v>8.3333333333333339</v>
      </c>
      <c r="P283" s="132">
        <f t="shared" si="138"/>
        <v>0</v>
      </c>
      <c r="Q283" s="132">
        <f t="shared" si="118"/>
        <v>4396.5303462123993</v>
      </c>
      <c r="R283" s="132">
        <f t="shared" si="119"/>
        <v>21975.715225415475</v>
      </c>
      <c r="S283" s="132">
        <f t="shared" si="120"/>
        <v>0</v>
      </c>
      <c r="T283" s="132">
        <f t="shared" si="112"/>
        <v>21975.715225415475</v>
      </c>
      <c r="U283" s="132">
        <f>IF($F283&lt;=$C$16*12,SUM(T$5:T283),"-")</f>
        <v>3453124.799775959</v>
      </c>
      <c r="V283" s="132">
        <f>IF($F283&lt;=$C$16*12,G283-$C$10-'RE Calculations'!$C470-'Mortgage Calculators (By Month)'!$F301,"-")</f>
        <v>3376373.346703406</v>
      </c>
      <c r="W283" s="29">
        <f t="shared" si="121"/>
        <v>2.1088797045292842</v>
      </c>
      <c r="X283" s="31">
        <f t="shared" si="122"/>
        <v>9.0704503420614369E-2</v>
      </c>
      <c r="Y283" s="132">
        <f t="shared" si="123"/>
        <v>6829498.1464793645</v>
      </c>
      <c r="Z283" s="29">
        <f t="shared" si="124"/>
        <v>4.2656982964555654</v>
      </c>
      <c r="AA283" s="31">
        <f t="shared" si="125"/>
        <v>0.18347089447120712</v>
      </c>
      <c r="AD283" s="12">
        <f t="shared" si="126"/>
        <v>279</v>
      </c>
      <c r="AE283" s="132">
        <f t="shared" si="127"/>
        <v>5083571.7823504154</v>
      </c>
      <c r="AF283" s="132">
        <f>IF($AD283&lt;=$C$25*12,$AE283-$C$7+SUM('Mortgage Calculators (By Month)'!$K$23:$K301),"-")</f>
        <v>5083571.7823504154</v>
      </c>
      <c r="AG283" s="132">
        <f t="shared" si="128"/>
        <v>26363.912238294542</v>
      </c>
      <c r="AH283" s="132">
        <f>IF($AD283&lt;=$C$25*12,SUM(Inputs!$C$61:$C$78)*'Forecast (By Month)'!AG283,"-")</f>
        <v>2900.0303462123998</v>
      </c>
      <c r="AI283" s="132">
        <f>IF($AD283&lt;=$C$25*12,(SUMIF(Inputs!$C$61:$C$78,0,Inputs!$F$61:$F$78)/12)*(1+$C$34)^ROUNDDOWN((AD283-1)/12,0),"-")</f>
        <v>1488.1666666666667</v>
      </c>
      <c r="AJ283" s="132">
        <f t="shared" si="129"/>
        <v>4388.1970128790663</v>
      </c>
      <c r="AK283" s="132">
        <f>IF($AD283&lt;=$C$25*12,'Mortgage Calculators (By Month)'!$J301,"-")</f>
        <v>0</v>
      </c>
      <c r="AL283" s="132">
        <f>IF($AD283&lt;=$C$25*12,'Mortgage Calculators (By Month)'!$K301,"-")</f>
        <v>0</v>
      </c>
      <c r="AM283" s="132">
        <f>IF($AD283&lt;=$C$25*12,'Mortgage Calculators (By Month)'!$L301,"-")</f>
        <v>10</v>
      </c>
      <c r="AN283" s="132">
        <f t="shared" si="139"/>
        <v>0</v>
      </c>
      <c r="AO283" s="132">
        <f t="shared" si="130"/>
        <v>4398.1970128790663</v>
      </c>
      <c r="AP283" s="132">
        <f t="shared" si="131"/>
        <v>21975.715225415475</v>
      </c>
      <c r="AQ283" s="132">
        <f t="shared" si="132"/>
        <v>0</v>
      </c>
      <c r="AR283" s="132">
        <f t="shared" si="113"/>
        <v>21975.715225415475</v>
      </c>
      <c r="AS283" s="132">
        <f>IF($AD283&lt;=$C$25*12,SUM(AR$5:AR283),"-")</f>
        <v>3453114.799775959</v>
      </c>
      <c r="AT283" s="132">
        <f>IF($AD283&lt;=$C$25*12,AE283-$C$10-'RE Calculations'!$C470-'Mortgage Calculators (By Month)'!$M301,"-")</f>
        <v>3376373.346703406</v>
      </c>
      <c r="AU283" s="29">
        <f t="shared" si="133"/>
        <v>2.1088797045292842</v>
      </c>
      <c r="AV283" s="31">
        <f t="shared" si="134"/>
        <v>9.0704503420614369E-2</v>
      </c>
      <c r="AW283" s="132">
        <f t="shared" si="135"/>
        <v>6829488.1464793645</v>
      </c>
      <c r="AX283" s="29">
        <f t="shared" si="136"/>
        <v>4.2656920504647111</v>
      </c>
      <c r="AY283" s="31">
        <f t="shared" si="137"/>
        <v>0.18347062582643919</v>
      </c>
    </row>
    <row r="284" spans="6:51" x14ac:dyDescent="0.35">
      <c r="F284" s="12">
        <f t="shared" si="114"/>
        <v>280</v>
      </c>
      <c r="G284" s="132">
        <f t="shared" si="115"/>
        <v>5104282.8830547724</v>
      </c>
      <c r="H284" s="132">
        <f>IF($F284&lt;=$C$16*12,$G284-$C$7+SUM('Mortgage Calculators (By Month)'!$D$23:$D302),"-")</f>
        <v>5104282.8830547724</v>
      </c>
      <c r="I284" s="132">
        <f t="shared" si="116"/>
        <v>26363.912238294542</v>
      </c>
      <c r="J284" s="132">
        <f>IF($F284&lt;=$C$16*12,SUM(Inputs!$C$61:$C$78)*'Forecast (By Month)'!I284,"-")</f>
        <v>2900.0303462123998</v>
      </c>
      <c r="K284" s="132">
        <f>IF($F284&lt;=$C$16*12,(SUMIF(Inputs!$C$61:$C$78,0,Inputs!$F$61:$F$78)/12)*(1+$C$34)^ROUNDDOWN((F284-1)/12,0),"-")</f>
        <v>1488.1666666666667</v>
      </c>
      <c r="L284" s="132">
        <f t="shared" si="117"/>
        <v>4388.1970128790663</v>
      </c>
      <c r="M284" s="132">
        <f>IF($F284&lt;=$C$16*12,'Mortgage Calculators (By Month)'!$C302,"-")</f>
        <v>0</v>
      </c>
      <c r="N284" s="132">
        <f>IF($F284&lt;=$C$16*12,'Mortgage Calculators (By Month)'!$D302,"-")</f>
        <v>0</v>
      </c>
      <c r="O284" s="132">
        <f>IF($F284&lt;=$C$16*12,'Mortgage Calculators (By Month)'!$E302,"-")</f>
        <v>8.3333333333333339</v>
      </c>
      <c r="P284" s="132">
        <f t="shared" si="138"/>
        <v>0</v>
      </c>
      <c r="Q284" s="132">
        <f t="shared" si="118"/>
        <v>4396.5303462123993</v>
      </c>
      <c r="R284" s="132">
        <f t="shared" si="119"/>
        <v>21975.715225415475</v>
      </c>
      <c r="S284" s="132">
        <f t="shared" si="120"/>
        <v>0</v>
      </c>
      <c r="T284" s="132">
        <f t="shared" si="112"/>
        <v>21975.715225415475</v>
      </c>
      <c r="U284" s="132">
        <f>IF($F284&lt;=$C$16*12,SUM(T$5:T284),"-")</f>
        <v>3475100.5150013743</v>
      </c>
      <c r="V284" s="132">
        <f>IF($F284&lt;=$C$16*12,G284-$C$10-'RE Calculations'!$C471-'Mortgage Calculators (By Month)'!$F302,"-")</f>
        <v>3396670.2253936757</v>
      </c>
      <c r="W284" s="29">
        <f t="shared" si="121"/>
        <v>2.1215571163969602</v>
      </c>
      <c r="X284" s="31">
        <f t="shared" si="122"/>
        <v>9.0923876417012592E-2</v>
      </c>
      <c r="Y284" s="132">
        <f t="shared" si="123"/>
        <v>6871770.7403950505</v>
      </c>
      <c r="Z284" s="29">
        <f t="shared" si="124"/>
        <v>4.2921017199554106</v>
      </c>
      <c r="AA284" s="31">
        <f t="shared" si="125"/>
        <v>0.1839472165695176</v>
      </c>
      <c r="AD284" s="12">
        <f t="shared" si="126"/>
        <v>280</v>
      </c>
      <c r="AE284" s="132">
        <f t="shared" si="127"/>
        <v>5104282.8830547724</v>
      </c>
      <c r="AF284" s="132">
        <f>IF($AD284&lt;=$C$25*12,$AE284-$C$7+SUM('Mortgage Calculators (By Month)'!$K$23:$K302),"-")</f>
        <v>5104282.8830547724</v>
      </c>
      <c r="AG284" s="132">
        <f t="shared" si="128"/>
        <v>26363.912238294542</v>
      </c>
      <c r="AH284" s="132">
        <f>IF($AD284&lt;=$C$25*12,SUM(Inputs!$C$61:$C$78)*'Forecast (By Month)'!AG284,"-")</f>
        <v>2900.0303462123998</v>
      </c>
      <c r="AI284" s="132">
        <f>IF($AD284&lt;=$C$25*12,(SUMIF(Inputs!$C$61:$C$78,0,Inputs!$F$61:$F$78)/12)*(1+$C$34)^ROUNDDOWN((AD284-1)/12,0),"-")</f>
        <v>1488.1666666666667</v>
      </c>
      <c r="AJ284" s="132">
        <f t="shared" si="129"/>
        <v>4388.1970128790663</v>
      </c>
      <c r="AK284" s="132">
        <f>IF($AD284&lt;=$C$25*12,'Mortgage Calculators (By Month)'!$J302,"-")</f>
        <v>0</v>
      </c>
      <c r="AL284" s="132">
        <f>IF($AD284&lt;=$C$25*12,'Mortgage Calculators (By Month)'!$K302,"-")</f>
        <v>0</v>
      </c>
      <c r="AM284" s="132">
        <f>IF($AD284&lt;=$C$25*12,'Mortgage Calculators (By Month)'!$L302,"-")</f>
        <v>10</v>
      </c>
      <c r="AN284" s="132">
        <f t="shared" si="139"/>
        <v>0</v>
      </c>
      <c r="AO284" s="132">
        <f t="shared" si="130"/>
        <v>4398.1970128790663</v>
      </c>
      <c r="AP284" s="132">
        <f t="shared" si="131"/>
        <v>21975.715225415475</v>
      </c>
      <c r="AQ284" s="132">
        <f t="shared" si="132"/>
        <v>0</v>
      </c>
      <c r="AR284" s="132">
        <f t="shared" si="113"/>
        <v>21975.715225415475</v>
      </c>
      <c r="AS284" s="132">
        <f>IF($AD284&lt;=$C$25*12,SUM(AR$5:AR284),"-")</f>
        <v>3475090.5150013743</v>
      </c>
      <c r="AT284" s="132">
        <f>IF($AD284&lt;=$C$25*12,AE284-$C$10-'RE Calculations'!$C471-'Mortgage Calculators (By Month)'!$M302,"-")</f>
        <v>3396670.2253936757</v>
      </c>
      <c r="AU284" s="29">
        <f t="shared" si="133"/>
        <v>2.1215571163969602</v>
      </c>
      <c r="AV284" s="31">
        <f t="shared" si="134"/>
        <v>9.0923876417012592E-2</v>
      </c>
      <c r="AW284" s="132">
        <f t="shared" si="135"/>
        <v>6871760.7403950505</v>
      </c>
      <c r="AX284" s="29">
        <f t="shared" si="136"/>
        <v>4.2920954739645554</v>
      </c>
      <c r="AY284" s="31">
        <f t="shared" si="137"/>
        <v>0.18394694888419524</v>
      </c>
    </row>
    <row r="285" spans="6:51" x14ac:dyDescent="0.35">
      <c r="F285" s="12">
        <f t="shared" si="114"/>
        <v>281</v>
      </c>
      <c r="G285" s="132">
        <f t="shared" si="115"/>
        <v>5125078.3633470954</v>
      </c>
      <c r="H285" s="132">
        <f>IF($F285&lt;=$C$16*12,$G285-$C$7+SUM('Mortgage Calculators (By Month)'!$D$23:$D303),"-")</f>
        <v>5125078.3633470954</v>
      </c>
      <c r="I285" s="132">
        <f t="shared" si="116"/>
        <v>26363.912238294542</v>
      </c>
      <c r="J285" s="132">
        <f>IF($F285&lt;=$C$16*12,SUM(Inputs!$C$61:$C$78)*'Forecast (By Month)'!I285,"-")</f>
        <v>2900.0303462123998</v>
      </c>
      <c r="K285" s="132">
        <f>IF($F285&lt;=$C$16*12,(SUMIF(Inputs!$C$61:$C$78,0,Inputs!$F$61:$F$78)/12)*(1+$C$34)^ROUNDDOWN((F285-1)/12,0),"-")</f>
        <v>1488.1666666666667</v>
      </c>
      <c r="L285" s="132">
        <f t="shared" si="117"/>
        <v>4388.1970128790663</v>
      </c>
      <c r="M285" s="132">
        <f>IF($F285&lt;=$C$16*12,'Mortgage Calculators (By Month)'!$C303,"-")</f>
        <v>0</v>
      </c>
      <c r="N285" s="132">
        <f>IF($F285&lt;=$C$16*12,'Mortgage Calculators (By Month)'!$D303,"-")</f>
        <v>0</v>
      </c>
      <c r="O285" s="132">
        <f>IF($F285&lt;=$C$16*12,'Mortgage Calculators (By Month)'!$E303,"-")</f>
        <v>8.3333333333333339</v>
      </c>
      <c r="P285" s="132">
        <f t="shared" si="138"/>
        <v>0</v>
      </c>
      <c r="Q285" s="132">
        <f t="shared" si="118"/>
        <v>4396.5303462123993</v>
      </c>
      <c r="R285" s="132">
        <f t="shared" si="119"/>
        <v>21975.715225415475</v>
      </c>
      <c r="S285" s="132">
        <f t="shared" si="120"/>
        <v>0</v>
      </c>
      <c r="T285" s="132">
        <f t="shared" si="112"/>
        <v>21975.715225415475</v>
      </c>
      <c r="U285" s="132">
        <f>IF($F285&lt;=$C$16*12,SUM(T$5:T285),"-")</f>
        <v>3497076.2302267896</v>
      </c>
      <c r="V285" s="132">
        <f>IF($F285&lt;=$C$16*12,G285-$C$10-'RE Calculations'!$C472-'Mortgage Calculators (By Month)'!$F303,"-")</f>
        <v>3417049.7960801525</v>
      </c>
      <c r="W285" s="29">
        <f t="shared" si="121"/>
        <v>2.1342861776098419</v>
      </c>
      <c r="X285" s="31">
        <f t="shared" si="122"/>
        <v>9.1143893705758372E-2</v>
      </c>
      <c r="Y285" s="132">
        <f t="shared" si="123"/>
        <v>6914126.0263069421</v>
      </c>
      <c r="Z285" s="29">
        <f t="shared" si="124"/>
        <v>4.31855679280046</v>
      </c>
      <c r="AA285" s="31">
        <f t="shared" si="125"/>
        <v>0.18442235414094491</v>
      </c>
      <c r="AD285" s="12">
        <f t="shared" si="126"/>
        <v>281</v>
      </c>
      <c r="AE285" s="132">
        <f t="shared" si="127"/>
        <v>5125078.3633470954</v>
      </c>
      <c r="AF285" s="132">
        <f>IF($AD285&lt;=$C$25*12,$AE285-$C$7+SUM('Mortgage Calculators (By Month)'!$K$23:$K303),"-")</f>
        <v>5125078.3633470954</v>
      </c>
      <c r="AG285" s="132">
        <f t="shared" si="128"/>
        <v>26363.912238294542</v>
      </c>
      <c r="AH285" s="132">
        <f>IF($AD285&lt;=$C$25*12,SUM(Inputs!$C$61:$C$78)*'Forecast (By Month)'!AG285,"-")</f>
        <v>2900.0303462123998</v>
      </c>
      <c r="AI285" s="132">
        <f>IF($AD285&lt;=$C$25*12,(SUMIF(Inputs!$C$61:$C$78,0,Inputs!$F$61:$F$78)/12)*(1+$C$34)^ROUNDDOWN((AD285-1)/12,0),"-")</f>
        <v>1488.1666666666667</v>
      </c>
      <c r="AJ285" s="132">
        <f t="shared" si="129"/>
        <v>4388.1970128790663</v>
      </c>
      <c r="AK285" s="132">
        <f>IF($AD285&lt;=$C$25*12,'Mortgage Calculators (By Month)'!$J303,"-")</f>
        <v>0</v>
      </c>
      <c r="AL285" s="132">
        <f>IF($AD285&lt;=$C$25*12,'Mortgage Calculators (By Month)'!$K303,"-")</f>
        <v>0</v>
      </c>
      <c r="AM285" s="132">
        <f>IF($AD285&lt;=$C$25*12,'Mortgage Calculators (By Month)'!$L303,"-")</f>
        <v>10</v>
      </c>
      <c r="AN285" s="132">
        <f t="shared" si="139"/>
        <v>0</v>
      </c>
      <c r="AO285" s="132">
        <f t="shared" si="130"/>
        <v>4398.1970128790663</v>
      </c>
      <c r="AP285" s="132">
        <f t="shared" si="131"/>
        <v>21975.715225415475</v>
      </c>
      <c r="AQ285" s="132">
        <f t="shared" si="132"/>
        <v>0</v>
      </c>
      <c r="AR285" s="132">
        <f t="shared" si="113"/>
        <v>21975.715225415475</v>
      </c>
      <c r="AS285" s="132">
        <f>IF($AD285&lt;=$C$25*12,SUM(AR$5:AR285),"-")</f>
        <v>3497066.2302267896</v>
      </c>
      <c r="AT285" s="132">
        <f>IF($AD285&lt;=$C$25*12,AE285-$C$10-'RE Calculations'!$C472-'Mortgage Calculators (By Month)'!$M303,"-")</f>
        <v>3417049.7960801525</v>
      </c>
      <c r="AU285" s="29">
        <f t="shared" si="133"/>
        <v>2.1342861776098419</v>
      </c>
      <c r="AV285" s="31">
        <f t="shared" si="134"/>
        <v>9.1143893705758372E-2</v>
      </c>
      <c r="AW285" s="132">
        <f t="shared" si="135"/>
        <v>6914116.0263069421</v>
      </c>
      <c r="AX285" s="29">
        <f t="shared" si="136"/>
        <v>4.3185505468096057</v>
      </c>
      <c r="AY285" s="31">
        <f t="shared" si="137"/>
        <v>0.18442208740823937</v>
      </c>
    </row>
    <row r="286" spans="6:51" x14ac:dyDescent="0.35">
      <c r="F286" s="12">
        <f t="shared" si="114"/>
        <v>282</v>
      </c>
      <c r="G286" s="132">
        <f t="shared" si="115"/>
        <v>5145958.567000269</v>
      </c>
      <c r="H286" s="132">
        <f>IF($F286&lt;=$C$16*12,$G286-$C$7+SUM('Mortgage Calculators (By Month)'!$D$23:$D304),"-")</f>
        <v>5145958.567000269</v>
      </c>
      <c r="I286" s="132">
        <f t="shared" si="116"/>
        <v>26363.912238294542</v>
      </c>
      <c r="J286" s="132">
        <f>IF($F286&lt;=$C$16*12,SUM(Inputs!$C$61:$C$78)*'Forecast (By Month)'!I286,"-")</f>
        <v>2900.0303462123998</v>
      </c>
      <c r="K286" s="132">
        <f>IF($F286&lt;=$C$16*12,(SUMIF(Inputs!$C$61:$C$78,0,Inputs!$F$61:$F$78)/12)*(1+$C$34)^ROUNDDOWN((F286-1)/12,0),"-")</f>
        <v>1488.1666666666667</v>
      </c>
      <c r="L286" s="132">
        <f t="shared" si="117"/>
        <v>4388.1970128790663</v>
      </c>
      <c r="M286" s="132">
        <f>IF($F286&lt;=$C$16*12,'Mortgage Calculators (By Month)'!$C304,"-")</f>
        <v>0</v>
      </c>
      <c r="N286" s="132">
        <f>IF($F286&lt;=$C$16*12,'Mortgage Calculators (By Month)'!$D304,"-")</f>
        <v>0</v>
      </c>
      <c r="O286" s="132">
        <f>IF($F286&lt;=$C$16*12,'Mortgage Calculators (By Month)'!$E304,"-")</f>
        <v>8.3333333333333339</v>
      </c>
      <c r="P286" s="132">
        <f t="shared" si="138"/>
        <v>0</v>
      </c>
      <c r="Q286" s="132">
        <f t="shared" si="118"/>
        <v>4396.5303462123993</v>
      </c>
      <c r="R286" s="132">
        <f t="shared" si="119"/>
        <v>21975.715225415475</v>
      </c>
      <c r="S286" s="132">
        <f t="shared" si="120"/>
        <v>0</v>
      </c>
      <c r="T286" s="132">
        <f t="shared" si="112"/>
        <v>21975.715225415475</v>
      </c>
      <c r="U286" s="132">
        <f>IF($F286&lt;=$C$16*12,SUM(T$5:T286),"-")</f>
        <v>3519051.9454522049</v>
      </c>
      <c r="V286" s="132">
        <f>IF($F286&lt;=$C$16*12,G286-$C$10-'RE Calculations'!$C473-'Mortgage Calculators (By Month)'!$F304,"-")</f>
        <v>3437512.3956602626</v>
      </c>
      <c r="W286" s="29">
        <f t="shared" si="121"/>
        <v>2.1470670985937543</v>
      </c>
      <c r="X286" s="31">
        <f t="shared" si="122"/>
        <v>9.1364557386968276E-2</v>
      </c>
      <c r="Y286" s="132">
        <f t="shared" si="123"/>
        <v>6956564.3411124675</v>
      </c>
      <c r="Z286" s="29">
        <f t="shared" si="124"/>
        <v>4.3450637254165407</v>
      </c>
      <c r="AA286" s="31">
        <f t="shared" si="125"/>
        <v>0.18489632874112941</v>
      </c>
      <c r="AD286" s="12">
        <f t="shared" si="126"/>
        <v>282</v>
      </c>
      <c r="AE286" s="132">
        <f t="shared" si="127"/>
        <v>5145958.567000269</v>
      </c>
      <c r="AF286" s="132">
        <f>IF($AD286&lt;=$C$25*12,$AE286-$C$7+SUM('Mortgage Calculators (By Month)'!$K$23:$K304),"-")</f>
        <v>5145958.567000269</v>
      </c>
      <c r="AG286" s="132">
        <f t="shared" si="128"/>
        <v>26363.912238294542</v>
      </c>
      <c r="AH286" s="132">
        <f>IF($AD286&lt;=$C$25*12,SUM(Inputs!$C$61:$C$78)*'Forecast (By Month)'!AG286,"-")</f>
        <v>2900.0303462123998</v>
      </c>
      <c r="AI286" s="132">
        <f>IF($AD286&lt;=$C$25*12,(SUMIF(Inputs!$C$61:$C$78,0,Inputs!$F$61:$F$78)/12)*(1+$C$34)^ROUNDDOWN((AD286-1)/12,0),"-")</f>
        <v>1488.1666666666667</v>
      </c>
      <c r="AJ286" s="132">
        <f t="shared" si="129"/>
        <v>4388.1970128790663</v>
      </c>
      <c r="AK286" s="132">
        <f>IF($AD286&lt;=$C$25*12,'Mortgage Calculators (By Month)'!$J304,"-")</f>
        <v>0</v>
      </c>
      <c r="AL286" s="132">
        <f>IF($AD286&lt;=$C$25*12,'Mortgage Calculators (By Month)'!$K304,"-")</f>
        <v>0</v>
      </c>
      <c r="AM286" s="132">
        <f>IF($AD286&lt;=$C$25*12,'Mortgage Calculators (By Month)'!$L304,"-")</f>
        <v>10</v>
      </c>
      <c r="AN286" s="132">
        <f t="shared" si="139"/>
        <v>0</v>
      </c>
      <c r="AO286" s="132">
        <f t="shared" si="130"/>
        <v>4398.1970128790663</v>
      </c>
      <c r="AP286" s="132">
        <f t="shared" si="131"/>
        <v>21975.715225415475</v>
      </c>
      <c r="AQ286" s="132">
        <f t="shared" si="132"/>
        <v>0</v>
      </c>
      <c r="AR286" s="132">
        <f t="shared" si="113"/>
        <v>21975.715225415475</v>
      </c>
      <c r="AS286" s="132">
        <f>IF($AD286&lt;=$C$25*12,SUM(AR$5:AR286),"-")</f>
        <v>3519041.9454522049</v>
      </c>
      <c r="AT286" s="132">
        <f>IF($AD286&lt;=$C$25*12,AE286-$C$10-'RE Calculations'!$C473-'Mortgage Calculators (By Month)'!$M304,"-")</f>
        <v>3437512.3956602626</v>
      </c>
      <c r="AU286" s="29">
        <f t="shared" si="133"/>
        <v>2.1470670985937543</v>
      </c>
      <c r="AV286" s="31">
        <f t="shared" si="134"/>
        <v>9.1364557386968276E-2</v>
      </c>
      <c r="AW286" s="132">
        <f t="shared" si="135"/>
        <v>6956554.3411124675</v>
      </c>
      <c r="AX286" s="29">
        <f t="shared" si="136"/>
        <v>4.3450574794256855</v>
      </c>
      <c r="AY286" s="31">
        <f t="shared" si="137"/>
        <v>0.18489606295428448</v>
      </c>
    </row>
    <row r="287" spans="6:51" x14ac:dyDescent="0.35">
      <c r="F287" s="12">
        <f t="shared" si="114"/>
        <v>283</v>
      </c>
      <c r="G287" s="132">
        <f t="shared" si="115"/>
        <v>5166923.8391877534</v>
      </c>
      <c r="H287" s="132">
        <f>IF($F287&lt;=$C$16*12,$G287-$C$7+SUM('Mortgage Calculators (By Month)'!$D$23:$D305),"-")</f>
        <v>5166923.8391877534</v>
      </c>
      <c r="I287" s="132">
        <f t="shared" si="116"/>
        <v>26363.912238294542</v>
      </c>
      <c r="J287" s="132">
        <f>IF($F287&lt;=$C$16*12,SUM(Inputs!$C$61:$C$78)*'Forecast (By Month)'!I287,"-")</f>
        <v>2900.0303462123998</v>
      </c>
      <c r="K287" s="132">
        <f>IF($F287&lt;=$C$16*12,(SUMIF(Inputs!$C$61:$C$78,0,Inputs!$F$61:$F$78)/12)*(1+$C$34)^ROUNDDOWN((F287-1)/12,0),"-")</f>
        <v>1488.1666666666667</v>
      </c>
      <c r="L287" s="132">
        <f t="shared" si="117"/>
        <v>4388.1970128790663</v>
      </c>
      <c r="M287" s="132">
        <f>IF($F287&lt;=$C$16*12,'Mortgage Calculators (By Month)'!$C305,"-")</f>
        <v>0</v>
      </c>
      <c r="N287" s="132">
        <f>IF($F287&lt;=$C$16*12,'Mortgage Calculators (By Month)'!$D305,"-")</f>
        <v>0</v>
      </c>
      <c r="O287" s="132">
        <f>IF($F287&lt;=$C$16*12,'Mortgage Calculators (By Month)'!$E305,"-")</f>
        <v>8.3333333333333339</v>
      </c>
      <c r="P287" s="132">
        <f t="shared" si="138"/>
        <v>0</v>
      </c>
      <c r="Q287" s="132">
        <f t="shared" si="118"/>
        <v>4396.5303462123993</v>
      </c>
      <c r="R287" s="132">
        <f t="shared" si="119"/>
        <v>21975.715225415475</v>
      </c>
      <c r="S287" s="132">
        <f t="shared" si="120"/>
        <v>0</v>
      </c>
      <c r="T287" s="132">
        <f t="shared" si="112"/>
        <v>21975.715225415475</v>
      </c>
      <c r="U287" s="132">
        <f>IF($F287&lt;=$C$16*12,SUM(T$5:T287),"-")</f>
        <v>3541027.6606776202</v>
      </c>
      <c r="V287" s="132">
        <f>IF($F287&lt;=$C$16*12,G287-$C$10-'RE Calculations'!$C474-'Mortgage Calculators (By Month)'!$F305,"-")</f>
        <v>3458058.3624039972</v>
      </c>
      <c r="W287" s="29">
        <f t="shared" si="121"/>
        <v>2.1599000906318238</v>
      </c>
      <c r="X287" s="31">
        <f t="shared" si="122"/>
        <v>9.1585869567427161E-2</v>
      </c>
      <c r="Y287" s="132">
        <f t="shared" si="123"/>
        <v>6999086.0230816174</v>
      </c>
      <c r="Z287" s="29">
        <f t="shared" si="124"/>
        <v>4.371622729086778</v>
      </c>
      <c r="AA287" s="31">
        <f t="shared" si="125"/>
        <v>0.1853691616573899</v>
      </c>
      <c r="AD287" s="12">
        <f t="shared" si="126"/>
        <v>283</v>
      </c>
      <c r="AE287" s="132">
        <f t="shared" si="127"/>
        <v>5166923.8391877534</v>
      </c>
      <c r="AF287" s="132">
        <f>IF($AD287&lt;=$C$25*12,$AE287-$C$7+SUM('Mortgage Calculators (By Month)'!$K$23:$K305),"-")</f>
        <v>5166923.8391877534</v>
      </c>
      <c r="AG287" s="132">
        <f t="shared" si="128"/>
        <v>26363.912238294542</v>
      </c>
      <c r="AH287" s="132">
        <f>IF($AD287&lt;=$C$25*12,SUM(Inputs!$C$61:$C$78)*'Forecast (By Month)'!AG287,"-")</f>
        <v>2900.0303462123998</v>
      </c>
      <c r="AI287" s="132">
        <f>IF($AD287&lt;=$C$25*12,(SUMIF(Inputs!$C$61:$C$78,0,Inputs!$F$61:$F$78)/12)*(1+$C$34)^ROUNDDOWN((AD287-1)/12,0),"-")</f>
        <v>1488.1666666666667</v>
      </c>
      <c r="AJ287" s="132">
        <f t="shared" si="129"/>
        <v>4388.1970128790663</v>
      </c>
      <c r="AK287" s="132">
        <f>IF($AD287&lt;=$C$25*12,'Mortgage Calculators (By Month)'!$J305,"-")</f>
        <v>0</v>
      </c>
      <c r="AL287" s="132">
        <f>IF($AD287&lt;=$C$25*12,'Mortgage Calculators (By Month)'!$K305,"-")</f>
        <v>0</v>
      </c>
      <c r="AM287" s="132">
        <f>IF($AD287&lt;=$C$25*12,'Mortgage Calculators (By Month)'!$L305,"-")</f>
        <v>10</v>
      </c>
      <c r="AN287" s="132">
        <f t="shared" si="139"/>
        <v>0</v>
      </c>
      <c r="AO287" s="132">
        <f t="shared" si="130"/>
        <v>4398.1970128790663</v>
      </c>
      <c r="AP287" s="132">
        <f t="shared" si="131"/>
        <v>21975.715225415475</v>
      </c>
      <c r="AQ287" s="132">
        <f t="shared" si="132"/>
        <v>0</v>
      </c>
      <c r="AR287" s="132">
        <f t="shared" si="113"/>
        <v>21975.715225415475</v>
      </c>
      <c r="AS287" s="132">
        <f>IF($AD287&lt;=$C$25*12,SUM(AR$5:AR287),"-")</f>
        <v>3541017.6606776202</v>
      </c>
      <c r="AT287" s="132">
        <f>IF($AD287&lt;=$C$25*12,AE287-$C$10-'RE Calculations'!$C474-'Mortgage Calculators (By Month)'!$M305,"-")</f>
        <v>3458058.3624039972</v>
      </c>
      <c r="AU287" s="29">
        <f t="shared" si="133"/>
        <v>2.1599000906318238</v>
      </c>
      <c r="AV287" s="31">
        <f t="shared" si="134"/>
        <v>9.1585869567427161E-2</v>
      </c>
      <c r="AW287" s="132">
        <f t="shared" si="135"/>
        <v>6999076.0230816174</v>
      </c>
      <c r="AX287" s="29">
        <f t="shared" si="136"/>
        <v>4.3716164830959237</v>
      </c>
      <c r="AY287" s="31">
        <f t="shared" si="137"/>
        <v>0.18536889680972116</v>
      </c>
    </row>
    <row r="288" spans="6:51" x14ac:dyDescent="0.35">
      <c r="F288" s="12">
        <f t="shared" si="114"/>
        <v>284</v>
      </c>
      <c r="G288" s="132">
        <f t="shared" si="115"/>
        <v>5187974.5264892876</v>
      </c>
      <c r="H288" s="132">
        <f>IF($F288&lt;=$C$16*12,$G288-$C$7+SUM('Mortgage Calculators (By Month)'!$D$23:$D306),"-")</f>
        <v>5187974.5264892876</v>
      </c>
      <c r="I288" s="132">
        <f t="shared" si="116"/>
        <v>26363.912238294542</v>
      </c>
      <c r="J288" s="132">
        <f>IF($F288&lt;=$C$16*12,SUM(Inputs!$C$61:$C$78)*'Forecast (By Month)'!I288,"-")</f>
        <v>2900.0303462123998</v>
      </c>
      <c r="K288" s="132">
        <f>IF($F288&lt;=$C$16*12,(SUMIF(Inputs!$C$61:$C$78,0,Inputs!$F$61:$F$78)/12)*(1+$C$34)^ROUNDDOWN((F288-1)/12,0),"-")</f>
        <v>1488.1666666666667</v>
      </c>
      <c r="L288" s="132">
        <f t="shared" si="117"/>
        <v>4388.1970128790663</v>
      </c>
      <c r="M288" s="132">
        <f>IF($F288&lt;=$C$16*12,'Mortgage Calculators (By Month)'!$C306,"-")</f>
        <v>0</v>
      </c>
      <c r="N288" s="132">
        <f>IF($F288&lt;=$C$16*12,'Mortgage Calculators (By Month)'!$D306,"-")</f>
        <v>0</v>
      </c>
      <c r="O288" s="132">
        <f>IF($F288&lt;=$C$16*12,'Mortgage Calculators (By Month)'!$E306,"-")</f>
        <v>8.3333333333333339</v>
      </c>
      <c r="P288" s="132">
        <f t="shared" si="138"/>
        <v>0</v>
      </c>
      <c r="Q288" s="132">
        <f t="shared" si="118"/>
        <v>4396.5303462123993</v>
      </c>
      <c r="R288" s="132">
        <f t="shared" si="119"/>
        <v>21975.715225415475</v>
      </c>
      <c r="S288" s="132">
        <f t="shared" si="120"/>
        <v>0</v>
      </c>
      <c r="T288" s="132">
        <f t="shared" si="112"/>
        <v>21975.715225415475</v>
      </c>
      <c r="U288" s="132">
        <f>IF($F288&lt;=$C$16*12,SUM(T$5:T288),"-")</f>
        <v>3563003.3759030355</v>
      </c>
      <c r="V288" s="132">
        <f>IF($F288&lt;=$C$16*12,G288-$C$10-'RE Calculations'!$C475-'Mortgage Calculators (By Month)'!$F306,"-")</f>
        <v>3478688.0359595008</v>
      </c>
      <c r="W288" s="29">
        <f t="shared" si="121"/>
        <v>2.1727853658679717</v>
      </c>
      <c r="X288" s="31">
        <f t="shared" si="122"/>
        <v>9.1807832360618513E-2</v>
      </c>
      <c r="Y288" s="132">
        <f t="shared" si="123"/>
        <v>7041691.4118625363</v>
      </c>
      <c r="Z288" s="29">
        <f t="shared" si="124"/>
        <v>4.3982340159550937</v>
      </c>
      <c r="AA288" s="31">
        <f t="shared" si="125"/>
        <v>0.18584087391359549</v>
      </c>
      <c r="AD288" s="12">
        <f t="shared" si="126"/>
        <v>284</v>
      </c>
      <c r="AE288" s="132">
        <f t="shared" si="127"/>
        <v>5187974.5264892876</v>
      </c>
      <c r="AF288" s="132">
        <f>IF($AD288&lt;=$C$25*12,$AE288-$C$7+SUM('Mortgage Calculators (By Month)'!$K$23:$K306),"-")</f>
        <v>5187974.5264892876</v>
      </c>
      <c r="AG288" s="132">
        <f t="shared" si="128"/>
        <v>26363.912238294542</v>
      </c>
      <c r="AH288" s="132">
        <f>IF($AD288&lt;=$C$25*12,SUM(Inputs!$C$61:$C$78)*'Forecast (By Month)'!AG288,"-")</f>
        <v>2900.0303462123998</v>
      </c>
      <c r="AI288" s="132">
        <f>IF($AD288&lt;=$C$25*12,(SUMIF(Inputs!$C$61:$C$78,0,Inputs!$F$61:$F$78)/12)*(1+$C$34)^ROUNDDOWN((AD288-1)/12,0),"-")</f>
        <v>1488.1666666666667</v>
      </c>
      <c r="AJ288" s="132">
        <f t="shared" si="129"/>
        <v>4388.1970128790663</v>
      </c>
      <c r="AK288" s="132">
        <f>IF($AD288&lt;=$C$25*12,'Mortgage Calculators (By Month)'!$J306,"-")</f>
        <v>0</v>
      </c>
      <c r="AL288" s="132">
        <f>IF($AD288&lt;=$C$25*12,'Mortgage Calculators (By Month)'!$K306,"-")</f>
        <v>0</v>
      </c>
      <c r="AM288" s="132">
        <f>IF($AD288&lt;=$C$25*12,'Mortgage Calculators (By Month)'!$L306,"-")</f>
        <v>10</v>
      </c>
      <c r="AN288" s="132">
        <f t="shared" si="139"/>
        <v>0</v>
      </c>
      <c r="AO288" s="132">
        <f t="shared" si="130"/>
        <v>4398.1970128790663</v>
      </c>
      <c r="AP288" s="132">
        <f t="shared" si="131"/>
        <v>21975.715225415475</v>
      </c>
      <c r="AQ288" s="132">
        <f t="shared" si="132"/>
        <v>0</v>
      </c>
      <c r="AR288" s="132">
        <f t="shared" si="113"/>
        <v>21975.715225415475</v>
      </c>
      <c r="AS288" s="132">
        <f>IF($AD288&lt;=$C$25*12,SUM(AR$5:AR288),"-")</f>
        <v>3562993.3759030355</v>
      </c>
      <c r="AT288" s="132">
        <f>IF($AD288&lt;=$C$25*12,AE288-$C$10-'RE Calculations'!$C475-'Mortgage Calculators (By Month)'!$M306,"-")</f>
        <v>3478688.0359595008</v>
      </c>
      <c r="AU288" s="29">
        <f t="shared" si="133"/>
        <v>2.1727853658679717</v>
      </c>
      <c r="AV288" s="31">
        <f t="shared" si="134"/>
        <v>9.1807832360618513E-2</v>
      </c>
      <c r="AW288" s="132">
        <f t="shared" si="135"/>
        <v>7041681.4118625363</v>
      </c>
      <c r="AX288" s="29">
        <f t="shared" si="136"/>
        <v>4.3982277699642394</v>
      </c>
      <c r="AY288" s="31">
        <f t="shared" si="137"/>
        <v>0.18584060999848898</v>
      </c>
    </row>
    <row r="289" spans="6:51" x14ac:dyDescent="0.35">
      <c r="F289" s="12">
        <f t="shared" si="114"/>
        <v>285</v>
      </c>
      <c r="G289" s="132">
        <f t="shared" si="115"/>
        <v>5209110.9768966194</v>
      </c>
      <c r="H289" s="132">
        <f>IF($F289&lt;=$C$16*12,$G289-$C$7+SUM('Mortgage Calculators (By Month)'!$D$23:$D307),"-")</f>
        <v>5209110.9768966194</v>
      </c>
      <c r="I289" s="132">
        <f t="shared" si="116"/>
        <v>26363.912238294542</v>
      </c>
      <c r="J289" s="132">
        <f>IF($F289&lt;=$C$16*12,SUM(Inputs!$C$61:$C$78)*'Forecast (By Month)'!I289,"-")</f>
        <v>2900.0303462123998</v>
      </c>
      <c r="K289" s="132">
        <f>IF($F289&lt;=$C$16*12,(SUMIF(Inputs!$C$61:$C$78,0,Inputs!$F$61:$F$78)/12)*(1+$C$34)^ROUNDDOWN((F289-1)/12,0),"-")</f>
        <v>1488.1666666666667</v>
      </c>
      <c r="L289" s="132">
        <f t="shared" si="117"/>
        <v>4388.1970128790663</v>
      </c>
      <c r="M289" s="132">
        <f>IF($F289&lt;=$C$16*12,'Mortgage Calculators (By Month)'!$C307,"-")</f>
        <v>0</v>
      </c>
      <c r="N289" s="132">
        <f>IF($F289&lt;=$C$16*12,'Mortgage Calculators (By Month)'!$D307,"-")</f>
        <v>0</v>
      </c>
      <c r="O289" s="132">
        <f>IF($F289&lt;=$C$16*12,'Mortgage Calculators (By Month)'!$E307,"-")</f>
        <v>8.3333333333333339</v>
      </c>
      <c r="P289" s="132">
        <f t="shared" si="138"/>
        <v>0</v>
      </c>
      <c r="Q289" s="132">
        <f t="shared" si="118"/>
        <v>4396.5303462123993</v>
      </c>
      <c r="R289" s="132">
        <f t="shared" si="119"/>
        <v>21975.715225415475</v>
      </c>
      <c r="S289" s="132">
        <f t="shared" si="120"/>
        <v>0</v>
      </c>
      <c r="T289" s="132">
        <f t="shared" si="112"/>
        <v>21975.715225415475</v>
      </c>
      <c r="U289" s="132">
        <f>IF($F289&lt;=$C$16*12,SUM(T$5:T289),"-")</f>
        <v>3584979.0911284508</v>
      </c>
      <c r="V289" s="132">
        <f>IF($F289&lt;=$C$16*12,G289-$C$10-'RE Calculations'!$C476-'Mortgage Calculators (By Month)'!$F307,"-")</f>
        <v>3499401.7573586856</v>
      </c>
      <c r="W289" s="29">
        <f t="shared" si="121"/>
        <v>2.1857231373104176</v>
      </c>
      <c r="X289" s="31">
        <f t="shared" si="122"/>
        <v>9.2030447886754421E-2</v>
      </c>
      <c r="Y289" s="132">
        <f t="shared" si="123"/>
        <v>7084380.8484871369</v>
      </c>
      <c r="Z289" s="29">
        <f t="shared" si="124"/>
        <v>4.4248977990297087</v>
      </c>
      <c r="AA289" s="31">
        <f t="shared" si="125"/>
        <v>0.1863114862749351</v>
      </c>
      <c r="AD289" s="12">
        <f t="shared" si="126"/>
        <v>285</v>
      </c>
      <c r="AE289" s="132">
        <f t="shared" si="127"/>
        <v>5209110.9768966194</v>
      </c>
      <c r="AF289" s="132">
        <f>IF($AD289&lt;=$C$25*12,$AE289-$C$7+SUM('Mortgage Calculators (By Month)'!$K$23:$K307),"-")</f>
        <v>5209110.9768966194</v>
      </c>
      <c r="AG289" s="132">
        <f t="shared" si="128"/>
        <v>26363.912238294542</v>
      </c>
      <c r="AH289" s="132">
        <f>IF($AD289&lt;=$C$25*12,SUM(Inputs!$C$61:$C$78)*'Forecast (By Month)'!AG289,"-")</f>
        <v>2900.0303462123998</v>
      </c>
      <c r="AI289" s="132">
        <f>IF($AD289&lt;=$C$25*12,(SUMIF(Inputs!$C$61:$C$78,0,Inputs!$F$61:$F$78)/12)*(1+$C$34)^ROUNDDOWN((AD289-1)/12,0),"-")</f>
        <v>1488.1666666666667</v>
      </c>
      <c r="AJ289" s="132">
        <f t="shared" si="129"/>
        <v>4388.1970128790663</v>
      </c>
      <c r="AK289" s="132">
        <f>IF($AD289&lt;=$C$25*12,'Mortgage Calculators (By Month)'!$J307,"-")</f>
        <v>0</v>
      </c>
      <c r="AL289" s="132">
        <f>IF($AD289&lt;=$C$25*12,'Mortgage Calculators (By Month)'!$K307,"-")</f>
        <v>0</v>
      </c>
      <c r="AM289" s="132">
        <f>IF($AD289&lt;=$C$25*12,'Mortgage Calculators (By Month)'!$L307,"-")</f>
        <v>10</v>
      </c>
      <c r="AN289" s="132">
        <f t="shared" si="139"/>
        <v>0</v>
      </c>
      <c r="AO289" s="132">
        <f t="shared" si="130"/>
        <v>4398.1970128790663</v>
      </c>
      <c r="AP289" s="132">
        <f t="shared" si="131"/>
        <v>21975.715225415475</v>
      </c>
      <c r="AQ289" s="132">
        <f t="shared" si="132"/>
        <v>0</v>
      </c>
      <c r="AR289" s="132">
        <f t="shared" si="113"/>
        <v>21975.715225415475</v>
      </c>
      <c r="AS289" s="132">
        <f>IF($AD289&lt;=$C$25*12,SUM(AR$5:AR289),"-")</f>
        <v>3584969.0911284508</v>
      </c>
      <c r="AT289" s="132">
        <f>IF($AD289&lt;=$C$25*12,AE289-$C$10-'RE Calculations'!$C476-'Mortgage Calculators (By Month)'!$M307,"-")</f>
        <v>3499401.7573586856</v>
      </c>
      <c r="AU289" s="29">
        <f t="shared" si="133"/>
        <v>2.1857231373104176</v>
      </c>
      <c r="AV289" s="31">
        <f t="shared" si="134"/>
        <v>9.2030447886754421E-2</v>
      </c>
      <c r="AW289" s="132">
        <f t="shared" si="135"/>
        <v>7084370.8484871369</v>
      </c>
      <c r="AX289" s="29">
        <f t="shared" si="136"/>
        <v>4.4248915530388535</v>
      </c>
      <c r="AY289" s="31">
        <f t="shared" si="137"/>
        <v>0.18631122328584646</v>
      </c>
    </row>
    <row r="290" spans="6:51" x14ac:dyDescent="0.35">
      <c r="F290" s="12">
        <f t="shared" si="114"/>
        <v>286</v>
      </c>
      <c r="G290" s="132">
        <f t="shared" si="115"/>
        <v>5230333.5398192573</v>
      </c>
      <c r="H290" s="132">
        <f>IF($F290&lt;=$C$16*12,$G290-$C$7+SUM('Mortgage Calculators (By Month)'!$D$23:$D308),"-")</f>
        <v>5230333.5398192573</v>
      </c>
      <c r="I290" s="132">
        <f t="shared" si="116"/>
        <v>26363.912238294542</v>
      </c>
      <c r="J290" s="132">
        <f>IF($F290&lt;=$C$16*12,SUM(Inputs!$C$61:$C$78)*'Forecast (By Month)'!I290,"-")</f>
        <v>2900.0303462123998</v>
      </c>
      <c r="K290" s="132">
        <f>IF($F290&lt;=$C$16*12,(SUMIF(Inputs!$C$61:$C$78,0,Inputs!$F$61:$F$78)/12)*(1+$C$34)^ROUNDDOWN((F290-1)/12,0),"-")</f>
        <v>1488.1666666666667</v>
      </c>
      <c r="L290" s="132">
        <f t="shared" si="117"/>
        <v>4388.1970128790663</v>
      </c>
      <c r="M290" s="132">
        <f>IF($F290&lt;=$C$16*12,'Mortgage Calculators (By Month)'!$C308,"-")</f>
        <v>0</v>
      </c>
      <c r="N290" s="132">
        <f>IF($F290&lt;=$C$16*12,'Mortgage Calculators (By Month)'!$D308,"-")</f>
        <v>0</v>
      </c>
      <c r="O290" s="132">
        <f>IF($F290&lt;=$C$16*12,'Mortgage Calculators (By Month)'!$E308,"-")</f>
        <v>8.3333333333333339</v>
      </c>
      <c r="P290" s="132">
        <f t="shared" si="138"/>
        <v>0</v>
      </c>
      <c r="Q290" s="132">
        <f t="shared" si="118"/>
        <v>4396.5303462123993</v>
      </c>
      <c r="R290" s="132">
        <f t="shared" si="119"/>
        <v>21975.715225415475</v>
      </c>
      <c r="S290" s="132">
        <f t="shared" si="120"/>
        <v>0</v>
      </c>
      <c r="T290" s="132">
        <f t="shared" si="112"/>
        <v>21975.715225415475</v>
      </c>
      <c r="U290" s="132">
        <f>IF($F290&lt;=$C$16*12,SUM(T$5:T290),"-")</f>
        <v>3606954.8063538661</v>
      </c>
      <c r="V290" s="132">
        <f>IF($F290&lt;=$C$16*12,G290-$C$10-'RE Calculations'!$C477-'Mortgage Calculators (By Month)'!$F308,"-")</f>
        <v>3520199.8690228709</v>
      </c>
      <c r="W290" s="29">
        <f t="shared" si="121"/>
        <v>2.1987136188352046</v>
      </c>
      <c r="X290" s="31">
        <f t="shared" si="122"/>
        <v>9.225371827280579E-2</v>
      </c>
      <c r="Y290" s="132">
        <f t="shared" si="123"/>
        <v>7127154.6753767375</v>
      </c>
      <c r="Z290" s="29">
        <f t="shared" si="124"/>
        <v>4.4516142921866635</v>
      </c>
      <c r="AA290" s="31">
        <f t="shared" si="125"/>
        <v>0.18678101925258728</v>
      </c>
      <c r="AD290" s="12">
        <f t="shared" si="126"/>
        <v>286</v>
      </c>
      <c r="AE290" s="132">
        <f t="shared" si="127"/>
        <v>5230333.5398192573</v>
      </c>
      <c r="AF290" s="132">
        <f>IF($AD290&lt;=$C$25*12,$AE290-$C$7+SUM('Mortgage Calculators (By Month)'!$K$23:$K308),"-")</f>
        <v>5230333.5398192573</v>
      </c>
      <c r="AG290" s="132">
        <f t="shared" si="128"/>
        <v>26363.912238294542</v>
      </c>
      <c r="AH290" s="132">
        <f>IF($AD290&lt;=$C$25*12,SUM(Inputs!$C$61:$C$78)*'Forecast (By Month)'!AG290,"-")</f>
        <v>2900.0303462123998</v>
      </c>
      <c r="AI290" s="132">
        <f>IF($AD290&lt;=$C$25*12,(SUMIF(Inputs!$C$61:$C$78,0,Inputs!$F$61:$F$78)/12)*(1+$C$34)^ROUNDDOWN((AD290-1)/12,0),"-")</f>
        <v>1488.1666666666667</v>
      </c>
      <c r="AJ290" s="132">
        <f t="shared" si="129"/>
        <v>4388.1970128790663</v>
      </c>
      <c r="AK290" s="132">
        <f>IF($AD290&lt;=$C$25*12,'Mortgage Calculators (By Month)'!$J308,"-")</f>
        <v>0</v>
      </c>
      <c r="AL290" s="132">
        <f>IF($AD290&lt;=$C$25*12,'Mortgage Calculators (By Month)'!$K308,"-")</f>
        <v>0</v>
      </c>
      <c r="AM290" s="132">
        <f>IF($AD290&lt;=$C$25*12,'Mortgage Calculators (By Month)'!$L308,"-")</f>
        <v>10</v>
      </c>
      <c r="AN290" s="132">
        <f t="shared" si="139"/>
        <v>0</v>
      </c>
      <c r="AO290" s="132">
        <f t="shared" si="130"/>
        <v>4398.1970128790663</v>
      </c>
      <c r="AP290" s="132">
        <f t="shared" si="131"/>
        <v>21975.715225415475</v>
      </c>
      <c r="AQ290" s="132">
        <f t="shared" si="132"/>
        <v>0</v>
      </c>
      <c r="AR290" s="132">
        <f t="shared" si="113"/>
        <v>21975.715225415475</v>
      </c>
      <c r="AS290" s="132">
        <f>IF($AD290&lt;=$C$25*12,SUM(AR$5:AR290),"-")</f>
        <v>3606944.8063538661</v>
      </c>
      <c r="AT290" s="132">
        <f>IF($AD290&lt;=$C$25*12,AE290-$C$10-'RE Calculations'!$C477-'Mortgage Calculators (By Month)'!$M308,"-")</f>
        <v>3520199.8690228709</v>
      </c>
      <c r="AU290" s="29">
        <f t="shared" si="133"/>
        <v>2.1987136188352046</v>
      </c>
      <c r="AV290" s="31">
        <f t="shared" si="134"/>
        <v>9.225371827280579E-2</v>
      </c>
      <c r="AW290" s="132">
        <f t="shared" si="135"/>
        <v>7127144.6753767375</v>
      </c>
      <c r="AX290" s="29">
        <f t="shared" si="136"/>
        <v>4.4516080461958092</v>
      </c>
      <c r="AY290" s="31">
        <f t="shared" si="137"/>
        <v>0.18678075718304096</v>
      </c>
    </row>
    <row r="291" spans="6:51" x14ac:dyDescent="0.35">
      <c r="F291" s="12">
        <f t="shared" si="114"/>
        <v>287</v>
      </c>
      <c r="G291" s="132">
        <f t="shared" si="115"/>
        <v>5251642.5660902485</v>
      </c>
      <c r="H291" s="132">
        <f>IF($F291&lt;=$C$16*12,$G291-$C$7+SUM('Mortgage Calculators (By Month)'!$D$23:$D309),"-")</f>
        <v>5251642.5660902485</v>
      </c>
      <c r="I291" s="132">
        <f t="shared" si="116"/>
        <v>26363.912238294542</v>
      </c>
      <c r="J291" s="132">
        <f>IF($F291&lt;=$C$16*12,SUM(Inputs!$C$61:$C$78)*'Forecast (By Month)'!I291,"-")</f>
        <v>2900.0303462123998</v>
      </c>
      <c r="K291" s="132">
        <f>IF($F291&lt;=$C$16*12,(SUMIF(Inputs!$C$61:$C$78,0,Inputs!$F$61:$F$78)/12)*(1+$C$34)^ROUNDDOWN((F291-1)/12,0),"-")</f>
        <v>1488.1666666666667</v>
      </c>
      <c r="L291" s="132">
        <f t="shared" si="117"/>
        <v>4388.1970128790663</v>
      </c>
      <c r="M291" s="132">
        <f>IF($F291&lt;=$C$16*12,'Mortgage Calculators (By Month)'!$C309,"-")</f>
        <v>0</v>
      </c>
      <c r="N291" s="132">
        <f>IF($F291&lt;=$C$16*12,'Mortgage Calculators (By Month)'!$D309,"-")</f>
        <v>0</v>
      </c>
      <c r="O291" s="132">
        <f>IF($F291&lt;=$C$16*12,'Mortgage Calculators (By Month)'!$E309,"-")</f>
        <v>8.3333333333333339</v>
      </c>
      <c r="P291" s="132">
        <f t="shared" si="138"/>
        <v>0</v>
      </c>
      <c r="Q291" s="132">
        <f t="shared" si="118"/>
        <v>4396.5303462123993</v>
      </c>
      <c r="R291" s="132">
        <f t="shared" si="119"/>
        <v>21975.715225415475</v>
      </c>
      <c r="S291" s="132">
        <f t="shared" si="120"/>
        <v>0</v>
      </c>
      <c r="T291" s="132">
        <f t="shared" si="112"/>
        <v>21975.715225415475</v>
      </c>
      <c r="U291" s="132">
        <f>IF($F291&lt;=$C$16*12,SUM(T$5:T291),"-")</f>
        <v>3628930.5215792814</v>
      </c>
      <c r="V291" s="132">
        <f>IF($F291&lt;=$C$16*12,G291-$C$10-'RE Calculations'!$C478-'Mortgage Calculators (By Month)'!$F309,"-")</f>
        <v>3541082.7147684423</v>
      </c>
      <c r="W291" s="29">
        <f t="shared" si="121"/>
        <v>2.2117570251897329</v>
      </c>
      <c r="X291" s="31">
        <f t="shared" si="122"/>
        <v>9.2477645652532386E-2</v>
      </c>
      <c r="Y291" s="132">
        <f t="shared" si="123"/>
        <v>7170013.2363477238</v>
      </c>
      <c r="Z291" s="29">
        <f t="shared" si="124"/>
        <v>4.4783837101733601</v>
      </c>
      <c r="AA291" s="31">
        <f t="shared" si="125"/>
        <v>0.18724949310829381</v>
      </c>
      <c r="AD291" s="12">
        <f t="shared" si="126"/>
        <v>287</v>
      </c>
      <c r="AE291" s="132">
        <f t="shared" si="127"/>
        <v>5251642.5660902485</v>
      </c>
      <c r="AF291" s="132">
        <f>IF($AD291&lt;=$C$25*12,$AE291-$C$7+SUM('Mortgage Calculators (By Month)'!$K$23:$K309),"-")</f>
        <v>5251642.5660902485</v>
      </c>
      <c r="AG291" s="132">
        <f t="shared" si="128"/>
        <v>26363.912238294542</v>
      </c>
      <c r="AH291" s="132">
        <f>IF($AD291&lt;=$C$25*12,SUM(Inputs!$C$61:$C$78)*'Forecast (By Month)'!AG291,"-")</f>
        <v>2900.0303462123998</v>
      </c>
      <c r="AI291" s="132">
        <f>IF($AD291&lt;=$C$25*12,(SUMIF(Inputs!$C$61:$C$78,0,Inputs!$F$61:$F$78)/12)*(1+$C$34)^ROUNDDOWN((AD291-1)/12,0),"-")</f>
        <v>1488.1666666666667</v>
      </c>
      <c r="AJ291" s="132">
        <f t="shared" si="129"/>
        <v>4388.1970128790663</v>
      </c>
      <c r="AK291" s="132">
        <f>IF($AD291&lt;=$C$25*12,'Mortgage Calculators (By Month)'!$J309,"-")</f>
        <v>0</v>
      </c>
      <c r="AL291" s="132">
        <f>IF($AD291&lt;=$C$25*12,'Mortgage Calculators (By Month)'!$K309,"-")</f>
        <v>0</v>
      </c>
      <c r="AM291" s="132">
        <f>IF($AD291&lt;=$C$25*12,'Mortgage Calculators (By Month)'!$L309,"-")</f>
        <v>10</v>
      </c>
      <c r="AN291" s="132">
        <f t="shared" si="139"/>
        <v>0</v>
      </c>
      <c r="AO291" s="132">
        <f t="shared" si="130"/>
        <v>4398.1970128790663</v>
      </c>
      <c r="AP291" s="132">
        <f t="shared" si="131"/>
        <v>21975.715225415475</v>
      </c>
      <c r="AQ291" s="132">
        <f t="shared" si="132"/>
        <v>0</v>
      </c>
      <c r="AR291" s="132">
        <f t="shared" si="113"/>
        <v>21975.715225415475</v>
      </c>
      <c r="AS291" s="132">
        <f>IF($AD291&lt;=$C$25*12,SUM(AR$5:AR291),"-")</f>
        <v>3628920.5215792814</v>
      </c>
      <c r="AT291" s="132">
        <f>IF($AD291&lt;=$C$25*12,AE291-$C$10-'RE Calculations'!$C478-'Mortgage Calculators (By Month)'!$M309,"-")</f>
        <v>3541082.7147684423</v>
      </c>
      <c r="AU291" s="29">
        <f t="shared" si="133"/>
        <v>2.2117570251897329</v>
      </c>
      <c r="AV291" s="31">
        <f t="shared" si="134"/>
        <v>9.2477645652532386E-2</v>
      </c>
      <c r="AW291" s="132">
        <f t="shared" si="135"/>
        <v>7170003.2363477238</v>
      </c>
      <c r="AX291" s="29">
        <f t="shared" si="136"/>
        <v>4.4783774641825049</v>
      </c>
      <c r="AY291" s="31">
        <f t="shared" si="137"/>
        <v>0.18724923195188173</v>
      </c>
    </row>
    <row r="292" spans="6:51" x14ac:dyDescent="0.35">
      <c r="F292" s="12">
        <f t="shared" si="114"/>
        <v>288</v>
      </c>
      <c r="G292" s="132">
        <f t="shared" si="115"/>
        <v>5273038.4079719773</v>
      </c>
      <c r="H292" s="132">
        <f>IF($F292&lt;=$C$16*12,$G292-$C$7+SUM('Mortgage Calculators (By Month)'!$D$23:$D310),"-")</f>
        <v>5273038.4079719773</v>
      </c>
      <c r="I292" s="132">
        <f t="shared" si="116"/>
        <v>26363.912238294542</v>
      </c>
      <c r="J292" s="132">
        <f>IF($F292&lt;=$C$16*12,SUM(Inputs!$C$61:$C$78)*'Forecast (By Month)'!I292,"-")</f>
        <v>2900.0303462123998</v>
      </c>
      <c r="K292" s="132">
        <f>IF($F292&lt;=$C$16*12,(SUMIF(Inputs!$C$61:$C$78,0,Inputs!$F$61:$F$78)/12)*(1+$C$34)^ROUNDDOWN((F292-1)/12,0),"-")</f>
        <v>1488.1666666666667</v>
      </c>
      <c r="L292" s="132">
        <f t="shared" si="117"/>
        <v>4388.1970128790663</v>
      </c>
      <c r="M292" s="132">
        <f>IF($F292&lt;=$C$16*12,'Mortgage Calculators (By Month)'!$C310,"-")</f>
        <v>0</v>
      </c>
      <c r="N292" s="132">
        <f>IF($F292&lt;=$C$16*12,'Mortgage Calculators (By Month)'!$D310,"-")</f>
        <v>0</v>
      </c>
      <c r="O292" s="132">
        <f>IF($F292&lt;=$C$16*12,'Mortgage Calculators (By Month)'!$E310,"-")</f>
        <v>8.3333333333333339</v>
      </c>
      <c r="P292" s="132">
        <f t="shared" si="138"/>
        <v>0</v>
      </c>
      <c r="Q292" s="132">
        <f t="shared" si="118"/>
        <v>4396.5303462123993</v>
      </c>
      <c r="R292" s="132">
        <f t="shared" si="119"/>
        <v>21975.715225415475</v>
      </c>
      <c r="S292" s="132">
        <f t="shared" si="120"/>
        <v>0</v>
      </c>
      <c r="T292" s="132">
        <f t="shared" si="112"/>
        <v>21975.715225415475</v>
      </c>
      <c r="U292" s="132">
        <f>IF($F292&lt;=$C$16*12,SUM(T$5:T292),"-")</f>
        <v>3650906.2368046967</v>
      </c>
      <c r="V292" s="132">
        <f>IF($F292&lt;=$C$16*12,G292-$C$10-'RE Calculations'!$C479-'Mortgage Calculators (By Month)'!$F310,"-")</f>
        <v>3562050.6398125365</v>
      </c>
      <c r="W292" s="29">
        <f t="shared" si="121"/>
        <v>2.2248535719963103</v>
      </c>
      <c r="X292" s="31">
        <f t="shared" si="122"/>
        <v>9.2702232166512924E-2</v>
      </c>
      <c r="Y292" s="132">
        <f t="shared" si="123"/>
        <v>7212956.8766172333</v>
      </c>
      <c r="Z292" s="29">
        <f t="shared" si="124"/>
        <v>4.5052062686121053</v>
      </c>
      <c r="AA292" s="31">
        <f t="shared" si="125"/>
        <v>0.18771692785883773</v>
      </c>
      <c r="AD292" s="12">
        <f t="shared" si="126"/>
        <v>288</v>
      </c>
      <c r="AE292" s="132">
        <f t="shared" si="127"/>
        <v>5273038.4079719773</v>
      </c>
      <c r="AF292" s="132">
        <f>IF($AD292&lt;=$C$25*12,$AE292-$C$7+SUM('Mortgage Calculators (By Month)'!$K$23:$K310),"-")</f>
        <v>5273038.4079719773</v>
      </c>
      <c r="AG292" s="132">
        <f t="shared" si="128"/>
        <v>26363.912238294542</v>
      </c>
      <c r="AH292" s="132">
        <f>IF($AD292&lt;=$C$25*12,SUM(Inputs!$C$61:$C$78)*'Forecast (By Month)'!AG292,"-")</f>
        <v>2900.0303462123998</v>
      </c>
      <c r="AI292" s="132">
        <f>IF($AD292&lt;=$C$25*12,(SUMIF(Inputs!$C$61:$C$78,0,Inputs!$F$61:$F$78)/12)*(1+$C$34)^ROUNDDOWN((AD292-1)/12,0),"-")</f>
        <v>1488.1666666666667</v>
      </c>
      <c r="AJ292" s="132">
        <f t="shared" si="129"/>
        <v>4388.1970128790663</v>
      </c>
      <c r="AK292" s="132">
        <f>IF($AD292&lt;=$C$25*12,'Mortgage Calculators (By Month)'!$J310,"-")</f>
        <v>0</v>
      </c>
      <c r="AL292" s="132">
        <f>IF($AD292&lt;=$C$25*12,'Mortgage Calculators (By Month)'!$K310,"-")</f>
        <v>0</v>
      </c>
      <c r="AM292" s="132">
        <f>IF($AD292&lt;=$C$25*12,'Mortgage Calculators (By Month)'!$L310,"-")</f>
        <v>10</v>
      </c>
      <c r="AN292" s="132">
        <f t="shared" si="139"/>
        <v>0</v>
      </c>
      <c r="AO292" s="132">
        <f t="shared" si="130"/>
        <v>4398.1970128790663</v>
      </c>
      <c r="AP292" s="132">
        <f t="shared" si="131"/>
        <v>21975.715225415475</v>
      </c>
      <c r="AQ292" s="132">
        <f t="shared" si="132"/>
        <v>0</v>
      </c>
      <c r="AR292" s="132">
        <f t="shared" si="113"/>
        <v>21975.715225415475</v>
      </c>
      <c r="AS292" s="132">
        <f>IF($AD292&lt;=$C$25*12,SUM(AR$5:AR292),"-")</f>
        <v>3650896.2368046967</v>
      </c>
      <c r="AT292" s="132">
        <f>IF($AD292&lt;=$C$25*12,AE292-$C$10-'RE Calculations'!$C479-'Mortgage Calculators (By Month)'!$M310,"-")</f>
        <v>3562050.6398125365</v>
      </c>
      <c r="AU292" s="29">
        <f t="shared" si="133"/>
        <v>2.2248535719963103</v>
      </c>
      <c r="AV292" s="31">
        <f t="shared" si="134"/>
        <v>9.2702232166512924E-2</v>
      </c>
      <c r="AW292" s="132">
        <f t="shared" si="135"/>
        <v>7212946.8766172333</v>
      </c>
      <c r="AX292" s="29">
        <f t="shared" si="136"/>
        <v>4.505200022621251</v>
      </c>
      <c r="AY292" s="31">
        <f t="shared" si="137"/>
        <v>0.18771666760921879</v>
      </c>
    </row>
    <row r="293" spans="6:51" x14ac:dyDescent="0.35">
      <c r="F293" s="12">
        <f t="shared" si="114"/>
        <v>289</v>
      </c>
      <c r="G293" s="132">
        <f t="shared" si="115"/>
        <v>5294521.4191619875</v>
      </c>
      <c r="H293" s="132">
        <f>IF($F293&lt;=$C$16*12,$G293-$C$7+SUM('Mortgage Calculators (By Month)'!$D$23:$D311),"-")</f>
        <v>5294521.4191619875</v>
      </c>
      <c r="I293" s="132">
        <f t="shared" si="116"/>
        <v>27682.107850209268</v>
      </c>
      <c r="J293" s="132">
        <f>IF($F293&lt;=$C$16*12,SUM(Inputs!$C$61:$C$78)*'Forecast (By Month)'!I293,"-")</f>
        <v>3045.0318635230196</v>
      </c>
      <c r="K293" s="132">
        <f>IF($F293&lt;=$C$16*12,(SUMIF(Inputs!$C$61:$C$78,0,Inputs!$F$61:$F$78)/12)*(1+$C$34)^ROUNDDOWN((F293-1)/12,0),"-")</f>
        <v>1488.1666666666667</v>
      </c>
      <c r="L293" s="132">
        <f t="shared" si="117"/>
        <v>4533.1985301896866</v>
      </c>
      <c r="M293" s="132">
        <f>IF($F293&lt;=$C$16*12,'Mortgage Calculators (By Month)'!$C311,"-")</f>
        <v>0</v>
      </c>
      <c r="N293" s="132">
        <f>IF($F293&lt;=$C$16*12,'Mortgage Calculators (By Month)'!$D311,"-")</f>
        <v>0</v>
      </c>
      <c r="O293" s="132">
        <f>IF($F293&lt;=$C$16*12,'Mortgage Calculators (By Month)'!$E311,"-")</f>
        <v>8.3333333333333339</v>
      </c>
      <c r="P293" s="132">
        <f t="shared" si="138"/>
        <v>0</v>
      </c>
      <c r="Q293" s="132">
        <f t="shared" si="118"/>
        <v>4541.5318635230196</v>
      </c>
      <c r="R293" s="132">
        <f t="shared" si="119"/>
        <v>23148.909320019582</v>
      </c>
      <c r="S293" s="132">
        <f t="shared" si="120"/>
        <v>0</v>
      </c>
      <c r="T293" s="132">
        <f t="shared" si="112"/>
        <v>23148.909320019582</v>
      </c>
      <c r="U293" s="132">
        <f>IF($F293&lt;=$C$16*12,SUM(T$5:T293),"-")</f>
        <v>3674055.1461247164</v>
      </c>
      <c r="V293" s="132">
        <f>IF($F293&lt;=$C$16*12,G293-$C$10-'RE Calculations'!$C480-'Mortgage Calculators (By Month)'!$F311,"-")</f>
        <v>3583103.9907787465</v>
      </c>
      <c r="W293" s="29">
        <f t="shared" si="121"/>
        <v>2.2380034757557157</v>
      </c>
      <c r="X293" s="31">
        <f t="shared" si="122"/>
        <v>9.2927479962175055E-2</v>
      </c>
      <c r="Y293" s="132">
        <f t="shared" si="123"/>
        <v>7257159.1369034629</v>
      </c>
      <c r="Z293" s="29">
        <f t="shared" si="124"/>
        <v>4.5328149599622387</v>
      </c>
      <c r="AA293" s="31">
        <f t="shared" si="125"/>
        <v>0.18821376996382999</v>
      </c>
      <c r="AD293" s="12">
        <f t="shared" si="126"/>
        <v>289</v>
      </c>
      <c r="AE293" s="132">
        <f t="shared" si="127"/>
        <v>5294521.4191619875</v>
      </c>
      <c r="AF293" s="132">
        <f>IF($AD293&lt;=$C$25*12,$AE293-$C$7+SUM('Mortgage Calculators (By Month)'!$K$23:$K311),"-")</f>
        <v>5294521.4191619875</v>
      </c>
      <c r="AG293" s="132">
        <f t="shared" si="128"/>
        <v>27682.107850209268</v>
      </c>
      <c r="AH293" s="132">
        <f>IF($AD293&lt;=$C$25*12,SUM(Inputs!$C$61:$C$78)*'Forecast (By Month)'!AG293,"-")</f>
        <v>3045.0318635230196</v>
      </c>
      <c r="AI293" s="132">
        <f>IF($AD293&lt;=$C$25*12,(SUMIF(Inputs!$C$61:$C$78,0,Inputs!$F$61:$F$78)/12)*(1+$C$34)^ROUNDDOWN((AD293-1)/12,0),"-")</f>
        <v>1488.1666666666667</v>
      </c>
      <c r="AJ293" s="132">
        <f t="shared" si="129"/>
        <v>4533.1985301896866</v>
      </c>
      <c r="AK293" s="132">
        <f>IF($AD293&lt;=$C$25*12,'Mortgage Calculators (By Month)'!$J311,"-")</f>
        <v>0</v>
      </c>
      <c r="AL293" s="132">
        <f>IF($AD293&lt;=$C$25*12,'Mortgage Calculators (By Month)'!$K311,"-")</f>
        <v>0</v>
      </c>
      <c r="AM293" s="132">
        <f>IF($AD293&lt;=$C$25*12,'Mortgage Calculators (By Month)'!$L311,"-")</f>
        <v>10</v>
      </c>
      <c r="AN293" s="132">
        <f t="shared" si="139"/>
        <v>0</v>
      </c>
      <c r="AO293" s="132">
        <f t="shared" si="130"/>
        <v>4543.1985301896866</v>
      </c>
      <c r="AP293" s="132">
        <f t="shared" si="131"/>
        <v>23148.909320019582</v>
      </c>
      <c r="AQ293" s="132">
        <f t="shared" si="132"/>
        <v>0</v>
      </c>
      <c r="AR293" s="132">
        <f t="shared" si="113"/>
        <v>23148.909320019582</v>
      </c>
      <c r="AS293" s="132">
        <f>IF($AD293&lt;=$C$25*12,SUM(AR$5:AR293),"-")</f>
        <v>3674045.1461247164</v>
      </c>
      <c r="AT293" s="132">
        <f>IF($AD293&lt;=$C$25*12,AE293-$C$10-'RE Calculations'!$C480-'Mortgage Calculators (By Month)'!$M311,"-")</f>
        <v>3583103.9907787465</v>
      </c>
      <c r="AU293" s="29">
        <f t="shared" si="133"/>
        <v>2.2380034757557157</v>
      </c>
      <c r="AV293" s="31">
        <f t="shared" si="134"/>
        <v>9.2927479962175055E-2</v>
      </c>
      <c r="AW293" s="132">
        <f t="shared" si="135"/>
        <v>7257149.1369034629</v>
      </c>
      <c r="AX293" s="29">
        <f t="shared" si="136"/>
        <v>4.5328087139713835</v>
      </c>
      <c r="AY293" s="31">
        <f t="shared" si="137"/>
        <v>0.18821351061472874</v>
      </c>
    </row>
    <row r="294" spans="6:51" x14ac:dyDescent="0.35">
      <c r="F294" s="12">
        <f t="shared" si="114"/>
        <v>290</v>
      </c>
      <c r="G294" s="132">
        <f t="shared" si="115"/>
        <v>5316091.9547988307</v>
      </c>
      <c r="H294" s="132">
        <f>IF($F294&lt;=$C$16*12,$G294-$C$7+SUM('Mortgage Calculators (By Month)'!$D$23:$D312),"-")</f>
        <v>5316091.9547988307</v>
      </c>
      <c r="I294" s="132">
        <f t="shared" si="116"/>
        <v>27682.107850209268</v>
      </c>
      <c r="J294" s="132">
        <f>IF($F294&lt;=$C$16*12,SUM(Inputs!$C$61:$C$78)*'Forecast (By Month)'!I294,"-")</f>
        <v>3045.0318635230196</v>
      </c>
      <c r="K294" s="132">
        <f>IF($F294&lt;=$C$16*12,(SUMIF(Inputs!$C$61:$C$78,0,Inputs!$F$61:$F$78)/12)*(1+$C$34)^ROUNDDOWN((F294-1)/12,0),"-")</f>
        <v>1488.1666666666667</v>
      </c>
      <c r="L294" s="132">
        <f t="shared" si="117"/>
        <v>4533.1985301896866</v>
      </c>
      <c r="M294" s="132">
        <f>IF($F294&lt;=$C$16*12,'Mortgage Calculators (By Month)'!$C312,"-")</f>
        <v>0</v>
      </c>
      <c r="N294" s="132">
        <f>IF($F294&lt;=$C$16*12,'Mortgage Calculators (By Month)'!$D312,"-")</f>
        <v>0</v>
      </c>
      <c r="O294" s="132">
        <f>IF($F294&lt;=$C$16*12,'Mortgage Calculators (By Month)'!$E312,"-")</f>
        <v>8.3333333333333339</v>
      </c>
      <c r="P294" s="132">
        <f t="shared" si="138"/>
        <v>0</v>
      </c>
      <c r="Q294" s="132">
        <f t="shared" si="118"/>
        <v>4541.5318635230196</v>
      </c>
      <c r="R294" s="132">
        <f t="shared" si="119"/>
        <v>23148.909320019582</v>
      </c>
      <c r="S294" s="132">
        <f t="shared" si="120"/>
        <v>0</v>
      </c>
      <c r="T294" s="132">
        <f t="shared" si="112"/>
        <v>23148.909320019582</v>
      </c>
      <c r="U294" s="132">
        <f>IF($F294&lt;=$C$16*12,SUM(T$5:T294),"-")</f>
        <v>3697204.055444736</v>
      </c>
      <c r="V294" s="132">
        <f>IF($F294&lt;=$C$16*12,G294-$C$10-'RE Calculations'!$C481-'Mortgage Calculators (By Month)'!$F312,"-")</f>
        <v>3604243.1157028526</v>
      </c>
      <c r="W294" s="29">
        <f t="shared" si="121"/>
        <v>2.25120695385078</v>
      </c>
      <c r="X294" s="31">
        <f t="shared" si="122"/>
        <v>9.3153391193825374E-2</v>
      </c>
      <c r="Y294" s="132">
        <f t="shared" si="123"/>
        <v>7301447.1711475886</v>
      </c>
      <c r="Z294" s="29">
        <f t="shared" si="124"/>
        <v>4.5604772256480297</v>
      </c>
      <c r="AA294" s="31">
        <f t="shared" si="125"/>
        <v>0.1887094024406081</v>
      </c>
      <c r="AD294" s="12">
        <f t="shared" si="126"/>
        <v>290</v>
      </c>
      <c r="AE294" s="132">
        <f t="shared" si="127"/>
        <v>5316091.9547988307</v>
      </c>
      <c r="AF294" s="132">
        <f>IF($AD294&lt;=$C$25*12,$AE294-$C$7+SUM('Mortgage Calculators (By Month)'!$K$23:$K312),"-")</f>
        <v>5316091.9547988307</v>
      </c>
      <c r="AG294" s="132">
        <f t="shared" si="128"/>
        <v>27682.107850209268</v>
      </c>
      <c r="AH294" s="132">
        <f>IF($AD294&lt;=$C$25*12,SUM(Inputs!$C$61:$C$78)*'Forecast (By Month)'!AG294,"-")</f>
        <v>3045.0318635230196</v>
      </c>
      <c r="AI294" s="132">
        <f>IF($AD294&lt;=$C$25*12,(SUMIF(Inputs!$C$61:$C$78,0,Inputs!$F$61:$F$78)/12)*(1+$C$34)^ROUNDDOWN((AD294-1)/12,0),"-")</f>
        <v>1488.1666666666667</v>
      </c>
      <c r="AJ294" s="132">
        <f t="shared" si="129"/>
        <v>4533.1985301896866</v>
      </c>
      <c r="AK294" s="132">
        <f>IF($AD294&lt;=$C$25*12,'Mortgage Calculators (By Month)'!$J312,"-")</f>
        <v>0</v>
      </c>
      <c r="AL294" s="132">
        <f>IF($AD294&lt;=$C$25*12,'Mortgage Calculators (By Month)'!$K312,"-")</f>
        <v>0</v>
      </c>
      <c r="AM294" s="132">
        <f>IF($AD294&lt;=$C$25*12,'Mortgage Calculators (By Month)'!$L312,"-")</f>
        <v>10</v>
      </c>
      <c r="AN294" s="132">
        <f t="shared" si="139"/>
        <v>0</v>
      </c>
      <c r="AO294" s="132">
        <f t="shared" si="130"/>
        <v>4543.1985301896866</v>
      </c>
      <c r="AP294" s="132">
        <f t="shared" si="131"/>
        <v>23148.909320019582</v>
      </c>
      <c r="AQ294" s="132">
        <f t="shared" si="132"/>
        <v>0</v>
      </c>
      <c r="AR294" s="132">
        <f t="shared" si="113"/>
        <v>23148.909320019582</v>
      </c>
      <c r="AS294" s="132">
        <f>IF($AD294&lt;=$C$25*12,SUM(AR$5:AR294),"-")</f>
        <v>3697194.055444736</v>
      </c>
      <c r="AT294" s="132">
        <f>IF($AD294&lt;=$C$25*12,AE294-$C$10-'RE Calculations'!$C481-'Mortgage Calculators (By Month)'!$M312,"-")</f>
        <v>3604243.1157028526</v>
      </c>
      <c r="AU294" s="29">
        <f t="shared" si="133"/>
        <v>2.25120695385078</v>
      </c>
      <c r="AV294" s="31">
        <f t="shared" si="134"/>
        <v>9.3153391193825374E-2</v>
      </c>
      <c r="AW294" s="132">
        <f t="shared" si="135"/>
        <v>7301437.1711475886</v>
      </c>
      <c r="AX294" s="29">
        <f t="shared" si="136"/>
        <v>4.5604709796571754</v>
      </c>
      <c r="AY294" s="31">
        <f t="shared" si="137"/>
        <v>0.18870914398581415</v>
      </c>
    </row>
    <row r="295" spans="6:51" x14ac:dyDescent="0.35">
      <c r="F295" s="12">
        <f t="shared" si="114"/>
        <v>291</v>
      </c>
      <c r="G295" s="132">
        <f t="shared" si="115"/>
        <v>5337750.3714679386</v>
      </c>
      <c r="H295" s="132">
        <f>IF($F295&lt;=$C$16*12,$G295-$C$7+SUM('Mortgage Calculators (By Month)'!$D$23:$D313),"-")</f>
        <v>5337750.3714679386</v>
      </c>
      <c r="I295" s="132">
        <f t="shared" si="116"/>
        <v>27682.107850209268</v>
      </c>
      <c r="J295" s="132">
        <f>IF($F295&lt;=$C$16*12,SUM(Inputs!$C$61:$C$78)*'Forecast (By Month)'!I295,"-")</f>
        <v>3045.0318635230196</v>
      </c>
      <c r="K295" s="132">
        <f>IF($F295&lt;=$C$16*12,(SUMIF(Inputs!$C$61:$C$78,0,Inputs!$F$61:$F$78)/12)*(1+$C$34)^ROUNDDOWN((F295-1)/12,0),"-")</f>
        <v>1488.1666666666667</v>
      </c>
      <c r="L295" s="132">
        <f t="shared" si="117"/>
        <v>4533.1985301896866</v>
      </c>
      <c r="M295" s="132">
        <f>IF($F295&lt;=$C$16*12,'Mortgage Calculators (By Month)'!$C313,"-")</f>
        <v>0</v>
      </c>
      <c r="N295" s="132">
        <f>IF($F295&lt;=$C$16*12,'Mortgage Calculators (By Month)'!$D313,"-")</f>
        <v>0</v>
      </c>
      <c r="O295" s="132">
        <f>IF($F295&lt;=$C$16*12,'Mortgage Calculators (By Month)'!$E313,"-")</f>
        <v>8.3333333333333339</v>
      </c>
      <c r="P295" s="132">
        <f t="shared" si="138"/>
        <v>0</v>
      </c>
      <c r="Q295" s="132">
        <f t="shared" si="118"/>
        <v>4541.5318635230196</v>
      </c>
      <c r="R295" s="132">
        <f t="shared" si="119"/>
        <v>23148.909320019582</v>
      </c>
      <c r="S295" s="132">
        <f t="shared" si="120"/>
        <v>0</v>
      </c>
      <c r="T295" s="132">
        <f t="shared" si="112"/>
        <v>23148.909320019582</v>
      </c>
      <c r="U295" s="132">
        <f>IF($F295&lt;=$C$16*12,SUM(T$5:T295),"-")</f>
        <v>3720352.9647647557</v>
      </c>
      <c r="V295" s="132">
        <f>IF($F295&lt;=$C$16*12,G295-$C$10-'RE Calculations'!$C482-'Mortgage Calculators (By Month)'!$F313,"-")</f>
        <v>3625468.3640385787</v>
      </c>
      <c r="W295" s="29">
        <f t="shared" si="121"/>
        <v>2.2644642245499789</v>
      </c>
      <c r="X295" s="31">
        <f t="shared" si="122"/>
        <v>9.3379968022679546E-2</v>
      </c>
      <c r="Y295" s="132">
        <f t="shared" si="123"/>
        <v>7345821.3288033344</v>
      </c>
      <c r="Z295" s="29">
        <f t="shared" si="124"/>
        <v>4.5881932839379562</v>
      </c>
      <c r="AA295" s="31">
        <f t="shared" si="125"/>
        <v>0.18920384676032809</v>
      </c>
      <c r="AD295" s="12">
        <f t="shared" si="126"/>
        <v>291</v>
      </c>
      <c r="AE295" s="132">
        <f t="shared" si="127"/>
        <v>5337750.3714679386</v>
      </c>
      <c r="AF295" s="132">
        <f>IF($AD295&lt;=$C$25*12,$AE295-$C$7+SUM('Mortgage Calculators (By Month)'!$K$23:$K313),"-")</f>
        <v>5337750.3714679386</v>
      </c>
      <c r="AG295" s="132">
        <f t="shared" si="128"/>
        <v>27682.107850209268</v>
      </c>
      <c r="AH295" s="132">
        <f>IF($AD295&lt;=$C$25*12,SUM(Inputs!$C$61:$C$78)*'Forecast (By Month)'!AG295,"-")</f>
        <v>3045.0318635230196</v>
      </c>
      <c r="AI295" s="132">
        <f>IF($AD295&lt;=$C$25*12,(SUMIF(Inputs!$C$61:$C$78,0,Inputs!$F$61:$F$78)/12)*(1+$C$34)^ROUNDDOWN((AD295-1)/12,0),"-")</f>
        <v>1488.1666666666667</v>
      </c>
      <c r="AJ295" s="132">
        <f t="shared" si="129"/>
        <v>4533.1985301896866</v>
      </c>
      <c r="AK295" s="132">
        <f>IF($AD295&lt;=$C$25*12,'Mortgage Calculators (By Month)'!$J313,"-")</f>
        <v>0</v>
      </c>
      <c r="AL295" s="132">
        <f>IF($AD295&lt;=$C$25*12,'Mortgage Calculators (By Month)'!$K313,"-")</f>
        <v>0</v>
      </c>
      <c r="AM295" s="132">
        <f>IF($AD295&lt;=$C$25*12,'Mortgage Calculators (By Month)'!$L313,"-")</f>
        <v>10</v>
      </c>
      <c r="AN295" s="132">
        <f t="shared" si="139"/>
        <v>0</v>
      </c>
      <c r="AO295" s="132">
        <f t="shared" si="130"/>
        <v>4543.1985301896866</v>
      </c>
      <c r="AP295" s="132">
        <f t="shared" si="131"/>
        <v>23148.909320019582</v>
      </c>
      <c r="AQ295" s="132">
        <f t="shared" si="132"/>
        <v>0</v>
      </c>
      <c r="AR295" s="132">
        <f t="shared" si="113"/>
        <v>23148.909320019582</v>
      </c>
      <c r="AS295" s="132">
        <f>IF($AD295&lt;=$C$25*12,SUM(AR$5:AR295),"-")</f>
        <v>3720342.9647647557</v>
      </c>
      <c r="AT295" s="132">
        <f>IF($AD295&lt;=$C$25*12,AE295-$C$10-'RE Calculations'!$C482-'Mortgage Calculators (By Month)'!$M313,"-")</f>
        <v>3625468.3640385787</v>
      </c>
      <c r="AU295" s="29">
        <f t="shared" si="133"/>
        <v>2.2644642245499789</v>
      </c>
      <c r="AV295" s="31">
        <f t="shared" si="134"/>
        <v>9.3379968022679546E-2</v>
      </c>
      <c r="AW295" s="132">
        <f t="shared" si="135"/>
        <v>7345811.3288033344</v>
      </c>
      <c r="AX295" s="29">
        <f t="shared" si="136"/>
        <v>4.5881870379471019</v>
      </c>
      <c r="AY295" s="31">
        <f t="shared" si="137"/>
        <v>0.18920358919369493</v>
      </c>
    </row>
    <row r="296" spans="6:51" x14ac:dyDescent="0.35">
      <c r="F296" s="12">
        <f t="shared" si="114"/>
        <v>292</v>
      </c>
      <c r="G296" s="132">
        <f t="shared" si="115"/>
        <v>5359497.0272075143</v>
      </c>
      <c r="H296" s="132">
        <f>IF($F296&lt;=$C$16*12,$G296-$C$7+SUM('Mortgage Calculators (By Month)'!$D$23:$D314),"-")</f>
        <v>5359497.0272075143</v>
      </c>
      <c r="I296" s="132">
        <f t="shared" si="116"/>
        <v>27682.107850209268</v>
      </c>
      <c r="J296" s="132">
        <f>IF($F296&lt;=$C$16*12,SUM(Inputs!$C$61:$C$78)*'Forecast (By Month)'!I296,"-")</f>
        <v>3045.0318635230196</v>
      </c>
      <c r="K296" s="132">
        <f>IF($F296&lt;=$C$16*12,(SUMIF(Inputs!$C$61:$C$78,0,Inputs!$F$61:$F$78)/12)*(1+$C$34)^ROUNDDOWN((F296-1)/12,0),"-")</f>
        <v>1488.1666666666667</v>
      </c>
      <c r="L296" s="132">
        <f t="shared" si="117"/>
        <v>4533.1985301896866</v>
      </c>
      <c r="M296" s="132">
        <f>IF($F296&lt;=$C$16*12,'Mortgage Calculators (By Month)'!$C314,"-")</f>
        <v>0</v>
      </c>
      <c r="N296" s="132">
        <f>IF($F296&lt;=$C$16*12,'Mortgage Calculators (By Month)'!$D314,"-")</f>
        <v>0</v>
      </c>
      <c r="O296" s="132">
        <f>IF($F296&lt;=$C$16*12,'Mortgage Calculators (By Month)'!$E314,"-")</f>
        <v>8.3333333333333339</v>
      </c>
      <c r="P296" s="132">
        <f t="shared" si="138"/>
        <v>0</v>
      </c>
      <c r="Q296" s="132">
        <f t="shared" si="118"/>
        <v>4541.5318635230196</v>
      </c>
      <c r="R296" s="132">
        <f t="shared" si="119"/>
        <v>23148.909320019582</v>
      </c>
      <c r="S296" s="132">
        <f t="shared" si="120"/>
        <v>0</v>
      </c>
      <c r="T296" s="132">
        <f t="shared" si="112"/>
        <v>23148.909320019582</v>
      </c>
      <c r="U296" s="132">
        <f>IF($F296&lt;=$C$16*12,SUM(T$5:T296),"-")</f>
        <v>3743501.8740847753</v>
      </c>
      <c r="V296" s="132">
        <f>IF($F296&lt;=$C$16*12,G296-$C$10-'RE Calculations'!$C483-'Mortgage Calculators (By Month)'!$F314,"-")</f>
        <v>3646780.0866633626</v>
      </c>
      <c r="W296" s="29">
        <f t="shared" si="121"/>
        <v>2.277775507011039</v>
      </c>
      <c r="X296" s="31">
        <f t="shared" si="122"/>
        <v>9.3607212616892019E-2</v>
      </c>
      <c r="Y296" s="132">
        <f t="shared" si="123"/>
        <v>7390281.9607481379</v>
      </c>
      <c r="Z296" s="29">
        <f t="shared" si="124"/>
        <v>4.615963353989744</v>
      </c>
      <c r="AA296" s="31">
        <f t="shared" si="125"/>
        <v>0.18969712413656484</v>
      </c>
      <c r="AD296" s="12">
        <f t="shared" si="126"/>
        <v>292</v>
      </c>
      <c r="AE296" s="132">
        <f t="shared" si="127"/>
        <v>5359497.0272075143</v>
      </c>
      <c r="AF296" s="132">
        <f>IF($AD296&lt;=$C$25*12,$AE296-$C$7+SUM('Mortgage Calculators (By Month)'!$K$23:$K314),"-")</f>
        <v>5359497.0272075143</v>
      </c>
      <c r="AG296" s="132">
        <f t="shared" si="128"/>
        <v>27682.107850209268</v>
      </c>
      <c r="AH296" s="132">
        <f>IF($AD296&lt;=$C$25*12,SUM(Inputs!$C$61:$C$78)*'Forecast (By Month)'!AG296,"-")</f>
        <v>3045.0318635230196</v>
      </c>
      <c r="AI296" s="132">
        <f>IF($AD296&lt;=$C$25*12,(SUMIF(Inputs!$C$61:$C$78,0,Inputs!$F$61:$F$78)/12)*(1+$C$34)^ROUNDDOWN((AD296-1)/12,0),"-")</f>
        <v>1488.1666666666667</v>
      </c>
      <c r="AJ296" s="132">
        <f t="shared" si="129"/>
        <v>4533.1985301896866</v>
      </c>
      <c r="AK296" s="132">
        <f>IF($AD296&lt;=$C$25*12,'Mortgage Calculators (By Month)'!$J314,"-")</f>
        <v>0</v>
      </c>
      <c r="AL296" s="132">
        <f>IF($AD296&lt;=$C$25*12,'Mortgage Calculators (By Month)'!$K314,"-")</f>
        <v>0</v>
      </c>
      <c r="AM296" s="132">
        <f>IF($AD296&lt;=$C$25*12,'Mortgage Calculators (By Month)'!$L314,"-")</f>
        <v>10</v>
      </c>
      <c r="AN296" s="132">
        <f t="shared" si="139"/>
        <v>0</v>
      </c>
      <c r="AO296" s="132">
        <f t="shared" si="130"/>
        <v>4543.1985301896866</v>
      </c>
      <c r="AP296" s="132">
        <f t="shared" si="131"/>
        <v>23148.909320019582</v>
      </c>
      <c r="AQ296" s="132">
        <f t="shared" si="132"/>
        <v>0</v>
      </c>
      <c r="AR296" s="132">
        <f t="shared" si="113"/>
        <v>23148.909320019582</v>
      </c>
      <c r="AS296" s="132">
        <f>IF($AD296&lt;=$C$25*12,SUM(AR$5:AR296),"-")</f>
        <v>3743491.8740847753</v>
      </c>
      <c r="AT296" s="132">
        <f>IF($AD296&lt;=$C$25*12,AE296-$C$10-'RE Calculations'!$C483-'Mortgage Calculators (By Month)'!$M314,"-")</f>
        <v>3646780.0866633626</v>
      </c>
      <c r="AU296" s="29">
        <f t="shared" si="133"/>
        <v>2.277775507011039</v>
      </c>
      <c r="AV296" s="31">
        <f t="shared" si="134"/>
        <v>9.3607212616892019E-2</v>
      </c>
      <c r="AW296" s="132">
        <f t="shared" si="135"/>
        <v>7390271.9607481379</v>
      </c>
      <c r="AX296" s="29">
        <f t="shared" si="136"/>
        <v>4.6159571079988897</v>
      </c>
      <c r="AY296" s="31">
        <f t="shared" si="137"/>
        <v>0.18969686745200917</v>
      </c>
    </row>
    <row r="297" spans="6:51" x14ac:dyDescent="0.35">
      <c r="F297" s="12">
        <f t="shared" si="114"/>
        <v>293</v>
      </c>
      <c r="G297" s="132">
        <f t="shared" si="115"/>
        <v>5381332.2815144528</v>
      </c>
      <c r="H297" s="132">
        <f>IF($F297&lt;=$C$16*12,$G297-$C$7+SUM('Mortgage Calculators (By Month)'!$D$23:$D315),"-")</f>
        <v>5381332.2815144528</v>
      </c>
      <c r="I297" s="132">
        <f t="shared" si="116"/>
        <v>27682.107850209268</v>
      </c>
      <c r="J297" s="132">
        <f>IF($F297&lt;=$C$16*12,SUM(Inputs!$C$61:$C$78)*'Forecast (By Month)'!I297,"-")</f>
        <v>3045.0318635230196</v>
      </c>
      <c r="K297" s="132">
        <f>IF($F297&lt;=$C$16*12,(SUMIF(Inputs!$C$61:$C$78,0,Inputs!$F$61:$F$78)/12)*(1+$C$34)^ROUNDDOWN((F297-1)/12,0),"-")</f>
        <v>1488.1666666666667</v>
      </c>
      <c r="L297" s="132">
        <f t="shared" si="117"/>
        <v>4533.1985301896866</v>
      </c>
      <c r="M297" s="132">
        <f>IF($F297&lt;=$C$16*12,'Mortgage Calculators (By Month)'!$C315,"-")</f>
        <v>0</v>
      </c>
      <c r="N297" s="132">
        <f>IF($F297&lt;=$C$16*12,'Mortgage Calculators (By Month)'!$D315,"-")</f>
        <v>0</v>
      </c>
      <c r="O297" s="132">
        <f>IF($F297&lt;=$C$16*12,'Mortgage Calculators (By Month)'!$E315,"-")</f>
        <v>8.3333333333333339</v>
      </c>
      <c r="P297" s="132">
        <f t="shared" si="138"/>
        <v>0</v>
      </c>
      <c r="Q297" s="132">
        <f t="shared" si="118"/>
        <v>4541.5318635230196</v>
      </c>
      <c r="R297" s="132">
        <f t="shared" si="119"/>
        <v>23148.909320019582</v>
      </c>
      <c r="S297" s="132">
        <f t="shared" si="120"/>
        <v>0</v>
      </c>
      <c r="T297" s="132">
        <f t="shared" si="112"/>
        <v>23148.909320019582</v>
      </c>
      <c r="U297" s="132">
        <f>IF($F297&lt;=$C$16*12,SUM(T$5:T297),"-")</f>
        <v>3766650.783404795</v>
      </c>
      <c r="V297" s="132">
        <f>IF($F297&lt;=$C$16*12,G297-$C$10-'RE Calculations'!$C484-'Mortgage Calculators (By Month)'!$F315,"-")</f>
        <v>3668178.6358841625</v>
      </c>
      <c r="W297" s="29">
        <f t="shared" si="121"/>
        <v>2.2911410212845644</v>
      </c>
      <c r="X297" s="31">
        <f t="shared" si="122"/>
        <v>9.3835127151586248E-2</v>
      </c>
      <c r="Y297" s="132">
        <f t="shared" si="123"/>
        <v>7434829.4192889575</v>
      </c>
      <c r="Z297" s="29">
        <f t="shared" si="124"/>
        <v>4.6437876558539974</v>
      </c>
      <c r="AA297" s="31">
        <f t="shared" si="125"/>
        <v>0.19018925552985655</v>
      </c>
      <c r="AD297" s="12">
        <f t="shared" si="126"/>
        <v>293</v>
      </c>
      <c r="AE297" s="132">
        <f t="shared" si="127"/>
        <v>5381332.2815144528</v>
      </c>
      <c r="AF297" s="132">
        <f>IF($AD297&lt;=$C$25*12,$AE297-$C$7+SUM('Mortgage Calculators (By Month)'!$K$23:$K315),"-")</f>
        <v>5381332.2815144528</v>
      </c>
      <c r="AG297" s="132">
        <f t="shared" si="128"/>
        <v>27682.107850209268</v>
      </c>
      <c r="AH297" s="132">
        <f>IF($AD297&lt;=$C$25*12,SUM(Inputs!$C$61:$C$78)*'Forecast (By Month)'!AG297,"-")</f>
        <v>3045.0318635230196</v>
      </c>
      <c r="AI297" s="132">
        <f>IF($AD297&lt;=$C$25*12,(SUMIF(Inputs!$C$61:$C$78,0,Inputs!$F$61:$F$78)/12)*(1+$C$34)^ROUNDDOWN((AD297-1)/12,0),"-")</f>
        <v>1488.1666666666667</v>
      </c>
      <c r="AJ297" s="132">
        <f t="shared" si="129"/>
        <v>4533.1985301896866</v>
      </c>
      <c r="AK297" s="132">
        <f>IF($AD297&lt;=$C$25*12,'Mortgage Calculators (By Month)'!$J315,"-")</f>
        <v>0</v>
      </c>
      <c r="AL297" s="132">
        <f>IF($AD297&lt;=$C$25*12,'Mortgage Calculators (By Month)'!$K315,"-")</f>
        <v>0</v>
      </c>
      <c r="AM297" s="132">
        <f>IF($AD297&lt;=$C$25*12,'Mortgage Calculators (By Month)'!$L315,"-")</f>
        <v>10</v>
      </c>
      <c r="AN297" s="132">
        <f t="shared" si="139"/>
        <v>0</v>
      </c>
      <c r="AO297" s="132">
        <f t="shared" si="130"/>
        <v>4543.1985301896866</v>
      </c>
      <c r="AP297" s="132">
        <f t="shared" si="131"/>
        <v>23148.909320019582</v>
      </c>
      <c r="AQ297" s="132">
        <f t="shared" si="132"/>
        <v>0</v>
      </c>
      <c r="AR297" s="132">
        <f t="shared" si="113"/>
        <v>23148.909320019582</v>
      </c>
      <c r="AS297" s="132">
        <f>IF($AD297&lt;=$C$25*12,SUM(AR$5:AR297),"-")</f>
        <v>3766640.783404795</v>
      </c>
      <c r="AT297" s="132">
        <f>IF($AD297&lt;=$C$25*12,AE297-$C$10-'RE Calculations'!$C484-'Mortgage Calculators (By Month)'!$M315,"-")</f>
        <v>3668178.6358841625</v>
      </c>
      <c r="AU297" s="29">
        <f t="shared" si="133"/>
        <v>2.2911410212845644</v>
      </c>
      <c r="AV297" s="31">
        <f t="shared" si="134"/>
        <v>9.3835127151586248E-2</v>
      </c>
      <c r="AW297" s="132">
        <f t="shared" si="135"/>
        <v>7434819.4192889575</v>
      </c>
      <c r="AX297" s="29">
        <f t="shared" si="136"/>
        <v>4.6437814098631423</v>
      </c>
      <c r="AY297" s="31">
        <f t="shared" si="137"/>
        <v>0.19018899972135736</v>
      </c>
    </row>
    <row r="298" spans="6:51" x14ac:dyDescent="0.35">
      <c r="F298" s="12">
        <f t="shared" si="114"/>
        <v>294</v>
      </c>
      <c r="G298" s="132">
        <f t="shared" si="115"/>
        <v>5403256.4953502854</v>
      </c>
      <c r="H298" s="132">
        <f>IF($F298&lt;=$C$16*12,$G298-$C$7+SUM('Mortgage Calculators (By Month)'!$D$23:$D316),"-")</f>
        <v>5403256.4953502854</v>
      </c>
      <c r="I298" s="132">
        <f t="shared" si="116"/>
        <v>27682.107850209268</v>
      </c>
      <c r="J298" s="132">
        <f>IF($F298&lt;=$C$16*12,SUM(Inputs!$C$61:$C$78)*'Forecast (By Month)'!I298,"-")</f>
        <v>3045.0318635230196</v>
      </c>
      <c r="K298" s="132">
        <f>IF($F298&lt;=$C$16*12,(SUMIF(Inputs!$C$61:$C$78,0,Inputs!$F$61:$F$78)/12)*(1+$C$34)^ROUNDDOWN((F298-1)/12,0),"-")</f>
        <v>1488.1666666666667</v>
      </c>
      <c r="L298" s="132">
        <f t="shared" si="117"/>
        <v>4533.1985301896866</v>
      </c>
      <c r="M298" s="132">
        <f>IF($F298&lt;=$C$16*12,'Mortgage Calculators (By Month)'!$C316,"-")</f>
        <v>0</v>
      </c>
      <c r="N298" s="132">
        <f>IF($F298&lt;=$C$16*12,'Mortgage Calculators (By Month)'!$D316,"-")</f>
        <v>0</v>
      </c>
      <c r="O298" s="132">
        <f>IF($F298&lt;=$C$16*12,'Mortgage Calculators (By Month)'!$E316,"-")</f>
        <v>8.3333333333333339</v>
      </c>
      <c r="P298" s="132">
        <f t="shared" si="138"/>
        <v>0</v>
      </c>
      <c r="Q298" s="132">
        <f t="shared" si="118"/>
        <v>4541.5318635230196</v>
      </c>
      <c r="R298" s="132">
        <f t="shared" si="119"/>
        <v>23148.909320019582</v>
      </c>
      <c r="S298" s="132">
        <f t="shared" si="120"/>
        <v>0</v>
      </c>
      <c r="T298" s="132">
        <f t="shared" si="112"/>
        <v>23148.909320019582</v>
      </c>
      <c r="U298" s="132">
        <f>IF($F298&lt;=$C$16*12,SUM(T$5:T298),"-")</f>
        <v>3789799.6927248146</v>
      </c>
      <c r="V298" s="132">
        <f>IF($F298&lt;=$C$16*12,G298-$C$10-'RE Calculations'!$C485-'Mortgage Calculators (By Month)'!$F316,"-")</f>
        <v>3689664.3654432786</v>
      </c>
      <c r="W298" s="29">
        <f t="shared" si="121"/>
        <v>2.3045609883176725</v>
      </c>
      <c r="X298" s="31">
        <f t="shared" si="122"/>
        <v>9.4063713808884591E-2</v>
      </c>
      <c r="Y298" s="132">
        <f t="shared" si="123"/>
        <v>7479464.0581680927</v>
      </c>
      <c r="Z298" s="29">
        <f t="shared" si="124"/>
        <v>4.6716664104778323</v>
      </c>
      <c r="AA298" s="31">
        <f t="shared" si="125"/>
        <v>0.19068026165215643</v>
      </c>
      <c r="AD298" s="12">
        <f t="shared" si="126"/>
        <v>294</v>
      </c>
      <c r="AE298" s="132">
        <f t="shared" si="127"/>
        <v>5403256.4953502854</v>
      </c>
      <c r="AF298" s="132">
        <f>IF($AD298&lt;=$C$25*12,$AE298-$C$7+SUM('Mortgage Calculators (By Month)'!$K$23:$K316),"-")</f>
        <v>5403256.4953502854</v>
      </c>
      <c r="AG298" s="132">
        <f t="shared" si="128"/>
        <v>27682.107850209268</v>
      </c>
      <c r="AH298" s="132">
        <f>IF($AD298&lt;=$C$25*12,SUM(Inputs!$C$61:$C$78)*'Forecast (By Month)'!AG298,"-")</f>
        <v>3045.0318635230196</v>
      </c>
      <c r="AI298" s="132">
        <f>IF($AD298&lt;=$C$25*12,(SUMIF(Inputs!$C$61:$C$78,0,Inputs!$F$61:$F$78)/12)*(1+$C$34)^ROUNDDOWN((AD298-1)/12,0),"-")</f>
        <v>1488.1666666666667</v>
      </c>
      <c r="AJ298" s="132">
        <f t="shared" si="129"/>
        <v>4533.1985301896866</v>
      </c>
      <c r="AK298" s="132">
        <f>IF($AD298&lt;=$C$25*12,'Mortgage Calculators (By Month)'!$J316,"-")</f>
        <v>0</v>
      </c>
      <c r="AL298" s="132">
        <f>IF($AD298&lt;=$C$25*12,'Mortgage Calculators (By Month)'!$K316,"-")</f>
        <v>0</v>
      </c>
      <c r="AM298" s="132">
        <f>IF($AD298&lt;=$C$25*12,'Mortgage Calculators (By Month)'!$L316,"-")</f>
        <v>10</v>
      </c>
      <c r="AN298" s="132">
        <f t="shared" si="139"/>
        <v>0</v>
      </c>
      <c r="AO298" s="132">
        <f t="shared" si="130"/>
        <v>4543.1985301896866</v>
      </c>
      <c r="AP298" s="132">
        <f t="shared" si="131"/>
        <v>23148.909320019582</v>
      </c>
      <c r="AQ298" s="132">
        <f t="shared" si="132"/>
        <v>0</v>
      </c>
      <c r="AR298" s="132">
        <f t="shared" si="113"/>
        <v>23148.909320019582</v>
      </c>
      <c r="AS298" s="132">
        <f>IF($AD298&lt;=$C$25*12,SUM(AR$5:AR298),"-")</f>
        <v>3789789.6927248146</v>
      </c>
      <c r="AT298" s="132">
        <f>IF($AD298&lt;=$C$25*12,AE298-$C$10-'RE Calculations'!$C485-'Mortgage Calculators (By Month)'!$M316,"-")</f>
        <v>3689664.3654432786</v>
      </c>
      <c r="AU298" s="29">
        <f t="shared" si="133"/>
        <v>2.3045609883176725</v>
      </c>
      <c r="AV298" s="31">
        <f t="shared" si="134"/>
        <v>9.4063713808884591E-2</v>
      </c>
      <c r="AW298" s="132">
        <f t="shared" si="135"/>
        <v>7479454.0581680927</v>
      </c>
      <c r="AX298" s="29">
        <f t="shared" si="136"/>
        <v>4.671660164486978</v>
      </c>
      <c r="AY298" s="31">
        <f t="shared" si="137"/>
        <v>0.19068000671375421</v>
      </c>
    </row>
    <row r="299" spans="6:51" x14ac:dyDescent="0.35">
      <c r="F299" s="12">
        <f t="shared" si="114"/>
        <v>295</v>
      </c>
      <c r="G299" s="132">
        <f t="shared" si="115"/>
        <v>5425270.0311471447</v>
      </c>
      <c r="H299" s="132">
        <f>IF($F299&lt;=$C$16*12,$G299-$C$7+SUM('Mortgage Calculators (By Month)'!$D$23:$D317),"-")</f>
        <v>5425270.0311471447</v>
      </c>
      <c r="I299" s="132">
        <f t="shared" si="116"/>
        <v>27682.107850209268</v>
      </c>
      <c r="J299" s="132">
        <f>IF($F299&lt;=$C$16*12,SUM(Inputs!$C$61:$C$78)*'Forecast (By Month)'!I299,"-")</f>
        <v>3045.0318635230196</v>
      </c>
      <c r="K299" s="132">
        <f>IF($F299&lt;=$C$16*12,(SUMIF(Inputs!$C$61:$C$78,0,Inputs!$F$61:$F$78)/12)*(1+$C$34)^ROUNDDOWN((F299-1)/12,0),"-")</f>
        <v>1488.1666666666667</v>
      </c>
      <c r="L299" s="132">
        <f t="shared" si="117"/>
        <v>4533.1985301896866</v>
      </c>
      <c r="M299" s="132">
        <f>IF($F299&lt;=$C$16*12,'Mortgage Calculators (By Month)'!$C317,"-")</f>
        <v>0</v>
      </c>
      <c r="N299" s="132">
        <f>IF($F299&lt;=$C$16*12,'Mortgage Calculators (By Month)'!$D317,"-")</f>
        <v>0</v>
      </c>
      <c r="O299" s="132">
        <f>IF($F299&lt;=$C$16*12,'Mortgage Calculators (By Month)'!$E317,"-")</f>
        <v>8.3333333333333339</v>
      </c>
      <c r="P299" s="132">
        <f t="shared" si="138"/>
        <v>0</v>
      </c>
      <c r="Q299" s="132">
        <f t="shared" si="118"/>
        <v>4541.5318635230196</v>
      </c>
      <c r="R299" s="132">
        <f t="shared" si="119"/>
        <v>23148.909320019582</v>
      </c>
      <c r="S299" s="132">
        <f t="shared" si="120"/>
        <v>0</v>
      </c>
      <c r="T299" s="132">
        <f t="shared" si="112"/>
        <v>23148.909320019582</v>
      </c>
      <c r="U299" s="132">
        <f>IF($F299&lt;=$C$16*12,SUM(T$5:T299),"-")</f>
        <v>3812948.6020448343</v>
      </c>
      <c r="V299" s="132">
        <f>IF($F299&lt;=$C$16*12,G299-$C$10-'RE Calculations'!$C486-'Mortgage Calculators (By Month)'!$F317,"-")</f>
        <v>3711237.6305242004</v>
      </c>
      <c r="W299" s="29">
        <f t="shared" si="121"/>
        <v>2.3180356299576461</v>
      </c>
      <c r="X299" s="31">
        <f t="shared" si="122"/>
        <v>9.4292974777938146E-2</v>
      </c>
      <c r="Y299" s="132">
        <f t="shared" si="123"/>
        <v>7524186.2325690351</v>
      </c>
      <c r="Z299" s="29">
        <f t="shared" si="124"/>
        <v>4.6995998397085339</v>
      </c>
      <c r="AA299" s="31">
        <f t="shared" si="125"/>
        <v>0.1911701629711946</v>
      </c>
      <c r="AD299" s="12">
        <f t="shared" si="126"/>
        <v>295</v>
      </c>
      <c r="AE299" s="132">
        <f t="shared" si="127"/>
        <v>5425270.0311471447</v>
      </c>
      <c r="AF299" s="132">
        <f>IF($AD299&lt;=$C$25*12,$AE299-$C$7+SUM('Mortgage Calculators (By Month)'!$K$23:$K317),"-")</f>
        <v>5425270.0311471447</v>
      </c>
      <c r="AG299" s="132">
        <f t="shared" si="128"/>
        <v>27682.107850209268</v>
      </c>
      <c r="AH299" s="132">
        <f>IF($AD299&lt;=$C$25*12,SUM(Inputs!$C$61:$C$78)*'Forecast (By Month)'!AG299,"-")</f>
        <v>3045.0318635230196</v>
      </c>
      <c r="AI299" s="132">
        <f>IF($AD299&lt;=$C$25*12,(SUMIF(Inputs!$C$61:$C$78,0,Inputs!$F$61:$F$78)/12)*(1+$C$34)^ROUNDDOWN((AD299-1)/12,0),"-")</f>
        <v>1488.1666666666667</v>
      </c>
      <c r="AJ299" s="132">
        <f t="shared" si="129"/>
        <v>4533.1985301896866</v>
      </c>
      <c r="AK299" s="132">
        <f>IF($AD299&lt;=$C$25*12,'Mortgage Calculators (By Month)'!$J317,"-")</f>
        <v>0</v>
      </c>
      <c r="AL299" s="132">
        <f>IF($AD299&lt;=$C$25*12,'Mortgage Calculators (By Month)'!$K317,"-")</f>
        <v>0</v>
      </c>
      <c r="AM299" s="132">
        <f>IF($AD299&lt;=$C$25*12,'Mortgage Calculators (By Month)'!$L317,"-")</f>
        <v>10</v>
      </c>
      <c r="AN299" s="132">
        <f t="shared" si="139"/>
        <v>0</v>
      </c>
      <c r="AO299" s="132">
        <f t="shared" si="130"/>
        <v>4543.1985301896866</v>
      </c>
      <c r="AP299" s="132">
        <f t="shared" si="131"/>
        <v>23148.909320019582</v>
      </c>
      <c r="AQ299" s="132">
        <f t="shared" si="132"/>
        <v>0</v>
      </c>
      <c r="AR299" s="132">
        <f t="shared" si="113"/>
        <v>23148.909320019582</v>
      </c>
      <c r="AS299" s="132">
        <f>IF($AD299&lt;=$C$25*12,SUM(AR$5:AR299),"-")</f>
        <v>3812938.6020448343</v>
      </c>
      <c r="AT299" s="132">
        <f>IF($AD299&lt;=$C$25*12,AE299-$C$10-'RE Calculations'!$C486-'Mortgage Calculators (By Month)'!$M317,"-")</f>
        <v>3711237.6305242004</v>
      </c>
      <c r="AU299" s="29">
        <f t="shared" si="133"/>
        <v>2.3180356299576461</v>
      </c>
      <c r="AV299" s="31">
        <f t="shared" si="134"/>
        <v>9.4292974777938146E-2</v>
      </c>
      <c r="AW299" s="132">
        <f t="shared" si="135"/>
        <v>7524176.2325690351</v>
      </c>
      <c r="AX299" s="29">
        <f t="shared" si="136"/>
        <v>4.6995935937176796</v>
      </c>
      <c r="AY299" s="31">
        <f t="shared" si="137"/>
        <v>0.19116990889699037</v>
      </c>
    </row>
    <row r="300" spans="6:51" x14ac:dyDescent="0.35">
      <c r="F300" s="12">
        <f t="shared" si="114"/>
        <v>296</v>
      </c>
      <c r="G300" s="132">
        <f t="shared" si="115"/>
        <v>5447373.2528137555</v>
      </c>
      <c r="H300" s="132">
        <f>IF($F300&lt;=$C$16*12,$G300-$C$7+SUM('Mortgage Calculators (By Month)'!$D$23:$D318),"-")</f>
        <v>5447373.2528137555</v>
      </c>
      <c r="I300" s="132">
        <f t="shared" si="116"/>
        <v>27682.107850209268</v>
      </c>
      <c r="J300" s="132">
        <f>IF($F300&lt;=$C$16*12,SUM(Inputs!$C$61:$C$78)*'Forecast (By Month)'!I300,"-")</f>
        <v>3045.0318635230196</v>
      </c>
      <c r="K300" s="132">
        <f>IF($F300&lt;=$C$16*12,(SUMIF(Inputs!$C$61:$C$78,0,Inputs!$F$61:$F$78)/12)*(1+$C$34)^ROUNDDOWN((F300-1)/12,0),"-")</f>
        <v>1488.1666666666667</v>
      </c>
      <c r="L300" s="132">
        <f t="shared" si="117"/>
        <v>4533.1985301896866</v>
      </c>
      <c r="M300" s="132">
        <f>IF($F300&lt;=$C$16*12,'Mortgage Calculators (By Month)'!$C318,"-")</f>
        <v>0</v>
      </c>
      <c r="N300" s="132">
        <f>IF($F300&lt;=$C$16*12,'Mortgage Calculators (By Month)'!$D318,"-")</f>
        <v>0</v>
      </c>
      <c r="O300" s="132">
        <f>IF($F300&lt;=$C$16*12,'Mortgage Calculators (By Month)'!$E318,"-")</f>
        <v>8.3333333333333339</v>
      </c>
      <c r="P300" s="132">
        <f t="shared" si="138"/>
        <v>0</v>
      </c>
      <c r="Q300" s="132">
        <f t="shared" si="118"/>
        <v>4541.5318635230196</v>
      </c>
      <c r="R300" s="132">
        <f t="shared" si="119"/>
        <v>23148.909320019582</v>
      </c>
      <c r="S300" s="132">
        <f t="shared" si="120"/>
        <v>0</v>
      </c>
      <c r="T300" s="132">
        <f t="shared" si="112"/>
        <v>23148.909320019582</v>
      </c>
      <c r="U300" s="132">
        <f>IF($F300&lt;=$C$16*12,SUM(T$5:T300),"-")</f>
        <v>3836097.5113648539</v>
      </c>
      <c r="V300" s="132">
        <f>IF($F300&lt;=$C$16*12,G300-$C$10-'RE Calculations'!$C487-'Mortgage Calculators (By Month)'!$F318,"-")</f>
        <v>3732898.7877574791</v>
      </c>
      <c r="W300" s="29">
        <f t="shared" si="121"/>
        <v>2.331565168955601</v>
      </c>
      <c r="X300" s="31">
        <f t="shared" si="122"/>
        <v>9.4522912254956792E-2</v>
      </c>
      <c r="Y300" s="132">
        <f t="shared" si="123"/>
        <v>7568996.2991223335</v>
      </c>
      <c r="Z300" s="29">
        <f t="shared" si="124"/>
        <v>4.7275881662972168</v>
      </c>
      <c r="AA300" s="31">
        <f t="shared" si="125"/>
        <v>0.19165897971475201</v>
      </c>
      <c r="AD300" s="12">
        <f t="shared" si="126"/>
        <v>296</v>
      </c>
      <c r="AE300" s="132">
        <f t="shared" si="127"/>
        <v>5447373.2528137555</v>
      </c>
      <c r="AF300" s="132">
        <f>IF($AD300&lt;=$C$25*12,$AE300-$C$7+SUM('Mortgage Calculators (By Month)'!$K$23:$K318),"-")</f>
        <v>5447373.2528137555</v>
      </c>
      <c r="AG300" s="132">
        <f t="shared" si="128"/>
        <v>27682.107850209268</v>
      </c>
      <c r="AH300" s="132">
        <f>IF($AD300&lt;=$C$25*12,SUM(Inputs!$C$61:$C$78)*'Forecast (By Month)'!AG300,"-")</f>
        <v>3045.0318635230196</v>
      </c>
      <c r="AI300" s="132">
        <f>IF($AD300&lt;=$C$25*12,(SUMIF(Inputs!$C$61:$C$78,0,Inputs!$F$61:$F$78)/12)*(1+$C$34)^ROUNDDOWN((AD300-1)/12,0),"-")</f>
        <v>1488.1666666666667</v>
      </c>
      <c r="AJ300" s="132">
        <f t="shared" si="129"/>
        <v>4533.1985301896866</v>
      </c>
      <c r="AK300" s="132">
        <f>IF($AD300&lt;=$C$25*12,'Mortgage Calculators (By Month)'!$J318,"-")</f>
        <v>0</v>
      </c>
      <c r="AL300" s="132">
        <f>IF($AD300&lt;=$C$25*12,'Mortgage Calculators (By Month)'!$K318,"-")</f>
        <v>0</v>
      </c>
      <c r="AM300" s="132">
        <f>IF($AD300&lt;=$C$25*12,'Mortgage Calculators (By Month)'!$L318,"-")</f>
        <v>10</v>
      </c>
      <c r="AN300" s="132">
        <f t="shared" si="139"/>
        <v>0</v>
      </c>
      <c r="AO300" s="132">
        <f t="shared" si="130"/>
        <v>4543.1985301896866</v>
      </c>
      <c r="AP300" s="132">
        <f t="shared" si="131"/>
        <v>23148.909320019582</v>
      </c>
      <c r="AQ300" s="132">
        <f t="shared" si="132"/>
        <v>0</v>
      </c>
      <c r="AR300" s="132">
        <f t="shared" si="113"/>
        <v>23148.909320019582</v>
      </c>
      <c r="AS300" s="132">
        <f>IF($AD300&lt;=$C$25*12,SUM(AR$5:AR300),"-")</f>
        <v>3836087.5113648539</v>
      </c>
      <c r="AT300" s="132">
        <f>IF($AD300&lt;=$C$25*12,AE300-$C$10-'RE Calculations'!$C487-'Mortgage Calculators (By Month)'!$M318,"-")</f>
        <v>3732898.7877574791</v>
      </c>
      <c r="AU300" s="29">
        <f t="shared" si="133"/>
        <v>2.331565168955601</v>
      </c>
      <c r="AV300" s="31">
        <f t="shared" si="134"/>
        <v>9.4522912254956792E-2</v>
      </c>
      <c r="AW300" s="132">
        <f t="shared" si="135"/>
        <v>7568986.2991223335</v>
      </c>
      <c r="AX300" s="29">
        <f t="shared" si="136"/>
        <v>4.7275819203063616</v>
      </c>
      <c r="AY300" s="31">
        <f t="shared" si="137"/>
        <v>0.19165872649890653</v>
      </c>
    </row>
    <row r="301" spans="6:51" x14ac:dyDescent="0.35">
      <c r="F301" s="12">
        <f t="shared" si="114"/>
        <v>297</v>
      </c>
      <c r="G301" s="132">
        <f t="shared" si="115"/>
        <v>5469566.5257414542</v>
      </c>
      <c r="H301" s="132">
        <f>IF($F301&lt;=$C$16*12,$G301-$C$7+SUM('Mortgage Calculators (By Month)'!$D$23:$D319),"-")</f>
        <v>5469566.5257414542</v>
      </c>
      <c r="I301" s="132">
        <f t="shared" si="116"/>
        <v>27682.107850209268</v>
      </c>
      <c r="J301" s="132">
        <f>IF($F301&lt;=$C$16*12,SUM(Inputs!$C$61:$C$78)*'Forecast (By Month)'!I301,"-")</f>
        <v>3045.0318635230196</v>
      </c>
      <c r="K301" s="132">
        <f>IF($F301&lt;=$C$16*12,(SUMIF(Inputs!$C$61:$C$78,0,Inputs!$F$61:$F$78)/12)*(1+$C$34)^ROUNDDOWN((F301-1)/12,0),"-")</f>
        <v>1488.1666666666667</v>
      </c>
      <c r="L301" s="132">
        <f t="shared" si="117"/>
        <v>4533.1985301896866</v>
      </c>
      <c r="M301" s="132">
        <f>IF($F301&lt;=$C$16*12,'Mortgage Calculators (By Month)'!$C319,"-")</f>
        <v>0</v>
      </c>
      <c r="N301" s="132">
        <f>IF($F301&lt;=$C$16*12,'Mortgage Calculators (By Month)'!$D319,"-")</f>
        <v>0</v>
      </c>
      <c r="O301" s="132">
        <f>IF($F301&lt;=$C$16*12,'Mortgage Calculators (By Month)'!$E319,"-")</f>
        <v>8.3333333333333339</v>
      </c>
      <c r="P301" s="132">
        <f t="shared" si="138"/>
        <v>0</v>
      </c>
      <c r="Q301" s="132">
        <f t="shared" si="118"/>
        <v>4541.5318635230196</v>
      </c>
      <c r="R301" s="132">
        <f t="shared" si="119"/>
        <v>23148.909320019582</v>
      </c>
      <c r="S301" s="132">
        <f t="shared" si="120"/>
        <v>0</v>
      </c>
      <c r="T301" s="132">
        <f t="shared" si="112"/>
        <v>23148.909320019582</v>
      </c>
      <c r="U301" s="132">
        <f>IF($F301&lt;=$C$16*12,SUM(T$5:T301),"-")</f>
        <v>3859246.4206848736</v>
      </c>
      <c r="V301" s="132">
        <f>IF($F301&lt;=$C$16*12,G301-$C$10-'RE Calculations'!$C488-'Mortgage Calculators (By Month)'!$F319,"-")</f>
        <v>3754648.1952266237</v>
      </c>
      <c r="W301" s="29">
        <f t="shared" si="121"/>
        <v>2.3451498289701695</v>
      </c>
      <c r="X301" s="31">
        <f t="shared" si="122"/>
        <v>9.4753528443239171E-2</v>
      </c>
      <c r="Y301" s="132">
        <f t="shared" si="123"/>
        <v>7613894.6159114968</v>
      </c>
      <c r="Z301" s="29">
        <f t="shared" si="124"/>
        <v>4.7556316139025121</v>
      </c>
      <c r="AA301" s="31">
        <f t="shared" si="125"/>
        <v>0.19214673187484899</v>
      </c>
      <c r="AD301" s="12">
        <f t="shared" si="126"/>
        <v>297</v>
      </c>
      <c r="AE301" s="132">
        <f t="shared" si="127"/>
        <v>5469566.5257414542</v>
      </c>
      <c r="AF301" s="132">
        <f>IF($AD301&lt;=$C$25*12,$AE301-$C$7+SUM('Mortgage Calculators (By Month)'!$K$23:$K319),"-")</f>
        <v>5469566.5257414542</v>
      </c>
      <c r="AG301" s="132">
        <f t="shared" si="128"/>
        <v>27682.107850209268</v>
      </c>
      <c r="AH301" s="132">
        <f>IF($AD301&lt;=$C$25*12,SUM(Inputs!$C$61:$C$78)*'Forecast (By Month)'!AG301,"-")</f>
        <v>3045.0318635230196</v>
      </c>
      <c r="AI301" s="132">
        <f>IF($AD301&lt;=$C$25*12,(SUMIF(Inputs!$C$61:$C$78,0,Inputs!$F$61:$F$78)/12)*(1+$C$34)^ROUNDDOWN((AD301-1)/12,0),"-")</f>
        <v>1488.1666666666667</v>
      </c>
      <c r="AJ301" s="132">
        <f t="shared" si="129"/>
        <v>4533.1985301896866</v>
      </c>
      <c r="AK301" s="132">
        <f>IF($AD301&lt;=$C$25*12,'Mortgage Calculators (By Month)'!$J319,"-")</f>
        <v>0</v>
      </c>
      <c r="AL301" s="132">
        <f>IF($AD301&lt;=$C$25*12,'Mortgage Calculators (By Month)'!$K319,"-")</f>
        <v>0</v>
      </c>
      <c r="AM301" s="132">
        <f>IF($AD301&lt;=$C$25*12,'Mortgage Calculators (By Month)'!$L319,"-")</f>
        <v>10</v>
      </c>
      <c r="AN301" s="132">
        <f t="shared" si="139"/>
        <v>0</v>
      </c>
      <c r="AO301" s="132">
        <f t="shared" si="130"/>
        <v>4543.1985301896866</v>
      </c>
      <c r="AP301" s="132">
        <f t="shared" si="131"/>
        <v>23148.909320019582</v>
      </c>
      <c r="AQ301" s="132">
        <f t="shared" si="132"/>
        <v>0</v>
      </c>
      <c r="AR301" s="132">
        <f t="shared" si="113"/>
        <v>23148.909320019582</v>
      </c>
      <c r="AS301" s="132">
        <f>IF($AD301&lt;=$C$25*12,SUM(AR$5:AR301),"-")</f>
        <v>3859236.4206848736</v>
      </c>
      <c r="AT301" s="132">
        <f>IF($AD301&lt;=$C$25*12,AE301-$C$10-'RE Calculations'!$C488-'Mortgage Calculators (By Month)'!$M319,"-")</f>
        <v>3754648.1952266237</v>
      </c>
      <c r="AU301" s="29">
        <f t="shared" si="133"/>
        <v>2.3451498289701695</v>
      </c>
      <c r="AV301" s="31">
        <f t="shared" si="134"/>
        <v>9.4753528443239171E-2</v>
      </c>
      <c r="AW301" s="132">
        <f t="shared" si="135"/>
        <v>7613884.6159114968</v>
      </c>
      <c r="AX301" s="29">
        <f t="shared" si="136"/>
        <v>4.7556253679116569</v>
      </c>
      <c r="AY301" s="31">
        <f t="shared" si="137"/>
        <v>0.19214647951158209</v>
      </c>
    </row>
    <row r="302" spans="6:51" x14ac:dyDescent="0.35">
      <c r="F302" s="12">
        <f t="shared" si="114"/>
        <v>298</v>
      </c>
      <c r="G302" s="132">
        <f t="shared" si="115"/>
        <v>5491850.2168102246</v>
      </c>
      <c r="H302" s="132">
        <f>IF($F302&lt;=$C$16*12,$G302-$C$7+SUM('Mortgage Calculators (By Month)'!$D$23:$D320),"-")</f>
        <v>5491850.2168102246</v>
      </c>
      <c r="I302" s="132">
        <f t="shared" si="116"/>
        <v>27682.107850209268</v>
      </c>
      <c r="J302" s="132">
        <f>IF($F302&lt;=$C$16*12,SUM(Inputs!$C$61:$C$78)*'Forecast (By Month)'!I302,"-")</f>
        <v>3045.0318635230196</v>
      </c>
      <c r="K302" s="132">
        <f>IF($F302&lt;=$C$16*12,(SUMIF(Inputs!$C$61:$C$78,0,Inputs!$F$61:$F$78)/12)*(1+$C$34)^ROUNDDOWN((F302-1)/12,0),"-")</f>
        <v>1488.1666666666667</v>
      </c>
      <c r="L302" s="132">
        <f t="shared" si="117"/>
        <v>4533.1985301896866</v>
      </c>
      <c r="M302" s="132">
        <f>IF($F302&lt;=$C$16*12,'Mortgage Calculators (By Month)'!$C320,"-")</f>
        <v>0</v>
      </c>
      <c r="N302" s="132">
        <f>IF($F302&lt;=$C$16*12,'Mortgage Calculators (By Month)'!$D320,"-")</f>
        <v>0</v>
      </c>
      <c r="O302" s="132">
        <f>IF($F302&lt;=$C$16*12,'Mortgage Calculators (By Month)'!$E320,"-")</f>
        <v>8.3333333333333339</v>
      </c>
      <c r="P302" s="132">
        <f t="shared" si="138"/>
        <v>0</v>
      </c>
      <c r="Q302" s="132">
        <f t="shared" si="118"/>
        <v>4541.5318635230196</v>
      </c>
      <c r="R302" s="132">
        <f t="shared" si="119"/>
        <v>23148.909320019582</v>
      </c>
      <c r="S302" s="132">
        <f t="shared" si="120"/>
        <v>0</v>
      </c>
      <c r="T302" s="132">
        <f t="shared" si="112"/>
        <v>23148.909320019582</v>
      </c>
      <c r="U302" s="132">
        <f>IF($F302&lt;=$C$16*12,SUM(T$5:T302),"-")</f>
        <v>3882395.3300048932</v>
      </c>
      <c r="V302" s="132">
        <f>IF($F302&lt;=$C$16*12,G302-$C$10-'RE Calculations'!$C489-'Mortgage Calculators (By Month)'!$F320,"-")</f>
        <v>3776486.2124740188</v>
      </c>
      <c r="W302" s="29">
        <f t="shared" si="121"/>
        <v>2.3587898345711964</v>
      </c>
      <c r="X302" s="31">
        <f t="shared" si="122"/>
        <v>9.4984825553202548E-2</v>
      </c>
      <c r="Y302" s="132">
        <f t="shared" si="123"/>
        <v>7658881.5424789116</v>
      </c>
      <c r="Z302" s="29">
        <f t="shared" si="124"/>
        <v>4.7837304070942661</v>
      </c>
      <c r="AA302" s="31">
        <f t="shared" si="125"/>
        <v>0.19263343921184964</v>
      </c>
      <c r="AD302" s="12">
        <f t="shared" si="126"/>
        <v>298</v>
      </c>
      <c r="AE302" s="132">
        <f t="shared" si="127"/>
        <v>5491850.2168102246</v>
      </c>
      <c r="AF302" s="132">
        <f>IF($AD302&lt;=$C$25*12,$AE302-$C$7+SUM('Mortgage Calculators (By Month)'!$K$23:$K320),"-")</f>
        <v>5491850.2168102246</v>
      </c>
      <c r="AG302" s="132">
        <f t="shared" si="128"/>
        <v>27682.107850209268</v>
      </c>
      <c r="AH302" s="132">
        <f>IF($AD302&lt;=$C$25*12,SUM(Inputs!$C$61:$C$78)*'Forecast (By Month)'!AG302,"-")</f>
        <v>3045.0318635230196</v>
      </c>
      <c r="AI302" s="132">
        <f>IF($AD302&lt;=$C$25*12,(SUMIF(Inputs!$C$61:$C$78,0,Inputs!$F$61:$F$78)/12)*(1+$C$34)^ROUNDDOWN((AD302-1)/12,0),"-")</f>
        <v>1488.1666666666667</v>
      </c>
      <c r="AJ302" s="132">
        <f t="shared" si="129"/>
        <v>4533.1985301896866</v>
      </c>
      <c r="AK302" s="132">
        <f>IF($AD302&lt;=$C$25*12,'Mortgage Calculators (By Month)'!$J320,"-")</f>
        <v>0</v>
      </c>
      <c r="AL302" s="132">
        <f>IF($AD302&lt;=$C$25*12,'Mortgage Calculators (By Month)'!$K320,"-")</f>
        <v>0</v>
      </c>
      <c r="AM302" s="132">
        <f>IF($AD302&lt;=$C$25*12,'Mortgage Calculators (By Month)'!$L320,"-")</f>
        <v>10</v>
      </c>
      <c r="AN302" s="132">
        <f t="shared" si="139"/>
        <v>0</v>
      </c>
      <c r="AO302" s="132">
        <f t="shared" si="130"/>
        <v>4543.1985301896866</v>
      </c>
      <c r="AP302" s="132">
        <f t="shared" si="131"/>
        <v>23148.909320019582</v>
      </c>
      <c r="AQ302" s="132">
        <f t="shared" si="132"/>
        <v>0</v>
      </c>
      <c r="AR302" s="132">
        <f t="shared" si="113"/>
        <v>23148.909320019582</v>
      </c>
      <c r="AS302" s="132">
        <f>IF($AD302&lt;=$C$25*12,SUM(AR$5:AR302),"-")</f>
        <v>3882385.3300048932</v>
      </c>
      <c r="AT302" s="132">
        <f>IF($AD302&lt;=$C$25*12,AE302-$C$10-'RE Calculations'!$C489-'Mortgage Calculators (By Month)'!$M320,"-")</f>
        <v>3776486.2124740188</v>
      </c>
      <c r="AU302" s="29">
        <f t="shared" si="133"/>
        <v>2.3587898345711964</v>
      </c>
      <c r="AV302" s="31">
        <f t="shared" si="134"/>
        <v>9.4984825553202548E-2</v>
      </c>
      <c r="AW302" s="132">
        <f t="shared" si="135"/>
        <v>7658871.5424789116</v>
      </c>
      <c r="AX302" s="29">
        <f t="shared" si="136"/>
        <v>4.7837241611034118</v>
      </c>
      <c r="AY302" s="31">
        <f t="shared" si="137"/>
        <v>0.19263318769543941</v>
      </c>
    </row>
    <row r="303" spans="6:51" x14ac:dyDescent="0.35">
      <c r="F303" s="12">
        <f t="shared" si="114"/>
        <v>299</v>
      </c>
      <c r="G303" s="132">
        <f t="shared" si="115"/>
        <v>5514224.6943947654</v>
      </c>
      <c r="H303" s="132">
        <f>IF($F303&lt;=$C$16*12,$G303-$C$7+SUM('Mortgage Calculators (By Month)'!$D$23:$D321),"-")</f>
        <v>5514224.6943947654</v>
      </c>
      <c r="I303" s="132">
        <f t="shared" si="116"/>
        <v>27682.107850209268</v>
      </c>
      <c r="J303" s="132">
        <f>IF($F303&lt;=$C$16*12,SUM(Inputs!$C$61:$C$78)*'Forecast (By Month)'!I303,"-")</f>
        <v>3045.0318635230196</v>
      </c>
      <c r="K303" s="132">
        <f>IF($F303&lt;=$C$16*12,(SUMIF(Inputs!$C$61:$C$78,0,Inputs!$F$61:$F$78)/12)*(1+$C$34)^ROUNDDOWN((F303-1)/12,0),"-")</f>
        <v>1488.1666666666667</v>
      </c>
      <c r="L303" s="132">
        <f t="shared" si="117"/>
        <v>4533.1985301896866</v>
      </c>
      <c r="M303" s="132">
        <f>IF($F303&lt;=$C$16*12,'Mortgage Calculators (By Month)'!$C321,"-")</f>
        <v>0</v>
      </c>
      <c r="N303" s="132">
        <f>IF($F303&lt;=$C$16*12,'Mortgage Calculators (By Month)'!$D321,"-")</f>
        <v>0</v>
      </c>
      <c r="O303" s="132">
        <f>IF($F303&lt;=$C$16*12,'Mortgage Calculators (By Month)'!$E321,"-")</f>
        <v>8.3333333333333339</v>
      </c>
      <c r="P303" s="132">
        <f t="shared" si="138"/>
        <v>0</v>
      </c>
      <c r="Q303" s="132">
        <f t="shared" si="118"/>
        <v>4541.5318635230196</v>
      </c>
      <c r="R303" s="132">
        <f t="shared" si="119"/>
        <v>23148.909320019582</v>
      </c>
      <c r="S303" s="132">
        <f t="shared" si="120"/>
        <v>0</v>
      </c>
      <c r="T303" s="132">
        <f t="shared" si="112"/>
        <v>23148.909320019582</v>
      </c>
      <c r="U303" s="132">
        <f>IF($F303&lt;=$C$16*12,SUM(T$5:T303),"-")</f>
        <v>3905544.2393249129</v>
      </c>
      <c r="V303" s="132">
        <f>IF($F303&lt;=$C$16*12,G303-$C$10-'RE Calculations'!$C490-'Mortgage Calculators (By Month)'!$F321,"-")</f>
        <v>3798413.2005068688</v>
      </c>
      <c r="W303" s="29">
        <f t="shared" si="121"/>
        <v>2.372485411243451</v>
      </c>
      <c r="X303" s="31">
        <f t="shared" si="122"/>
        <v>9.5216805802412749E-2</v>
      </c>
      <c r="Y303" s="132">
        <f t="shared" si="123"/>
        <v>7703957.4398317821</v>
      </c>
      <c r="Z303" s="29">
        <f t="shared" si="124"/>
        <v>4.8118847713572492</v>
      </c>
      <c r="AA303" s="31">
        <f t="shared" si="125"/>
        <v>0.1931191212584849</v>
      </c>
      <c r="AD303" s="12">
        <f t="shared" si="126"/>
        <v>299</v>
      </c>
      <c r="AE303" s="132">
        <f t="shared" si="127"/>
        <v>5514224.6943947654</v>
      </c>
      <c r="AF303" s="132">
        <f>IF($AD303&lt;=$C$25*12,$AE303-$C$7+SUM('Mortgage Calculators (By Month)'!$K$23:$K321),"-")</f>
        <v>5514224.6943947654</v>
      </c>
      <c r="AG303" s="132">
        <f t="shared" si="128"/>
        <v>27682.107850209268</v>
      </c>
      <c r="AH303" s="132">
        <f>IF($AD303&lt;=$C$25*12,SUM(Inputs!$C$61:$C$78)*'Forecast (By Month)'!AG303,"-")</f>
        <v>3045.0318635230196</v>
      </c>
      <c r="AI303" s="132">
        <f>IF($AD303&lt;=$C$25*12,(SUMIF(Inputs!$C$61:$C$78,0,Inputs!$F$61:$F$78)/12)*(1+$C$34)^ROUNDDOWN((AD303-1)/12,0),"-")</f>
        <v>1488.1666666666667</v>
      </c>
      <c r="AJ303" s="132">
        <f t="shared" si="129"/>
        <v>4533.1985301896866</v>
      </c>
      <c r="AK303" s="132">
        <f>IF($AD303&lt;=$C$25*12,'Mortgage Calculators (By Month)'!$J321,"-")</f>
        <v>0</v>
      </c>
      <c r="AL303" s="132">
        <f>IF($AD303&lt;=$C$25*12,'Mortgage Calculators (By Month)'!$K321,"-")</f>
        <v>0</v>
      </c>
      <c r="AM303" s="132">
        <f>IF($AD303&lt;=$C$25*12,'Mortgage Calculators (By Month)'!$L321,"-")</f>
        <v>10</v>
      </c>
      <c r="AN303" s="132">
        <f t="shared" si="139"/>
        <v>0</v>
      </c>
      <c r="AO303" s="132">
        <f t="shared" si="130"/>
        <v>4543.1985301896866</v>
      </c>
      <c r="AP303" s="132">
        <f t="shared" si="131"/>
        <v>23148.909320019582</v>
      </c>
      <c r="AQ303" s="132">
        <f t="shared" si="132"/>
        <v>0</v>
      </c>
      <c r="AR303" s="132">
        <f t="shared" si="113"/>
        <v>23148.909320019582</v>
      </c>
      <c r="AS303" s="132">
        <f>IF($AD303&lt;=$C$25*12,SUM(AR$5:AR303),"-")</f>
        <v>3905534.2393249129</v>
      </c>
      <c r="AT303" s="132">
        <f>IF($AD303&lt;=$C$25*12,AE303-$C$10-'RE Calculations'!$C490-'Mortgage Calculators (By Month)'!$M321,"-")</f>
        <v>3798413.2005068688</v>
      </c>
      <c r="AU303" s="29">
        <f t="shared" si="133"/>
        <v>2.372485411243451</v>
      </c>
      <c r="AV303" s="31">
        <f t="shared" si="134"/>
        <v>9.5216805802412749E-2</v>
      </c>
      <c r="AW303" s="132">
        <f t="shared" si="135"/>
        <v>7703947.4398317821</v>
      </c>
      <c r="AX303" s="29">
        <f t="shared" si="136"/>
        <v>4.811878525366394</v>
      </c>
      <c r="AY303" s="31">
        <f t="shared" si="137"/>
        <v>0.19311887058326666</v>
      </c>
    </row>
    <row r="304" spans="6:51" x14ac:dyDescent="0.35">
      <c r="F304" s="12">
        <f t="shared" si="114"/>
        <v>300</v>
      </c>
      <c r="G304" s="132">
        <f t="shared" si="115"/>
        <v>5536690.3283705804</v>
      </c>
      <c r="H304" s="132">
        <f>IF($F304&lt;=$C$16*12,$G304-$C$7+SUM('Mortgage Calculators (By Month)'!$D$23:$D322),"-")</f>
        <v>5536690.3283705804</v>
      </c>
      <c r="I304" s="132">
        <f t="shared" si="116"/>
        <v>27682.107850209268</v>
      </c>
      <c r="J304" s="132">
        <f>IF($F304&lt;=$C$16*12,SUM(Inputs!$C$61:$C$78)*'Forecast (By Month)'!I304,"-")</f>
        <v>3045.0318635230196</v>
      </c>
      <c r="K304" s="132">
        <f>IF($F304&lt;=$C$16*12,(SUMIF(Inputs!$C$61:$C$78,0,Inputs!$F$61:$F$78)/12)*(1+$C$34)^ROUNDDOWN((F304-1)/12,0),"-")</f>
        <v>1488.1666666666667</v>
      </c>
      <c r="L304" s="132">
        <f t="shared" si="117"/>
        <v>4533.1985301896866</v>
      </c>
      <c r="M304" s="132">
        <f>IF($F304&lt;=$C$16*12,'Mortgage Calculators (By Month)'!$C322,"-")</f>
        <v>0</v>
      </c>
      <c r="N304" s="132">
        <f>IF($F304&lt;=$C$16*12,'Mortgage Calculators (By Month)'!$D322,"-")</f>
        <v>0</v>
      </c>
      <c r="O304" s="132">
        <f>IF($F304&lt;=$C$16*12,'Mortgage Calculators (By Month)'!$E322,"-")</f>
        <v>8.3333333333333339</v>
      </c>
      <c r="P304" s="132">
        <f t="shared" si="138"/>
        <v>0</v>
      </c>
      <c r="Q304" s="132">
        <f t="shared" si="118"/>
        <v>4541.5318635230196</v>
      </c>
      <c r="R304" s="132">
        <f t="shared" si="119"/>
        <v>23148.909320019582</v>
      </c>
      <c r="S304" s="132">
        <f t="shared" si="120"/>
        <v>0</v>
      </c>
      <c r="T304" s="132">
        <f t="shared" si="112"/>
        <v>23148.909320019582</v>
      </c>
      <c r="U304" s="132">
        <f>IF($F304&lt;=$C$16*12,SUM(T$5:T304),"-")</f>
        <v>3928693.1486449325</v>
      </c>
      <c r="V304" s="132">
        <f>IF($F304&lt;=$C$16*12,G304-$C$10-'RE Calculations'!$C491-'Mortgage Calculators (By Month)'!$F322,"-")</f>
        <v>3820429.5218031676</v>
      </c>
      <c r="W304" s="29">
        <f t="shared" si="121"/>
        <v>2.3862367853903574</v>
      </c>
      <c r="X304" s="31">
        <f t="shared" si="122"/>
        <v>9.5449471415614301E-2</v>
      </c>
      <c r="Y304" s="132">
        <f t="shared" si="123"/>
        <v>7749122.6704481002</v>
      </c>
      <c r="Z304" s="29">
        <f t="shared" si="124"/>
        <v>4.8400949330948819</v>
      </c>
      <c r="AA304" s="31">
        <f t="shared" si="125"/>
        <v>0.19360379732379529</v>
      </c>
      <c r="AD304" s="12">
        <f t="shared" si="126"/>
        <v>300</v>
      </c>
      <c r="AE304" s="132">
        <f t="shared" si="127"/>
        <v>5536690.3283705804</v>
      </c>
      <c r="AF304" s="132">
        <f>IF($AD304&lt;=$C$25*12,$AE304-$C$7+SUM('Mortgage Calculators (By Month)'!$K$23:$K322),"-")</f>
        <v>5536690.3283705804</v>
      </c>
      <c r="AG304" s="132">
        <f t="shared" si="128"/>
        <v>27682.107850209268</v>
      </c>
      <c r="AH304" s="132">
        <f>IF($AD304&lt;=$C$25*12,SUM(Inputs!$C$61:$C$78)*'Forecast (By Month)'!AG304,"-")</f>
        <v>3045.0318635230196</v>
      </c>
      <c r="AI304" s="132">
        <f>IF($AD304&lt;=$C$25*12,(SUMIF(Inputs!$C$61:$C$78,0,Inputs!$F$61:$F$78)/12)*(1+$C$34)^ROUNDDOWN((AD304-1)/12,0),"-")</f>
        <v>1488.1666666666667</v>
      </c>
      <c r="AJ304" s="132">
        <f t="shared" si="129"/>
        <v>4533.1985301896866</v>
      </c>
      <c r="AK304" s="132">
        <f>IF($AD304&lt;=$C$25*12,'Mortgage Calculators (By Month)'!$J322,"-")</f>
        <v>0</v>
      </c>
      <c r="AL304" s="132">
        <f>IF($AD304&lt;=$C$25*12,'Mortgage Calculators (By Month)'!$K322,"-")</f>
        <v>0</v>
      </c>
      <c r="AM304" s="132">
        <f>IF($AD304&lt;=$C$25*12,'Mortgage Calculators (By Month)'!$L322,"-")</f>
        <v>10</v>
      </c>
      <c r="AN304" s="132">
        <f t="shared" si="139"/>
        <v>0</v>
      </c>
      <c r="AO304" s="132">
        <f t="shared" si="130"/>
        <v>4543.1985301896866</v>
      </c>
      <c r="AP304" s="132">
        <f t="shared" si="131"/>
        <v>23148.909320019582</v>
      </c>
      <c r="AQ304" s="132">
        <f t="shared" si="132"/>
        <v>0</v>
      </c>
      <c r="AR304" s="132">
        <f t="shared" si="113"/>
        <v>23148.909320019582</v>
      </c>
      <c r="AS304" s="132">
        <f>IF($AD304&lt;=$C$25*12,SUM(AR$5:AR304),"-")</f>
        <v>3928683.1486449325</v>
      </c>
      <c r="AT304" s="132">
        <f>IF($AD304&lt;=$C$25*12,AE304-$C$10-'RE Calculations'!$C491-'Mortgage Calculators (By Month)'!$M322,"-")</f>
        <v>3820429.5218031676</v>
      </c>
      <c r="AU304" s="29">
        <f t="shared" si="133"/>
        <v>2.3862367853903574</v>
      </c>
      <c r="AV304" s="31">
        <f t="shared" si="134"/>
        <v>9.5449471415614301E-2</v>
      </c>
      <c r="AW304" s="132">
        <f t="shared" si="135"/>
        <v>7749112.6704481002</v>
      </c>
      <c r="AX304" s="29">
        <f t="shared" si="136"/>
        <v>4.8400886871040276</v>
      </c>
      <c r="AY304" s="31">
        <f t="shared" si="137"/>
        <v>0.19360354748416111</v>
      </c>
    </row>
    <row r="305" spans="6:51" x14ac:dyDescent="0.35">
      <c r="F305" s="12">
        <f t="shared" si="114"/>
        <v>301</v>
      </c>
      <c r="G305" s="132">
        <f t="shared" si="115"/>
        <v>5559247.4901200905</v>
      </c>
      <c r="H305" s="132">
        <f>IF($F305&lt;=$C$16*12,$G305-$C$7+SUM('Mortgage Calculators (By Month)'!$D$23:$D323),"-")</f>
        <v>5559247.4901200905</v>
      </c>
      <c r="I305" s="132">
        <f t="shared" si="116"/>
        <v>29066.213242719732</v>
      </c>
      <c r="J305" s="132">
        <f>IF($F305&lt;=$C$16*12,SUM(Inputs!$C$61:$C$78)*'Forecast (By Month)'!I305,"-")</f>
        <v>3197.2834566991705</v>
      </c>
      <c r="K305" s="132">
        <f>IF($F305&lt;=$C$16*12,(SUMIF(Inputs!$C$61:$C$78,0,Inputs!$F$61:$F$78)/12)*(1+$C$34)^ROUNDDOWN((F305-1)/12,0),"-")</f>
        <v>1488.1666666666667</v>
      </c>
      <c r="L305" s="132">
        <f t="shared" si="117"/>
        <v>4685.4501233658375</v>
      </c>
      <c r="M305" s="132">
        <f>IF($F305&lt;=$C$16*12,'Mortgage Calculators (By Month)'!$C323,"-")</f>
        <v>0</v>
      </c>
      <c r="N305" s="132">
        <f>IF($F305&lt;=$C$16*12,'Mortgage Calculators (By Month)'!$D323,"-")</f>
        <v>0</v>
      </c>
      <c r="O305" s="132">
        <f>IF($F305&lt;=$C$16*12,'Mortgage Calculators (By Month)'!$E323,"-")</f>
        <v>8.3333333333333339</v>
      </c>
      <c r="P305" s="132">
        <f t="shared" si="138"/>
        <v>0</v>
      </c>
      <c r="Q305" s="132">
        <f t="shared" si="118"/>
        <v>4693.7834566991705</v>
      </c>
      <c r="R305" s="132">
        <f t="shared" si="119"/>
        <v>24380.763119353895</v>
      </c>
      <c r="S305" s="132">
        <f t="shared" si="120"/>
        <v>0</v>
      </c>
      <c r="T305" s="132">
        <f t="shared" si="112"/>
        <v>24380.763119353895</v>
      </c>
      <c r="U305" s="132">
        <f>IF($F305&lt;=$C$16*12,SUM(T$5:T305),"-")</f>
        <v>3953073.9117642865</v>
      </c>
      <c r="V305" s="132">
        <f>IF($F305&lt;=$C$16*12,G305-$C$10-'RE Calculations'!$C492-'Mortgage Calculators (By Month)'!$F323,"-")</f>
        <v>3842535.5403176872</v>
      </c>
      <c r="W305" s="29">
        <f t="shared" si="121"/>
        <v>2.4000441843377329</v>
      </c>
      <c r="X305" s="31">
        <f t="shared" si="122"/>
        <v>9.5682824624760118E-2</v>
      </c>
      <c r="Y305" s="132">
        <f t="shared" si="123"/>
        <v>7795609.4520819737</v>
      </c>
      <c r="Z305" s="29">
        <f t="shared" si="124"/>
        <v>4.8691305343894724</v>
      </c>
      <c r="AA305" s="31">
        <f t="shared" si="125"/>
        <v>0.19411816083944741</v>
      </c>
      <c r="AD305" s="12">
        <f t="shared" si="126"/>
        <v>301</v>
      </c>
      <c r="AE305" s="132">
        <f t="shared" si="127"/>
        <v>5559247.4901200905</v>
      </c>
      <c r="AF305" s="132">
        <f>IF($AD305&lt;=$C$25*12,$AE305-$C$7+SUM('Mortgage Calculators (By Month)'!$K$23:$K323),"-")</f>
        <v>5559247.4901200905</v>
      </c>
      <c r="AG305" s="132">
        <f t="shared" si="128"/>
        <v>29066.213242719732</v>
      </c>
      <c r="AH305" s="132">
        <f>IF($AD305&lt;=$C$25*12,SUM(Inputs!$C$61:$C$78)*'Forecast (By Month)'!AG305,"-")</f>
        <v>3197.2834566991705</v>
      </c>
      <c r="AI305" s="132">
        <f>IF($AD305&lt;=$C$25*12,(SUMIF(Inputs!$C$61:$C$78,0,Inputs!$F$61:$F$78)/12)*(1+$C$34)^ROUNDDOWN((AD305-1)/12,0),"-")</f>
        <v>1488.1666666666667</v>
      </c>
      <c r="AJ305" s="132">
        <f t="shared" si="129"/>
        <v>4685.4501233658375</v>
      </c>
      <c r="AK305" s="132">
        <f>IF($AD305&lt;=$C$25*12,'Mortgage Calculators (By Month)'!$J323,"-")</f>
        <v>0</v>
      </c>
      <c r="AL305" s="132">
        <f>IF($AD305&lt;=$C$25*12,'Mortgage Calculators (By Month)'!$K323,"-")</f>
        <v>0</v>
      </c>
      <c r="AM305" s="132">
        <f>IF($AD305&lt;=$C$25*12,'Mortgage Calculators (By Month)'!$L323,"-")</f>
        <v>10</v>
      </c>
      <c r="AN305" s="132">
        <f t="shared" si="139"/>
        <v>0</v>
      </c>
      <c r="AO305" s="132">
        <f t="shared" si="130"/>
        <v>4695.4501233658375</v>
      </c>
      <c r="AP305" s="132">
        <f t="shared" si="131"/>
        <v>24380.763119353895</v>
      </c>
      <c r="AQ305" s="132">
        <f t="shared" si="132"/>
        <v>0</v>
      </c>
      <c r="AR305" s="132">
        <f t="shared" si="113"/>
        <v>24380.763119353895</v>
      </c>
      <c r="AS305" s="132">
        <f>IF($AD305&lt;=$C$25*12,SUM(AR$5:AR305),"-")</f>
        <v>3953063.9117642865</v>
      </c>
      <c r="AT305" s="132">
        <f>IF($AD305&lt;=$C$25*12,AE305-$C$10-'RE Calculations'!$C492-'Mortgage Calculators (By Month)'!$M323,"-")</f>
        <v>3842535.5403176872</v>
      </c>
      <c r="AU305" s="29">
        <f t="shared" si="133"/>
        <v>2.4000441843377329</v>
      </c>
      <c r="AV305" s="31">
        <f t="shared" si="134"/>
        <v>9.5682824624760118E-2</v>
      </c>
      <c r="AW305" s="132">
        <f t="shared" si="135"/>
        <v>7795599.4520819737</v>
      </c>
      <c r="AX305" s="29">
        <f t="shared" si="136"/>
        <v>4.8691242883986181</v>
      </c>
      <c r="AY305" s="31">
        <f t="shared" si="137"/>
        <v>0.19411791182984525</v>
      </c>
    </row>
    <row r="306" spans="6:51" x14ac:dyDescent="0.35">
      <c r="F306" s="12">
        <f t="shared" si="114"/>
        <v>302</v>
      </c>
      <c r="G306" s="132">
        <f t="shared" si="115"/>
        <v>5581896.5525387758</v>
      </c>
      <c r="H306" s="132">
        <f>IF($F306&lt;=$C$16*12,$G306-$C$7+SUM('Mortgage Calculators (By Month)'!$D$23:$D324),"-")</f>
        <v>5581896.5525387758</v>
      </c>
      <c r="I306" s="132">
        <f t="shared" si="116"/>
        <v>29066.213242719732</v>
      </c>
      <c r="J306" s="132">
        <f>IF($F306&lt;=$C$16*12,SUM(Inputs!$C$61:$C$78)*'Forecast (By Month)'!I306,"-")</f>
        <v>3197.2834566991705</v>
      </c>
      <c r="K306" s="132">
        <f>IF($F306&lt;=$C$16*12,(SUMIF(Inputs!$C$61:$C$78,0,Inputs!$F$61:$F$78)/12)*(1+$C$34)^ROUNDDOWN((F306-1)/12,0),"-")</f>
        <v>1488.1666666666667</v>
      </c>
      <c r="L306" s="132">
        <f t="shared" si="117"/>
        <v>4685.4501233658375</v>
      </c>
      <c r="M306" s="132">
        <f>IF($F306&lt;=$C$16*12,'Mortgage Calculators (By Month)'!$C324,"-")</f>
        <v>0</v>
      </c>
      <c r="N306" s="132">
        <f>IF($F306&lt;=$C$16*12,'Mortgage Calculators (By Month)'!$D324,"-")</f>
        <v>0</v>
      </c>
      <c r="O306" s="132">
        <f>IF($F306&lt;=$C$16*12,'Mortgage Calculators (By Month)'!$E324,"-")</f>
        <v>8.3333333333333339</v>
      </c>
      <c r="P306" s="132">
        <f t="shared" si="138"/>
        <v>0</v>
      </c>
      <c r="Q306" s="132">
        <f t="shared" si="118"/>
        <v>4693.7834566991705</v>
      </c>
      <c r="R306" s="132">
        <f t="shared" si="119"/>
        <v>24380.763119353895</v>
      </c>
      <c r="S306" s="132">
        <f t="shared" si="120"/>
        <v>0</v>
      </c>
      <c r="T306" s="132">
        <f t="shared" si="112"/>
        <v>24380.763119353895</v>
      </c>
      <c r="U306" s="132">
        <f>IF($F306&lt;=$C$16*12,SUM(T$5:T306),"-")</f>
        <v>3977454.6748836404</v>
      </c>
      <c r="V306" s="132">
        <f>IF($F306&lt;=$C$16*12,G306-$C$10-'RE Calculations'!$C493-'Mortgage Calculators (By Month)'!$F324,"-")</f>
        <v>3864731.6214879989</v>
      </c>
      <c r="W306" s="29">
        <f t="shared" si="121"/>
        <v>2.4139078363375503</v>
      </c>
      <c r="X306" s="31">
        <f t="shared" si="122"/>
        <v>9.5916867669041728E-2</v>
      </c>
      <c r="Y306" s="132">
        <f t="shared" si="123"/>
        <v>7842186.2963716388</v>
      </c>
      <c r="Z306" s="29">
        <f t="shared" si="124"/>
        <v>4.898222388736504</v>
      </c>
      <c r="AA306" s="31">
        <f t="shared" si="125"/>
        <v>0.19463135319482797</v>
      </c>
      <c r="AD306" s="12">
        <f t="shared" si="126"/>
        <v>302</v>
      </c>
      <c r="AE306" s="132">
        <f t="shared" si="127"/>
        <v>5581896.5525387758</v>
      </c>
      <c r="AF306" s="132">
        <f>IF($AD306&lt;=$C$25*12,$AE306-$C$7+SUM('Mortgage Calculators (By Month)'!$K$23:$K324),"-")</f>
        <v>5581896.5525387758</v>
      </c>
      <c r="AG306" s="132">
        <f t="shared" si="128"/>
        <v>29066.213242719732</v>
      </c>
      <c r="AH306" s="132">
        <f>IF($AD306&lt;=$C$25*12,SUM(Inputs!$C$61:$C$78)*'Forecast (By Month)'!AG306,"-")</f>
        <v>3197.2834566991705</v>
      </c>
      <c r="AI306" s="132">
        <f>IF($AD306&lt;=$C$25*12,(SUMIF(Inputs!$C$61:$C$78,0,Inputs!$F$61:$F$78)/12)*(1+$C$34)^ROUNDDOWN((AD306-1)/12,0),"-")</f>
        <v>1488.1666666666667</v>
      </c>
      <c r="AJ306" s="132">
        <f t="shared" si="129"/>
        <v>4685.4501233658375</v>
      </c>
      <c r="AK306" s="132">
        <f>IF($AD306&lt;=$C$25*12,'Mortgage Calculators (By Month)'!$J324,"-")</f>
        <v>0</v>
      </c>
      <c r="AL306" s="132">
        <f>IF($AD306&lt;=$C$25*12,'Mortgage Calculators (By Month)'!$K324,"-")</f>
        <v>0</v>
      </c>
      <c r="AM306" s="132">
        <f>IF($AD306&lt;=$C$25*12,'Mortgage Calculators (By Month)'!$L324,"-")</f>
        <v>10</v>
      </c>
      <c r="AN306" s="132">
        <f t="shared" si="139"/>
        <v>0</v>
      </c>
      <c r="AO306" s="132">
        <f t="shared" si="130"/>
        <v>4695.4501233658375</v>
      </c>
      <c r="AP306" s="132">
        <f t="shared" si="131"/>
        <v>24380.763119353895</v>
      </c>
      <c r="AQ306" s="132">
        <f t="shared" si="132"/>
        <v>0</v>
      </c>
      <c r="AR306" s="132">
        <f t="shared" si="113"/>
        <v>24380.763119353895</v>
      </c>
      <c r="AS306" s="132">
        <f>IF($AD306&lt;=$C$25*12,SUM(AR$5:AR306),"-")</f>
        <v>3977444.6748836404</v>
      </c>
      <c r="AT306" s="132">
        <f>IF($AD306&lt;=$C$25*12,AE306-$C$10-'RE Calculations'!$C493-'Mortgage Calculators (By Month)'!$M324,"-")</f>
        <v>3864731.6214879989</v>
      </c>
      <c r="AU306" s="29">
        <f t="shared" si="133"/>
        <v>2.4139078363375503</v>
      </c>
      <c r="AV306" s="31">
        <f t="shared" si="134"/>
        <v>9.5916867669041728E-2</v>
      </c>
      <c r="AW306" s="132">
        <f t="shared" si="135"/>
        <v>7842176.2963716388</v>
      </c>
      <c r="AX306" s="29">
        <f t="shared" si="136"/>
        <v>4.8982161427456496</v>
      </c>
      <c r="AY306" s="31">
        <f t="shared" si="137"/>
        <v>0.19463110500976091</v>
      </c>
    </row>
    <row r="307" spans="6:51" x14ac:dyDescent="0.35">
      <c r="F307" s="12">
        <f t="shared" si="114"/>
        <v>303</v>
      </c>
      <c r="G307" s="132">
        <f t="shared" si="115"/>
        <v>5604637.8900413392</v>
      </c>
      <c r="H307" s="132">
        <f>IF($F307&lt;=$C$16*12,$G307-$C$7+SUM('Mortgage Calculators (By Month)'!$D$23:$D325),"-")</f>
        <v>5604637.8900413392</v>
      </c>
      <c r="I307" s="132">
        <f t="shared" si="116"/>
        <v>29066.213242719732</v>
      </c>
      <c r="J307" s="132">
        <f>IF($F307&lt;=$C$16*12,SUM(Inputs!$C$61:$C$78)*'Forecast (By Month)'!I307,"-")</f>
        <v>3197.2834566991705</v>
      </c>
      <c r="K307" s="132">
        <f>IF($F307&lt;=$C$16*12,(SUMIF(Inputs!$C$61:$C$78,0,Inputs!$F$61:$F$78)/12)*(1+$C$34)^ROUNDDOWN((F307-1)/12,0),"-")</f>
        <v>1488.1666666666667</v>
      </c>
      <c r="L307" s="132">
        <f t="shared" si="117"/>
        <v>4685.4501233658375</v>
      </c>
      <c r="M307" s="132">
        <f>IF($F307&lt;=$C$16*12,'Mortgage Calculators (By Month)'!$C325,"-")</f>
        <v>0</v>
      </c>
      <c r="N307" s="132">
        <f>IF($F307&lt;=$C$16*12,'Mortgage Calculators (By Month)'!$D325,"-")</f>
        <v>0</v>
      </c>
      <c r="O307" s="132">
        <f>IF($F307&lt;=$C$16*12,'Mortgage Calculators (By Month)'!$E325,"-")</f>
        <v>8.3333333333333339</v>
      </c>
      <c r="P307" s="132">
        <f t="shared" si="138"/>
        <v>0</v>
      </c>
      <c r="Q307" s="132">
        <f t="shared" si="118"/>
        <v>4693.7834566991705</v>
      </c>
      <c r="R307" s="132">
        <f t="shared" si="119"/>
        <v>24380.763119353895</v>
      </c>
      <c r="S307" s="132">
        <f t="shared" si="120"/>
        <v>0</v>
      </c>
      <c r="T307" s="132">
        <f t="shared" si="112"/>
        <v>24380.763119353895</v>
      </c>
      <c r="U307" s="132">
        <f>IF($F307&lt;=$C$16*12,SUM(T$5:T307),"-")</f>
        <v>4001835.4380029943</v>
      </c>
      <c r="V307" s="132">
        <f>IF($F307&lt;=$C$16*12,G307-$C$10-'RE Calculations'!$C494-'Mortgage Calculators (By Month)'!$F325,"-")</f>
        <v>3887018.132240511</v>
      </c>
      <c r="W307" s="29">
        <f t="shared" si="121"/>
        <v>2.4278279705717085</v>
      </c>
      <c r="X307" s="31">
        <f t="shared" si="122"/>
        <v>9.6151602794919147E-2</v>
      </c>
      <c r="Y307" s="132">
        <f t="shared" si="123"/>
        <v>7888853.5702435058</v>
      </c>
      <c r="Z307" s="29">
        <f t="shared" si="124"/>
        <v>4.9273707253178776</v>
      </c>
      <c r="AA307" s="31">
        <f t="shared" si="125"/>
        <v>0.19514339506209416</v>
      </c>
      <c r="AD307" s="12">
        <f t="shared" si="126"/>
        <v>303</v>
      </c>
      <c r="AE307" s="132">
        <f t="shared" si="127"/>
        <v>5604637.8900413392</v>
      </c>
      <c r="AF307" s="132">
        <f>IF($AD307&lt;=$C$25*12,$AE307-$C$7+SUM('Mortgage Calculators (By Month)'!$K$23:$K325),"-")</f>
        <v>5604637.8900413392</v>
      </c>
      <c r="AG307" s="132">
        <f t="shared" si="128"/>
        <v>29066.213242719732</v>
      </c>
      <c r="AH307" s="132">
        <f>IF($AD307&lt;=$C$25*12,SUM(Inputs!$C$61:$C$78)*'Forecast (By Month)'!AG307,"-")</f>
        <v>3197.2834566991705</v>
      </c>
      <c r="AI307" s="132">
        <f>IF($AD307&lt;=$C$25*12,(SUMIF(Inputs!$C$61:$C$78,0,Inputs!$F$61:$F$78)/12)*(1+$C$34)^ROUNDDOWN((AD307-1)/12,0),"-")</f>
        <v>1488.1666666666667</v>
      </c>
      <c r="AJ307" s="132">
        <f t="shared" si="129"/>
        <v>4685.4501233658375</v>
      </c>
      <c r="AK307" s="132">
        <f>IF($AD307&lt;=$C$25*12,'Mortgage Calculators (By Month)'!$J325,"-")</f>
        <v>0</v>
      </c>
      <c r="AL307" s="132">
        <f>IF($AD307&lt;=$C$25*12,'Mortgage Calculators (By Month)'!$K325,"-")</f>
        <v>0</v>
      </c>
      <c r="AM307" s="132">
        <f>IF($AD307&lt;=$C$25*12,'Mortgage Calculators (By Month)'!$L325,"-")</f>
        <v>10</v>
      </c>
      <c r="AN307" s="132">
        <f t="shared" si="139"/>
        <v>0</v>
      </c>
      <c r="AO307" s="132">
        <f t="shared" si="130"/>
        <v>4695.4501233658375</v>
      </c>
      <c r="AP307" s="132">
        <f t="shared" si="131"/>
        <v>24380.763119353895</v>
      </c>
      <c r="AQ307" s="132">
        <f t="shared" si="132"/>
        <v>0</v>
      </c>
      <c r="AR307" s="132">
        <f t="shared" si="113"/>
        <v>24380.763119353895</v>
      </c>
      <c r="AS307" s="132">
        <f>IF($AD307&lt;=$C$25*12,SUM(AR$5:AR307),"-")</f>
        <v>4001825.4380029943</v>
      </c>
      <c r="AT307" s="132">
        <f>IF($AD307&lt;=$C$25*12,AE307-$C$10-'RE Calculations'!$C494-'Mortgage Calculators (By Month)'!$M325,"-")</f>
        <v>3887018.132240511</v>
      </c>
      <c r="AU307" s="29">
        <f t="shared" si="133"/>
        <v>2.4278279705717085</v>
      </c>
      <c r="AV307" s="31">
        <f t="shared" si="134"/>
        <v>9.6151602794919147E-2</v>
      </c>
      <c r="AW307" s="132">
        <f t="shared" si="135"/>
        <v>7888843.5702435058</v>
      </c>
      <c r="AX307" s="29">
        <f t="shared" si="136"/>
        <v>4.9273644793270233</v>
      </c>
      <c r="AY307" s="31">
        <f t="shared" si="137"/>
        <v>0.19514314769611973</v>
      </c>
    </row>
    <row r="308" spans="6:51" x14ac:dyDescent="0.35">
      <c r="F308" s="12">
        <f t="shared" si="114"/>
        <v>304</v>
      </c>
      <c r="G308" s="132">
        <f t="shared" si="115"/>
        <v>5627471.8785678931</v>
      </c>
      <c r="H308" s="132">
        <f>IF($F308&lt;=$C$16*12,$G308-$C$7+SUM('Mortgage Calculators (By Month)'!$D$23:$D326),"-")</f>
        <v>5627471.8785678931</v>
      </c>
      <c r="I308" s="132">
        <f t="shared" si="116"/>
        <v>29066.213242719732</v>
      </c>
      <c r="J308" s="132">
        <f>IF($F308&lt;=$C$16*12,SUM(Inputs!$C$61:$C$78)*'Forecast (By Month)'!I308,"-")</f>
        <v>3197.2834566991705</v>
      </c>
      <c r="K308" s="132">
        <f>IF($F308&lt;=$C$16*12,(SUMIF(Inputs!$C$61:$C$78,0,Inputs!$F$61:$F$78)/12)*(1+$C$34)^ROUNDDOWN((F308-1)/12,0),"-")</f>
        <v>1488.1666666666667</v>
      </c>
      <c r="L308" s="132">
        <f t="shared" si="117"/>
        <v>4685.4501233658375</v>
      </c>
      <c r="M308" s="132">
        <f>IF($F308&lt;=$C$16*12,'Mortgage Calculators (By Month)'!$C326,"-")</f>
        <v>0</v>
      </c>
      <c r="N308" s="132">
        <f>IF($F308&lt;=$C$16*12,'Mortgage Calculators (By Month)'!$D326,"-")</f>
        <v>0</v>
      </c>
      <c r="O308" s="132">
        <f>IF($F308&lt;=$C$16*12,'Mortgage Calculators (By Month)'!$E326,"-")</f>
        <v>8.3333333333333339</v>
      </c>
      <c r="P308" s="132">
        <f t="shared" si="138"/>
        <v>0</v>
      </c>
      <c r="Q308" s="132">
        <f t="shared" si="118"/>
        <v>4693.7834566991705</v>
      </c>
      <c r="R308" s="132">
        <f t="shared" si="119"/>
        <v>24380.763119353895</v>
      </c>
      <c r="S308" s="132">
        <f t="shared" si="120"/>
        <v>0</v>
      </c>
      <c r="T308" s="132">
        <f t="shared" si="112"/>
        <v>24380.763119353895</v>
      </c>
      <c r="U308" s="132">
        <f>IF($F308&lt;=$C$16*12,SUM(T$5:T308),"-")</f>
        <v>4026216.2011223482</v>
      </c>
      <c r="V308" s="132">
        <f>IF($F308&lt;=$C$16*12,G308-$C$10-'RE Calculations'!$C495-'Mortgage Calculators (By Month)'!$F326,"-")</f>
        <v>3909395.4409965337</v>
      </c>
      <c r="W308" s="29">
        <f t="shared" si="121"/>
        <v>2.4418048171558215</v>
      </c>
      <c r="X308" s="31">
        <f t="shared" si="122"/>
        <v>9.6387032256150848E-2</v>
      </c>
      <c r="Y308" s="132">
        <f t="shared" si="123"/>
        <v>7935611.6421188824</v>
      </c>
      <c r="Z308" s="29">
        <f t="shared" si="124"/>
        <v>4.9565757742492051</v>
      </c>
      <c r="AA308" s="31">
        <f t="shared" si="125"/>
        <v>0.19565430687825811</v>
      </c>
      <c r="AD308" s="12">
        <f t="shared" si="126"/>
        <v>304</v>
      </c>
      <c r="AE308" s="132">
        <f t="shared" si="127"/>
        <v>5627471.8785678931</v>
      </c>
      <c r="AF308" s="132">
        <f>IF($AD308&lt;=$C$25*12,$AE308-$C$7+SUM('Mortgage Calculators (By Month)'!$K$23:$K326),"-")</f>
        <v>5627471.8785678931</v>
      </c>
      <c r="AG308" s="132">
        <f t="shared" si="128"/>
        <v>29066.213242719732</v>
      </c>
      <c r="AH308" s="132">
        <f>IF($AD308&lt;=$C$25*12,SUM(Inputs!$C$61:$C$78)*'Forecast (By Month)'!AG308,"-")</f>
        <v>3197.2834566991705</v>
      </c>
      <c r="AI308" s="132">
        <f>IF($AD308&lt;=$C$25*12,(SUMIF(Inputs!$C$61:$C$78,0,Inputs!$F$61:$F$78)/12)*(1+$C$34)^ROUNDDOWN((AD308-1)/12,0),"-")</f>
        <v>1488.1666666666667</v>
      </c>
      <c r="AJ308" s="132">
        <f t="shared" si="129"/>
        <v>4685.4501233658375</v>
      </c>
      <c r="AK308" s="132">
        <f>IF($AD308&lt;=$C$25*12,'Mortgage Calculators (By Month)'!$J326,"-")</f>
        <v>0</v>
      </c>
      <c r="AL308" s="132">
        <f>IF($AD308&lt;=$C$25*12,'Mortgage Calculators (By Month)'!$K326,"-")</f>
        <v>0</v>
      </c>
      <c r="AM308" s="132">
        <f>IF($AD308&lt;=$C$25*12,'Mortgage Calculators (By Month)'!$L326,"-")</f>
        <v>10</v>
      </c>
      <c r="AN308" s="132">
        <f t="shared" si="139"/>
        <v>0</v>
      </c>
      <c r="AO308" s="132">
        <f t="shared" si="130"/>
        <v>4695.4501233658375</v>
      </c>
      <c r="AP308" s="132">
        <f t="shared" si="131"/>
        <v>24380.763119353895</v>
      </c>
      <c r="AQ308" s="132">
        <f t="shared" si="132"/>
        <v>0</v>
      </c>
      <c r="AR308" s="132">
        <f t="shared" si="113"/>
        <v>24380.763119353895</v>
      </c>
      <c r="AS308" s="132">
        <f>IF($AD308&lt;=$C$25*12,SUM(AR$5:AR308),"-")</f>
        <v>4026206.2011223482</v>
      </c>
      <c r="AT308" s="132">
        <f>IF($AD308&lt;=$C$25*12,AE308-$C$10-'RE Calculations'!$C495-'Mortgage Calculators (By Month)'!$M326,"-")</f>
        <v>3909395.4409965337</v>
      </c>
      <c r="AU308" s="29">
        <f t="shared" si="133"/>
        <v>2.4418048171558215</v>
      </c>
      <c r="AV308" s="31">
        <f t="shared" si="134"/>
        <v>9.6387032256150848E-2</v>
      </c>
      <c r="AW308" s="132">
        <f t="shared" si="135"/>
        <v>7935601.6421188824</v>
      </c>
      <c r="AX308" s="29">
        <f t="shared" si="136"/>
        <v>4.9565695282583508</v>
      </c>
      <c r="AY308" s="31">
        <f t="shared" si="137"/>
        <v>0.19565406032598753</v>
      </c>
    </row>
    <row r="309" spans="6:51" x14ac:dyDescent="0.35">
      <c r="F309" s="12">
        <f t="shared" si="114"/>
        <v>305</v>
      </c>
      <c r="G309" s="132">
        <f t="shared" si="115"/>
        <v>5650398.8955901787</v>
      </c>
      <c r="H309" s="132">
        <f>IF($F309&lt;=$C$16*12,$G309-$C$7+SUM('Mortgage Calculators (By Month)'!$D$23:$D327),"-")</f>
        <v>5650398.8955901787</v>
      </c>
      <c r="I309" s="132">
        <f t="shared" si="116"/>
        <v>29066.213242719732</v>
      </c>
      <c r="J309" s="132">
        <f>IF($F309&lt;=$C$16*12,SUM(Inputs!$C$61:$C$78)*'Forecast (By Month)'!I309,"-")</f>
        <v>3197.2834566991705</v>
      </c>
      <c r="K309" s="132">
        <f>IF($F309&lt;=$C$16*12,(SUMIF(Inputs!$C$61:$C$78,0,Inputs!$F$61:$F$78)/12)*(1+$C$34)^ROUNDDOWN((F309-1)/12,0),"-")</f>
        <v>1488.1666666666667</v>
      </c>
      <c r="L309" s="132">
        <f t="shared" si="117"/>
        <v>4685.4501233658375</v>
      </c>
      <c r="M309" s="132">
        <f>IF($F309&lt;=$C$16*12,'Mortgage Calculators (By Month)'!$C327,"-")</f>
        <v>0</v>
      </c>
      <c r="N309" s="132">
        <f>IF($F309&lt;=$C$16*12,'Mortgage Calculators (By Month)'!$D327,"-")</f>
        <v>0</v>
      </c>
      <c r="O309" s="132">
        <f>IF($F309&lt;=$C$16*12,'Mortgage Calculators (By Month)'!$E327,"-")</f>
        <v>8.3333333333333339</v>
      </c>
      <c r="P309" s="132">
        <f t="shared" si="138"/>
        <v>0</v>
      </c>
      <c r="Q309" s="132">
        <f t="shared" si="118"/>
        <v>4693.7834566991705</v>
      </c>
      <c r="R309" s="132">
        <f t="shared" si="119"/>
        <v>24380.763119353895</v>
      </c>
      <c r="S309" s="132">
        <f t="shared" si="120"/>
        <v>0</v>
      </c>
      <c r="T309" s="132">
        <f t="shared" si="112"/>
        <v>24380.763119353895</v>
      </c>
      <c r="U309" s="132">
        <f>IF($F309&lt;=$C$16*12,SUM(T$5:T309),"-")</f>
        <v>4050596.9642417021</v>
      </c>
      <c r="V309" s="132">
        <f>IF($F309&lt;=$C$16*12,G309-$C$10-'RE Calculations'!$C496-'Mortgage Calculators (By Month)'!$F327,"-")</f>
        <v>3931863.9176783739</v>
      </c>
      <c r="W309" s="29">
        <f t="shared" si="121"/>
        <v>2.4558386071430238</v>
      </c>
      <c r="X309" s="31">
        <f t="shared" si="122"/>
        <v>9.6623158313823884E-2</v>
      </c>
      <c r="Y309" s="132">
        <f t="shared" si="123"/>
        <v>7982460.881920076</v>
      </c>
      <c r="Z309" s="29">
        <f t="shared" si="124"/>
        <v>4.9858377665836215</v>
      </c>
      <c r="AA309" s="31">
        <f t="shared" si="125"/>
        <v>0.19616410884919167</v>
      </c>
      <c r="AD309" s="12">
        <f t="shared" si="126"/>
        <v>305</v>
      </c>
      <c r="AE309" s="132">
        <f t="shared" si="127"/>
        <v>5650398.8955901787</v>
      </c>
      <c r="AF309" s="132">
        <f>IF($AD309&lt;=$C$25*12,$AE309-$C$7+SUM('Mortgage Calculators (By Month)'!$K$23:$K327),"-")</f>
        <v>5650398.8955901787</v>
      </c>
      <c r="AG309" s="132">
        <f t="shared" si="128"/>
        <v>29066.213242719732</v>
      </c>
      <c r="AH309" s="132">
        <f>IF($AD309&lt;=$C$25*12,SUM(Inputs!$C$61:$C$78)*'Forecast (By Month)'!AG309,"-")</f>
        <v>3197.2834566991705</v>
      </c>
      <c r="AI309" s="132">
        <f>IF($AD309&lt;=$C$25*12,(SUMIF(Inputs!$C$61:$C$78,0,Inputs!$F$61:$F$78)/12)*(1+$C$34)^ROUNDDOWN((AD309-1)/12,0),"-")</f>
        <v>1488.1666666666667</v>
      </c>
      <c r="AJ309" s="132">
        <f t="shared" si="129"/>
        <v>4685.4501233658375</v>
      </c>
      <c r="AK309" s="132">
        <f>IF($AD309&lt;=$C$25*12,'Mortgage Calculators (By Month)'!$J327,"-")</f>
        <v>0</v>
      </c>
      <c r="AL309" s="132">
        <f>IF($AD309&lt;=$C$25*12,'Mortgage Calculators (By Month)'!$K327,"-")</f>
        <v>0</v>
      </c>
      <c r="AM309" s="132">
        <f>IF($AD309&lt;=$C$25*12,'Mortgage Calculators (By Month)'!$L327,"-")</f>
        <v>10</v>
      </c>
      <c r="AN309" s="132">
        <f t="shared" si="139"/>
        <v>0</v>
      </c>
      <c r="AO309" s="132">
        <f t="shared" si="130"/>
        <v>4695.4501233658375</v>
      </c>
      <c r="AP309" s="132">
        <f t="shared" si="131"/>
        <v>24380.763119353895</v>
      </c>
      <c r="AQ309" s="132">
        <f t="shared" si="132"/>
        <v>0</v>
      </c>
      <c r="AR309" s="132">
        <f t="shared" si="113"/>
        <v>24380.763119353895</v>
      </c>
      <c r="AS309" s="132">
        <f>IF($AD309&lt;=$C$25*12,SUM(AR$5:AR309),"-")</f>
        <v>4050586.9642417021</v>
      </c>
      <c r="AT309" s="132">
        <f>IF($AD309&lt;=$C$25*12,AE309-$C$10-'RE Calculations'!$C496-'Mortgage Calculators (By Month)'!$M327,"-")</f>
        <v>3931863.9176783739</v>
      </c>
      <c r="AU309" s="29">
        <f t="shared" si="133"/>
        <v>2.4558386071430238</v>
      </c>
      <c r="AV309" s="31">
        <f t="shared" si="134"/>
        <v>9.6623158313823884E-2</v>
      </c>
      <c r="AW309" s="132">
        <f t="shared" si="135"/>
        <v>7982450.881920076</v>
      </c>
      <c r="AX309" s="29">
        <f t="shared" si="136"/>
        <v>4.9858315205927672</v>
      </c>
      <c r="AY309" s="31">
        <f t="shared" si="137"/>
        <v>0.19616386310528919</v>
      </c>
    </row>
    <row r="310" spans="6:51" x14ac:dyDescent="0.35">
      <c r="F310" s="12">
        <f t="shared" si="114"/>
        <v>306</v>
      </c>
      <c r="G310" s="132">
        <f t="shared" si="115"/>
        <v>5673419.3201178033</v>
      </c>
      <c r="H310" s="132">
        <f>IF($F310&lt;=$C$16*12,$G310-$C$7+SUM('Mortgage Calculators (By Month)'!$D$23:$D328),"-")</f>
        <v>5673419.3201178033</v>
      </c>
      <c r="I310" s="132">
        <f t="shared" si="116"/>
        <v>29066.213242719732</v>
      </c>
      <c r="J310" s="132">
        <f>IF($F310&lt;=$C$16*12,SUM(Inputs!$C$61:$C$78)*'Forecast (By Month)'!I310,"-")</f>
        <v>3197.2834566991705</v>
      </c>
      <c r="K310" s="132">
        <f>IF($F310&lt;=$C$16*12,(SUMIF(Inputs!$C$61:$C$78,0,Inputs!$F$61:$F$78)/12)*(1+$C$34)^ROUNDDOWN((F310-1)/12,0),"-")</f>
        <v>1488.1666666666667</v>
      </c>
      <c r="L310" s="132">
        <f t="shared" si="117"/>
        <v>4685.4501233658375</v>
      </c>
      <c r="M310" s="132">
        <f>IF($F310&lt;=$C$16*12,'Mortgage Calculators (By Month)'!$C328,"-")</f>
        <v>0</v>
      </c>
      <c r="N310" s="132">
        <f>IF($F310&lt;=$C$16*12,'Mortgage Calculators (By Month)'!$D328,"-")</f>
        <v>0</v>
      </c>
      <c r="O310" s="132">
        <f>IF($F310&lt;=$C$16*12,'Mortgage Calculators (By Month)'!$E328,"-")</f>
        <v>8.3333333333333339</v>
      </c>
      <c r="P310" s="132">
        <f t="shared" si="138"/>
        <v>0</v>
      </c>
      <c r="Q310" s="132">
        <f t="shared" si="118"/>
        <v>4693.7834566991705</v>
      </c>
      <c r="R310" s="132">
        <f t="shared" si="119"/>
        <v>24380.763119353895</v>
      </c>
      <c r="S310" s="132">
        <f t="shared" si="120"/>
        <v>0</v>
      </c>
      <c r="T310" s="132">
        <f t="shared" si="112"/>
        <v>24380.763119353895</v>
      </c>
      <c r="U310" s="132">
        <f>IF($F310&lt;=$C$16*12,SUM(T$5:T310),"-")</f>
        <v>4074977.727361056</v>
      </c>
      <c r="V310" s="132">
        <f>IF($F310&lt;=$C$16*12,G310-$C$10-'RE Calculations'!$C497-'Mortgage Calculators (By Month)'!$F328,"-")</f>
        <v>3954423.9337154459</v>
      </c>
      <c r="W310" s="29">
        <f t="shared" si="121"/>
        <v>2.4699295725277874</v>
      </c>
      <c r="X310" s="31">
        <f t="shared" si="122"/>
        <v>9.6859983236383826E-2</v>
      </c>
      <c r="Y310" s="132">
        <f t="shared" si="123"/>
        <v>8029401.6610765019</v>
      </c>
      <c r="Z310" s="29">
        <f t="shared" si="124"/>
        <v>5.0151569343156002</v>
      </c>
      <c r="AA310" s="31">
        <f t="shared" si="125"/>
        <v>0.19667282095355296</v>
      </c>
      <c r="AD310" s="12">
        <f t="shared" si="126"/>
        <v>306</v>
      </c>
      <c r="AE310" s="132">
        <f t="shared" si="127"/>
        <v>5673419.3201178033</v>
      </c>
      <c r="AF310" s="132">
        <f>IF($AD310&lt;=$C$25*12,$AE310-$C$7+SUM('Mortgage Calculators (By Month)'!$K$23:$K328),"-")</f>
        <v>5673419.3201178033</v>
      </c>
      <c r="AG310" s="132">
        <f t="shared" si="128"/>
        <v>29066.213242719732</v>
      </c>
      <c r="AH310" s="132">
        <f>IF($AD310&lt;=$C$25*12,SUM(Inputs!$C$61:$C$78)*'Forecast (By Month)'!AG310,"-")</f>
        <v>3197.2834566991705</v>
      </c>
      <c r="AI310" s="132">
        <f>IF($AD310&lt;=$C$25*12,(SUMIF(Inputs!$C$61:$C$78,0,Inputs!$F$61:$F$78)/12)*(1+$C$34)^ROUNDDOWN((AD310-1)/12,0),"-")</f>
        <v>1488.1666666666667</v>
      </c>
      <c r="AJ310" s="132">
        <f t="shared" si="129"/>
        <v>4685.4501233658375</v>
      </c>
      <c r="AK310" s="132">
        <f>IF($AD310&lt;=$C$25*12,'Mortgage Calculators (By Month)'!$J328,"-")</f>
        <v>0</v>
      </c>
      <c r="AL310" s="132">
        <f>IF($AD310&lt;=$C$25*12,'Mortgage Calculators (By Month)'!$K328,"-")</f>
        <v>0</v>
      </c>
      <c r="AM310" s="132">
        <f>IF($AD310&lt;=$C$25*12,'Mortgage Calculators (By Month)'!$L328,"-")</f>
        <v>10</v>
      </c>
      <c r="AN310" s="132">
        <f t="shared" si="139"/>
        <v>0</v>
      </c>
      <c r="AO310" s="132">
        <f t="shared" si="130"/>
        <v>4695.4501233658375</v>
      </c>
      <c r="AP310" s="132">
        <f t="shared" si="131"/>
        <v>24380.763119353895</v>
      </c>
      <c r="AQ310" s="132">
        <f t="shared" si="132"/>
        <v>0</v>
      </c>
      <c r="AR310" s="132">
        <f t="shared" si="113"/>
        <v>24380.763119353895</v>
      </c>
      <c r="AS310" s="132">
        <f>IF($AD310&lt;=$C$25*12,SUM(AR$5:AR310),"-")</f>
        <v>4074967.727361056</v>
      </c>
      <c r="AT310" s="132">
        <f>IF($AD310&lt;=$C$25*12,AE310-$C$10-'RE Calculations'!$C497-'Mortgage Calculators (By Month)'!$M328,"-")</f>
        <v>3954423.9337154459</v>
      </c>
      <c r="AU310" s="29">
        <f t="shared" si="133"/>
        <v>2.4699295725277874</v>
      </c>
      <c r="AV310" s="31">
        <f t="shared" si="134"/>
        <v>9.6859983236383826E-2</v>
      </c>
      <c r="AW310" s="132">
        <f t="shared" si="135"/>
        <v>8029391.6610765019</v>
      </c>
      <c r="AX310" s="29">
        <f t="shared" si="136"/>
        <v>5.015150688324745</v>
      </c>
      <c r="AY310" s="31">
        <f t="shared" si="137"/>
        <v>0.19667257601273511</v>
      </c>
    </row>
    <row r="311" spans="6:51" x14ac:dyDescent="0.35">
      <c r="F311" s="12">
        <f t="shared" si="114"/>
        <v>307</v>
      </c>
      <c r="G311" s="132">
        <f t="shared" si="115"/>
        <v>5696533.5327045051</v>
      </c>
      <c r="H311" s="132">
        <f>IF($F311&lt;=$C$16*12,$G311-$C$7+SUM('Mortgage Calculators (By Month)'!$D$23:$D329),"-")</f>
        <v>5696533.5327045051</v>
      </c>
      <c r="I311" s="132">
        <f t="shared" si="116"/>
        <v>29066.213242719732</v>
      </c>
      <c r="J311" s="132">
        <f>IF($F311&lt;=$C$16*12,SUM(Inputs!$C$61:$C$78)*'Forecast (By Month)'!I311,"-")</f>
        <v>3197.2834566991705</v>
      </c>
      <c r="K311" s="132">
        <f>IF($F311&lt;=$C$16*12,(SUMIF(Inputs!$C$61:$C$78,0,Inputs!$F$61:$F$78)/12)*(1+$C$34)^ROUNDDOWN((F311-1)/12,0),"-")</f>
        <v>1488.1666666666667</v>
      </c>
      <c r="L311" s="132">
        <f t="shared" si="117"/>
        <v>4685.4501233658375</v>
      </c>
      <c r="M311" s="132">
        <f>IF($F311&lt;=$C$16*12,'Mortgage Calculators (By Month)'!$C329,"-")</f>
        <v>0</v>
      </c>
      <c r="N311" s="132">
        <f>IF($F311&lt;=$C$16*12,'Mortgage Calculators (By Month)'!$D329,"-")</f>
        <v>0</v>
      </c>
      <c r="O311" s="132">
        <f>IF($F311&lt;=$C$16*12,'Mortgage Calculators (By Month)'!$E329,"-")</f>
        <v>8.3333333333333339</v>
      </c>
      <c r="P311" s="132">
        <f t="shared" si="138"/>
        <v>0</v>
      </c>
      <c r="Q311" s="132">
        <f t="shared" si="118"/>
        <v>4693.7834566991705</v>
      </c>
      <c r="R311" s="132">
        <f t="shared" si="119"/>
        <v>24380.763119353895</v>
      </c>
      <c r="S311" s="132">
        <f t="shared" si="120"/>
        <v>0</v>
      </c>
      <c r="T311" s="132">
        <f t="shared" si="112"/>
        <v>24380.763119353895</v>
      </c>
      <c r="U311" s="132">
        <f>IF($F311&lt;=$C$16*12,SUM(T$5:T311),"-")</f>
        <v>4099358.4904804099</v>
      </c>
      <c r="V311" s="132">
        <f>IF($F311&lt;=$C$16*12,G311-$C$10-'RE Calculations'!$C498-'Mortgage Calculators (By Month)'!$F329,"-")</f>
        <v>3977075.8620504136</v>
      </c>
      <c r="W311" s="29">
        <f t="shared" si="121"/>
        <v>2.4840779462497595</v>
      </c>
      <c r="X311" s="31">
        <f t="shared" si="122"/>
        <v>9.7097509299664875E-2</v>
      </c>
      <c r="Y311" s="132">
        <f t="shared" si="123"/>
        <v>8076434.352530824</v>
      </c>
      <c r="Z311" s="29">
        <f t="shared" si="124"/>
        <v>5.0445335103847864</v>
      </c>
      <c r="AA311" s="31">
        <f t="shared" si="125"/>
        <v>0.1971804629466366</v>
      </c>
      <c r="AD311" s="12">
        <f t="shared" si="126"/>
        <v>307</v>
      </c>
      <c r="AE311" s="132">
        <f t="shared" si="127"/>
        <v>5696533.5327045051</v>
      </c>
      <c r="AF311" s="132">
        <f>IF($AD311&lt;=$C$25*12,$AE311-$C$7+SUM('Mortgage Calculators (By Month)'!$K$23:$K329),"-")</f>
        <v>5696533.5327045051</v>
      </c>
      <c r="AG311" s="132">
        <f t="shared" si="128"/>
        <v>29066.213242719732</v>
      </c>
      <c r="AH311" s="132">
        <f>IF($AD311&lt;=$C$25*12,SUM(Inputs!$C$61:$C$78)*'Forecast (By Month)'!AG311,"-")</f>
        <v>3197.2834566991705</v>
      </c>
      <c r="AI311" s="132">
        <f>IF($AD311&lt;=$C$25*12,(SUMIF(Inputs!$C$61:$C$78,0,Inputs!$F$61:$F$78)/12)*(1+$C$34)^ROUNDDOWN((AD311-1)/12,0),"-")</f>
        <v>1488.1666666666667</v>
      </c>
      <c r="AJ311" s="132">
        <f t="shared" si="129"/>
        <v>4685.4501233658375</v>
      </c>
      <c r="AK311" s="132">
        <f>IF($AD311&lt;=$C$25*12,'Mortgage Calculators (By Month)'!$J329,"-")</f>
        <v>0</v>
      </c>
      <c r="AL311" s="132">
        <f>IF($AD311&lt;=$C$25*12,'Mortgage Calculators (By Month)'!$K329,"-")</f>
        <v>0</v>
      </c>
      <c r="AM311" s="132">
        <f>IF($AD311&lt;=$C$25*12,'Mortgage Calculators (By Month)'!$L329,"-")</f>
        <v>10</v>
      </c>
      <c r="AN311" s="132">
        <f t="shared" si="139"/>
        <v>0</v>
      </c>
      <c r="AO311" s="132">
        <f t="shared" si="130"/>
        <v>4695.4501233658375</v>
      </c>
      <c r="AP311" s="132">
        <f t="shared" si="131"/>
        <v>24380.763119353895</v>
      </c>
      <c r="AQ311" s="132">
        <f t="shared" si="132"/>
        <v>0</v>
      </c>
      <c r="AR311" s="132">
        <f t="shared" si="113"/>
        <v>24380.763119353895</v>
      </c>
      <c r="AS311" s="132">
        <f>IF($AD311&lt;=$C$25*12,SUM(AR$5:AR311),"-")</f>
        <v>4099348.4904804099</v>
      </c>
      <c r="AT311" s="132">
        <f>IF($AD311&lt;=$C$25*12,AE311-$C$10-'RE Calculations'!$C498-'Mortgage Calculators (By Month)'!$M329,"-")</f>
        <v>3977075.8620504136</v>
      </c>
      <c r="AU311" s="29">
        <f t="shared" si="133"/>
        <v>2.4840779462497595</v>
      </c>
      <c r="AV311" s="31">
        <f t="shared" si="134"/>
        <v>9.7097509299664875E-2</v>
      </c>
      <c r="AW311" s="132">
        <f t="shared" si="135"/>
        <v>8076424.352530824</v>
      </c>
      <c r="AX311" s="29">
        <f t="shared" si="136"/>
        <v>5.0445272643939321</v>
      </c>
      <c r="AY311" s="31">
        <f t="shared" si="137"/>
        <v>0.19718021880367162</v>
      </c>
    </row>
    <row r="312" spans="6:51" x14ac:dyDescent="0.35">
      <c r="F312" s="12">
        <f t="shared" si="114"/>
        <v>308</v>
      </c>
      <c r="G312" s="132">
        <f t="shared" si="115"/>
        <v>5719741.9154544473</v>
      </c>
      <c r="H312" s="132">
        <f>IF($F312&lt;=$C$16*12,$G312-$C$7+SUM('Mortgage Calculators (By Month)'!$D$23:$D330),"-")</f>
        <v>5719741.9154544473</v>
      </c>
      <c r="I312" s="132">
        <f t="shared" si="116"/>
        <v>29066.213242719732</v>
      </c>
      <c r="J312" s="132">
        <f>IF($F312&lt;=$C$16*12,SUM(Inputs!$C$61:$C$78)*'Forecast (By Month)'!I312,"-")</f>
        <v>3197.2834566991705</v>
      </c>
      <c r="K312" s="132">
        <f>IF($F312&lt;=$C$16*12,(SUMIF(Inputs!$C$61:$C$78,0,Inputs!$F$61:$F$78)/12)*(1+$C$34)^ROUNDDOWN((F312-1)/12,0),"-")</f>
        <v>1488.1666666666667</v>
      </c>
      <c r="L312" s="132">
        <f t="shared" si="117"/>
        <v>4685.4501233658375</v>
      </c>
      <c r="M312" s="132">
        <f>IF($F312&lt;=$C$16*12,'Mortgage Calculators (By Month)'!$C330,"-")</f>
        <v>0</v>
      </c>
      <c r="N312" s="132">
        <f>IF($F312&lt;=$C$16*12,'Mortgage Calculators (By Month)'!$D330,"-")</f>
        <v>0</v>
      </c>
      <c r="O312" s="132">
        <f>IF($F312&lt;=$C$16*12,'Mortgage Calculators (By Month)'!$E330,"-")</f>
        <v>8.3333333333333339</v>
      </c>
      <c r="P312" s="132">
        <f t="shared" si="138"/>
        <v>0</v>
      </c>
      <c r="Q312" s="132">
        <f t="shared" si="118"/>
        <v>4693.7834566991705</v>
      </c>
      <c r="R312" s="132">
        <f t="shared" si="119"/>
        <v>24380.763119353895</v>
      </c>
      <c r="S312" s="132">
        <f t="shared" si="120"/>
        <v>0</v>
      </c>
      <c r="T312" s="132">
        <f t="shared" si="112"/>
        <v>24380.763119353895</v>
      </c>
      <c r="U312" s="132">
        <f>IF($F312&lt;=$C$16*12,SUM(T$5:T312),"-")</f>
        <v>4123739.2535997638</v>
      </c>
      <c r="V312" s="132">
        <f>IF($F312&lt;=$C$16*12,G312-$C$10-'RE Calculations'!$C499-'Mortgage Calculators (By Month)'!$F330,"-")</f>
        <v>3999820.0771453567</v>
      </c>
      <c r="W312" s="29">
        <f t="shared" si="121"/>
        <v>2.4982839621976125</v>
      </c>
      <c r="X312" s="31">
        <f t="shared" si="122"/>
        <v>9.7335738786919965E-2</v>
      </c>
      <c r="Y312" s="132">
        <f t="shared" si="123"/>
        <v>8123559.3307451205</v>
      </c>
      <c r="Z312" s="29">
        <f t="shared" si="124"/>
        <v>5.0739677286798539</v>
      </c>
      <c r="AA312" s="31">
        <f t="shared" si="125"/>
        <v>0.19768705436415016</v>
      </c>
      <c r="AD312" s="12">
        <f t="shared" si="126"/>
        <v>308</v>
      </c>
      <c r="AE312" s="132">
        <f t="shared" si="127"/>
        <v>5719741.9154544473</v>
      </c>
      <c r="AF312" s="132">
        <f>IF($AD312&lt;=$C$25*12,$AE312-$C$7+SUM('Mortgage Calculators (By Month)'!$K$23:$K330),"-")</f>
        <v>5719741.9154544473</v>
      </c>
      <c r="AG312" s="132">
        <f t="shared" si="128"/>
        <v>29066.213242719732</v>
      </c>
      <c r="AH312" s="132">
        <f>IF($AD312&lt;=$C$25*12,SUM(Inputs!$C$61:$C$78)*'Forecast (By Month)'!AG312,"-")</f>
        <v>3197.2834566991705</v>
      </c>
      <c r="AI312" s="132">
        <f>IF($AD312&lt;=$C$25*12,(SUMIF(Inputs!$C$61:$C$78,0,Inputs!$F$61:$F$78)/12)*(1+$C$34)^ROUNDDOWN((AD312-1)/12,0),"-")</f>
        <v>1488.1666666666667</v>
      </c>
      <c r="AJ312" s="132">
        <f t="shared" si="129"/>
        <v>4685.4501233658375</v>
      </c>
      <c r="AK312" s="132">
        <f>IF($AD312&lt;=$C$25*12,'Mortgage Calculators (By Month)'!$J330,"-")</f>
        <v>0</v>
      </c>
      <c r="AL312" s="132">
        <f>IF($AD312&lt;=$C$25*12,'Mortgage Calculators (By Month)'!$K330,"-")</f>
        <v>0</v>
      </c>
      <c r="AM312" s="132">
        <f>IF($AD312&lt;=$C$25*12,'Mortgage Calculators (By Month)'!$L330,"-")</f>
        <v>10</v>
      </c>
      <c r="AN312" s="132">
        <f t="shared" si="139"/>
        <v>0</v>
      </c>
      <c r="AO312" s="132">
        <f t="shared" si="130"/>
        <v>4695.4501233658375</v>
      </c>
      <c r="AP312" s="132">
        <f t="shared" si="131"/>
        <v>24380.763119353895</v>
      </c>
      <c r="AQ312" s="132">
        <f t="shared" si="132"/>
        <v>0</v>
      </c>
      <c r="AR312" s="132">
        <f t="shared" si="113"/>
        <v>24380.763119353895</v>
      </c>
      <c r="AS312" s="132">
        <f>IF($AD312&lt;=$C$25*12,SUM(AR$5:AR312),"-")</f>
        <v>4123729.2535997638</v>
      </c>
      <c r="AT312" s="132">
        <f>IF($AD312&lt;=$C$25*12,AE312-$C$10-'RE Calculations'!$C499-'Mortgage Calculators (By Month)'!$M330,"-")</f>
        <v>3999820.0771453567</v>
      </c>
      <c r="AU312" s="29">
        <f t="shared" si="133"/>
        <v>2.4982839621976125</v>
      </c>
      <c r="AV312" s="31">
        <f t="shared" si="134"/>
        <v>9.7335738786919965E-2</v>
      </c>
      <c r="AW312" s="132">
        <f t="shared" si="135"/>
        <v>8123549.3307451205</v>
      </c>
      <c r="AX312" s="29">
        <f t="shared" si="136"/>
        <v>5.0739614826889996</v>
      </c>
      <c r="AY312" s="31">
        <f t="shared" si="137"/>
        <v>0.19768681101385713</v>
      </c>
    </row>
    <row r="313" spans="6:51" x14ac:dyDescent="0.35">
      <c r="F313" s="12">
        <f t="shared" si="114"/>
        <v>309</v>
      </c>
      <c r="G313" s="132">
        <f t="shared" si="115"/>
        <v>5743044.852028531</v>
      </c>
      <c r="H313" s="132">
        <f>IF($F313&lt;=$C$16*12,$G313-$C$7+SUM('Mortgage Calculators (By Month)'!$D$23:$D331),"-")</f>
        <v>5743044.852028531</v>
      </c>
      <c r="I313" s="132">
        <f t="shared" si="116"/>
        <v>29066.213242719732</v>
      </c>
      <c r="J313" s="132">
        <f>IF($F313&lt;=$C$16*12,SUM(Inputs!$C$61:$C$78)*'Forecast (By Month)'!I313,"-")</f>
        <v>3197.2834566991705</v>
      </c>
      <c r="K313" s="132">
        <f>IF($F313&lt;=$C$16*12,(SUMIF(Inputs!$C$61:$C$78,0,Inputs!$F$61:$F$78)/12)*(1+$C$34)^ROUNDDOWN((F313-1)/12,0),"-")</f>
        <v>1488.1666666666667</v>
      </c>
      <c r="L313" s="132">
        <f t="shared" si="117"/>
        <v>4685.4501233658375</v>
      </c>
      <c r="M313" s="132">
        <f>IF($F313&lt;=$C$16*12,'Mortgage Calculators (By Month)'!$C331,"-")</f>
        <v>0</v>
      </c>
      <c r="N313" s="132">
        <f>IF($F313&lt;=$C$16*12,'Mortgage Calculators (By Month)'!$D331,"-")</f>
        <v>0</v>
      </c>
      <c r="O313" s="132">
        <f>IF($F313&lt;=$C$16*12,'Mortgage Calculators (By Month)'!$E331,"-")</f>
        <v>8.3333333333333339</v>
      </c>
      <c r="P313" s="132">
        <f t="shared" si="138"/>
        <v>0</v>
      </c>
      <c r="Q313" s="132">
        <f t="shared" si="118"/>
        <v>4693.7834566991705</v>
      </c>
      <c r="R313" s="132">
        <f t="shared" si="119"/>
        <v>24380.763119353895</v>
      </c>
      <c r="S313" s="132">
        <f t="shared" si="120"/>
        <v>0</v>
      </c>
      <c r="T313" s="132">
        <f t="shared" si="112"/>
        <v>24380.763119353895</v>
      </c>
      <c r="U313" s="132">
        <f>IF($F313&lt;=$C$16*12,SUM(T$5:T313),"-")</f>
        <v>4148120.0167191178</v>
      </c>
      <c r="V313" s="132">
        <f>IF($F313&lt;=$C$16*12,G313-$C$10-'RE Calculations'!$C500-'Mortgage Calculators (By Month)'!$F331,"-")</f>
        <v>4022656.954987959</v>
      </c>
      <c r="W313" s="29">
        <f t="shared" si="121"/>
        <v>2.5125478552129095</v>
      </c>
      <c r="X313" s="31">
        <f t="shared" si="122"/>
        <v>9.7574673988850849E-2</v>
      </c>
      <c r="Y313" s="132">
        <f t="shared" si="123"/>
        <v>8170776.9717070768</v>
      </c>
      <c r="Z313" s="29">
        <f t="shared" si="124"/>
        <v>5.1034598240423659</v>
      </c>
      <c r="AA313" s="31">
        <f t="shared" si="125"/>
        <v>0.19819261452591713</v>
      </c>
      <c r="AD313" s="12">
        <f t="shared" si="126"/>
        <v>309</v>
      </c>
      <c r="AE313" s="132">
        <f t="shared" si="127"/>
        <v>5743044.852028531</v>
      </c>
      <c r="AF313" s="132">
        <f>IF($AD313&lt;=$C$25*12,$AE313-$C$7+SUM('Mortgage Calculators (By Month)'!$K$23:$K331),"-")</f>
        <v>5743044.852028531</v>
      </c>
      <c r="AG313" s="132">
        <f t="shared" si="128"/>
        <v>29066.213242719732</v>
      </c>
      <c r="AH313" s="132">
        <f>IF($AD313&lt;=$C$25*12,SUM(Inputs!$C$61:$C$78)*'Forecast (By Month)'!AG313,"-")</f>
        <v>3197.2834566991705</v>
      </c>
      <c r="AI313" s="132">
        <f>IF($AD313&lt;=$C$25*12,(SUMIF(Inputs!$C$61:$C$78,0,Inputs!$F$61:$F$78)/12)*(1+$C$34)^ROUNDDOWN((AD313-1)/12,0),"-")</f>
        <v>1488.1666666666667</v>
      </c>
      <c r="AJ313" s="132">
        <f t="shared" si="129"/>
        <v>4685.4501233658375</v>
      </c>
      <c r="AK313" s="132">
        <f>IF($AD313&lt;=$C$25*12,'Mortgage Calculators (By Month)'!$J331,"-")</f>
        <v>0</v>
      </c>
      <c r="AL313" s="132">
        <f>IF($AD313&lt;=$C$25*12,'Mortgage Calculators (By Month)'!$K331,"-")</f>
        <v>0</v>
      </c>
      <c r="AM313" s="132">
        <f>IF($AD313&lt;=$C$25*12,'Mortgage Calculators (By Month)'!$L331,"-")</f>
        <v>10</v>
      </c>
      <c r="AN313" s="132">
        <f t="shared" si="139"/>
        <v>0</v>
      </c>
      <c r="AO313" s="132">
        <f t="shared" si="130"/>
        <v>4695.4501233658375</v>
      </c>
      <c r="AP313" s="132">
        <f t="shared" si="131"/>
        <v>24380.763119353895</v>
      </c>
      <c r="AQ313" s="132">
        <f t="shared" si="132"/>
        <v>0</v>
      </c>
      <c r="AR313" s="132">
        <f t="shared" si="113"/>
        <v>24380.763119353895</v>
      </c>
      <c r="AS313" s="132">
        <f>IF($AD313&lt;=$C$25*12,SUM(AR$5:AR313),"-")</f>
        <v>4148110.0167191178</v>
      </c>
      <c r="AT313" s="132">
        <f>IF($AD313&lt;=$C$25*12,AE313-$C$10-'RE Calculations'!$C500-'Mortgage Calculators (By Month)'!$M331,"-")</f>
        <v>4022656.954987959</v>
      </c>
      <c r="AU313" s="29">
        <f t="shared" si="133"/>
        <v>2.5125478552129095</v>
      </c>
      <c r="AV313" s="31">
        <f t="shared" si="134"/>
        <v>9.7574673988850849E-2</v>
      </c>
      <c r="AW313" s="132">
        <f t="shared" si="135"/>
        <v>8170766.9717070768</v>
      </c>
      <c r="AX313" s="29">
        <f t="shared" si="136"/>
        <v>5.1034535780515116</v>
      </c>
      <c r="AY313" s="31">
        <f t="shared" si="137"/>
        <v>0.1981923719631655</v>
      </c>
    </row>
    <row r="314" spans="6:51" x14ac:dyDescent="0.35">
      <c r="F314" s="12">
        <f t="shared" si="114"/>
        <v>310</v>
      </c>
      <c r="G314" s="132">
        <f t="shared" si="115"/>
        <v>5766442.7276507393</v>
      </c>
      <c r="H314" s="132">
        <f>IF($F314&lt;=$C$16*12,$G314-$C$7+SUM('Mortgage Calculators (By Month)'!$D$23:$D332),"-")</f>
        <v>5766442.7276507393</v>
      </c>
      <c r="I314" s="132">
        <f t="shared" si="116"/>
        <v>29066.213242719732</v>
      </c>
      <c r="J314" s="132">
        <f>IF($F314&lt;=$C$16*12,SUM(Inputs!$C$61:$C$78)*'Forecast (By Month)'!I314,"-")</f>
        <v>3197.2834566991705</v>
      </c>
      <c r="K314" s="132">
        <f>IF($F314&lt;=$C$16*12,(SUMIF(Inputs!$C$61:$C$78,0,Inputs!$F$61:$F$78)/12)*(1+$C$34)^ROUNDDOWN((F314-1)/12,0),"-")</f>
        <v>1488.1666666666667</v>
      </c>
      <c r="L314" s="132">
        <f t="shared" si="117"/>
        <v>4685.4501233658375</v>
      </c>
      <c r="M314" s="132">
        <f>IF($F314&lt;=$C$16*12,'Mortgage Calculators (By Month)'!$C332,"-")</f>
        <v>0</v>
      </c>
      <c r="N314" s="132">
        <f>IF($F314&lt;=$C$16*12,'Mortgage Calculators (By Month)'!$D332,"-")</f>
        <v>0</v>
      </c>
      <c r="O314" s="132">
        <f>IF($F314&lt;=$C$16*12,'Mortgage Calculators (By Month)'!$E332,"-")</f>
        <v>8.3333333333333339</v>
      </c>
      <c r="P314" s="132">
        <f t="shared" si="138"/>
        <v>0</v>
      </c>
      <c r="Q314" s="132">
        <f t="shared" si="118"/>
        <v>4693.7834566991705</v>
      </c>
      <c r="R314" s="132">
        <f t="shared" si="119"/>
        <v>24380.763119353895</v>
      </c>
      <c r="S314" s="132">
        <f t="shared" si="120"/>
        <v>0</v>
      </c>
      <c r="T314" s="132">
        <f t="shared" si="112"/>
        <v>24380.763119353895</v>
      </c>
      <c r="U314" s="132">
        <f>IF($F314&lt;=$C$16*12,SUM(T$5:T314),"-")</f>
        <v>4172500.7798384717</v>
      </c>
      <c r="V314" s="132">
        <f>IF($F314&lt;=$C$16*12,G314-$C$10-'RE Calculations'!$C501-'Mortgage Calculators (By Month)'!$F332,"-")</f>
        <v>4045586.8730977229</v>
      </c>
      <c r="W314" s="29">
        <f t="shared" si="121"/>
        <v>2.5268698610939873</v>
      </c>
      <c r="X314" s="31">
        <f t="shared" si="122"/>
        <v>9.7814317203638215E-2</v>
      </c>
      <c r="Y314" s="132">
        <f t="shared" si="123"/>
        <v>8218087.6529361941</v>
      </c>
      <c r="Z314" s="29">
        <f t="shared" si="124"/>
        <v>5.1330100322706578</v>
      </c>
      <c r="AA314" s="31">
        <f t="shared" si="125"/>
        <v>0.19869716253950934</v>
      </c>
      <c r="AD314" s="12">
        <f t="shared" si="126"/>
        <v>310</v>
      </c>
      <c r="AE314" s="132">
        <f t="shared" si="127"/>
        <v>5766442.7276507393</v>
      </c>
      <c r="AF314" s="132">
        <f>IF($AD314&lt;=$C$25*12,$AE314-$C$7+SUM('Mortgage Calculators (By Month)'!$K$23:$K332),"-")</f>
        <v>5766442.7276507393</v>
      </c>
      <c r="AG314" s="132">
        <f t="shared" si="128"/>
        <v>29066.213242719732</v>
      </c>
      <c r="AH314" s="132">
        <f>IF($AD314&lt;=$C$25*12,SUM(Inputs!$C$61:$C$78)*'Forecast (By Month)'!AG314,"-")</f>
        <v>3197.2834566991705</v>
      </c>
      <c r="AI314" s="132">
        <f>IF($AD314&lt;=$C$25*12,(SUMIF(Inputs!$C$61:$C$78,0,Inputs!$F$61:$F$78)/12)*(1+$C$34)^ROUNDDOWN((AD314-1)/12,0),"-")</f>
        <v>1488.1666666666667</v>
      </c>
      <c r="AJ314" s="132">
        <f t="shared" si="129"/>
        <v>4685.4501233658375</v>
      </c>
      <c r="AK314" s="132">
        <f>IF($AD314&lt;=$C$25*12,'Mortgage Calculators (By Month)'!$J332,"-")</f>
        <v>0</v>
      </c>
      <c r="AL314" s="132">
        <f>IF($AD314&lt;=$C$25*12,'Mortgage Calculators (By Month)'!$K332,"-")</f>
        <v>0</v>
      </c>
      <c r="AM314" s="132">
        <f>IF($AD314&lt;=$C$25*12,'Mortgage Calculators (By Month)'!$L332,"-")</f>
        <v>10</v>
      </c>
      <c r="AN314" s="132">
        <f t="shared" si="139"/>
        <v>0</v>
      </c>
      <c r="AO314" s="132">
        <f t="shared" si="130"/>
        <v>4695.4501233658375</v>
      </c>
      <c r="AP314" s="132">
        <f t="shared" si="131"/>
        <v>24380.763119353895</v>
      </c>
      <c r="AQ314" s="132">
        <f t="shared" si="132"/>
        <v>0</v>
      </c>
      <c r="AR314" s="132">
        <f t="shared" si="113"/>
        <v>24380.763119353895</v>
      </c>
      <c r="AS314" s="132">
        <f>IF($AD314&lt;=$C$25*12,SUM(AR$5:AR314),"-")</f>
        <v>4172490.7798384717</v>
      </c>
      <c r="AT314" s="132">
        <f>IF($AD314&lt;=$C$25*12,AE314-$C$10-'RE Calculations'!$C501-'Mortgage Calculators (By Month)'!$M332,"-")</f>
        <v>4045586.8730977229</v>
      </c>
      <c r="AU314" s="29">
        <f t="shared" si="133"/>
        <v>2.5268698610939873</v>
      </c>
      <c r="AV314" s="31">
        <f t="shared" si="134"/>
        <v>9.7814317203638215E-2</v>
      </c>
      <c r="AW314" s="132">
        <f t="shared" si="135"/>
        <v>8218077.6529361941</v>
      </c>
      <c r="AX314" s="29">
        <f t="shared" si="136"/>
        <v>5.1330037862798026</v>
      </c>
      <c r="AY314" s="31">
        <f t="shared" si="137"/>
        <v>0.19869692075921819</v>
      </c>
    </row>
    <row r="315" spans="6:51" x14ac:dyDescent="0.35">
      <c r="F315" s="12">
        <f t="shared" si="114"/>
        <v>311</v>
      </c>
      <c r="G315" s="132">
        <f t="shared" si="115"/>
        <v>5789935.9291145075</v>
      </c>
      <c r="H315" s="132">
        <f>IF($F315&lt;=$C$16*12,$G315-$C$7+SUM('Mortgage Calculators (By Month)'!$D$23:$D333),"-")</f>
        <v>5789935.9291145075</v>
      </c>
      <c r="I315" s="132">
        <f t="shared" si="116"/>
        <v>29066.213242719732</v>
      </c>
      <c r="J315" s="132">
        <f>IF($F315&lt;=$C$16*12,SUM(Inputs!$C$61:$C$78)*'Forecast (By Month)'!I315,"-")</f>
        <v>3197.2834566991705</v>
      </c>
      <c r="K315" s="132">
        <f>IF($F315&lt;=$C$16*12,(SUMIF(Inputs!$C$61:$C$78,0,Inputs!$F$61:$F$78)/12)*(1+$C$34)^ROUNDDOWN((F315-1)/12,0),"-")</f>
        <v>1488.1666666666667</v>
      </c>
      <c r="L315" s="132">
        <f t="shared" si="117"/>
        <v>4685.4501233658375</v>
      </c>
      <c r="M315" s="132">
        <f>IF($F315&lt;=$C$16*12,'Mortgage Calculators (By Month)'!$C333,"-")</f>
        <v>0</v>
      </c>
      <c r="N315" s="132">
        <f>IF($F315&lt;=$C$16*12,'Mortgage Calculators (By Month)'!$D333,"-")</f>
        <v>0</v>
      </c>
      <c r="O315" s="132">
        <f>IF($F315&lt;=$C$16*12,'Mortgage Calculators (By Month)'!$E333,"-")</f>
        <v>8.3333333333333339</v>
      </c>
      <c r="P315" s="132">
        <f t="shared" si="138"/>
        <v>0</v>
      </c>
      <c r="Q315" s="132">
        <f t="shared" si="118"/>
        <v>4693.7834566991705</v>
      </c>
      <c r="R315" s="132">
        <f t="shared" si="119"/>
        <v>24380.763119353895</v>
      </c>
      <c r="S315" s="132">
        <f t="shared" si="120"/>
        <v>0</v>
      </c>
      <c r="T315" s="132">
        <f t="shared" si="112"/>
        <v>24380.763119353895</v>
      </c>
      <c r="U315" s="132">
        <f>IF($F315&lt;=$C$16*12,SUM(T$5:T315),"-")</f>
        <v>4196881.5429578256</v>
      </c>
      <c r="V315" s="132">
        <f>IF($F315&lt;=$C$16*12,G315-$C$10-'RE Calculations'!$C502-'Mortgage Calculators (By Month)'!$F333,"-")</f>
        <v>4068610.2105322159</v>
      </c>
      <c r="W315" s="29">
        <f t="shared" si="121"/>
        <v>2.5412502165998547</v>
      </c>
      <c r="X315" s="31">
        <f t="shared" si="122"/>
        <v>9.8054670736971883E-2</v>
      </c>
      <c r="Y315" s="132">
        <f t="shared" si="123"/>
        <v>8265491.7534900419</v>
      </c>
      <c r="Z315" s="29">
        <f t="shared" si="124"/>
        <v>5.1626185901237402</v>
      </c>
      <c r="AA315" s="31">
        <f t="shared" si="125"/>
        <v>0.19920071730380989</v>
      </c>
      <c r="AD315" s="12">
        <f t="shared" si="126"/>
        <v>311</v>
      </c>
      <c r="AE315" s="132">
        <f t="shared" si="127"/>
        <v>5789935.9291145075</v>
      </c>
      <c r="AF315" s="132">
        <f>IF($AD315&lt;=$C$25*12,$AE315-$C$7+SUM('Mortgage Calculators (By Month)'!$K$23:$K333),"-")</f>
        <v>5789935.9291145075</v>
      </c>
      <c r="AG315" s="132">
        <f t="shared" si="128"/>
        <v>29066.213242719732</v>
      </c>
      <c r="AH315" s="132">
        <f>IF($AD315&lt;=$C$25*12,SUM(Inputs!$C$61:$C$78)*'Forecast (By Month)'!AG315,"-")</f>
        <v>3197.2834566991705</v>
      </c>
      <c r="AI315" s="132">
        <f>IF($AD315&lt;=$C$25*12,(SUMIF(Inputs!$C$61:$C$78,0,Inputs!$F$61:$F$78)/12)*(1+$C$34)^ROUNDDOWN((AD315-1)/12,0),"-")</f>
        <v>1488.1666666666667</v>
      </c>
      <c r="AJ315" s="132">
        <f t="shared" si="129"/>
        <v>4685.4501233658375</v>
      </c>
      <c r="AK315" s="132">
        <f>IF($AD315&lt;=$C$25*12,'Mortgage Calculators (By Month)'!$J333,"-")</f>
        <v>0</v>
      </c>
      <c r="AL315" s="132">
        <f>IF($AD315&lt;=$C$25*12,'Mortgage Calculators (By Month)'!$K333,"-")</f>
        <v>0</v>
      </c>
      <c r="AM315" s="132">
        <f>IF($AD315&lt;=$C$25*12,'Mortgage Calculators (By Month)'!$L333,"-")</f>
        <v>10</v>
      </c>
      <c r="AN315" s="132">
        <f t="shared" si="139"/>
        <v>0</v>
      </c>
      <c r="AO315" s="132">
        <f t="shared" si="130"/>
        <v>4695.4501233658375</v>
      </c>
      <c r="AP315" s="132">
        <f t="shared" si="131"/>
        <v>24380.763119353895</v>
      </c>
      <c r="AQ315" s="132">
        <f t="shared" si="132"/>
        <v>0</v>
      </c>
      <c r="AR315" s="132">
        <f t="shared" si="113"/>
        <v>24380.763119353895</v>
      </c>
      <c r="AS315" s="132">
        <f>IF($AD315&lt;=$C$25*12,SUM(AR$5:AR315),"-")</f>
        <v>4196871.5429578256</v>
      </c>
      <c r="AT315" s="132">
        <f>IF($AD315&lt;=$C$25*12,AE315-$C$10-'RE Calculations'!$C502-'Mortgage Calculators (By Month)'!$M333,"-")</f>
        <v>4068610.2105322159</v>
      </c>
      <c r="AU315" s="29">
        <f t="shared" si="133"/>
        <v>2.5412502165998547</v>
      </c>
      <c r="AV315" s="31">
        <f t="shared" si="134"/>
        <v>9.8054670736971883E-2</v>
      </c>
      <c r="AW315" s="132">
        <f t="shared" si="135"/>
        <v>8265481.7534900419</v>
      </c>
      <c r="AX315" s="29">
        <f t="shared" si="136"/>
        <v>5.1626123441328859</v>
      </c>
      <c r="AY315" s="31">
        <f t="shared" si="137"/>
        <v>0.19920047630094737</v>
      </c>
    </row>
    <row r="316" spans="6:51" x14ac:dyDescent="0.35">
      <c r="F316" s="12">
        <f t="shared" si="114"/>
        <v>312</v>
      </c>
      <c r="G316" s="132">
        <f t="shared" si="115"/>
        <v>5813524.8447891129</v>
      </c>
      <c r="H316" s="132">
        <f>IF($F316&lt;=$C$16*12,$G316-$C$7+SUM('Mortgage Calculators (By Month)'!$D$23:$D334),"-")</f>
        <v>5813524.8447891129</v>
      </c>
      <c r="I316" s="132">
        <f t="shared" si="116"/>
        <v>29066.213242719732</v>
      </c>
      <c r="J316" s="132">
        <f>IF($F316&lt;=$C$16*12,SUM(Inputs!$C$61:$C$78)*'Forecast (By Month)'!I316,"-")</f>
        <v>3197.2834566991705</v>
      </c>
      <c r="K316" s="132">
        <f>IF($F316&lt;=$C$16*12,(SUMIF(Inputs!$C$61:$C$78,0,Inputs!$F$61:$F$78)/12)*(1+$C$34)^ROUNDDOWN((F316-1)/12,0),"-")</f>
        <v>1488.1666666666667</v>
      </c>
      <c r="L316" s="132">
        <f t="shared" si="117"/>
        <v>4685.4501233658375</v>
      </c>
      <c r="M316" s="132">
        <f>IF($F316&lt;=$C$16*12,'Mortgage Calculators (By Month)'!$C334,"-")</f>
        <v>0</v>
      </c>
      <c r="N316" s="132">
        <f>IF($F316&lt;=$C$16*12,'Mortgage Calculators (By Month)'!$D334,"-")</f>
        <v>0</v>
      </c>
      <c r="O316" s="132">
        <f>IF($F316&lt;=$C$16*12,'Mortgage Calculators (By Month)'!$E334,"-")</f>
        <v>8.3333333333333339</v>
      </c>
      <c r="P316" s="132">
        <f t="shared" si="138"/>
        <v>0</v>
      </c>
      <c r="Q316" s="132">
        <f t="shared" si="118"/>
        <v>4693.7834566991705</v>
      </c>
      <c r="R316" s="132">
        <f t="shared" si="119"/>
        <v>24380.763119353895</v>
      </c>
      <c r="S316" s="132">
        <f t="shared" si="120"/>
        <v>0</v>
      </c>
      <c r="T316" s="132">
        <f t="shared" si="112"/>
        <v>24380.763119353895</v>
      </c>
      <c r="U316" s="132">
        <f>IF($F316&lt;=$C$16*12,SUM(T$5:T316),"-")</f>
        <v>4221262.3060771795</v>
      </c>
      <c r="V316" s="132">
        <f>IF($F316&lt;=$C$16*12,G316-$C$10-'RE Calculations'!$C503-'Mortgage Calculators (By Month)'!$F334,"-")</f>
        <v>4091727.3478933293</v>
      </c>
      <c r="W316" s="29">
        <f t="shared" si="121"/>
        <v>2.555689159454106</v>
      </c>
      <c r="X316" s="31">
        <f t="shared" si="122"/>
        <v>9.8295736902081002E-2</v>
      </c>
      <c r="Y316" s="132">
        <f t="shared" si="123"/>
        <v>8312989.6539705088</v>
      </c>
      <c r="Z316" s="29">
        <f t="shared" si="124"/>
        <v>5.1922857353252061</v>
      </c>
      <c r="AA316" s="31">
        <f t="shared" si="125"/>
        <v>0.19970329751250793</v>
      </c>
      <c r="AD316" s="12">
        <f t="shared" si="126"/>
        <v>312</v>
      </c>
      <c r="AE316" s="132">
        <f t="shared" si="127"/>
        <v>5813524.8447891129</v>
      </c>
      <c r="AF316" s="132">
        <f>IF($AD316&lt;=$C$25*12,$AE316-$C$7+SUM('Mortgage Calculators (By Month)'!$K$23:$K334),"-")</f>
        <v>5813524.8447891129</v>
      </c>
      <c r="AG316" s="132">
        <f t="shared" si="128"/>
        <v>29066.213242719732</v>
      </c>
      <c r="AH316" s="132">
        <f>IF($AD316&lt;=$C$25*12,SUM(Inputs!$C$61:$C$78)*'Forecast (By Month)'!AG316,"-")</f>
        <v>3197.2834566991705</v>
      </c>
      <c r="AI316" s="132">
        <f>IF($AD316&lt;=$C$25*12,(SUMIF(Inputs!$C$61:$C$78,0,Inputs!$F$61:$F$78)/12)*(1+$C$34)^ROUNDDOWN((AD316-1)/12,0),"-")</f>
        <v>1488.1666666666667</v>
      </c>
      <c r="AJ316" s="132">
        <f t="shared" si="129"/>
        <v>4685.4501233658375</v>
      </c>
      <c r="AK316" s="132">
        <f>IF($AD316&lt;=$C$25*12,'Mortgage Calculators (By Month)'!$J334,"-")</f>
        <v>0</v>
      </c>
      <c r="AL316" s="132">
        <f>IF($AD316&lt;=$C$25*12,'Mortgage Calculators (By Month)'!$K334,"-")</f>
        <v>0</v>
      </c>
      <c r="AM316" s="132">
        <f>IF($AD316&lt;=$C$25*12,'Mortgage Calculators (By Month)'!$L334,"-")</f>
        <v>10</v>
      </c>
      <c r="AN316" s="132">
        <f t="shared" si="139"/>
        <v>0</v>
      </c>
      <c r="AO316" s="132">
        <f t="shared" si="130"/>
        <v>4695.4501233658375</v>
      </c>
      <c r="AP316" s="132">
        <f t="shared" si="131"/>
        <v>24380.763119353895</v>
      </c>
      <c r="AQ316" s="132">
        <f t="shared" si="132"/>
        <v>0</v>
      </c>
      <c r="AR316" s="132">
        <f t="shared" si="113"/>
        <v>24380.763119353895</v>
      </c>
      <c r="AS316" s="132">
        <f>IF($AD316&lt;=$C$25*12,SUM(AR$5:AR316),"-")</f>
        <v>4221252.3060771795</v>
      </c>
      <c r="AT316" s="132">
        <f>IF($AD316&lt;=$C$25*12,AE316-$C$10-'RE Calculations'!$C503-'Mortgage Calculators (By Month)'!$M334,"-")</f>
        <v>4091727.3478933293</v>
      </c>
      <c r="AU316" s="29">
        <f t="shared" si="133"/>
        <v>2.555689159454106</v>
      </c>
      <c r="AV316" s="31">
        <f t="shared" si="134"/>
        <v>9.8295736902081002E-2</v>
      </c>
      <c r="AW316" s="132">
        <f t="shared" si="135"/>
        <v>8312979.6539705088</v>
      </c>
      <c r="AX316" s="29">
        <f t="shared" si="136"/>
        <v>5.1922794893343518</v>
      </c>
      <c r="AY316" s="31">
        <f t="shared" si="137"/>
        <v>0.19970305728209045</v>
      </c>
    </row>
    <row r="317" spans="6:51" x14ac:dyDescent="0.35">
      <c r="F317" s="12">
        <f t="shared" si="114"/>
        <v>313</v>
      </c>
      <c r="G317" s="132">
        <f t="shared" si="115"/>
        <v>5837209.8646260984</v>
      </c>
      <c r="H317" s="132">
        <f>IF($F317&lt;=$C$16*12,$G317-$C$7+SUM('Mortgage Calculators (By Month)'!$D$23:$D335),"-")</f>
        <v>5837209.8646260984</v>
      </c>
      <c r="I317" s="132">
        <f t="shared" si="116"/>
        <v>30519.523904855716</v>
      </c>
      <c r="J317" s="132">
        <f>IF($F317&lt;=$C$16*12,SUM(Inputs!$C$61:$C$78)*'Forecast (By Month)'!I317,"-")</f>
        <v>3357.1476295341286</v>
      </c>
      <c r="K317" s="132">
        <f>IF($F317&lt;=$C$16*12,(SUMIF(Inputs!$C$61:$C$78,0,Inputs!$F$61:$F$78)/12)*(1+$C$34)^ROUNDDOWN((F317-1)/12,0),"-")</f>
        <v>1488.1666666666667</v>
      </c>
      <c r="L317" s="132">
        <f t="shared" si="117"/>
        <v>4845.3142962007951</v>
      </c>
      <c r="M317" s="132">
        <f>IF($F317&lt;=$C$16*12,'Mortgage Calculators (By Month)'!$C335,"-")</f>
        <v>0</v>
      </c>
      <c r="N317" s="132">
        <f>IF($F317&lt;=$C$16*12,'Mortgage Calculators (By Month)'!$D335,"-")</f>
        <v>0</v>
      </c>
      <c r="O317" s="132">
        <f>IF($F317&lt;=$C$16*12,'Mortgage Calculators (By Month)'!$E335,"-")</f>
        <v>8.3333333333333339</v>
      </c>
      <c r="P317" s="132">
        <f t="shared" si="138"/>
        <v>0</v>
      </c>
      <c r="Q317" s="132">
        <f t="shared" si="118"/>
        <v>4853.6476295341281</v>
      </c>
      <c r="R317" s="132">
        <f t="shared" si="119"/>
        <v>25674.209608654921</v>
      </c>
      <c r="S317" s="132">
        <f t="shared" si="120"/>
        <v>0</v>
      </c>
      <c r="T317" s="132">
        <f t="shared" si="112"/>
        <v>25674.209608654921</v>
      </c>
      <c r="U317" s="132">
        <f>IF($F317&lt;=$C$16*12,SUM(T$5:T317),"-")</f>
        <v>4246936.515685834</v>
      </c>
      <c r="V317" s="132">
        <f>IF($F317&lt;=$C$16*12,G317-$C$10-'RE Calculations'!$C504-'Mortgage Calculators (By Month)'!$F335,"-")</f>
        <v>4114938.667333575</v>
      </c>
      <c r="W317" s="29">
        <f t="shared" si="121"/>
        <v>2.5701869283488503</v>
      </c>
      <c r="X317" s="31">
        <f t="shared" si="122"/>
        <v>9.8537518019764236E-2</v>
      </c>
      <c r="Y317" s="132">
        <f t="shared" si="123"/>
        <v>8361875.183019409</v>
      </c>
      <c r="Z317" s="29">
        <f t="shared" si="124"/>
        <v>5.2228195920614757</v>
      </c>
      <c r="AA317" s="31">
        <f t="shared" si="125"/>
        <v>0.20023589490331536</v>
      </c>
      <c r="AD317" s="12">
        <f t="shared" si="126"/>
        <v>313</v>
      </c>
      <c r="AE317" s="132">
        <f t="shared" si="127"/>
        <v>5837209.8646260984</v>
      </c>
      <c r="AF317" s="132">
        <f>IF($AD317&lt;=$C$25*12,$AE317-$C$7+SUM('Mortgage Calculators (By Month)'!$K$23:$K335),"-")</f>
        <v>5837209.8646260984</v>
      </c>
      <c r="AG317" s="132">
        <f t="shared" si="128"/>
        <v>30519.523904855716</v>
      </c>
      <c r="AH317" s="132">
        <f>IF($AD317&lt;=$C$25*12,SUM(Inputs!$C$61:$C$78)*'Forecast (By Month)'!AG317,"-")</f>
        <v>3357.1476295341286</v>
      </c>
      <c r="AI317" s="132">
        <f>IF($AD317&lt;=$C$25*12,(SUMIF(Inputs!$C$61:$C$78,0,Inputs!$F$61:$F$78)/12)*(1+$C$34)^ROUNDDOWN((AD317-1)/12,0),"-")</f>
        <v>1488.1666666666667</v>
      </c>
      <c r="AJ317" s="132">
        <f t="shared" si="129"/>
        <v>4845.3142962007951</v>
      </c>
      <c r="AK317" s="132">
        <f>IF($AD317&lt;=$C$25*12,'Mortgage Calculators (By Month)'!$J335,"-")</f>
        <v>0</v>
      </c>
      <c r="AL317" s="132">
        <f>IF($AD317&lt;=$C$25*12,'Mortgage Calculators (By Month)'!$K335,"-")</f>
        <v>0</v>
      </c>
      <c r="AM317" s="132">
        <f>IF($AD317&lt;=$C$25*12,'Mortgage Calculators (By Month)'!$L335,"-")</f>
        <v>10</v>
      </c>
      <c r="AN317" s="132">
        <f t="shared" si="139"/>
        <v>0</v>
      </c>
      <c r="AO317" s="132">
        <f t="shared" si="130"/>
        <v>4855.3142962007951</v>
      </c>
      <c r="AP317" s="132">
        <f t="shared" si="131"/>
        <v>25674.209608654921</v>
      </c>
      <c r="AQ317" s="132">
        <f t="shared" si="132"/>
        <v>0</v>
      </c>
      <c r="AR317" s="132">
        <f t="shared" si="113"/>
        <v>25674.209608654921</v>
      </c>
      <c r="AS317" s="132">
        <f>IF($AD317&lt;=$C$25*12,SUM(AR$5:AR317),"-")</f>
        <v>4246926.515685834</v>
      </c>
      <c r="AT317" s="132">
        <f>IF($AD317&lt;=$C$25*12,AE317-$C$10-'RE Calculations'!$C504-'Mortgage Calculators (By Month)'!$M335,"-")</f>
        <v>4114938.667333575</v>
      </c>
      <c r="AU317" s="29">
        <f t="shared" si="133"/>
        <v>2.5701869283488503</v>
      </c>
      <c r="AV317" s="31">
        <f t="shared" si="134"/>
        <v>9.8537518019764236E-2</v>
      </c>
      <c r="AW317" s="132">
        <f t="shared" si="135"/>
        <v>8361865.183019409</v>
      </c>
      <c r="AX317" s="29">
        <f t="shared" si="136"/>
        <v>5.2228133460706214</v>
      </c>
      <c r="AY317" s="31">
        <f t="shared" si="137"/>
        <v>0.20023565544040722</v>
      </c>
    </row>
    <row r="318" spans="6:51" x14ac:dyDescent="0.35">
      <c r="F318" s="12">
        <f t="shared" si="114"/>
        <v>314</v>
      </c>
      <c r="G318" s="132">
        <f t="shared" si="115"/>
        <v>5860991.3801657185</v>
      </c>
      <c r="H318" s="132">
        <f>IF($F318&lt;=$C$16*12,$G318-$C$7+SUM('Mortgage Calculators (By Month)'!$D$23:$D336),"-")</f>
        <v>5860991.3801657185</v>
      </c>
      <c r="I318" s="132">
        <f t="shared" si="116"/>
        <v>30519.523904855716</v>
      </c>
      <c r="J318" s="132">
        <f>IF($F318&lt;=$C$16*12,SUM(Inputs!$C$61:$C$78)*'Forecast (By Month)'!I318,"-")</f>
        <v>3357.1476295341286</v>
      </c>
      <c r="K318" s="132">
        <f>IF($F318&lt;=$C$16*12,(SUMIF(Inputs!$C$61:$C$78,0,Inputs!$F$61:$F$78)/12)*(1+$C$34)^ROUNDDOWN((F318-1)/12,0),"-")</f>
        <v>1488.1666666666667</v>
      </c>
      <c r="L318" s="132">
        <f t="shared" si="117"/>
        <v>4845.3142962007951</v>
      </c>
      <c r="M318" s="132">
        <f>IF($F318&lt;=$C$16*12,'Mortgage Calculators (By Month)'!$C336,"-")</f>
        <v>0</v>
      </c>
      <c r="N318" s="132">
        <f>IF($F318&lt;=$C$16*12,'Mortgage Calculators (By Month)'!$D336,"-")</f>
        <v>0</v>
      </c>
      <c r="O318" s="132">
        <f>IF($F318&lt;=$C$16*12,'Mortgage Calculators (By Month)'!$E336,"-")</f>
        <v>8.3333333333333339</v>
      </c>
      <c r="P318" s="132">
        <f t="shared" si="138"/>
        <v>0</v>
      </c>
      <c r="Q318" s="132">
        <f t="shared" si="118"/>
        <v>4853.6476295341281</v>
      </c>
      <c r="R318" s="132">
        <f t="shared" si="119"/>
        <v>25674.209608654921</v>
      </c>
      <c r="S318" s="132">
        <f t="shared" si="120"/>
        <v>0</v>
      </c>
      <c r="T318" s="132">
        <f t="shared" si="112"/>
        <v>25674.209608654921</v>
      </c>
      <c r="U318" s="132">
        <f>IF($F318&lt;=$C$16*12,SUM(T$5:T318),"-")</f>
        <v>4272610.7252944885</v>
      </c>
      <c r="V318" s="132">
        <f>IF($F318&lt;=$C$16*12,G318-$C$10-'RE Calculations'!$C505-'Mortgage Calculators (By Month)'!$F336,"-")</f>
        <v>4138244.5525624026</v>
      </c>
      <c r="W318" s="29">
        <f t="shared" si="121"/>
        <v>2.5847437629486589</v>
      </c>
      <c r="X318" s="31">
        <f t="shared" si="122"/>
        <v>9.8780016418420089E-2</v>
      </c>
      <c r="Y318" s="132">
        <f t="shared" si="123"/>
        <v>8410855.2778568901</v>
      </c>
      <c r="Z318" s="29">
        <f t="shared" si="124"/>
        <v>5.2534125145028101</v>
      </c>
      <c r="AA318" s="31">
        <f t="shared" si="125"/>
        <v>0.20076735724214559</v>
      </c>
      <c r="AD318" s="12">
        <f t="shared" si="126"/>
        <v>314</v>
      </c>
      <c r="AE318" s="132">
        <f t="shared" si="127"/>
        <v>5860991.3801657185</v>
      </c>
      <c r="AF318" s="132">
        <f>IF($AD318&lt;=$C$25*12,$AE318-$C$7+SUM('Mortgage Calculators (By Month)'!$K$23:$K336),"-")</f>
        <v>5860991.3801657185</v>
      </c>
      <c r="AG318" s="132">
        <f t="shared" si="128"/>
        <v>30519.523904855716</v>
      </c>
      <c r="AH318" s="132">
        <f>IF($AD318&lt;=$C$25*12,SUM(Inputs!$C$61:$C$78)*'Forecast (By Month)'!AG318,"-")</f>
        <v>3357.1476295341286</v>
      </c>
      <c r="AI318" s="132">
        <f>IF($AD318&lt;=$C$25*12,(SUMIF(Inputs!$C$61:$C$78,0,Inputs!$F$61:$F$78)/12)*(1+$C$34)^ROUNDDOWN((AD318-1)/12,0),"-")</f>
        <v>1488.1666666666667</v>
      </c>
      <c r="AJ318" s="132">
        <f t="shared" si="129"/>
        <v>4845.3142962007951</v>
      </c>
      <c r="AK318" s="132">
        <f>IF($AD318&lt;=$C$25*12,'Mortgage Calculators (By Month)'!$J336,"-")</f>
        <v>0</v>
      </c>
      <c r="AL318" s="132">
        <f>IF($AD318&lt;=$C$25*12,'Mortgage Calculators (By Month)'!$K336,"-")</f>
        <v>0</v>
      </c>
      <c r="AM318" s="132">
        <f>IF($AD318&lt;=$C$25*12,'Mortgage Calculators (By Month)'!$L336,"-")</f>
        <v>10</v>
      </c>
      <c r="AN318" s="132">
        <f t="shared" si="139"/>
        <v>0</v>
      </c>
      <c r="AO318" s="132">
        <f t="shared" si="130"/>
        <v>4855.3142962007951</v>
      </c>
      <c r="AP318" s="132">
        <f t="shared" si="131"/>
        <v>25674.209608654921</v>
      </c>
      <c r="AQ318" s="132">
        <f t="shared" si="132"/>
        <v>0</v>
      </c>
      <c r="AR318" s="132">
        <f t="shared" si="113"/>
        <v>25674.209608654921</v>
      </c>
      <c r="AS318" s="132">
        <f>IF($AD318&lt;=$C$25*12,SUM(AR$5:AR318),"-")</f>
        <v>4272600.7252944885</v>
      </c>
      <c r="AT318" s="132">
        <f>IF($AD318&lt;=$C$25*12,AE318-$C$10-'RE Calculations'!$C505-'Mortgage Calculators (By Month)'!$M336,"-")</f>
        <v>4138244.5525624026</v>
      </c>
      <c r="AU318" s="29">
        <f t="shared" si="133"/>
        <v>2.5847437629486589</v>
      </c>
      <c r="AV318" s="31">
        <f t="shared" si="134"/>
        <v>9.8780016418420089E-2</v>
      </c>
      <c r="AW318" s="132">
        <f t="shared" si="135"/>
        <v>8410845.2778568901</v>
      </c>
      <c r="AX318" s="29">
        <f t="shared" si="136"/>
        <v>5.2534062685119549</v>
      </c>
      <c r="AY318" s="31">
        <f t="shared" si="137"/>
        <v>0.20076711854185814</v>
      </c>
    </row>
    <row r="319" spans="6:51" x14ac:dyDescent="0.35">
      <c r="F319" s="12">
        <f t="shared" si="114"/>
        <v>315</v>
      </c>
      <c r="G319" s="132">
        <f t="shared" si="115"/>
        <v>5884869.7845434099</v>
      </c>
      <c r="H319" s="132">
        <f>IF($F319&lt;=$C$16*12,$G319-$C$7+SUM('Mortgage Calculators (By Month)'!$D$23:$D337),"-")</f>
        <v>5884869.7845434099</v>
      </c>
      <c r="I319" s="132">
        <f t="shared" si="116"/>
        <v>30519.523904855716</v>
      </c>
      <c r="J319" s="132">
        <f>IF($F319&lt;=$C$16*12,SUM(Inputs!$C$61:$C$78)*'Forecast (By Month)'!I319,"-")</f>
        <v>3357.1476295341286</v>
      </c>
      <c r="K319" s="132">
        <f>IF($F319&lt;=$C$16*12,(SUMIF(Inputs!$C$61:$C$78,0,Inputs!$F$61:$F$78)/12)*(1+$C$34)^ROUNDDOWN((F319-1)/12,0),"-")</f>
        <v>1488.1666666666667</v>
      </c>
      <c r="L319" s="132">
        <f t="shared" si="117"/>
        <v>4845.3142962007951</v>
      </c>
      <c r="M319" s="132">
        <f>IF($F319&lt;=$C$16*12,'Mortgage Calculators (By Month)'!$C337,"-")</f>
        <v>0</v>
      </c>
      <c r="N319" s="132">
        <f>IF($F319&lt;=$C$16*12,'Mortgage Calculators (By Month)'!$D337,"-")</f>
        <v>0</v>
      </c>
      <c r="O319" s="132">
        <f>IF($F319&lt;=$C$16*12,'Mortgage Calculators (By Month)'!$E337,"-")</f>
        <v>8.3333333333333339</v>
      </c>
      <c r="P319" s="132">
        <f t="shared" si="138"/>
        <v>0</v>
      </c>
      <c r="Q319" s="132">
        <f t="shared" si="118"/>
        <v>4853.6476295341281</v>
      </c>
      <c r="R319" s="132">
        <f t="shared" si="119"/>
        <v>25674.209608654921</v>
      </c>
      <c r="S319" s="132">
        <f t="shared" si="120"/>
        <v>0</v>
      </c>
      <c r="T319" s="132">
        <f t="shared" si="112"/>
        <v>25674.209608654921</v>
      </c>
      <c r="U319" s="132">
        <f>IF($F319&lt;=$C$16*12,SUM(T$5:T319),"-")</f>
        <v>4298284.934903143</v>
      </c>
      <c r="V319" s="132">
        <f>IF($F319&lt;=$C$16*12,G319-$C$10-'RE Calculations'!$C506-'Mortgage Calculators (By Month)'!$F337,"-")</f>
        <v>4161645.3888525404</v>
      </c>
      <c r="W319" s="29">
        <f t="shared" si="121"/>
        <v>2.5993599038945256</v>
      </c>
      <c r="X319" s="31">
        <f t="shared" si="122"/>
        <v>9.9023234434077165E-2</v>
      </c>
      <c r="Y319" s="132">
        <f t="shared" si="123"/>
        <v>8459930.3237556834</v>
      </c>
      <c r="Z319" s="29">
        <f t="shared" si="124"/>
        <v>5.2840647432902026</v>
      </c>
      <c r="AA319" s="31">
        <f t="shared" si="125"/>
        <v>0.20129770450629345</v>
      </c>
      <c r="AD319" s="12">
        <f t="shared" si="126"/>
        <v>315</v>
      </c>
      <c r="AE319" s="132">
        <f t="shared" si="127"/>
        <v>5884869.7845434099</v>
      </c>
      <c r="AF319" s="132">
        <f>IF($AD319&lt;=$C$25*12,$AE319-$C$7+SUM('Mortgage Calculators (By Month)'!$K$23:$K337),"-")</f>
        <v>5884869.7845434099</v>
      </c>
      <c r="AG319" s="132">
        <f t="shared" si="128"/>
        <v>30519.523904855716</v>
      </c>
      <c r="AH319" s="132">
        <f>IF($AD319&lt;=$C$25*12,SUM(Inputs!$C$61:$C$78)*'Forecast (By Month)'!AG319,"-")</f>
        <v>3357.1476295341286</v>
      </c>
      <c r="AI319" s="132">
        <f>IF($AD319&lt;=$C$25*12,(SUMIF(Inputs!$C$61:$C$78,0,Inputs!$F$61:$F$78)/12)*(1+$C$34)^ROUNDDOWN((AD319-1)/12,0),"-")</f>
        <v>1488.1666666666667</v>
      </c>
      <c r="AJ319" s="132">
        <f t="shared" si="129"/>
        <v>4845.3142962007951</v>
      </c>
      <c r="AK319" s="132">
        <f>IF($AD319&lt;=$C$25*12,'Mortgage Calculators (By Month)'!$J337,"-")</f>
        <v>0</v>
      </c>
      <c r="AL319" s="132">
        <f>IF($AD319&lt;=$C$25*12,'Mortgage Calculators (By Month)'!$K337,"-")</f>
        <v>0</v>
      </c>
      <c r="AM319" s="132">
        <f>IF($AD319&lt;=$C$25*12,'Mortgage Calculators (By Month)'!$L337,"-")</f>
        <v>10</v>
      </c>
      <c r="AN319" s="132">
        <f t="shared" si="139"/>
        <v>0</v>
      </c>
      <c r="AO319" s="132">
        <f t="shared" si="130"/>
        <v>4855.3142962007951</v>
      </c>
      <c r="AP319" s="132">
        <f t="shared" si="131"/>
        <v>25674.209608654921</v>
      </c>
      <c r="AQ319" s="132">
        <f t="shared" si="132"/>
        <v>0</v>
      </c>
      <c r="AR319" s="132">
        <f t="shared" si="113"/>
        <v>25674.209608654921</v>
      </c>
      <c r="AS319" s="132">
        <f>IF($AD319&lt;=$C$25*12,SUM(AR$5:AR319),"-")</f>
        <v>4298274.934903143</v>
      </c>
      <c r="AT319" s="132">
        <f>IF($AD319&lt;=$C$25*12,AE319-$C$10-'RE Calculations'!$C506-'Mortgage Calculators (By Month)'!$M337,"-")</f>
        <v>4161645.3888525404</v>
      </c>
      <c r="AU319" s="29">
        <f t="shared" si="133"/>
        <v>2.5993599038945256</v>
      </c>
      <c r="AV319" s="31">
        <f t="shared" si="134"/>
        <v>9.9023234434077165E-2</v>
      </c>
      <c r="AW319" s="132">
        <f t="shared" si="135"/>
        <v>8459920.3237556834</v>
      </c>
      <c r="AX319" s="29">
        <f t="shared" si="136"/>
        <v>5.2840584972993483</v>
      </c>
      <c r="AY319" s="31">
        <f t="shared" si="137"/>
        <v>0.20129746656378469</v>
      </c>
    </row>
    <row r="320" spans="6:51" x14ac:dyDescent="0.35">
      <c r="F320" s="12">
        <f t="shared" si="114"/>
        <v>316</v>
      </c>
      <c r="G320" s="132">
        <f t="shared" si="115"/>
        <v>5908845.4724962916</v>
      </c>
      <c r="H320" s="132">
        <f>IF($F320&lt;=$C$16*12,$G320-$C$7+SUM('Mortgage Calculators (By Month)'!$D$23:$D338),"-")</f>
        <v>5908845.4724962916</v>
      </c>
      <c r="I320" s="132">
        <f t="shared" si="116"/>
        <v>30519.523904855716</v>
      </c>
      <c r="J320" s="132">
        <f>IF($F320&lt;=$C$16*12,SUM(Inputs!$C$61:$C$78)*'Forecast (By Month)'!I320,"-")</f>
        <v>3357.1476295341286</v>
      </c>
      <c r="K320" s="132">
        <f>IF($F320&lt;=$C$16*12,(SUMIF(Inputs!$C$61:$C$78,0,Inputs!$F$61:$F$78)/12)*(1+$C$34)^ROUNDDOWN((F320-1)/12,0),"-")</f>
        <v>1488.1666666666667</v>
      </c>
      <c r="L320" s="132">
        <f t="shared" si="117"/>
        <v>4845.3142962007951</v>
      </c>
      <c r="M320" s="132">
        <f>IF($F320&lt;=$C$16*12,'Mortgage Calculators (By Month)'!$C338,"-")</f>
        <v>0</v>
      </c>
      <c r="N320" s="132">
        <f>IF($F320&lt;=$C$16*12,'Mortgage Calculators (By Month)'!$D338,"-")</f>
        <v>0</v>
      </c>
      <c r="O320" s="132">
        <f>IF($F320&lt;=$C$16*12,'Mortgage Calculators (By Month)'!$E338,"-")</f>
        <v>8.3333333333333339</v>
      </c>
      <c r="P320" s="132">
        <f t="shared" si="138"/>
        <v>0</v>
      </c>
      <c r="Q320" s="132">
        <f t="shared" si="118"/>
        <v>4853.6476295341281</v>
      </c>
      <c r="R320" s="132">
        <f t="shared" si="119"/>
        <v>25674.209608654921</v>
      </c>
      <c r="S320" s="132">
        <f t="shared" si="120"/>
        <v>0</v>
      </c>
      <c r="T320" s="132">
        <f t="shared" si="112"/>
        <v>25674.209608654921</v>
      </c>
      <c r="U320" s="132">
        <f>IF($F320&lt;=$C$16*12,SUM(T$5:T320),"-")</f>
        <v>4323959.1445117975</v>
      </c>
      <c r="V320" s="132">
        <f>IF($F320&lt;=$C$16*12,G320-$C$10-'RE Calculations'!$C507-'Mortgage Calculators (By Month)'!$F338,"-")</f>
        <v>4185141.5630463641</v>
      </c>
      <c r="W320" s="29">
        <f t="shared" si="121"/>
        <v>2.614035592807844</v>
      </c>
      <c r="X320" s="31">
        <f t="shared" si="122"/>
        <v>9.9267174410424458E-2</v>
      </c>
      <c r="Y320" s="132">
        <f t="shared" si="123"/>
        <v>8509100.7075581625</v>
      </c>
      <c r="Z320" s="29">
        <f t="shared" si="124"/>
        <v>5.3147765200450481</v>
      </c>
      <c r="AA320" s="31">
        <f t="shared" si="125"/>
        <v>0.20182695645740689</v>
      </c>
      <c r="AD320" s="12">
        <f t="shared" si="126"/>
        <v>316</v>
      </c>
      <c r="AE320" s="132">
        <f t="shared" si="127"/>
        <v>5908845.4724962916</v>
      </c>
      <c r="AF320" s="132">
        <f>IF($AD320&lt;=$C$25*12,$AE320-$C$7+SUM('Mortgage Calculators (By Month)'!$K$23:$K338),"-")</f>
        <v>5908845.4724962916</v>
      </c>
      <c r="AG320" s="132">
        <f t="shared" si="128"/>
        <v>30519.523904855716</v>
      </c>
      <c r="AH320" s="132">
        <f>IF($AD320&lt;=$C$25*12,SUM(Inputs!$C$61:$C$78)*'Forecast (By Month)'!AG320,"-")</f>
        <v>3357.1476295341286</v>
      </c>
      <c r="AI320" s="132">
        <f>IF($AD320&lt;=$C$25*12,(SUMIF(Inputs!$C$61:$C$78,0,Inputs!$F$61:$F$78)/12)*(1+$C$34)^ROUNDDOWN((AD320-1)/12,0),"-")</f>
        <v>1488.1666666666667</v>
      </c>
      <c r="AJ320" s="132">
        <f t="shared" si="129"/>
        <v>4845.3142962007951</v>
      </c>
      <c r="AK320" s="132">
        <f>IF($AD320&lt;=$C$25*12,'Mortgage Calculators (By Month)'!$J338,"-")</f>
        <v>0</v>
      </c>
      <c r="AL320" s="132">
        <f>IF($AD320&lt;=$C$25*12,'Mortgage Calculators (By Month)'!$K338,"-")</f>
        <v>0</v>
      </c>
      <c r="AM320" s="132">
        <f>IF($AD320&lt;=$C$25*12,'Mortgage Calculators (By Month)'!$L338,"-")</f>
        <v>10</v>
      </c>
      <c r="AN320" s="132">
        <f t="shared" si="139"/>
        <v>0</v>
      </c>
      <c r="AO320" s="132">
        <f t="shared" si="130"/>
        <v>4855.3142962007951</v>
      </c>
      <c r="AP320" s="132">
        <f t="shared" si="131"/>
        <v>25674.209608654921</v>
      </c>
      <c r="AQ320" s="132">
        <f t="shared" si="132"/>
        <v>0</v>
      </c>
      <c r="AR320" s="132">
        <f t="shared" si="113"/>
        <v>25674.209608654921</v>
      </c>
      <c r="AS320" s="132">
        <f>IF($AD320&lt;=$C$25*12,SUM(AR$5:AR320),"-")</f>
        <v>4323949.1445117975</v>
      </c>
      <c r="AT320" s="132">
        <f>IF($AD320&lt;=$C$25*12,AE320-$C$10-'RE Calculations'!$C507-'Mortgage Calculators (By Month)'!$M338,"-")</f>
        <v>4185141.5630463641</v>
      </c>
      <c r="AU320" s="29">
        <f t="shared" si="133"/>
        <v>2.614035592807844</v>
      </c>
      <c r="AV320" s="31">
        <f t="shared" si="134"/>
        <v>9.9267174410424458E-2</v>
      </c>
      <c r="AW320" s="132">
        <f t="shared" si="135"/>
        <v>8509090.7075581625</v>
      </c>
      <c r="AX320" s="29">
        <f t="shared" si="136"/>
        <v>5.3147702740541929</v>
      </c>
      <c r="AY320" s="31">
        <f t="shared" si="137"/>
        <v>0.20182671926788076</v>
      </c>
    </row>
    <row r="321" spans="6:51" x14ac:dyDescent="0.35">
      <c r="F321" s="12">
        <f t="shared" si="114"/>
        <v>317</v>
      </c>
      <c r="G321" s="132">
        <f t="shared" si="115"/>
        <v>5932918.8403696921</v>
      </c>
      <c r="H321" s="132">
        <f>IF($F321&lt;=$C$16*12,$G321-$C$7+SUM('Mortgage Calculators (By Month)'!$D$23:$D339),"-")</f>
        <v>5932918.8403696921</v>
      </c>
      <c r="I321" s="132">
        <f t="shared" si="116"/>
        <v>30519.523904855716</v>
      </c>
      <c r="J321" s="132">
        <f>IF($F321&lt;=$C$16*12,SUM(Inputs!$C$61:$C$78)*'Forecast (By Month)'!I321,"-")</f>
        <v>3357.1476295341286</v>
      </c>
      <c r="K321" s="132">
        <f>IF($F321&lt;=$C$16*12,(SUMIF(Inputs!$C$61:$C$78,0,Inputs!$F$61:$F$78)/12)*(1+$C$34)^ROUNDDOWN((F321-1)/12,0),"-")</f>
        <v>1488.1666666666667</v>
      </c>
      <c r="L321" s="132">
        <f t="shared" si="117"/>
        <v>4845.3142962007951</v>
      </c>
      <c r="M321" s="132">
        <f>IF($F321&lt;=$C$16*12,'Mortgage Calculators (By Month)'!$C339,"-")</f>
        <v>0</v>
      </c>
      <c r="N321" s="132">
        <f>IF($F321&lt;=$C$16*12,'Mortgage Calculators (By Month)'!$D339,"-")</f>
        <v>0</v>
      </c>
      <c r="O321" s="132">
        <f>IF($F321&lt;=$C$16*12,'Mortgage Calculators (By Month)'!$E339,"-")</f>
        <v>8.3333333333333339</v>
      </c>
      <c r="P321" s="132">
        <f t="shared" si="138"/>
        <v>0</v>
      </c>
      <c r="Q321" s="132">
        <f t="shared" si="118"/>
        <v>4853.6476295341281</v>
      </c>
      <c r="R321" s="132">
        <f t="shared" si="119"/>
        <v>25674.209608654921</v>
      </c>
      <c r="S321" s="132">
        <f t="shared" si="120"/>
        <v>0</v>
      </c>
      <c r="T321" s="132">
        <f t="shared" si="112"/>
        <v>25674.209608654921</v>
      </c>
      <c r="U321" s="132">
        <f>IF($F321&lt;=$C$16*12,SUM(T$5:T321),"-")</f>
        <v>4349633.354120452</v>
      </c>
      <c r="V321" s="132">
        <f>IF($F321&lt;=$C$16*12,G321-$C$10-'RE Calculations'!$C508-'Mortgage Calculators (By Month)'!$F339,"-")</f>
        <v>4208733.4635622967</v>
      </c>
      <c r="W321" s="29">
        <f t="shared" si="121"/>
        <v>2.6287710722944064</v>
      </c>
      <c r="X321" s="31">
        <f t="shared" si="122"/>
        <v>9.9511838698841878E-2</v>
      </c>
      <c r="Y321" s="132">
        <f t="shared" si="123"/>
        <v>8558366.8176827487</v>
      </c>
      <c r="Z321" s="29">
        <f t="shared" si="124"/>
        <v>5.3455480873731354</v>
      </c>
      <c r="AA321" s="31">
        <f t="shared" si="125"/>
        <v>0.20235513264503982</v>
      </c>
      <c r="AD321" s="12">
        <f t="shared" si="126"/>
        <v>317</v>
      </c>
      <c r="AE321" s="132">
        <f t="shared" si="127"/>
        <v>5932918.8403696921</v>
      </c>
      <c r="AF321" s="132">
        <f>IF($AD321&lt;=$C$25*12,$AE321-$C$7+SUM('Mortgage Calculators (By Month)'!$K$23:$K339),"-")</f>
        <v>5932918.8403696921</v>
      </c>
      <c r="AG321" s="132">
        <f t="shared" si="128"/>
        <v>30519.523904855716</v>
      </c>
      <c r="AH321" s="132">
        <f>IF($AD321&lt;=$C$25*12,SUM(Inputs!$C$61:$C$78)*'Forecast (By Month)'!AG321,"-")</f>
        <v>3357.1476295341286</v>
      </c>
      <c r="AI321" s="132">
        <f>IF($AD321&lt;=$C$25*12,(SUMIF(Inputs!$C$61:$C$78,0,Inputs!$F$61:$F$78)/12)*(1+$C$34)^ROUNDDOWN((AD321-1)/12,0),"-")</f>
        <v>1488.1666666666667</v>
      </c>
      <c r="AJ321" s="132">
        <f t="shared" si="129"/>
        <v>4845.3142962007951</v>
      </c>
      <c r="AK321" s="132">
        <f>IF($AD321&lt;=$C$25*12,'Mortgage Calculators (By Month)'!$J339,"-")</f>
        <v>0</v>
      </c>
      <c r="AL321" s="132">
        <f>IF($AD321&lt;=$C$25*12,'Mortgage Calculators (By Month)'!$K339,"-")</f>
        <v>0</v>
      </c>
      <c r="AM321" s="132">
        <f>IF($AD321&lt;=$C$25*12,'Mortgage Calculators (By Month)'!$L339,"-")</f>
        <v>10</v>
      </c>
      <c r="AN321" s="132">
        <f t="shared" si="139"/>
        <v>0</v>
      </c>
      <c r="AO321" s="132">
        <f t="shared" si="130"/>
        <v>4855.3142962007951</v>
      </c>
      <c r="AP321" s="132">
        <f t="shared" si="131"/>
        <v>25674.209608654921</v>
      </c>
      <c r="AQ321" s="132">
        <f t="shared" si="132"/>
        <v>0</v>
      </c>
      <c r="AR321" s="132">
        <f t="shared" si="113"/>
        <v>25674.209608654921</v>
      </c>
      <c r="AS321" s="132">
        <f>IF($AD321&lt;=$C$25*12,SUM(AR$5:AR321),"-")</f>
        <v>4349623.354120452</v>
      </c>
      <c r="AT321" s="132">
        <f>IF($AD321&lt;=$C$25*12,AE321-$C$10-'RE Calculations'!$C508-'Mortgage Calculators (By Month)'!$M339,"-")</f>
        <v>4208733.4635622967</v>
      </c>
      <c r="AU321" s="29">
        <f t="shared" si="133"/>
        <v>2.6287710722944064</v>
      </c>
      <c r="AV321" s="31">
        <f t="shared" si="134"/>
        <v>9.9511838698841878E-2</v>
      </c>
      <c r="AW321" s="132">
        <f t="shared" si="135"/>
        <v>8558356.8176827487</v>
      </c>
      <c r="AX321" s="29">
        <f t="shared" si="136"/>
        <v>5.3455418413822811</v>
      </c>
      <c r="AY321" s="31">
        <f t="shared" si="137"/>
        <v>0.20235489620374564</v>
      </c>
    </row>
    <row r="322" spans="6:51" x14ac:dyDescent="0.35">
      <c r="F322" s="12">
        <f t="shared" si="114"/>
        <v>318</v>
      </c>
      <c r="G322" s="132">
        <f t="shared" si="115"/>
        <v>5957090.2861236976</v>
      </c>
      <c r="H322" s="132">
        <f>IF($F322&lt;=$C$16*12,$G322-$C$7+SUM('Mortgage Calculators (By Month)'!$D$23:$D340),"-")</f>
        <v>5957090.2861236976</v>
      </c>
      <c r="I322" s="132">
        <f t="shared" si="116"/>
        <v>30519.523904855716</v>
      </c>
      <c r="J322" s="132">
        <f>IF($F322&lt;=$C$16*12,SUM(Inputs!$C$61:$C$78)*'Forecast (By Month)'!I322,"-")</f>
        <v>3357.1476295341286</v>
      </c>
      <c r="K322" s="132">
        <f>IF($F322&lt;=$C$16*12,(SUMIF(Inputs!$C$61:$C$78,0,Inputs!$F$61:$F$78)/12)*(1+$C$34)^ROUNDDOWN((F322-1)/12,0),"-")</f>
        <v>1488.1666666666667</v>
      </c>
      <c r="L322" s="132">
        <f t="shared" si="117"/>
        <v>4845.3142962007951</v>
      </c>
      <c r="M322" s="132">
        <f>IF($F322&lt;=$C$16*12,'Mortgage Calculators (By Month)'!$C340,"-")</f>
        <v>0</v>
      </c>
      <c r="N322" s="132">
        <f>IF($F322&lt;=$C$16*12,'Mortgage Calculators (By Month)'!$D340,"-")</f>
        <v>0</v>
      </c>
      <c r="O322" s="132">
        <f>IF($F322&lt;=$C$16*12,'Mortgage Calculators (By Month)'!$E340,"-")</f>
        <v>8.3333333333333339</v>
      </c>
      <c r="P322" s="132">
        <f t="shared" si="138"/>
        <v>0</v>
      </c>
      <c r="Q322" s="132">
        <f t="shared" si="118"/>
        <v>4853.6476295341281</v>
      </c>
      <c r="R322" s="132">
        <f t="shared" si="119"/>
        <v>25674.209608654921</v>
      </c>
      <c r="S322" s="132">
        <f t="shared" si="120"/>
        <v>0</v>
      </c>
      <c r="T322" s="132">
        <f t="shared" si="112"/>
        <v>25674.209608654921</v>
      </c>
      <c r="U322" s="132">
        <f>IF($F322&lt;=$C$16*12,SUM(T$5:T322),"-")</f>
        <v>4375307.5637291064</v>
      </c>
      <c r="V322" s="132">
        <f>IF($F322&lt;=$C$16*12,G322-$C$10-'RE Calculations'!$C509-'Mortgage Calculators (By Month)'!$F340,"-")</f>
        <v>4232421.4804012226</v>
      </c>
      <c r="W322" s="29">
        <f t="shared" si="121"/>
        <v>2.6435665859484083</v>
      </c>
      <c r="X322" s="31">
        <f t="shared" si="122"/>
        <v>9.9757229658430507E-2</v>
      </c>
      <c r="Y322" s="132">
        <f t="shared" si="123"/>
        <v>8607729.044130329</v>
      </c>
      <c r="Z322" s="29">
        <f t="shared" si="124"/>
        <v>5.3763796888686635</v>
      </c>
      <c r="AA322" s="31">
        <f t="shared" si="125"/>
        <v>0.20288225241013824</v>
      </c>
      <c r="AD322" s="12">
        <f t="shared" si="126"/>
        <v>318</v>
      </c>
      <c r="AE322" s="132">
        <f t="shared" si="127"/>
        <v>5957090.2861236976</v>
      </c>
      <c r="AF322" s="132">
        <f>IF($AD322&lt;=$C$25*12,$AE322-$C$7+SUM('Mortgage Calculators (By Month)'!$K$23:$K340),"-")</f>
        <v>5957090.2861236976</v>
      </c>
      <c r="AG322" s="132">
        <f t="shared" si="128"/>
        <v>30519.523904855716</v>
      </c>
      <c r="AH322" s="132">
        <f>IF($AD322&lt;=$C$25*12,SUM(Inputs!$C$61:$C$78)*'Forecast (By Month)'!AG322,"-")</f>
        <v>3357.1476295341286</v>
      </c>
      <c r="AI322" s="132">
        <f>IF($AD322&lt;=$C$25*12,(SUMIF(Inputs!$C$61:$C$78,0,Inputs!$F$61:$F$78)/12)*(1+$C$34)^ROUNDDOWN((AD322-1)/12,0),"-")</f>
        <v>1488.1666666666667</v>
      </c>
      <c r="AJ322" s="132">
        <f t="shared" si="129"/>
        <v>4845.3142962007951</v>
      </c>
      <c r="AK322" s="132">
        <f>IF($AD322&lt;=$C$25*12,'Mortgage Calculators (By Month)'!$J340,"-")</f>
        <v>0</v>
      </c>
      <c r="AL322" s="132">
        <f>IF($AD322&lt;=$C$25*12,'Mortgage Calculators (By Month)'!$K340,"-")</f>
        <v>0</v>
      </c>
      <c r="AM322" s="132">
        <f>IF($AD322&lt;=$C$25*12,'Mortgage Calculators (By Month)'!$L340,"-")</f>
        <v>10</v>
      </c>
      <c r="AN322" s="132">
        <f t="shared" si="139"/>
        <v>0</v>
      </c>
      <c r="AO322" s="132">
        <f t="shared" si="130"/>
        <v>4855.3142962007951</v>
      </c>
      <c r="AP322" s="132">
        <f t="shared" si="131"/>
        <v>25674.209608654921</v>
      </c>
      <c r="AQ322" s="132">
        <f t="shared" si="132"/>
        <v>0</v>
      </c>
      <c r="AR322" s="132">
        <f t="shared" si="113"/>
        <v>25674.209608654921</v>
      </c>
      <c r="AS322" s="132">
        <f>IF($AD322&lt;=$C$25*12,SUM(AR$5:AR322),"-")</f>
        <v>4375297.5637291064</v>
      </c>
      <c r="AT322" s="132">
        <f>IF($AD322&lt;=$C$25*12,AE322-$C$10-'RE Calculations'!$C509-'Mortgage Calculators (By Month)'!$M340,"-")</f>
        <v>4232421.4804012226</v>
      </c>
      <c r="AU322" s="29">
        <f t="shared" si="133"/>
        <v>2.6435665859484083</v>
      </c>
      <c r="AV322" s="31">
        <f t="shared" si="134"/>
        <v>9.9757229658430507E-2</v>
      </c>
      <c r="AW322" s="132">
        <f t="shared" si="135"/>
        <v>8607719.044130329</v>
      </c>
      <c r="AX322" s="29">
        <f t="shared" si="136"/>
        <v>5.3763734428778083</v>
      </c>
      <c r="AY322" s="31">
        <f t="shared" si="137"/>
        <v>0.20288201671237013</v>
      </c>
    </row>
    <row r="323" spans="6:51" x14ac:dyDescent="0.35">
      <c r="F323" s="12">
        <f t="shared" si="114"/>
        <v>319</v>
      </c>
      <c r="G323" s="132">
        <f t="shared" si="115"/>
        <v>5981360.2093397351</v>
      </c>
      <c r="H323" s="132">
        <f>IF($F323&lt;=$C$16*12,$G323-$C$7+SUM('Mortgage Calculators (By Month)'!$D$23:$D341),"-")</f>
        <v>5981360.2093397351</v>
      </c>
      <c r="I323" s="132">
        <f t="shared" si="116"/>
        <v>30519.523904855716</v>
      </c>
      <c r="J323" s="132">
        <f>IF($F323&lt;=$C$16*12,SUM(Inputs!$C$61:$C$78)*'Forecast (By Month)'!I323,"-")</f>
        <v>3357.1476295341286</v>
      </c>
      <c r="K323" s="132">
        <f>IF($F323&lt;=$C$16*12,(SUMIF(Inputs!$C$61:$C$78,0,Inputs!$F$61:$F$78)/12)*(1+$C$34)^ROUNDDOWN((F323-1)/12,0),"-")</f>
        <v>1488.1666666666667</v>
      </c>
      <c r="L323" s="132">
        <f t="shared" si="117"/>
        <v>4845.3142962007951</v>
      </c>
      <c r="M323" s="132">
        <f>IF($F323&lt;=$C$16*12,'Mortgage Calculators (By Month)'!$C341,"-")</f>
        <v>0</v>
      </c>
      <c r="N323" s="132">
        <f>IF($F323&lt;=$C$16*12,'Mortgage Calculators (By Month)'!$D341,"-")</f>
        <v>0</v>
      </c>
      <c r="O323" s="132">
        <f>IF($F323&lt;=$C$16*12,'Mortgage Calculators (By Month)'!$E341,"-")</f>
        <v>8.3333333333333339</v>
      </c>
      <c r="P323" s="132">
        <f t="shared" si="138"/>
        <v>0</v>
      </c>
      <c r="Q323" s="132">
        <f t="shared" si="118"/>
        <v>4853.6476295341281</v>
      </c>
      <c r="R323" s="132">
        <f t="shared" si="119"/>
        <v>25674.209608654921</v>
      </c>
      <c r="S323" s="132">
        <f t="shared" si="120"/>
        <v>0</v>
      </c>
      <c r="T323" s="132">
        <f t="shared" si="112"/>
        <v>25674.209608654921</v>
      </c>
      <c r="U323" s="132">
        <f>IF($F323&lt;=$C$16*12,SUM(T$5:T323),"-")</f>
        <v>4400981.7733377609</v>
      </c>
      <c r="V323" s="132">
        <f>IF($F323&lt;=$C$16*12,G323-$C$10-'RE Calculations'!$C510-'Mortgage Calculators (By Month)'!$F341,"-")</f>
        <v>4256206.0051529389</v>
      </c>
      <c r="W323" s="29">
        <f t="shared" si="121"/>
        <v>2.6584223783564793</v>
      </c>
      <c r="X323" s="31">
        <f t="shared" si="122"/>
        <v>0.10000334965604311</v>
      </c>
      <c r="Y323" s="132">
        <f t="shared" si="123"/>
        <v>8657187.7784906998</v>
      </c>
      <c r="Z323" s="29">
        <f t="shared" si="124"/>
        <v>5.4072715691182598</v>
      </c>
      <c r="AA323" s="31">
        <f t="shared" si="125"/>
        <v>0.20340833488846119</v>
      </c>
      <c r="AD323" s="12">
        <f t="shared" si="126"/>
        <v>319</v>
      </c>
      <c r="AE323" s="132">
        <f t="shared" si="127"/>
        <v>5981360.2093397351</v>
      </c>
      <c r="AF323" s="132">
        <f>IF($AD323&lt;=$C$25*12,$AE323-$C$7+SUM('Mortgage Calculators (By Month)'!$K$23:$K341),"-")</f>
        <v>5981360.2093397351</v>
      </c>
      <c r="AG323" s="132">
        <f t="shared" si="128"/>
        <v>30519.523904855716</v>
      </c>
      <c r="AH323" s="132">
        <f>IF($AD323&lt;=$C$25*12,SUM(Inputs!$C$61:$C$78)*'Forecast (By Month)'!AG323,"-")</f>
        <v>3357.1476295341286</v>
      </c>
      <c r="AI323" s="132">
        <f>IF($AD323&lt;=$C$25*12,(SUMIF(Inputs!$C$61:$C$78,0,Inputs!$F$61:$F$78)/12)*(1+$C$34)^ROUNDDOWN((AD323-1)/12,0),"-")</f>
        <v>1488.1666666666667</v>
      </c>
      <c r="AJ323" s="132">
        <f t="shared" si="129"/>
        <v>4845.3142962007951</v>
      </c>
      <c r="AK323" s="132">
        <f>IF($AD323&lt;=$C$25*12,'Mortgage Calculators (By Month)'!$J341,"-")</f>
        <v>0</v>
      </c>
      <c r="AL323" s="132">
        <f>IF($AD323&lt;=$C$25*12,'Mortgage Calculators (By Month)'!$K341,"-")</f>
        <v>0</v>
      </c>
      <c r="AM323" s="132">
        <f>IF($AD323&lt;=$C$25*12,'Mortgage Calculators (By Month)'!$L341,"-")</f>
        <v>10</v>
      </c>
      <c r="AN323" s="132">
        <f t="shared" si="139"/>
        <v>0</v>
      </c>
      <c r="AO323" s="132">
        <f t="shared" si="130"/>
        <v>4855.3142962007951</v>
      </c>
      <c r="AP323" s="132">
        <f t="shared" si="131"/>
        <v>25674.209608654921</v>
      </c>
      <c r="AQ323" s="132">
        <f t="shared" si="132"/>
        <v>0</v>
      </c>
      <c r="AR323" s="132">
        <f t="shared" si="113"/>
        <v>25674.209608654921</v>
      </c>
      <c r="AS323" s="132">
        <f>IF($AD323&lt;=$C$25*12,SUM(AR$5:AR323),"-")</f>
        <v>4400971.7733377609</v>
      </c>
      <c r="AT323" s="132">
        <f>IF($AD323&lt;=$C$25*12,AE323-$C$10-'RE Calculations'!$C510-'Mortgage Calculators (By Month)'!$M341,"-")</f>
        <v>4256206.0051529389</v>
      </c>
      <c r="AU323" s="29">
        <f t="shared" si="133"/>
        <v>2.6584223783564793</v>
      </c>
      <c r="AV323" s="31">
        <f t="shared" si="134"/>
        <v>0.10000334965604311</v>
      </c>
      <c r="AW323" s="132">
        <f t="shared" si="135"/>
        <v>8657177.7784906998</v>
      </c>
      <c r="AX323" s="29">
        <f t="shared" si="136"/>
        <v>5.4072653231274046</v>
      </c>
      <c r="AY323" s="31">
        <f t="shared" si="137"/>
        <v>0.20340809992955755</v>
      </c>
    </row>
    <row r="324" spans="6:51" x14ac:dyDescent="0.35">
      <c r="F324" s="12">
        <f t="shared" si="114"/>
        <v>320</v>
      </c>
      <c r="G324" s="132">
        <f t="shared" si="115"/>
        <v>6005729.0112271737</v>
      </c>
      <c r="H324" s="132">
        <f>IF($F324&lt;=$C$16*12,$G324-$C$7+SUM('Mortgage Calculators (By Month)'!$D$23:$D342),"-")</f>
        <v>6005729.0112271737</v>
      </c>
      <c r="I324" s="132">
        <f t="shared" si="116"/>
        <v>30519.523904855716</v>
      </c>
      <c r="J324" s="132">
        <f>IF($F324&lt;=$C$16*12,SUM(Inputs!$C$61:$C$78)*'Forecast (By Month)'!I324,"-")</f>
        <v>3357.1476295341286</v>
      </c>
      <c r="K324" s="132">
        <f>IF($F324&lt;=$C$16*12,(SUMIF(Inputs!$C$61:$C$78,0,Inputs!$F$61:$F$78)/12)*(1+$C$34)^ROUNDDOWN((F324-1)/12,0),"-")</f>
        <v>1488.1666666666667</v>
      </c>
      <c r="L324" s="132">
        <f t="shared" si="117"/>
        <v>4845.3142962007951</v>
      </c>
      <c r="M324" s="132">
        <f>IF($F324&lt;=$C$16*12,'Mortgage Calculators (By Month)'!$C342,"-")</f>
        <v>0</v>
      </c>
      <c r="N324" s="132">
        <f>IF($F324&lt;=$C$16*12,'Mortgage Calculators (By Month)'!$D342,"-")</f>
        <v>0</v>
      </c>
      <c r="O324" s="132">
        <f>IF($F324&lt;=$C$16*12,'Mortgage Calculators (By Month)'!$E342,"-")</f>
        <v>8.3333333333333339</v>
      </c>
      <c r="P324" s="132">
        <f t="shared" si="138"/>
        <v>0</v>
      </c>
      <c r="Q324" s="132">
        <f t="shared" si="118"/>
        <v>4853.6476295341281</v>
      </c>
      <c r="R324" s="132">
        <f t="shared" si="119"/>
        <v>25674.209608654921</v>
      </c>
      <c r="S324" s="132">
        <f t="shared" si="120"/>
        <v>0</v>
      </c>
      <c r="T324" s="132">
        <f t="shared" ref="T324:T365" si="140">IF($F324&lt;=$C$16*12,R324-S324,"-")</f>
        <v>25674.209608654921</v>
      </c>
      <c r="U324" s="132">
        <f>IF($F324&lt;=$C$16*12,SUM(T$5:T324),"-")</f>
        <v>4426655.9829464154</v>
      </c>
      <c r="V324" s="132">
        <f>IF($F324&lt;=$C$16*12,G324-$C$10-'RE Calculations'!$C511-'Mortgage Calculators (By Month)'!$F342,"-")</f>
        <v>4280087.431002629</v>
      </c>
      <c r="W324" s="29">
        <f t="shared" si="121"/>
        <v>2.6733386951017248</v>
      </c>
      <c r="X324" s="31">
        <f t="shared" si="122"/>
        <v>0.10025020106631467</v>
      </c>
      <c r="Y324" s="132">
        <f t="shared" si="123"/>
        <v>8706743.4139490444</v>
      </c>
      <c r="Z324" s="29">
        <f t="shared" si="124"/>
        <v>5.4382239737050311</v>
      </c>
      <c r="AA324" s="31">
        <f t="shared" si="125"/>
        <v>0.20393339901393864</v>
      </c>
      <c r="AD324" s="12">
        <f t="shared" si="126"/>
        <v>320</v>
      </c>
      <c r="AE324" s="132">
        <f t="shared" si="127"/>
        <v>6005729.0112271737</v>
      </c>
      <c r="AF324" s="132">
        <f>IF($AD324&lt;=$C$25*12,$AE324-$C$7+SUM('Mortgage Calculators (By Month)'!$K$23:$K342),"-")</f>
        <v>6005729.0112271737</v>
      </c>
      <c r="AG324" s="132">
        <f t="shared" si="128"/>
        <v>30519.523904855716</v>
      </c>
      <c r="AH324" s="132">
        <f>IF($AD324&lt;=$C$25*12,SUM(Inputs!$C$61:$C$78)*'Forecast (By Month)'!AG324,"-")</f>
        <v>3357.1476295341286</v>
      </c>
      <c r="AI324" s="132">
        <f>IF($AD324&lt;=$C$25*12,(SUMIF(Inputs!$C$61:$C$78,0,Inputs!$F$61:$F$78)/12)*(1+$C$34)^ROUNDDOWN((AD324-1)/12,0),"-")</f>
        <v>1488.1666666666667</v>
      </c>
      <c r="AJ324" s="132">
        <f t="shared" si="129"/>
        <v>4845.3142962007951</v>
      </c>
      <c r="AK324" s="132">
        <f>IF($AD324&lt;=$C$25*12,'Mortgage Calculators (By Month)'!$J342,"-")</f>
        <v>0</v>
      </c>
      <c r="AL324" s="132">
        <f>IF($AD324&lt;=$C$25*12,'Mortgage Calculators (By Month)'!$K342,"-")</f>
        <v>0</v>
      </c>
      <c r="AM324" s="132">
        <f>IF($AD324&lt;=$C$25*12,'Mortgage Calculators (By Month)'!$L342,"-")</f>
        <v>10</v>
      </c>
      <c r="AN324" s="132">
        <f t="shared" si="139"/>
        <v>0</v>
      </c>
      <c r="AO324" s="132">
        <f t="shared" si="130"/>
        <v>4855.3142962007951</v>
      </c>
      <c r="AP324" s="132">
        <f t="shared" si="131"/>
        <v>25674.209608654921</v>
      </c>
      <c r="AQ324" s="132">
        <f t="shared" si="132"/>
        <v>0</v>
      </c>
      <c r="AR324" s="132">
        <f t="shared" ref="AR324:AR365" si="141">IF($AD324&lt;=$C$25*12,AP324-AQ324,"-")</f>
        <v>25674.209608654921</v>
      </c>
      <c r="AS324" s="132">
        <f>IF($AD324&lt;=$C$25*12,SUM(AR$5:AR324),"-")</f>
        <v>4426645.9829464154</v>
      </c>
      <c r="AT324" s="132">
        <f>IF($AD324&lt;=$C$25*12,AE324-$C$10-'RE Calculations'!$C511-'Mortgage Calculators (By Month)'!$M342,"-")</f>
        <v>4280087.431002629</v>
      </c>
      <c r="AU324" s="29">
        <f t="shared" si="133"/>
        <v>2.6733386951017248</v>
      </c>
      <c r="AV324" s="31">
        <f t="shared" si="134"/>
        <v>0.10025020106631467</v>
      </c>
      <c r="AW324" s="132">
        <f t="shared" si="135"/>
        <v>8706733.4139490444</v>
      </c>
      <c r="AX324" s="29">
        <f t="shared" si="136"/>
        <v>5.4382177277141759</v>
      </c>
      <c r="AY324" s="31">
        <f t="shared" si="137"/>
        <v>0.20393316478928158</v>
      </c>
    </row>
    <row r="325" spans="6:51" x14ac:dyDescent="0.35">
      <c r="F325" s="12">
        <f t="shared" ref="F325:F388" si="142">IF(F324&lt;$C$16*12,F324+1,"-")</f>
        <v>321</v>
      </c>
      <c r="G325" s="132">
        <f t="shared" ref="G325:G388" si="143">IF($F325&lt;=$C$16*12,G324*(1+$C$32),"-")</f>
        <v>6030197.0946299611</v>
      </c>
      <c r="H325" s="132">
        <f>IF($F325&lt;=$C$16*12,$G325-$C$7+SUM('Mortgage Calculators (By Month)'!$D$23:$D343),"-")</f>
        <v>6030197.0946299611</v>
      </c>
      <c r="I325" s="132">
        <f t="shared" ref="I325:I365" si="144">IF($F325&lt;=$C$16*12,$C$9*(1+$C$33)^ROUNDDOWN((F325-1)/12,0),"-")</f>
        <v>30519.523904855716</v>
      </c>
      <c r="J325" s="132">
        <f>IF($F325&lt;=$C$16*12,SUM(Inputs!$C$61:$C$78)*'Forecast (By Month)'!I325,"-")</f>
        <v>3357.1476295341286</v>
      </c>
      <c r="K325" s="132">
        <f>IF($F325&lt;=$C$16*12,(SUMIF(Inputs!$C$61:$C$78,0,Inputs!$F$61:$F$78)/12)*(1+$C$34)^ROUNDDOWN((F325-1)/12,0),"-")</f>
        <v>1488.1666666666667</v>
      </c>
      <c r="L325" s="132">
        <f t="shared" ref="L325:L365" si="145">IF($F325&lt;=$C$16*12,SUM(J325:K325),"-")</f>
        <v>4845.3142962007951</v>
      </c>
      <c r="M325" s="132">
        <f>IF($F325&lt;=$C$16*12,'Mortgage Calculators (By Month)'!$C343,"-")</f>
        <v>0</v>
      </c>
      <c r="N325" s="132">
        <f>IF($F325&lt;=$C$16*12,'Mortgage Calculators (By Month)'!$D343,"-")</f>
        <v>0</v>
      </c>
      <c r="O325" s="132">
        <f>IF($F325&lt;=$C$16*12,'Mortgage Calculators (By Month)'!$E343,"-")</f>
        <v>8.3333333333333339</v>
      </c>
      <c r="P325" s="132">
        <f t="shared" si="138"/>
        <v>0</v>
      </c>
      <c r="Q325" s="132">
        <f t="shared" ref="Q325:Q365" si="146">IF($F325&lt;=$C$16*12,L325+O325+P325,"-")</f>
        <v>4853.6476295341281</v>
      </c>
      <c r="R325" s="132">
        <f t="shared" ref="R325:R365" si="147">IF($F325&lt;=$C$16*12,$I325-$L325-M325,"-")</f>
        <v>25674.209608654921</v>
      </c>
      <c r="S325" s="132">
        <f t="shared" ref="S325:S365" si="148">IF($F325&lt;=$C$16*12,(I325-Q325)*$C$35,"-")</f>
        <v>0</v>
      </c>
      <c r="T325" s="132">
        <f t="shared" si="140"/>
        <v>25674.209608654921</v>
      </c>
      <c r="U325" s="132">
        <f>IF($F325&lt;=$C$16*12,SUM(T$5:T325),"-")</f>
        <v>4452330.1925550699</v>
      </c>
      <c r="V325" s="132">
        <f>IF($F325&lt;=$C$16*12,G325-$C$10-'RE Calculations'!$C512-'Mortgage Calculators (By Month)'!$F343,"-")</f>
        <v>4304066.1527373604</v>
      </c>
      <c r="W325" s="29">
        <f t="shared" ref="W325:W365" si="149">IF($F325&lt;=$C$16*12,V325/$C$10,"-")</f>
        <v>2.6883157827677864</v>
      </c>
      <c r="X325" s="31">
        <f t="shared" ref="X325:X365" si="150">IF($F325&lt;=$C$16*12,W325/($F325/12),"-")</f>
        <v>0.10049778627169295</v>
      </c>
      <c r="Y325" s="132">
        <f t="shared" ref="Y325:Y365" si="151">IF($F325&lt;=$C$16*12,V325+U325,"-")</f>
        <v>8756396.3452924304</v>
      </c>
      <c r="Z325" s="29">
        <f t="shared" ref="Z325:Z365" si="152">IF($F325&lt;=$C$16*12,Y325/$C$10,"-")</f>
        <v>5.4692371492126179</v>
      </c>
      <c r="AA325" s="31">
        <f t="shared" ref="AA325:AA365" si="153">IF($F325&lt;=$C$16*12,Z325/($F325/12),"-")</f>
        <v>0.20445746352196703</v>
      </c>
      <c r="AD325" s="12">
        <f t="shared" ref="AD325:AD388" si="154">IF($AD324&lt;$C$25*12,AD324+1,"-")</f>
        <v>321</v>
      </c>
      <c r="AE325" s="132">
        <f t="shared" ref="AE325:AE388" si="155">IF($AD325&lt;=$C$25*12,AE324*(1+$C$32),"-")</f>
        <v>6030197.0946299611</v>
      </c>
      <c r="AF325" s="132">
        <f>IF($AD325&lt;=$C$25*12,$AE325-$C$7+SUM('Mortgage Calculators (By Month)'!$K$23:$K343),"-")</f>
        <v>6030197.0946299611</v>
      </c>
      <c r="AG325" s="132">
        <f t="shared" ref="AG325:AG365" si="156">IF($AD325&lt;=$C$25*12,$C$9*(1+$C$33)^ROUNDDOWN((AD325-1)/12,0),"-")</f>
        <v>30519.523904855716</v>
      </c>
      <c r="AH325" s="132">
        <f>IF($AD325&lt;=$C$25*12,SUM(Inputs!$C$61:$C$78)*'Forecast (By Month)'!AG325,"-")</f>
        <v>3357.1476295341286</v>
      </c>
      <c r="AI325" s="132">
        <f>IF($AD325&lt;=$C$25*12,(SUMIF(Inputs!$C$61:$C$78,0,Inputs!$F$61:$F$78)/12)*(1+$C$34)^ROUNDDOWN((AD325-1)/12,0),"-")</f>
        <v>1488.1666666666667</v>
      </c>
      <c r="AJ325" s="132">
        <f t="shared" ref="AJ325:AJ365" si="157">IF($AD325&lt;=$C$25*12,SUM(AH325:AI325),"-")</f>
        <v>4845.3142962007951</v>
      </c>
      <c r="AK325" s="132">
        <f>IF($AD325&lt;=$C$25*12,'Mortgage Calculators (By Month)'!$J343,"-")</f>
        <v>0</v>
      </c>
      <c r="AL325" s="132">
        <f>IF($AD325&lt;=$C$25*12,'Mortgage Calculators (By Month)'!$K343,"-")</f>
        <v>0</v>
      </c>
      <c r="AM325" s="132">
        <f>IF($AD325&lt;=$C$25*12,'Mortgage Calculators (By Month)'!$L343,"-")</f>
        <v>10</v>
      </c>
      <c r="AN325" s="132">
        <f t="shared" si="139"/>
        <v>0</v>
      </c>
      <c r="AO325" s="132">
        <f t="shared" ref="AO325:AO365" si="158">IF($AD325&lt;=$C$25*12,AJ325+AM325+AN325,"-")</f>
        <v>4855.3142962007951</v>
      </c>
      <c r="AP325" s="132">
        <f t="shared" ref="AP325:AP365" si="159">IF($AD325&lt;=$C$25*12,$AG325-$AJ325-AK325,"-")</f>
        <v>25674.209608654921</v>
      </c>
      <c r="AQ325" s="132">
        <f t="shared" ref="AQ325:AQ365" si="160">IF($AD325&lt;=$C$25*12,(AG325-AO325)*$C$35,"-")</f>
        <v>0</v>
      </c>
      <c r="AR325" s="132">
        <f t="shared" si="141"/>
        <v>25674.209608654921</v>
      </c>
      <c r="AS325" s="132">
        <f>IF($AD325&lt;=$C$25*12,SUM(AR$5:AR325),"-")</f>
        <v>4452320.1925550699</v>
      </c>
      <c r="AT325" s="132">
        <f>IF($AD325&lt;=$C$25*12,AE325-$C$10-'RE Calculations'!$C512-'Mortgage Calculators (By Month)'!$M343,"-")</f>
        <v>4304066.1527373604</v>
      </c>
      <c r="AU325" s="29">
        <f t="shared" ref="AU325:AU365" si="161">IF($AD325&lt;=$C$25*12,AT325/$C$10,"-")</f>
        <v>2.6883157827677864</v>
      </c>
      <c r="AV325" s="31">
        <f t="shared" ref="AV325:AV365" si="162">IF($AD325&lt;=$C$25*12,AU325/($AD325/12),"-")</f>
        <v>0.10049778627169295</v>
      </c>
      <c r="AW325" s="132">
        <f t="shared" ref="AW325:AW365" si="163">IF($AD325&lt;=$C$25*12,AT325+AS325,"-")</f>
        <v>8756386.3452924304</v>
      </c>
      <c r="AX325" s="29">
        <f t="shared" ref="AX325:AX365" si="164">IF($AD325&lt;=$C$25*12,AW325/$C$10,"-")</f>
        <v>5.4692309032217636</v>
      </c>
      <c r="AY325" s="31">
        <f t="shared" ref="AY325:AY365" si="165">IF($AD325&lt;=$C$25*12,AX325/($AD325/12),"-")</f>
        <v>0.20445723002698182</v>
      </c>
    </row>
    <row r="326" spans="6:51" x14ac:dyDescent="0.35">
      <c r="F326" s="12">
        <f t="shared" si="142"/>
        <v>322</v>
      </c>
      <c r="G326" s="132">
        <f t="shared" si="143"/>
        <v>6054764.8640332799</v>
      </c>
      <c r="H326" s="132">
        <f>IF($F326&lt;=$C$16*12,$G326-$C$7+SUM('Mortgage Calculators (By Month)'!$D$23:$D344),"-")</f>
        <v>6054764.8640332799</v>
      </c>
      <c r="I326" s="132">
        <f t="shared" si="144"/>
        <v>30519.523904855716</v>
      </c>
      <c r="J326" s="132">
        <f>IF($F326&lt;=$C$16*12,SUM(Inputs!$C$61:$C$78)*'Forecast (By Month)'!I326,"-")</f>
        <v>3357.1476295341286</v>
      </c>
      <c r="K326" s="132">
        <f>IF($F326&lt;=$C$16*12,(SUMIF(Inputs!$C$61:$C$78,0,Inputs!$F$61:$F$78)/12)*(1+$C$34)^ROUNDDOWN((F326-1)/12,0),"-")</f>
        <v>1488.1666666666667</v>
      </c>
      <c r="L326" s="132">
        <f t="shared" si="145"/>
        <v>4845.3142962007951</v>
      </c>
      <c r="M326" s="132">
        <f>IF($F326&lt;=$C$16*12,'Mortgage Calculators (By Month)'!$C344,"-")</f>
        <v>0</v>
      </c>
      <c r="N326" s="132">
        <f>IF($F326&lt;=$C$16*12,'Mortgage Calculators (By Month)'!$D344,"-")</f>
        <v>0</v>
      </c>
      <c r="O326" s="132">
        <f>IF($F326&lt;=$C$16*12,'Mortgage Calculators (By Month)'!$E344,"-")</f>
        <v>8.3333333333333339</v>
      </c>
      <c r="P326" s="132">
        <f t="shared" ref="P326:P389" si="166">IF($F326&lt;=$C$16*12,IF($F326&lt;=$C$38*12,IFERROR($C$37/($C$38*12),0),0),"-")</f>
        <v>0</v>
      </c>
      <c r="Q326" s="132">
        <f t="shared" si="146"/>
        <v>4853.6476295341281</v>
      </c>
      <c r="R326" s="132">
        <f t="shared" si="147"/>
        <v>25674.209608654921</v>
      </c>
      <c r="S326" s="132">
        <f t="shared" si="148"/>
        <v>0</v>
      </c>
      <c r="T326" s="132">
        <f t="shared" si="140"/>
        <v>25674.209608654921</v>
      </c>
      <c r="U326" s="132">
        <f>IF($F326&lt;=$C$16*12,SUM(T$5:T326),"-")</f>
        <v>4478004.4021637244</v>
      </c>
      <c r="V326" s="132">
        <f>IF($F326&lt;=$C$16*12,G326-$C$10-'RE Calculations'!$C513-'Mortgage Calculators (By Month)'!$F344,"-")</f>
        <v>4328142.5667526126</v>
      </c>
      <c r="W326" s="29">
        <f t="shared" si="149"/>
        <v>2.7033538889429178</v>
      </c>
      <c r="X326" s="31">
        <f t="shared" si="150"/>
        <v>0.100746107662469</v>
      </c>
      <c r="Y326" s="132">
        <f t="shared" si="151"/>
        <v>8806146.9689163379</v>
      </c>
      <c r="Z326" s="29">
        <f t="shared" si="152"/>
        <v>5.5003113432292761</v>
      </c>
      <c r="AA326" s="31">
        <f t="shared" si="153"/>
        <v>0.20498054695264384</v>
      </c>
      <c r="AD326" s="12">
        <f t="shared" si="154"/>
        <v>322</v>
      </c>
      <c r="AE326" s="132">
        <f t="shared" si="155"/>
        <v>6054764.8640332799</v>
      </c>
      <c r="AF326" s="132">
        <f>IF($AD326&lt;=$C$25*12,$AE326-$C$7+SUM('Mortgage Calculators (By Month)'!$K$23:$K344),"-")</f>
        <v>6054764.8640332799</v>
      </c>
      <c r="AG326" s="132">
        <f t="shared" si="156"/>
        <v>30519.523904855716</v>
      </c>
      <c r="AH326" s="132">
        <f>IF($AD326&lt;=$C$25*12,SUM(Inputs!$C$61:$C$78)*'Forecast (By Month)'!AG326,"-")</f>
        <v>3357.1476295341286</v>
      </c>
      <c r="AI326" s="132">
        <f>IF($AD326&lt;=$C$25*12,(SUMIF(Inputs!$C$61:$C$78,0,Inputs!$F$61:$F$78)/12)*(1+$C$34)^ROUNDDOWN((AD326-1)/12,0),"-")</f>
        <v>1488.1666666666667</v>
      </c>
      <c r="AJ326" s="132">
        <f t="shared" si="157"/>
        <v>4845.3142962007951</v>
      </c>
      <c r="AK326" s="132">
        <f>IF($AD326&lt;=$C$25*12,'Mortgage Calculators (By Month)'!$J344,"-")</f>
        <v>0</v>
      </c>
      <c r="AL326" s="132">
        <f>IF($AD326&lt;=$C$25*12,'Mortgage Calculators (By Month)'!$K344,"-")</f>
        <v>0</v>
      </c>
      <c r="AM326" s="132">
        <f>IF($AD326&lt;=$C$25*12,'Mortgage Calculators (By Month)'!$L344,"-")</f>
        <v>10</v>
      </c>
      <c r="AN326" s="132">
        <f t="shared" ref="AN326:AN389" si="167">IF($AD326&lt;=$C$25*12,IF($AD326&lt;=$C$38*12,IFERROR($C$37/($C$38*12),0),0),"-")</f>
        <v>0</v>
      </c>
      <c r="AO326" s="132">
        <f t="shared" si="158"/>
        <v>4855.3142962007951</v>
      </c>
      <c r="AP326" s="132">
        <f t="shared" si="159"/>
        <v>25674.209608654921</v>
      </c>
      <c r="AQ326" s="132">
        <f t="shared" si="160"/>
        <v>0</v>
      </c>
      <c r="AR326" s="132">
        <f t="shared" si="141"/>
        <v>25674.209608654921</v>
      </c>
      <c r="AS326" s="132">
        <f>IF($AD326&lt;=$C$25*12,SUM(AR$5:AR326),"-")</f>
        <v>4477994.4021637244</v>
      </c>
      <c r="AT326" s="132">
        <f>IF($AD326&lt;=$C$25*12,AE326-$C$10-'RE Calculations'!$C513-'Mortgage Calculators (By Month)'!$M344,"-")</f>
        <v>4328142.5667526126</v>
      </c>
      <c r="AU326" s="29">
        <f t="shared" si="161"/>
        <v>2.7033538889429178</v>
      </c>
      <c r="AV326" s="31">
        <f t="shared" si="162"/>
        <v>0.100746107662469</v>
      </c>
      <c r="AW326" s="132">
        <f t="shared" si="163"/>
        <v>8806136.9689163379</v>
      </c>
      <c r="AX326" s="29">
        <f t="shared" si="164"/>
        <v>5.5003050972384209</v>
      </c>
      <c r="AY326" s="31">
        <f t="shared" si="165"/>
        <v>0.2049803141827983</v>
      </c>
    </row>
    <row r="327" spans="6:51" x14ac:dyDescent="0.35">
      <c r="F327" s="12">
        <f t="shared" si="142"/>
        <v>323</v>
      </c>
      <c r="G327" s="132">
        <f t="shared" si="143"/>
        <v>6079432.7255702363</v>
      </c>
      <c r="H327" s="132">
        <f>IF($F327&lt;=$C$16*12,$G327-$C$7+SUM('Mortgage Calculators (By Month)'!$D$23:$D345),"-")</f>
        <v>6079432.7255702363</v>
      </c>
      <c r="I327" s="132">
        <f t="shared" si="144"/>
        <v>30519.523904855716</v>
      </c>
      <c r="J327" s="132">
        <f>IF($F327&lt;=$C$16*12,SUM(Inputs!$C$61:$C$78)*'Forecast (By Month)'!I327,"-")</f>
        <v>3357.1476295341286</v>
      </c>
      <c r="K327" s="132">
        <f>IF($F327&lt;=$C$16*12,(SUMIF(Inputs!$C$61:$C$78,0,Inputs!$F$61:$F$78)/12)*(1+$C$34)^ROUNDDOWN((F327-1)/12,0),"-")</f>
        <v>1488.1666666666667</v>
      </c>
      <c r="L327" s="132">
        <f t="shared" si="145"/>
        <v>4845.3142962007951</v>
      </c>
      <c r="M327" s="132">
        <f>IF($F327&lt;=$C$16*12,'Mortgage Calculators (By Month)'!$C345,"-")</f>
        <v>0</v>
      </c>
      <c r="N327" s="132">
        <f>IF($F327&lt;=$C$16*12,'Mortgage Calculators (By Month)'!$D345,"-")</f>
        <v>0</v>
      </c>
      <c r="O327" s="132">
        <f>IF($F327&lt;=$C$16*12,'Mortgage Calculators (By Month)'!$E345,"-")</f>
        <v>8.3333333333333339</v>
      </c>
      <c r="P327" s="132">
        <f t="shared" si="166"/>
        <v>0</v>
      </c>
      <c r="Q327" s="132">
        <f t="shared" si="146"/>
        <v>4853.6476295341281</v>
      </c>
      <c r="R327" s="132">
        <f t="shared" si="147"/>
        <v>25674.209608654921</v>
      </c>
      <c r="S327" s="132">
        <f t="shared" si="148"/>
        <v>0</v>
      </c>
      <c r="T327" s="132">
        <f t="shared" si="140"/>
        <v>25674.209608654921</v>
      </c>
      <c r="U327" s="132">
        <f>IF($F327&lt;=$C$16*12,SUM(T$5:T327),"-")</f>
        <v>4503678.6117723789</v>
      </c>
      <c r="V327" s="132">
        <f>IF($F327&lt;=$C$16*12,G327-$C$10-'RE Calculations'!$C514-'Mortgage Calculators (By Month)'!$F345,"-")</f>
        <v>4352317.0710588302</v>
      </c>
      <c r="W327" s="29">
        <f t="shared" si="149"/>
        <v>2.7184532622240787</v>
      </c>
      <c r="X327" s="31">
        <f t="shared" si="150"/>
        <v>0.10099516763680787</v>
      </c>
      <c r="Y327" s="132">
        <f t="shared" si="151"/>
        <v>8855995.6828312092</v>
      </c>
      <c r="Z327" s="29">
        <f t="shared" si="152"/>
        <v>5.5314468043519627</v>
      </c>
      <c r="AA327" s="31">
        <f t="shared" si="153"/>
        <v>0.20550266765394287</v>
      </c>
      <c r="AD327" s="12">
        <f t="shared" si="154"/>
        <v>323</v>
      </c>
      <c r="AE327" s="132">
        <f t="shared" si="155"/>
        <v>6079432.7255702363</v>
      </c>
      <c r="AF327" s="132">
        <f>IF($AD327&lt;=$C$25*12,$AE327-$C$7+SUM('Mortgage Calculators (By Month)'!$K$23:$K345),"-")</f>
        <v>6079432.7255702363</v>
      </c>
      <c r="AG327" s="132">
        <f t="shared" si="156"/>
        <v>30519.523904855716</v>
      </c>
      <c r="AH327" s="132">
        <f>IF($AD327&lt;=$C$25*12,SUM(Inputs!$C$61:$C$78)*'Forecast (By Month)'!AG327,"-")</f>
        <v>3357.1476295341286</v>
      </c>
      <c r="AI327" s="132">
        <f>IF($AD327&lt;=$C$25*12,(SUMIF(Inputs!$C$61:$C$78,0,Inputs!$F$61:$F$78)/12)*(1+$C$34)^ROUNDDOWN((AD327-1)/12,0),"-")</f>
        <v>1488.1666666666667</v>
      </c>
      <c r="AJ327" s="132">
        <f t="shared" si="157"/>
        <v>4845.3142962007951</v>
      </c>
      <c r="AK327" s="132">
        <f>IF($AD327&lt;=$C$25*12,'Mortgage Calculators (By Month)'!$J345,"-")</f>
        <v>0</v>
      </c>
      <c r="AL327" s="132">
        <f>IF($AD327&lt;=$C$25*12,'Mortgage Calculators (By Month)'!$K345,"-")</f>
        <v>0</v>
      </c>
      <c r="AM327" s="132">
        <f>IF($AD327&lt;=$C$25*12,'Mortgage Calculators (By Month)'!$L345,"-")</f>
        <v>10</v>
      </c>
      <c r="AN327" s="132">
        <f t="shared" si="167"/>
        <v>0</v>
      </c>
      <c r="AO327" s="132">
        <f t="shared" si="158"/>
        <v>4855.3142962007951</v>
      </c>
      <c r="AP327" s="132">
        <f t="shared" si="159"/>
        <v>25674.209608654921</v>
      </c>
      <c r="AQ327" s="132">
        <f t="shared" si="160"/>
        <v>0</v>
      </c>
      <c r="AR327" s="132">
        <f t="shared" si="141"/>
        <v>25674.209608654921</v>
      </c>
      <c r="AS327" s="132">
        <f>IF($AD327&lt;=$C$25*12,SUM(AR$5:AR327),"-")</f>
        <v>4503668.6117723789</v>
      </c>
      <c r="AT327" s="132">
        <f>IF($AD327&lt;=$C$25*12,AE327-$C$10-'RE Calculations'!$C514-'Mortgage Calculators (By Month)'!$M345,"-")</f>
        <v>4352317.0710588302</v>
      </c>
      <c r="AU327" s="29">
        <f t="shared" si="161"/>
        <v>2.7184532622240787</v>
      </c>
      <c r="AV327" s="31">
        <f t="shared" si="162"/>
        <v>0.10099516763680787</v>
      </c>
      <c r="AW327" s="132">
        <f t="shared" si="163"/>
        <v>8855985.6828312092</v>
      </c>
      <c r="AX327" s="29">
        <f t="shared" si="164"/>
        <v>5.5314405583611075</v>
      </c>
      <c r="AY327" s="31">
        <f t="shared" si="165"/>
        <v>0.20550243560474701</v>
      </c>
    </row>
    <row r="328" spans="6:51" x14ac:dyDescent="0.35">
      <c r="F328" s="12">
        <f t="shared" si="142"/>
        <v>324</v>
      </c>
      <c r="G328" s="132">
        <f t="shared" si="143"/>
        <v>6104201.0870285723</v>
      </c>
      <c r="H328" s="132">
        <f>IF($F328&lt;=$C$16*12,$G328-$C$7+SUM('Mortgage Calculators (By Month)'!$D$23:$D346),"-")</f>
        <v>6104201.0870285723</v>
      </c>
      <c r="I328" s="132">
        <f t="shared" si="144"/>
        <v>30519.523904855716</v>
      </c>
      <c r="J328" s="132">
        <f>IF($F328&lt;=$C$16*12,SUM(Inputs!$C$61:$C$78)*'Forecast (By Month)'!I328,"-")</f>
        <v>3357.1476295341286</v>
      </c>
      <c r="K328" s="132">
        <f>IF($F328&lt;=$C$16*12,(SUMIF(Inputs!$C$61:$C$78,0,Inputs!$F$61:$F$78)/12)*(1+$C$34)^ROUNDDOWN((F328-1)/12,0),"-")</f>
        <v>1488.1666666666667</v>
      </c>
      <c r="L328" s="132">
        <f t="shared" si="145"/>
        <v>4845.3142962007951</v>
      </c>
      <c r="M328" s="132">
        <f>IF($F328&lt;=$C$16*12,'Mortgage Calculators (By Month)'!$C346,"-")</f>
        <v>0</v>
      </c>
      <c r="N328" s="132">
        <f>IF($F328&lt;=$C$16*12,'Mortgage Calculators (By Month)'!$D346,"-")</f>
        <v>0</v>
      </c>
      <c r="O328" s="132">
        <f>IF($F328&lt;=$C$16*12,'Mortgage Calculators (By Month)'!$E346,"-")</f>
        <v>8.3333333333333339</v>
      </c>
      <c r="P328" s="132">
        <f t="shared" si="166"/>
        <v>0</v>
      </c>
      <c r="Q328" s="132">
        <f t="shared" si="146"/>
        <v>4853.6476295341281</v>
      </c>
      <c r="R328" s="132">
        <f t="shared" si="147"/>
        <v>25674.209608654921</v>
      </c>
      <c r="S328" s="132">
        <f t="shared" si="148"/>
        <v>0</v>
      </c>
      <c r="T328" s="132">
        <f t="shared" si="140"/>
        <v>25674.209608654921</v>
      </c>
      <c r="U328" s="132">
        <f>IF($F328&lt;=$C$16*12,SUM(T$5:T328),"-")</f>
        <v>4529352.8213810334</v>
      </c>
      <c r="V328" s="132">
        <f>IF($F328&lt;=$C$16*12,G328-$C$10-'RE Calculations'!$C515-'Mortgage Calculators (By Month)'!$F346,"-")</f>
        <v>4376590.0652879989</v>
      </c>
      <c r="W328" s="29">
        <f t="shared" si="149"/>
        <v>2.7336141522210422</v>
      </c>
      <c r="X328" s="31">
        <f t="shared" si="150"/>
        <v>0.10124496860077935</v>
      </c>
      <c r="Y328" s="132">
        <f t="shared" si="151"/>
        <v>8905942.8866690323</v>
      </c>
      <c r="Z328" s="29">
        <f t="shared" si="152"/>
        <v>5.5626437821904515</v>
      </c>
      <c r="AA328" s="31">
        <f t="shared" si="153"/>
        <v>0.20602384378483155</v>
      </c>
      <c r="AD328" s="12">
        <f t="shared" si="154"/>
        <v>324</v>
      </c>
      <c r="AE328" s="132">
        <f t="shared" si="155"/>
        <v>6104201.0870285723</v>
      </c>
      <c r="AF328" s="132">
        <f>IF($AD328&lt;=$C$25*12,$AE328-$C$7+SUM('Mortgage Calculators (By Month)'!$K$23:$K346),"-")</f>
        <v>6104201.0870285723</v>
      </c>
      <c r="AG328" s="132">
        <f t="shared" si="156"/>
        <v>30519.523904855716</v>
      </c>
      <c r="AH328" s="132">
        <f>IF($AD328&lt;=$C$25*12,SUM(Inputs!$C$61:$C$78)*'Forecast (By Month)'!AG328,"-")</f>
        <v>3357.1476295341286</v>
      </c>
      <c r="AI328" s="132">
        <f>IF($AD328&lt;=$C$25*12,(SUMIF(Inputs!$C$61:$C$78,0,Inputs!$F$61:$F$78)/12)*(1+$C$34)^ROUNDDOWN((AD328-1)/12,0),"-")</f>
        <v>1488.1666666666667</v>
      </c>
      <c r="AJ328" s="132">
        <f t="shared" si="157"/>
        <v>4845.3142962007951</v>
      </c>
      <c r="AK328" s="132">
        <f>IF($AD328&lt;=$C$25*12,'Mortgage Calculators (By Month)'!$J346,"-")</f>
        <v>0</v>
      </c>
      <c r="AL328" s="132">
        <f>IF($AD328&lt;=$C$25*12,'Mortgage Calculators (By Month)'!$K346,"-")</f>
        <v>0</v>
      </c>
      <c r="AM328" s="132">
        <f>IF($AD328&lt;=$C$25*12,'Mortgage Calculators (By Month)'!$L346,"-")</f>
        <v>10</v>
      </c>
      <c r="AN328" s="132">
        <f t="shared" si="167"/>
        <v>0</v>
      </c>
      <c r="AO328" s="132">
        <f t="shared" si="158"/>
        <v>4855.3142962007951</v>
      </c>
      <c r="AP328" s="132">
        <f t="shared" si="159"/>
        <v>25674.209608654921</v>
      </c>
      <c r="AQ328" s="132">
        <f t="shared" si="160"/>
        <v>0</v>
      </c>
      <c r="AR328" s="132">
        <f t="shared" si="141"/>
        <v>25674.209608654921</v>
      </c>
      <c r="AS328" s="132">
        <f>IF($AD328&lt;=$C$25*12,SUM(AR$5:AR328),"-")</f>
        <v>4529342.8213810334</v>
      </c>
      <c r="AT328" s="132">
        <f>IF($AD328&lt;=$C$25*12,AE328-$C$10-'RE Calculations'!$C515-'Mortgage Calculators (By Month)'!$M346,"-")</f>
        <v>4376590.0652879989</v>
      </c>
      <c r="AU328" s="29">
        <f t="shared" si="161"/>
        <v>2.7336141522210422</v>
      </c>
      <c r="AV328" s="31">
        <f t="shared" si="162"/>
        <v>0.10124496860077935</v>
      </c>
      <c r="AW328" s="132">
        <f t="shared" si="163"/>
        <v>8905932.8866690323</v>
      </c>
      <c r="AX328" s="29">
        <f t="shared" si="164"/>
        <v>5.5626375361995972</v>
      </c>
      <c r="AY328" s="31">
        <f t="shared" si="165"/>
        <v>0.20602361245183692</v>
      </c>
    </row>
    <row r="329" spans="6:51" x14ac:dyDescent="0.35">
      <c r="F329" s="12">
        <f t="shared" si="142"/>
        <v>325</v>
      </c>
      <c r="G329" s="132">
        <f t="shared" si="143"/>
        <v>6129070.357857408</v>
      </c>
      <c r="H329" s="132">
        <f>IF($F329&lt;=$C$16*12,$G329-$C$7+SUM('Mortgage Calculators (By Month)'!$D$23:$D347),"-")</f>
        <v>6129070.357857408</v>
      </c>
      <c r="I329" s="132">
        <f t="shared" si="144"/>
        <v>32045.500100098507</v>
      </c>
      <c r="J329" s="132">
        <f>IF($F329&lt;=$C$16*12,SUM(Inputs!$C$61:$C$78)*'Forecast (By Month)'!I329,"-")</f>
        <v>3525.0050110108359</v>
      </c>
      <c r="K329" s="132">
        <f>IF($F329&lt;=$C$16*12,(SUMIF(Inputs!$C$61:$C$78,0,Inputs!$F$61:$F$78)/12)*(1+$C$34)^ROUNDDOWN((F329-1)/12,0),"-")</f>
        <v>1488.1666666666667</v>
      </c>
      <c r="L329" s="132">
        <f t="shared" si="145"/>
        <v>5013.1716776775029</v>
      </c>
      <c r="M329" s="132">
        <f>IF($F329&lt;=$C$16*12,'Mortgage Calculators (By Month)'!$C347,"-")</f>
        <v>0</v>
      </c>
      <c r="N329" s="132">
        <f>IF($F329&lt;=$C$16*12,'Mortgage Calculators (By Month)'!$D347,"-")</f>
        <v>0</v>
      </c>
      <c r="O329" s="132">
        <f>IF($F329&lt;=$C$16*12,'Mortgage Calculators (By Month)'!$E347,"-")</f>
        <v>8.3333333333333339</v>
      </c>
      <c r="P329" s="132">
        <f t="shared" si="166"/>
        <v>0</v>
      </c>
      <c r="Q329" s="132">
        <f t="shared" si="146"/>
        <v>5021.5050110108359</v>
      </c>
      <c r="R329" s="132">
        <f t="shared" si="147"/>
        <v>27032.328422421004</v>
      </c>
      <c r="S329" s="132">
        <f t="shared" si="148"/>
        <v>0</v>
      </c>
      <c r="T329" s="132">
        <f t="shared" si="140"/>
        <v>27032.328422421004</v>
      </c>
      <c r="U329" s="132">
        <f>IF($F329&lt;=$C$16*12,SUM(T$5:T329),"-")</f>
        <v>4556385.1498034541</v>
      </c>
      <c r="V329" s="132">
        <f>IF($F329&lt;=$C$16*12,G329-$C$10-'RE Calculations'!$C516-'Mortgage Calculators (By Month)'!$F347,"-")</f>
        <v>4400961.9507002579</v>
      </c>
      <c r="W329" s="29">
        <f t="shared" si="149"/>
        <v>2.7488368095605247</v>
      </c>
      <c r="X329" s="31">
        <f t="shared" si="150"/>
        <v>0.1014955129683886</v>
      </c>
      <c r="Y329" s="132">
        <f t="shared" si="151"/>
        <v>8957347.1005037129</v>
      </c>
      <c r="Z329" s="29">
        <f t="shared" si="152"/>
        <v>5.5947508071404872</v>
      </c>
      <c r="AA329" s="31">
        <f t="shared" si="153"/>
        <v>0.20657541441749491</v>
      </c>
      <c r="AD329" s="12">
        <f t="shared" si="154"/>
        <v>325</v>
      </c>
      <c r="AE329" s="132">
        <f t="shared" si="155"/>
        <v>6129070.357857408</v>
      </c>
      <c r="AF329" s="132">
        <f>IF($AD329&lt;=$C$25*12,$AE329-$C$7+SUM('Mortgage Calculators (By Month)'!$K$23:$K347),"-")</f>
        <v>6129070.357857408</v>
      </c>
      <c r="AG329" s="132">
        <f t="shared" si="156"/>
        <v>32045.500100098507</v>
      </c>
      <c r="AH329" s="132">
        <f>IF($AD329&lt;=$C$25*12,SUM(Inputs!$C$61:$C$78)*'Forecast (By Month)'!AG329,"-")</f>
        <v>3525.0050110108359</v>
      </c>
      <c r="AI329" s="132">
        <f>IF($AD329&lt;=$C$25*12,(SUMIF(Inputs!$C$61:$C$78,0,Inputs!$F$61:$F$78)/12)*(1+$C$34)^ROUNDDOWN((AD329-1)/12,0),"-")</f>
        <v>1488.1666666666667</v>
      </c>
      <c r="AJ329" s="132">
        <f t="shared" si="157"/>
        <v>5013.1716776775029</v>
      </c>
      <c r="AK329" s="132">
        <f>IF($AD329&lt;=$C$25*12,'Mortgage Calculators (By Month)'!$J347,"-")</f>
        <v>0</v>
      </c>
      <c r="AL329" s="132">
        <f>IF($AD329&lt;=$C$25*12,'Mortgage Calculators (By Month)'!$K347,"-")</f>
        <v>0</v>
      </c>
      <c r="AM329" s="132">
        <f>IF($AD329&lt;=$C$25*12,'Mortgage Calculators (By Month)'!$L347,"-")</f>
        <v>10</v>
      </c>
      <c r="AN329" s="132">
        <f t="shared" si="167"/>
        <v>0</v>
      </c>
      <c r="AO329" s="132">
        <f t="shared" si="158"/>
        <v>5023.1716776775029</v>
      </c>
      <c r="AP329" s="132">
        <f t="shared" si="159"/>
        <v>27032.328422421004</v>
      </c>
      <c r="AQ329" s="132">
        <f t="shared" si="160"/>
        <v>0</v>
      </c>
      <c r="AR329" s="132">
        <f t="shared" si="141"/>
        <v>27032.328422421004</v>
      </c>
      <c r="AS329" s="132">
        <f>IF($AD329&lt;=$C$25*12,SUM(AR$5:AR329),"-")</f>
        <v>4556375.1498034541</v>
      </c>
      <c r="AT329" s="132">
        <f>IF($AD329&lt;=$C$25*12,AE329-$C$10-'RE Calculations'!$C516-'Mortgage Calculators (By Month)'!$M347,"-")</f>
        <v>4400961.9507002579</v>
      </c>
      <c r="AU329" s="29">
        <f t="shared" si="161"/>
        <v>2.7488368095605247</v>
      </c>
      <c r="AV329" s="31">
        <f t="shared" si="162"/>
        <v>0.1014955129683886</v>
      </c>
      <c r="AW329" s="132">
        <f t="shared" si="163"/>
        <v>8957337.1005037129</v>
      </c>
      <c r="AX329" s="29">
        <f t="shared" si="164"/>
        <v>5.5947445611496329</v>
      </c>
      <c r="AY329" s="31">
        <f t="shared" si="165"/>
        <v>0.20657518379629414</v>
      </c>
    </row>
    <row r="330" spans="6:51" x14ac:dyDescent="0.35">
      <c r="F330" s="12">
        <f t="shared" si="142"/>
        <v>326</v>
      </c>
      <c r="G330" s="132">
        <f t="shared" si="143"/>
        <v>6154040.9491740093</v>
      </c>
      <c r="H330" s="132">
        <f>IF($F330&lt;=$C$16*12,$G330-$C$7+SUM('Mortgage Calculators (By Month)'!$D$23:$D348),"-")</f>
        <v>6154040.9491740093</v>
      </c>
      <c r="I330" s="132">
        <f t="shared" si="144"/>
        <v>32045.500100098507</v>
      </c>
      <c r="J330" s="132">
        <f>IF($F330&lt;=$C$16*12,SUM(Inputs!$C$61:$C$78)*'Forecast (By Month)'!I330,"-")</f>
        <v>3525.0050110108359</v>
      </c>
      <c r="K330" s="132">
        <f>IF($F330&lt;=$C$16*12,(SUMIF(Inputs!$C$61:$C$78,0,Inputs!$F$61:$F$78)/12)*(1+$C$34)^ROUNDDOWN((F330-1)/12,0),"-")</f>
        <v>1488.1666666666667</v>
      </c>
      <c r="L330" s="132">
        <f t="shared" si="145"/>
        <v>5013.1716776775029</v>
      </c>
      <c r="M330" s="132">
        <f>IF($F330&lt;=$C$16*12,'Mortgage Calculators (By Month)'!$C348,"-")</f>
        <v>0</v>
      </c>
      <c r="N330" s="132">
        <f>IF($F330&lt;=$C$16*12,'Mortgage Calculators (By Month)'!$D348,"-")</f>
        <v>0</v>
      </c>
      <c r="O330" s="132">
        <f>IF($F330&lt;=$C$16*12,'Mortgage Calculators (By Month)'!$E348,"-")</f>
        <v>8.3333333333333339</v>
      </c>
      <c r="P330" s="132">
        <f t="shared" si="166"/>
        <v>0</v>
      </c>
      <c r="Q330" s="132">
        <f t="shared" si="146"/>
        <v>5021.5050110108359</v>
      </c>
      <c r="R330" s="132">
        <f t="shared" si="147"/>
        <v>27032.328422421004</v>
      </c>
      <c r="S330" s="132">
        <f t="shared" si="148"/>
        <v>0</v>
      </c>
      <c r="T330" s="132">
        <f t="shared" si="140"/>
        <v>27032.328422421004</v>
      </c>
      <c r="U330" s="132">
        <f>IF($F330&lt;=$C$16*12,SUM(T$5:T330),"-")</f>
        <v>4583417.4782258747</v>
      </c>
      <c r="V330" s="132">
        <f>IF($F330&lt;=$C$16*12,G330-$C$10-'RE Calculations'!$C517-'Mortgage Calculators (By Month)'!$F348,"-")</f>
        <v>4425433.1301905271</v>
      </c>
      <c r="W330" s="29">
        <f t="shared" si="149"/>
        <v>2.7641214858903234</v>
      </c>
      <c r="X330" s="31">
        <f t="shared" si="150"/>
        <v>0.10174680316160699</v>
      </c>
      <c r="Y330" s="132">
        <f t="shared" si="151"/>
        <v>9008850.6084164008</v>
      </c>
      <c r="Z330" s="29">
        <f t="shared" si="152"/>
        <v>5.6269198510808378</v>
      </c>
      <c r="AA330" s="31">
        <f t="shared" si="153"/>
        <v>0.20712588408886518</v>
      </c>
      <c r="AD330" s="12">
        <f t="shared" si="154"/>
        <v>326</v>
      </c>
      <c r="AE330" s="132">
        <f t="shared" si="155"/>
        <v>6154040.9491740093</v>
      </c>
      <c r="AF330" s="132">
        <f>IF($AD330&lt;=$C$25*12,$AE330-$C$7+SUM('Mortgage Calculators (By Month)'!$K$23:$K348),"-")</f>
        <v>6154040.9491740093</v>
      </c>
      <c r="AG330" s="132">
        <f t="shared" si="156"/>
        <v>32045.500100098507</v>
      </c>
      <c r="AH330" s="132">
        <f>IF($AD330&lt;=$C$25*12,SUM(Inputs!$C$61:$C$78)*'Forecast (By Month)'!AG330,"-")</f>
        <v>3525.0050110108359</v>
      </c>
      <c r="AI330" s="132">
        <f>IF($AD330&lt;=$C$25*12,(SUMIF(Inputs!$C$61:$C$78,0,Inputs!$F$61:$F$78)/12)*(1+$C$34)^ROUNDDOWN((AD330-1)/12,0),"-")</f>
        <v>1488.1666666666667</v>
      </c>
      <c r="AJ330" s="132">
        <f t="shared" si="157"/>
        <v>5013.1716776775029</v>
      </c>
      <c r="AK330" s="132">
        <f>IF($AD330&lt;=$C$25*12,'Mortgage Calculators (By Month)'!$J348,"-")</f>
        <v>0</v>
      </c>
      <c r="AL330" s="132">
        <f>IF($AD330&lt;=$C$25*12,'Mortgage Calculators (By Month)'!$K348,"-")</f>
        <v>0</v>
      </c>
      <c r="AM330" s="132">
        <f>IF($AD330&lt;=$C$25*12,'Mortgage Calculators (By Month)'!$L348,"-")</f>
        <v>10</v>
      </c>
      <c r="AN330" s="132">
        <f t="shared" si="167"/>
        <v>0</v>
      </c>
      <c r="AO330" s="132">
        <f t="shared" si="158"/>
        <v>5023.1716776775029</v>
      </c>
      <c r="AP330" s="132">
        <f t="shared" si="159"/>
        <v>27032.328422421004</v>
      </c>
      <c r="AQ330" s="132">
        <f t="shared" si="160"/>
        <v>0</v>
      </c>
      <c r="AR330" s="132">
        <f t="shared" si="141"/>
        <v>27032.328422421004</v>
      </c>
      <c r="AS330" s="132">
        <f>IF($AD330&lt;=$C$25*12,SUM(AR$5:AR330),"-")</f>
        <v>4583407.4782258747</v>
      </c>
      <c r="AT330" s="132">
        <f>IF($AD330&lt;=$C$25*12,AE330-$C$10-'RE Calculations'!$C517-'Mortgage Calculators (By Month)'!$M348,"-")</f>
        <v>4425433.1301905271</v>
      </c>
      <c r="AU330" s="29">
        <f t="shared" si="161"/>
        <v>2.7641214858903234</v>
      </c>
      <c r="AV330" s="31">
        <f t="shared" si="162"/>
        <v>0.10174680316160699</v>
      </c>
      <c r="AW330" s="132">
        <f t="shared" si="163"/>
        <v>9008840.6084164008</v>
      </c>
      <c r="AX330" s="29">
        <f t="shared" si="164"/>
        <v>5.6269136050899835</v>
      </c>
      <c r="AY330" s="31">
        <f t="shared" si="165"/>
        <v>0.20712565417509141</v>
      </c>
    </row>
    <row r="331" spans="6:51" x14ac:dyDescent="0.35">
      <c r="F331" s="12">
        <f t="shared" si="142"/>
        <v>327</v>
      </c>
      <c r="G331" s="132">
        <f t="shared" si="143"/>
        <v>6179113.2737705847</v>
      </c>
      <c r="H331" s="132">
        <f>IF($F331&lt;=$C$16*12,$G331-$C$7+SUM('Mortgage Calculators (By Month)'!$D$23:$D349),"-")</f>
        <v>6179113.2737705847</v>
      </c>
      <c r="I331" s="132">
        <f t="shared" si="144"/>
        <v>32045.500100098507</v>
      </c>
      <c r="J331" s="132">
        <f>IF($F331&lt;=$C$16*12,SUM(Inputs!$C$61:$C$78)*'Forecast (By Month)'!I331,"-")</f>
        <v>3525.0050110108359</v>
      </c>
      <c r="K331" s="132">
        <f>IF($F331&lt;=$C$16*12,(SUMIF(Inputs!$C$61:$C$78,0,Inputs!$F$61:$F$78)/12)*(1+$C$34)^ROUNDDOWN((F331-1)/12,0),"-")</f>
        <v>1488.1666666666667</v>
      </c>
      <c r="L331" s="132">
        <f t="shared" si="145"/>
        <v>5013.1716776775029</v>
      </c>
      <c r="M331" s="132">
        <f>IF($F331&lt;=$C$16*12,'Mortgage Calculators (By Month)'!$C349,"-")</f>
        <v>0</v>
      </c>
      <c r="N331" s="132">
        <f>IF($F331&lt;=$C$16*12,'Mortgage Calculators (By Month)'!$D349,"-")</f>
        <v>0</v>
      </c>
      <c r="O331" s="132">
        <f>IF($F331&lt;=$C$16*12,'Mortgage Calculators (By Month)'!$E349,"-")</f>
        <v>8.3333333333333339</v>
      </c>
      <c r="P331" s="132">
        <f t="shared" si="166"/>
        <v>0</v>
      </c>
      <c r="Q331" s="132">
        <f t="shared" si="146"/>
        <v>5021.5050110108359</v>
      </c>
      <c r="R331" s="132">
        <f t="shared" si="147"/>
        <v>27032.328422421004</v>
      </c>
      <c r="S331" s="132">
        <f t="shared" si="148"/>
        <v>0</v>
      </c>
      <c r="T331" s="132">
        <f t="shared" si="140"/>
        <v>27032.328422421004</v>
      </c>
      <c r="U331" s="132">
        <f>IF($F331&lt;=$C$16*12,SUM(T$5:T331),"-")</f>
        <v>4610449.8066482954</v>
      </c>
      <c r="V331" s="132">
        <f>IF($F331&lt;=$C$16*12,G331-$C$10-'RE Calculations'!$C518-'Mortgage Calculators (By Month)'!$F349,"-")</f>
        <v>4450004.008295171</v>
      </c>
      <c r="W331" s="29">
        <f t="shared" si="149"/>
        <v>2.779468433883483</v>
      </c>
      <c r="X331" s="31">
        <f t="shared" si="150"/>
        <v>0.10199884161040304</v>
      </c>
      <c r="Y331" s="132">
        <f t="shared" si="151"/>
        <v>9060453.8149434663</v>
      </c>
      <c r="Z331" s="29">
        <f t="shared" si="152"/>
        <v>5.6591511666845511</v>
      </c>
      <c r="AA331" s="31">
        <f t="shared" si="153"/>
        <v>0.20767527217191012</v>
      </c>
      <c r="AD331" s="12">
        <f t="shared" si="154"/>
        <v>327</v>
      </c>
      <c r="AE331" s="132">
        <f t="shared" si="155"/>
        <v>6179113.2737705847</v>
      </c>
      <c r="AF331" s="132">
        <f>IF($AD331&lt;=$C$25*12,$AE331-$C$7+SUM('Mortgage Calculators (By Month)'!$K$23:$K349),"-")</f>
        <v>6179113.2737705847</v>
      </c>
      <c r="AG331" s="132">
        <f t="shared" si="156"/>
        <v>32045.500100098507</v>
      </c>
      <c r="AH331" s="132">
        <f>IF($AD331&lt;=$C$25*12,SUM(Inputs!$C$61:$C$78)*'Forecast (By Month)'!AG331,"-")</f>
        <v>3525.0050110108359</v>
      </c>
      <c r="AI331" s="132">
        <f>IF($AD331&lt;=$C$25*12,(SUMIF(Inputs!$C$61:$C$78,0,Inputs!$F$61:$F$78)/12)*(1+$C$34)^ROUNDDOWN((AD331-1)/12,0),"-")</f>
        <v>1488.1666666666667</v>
      </c>
      <c r="AJ331" s="132">
        <f t="shared" si="157"/>
        <v>5013.1716776775029</v>
      </c>
      <c r="AK331" s="132">
        <f>IF($AD331&lt;=$C$25*12,'Mortgage Calculators (By Month)'!$J349,"-")</f>
        <v>0</v>
      </c>
      <c r="AL331" s="132">
        <f>IF($AD331&lt;=$C$25*12,'Mortgage Calculators (By Month)'!$K349,"-")</f>
        <v>0</v>
      </c>
      <c r="AM331" s="132">
        <f>IF($AD331&lt;=$C$25*12,'Mortgage Calculators (By Month)'!$L349,"-")</f>
        <v>10</v>
      </c>
      <c r="AN331" s="132">
        <f t="shared" si="167"/>
        <v>0</v>
      </c>
      <c r="AO331" s="132">
        <f t="shared" si="158"/>
        <v>5023.1716776775029</v>
      </c>
      <c r="AP331" s="132">
        <f t="shared" si="159"/>
        <v>27032.328422421004</v>
      </c>
      <c r="AQ331" s="132">
        <f t="shared" si="160"/>
        <v>0</v>
      </c>
      <c r="AR331" s="132">
        <f t="shared" si="141"/>
        <v>27032.328422421004</v>
      </c>
      <c r="AS331" s="132">
        <f>IF($AD331&lt;=$C$25*12,SUM(AR$5:AR331),"-")</f>
        <v>4610439.8066482954</v>
      </c>
      <c r="AT331" s="132">
        <f>IF($AD331&lt;=$C$25*12,AE331-$C$10-'RE Calculations'!$C518-'Mortgage Calculators (By Month)'!$M349,"-")</f>
        <v>4450004.008295171</v>
      </c>
      <c r="AU331" s="29">
        <f t="shared" si="161"/>
        <v>2.779468433883483</v>
      </c>
      <c r="AV331" s="31">
        <f t="shared" si="162"/>
        <v>0.10199884161040304</v>
      </c>
      <c r="AW331" s="132">
        <f t="shared" si="163"/>
        <v>9060443.8149434663</v>
      </c>
      <c r="AX331" s="29">
        <f t="shared" si="164"/>
        <v>5.6591449206936959</v>
      </c>
      <c r="AY331" s="31">
        <f t="shared" si="165"/>
        <v>0.20767504296123654</v>
      </c>
    </row>
    <row r="332" spans="6:51" x14ac:dyDescent="0.35">
      <c r="F332" s="12">
        <f t="shared" si="142"/>
        <v>328</v>
      </c>
      <c r="G332" s="132">
        <f t="shared" si="143"/>
        <v>6204287.7461211104</v>
      </c>
      <c r="H332" s="132">
        <f>IF($F332&lt;=$C$16*12,$G332-$C$7+SUM('Mortgage Calculators (By Month)'!$D$23:$D350),"-")</f>
        <v>6204287.7461211104</v>
      </c>
      <c r="I332" s="132">
        <f t="shared" si="144"/>
        <v>32045.500100098507</v>
      </c>
      <c r="J332" s="132">
        <f>IF($F332&lt;=$C$16*12,SUM(Inputs!$C$61:$C$78)*'Forecast (By Month)'!I332,"-")</f>
        <v>3525.0050110108359</v>
      </c>
      <c r="K332" s="132">
        <f>IF($F332&lt;=$C$16*12,(SUMIF(Inputs!$C$61:$C$78,0,Inputs!$F$61:$F$78)/12)*(1+$C$34)^ROUNDDOWN((F332-1)/12,0),"-")</f>
        <v>1488.1666666666667</v>
      </c>
      <c r="L332" s="132">
        <f t="shared" si="145"/>
        <v>5013.1716776775029</v>
      </c>
      <c r="M332" s="132">
        <f>IF($F332&lt;=$C$16*12,'Mortgage Calculators (By Month)'!$C350,"-")</f>
        <v>0</v>
      </c>
      <c r="N332" s="132">
        <f>IF($F332&lt;=$C$16*12,'Mortgage Calculators (By Month)'!$D350,"-")</f>
        <v>0</v>
      </c>
      <c r="O332" s="132">
        <f>IF($F332&lt;=$C$16*12,'Mortgage Calculators (By Month)'!$E350,"-")</f>
        <v>8.3333333333333339</v>
      </c>
      <c r="P332" s="132">
        <f t="shared" si="166"/>
        <v>0</v>
      </c>
      <c r="Q332" s="132">
        <f t="shared" si="146"/>
        <v>5021.5050110108359</v>
      </c>
      <c r="R332" s="132">
        <f t="shared" si="147"/>
        <v>27032.328422421004</v>
      </c>
      <c r="S332" s="132">
        <f t="shared" si="148"/>
        <v>0</v>
      </c>
      <c r="T332" s="132">
        <f t="shared" si="140"/>
        <v>27032.328422421004</v>
      </c>
      <c r="U332" s="132">
        <f>IF($F332&lt;=$C$16*12,SUM(T$5:T332),"-")</f>
        <v>4637482.135070716</v>
      </c>
      <c r="V332" s="132">
        <f>IF($F332&lt;=$C$16*12,G332-$C$10-'RE Calculations'!$C519-'Mortgage Calculators (By Month)'!$F350,"-")</f>
        <v>4474674.9911986869</v>
      </c>
      <c r="W332" s="29">
        <f t="shared" si="149"/>
        <v>2.7948779072424679</v>
      </c>
      <c r="X332" s="31">
        <f t="shared" si="150"/>
        <v>0.10225163075277321</v>
      </c>
      <c r="Y332" s="132">
        <f t="shared" si="151"/>
        <v>9112157.1262694038</v>
      </c>
      <c r="Z332" s="29">
        <f t="shared" si="152"/>
        <v>5.6914450076540897</v>
      </c>
      <c r="AA332" s="31">
        <f t="shared" si="153"/>
        <v>0.20822359784100328</v>
      </c>
      <c r="AD332" s="12">
        <f t="shared" si="154"/>
        <v>328</v>
      </c>
      <c r="AE332" s="132">
        <f t="shared" si="155"/>
        <v>6204287.7461211104</v>
      </c>
      <c r="AF332" s="132">
        <f>IF($AD332&lt;=$C$25*12,$AE332-$C$7+SUM('Mortgage Calculators (By Month)'!$K$23:$K350),"-")</f>
        <v>6204287.7461211104</v>
      </c>
      <c r="AG332" s="132">
        <f t="shared" si="156"/>
        <v>32045.500100098507</v>
      </c>
      <c r="AH332" s="132">
        <f>IF($AD332&lt;=$C$25*12,SUM(Inputs!$C$61:$C$78)*'Forecast (By Month)'!AG332,"-")</f>
        <v>3525.0050110108359</v>
      </c>
      <c r="AI332" s="132">
        <f>IF($AD332&lt;=$C$25*12,(SUMIF(Inputs!$C$61:$C$78,0,Inputs!$F$61:$F$78)/12)*(1+$C$34)^ROUNDDOWN((AD332-1)/12,0),"-")</f>
        <v>1488.1666666666667</v>
      </c>
      <c r="AJ332" s="132">
        <f t="shared" si="157"/>
        <v>5013.1716776775029</v>
      </c>
      <c r="AK332" s="132">
        <f>IF($AD332&lt;=$C$25*12,'Mortgage Calculators (By Month)'!$J350,"-")</f>
        <v>0</v>
      </c>
      <c r="AL332" s="132">
        <f>IF($AD332&lt;=$C$25*12,'Mortgage Calculators (By Month)'!$K350,"-")</f>
        <v>0</v>
      </c>
      <c r="AM332" s="132">
        <f>IF($AD332&lt;=$C$25*12,'Mortgage Calculators (By Month)'!$L350,"-")</f>
        <v>10</v>
      </c>
      <c r="AN332" s="132">
        <f t="shared" si="167"/>
        <v>0</v>
      </c>
      <c r="AO332" s="132">
        <f t="shared" si="158"/>
        <v>5023.1716776775029</v>
      </c>
      <c r="AP332" s="132">
        <f t="shared" si="159"/>
        <v>27032.328422421004</v>
      </c>
      <c r="AQ332" s="132">
        <f t="shared" si="160"/>
        <v>0</v>
      </c>
      <c r="AR332" s="132">
        <f t="shared" si="141"/>
        <v>27032.328422421004</v>
      </c>
      <c r="AS332" s="132">
        <f>IF($AD332&lt;=$C$25*12,SUM(AR$5:AR332),"-")</f>
        <v>4637472.135070716</v>
      </c>
      <c r="AT332" s="132">
        <f>IF($AD332&lt;=$C$25*12,AE332-$C$10-'RE Calculations'!$C519-'Mortgage Calculators (By Month)'!$M350,"-")</f>
        <v>4474674.9911986869</v>
      </c>
      <c r="AU332" s="29">
        <f t="shared" si="161"/>
        <v>2.7948779072424679</v>
      </c>
      <c r="AV332" s="31">
        <f t="shared" si="162"/>
        <v>0.10225163075277321</v>
      </c>
      <c r="AW332" s="132">
        <f t="shared" si="163"/>
        <v>9112147.1262694038</v>
      </c>
      <c r="AX332" s="29">
        <f t="shared" si="164"/>
        <v>5.6914387616632345</v>
      </c>
      <c r="AY332" s="31">
        <f t="shared" si="165"/>
        <v>0.20822336932914273</v>
      </c>
    </row>
    <row r="333" spans="6:51" x14ac:dyDescent="0.35">
      <c r="F333" s="12">
        <f t="shared" si="142"/>
        <v>329</v>
      </c>
      <c r="G333" s="132">
        <f t="shared" si="143"/>
        <v>6229564.7823881805</v>
      </c>
      <c r="H333" s="132">
        <f>IF($F333&lt;=$C$16*12,$G333-$C$7+SUM('Mortgage Calculators (By Month)'!$D$23:$D351),"-")</f>
        <v>6229564.7823881805</v>
      </c>
      <c r="I333" s="132">
        <f t="shared" si="144"/>
        <v>32045.500100098507</v>
      </c>
      <c r="J333" s="132">
        <f>IF($F333&lt;=$C$16*12,SUM(Inputs!$C$61:$C$78)*'Forecast (By Month)'!I333,"-")</f>
        <v>3525.0050110108359</v>
      </c>
      <c r="K333" s="132">
        <f>IF($F333&lt;=$C$16*12,(SUMIF(Inputs!$C$61:$C$78,0,Inputs!$F$61:$F$78)/12)*(1+$C$34)^ROUNDDOWN((F333-1)/12,0),"-")</f>
        <v>1488.1666666666667</v>
      </c>
      <c r="L333" s="132">
        <f t="shared" si="145"/>
        <v>5013.1716776775029</v>
      </c>
      <c r="M333" s="132">
        <f>IF($F333&lt;=$C$16*12,'Mortgage Calculators (By Month)'!$C351,"-")</f>
        <v>0</v>
      </c>
      <c r="N333" s="132">
        <f>IF($F333&lt;=$C$16*12,'Mortgage Calculators (By Month)'!$D351,"-")</f>
        <v>0</v>
      </c>
      <c r="O333" s="132">
        <f>IF($F333&lt;=$C$16*12,'Mortgage Calculators (By Month)'!$E351,"-")</f>
        <v>8.3333333333333339</v>
      </c>
      <c r="P333" s="132">
        <f t="shared" si="166"/>
        <v>0</v>
      </c>
      <c r="Q333" s="132">
        <f t="shared" si="146"/>
        <v>5021.5050110108359</v>
      </c>
      <c r="R333" s="132">
        <f t="shared" si="147"/>
        <v>27032.328422421004</v>
      </c>
      <c r="S333" s="132">
        <f t="shared" si="148"/>
        <v>0</v>
      </c>
      <c r="T333" s="132">
        <f t="shared" si="140"/>
        <v>27032.328422421004</v>
      </c>
      <c r="U333" s="132">
        <f>IF($F333&lt;=$C$16*12,SUM(T$5:T333),"-")</f>
        <v>4664514.4634931367</v>
      </c>
      <c r="V333" s="132">
        <f>IF($F333&lt;=$C$16*12,G333-$C$10-'RE Calculations'!$C520-'Mortgage Calculators (By Month)'!$F351,"-")</f>
        <v>4499446.486740415</v>
      </c>
      <c r="W333" s="29">
        <f t="shared" si="149"/>
        <v>2.8103501607033579</v>
      </c>
      <c r="X333" s="31">
        <f t="shared" si="150"/>
        <v>0.10250517303477293</v>
      </c>
      <c r="Y333" s="132">
        <f t="shared" si="151"/>
        <v>9163960.9502335526</v>
      </c>
      <c r="Z333" s="29">
        <f t="shared" si="152"/>
        <v>5.723801628725532</v>
      </c>
      <c r="AA333" s="31">
        <f t="shared" si="153"/>
        <v>0.20877088007509539</v>
      </c>
      <c r="AD333" s="12">
        <f t="shared" si="154"/>
        <v>329</v>
      </c>
      <c r="AE333" s="132">
        <f t="shared" si="155"/>
        <v>6229564.7823881805</v>
      </c>
      <c r="AF333" s="132">
        <f>IF($AD333&lt;=$C$25*12,$AE333-$C$7+SUM('Mortgage Calculators (By Month)'!$K$23:$K351),"-")</f>
        <v>6229564.7823881805</v>
      </c>
      <c r="AG333" s="132">
        <f t="shared" si="156"/>
        <v>32045.500100098507</v>
      </c>
      <c r="AH333" s="132">
        <f>IF($AD333&lt;=$C$25*12,SUM(Inputs!$C$61:$C$78)*'Forecast (By Month)'!AG333,"-")</f>
        <v>3525.0050110108359</v>
      </c>
      <c r="AI333" s="132">
        <f>IF($AD333&lt;=$C$25*12,(SUMIF(Inputs!$C$61:$C$78,0,Inputs!$F$61:$F$78)/12)*(1+$C$34)^ROUNDDOWN((AD333-1)/12,0),"-")</f>
        <v>1488.1666666666667</v>
      </c>
      <c r="AJ333" s="132">
        <f t="shared" si="157"/>
        <v>5013.1716776775029</v>
      </c>
      <c r="AK333" s="132">
        <f>IF($AD333&lt;=$C$25*12,'Mortgage Calculators (By Month)'!$J351,"-")</f>
        <v>0</v>
      </c>
      <c r="AL333" s="132">
        <f>IF($AD333&lt;=$C$25*12,'Mortgage Calculators (By Month)'!$K351,"-")</f>
        <v>0</v>
      </c>
      <c r="AM333" s="132">
        <f>IF($AD333&lt;=$C$25*12,'Mortgage Calculators (By Month)'!$L351,"-")</f>
        <v>10</v>
      </c>
      <c r="AN333" s="132">
        <f t="shared" si="167"/>
        <v>0</v>
      </c>
      <c r="AO333" s="132">
        <f t="shared" si="158"/>
        <v>5023.1716776775029</v>
      </c>
      <c r="AP333" s="132">
        <f t="shared" si="159"/>
        <v>27032.328422421004</v>
      </c>
      <c r="AQ333" s="132">
        <f t="shared" si="160"/>
        <v>0</v>
      </c>
      <c r="AR333" s="132">
        <f t="shared" si="141"/>
        <v>27032.328422421004</v>
      </c>
      <c r="AS333" s="132">
        <f>IF($AD333&lt;=$C$25*12,SUM(AR$5:AR333),"-")</f>
        <v>4664504.4634931367</v>
      </c>
      <c r="AT333" s="132">
        <f>IF($AD333&lt;=$C$25*12,AE333-$C$10-'RE Calculations'!$C520-'Mortgage Calculators (By Month)'!$M351,"-")</f>
        <v>4499446.486740415</v>
      </c>
      <c r="AU333" s="29">
        <f t="shared" si="161"/>
        <v>2.8103501607033579</v>
      </c>
      <c r="AV333" s="31">
        <f t="shared" si="162"/>
        <v>0.10250517303477293</v>
      </c>
      <c r="AW333" s="132">
        <f t="shared" si="163"/>
        <v>9163950.9502335526</v>
      </c>
      <c r="AX333" s="29">
        <f t="shared" si="164"/>
        <v>5.7237953827346777</v>
      </c>
      <c r="AY333" s="31">
        <f t="shared" si="165"/>
        <v>0.20877065225779978</v>
      </c>
    </row>
    <row r="334" spans="6:51" x14ac:dyDescent="0.35">
      <c r="F334" s="12">
        <f t="shared" si="142"/>
        <v>330</v>
      </c>
      <c r="G334" s="132">
        <f t="shared" si="143"/>
        <v>6254944.8004298862</v>
      </c>
      <c r="H334" s="132">
        <f>IF($F334&lt;=$C$16*12,$G334-$C$7+SUM('Mortgage Calculators (By Month)'!$D$23:$D352),"-")</f>
        <v>6254944.8004298862</v>
      </c>
      <c r="I334" s="132">
        <f t="shared" si="144"/>
        <v>32045.500100098507</v>
      </c>
      <c r="J334" s="132">
        <f>IF($F334&lt;=$C$16*12,SUM(Inputs!$C$61:$C$78)*'Forecast (By Month)'!I334,"-")</f>
        <v>3525.0050110108359</v>
      </c>
      <c r="K334" s="132">
        <f>IF($F334&lt;=$C$16*12,(SUMIF(Inputs!$C$61:$C$78,0,Inputs!$F$61:$F$78)/12)*(1+$C$34)^ROUNDDOWN((F334-1)/12,0),"-")</f>
        <v>1488.1666666666667</v>
      </c>
      <c r="L334" s="132">
        <f t="shared" si="145"/>
        <v>5013.1716776775029</v>
      </c>
      <c r="M334" s="132">
        <f>IF($F334&lt;=$C$16*12,'Mortgage Calculators (By Month)'!$C352,"-")</f>
        <v>0</v>
      </c>
      <c r="N334" s="132">
        <f>IF($F334&lt;=$C$16*12,'Mortgage Calculators (By Month)'!$D352,"-")</f>
        <v>0</v>
      </c>
      <c r="O334" s="132">
        <f>IF($F334&lt;=$C$16*12,'Mortgage Calculators (By Month)'!$E352,"-")</f>
        <v>8.3333333333333339</v>
      </c>
      <c r="P334" s="132">
        <f t="shared" si="166"/>
        <v>0</v>
      </c>
      <c r="Q334" s="132">
        <f t="shared" si="146"/>
        <v>5021.5050110108359</v>
      </c>
      <c r="R334" s="132">
        <f t="shared" si="147"/>
        <v>27032.328422421004</v>
      </c>
      <c r="S334" s="132">
        <f t="shared" si="148"/>
        <v>0</v>
      </c>
      <c r="T334" s="132">
        <f t="shared" si="140"/>
        <v>27032.328422421004</v>
      </c>
      <c r="U334" s="132">
        <f>IF($F334&lt;=$C$16*12,SUM(T$5:T334),"-")</f>
        <v>4691546.7919155573</v>
      </c>
      <c r="V334" s="132">
        <f>IF($F334&lt;=$C$16*12,G334-$C$10-'RE Calculations'!$C521-'Mortgage Calculators (By Month)'!$F352,"-")</f>
        <v>4524318.9044212867</v>
      </c>
      <c r="W334" s="29">
        <f t="shared" si="149"/>
        <v>2.8258854500400599</v>
      </c>
      <c r="X334" s="31">
        <f t="shared" si="150"/>
        <v>0.10275947091054763</v>
      </c>
      <c r="Y334" s="132">
        <f t="shared" si="151"/>
        <v>9215865.6963368431</v>
      </c>
      <c r="Z334" s="29">
        <f t="shared" si="152"/>
        <v>5.7562212856727859</v>
      </c>
      <c r="AA334" s="31">
        <f t="shared" si="153"/>
        <v>0.20931713766082857</v>
      </c>
      <c r="AD334" s="12">
        <f t="shared" si="154"/>
        <v>330</v>
      </c>
      <c r="AE334" s="132">
        <f t="shared" si="155"/>
        <v>6254944.8004298862</v>
      </c>
      <c r="AF334" s="132">
        <f>IF($AD334&lt;=$C$25*12,$AE334-$C$7+SUM('Mortgage Calculators (By Month)'!$K$23:$K352),"-")</f>
        <v>6254944.8004298862</v>
      </c>
      <c r="AG334" s="132">
        <f t="shared" si="156"/>
        <v>32045.500100098507</v>
      </c>
      <c r="AH334" s="132">
        <f>IF($AD334&lt;=$C$25*12,SUM(Inputs!$C$61:$C$78)*'Forecast (By Month)'!AG334,"-")</f>
        <v>3525.0050110108359</v>
      </c>
      <c r="AI334" s="132">
        <f>IF($AD334&lt;=$C$25*12,(SUMIF(Inputs!$C$61:$C$78,0,Inputs!$F$61:$F$78)/12)*(1+$C$34)^ROUNDDOWN((AD334-1)/12,0),"-")</f>
        <v>1488.1666666666667</v>
      </c>
      <c r="AJ334" s="132">
        <f t="shared" si="157"/>
        <v>5013.1716776775029</v>
      </c>
      <c r="AK334" s="132">
        <f>IF($AD334&lt;=$C$25*12,'Mortgage Calculators (By Month)'!$J352,"-")</f>
        <v>0</v>
      </c>
      <c r="AL334" s="132">
        <f>IF($AD334&lt;=$C$25*12,'Mortgage Calculators (By Month)'!$K352,"-")</f>
        <v>0</v>
      </c>
      <c r="AM334" s="132">
        <f>IF($AD334&lt;=$C$25*12,'Mortgage Calculators (By Month)'!$L352,"-")</f>
        <v>10</v>
      </c>
      <c r="AN334" s="132">
        <f t="shared" si="167"/>
        <v>0</v>
      </c>
      <c r="AO334" s="132">
        <f t="shared" si="158"/>
        <v>5023.1716776775029</v>
      </c>
      <c r="AP334" s="132">
        <f t="shared" si="159"/>
        <v>27032.328422421004</v>
      </c>
      <c r="AQ334" s="132">
        <f t="shared" si="160"/>
        <v>0</v>
      </c>
      <c r="AR334" s="132">
        <f t="shared" si="141"/>
        <v>27032.328422421004</v>
      </c>
      <c r="AS334" s="132">
        <f>IF($AD334&lt;=$C$25*12,SUM(AR$5:AR334),"-")</f>
        <v>4691536.7919155573</v>
      </c>
      <c r="AT334" s="132">
        <f>IF($AD334&lt;=$C$25*12,AE334-$C$10-'RE Calculations'!$C521-'Mortgage Calculators (By Month)'!$M352,"-")</f>
        <v>4524318.9044212867</v>
      </c>
      <c r="AU334" s="29">
        <f t="shared" si="161"/>
        <v>2.8258854500400599</v>
      </c>
      <c r="AV334" s="31">
        <f t="shared" si="162"/>
        <v>0.10275947091054763</v>
      </c>
      <c r="AW334" s="132">
        <f t="shared" si="163"/>
        <v>9215855.6963368431</v>
      </c>
      <c r="AX334" s="29">
        <f t="shared" si="164"/>
        <v>5.7562150396819307</v>
      </c>
      <c r="AY334" s="31">
        <f t="shared" si="165"/>
        <v>0.2093169105338884</v>
      </c>
    </row>
    <row r="335" spans="6:51" x14ac:dyDescent="0.35">
      <c r="F335" s="12">
        <f t="shared" si="142"/>
        <v>331</v>
      </c>
      <c r="G335" s="132">
        <f t="shared" si="143"/>
        <v>6280428.2198067252</v>
      </c>
      <c r="H335" s="132">
        <f>IF($F335&lt;=$C$16*12,$G335-$C$7+SUM('Mortgage Calculators (By Month)'!$D$23:$D353),"-")</f>
        <v>6280428.2198067252</v>
      </c>
      <c r="I335" s="132">
        <f t="shared" si="144"/>
        <v>32045.500100098507</v>
      </c>
      <c r="J335" s="132">
        <f>IF($F335&lt;=$C$16*12,SUM(Inputs!$C$61:$C$78)*'Forecast (By Month)'!I335,"-")</f>
        <v>3525.0050110108359</v>
      </c>
      <c r="K335" s="132">
        <f>IF($F335&lt;=$C$16*12,(SUMIF(Inputs!$C$61:$C$78,0,Inputs!$F$61:$F$78)/12)*(1+$C$34)^ROUNDDOWN((F335-1)/12,0),"-")</f>
        <v>1488.1666666666667</v>
      </c>
      <c r="L335" s="132">
        <f t="shared" si="145"/>
        <v>5013.1716776775029</v>
      </c>
      <c r="M335" s="132">
        <f>IF($F335&lt;=$C$16*12,'Mortgage Calculators (By Month)'!$C353,"-")</f>
        <v>0</v>
      </c>
      <c r="N335" s="132">
        <f>IF($F335&lt;=$C$16*12,'Mortgage Calculators (By Month)'!$D353,"-")</f>
        <v>0</v>
      </c>
      <c r="O335" s="132">
        <f>IF($F335&lt;=$C$16*12,'Mortgage Calculators (By Month)'!$E353,"-")</f>
        <v>8.3333333333333339</v>
      </c>
      <c r="P335" s="132">
        <f t="shared" si="166"/>
        <v>0</v>
      </c>
      <c r="Q335" s="132">
        <f t="shared" si="146"/>
        <v>5021.5050110108359</v>
      </c>
      <c r="R335" s="132">
        <f t="shared" si="147"/>
        <v>27032.328422421004</v>
      </c>
      <c r="S335" s="132">
        <f t="shared" si="148"/>
        <v>0</v>
      </c>
      <c r="T335" s="132">
        <f t="shared" si="140"/>
        <v>27032.328422421004</v>
      </c>
      <c r="U335" s="132">
        <f>IF($F335&lt;=$C$16*12,SUM(T$5:T335),"-")</f>
        <v>4718579.120337978</v>
      </c>
      <c r="V335" s="132">
        <f>IF($F335&lt;=$C$16*12,G335-$C$10-'RE Calculations'!$C522-'Mortgage Calculators (By Month)'!$F353,"-")</f>
        <v>4549292.6554105887</v>
      </c>
      <c r="W335" s="29">
        <f t="shared" si="149"/>
        <v>2.8414840320685339</v>
      </c>
      <c r="X335" s="31">
        <f t="shared" si="150"/>
        <v>0.10301452684236377</v>
      </c>
      <c r="Y335" s="132">
        <f t="shared" si="151"/>
        <v>9267871.7757485658</v>
      </c>
      <c r="Z335" s="29">
        <f t="shared" si="152"/>
        <v>5.7887042353118128</v>
      </c>
      <c r="AA335" s="31">
        <f t="shared" si="153"/>
        <v>0.20986238919559444</v>
      </c>
      <c r="AD335" s="12">
        <f t="shared" si="154"/>
        <v>331</v>
      </c>
      <c r="AE335" s="132">
        <f t="shared" si="155"/>
        <v>6280428.2198067252</v>
      </c>
      <c r="AF335" s="132">
        <f>IF($AD335&lt;=$C$25*12,$AE335-$C$7+SUM('Mortgage Calculators (By Month)'!$K$23:$K353),"-")</f>
        <v>6280428.2198067252</v>
      </c>
      <c r="AG335" s="132">
        <f t="shared" si="156"/>
        <v>32045.500100098507</v>
      </c>
      <c r="AH335" s="132">
        <f>IF($AD335&lt;=$C$25*12,SUM(Inputs!$C$61:$C$78)*'Forecast (By Month)'!AG335,"-")</f>
        <v>3525.0050110108359</v>
      </c>
      <c r="AI335" s="132">
        <f>IF($AD335&lt;=$C$25*12,(SUMIF(Inputs!$C$61:$C$78,0,Inputs!$F$61:$F$78)/12)*(1+$C$34)^ROUNDDOWN((AD335-1)/12,0),"-")</f>
        <v>1488.1666666666667</v>
      </c>
      <c r="AJ335" s="132">
        <f t="shared" si="157"/>
        <v>5013.1716776775029</v>
      </c>
      <c r="AK335" s="132">
        <f>IF($AD335&lt;=$C$25*12,'Mortgage Calculators (By Month)'!$J353,"-")</f>
        <v>0</v>
      </c>
      <c r="AL335" s="132">
        <f>IF($AD335&lt;=$C$25*12,'Mortgage Calculators (By Month)'!$K353,"-")</f>
        <v>0</v>
      </c>
      <c r="AM335" s="132">
        <f>IF($AD335&lt;=$C$25*12,'Mortgage Calculators (By Month)'!$L353,"-")</f>
        <v>10</v>
      </c>
      <c r="AN335" s="132">
        <f t="shared" si="167"/>
        <v>0</v>
      </c>
      <c r="AO335" s="132">
        <f t="shared" si="158"/>
        <v>5023.1716776775029</v>
      </c>
      <c r="AP335" s="132">
        <f t="shared" si="159"/>
        <v>27032.328422421004</v>
      </c>
      <c r="AQ335" s="132">
        <f t="shared" si="160"/>
        <v>0</v>
      </c>
      <c r="AR335" s="132">
        <f t="shared" si="141"/>
        <v>27032.328422421004</v>
      </c>
      <c r="AS335" s="132">
        <f>IF($AD335&lt;=$C$25*12,SUM(AR$5:AR335),"-")</f>
        <v>4718569.120337978</v>
      </c>
      <c r="AT335" s="132">
        <f>IF($AD335&lt;=$C$25*12,AE335-$C$10-'RE Calculations'!$C522-'Mortgage Calculators (By Month)'!$M353,"-")</f>
        <v>4549292.6554105887</v>
      </c>
      <c r="AU335" s="29">
        <f t="shared" si="161"/>
        <v>2.8414840320685339</v>
      </c>
      <c r="AV335" s="31">
        <f t="shared" si="162"/>
        <v>0.10301452684236377</v>
      </c>
      <c r="AW335" s="132">
        <f t="shared" si="163"/>
        <v>9267861.7757485658</v>
      </c>
      <c r="AX335" s="29">
        <f t="shared" si="164"/>
        <v>5.7886979893209585</v>
      </c>
      <c r="AY335" s="31">
        <f t="shared" si="165"/>
        <v>0.20986216275483838</v>
      </c>
    </row>
    <row r="336" spans="6:51" x14ac:dyDescent="0.35">
      <c r="F336" s="12">
        <f t="shared" si="142"/>
        <v>332</v>
      </c>
      <c r="G336" s="132">
        <f t="shared" si="143"/>
        <v>6306015.461788536</v>
      </c>
      <c r="H336" s="132">
        <f>IF($F336&lt;=$C$16*12,$G336-$C$7+SUM('Mortgage Calculators (By Month)'!$D$23:$D354),"-")</f>
        <v>6306015.461788536</v>
      </c>
      <c r="I336" s="132">
        <f t="shared" si="144"/>
        <v>32045.500100098507</v>
      </c>
      <c r="J336" s="132">
        <f>IF($F336&lt;=$C$16*12,SUM(Inputs!$C$61:$C$78)*'Forecast (By Month)'!I336,"-")</f>
        <v>3525.0050110108359</v>
      </c>
      <c r="K336" s="132">
        <f>IF($F336&lt;=$C$16*12,(SUMIF(Inputs!$C$61:$C$78,0,Inputs!$F$61:$F$78)/12)*(1+$C$34)^ROUNDDOWN((F336-1)/12,0),"-")</f>
        <v>1488.1666666666667</v>
      </c>
      <c r="L336" s="132">
        <f t="shared" si="145"/>
        <v>5013.1716776775029</v>
      </c>
      <c r="M336" s="132">
        <f>IF($F336&lt;=$C$16*12,'Mortgage Calculators (By Month)'!$C354,"-")</f>
        <v>0</v>
      </c>
      <c r="N336" s="132">
        <f>IF($F336&lt;=$C$16*12,'Mortgage Calculators (By Month)'!$D354,"-")</f>
        <v>0</v>
      </c>
      <c r="O336" s="132">
        <f>IF($F336&lt;=$C$16*12,'Mortgage Calculators (By Month)'!$E354,"-")</f>
        <v>8.3333333333333339</v>
      </c>
      <c r="P336" s="132">
        <f t="shared" si="166"/>
        <v>0</v>
      </c>
      <c r="Q336" s="132">
        <f t="shared" si="146"/>
        <v>5021.5050110108359</v>
      </c>
      <c r="R336" s="132">
        <f t="shared" si="147"/>
        <v>27032.328422421004</v>
      </c>
      <c r="S336" s="132">
        <f t="shared" si="148"/>
        <v>0</v>
      </c>
      <c r="T336" s="132">
        <f t="shared" si="140"/>
        <v>27032.328422421004</v>
      </c>
      <c r="U336" s="132">
        <f>IF($F336&lt;=$C$16*12,SUM(T$5:T336),"-")</f>
        <v>4745611.4487603987</v>
      </c>
      <c r="V336" s="132">
        <f>IF($F336&lt;=$C$16*12,G336-$C$10-'RE Calculations'!$C523-'Mortgage Calculators (By Month)'!$F354,"-")</f>
        <v>4574368.1525527639</v>
      </c>
      <c r="W336" s="29">
        <f t="shared" si="149"/>
        <v>2.8571461646510419</v>
      </c>
      <c r="X336" s="31">
        <f t="shared" si="150"/>
        <v>0.10327034330064007</v>
      </c>
      <c r="Y336" s="132">
        <f t="shared" si="151"/>
        <v>9319979.6013131626</v>
      </c>
      <c r="Z336" s="29">
        <f t="shared" si="152"/>
        <v>5.8212507355048748</v>
      </c>
      <c r="AA336" s="31">
        <f t="shared" si="153"/>
        <v>0.21040665309053763</v>
      </c>
      <c r="AD336" s="12">
        <f t="shared" si="154"/>
        <v>332</v>
      </c>
      <c r="AE336" s="132">
        <f t="shared" si="155"/>
        <v>6306015.461788536</v>
      </c>
      <c r="AF336" s="132">
        <f>IF($AD336&lt;=$C$25*12,$AE336-$C$7+SUM('Mortgage Calculators (By Month)'!$K$23:$K354),"-")</f>
        <v>6306015.461788536</v>
      </c>
      <c r="AG336" s="132">
        <f t="shared" si="156"/>
        <v>32045.500100098507</v>
      </c>
      <c r="AH336" s="132">
        <f>IF($AD336&lt;=$C$25*12,SUM(Inputs!$C$61:$C$78)*'Forecast (By Month)'!AG336,"-")</f>
        <v>3525.0050110108359</v>
      </c>
      <c r="AI336" s="132">
        <f>IF($AD336&lt;=$C$25*12,(SUMIF(Inputs!$C$61:$C$78,0,Inputs!$F$61:$F$78)/12)*(1+$C$34)^ROUNDDOWN((AD336-1)/12,0),"-")</f>
        <v>1488.1666666666667</v>
      </c>
      <c r="AJ336" s="132">
        <f t="shared" si="157"/>
        <v>5013.1716776775029</v>
      </c>
      <c r="AK336" s="132">
        <f>IF($AD336&lt;=$C$25*12,'Mortgage Calculators (By Month)'!$J354,"-")</f>
        <v>0</v>
      </c>
      <c r="AL336" s="132">
        <f>IF($AD336&lt;=$C$25*12,'Mortgage Calculators (By Month)'!$K354,"-")</f>
        <v>0</v>
      </c>
      <c r="AM336" s="132">
        <f>IF($AD336&lt;=$C$25*12,'Mortgage Calculators (By Month)'!$L354,"-")</f>
        <v>10</v>
      </c>
      <c r="AN336" s="132">
        <f t="shared" si="167"/>
        <v>0</v>
      </c>
      <c r="AO336" s="132">
        <f t="shared" si="158"/>
        <v>5023.1716776775029</v>
      </c>
      <c r="AP336" s="132">
        <f t="shared" si="159"/>
        <v>27032.328422421004</v>
      </c>
      <c r="AQ336" s="132">
        <f t="shared" si="160"/>
        <v>0</v>
      </c>
      <c r="AR336" s="132">
        <f t="shared" si="141"/>
        <v>27032.328422421004</v>
      </c>
      <c r="AS336" s="132">
        <f>IF($AD336&lt;=$C$25*12,SUM(AR$5:AR336),"-")</f>
        <v>4745601.4487603987</v>
      </c>
      <c r="AT336" s="132">
        <f>IF($AD336&lt;=$C$25*12,AE336-$C$10-'RE Calculations'!$C523-'Mortgage Calculators (By Month)'!$M354,"-")</f>
        <v>4574368.1525527639</v>
      </c>
      <c r="AU336" s="29">
        <f t="shared" si="161"/>
        <v>2.8571461646510419</v>
      </c>
      <c r="AV336" s="31">
        <f t="shared" si="162"/>
        <v>0.10327034330064007</v>
      </c>
      <c r="AW336" s="132">
        <f t="shared" si="163"/>
        <v>9319969.6013131626</v>
      </c>
      <c r="AX336" s="29">
        <f t="shared" si="164"/>
        <v>5.8212444895140196</v>
      </c>
      <c r="AY336" s="31">
        <f t="shared" si="165"/>
        <v>0.21040642733183201</v>
      </c>
    </row>
    <row r="337" spans="6:51" x14ac:dyDescent="0.35">
      <c r="F337" s="12">
        <f t="shared" si="142"/>
        <v>333</v>
      </c>
      <c r="G337" s="132">
        <f t="shared" si="143"/>
        <v>6331706.9493614631</v>
      </c>
      <c r="H337" s="132">
        <f>IF($F337&lt;=$C$16*12,$G337-$C$7+SUM('Mortgage Calculators (By Month)'!$D$23:$D355),"-")</f>
        <v>6331706.9493614631</v>
      </c>
      <c r="I337" s="132">
        <f t="shared" si="144"/>
        <v>32045.500100098507</v>
      </c>
      <c r="J337" s="132">
        <f>IF($F337&lt;=$C$16*12,SUM(Inputs!$C$61:$C$78)*'Forecast (By Month)'!I337,"-")</f>
        <v>3525.0050110108359</v>
      </c>
      <c r="K337" s="132">
        <f>IF($F337&lt;=$C$16*12,(SUMIF(Inputs!$C$61:$C$78,0,Inputs!$F$61:$F$78)/12)*(1+$C$34)^ROUNDDOWN((F337-1)/12,0),"-")</f>
        <v>1488.1666666666667</v>
      </c>
      <c r="L337" s="132">
        <f t="shared" si="145"/>
        <v>5013.1716776775029</v>
      </c>
      <c r="M337" s="132">
        <f>IF($F337&lt;=$C$16*12,'Mortgage Calculators (By Month)'!$C355,"-")</f>
        <v>0</v>
      </c>
      <c r="N337" s="132">
        <f>IF($F337&lt;=$C$16*12,'Mortgage Calculators (By Month)'!$D355,"-")</f>
        <v>0</v>
      </c>
      <c r="O337" s="132">
        <f>IF($F337&lt;=$C$16*12,'Mortgage Calculators (By Month)'!$E355,"-")</f>
        <v>8.3333333333333339</v>
      </c>
      <c r="P337" s="132">
        <f t="shared" si="166"/>
        <v>0</v>
      </c>
      <c r="Q337" s="132">
        <f t="shared" si="146"/>
        <v>5021.5050110108359</v>
      </c>
      <c r="R337" s="132">
        <f t="shared" si="147"/>
        <v>27032.328422421004</v>
      </c>
      <c r="S337" s="132">
        <f t="shared" si="148"/>
        <v>0</v>
      </c>
      <c r="T337" s="132">
        <f t="shared" si="140"/>
        <v>27032.328422421004</v>
      </c>
      <c r="U337" s="132">
        <f>IF($F337&lt;=$C$16*12,SUM(T$5:T337),"-")</f>
        <v>4772643.7771828193</v>
      </c>
      <c r="V337" s="132">
        <f>IF($F337&lt;=$C$16*12,G337-$C$10-'RE Calculations'!$C524-'Mortgage Calculators (By Month)'!$F355,"-")</f>
        <v>4599545.810374232</v>
      </c>
      <c r="W337" s="29">
        <f t="shared" si="149"/>
        <v>2.8728721067004068</v>
      </c>
      <c r="X337" s="31">
        <f t="shared" si="150"/>
        <v>0.10352692276397862</v>
      </c>
      <c r="Y337" s="132">
        <f t="shared" si="151"/>
        <v>9372189.5875570513</v>
      </c>
      <c r="Z337" s="29">
        <f t="shared" si="152"/>
        <v>5.8538610451647921</v>
      </c>
      <c r="AA337" s="31">
        <f t="shared" si="153"/>
        <v>0.21094994757350602</v>
      </c>
      <c r="AD337" s="12">
        <f t="shared" si="154"/>
        <v>333</v>
      </c>
      <c r="AE337" s="132">
        <f t="shared" si="155"/>
        <v>6331706.9493614631</v>
      </c>
      <c r="AF337" s="132">
        <f>IF($AD337&lt;=$C$25*12,$AE337-$C$7+SUM('Mortgage Calculators (By Month)'!$K$23:$K355),"-")</f>
        <v>6331706.9493614631</v>
      </c>
      <c r="AG337" s="132">
        <f t="shared" si="156"/>
        <v>32045.500100098507</v>
      </c>
      <c r="AH337" s="132">
        <f>IF($AD337&lt;=$C$25*12,SUM(Inputs!$C$61:$C$78)*'Forecast (By Month)'!AG337,"-")</f>
        <v>3525.0050110108359</v>
      </c>
      <c r="AI337" s="132">
        <f>IF($AD337&lt;=$C$25*12,(SUMIF(Inputs!$C$61:$C$78,0,Inputs!$F$61:$F$78)/12)*(1+$C$34)^ROUNDDOWN((AD337-1)/12,0),"-")</f>
        <v>1488.1666666666667</v>
      </c>
      <c r="AJ337" s="132">
        <f t="shared" si="157"/>
        <v>5013.1716776775029</v>
      </c>
      <c r="AK337" s="132">
        <f>IF($AD337&lt;=$C$25*12,'Mortgage Calculators (By Month)'!$J355,"-")</f>
        <v>0</v>
      </c>
      <c r="AL337" s="132">
        <f>IF($AD337&lt;=$C$25*12,'Mortgage Calculators (By Month)'!$K355,"-")</f>
        <v>0</v>
      </c>
      <c r="AM337" s="132">
        <f>IF($AD337&lt;=$C$25*12,'Mortgage Calculators (By Month)'!$L355,"-")</f>
        <v>10</v>
      </c>
      <c r="AN337" s="132">
        <f t="shared" si="167"/>
        <v>0</v>
      </c>
      <c r="AO337" s="132">
        <f t="shared" si="158"/>
        <v>5023.1716776775029</v>
      </c>
      <c r="AP337" s="132">
        <f t="shared" si="159"/>
        <v>27032.328422421004</v>
      </c>
      <c r="AQ337" s="132">
        <f t="shared" si="160"/>
        <v>0</v>
      </c>
      <c r="AR337" s="132">
        <f t="shared" si="141"/>
        <v>27032.328422421004</v>
      </c>
      <c r="AS337" s="132">
        <f>IF($AD337&lt;=$C$25*12,SUM(AR$5:AR337),"-")</f>
        <v>4772633.7771828193</v>
      </c>
      <c r="AT337" s="132">
        <f>IF($AD337&lt;=$C$25*12,AE337-$C$10-'RE Calculations'!$C524-'Mortgage Calculators (By Month)'!$M355,"-")</f>
        <v>4599545.810374232</v>
      </c>
      <c r="AU337" s="29">
        <f t="shared" si="161"/>
        <v>2.8728721067004068</v>
      </c>
      <c r="AV337" s="31">
        <f t="shared" si="162"/>
        <v>0.10352692276397862</v>
      </c>
      <c r="AW337" s="132">
        <f t="shared" si="163"/>
        <v>9372179.5875570513</v>
      </c>
      <c r="AX337" s="29">
        <f t="shared" si="164"/>
        <v>5.8538547991739369</v>
      </c>
      <c r="AY337" s="31">
        <f t="shared" si="165"/>
        <v>0.21094972249275448</v>
      </c>
    </row>
    <row r="338" spans="6:51" x14ac:dyDescent="0.35">
      <c r="F338" s="12">
        <f t="shared" si="142"/>
        <v>334</v>
      </c>
      <c r="G338" s="132">
        <f t="shared" si="143"/>
        <v>6357503.1072349483</v>
      </c>
      <c r="H338" s="132">
        <f>IF($F338&lt;=$C$16*12,$G338-$C$7+SUM('Mortgage Calculators (By Month)'!$D$23:$D356),"-")</f>
        <v>6357503.1072349483</v>
      </c>
      <c r="I338" s="132">
        <f t="shared" si="144"/>
        <v>32045.500100098507</v>
      </c>
      <c r="J338" s="132">
        <f>IF($F338&lt;=$C$16*12,SUM(Inputs!$C$61:$C$78)*'Forecast (By Month)'!I338,"-")</f>
        <v>3525.0050110108359</v>
      </c>
      <c r="K338" s="132">
        <f>IF($F338&lt;=$C$16*12,(SUMIF(Inputs!$C$61:$C$78,0,Inputs!$F$61:$F$78)/12)*(1+$C$34)^ROUNDDOWN((F338-1)/12,0),"-")</f>
        <v>1488.1666666666667</v>
      </c>
      <c r="L338" s="132">
        <f t="shared" si="145"/>
        <v>5013.1716776775029</v>
      </c>
      <c r="M338" s="132">
        <f>IF($F338&lt;=$C$16*12,'Mortgage Calculators (By Month)'!$C356,"-")</f>
        <v>0</v>
      </c>
      <c r="N338" s="132">
        <f>IF($F338&lt;=$C$16*12,'Mortgage Calculators (By Month)'!$D356,"-")</f>
        <v>0</v>
      </c>
      <c r="O338" s="132">
        <f>IF($F338&lt;=$C$16*12,'Mortgage Calculators (By Month)'!$E356,"-")</f>
        <v>8.3333333333333339</v>
      </c>
      <c r="P338" s="132">
        <f t="shared" si="166"/>
        <v>0</v>
      </c>
      <c r="Q338" s="132">
        <f t="shared" si="146"/>
        <v>5021.5050110108359</v>
      </c>
      <c r="R338" s="132">
        <f t="shared" si="147"/>
        <v>27032.328422421004</v>
      </c>
      <c r="S338" s="132">
        <f t="shared" si="148"/>
        <v>0</v>
      </c>
      <c r="T338" s="132">
        <f t="shared" si="140"/>
        <v>27032.328422421004</v>
      </c>
      <c r="U338" s="132">
        <f>IF($F338&lt;=$C$16*12,SUM(T$5:T338),"-")</f>
        <v>4799676.10560524</v>
      </c>
      <c r="V338" s="132">
        <f>IF($F338&lt;=$C$16*12,G338-$C$10-'RE Calculations'!$C525-'Mortgage Calculators (By Month)'!$F356,"-")</f>
        <v>4624826.0450902479</v>
      </c>
      <c r="W338" s="29">
        <f t="shared" si="149"/>
        <v>2.8886621181842953</v>
      </c>
      <c r="X338" s="31">
        <f t="shared" si="150"/>
        <v>0.10378426771919624</v>
      </c>
      <c r="Y338" s="132">
        <f t="shared" si="151"/>
        <v>9424502.1506954879</v>
      </c>
      <c r="Z338" s="29">
        <f t="shared" si="152"/>
        <v>5.8865354242592334</v>
      </c>
      <c r="AA338" s="31">
        <f t="shared" si="153"/>
        <v>0.21149229069194853</v>
      </c>
      <c r="AD338" s="12">
        <f t="shared" si="154"/>
        <v>334</v>
      </c>
      <c r="AE338" s="132">
        <f t="shared" si="155"/>
        <v>6357503.1072349483</v>
      </c>
      <c r="AF338" s="132">
        <f>IF($AD338&lt;=$C$25*12,$AE338-$C$7+SUM('Mortgage Calculators (By Month)'!$K$23:$K356),"-")</f>
        <v>6357503.1072349483</v>
      </c>
      <c r="AG338" s="132">
        <f t="shared" si="156"/>
        <v>32045.500100098507</v>
      </c>
      <c r="AH338" s="132">
        <f>IF($AD338&lt;=$C$25*12,SUM(Inputs!$C$61:$C$78)*'Forecast (By Month)'!AG338,"-")</f>
        <v>3525.0050110108359</v>
      </c>
      <c r="AI338" s="132">
        <f>IF($AD338&lt;=$C$25*12,(SUMIF(Inputs!$C$61:$C$78,0,Inputs!$F$61:$F$78)/12)*(1+$C$34)^ROUNDDOWN((AD338-1)/12,0),"-")</f>
        <v>1488.1666666666667</v>
      </c>
      <c r="AJ338" s="132">
        <f t="shared" si="157"/>
        <v>5013.1716776775029</v>
      </c>
      <c r="AK338" s="132">
        <f>IF($AD338&lt;=$C$25*12,'Mortgage Calculators (By Month)'!$J356,"-")</f>
        <v>0</v>
      </c>
      <c r="AL338" s="132">
        <f>IF($AD338&lt;=$C$25*12,'Mortgage Calculators (By Month)'!$K356,"-")</f>
        <v>0</v>
      </c>
      <c r="AM338" s="132">
        <f>IF($AD338&lt;=$C$25*12,'Mortgage Calculators (By Month)'!$L356,"-")</f>
        <v>10</v>
      </c>
      <c r="AN338" s="132">
        <f t="shared" si="167"/>
        <v>0</v>
      </c>
      <c r="AO338" s="132">
        <f t="shared" si="158"/>
        <v>5023.1716776775029</v>
      </c>
      <c r="AP338" s="132">
        <f t="shared" si="159"/>
        <v>27032.328422421004</v>
      </c>
      <c r="AQ338" s="132">
        <f t="shared" si="160"/>
        <v>0</v>
      </c>
      <c r="AR338" s="132">
        <f t="shared" si="141"/>
        <v>27032.328422421004</v>
      </c>
      <c r="AS338" s="132">
        <f>IF($AD338&lt;=$C$25*12,SUM(AR$5:AR338),"-")</f>
        <v>4799666.10560524</v>
      </c>
      <c r="AT338" s="132">
        <f>IF($AD338&lt;=$C$25*12,AE338-$C$10-'RE Calculations'!$C525-'Mortgage Calculators (By Month)'!$M356,"-")</f>
        <v>4624826.0450902479</v>
      </c>
      <c r="AU338" s="29">
        <f t="shared" si="161"/>
        <v>2.8886621181842953</v>
      </c>
      <c r="AV338" s="31">
        <f t="shared" si="162"/>
        <v>0.10378426771919624</v>
      </c>
      <c r="AW338" s="132">
        <f t="shared" si="163"/>
        <v>9424492.1506954879</v>
      </c>
      <c r="AX338" s="29">
        <f t="shared" si="164"/>
        <v>5.8865291782683791</v>
      </c>
      <c r="AY338" s="31">
        <f t="shared" si="165"/>
        <v>0.21149206628509148</v>
      </c>
    </row>
    <row r="339" spans="6:51" x14ac:dyDescent="0.35">
      <c r="F339" s="12">
        <f t="shared" si="142"/>
        <v>335</v>
      </c>
      <c r="G339" s="132">
        <f t="shared" si="143"/>
        <v>6383404.3618487529</v>
      </c>
      <c r="H339" s="132">
        <f>IF($F339&lt;=$C$16*12,$G339-$C$7+SUM('Mortgage Calculators (By Month)'!$D$23:$D357),"-")</f>
        <v>6383404.3618487529</v>
      </c>
      <c r="I339" s="132">
        <f t="shared" si="144"/>
        <v>32045.500100098507</v>
      </c>
      <c r="J339" s="132">
        <f>IF($F339&lt;=$C$16*12,SUM(Inputs!$C$61:$C$78)*'Forecast (By Month)'!I339,"-")</f>
        <v>3525.0050110108359</v>
      </c>
      <c r="K339" s="132">
        <f>IF($F339&lt;=$C$16*12,(SUMIF(Inputs!$C$61:$C$78,0,Inputs!$F$61:$F$78)/12)*(1+$C$34)^ROUNDDOWN((F339-1)/12,0),"-")</f>
        <v>1488.1666666666667</v>
      </c>
      <c r="L339" s="132">
        <f t="shared" si="145"/>
        <v>5013.1716776775029</v>
      </c>
      <c r="M339" s="132">
        <f>IF($F339&lt;=$C$16*12,'Mortgage Calculators (By Month)'!$C357,"-")</f>
        <v>0</v>
      </c>
      <c r="N339" s="132">
        <f>IF($F339&lt;=$C$16*12,'Mortgage Calculators (By Month)'!$D357,"-")</f>
        <v>0</v>
      </c>
      <c r="O339" s="132">
        <f>IF($F339&lt;=$C$16*12,'Mortgage Calculators (By Month)'!$E357,"-")</f>
        <v>8.3333333333333339</v>
      </c>
      <c r="P339" s="132">
        <f t="shared" si="166"/>
        <v>0</v>
      </c>
      <c r="Q339" s="132">
        <f t="shared" si="146"/>
        <v>5021.5050110108359</v>
      </c>
      <c r="R339" s="132">
        <f t="shared" si="147"/>
        <v>27032.328422421004</v>
      </c>
      <c r="S339" s="132">
        <f t="shared" si="148"/>
        <v>0</v>
      </c>
      <c r="T339" s="132">
        <f t="shared" si="140"/>
        <v>27032.328422421004</v>
      </c>
      <c r="U339" s="132">
        <f>IF($F339&lt;=$C$16*12,SUM(T$5:T339),"-")</f>
        <v>4826708.4340276606</v>
      </c>
      <c r="V339" s="132">
        <f>IF($F339&lt;=$C$16*12,G339-$C$10-'RE Calculations'!$C526-'Mortgage Calculators (By Month)'!$F357,"-")</f>
        <v>4650209.2746117758</v>
      </c>
      <c r="W339" s="29">
        <f t="shared" si="149"/>
        <v>2.9045164601295141</v>
      </c>
      <c r="X339" s="31">
        <f t="shared" si="150"/>
        <v>0.10404238066135572</v>
      </c>
      <c r="Y339" s="132">
        <f t="shared" si="151"/>
        <v>9476917.7086394355</v>
      </c>
      <c r="Z339" s="29">
        <f t="shared" si="152"/>
        <v>5.919274133815005</v>
      </c>
      <c r="AA339" s="31">
        <f t="shared" si="153"/>
        <v>0.21203370031576135</v>
      </c>
      <c r="AD339" s="12">
        <f t="shared" si="154"/>
        <v>335</v>
      </c>
      <c r="AE339" s="132">
        <f t="shared" si="155"/>
        <v>6383404.3618487529</v>
      </c>
      <c r="AF339" s="132">
        <f>IF($AD339&lt;=$C$25*12,$AE339-$C$7+SUM('Mortgage Calculators (By Month)'!$K$23:$K357),"-")</f>
        <v>6383404.3618487529</v>
      </c>
      <c r="AG339" s="132">
        <f t="shared" si="156"/>
        <v>32045.500100098507</v>
      </c>
      <c r="AH339" s="132">
        <f>IF($AD339&lt;=$C$25*12,SUM(Inputs!$C$61:$C$78)*'Forecast (By Month)'!AG339,"-")</f>
        <v>3525.0050110108359</v>
      </c>
      <c r="AI339" s="132">
        <f>IF($AD339&lt;=$C$25*12,(SUMIF(Inputs!$C$61:$C$78,0,Inputs!$F$61:$F$78)/12)*(1+$C$34)^ROUNDDOWN((AD339-1)/12,0),"-")</f>
        <v>1488.1666666666667</v>
      </c>
      <c r="AJ339" s="132">
        <f t="shared" si="157"/>
        <v>5013.1716776775029</v>
      </c>
      <c r="AK339" s="132">
        <f>IF($AD339&lt;=$C$25*12,'Mortgage Calculators (By Month)'!$J357,"-")</f>
        <v>0</v>
      </c>
      <c r="AL339" s="132">
        <f>IF($AD339&lt;=$C$25*12,'Mortgage Calculators (By Month)'!$K357,"-")</f>
        <v>0</v>
      </c>
      <c r="AM339" s="132">
        <f>IF($AD339&lt;=$C$25*12,'Mortgage Calculators (By Month)'!$L357,"-")</f>
        <v>10</v>
      </c>
      <c r="AN339" s="132">
        <f t="shared" si="167"/>
        <v>0</v>
      </c>
      <c r="AO339" s="132">
        <f t="shared" si="158"/>
        <v>5023.1716776775029</v>
      </c>
      <c r="AP339" s="132">
        <f t="shared" si="159"/>
        <v>27032.328422421004</v>
      </c>
      <c r="AQ339" s="132">
        <f t="shared" si="160"/>
        <v>0</v>
      </c>
      <c r="AR339" s="132">
        <f t="shared" si="141"/>
        <v>27032.328422421004</v>
      </c>
      <c r="AS339" s="132">
        <f>IF($AD339&lt;=$C$25*12,SUM(AR$5:AR339),"-")</f>
        <v>4826698.4340276606</v>
      </c>
      <c r="AT339" s="132">
        <f>IF($AD339&lt;=$C$25*12,AE339-$C$10-'RE Calculations'!$C526-'Mortgage Calculators (By Month)'!$M357,"-")</f>
        <v>4650209.2746117758</v>
      </c>
      <c r="AU339" s="29">
        <f t="shared" si="161"/>
        <v>2.9045164601295141</v>
      </c>
      <c r="AV339" s="31">
        <f t="shared" si="162"/>
        <v>0.10404238066135572</v>
      </c>
      <c r="AW339" s="132">
        <f t="shared" si="163"/>
        <v>9476907.7086394355</v>
      </c>
      <c r="AX339" s="29">
        <f t="shared" si="164"/>
        <v>5.9192678878241498</v>
      </c>
      <c r="AY339" s="31">
        <f t="shared" si="165"/>
        <v>0.2120334765787755</v>
      </c>
    </row>
    <row r="340" spans="6:51" x14ac:dyDescent="0.35">
      <c r="F340" s="12">
        <f t="shared" si="142"/>
        <v>336</v>
      </c>
      <c r="G340" s="132">
        <f t="shared" si="143"/>
        <v>6409411.1413800055</v>
      </c>
      <c r="H340" s="132">
        <f>IF($F340&lt;=$C$16*12,$G340-$C$7+SUM('Mortgage Calculators (By Month)'!$D$23:$D358),"-")</f>
        <v>6409411.1413800055</v>
      </c>
      <c r="I340" s="132">
        <f t="shared" si="144"/>
        <v>32045.500100098507</v>
      </c>
      <c r="J340" s="132">
        <f>IF($F340&lt;=$C$16*12,SUM(Inputs!$C$61:$C$78)*'Forecast (By Month)'!I340,"-")</f>
        <v>3525.0050110108359</v>
      </c>
      <c r="K340" s="132">
        <f>IF($F340&lt;=$C$16*12,(SUMIF(Inputs!$C$61:$C$78,0,Inputs!$F$61:$F$78)/12)*(1+$C$34)^ROUNDDOWN((F340-1)/12,0),"-")</f>
        <v>1488.1666666666667</v>
      </c>
      <c r="L340" s="132">
        <f t="shared" si="145"/>
        <v>5013.1716776775029</v>
      </c>
      <c r="M340" s="132">
        <f>IF($F340&lt;=$C$16*12,'Mortgage Calculators (By Month)'!$C358,"-")</f>
        <v>0</v>
      </c>
      <c r="N340" s="132">
        <f>IF($F340&lt;=$C$16*12,'Mortgage Calculators (By Month)'!$D358,"-")</f>
        <v>0</v>
      </c>
      <c r="O340" s="132">
        <f>IF($F340&lt;=$C$16*12,'Mortgage Calculators (By Month)'!$E358,"-")</f>
        <v>8.3333333333333339</v>
      </c>
      <c r="P340" s="132">
        <f t="shared" si="166"/>
        <v>0</v>
      </c>
      <c r="Q340" s="132">
        <f t="shared" si="146"/>
        <v>5021.5050110108359</v>
      </c>
      <c r="R340" s="132">
        <f t="shared" si="147"/>
        <v>27032.328422421004</v>
      </c>
      <c r="S340" s="132">
        <f t="shared" si="148"/>
        <v>0</v>
      </c>
      <c r="T340" s="132">
        <f t="shared" si="140"/>
        <v>27032.328422421004</v>
      </c>
      <c r="U340" s="132">
        <f>IF($F340&lt;=$C$16*12,SUM(T$5:T340),"-")</f>
        <v>4853740.7624500813</v>
      </c>
      <c r="V340" s="132">
        <f>IF($F340&lt;=$C$16*12,G340-$C$10-'RE Calculations'!$C527-'Mortgage Calculators (By Month)'!$F358,"-")</f>
        <v>4675695.9185524033</v>
      </c>
      <c r="W340" s="29">
        <f t="shared" si="149"/>
        <v>2.9204353946263262</v>
      </c>
      <c r="X340" s="31">
        <f t="shared" si="150"/>
        <v>0.10430126409379736</v>
      </c>
      <c r="Y340" s="132">
        <f t="shared" si="151"/>
        <v>9529436.6810024846</v>
      </c>
      <c r="Z340" s="29">
        <f t="shared" si="152"/>
        <v>5.9520774359223703</v>
      </c>
      <c r="AA340" s="31">
        <f t="shared" si="153"/>
        <v>0.21257419414008466</v>
      </c>
      <c r="AD340" s="12">
        <f t="shared" si="154"/>
        <v>336</v>
      </c>
      <c r="AE340" s="132">
        <f t="shared" si="155"/>
        <v>6409411.1413800055</v>
      </c>
      <c r="AF340" s="132">
        <f>IF($AD340&lt;=$C$25*12,$AE340-$C$7+SUM('Mortgage Calculators (By Month)'!$K$23:$K358),"-")</f>
        <v>6409411.1413800055</v>
      </c>
      <c r="AG340" s="132">
        <f t="shared" si="156"/>
        <v>32045.500100098507</v>
      </c>
      <c r="AH340" s="132">
        <f>IF($AD340&lt;=$C$25*12,SUM(Inputs!$C$61:$C$78)*'Forecast (By Month)'!AG340,"-")</f>
        <v>3525.0050110108359</v>
      </c>
      <c r="AI340" s="132">
        <f>IF($AD340&lt;=$C$25*12,(SUMIF(Inputs!$C$61:$C$78,0,Inputs!$F$61:$F$78)/12)*(1+$C$34)^ROUNDDOWN((AD340-1)/12,0),"-")</f>
        <v>1488.1666666666667</v>
      </c>
      <c r="AJ340" s="132">
        <f t="shared" si="157"/>
        <v>5013.1716776775029</v>
      </c>
      <c r="AK340" s="132">
        <f>IF($AD340&lt;=$C$25*12,'Mortgage Calculators (By Month)'!$J358,"-")</f>
        <v>0</v>
      </c>
      <c r="AL340" s="132">
        <f>IF($AD340&lt;=$C$25*12,'Mortgage Calculators (By Month)'!$K358,"-")</f>
        <v>0</v>
      </c>
      <c r="AM340" s="132">
        <f>IF($AD340&lt;=$C$25*12,'Mortgage Calculators (By Month)'!$L358,"-")</f>
        <v>10</v>
      </c>
      <c r="AN340" s="132">
        <f t="shared" si="167"/>
        <v>0</v>
      </c>
      <c r="AO340" s="132">
        <f t="shared" si="158"/>
        <v>5023.1716776775029</v>
      </c>
      <c r="AP340" s="132">
        <f t="shared" si="159"/>
        <v>27032.328422421004</v>
      </c>
      <c r="AQ340" s="132">
        <f t="shared" si="160"/>
        <v>0</v>
      </c>
      <c r="AR340" s="132">
        <f t="shared" si="141"/>
        <v>27032.328422421004</v>
      </c>
      <c r="AS340" s="132">
        <f>IF($AD340&lt;=$C$25*12,SUM(AR$5:AR340),"-")</f>
        <v>4853730.7624500813</v>
      </c>
      <c r="AT340" s="132">
        <f>IF($AD340&lt;=$C$25*12,AE340-$C$10-'RE Calculations'!$C527-'Mortgage Calculators (By Month)'!$M358,"-")</f>
        <v>4675695.9185524033</v>
      </c>
      <c r="AU340" s="29">
        <f t="shared" si="161"/>
        <v>2.9204353946263262</v>
      </c>
      <c r="AV340" s="31">
        <f t="shared" si="162"/>
        <v>0.10430126409379736</v>
      </c>
      <c r="AW340" s="132">
        <f t="shared" si="163"/>
        <v>9529426.6810024846</v>
      </c>
      <c r="AX340" s="29">
        <f t="shared" si="164"/>
        <v>5.952071189931516</v>
      </c>
      <c r="AY340" s="31">
        <f t="shared" si="165"/>
        <v>0.21257397106898271</v>
      </c>
    </row>
    <row r="341" spans="6:51" x14ac:dyDescent="0.35">
      <c r="F341" s="12">
        <f t="shared" si="142"/>
        <v>337</v>
      </c>
      <c r="G341" s="132">
        <f t="shared" si="143"/>
        <v>6435523.8757502828</v>
      </c>
      <c r="H341" s="132">
        <f>IF($F341&lt;=$C$16*12,$G341-$C$7+SUM('Mortgage Calculators (By Month)'!$D$23:$D359),"-")</f>
        <v>6435523.8757502828</v>
      </c>
      <c r="I341" s="132">
        <f t="shared" si="144"/>
        <v>33647.775105103428</v>
      </c>
      <c r="J341" s="132">
        <f>IF($F341&lt;=$C$16*12,SUM(Inputs!$C$61:$C$78)*'Forecast (By Month)'!I341,"-")</f>
        <v>3701.2552615613772</v>
      </c>
      <c r="K341" s="132">
        <f>IF($F341&lt;=$C$16*12,(SUMIF(Inputs!$C$61:$C$78,0,Inputs!$F$61:$F$78)/12)*(1+$C$34)^ROUNDDOWN((F341-1)/12,0),"-")</f>
        <v>1488.1666666666667</v>
      </c>
      <c r="L341" s="132">
        <f t="shared" si="145"/>
        <v>5189.4219282280437</v>
      </c>
      <c r="M341" s="132">
        <f>IF($F341&lt;=$C$16*12,'Mortgage Calculators (By Month)'!$C359,"-")</f>
        <v>0</v>
      </c>
      <c r="N341" s="132">
        <f>IF($F341&lt;=$C$16*12,'Mortgage Calculators (By Month)'!$D359,"-")</f>
        <v>0</v>
      </c>
      <c r="O341" s="132">
        <f>IF($F341&lt;=$C$16*12,'Mortgage Calculators (By Month)'!$E359,"-")</f>
        <v>8.3333333333333339</v>
      </c>
      <c r="P341" s="132">
        <f t="shared" si="166"/>
        <v>0</v>
      </c>
      <c r="Q341" s="132">
        <f t="shared" si="146"/>
        <v>5197.7552615613768</v>
      </c>
      <c r="R341" s="132">
        <f t="shared" si="147"/>
        <v>28458.353176875386</v>
      </c>
      <c r="S341" s="132">
        <f t="shared" si="148"/>
        <v>0</v>
      </c>
      <c r="T341" s="132">
        <f t="shared" si="140"/>
        <v>28458.353176875386</v>
      </c>
      <c r="U341" s="132">
        <f>IF($F341&lt;=$C$16*12,SUM(T$5:T341),"-")</f>
        <v>4882199.1156269563</v>
      </c>
      <c r="V341" s="132">
        <f>IF($F341&lt;=$C$16*12,G341-$C$10-'RE Calculations'!$C528-'Mortgage Calculators (By Month)'!$F359,"-")</f>
        <v>4701286.3982352754</v>
      </c>
      <c r="W341" s="29">
        <f t="shared" si="149"/>
        <v>2.9364191848327827</v>
      </c>
      <c r="X341" s="31">
        <f t="shared" si="150"/>
        <v>0.10456092052817031</v>
      </c>
      <c r="Y341" s="132">
        <f t="shared" si="151"/>
        <v>9583485.5138622317</v>
      </c>
      <c r="Z341" s="29">
        <f t="shared" si="152"/>
        <v>5.9858362874968574</v>
      </c>
      <c r="AA341" s="31">
        <f t="shared" si="153"/>
        <v>0.21314550578623825</v>
      </c>
      <c r="AD341" s="12">
        <f t="shared" si="154"/>
        <v>337</v>
      </c>
      <c r="AE341" s="132">
        <f t="shared" si="155"/>
        <v>6435523.8757502828</v>
      </c>
      <c r="AF341" s="132">
        <f>IF($AD341&lt;=$C$25*12,$AE341-$C$7+SUM('Mortgage Calculators (By Month)'!$K$23:$K359),"-")</f>
        <v>6435523.8757502828</v>
      </c>
      <c r="AG341" s="132">
        <f t="shared" si="156"/>
        <v>33647.775105103428</v>
      </c>
      <c r="AH341" s="132">
        <f>IF($AD341&lt;=$C$25*12,SUM(Inputs!$C$61:$C$78)*'Forecast (By Month)'!AG341,"-")</f>
        <v>3701.2552615613772</v>
      </c>
      <c r="AI341" s="132">
        <f>IF($AD341&lt;=$C$25*12,(SUMIF(Inputs!$C$61:$C$78,0,Inputs!$F$61:$F$78)/12)*(1+$C$34)^ROUNDDOWN((AD341-1)/12,0),"-")</f>
        <v>1488.1666666666667</v>
      </c>
      <c r="AJ341" s="132">
        <f t="shared" si="157"/>
        <v>5189.4219282280437</v>
      </c>
      <c r="AK341" s="132">
        <f>IF($AD341&lt;=$C$25*12,'Mortgage Calculators (By Month)'!$J359,"-")</f>
        <v>0</v>
      </c>
      <c r="AL341" s="132">
        <f>IF($AD341&lt;=$C$25*12,'Mortgage Calculators (By Month)'!$K359,"-")</f>
        <v>0</v>
      </c>
      <c r="AM341" s="132">
        <f>IF($AD341&lt;=$C$25*12,'Mortgage Calculators (By Month)'!$L359,"-")</f>
        <v>10</v>
      </c>
      <c r="AN341" s="132">
        <f t="shared" si="167"/>
        <v>0</v>
      </c>
      <c r="AO341" s="132">
        <f t="shared" si="158"/>
        <v>5199.4219282280437</v>
      </c>
      <c r="AP341" s="132">
        <f t="shared" si="159"/>
        <v>28458.353176875386</v>
      </c>
      <c r="AQ341" s="132">
        <f t="shared" si="160"/>
        <v>0</v>
      </c>
      <c r="AR341" s="132">
        <f t="shared" si="141"/>
        <v>28458.353176875386</v>
      </c>
      <c r="AS341" s="132">
        <f>IF($AD341&lt;=$C$25*12,SUM(AR$5:AR341),"-")</f>
        <v>4882189.1156269563</v>
      </c>
      <c r="AT341" s="132">
        <f>IF($AD341&lt;=$C$25*12,AE341-$C$10-'RE Calculations'!$C528-'Mortgage Calculators (By Month)'!$M359,"-")</f>
        <v>4701286.3982352754</v>
      </c>
      <c r="AU341" s="29">
        <f t="shared" si="161"/>
        <v>2.9364191848327827</v>
      </c>
      <c r="AV341" s="31">
        <f t="shared" si="162"/>
        <v>0.10456092052817031</v>
      </c>
      <c r="AW341" s="132">
        <f t="shared" si="163"/>
        <v>9583475.5138622317</v>
      </c>
      <c r="AX341" s="29">
        <f t="shared" si="164"/>
        <v>5.9858300415060031</v>
      </c>
      <c r="AY341" s="31">
        <f t="shared" si="165"/>
        <v>0.21314528337706837</v>
      </c>
    </row>
    <row r="342" spans="6:51" x14ac:dyDescent="0.35">
      <c r="F342" s="12">
        <f t="shared" si="142"/>
        <v>338</v>
      </c>
      <c r="G342" s="132">
        <f t="shared" si="143"/>
        <v>6461742.9966327138</v>
      </c>
      <c r="H342" s="132">
        <f>IF($F342&lt;=$C$16*12,$G342-$C$7+SUM('Mortgage Calculators (By Month)'!$D$23:$D360),"-")</f>
        <v>6461742.9966327138</v>
      </c>
      <c r="I342" s="132">
        <f t="shared" si="144"/>
        <v>33647.775105103428</v>
      </c>
      <c r="J342" s="132">
        <f>IF($F342&lt;=$C$16*12,SUM(Inputs!$C$61:$C$78)*'Forecast (By Month)'!I342,"-")</f>
        <v>3701.2552615613772</v>
      </c>
      <c r="K342" s="132">
        <f>IF($F342&lt;=$C$16*12,(SUMIF(Inputs!$C$61:$C$78,0,Inputs!$F$61:$F$78)/12)*(1+$C$34)^ROUNDDOWN((F342-1)/12,0),"-")</f>
        <v>1488.1666666666667</v>
      </c>
      <c r="L342" s="132">
        <f t="shared" si="145"/>
        <v>5189.4219282280437</v>
      </c>
      <c r="M342" s="132">
        <f>IF($F342&lt;=$C$16*12,'Mortgage Calculators (By Month)'!$C360,"-")</f>
        <v>0</v>
      </c>
      <c r="N342" s="132">
        <f>IF($F342&lt;=$C$16*12,'Mortgage Calculators (By Month)'!$D360,"-")</f>
        <v>0</v>
      </c>
      <c r="O342" s="132">
        <f>IF($F342&lt;=$C$16*12,'Mortgage Calculators (By Month)'!$E360,"-")</f>
        <v>8.3333333333333339</v>
      </c>
      <c r="P342" s="132">
        <f t="shared" si="166"/>
        <v>0</v>
      </c>
      <c r="Q342" s="132">
        <f t="shared" si="146"/>
        <v>5197.7552615613768</v>
      </c>
      <c r="R342" s="132">
        <f t="shared" si="147"/>
        <v>28458.353176875386</v>
      </c>
      <c r="S342" s="132">
        <f t="shared" si="148"/>
        <v>0</v>
      </c>
      <c r="T342" s="132">
        <f t="shared" si="140"/>
        <v>28458.353176875386</v>
      </c>
      <c r="U342" s="132">
        <f>IF($F342&lt;=$C$16*12,SUM(T$5:T342),"-")</f>
        <v>4910657.4688038314</v>
      </c>
      <c r="V342" s="132">
        <f>IF($F342&lt;=$C$16*12,G342-$C$10-'RE Calculations'!$C529-'Mortgage Calculators (By Month)'!$F360,"-")</f>
        <v>4726981.1367000574</v>
      </c>
      <c r="W342" s="29">
        <f t="shared" si="149"/>
        <v>2.9524680949790714</v>
      </c>
      <c r="X342" s="31">
        <f t="shared" si="150"/>
        <v>0.10482135248446407</v>
      </c>
      <c r="Y342" s="132">
        <f t="shared" si="151"/>
        <v>9637638.6055038888</v>
      </c>
      <c r="Z342" s="29">
        <f t="shared" si="152"/>
        <v>6.0196602590111778</v>
      </c>
      <c r="AA342" s="31">
        <f t="shared" si="153"/>
        <v>0.21371574884063352</v>
      </c>
      <c r="AD342" s="12">
        <f t="shared" si="154"/>
        <v>338</v>
      </c>
      <c r="AE342" s="132">
        <f t="shared" si="155"/>
        <v>6461742.9966327138</v>
      </c>
      <c r="AF342" s="132">
        <f>IF($AD342&lt;=$C$25*12,$AE342-$C$7+SUM('Mortgage Calculators (By Month)'!$K$23:$K360),"-")</f>
        <v>6461742.9966327138</v>
      </c>
      <c r="AG342" s="132">
        <f t="shared" si="156"/>
        <v>33647.775105103428</v>
      </c>
      <c r="AH342" s="132">
        <f>IF($AD342&lt;=$C$25*12,SUM(Inputs!$C$61:$C$78)*'Forecast (By Month)'!AG342,"-")</f>
        <v>3701.2552615613772</v>
      </c>
      <c r="AI342" s="132">
        <f>IF($AD342&lt;=$C$25*12,(SUMIF(Inputs!$C$61:$C$78,0,Inputs!$F$61:$F$78)/12)*(1+$C$34)^ROUNDDOWN((AD342-1)/12,0),"-")</f>
        <v>1488.1666666666667</v>
      </c>
      <c r="AJ342" s="132">
        <f t="shared" si="157"/>
        <v>5189.4219282280437</v>
      </c>
      <c r="AK342" s="132">
        <f>IF($AD342&lt;=$C$25*12,'Mortgage Calculators (By Month)'!$J360,"-")</f>
        <v>0</v>
      </c>
      <c r="AL342" s="132">
        <f>IF($AD342&lt;=$C$25*12,'Mortgage Calculators (By Month)'!$K360,"-")</f>
        <v>0</v>
      </c>
      <c r="AM342" s="132">
        <f>IF($AD342&lt;=$C$25*12,'Mortgage Calculators (By Month)'!$L360,"-")</f>
        <v>10</v>
      </c>
      <c r="AN342" s="132">
        <f t="shared" si="167"/>
        <v>0</v>
      </c>
      <c r="AO342" s="132">
        <f t="shared" si="158"/>
        <v>5199.4219282280437</v>
      </c>
      <c r="AP342" s="132">
        <f t="shared" si="159"/>
        <v>28458.353176875386</v>
      </c>
      <c r="AQ342" s="132">
        <f t="shared" si="160"/>
        <v>0</v>
      </c>
      <c r="AR342" s="132">
        <f t="shared" si="141"/>
        <v>28458.353176875386</v>
      </c>
      <c r="AS342" s="132">
        <f>IF($AD342&lt;=$C$25*12,SUM(AR$5:AR342),"-")</f>
        <v>4910647.4688038314</v>
      </c>
      <c r="AT342" s="132">
        <f>IF($AD342&lt;=$C$25*12,AE342-$C$10-'RE Calculations'!$C529-'Mortgage Calculators (By Month)'!$M360,"-")</f>
        <v>4726981.1367000574</v>
      </c>
      <c r="AU342" s="29">
        <f t="shared" si="161"/>
        <v>2.9524680949790714</v>
      </c>
      <c r="AV342" s="31">
        <f t="shared" si="162"/>
        <v>0.10482135248446407</v>
      </c>
      <c r="AW342" s="132">
        <f t="shared" si="163"/>
        <v>9637628.6055038888</v>
      </c>
      <c r="AX342" s="29">
        <f t="shared" si="164"/>
        <v>6.0196540130203227</v>
      </c>
      <c r="AY342" s="31">
        <f t="shared" si="165"/>
        <v>0.21371552708947891</v>
      </c>
    </row>
    <row r="343" spans="6:51" x14ac:dyDescent="0.35">
      <c r="F343" s="12">
        <f t="shared" si="142"/>
        <v>339</v>
      </c>
      <c r="G343" s="132">
        <f t="shared" si="143"/>
        <v>6488068.9374591187</v>
      </c>
      <c r="H343" s="132">
        <f>IF($F343&lt;=$C$16*12,$G343-$C$7+SUM('Mortgage Calculators (By Month)'!$D$23:$D361),"-")</f>
        <v>6488068.9374591187</v>
      </c>
      <c r="I343" s="132">
        <f t="shared" si="144"/>
        <v>33647.775105103428</v>
      </c>
      <c r="J343" s="132">
        <f>IF($F343&lt;=$C$16*12,SUM(Inputs!$C$61:$C$78)*'Forecast (By Month)'!I343,"-")</f>
        <v>3701.2552615613772</v>
      </c>
      <c r="K343" s="132">
        <f>IF($F343&lt;=$C$16*12,(SUMIF(Inputs!$C$61:$C$78,0,Inputs!$F$61:$F$78)/12)*(1+$C$34)^ROUNDDOWN((F343-1)/12,0),"-")</f>
        <v>1488.1666666666667</v>
      </c>
      <c r="L343" s="132">
        <f t="shared" si="145"/>
        <v>5189.4219282280437</v>
      </c>
      <c r="M343" s="132">
        <f>IF($F343&lt;=$C$16*12,'Mortgage Calculators (By Month)'!$C361,"-")</f>
        <v>0</v>
      </c>
      <c r="N343" s="132">
        <f>IF($F343&lt;=$C$16*12,'Mortgage Calculators (By Month)'!$D361,"-")</f>
        <v>0</v>
      </c>
      <c r="O343" s="132">
        <f>IF($F343&lt;=$C$16*12,'Mortgage Calculators (By Month)'!$E361,"-")</f>
        <v>8.3333333333333339</v>
      </c>
      <c r="P343" s="132">
        <f t="shared" si="166"/>
        <v>0</v>
      </c>
      <c r="Q343" s="132">
        <f t="shared" si="146"/>
        <v>5197.7552615613768</v>
      </c>
      <c r="R343" s="132">
        <f t="shared" si="147"/>
        <v>28458.353176875386</v>
      </c>
      <c r="S343" s="132">
        <f t="shared" si="148"/>
        <v>0</v>
      </c>
      <c r="T343" s="132">
        <f t="shared" si="140"/>
        <v>28458.353176875386</v>
      </c>
      <c r="U343" s="132">
        <f>IF($F343&lt;=$C$16*12,SUM(T$5:T343),"-")</f>
        <v>4939115.8219807064</v>
      </c>
      <c r="V343" s="132">
        <f>IF($F343&lt;=$C$16*12,G343-$C$10-'RE Calculations'!$C530-'Mortgage Calculators (By Month)'!$F361,"-")</f>
        <v>4752780.5587099344</v>
      </c>
      <c r="W343" s="29">
        <f t="shared" si="149"/>
        <v>2.9685823903718891</v>
      </c>
      <c r="X343" s="31">
        <f t="shared" si="150"/>
        <v>0.10508256249104032</v>
      </c>
      <c r="Y343" s="132">
        <f t="shared" si="151"/>
        <v>9691896.3806906417</v>
      </c>
      <c r="Z343" s="29">
        <f t="shared" si="152"/>
        <v>6.0535496157720274</v>
      </c>
      <c r="AA343" s="31">
        <f t="shared" si="153"/>
        <v>0.21428494215122221</v>
      </c>
      <c r="AD343" s="12">
        <f t="shared" si="154"/>
        <v>339</v>
      </c>
      <c r="AE343" s="132">
        <f t="shared" si="155"/>
        <v>6488068.9374591187</v>
      </c>
      <c r="AF343" s="132">
        <f>IF($AD343&lt;=$C$25*12,$AE343-$C$7+SUM('Mortgage Calculators (By Month)'!$K$23:$K361),"-")</f>
        <v>6488068.9374591187</v>
      </c>
      <c r="AG343" s="132">
        <f t="shared" si="156"/>
        <v>33647.775105103428</v>
      </c>
      <c r="AH343" s="132">
        <f>IF($AD343&lt;=$C$25*12,SUM(Inputs!$C$61:$C$78)*'Forecast (By Month)'!AG343,"-")</f>
        <v>3701.2552615613772</v>
      </c>
      <c r="AI343" s="132">
        <f>IF($AD343&lt;=$C$25*12,(SUMIF(Inputs!$C$61:$C$78,0,Inputs!$F$61:$F$78)/12)*(1+$C$34)^ROUNDDOWN((AD343-1)/12,0),"-")</f>
        <v>1488.1666666666667</v>
      </c>
      <c r="AJ343" s="132">
        <f t="shared" si="157"/>
        <v>5189.4219282280437</v>
      </c>
      <c r="AK343" s="132">
        <f>IF($AD343&lt;=$C$25*12,'Mortgage Calculators (By Month)'!$J361,"-")</f>
        <v>0</v>
      </c>
      <c r="AL343" s="132">
        <f>IF($AD343&lt;=$C$25*12,'Mortgage Calculators (By Month)'!$K361,"-")</f>
        <v>0</v>
      </c>
      <c r="AM343" s="132">
        <f>IF($AD343&lt;=$C$25*12,'Mortgage Calculators (By Month)'!$L361,"-")</f>
        <v>10</v>
      </c>
      <c r="AN343" s="132">
        <f t="shared" si="167"/>
        <v>0</v>
      </c>
      <c r="AO343" s="132">
        <f t="shared" si="158"/>
        <v>5199.4219282280437</v>
      </c>
      <c r="AP343" s="132">
        <f t="shared" si="159"/>
        <v>28458.353176875386</v>
      </c>
      <c r="AQ343" s="132">
        <f t="shared" si="160"/>
        <v>0</v>
      </c>
      <c r="AR343" s="132">
        <f t="shared" si="141"/>
        <v>28458.353176875386</v>
      </c>
      <c r="AS343" s="132">
        <f>IF($AD343&lt;=$C$25*12,SUM(AR$5:AR343),"-")</f>
        <v>4939105.8219807064</v>
      </c>
      <c r="AT343" s="132">
        <f>IF($AD343&lt;=$C$25*12,AE343-$C$10-'RE Calculations'!$C530-'Mortgage Calculators (By Month)'!$M361,"-")</f>
        <v>4752780.5587099344</v>
      </c>
      <c r="AU343" s="29">
        <f t="shared" si="161"/>
        <v>2.9685823903718891</v>
      </c>
      <c r="AV343" s="31">
        <f t="shared" si="162"/>
        <v>0.10508256249104032</v>
      </c>
      <c r="AW343" s="132">
        <f t="shared" si="163"/>
        <v>9691886.3806906417</v>
      </c>
      <c r="AX343" s="29">
        <f t="shared" si="164"/>
        <v>6.0535433697811731</v>
      </c>
      <c r="AY343" s="31">
        <f t="shared" si="165"/>
        <v>0.21428472105420082</v>
      </c>
    </row>
    <row r="344" spans="6:51" x14ac:dyDescent="0.35">
      <c r="F344" s="12">
        <f t="shared" si="142"/>
        <v>340</v>
      </c>
      <c r="G344" s="132">
        <f t="shared" si="143"/>
        <v>6514502.133427171</v>
      </c>
      <c r="H344" s="132">
        <f>IF($F344&lt;=$C$16*12,$G344-$C$7+SUM('Mortgage Calculators (By Month)'!$D$23:$D362),"-")</f>
        <v>6514502.133427171</v>
      </c>
      <c r="I344" s="132">
        <f t="shared" si="144"/>
        <v>33647.775105103428</v>
      </c>
      <c r="J344" s="132">
        <f>IF($F344&lt;=$C$16*12,SUM(Inputs!$C$61:$C$78)*'Forecast (By Month)'!I344,"-")</f>
        <v>3701.2552615613772</v>
      </c>
      <c r="K344" s="132">
        <f>IF($F344&lt;=$C$16*12,(SUMIF(Inputs!$C$61:$C$78,0,Inputs!$F$61:$F$78)/12)*(1+$C$34)^ROUNDDOWN((F344-1)/12,0),"-")</f>
        <v>1488.1666666666667</v>
      </c>
      <c r="L344" s="132">
        <f t="shared" si="145"/>
        <v>5189.4219282280437</v>
      </c>
      <c r="M344" s="132">
        <f>IF($F344&lt;=$C$16*12,'Mortgage Calculators (By Month)'!$C362,"-")</f>
        <v>0</v>
      </c>
      <c r="N344" s="132">
        <f>IF($F344&lt;=$C$16*12,'Mortgage Calculators (By Month)'!$D362,"-")</f>
        <v>0</v>
      </c>
      <c r="O344" s="132">
        <f>IF($F344&lt;=$C$16*12,'Mortgage Calculators (By Month)'!$E362,"-")</f>
        <v>8.3333333333333339</v>
      </c>
      <c r="P344" s="132">
        <f t="shared" si="166"/>
        <v>0</v>
      </c>
      <c r="Q344" s="132">
        <f t="shared" si="146"/>
        <v>5197.7552615613768</v>
      </c>
      <c r="R344" s="132">
        <f t="shared" si="147"/>
        <v>28458.353176875386</v>
      </c>
      <c r="S344" s="132">
        <f t="shared" si="148"/>
        <v>0</v>
      </c>
      <c r="T344" s="132">
        <f t="shared" si="140"/>
        <v>28458.353176875386</v>
      </c>
      <c r="U344" s="132">
        <f>IF($F344&lt;=$C$16*12,SUM(T$5:T344),"-")</f>
        <v>4967574.1751575815</v>
      </c>
      <c r="V344" s="132">
        <f>IF($F344&lt;=$C$16*12,G344-$C$10-'RE Calculations'!$C531-'Mortgage Calculators (By Month)'!$F362,"-")</f>
        <v>4778685.0907586254</v>
      </c>
      <c r="W344" s="29">
        <f t="shared" si="149"/>
        <v>2.984762337398823</v>
      </c>
      <c r="X344" s="31">
        <f t="shared" si="150"/>
        <v>0.10534455308466435</v>
      </c>
      <c r="Y344" s="132">
        <f t="shared" si="151"/>
        <v>9746259.2659162059</v>
      </c>
      <c r="Z344" s="29">
        <f t="shared" si="152"/>
        <v>6.0875046241669919</v>
      </c>
      <c r="AA344" s="31">
        <f t="shared" si="153"/>
        <v>0.21485310438236443</v>
      </c>
      <c r="AD344" s="12">
        <f t="shared" si="154"/>
        <v>340</v>
      </c>
      <c r="AE344" s="132">
        <f t="shared" si="155"/>
        <v>6514502.133427171</v>
      </c>
      <c r="AF344" s="132">
        <f>IF($AD344&lt;=$C$25*12,$AE344-$C$7+SUM('Mortgage Calculators (By Month)'!$K$23:$K362),"-")</f>
        <v>6514502.133427171</v>
      </c>
      <c r="AG344" s="132">
        <f t="shared" si="156"/>
        <v>33647.775105103428</v>
      </c>
      <c r="AH344" s="132">
        <f>IF($AD344&lt;=$C$25*12,SUM(Inputs!$C$61:$C$78)*'Forecast (By Month)'!AG344,"-")</f>
        <v>3701.2552615613772</v>
      </c>
      <c r="AI344" s="132">
        <f>IF($AD344&lt;=$C$25*12,(SUMIF(Inputs!$C$61:$C$78,0,Inputs!$F$61:$F$78)/12)*(1+$C$34)^ROUNDDOWN((AD344-1)/12,0),"-")</f>
        <v>1488.1666666666667</v>
      </c>
      <c r="AJ344" s="132">
        <f t="shared" si="157"/>
        <v>5189.4219282280437</v>
      </c>
      <c r="AK344" s="132">
        <f>IF($AD344&lt;=$C$25*12,'Mortgage Calculators (By Month)'!$J362,"-")</f>
        <v>0</v>
      </c>
      <c r="AL344" s="132">
        <f>IF($AD344&lt;=$C$25*12,'Mortgage Calculators (By Month)'!$K362,"-")</f>
        <v>0</v>
      </c>
      <c r="AM344" s="132">
        <f>IF($AD344&lt;=$C$25*12,'Mortgage Calculators (By Month)'!$L362,"-")</f>
        <v>10</v>
      </c>
      <c r="AN344" s="132">
        <f t="shared" si="167"/>
        <v>0</v>
      </c>
      <c r="AO344" s="132">
        <f t="shared" si="158"/>
        <v>5199.4219282280437</v>
      </c>
      <c r="AP344" s="132">
        <f t="shared" si="159"/>
        <v>28458.353176875386</v>
      </c>
      <c r="AQ344" s="132">
        <f t="shared" si="160"/>
        <v>0</v>
      </c>
      <c r="AR344" s="132">
        <f t="shared" si="141"/>
        <v>28458.353176875386</v>
      </c>
      <c r="AS344" s="132">
        <f>IF($AD344&lt;=$C$25*12,SUM(AR$5:AR344),"-")</f>
        <v>4967564.1751575815</v>
      </c>
      <c r="AT344" s="132">
        <f>IF($AD344&lt;=$C$25*12,AE344-$C$10-'RE Calculations'!$C531-'Mortgage Calculators (By Month)'!$M362,"-")</f>
        <v>4778685.0907586254</v>
      </c>
      <c r="AU344" s="29">
        <f t="shared" si="161"/>
        <v>2.984762337398823</v>
      </c>
      <c r="AV344" s="31">
        <f t="shared" si="162"/>
        <v>0.10534455308466435</v>
      </c>
      <c r="AW344" s="132">
        <f t="shared" si="163"/>
        <v>9746249.2659162059</v>
      </c>
      <c r="AX344" s="29">
        <f t="shared" si="164"/>
        <v>6.0874983781761367</v>
      </c>
      <c r="AY344" s="31">
        <f t="shared" si="165"/>
        <v>0.21485288393562837</v>
      </c>
    </row>
    <row r="345" spans="6:51" x14ac:dyDescent="0.35">
      <c r="F345" s="12">
        <f t="shared" si="142"/>
        <v>341</v>
      </c>
      <c r="G345" s="132">
        <f t="shared" si="143"/>
        <v>6541043.0215075947</v>
      </c>
      <c r="H345" s="132">
        <f>IF($F345&lt;=$C$16*12,$G345-$C$7+SUM('Mortgage Calculators (By Month)'!$D$23:$D363),"-")</f>
        <v>6541043.0215075947</v>
      </c>
      <c r="I345" s="132">
        <f t="shared" si="144"/>
        <v>33647.775105103428</v>
      </c>
      <c r="J345" s="132">
        <f>IF($F345&lt;=$C$16*12,SUM(Inputs!$C$61:$C$78)*'Forecast (By Month)'!I345,"-")</f>
        <v>3701.2552615613772</v>
      </c>
      <c r="K345" s="132">
        <f>IF($F345&lt;=$C$16*12,(SUMIF(Inputs!$C$61:$C$78,0,Inputs!$F$61:$F$78)/12)*(1+$C$34)^ROUNDDOWN((F345-1)/12,0),"-")</f>
        <v>1488.1666666666667</v>
      </c>
      <c r="L345" s="132">
        <f t="shared" si="145"/>
        <v>5189.4219282280437</v>
      </c>
      <c r="M345" s="132">
        <f>IF($F345&lt;=$C$16*12,'Mortgage Calculators (By Month)'!$C363,"-")</f>
        <v>0</v>
      </c>
      <c r="N345" s="132">
        <f>IF($F345&lt;=$C$16*12,'Mortgage Calculators (By Month)'!$D363,"-")</f>
        <v>0</v>
      </c>
      <c r="O345" s="132">
        <f>IF($F345&lt;=$C$16*12,'Mortgage Calculators (By Month)'!$E363,"-")</f>
        <v>8.3333333333333339</v>
      </c>
      <c r="P345" s="132">
        <f t="shared" si="166"/>
        <v>0</v>
      </c>
      <c r="Q345" s="132">
        <f t="shared" si="146"/>
        <v>5197.7552615613768</v>
      </c>
      <c r="R345" s="132">
        <f t="shared" si="147"/>
        <v>28458.353176875386</v>
      </c>
      <c r="S345" s="132">
        <f t="shared" si="148"/>
        <v>0</v>
      </c>
      <c r="T345" s="132">
        <f t="shared" si="140"/>
        <v>28458.353176875386</v>
      </c>
      <c r="U345" s="132">
        <f>IF($F345&lt;=$C$16*12,SUM(T$5:T345),"-")</f>
        <v>4996032.5283344565</v>
      </c>
      <c r="V345" s="132">
        <f>IF($F345&lt;=$C$16*12,G345-$C$10-'RE Calculations'!$C532-'Mortgage Calculators (By Month)'!$F363,"-")</f>
        <v>4804695.1610774407</v>
      </c>
      <c r="W345" s="29">
        <f t="shared" si="149"/>
        <v>3.0010082035327579</v>
      </c>
      <c r="X345" s="31">
        <f t="shared" si="150"/>
        <v>0.10560732681053693</v>
      </c>
      <c r="Y345" s="132">
        <f t="shared" si="151"/>
        <v>9800727.6894118972</v>
      </c>
      <c r="Z345" s="29">
        <f t="shared" si="152"/>
        <v>6.1215255516689586</v>
      </c>
      <c r="AA345" s="31">
        <f t="shared" si="153"/>
        <v>0.21542025401767595</v>
      </c>
      <c r="AD345" s="12">
        <f t="shared" si="154"/>
        <v>341</v>
      </c>
      <c r="AE345" s="132">
        <f t="shared" si="155"/>
        <v>6541043.0215075947</v>
      </c>
      <c r="AF345" s="132">
        <f>IF($AD345&lt;=$C$25*12,$AE345-$C$7+SUM('Mortgage Calculators (By Month)'!$K$23:$K363),"-")</f>
        <v>6541043.0215075947</v>
      </c>
      <c r="AG345" s="132">
        <f t="shared" si="156"/>
        <v>33647.775105103428</v>
      </c>
      <c r="AH345" s="132">
        <f>IF($AD345&lt;=$C$25*12,SUM(Inputs!$C$61:$C$78)*'Forecast (By Month)'!AG345,"-")</f>
        <v>3701.2552615613772</v>
      </c>
      <c r="AI345" s="132">
        <f>IF($AD345&lt;=$C$25*12,(SUMIF(Inputs!$C$61:$C$78,0,Inputs!$F$61:$F$78)/12)*(1+$C$34)^ROUNDDOWN((AD345-1)/12,0),"-")</f>
        <v>1488.1666666666667</v>
      </c>
      <c r="AJ345" s="132">
        <f t="shared" si="157"/>
        <v>5189.4219282280437</v>
      </c>
      <c r="AK345" s="132">
        <f>IF($AD345&lt;=$C$25*12,'Mortgage Calculators (By Month)'!$J363,"-")</f>
        <v>0</v>
      </c>
      <c r="AL345" s="132">
        <f>IF($AD345&lt;=$C$25*12,'Mortgage Calculators (By Month)'!$K363,"-")</f>
        <v>0</v>
      </c>
      <c r="AM345" s="132">
        <f>IF($AD345&lt;=$C$25*12,'Mortgage Calculators (By Month)'!$L363,"-")</f>
        <v>10</v>
      </c>
      <c r="AN345" s="132">
        <f t="shared" si="167"/>
        <v>0</v>
      </c>
      <c r="AO345" s="132">
        <f t="shared" si="158"/>
        <v>5199.4219282280437</v>
      </c>
      <c r="AP345" s="132">
        <f t="shared" si="159"/>
        <v>28458.353176875386</v>
      </c>
      <c r="AQ345" s="132">
        <f t="shared" si="160"/>
        <v>0</v>
      </c>
      <c r="AR345" s="132">
        <f t="shared" si="141"/>
        <v>28458.353176875386</v>
      </c>
      <c r="AS345" s="132">
        <f>IF($AD345&lt;=$C$25*12,SUM(AR$5:AR345),"-")</f>
        <v>4996022.5283344565</v>
      </c>
      <c r="AT345" s="132">
        <f>IF($AD345&lt;=$C$25*12,AE345-$C$10-'RE Calculations'!$C532-'Mortgage Calculators (By Month)'!$M363,"-")</f>
        <v>4804695.1610774407</v>
      </c>
      <c r="AU345" s="29">
        <f t="shared" si="161"/>
        <v>3.0010082035327579</v>
      </c>
      <c r="AV345" s="31">
        <f t="shared" si="162"/>
        <v>0.10560732681053693</v>
      </c>
      <c r="AW345" s="132">
        <f t="shared" si="163"/>
        <v>9800717.6894118972</v>
      </c>
      <c r="AX345" s="29">
        <f t="shared" si="164"/>
        <v>6.1215193056781034</v>
      </c>
      <c r="AY345" s="31">
        <f t="shared" si="165"/>
        <v>0.21542003421741127</v>
      </c>
    </row>
    <row r="346" spans="6:51" x14ac:dyDescent="0.35">
      <c r="F346" s="12">
        <f t="shared" si="142"/>
        <v>342</v>
      </c>
      <c r="G346" s="132">
        <f t="shared" si="143"/>
        <v>6567692.040451386</v>
      </c>
      <c r="H346" s="132">
        <f>IF($F346&lt;=$C$16*12,$G346-$C$7+SUM('Mortgage Calculators (By Month)'!$D$23:$D364),"-")</f>
        <v>6567692.040451386</v>
      </c>
      <c r="I346" s="132">
        <f t="shared" si="144"/>
        <v>33647.775105103428</v>
      </c>
      <c r="J346" s="132">
        <f>IF($F346&lt;=$C$16*12,SUM(Inputs!$C$61:$C$78)*'Forecast (By Month)'!I346,"-")</f>
        <v>3701.2552615613772</v>
      </c>
      <c r="K346" s="132">
        <f>IF($F346&lt;=$C$16*12,(SUMIF(Inputs!$C$61:$C$78,0,Inputs!$F$61:$F$78)/12)*(1+$C$34)^ROUNDDOWN((F346-1)/12,0),"-")</f>
        <v>1488.1666666666667</v>
      </c>
      <c r="L346" s="132">
        <f t="shared" si="145"/>
        <v>5189.4219282280437</v>
      </c>
      <c r="M346" s="132">
        <f>IF($F346&lt;=$C$16*12,'Mortgage Calculators (By Month)'!$C364,"-")</f>
        <v>0</v>
      </c>
      <c r="N346" s="132">
        <f>IF($F346&lt;=$C$16*12,'Mortgage Calculators (By Month)'!$D364,"-")</f>
        <v>0</v>
      </c>
      <c r="O346" s="132">
        <f>IF($F346&lt;=$C$16*12,'Mortgage Calculators (By Month)'!$E364,"-")</f>
        <v>8.3333333333333339</v>
      </c>
      <c r="P346" s="132">
        <f t="shared" si="166"/>
        <v>0</v>
      </c>
      <c r="Q346" s="132">
        <f t="shared" si="146"/>
        <v>5197.7552615613768</v>
      </c>
      <c r="R346" s="132">
        <f t="shared" si="147"/>
        <v>28458.353176875386</v>
      </c>
      <c r="S346" s="132">
        <f t="shared" si="148"/>
        <v>0</v>
      </c>
      <c r="T346" s="132">
        <f t="shared" si="140"/>
        <v>28458.353176875386</v>
      </c>
      <c r="U346" s="132">
        <f>IF($F346&lt;=$C$16*12,SUM(T$5:T346),"-")</f>
        <v>5024490.8815113315</v>
      </c>
      <c r="V346" s="132">
        <f>IF($F346&lt;=$C$16*12,G346-$C$10-'RE Calculations'!$C533-'Mortgage Calculators (By Month)'!$F364,"-")</f>
        <v>4830811.1996423565</v>
      </c>
      <c r="W346" s="29">
        <f t="shared" si="149"/>
        <v>3.0173202573362952</v>
      </c>
      <c r="X346" s="31">
        <f t="shared" si="150"/>
        <v>0.10587088622232614</v>
      </c>
      <c r="Y346" s="132">
        <f t="shared" si="151"/>
        <v>9855302.0811536871</v>
      </c>
      <c r="Z346" s="29">
        <f t="shared" si="152"/>
        <v>6.1556126668405264</v>
      </c>
      <c r="AA346" s="31">
        <f t="shared" si="153"/>
        <v>0.21598640936282548</v>
      </c>
      <c r="AD346" s="12">
        <f t="shared" si="154"/>
        <v>342</v>
      </c>
      <c r="AE346" s="132">
        <f t="shared" si="155"/>
        <v>6567692.040451386</v>
      </c>
      <c r="AF346" s="132">
        <f>IF($AD346&lt;=$C$25*12,$AE346-$C$7+SUM('Mortgage Calculators (By Month)'!$K$23:$K364),"-")</f>
        <v>6567692.040451386</v>
      </c>
      <c r="AG346" s="132">
        <f t="shared" si="156"/>
        <v>33647.775105103428</v>
      </c>
      <c r="AH346" s="132">
        <f>IF($AD346&lt;=$C$25*12,SUM(Inputs!$C$61:$C$78)*'Forecast (By Month)'!AG346,"-")</f>
        <v>3701.2552615613772</v>
      </c>
      <c r="AI346" s="132">
        <f>IF($AD346&lt;=$C$25*12,(SUMIF(Inputs!$C$61:$C$78,0,Inputs!$F$61:$F$78)/12)*(1+$C$34)^ROUNDDOWN((AD346-1)/12,0),"-")</f>
        <v>1488.1666666666667</v>
      </c>
      <c r="AJ346" s="132">
        <f t="shared" si="157"/>
        <v>5189.4219282280437</v>
      </c>
      <c r="AK346" s="132">
        <f>IF($AD346&lt;=$C$25*12,'Mortgage Calculators (By Month)'!$J364,"-")</f>
        <v>0</v>
      </c>
      <c r="AL346" s="132">
        <f>IF($AD346&lt;=$C$25*12,'Mortgage Calculators (By Month)'!$K364,"-")</f>
        <v>0</v>
      </c>
      <c r="AM346" s="132">
        <f>IF($AD346&lt;=$C$25*12,'Mortgage Calculators (By Month)'!$L364,"-")</f>
        <v>10</v>
      </c>
      <c r="AN346" s="132">
        <f t="shared" si="167"/>
        <v>0</v>
      </c>
      <c r="AO346" s="132">
        <f t="shared" si="158"/>
        <v>5199.4219282280437</v>
      </c>
      <c r="AP346" s="132">
        <f t="shared" si="159"/>
        <v>28458.353176875386</v>
      </c>
      <c r="AQ346" s="132">
        <f t="shared" si="160"/>
        <v>0</v>
      </c>
      <c r="AR346" s="132">
        <f t="shared" si="141"/>
        <v>28458.353176875386</v>
      </c>
      <c r="AS346" s="132">
        <f>IF($AD346&lt;=$C$25*12,SUM(AR$5:AR346),"-")</f>
        <v>5024480.8815113315</v>
      </c>
      <c r="AT346" s="132">
        <f>IF($AD346&lt;=$C$25*12,AE346-$C$10-'RE Calculations'!$C533-'Mortgage Calculators (By Month)'!$M364,"-")</f>
        <v>4830811.1996423565</v>
      </c>
      <c r="AU346" s="29">
        <f t="shared" si="161"/>
        <v>3.0173202573362952</v>
      </c>
      <c r="AV346" s="31">
        <f t="shared" si="162"/>
        <v>0.10587088622232614</v>
      </c>
      <c r="AW346" s="132">
        <f t="shared" si="163"/>
        <v>9855292.0811536871</v>
      </c>
      <c r="AX346" s="29">
        <f t="shared" si="164"/>
        <v>6.1556064208496712</v>
      </c>
      <c r="AY346" s="31">
        <f t="shared" si="165"/>
        <v>0.21598619020525162</v>
      </c>
    </row>
    <row r="347" spans="6:51" x14ac:dyDescent="0.35">
      <c r="F347" s="12">
        <f t="shared" si="142"/>
        <v>343</v>
      </c>
      <c r="G347" s="132">
        <f t="shared" si="143"/>
        <v>6594449.6307970667</v>
      </c>
      <c r="H347" s="132">
        <f>IF($F347&lt;=$C$16*12,$G347-$C$7+SUM('Mortgage Calculators (By Month)'!$D$23:$D365),"-")</f>
        <v>6594449.6307970667</v>
      </c>
      <c r="I347" s="132">
        <f t="shared" si="144"/>
        <v>33647.775105103428</v>
      </c>
      <c r="J347" s="132">
        <f>IF($F347&lt;=$C$16*12,SUM(Inputs!$C$61:$C$78)*'Forecast (By Month)'!I347,"-")</f>
        <v>3701.2552615613772</v>
      </c>
      <c r="K347" s="132">
        <f>IF($F347&lt;=$C$16*12,(SUMIF(Inputs!$C$61:$C$78,0,Inputs!$F$61:$F$78)/12)*(1+$C$34)^ROUNDDOWN((F347-1)/12,0),"-")</f>
        <v>1488.1666666666667</v>
      </c>
      <c r="L347" s="132">
        <f t="shared" si="145"/>
        <v>5189.4219282280437</v>
      </c>
      <c r="M347" s="132">
        <f>IF($F347&lt;=$C$16*12,'Mortgage Calculators (By Month)'!$C365,"-")</f>
        <v>0</v>
      </c>
      <c r="N347" s="132">
        <f>IF($F347&lt;=$C$16*12,'Mortgage Calculators (By Month)'!$D365,"-")</f>
        <v>0</v>
      </c>
      <c r="O347" s="132">
        <f>IF($F347&lt;=$C$16*12,'Mortgage Calculators (By Month)'!$E365,"-")</f>
        <v>8.3333333333333339</v>
      </c>
      <c r="P347" s="132">
        <f t="shared" si="166"/>
        <v>0</v>
      </c>
      <c r="Q347" s="132">
        <f t="shared" si="146"/>
        <v>5197.7552615613768</v>
      </c>
      <c r="R347" s="132">
        <f t="shared" si="147"/>
        <v>28458.353176875386</v>
      </c>
      <c r="S347" s="132">
        <f t="shared" si="148"/>
        <v>0</v>
      </c>
      <c r="T347" s="132">
        <f t="shared" si="140"/>
        <v>28458.353176875386</v>
      </c>
      <c r="U347" s="132">
        <f>IF($F347&lt;=$C$16*12,SUM(T$5:T347),"-")</f>
        <v>5052949.2346882066</v>
      </c>
      <c r="V347" s="132">
        <f>IF($F347&lt;=$C$16*12,G347-$C$10-'RE Calculations'!$C534-'Mortgage Calculators (By Month)'!$F365,"-")</f>
        <v>4857033.6381811239</v>
      </c>
      <c r="W347" s="29">
        <f t="shared" si="149"/>
        <v>3.0336987684661931</v>
      </c>
      <c r="X347" s="31">
        <f t="shared" si="150"/>
        <v>0.10613523388219918</v>
      </c>
      <c r="Y347" s="132">
        <f t="shared" si="151"/>
        <v>9909982.8728693314</v>
      </c>
      <c r="Z347" s="29">
        <f t="shared" si="152"/>
        <v>6.1897662393384572</v>
      </c>
      <c r="AA347" s="31">
        <f t="shared" si="153"/>
        <v>0.21655158854828421</v>
      </c>
      <c r="AD347" s="12">
        <f t="shared" si="154"/>
        <v>343</v>
      </c>
      <c r="AE347" s="132">
        <f t="shared" si="155"/>
        <v>6594449.6307970667</v>
      </c>
      <c r="AF347" s="132">
        <f>IF($AD347&lt;=$C$25*12,$AE347-$C$7+SUM('Mortgage Calculators (By Month)'!$K$23:$K365),"-")</f>
        <v>6594449.6307970667</v>
      </c>
      <c r="AG347" s="132">
        <f t="shared" si="156"/>
        <v>33647.775105103428</v>
      </c>
      <c r="AH347" s="132">
        <f>IF($AD347&lt;=$C$25*12,SUM(Inputs!$C$61:$C$78)*'Forecast (By Month)'!AG347,"-")</f>
        <v>3701.2552615613772</v>
      </c>
      <c r="AI347" s="132">
        <f>IF($AD347&lt;=$C$25*12,(SUMIF(Inputs!$C$61:$C$78,0,Inputs!$F$61:$F$78)/12)*(1+$C$34)^ROUNDDOWN((AD347-1)/12,0),"-")</f>
        <v>1488.1666666666667</v>
      </c>
      <c r="AJ347" s="132">
        <f t="shared" si="157"/>
        <v>5189.4219282280437</v>
      </c>
      <c r="AK347" s="132">
        <f>IF($AD347&lt;=$C$25*12,'Mortgage Calculators (By Month)'!$J365,"-")</f>
        <v>0</v>
      </c>
      <c r="AL347" s="132">
        <f>IF($AD347&lt;=$C$25*12,'Mortgage Calculators (By Month)'!$K365,"-")</f>
        <v>0</v>
      </c>
      <c r="AM347" s="132">
        <f>IF($AD347&lt;=$C$25*12,'Mortgage Calculators (By Month)'!$L365,"-")</f>
        <v>10</v>
      </c>
      <c r="AN347" s="132">
        <f t="shared" si="167"/>
        <v>0</v>
      </c>
      <c r="AO347" s="132">
        <f t="shared" si="158"/>
        <v>5199.4219282280437</v>
      </c>
      <c r="AP347" s="132">
        <f t="shared" si="159"/>
        <v>28458.353176875386</v>
      </c>
      <c r="AQ347" s="132">
        <f t="shared" si="160"/>
        <v>0</v>
      </c>
      <c r="AR347" s="132">
        <f t="shared" si="141"/>
        <v>28458.353176875386</v>
      </c>
      <c r="AS347" s="132">
        <f>IF($AD347&lt;=$C$25*12,SUM(AR$5:AR347),"-")</f>
        <v>5052939.2346882066</v>
      </c>
      <c r="AT347" s="132">
        <f>IF($AD347&lt;=$C$25*12,AE347-$C$10-'RE Calculations'!$C534-'Mortgage Calculators (By Month)'!$M365,"-")</f>
        <v>4857033.6381811239</v>
      </c>
      <c r="AU347" s="29">
        <f t="shared" si="161"/>
        <v>3.0336987684661931</v>
      </c>
      <c r="AV347" s="31">
        <f t="shared" si="162"/>
        <v>0.10613523388219918</v>
      </c>
      <c r="AW347" s="132">
        <f t="shared" si="163"/>
        <v>9909972.8728693314</v>
      </c>
      <c r="AX347" s="29">
        <f t="shared" si="164"/>
        <v>6.189759993347602</v>
      </c>
      <c r="AY347" s="31">
        <f t="shared" si="165"/>
        <v>0.21655137002965372</v>
      </c>
    </row>
    <row r="348" spans="6:51" x14ac:dyDescent="0.35">
      <c r="F348" s="12">
        <f t="shared" si="142"/>
        <v>344</v>
      </c>
      <c r="G348" s="132">
        <f t="shared" si="143"/>
        <v>6621316.2348779682</v>
      </c>
      <c r="H348" s="132">
        <f>IF($F348&lt;=$C$16*12,$G348-$C$7+SUM('Mortgage Calculators (By Month)'!$D$23:$D366),"-")</f>
        <v>6621316.2348779682</v>
      </c>
      <c r="I348" s="132">
        <f t="shared" si="144"/>
        <v>33647.775105103428</v>
      </c>
      <c r="J348" s="132">
        <f>IF($F348&lt;=$C$16*12,SUM(Inputs!$C$61:$C$78)*'Forecast (By Month)'!I348,"-")</f>
        <v>3701.2552615613772</v>
      </c>
      <c r="K348" s="132">
        <f>IF($F348&lt;=$C$16*12,(SUMIF(Inputs!$C$61:$C$78,0,Inputs!$F$61:$F$78)/12)*(1+$C$34)^ROUNDDOWN((F348-1)/12,0),"-")</f>
        <v>1488.1666666666667</v>
      </c>
      <c r="L348" s="132">
        <f t="shared" si="145"/>
        <v>5189.4219282280437</v>
      </c>
      <c r="M348" s="132">
        <f>IF($F348&lt;=$C$16*12,'Mortgage Calculators (By Month)'!$C366,"-")</f>
        <v>0</v>
      </c>
      <c r="N348" s="132">
        <f>IF($F348&lt;=$C$16*12,'Mortgage Calculators (By Month)'!$D366,"-")</f>
        <v>0</v>
      </c>
      <c r="O348" s="132">
        <f>IF($F348&lt;=$C$16*12,'Mortgage Calculators (By Month)'!$E366,"-")</f>
        <v>8.3333333333333339</v>
      </c>
      <c r="P348" s="132">
        <f t="shared" si="166"/>
        <v>0</v>
      </c>
      <c r="Q348" s="132">
        <f t="shared" si="146"/>
        <v>5197.7552615613768</v>
      </c>
      <c r="R348" s="132">
        <f t="shared" si="147"/>
        <v>28458.353176875386</v>
      </c>
      <c r="S348" s="132">
        <f t="shared" si="148"/>
        <v>0</v>
      </c>
      <c r="T348" s="132">
        <f t="shared" si="140"/>
        <v>28458.353176875386</v>
      </c>
      <c r="U348" s="132">
        <f>IF($F348&lt;=$C$16*12,SUM(T$5:T348),"-")</f>
        <v>5081407.5878650816</v>
      </c>
      <c r="V348" s="132">
        <f>IF($F348&lt;=$C$16*12,G348-$C$10-'RE Calculations'!$C535-'Mortgage Calculators (By Month)'!$F366,"-")</f>
        <v>4883362.9101804066</v>
      </c>
      <c r="W348" s="29">
        <f t="shared" si="149"/>
        <v>3.0501440076778259</v>
      </c>
      <c r="X348" s="31">
        <f t="shared" si="150"/>
        <v>0.10640037236085438</v>
      </c>
      <c r="Y348" s="132">
        <f t="shared" si="151"/>
        <v>9964770.4980454892</v>
      </c>
      <c r="Z348" s="29">
        <f t="shared" si="152"/>
        <v>6.2239865399181209</v>
      </c>
      <c r="AA348" s="31">
        <f t="shared" si="153"/>
        <v>0.21711580953202747</v>
      </c>
      <c r="AD348" s="12">
        <f t="shared" si="154"/>
        <v>344</v>
      </c>
      <c r="AE348" s="132">
        <f t="shared" si="155"/>
        <v>6621316.2348779682</v>
      </c>
      <c r="AF348" s="132">
        <f>IF($AD348&lt;=$C$25*12,$AE348-$C$7+SUM('Mortgage Calculators (By Month)'!$K$23:$K366),"-")</f>
        <v>6621316.2348779682</v>
      </c>
      <c r="AG348" s="132">
        <f t="shared" si="156"/>
        <v>33647.775105103428</v>
      </c>
      <c r="AH348" s="132">
        <f>IF($AD348&lt;=$C$25*12,SUM(Inputs!$C$61:$C$78)*'Forecast (By Month)'!AG348,"-")</f>
        <v>3701.2552615613772</v>
      </c>
      <c r="AI348" s="132">
        <f>IF($AD348&lt;=$C$25*12,(SUMIF(Inputs!$C$61:$C$78,0,Inputs!$F$61:$F$78)/12)*(1+$C$34)^ROUNDDOWN((AD348-1)/12,0),"-")</f>
        <v>1488.1666666666667</v>
      </c>
      <c r="AJ348" s="132">
        <f t="shared" si="157"/>
        <v>5189.4219282280437</v>
      </c>
      <c r="AK348" s="132">
        <f>IF($AD348&lt;=$C$25*12,'Mortgage Calculators (By Month)'!$J366,"-")</f>
        <v>0</v>
      </c>
      <c r="AL348" s="132">
        <f>IF($AD348&lt;=$C$25*12,'Mortgage Calculators (By Month)'!$K366,"-")</f>
        <v>0</v>
      </c>
      <c r="AM348" s="132">
        <f>IF($AD348&lt;=$C$25*12,'Mortgage Calculators (By Month)'!$L366,"-")</f>
        <v>10</v>
      </c>
      <c r="AN348" s="132">
        <f t="shared" si="167"/>
        <v>0</v>
      </c>
      <c r="AO348" s="132">
        <f t="shared" si="158"/>
        <v>5199.4219282280437</v>
      </c>
      <c r="AP348" s="132">
        <f t="shared" si="159"/>
        <v>28458.353176875386</v>
      </c>
      <c r="AQ348" s="132">
        <f t="shared" si="160"/>
        <v>0</v>
      </c>
      <c r="AR348" s="132">
        <f t="shared" si="141"/>
        <v>28458.353176875386</v>
      </c>
      <c r="AS348" s="132">
        <f>IF($AD348&lt;=$C$25*12,SUM(AR$5:AR348),"-")</f>
        <v>5081397.5878650816</v>
      </c>
      <c r="AT348" s="132">
        <f>IF($AD348&lt;=$C$25*12,AE348-$C$10-'RE Calculations'!$C535-'Mortgage Calculators (By Month)'!$M366,"-")</f>
        <v>4883362.9101804066</v>
      </c>
      <c r="AU348" s="29">
        <f t="shared" si="161"/>
        <v>3.0501440076778259</v>
      </c>
      <c r="AV348" s="31">
        <f t="shared" si="162"/>
        <v>0.10640037236085438</v>
      </c>
      <c r="AW348" s="132">
        <f t="shared" si="163"/>
        <v>9964760.4980454892</v>
      </c>
      <c r="AX348" s="29">
        <f t="shared" si="164"/>
        <v>6.2239802939272666</v>
      </c>
      <c r="AY348" s="31">
        <f t="shared" si="165"/>
        <v>0.21711559164862557</v>
      </c>
    </row>
    <row r="349" spans="6:51" x14ac:dyDescent="0.35">
      <c r="F349" s="12">
        <f t="shared" si="142"/>
        <v>345</v>
      </c>
      <c r="G349" s="132">
        <f t="shared" si="143"/>
        <v>6648292.2968295412</v>
      </c>
      <c r="H349" s="132">
        <f>IF($F349&lt;=$C$16*12,$G349-$C$7+SUM('Mortgage Calculators (By Month)'!$D$23:$D367),"-")</f>
        <v>6648292.2968295412</v>
      </c>
      <c r="I349" s="132">
        <f t="shared" si="144"/>
        <v>33647.775105103428</v>
      </c>
      <c r="J349" s="132">
        <f>IF($F349&lt;=$C$16*12,SUM(Inputs!$C$61:$C$78)*'Forecast (By Month)'!I349,"-")</f>
        <v>3701.2552615613772</v>
      </c>
      <c r="K349" s="132">
        <f>IF($F349&lt;=$C$16*12,(SUMIF(Inputs!$C$61:$C$78,0,Inputs!$F$61:$F$78)/12)*(1+$C$34)^ROUNDDOWN((F349-1)/12,0),"-")</f>
        <v>1488.1666666666667</v>
      </c>
      <c r="L349" s="132">
        <f t="shared" si="145"/>
        <v>5189.4219282280437</v>
      </c>
      <c r="M349" s="132">
        <f>IF($F349&lt;=$C$16*12,'Mortgage Calculators (By Month)'!$C367,"-")</f>
        <v>0</v>
      </c>
      <c r="N349" s="132">
        <f>IF($F349&lt;=$C$16*12,'Mortgage Calculators (By Month)'!$D367,"-")</f>
        <v>0</v>
      </c>
      <c r="O349" s="132">
        <f>IF($F349&lt;=$C$16*12,'Mortgage Calculators (By Month)'!$E367,"-")</f>
        <v>8.3333333333333339</v>
      </c>
      <c r="P349" s="132">
        <f t="shared" si="166"/>
        <v>0</v>
      </c>
      <c r="Q349" s="132">
        <f t="shared" si="146"/>
        <v>5197.7552615613768</v>
      </c>
      <c r="R349" s="132">
        <f t="shared" si="147"/>
        <v>28458.353176875386</v>
      </c>
      <c r="S349" s="132">
        <f t="shared" si="148"/>
        <v>0</v>
      </c>
      <c r="T349" s="132">
        <f t="shared" si="140"/>
        <v>28458.353176875386</v>
      </c>
      <c r="U349" s="132">
        <f>IF($F349&lt;=$C$16*12,SUM(T$5:T349),"-")</f>
        <v>5109865.9410419567</v>
      </c>
      <c r="V349" s="132">
        <f>IF($F349&lt;=$C$16*12,G349-$C$10-'RE Calculations'!$C536-'Mortgage Calculators (By Month)'!$F367,"-")</f>
        <v>4909799.4508929485</v>
      </c>
      <c r="W349" s="29">
        <f t="shared" si="149"/>
        <v>3.066656246829659</v>
      </c>
      <c r="X349" s="31">
        <f t="shared" si="150"/>
        <v>0.10666630423755336</v>
      </c>
      <c r="Y349" s="132">
        <f t="shared" si="151"/>
        <v>10019665.391934905</v>
      </c>
      <c r="Z349" s="29">
        <f t="shared" si="152"/>
        <v>6.258273840437985</v>
      </c>
      <c r="AA349" s="31">
        <f t="shared" si="153"/>
        <v>0.21767909010219078</v>
      </c>
      <c r="AD349" s="12">
        <f t="shared" si="154"/>
        <v>345</v>
      </c>
      <c r="AE349" s="132">
        <f t="shared" si="155"/>
        <v>6648292.2968295412</v>
      </c>
      <c r="AF349" s="132">
        <f>IF($AD349&lt;=$C$25*12,$AE349-$C$7+SUM('Mortgage Calculators (By Month)'!$K$23:$K367),"-")</f>
        <v>6648292.2968295412</v>
      </c>
      <c r="AG349" s="132">
        <f t="shared" si="156"/>
        <v>33647.775105103428</v>
      </c>
      <c r="AH349" s="132">
        <f>IF($AD349&lt;=$C$25*12,SUM(Inputs!$C$61:$C$78)*'Forecast (By Month)'!AG349,"-")</f>
        <v>3701.2552615613772</v>
      </c>
      <c r="AI349" s="132">
        <f>IF($AD349&lt;=$C$25*12,(SUMIF(Inputs!$C$61:$C$78,0,Inputs!$F$61:$F$78)/12)*(1+$C$34)^ROUNDDOWN((AD349-1)/12,0),"-")</f>
        <v>1488.1666666666667</v>
      </c>
      <c r="AJ349" s="132">
        <f t="shared" si="157"/>
        <v>5189.4219282280437</v>
      </c>
      <c r="AK349" s="132">
        <f>IF($AD349&lt;=$C$25*12,'Mortgage Calculators (By Month)'!$J367,"-")</f>
        <v>0</v>
      </c>
      <c r="AL349" s="132">
        <f>IF($AD349&lt;=$C$25*12,'Mortgage Calculators (By Month)'!$K367,"-")</f>
        <v>0</v>
      </c>
      <c r="AM349" s="132">
        <f>IF($AD349&lt;=$C$25*12,'Mortgage Calculators (By Month)'!$L367,"-")</f>
        <v>10</v>
      </c>
      <c r="AN349" s="132">
        <f t="shared" si="167"/>
        <v>0</v>
      </c>
      <c r="AO349" s="132">
        <f t="shared" si="158"/>
        <v>5199.4219282280437</v>
      </c>
      <c r="AP349" s="132">
        <f t="shared" si="159"/>
        <v>28458.353176875386</v>
      </c>
      <c r="AQ349" s="132">
        <f t="shared" si="160"/>
        <v>0</v>
      </c>
      <c r="AR349" s="132">
        <f t="shared" si="141"/>
        <v>28458.353176875386</v>
      </c>
      <c r="AS349" s="132">
        <f>IF($AD349&lt;=$C$25*12,SUM(AR$5:AR349),"-")</f>
        <v>5109855.9410419567</v>
      </c>
      <c r="AT349" s="132">
        <f>IF($AD349&lt;=$C$25*12,AE349-$C$10-'RE Calculations'!$C536-'Mortgage Calculators (By Month)'!$M367,"-")</f>
        <v>4909799.4508929485</v>
      </c>
      <c r="AU349" s="29">
        <f t="shared" si="161"/>
        <v>3.066656246829659</v>
      </c>
      <c r="AV349" s="31">
        <f t="shared" si="162"/>
        <v>0.10666630423755336</v>
      </c>
      <c r="AW349" s="132">
        <f t="shared" si="163"/>
        <v>10019655.391934905</v>
      </c>
      <c r="AX349" s="29">
        <f t="shared" si="164"/>
        <v>6.2582675944471298</v>
      </c>
      <c r="AY349" s="31">
        <f t="shared" si="165"/>
        <v>0.21767887285033494</v>
      </c>
    </row>
    <row r="350" spans="6:51" x14ac:dyDescent="0.35">
      <c r="F350" s="12">
        <f t="shared" si="142"/>
        <v>346</v>
      </c>
      <c r="G350" s="132">
        <f t="shared" si="143"/>
        <v>6675378.2625967003</v>
      </c>
      <c r="H350" s="132">
        <f>IF($F350&lt;=$C$16*12,$G350-$C$7+SUM('Mortgage Calculators (By Month)'!$D$23:$D368),"-")</f>
        <v>6675378.2625967003</v>
      </c>
      <c r="I350" s="132">
        <f t="shared" si="144"/>
        <v>33647.775105103428</v>
      </c>
      <c r="J350" s="132">
        <f>IF($F350&lt;=$C$16*12,SUM(Inputs!$C$61:$C$78)*'Forecast (By Month)'!I350,"-")</f>
        <v>3701.2552615613772</v>
      </c>
      <c r="K350" s="132">
        <f>IF($F350&lt;=$C$16*12,(SUMIF(Inputs!$C$61:$C$78,0,Inputs!$F$61:$F$78)/12)*(1+$C$34)^ROUNDDOWN((F350-1)/12,0),"-")</f>
        <v>1488.1666666666667</v>
      </c>
      <c r="L350" s="132">
        <f t="shared" si="145"/>
        <v>5189.4219282280437</v>
      </c>
      <c r="M350" s="132">
        <f>IF($F350&lt;=$C$16*12,'Mortgage Calculators (By Month)'!$C368,"-")</f>
        <v>0</v>
      </c>
      <c r="N350" s="132">
        <f>IF($F350&lt;=$C$16*12,'Mortgage Calculators (By Month)'!$D368,"-")</f>
        <v>0</v>
      </c>
      <c r="O350" s="132">
        <f>IF($F350&lt;=$C$16*12,'Mortgage Calculators (By Month)'!$E368,"-")</f>
        <v>8.3333333333333339</v>
      </c>
      <c r="P350" s="132">
        <f t="shared" si="166"/>
        <v>0</v>
      </c>
      <c r="Q350" s="132">
        <f t="shared" si="146"/>
        <v>5197.7552615613768</v>
      </c>
      <c r="R350" s="132">
        <f t="shared" si="147"/>
        <v>28458.353176875386</v>
      </c>
      <c r="S350" s="132">
        <f t="shared" si="148"/>
        <v>0</v>
      </c>
      <c r="T350" s="132">
        <f t="shared" si="140"/>
        <v>28458.353176875386</v>
      </c>
      <c r="U350" s="132">
        <f>IF($F350&lt;=$C$16*12,SUM(T$5:T350),"-")</f>
        <v>5138324.2942188317</v>
      </c>
      <c r="V350" s="132">
        <f>IF($F350&lt;=$C$16*12,G350-$C$10-'RE Calculations'!$C537-'Mortgage Calculators (By Month)'!$F368,"-")</f>
        <v>4936343.6973447641</v>
      </c>
      <c r="W350" s="29">
        <f t="shared" si="149"/>
        <v>3.0832357588877417</v>
      </c>
      <c r="X350" s="31">
        <f t="shared" si="150"/>
        <v>0.1069330321001529</v>
      </c>
      <c r="Y350" s="132">
        <f t="shared" si="151"/>
        <v>10074667.991563596</v>
      </c>
      <c r="Z350" s="29">
        <f t="shared" si="152"/>
        <v>6.2926284138640982</v>
      </c>
      <c r="AA350" s="31">
        <f t="shared" si="153"/>
        <v>0.21824144787967972</v>
      </c>
      <c r="AD350" s="12">
        <f t="shared" si="154"/>
        <v>346</v>
      </c>
      <c r="AE350" s="132">
        <f t="shared" si="155"/>
        <v>6675378.2625967003</v>
      </c>
      <c r="AF350" s="132">
        <f>IF($AD350&lt;=$C$25*12,$AE350-$C$7+SUM('Mortgage Calculators (By Month)'!$K$23:$K368),"-")</f>
        <v>6675378.2625967003</v>
      </c>
      <c r="AG350" s="132">
        <f t="shared" si="156"/>
        <v>33647.775105103428</v>
      </c>
      <c r="AH350" s="132">
        <f>IF($AD350&lt;=$C$25*12,SUM(Inputs!$C$61:$C$78)*'Forecast (By Month)'!AG350,"-")</f>
        <v>3701.2552615613772</v>
      </c>
      <c r="AI350" s="132">
        <f>IF($AD350&lt;=$C$25*12,(SUMIF(Inputs!$C$61:$C$78,0,Inputs!$F$61:$F$78)/12)*(1+$C$34)^ROUNDDOWN((AD350-1)/12,0),"-")</f>
        <v>1488.1666666666667</v>
      </c>
      <c r="AJ350" s="132">
        <f t="shared" si="157"/>
        <v>5189.4219282280437</v>
      </c>
      <c r="AK350" s="132">
        <f>IF($AD350&lt;=$C$25*12,'Mortgage Calculators (By Month)'!$J368,"-")</f>
        <v>0</v>
      </c>
      <c r="AL350" s="132">
        <f>IF($AD350&lt;=$C$25*12,'Mortgage Calculators (By Month)'!$K368,"-")</f>
        <v>0</v>
      </c>
      <c r="AM350" s="132">
        <f>IF($AD350&lt;=$C$25*12,'Mortgage Calculators (By Month)'!$L368,"-")</f>
        <v>10</v>
      </c>
      <c r="AN350" s="132">
        <f t="shared" si="167"/>
        <v>0</v>
      </c>
      <c r="AO350" s="132">
        <f t="shared" si="158"/>
        <v>5199.4219282280437</v>
      </c>
      <c r="AP350" s="132">
        <f t="shared" si="159"/>
        <v>28458.353176875386</v>
      </c>
      <c r="AQ350" s="132">
        <f t="shared" si="160"/>
        <v>0</v>
      </c>
      <c r="AR350" s="132">
        <f t="shared" si="141"/>
        <v>28458.353176875386</v>
      </c>
      <c r="AS350" s="132">
        <f>IF($AD350&lt;=$C$25*12,SUM(AR$5:AR350),"-")</f>
        <v>5138314.2942188317</v>
      </c>
      <c r="AT350" s="132">
        <f>IF($AD350&lt;=$C$25*12,AE350-$C$10-'RE Calculations'!$C537-'Mortgage Calculators (By Month)'!$M368,"-")</f>
        <v>4936343.6973447641</v>
      </c>
      <c r="AU350" s="29">
        <f t="shared" si="161"/>
        <v>3.0832357588877417</v>
      </c>
      <c r="AV350" s="31">
        <f t="shared" si="162"/>
        <v>0.1069330321001529</v>
      </c>
      <c r="AW350" s="132">
        <f t="shared" si="163"/>
        <v>10074657.991563596</v>
      </c>
      <c r="AX350" s="29">
        <f t="shared" si="164"/>
        <v>6.2926221678732439</v>
      </c>
      <c r="AY350" s="31">
        <f t="shared" si="165"/>
        <v>0.21824123125571945</v>
      </c>
    </row>
    <row r="351" spans="6:51" x14ac:dyDescent="0.35">
      <c r="F351" s="12">
        <f t="shared" si="142"/>
        <v>347</v>
      </c>
      <c r="G351" s="132">
        <f t="shared" si="143"/>
        <v>6702574.5799411945</v>
      </c>
      <c r="H351" s="132">
        <f>IF($F351&lt;=$C$16*12,$G351-$C$7+SUM('Mortgage Calculators (By Month)'!$D$23:$D369),"-")</f>
        <v>6702574.5799411945</v>
      </c>
      <c r="I351" s="132">
        <f t="shared" si="144"/>
        <v>33647.775105103428</v>
      </c>
      <c r="J351" s="132">
        <f>IF($F351&lt;=$C$16*12,SUM(Inputs!$C$61:$C$78)*'Forecast (By Month)'!I351,"-")</f>
        <v>3701.2552615613772</v>
      </c>
      <c r="K351" s="132">
        <f>IF($F351&lt;=$C$16*12,(SUMIF(Inputs!$C$61:$C$78,0,Inputs!$F$61:$F$78)/12)*(1+$C$34)^ROUNDDOWN((F351-1)/12,0),"-")</f>
        <v>1488.1666666666667</v>
      </c>
      <c r="L351" s="132">
        <f t="shared" si="145"/>
        <v>5189.4219282280437</v>
      </c>
      <c r="M351" s="132">
        <f>IF($F351&lt;=$C$16*12,'Mortgage Calculators (By Month)'!$C369,"-")</f>
        <v>0</v>
      </c>
      <c r="N351" s="132">
        <f>IF($F351&lt;=$C$16*12,'Mortgage Calculators (By Month)'!$D369,"-")</f>
        <v>0</v>
      </c>
      <c r="O351" s="132">
        <f>IF($F351&lt;=$C$16*12,'Mortgage Calculators (By Month)'!$E369,"-")</f>
        <v>8.3333333333333339</v>
      </c>
      <c r="P351" s="132">
        <f t="shared" si="166"/>
        <v>0</v>
      </c>
      <c r="Q351" s="132">
        <f t="shared" si="146"/>
        <v>5197.7552615613768</v>
      </c>
      <c r="R351" s="132">
        <f t="shared" si="147"/>
        <v>28458.353176875386</v>
      </c>
      <c r="S351" s="132">
        <f t="shared" si="148"/>
        <v>0</v>
      </c>
      <c r="T351" s="132">
        <f t="shared" si="140"/>
        <v>28458.353176875386</v>
      </c>
      <c r="U351" s="132">
        <f>IF($F351&lt;=$C$16*12,SUM(T$5:T351),"-")</f>
        <v>5166782.6473957067</v>
      </c>
      <c r="V351" s="132">
        <f>IF($F351&lt;=$C$16*12,G351-$C$10-'RE Calculations'!$C538-'Mortgage Calculators (By Month)'!$F369,"-")</f>
        <v>4962996.0883423686</v>
      </c>
      <c r="W351" s="29">
        <f t="shared" si="149"/>
        <v>3.0998828179302214</v>
      </c>
      <c r="X351" s="31">
        <f t="shared" si="150"/>
        <v>0.10720055854513734</v>
      </c>
      <c r="Y351" s="132">
        <f t="shared" si="151"/>
        <v>10129778.735738076</v>
      </c>
      <c r="Z351" s="29">
        <f t="shared" si="152"/>
        <v>6.3270505342746102</v>
      </c>
      <c r="AA351" s="31">
        <f t="shared" si="153"/>
        <v>0.21880290032073579</v>
      </c>
      <c r="AD351" s="12">
        <f t="shared" si="154"/>
        <v>347</v>
      </c>
      <c r="AE351" s="132">
        <f t="shared" si="155"/>
        <v>6702574.5799411945</v>
      </c>
      <c r="AF351" s="132">
        <f>IF($AD351&lt;=$C$25*12,$AE351-$C$7+SUM('Mortgage Calculators (By Month)'!$K$23:$K369),"-")</f>
        <v>6702574.5799411945</v>
      </c>
      <c r="AG351" s="132">
        <f t="shared" si="156"/>
        <v>33647.775105103428</v>
      </c>
      <c r="AH351" s="132">
        <f>IF($AD351&lt;=$C$25*12,SUM(Inputs!$C$61:$C$78)*'Forecast (By Month)'!AG351,"-")</f>
        <v>3701.2552615613772</v>
      </c>
      <c r="AI351" s="132">
        <f>IF($AD351&lt;=$C$25*12,(SUMIF(Inputs!$C$61:$C$78,0,Inputs!$F$61:$F$78)/12)*(1+$C$34)^ROUNDDOWN((AD351-1)/12,0),"-")</f>
        <v>1488.1666666666667</v>
      </c>
      <c r="AJ351" s="132">
        <f t="shared" si="157"/>
        <v>5189.4219282280437</v>
      </c>
      <c r="AK351" s="132">
        <f>IF($AD351&lt;=$C$25*12,'Mortgage Calculators (By Month)'!$J369,"-")</f>
        <v>0</v>
      </c>
      <c r="AL351" s="132">
        <f>IF($AD351&lt;=$C$25*12,'Mortgage Calculators (By Month)'!$K369,"-")</f>
        <v>0</v>
      </c>
      <c r="AM351" s="132">
        <f>IF($AD351&lt;=$C$25*12,'Mortgage Calculators (By Month)'!$L369,"-")</f>
        <v>10</v>
      </c>
      <c r="AN351" s="132">
        <f t="shared" si="167"/>
        <v>0</v>
      </c>
      <c r="AO351" s="132">
        <f t="shared" si="158"/>
        <v>5199.4219282280437</v>
      </c>
      <c r="AP351" s="132">
        <f t="shared" si="159"/>
        <v>28458.353176875386</v>
      </c>
      <c r="AQ351" s="132">
        <f t="shared" si="160"/>
        <v>0</v>
      </c>
      <c r="AR351" s="132">
        <f t="shared" si="141"/>
        <v>28458.353176875386</v>
      </c>
      <c r="AS351" s="132">
        <f>IF($AD351&lt;=$C$25*12,SUM(AR$5:AR351),"-")</f>
        <v>5166772.6473957067</v>
      </c>
      <c r="AT351" s="132">
        <f>IF($AD351&lt;=$C$25*12,AE351-$C$10-'RE Calculations'!$C538-'Mortgage Calculators (By Month)'!$M369,"-")</f>
        <v>4962996.0883423686</v>
      </c>
      <c r="AU351" s="29">
        <f t="shared" si="161"/>
        <v>3.0998828179302214</v>
      </c>
      <c r="AV351" s="31">
        <f t="shared" si="162"/>
        <v>0.10720055854513734</v>
      </c>
      <c r="AW351" s="132">
        <f t="shared" si="163"/>
        <v>10129768.735738076</v>
      </c>
      <c r="AX351" s="29">
        <f t="shared" si="164"/>
        <v>6.3270442882837559</v>
      </c>
      <c r="AY351" s="31">
        <f t="shared" si="165"/>
        <v>0.21880268432105207</v>
      </c>
    </row>
    <row r="352" spans="6:51" x14ac:dyDescent="0.35">
      <c r="F352" s="12">
        <f t="shared" si="142"/>
        <v>348</v>
      </c>
      <c r="G352" s="132">
        <f t="shared" si="143"/>
        <v>6729881.69844901</v>
      </c>
      <c r="H352" s="132">
        <f>IF($F352&lt;=$C$16*12,$G352-$C$7+SUM('Mortgage Calculators (By Month)'!$D$23:$D370),"-")</f>
        <v>6729881.69844901</v>
      </c>
      <c r="I352" s="132">
        <f t="shared" si="144"/>
        <v>33647.775105103428</v>
      </c>
      <c r="J352" s="132">
        <f>IF($F352&lt;=$C$16*12,SUM(Inputs!$C$61:$C$78)*'Forecast (By Month)'!I352,"-")</f>
        <v>3701.2552615613772</v>
      </c>
      <c r="K352" s="132">
        <f>IF($F352&lt;=$C$16*12,(SUMIF(Inputs!$C$61:$C$78,0,Inputs!$F$61:$F$78)/12)*(1+$C$34)^ROUNDDOWN((F352-1)/12,0),"-")</f>
        <v>1488.1666666666667</v>
      </c>
      <c r="L352" s="132">
        <f t="shared" si="145"/>
        <v>5189.4219282280437</v>
      </c>
      <c r="M352" s="132">
        <f>IF($F352&lt;=$C$16*12,'Mortgage Calculators (By Month)'!$C370,"-")</f>
        <v>0</v>
      </c>
      <c r="N352" s="132">
        <f>IF($F352&lt;=$C$16*12,'Mortgage Calculators (By Month)'!$D370,"-")</f>
        <v>0</v>
      </c>
      <c r="O352" s="132">
        <f>IF($F352&lt;=$C$16*12,'Mortgage Calculators (By Month)'!$E370,"-")</f>
        <v>8.3333333333333339</v>
      </c>
      <c r="P352" s="132">
        <f t="shared" si="166"/>
        <v>0</v>
      </c>
      <c r="Q352" s="132">
        <f t="shared" si="146"/>
        <v>5197.7552615613768</v>
      </c>
      <c r="R352" s="132">
        <f t="shared" si="147"/>
        <v>28458.353176875386</v>
      </c>
      <c r="S352" s="132">
        <f t="shared" si="148"/>
        <v>0</v>
      </c>
      <c r="T352" s="132">
        <f t="shared" si="140"/>
        <v>28458.353176875386</v>
      </c>
      <c r="U352" s="132">
        <f>IF($F352&lt;=$C$16*12,SUM(T$5:T352),"-")</f>
        <v>5195241.0005725818</v>
      </c>
      <c r="V352" s="132">
        <f>IF($F352&lt;=$C$16*12,G352-$C$10-'RE Calculations'!$C539-'Mortgage Calculators (By Month)'!$F370,"-")</f>
        <v>4989757.0644800281</v>
      </c>
      <c r="W352" s="29">
        <f t="shared" si="149"/>
        <v>3.1165976991518747</v>
      </c>
      <c r="X352" s="31">
        <f t="shared" si="150"/>
        <v>0.10746888617765085</v>
      </c>
      <c r="Y352" s="132">
        <f t="shared" si="151"/>
        <v>10184998.06505261</v>
      </c>
      <c r="Z352" s="29">
        <f t="shared" si="152"/>
        <v>6.3615404768642936</v>
      </c>
      <c r="AA352" s="31">
        <f t="shared" si="153"/>
        <v>0.21936346471945839</v>
      </c>
      <c r="AD352" s="12">
        <f t="shared" si="154"/>
        <v>348</v>
      </c>
      <c r="AE352" s="132">
        <f t="shared" si="155"/>
        <v>6729881.69844901</v>
      </c>
      <c r="AF352" s="132">
        <f>IF($AD352&lt;=$C$25*12,$AE352-$C$7+SUM('Mortgage Calculators (By Month)'!$K$23:$K370),"-")</f>
        <v>6729881.69844901</v>
      </c>
      <c r="AG352" s="132">
        <f t="shared" si="156"/>
        <v>33647.775105103428</v>
      </c>
      <c r="AH352" s="132">
        <f>IF($AD352&lt;=$C$25*12,SUM(Inputs!$C$61:$C$78)*'Forecast (By Month)'!AG352,"-")</f>
        <v>3701.2552615613772</v>
      </c>
      <c r="AI352" s="132">
        <f>IF($AD352&lt;=$C$25*12,(SUMIF(Inputs!$C$61:$C$78,0,Inputs!$F$61:$F$78)/12)*(1+$C$34)^ROUNDDOWN((AD352-1)/12,0),"-")</f>
        <v>1488.1666666666667</v>
      </c>
      <c r="AJ352" s="132">
        <f t="shared" si="157"/>
        <v>5189.4219282280437</v>
      </c>
      <c r="AK352" s="132">
        <f>IF($AD352&lt;=$C$25*12,'Mortgage Calculators (By Month)'!$J370,"-")</f>
        <v>0</v>
      </c>
      <c r="AL352" s="132">
        <f>IF($AD352&lt;=$C$25*12,'Mortgage Calculators (By Month)'!$K370,"-")</f>
        <v>0</v>
      </c>
      <c r="AM352" s="132">
        <f>IF($AD352&lt;=$C$25*12,'Mortgage Calculators (By Month)'!$L370,"-")</f>
        <v>10</v>
      </c>
      <c r="AN352" s="132">
        <f t="shared" si="167"/>
        <v>0</v>
      </c>
      <c r="AO352" s="132">
        <f t="shared" si="158"/>
        <v>5199.4219282280437</v>
      </c>
      <c r="AP352" s="132">
        <f t="shared" si="159"/>
        <v>28458.353176875386</v>
      </c>
      <c r="AQ352" s="132">
        <f t="shared" si="160"/>
        <v>0</v>
      </c>
      <c r="AR352" s="132">
        <f t="shared" si="141"/>
        <v>28458.353176875386</v>
      </c>
      <c r="AS352" s="132">
        <f>IF($AD352&lt;=$C$25*12,SUM(AR$5:AR352),"-")</f>
        <v>5195231.0005725818</v>
      </c>
      <c r="AT352" s="132">
        <f>IF($AD352&lt;=$C$25*12,AE352-$C$10-'RE Calculations'!$C539-'Mortgage Calculators (By Month)'!$M370,"-")</f>
        <v>4989757.0644800281</v>
      </c>
      <c r="AU352" s="29">
        <f t="shared" si="161"/>
        <v>3.1165976991518747</v>
      </c>
      <c r="AV352" s="31">
        <f t="shared" si="162"/>
        <v>0.10746888617765085</v>
      </c>
      <c r="AW352" s="132">
        <f t="shared" si="163"/>
        <v>10184988.06505261</v>
      </c>
      <c r="AX352" s="29">
        <f t="shared" si="164"/>
        <v>6.3615342308734393</v>
      </c>
      <c r="AY352" s="31">
        <f t="shared" si="165"/>
        <v>0.21936324934046342</v>
      </c>
    </row>
    <row r="353" spans="6:51" x14ac:dyDescent="0.35">
      <c r="F353" s="12">
        <f t="shared" si="142"/>
        <v>349</v>
      </c>
      <c r="G353" s="132">
        <f t="shared" si="143"/>
        <v>6757300.0695378007</v>
      </c>
      <c r="H353" s="132">
        <f>IF($F353&lt;=$C$16*12,$G353-$C$7+SUM('Mortgage Calculators (By Month)'!$D$23:$D371),"-")</f>
        <v>6757300.0695378007</v>
      </c>
      <c r="I353" s="132">
        <f t="shared" si="144"/>
        <v>35330.163860358603</v>
      </c>
      <c r="J353" s="132">
        <f>IF($F353&lt;=$C$16*12,SUM(Inputs!$C$61:$C$78)*'Forecast (By Month)'!I353,"-")</f>
        <v>3886.3180246394463</v>
      </c>
      <c r="K353" s="132">
        <f>IF($F353&lt;=$C$16*12,(SUMIF(Inputs!$C$61:$C$78,0,Inputs!$F$61:$F$78)/12)*(1+$C$34)^ROUNDDOWN((F353-1)/12,0),"-")</f>
        <v>1488.1666666666667</v>
      </c>
      <c r="L353" s="132">
        <f t="shared" si="145"/>
        <v>5374.4846913061128</v>
      </c>
      <c r="M353" s="132">
        <f>IF($F353&lt;=$C$16*12,'Mortgage Calculators (By Month)'!$C371,"-")</f>
        <v>0</v>
      </c>
      <c r="N353" s="132">
        <f>IF($F353&lt;=$C$16*12,'Mortgage Calculators (By Month)'!$D371,"-")</f>
        <v>0</v>
      </c>
      <c r="O353" s="132">
        <f>IF($F353&lt;=$C$16*12,'Mortgage Calculators (By Month)'!$E371,"-")</f>
        <v>8.3333333333333339</v>
      </c>
      <c r="P353" s="132">
        <f t="shared" si="166"/>
        <v>0</v>
      </c>
      <c r="Q353" s="132">
        <f t="shared" si="146"/>
        <v>5382.8180246394459</v>
      </c>
      <c r="R353" s="132">
        <f t="shared" si="147"/>
        <v>29955.679169052491</v>
      </c>
      <c r="S353" s="132">
        <f t="shared" si="148"/>
        <v>0</v>
      </c>
      <c r="T353" s="132">
        <f t="shared" si="140"/>
        <v>29955.679169052491</v>
      </c>
      <c r="U353" s="132">
        <f>IF($F353&lt;=$C$16*12,SUM(T$5:T353),"-")</f>
        <v>5225196.6797416341</v>
      </c>
      <c r="V353" s="132">
        <f>IF($F353&lt;=$C$16*12,G353-$C$10-'RE Calculations'!$C540-'Mortgage Calculators (By Month)'!$F371,"-")</f>
        <v>5016627.0681470428</v>
      </c>
      <c r="W353" s="29">
        <f t="shared" si="149"/>
        <v>3.1333806788686531</v>
      </c>
      <c r="X353" s="31">
        <f t="shared" si="150"/>
        <v>0.10773801761152962</v>
      </c>
      <c r="Y353" s="132">
        <f t="shared" si="151"/>
        <v>10241823.747888677</v>
      </c>
      <c r="Z353" s="29">
        <f t="shared" si="152"/>
        <v>6.397033746394456</v>
      </c>
      <c r="AA353" s="31">
        <f t="shared" si="153"/>
        <v>0.21995531506227356</v>
      </c>
      <c r="AD353" s="12">
        <f t="shared" si="154"/>
        <v>349</v>
      </c>
      <c r="AE353" s="132">
        <f t="shared" si="155"/>
        <v>6757300.0695378007</v>
      </c>
      <c r="AF353" s="132">
        <f>IF($AD353&lt;=$C$25*12,$AE353-$C$7+SUM('Mortgage Calculators (By Month)'!$K$23:$K371),"-")</f>
        <v>6757300.0695378007</v>
      </c>
      <c r="AG353" s="132">
        <f t="shared" si="156"/>
        <v>35330.163860358603</v>
      </c>
      <c r="AH353" s="132">
        <f>IF($AD353&lt;=$C$25*12,SUM(Inputs!$C$61:$C$78)*'Forecast (By Month)'!AG353,"-")</f>
        <v>3886.3180246394463</v>
      </c>
      <c r="AI353" s="132">
        <f>IF($AD353&lt;=$C$25*12,(SUMIF(Inputs!$C$61:$C$78,0,Inputs!$F$61:$F$78)/12)*(1+$C$34)^ROUNDDOWN((AD353-1)/12,0),"-")</f>
        <v>1488.1666666666667</v>
      </c>
      <c r="AJ353" s="132">
        <f t="shared" si="157"/>
        <v>5374.4846913061128</v>
      </c>
      <c r="AK353" s="132">
        <f>IF($AD353&lt;=$C$25*12,'Mortgage Calculators (By Month)'!$J371,"-")</f>
        <v>0</v>
      </c>
      <c r="AL353" s="132">
        <f>IF($AD353&lt;=$C$25*12,'Mortgage Calculators (By Month)'!$K371,"-")</f>
        <v>0</v>
      </c>
      <c r="AM353" s="132">
        <f>IF($AD353&lt;=$C$25*12,'Mortgage Calculators (By Month)'!$L371,"-")</f>
        <v>10</v>
      </c>
      <c r="AN353" s="132">
        <f t="shared" si="167"/>
        <v>0</v>
      </c>
      <c r="AO353" s="132">
        <f t="shared" si="158"/>
        <v>5384.4846913061128</v>
      </c>
      <c r="AP353" s="132">
        <f t="shared" si="159"/>
        <v>29955.679169052491</v>
      </c>
      <c r="AQ353" s="132">
        <f t="shared" si="160"/>
        <v>0</v>
      </c>
      <c r="AR353" s="132">
        <f t="shared" si="141"/>
        <v>29955.679169052491</v>
      </c>
      <c r="AS353" s="132">
        <f>IF($AD353&lt;=$C$25*12,SUM(AR$5:AR353),"-")</f>
        <v>5225186.6797416341</v>
      </c>
      <c r="AT353" s="132">
        <f>IF($AD353&lt;=$C$25*12,AE353-$C$10-'RE Calculations'!$C540-'Mortgage Calculators (By Month)'!$M371,"-")</f>
        <v>5016627.0681470428</v>
      </c>
      <c r="AU353" s="29">
        <f t="shared" si="161"/>
        <v>3.1333806788686531</v>
      </c>
      <c r="AV353" s="31">
        <f t="shared" si="162"/>
        <v>0.10773801761152962</v>
      </c>
      <c r="AW353" s="132">
        <f t="shared" si="163"/>
        <v>10241813.747888677</v>
      </c>
      <c r="AX353" s="29">
        <f t="shared" si="164"/>
        <v>6.3970275004036017</v>
      </c>
      <c r="AY353" s="31">
        <f t="shared" si="165"/>
        <v>0.21995510030041038</v>
      </c>
    </row>
    <row r="354" spans="6:51" x14ac:dyDescent="0.35">
      <c r="F354" s="12">
        <f t="shared" si="142"/>
        <v>350</v>
      </c>
      <c r="G354" s="132">
        <f t="shared" si="143"/>
        <v>6784830.1464643534</v>
      </c>
      <c r="H354" s="132">
        <f>IF($F354&lt;=$C$16*12,$G354-$C$7+SUM('Mortgage Calculators (By Month)'!$D$23:$D372),"-")</f>
        <v>6784830.1464643534</v>
      </c>
      <c r="I354" s="132">
        <f t="shared" si="144"/>
        <v>35330.163860358603</v>
      </c>
      <c r="J354" s="132">
        <f>IF($F354&lt;=$C$16*12,SUM(Inputs!$C$61:$C$78)*'Forecast (By Month)'!I354,"-")</f>
        <v>3886.3180246394463</v>
      </c>
      <c r="K354" s="132">
        <f>IF($F354&lt;=$C$16*12,(SUMIF(Inputs!$C$61:$C$78,0,Inputs!$F$61:$F$78)/12)*(1+$C$34)^ROUNDDOWN((F354-1)/12,0),"-")</f>
        <v>1488.1666666666667</v>
      </c>
      <c r="L354" s="132">
        <f t="shared" si="145"/>
        <v>5374.4846913061128</v>
      </c>
      <c r="M354" s="132">
        <f>IF($F354&lt;=$C$16*12,'Mortgage Calculators (By Month)'!$C372,"-")</f>
        <v>0</v>
      </c>
      <c r="N354" s="132">
        <f>IF($F354&lt;=$C$16*12,'Mortgage Calculators (By Month)'!$D372,"-")</f>
        <v>0</v>
      </c>
      <c r="O354" s="132">
        <f>IF($F354&lt;=$C$16*12,'Mortgage Calculators (By Month)'!$E372,"-")</f>
        <v>8.3333333333333339</v>
      </c>
      <c r="P354" s="132">
        <f t="shared" si="166"/>
        <v>0</v>
      </c>
      <c r="Q354" s="132">
        <f t="shared" si="146"/>
        <v>5382.8180246394459</v>
      </c>
      <c r="R354" s="132">
        <f t="shared" si="147"/>
        <v>29955.679169052491</v>
      </c>
      <c r="S354" s="132">
        <f t="shared" si="148"/>
        <v>0</v>
      </c>
      <c r="T354" s="132">
        <f t="shared" si="140"/>
        <v>29955.679169052491</v>
      </c>
      <c r="U354" s="132">
        <f>IF($F354&lt;=$C$16*12,SUM(T$5:T354),"-")</f>
        <v>5255152.3589106863</v>
      </c>
      <c r="V354" s="132">
        <f>IF($F354&lt;=$C$16*12,G354-$C$10-'RE Calculations'!$C541-'Mortgage Calculators (By Month)'!$F372,"-")</f>
        <v>5043606.543535064</v>
      </c>
      <c r="W354" s="29">
        <f t="shared" si="149"/>
        <v>3.1502320345222561</v>
      </c>
      <c r="X354" s="31">
        <f t="shared" si="150"/>
        <v>0.10800795546933449</v>
      </c>
      <c r="Y354" s="132">
        <f t="shared" si="151"/>
        <v>10298758.90244575</v>
      </c>
      <c r="Z354" s="29">
        <f t="shared" si="152"/>
        <v>6.4325953918614429</v>
      </c>
      <c r="AA354" s="31">
        <f t="shared" si="153"/>
        <v>0.22054612772096374</v>
      </c>
      <c r="AD354" s="12">
        <f t="shared" si="154"/>
        <v>350</v>
      </c>
      <c r="AE354" s="132">
        <f t="shared" si="155"/>
        <v>6784830.1464643534</v>
      </c>
      <c r="AF354" s="132">
        <f>IF($AD354&lt;=$C$25*12,$AE354-$C$7+SUM('Mortgage Calculators (By Month)'!$K$23:$K372),"-")</f>
        <v>6784830.1464643534</v>
      </c>
      <c r="AG354" s="132">
        <f t="shared" si="156"/>
        <v>35330.163860358603</v>
      </c>
      <c r="AH354" s="132">
        <f>IF($AD354&lt;=$C$25*12,SUM(Inputs!$C$61:$C$78)*'Forecast (By Month)'!AG354,"-")</f>
        <v>3886.3180246394463</v>
      </c>
      <c r="AI354" s="132">
        <f>IF($AD354&lt;=$C$25*12,(SUMIF(Inputs!$C$61:$C$78,0,Inputs!$F$61:$F$78)/12)*(1+$C$34)^ROUNDDOWN((AD354-1)/12,0),"-")</f>
        <v>1488.1666666666667</v>
      </c>
      <c r="AJ354" s="132">
        <f t="shared" si="157"/>
        <v>5374.4846913061128</v>
      </c>
      <c r="AK354" s="132">
        <f>IF($AD354&lt;=$C$25*12,'Mortgage Calculators (By Month)'!$J372,"-")</f>
        <v>0</v>
      </c>
      <c r="AL354" s="132">
        <f>IF($AD354&lt;=$C$25*12,'Mortgage Calculators (By Month)'!$K372,"-")</f>
        <v>0</v>
      </c>
      <c r="AM354" s="132">
        <f>IF($AD354&lt;=$C$25*12,'Mortgage Calculators (By Month)'!$L372,"-")</f>
        <v>10</v>
      </c>
      <c r="AN354" s="132">
        <f t="shared" si="167"/>
        <v>0</v>
      </c>
      <c r="AO354" s="132">
        <f t="shared" si="158"/>
        <v>5384.4846913061128</v>
      </c>
      <c r="AP354" s="132">
        <f t="shared" si="159"/>
        <v>29955.679169052491</v>
      </c>
      <c r="AQ354" s="132">
        <f t="shared" si="160"/>
        <v>0</v>
      </c>
      <c r="AR354" s="132">
        <f t="shared" si="141"/>
        <v>29955.679169052491</v>
      </c>
      <c r="AS354" s="132">
        <f>IF($AD354&lt;=$C$25*12,SUM(AR$5:AR354),"-")</f>
        <v>5255142.3589106863</v>
      </c>
      <c r="AT354" s="132">
        <f>IF($AD354&lt;=$C$25*12,AE354-$C$10-'RE Calculations'!$C541-'Mortgage Calculators (By Month)'!$M372,"-")</f>
        <v>5043606.543535064</v>
      </c>
      <c r="AU354" s="29">
        <f t="shared" si="161"/>
        <v>3.1502320345222561</v>
      </c>
      <c r="AV354" s="31">
        <f t="shared" si="162"/>
        <v>0.10800795546933449</v>
      </c>
      <c r="AW354" s="132">
        <f t="shared" si="163"/>
        <v>10298748.90244575</v>
      </c>
      <c r="AX354" s="29">
        <f t="shared" si="164"/>
        <v>6.4325891458705886</v>
      </c>
      <c r="AY354" s="31">
        <f t="shared" si="165"/>
        <v>0.22054591357270589</v>
      </c>
    </row>
    <row r="355" spans="6:51" x14ac:dyDescent="0.35">
      <c r="F355" s="12">
        <f t="shared" si="142"/>
        <v>351</v>
      </c>
      <c r="G355" s="132">
        <f t="shared" si="143"/>
        <v>6812472.3843320785</v>
      </c>
      <c r="H355" s="132">
        <f>IF($F355&lt;=$C$16*12,$G355-$C$7+SUM('Mortgage Calculators (By Month)'!$D$23:$D373),"-")</f>
        <v>6812472.3843320785</v>
      </c>
      <c r="I355" s="132">
        <f t="shared" si="144"/>
        <v>35330.163860358603</v>
      </c>
      <c r="J355" s="132">
        <f>IF($F355&lt;=$C$16*12,SUM(Inputs!$C$61:$C$78)*'Forecast (By Month)'!I355,"-")</f>
        <v>3886.3180246394463</v>
      </c>
      <c r="K355" s="132">
        <f>IF($F355&lt;=$C$16*12,(SUMIF(Inputs!$C$61:$C$78,0,Inputs!$F$61:$F$78)/12)*(1+$C$34)^ROUNDDOWN((F355-1)/12,0),"-")</f>
        <v>1488.1666666666667</v>
      </c>
      <c r="L355" s="132">
        <f t="shared" si="145"/>
        <v>5374.4846913061128</v>
      </c>
      <c r="M355" s="132">
        <f>IF($F355&lt;=$C$16*12,'Mortgage Calculators (By Month)'!$C373,"-")</f>
        <v>0</v>
      </c>
      <c r="N355" s="132">
        <f>IF($F355&lt;=$C$16*12,'Mortgage Calculators (By Month)'!$D373,"-")</f>
        <v>0</v>
      </c>
      <c r="O355" s="132">
        <f>IF($F355&lt;=$C$16*12,'Mortgage Calculators (By Month)'!$E373,"-")</f>
        <v>8.3333333333333339</v>
      </c>
      <c r="P355" s="132">
        <f t="shared" si="166"/>
        <v>0</v>
      </c>
      <c r="Q355" s="132">
        <f t="shared" si="146"/>
        <v>5382.8180246394459</v>
      </c>
      <c r="R355" s="132">
        <f t="shared" si="147"/>
        <v>29955.679169052491</v>
      </c>
      <c r="S355" s="132">
        <f t="shared" si="148"/>
        <v>0</v>
      </c>
      <c r="T355" s="132">
        <f t="shared" si="140"/>
        <v>29955.679169052491</v>
      </c>
      <c r="U355" s="132">
        <f>IF($F355&lt;=$C$16*12,SUM(T$5:T355),"-")</f>
        <v>5285108.0380797386</v>
      </c>
      <c r="V355" s="132">
        <f>IF($F355&lt;=$C$16*12,G355-$C$10-'RE Calculations'!$C542-'Mortgage Calculators (By Month)'!$F373,"-")</f>
        <v>5070695.9366454352</v>
      </c>
      <c r="W355" s="29">
        <f t="shared" si="149"/>
        <v>3.1671520446847148</v>
      </c>
      <c r="X355" s="31">
        <f t="shared" si="150"/>
        <v>0.10827870238238341</v>
      </c>
      <c r="Y355" s="132">
        <f t="shared" si="151"/>
        <v>10355803.974725174</v>
      </c>
      <c r="Z355" s="29">
        <f t="shared" si="152"/>
        <v>6.4682256918372856</v>
      </c>
      <c r="AA355" s="31">
        <f t="shared" si="153"/>
        <v>0.2211359210884542</v>
      </c>
      <c r="AD355" s="12">
        <f t="shared" si="154"/>
        <v>351</v>
      </c>
      <c r="AE355" s="132">
        <f t="shared" si="155"/>
        <v>6812472.3843320785</v>
      </c>
      <c r="AF355" s="132">
        <f>IF($AD355&lt;=$C$25*12,$AE355-$C$7+SUM('Mortgage Calculators (By Month)'!$K$23:$K373),"-")</f>
        <v>6812472.3843320785</v>
      </c>
      <c r="AG355" s="132">
        <f t="shared" si="156"/>
        <v>35330.163860358603</v>
      </c>
      <c r="AH355" s="132">
        <f>IF($AD355&lt;=$C$25*12,SUM(Inputs!$C$61:$C$78)*'Forecast (By Month)'!AG355,"-")</f>
        <v>3886.3180246394463</v>
      </c>
      <c r="AI355" s="132">
        <f>IF($AD355&lt;=$C$25*12,(SUMIF(Inputs!$C$61:$C$78,0,Inputs!$F$61:$F$78)/12)*(1+$C$34)^ROUNDDOWN((AD355-1)/12,0),"-")</f>
        <v>1488.1666666666667</v>
      </c>
      <c r="AJ355" s="132">
        <f t="shared" si="157"/>
        <v>5374.4846913061128</v>
      </c>
      <c r="AK355" s="132">
        <f>IF($AD355&lt;=$C$25*12,'Mortgage Calculators (By Month)'!$J373,"-")</f>
        <v>0</v>
      </c>
      <c r="AL355" s="132">
        <f>IF($AD355&lt;=$C$25*12,'Mortgage Calculators (By Month)'!$K373,"-")</f>
        <v>0</v>
      </c>
      <c r="AM355" s="132">
        <f>IF($AD355&lt;=$C$25*12,'Mortgage Calculators (By Month)'!$L373,"-")</f>
        <v>10</v>
      </c>
      <c r="AN355" s="132">
        <f t="shared" si="167"/>
        <v>0</v>
      </c>
      <c r="AO355" s="132">
        <f t="shared" si="158"/>
        <v>5384.4846913061128</v>
      </c>
      <c r="AP355" s="132">
        <f t="shared" si="159"/>
        <v>29955.679169052491</v>
      </c>
      <c r="AQ355" s="132">
        <f t="shared" si="160"/>
        <v>0</v>
      </c>
      <c r="AR355" s="132">
        <f t="shared" si="141"/>
        <v>29955.679169052491</v>
      </c>
      <c r="AS355" s="132">
        <f>IF($AD355&lt;=$C$25*12,SUM(AR$5:AR355),"-")</f>
        <v>5285098.0380797386</v>
      </c>
      <c r="AT355" s="132">
        <f>IF($AD355&lt;=$C$25*12,AE355-$C$10-'RE Calculations'!$C542-'Mortgage Calculators (By Month)'!$M373,"-")</f>
        <v>5070695.9366454352</v>
      </c>
      <c r="AU355" s="29">
        <f t="shared" si="161"/>
        <v>3.1671520446847148</v>
      </c>
      <c r="AV355" s="31">
        <f t="shared" si="162"/>
        <v>0.10827870238238341</v>
      </c>
      <c r="AW355" s="132">
        <f t="shared" si="163"/>
        <v>10355793.974725174</v>
      </c>
      <c r="AX355" s="29">
        <f t="shared" si="164"/>
        <v>6.4682194458464313</v>
      </c>
      <c r="AY355" s="31">
        <f t="shared" si="165"/>
        <v>0.22113570755030534</v>
      </c>
    </row>
    <row r="356" spans="6:51" x14ac:dyDescent="0.35">
      <c r="F356" s="12">
        <f t="shared" si="142"/>
        <v>352</v>
      </c>
      <c r="G356" s="132">
        <f t="shared" si="143"/>
        <v>6840227.2400985332</v>
      </c>
      <c r="H356" s="132">
        <f>IF($F356&lt;=$C$16*12,$G356-$C$7+SUM('Mortgage Calculators (By Month)'!$D$23:$D374),"-")</f>
        <v>6840227.2400985332</v>
      </c>
      <c r="I356" s="132">
        <f t="shared" si="144"/>
        <v>35330.163860358603</v>
      </c>
      <c r="J356" s="132">
        <f>IF($F356&lt;=$C$16*12,SUM(Inputs!$C$61:$C$78)*'Forecast (By Month)'!I356,"-")</f>
        <v>3886.3180246394463</v>
      </c>
      <c r="K356" s="132">
        <f>IF($F356&lt;=$C$16*12,(SUMIF(Inputs!$C$61:$C$78,0,Inputs!$F$61:$F$78)/12)*(1+$C$34)^ROUNDDOWN((F356-1)/12,0),"-")</f>
        <v>1488.1666666666667</v>
      </c>
      <c r="L356" s="132">
        <f t="shared" si="145"/>
        <v>5374.4846913061128</v>
      </c>
      <c r="M356" s="132">
        <f>IF($F356&lt;=$C$16*12,'Mortgage Calculators (By Month)'!$C374,"-")</f>
        <v>0</v>
      </c>
      <c r="N356" s="132">
        <f>IF($F356&lt;=$C$16*12,'Mortgage Calculators (By Month)'!$D374,"-")</f>
        <v>0</v>
      </c>
      <c r="O356" s="132">
        <f>IF($F356&lt;=$C$16*12,'Mortgage Calculators (By Month)'!$E374,"-")</f>
        <v>8.3333333333333339</v>
      </c>
      <c r="P356" s="132">
        <f t="shared" si="166"/>
        <v>0</v>
      </c>
      <c r="Q356" s="132">
        <f t="shared" si="146"/>
        <v>5382.8180246394459</v>
      </c>
      <c r="R356" s="132">
        <f t="shared" si="147"/>
        <v>29955.679169052491</v>
      </c>
      <c r="S356" s="132">
        <f t="shared" si="148"/>
        <v>0</v>
      </c>
      <c r="T356" s="132">
        <f t="shared" si="140"/>
        <v>29955.679169052491</v>
      </c>
      <c r="U356" s="132">
        <f>IF($F356&lt;=$C$16*12,SUM(T$5:T356),"-")</f>
        <v>5315063.7172487909</v>
      </c>
      <c r="V356" s="132">
        <f>IF($F356&lt;=$C$16*12,G356-$C$10-'RE Calculations'!$C543-'Mortgage Calculators (By Month)'!$F374,"-")</f>
        <v>5097895.6952965604</v>
      </c>
      <c r="W356" s="29">
        <f t="shared" si="149"/>
        <v>3.1841409890629953</v>
      </c>
      <c r="X356" s="31">
        <f t="shared" si="150"/>
        <v>0.10855026099078394</v>
      </c>
      <c r="Y356" s="132">
        <f t="shared" si="151"/>
        <v>10412959.412545351</v>
      </c>
      <c r="Z356" s="29">
        <f t="shared" si="152"/>
        <v>6.50392492602895</v>
      </c>
      <c r="AA356" s="31">
        <f t="shared" si="153"/>
        <v>0.22172471338735059</v>
      </c>
      <c r="AD356" s="12">
        <f t="shared" si="154"/>
        <v>352</v>
      </c>
      <c r="AE356" s="132">
        <f t="shared" si="155"/>
        <v>6840227.2400985332</v>
      </c>
      <c r="AF356" s="132">
        <f>IF($AD356&lt;=$C$25*12,$AE356-$C$7+SUM('Mortgage Calculators (By Month)'!$K$23:$K374),"-")</f>
        <v>6840227.2400985332</v>
      </c>
      <c r="AG356" s="132">
        <f t="shared" si="156"/>
        <v>35330.163860358603</v>
      </c>
      <c r="AH356" s="132">
        <f>IF($AD356&lt;=$C$25*12,SUM(Inputs!$C$61:$C$78)*'Forecast (By Month)'!AG356,"-")</f>
        <v>3886.3180246394463</v>
      </c>
      <c r="AI356" s="132">
        <f>IF($AD356&lt;=$C$25*12,(SUMIF(Inputs!$C$61:$C$78,0,Inputs!$F$61:$F$78)/12)*(1+$C$34)^ROUNDDOWN((AD356-1)/12,0),"-")</f>
        <v>1488.1666666666667</v>
      </c>
      <c r="AJ356" s="132">
        <f t="shared" si="157"/>
        <v>5374.4846913061128</v>
      </c>
      <c r="AK356" s="132">
        <f>IF($AD356&lt;=$C$25*12,'Mortgage Calculators (By Month)'!$J374,"-")</f>
        <v>0</v>
      </c>
      <c r="AL356" s="132">
        <f>IF($AD356&lt;=$C$25*12,'Mortgage Calculators (By Month)'!$K374,"-")</f>
        <v>0</v>
      </c>
      <c r="AM356" s="132">
        <f>IF($AD356&lt;=$C$25*12,'Mortgage Calculators (By Month)'!$L374,"-")</f>
        <v>10</v>
      </c>
      <c r="AN356" s="132">
        <f t="shared" si="167"/>
        <v>0</v>
      </c>
      <c r="AO356" s="132">
        <f t="shared" si="158"/>
        <v>5384.4846913061128</v>
      </c>
      <c r="AP356" s="132">
        <f t="shared" si="159"/>
        <v>29955.679169052491</v>
      </c>
      <c r="AQ356" s="132">
        <f t="shared" si="160"/>
        <v>0</v>
      </c>
      <c r="AR356" s="132">
        <f t="shared" si="141"/>
        <v>29955.679169052491</v>
      </c>
      <c r="AS356" s="132">
        <f>IF($AD356&lt;=$C$25*12,SUM(AR$5:AR356),"-")</f>
        <v>5315053.7172487909</v>
      </c>
      <c r="AT356" s="132">
        <f>IF($AD356&lt;=$C$25*12,AE356-$C$10-'RE Calculations'!$C543-'Mortgage Calculators (By Month)'!$M374,"-")</f>
        <v>5097895.6952965604</v>
      </c>
      <c r="AU356" s="29">
        <f t="shared" si="161"/>
        <v>3.1841409890629953</v>
      </c>
      <c r="AV356" s="31">
        <f t="shared" si="162"/>
        <v>0.10855026099078394</v>
      </c>
      <c r="AW356" s="132">
        <f t="shared" si="163"/>
        <v>10412949.412545351</v>
      </c>
      <c r="AX356" s="29">
        <f t="shared" si="164"/>
        <v>6.5039186800380948</v>
      </c>
      <c r="AY356" s="31">
        <f t="shared" si="165"/>
        <v>0.22172450045584416</v>
      </c>
    </row>
    <row r="357" spans="6:51" x14ac:dyDescent="0.35">
      <c r="F357" s="12">
        <f t="shared" si="142"/>
        <v>353</v>
      </c>
      <c r="G357" s="132">
        <f t="shared" si="143"/>
        <v>6868095.1725829784</v>
      </c>
      <c r="H357" s="132">
        <f>IF($F357&lt;=$C$16*12,$G357-$C$7+SUM('Mortgage Calculators (By Month)'!$D$23:$D375),"-")</f>
        <v>6868095.1725829784</v>
      </c>
      <c r="I357" s="132">
        <f t="shared" si="144"/>
        <v>35330.163860358603</v>
      </c>
      <c r="J357" s="132">
        <f>IF($F357&lt;=$C$16*12,SUM(Inputs!$C$61:$C$78)*'Forecast (By Month)'!I357,"-")</f>
        <v>3886.3180246394463</v>
      </c>
      <c r="K357" s="132">
        <f>IF($F357&lt;=$C$16*12,(SUMIF(Inputs!$C$61:$C$78,0,Inputs!$F$61:$F$78)/12)*(1+$C$34)^ROUNDDOWN((F357-1)/12,0),"-")</f>
        <v>1488.1666666666667</v>
      </c>
      <c r="L357" s="132">
        <f t="shared" si="145"/>
        <v>5374.4846913061128</v>
      </c>
      <c r="M357" s="132">
        <f>IF($F357&lt;=$C$16*12,'Mortgage Calculators (By Month)'!$C375,"-")</f>
        <v>0</v>
      </c>
      <c r="N357" s="132">
        <f>IF($F357&lt;=$C$16*12,'Mortgage Calculators (By Month)'!$D375,"-")</f>
        <v>0</v>
      </c>
      <c r="O357" s="132">
        <f>IF($F357&lt;=$C$16*12,'Mortgage Calculators (By Month)'!$E375,"-")</f>
        <v>8.3333333333333339</v>
      </c>
      <c r="P357" s="132">
        <f t="shared" si="166"/>
        <v>0</v>
      </c>
      <c r="Q357" s="132">
        <f t="shared" si="146"/>
        <v>5382.8180246394459</v>
      </c>
      <c r="R357" s="132">
        <f t="shared" si="147"/>
        <v>29955.679169052491</v>
      </c>
      <c r="S357" s="132">
        <f t="shared" si="148"/>
        <v>0</v>
      </c>
      <c r="T357" s="132">
        <f t="shared" si="140"/>
        <v>29955.679169052491</v>
      </c>
      <c r="U357" s="132">
        <f>IF($F357&lt;=$C$16*12,SUM(T$5:T357),"-")</f>
        <v>5345019.3964178432</v>
      </c>
      <c r="V357" s="132">
        <f>IF($F357&lt;=$C$16*12,G357-$C$10-'RE Calculations'!$C544-'Mortgage Calculators (By Month)'!$F375,"-")</f>
        <v>5125206.2691313168</v>
      </c>
      <c r="W357" s="29">
        <f t="shared" si="149"/>
        <v>3.2011991485036271</v>
      </c>
      <c r="X357" s="31">
        <f t="shared" si="150"/>
        <v>0.10882263394346607</v>
      </c>
      <c r="Y357" s="132">
        <f t="shared" si="151"/>
        <v>10470225.665549159</v>
      </c>
      <c r="Z357" s="29">
        <f t="shared" si="152"/>
        <v>6.5396933752829645</v>
      </c>
      <c r="AA357" s="31">
        <f t="shared" si="153"/>
        <v>0.2223125226725087</v>
      </c>
      <c r="AD357" s="12">
        <f t="shared" si="154"/>
        <v>353</v>
      </c>
      <c r="AE357" s="132">
        <f t="shared" si="155"/>
        <v>6868095.1725829784</v>
      </c>
      <c r="AF357" s="132">
        <f>IF($AD357&lt;=$C$25*12,$AE357-$C$7+SUM('Mortgage Calculators (By Month)'!$K$23:$K375),"-")</f>
        <v>6868095.1725829784</v>
      </c>
      <c r="AG357" s="132">
        <f t="shared" si="156"/>
        <v>35330.163860358603</v>
      </c>
      <c r="AH357" s="132">
        <f>IF($AD357&lt;=$C$25*12,SUM(Inputs!$C$61:$C$78)*'Forecast (By Month)'!AG357,"-")</f>
        <v>3886.3180246394463</v>
      </c>
      <c r="AI357" s="132">
        <f>IF($AD357&lt;=$C$25*12,(SUMIF(Inputs!$C$61:$C$78,0,Inputs!$F$61:$F$78)/12)*(1+$C$34)^ROUNDDOWN((AD357-1)/12,0),"-")</f>
        <v>1488.1666666666667</v>
      </c>
      <c r="AJ357" s="132">
        <f t="shared" si="157"/>
        <v>5374.4846913061128</v>
      </c>
      <c r="AK357" s="132">
        <f>IF($AD357&lt;=$C$25*12,'Mortgage Calculators (By Month)'!$J375,"-")</f>
        <v>0</v>
      </c>
      <c r="AL357" s="132">
        <f>IF($AD357&lt;=$C$25*12,'Mortgage Calculators (By Month)'!$K375,"-")</f>
        <v>0</v>
      </c>
      <c r="AM357" s="132">
        <f>IF($AD357&lt;=$C$25*12,'Mortgage Calculators (By Month)'!$L375,"-")</f>
        <v>10</v>
      </c>
      <c r="AN357" s="132">
        <f t="shared" si="167"/>
        <v>0</v>
      </c>
      <c r="AO357" s="132">
        <f t="shared" si="158"/>
        <v>5384.4846913061128</v>
      </c>
      <c r="AP357" s="132">
        <f t="shared" si="159"/>
        <v>29955.679169052491</v>
      </c>
      <c r="AQ357" s="132">
        <f t="shared" si="160"/>
        <v>0</v>
      </c>
      <c r="AR357" s="132">
        <f t="shared" si="141"/>
        <v>29955.679169052491</v>
      </c>
      <c r="AS357" s="132">
        <f>IF($AD357&lt;=$C$25*12,SUM(AR$5:AR357),"-")</f>
        <v>5345009.3964178432</v>
      </c>
      <c r="AT357" s="132">
        <f>IF($AD357&lt;=$C$25*12,AE357-$C$10-'RE Calculations'!$C544-'Mortgage Calculators (By Month)'!$M375,"-")</f>
        <v>5125206.2691313168</v>
      </c>
      <c r="AU357" s="29">
        <f t="shared" si="161"/>
        <v>3.2011991485036271</v>
      </c>
      <c r="AV357" s="31">
        <f t="shared" si="162"/>
        <v>0.10882263394346607</v>
      </c>
      <c r="AW357" s="132">
        <f t="shared" si="163"/>
        <v>10470215.665549159</v>
      </c>
      <c r="AX357" s="29">
        <f t="shared" si="164"/>
        <v>6.5396871292921102</v>
      </c>
      <c r="AY357" s="31">
        <f t="shared" si="165"/>
        <v>0.2223123103442077</v>
      </c>
    </row>
    <row r="358" spans="6:51" x14ac:dyDescent="0.35">
      <c r="F358" s="12">
        <f t="shared" si="142"/>
        <v>354</v>
      </c>
      <c r="G358" s="132">
        <f t="shared" si="143"/>
        <v>6896076.6424739594</v>
      </c>
      <c r="H358" s="132">
        <f>IF($F358&lt;=$C$16*12,$G358-$C$7+SUM('Mortgage Calculators (By Month)'!$D$23:$D376),"-")</f>
        <v>6896076.6424739594</v>
      </c>
      <c r="I358" s="132">
        <f t="shared" si="144"/>
        <v>35330.163860358603</v>
      </c>
      <c r="J358" s="132">
        <f>IF($F358&lt;=$C$16*12,SUM(Inputs!$C$61:$C$78)*'Forecast (By Month)'!I358,"-")</f>
        <v>3886.3180246394463</v>
      </c>
      <c r="K358" s="132">
        <f>IF($F358&lt;=$C$16*12,(SUMIF(Inputs!$C$61:$C$78,0,Inputs!$F$61:$F$78)/12)*(1+$C$34)^ROUNDDOWN((F358-1)/12,0),"-")</f>
        <v>1488.1666666666667</v>
      </c>
      <c r="L358" s="132">
        <f t="shared" si="145"/>
        <v>5374.4846913061128</v>
      </c>
      <c r="M358" s="132">
        <f>IF($F358&lt;=$C$16*12,'Mortgage Calculators (By Month)'!$C376,"-")</f>
        <v>0</v>
      </c>
      <c r="N358" s="132">
        <f>IF($F358&lt;=$C$16*12,'Mortgage Calculators (By Month)'!$D376,"-")</f>
        <v>0</v>
      </c>
      <c r="O358" s="132">
        <f>IF($F358&lt;=$C$16*12,'Mortgage Calculators (By Month)'!$E376,"-")</f>
        <v>8.3333333333333339</v>
      </c>
      <c r="P358" s="132">
        <f t="shared" si="166"/>
        <v>0</v>
      </c>
      <c r="Q358" s="132">
        <f t="shared" si="146"/>
        <v>5382.8180246394459</v>
      </c>
      <c r="R358" s="132">
        <f t="shared" si="147"/>
        <v>29955.679169052491</v>
      </c>
      <c r="S358" s="132">
        <f t="shared" si="148"/>
        <v>0</v>
      </c>
      <c r="T358" s="132">
        <f t="shared" si="140"/>
        <v>29955.679169052491</v>
      </c>
      <c r="U358" s="132">
        <f>IF($F358&lt;=$C$16*12,SUM(T$5:T358),"-")</f>
        <v>5374975.0755868955</v>
      </c>
      <c r="V358" s="132">
        <f>IF($F358&lt;=$C$16*12,G358-$C$10-'RE Calculations'!$C545-'Mortgage Calculators (By Month)'!$F376,"-")</f>
        <v>5152628.109624478</v>
      </c>
      <c r="W358" s="29">
        <f t="shared" si="149"/>
        <v>3.218326804997341</v>
      </c>
      <c r="X358" s="31">
        <f t="shared" si="150"/>
        <v>0.10909582389821496</v>
      </c>
      <c r="Y358" s="132">
        <f t="shared" si="151"/>
        <v>10527603.185211373</v>
      </c>
      <c r="Z358" s="29">
        <f t="shared" si="152"/>
        <v>6.5755313215900628</v>
      </c>
      <c r="AA358" s="31">
        <f t="shared" si="153"/>
        <v>0.22289936683356146</v>
      </c>
      <c r="AD358" s="12">
        <f t="shared" si="154"/>
        <v>354</v>
      </c>
      <c r="AE358" s="132">
        <f t="shared" si="155"/>
        <v>6896076.6424739594</v>
      </c>
      <c r="AF358" s="132">
        <f>IF($AD358&lt;=$C$25*12,$AE358-$C$7+SUM('Mortgage Calculators (By Month)'!$K$23:$K376),"-")</f>
        <v>6896076.6424739594</v>
      </c>
      <c r="AG358" s="132">
        <f t="shared" si="156"/>
        <v>35330.163860358603</v>
      </c>
      <c r="AH358" s="132">
        <f>IF($AD358&lt;=$C$25*12,SUM(Inputs!$C$61:$C$78)*'Forecast (By Month)'!AG358,"-")</f>
        <v>3886.3180246394463</v>
      </c>
      <c r="AI358" s="132">
        <f>IF($AD358&lt;=$C$25*12,(SUMIF(Inputs!$C$61:$C$78,0,Inputs!$F$61:$F$78)/12)*(1+$C$34)^ROUNDDOWN((AD358-1)/12,0),"-")</f>
        <v>1488.1666666666667</v>
      </c>
      <c r="AJ358" s="132">
        <f t="shared" si="157"/>
        <v>5374.4846913061128</v>
      </c>
      <c r="AK358" s="132">
        <f>IF($AD358&lt;=$C$25*12,'Mortgage Calculators (By Month)'!$J376,"-")</f>
        <v>0</v>
      </c>
      <c r="AL358" s="132">
        <f>IF($AD358&lt;=$C$25*12,'Mortgage Calculators (By Month)'!$K376,"-")</f>
        <v>0</v>
      </c>
      <c r="AM358" s="132">
        <f>IF($AD358&lt;=$C$25*12,'Mortgage Calculators (By Month)'!$L376,"-")</f>
        <v>10</v>
      </c>
      <c r="AN358" s="132">
        <f t="shared" si="167"/>
        <v>0</v>
      </c>
      <c r="AO358" s="132">
        <f t="shared" si="158"/>
        <v>5384.4846913061128</v>
      </c>
      <c r="AP358" s="132">
        <f t="shared" si="159"/>
        <v>29955.679169052491</v>
      </c>
      <c r="AQ358" s="132">
        <f t="shared" si="160"/>
        <v>0</v>
      </c>
      <c r="AR358" s="132">
        <f t="shared" si="141"/>
        <v>29955.679169052491</v>
      </c>
      <c r="AS358" s="132">
        <f>IF($AD358&lt;=$C$25*12,SUM(AR$5:AR358),"-")</f>
        <v>5374965.0755868955</v>
      </c>
      <c r="AT358" s="132">
        <f>IF($AD358&lt;=$C$25*12,AE358-$C$10-'RE Calculations'!$C545-'Mortgage Calculators (By Month)'!$M376,"-")</f>
        <v>5152628.109624478</v>
      </c>
      <c r="AU358" s="29">
        <f t="shared" si="161"/>
        <v>3.218326804997341</v>
      </c>
      <c r="AV358" s="31">
        <f t="shared" si="162"/>
        <v>0.10909582389821496</v>
      </c>
      <c r="AW358" s="132">
        <f t="shared" si="163"/>
        <v>10527593.185211373</v>
      </c>
      <c r="AX358" s="29">
        <f t="shared" si="164"/>
        <v>6.5755250755992085</v>
      </c>
      <c r="AY358" s="31">
        <f t="shared" si="165"/>
        <v>0.22289915510505792</v>
      </c>
    </row>
    <row r="359" spans="6:51" x14ac:dyDescent="0.35">
      <c r="F359" s="12">
        <f t="shared" si="142"/>
        <v>355</v>
      </c>
      <c r="G359" s="132">
        <f t="shared" si="143"/>
        <v>6924172.1123369243</v>
      </c>
      <c r="H359" s="132">
        <f>IF($F359&lt;=$C$16*12,$G359-$C$7+SUM('Mortgage Calculators (By Month)'!$D$23:$D377),"-")</f>
        <v>6924172.1123369243</v>
      </c>
      <c r="I359" s="132">
        <f t="shared" si="144"/>
        <v>35330.163860358603</v>
      </c>
      <c r="J359" s="132">
        <f>IF($F359&lt;=$C$16*12,SUM(Inputs!$C$61:$C$78)*'Forecast (By Month)'!I359,"-")</f>
        <v>3886.3180246394463</v>
      </c>
      <c r="K359" s="132">
        <f>IF($F359&lt;=$C$16*12,(SUMIF(Inputs!$C$61:$C$78,0,Inputs!$F$61:$F$78)/12)*(1+$C$34)^ROUNDDOWN((F359-1)/12,0),"-")</f>
        <v>1488.1666666666667</v>
      </c>
      <c r="L359" s="132">
        <f t="shared" si="145"/>
        <v>5374.4846913061128</v>
      </c>
      <c r="M359" s="132">
        <f>IF($F359&lt;=$C$16*12,'Mortgage Calculators (By Month)'!$C377,"-")</f>
        <v>0</v>
      </c>
      <c r="N359" s="132">
        <f>IF($F359&lt;=$C$16*12,'Mortgage Calculators (By Month)'!$D377,"-")</f>
        <v>0</v>
      </c>
      <c r="O359" s="132">
        <f>IF($F359&lt;=$C$16*12,'Mortgage Calculators (By Month)'!$E377,"-")</f>
        <v>8.3333333333333339</v>
      </c>
      <c r="P359" s="132">
        <f t="shared" si="166"/>
        <v>0</v>
      </c>
      <c r="Q359" s="132">
        <f t="shared" si="146"/>
        <v>5382.8180246394459</v>
      </c>
      <c r="R359" s="132">
        <f t="shared" si="147"/>
        <v>29955.679169052491</v>
      </c>
      <c r="S359" s="132">
        <f t="shared" si="148"/>
        <v>0</v>
      </c>
      <c r="T359" s="132">
        <f t="shared" si="140"/>
        <v>29955.679169052491</v>
      </c>
      <c r="U359" s="132">
        <f>IF($F359&lt;=$C$16*12,SUM(T$5:T359),"-")</f>
        <v>5404930.7547559477</v>
      </c>
      <c r="V359" s="132">
        <f>IF($F359&lt;=$C$16*12,G359-$C$10-'RE Calculations'!$C546-'Mortgage Calculators (By Month)'!$F377,"-")</f>
        <v>5180161.6700901836</v>
      </c>
      <c r="W359" s="29">
        <f t="shared" si="149"/>
        <v>3.2355242416837342</v>
      </c>
      <c r="X359" s="31">
        <f t="shared" si="150"/>
        <v>0.10936983352170369</v>
      </c>
      <c r="Y359" s="132">
        <f t="shared" si="151"/>
        <v>10585092.424846131</v>
      </c>
      <c r="Z359" s="29">
        <f t="shared" si="152"/>
        <v>6.6114390480898395</v>
      </c>
      <c r="AA359" s="31">
        <f t="shared" si="153"/>
        <v>0.22348526359740303</v>
      </c>
      <c r="AD359" s="12">
        <f t="shared" si="154"/>
        <v>355</v>
      </c>
      <c r="AE359" s="132">
        <f t="shared" si="155"/>
        <v>6924172.1123369243</v>
      </c>
      <c r="AF359" s="132">
        <f>IF($AD359&lt;=$C$25*12,$AE359-$C$7+SUM('Mortgage Calculators (By Month)'!$K$23:$K377),"-")</f>
        <v>6924172.1123369243</v>
      </c>
      <c r="AG359" s="132">
        <f t="shared" si="156"/>
        <v>35330.163860358603</v>
      </c>
      <c r="AH359" s="132">
        <f>IF($AD359&lt;=$C$25*12,SUM(Inputs!$C$61:$C$78)*'Forecast (By Month)'!AG359,"-")</f>
        <v>3886.3180246394463</v>
      </c>
      <c r="AI359" s="132">
        <f>IF($AD359&lt;=$C$25*12,(SUMIF(Inputs!$C$61:$C$78,0,Inputs!$F$61:$F$78)/12)*(1+$C$34)^ROUNDDOWN((AD359-1)/12,0),"-")</f>
        <v>1488.1666666666667</v>
      </c>
      <c r="AJ359" s="132">
        <f t="shared" si="157"/>
        <v>5374.4846913061128</v>
      </c>
      <c r="AK359" s="132">
        <f>IF($AD359&lt;=$C$25*12,'Mortgage Calculators (By Month)'!$J377,"-")</f>
        <v>0</v>
      </c>
      <c r="AL359" s="132">
        <f>IF($AD359&lt;=$C$25*12,'Mortgage Calculators (By Month)'!$K377,"-")</f>
        <v>0</v>
      </c>
      <c r="AM359" s="132">
        <f>IF($AD359&lt;=$C$25*12,'Mortgage Calculators (By Month)'!$L377,"-")</f>
        <v>10</v>
      </c>
      <c r="AN359" s="132">
        <f t="shared" si="167"/>
        <v>0</v>
      </c>
      <c r="AO359" s="132">
        <f t="shared" si="158"/>
        <v>5384.4846913061128</v>
      </c>
      <c r="AP359" s="132">
        <f t="shared" si="159"/>
        <v>29955.679169052491</v>
      </c>
      <c r="AQ359" s="132">
        <f t="shared" si="160"/>
        <v>0</v>
      </c>
      <c r="AR359" s="132">
        <f t="shared" si="141"/>
        <v>29955.679169052491</v>
      </c>
      <c r="AS359" s="132">
        <f>IF($AD359&lt;=$C$25*12,SUM(AR$5:AR359),"-")</f>
        <v>5404920.7547559477</v>
      </c>
      <c r="AT359" s="132">
        <f>IF($AD359&lt;=$C$25*12,AE359-$C$10-'RE Calculations'!$C546-'Mortgage Calculators (By Month)'!$M377,"-")</f>
        <v>5180161.6700901836</v>
      </c>
      <c r="AU359" s="29">
        <f t="shared" si="161"/>
        <v>3.2355242416837342</v>
      </c>
      <c r="AV359" s="31">
        <f t="shared" si="162"/>
        <v>0.10936983352170369</v>
      </c>
      <c r="AW359" s="132">
        <f t="shared" si="163"/>
        <v>10585082.424846131</v>
      </c>
      <c r="AX359" s="29">
        <f t="shared" si="164"/>
        <v>6.6114328020989852</v>
      </c>
      <c r="AY359" s="31">
        <f t="shared" si="165"/>
        <v>0.22348505246531783</v>
      </c>
    </row>
    <row r="360" spans="6:51" x14ac:dyDescent="0.35">
      <c r="F360" s="12">
        <f t="shared" si="142"/>
        <v>356</v>
      </c>
      <c r="G360" s="132">
        <f t="shared" si="143"/>
        <v>6952382.0466218712</v>
      </c>
      <c r="H360" s="132">
        <f>IF($F360&lt;=$C$16*12,$G360-$C$7+SUM('Mortgage Calculators (By Month)'!$D$23:$D378),"-")</f>
        <v>6952382.0466218712</v>
      </c>
      <c r="I360" s="132">
        <f t="shared" si="144"/>
        <v>35330.163860358603</v>
      </c>
      <c r="J360" s="132">
        <f>IF($F360&lt;=$C$16*12,SUM(Inputs!$C$61:$C$78)*'Forecast (By Month)'!I360,"-")</f>
        <v>3886.3180246394463</v>
      </c>
      <c r="K360" s="132">
        <f>IF($F360&lt;=$C$16*12,(SUMIF(Inputs!$C$61:$C$78,0,Inputs!$F$61:$F$78)/12)*(1+$C$34)^ROUNDDOWN((F360-1)/12,0),"-")</f>
        <v>1488.1666666666667</v>
      </c>
      <c r="L360" s="132">
        <f t="shared" si="145"/>
        <v>5374.4846913061128</v>
      </c>
      <c r="M360" s="132">
        <f>IF($F360&lt;=$C$16*12,'Mortgage Calculators (By Month)'!$C378,"-")</f>
        <v>0</v>
      </c>
      <c r="N360" s="132">
        <f>IF($F360&lt;=$C$16*12,'Mortgage Calculators (By Month)'!$D378,"-")</f>
        <v>0</v>
      </c>
      <c r="O360" s="132">
        <f>IF($F360&lt;=$C$16*12,'Mortgage Calculators (By Month)'!$E378,"-")</f>
        <v>8.3333333333333339</v>
      </c>
      <c r="P360" s="132">
        <f t="shared" si="166"/>
        <v>0</v>
      </c>
      <c r="Q360" s="132">
        <f t="shared" si="146"/>
        <v>5382.8180246394459</v>
      </c>
      <c r="R360" s="132">
        <f t="shared" si="147"/>
        <v>29955.679169052491</v>
      </c>
      <c r="S360" s="132">
        <f t="shared" si="148"/>
        <v>0</v>
      </c>
      <c r="T360" s="132">
        <f t="shared" si="140"/>
        <v>29955.679169052491</v>
      </c>
      <c r="U360" s="132">
        <f>IF($F360&lt;=$C$16*12,SUM(T$5:T360),"-")</f>
        <v>5434886.433925</v>
      </c>
      <c r="V360" s="132">
        <f>IF($F360&lt;=$C$16*12,G360-$C$10-'RE Calculations'!$C547-'Mortgage Calculators (By Month)'!$F378,"-")</f>
        <v>5207807.4056894314</v>
      </c>
      <c r="W360" s="29">
        <f t="shared" si="149"/>
        <v>3.252791742855949</v>
      </c>
      <c r="X360" s="31">
        <f t="shared" si="150"/>
        <v>0.10964466548952637</v>
      </c>
      <c r="Y360" s="132">
        <f t="shared" si="151"/>
        <v>10642693.839614432</v>
      </c>
      <c r="Z360" s="29">
        <f t="shared" si="152"/>
        <v>6.6474168390754382</v>
      </c>
      <c r="AA360" s="31">
        <f t="shared" si="153"/>
        <v>0.22407023053063274</v>
      </c>
      <c r="AD360" s="12">
        <f t="shared" si="154"/>
        <v>356</v>
      </c>
      <c r="AE360" s="132">
        <f t="shared" si="155"/>
        <v>6952382.0466218712</v>
      </c>
      <c r="AF360" s="132">
        <f>IF($AD360&lt;=$C$25*12,$AE360-$C$7+SUM('Mortgage Calculators (By Month)'!$K$23:$K378),"-")</f>
        <v>6952382.0466218712</v>
      </c>
      <c r="AG360" s="132">
        <f t="shared" si="156"/>
        <v>35330.163860358603</v>
      </c>
      <c r="AH360" s="132">
        <f>IF($AD360&lt;=$C$25*12,SUM(Inputs!$C$61:$C$78)*'Forecast (By Month)'!AG360,"-")</f>
        <v>3886.3180246394463</v>
      </c>
      <c r="AI360" s="132">
        <f>IF($AD360&lt;=$C$25*12,(SUMIF(Inputs!$C$61:$C$78,0,Inputs!$F$61:$F$78)/12)*(1+$C$34)^ROUNDDOWN((AD360-1)/12,0),"-")</f>
        <v>1488.1666666666667</v>
      </c>
      <c r="AJ360" s="132">
        <f t="shared" si="157"/>
        <v>5374.4846913061128</v>
      </c>
      <c r="AK360" s="132">
        <f>IF($AD360&lt;=$C$25*12,'Mortgage Calculators (By Month)'!$J378,"-")</f>
        <v>0</v>
      </c>
      <c r="AL360" s="132">
        <f>IF($AD360&lt;=$C$25*12,'Mortgage Calculators (By Month)'!$K378,"-")</f>
        <v>0</v>
      </c>
      <c r="AM360" s="132">
        <f>IF($AD360&lt;=$C$25*12,'Mortgage Calculators (By Month)'!$L378,"-")</f>
        <v>10</v>
      </c>
      <c r="AN360" s="132">
        <f t="shared" si="167"/>
        <v>0</v>
      </c>
      <c r="AO360" s="132">
        <f t="shared" si="158"/>
        <v>5384.4846913061128</v>
      </c>
      <c r="AP360" s="132">
        <f t="shared" si="159"/>
        <v>29955.679169052491</v>
      </c>
      <c r="AQ360" s="132">
        <f t="shared" si="160"/>
        <v>0</v>
      </c>
      <c r="AR360" s="132">
        <f t="shared" si="141"/>
        <v>29955.679169052491</v>
      </c>
      <c r="AS360" s="132">
        <f>IF($AD360&lt;=$C$25*12,SUM(AR$5:AR360),"-")</f>
        <v>5434876.433925</v>
      </c>
      <c r="AT360" s="132">
        <f>IF($AD360&lt;=$C$25*12,AE360-$C$10-'RE Calculations'!$C547-'Mortgage Calculators (By Month)'!$M378,"-")</f>
        <v>5207807.4056894314</v>
      </c>
      <c r="AU360" s="29">
        <f t="shared" si="161"/>
        <v>3.252791742855949</v>
      </c>
      <c r="AV360" s="31">
        <f t="shared" si="162"/>
        <v>0.10964466548952637</v>
      </c>
      <c r="AW360" s="132">
        <f t="shared" si="163"/>
        <v>10642683.839614432</v>
      </c>
      <c r="AX360" s="29">
        <f t="shared" si="164"/>
        <v>6.6474105930845839</v>
      </c>
      <c r="AY360" s="31">
        <f t="shared" si="165"/>
        <v>0.22407001999161519</v>
      </c>
    </row>
    <row r="361" spans="6:51" x14ac:dyDescent="0.35">
      <c r="F361" s="12">
        <f t="shared" si="142"/>
        <v>357</v>
      </c>
      <c r="G361" s="132">
        <f t="shared" si="143"/>
        <v>6980706.9116710229</v>
      </c>
      <c r="H361" s="132">
        <f>IF($F361&lt;=$C$16*12,$G361-$C$7+SUM('Mortgage Calculators (By Month)'!$D$23:$D379),"-")</f>
        <v>6980706.9116710229</v>
      </c>
      <c r="I361" s="132">
        <f t="shared" si="144"/>
        <v>35330.163860358603</v>
      </c>
      <c r="J361" s="132">
        <f>IF($F361&lt;=$C$16*12,SUM(Inputs!$C$61:$C$78)*'Forecast (By Month)'!I361,"-")</f>
        <v>3886.3180246394463</v>
      </c>
      <c r="K361" s="132">
        <f>IF($F361&lt;=$C$16*12,(SUMIF(Inputs!$C$61:$C$78,0,Inputs!$F$61:$F$78)/12)*(1+$C$34)^ROUNDDOWN((F361-1)/12,0),"-")</f>
        <v>1488.1666666666667</v>
      </c>
      <c r="L361" s="132">
        <f t="shared" si="145"/>
        <v>5374.4846913061128</v>
      </c>
      <c r="M361" s="132">
        <f>IF($F361&lt;=$C$16*12,'Mortgage Calculators (By Month)'!$C379,"-")</f>
        <v>0</v>
      </c>
      <c r="N361" s="132">
        <f>IF($F361&lt;=$C$16*12,'Mortgage Calculators (By Month)'!$D379,"-")</f>
        <v>0</v>
      </c>
      <c r="O361" s="132">
        <f>IF($F361&lt;=$C$16*12,'Mortgage Calculators (By Month)'!$E379,"-")</f>
        <v>8.3333333333333339</v>
      </c>
      <c r="P361" s="132">
        <f t="shared" si="166"/>
        <v>0</v>
      </c>
      <c r="Q361" s="132">
        <f t="shared" si="146"/>
        <v>5382.8180246394459</v>
      </c>
      <c r="R361" s="132">
        <f t="shared" si="147"/>
        <v>29955.679169052491</v>
      </c>
      <c r="S361" s="132">
        <f t="shared" si="148"/>
        <v>0</v>
      </c>
      <c r="T361" s="132">
        <f t="shared" si="140"/>
        <v>29955.679169052491</v>
      </c>
      <c r="U361" s="132">
        <f>IF($F361&lt;=$C$16*12,SUM(T$5:T361),"-")</f>
        <v>5464842.1130940523</v>
      </c>
      <c r="V361" s="132">
        <f>IF($F361&lt;=$C$16*12,G361-$C$10-'RE Calculations'!$C548-'Mortgage Calculators (By Month)'!$F379,"-")</f>
        <v>5235565.7734376006</v>
      </c>
      <c r="W361" s="29">
        <f t="shared" si="149"/>
        <v>3.2701295939653741</v>
      </c>
      <c r="X361" s="31">
        <f t="shared" si="150"/>
        <v>0.10992032248623106</v>
      </c>
      <c r="Y361" s="132">
        <f t="shared" si="151"/>
        <v>10700407.886531653</v>
      </c>
      <c r="Z361" s="29">
        <f t="shared" si="152"/>
        <v>6.6834649799982468</v>
      </c>
      <c r="AA361" s="31">
        <f t="shared" si="153"/>
        <v>0.22465428504195789</v>
      </c>
      <c r="AD361" s="12">
        <f t="shared" si="154"/>
        <v>357</v>
      </c>
      <c r="AE361" s="132">
        <f t="shared" si="155"/>
        <v>6980706.9116710229</v>
      </c>
      <c r="AF361" s="132">
        <f>IF($AD361&lt;=$C$25*12,$AE361-$C$7+SUM('Mortgage Calculators (By Month)'!$K$23:$K379),"-")</f>
        <v>6980706.9116710229</v>
      </c>
      <c r="AG361" s="132">
        <f t="shared" si="156"/>
        <v>35330.163860358603</v>
      </c>
      <c r="AH361" s="132">
        <f>IF($AD361&lt;=$C$25*12,SUM(Inputs!$C$61:$C$78)*'Forecast (By Month)'!AG361,"-")</f>
        <v>3886.3180246394463</v>
      </c>
      <c r="AI361" s="132">
        <f>IF($AD361&lt;=$C$25*12,(SUMIF(Inputs!$C$61:$C$78,0,Inputs!$F$61:$F$78)/12)*(1+$C$34)^ROUNDDOWN((AD361-1)/12,0),"-")</f>
        <v>1488.1666666666667</v>
      </c>
      <c r="AJ361" s="132">
        <f t="shared" si="157"/>
        <v>5374.4846913061128</v>
      </c>
      <c r="AK361" s="132">
        <f>IF($AD361&lt;=$C$25*12,'Mortgage Calculators (By Month)'!$J379,"-")</f>
        <v>0</v>
      </c>
      <c r="AL361" s="132">
        <f>IF($AD361&lt;=$C$25*12,'Mortgage Calculators (By Month)'!$K379,"-")</f>
        <v>0</v>
      </c>
      <c r="AM361" s="132">
        <f>IF($AD361&lt;=$C$25*12,'Mortgage Calculators (By Month)'!$L379,"-")</f>
        <v>10</v>
      </c>
      <c r="AN361" s="132">
        <f t="shared" si="167"/>
        <v>0</v>
      </c>
      <c r="AO361" s="132">
        <f t="shared" si="158"/>
        <v>5384.4846913061128</v>
      </c>
      <c r="AP361" s="132">
        <f t="shared" si="159"/>
        <v>29955.679169052491</v>
      </c>
      <c r="AQ361" s="132">
        <f t="shared" si="160"/>
        <v>0</v>
      </c>
      <c r="AR361" s="132">
        <f t="shared" si="141"/>
        <v>29955.679169052491</v>
      </c>
      <c r="AS361" s="132">
        <f>IF($AD361&lt;=$C$25*12,SUM(AR$5:AR361),"-")</f>
        <v>5464832.1130940523</v>
      </c>
      <c r="AT361" s="132">
        <f>IF($AD361&lt;=$C$25*12,AE361-$C$10-'RE Calculations'!$C548-'Mortgage Calculators (By Month)'!$M379,"-")</f>
        <v>5235565.7734376006</v>
      </c>
      <c r="AU361" s="29">
        <f t="shared" si="161"/>
        <v>3.2701295939653741</v>
      </c>
      <c r="AV361" s="31">
        <f t="shared" si="162"/>
        <v>0.10992032248623106</v>
      </c>
      <c r="AW361" s="132">
        <f t="shared" si="163"/>
        <v>10700397.886531653</v>
      </c>
      <c r="AX361" s="29">
        <f t="shared" si="164"/>
        <v>6.6834587340073917</v>
      </c>
      <c r="AY361" s="31">
        <f t="shared" si="165"/>
        <v>0.22465407509268542</v>
      </c>
    </row>
    <row r="362" spans="6:51" x14ac:dyDescent="0.35">
      <c r="F362" s="12">
        <f t="shared" si="142"/>
        <v>358</v>
      </c>
      <c r="G362" s="132">
        <f t="shared" si="143"/>
        <v>7009147.1757265404</v>
      </c>
      <c r="H362" s="132">
        <f>IF($F362&lt;=$C$16*12,$G362-$C$7+SUM('Mortgage Calculators (By Month)'!$D$23:$D380),"-")</f>
        <v>7009147.1757265404</v>
      </c>
      <c r="I362" s="132">
        <f t="shared" si="144"/>
        <v>35330.163860358603</v>
      </c>
      <c r="J362" s="132">
        <f>IF($F362&lt;=$C$16*12,SUM(Inputs!$C$61:$C$78)*'Forecast (By Month)'!I362,"-")</f>
        <v>3886.3180246394463</v>
      </c>
      <c r="K362" s="132">
        <f>IF($F362&lt;=$C$16*12,(SUMIF(Inputs!$C$61:$C$78,0,Inputs!$F$61:$F$78)/12)*(1+$C$34)^ROUNDDOWN((F362-1)/12,0),"-")</f>
        <v>1488.1666666666667</v>
      </c>
      <c r="L362" s="132">
        <f t="shared" si="145"/>
        <v>5374.4846913061128</v>
      </c>
      <c r="M362" s="132">
        <f>IF($F362&lt;=$C$16*12,'Mortgage Calculators (By Month)'!$C380,"-")</f>
        <v>0</v>
      </c>
      <c r="N362" s="132">
        <f>IF($F362&lt;=$C$16*12,'Mortgage Calculators (By Month)'!$D380,"-")</f>
        <v>0</v>
      </c>
      <c r="O362" s="132">
        <f>IF($F362&lt;=$C$16*12,'Mortgage Calculators (By Month)'!$E380,"-")</f>
        <v>8.3333333333333339</v>
      </c>
      <c r="P362" s="132">
        <f t="shared" si="166"/>
        <v>0</v>
      </c>
      <c r="Q362" s="132">
        <f t="shared" si="146"/>
        <v>5382.8180246394459</v>
      </c>
      <c r="R362" s="132">
        <f t="shared" si="147"/>
        <v>29955.679169052491</v>
      </c>
      <c r="S362" s="132">
        <f t="shared" si="148"/>
        <v>0</v>
      </c>
      <c r="T362" s="132">
        <f t="shared" si="140"/>
        <v>29955.679169052491</v>
      </c>
      <c r="U362" s="132">
        <f>IF($F362&lt;=$C$16*12,SUM(T$5:T362),"-")</f>
        <v>5494797.7922631046</v>
      </c>
      <c r="V362" s="132">
        <f>IF($F362&lt;=$C$16*12,G362-$C$10-'RE Calculations'!$C549-'Mortgage Calculators (By Month)'!$F380,"-")</f>
        <v>5263437.232212008</v>
      </c>
      <c r="W362" s="29">
        <f t="shared" si="149"/>
        <v>3.2875380816263609</v>
      </c>
      <c r="X362" s="31">
        <f t="shared" si="150"/>
        <v>0.11019680720535288</v>
      </c>
      <c r="Y362" s="132">
        <f t="shared" si="151"/>
        <v>10758235.024475113</v>
      </c>
      <c r="Z362" s="29">
        <f t="shared" si="152"/>
        <v>6.719583757472618</v>
      </c>
      <c r="AA362" s="31">
        <f t="shared" si="153"/>
        <v>0.22523744438455703</v>
      </c>
      <c r="AD362" s="12">
        <f t="shared" si="154"/>
        <v>358</v>
      </c>
      <c r="AE362" s="132">
        <f t="shared" si="155"/>
        <v>7009147.1757265404</v>
      </c>
      <c r="AF362" s="132">
        <f>IF($AD362&lt;=$C$25*12,$AE362-$C$7+SUM('Mortgage Calculators (By Month)'!$K$23:$K380),"-")</f>
        <v>7009147.1757265404</v>
      </c>
      <c r="AG362" s="132">
        <f t="shared" si="156"/>
        <v>35330.163860358603</v>
      </c>
      <c r="AH362" s="132">
        <f>IF($AD362&lt;=$C$25*12,SUM(Inputs!$C$61:$C$78)*'Forecast (By Month)'!AG362,"-")</f>
        <v>3886.3180246394463</v>
      </c>
      <c r="AI362" s="132">
        <f>IF($AD362&lt;=$C$25*12,(SUMIF(Inputs!$C$61:$C$78,0,Inputs!$F$61:$F$78)/12)*(1+$C$34)^ROUNDDOWN((AD362-1)/12,0),"-")</f>
        <v>1488.1666666666667</v>
      </c>
      <c r="AJ362" s="132">
        <f t="shared" si="157"/>
        <v>5374.4846913061128</v>
      </c>
      <c r="AK362" s="132">
        <f>IF($AD362&lt;=$C$25*12,'Mortgage Calculators (By Month)'!$J380,"-")</f>
        <v>0</v>
      </c>
      <c r="AL362" s="132">
        <f>IF($AD362&lt;=$C$25*12,'Mortgage Calculators (By Month)'!$K380,"-")</f>
        <v>0</v>
      </c>
      <c r="AM362" s="132">
        <f>IF($AD362&lt;=$C$25*12,'Mortgage Calculators (By Month)'!$L380,"-")</f>
        <v>10</v>
      </c>
      <c r="AN362" s="132">
        <f t="shared" si="167"/>
        <v>0</v>
      </c>
      <c r="AO362" s="132">
        <f t="shared" si="158"/>
        <v>5384.4846913061128</v>
      </c>
      <c r="AP362" s="132">
        <f t="shared" si="159"/>
        <v>29955.679169052491</v>
      </c>
      <c r="AQ362" s="132">
        <f t="shared" si="160"/>
        <v>0</v>
      </c>
      <c r="AR362" s="132">
        <f t="shared" si="141"/>
        <v>29955.679169052491</v>
      </c>
      <c r="AS362" s="132">
        <f>IF($AD362&lt;=$C$25*12,SUM(AR$5:AR362),"-")</f>
        <v>5494787.7922631046</v>
      </c>
      <c r="AT362" s="132">
        <f>IF($AD362&lt;=$C$25*12,AE362-$C$10-'RE Calculations'!$C549-'Mortgage Calculators (By Month)'!$M380,"-")</f>
        <v>5263437.232212008</v>
      </c>
      <c r="AU362" s="29">
        <f t="shared" si="161"/>
        <v>3.2875380816263609</v>
      </c>
      <c r="AV362" s="31">
        <f t="shared" si="162"/>
        <v>0.11019680720535288</v>
      </c>
      <c r="AW362" s="132">
        <f t="shared" si="163"/>
        <v>10758225.024475113</v>
      </c>
      <c r="AX362" s="29">
        <f t="shared" si="164"/>
        <v>6.7195775114817629</v>
      </c>
      <c r="AY362" s="31">
        <f t="shared" si="165"/>
        <v>0.22523723502173507</v>
      </c>
    </row>
    <row r="363" spans="6:51" x14ac:dyDescent="0.35">
      <c r="F363" s="12">
        <f t="shared" si="142"/>
        <v>359</v>
      </c>
      <c r="G363" s="132">
        <f t="shared" si="143"/>
        <v>7037703.3089382593</v>
      </c>
      <c r="H363" s="132">
        <f>IF($F363&lt;=$C$16*12,$G363-$C$7+SUM('Mortgage Calculators (By Month)'!$D$23:$D381),"-")</f>
        <v>7037703.3089382593</v>
      </c>
      <c r="I363" s="132">
        <f t="shared" si="144"/>
        <v>35330.163860358603</v>
      </c>
      <c r="J363" s="132">
        <f>IF($F363&lt;=$C$16*12,SUM(Inputs!$C$61:$C$78)*'Forecast (By Month)'!I363,"-")</f>
        <v>3886.3180246394463</v>
      </c>
      <c r="K363" s="132">
        <f>IF($F363&lt;=$C$16*12,(SUMIF(Inputs!$C$61:$C$78,0,Inputs!$F$61:$F$78)/12)*(1+$C$34)^ROUNDDOWN((F363-1)/12,0),"-")</f>
        <v>1488.1666666666667</v>
      </c>
      <c r="L363" s="132">
        <f t="shared" si="145"/>
        <v>5374.4846913061128</v>
      </c>
      <c r="M363" s="132">
        <f>IF($F363&lt;=$C$16*12,'Mortgage Calculators (By Month)'!$C381,"-")</f>
        <v>0</v>
      </c>
      <c r="N363" s="132">
        <f>IF($F363&lt;=$C$16*12,'Mortgage Calculators (By Month)'!$D381,"-")</f>
        <v>0</v>
      </c>
      <c r="O363" s="132">
        <f>IF($F363&lt;=$C$16*12,'Mortgage Calculators (By Month)'!$E381,"-")</f>
        <v>8.3333333333333339</v>
      </c>
      <c r="P363" s="132">
        <f t="shared" si="166"/>
        <v>0</v>
      </c>
      <c r="Q363" s="132">
        <f t="shared" si="146"/>
        <v>5382.8180246394459</v>
      </c>
      <c r="R363" s="132">
        <f t="shared" si="147"/>
        <v>29955.679169052491</v>
      </c>
      <c r="S363" s="132">
        <f t="shared" si="148"/>
        <v>0</v>
      </c>
      <c r="T363" s="132">
        <f t="shared" si="140"/>
        <v>29955.679169052491</v>
      </c>
      <c r="U363" s="132">
        <f>IF($F363&lt;=$C$16*12,SUM(T$5:T363),"-")</f>
        <v>5524753.4714321569</v>
      </c>
      <c r="V363" s="132">
        <f>IF($F363&lt;=$C$16*12,G363-$C$10-'RE Calculations'!$C550-'Mortgage Calculators (By Month)'!$F381,"-")</f>
        <v>5291422.2427594922</v>
      </c>
      <c r="W363" s="29">
        <f t="shared" si="149"/>
        <v>3.3050174936209649</v>
      </c>
      <c r="X363" s="31">
        <f t="shared" si="150"/>
        <v>0.11047412234944728</v>
      </c>
      <c r="Y363" s="132">
        <f t="shared" si="151"/>
        <v>10816175.714191649</v>
      </c>
      <c r="Z363" s="29">
        <f t="shared" si="152"/>
        <v>6.7557734592806051</v>
      </c>
      <c r="AA363" s="31">
        <f t="shared" si="153"/>
        <v>0.22581972565840461</v>
      </c>
      <c r="AD363" s="12">
        <f t="shared" si="154"/>
        <v>359</v>
      </c>
      <c r="AE363" s="132">
        <f t="shared" si="155"/>
        <v>7037703.3089382593</v>
      </c>
      <c r="AF363" s="132">
        <f>IF($AD363&lt;=$C$25*12,$AE363-$C$7+SUM('Mortgage Calculators (By Month)'!$K$23:$K381),"-")</f>
        <v>7037703.3089382593</v>
      </c>
      <c r="AG363" s="132">
        <f t="shared" si="156"/>
        <v>35330.163860358603</v>
      </c>
      <c r="AH363" s="132">
        <f>IF($AD363&lt;=$C$25*12,SUM(Inputs!$C$61:$C$78)*'Forecast (By Month)'!AG363,"-")</f>
        <v>3886.3180246394463</v>
      </c>
      <c r="AI363" s="132">
        <f>IF($AD363&lt;=$C$25*12,(SUMIF(Inputs!$C$61:$C$78,0,Inputs!$F$61:$F$78)/12)*(1+$C$34)^ROUNDDOWN((AD363-1)/12,0),"-")</f>
        <v>1488.1666666666667</v>
      </c>
      <c r="AJ363" s="132">
        <f t="shared" si="157"/>
        <v>5374.4846913061128</v>
      </c>
      <c r="AK363" s="132">
        <f>IF($AD363&lt;=$C$25*12,'Mortgage Calculators (By Month)'!$J381,"-")</f>
        <v>0</v>
      </c>
      <c r="AL363" s="132">
        <f>IF($AD363&lt;=$C$25*12,'Mortgage Calculators (By Month)'!$K381,"-")</f>
        <v>0</v>
      </c>
      <c r="AM363" s="132">
        <f>IF($AD363&lt;=$C$25*12,'Mortgage Calculators (By Month)'!$L381,"-")</f>
        <v>10</v>
      </c>
      <c r="AN363" s="132">
        <f t="shared" si="167"/>
        <v>0</v>
      </c>
      <c r="AO363" s="132">
        <f t="shared" si="158"/>
        <v>5384.4846913061128</v>
      </c>
      <c r="AP363" s="132">
        <f t="shared" si="159"/>
        <v>29955.679169052491</v>
      </c>
      <c r="AQ363" s="132">
        <f t="shared" si="160"/>
        <v>0</v>
      </c>
      <c r="AR363" s="132">
        <f t="shared" si="141"/>
        <v>29955.679169052491</v>
      </c>
      <c r="AS363" s="132">
        <f>IF($AD363&lt;=$C$25*12,SUM(AR$5:AR363),"-")</f>
        <v>5524743.4714321569</v>
      </c>
      <c r="AT363" s="132">
        <f>IF($AD363&lt;=$C$25*12,AE363-$C$10-'RE Calculations'!$C550-'Mortgage Calculators (By Month)'!$M381,"-")</f>
        <v>5291422.2427594922</v>
      </c>
      <c r="AU363" s="29">
        <f t="shared" si="161"/>
        <v>3.3050174936209649</v>
      </c>
      <c r="AV363" s="31">
        <f t="shared" si="162"/>
        <v>0.11047412234944728</v>
      </c>
      <c r="AW363" s="132">
        <f t="shared" si="163"/>
        <v>10816165.714191649</v>
      </c>
      <c r="AX363" s="29">
        <f t="shared" si="164"/>
        <v>6.7557672132897499</v>
      </c>
      <c r="AY363" s="31">
        <f t="shared" si="165"/>
        <v>0.225819516878766</v>
      </c>
    </row>
    <row r="364" spans="6:51" x14ac:dyDescent="0.35">
      <c r="F364" s="12">
        <f t="shared" si="142"/>
        <v>360</v>
      </c>
      <c r="G364" s="132">
        <f t="shared" si="143"/>
        <v>7066375.7833714653</v>
      </c>
      <c r="H364" s="132">
        <f>IF($F364&lt;=$C$16*12,$G364-$C$7+SUM('Mortgage Calculators (By Month)'!$D$23:$D382),"-")</f>
        <v>7066375.7833714653</v>
      </c>
      <c r="I364" s="132">
        <f t="shared" si="144"/>
        <v>35330.163860358603</v>
      </c>
      <c r="J364" s="132">
        <f>IF($F364&lt;=$C$16*12,SUM(Inputs!$C$61:$C$78)*'Forecast (By Month)'!I364,"-")</f>
        <v>3886.3180246394463</v>
      </c>
      <c r="K364" s="132">
        <f>IF($F364&lt;=$C$16*12,(SUMIF(Inputs!$C$61:$C$78,0,Inputs!$F$61:$F$78)/12)*(1+$C$34)^ROUNDDOWN((F364-1)/12,0),"-")</f>
        <v>1488.1666666666667</v>
      </c>
      <c r="L364" s="132">
        <f t="shared" si="145"/>
        <v>5374.4846913061128</v>
      </c>
      <c r="M364" s="132">
        <f>IF($F364&lt;=$C$16*12,'Mortgage Calculators (By Month)'!$C382,"-")</f>
        <v>0</v>
      </c>
      <c r="N364" s="132">
        <f>IF($F364&lt;=$C$16*12,'Mortgage Calculators (By Month)'!$D382,"-")</f>
        <v>0</v>
      </c>
      <c r="O364" s="132">
        <f>IF($F364&lt;=$C$16*12,'Mortgage Calculators (By Month)'!$E382,"-")</f>
        <v>8.3333333333333339</v>
      </c>
      <c r="P364" s="132">
        <f t="shared" si="166"/>
        <v>0</v>
      </c>
      <c r="Q364" s="132">
        <f t="shared" si="146"/>
        <v>5382.8180246394459</v>
      </c>
      <c r="R364" s="132">
        <f t="shared" si="147"/>
        <v>29955.679169052491</v>
      </c>
      <c r="S364" s="132">
        <f t="shared" si="148"/>
        <v>0</v>
      </c>
      <c r="T364" s="132">
        <f t="shared" si="140"/>
        <v>29955.679169052491</v>
      </c>
      <c r="U364" s="132">
        <f>IF($F364&lt;=$C$16*12,SUM(T$5:T364),"-")</f>
        <v>5554709.1506012091</v>
      </c>
      <c r="V364" s="132">
        <f>IF($F364&lt;=$C$16*12,G364-$C$10-'RE Calculations'!$C551-'Mortgage Calculators (By Month)'!$F382,"-")</f>
        <v>5319521.2677040342</v>
      </c>
      <c r="W364" s="29">
        <f t="shared" si="149"/>
        <v>3.3225681189037002</v>
      </c>
      <c r="X364" s="31">
        <f t="shared" si="150"/>
        <v>0.11075227063012334</v>
      </c>
      <c r="Y364" s="132">
        <f t="shared" si="151"/>
        <v>10874230.418305244</v>
      </c>
      <c r="Z364" s="29">
        <f t="shared" si="152"/>
        <v>6.7920343743767244</v>
      </c>
      <c r="AA364" s="31">
        <f t="shared" si="153"/>
        <v>0.22640114581255749</v>
      </c>
      <c r="AD364" s="12">
        <f t="shared" si="154"/>
        <v>360</v>
      </c>
      <c r="AE364" s="132">
        <f t="shared" si="155"/>
        <v>7066375.7833714653</v>
      </c>
      <c r="AF364" s="132">
        <f>IF($AD364&lt;=$C$25*12,$AE364-$C$7+SUM('Mortgage Calculators (By Month)'!$K$23:$K382),"-")</f>
        <v>7066375.7833714653</v>
      </c>
      <c r="AG364" s="132">
        <f t="shared" si="156"/>
        <v>35330.163860358603</v>
      </c>
      <c r="AH364" s="132">
        <f>IF($AD364&lt;=$C$25*12,SUM(Inputs!$C$61:$C$78)*'Forecast (By Month)'!AG364,"-")</f>
        <v>3886.3180246394463</v>
      </c>
      <c r="AI364" s="132">
        <f>IF($AD364&lt;=$C$25*12,(SUMIF(Inputs!$C$61:$C$78,0,Inputs!$F$61:$F$78)/12)*(1+$C$34)^ROUNDDOWN((AD364-1)/12,0),"-")</f>
        <v>1488.1666666666667</v>
      </c>
      <c r="AJ364" s="132">
        <f t="shared" si="157"/>
        <v>5374.4846913061128</v>
      </c>
      <c r="AK364" s="132">
        <f>IF($AD364&lt;=$C$25*12,'Mortgage Calculators (By Month)'!$J382,"-")</f>
        <v>0</v>
      </c>
      <c r="AL364" s="132">
        <f>IF($AD364&lt;=$C$25*12,'Mortgage Calculators (By Month)'!$K382,"-")</f>
        <v>0</v>
      </c>
      <c r="AM364" s="132">
        <f>IF($AD364&lt;=$C$25*12,'Mortgage Calculators (By Month)'!$L382,"-")</f>
        <v>10</v>
      </c>
      <c r="AN364" s="132">
        <f t="shared" si="167"/>
        <v>0</v>
      </c>
      <c r="AO364" s="132">
        <f t="shared" si="158"/>
        <v>5384.4846913061128</v>
      </c>
      <c r="AP364" s="132">
        <f t="shared" si="159"/>
        <v>29955.679169052491</v>
      </c>
      <c r="AQ364" s="132">
        <f t="shared" si="160"/>
        <v>0</v>
      </c>
      <c r="AR364" s="132">
        <f t="shared" si="141"/>
        <v>29955.679169052491</v>
      </c>
      <c r="AS364" s="132">
        <f>IF($AD364&lt;=$C$25*12,SUM(AR$5:AR364),"-")</f>
        <v>5554699.1506012091</v>
      </c>
      <c r="AT364" s="132">
        <f>IF($AD364&lt;=$C$25*12,AE364-$C$10-'RE Calculations'!$C551-'Mortgage Calculators (By Month)'!$M382,"-")</f>
        <v>5319521.2677040342</v>
      </c>
      <c r="AU364" s="29">
        <f t="shared" si="161"/>
        <v>3.3225681189037002</v>
      </c>
      <c r="AV364" s="31">
        <f t="shared" si="162"/>
        <v>0.11075227063012334</v>
      </c>
      <c r="AW364" s="132">
        <f t="shared" si="163"/>
        <v>10874220.418305244</v>
      </c>
      <c r="AX364" s="29">
        <f t="shared" si="164"/>
        <v>6.7920281283858701</v>
      </c>
      <c r="AY364" s="31">
        <f t="shared" si="165"/>
        <v>0.22640093761286234</v>
      </c>
    </row>
    <row r="365" spans="6:51" x14ac:dyDescent="0.35">
      <c r="F365" s="12" t="str">
        <f t="shared" si="142"/>
        <v>-</v>
      </c>
      <c r="G365" s="8" t="str">
        <f t="shared" si="143"/>
        <v>-</v>
      </c>
      <c r="H365" s="8" t="str">
        <f>IF($F365&lt;=$C$16*12,$G365-$C$7+SUM('Mortgage Calculators (By Month)'!$D$23:$D383),"-")</f>
        <v>-</v>
      </c>
      <c r="I365" s="8" t="str">
        <f t="shared" si="144"/>
        <v>-</v>
      </c>
      <c r="J365" s="8" t="str">
        <f>IF($F365&lt;=$C$16*12,SUM(Inputs!$C$61:$C$78)*'Forecast (By Month)'!I365,"-")</f>
        <v>-</v>
      </c>
      <c r="K365" s="8" t="str">
        <f>IF($F365&lt;=$C$16*12,(SUMIF(Inputs!$C$61:$C$78,0,Inputs!$F$61:$F$78)/12)*(1+$C$34)^ROUNDDOWN((F365-1)/12,0),"-")</f>
        <v>-</v>
      </c>
      <c r="L365" s="8" t="str">
        <f t="shared" si="145"/>
        <v>-</v>
      </c>
      <c r="M365" s="8" t="str">
        <f>IF($F365&lt;=$C$16*12,'Mortgage Calculators (By Month)'!$C383,"-")</f>
        <v>-</v>
      </c>
      <c r="N365" s="8" t="str">
        <f>IF($F365&lt;=$C$16*12,'Mortgage Calculators (By Month)'!$D383,"-")</f>
        <v>-</v>
      </c>
      <c r="O365" s="8" t="str">
        <f>IF($F365&lt;=$C$16*12,'Mortgage Calculators (By Month)'!$E383,"-")</f>
        <v>-</v>
      </c>
      <c r="P365" s="8" t="str">
        <f t="shared" si="166"/>
        <v>-</v>
      </c>
      <c r="Q365" s="8" t="str">
        <f t="shared" si="146"/>
        <v>-</v>
      </c>
      <c r="R365" s="8" t="str">
        <f t="shared" si="147"/>
        <v>-</v>
      </c>
      <c r="S365" s="8" t="str">
        <f t="shared" si="148"/>
        <v>-</v>
      </c>
      <c r="T365" s="8" t="str">
        <f t="shared" si="140"/>
        <v>-</v>
      </c>
      <c r="U365" s="8" t="str">
        <f>IF($F365&lt;=$C$16*12,SUM(T$5:T365),"-")</f>
        <v>-</v>
      </c>
      <c r="V365" s="8" t="str">
        <f>IF($F365&lt;=$C$16*12,G365-$C$10-'RE Calculations'!$C552-'Mortgage Calculators (By Month)'!$F383,"-")</f>
        <v>-</v>
      </c>
      <c r="W365" s="29" t="str">
        <f t="shared" si="149"/>
        <v>-</v>
      </c>
      <c r="X365" s="31" t="str">
        <f t="shared" si="150"/>
        <v>-</v>
      </c>
      <c r="Y365" s="8" t="str">
        <f t="shared" si="151"/>
        <v>-</v>
      </c>
      <c r="Z365" s="29" t="str">
        <f t="shared" si="152"/>
        <v>-</v>
      </c>
      <c r="AA365" s="31" t="str">
        <f t="shared" si="153"/>
        <v>-</v>
      </c>
      <c r="AD365" s="12" t="str">
        <f t="shared" si="154"/>
        <v>-</v>
      </c>
      <c r="AE365" s="8" t="str">
        <f t="shared" si="155"/>
        <v>-</v>
      </c>
      <c r="AF365" s="8" t="str">
        <f>IF($AD365&lt;=$C$25*12,$AE365-$C$7+SUM('Mortgage Calculators (By Month)'!$K$23:$K383),"-")</f>
        <v>-</v>
      </c>
      <c r="AG365" s="8" t="str">
        <f t="shared" si="156"/>
        <v>-</v>
      </c>
      <c r="AH365" s="8" t="str">
        <f>IF($AD365&lt;=$C$25*12,SUM(Inputs!$C$61:$C$78)*'Forecast (By Month)'!AG365,"-")</f>
        <v>-</v>
      </c>
      <c r="AI365" s="8" t="str">
        <f>IF($AD365&lt;=$C$25*12,(SUMIF(Inputs!$C$61:$C$78,0,Inputs!$F$61:$F$78)/12)*(1+$C$34)^ROUNDDOWN((AD365-1)/12,0),"-")</f>
        <v>-</v>
      </c>
      <c r="AJ365" s="8" t="str">
        <f t="shared" si="157"/>
        <v>-</v>
      </c>
      <c r="AK365" s="8" t="str">
        <f>IF($AD365&lt;=$C$25*12,'Mortgage Calculators (By Month)'!$J383,"-")</f>
        <v>-</v>
      </c>
      <c r="AL365" s="8" t="str">
        <f>IF($AD365&lt;=$C$25*12,'Mortgage Calculators (By Month)'!$K383,"-")</f>
        <v>-</v>
      </c>
      <c r="AM365" s="8" t="str">
        <f>IF($AD365&lt;=$C$25*12,'Mortgage Calculators (By Month)'!$L383,"-")</f>
        <v>-</v>
      </c>
      <c r="AN365" s="8" t="str">
        <f t="shared" si="167"/>
        <v>-</v>
      </c>
      <c r="AO365" s="8" t="str">
        <f t="shared" si="158"/>
        <v>-</v>
      </c>
      <c r="AP365" s="8" t="str">
        <f t="shared" si="159"/>
        <v>-</v>
      </c>
      <c r="AQ365" s="8" t="str">
        <f t="shared" si="160"/>
        <v>-</v>
      </c>
      <c r="AR365" s="8" t="str">
        <f t="shared" si="141"/>
        <v>-</v>
      </c>
      <c r="AS365" s="8" t="str">
        <f>IF($AD365&lt;=$C$25*12,SUM(AR$5:AR365),"-")</f>
        <v>-</v>
      </c>
      <c r="AT365" s="8" t="str">
        <f>IF($AD365&lt;=$C$25*12,AE365-$C$10-'RE Calculations'!$C552-'Mortgage Calculators (By Month)'!$M383,"-")</f>
        <v>-</v>
      </c>
      <c r="AU365" s="29" t="str">
        <f t="shared" si="161"/>
        <v>-</v>
      </c>
      <c r="AV365" s="31" t="str">
        <f t="shared" si="162"/>
        <v>-</v>
      </c>
      <c r="AW365" s="8" t="str">
        <f t="shared" si="163"/>
        <v>-</v>
      </c>
      <c r="AX365" s="29" t="str">
        <f t="shared" si="164"/>
        <v>-</v>
      </c>
      <c r="AY365" s="31" t="str">
        <f t="shared" si="165"/>
        <v>-</v>
      </c>
    </row>
    <row r="366" spans="6:51" x14ac:dyDescent="0.35">
      <c r="F366" s="12" t="str">
        <f t="shared" si="142"/>
        <v>-</v>
      </c>
      <c r="G366" s="8" t="str">
        <f t="shared" si="143"/>
        <v>-</v>
      </c>
      <c r="H366" s="8" t="str">
        <f>IF($F366&lt;=$C$16*12,$G366-$C$7+SUM('Mortgage Calculators (By Month)'!$D$23:$D384),"-")</f>
        <v>-</v>
      </c>
      <c r="I366" s="8" t="str">
        <f t="shared" ref="I366:I429" si="168">IF($F366&lt;=$C$16*12,$C$9*(1+$C$33)^ROUNDDOWN((F366-1)/12,0),"-")</f>
        <v>-</v>
      </c>
      <c r="J366" s="8" t="str">
        <f>IF($F366&lt;=$C$16*12,SUM(Inputs!$C$61:$C$78)*'Forecast (By Month)'!I366,"-")</f>
        <v>-</v>
      </c>
      <c r="K366" s="8" t="str">
        <f>IF($F366&lt;=$C$16*12,(SUMIF(Inputs!$C$61:$C$78,0,Inputs!$F$61:$F$78)/12)*(1+$C$34)^ROUNDDOWN((F366-1)/12,0),"-")</f>
        <v>-</v>
      </c>
      <c r="L366" s="8" t="str">
        <f t="shared" ref="L366:L429" si="169">IF($F366&lt;=$C$16*12,SUM(J366:K366),"-")</f>
        <v>-</v>
      </c>
      <c r="M366" s="8" t="str">
        <f>IF($F366&lt;=$C$16*12,'Mortgage Calculators (By Month)'!$C384,"-")</f>
        <v>-</v>
      </c>
      <c r="N366" s="8" t="str">
        <f>IF($F366&lt;=$C$16*12,'Mortgage Calculators (By Month)'!$D384,"-")</f>
        <v>-</v>
      </c>
      <c r="O366" s="8" t="str">
        <f>IF($F366&lt;=$C$16*12,'Mortgage Calculators (By Month)'!$E384,"-")</f>
        <v>-</v>
      </c>
      <c r="P366" s="8" t="str">
        <f t="shared" si="166"/>
        <v>-</v>
      </c>
      <c r="Q366" s="8" t="str">
        <f t="shared" ref="Q366:Q429" si="170">IF($F366&lt;=$C$16*12,L366+O366+P366,"-")</f>
        <v>-</v>
      </c>
      <c r="R366" s="8" t="str">
        <f t="shared" ref="R366:R429" si="171">IF($F366&lt;=$C$16*12,$I366-$L366-M366,"-")</f>
        <v>-</v>
      </c>
      <c r="S366" s="8" t="str">
        <f t="shared" ref="S366:S429" si="172">IF($F366&lt;=$C$16*12,(I366-Q366)*$C$35,"-")</f>
        <v>-</v>
      </c>
      <c r="T366" s="8" t="str">
        <f t="shared" ref="T366:T429" si="173">IF($F366&lt;=$C$16*12,R366-S366,"-")</f>
        <v>-</v>
      </c>
      <c r="U366" s="8" t="str">
        <f>IF($F366&lt;=$C$16*12,SUM(T$5:T366),"-")</f>
        <v>-</v>
      </c>
      <c r="V366" s="8" t="str">
        <f>IF($F366&lt;=$C$16*12,G366-$C$10-'RE Calculations'!$C553-'Mortgage Calculators (By Month)'!$F384,"-")</f>
        <v>-</v>
      </c>
      <c r="W366" s="29" t="str">
        <f t="shared" ref="W366:W429" si="174">IF($F366&lt;=$C$16*12,V366/$C$10,"-")</f>
        <v>-</v>
      </c>
      <c r="X366" s="31" t="str">
        <f t="shared" ref="X366:X429" si="175">IF($F366&lt;=$C$16*12,W366/($F366/12),"-")</f>
        <v>-</v>
      </c>
      <c r="Y366" s="8" t="str">
        <f t="shared" ref="Y366:Y429" si="176">IF($F366&lt;=$C$16*12,V366+U366,"-")</f>
        <v>-</v>
      </c>
      <c r="Z366" s="29" t="str">
        <f t="shared" ref="Z366:Z429" si="177">IF($F366&lt;=$C$16*12,Y366/$C$10,"-")</f>
        <v>-</v>
      </c>
      <c r="AA366" s="31" t="str">
        <f t="shared" ref="AA366:AA429" si="178">IF($F366&lt;=$C$16*12,Z366/($F366/12),"-")</f>
        <v>-</v>
      </c>
      <c r="AD366" s="12" t="str">
        <f t="shared" si="154"/>
        <v>-</v>
      </c>
      <c r="AE366" s="8" t="str">
        <f t="shared" si="155"/>
        <v>-</v>
      </c>
      <c r="AF366" s="8" t="str">
        <f>IF($AD366&lt;=$C$25*12,$AE366-$C$7+SUM('Mortgage Calculators (By Month)'!$K$23:$K384),"-")</f>
        <v>-</v>
      </c>
      <c r="AG366" s="8" t="str">
        <f t="shared" ref="AG366:AG429" si="179">IF($AD366&lt;=$C$25*12,$C$9*(1+$C$33)^ROUNDDOWN((AD366-1)/12,0),"-")</f>
        <v>-</v>
      </c>
      <c r="AH366" s="8" t="str">
        <f>IF($AD366&lt;=$C$25*12,SUM(Inputs!$C$61:$C$78)*'Forecast (By Month)'!AG366,"-")</f>
        <v>-</v>
      </c>
      <c r="AI366" s="8" t="str">
        <f>IF($AD366&lt;=$C$25*12,(SUMIF(Inputs!$C$61:$C$78,0,Inputs!$F$61:$F$78)/12)*(1+$C$34)^ROUNDDOWN((AD366-1)/12,0),"-")</f>
        <v>-</v>
      </c>
      <c r="AJ366" s="8" t="str">
        <f t="shared" ref="AJ366:AJ429" si="180">IF($AD366&lt;=$C$25*12,SUM(AH366:AI366),"-")</f>
        <v>-</v>
      </c>
      <c r="AK366" s="8" t="str">
        <f>IF($AD366&lt;=$C$25*12,'Mortgage Calculators (By Month)'!$J384,"-")</f>
        <v>-</v>
      </c>
      <c r="AL366" s="8" t="str">
        <f>IF($AD366&lt;=$C$25*12,'Mortgage Calculators (By Month)'!$K384,"-")</f>
        <v>-</v>
      </c>
      <c r="AM366" s="8" t="str">
        <f>IF($AD366&lt;=$C$25*12,'Mortgage Calculators (By Month)'!$L384,"-")</f>
        <v>-</v>
      </c>
      <c r="AN366" s="8" t="str">
        <f t="shared" si="167"/>
        <v>-</v>
      </c>
      <c r="AO366" s="8" t="str">
        <f t="shared" ref="AO366:AO429" si="181">IF($AD366&lt;=$C$25*12,AJ366+AM366+AN366,"-")</f>
        <v>-</v>
      </c>
      <c r="AP366" s="8" t="str">
        <f t="shared" ref="AP366:AP429" si="182">IF($AD366&lt;=$C$25*12,$AG366-$AJ366-AK366,"-")</f>
        <v>-</v>
      </c>
      <c r="AQ366" s="8" t="str">
        <f t="shared" ref="AQ366:AQ429" si="183">IF($AD366&lt;=$C$25*12,(AG366-AO366)*$C$35,"-")</f>
        <v>-</v>
      </c>
      <c r="AR366" s="8" t="str">
        <f t="shared" ref="AR366:AR429" si="184">IF($AD366&lt;=$C$25*12,AP366-AQ366,"-")</f>
        <v>-</v>
      </c>
      <c r="AS366" s="8" t="str">
        <f>IF($AD366&lt;=$C$25*12,SUM(AR$5:AR366),"-")</f>
        <v>-</v>
      </c>
      <c r="AT366" s="8" t="str">
        <f>IF($AD366&lt;=$C$25*12,AE366-$C$10-'RE Calculations'!$C553-'Mortgage Calculators (By Month)'!$M384,"-")</f>
        <v>-</v>
      </c>
      <c r="AU366" s="29" t="str">
        <f t="shared" ref="AU366:AU429" si="185">IF($AD366&lt;=$C$25*12,AT366/$C$10,"-")</f>
        <v>-</v>
      </c>
      <c r="AV366" s="31" t="str">
        <f t="shared" ref="AV366:AV429" si="186">IF($AD366&lt;=$C$25*12,AU366/($AD366/12),"-")</f>
        <v>-</v>
      </c>
      <c r="AW366" s="8" t="str">
        <f t="shared" ref="AW366:AW429" si="187">IF($AD366&lt;=$C$25*12,AT366+AS366,"-")</f>
        <v>-</v>
      </c>
      <c r="AX366" s="29" t="str">
        <f t="shared" ref="AX366:AX429" si="188">IF($AD366&lt;=$C$25*12,AW366/$C$10,"-")</f>
        <v>-</v>
      </c>
      <c r="AY366" s="31" t="str">
        <f t="shared" ref="AY366:AY429" si="189">IF($AD366&lt;=$C$25*12,AX366/($AD366/12),"-")</f>
        <v>-</v>
      </c>
    </row>
    <row r="367" spans="6:51" x14ac:dyDescent="0.35">
      <c r="F367" s="12" t="str">
        <f t="shared" si="142"/>
        <v>-</v>
      </c>
      <c r="G367" s="8" t="str">
        <f t="shared" si="143"/>
        <v>-</v>
      </c>
      <c r="H367" s="8" t="str">
        <f>IF($F367&lt;=$C$16*12,$G367-$C$7+SUM('Mortgage Calculators (By Month)'!$D$23:$D385),"-")</f>
        <v>-</v>
      </c>
      <c r="I367" s="8" t="str">
        <f t="shared" si="168"/>
        <v>-</v>
      </c>
      <c r="J367" s="8" t="str">
        <f>IF($F367&lt;=$C$16*12,SUM(Inputs!$C$61:$C$78)*'Forecast (By Month)'!I367,"-")</f>
        <v>-</v>
      </c>
      <c r="K367" s="8" t="str">
        <f>IF($F367&lt;=$C$16*12,(SUMIF(Inputs!$C$61:$C$78,0,Inputs!$F$61:$F$78)/12)*(1+$C$34)^ROUNDDOWN((F367-1)/12,0),"-")</f>
        <v>-</v>
      </c>
      <c r="L367" s="8" t="str">
        <f t="shared" si="169"/>
        <v>-</v>
      </c>
      <c r="M367" s="8" t="str">
        <f>IF($F367&lt;=$C$16*12,'Mortgage Calculators (By Month)'!$C385,"-")</f>
        <v>-</v>
      </c>
      <c r="N367" s="8" t="str">
        <f>IF($F367&lt;=$C$16*12,'Mortgage Calculators (By Month)'!$D385,"-")</f>
        <v>-</v>
      </c>
      <c r="O367" s="8" t="str">
        <f>IF($F367&lt;=$C$16*12,'Mortgage Calculators (By Month)'!$E385,"-")</f>
        <v>-</v>
      </c>
      <c r="P367" s="8" t="str">
        <f t="shared" si="166"/>
        <v>-</v>
      </c>
      <c r="Q367" s="8" t="str">
        <f t="shared" si="170"/>
        <v>-</v>
      </c>
      <c r="R367" s="8" t="str">
        <f t="shared" si="171"/>
        <v>-</v>
      </c>
      <c r="S367" s="8" t="str">
        <f t="shared" si="172"/>
        <v>-</v>
      </c>
      <c r="T367" s="8" t="str">
        <f t="shared" si="173"/>
        <v>-</v>
      </c>
      <c r="U367" s="8" t="str">
        <f>IF($F367&lt;=$C$16*12,SUM(T$5:T367),"-")</f>
        <v>-</v>
      </c>
      <c r="V367" s="8" t="str">
        <f>IF($F367&lt;=$C$16*12,G367-$C$10-'RE Calculations'!$C554-'Mortgage Calculators (By Month)'!$F385,"-")</f>
        <v>-</v>
      </c>
      <c r="W367" s="29" t="str">
        <f t="shared" si="174"/>
        <v>-</v>
      </c>
      <c r="X367" s="31" t="str">
        <f t="shared" si="175"/>
        <v>-</v>
      </c>
      <c r="Y367" s="8" t="str">
        <f t="shared" si="176"/>
        <v>-</v>
      </c>
      <c r="Z367" s="29" t="str">
        <f t="shared" si="177"/>
        <v>-</v>
      </c>
      <c r="AA367" s="31" t="str">
        <f t="shared" si="178"/>
        <v>-</v>
      </c>
      <c r="AD367" s="12" t="str">
        <f t="shared" si="154"/>
        <v>-</v>
      </c>
      <c r="AE367" s="8" t="str">
        <f t="shared" si="155"/>
        <v>-</v>
      </c>
      <c r="AF367" s="8" t="str">
        <f>IF($AD367&lt;=$C$25*12,$AE367-$C$7+SUM('Mortgage Calculators (By Month)'!$K$23:$K385),"-")</f>
        <v>-</v>
      </c>
      <c r="AG367" s="8" t="str">
        <f t="shared" si="179"/>
        <v>-</v>
      </c>
      <c r="AH367" s="8" t="str">
        <f>IF($AD367&lt;=$C$25*12,SUM(Inputs!$C$61:$C$78)*'Forecast (By Month)'!AG367,"-")</f>
        <v>-</v>
      </c>
      <c r="AI367" s="8" t="str">
        <f>IF($AD367&lt;=$C$25*12,(SUMIF(Inputs!$C$61:$C$78,0,Inputs!$F$61:$F$78)/12)*(1+$C$34)^ROUNDDOWN((AD367-1)/12,0),"-")</f>
        <v>-</v>
      </c>
      <c r="AJ367" s="8" t="str">
        <f t="shared" si="180"/>
        <v>-</v>
      </c>
      <c r="AK367" s="8" t="str">
        <f>IF($AD367&lt;=$C$25*12,'Mortgage Calculators (By Month)'!$J385,"-")</f>
        <v>-</v>
      </c>
      <c r="AL367" s="8" t="str">
        <f>IF($AD367&lt;=$C$25*12,'Mortgage Calculators (By Month)'!$K385,"-")</f>
        <v>-</v>
      </c>
      <c r="AM367" s="8" t="str">
        <f>IF($AD367&lt;=$C$25*12,'Mortgage Calculators (By Month)'!$L385,"-")</f>
        <v>-</v>
      </c>
      <c r="AN367" s="8" t="str">
        <f t="shared" si="167"/>
        <v>-</v>
      </c>
      <c r="AO367" s="8" t="str">
        <f t="shared" si="181"/>
        <v>-</v>
      </c>
      <c r="AP367" s="8" t="str">
        <f t="shared" si="182"/>
        <v>-</v>
      </c>
      <c r="AQ367" s="8" t="str">
        <f t="shared" si="183"/>
        <v>-</v>
      </c>
      <c r="AR367" s="8" t="str">
        <f t="shared" si="184"/>
        <v>-</v>
      </c>
      <c r="AS367" s="8" t="str">
        <f>IF($AD367&lt;=$C$25*12,SUM(AR$5:AR367),"-")</f>
        <v>-</v>
      </c>
      <c r="AT367" s="8" t="str">
        <f>IF($AD367&lt;=$C$25*12,AE367-$C$10-'RE Calculations'!$C554-'Mortgage Calculators (By Month)'!$M385,"-")</f>
        <v>-</v>
      </c>
      <c r="AU367" s="29" t="str">
        <f t="shared" si="185"/>
        <v>-</v>
      </c>
      <c r="AV367" s="31" t="str">
        <f t="shared" si="186"/>
        <v>-</v>
      </c>
      <c r="AW367" s="8" t="str">
        <f t="shared" si="187"/>
        <v>-</v>
      </c>
      <c r="AX367" s="29" t="str">
        <f t="shared" si="188"/>
        <v>-</v>
      </c>
      <c r="AY367" s="31" t="str">
        <f t="shared" si="189"/>
        <v>-</v>
      </c>
    </row>
    <row r="368" spans="6:51" x14ac:dyDescent="0.35">
      <c r="F368" s="12" t="str">
        <f t="shared" si="142"/>
        <v>-</v>
      </c>
      <c r="G368" s="8" t="str">
        <f t="shared" si="143"/>
        <v>-</v>
      </c>
      <c r="H368" s="8" t="str">
        <f>IF($F368&lt;=$C$16*12,$G368-$C$7+SUM('Mortgage Calculators (By Month)'!$D$23:$D386),"-")</f>
        <v>-</v>
      </c>
      <c r="I368" s="8" t="str">
        <f t="shared" si="168"/>
        <v>-</v>
      </c>
      <c r="J368" s="8" t="str">
        <f>IF($F368&lt;=$C$16*12,SUM(Inputs!$C$61:$C$78)*'Forecast (By Month)'!I368,"-")</f>
        <v>-</v>
      </c>
      <c r="K368" s="8" t="str">
        <f>IF($F368&lt;=$C$16*12,(SUMIF(Inputs!$C$61:$C$78,0,Inputs!$F$61:$F$78)/12)*(1+$C$34)^ROUNDDOWN((F368-1)/12,0),"-")</f>
        <v>-</v>
      </c>
      <c r="L368" s="8" t="str">
        <f t="shared" si="169"/>
        <v>-</v>
      </c>
      <c r="M368" s="8" t="str">
        <f>IF($F368&lt;=$C$16*12,'Mortgage Calculators (By Month)'!$C386,"-")</f>
        <v>-</v>
      </c>
      <c r="N368" s="8" t="str">
        <f>IF($F368&lt;=$C$16*12,'Mortgage Calculators (By Month)'!$D386,"-")</f>
        <v>-</v>
      </c>
      <c r="O368" s="8" t="str">
        <f>IF($F368&lt;=$C$16*12,'Mortgage Calculators (By Month)'!$E386,"-")</f>
        <v>-</v>
      </c>
      <c r="P368" s="8" t="str">
        <f t="shared" si="166"/>
        <v>-</v>
      </c>
      <c r="Q368" s="8" t="str">
        <f t="shared" si="170"/>
        <v>-</v>
      </c>
      <c r="R368" s="8" t="str">
        <f t="shared" si="171"/>
        <v>-</v>
      </c>
      <c r="S368" s="8" t="str">
        <f t="shared" si="172"/>
        <v>-</v>
      </c>
      <c r="T368" s="8" t="str">
        <f t="shared" si="173"/>
        <v>-</v>
      </c>
      <c r="U368" s="8" t="str">
        <f>IF($F368&lt;=$C$16*12,SUM(T$5:T368),"-")</f>
        <v>-</v>
      </c>
      <c r="V368" s="8" t="str">
        <f>IF($F368&lt;=$C$16*12,G368-$C$10-'RE Calculations'!$C555-'Mortgage Calculators (By Month)'!$F386,"-")</f>
        <v>-</v>
      </c>
      <c r="W368" s="29" t="str">
        <f t="shared" si="174"/>
        <v>-</v>
      </c>
      <c r="X368" s="31" t="str">
        <f t="shared" si="175"/>
        <v>-</v>
      </c>
      <c r="Y368" s="8" t="str">
        <f t="shared" si="176"/>
        <v>-</v>
      </c>
      <c r="Z368" s="29" t="str">
        <f t="shared" si="177"/>
        <v>-</v>
      </c>
      <c r="AA368" s="31" t="str">
        <f t="shared" si="178"/>
        <v>-</v>
      </c>
      <c r="AD368" s="12" t="str">
        <f t="shared" si="154"/>
        <v>-</v>
      </c>
      <c r="AE368" s="8" t="str">
        <f t="shared" si="155"/>
        <v>-</v>
      </c>
      <c r="AF368" s="8" t="str">
        <f>IF($AD368&lt;=$C$25*12,$AE368-$C$7+SUM('Mortgage Calculators (By Month)'!$K$23:$K386),"-")</f>
        <v>-</v>
      </c>
      <c r="AG368" s="8" t="str">
        <f t="shared" si="179"/>
        <v>-</v>
      </c>
      <c r="AH368" s="8" t="str">
        <f>IF($AD368&lt;=$C$25*12,SUM(Inputs!$C$61:$C$78)*'Forecast (By Month)'!AG368,"-")</f>
        <v>-</v>
      </c>
      <c r="AI368" s="8" t="str">
        <f>IF($AD368&lt;=$C$25*12,(SUMIF(Inputs!$C$61:$C$78,0,Inputs!$F$61:$F$78)/12)*(1+$C$34)^ROUNDDOWN((AD368-1)/12,0),"-")</f>
        <v>-</v>
      </c>
      <c r="AJ368" s="8" t="str">
        <f t="shared" si="180"/>
        <v>-</v>
      </c>
      <c r="AK368" s="8" t="str">
        <f>IF($AD368&lt;=$C$25*12,'Mortgage Calculators (By Month)'!$J386,"-")</f>
        <v>-</v>
      </c>
      <c r="AL368" s="8" t="str">
        <f>IF($AD368&lt;=$C$25*12,'Mortgage Calculators (By Month)'!$K386,"-")</f>
        <v>-</v>
      </c>
      <c r="AM368" s="8" t="str">
        <f>IF($AD368&lt;=$C$25*12,'Mortgage Calculators (By Month)'!$L386,"-")</f>
        <v>-</v>
      </c>
      <c r="AN368" s="8" t="str">
        <f t="shared" si="167"/>
        <v>-</v>
      </c>
      <c r="AO368" s="8" t="str">
        <f t="shared" si="181"/>
        <v>-</v>
      </c>
      <c r="AP368" s="8" t="str">
        <f t="shared" si="182"/>
        <v>-</v>
      </c>
      <c r="AQ368" s="8" t="str">
        <f t="shared" si="183"/>
        <v>-</v>
      </c>
      <c r="AR368" s="8" t="str">
        <f t="shared" si="184"/>
        <v>-</v>
      </c>
      <c r="AS368" s="8" t="str">
        <f>IF($AD368&lt;=$C$25*12,SUM(AR$5:AR368),"-")</f>
        <v>-</v>
      </c>
      <c r="AT368" s="8" t="str">
        <f>IF($AD368&lt;=$C$25*12,AE368-$C$10-'RE Calculations'!$C555-'Mortgage Calculators (By Month)'!$M386,"-")</f>
        <v>-</v>
      </c>
      <c r="AU368" s="29" t="str">
        <f t="shared" si="185"/>
        <v>-</v>
      </c>
      <c r="AV368" s="31" t="str">
        <f t="shared" si="186"/>
        <v>-</v>
      </c>
      <c r="AW368" s="8" t="str">
        <f t="shared" si="187"/>
        <v>-</v>
      </c>
      <c r="AX368" s="29" t="str">
        <f t="shared" si="188"/>
        <v>-</v>
      </c>
      <c r="AY368" s="31" t="str">
        <f t="shared" si="189"/>
        <v>-</v>
      </c>
    </row>
    <row r="369" spans="6:51" x14ac:dyDescent="0.35">
      <c r="F369" s="12" t="str">
        <f t="shared" si="142"/>
        <v>-</v>
      </c>
      <c r="G369" s="8" t="str">
        <f t="shared" si="143"/>
        <v>-</v>
      </c>
      <c r="H369" s="8" t="str">
        <f>IF($F369&lt;=$C$16*12,$G369-$C$7+SUM('Mortgage Calculators (By Month)'!$D$23:$D387),"-")</f>
        <v>-</v>
      </c>
      <c r="I369" s="8" t="str">
        <f t="shared" si="168"/>
        <v>-</v>
      </c>
      <c r="J369" s="8" t="str">
        <f>IF($F369&lt;=$C$16*12,SUM(Inputs!$C$61:$C$78)*'Forecast (By Month)'!I369,"-")</f>
        <v>-</v>
      </c>
      <c r="K369" s="8" t="str">
        <f>IF($F369&lt;=$C$16*12,(SUMIF(Inputs!$C$61:$C$78,0,Inputs!$F$61:$F$78)/12)*(1+$C$34)^ROUNDDOWN((F369-1)/12,0),"-")</f>
        <v>-</v>
      </c>
      <c r="L369" s="8" t="str">
        <f t="shared" si="169"/>
        <v>-</v>
      </c>
      <c r="M369" s="8" t="str">
        <f>IF($F369&lt;=$C$16*12,'Mortgage Calculators (By Month)'!$C387,"-")</f>
        <v>-</v>
      </c>
      <c r="N369" s="8" t="str">
        <f>IF($F369&lt;=$C$16*12,'Mortgage Calculators (By Month)'!$D387,"-")</f>
        <v>-</v>
      </c>
      <c r="O369" s="8" t="str">
        <f>IF($F369&lt;=$C$16*12,'Mortgage Calculators (By Month)'!$E387,"-")</f>
        <v>-</v>
      </c>
      <c r="P369" s="8" t="str">
        <f t="shared" si="166"/>
        <v>-</v>
      </c>
      <c r="Q369" s="8" t="str">
        <f t="shared" si="170"/>
        <v>-</v>
      </c>
      <c r="R369" s="8" t="str">
        <f t="shared" si="171"/>
        <v>-</v>
      </c>
      <c r="S369" s="8" t="str">
        <f t="shared" si="172"/>
        <v>-</v>
      </c>
      <c r="T369" s="8" t="str">
        <f t="shared" si="173"/>
        <v>-</v>
      </c>
      <c r="U369" s="8" t="str">
        <f>IF($F369&lt;=$C$16*12,SUM(T$5:T369),"-")</f>
        <v>-</v>
      </c>
      <c r="V369" s="8" t="str">
        <f>IF($F369&lt;=$C$16*12,G369-$C$10-'RE Calculations'!$C556-'Mortgage Calculators (By Month)'!$F387,"-")</f>
        <v>-</v>
      </c>
      <c r="W369" s="29" t="str">
        <f t="shared" si="174"/>
        <v>-</v>
      </c>
      <c r="X369" s="31" t="str">
        <f t="shared" si="175"/>
        <v>-</v>
      </c>
      <c r="Y369" s="8" t="str">
        <f t="shared" si="176"/>
        <v>-</v>
      </c>
      <c r="Z369" s="29" t="str">
        <f t="shared" si="177"/>
        <v>-</v>
      </c>
      <c r="AA369" s="31" t="str">
        <f t="shared" si="178"/>
        <v>-</v>
      </c>
      <c r="AD369" s="12" t="str">
        <f t="shared" si="154"/>
        <v>-</v>
      </c>
      <c r="AE369" s="8" t="str">
        <f t="shared" si="155"/>
        <v>-</v>
      </c>
      <c r="AF369" s="8" t="str">
        <f>IF($AD369&lt;=$C$25*12,$AE369-$C$7+SUM('Mortgage Calculators (By Month)'!$K$23:$K387),"-")</f>
        <v>-</v>
      </c>
      <c r="AG369" s="8" t="str">
        <f t="shared" si="179"/>
        <v>-</v>
      </c>
      <c r="AH369" s="8" t="str">
        <f>IF($AD369&lt;=$C$25*12,SUM(Inputs!$C$61:$C$78)*'Forecast (By Month)'!AG369,"-")</f>
        <v>-</v>
      </c>
      <c r="AI369" s="8" t="str">
        <f>IF($AD369&lt;=$C$25*12,(SUMIF(Inputs!$C$61:$C$78,0,Inputs!$F$61:$F$78)/12)*(1+$C$34)^ROUNDDOWN((AD369-1)/12,0),"-")</f>
        <v>-</v>
      </c>
      <c r="AJ369" s="8" t="str">
        <f t="shared" si="180"/>
        <v>-</v>
      </c>
      <c r="AK369" s="8" t="str">
        <f>IF($AD369&lt;=$C$25*12,'Mortgage Calculators (By Month)'!$J387,"-")</f>
        <v>-</v>
      </c>
      <c r="AL369" s="8" t="str">
        <f>IF($AD369&lt;=$C$25*12,'Mortgage Calculators (By Month)'!$K387,"-")</f>
        <v>-</v>
      </c>
      <c r="AM369" s="8" t="str">
        <f>IF($AD369&lt;=$C$25*12,'Mortgage Calculators (By Month)'!$L387,"-")</f>
        <v>-</v>
      </c>
      <c r="AN369" s="8" t="str">
        <f t="shared" si="167"/>
        <v>-</v>
      </c>
      <c r="AO369" s="8" t="str">
        <f t="shared" si="181"/>
        <v>-</v>
      </c>
      <c r="AP369" s="8" t="str">
        <f t="shared" si="182"/>
        <v>-</v>
      </c>
      <c r="AQ369" s="8" t="str">
        <f t="shared" si="183"/>
        <v>-</v>
      </c>
      <c r="AR369" s="8" t="str">
        <f t="shared" si="184"/>
        <v>-</v>
      </c>
      <c r="AS369" s="8" t="str">
        <f>IF($AD369&lt;=$C$25*12,SUM(AR$5:AR369),"-")</f>
        <v>-</v>
      </c>
      <c r="AT369" s="8" t="str">
        <f>IF($AD369&lt;=$C$25*12,AE369-$C$10-'RE Calculations'!$C556-'Mortgage Calculators (By Month)'!$M387,"-")</f>
        <v>-</v>
      </c>
      <c r="AU369" s="29" t="str">
        <f t="shared" si="185"/>
        <v>-</v>
      </c>
      <c r="AV369" s="31" t="str">
        <f t="shared" si="186"/>
        <v>-</v>
      </c>
      <c r="AW369" s="8" t="str">
        <f t="shared" si="187"/>
        <v>-</v>
      </c>
      <c r="AX369" s="29" t="str">
        <f t="shared" si="188"/>
        <v>-</v>
      </c>
      <c r="AY369" s="31" t="str">
        <f t="shared" si="189"/>
        <v>-</v>
      </c>
    </row>
    <row r="370" spans="6:51" x14ac:dyDescent="0.35">
      <c r="F370" s="12" t="str">
        <f t="shared" si="142"/>
        <v>-</v>
      </c>
      <c r="G370" s="8" t="str">
        <f t="shared" si="143"/>
        <v>-</v>
      </c>
      <c r="H370" s="8" t="str">
        <f>IF($F370&lt;=$C$16*12,$G370-$C$7+SUM('Mortgage Calculators (By Month)'!$D$23:$D388),"-")</f>
        <v>-</v>
      </c>
      <c r="I370" s="8" t="str">
        <f t="shared" si="168"/>
        <v>-</v>
      </c>
      <c r="J370" s="8" t="str">
        <f>IF($F370&lt;=$C$16*12,SUM(Inputs!$C$61:$C$78)*'Forecast (By Month)'!I370,"-")</f>
        <v>-</v>
      </c>
      <c r="K370" s="8" t="str">
        <f>IF($F370&lt;=$C$16*12,(SUMIF(Inputs!$C$61:$C$78,0,Inputs!$F$61:$F$78)/12)*(1+$C$34)^ROUNDDOWN((F370-1)/12,0),"-")</f>
        <v>-</v>
      </c>
      <c r="L370" s="8" t="str">
        <f t="shared" si="169"/>
        <v>-</v>
      </c>
      <c r="M370" s="8" t="str">
        <f>IF($F370&lt;=$C$16*12,'Mortgage Calculators (By Month)'!$C388,"-")</f>
        <v>-</v>
      </c>
      <c r="N370" s="8" t="str">
        <f>IF($F370&lt;=$C$16*12,'Mortgage Calculators (By Month)'!$D388,"-")</f>
        <v>-</v>
      </c>
      <c r="O370" s="8" t="str">
        <f>IF($F370&lt;=$C$16*12,'Mortgage Calculators (By Month)'!$E388,"-")</f>
        <v>-</v>
      </c>
      <c r="P370" s="8" t="str">
        <f t="shared" si="166"/>
        <v>-</v>
      </c>
      <c r="Q370" s="8" t="str">
        <f t="shared" si="170"/>
        <v>-</v>
      </c>
      <c r="R370" s="8" t="str">
        <f t="shared" si="171"/>
        <v>-</v>
      </c>
      <c r="S370" s="8" t="str">
        <f t="shared" si="172"/>
        <v>-</v>
      </c>
      <c r="T370" s="8" t="str">
        <f t="shared" si="173"/>
        <v>-</v>
      </c>
      <c r="U370" s="8" t="str">
        <f>IF($F370&lt;=$C$16*12,SUM(T$5:T370),"-")</f>
        <v>-</v>
      </c>
      <c r="V370" s="8" t="str">
        <f>IF($F370&lt;=$C$16*12,G370-$C$10-'RE Calculations'!$C557-'Mortgage Calculators (By Month)'!$F388,"-")</f>
        <v>-</v>
      </c>
      <c r="W370" s="29" t="str">
        <f t="shared" si="174"/>
        <v>-</v>
      </c>
      <c r="X370" s="31" t="str">
        <f t="shared" si="175"/>
        <v>-</v>
      </c>
      <c r="Y370" s="8" t="str">
        <f t="shared" si="176"/>
        <v>-</v>
      </c>
      <c r="Z370" s="29" t="str">
        <f t="shared" si="177"/>
        <v>-</v>
      </c>
      <c r="AA370" s="31" t="str">
        <f t="shared" si="178"/>
        <v>-</v>
      </c>
      <c r="AD370" s="12" t="str">
        <f t="shared" si="154"/>
        <v>-</v>
      </c>
      <c r="AE370" s="8" t="str">
        <f t="shared" si="155"/>
        <v>-</v>
      </c>
      <c r="AF370" s="8" t="str">
        <f>IF($AD370&lt;=$C$25*12,$AE370-$C$7+SUM('Mortgage Calculators (By Month)'!$K$23:$K388),"-")</f>
        <v>-</v>
      </c>
      <c r="AG370" s="8" t="str">
        <f t="shared" si="179"/>
        <v>-</v>
      </c>
      <c r="AH370" s="8" t="str">
        <f>IF($AD370&lt;=$C$25*12,SUM(Inputs!$C$61:$C$78)*'Forecast (By Month)'!AG370,"-")</f>
        <v>-</v>
      </c>
      <c r="AI370" s="8" t="str">
        <f>IF($AD370&lt;=$C$25*12,(SUMIF(Inputs!$C$61:$C$78,0,Inputs!$F$61:$F$78)/12)*(1+$C$34)^ROUNDDOWN((AD370-1)/12,0),"-")</f>
        <v>-</v>
      </c>
      <c r="AJ370" s="8" t="str">
        <f t="shared" si="180"/>
        <v>-</v>
      </c>
      <c r="AK370" s="8" t="str">
        <f>IF($AD370&lt;=$C$25*12,'Mortgage Calculators (By Month)'!$J388,"-")</f>
        <v>-</v>
      </c>
      <c r="AL370" s="8" t="str">
        <f>IF($AD370&lt;=$C$25*12,'Mortgage Calculators (By Month)'!$K388,"-")</f>
        <v>-</v>
      </c>
      <c r="AM370" s="8" t="str">
        <f>IF($AD370&lt;=$C$25*12,'Mortgage Calculators (By Month)'!$L388,"-")</f>
        <v>-</v>
      </c>
      <c r="AN370" s="8" t="str">
        <f t="shared" si="167"/>
        <v>-</v>
      </c>
      <c r="AO370" s="8" t="str">
        <f t="shared" si="181"/>
        <v>-</v>
      </c>
      <c r="AP370" s="8" t="str">
        <f t="shared" si="182"/>
        <v>-</v>
      </c>
      <c r="AQ370" s="8" t="str">
        <f t="shared" si="183"/>
        <v>-</v>
      </c>
      <c r="AR370" s="8" t="str">
        <f t="shared" si="184"/>
        <v>-</v>
      </c>
      <c r="AS370" s="8" t="str">
        <f>IF($AD370&lt;=$C$25*12,SUM(AR$5:AR370),"-")</f>
        <v>-</v>
      </c>
      <c r="AT370" s="8" t="str">
        <f>IF($AD370&lt;=$C$25*12,AE370-$C$10-'RE Calculations'!$C557-'Mortgage Calculators (By Month)'!$M388,"-")</f>
        <v>-</v>
      </c>
      <c r="AU370" s="29" t="str">
        <f t="shared" si="185"/>
        <v>-</v>
      </c>
      <c r="AV370" s="31" t="str">
        <f t="shared" si="186"/>
        <v>-</v>
      </c>
      <c r="AW370" s="8" t="str">
        <f t="shared" si="187"/>
        <v>-</v>
      </c>
      <c r="AX370" s="29" t="str">
        <f t="shared" si="188"/>
        <v>-</v>
      </c>
      <c r="AY370" s="31" t="str">
        <f t="shared" si="189"/>
        <v>-</v>
      </c>
    </row>
    <row r="371" spans="6:51" x14ac:dyDescent="0.35">
      <c r="F371" s="12" t="str">
        <f t="shared" si="142"/>
        <v>-</v>
      </c>
      <c r="G371" s="8" t="str">
        <f t="shared" si="143"/>
        <v>-</v>
      </c>
      <c r="H371" s="8" t="str">
        <f>IF($F371&lt;=$C$16*12,$G371-$C$7+SUM('Mortgage Calculators (By Month)'!$D$23:$D389),"-")</f>
        <v>-</v>
      </c>
      <c r="I371" s="8" t="str">
        <f t="shared" si="168"/>
        <v>-</v>
      </c>
      <c r="J371" s="8" t="str">
        <f>IF($F371&lt;=$C$16*12,SUM(Inputs!$C$61:$C$78)*'Forecast (By Month)'!I371,"-")</f>
        <v>-</v>
      </c>
      <c r="K371" s="8" t="str">
        <f>IF($F371&lt;=$C$16*12,(SUMIF(Inputs!$C$61:$C$78,0,Inputs!$F$61:$F$78)/12)*(1+$C$34)^ROUNDDOWN((F371-1)/12,0),"-")</f>
        <v>-</v>
      </c>
      <c r="L371" s="8" t="str">
        <f t="shared" si="169"/>
        <v>-</v>
      </c>
      <c r="M371" s="8" t="str">
        <f>IF($F371&lt;=$C$16*12,'Mortgage Calculators (By Month)'!$C389,"-")</f>
        <v>-</v>
      </c>
      <c r="N371" s="8" t="str">
        <f>IF($F371&lt;=$C$16*12,'Mortgage Calculators (By Month)'!$D389,"-")</f>
        <v>-</v>
      </c>
      <c r="O371" s="8" t="str">
        <f>IF($F371&lt;=$C$16*12,'Mortgage Calculators (By Month)'!$E389,"-")</f>
        <v>-</v>
      </c>
      <c r="P371" s="8" t="str">
        <f t="shared" si="166"/>
        <v>-</v>
      </c>
      <c r="Q371" s="8" t="str">
        <f t="shared" si="170"/>
        <v>-</v>
      </c>
      <c r="R371" s="8" t="str">
        <f t="shared" si="171"/>
        <v>-</v>
      </c>
      <c r="S371" s="8" t="str">
        <f t="shared" si="172"/>
        <v>-</v>
      </c>
      <c r="T371" s="8" t="str">
        <f t="shared" si="173"/>
        <v>-</v>
      </c>
      <c r="U371" s="8" t="str">
        <f>IF($F371&lt;=$C$16*12,SUM(T$5:T371),"-")</f>
        <v>-</v>
      </c>
      <c r="V371" s="8" t="str">
        <f>IF($F371&lt;=$C$16*12,G371-$C$10-'RE Calculations'!$C558-'Mortgage Calculators (By Month)'!$F389,"-")</f>
        <v>-</v>
      </c>
      <c r="W371" s="29" t="str">
        <f t="shared" si="174"/>
        <v>-</v>
      </c>
      <c r="X371" s="31" t="str">
        <f t="shared" si="175"/>
        <v>-</v>
      </c>
      <c r="Y371" s="8" t="str">
        <f t="shared" si="176"/>
        <v>-</v>
      </c>
      <c r="Z371" s="29" t="str">
        <f t="shared" si="177"/>
        <v>-</v>
      </c>
      <c r="AA371" s="31" t="str">
        <f t="shared" si="178"/>
        <v>-</v>
      </c>
      <c r="AD371" s="12" t="str">
        <f t="shared" si="154"/>
        <v>-</v>
      </c>
      <c r="AE371" s="8" t="str">
        <f t="shared" si="155"/>
        <v>-</v>
      </c>
      <c r="AF371" s="8" t="str">
        <f>IF($AD371&lt;=$C$25*12,$AE371-$C$7+SUM('Mortgage Calculators (By Month)'!$K$23:$K389),"-")</f>
        <v>-</v>
      </c>
      <c r="AG371" s="8" t="str">
        <f t="shared" si="179"/>
        <v>-</v>
      </c>
      <c r="AH371" s="8" t="str">
        <f>IF($AD371&lt;=$C$25*12,SUM(Inputs!$C$61:$C$78)*'Forecast (By Month)'!AG371,"-")</f>
        <v>-</v>
      </c>
      <c r="AI371" s="8" t="str">
        <f>IF($AD371&lt;=$C$25*12,(SUMIF(Inputs!$C$61:$C$78,0,Inputs!$F$61:$F$78)/12)*(1+$C$34)^ROUNDDOWN((AD371-1)/12,0),"-")</f>
        <v>-</v>
      </c>
      <c r="AJ371" s="8" t="str">
        <f t="shared" si="180"/>
        <v>-</v>
      </c>
      <c r="AK371" s="8" t="str">
        <f>IF($AD371&lt;=$C$25*12,'Mortgage Calculators (By Month)'!$J389,"-")</f>
        <v>-</v>
      </c>
      <c r="AL371" s="8" t="str">
        <f>IF($AD371&lt;=$C$25*12,'Mortgage Calculators (By Month)'!$K389,"-")</f>
        <v>-</v>
      </c>
      <c r="AM371" s="8" t="str">
        <f>IF($AD371&lt;=$C$25*12,'Mortgage Calculators (By Month)'!$L389,"-")</f>
        <v>-</v>
      </c>
      <c r="AN371" s="8" t="str">
        <f t="shared" si="167"/>
        <v>-</v>
      </c>
      <c r="AO371" s="8" t="str">
        <f t="shared" si="181"/>
        <v>-</v>
      </c>
      <c r="AP371" s="8" t="str">
        <f t="shared" si="182"/>
        <v>-</v>
      </c>
      <c r="AQ371" s="8" t="str">
        <f t="shared" si="183"/>
        <v>-</v>
      </c>
      <c r="AR371" s="8" t="str">
        <f t="shared" si="184"/>
        <v>-</v>
      </c>
      <c r="AS371" s="8" t="str">
        <f>IF($AD371&lt;=$C$25*12,SUM(AR$5:AR371),"-")</f>
        <v>-</v>
      </c>
      <c r="AT371" s="8" t="str">
        <f>IF($AD371&lt;=$C$25*12,AE371-$C$10-'RE Calculations'!$C558-'Mortgage Calculators (By Month)'!$M389,"-")</f>
        <v>-</v>
      </c>
      <c r="AU371" s="29" t="str">
        <f t="shared" si="185"/>
        <v>-</v>
      </c>
      <c r="AV371" s="31" t="str">
        <f t="shared" si="186"/>
        <v>-</v>
      </c>
      <c r="AW371" s="8" t="str">
        <f t="shared" si="187"/>
        <v>-</v>
      </c>
      <c r="AX371" s="29" t="str">
        <f t="shared" si="188"/>
        <v>-</v>
      </c>
      <c r="AY371" s="31" t="str">
        <f t="shared" si="189"/>
        <v>-</v>
      </c>
    </row>
    <row r="372" spans="6:51" x14ac:dyDescent="0.35">
      <c r="F372" s="12" t="str">
        <f t="shared" si="142"/>
        <v>-</v>
      </c>
      <c r="G372" s="8" t="str">
        <f t="shared" si="143"/>
        <v>-</v>
      </c>
      <c r="H372" s="8" t="str">
        <f>IF($F372&lt;=$C$16*12,$G372-$C$7+SUM('Mortgage Calculators (By Month)'!$D$23:$D390),"-")</f>
        <v>-</v>
      </c>
      <c r="I372" s="8" t="str">
        <f t="shared" si="168"/>
        <v>-</v>
      </c>
      <c r="J372" s="8" t="str">
        <f>IF($F372&lt;=$C$16*12,SUM(Inputs!$C$61:$C$78)*'Forecast (By Month)'!I372,"-")</f>
        <v>-</v>
      </c>
      <c r="K372" s="8" t="str">
        <f>IF($F372&lt;=$C$16*12,(SUMIF(Inputs!$C$61:$C$78,0,Inputs!$F$61:$F$78)/12)*(1+$C$34)^ROUNDDOWN((F372-1)/12,0),"-")</f>
        <v>-</v>
      </c>
      <c r="L372" s="8" t="str">
        <f t="shared" si="169"/>
        <v>-</v>
      </c>
      <c r="M372" s="8" t="str">
        <f>IF($F372&lt;=$C$16*12,'Mortgage Calculators (By Month)'!$C390,"-")</f>
        <v>-</v>
      </c>
      <c r="N372" s="8" t="str">
        <f>IF($F372&lt;=$C$16*12,'Mortgage Calculators (By Month)'!$D390,"-")</f>
        <v>-</v>
      </c>
      <c r="O372" s="8" t="str">
        <f>IF($F372&lt;=$C$16*12,'Mortgage Calculators (By Month)'!$E390,"-")</f>
        <v>-</v>
      </c>
      <c r="P372" s="8" t="str">
        <f t="shared" si="166"/>
        <v>-</v>
      </c>
      <c r="Q372" s="8" t="str">
        <f t="shared" si="170"/>
        <v>-</v>
      </c>
      <c r="R372" s="8" t="str">
        <f t="shared" si="171"/>
        <v>-</v>
      </c>
      <c r="S372" s="8" t="str">
        <f t="shared" si="172"/>
        <v>-</v>
      </c>
      <c r="T372" s="8" t="str">
        <f t="shared" si="173"/>
        <v>-</v>
      </c>
      <c r="U372" s="8" t="str">
        <f>IF($F372&lt;=$C$16*12,SUM(T$5:T372),"-")</f>
        <v>-</v>
      </c>
      <c r="V372" s="8" t="str">
        <f>IF($F372&lt;=$C$16*12,G372-$C$10-'RE Calculations'!$C559-'Mortgage Calculators (By Month)'!$F390,"-")</f>
        <v>-</v>
      </c>
      <c r="W372" s="29" t="str">
        <f t="shared" si="174"/>
        <v>-</v>
      </c>
      <c r="X372" s="31" t="str">
        <f t="shared" si="175"/>
        <v>-</v>
      </c>
      <c r="Y372" s="8" t="str">
        <f t="shared" si="176"/>
        <v>-</v>
      </c>
      <c r="Z372" s="29" t="str">
        <f t="shared" si="177"/>
        <v>-</v>
      </c>
      <c r="AA372" s="31" t="str">
        <f t="shared" si="178"/>
        <v>-</v>
      </c>
      <c r="AD372" s="12" t="str">
        <f t="shared" si="154"/>
        <v>-</v>
      </c>
      <c r="AE372" s="8" t="str">
        <f t="shared" si="155"/>
        <v>-</v>
      </c>
      <c r="AF372" s="8" t="str">
        <f>IF($AD372&lt;=$C$25*12,$AE372-$C$7+SUM('Mortgage Calculators (By Month)'!$K$23:$K390),"-")</f>
        <v>-</v>
      </c>
      <c r="AG372" s="8" t="str">
        <f t="shared" si="179"/>
        <v>-</v>
      </c>
      <c r="AH372" s="8" t="str">
        <f>IF($AD372&lt;=$C$25*12,SUM(Inputs!$C$61:$C$78)*'Forecast (By Month)'!AG372,"-")</f>
        <v>-</v>
      </c>
      <c r="AI372" s="8" t="str">
        <f>IF($AD372&lt;=$C$25*12,(SUMIF(Inputs!$C$61:$C$78,0,Inputs!$F$61:$F$78)/12)*(1+$C$34)^ROUNDDOWN((AD372-1)/12,0),"-")</f>
        <v>-</v>
      </c>
      <c r="AJ372" s="8" t="str">
        <f t="shared" si="180"/>
        <v>-</v>
      </c>
      <c r="AK372" s="8" t="str">
        <f>IF($AD372&lt;=$C$25*12,'Mortgage Calculators (By Month)'!$J390,"-")</f>
        <v>-</v>
      </c>
      <c r="AL372" s="8" t="str">
        <f>IF($AD372&lt;=$C$25*12,'Mortgage Calculators (By Month)'!$K390,"-")</f>
        <v>-</v>
      </c>
      <c r="AM372" s="8" t="str">
        <f>IF($AD372&lt;=$C$25*12,'Mortgage Calculators (By Month)'!$L390,"-")</f>
        <v>-</v>
      </c>
      <c r="AN372" s="8" t="str">
        <f t="shared" si="167"/>
        <v>-</v>
      </c>
      <c r="AO372" s="8" t="str">
        <f t="shared" si="181"/>
        <v>-</v>
      </c>
      <c r="AP372" s="8" t="str">
        <f t="shared" si="182"/>
        <v>-</v>
      </c>
      <c r="AQ372" s="8" t="str">
        <f t="shared" si="183"/>
        <v>-</v>
      </c>
      <c r="AR372" s="8" t="str">
        <f t="shared" si="184"/>
        <v>-</v>
      </c>
      <c r="AS372" s="8" t="str">
        <f>IF($AD372&lt;=$C$25*12,SUM(AR$5:AR372),"-")</f>
        <v>-</v>
      </c>
      <c r="AT372" s="8" t="str">
        <f>IF($AD372&lt;=$C$25*12,AE372-$C$10-'RE Calculations'!$C559-'Mortgage Calculators (By Month)'!$M390,"-")</f>
        <v>-</v>
      </c>
      <c r="AU372" s="29" t="str">
        <f t="shared" si="185"/>
        <v>-</v>
      </c>
      <c r="AV372" s="31" t="str">
        <f t="shared" si="186"/>
        <v>-</v>
      </c>
      <c r="AW372" s="8" t="str">
        <f t="shared" si="187"/>
        <v>-</v>
      </c>
      <c r="AX372" s="29" t="str">
        <f t="shared" si="188"/>
        <v>-</v>
      </c>
      <c r="AY372" s="31" t="str">
        <f t="shared" si="189"/>
        <v>-</v>
      </c>
    </row>
    <row r="373" spans="6:51" x14ac:dyDescent="0.35">
      <c r="F373" s="12" t="str">
        <f t="shared" si="142"/>
        <v>-</v>
      </c>
      <c r="G373" s="8" t="str">
        <f t="shared" si="143"/>
        <v>-</v>
      </c>
      <c r="H373" s="8" t="str">
        <f>IF($F373&lt;=$C$16*12,$G373-$C$7+SUM('Mortgage Calculators (By Month)'!$D$23:$D391),"-")</f>
        <v>-</v>
      </c>
      <c r="I373" s="8" t="str">
        <f t="shared" si="168"/>
        <v>-</v>
      </c>
      <c r="J373" s="8" t="str">
        <f>IF($F373&lt;=$C$16*12,SUM(Inputs!$C$61:$C$78)*'Forecast (By Month)'!I373,"-")</f>
        <v>-</v>
      </c>
      <c r="K373" s="8" t="str">
        <f>IF($F373&lt;=$C$16*12,(SUMIF(Inputs!$C$61:$C$78,0,Inputs!$F$61:$F$78)/12)*(1+$C$34)^ROUNDDOWN((F373-1)/12,0),"-")</f>
        <v>-</v>
      </c>
      <c r="L373" s="8" t="str">
        <f t="shared" si="169"/>
        <v>-</v>
      </c>
      <c r="M373" s="8" t="str">
        <f>IF($F373&lt;=$C$16*12,'Mortgage Calculators (By Month)'!$C391,"-")</f>
        <v>-</v>
      </c>
      <c r="N373" s="8" t="str">
        <f>IF($F373&lt;=$C$16*12,'Mortgage Calculators (By Month)'!$D391,"-")</f>
        <v>-</v>
      </c>
      <c r="O373" s="8" t="str">
        <f>IF($F373&lt;=$C$16*12,'Mortgage Calculators (By Month)'!$E391,"-")</f>
        <v>-</v>
      </c>
      <c r="P373" s="8" t="str">
        <f t="shared" si="166"/>
        <v>-</v>
      </c>
      <c r="Q373" s="8" t="str">
        <f t="shared" si="170"/>
        <v>-</v>
      </c>
      <c r="R373" s="8" t="str">
        <f t="shared" si="171"/>
        <v>-</v>
      </c>
      <c r="S373" s="8" t="str">
        <f t="shared" si="172"/>
        <v>-</v>
      </c>
      <c r="T373" s="8" t="str">
        <f t="shared" si="173"/>
        <v>-</v>
      </c>
      <c r="U373" s="8" t="str">
        <f>IF($F373&lt;=$C$16*12,SUM(T$5:T373),"-")</f>
        <v>-</v>
      </c>
      <c r="V373" s="8" t="str">
        <f>IF($F373&lt;=$C$16*12,G373-$C$10-'RE Calculations'!$C560-'Mortgage Calculators (By Month)'!$F391,"-")</f>
        <v>-</v>
      </c>
      <c r="W373" s="29" t="str">
        <f t="shared" si="174"/>
        <v>-</v>
      </c>
      <c r="X373" s="31" t="str">
        <f t="shared" si="175"/>
        <v>-</v>
      </c>
      <c r="Y373" s="8" t="str">
        <f t="shared" si="176"/>
        <v>-</v>
      </c>
      <c r="Z373" s="29" t="str">
        <f t="shared" si="177"/>
        <v>-</v>
      </c>
      <c r="AA373" s="31" t="str">
        <f t="shared" si="178"/>
        <v>-</v>
      </c>
      <c r="AD373" s="12" t="str">
        <f t="shared" si="154"/>
        <v>-</v>
      </c>
      <c r="AE373" s="8" t="str">
        <f t="shared" si="155"/>
        <v>-</v>
      </c>
      <c r="AF373" s="8" t="str">
        <f>IF($AD373&lt;=$C$25*12,$AE373-$C$7+SUM('Mortgage Calculators (By Month)'!$K$23:$K391),"-")</f>
        <v>-</v>
      </c>
      <c r="AG373" s="8" t="str">
        <f t="shared" si="179"/>
        <v>-</v>
      </c>
      <c r="AH373" s="8" t="str">
        <f>IF($AD373&lt;=$C$25*12,SUM(Inputs!$C$61:$C$78)*'Forecast (By Month)'!AG373,"-")</f>
        <v>-</v>
      </c>
      <c r="AI373" s="8" t="str">
        <f>IF($AD373&lt;=$C$25*12,(SUMIF(Inputs!$C$61:$C$78,0,Inputs!$F$61:$F$78)/12)*(1+$C$34)^ROUNDDOWN((AD373-1)/12,0),"-")</f>
        <v>-</v>
      </c>
      <c r="AJ373" s="8" t="str">
        <f t="shared" si="180"/>
        <v>-</v>
      </c>
      <c r="AK373" s="8" t="str">
        <f>IF($AD373&lt;=$C$25*12,'Mortgage Calculators (By Month)'!$J391,"-")</f>
        <v>-</v>
      </c>
      <c r="AL373" s="8" t="str">
        <f>IF($AD373&lt;=$C$25*12,'Mortgage Calculators (By Month)'!$K391,"-")</f>
        <v>-</v>
      </c>
      <c r="AM373" s="8" t="str">
        <f>IF($AD373&lt;=$C$25*12,'Mortgage Calculators (By Month)'!$L391,"-")</f>
        <v>-</v>
      </c>
      <c r="AN373" s="8" t="str">
        <f t="shared" si="167"/>
        <v>-</v>
      </c>
      <c r="AO373" s="8" t="str">
        <f t="shared" si="181"/>
        <v>-</v>
      </c>
      <c r="AP373" s="8" t="str">
        <f t="shared" si="182"/>
        <v>-</v>
      </c>
      <c r="AQ373" s="8" t="str">
        <f t="shared" si="183"/>
        <v>-</v>
      </c>
      <c r="AR373" s="8" t="str">
        <f t="shared" si="184"/>
        <v>-</v>
      </c>
      <c r="AS373" s="8" t="str">
        <f>IF($AD373&lt;=$C$25*12,SUM(AR$5:AR373),"-")</f>
        <v>-</v>
      </c>
      <c r="AT373" s="8" t="str">
        <f>IF($AD373&lt;=$C$25*12,AE373-$C$10-'RE Calculations'!$C560-'Mortgage Calculators (By Month)'!$M391,"-")</f>
        <v>-</v>
      </c>
      <c r="AU373" s="29" t="str">
        <f t="shared" si="185"/>
        <v>-</v>
      </c>
      <c r="AV373" s="31" t="str">
        <f t="shared" si="186"/>
        <v>-</v>
      </c>
      <c r="AW373" s="8" t="str">
        <f t="shared" si="187"/>
        <v>-</v>
      </c>
      <c r="AX373" s="29" t="str">
        <f t="shared" si="188"/>
        <v>-</v>
      </c>
      <c r="AY373" s="31" t="str">
        <f t="shared" si="189"/>
        <v>-</v>
      </c>
    </row>
    <row r="374" spans="6:51" x14ac:dyDescent="0.35">
      <c r="F374" s="12" t="str">
        <f t="shared" si="142"/>
        <v>-</v>
      </c>
      <c r="G374" s="8" t="str">
        <f t="shared" si="143"/>
        <v>-</v>
      </c>
      <c r="H374" s="8" t="str">
        <f>IF($F374&lt;=$C$16*12,$G374-$C$7+SUM('Mortgage Calculators (By Month)'!$D$23:$D392),"-")</f>
        <v>-</v>
      </c>
      <c r="I374" s="8" t="str">
        <f t="shared" si="168"/>
        <v>-</v>
      </c>
      <c r="J374" s="8" t="str">
        <f>IF($F374&lt;=$C$16*12,SUM(Inputs!$C$61:$C$78)*'Forecast (By Month)'!I374,"-")</f>
        <v>-</v>
      </c>
      <c r="K374" s="8" t="str">
        <f>IF($F374&lt;=$C$16*12,(SUMIF(Inputs!$C$61:$C$78,0,Inputs!$F$61:$F$78)/12)*(1+$C$34)^ROUNDDOWN((F374-1)/12,0),"-")</f>
        <v>-</v>
      </c>
      <c r="L374" s="8" t="str">
        <f t="shared" si="169"/>
        <v>-</v>
      </c>
      <c r="M374" s="8" t="str">
        <f>IF($F374&lt;=$C$16*12,'Mortgage Calculators (By Month)'!$C392,"-")</f>
        <v>-</v>
      </c>
      <c r="N374" s="8" t="str">
        <f>IF($F374&lt;=$C$16*12,'Mortgage Calculators (By Month)'!$D392,"-")</f>
        <v>-</v>
      </c>
      <c r="O374" s="8" t="str">
        <f>IF($F374&lt;=$C$16*12,'Mortgage Calculators (By Month)'!$E392,"-")</f>
        <v>-</v>
      </c>
      <c r="P374" s="8" t="str">
        <f t="shared" si="166"/>
        <v>-</v>
      </c>
      <c r="Q374" s="8" t="str">
        <f t="shared" si="170"/>
        <v>-</v>
      </c>
      <c r="R374" s="8" t="str">
        <f t="shared" si="171"/>
        <v>-</v>
      </c>
      <c r="S374" s="8" t="str">
        <f t="shared" si="172"/>
        <v>-</v>
      </c>
      <c r="T374" s="8" t="str">
        <f t="shared" si="173"/>
        <v>-</v>
      </c>
      <c r="U374" s="8" t="str">
        <f>IF($F374&lt;=$C$16*12,SUM(T$5:T374),"-")</f>
        <v>-</v>
      </c>
      <c r="V374" s="8" t="str">
        <f>IF($F374&lt;=$C$16*12,G374-$C$10-'RE Calculations'!$C561-'Mortgage Calculators (By Month)'!$F392,"-")</f>
        <v>-</v>
      </c>
      <c r="W374" s="29" t="str">
        <f t="shared" si="174"/>
        <v>-</v>
      </c>
      <c r="X374" s="31" t="str">
        <f t="shared" si="175"/>
        <v>-</v>
      </c>
      <c r="Y374" s="8" t="str">
        <f t="shared" si="176"/>
        <v>-</v>
      </c>
      <c r="Z374" s="29" t="str">
        <f t="shared" si="177"/>
        <v>-</v>
      </c>
      <c r="AA374" s="31" t="str">
        <f t="shared" si="178"/>
        <v>-</v>
      </c>
      <c r="AD374" s="12" t="str">
        <f t="shared" si="154"/>
        <v>-</v>
      </c>
      <c r="AE374" s="8" t="str">
        <f t="shared" si="155"/>
        <v>-</v>
      </c>
      <c r="AF374" s="8" t="str">
        <f>IF($AD374&lt;=$C$25*12,$AE374-$C$7+SUM('Mortgage Calculators (By Month)'!$K$23:$K392),"-")</f>
        <v>-</v>
      </c>
      <c r="AG374" s="8" t="str">
        <f t="shared" si="179"/>
        <v>-</v>
      </c>
      <c r="AH374" s="8" t="str">
        <f>IF($AD374&lt;=$C$25*12,SUM(Inputs!$C$61:$C$78)*'Forecast (By Month)'!AG374,"-")</f>
        <v>-</v>
      </c>
      <c r="AI374" s="8" t="str">
        <f>IF($AD374&lt;=$C$25*12,(SUMIF(Inputs!$C$61:$C$78,0,Inputs!$F$61:$F$78)/12)*(1+$C$34)^ROUNDDOWN((AD374-1)/12,0),"-")</f>
        <v>-</v>
      </c>
      <c r="AJ374" s="8" t="str">
        <f t="shared" si="180"/>
        <v>-</v>
      </c>
      <c r="AK374" s="8" t="str">
        <f>IF($AD374&lt;=$C$25*12,'Mortgage Calculators (By Month)'!$J392,"-")</f>
        <v>-</v>
      </c>
      <c r="AL374" s="8" t="str">
        <f>IF($AD374&lt;=$C$25*12,'Mortgage Calculators (By Month)'!$K392,"-")</f>
        <v>-</v>
      </c>
      <c r="AM374" s="8" t="str">
        <f>IF($AD374&lt;=$C$25*12,'Mortgage Calculators (By Month)'!$L392,"-")</f>
        <v>-</v>
      </c>
      <c r="AN374" s="8" t="str">
        <f t="shared" si="167"/>
        <v>-</v>
      </c>
      <c r="AO374" s="8" t="str">
        <f t="shared" si="181"/>
        <v>-</v>
      </c>
      <c r="AP374" s="8" t="str">
        <f t="shared" si="182"/>
        <v>-</v>
      </c>
      <c r="AQ374" s="8" t="str">
        <f t="shared" si="183"/>
        <v>-</v>
      </c>
      <c r="AR374" s="8" t="str">
        <f t="shared" si="184"/>
        <v>-</v>
      </c>
      <c r="AS374" s="8" t="str">
        <f>IF($AD374&lt;=$C$25*12,SUM(AR$5:AR374),"-")</f>
        <v>-</v>
      </c>
      <c r="AT374" s="8" t="str">
        <f>IF($AD374&lt;=$C$25*12,AE374-$C$10-'RE Calculations'!$C561-'Mortgage Calculators (By Month)'!$M392,"-")</f>
        <v>-</v>
      </c>
      <c r="AU374" s="29" t="str">
        <f t="shared" si="185"/>
        <v>-</v>
      </c>
      <c r="AV374" s="31" t="str">
        <f t="shared" si="186"/>
        <v>-</v>
      </c>
      <c r="AW374" s="8" t="str">
        <f t="shared" si="187"/>
        <v>-</v>
      </c>
      <c r="AX374" s="29" t="str">
        <f t="shared" si="188"/>
        <v>-</v>
      </c>
      <c r="AY374" s="31" t="str">
        <f t="shared" si="189"/>
        <v>-</v>
      </c>
    </row>
    <row r="375" spans="6:51" x14ac:dyDescent="0.35">
      <c r="F375" s="12" t="str">
        <f t="shared" si="142"/>
        <v>-</v>
      </c>
      <c r="G375" s="8" t="str">
        <f t="shared" si="143"/>
        <v>-</v>
      </c>
      <c r="H375" s="8" t="str">
        <f>IF($F375&lt;=$C$16*12,$G375-$C$7+SUM('Mortgage Calculators (By Month)'!$D$23:$D393),"-")</f>
        <v>-</v>
      </c>
      <c r="I375" s="8" t="str">
        <f t="shared" si="168"/>
        <v>-</v>
      </c>
      <c r="J375" s="8" t="str">
        <f>IF($F375&lt;=$C$16*12,SUM(Inputs!$C$61:$C$78)*'Forecast (By Month)'!I375,"-")</f>
        <v>-</v>
      </c>
      <c r="K375" s="8" t="str">
        <f>IF($F375&lt;=$C$16*12,(SUMIF(Inputs!$C$61:$C$78,0,Inputs!$F$61:$F$78)/12)*(1+$C$34)^ROUNDDOWN((F375-1)/12,0),"-")</f>
        <v>-</v>
      </c>
      <c r="L375" s="8" t="str">
        <f t="shared" si="169"/>
        <v>-</v>
      </c>
      <c r="M375" s="8" t="str">
        <f>IF($F375&lt;=$C$16*12,'Mortgage Calculators (By Month)'!$C393,"-")</f>
        <v>-</v>
      </c>
      <c r="N375" s="8" t="str">
        <f>IF($F375&lt;=$C$16*12,'Mortgage Calculators (By Month)'!$D393,"-")</f>
        <v>-</v>
      </c>
      <c r="O375" s="8" t="str">
        <f>IF($F375&lt;=$C$16*12,'Mortgage Calculators (By Month)'!$E393,"-")</f>
        <v>-</v>
      </c>
      <c r="P375" s="8" t="str">
        <f t="shared" si="166"/>
        <v>-</v>
      </c>
      <c r="Q375" s="8" t="str">
        <f t="shared" si="170"/>
        <v>-</v>
      </c>
      <c r="R375" s="8" t="str">
        <f t="shared" si="171"/>
        <v>-</v>
      </c>
      <c r="S375" s="8" t="str">
        <f t="shared" si="172"/>
        <v>-</v>
      </c>
      <c r="T375" s="8" t="str">
        <f t="shared" si="173"/>
        <v>-</v>
      </c>
      <c r="U375" s="8" t="str">
        <f>IF($F375&lt;=$C$16*12,SUM(T$5:T375),"-")</f>
        <v>-</v>
      </c>
      <c r="V375" s="8" t="str">
        <f>IF($F375&lt;=$C$16*12,G375-$C$10-'RE Calculations'!$C562-'Mortgage Calculators (By Month)'!$F393,"-")</f>
        <v>-</v>
      </c>
      <c r="W375" s="29" t="str">
        <f t="shared" si="174"/>
        <v>-</v>
      </c>
      <c r="X375" s="31" t="str">
        <f t="shared" si="175"/>
        <v>-</v>
      </c>
      <c r="Y375" s="8" t="str">
        <f t="shared" si="176"/>
        <v>-</v>
      </c>
      <c r="Z375" s="29" t="str">
        <f t="shared" si="177"/>
        <v>-</v>
      </c>
      <c r="AA375" s="31" t="str">
        <f t="shared" si="178"/>
        <v>-</v>
      </c>
      <c r="AD375" s="12" t="str">
        <f t="shared" si="154"/>
        <v>-</v>
      </c>
      <c r="AE375" s="8" t="str">
        <f t="shared" si="155"/>
        <v>-</v>
      </c>
      <c r="AF375" s="8" t="str">
        <f>IF($AD375&lt;=$C$25*12,$AE375-$C$7+SUM('Mortgage Calculators (By Month)'!$K$23:$K393),"-")</f>
        <v>-</v>
      </c>
      <c r="AG375" s="8" t="str">
        <f t="shared" si="179"/>
        <v>-</v>
      </c>
      <c r="AH375" s="8" t="str">
        <f>IF($AD375&lt;=$C$25*12,SUM(Inputs!$C$61:$C$78)*'Forecast (By Month)'!AG375,"-")</f>
        <v>-</v>
      </c>
      <c r="AI375" s="8" t="str">
        <f>IF($AD375&lt;=$C$25*12,(SUMIF(Inputs!$C$61:$C$78,0,Inputs!$F$61:$F$78)/12)*(1+$C$34)^ROUNDDOWN((AD375-1)/12,0),"-")</f>
        <v>-</v>
      </c>
      <c r="AJ375" s="8" t="str">
        <f t="shared" si="180"/>
        <v>-</v>
      </c>
      <c r="AK375" s="8" t="str">
        <f>IF($AD375&lt;=$C$25*12,'Mortgage Calculators (By Month)'!$J393,"-")</f>
        <v>-</v>
      </c>
      <c r="AL375" s="8" t="str">
        <f>IF($AD375&lt;=$C$25*12,'Mortgage Calculators (By Month)'!$K393,"-")</f>
        <v>-</v>
      </c>
      <c r="AM375" s="8" t="str">
        <f>IF($AD375&lt;=$C$25*12,'Mortgage Calculators (By Month)'!$L393,"-")</f>
        <v>-</v>
      </c>
      <c r="AN375" s="8" t="str">
        <f t="shared" si="167"/>
        <v>-</v>
      </c>
      <c r="AO375" s="8" t="str">
        <f t="shared" si="181"/>
        <v>-</v>
      </c>
      <c r="AP375" s="8" t="str">
        <f t="shared" si="182"/>
        <v>-</v>
      </c>
      <c r="AQ375" s="8" t="str">
        <f t="shared" si="183"/>
        <v>-</v>
      </c>
      <c r="AR375" s="8" t="str">
        <f t="shared" si="184"/>
        <v>-</v>
      </c>
      <c r="AS375" s="8" t="str">
        <f>IF($AD375&lt;=$C$25*12,SUM(AR$5:AR375),"-")</f>
        <v>-</v>
      </c>
      <c r="AT375" s="8" t="str">
        <f>IF($AD375&lt;=$C$25*12,AE375-$C$10-'RE Calculations'!$C562-'Mortgage Calculators (By Month)'!$M393,"-")</f>
        <v>-</v>
      </c>
      <c r="AU375" s="29" t="str">
        <f t="shared" si="185"/>
        <v>-</v>
      </c>
      <c r="AV375" s="31" t="str">
        <f t="shared" si="186"/>
        <v>-</v>
      </c>
      <c r="AW375" s="8" t="str">
        <f t="shared" si="187"/>
        <v>-</v>
      </c>
      <c r="AX375" s="29" t="str">
        <f t="shared" si="188"/>
        <v>-</v>
      </c>
      <c r="AY375" s="31" t="str">
        <f t="shared" si="189"/>
        <v>-</v>
      </c>
    </row>
    <row r="376" spans="6:51" x14ac:dyDescent="0.35">
      <c r="F376" s="12" t="str">
        <f t="shared" si="142"/>
        <v>-</v>
      </c>
      <c r="G376" s="8" t="str">
        <f t="shared" si="143"/>
        <v>-</v>
      </c>
      <c r="H376" s="8" t="str">
        <f>IF($F376&lt;=$C$16*12,$G376-$C$7+SUM('Mortgage Calculators (By Month)'!$D$23:$D394),"-")</f>
        <v>-</v>
      </c>
      <c r="I376" s="8" t="str">
        <f t="shared" si="168"/>
        <v>-</v>
      </c>
      <c r="J376" s="8" t="str">
        <f>IF($F376&lt;=$C$16*12,SUM(Inputs!$C$61:$C$78)*'Forecast (By Month)'!I376,"-")</f>
        <v>-</v>
      </c>
      <c r="K376" s="8" t="str">
        <f>IF($F376&lt;=$C$16*12,(SUMIF(Inputs!$C$61:$C$78,0,Inputs!$F$61:$F$78)/12)*(1+$C$34)^ROUNDDOWN((F376-1)/12,0),"-")</f>
        <v>-</v>
      </c>
      <c r="L376" s="8" t="str">
        <f t="shared" si="169"/>
        <v>-</v>
      </c>
      <c r="M376" s="8" t="str">
        <f>IF($F376&lt;=$C$16*12,'Mortgage Calculators (By Month)'!$C394,"-")</f>
        <v>-</v>
      </c>
      <c r="N376" s="8" t="str">
        <f>IF($F376&lt;=$C$16*12,'Mortgage Calculators (By Month)'!$D394,"-")</f>
        <v>-</v>
      </c>
      <c r="O376" s="8" t="str">
        <f>IF($F376&lt;=$C$16*12,'Mortgage Calculators (By Month)'!$E394,"-")</f>
        <v>-</v>
      </c>
      <c r="P376" s="8" t="str">
        <f t="shared" si="166"/>
        <v>-</v>
      </c>
      <c r="Q376" s="8" t="str">
        <f t="shared" si="170"/>
        <v>-</v>
      </c>
      <c r="R376" s="8" t="str">
        <f t="shared" si="171"/>
        <v>-</v>
      </c>
      <c r="S376" s="8" t="str">
        <f t="shared" si="172"/>
        <v>-</v>
      </c>
      <c r="T376" s="8" t="str">
        <f t="shared" si="173"/>
        <v>-</v>
      </c>
      <c r="U376" s="8" t="str">
        <f>IF($F376&lt;=$C$16*12,SUM(T$5:T376),"-")</f>
        <v>-</v>
      </c>
      <c r="V376" s="8" t="str">
        <f>IF($F376&lt;=$C$16*12,G376-$C$10-'RE Calculations'!$C563-'Mortgage Calculators (By Month)'!$F394,"-")</f>
        <v>-</v>
      </c>
      <c r="W376" s="29" t="str">
        <f t="shared" si="174"/>
        <v>-</v>
      </c>
      <c r="X376" s="31" t="str">
        <f t="shared" si="175"/>
        <v>-</v>
      </c>
      <c r="Y376" s="8" t="str">
        <f t="shared" si="176"/>
        <v>-</v>
      </c>
      <c r="Z376" s="29" t="str">
        <f t="shared" si="177"/>
        <v>-</v>
      </c>
      <c r="AA376" s="31" t="str">
        <f t="shared" si="178"/>
        <v>-</v>
      </c>
      <c r="AD376" s="12" t="str">
        <f t="shared" si="154"/>
        <v>-</v>
      </c>
      <c r="AE376" s="8" t="str">
        <f t="shared" si="155"/>
        <v>-</v>
      </c>
      <c r="AF376" s="8" t="str">
        <f>IF($AD376&lt;=$C$25*12,$AE376-$C$7+SUM('Mortgage Calculators (By Month)'!$K$23:$K394),"-")</f>
        <v>-</v>
      </c>
      <c r="AG376" s="8" t="str">
        <f t="shared" si="179"/>
        <v>-</v>
      </c>
      <c r="AH376" s="8" t="str">
        <f>IF($AD376&lt;=$C$25*12,SUM(Inputs!$C$61:$C$78)*'Forecast (By Month)'!AG376,"-")</f>
        <v>-</v>
      </c>
      <c r="AI376" s="8" t="str">
        <f>IF($AD376&lt;=$C$25*12,(SUMIF(Inputs!$C$61:$C$78,0,Inputs!$F$61:$F$78)/12)*(1+$C$34)^ROUNDDOWN((AD376-1)/12,0),"-")</f>
        <v>-</v>
      </c>
      <c r="AJ376" s="8" t="str">
        <f t="shared" si="180"/>
        <v>-</v>
      </c>
      <c r="AK376" s="8" t="str">
        <f>IF($AD376&lt;=$C$25*12,'Mortgage Calculators (By Month)'!$J394,"-")</f>
        <v>-</v>
      </c>
      <c r="AL376" s="8" t="str">
        <f>IF($AD376&lt;=$C$25*12,'Mortgage Calculators (By Month)'!$K394,"-")</f>
        <v>-</v>
      </c>
      <c r="AM376" s="8" t="str">
        <f>IF($AD376&lt;=$C$25*12,'Mortgage Calculators (By Month)'!$L394,"-")</f>
        <v>-</v>
      </c>
      <c r="AN376" s="8" t="str">
        <f t="shared" si="167"/>
        <v>-</v>
      </c>
      <c r="AO376" s="8" t="str">
        <f t="shared" si="181"/>
        <v>-</v>
      </c>
      <c r="AP376" s="8" t="str">
        <f t="shared" si="182"/>
        <v>-</v>
      </c>
      <c r="AQ376" s="8" t="str">
        <f t="shared" si="183"/>
        <v>-</v>
      </c>
      <c r="AR376" s="8" t="str">
        <f t="shared" si="184"/>
        <v>-</v>
      </c>
      <c r="AS376" s="8" t="str">
        <f>IF($AD376&lt;=$C$25*12,SUM(AR$5:AR376),"-")</f>
        <v>-</v>
      </c>
      <c r="AT376" s="8" t="str">
        <f>IF($AD376&lt;=$C$25*12,AE376-$C$10-'RE Calculations'!$C563-'Mortgage Calculators (By Month)'!$M394,"-")</f>
        <v>-</v>
      </c>
      <c r="AU376" s="29" t="str">
        <f t="shared" si="185"/>
        <v>-</v>
      </c>
      <c r="AV376" s="31" t="str">
        <f t="shared" si="186"/>
        <v>-</v>
      </c>
      <c r="AW376" s="8" t="str">
        <f t="shared" si="187"/>
        <v>-</v>
      </c>
      <c r="AX376" s="29" t="str">
        <f t="shared" si="188"/>
        <v>-</v>
      </c>
      <c r="AY376" s="31" t="str">
        <f t="shared" si="189"/>
        <v>-</v>
      </c>
    </row>
    <row r="377" spans="6:51" x14ac:dyDescent="0.35">
      <c r="F377" s="12" t="str">
        <f t="shared" si="142"/>
        <v>-</v>
      </c>
      <c r="G377" s="8" t="str">
        <f t="shared" si="143"/>
        <v>-</v>
      </c>
      <c r="H377" s="8" t="str">
        <f>IF($F377&lt;=$C$16*12,$G377-$C$7+SUM('Mortgage Calculators (By Month)'!$D$23:$D395),"-")</f>
        <v>-</v>
      </c>
      <c r="I377" s="8" t="str">
        <f t="shared" si="168"/>
        <v>-</v>
      </c>
      <c r="J377" s="8" t="str">
        <f>IF($F377&lt;=$C$16*12,SUM(Inputs!$C$61:$C$78)*'Forecast (By Month)'!I377,"-")</f>
        <v>-</v>
      </c>
      <c r="K377" s="8" t="str">
        <f>IF($F377&lt;=$C$16*12,(SUMIF(Inputs!$C$61:$C$78,0,Inputs!$F$61:$F$78)/12)*(1+$C$34)^ROUNDDOWN((F377-1)/12,0),"-")</f>
        <v>-</v>
      </c>
      <c r="L377" s="8" t="str">
        <f t="shared" si="169"/>
        <v>-</v>
      </c>
      <c r="M377" s="8" t="str">
        <f>IF($F377&lt;=$C$16*12,'Mortgage Calculators (By Month)'!$C395,"-")</f>
        <v>-</v>
      </c>
      <c r="N377" s="8" t="str">
        <f>IF($F377&lt;=$C$16*12,'Mortgage Calculators (By Month)'!$D395,"-")</f>
        <v>-</v>
      </c>
      <c r="O377" s="8" t="str">
        <f>IF($F377&lt;=$C$16*12,'Mortgage Calculators (By Month)'!$E395,"-")</f>
        <v>-</v>
      </c>
      <c r="P377" s="8" t="str">
        <f t="shared" si="166"/>
        <v>-</v>
      </c>
      <c r="Q377" s="8" t="str">
        <f t="shared" si="170"/>
        <v>-</v>
      </c>
      <c r="R377" s="8" t="str">
        <f t="shared" si="171"/>
        <v>-</v>
      </c>
      <c r="S377" s="8" t="str">
        <f t="shared" si="172"/>
        <v>-</v>
      </c>
      <c r="T377" s="8" t="str">
        <f t="shared" si="173"/>
        <v>-</v>
      </c>
      <c r="U377" s="8" t="str">
        <f>IF($F377&lt;=$C$16*12,SUM(T$5:T377),"-")</f>
        <v>-</v>
      </c>
      <c r="V377" s="8" t="str">
        <f>IF($F377&lt;=$C$16*12,G377-$C$10-'RE Calculations'!$C564-'Mortgage Calculators (By Month)'!$F395,"-")</f>
        <v>-</v>
      </c>
      <c r="W377" s="29" t="str">
        <f t="shared" si="174"/>
        <v>-</v>
      </c>
      <c r="X377" s="31" t="str">
        <f t="shared" si="175"/>
        <v>-</v>
      </c>
      <c r="Y377" s="8" t="str">
        <f t="shared" si="176"/>
        <v>-</v>
      </c>
      <c r="Z377" s="29" t="str">
        <f t="shared" si="177"/>
        <v>-</v>
      </c>
      <c r="AA377" s="31" t="str">
        <f t="shared" si="178"/>
        <v>-</v>
      </c>
      <c r="AD377" s="12" t="str">
        <f t="shared" si="154"/>
        <v>-</v>
      </c>
      <c r="AE377" s="8" t="str">
        <f t="shared" si="155"/>
        <v>-</v>
      </c>
      <c r="AF377" s="8" t="str">
        <f>IF($AD377&lt;=$C$25*12,$AE377-$C$7+SUM('Mortgage Calculators (By Month)'!$K$23:$K395),"-")</f>
        <v>-</v>
      </c>
      <c r="AG377" s="8" t="str">
        <f t="shared" si="179"/>
        <v>-</v>
      </c>
      <c r="AH377" s="8" t="str">
        <f>IF($AD377&lt;=$C$25*12,SUM(Inputs!$C$61:$C$78)*'Forecast (By Month)'!AG377,"-")</f>
        <v>-</v>
      </c>
      <c r="AI377" s="8" t="str">
        <f>IF($AD377&lt;=$C$25*12,(SUMIF(Inputs!$C$61:$C$78,0,Inputs!$F$61:$F$78)/12)*(1+$C$34)^ROUNDDOWN((AD377-1)/12,0),"-")</f>
        <v>-</v>
      </c>
      <c r="AJ377" s="8" t="str">
        <f t="shared" si="180"/>
        <v>-</v>
      </c>
      <c r="AK377" s="8" t="str">
        <f>IF($AD377&lt;=$C$25*12,'Mortgage Calculators (By Month)'!$J395,"-")</f>
        <v>-</v>
      </c>
      <c r="AL377" s="8" t="str">
        <f>IF($AD377&lt;=$C$25*12,'Mortgage Calculators (By Month)'!$K395,"-")</f>
        <v>-</v>
      </c>
      <c r="AM377" s="8" t="str">
        <f>IF($AD377&lt;=$C$25*12,'Mortgage Calculators (By Month)'!$L395,"-")</f>
        <v>-</v>
      </c>
      <c r="AN377" s="8" t="str">
        <f t="shared" si="167"/>
        <v>-</v>
      </c>
      <c r="AO377" s="8" t="str">
        <f t="shared" si="181"/>
        <v>-</v>
      </c>
      <c r="AP377" s="8" t="str">
        <f t="shared" si="182"/>
        <v>-</v>
      </c>
      <c r="AQ377" s="8" t="str">
        <f t="shared" si="183"/>
        <v>-</v>
      </c>
      <c r="AR377" s="8" t="str">
        <f t="shared" si="184"/>
        <v>-</v>
      </c>
      <c r="AS377" s="8" t="str">
        <f>IF($AD377&lt;=$C$25*12,SUM(AR$5:AR377),"-")</f>
        <v>-</v>
      </c>
      <c r="AT377" s="8" t="str">
        <f>IF($AD377&lt;=$C$25*12,AE377-$C$10-'RE Calculations'!$C564-'Mortgage Calculators (By Month)'!$M395,"-")</f>
        <v>-</v>
      </c>
      <c r="AU377" s="29" t="str">
        <f t="shared" si="185"/>
        <v>-</v>
      </c>
      <c r="AV377" s="31" t="str">
        <f t="shared" si="186"/>
        <v>-</v>
      </c>
      <c r="AW377" s="8" t="str">
        <f t="shared" si="187"/>
        <v>-</v>
      </c>
      <c r="AX377" s="29" t="str">
        <f t="shared" si="188"/>
        <v>-</v>
      </c>
      <c r="AY377" s="31" t="str">
        <f t="shared" si="189"/>
        <v>-</v>
      </c>
    </row>
    <row r="378" spans="6:51" x14ac:dyDescent="0.35">
      <c r="F378" s="12" t="str">
        <f t="shared" si="142"/>
        <v>-</v>
      </c>
      <c r="G378" s="8" t="str">
        <f t="shared" si="143"/>
        <v>-</v>
      </c>
      <c r="H378" s="8" t="str">
        <f>IF($F378&lt;=$C$16*12,$G378-$C$7+SUM('Mortgage Calculators (By Month)'!$D$23:$D396),"-")</f>
        <v>-</v>
      </c>
      <c r="I378" s="8" t="str">
        <f t="shared" si="168"/>
        <v>-</v>
      </c>
      <c r="J378" s="8" t="str">
        <f>IF($F378&lt;=$C$16*12,SUM(Inputs!$C$61:$C$78)*'Forecast (By Month)'!I378,"-")</f>
        <v>-</v>
      </c>
      <c r="K378" s="8" t="str">
        <f>IF($F378&lt;=$C$16*12,(SUMIF(Inputs!$C$61:$C$78,0,Inputs!$F$61:$F$78)/12)*(1+$C$34)^ROUNDDOWN((F378-1)/12,0),"-")</f>
        <v>-</v>
      </c>
      <c r="L378" s="8" t="str">
        <f t="shared" si="169"/>
        <v>-</v>
      </c>
      <c r="M378" s="8" t="str">
        <f>IF($F378&lt;=$C$16*12,'Mortgage Calculators (By Month)'!$C396,"-")</f>
        <v>-</v>
      </c>
      <c r="N378" s="8" t="str">
        <f>IF($F378&lt;=$C$16*12,'Mortgage Calculators (By Month)'!$D396,"-")</f>
        <v>-</v>
      </c>
      <c r="O378" s="8" t="str">
        <f>IF($F378&lt;=$C$16*12,'Mortgage Calculators (By Month)'!$E396,"-")</f>
        <v>-</v>
      </c>
      <c r="P378" s="8" t="str">
        <f t="shared" si="166"/>
        <v>-</v>
      </c>
      <c r="Q378" s="8" t="str">
        <f t="shared" si="170"/>
        <v>-</v>
      </c>
      <c r="R378" s="8" t="str">
        <f t="shared" si="171"/>
        <v>-</v>
      </c>
      <c r="S378" s="8" t="str">
        <f t="shared" si="172"/>
        <v>-</v>
      </c>
      <c r="T378" s="8" t="str">
        <f t="shared" si="173"/>
        <v>-</v>
      </c>
      <c r="U378" s="8" t="str">
        <f>IF($F378&lt;=$C$16*12,SUM(T$5:T378),"-")</f>
        <v>-</v>
      </c>
      <c r="V378" s="8" t="str">
        <f>IF($F378&lt;=$C$16*12,G378-$C$10-'RE Calculations'!$C565-'Mortgage Calculators (By Month)'!$F396,"-")</f>
        <v>-</v>
      </c>
      <c r="W378" s="29" t="str">
        <f t="shared" si="174"/>
        <v>-</v>
      </c>
      <c r="X378" s="31" t="str">
        <f t="shared" si="175"/>
        <v>-</v>
      </c>
      <c r="Y378" s="8" t="str">
        <f t="shared" si="176"/>
        <v>-</v>
      </c>
      <c r="Z378" s="29" t="str">
        <f t="shared" si="177"/>
        <v>-</v>
      </c>
      <c r="AA378" s="31" t="str">
        <f t="shared" si="178"/>
        <v>-</v>
      </c>
      <c r="AD378" s="12" t="str">
        <f t="shared" si="154"/>
        <v>-</v>
      </c>
      <c r="AE378" s="8" t="str">
        <f t="shared" si="155"/>
        <v>-</v>
      </c>
      <c r="AF378" s="8" t="str">
        <f>IF($AD378&lt;=$C$25*12,$AE378-$C$7+SUM('Mortgage Calculators (By Month)'!$K$23:$K396),"-")</f>
        <v>-</v>
      </c>
      <c r="AG378" s="8" t="str">
        <f t="shared" si="179"/>
        <v>-</v>
      </c>
      <c r="AH378" s="8" t="str">
        <f>IF($AD378&lt;=$C$25*12,SUM(Inputs!$C$61:$C$78)*'Forecast (By Month)'!AG378,"-")</f>
        <v>-</v>
      </c>
      <c r="AI378" s="8" t="str">
        <f>IF($AD378&lt;=$C$25*12,(SUMIF(Inputs!$C$61:$C$78,0,Inputs!$F$61:$F$78)/12)*(1+$C$34)^ROUNDDOWN((AD378-1)/12,0),"-")</f>
        <v>-</v>
      </c>
      <c r="AJ378" s="8" t="str">
        <f t="shared" si="180"/>
        <v>-</v>
      </c>
      <c r="AK378" s="8" t="str">
        <f>IF($AD378&lt;=$C$25*12,'Mortgage Calculators (By Month)'!$J396,"-")</f>
        <v>-</v>
      </c>
      <c r="AL378" s="8" t="str">
        <f>IF($AD378&lt;=$C$25*12,'Mortgage Calculators (By Month)'!$K396,"-")</f>
        <v>-</v>
      </c>
      <c r="AM378" s="8" t="str">
        <f>IF($AD378&lt;=$C$25*12,'Mortgage Calculators (By Month)'!$L396,"-")</f>
        <v>-</v>
      </c>
      <c r="AN378" s="8" t="str">
        <f t="shared" si="167"/>
        <v>-</v>
      </c>
      <c r="AO378" s="8" t="str">
        <f t="shared" si="181"/>
        <v>-</v>
      </c>
      <c r="AP378" s="8" t="str">
        <f t="shared" si="182"/>
        <v>-</v>
      </c>
      <c r="AQ378" s="8" t="str">
        <f t="shared" si="183"/>
        <v>-</v>
      </c>
      <c r="AR378" s="8" t="str">
        <f t="shared" si="184"/>
        <v>-</v>
      </c>
      <c r="AS378" s="8" t="str">
        <f>IF($AD378&lt;=$C$25*12,SUM(AR$5:AR378),"-")</f>
        <v>-</v>
      </c>
      <c r="AT378" s="8" t="str">
        <f>IF($AD378&lt;=$C$25*12,AE378-$C$10-'RE Calculations'!$C565-'Mortgage Calculators (By Month)'!$M396,"-")</f>
        <v>-</v>
      </c>
      <c r="AU378" s="29" t="str">
        <f t="shared" si="185"/>
        <v>-</v>
      </c>
      <c r="AV378" s="31" t="str">
        <f t="shared" si="186"/>
        <v>-</v>
      </c>
      <c r="AW378" s="8" t="str">
        <f t="shared" si="187"/>
        <v>-</v>
      </c>
      <c r="AX378" s="29" t="str">
        <f t="shared" si="188"/>
        <v>-</v>
      </c>
      <c r="AY378" s="31" t="str">
        <f t="shared" si="189"/>
        <v>-</v>
      </c>
    </row>
    <row r="379" spans="6:51" x14ac:dyDescent="0.35">
      <c r="F379" s="12" t="str">
        <f t="shared" si="142"/>
        <v>-</v>
      </c>
      <c r="G379" s="8" t="str">
        <f t="shared" si="143"/>
        <v>-</v>
      </c>
      <c r="H379" s="8" t="str">
        <f>IF($F379&lt;=$C$16*12,$G379-$C$7+SUM('Mortgage Calculators (By Month)'!$D$23:$D397),"-")</f>
        <v>-</v>
      </c>
      <c r="I379" s="8" t="str">
        <f t="shared" si="168"/>
        <v>-</v>
      </c>
      <c r="J379" s="8" t="str">
        <f>IF($F379&lt;=$C$16*12,SUM(Inputs!$C$61:$C$78)*'Forecast (By Month)'!I379,"-")</f>
        <v>-</v>
      </c>
      <c r="K379" s="8" t="str">
        <f>IF($F379&lt;=$C$16*12,(SUMIF(Inputs!$C$61:$C$78,0,Inputs!$F$61:$F$78)/12)*(1+$C$34)^ROUNDDOWN((F379-1)/12,0),"-")</f>
        <v>-</v>
      </c>
      <c r="L379" s="8" t="str">
        <f t="shared" si="169"/>
        <v>-</v>
      </c>
      <c r="M379" s="8" t="str">
        <f>IF($F379&lt;=$C$16*12,'Mortgage Calculators (By Month)'!$C397,"-")</f>
        <v>-</v>
      </c>
      <c r="N379" s="8" t="str">
        <f>IF($F379&lt;=$C$16*12,'Mortgage Calculators (By Month)'!$D397,"-")</f>
        <v>-</v>
      </c>
      <c r="O379" s="8" t="str">
        <f>IF($F379&lt;=$C$16*12,'Mortgage Calculators (By Month)'!$E397,"-")</f>
        <v>-</v>
      </c>
      <c r="P379" s="8" t="str">
        <f t="shared" si="166"/>
        <v>-</v>
      </c>
      <c r="Q379" s="8" t="str">
        <f t="shared" si="170"/>
        <v>-</v>
      </c>
      <c r="R379" s="8" t="str">
        <f t="shared" si="171"/>
        <v>-</v>
      </c>
      <c r="S379" s="8" t="str">
        <f t="shared" si="172"/>
        <v>-</v>
      </c>
      <c r="T379" s="8" t="str">
        <f t="shared" si="173"/>
        <v>-</v>
      </c>
      <c r="U379" s="8" t="str">
        <f>IF($F379&lt;=$C$16*12,SUM(T$5:T379),"-")</f>
        <v>-</v>
      </c>
      <c r="V379" s="8" t="str">
        <f>IF($F379&lt;=$C$16*12,G379-$C$10-'RE Calculations'!$C566-'Mortgage Calculators (By Month)'!$F397,"-")</f>
        <v>-</v>
      </c>
      <c r="W379" s="29" t="str">
        <f t="shared" si="174"/>
        <v>-</v>
      </c>
      <c r="X379" s="31" t="str">
        <f t="shared" si="175"/>
        <v>-</v>
      </c>
      <c r="Y379" s="8" t="str">
        <f t="shared" si="176"/>
        <v>-</v>
      </c>
      <c r="Z379" s="29" t="str">
        <f t="shared" si="177"/>
        <v>-</v>
      </c>
      <c r="AA379" s="31" t="str">
        <f t="shared" si="178"/>
        <v>-</v>
      </c>
      <c r="AD379" s="12" t="str">
        <f t="shared" si="154"/>
        <v>-</v>
      </c>
      <c r="AE379" s="8" t="str">
        <f t="shared" si="155"/>
        <v>-</v>
      </c>
      <c r="AF379" s="8" t="str">
        <f>IF($AD379&lt;=$C$25*12,$AE379-$C$7+SUM('Mortgage Calculators (By Month)'!$K$23:$K397),"-")</f>
        <v>-</v>
      </c>
      <c r="AG379" s="8" t="str">
        <f t="shared" si="179"/>
        <v>-</v>
      </c>
      <c r="AH379" s="8" t="str">
        <f>IF($AD379&lt;=$C$25*12,SUM(Inputs!$C$61:$C$78)*'Forecast (By Month)'!AG379,"-")</f>
        <v>-</v>
      </c>
      <c r="AI379" s="8" t="str">
        <f>IF($AD379&lt;=$C$25*12,(SUMIF(Inputs!$C$61:$C$78,0,Inputs!$F$61:$F$78)/12)*(1+$C$34)^ROUNDDOWN((AD379-1)/12,0),"-")</f>
        <v>-</v>
      </c>
      <c r="AJ379" s="8" t="str">
        <f t="shared" si="180"/>
        <v>-</v>
      </c>
      <c r="AK379" s="8" t="str">
        <f>IF($AD379&lt;=$C$25*12,'Mortgage Calculators (By Month)'!$J397,"-")</f>
        <v>-</v>
      </c>
      <c r="AL379" s="8" t="str">
        <f>IF($AD379&lt;=$C$25*12,'Mortgage Calculators (By Month)'!$K397,"-")</f>
        <v>-</v>
      </c>
      <c r="AM379" s="8" t="str">
        <f>IF($AD379&lt;=$C$25*12,'Mortgage Calculators (By Month)'!$L397,"-")</f>
        <v>-</v>
      </c>
      <c r="AN379" s="8" t="str">
        <f t="shared" si="167"/>
        <v>-</v>
      </c>
      <c r="AO379" s="8" t="str">
        <f t="shared" si="181"/>
        <v>-</v>
      </c>
      <c r="AP379" s="8" t="str">
        <f t="shared" si="182"/>
        <v>-</v>
      </c>
      <c r="AQ379" s="8" t="str">
        <f t="shared" si="183"/>
        <v>-</v>
      </c>
      <c r="AR379" s="8" t="str">
        <f t="shared" si="184"/>
        <v>-</v>
      </c>
      <c r="AS379" s="8" t="str">
        <f>IF($AD379&lt;=$C$25*12,SUM(AR$5:AR379),"-")</f>
        <v>-</v>
      </c>
      <c r="AT379" s="8" t="str">
        <f>IF($AD379&lt;=$C$25*12,AE379-$C$10-'RE Calculations'!$C566-'Mortgage Calculators (By Month)'!$M397,"-")</f>
        <v>-</v>
      </c>
      <c r="AU379" s="29" t="str">
        <f t="shared" si="185"/>
        <v>-</v>
      </c>
      <c r="AV379" s="31" t="str">
        <f t="shared" si="186"/>
        <v>-</v>
      </c>
      <c r="AW379" s="8" t="str">
        <f t="shared" si="187"/>
        <v>-</v>
      </c>
      <c r="AX379" s="29" t="str">
        <f t="shared" si="188"/>
        <v>-</v>
      </c>
      <c r="AY379" s="31" t="str">
        <f t="shared" si="189"/>
        <v>-</v>
      </c>
    </row>
    <row r="380" spans="6:51" x14ac:dyDescent="0.35">
      <c r="F380" s="12" t="str">
        <f t="shared" si="142"/>
        <v>-</v>
      </c>
      <c r="G380" s="8" t="str">
        <f t="shared" si="143"/>
        <v>-</v>
      </c>
      <c r="H380" s="8" t="str">
        <f>IF($F380&lt;=$C$16*12,$G380-$C$7+SUM('Mortgage Calculators (By Month)'!$D$23:$D398),"-")</f>
        <v>-</v>
      </c>
      <c r="I380" s="8" t="str">
        <f t="shared" si="168"/>
        <v>-</v>
      </c>
      <c r="J380" s="8" t="str">
        <f>IF($F380&lt;=$C$16*12,SUM(Inputs!$C$61:$C$78)*'Forecast (By Month)'!I380,"-")</f>
        <v>-</v>
      </c>
      <c r="K380" s="8" t="str">
        <f>IF($F380&lt;=$C$16*12,(SUMIF(Inputs!$C$61:$C$78,0,Inputs!$F$61:$F$78)/12)*(1+$C$34)^ROUNDDOWN((F380-1)/12,0),"-")</f>
        <v>-</v>
      </c>
      <c r="L380" s="8" t="str">
        <f t="shared" si="169"/>
        <v>-</v>
      </c>
      <c r="M380" s="8" t="str">
        <f>IF($F380&lt;=$C$16*12,'Mortgage Calculators (By Month)'!$C398,"-")</f>
        <v>-</v>
      </c>
      <c r="N380" s="8" t="str">
        <f>IF($F380&lt;=$C$16*12,'Mortgage Calculators (By Month)'!$D398,"-")</f>
        <v>-</v>
      </c>
      <c r="O380" s="8" t="str">
        <f>IF($F380&lt;=$C$16*12,'Mortgage Calculators (By Month)'!$E398,"-")</f>
        <v>-</v>
      </c>
      <c r="P380" s="8" t="str">
        <f t="shared" si="166"/>
        <v>-</v>
      </c>
      <c r="Q380" s="8" t="str">
        <f t="shared" si="170"/>
        <v>-</v>
      </c>
      <c r="R380" s="8" t="str">
        <f t="shared" si="171"/>
        <v>-</v>
      </c>
      <c r="S380" s="8" t="str">
        <f t="shared" si="172"/>
        <v>-</v>
      </c>
      <c r="T380" s="8" t="str">
        <f t="shared" si="173"/>
        <v>-</v>
      </c>
      <c r="U380" s="8" t="str">
        <f>IF($F380&lt;=$C$16*12,SUM(T$5:T380),"-")</f>
        <v>-</v>
      </c>
      <c r="V380" s="8" t="str">
        <f>IF($F380&lt;=$C$16*12,G380-$C$10-'RE Calculations'!$C567-'Mortgage Calculators (By Month)'!$F398,"-")</f>
        <v>-</v>
      </c>
      <c r="W380" s="29" t="str">
        <f t="shared" si="174"/>
        <v>-</v>
      </c>
      <c r="X380" s="31" t="str">
        <f t="shared" si="175"/>
        <v>-</v>
      </c>
      <c r="Y380" s="8" t="str">
        <f t="shared" si="176"/>
        <v>-</v>
      </c>
      <c r="Z380" s="29" t="str">
        <f t="shared" si="177"/>
        <v>-</v>
      </c>
      <c r="AA380" s="31" t="str">
        <f t="shared" si="178"/>
        <v>-</v>
      </c>
      <c r="AD380" s="12" t="str">
        <f t="shared" si="154"/>
        <v>-</v>
      </c>
      <c r="AE380" s="8" t="str">
        <f t="shared" si="155"/>
        <v>-</v>
      </c>
      <c r="AF380" s="8" t="str">
        <f>IF($AD380&lt;=$C$25*12,$AE380-$C$7+SUM('Mortgage Calculators (By Month)'!$K$23:$K398),"-")</f>
        <v>-</v>
      </c>
      <c r="AG380" s="8" t="str">
        <f t="shared" si="179"/>
        <v>-</v>
      </c>
      <c r="AH380" s="8" t="str">
        <f>IF($AD380&lt;=$C$25*12,SUM(Inputs!$C$61:$C$78)*'Forecast (By Month)'!AG380,"-")</f>
        <v>-</v>
      </c>
      <c r="AI380" s="8" t="str">
        <f>IF($AD380&lt;=$C$25*12,(SUMIF(Inputs!$C$61:$C$78,0,Inputs!$F$61:$F$78)/12)*(1+$C$34)^ROUNDDOWN((AD380-1)/12,0),"-")</f>
        <v>-</v>
      </c>
      <c r="AJ380" s="8" t="str">
        <f t="shared" si="180"/>
        <v>-</v>
      </c>
      <c r="AK380" s="8" t="str">
        <f>IF($AD380&lt;=$C$25*12,'Mortgage Calculators (By Month)'!$J398,"-")</f>
        <v>-</v>
      </c>
      <c r="AL380" s="8" t="str">
        <f>IF($AD380&lt;=$C$25*12,'Mortgage Calculators (By Month)'!$K398,"-")</f>
        <v>-</v>
      </c>
      <c r="AM380" s="8" t="str">
        <f>IF($AD380&lt;=$C$25*12,'Mortgage Calculators (By Month)'!$L398,"-")</f>
        <v>-</v>
      </c>
      <c r="AN380" s="8" t="str">
        <f t="shared" si="167"/>
        <v>-</v>
      </c>
      <c r="AO380" s="8" t="str">
        <f t="shared" si="181"/>
        <v>-</v>
      </c>
      <c r="AP380" s="8" t="str">
        <f t="shared" si="182"/>
        <v>-</v>
      </c>
      <c r="AQ380" s="8" t="str">
        <f t="shared" si="183"/>
        <v>-</v>
      </c>
      <c r="AR380" s="8" t="str">
        <f t="shared" si="184"/>
        <v>-</v>
      </c>
      <c r="AS380" s="8" t="str">
        <f>IF($AD380&lt;=$C$25*12,SUM(AR$5:AR380),"-")</f>
        <v>-</v>
      </c>
      <c r="AT380" s="8" t="str">
        <f>IF($AD380&lt;=$C$25*12,AE380-$C$10-'RE Calculations'!$C567-'Mortgage Calculators (By Month)'!$M398,"-")</f>
        <v>-</v>
      </c>
      <c r="AU380" s="29" t="str">
        <f t="shared" si="185"/>
        <v>-</v>
      </c>
      <c r="AV380" s="31" t="str">
        <f t="shared" si="186"/>
        <v>-</v>
      </c>
      <c r="AW380" s="8" t="str">
        <f t="shared" si="187"/>
        <v>-</v>
      </c>
      <c r="AX380" s="29" t="str">
        <f t="shared" si="188"/>
        <v>-</v>
      </c>
      <c r="AY380" s="31" t="str">
        <f t="shared" si="189"/>
        <v>-</v>
      </c>
    </row>
    <row r="381" spans="6:51" x14ac:dyDescent="0.35">
      <c r="F381" s="12" t="str">
        <f t="shared" si="142"/>
        <v>-</v>
      </c>
      <c r="G381" s="8" t="str">
        <f t="shared" si="143"/>
        <v>-</v>
      </c>
      <c r="H381" s="8" t="str">
        <f>IF($F381&lt;=$C$16*12,$G381-$C$7+SUM('Mortgage Calculators (By Month)'!$D$23:$D399),"-")</f>
        <v>-</v>
      </c>
      <c r="I381" s="8" t="str">
        <f t="shared" si="168"/>
        <v>-</v>
      </c>
      <c r="J381" s="8" t="str">
        <f>IF($F381&lt;=$C$16*12,SUM(Inputs!$C$61:$C$78)*'Forecast (By Month)'!I381,"-")</f>
        <v>-</v>
      </c>
      <c r="K381" s="8" t="str">
        <f>IF($F381&lt;=$C$16*12,(SUMIF(Inputs!$C$61:$C$78,0,Inputs!$F$61:$F$78)/12)*(1+$C$34)^ROUNDDOWN((F381-1)/12,0),"-")</f>
        <v>-</v>
      </c>
      <c r="L381" s="8" t="str">
        <f t="shared" si="169"/>
        <v>-</v>
      </c>
      <c r="M381" s="8" t="str">
        <f>IF($F381&lt;=$C$16*12,'Mortgage Calculators (By Month)'!$C399,"-")</f>
        <v>-</v>
      </c>
      <c r="N381" s="8" t="str">
        <f>IF($F381&lt;=$C$16*12,'Mortgage Calculators (By Month)'!$D399,"-")</f>
        <v>-</v>
      </c>
      <c r="O381" s="8" t="str">
        <f>IF($F381&lt;=$C$16*12,'Mortgage Calculators (By Month)'!$E399,"-")</f>
        <v>-</v>
      </c>
      <c r="P381" s="8" t="str">
        <f t="shared" si="166"/>
        <v>-</v>
      </c>
      <c r="Q381" s="8" t="str">
        <f t="shared" si="170"/>
        <v>-</v>
      </c>
      <c r="R381" s="8" t="str">
        <f t="shared" si="171"/>
        <v>-</v>
      </c>
      <c r="S381" s="8" t="str">
        <f t="shared" si="172"/>
        <v>-</v>
      </c>
      <c r="T381" s="8" t="str">
        <f t="shared" si="173"/>
        <v>-</v>
      </c>
      <c r="U381" s="8" t="str">
        <f>IF($F381&lt;=$C$16*12,SUM(T$5:T381),"-")</f>
        <v>-</v>
      </c>
      <c r="V381" s="8" t="str">
        <f>IF($F381&lt;=$C$16*12,G381-$C$10-'RE Calculations'!$C568-'Mortgage Calculators (By Month)'!$F399,"-")</f>
        <v>-</v>
      </c>
      <c r="W381" s="29" t="str">
        <f t="shared" si="174"/>
        <v>-</v>
      </c>
      <c r="X381" s="31" t="str">
        <f t="shared" si="175"/>
        <v>-</v>
      </c>
      <c r="Y381" s="8" t="str">
        <f t="shared" si="176"/>
        <v>-</v>
      </c>
      <c r="Z381" s="29" t="str">
        <f t="shared" si="177"/>
        <v>-</v>
      </c>
      <c r="AA381" s="31" t="str">
        <f t="shared" si="178"/>
        <v>-</v>
      </c>
      <c r="AD381" s="12" t="str">
        <f t="shared" si="154"/>
        <v>-</v>
      </c>
      <c r="AE381" s="8" t="str">
        <f t="shared" si="155"/>
        <v>-</v>
      </c>
      <c r="AF381" s="8" t="str">
        <f>IF($AD381&lt;=$C$25*12,$AE381-$C$7+SUM('Mortgage Calculators (By Month)'!$K$23:$K399),"-")</f>
        <v>-</v>
      </c>
      <c r="AG381" s="8" t="str">
        <f t="shared" si="179"/>
        <v>-</v>
      </c>
      <c r="AH381" s="8" t="str">
        <f>IF($AD381&lt;=$C$25*12,SUM(Inputs!$C$61:$C$78)*'Forecast (By Month)'!AG381,"-")</f>
        <v>-</v>
      </c>
      <c r="AI381" s="8" t="str">
        <f>IF($AD381&lt;=$C$25*12,(SUMIF(Inputs!$C$61:$C$78,0,Inputs!$F$61:$F$78)/12)*(1+$C$34)^ROUNDDOWN((AD381-1)/12,0),"-")</f>
        <v>-</v>
      </c>
      <c r="AJ381" s="8" t="str">
        <f t="shared" si="180"/>
        <v>-</v>
      </c>
      <c r="AK381" s="8" t="str">
        <f>IF($AD381&lt;=$C$25*12,'Mortgage Calculators (By Month)'!$J399,"-")</f>
        <v>-</v>
      </c>
      <c r="AL381" s="8" t="str">
        <f>IF($AD381&lt;=$C$25*12,'Mortgage Calculators (By Month)'!$K399,"-")</f>
        <v>-</v>
      </c>
      <c r="AM381" s="8" t="str">
        <f>IF($AD381&lt;=$C$25*12,'Mortgage Calculators (By Month)'!$L399,"-")</f>
        <v>-</v>
      </c>
      <c r="AN381" s="8" t="str">
        <f t="shared" si="167"/>
        <v>-</v>
      </c>
      <c r="AO381" s="8" t="str">
        <f t="shared" si="181"/>
        <v>-</v>
      </c>
      <c r="AP381" s="8" t="str">
        <f t="shared" si="182"/>
        <v>-</v>
      </c>
      <c r="AQ381" s="8" t="str">
        <f t="shared" si="183"/>
        <v>-</v>
      </c>
      <c r="AR381" s="8" t="str">
        <f t="shared" si="184"/>
        <v>-</v>
      </c>
      <c r="AS381" s="8" t="str">
        <f>IF($AD381&lt;=$C$25*12,SUM(AR$5:AR381),"-")</f>
        <v>-</v>
      </c>
      <c r="AT381" s="8" t="str">
        <f>IF($AD381&lt;=$C$25*12,AE381-$C$10-'RE Calculations'!$C568-'Mortgage Calculators (By Month)'!$M399,"-")</f>
        <v>-</v>
      </c>
      <c r="AU381" s="29" t="str">
        <f t="shared" si="185"/>
        <v>-</v>
      </c>
      <c r="AV381" s="31" t="str">
        <f t="shared" si="186"/>
        <v>-</v>
      </c>
      <c r="AW381" s="8" t="str">
        <f t="shared" si="187"/>
        <v>-</v>
      </c>
      <c r="AX381" s="29" t="str">
        <f t="shared" si="188"/>
        <v>-</v>
      </c>
      <c r="AY381" s="31" t="str">
        <f t="shared" si="189"/>
        <v>-</v>
      </c>
    </row>
    <row r="382" spans="6:51" x14ac:dyDescent="0.35">
      <c r="F382" s="12" t="str">
        <f t="shared" si="142"/>
        <v>-</v>
      </c>
      <c r="G382" s="8" t="str">
        <f t="shared" si="143"/>
        <v>-</v>
      </c>
      <c r="H382" s="8" t="str">
        <f>IF($F382&lt;=$C$16*12,$G382-$C$7+SUM('Mortgage Calculators (By Month)'!$D$23:$D400),"-")</f>
        <v>-</v>
      </c>
      <c r="I382" s="8" t="str">
        <f t="shared" si="168"/>
        <v>-</v>
      </c>
      <c r="J382" s="8" t="str">
        <f>IF($F382&lt;=$C$16*12,SUM(Inputs!$C$61:$C$78)*'Forecast (By Month)'!I382,"-")</f>
        <v>-</v>
      </c>
      <c r="K382" s="8" t="str">
        <f>IF($F382&lt;=$C$16*12,(SUMIF(Inputs!$C$61:$C$78,0,Inputs!$F$61:$F$78)/12)*(1+$C$34)^ROUNDDOWN((F382-1)/12,0),"-")</f>
        <v>-</v>
      </c>
      <c r="L382" s="8" t="str">
        <f t="shared" si="169"/>
        <v>-</v>
      </c>
      <c r="M382" s="8" t="str">
        <f>IF($F382&lt;=$C$16*12,'Mortgage Calculators (By Month)'!$C400,"-")</f>
        <v>-</v>
      </c>
      <c r="N382" s="8" t="str">
        <f>IF($F382&lt;=$C$16*12,'Mortgage Calculators (By Month)'!$D400,"-")</f>
        <v>-</v>
      </c>
      <c r="O382" s="8" t="str">
        <f>IF($F382&lt;=$C$16*12,'Mortgage Calculators (By Month)'!$E400,"-")</f>
        <v>-</v>
      </c>
      <c r="P382" s="8" t="str">
        <f t="shared" si="166"/>
        <v>-</v>
      </c>
      <c r="Q382" s="8" t="str">
        <f t="shared" si="170"/>
        <v>-</v>
      </c>
      <c r="R382" s="8" t="str">
        <f t="shared" si="171"/>
        <v>-</v>
      </c>
      <c r="S382" s="8" t="str">
        <f t="shared" si="172"/>
        <v>-</v>
      </c>
      <c r="T382" s="8" t="str">
        <f t="shared" si="173"/>
        <v>-</v>
      </c>
      <c r="U382" s="8" t="str">
        <f>IF($F382&lt;=$C$16*12,SUM(T$5:T382),"-")</f>
        <v>-</v>
      </c>
      <c r="V382" s="8" t="str">
        <f>IF($F382&lt;=$C$16*12,G382-$C$10-'RE Calculations'!$C569-'Mortgage Calculators (By Month)'!$F400,"-")</f>
        <v>-</v>
      </c>
      <c r="W382" s="29" t="str">
        <f t="shared" si="174"/>
        <v>-</v>
      </c>
      <c r="X382" s="31" t="str">
        <f t="shared" si="175"/>
        <v>-</v>
      </c>
      <c r="Y382" s="8" t="str">
        <f t="shared" si="176"/>
        <v>-</v>
      </c>
      <c r="Z382" s="29" t="str">
        <f t="shared" si="177"/>
        <v>-</v>
      </c>
      <c r="AA382" s="31" t="str">
        <f t="shared" si="178"/>
        <v>-</v>
      </c>
      <c r="AD382" s="12" t="str">
        <f t="shared" si="154"/>
        <v>-</v>
      </c>
      <c r="AE382" s="8" t="str">
        <f t="shared" si="155"/>
        <v>-</v>
      </c>
      <c r="AF382" s="8" t="str">
        <f>IF($AD382&lt;=$C$25*12,$AE382-$C$7+SUM('Mortgage Calculators (By Month)'!$K$23:$K400),"-")</f>
        <v>-</v>
      </c>
      <c r="AG382" s="8" t="str">
        <f t="shared" si="179"/>
        <v>-</v>
      </c>
      <c r="AH382" s="8" t="str">
        <f>IF($AD382&lt;=$C$25*12,SUM(Inputs!$C$61:$C$78)*'Forecast (By Month)'!AG382,"-")</f>
        <v>-</v>
      </c>
      <c r="AI382" s="8" t="str">
        <f>IF($AD382&lt;=$C$25*12,(SUMIF(Inputs!$C$61:$C$78,0,Inputs!$F$61:$F$78)/12)*(1+$C$34)^ROUNDDOWN((AD382-1)/12,0),"-")</f>
        <v>-</v>
      </c>
      <c r="AJ382" s="8" t="str">
        <f t="shared" si="180"/>
        <v>-</v>
      </c>
      <c r="AK382" s="8" t="str">
        <f>IF($AD382&lt;=$C$25*12,'Mortgage Calculators (By Month)'!$J400,"-")</f>
        <v>-</v>
      </c>
      <c r="AL382" s="8" t="str">
        <f>IF($AD382&lt;=$C$25*12,'Mortgage Calculators (By Month)'!$K400,"-")</f>
        <v>-</v>
      </c>
      <c r="AM382" s="8" t="str">
        <f>IF($AD382&lt;=$C$25*12,'Mortgage Calculators (By Month)'!$L400,"-")</f>
        <v>-</v>
      </c>
      <c r="AN382" s="8" t="str">
        <f t="shared" si="167"/>
        <v>-</v>
      </c>
      <c r="AO382" s="8" t="str">
        <f t="shared" si="181"/>
        <v>-</v>
      </c>
      <c r="AP382" s="8" t="str">
        <f t="shared" si="182"/>
        <v>-</v>
      </c>
      <c r="AQ382" s="8" t="str">
        <f t="shared" si="183"/>
        <v>-</v>
      </c>
      <c r="AR382" s="8" t="str">
        <f t="shared" si="184"/>
        <v>-</v>
      </c>
      <c r="AS382" s="8" t="str">
        <f>IF($AD382&lt;=$C$25*12,SUM(AR$5:AR382),"-")</f>
        <v>-</v>
      </c>
      <c r="AT382" s="8" t="str">
        <f>IF($AD382&lt;=$C$25*12,AE382-$C$10-'RE Calculations'!$C569-'Mortgage Calculators (By Month)'!$M400,"-")</f>
        <v>-</v>
      </c>
      <c r="AU382" s="29" t="str">
        <f t="shared" si="185"/>
        <v>-</v>
      </c>
      <c r="AV382" s="31" t="str">
        <f t="shared" si="186"/>
        <v>-</v>
      </c>
      <c r="AW382" s="8" t="str">
        <f t="shared" si="187"/>
        <v>-</v>
      </c>
      <c r="AX382" s="29" t="str">
        <f t="shared" si="188"/>
        <v>-</v>
      </c>
      <c r="AY382" s="31" t="str">
        <f t="shared" si="189"/>
        <v>-</v>
      </c>
    </row>
    <row r="383" spans="6:51" x14ac:dyDescent="0.35">
      <c r="F383" s="12" t="str">
        <f t="shared" si="142"/>
        <v>-</v>
      </c>
      <c r="G383" s="8" t="str">
        <f t="shared" si="143"/>
        <v>-</v>
      </c>
      <c r="H383" s="8" t="str">
        <f>IF($F383&lt;=$C$16*12,$G383-$C$7+SUM('Mortgage Calculators (By Month)'!$D$23:$D401),"-")</f>
        <v>-</v>
      </c>
      <c r="I383" s="8" t="str">
        <f t="shared" si="168"/>
        <v>-</v>
      </c>
      <c r="J383" s="8" t="str">
        <f>IF($F383&lt;=$C$16*12,SUM(Inputs!$C$61:$C$78)*'Forecast (By Month)'!I383,"-")</f>
        <v>-</v>
      </c>
      <c r="K383" s="8" t="str">
        <f>IF($F383&lt;=$C$16*12,(SUMIF(Inputs!$C$61:$C$78,0,Inputs!$F$61:$F$78)/12)*(1+$C$34)^ROUNDDOWN((F383-1)/12,0),"-")</f>
        <v>-</v>
      </c>
      <c r="L383" s="8" t="str">
        <f t="shared" si="169"/>
        <v>-</v>
      </c>
      <c r="M383" s="8" t="str">
        <f>IF($F383&lt;=$C$16*12,'Mortgage Calculators (By Month)'!$C401,"-")</f>
        <v>-</v>
      </c>
      <c r="N383" s="8" t="str">
        <f>IF($F383&lt;=$C$16*12,'Mortgage Calculators (By Month)'!$D401,"-")</f>
        <v>-</v>
      </c>
      <c r="O383" s="8" t="str">
        <f>IF($F383&lt;=$C$16*12,'Mortgage Calculators (By Month)'!$E401,"-")</f>
        <v>-</v>
      </c>
      <c r="P383" s="8" t="str">
        <f t="shared" si="166"/>
        <v>-</v>
      </c>
      <c r="Q383" s="8" t="str">
        <f t="shared" si="170"/>
        <v>-</v>
      </c>
      <c r="R383" s="8" t="str">
        <f t="shared" si="171"/>
        <v>-</v>
      </c>
      <c r="S383" s="8" t="str">
        <f t="shared" si="172"/>
        <v>-</v>
      </c>
      <c r="T383" s="8" t="str">
        <f t="shared" si="173"/>
        <v>-</v>
      </c>
      <c r="U383" s="8" t="str">
        <f>IF($F383&lt;=$C$16*12,SUM(T$5:T383),"-")</f>
        <v>-</v>
      </c>
      <c r="V383" s="8" t="str">
        <f>IF($F383&lt;=$C$16*12,G383-$C$10-'RE Calculations'!$C570-'Mortgage Calculators (By Month)'!$F401,"-")</f>
        <v>-</v>
      </c>
      <c r="W383" s="29" t="str">
        <f t="shared" si="174"/>
        <v>-</v>
      </c>
      <c r="X383" s="31" t="str">
        <f t="shared" si="175"/>
        <v>-</v>
      </c>
      <c r="Y383" s="8" t="str">
        <f t="shared" si="176"/>
        <v>-</v>
      </c>
      <c r="Z383" s="29" t="str">
        <f t="shared" si="177"/>
        <v>-</v>
      </c>
      <c r="AA383" s="31" t="str">
        <f t="shared" si="178"/>
        <v>-</v>
      </c>
      <c r="AD383" s="12" t="str">
        <f t="shared" si="154"/>
        <v>-</v>
      </c>
      <c r="AE383" s="8" t="str">
        <f t="shared" si="155"/>
        <v>-</v>
      </c>
      <c r="AF383" s="8" t="str">
        <f>IF($AD383&lt;=$C$25*12,$AE383-$C$7+SUM('Mortgage Calculators (By Month)'!$K$23:$K401),"-")</f>
        <v>-</v>
      </c>
      <c r="AG383" s="8" t="str">
        <f t="shared" si="179"/>
        <v>-</v>
      </c>
      <c r="AH383" s="8" t="str">
        <f>IF($AD383&lt;=$C$25*12,SUM(Inputs!$C$61:$C$78)*'Forecast (By Month)'!AG383,"-")</f>
        <v>-</v>
      </c>
      <c r="AI383" s="8" t="str">
        <f>IF($AD383&lt;=$C$25*12,(SUMIF(Inputs!$C$61:$C$78,0,Inputs!$F$61:$F$78)/12)*(1+$C$34)^ROUNDDOWN((AD383-1)/12,0),"-")</f>
        <v>-</v>
      </c>
      <c r="AJ383" s="8" t="str">
        <f t="shared" si="180"/>
        <v>-</v>
      </c>
      <c r="AK383" s="8" t="str">
        <f>IF($AD383&lt;=$C$25*12,'Mortgage Calculators (By Month)'!$J401,"-")</f>
        <v>-</v>
      </c>
      <c r="AL383" s="8" t="str">
        <f>IF($AD383&lt;=$C$25*12,'Mortgage Calculators (By Month)'!$K401,"-")</f>
        <v>-</v>
      </c>
      <c r="AM383" s="8" t="str">
        <f>IF($AD383&lt;=$C$25*12,'Mortgage Calculators (By Month)'!$L401,"-")</f>
        <v>-</v>
      </c>
      <c r="AN383" s="8" t="str">
        <f t="shared" si="167"/>
        <v>-</v>
      </c>
      <c r="AO383" s="8" t="str">
        <f t="shared" si="181"/>
        <v>-</v>
      </c>
      <c r="AP383" s="8" t="str">
        <f t="shared" si="182"/>
        <v>-</v>
      </c>
      <c r="AQ383" s="8" t="str">
        <f t="shared" si="183"/>
        <v>-</v>
      </c>
      <c r="AR383" s="8" t="str">
        <f t="shared" si="184"/>
        <v>-</v>
      </c>
      <c r="AS383" s="8" t="str">
        <f>IF($AD383&lt;=$C$25*12,SUM(AR$5:AR383),"-")</f>
        <v>-</v>
      </c>
      <c r="AT383" s="8" t="str">
        <f>IF($AD383&lt;=$C$25*12,AE383-$C$10-'RE Calculations'!$C570-'Mortgage Calculators (By Month)'!$M401,"-")</f>
        <v>-</v>
      </c>
      <c r="AU383" s="29" t="str">
        <f t="shared" si="185"/>
        <v>-</v>
      </c>
      <c r="AV383" s="31" t="str">
        <f t="shared" si="186"/>
        <v>-</v>
      </c>
      <c r="AW383" s="8" t="str">
        <f t="shared" si="187"/>
        <v>-</v>
      </c>
      <c r="AX383" s="29" t="str">
        <f t="shared" si="188"/>
        <v>-</v>
      </c>
      <c r="AY383" s="31" t="str">
        <f t="shared" si="189"/>
        <v>-</v>
      </c>
    </row>
    <row r="384" spans="6:51" x14ac:dyDescent="0.35">
      <c r="F384" s="12" t="str">
        <f t="shared" si="142"/>
        <v>-</v>
      </c>
      <c r="G384" s="8" t="str">
        <f t="shared" si="143"/>
        <v>-</v>
      </c>
      <c r="H384" s="8" t="str">
        <f>IF($F384&lt;=$C$16*12,$G384-$C$7+SUM('Mortgage Calculators (By Month)'!$D$23:$D402),"-")</f>
        <v>-</v>
      </c>
      <c r="I384" s="8" t="str">
        <f t="shared" si="168"/>
        <v>-</v>
      </c>
      <c r="J384" s="8" t="str">
        <f>IF($F384&lt;=$C$16*12,SUM(Inputs!$C$61:$C$78)*'Forecast (By Month)'!I384,"-")</f>
        <v>-</v>
      </c>
      <c r="K384" s="8" t="str">
        <f>IF($F384&lt;=$C$16*12,(SUMIF(Inputs!$C$61:$C$78,0,Inputs!$F$61:$F$78)/12)*(1+$C$34)^ROUNDDOWN((F384-1)/12,0),"-")</f>
        <v>-</v>
      </c>
      <c r="L384" s="8" t="str">
        <f t="shared" si="169"/>
        <v>-</v>
      </c>
      <c r="M384" s="8" t="str">
        <f>IF($F384&lt;=$C$16*12,'Mortgage Calculators (By Month)'!$C402,"-")</f>
        <v>-</v>
      </c>
      <c r="N384" s="8" t="str">
        <f>IF($F384&lt;=$C$16*12,'Mortgage Calculators (By Month)'!$D402,"-")</f>
        <v>-</v>
      </c>
      <c r="O384" s="8" t="str">
        <f>IF($F384&lt;=$C$16*12,'Mortgage Calculators (By Month)'!$E402,"-")</f>
        <v>-</v>
      </c>
      <c r="P384" s="8" t="str">
        <f t="shared" si="166"/>
        <v>-</v>
      </c>
      <c r="Q384" s="8" t="str">
        <f t="shared" si="170"/>
        <v>-</v>
      </c>
      <c r="R384" s="8" t="str">
        <f t="shared" si="171"/>
        <v>-</v>
      </c>
      <c r="S384" s="8" t="str">
        <f t="shared" si="172"/>
        <v>-</v>
      </c>
      <c r="T384" s="8" t="str">
        <f t="shared" si="173"/>
        <v>-</v>
      </c>
      <c r="U384" s="8" t="str">
        <f>IF($F384&lt;=$C$16*12,SUM(T$5:T384),"-")</f>
        <v>-</v>
      </c>
      <c r="V384" s="8" t="str">
        <f>IF($F384&lt;=$C$16*12,G384-$C$10-'RE Calculations'!$C571-'Mortgage Calculators (By Month)'!$F402,"-")</f>
        <v>-</v>
      </c>
      <c r="W384" s="29" t="str">
        <f t="shared" si="174"/>
        <v>-</v>
      </c>
      <c r="X384" s="31" t="str">
        <f t="shared" si="175"/>
        <v>-</v>
      </c>
      <c r="Y384" s="8" t="str">
        <f t="shared" si="176"/>
        <v>-</v>
      </c>
      <c r="Z384" s="29" t="str">
        <f t="shared" si="177"/>
        <v>-</v>
      </c>
      <c r="AA384" s="31" t="str">
        <f t="shared" si="178"/>
        <v>-</v>
      </c>
      <c r="AD384" s="12" t="str">
        <f t="shared" si="154"/>
        <v>-</v>
      </c>
      <c r="AE384" s="8" t="str">
        <f t="shared" si="155"/>
        <v>-</v>
      </c>
      <c r="AF384" s="8" t="str">
        <f>IF($AD384&lt;=$C$25*12,$AE384-$C$7+SUM('Mortgage Calculators (By Month)'!$K$23:$K402),"-")</f>
        <v>-</v>
      </c>
      <c r="AG384" s="8" t="str">
        <f t="shared" si="179"/>
        <v>-</v>
      </c>
      <c r="AH384" s="8" t="str">
        <f>IF($AD384&lt;=$C$25*12,SUM(Inputs!$C$61:$C$78)*'Forecast (By Month)'!AG384,"-")</f>
        <v>-</v>
      </c>
      <c r="AI384" s="8" t="str">
        <f>IF($AD384&lt;=$C$25*12,(SUMIF(Inputs!$C$61:$C$78,0,Inputs!$F$61:$F$78)/12)*(1+$C$34)^ROUNDDOWN((AD384-1)/12,0),"-")</f>
        <v>-</v>
      </c>
      <c r="AJ384" s="8" t="str">
        <f t="shared" si="180"/>
        <v>-</v>
      </c>
      <c r="AK384" s="8" t="str">
        <f>IF($AD384&lt;=$C$25*12,'Mortgage Calculators (By Month)'!$J402,"-")</f>
        <v>-</v>
      </c>
      <c r="AL384" s="8" t="str">
        <f>IF($AD384&lt;=$C$25*12,'Mortgage Calculators (By Month)'!$K402,"-")</f>
        <v>-</v>
      </c>
      <c r="AM384" s="8" t="str">
        <f>IF($AD384&lt;=$C$25*12,'Mortgage Calculators (By Month)'!$L402,"-")</f>
        <v>-</v>
      </c>
      <c r="AN384" s="8" t="str">
        <f t="shared" si="167"/>
        <v>-</v>
      </c>
      <c r="AO384" s="8" t="str">
        <f t="shared" si="181"/>
        <v>-</v>
      </c>
      <c r="AP384" s="8" t="str">
        <f t="shared" si="182"/>
        <v>-</v>
      </c>
      <c r="AQ384" s="8" t="str">
        <f t="shared" si="183"/>
        <v>-</v>
      </c>
      <c r="AR384" s="8" t="str">
        <f t="shared" si="184"/>
        <v>-</v>
      </c>
      <c r="AS384" s="8" t="str">
        <f>IF($AD384&lt;=$C$25*12,SUM(AR$5:AR384),"-")</f>
        <v>-</v>
      </c>
      <c r="AT384" s="8" t="str">
        <f>IF($AD384&lt;=$C$25*12,AE384-$C$10-'RE Calculations'!$C571-'Mortgage Calculators (By Month)'!$M402,"-")</f>
        <v>-</v>
      </c>
      <c r="AU384" s="29" t="str">
        <f t="shared" si="185"/>
        <v>-</v>
      </c>
      <c r="AV384" s="31" t="str">
        <f t="shared" si="186"/>
        <v>-</v>
      </c>
      <c r="AW384" s="8" t="str">
        <f t="shared" si="187"/>
        <v>-</v>
      </c>
      <c r="AX384" s="29" t="str">
        <f t="shared" si="188"/>
        <v>-</v>
      </c>
      <c r="AY384" s="31" t="str">
        <f t="shared" si="189"/>
        <v>-</v>
      </c>
    </row>
    <row r="385" spans="6:51" x14ac:dyDescent="0.35">
      <c r="F385" s="12" t="str">
        <f t="shared" si="142"/>
        <v>-</v>
      </c>
      <c r="G385" s="8" t="str">
        <f t="shared" si="143"/>
        <v>-</v>
      </c>
      <c r="H385" s="8" t="str">
        <f>IF($F385&lt;=$C$16*12,$G385-$C$7+SUM('Mortgage Calculators (By Month)'!$D$23:$D403),"-")</f>
        <v>-</v>
      </c>
      <c r="I385" s="8" t="str">
        <f t="shared" si="168"/>
        <v>-</v>
      </c>
      <c r="J385" s="8" t="str">
        <f>IF($F385&lt;=$C$16*12,SUM(Inputs!$C$61:$C$78)*'Forecast (By Month)'!I385,"-")</f>
        <v>-</v>
      </c>
      <c r="K385" s="8" t="str">
        <f>IF($F385&lt;=$C$16*12,(SUMIF(Inputs!$C$61:$C$78,0,Inputs!$F$61:$F$78)/12)*(1+$C$34)^ROUNDDOWN((F385-1)/12,0),"-")</f>
        <v>-</v>
      </c>
      <c r="L385" s="8" t="str">
        <f t="shared" si="169"/>
        <v>-</v>
      </c>
      <c r="M385" s="8" t="str">
        <f>IF($F385&lt;=$C$16*12,'Mortgage Calculators (By Month)'!$C403,"-")</f>
        <v>-</v>
      </c>
      <c r="N385" s="8" t="str">
        <f>IF($F385&lt;=$C$16*12,'Mortgage Calculators (By Month)'!$D403,"-")</f>
        <v>-</v>
      </c>
      <c r="O385" s="8" t="str">
        <f>IF($F385&lt;=$C$16*12,'Mortgage Calculators (By Month)'!$E403,"-")</f>
        <v>-</v>
      </c>
      <c r="P385" s="8" t="str">
        <f t="shared" si="166"/>
        <v>-</v>
      </c>
      <c r="Q385" s="8" t="str">
        <f t="shared" si="170"/>
        <v>-</v>
      </c>
      <c r="R385" s="8" t="str">
        <f t="shared" si="171"/>
        <v>-</v>
      </c>
      <c r="S385" s="8" t="str">
        <f t="shared" si="172"/>
        <v>-</v>
      </c>
      <c r="T385" s="8" t="str">
        <f t="shared" si="173"/>
        <v>-</v>
      </c>
      <c r="U385" s="8" t="str">
        <f>IF($F385&lt;=$C$16*12,SUM(T$5:T385),"-")</f>
        <v>-</v>
      </c>
      <c r="V385" s="8" t="str">
        <f>IF($F385&lt;=$C$16*12,G385-$C$10-'RE Calculations'!$C572-'Mortgage Calculators (By Month)'!$F403,"-")</f>
        <v>-</v>
      </c>
      <c r="W385" s="29" t="str">
        <f t="shared" si="174"/>
        <v>-</v>
      </c>
      <c r="X385" s="31" t="str">
        <f t="shared" si="175"/>
        <v>-</v>
      </c>
      <c r="Y385" s="8" t="str">
        <f t="shared" si="176"/>
        <v>-</v>
      </c>
      <c r="Z385" s="29" t="str">
        <f t="shared" si="177"/>
        <v>-</v>
      </c>
      <c r="AA385" s="31" t="str">
        <f t="shared" si="178"/>
        <v>-</v>
      </c>
      <c r="AD385" s="12" t="str">
        <f t="shared" si="154"/>
        <v>-</v>
      </c>
      <c r="AE385" s="8" t="str">
        <f t="shared" si="155"/>
        <v>-</v>
      </c>
      <c r="AF385" s="8" t="str">
        <f>IF($AD385&lt;=$C$25*12,$AE385-$C$7+SUM('Mortgage Calculators (By Month)'!$K$23:$K403),"-")</f>
        <v>-</v>
      </c>
      <c r="AG385" s="8" t="str">
        <f t="shared" si="179"/>
        <v>-</v>
      </c>
      <c r="AH385" s="8" t="str">
        <f>IF($AD385&lt;=$C$25*12,SUM(Inputs!$C$61:$C$78)*'Forecast (By Month)'!AG385,"-")</f>
        <v>-</v>
      </c>
      <c r="AI385" s="8" t="str">
        <f>IF($AD385&lt;=$C$25*12,(SUMIF(Inputs!$C$61:$C$78,0,Inputs!$F$61:$F$78)/12)*(1+$C$34)^ROUNDDOWN((AD385-1)/12,0),"-")</f>
        <v>-</v>
      </c>
      <c r="AJ385" s="8" t="str">
        <f t="shared" si="180"/>
        <v>-</v>
      </c>
      <c r="AK385" s="8" t="str">
        <f>IF($AD385&lt;=$C$25*12,'Mortgage Calculators (By Month)'!$J403,"-")</f>
        <v>-</v>
      </c>
      <c r="AL385" s="8" t="str">
        <f>IF($AD385&lt;=$C$25*12,'Mortgage Calculators (By Month)'!$K403,"-")</f>
        <v>-</v>
      </c>
      <c r="AM385" s="8" t="str">
        <f>IF($AD385&lt;=$C$25*12,'Mortgage Calculators (By Month)'!$L403,"-")</f>
        <v>-</v>
      </c>
      <c r="AN385" s="8" t="str">
        <f t="shared" si="167"/>
        <v>-</v>
      </c>
      <c r="AO385" s="8" t="str">
        <f t="shared" si="181"/>
        <v>-</v>
      </c>
      <c r="AP385" s="8" t="str">
        <f t="shared" si="182"/>
        <v>-</v>
      </c>
      <c r="AQ385" s="8" t="str">
        <f t="shared" si="183"/>
        <v>-</v>
      </c>
      <c r="AR385" s="8" t="str">
        <f t="shared" si="184"/>
        <v>-</v>
      </c>
      <c r="AS385" s="8" t="str">
        <f>IF($AD385&lt;=$C$25*12,SUM(AR$5:AR385),"-")</f>
        <v>-</v>
      </c>
      <c r="AT385" s="8" t="str">
        <f>IF($AD385&lt;=$C$25*12,AE385-$C$10-'RE Calculations'!$C572-'Mortgage Calculators (By Month)'!$M403,"-")</f>
        <v>-</v>
      </c>
      <c r="AU385" s="29" t="str">
        <f t="shared" si="185"/>
        <v>-</v>
      </c>
      <c r="AV385" s="31" t="str">
        <f t="shared" si="186"/>
        <v>-</v>
      </c>
      <c r="AW385" s="8" t="str">
        <f t="shared" si="187"/>
        <v>-</v>
      </c>
      <c r="AX385" s="29" t="str">
        <f t="shared" si="188"/>
        <v>-</v>
      </c>
      <c r="AY385" s="31" t="str">
        <f t="shared" si="189"/>
        <v>-</v>
      </c>
    </row>
    <row r="386" spans="6:51" x14ac:dyDescent="0.35">
      <c r="F386" s="12" t="str">
        <f t="shared" si="142"/>
        <v>-</v>
      </c>
      <c r="G386" s="8" t="str">
        <f t="shared" si="143"/>
        <v>-</v>
      </c>
      <c r="H386" s="8" t="str">
        <f>IF($F386&lt;=$C$16*12,$G386-$C$7+SUM('Mortgage Calculators (By Month)'!$D$23:$D404),"-")</f>
        <v>-</v>
      </c>
      <c r="I386" s="8" t="str">
        <f t="shared" si="168"/>
        <v>-</v>
      </c>
      <c r="J386" s="8" t="str">
        <f>IF($F386&lt;=$C$16*12,SUM(Inputs!$C$61:$C$78)*'Forecast (By Month)'!I386,"-")</f>
        <v>-</v>
      </c>
      <c r="K386" s="8" t="str">
        <f>IF($F386&lt;=$C$16*12,(SUMIF(Inputs!$C$61:$C$78,0,Inputs!$F$61:$F$78)/12)*(1+$C$34)^ROUNDDOWN((F386-1)/12,0),"-")</f>
        <v>-</v>
      </c>
      <c r="L386" s="8" t="str">
        <f t="shared" si="169"/>
        <v>-</v>
      </c>
      <c r="M386" s="8" t="str">
        <f>IF($F386&lt;=$C$16*12,'Mortgage Calculators (By Month)'!$C404,"-")</f>
        <v>-</v>
      </c>
      <c r="N386" s="8" t="str">
        <f>IF($F386&lt;=$C$16*12,'Mortgage Calculators (By Month)'!$D404,"-")</f>
        <v>-</v>
      </c>
      <c r="O386" s="8" t="str">
        <f>IF($F386&lt;=$C$16*12,'Mortgage Calculators (By Month)'!$E404,"-")</f>
        <v>-</v>
      </c>
      <c r="P386" s="8" t="str">
        <f t="shared" si="166"/>
        <v>-</v>
      </c>
      <c r="Q386" s="8" t="str">
        <f t="shared" si="170"/>
        <v>-</v>
      </c>
      <c r="R386" s="8" t="str">
        <f t="shared" si="171"/>
        <v>-</v>
      </c>
      <c r="S386" s="8" t="str">
        <f t="shared" si="172"/>
        <v>-</v>
      </c>
      <c r="T386" s="8" t="str">
        <f t="shared" si="173"/>
        <v>-</v>
      </c>
      <c r="U386" s="8" t="str">
        <f>IF($F386&lt;=$C$16*12,SUM(T$5:T386),"-")</f>
        <v>-</v>
      </c>
      <c r="V386" s="8" t="str">
        <f>IF($F386&lt;=$C$16*12,G386-$C$10-'RE Calculations'!$C573-'Mortgage Calculators (By Month)'!$F404,"-")</f>
        <v>-</v>
      </c>
      <c r="W386" s="29" t="str">
        <f t="shared" si="174"/>
        <v>-</v>
      </c>
      <c r="X386" s="31" t="str">
        <f t="shared" si="175"/>
        <v>-</v>
      </c>
      <c r="Y386" s="8" t="str">
        <f t="shared" si="176"/>
        <v>-</v>
      </c>
      <c r="Z386" s="29" t="str">
        <f t="shared" si="177"/>
        <v>-</v>
      </c>
      <c r="AA386" s="31" t="str">
        <f t="shared" si="178"/>
        <v>-</v>
      </c>
      <c r="AD386" s="12" t="str">
        <f t="shared" si="154"/>
        <v>-</v>
      </c>
      <c r="AE386" s="8" t="str">
        <f t="shared" si="155"/>
        <v>-</v>
      </c>
      <c r="AF386" s="8" t="str">
        <f>IF($AD386&lt;=$C$25*12,$AE386-$C$7+SUM('Mortgage Calculators (By Month)'!$K$23:$K404),"-")</f>
        <v>-</v>
      </c>
      <c r="AG386" s="8" t="str">
        <f t="shared" si="179"/>
        <v>-</v>
      </c>
      <c r="AH386" s="8" t="str">
        <f>IF($AD386&lt;=$C$25*12,SUM(Inputs!$C$61:$C$78)*'Forecast (By Month)'!AG386,"-")</f>
        <v>-</v>
      </c>
      <c r="AI386" s="8" t="str">
        <f>IF($AD386&lt;=$C$25*12,(SUMIF(Inputs!$C$61:$C$78,0,Inputs!$F$61:$F$78)/12)*(1+$C$34)^ROUNDDOWN((AD386-1)/12,0),"-")</f>
        <v>-</v>
      </c>
      <c r="AJ386" s="8" t="str">
        <f t="shared" si="180"/>
        <v>-</v>
      </c>
      <c r="AK386" s="8" t="str">
        <f>IF($AD386&lt;=$C$25*12,'Mortgage Calculators (By Month)'!$J404,"-")</f>
        <v>-</v>
      </c>
      <c r="AL386" s="8" t="str">
        <f>IF($AD386&lt;=$C$25*12,'Mortgage Calculators (By Month)'!$K404,"-")</f>
        <v>-</v>
      </c>
      <c r="AM386" s="8" t="str">
        <f>IF($AD386&lt;=$C$25*12,'Mortgage Calculators (By Month)'!$L404,"-")</f>
        <v>-</v>
      </c>
      <c r="AN386" s="8" t="str">
        <f t="shared" si="167"/>
        <v>-</v>
      </c>
      <c r="AO386" s="8" t="str">
        <f t="shared" si="181"/>
        <v>-</v>
      </c>
      <c r="AP386" s="8" t="str">
        <f t="shared" si="182"/>
        <v>-</v>
      </c>
      <c r="AQ386" s="8" t="str">
        <f t="shared" si="183"/>
        <v>-</v>
      </c>
      <c r="AR386" s="8" t="str">
        <f t="shared" si="184"/>
        <v>-</v>
      </c>
      <c r="AS386" s="8" t="str">
        <f>IF($AD386&lt;=$C$25*12,SUM(AR$5:AR386),"-")</f>
        <v>-</v>
      </c>
      <c r="AT386" s="8" t="str">
        <f>IF($AD386&lt;=$C$25*12,AE386-$C$10-'RE Calculations'!$C573-'Mortgage Calculators (By Month)'!$M404,"-")</f>
        <v>-</v>
      </c>
      <c r="AU386" s="29" t="str">
        <f t="shared" si="185"/>
        <v>-</v>
      </c>
      <c r="AV386" s="31" t="str">
        <f t="shared" si="186"/>
        <v>-</v>
      </c>
      <c r="AW386" s="8" t="str">
        <f t="shared" si="187"/>
        <v>-</v>
      </c>
      <c r="AX386" s="29" t="str">
        <f t="shared" si="188"/>
        <v>-</v>
      </c>
      <c r="AY386" s="31" t="str">
        <f t="shared" si="189"/>
        <v>-</v>
      </c>
    </row>
    <row r="387" spans="6:51" x14ac:dyDescent="0.35">
      <c r="F387" s="12" t="str">
        <f t="shared" si="142"/>
        <v>-</v>
      </c>
      <c r="G387" s="8" t="str">
        <f t="shared" si="143"/>
        <v>-</v>
      </c>
      <c r="H387" s="8" t="str">
        <f>IF($F387&lt;=$C$16*12,$G387-$C$7+SUM('Mortgage Calculators (By Month)'!$D$23:$D405),"-")</f>
        <v>-</v>
      </c>
      <c r="I387" s="8" t="str">
        <f t="shared" si="168"/>
        <v>-</v>
      </c>
      <c r="J387" s="8" t="str">
        <f>IF($F387&lt;=$C$16*12,SUM(Inputs!$C$61:$C$78)*'Forecast (By Month)'!I387,"-")</f>
        <v>-</v>
      </c>
      <c r="K387" s="8" t="str">
        <f>IF($F387&lt;=$C$16*12,(SUMIF(Inputs!$C$61:$C$78,0,Inputs!$F$61:$F$78)/12)*(1+$C$34)^ROUNDDOWN((F387-1)/12,0),"-")</f>
        <v>-</v>
      </c>
      <c r="L387" s="8" t="str">
        <f t="shared" si="169"/>
        <v>-</v>
      </c>
      <c r="M387" s="8" t="str">
        <f>IF($F387&lt;=$C$16*12,'Mortgage Calculators (By Month)'!$C405,"-")</f>
        <v>-</v>
      </c>
      <c r="N387" s="8" t="str">
        <f>IF($F387&lt;=$C$16*12,'Mortgage Calculators (By Month)'!$D405,"-")</f>
        <v>-</v>
      </c>
      <c r="O387" s="8" t="str">
        <f>IF($F387&lt;=$C$16*12,'Mortgage Calculators (By Month)'!$E405,"-")</f>
        <v>-</v>
      </c>
      <c r="P387" s="8" t="str">
        <f t="shared" si="166"/>
        <v>-</v>
      </c>
      <c r="Q387" s="8" t="str">
        <f t="shared" si="170"/>
        <v>-</v>
      </c>
      <c r="R387" s="8" t="str">
        <f t="shared" si="171"/>
        <v>-</v>
      </c>
      <c r="S387" s="8" t="str">
        <f t="shared" si="172"/>
        <v>-</v>
      </c>
      <c r="T387" s="8" t="str">
        <f t="shared" si="173"/>
        <v>-</v>
      </c>
      <c r="U387" s="8" t="str">
        <f>IF($F387&lt;=$C$16*12,SUM(T$5:T387),"-")</f>
        <v>-</v>
      </c>
      <c r="V387" s="8" t="str">
        <f>IF($F387&lt;=$C$16*12,G387-$C$10-'RE Calculations'!$C574-'Mortgage Calculators (By Month)'!$F405,"-")</f>
        <v>-</v>
      </c>
      <c r="W387" s="29" t="str">
        <f t="shared" si="174"/>
        <v>-</v>
      </c>
      <c r="X387" s="31" t="str">
        <f t="shared" si="175"/>
        <v>-</v>
      </c>
      <c r="Y387" s="8" t="str">
        <f t="shared" si="176"/>
        <v>-</v>
      </c>
      <c r="Z387" s="29" t="str">
        <f t="shared" si="177"/>
        <v>-</v>
      </c>
      <c r="AA387" s="31" t="str">
        <f t="shared" si="178"/>
        <v>-</v>
      </c>
      <c r="AD387" s="12" t="str">
        <f t="shared" si="154"/>
        <v>-</v>
      </c>
      <c r="AE387" s="8" t="str">
        <f t="shared" si="155"/>
        <v>-</v>
      </c>
      <c r="AF387" s="8" t="str">
        <f>IF($AD387&lt;=$C$25*12,$AE387-$C$7+SUM('Mortgage Calculators (By Month)'!$K$23:$K405),"-")</f>
        <v>-</v>
      </c>
      <c r="AG387" s="8" t="str">
        <f t="shared" si="179"/>
        <v>-</v>
      </c>
      <c r="AH387" s="8" t="str">
        <f>IF($AD387&lt;=$C$25*12,SUM(Inputs!$C$61:$C$78)*'Forecast (By Month)'!AG387,"-")</f>
        <v>-</v>
      </c>
      <c r="AI387" s="8" t="str">
        <f>IF($AD387&lt;=$C$25*12,(SUMIF(Inputs!$C$61:$C$78,0,Inputs!$F$61:$F$78)/12)*(1+$C$34)^ROUNDDOWN((AD387-1)/12,0),"-")</f>
        <v>-</v>
      </c>
      <c r="AJ387" s="8" t="str">
        <f t="shared" si="180"/>
        <v>-</v>
      </c>
      <c r="AK387" s="8" t="str">
        <f>IF($AD387&lt;=$C$25*12,'Mortgage Calculators (By Month)'!$J405,"-")</f>
        <v>-</v>
      </c>
      <c r="AL387" s="8" t="str">
        <f>IF($AD387&lt;=$C$25*12,'Mortgage Calculators (By Month)'!$K405,"-")</f>
        <v>-</v>
      </c>
      <c r="AM387" s="8" t="str">
        <f>IF($AD387&lt;=$C$25*12,'Mortgage Calculators (By Month)'!$L405,"-")</f>
        <v>-</v>
      </c>
      <c r="AN387" s="8" t="str">
        <f t="shared" si="167"/>
        <v>-</v>
      </c>
      <c r="AO387" s="8" t="str">
        <f t="shared" si="181"/>
        <v>-</v>
      </c>
      <c r="AP387" s="8" t="str">
        <f t="shared" si="182"/>
        <v>-</v>
      </c>
      <c r="AQ387" s="8" t="str">
        <f t="shared" si="183"/>
        <v>-</v>
      </c>
      <c r="AR387" s="8" t="str">
        <f t="shared" si="184"/>
        <v>-</v>
      </c>
      <c r="AS387" s="8" t="str">
        <f>IF($AD387&lt;=$C$25*12,SUM(AR$5:AR387),"-")</f>
        <v>-</v>
      </c>
      <c r="AT387" s="8" t="str">
        <f>IF($AD387&lt;=$C$25*12,AE387-$C$10-'RE Calculations'!$C574-'Mortgage Calculators (By Month)'!$M405,"-")</f>
        <v>-</v>
      </c>
      <c r="AU387" s="29" t="str">
        <f t="shared" si="185"/>
        <v>-</v>
      </c>
      <c r="AV387" s="31" t="str">
        <f t="shared" si="186"/>
        <v>-</v>
      </c>
      <c r="AW387" s="8" t="str">
        <f t="shared" si="187"/>
        <v>-</v>
      </c>
      <c r="AX387" s="29" t="str">
        <f t="shared" si="188"/>
        <v>-</v>
      </c>
      <c r="AY387" s="31" t="str">
        <f t="shared" si="189"/>
        <v>-</v>
      </c>
    </row>
    <row r="388" spans="6:51" x14ac:dyDescent="0.35">
      <c r="F388" s="12" t="str">
        <f t="shared" si="142"/>
        <v>-</v>
      </c>
      <c r="G388" s="8" t="str">
        <f t="shared" si="143"/>
        <v>-</v>
      </c>
      <c r="H388" s="8" t="str">
        <f>IF($F388&lt;=$C$16*12,$G388-$C$7+SUM('Mortgage Calculators (By Month)'!$D$23:$D406),"-")</f>
        <v>-</v>
      </c>
      <c r="I388" s="8" t="str">
        <f t="shared" si="168"/>
        <v>-</v>
      </c>
      <c r="J388" s="8" t="str">
        <f>IF($F388&lt;=$C$16*12,SUM(Inputs!$C$61:$C$78)*'Forecast (By Month)'!I388,"-")</f>
        <v>-</v>
      </c>
      <c r="K388" s="8" t="str">
        <f>IF($F388&lt;=$C$16*12,(SUMIF(Inputs!$C$61:$C$78,0,Inputs!$F$61:$F$78)/12)*(1+$C$34)^ROUNDDOWN((F388-1)/12,0),"-")</f>
        <v>-</v>
      </c>
      <c r="L388" s="8" t="str">
        <f t="shared" si="169"/>
        <v>-</v>
      </c>
      <c r="M388" s="8" t="str">
        <f>IF($F388&lt;=$C$16*12,'Mortgage Calculators (By Month)'!$C406,"-")</f>
        <v>-</v>
      </c>
      <c r="N388" s="8" t="str">
        <f>IF($F388&lt;=$C$16*12,'Mortgage Calculators (By Month)'!$D406,"-")</f>
        <v>-</v>
      </c>
      <c r="O388" s="8" t="str">
        <f>IF($F388&lt;=$C$16*12,'Mortgage Calculators (By Month)'!$E406,"-")</f>
        <v>-</v>
      </c>
      <c r="P388" s="8" t="str">
        <f t="shared" si="166"/>
        <v>-</v>
      </c>
      <c r="Q388" s="8" t="str">
        <f t="shared" si="170"/>
        <v>-</v>
      </c>
      <c r="R388" s="8" t="str">
        <f t="shared" si="171"/>
        <v>-</v>
      </c>
      <c r="S388" s="8" t="str">
        <f t="shared" si="172"/>
        <v>-</v>
      </c>
      <c r="T388" s="8" t="str">
        <f t="shared" si="173"/>
        <v>-</v>
      </c>
      <c r="U388" s="8" t="str">
        <f>IF($F388&lt;=$C$16*12,SUM(T$5:T388),"-")</f>
        <v>-</v>
      </c>
      <c r="V388" s="8" t="str">
        <f>IF($F388&lt;=$C$16*12,G388-$C$10-'RE Calculations'!$C575-'Mortgage Calculators (By Month)'!$F406,"-")</f>
        <v>-</v>
      </c>
      <c r="W388" s="29" t="str">
        <f t="shared" si="174"/>
        <v>-</v>
      </c>
      <c r="X388" s="31" t="str">
        <f t="shared" si="175"/>
        <v>-</v>
      </c>
      <c r="Y388" s="8" t="str">
        <f t="shared" si="176"/>
        <v>-</v>
      </c>
      <c r="Z388" s="29" t="str">
        <f t="shared" si="177"/>
        <v>-</v>
      </c>
      <c r="AA388" s="31" t="str">
        <f t="shared" si="178"/>
        <v>-</v>
      </c>
      <c r="AD388" s="12" t="str">
        <f t="shared" si="154"/>
        <v>-</v>
      </c>
      <c r="AE388" s="8" t="str">
        <f t="shared" si="155"/>
        <v>-</v>
      </c>
      <c r="AF388" s="8" t="str">
        <f>IF($AD388&lt;=$C$25*12,$AE388-$C$7+SUM('Mortgage Calculators (By Month)'!$K$23:$K406),"-")</f>
        <v>-</v>
      </c>
      <c r="AG388" s="8" t="str">
        <f t="shared" si="179"/>
        <v>-</v>
      </c>
      <c r="AH388" s="8" t="str">
        <f>IF($AD388&lt;=$C$25*12,SUM(Inputs!$C$61:$C$78)*'Forecast (By Month)'!AG388,"-")</f>
        <v>-</v>
      </c>
      <c r="AI388" s="8" t="str">
        <f>IF($AD388&lt;=$C$25*12,(SUMIF(Inputs!$C$61:$C$78,0,Inputs!$F$61:$F$78)/12)*(1+$C$34)^ROUNDDOWN((AD388-1)/12,0),"-")</f>
        <v>-</v>
      </c>
      <c r="AJ388" s="8" t="str">
        <f t="shared" si="180"/>
        <v>-</v>
      </c>
      <c r="AK388" s="8" t="str">
        <f>IF($AD388&lt;=$C$25*12,'Mortgage Calculators (By Month)'!$J406,"-")</f>
        <v>-</v>
      </c>
      <c r="AL388" s="8" t="str">
        <f>IF($AD388&lt;=$C$25*12,'Mortgage Calculators (By Month)'!$K406,"-")</f>
        <v>-</v>
      </c>
      <c r="AM388" s="8" t="str">
        <f>IF($AD388&lt;=$C$25*12,'Mortgage Calculators (By Month)'!$L406,"-")</f>
        <v>-</v>
      </c>
      <c r="AN388" s="8" t="str">
        <f t="shared" si="167"/>
        <v>-</v>
      </c>
      <c r="AO388" s="8" t="str">
        <f t="shared" si="181"/>
        <v>-</v>
      </c>
      <c r="AP388" s="8" t="str">
        <f t="shared" si="182"/>
        <v>-</v>
      </c>
      <c r="AQ388" s="8" t="str">
        <f t="shared" si="183"/>
        <v>-</v>
      </c>
      <c r="AR388" s="8" t="str">
        <f t="shared" si="184"/>
        <v>-</v>
      </c>
      <c r="AS388" s="8" t="str">
        <f>IF($AD388&lt;=$C$25*12,SUM(AR$5:AR388),"-")</f>
        <v>-</v>
      </c>
      <c r="AT388" s="8" t="str">
        <f>IF($AD388&lt;=$C$25*12,AE388-$C$10-'RE Calculations'!$C575-'Mortgage Calculators (By Month)'!$M406,"-")</f>
        <v>-</v>
      </c>
      <c r="AU388" s="29" t="str">
        <f t="shared" si="185"/>
        <v>-</v>
      </c>
      <c r="AV388" s="31" t="str">
        <f t="shared" si="186"/>
        <v>-</v>
      </c>
      <c r="AW388" s="8" t="str">
        <f t="shared" si="187"/>
        <v>-</v>
      </c>
      <c r="AX388" s="29" t="str">
        <f t="shared" si="188"/>
        <v>-</v>
      </c>
      <c r="AY388" s="31" t="str">
        <f t="shared" si="189"/>
        <v>-</v>
      </c>
    </row>
    <row r="389" spans="6:51" x14ac:dyDescent="0.35">
      <c r="F389" s="12" t="str">
        <f t="shared" ref="F389:F452" si="190">IF(F388&lt;$C$16*12,F388+1,"-")</f>
        <v>-</v>
      </c>
      <c r="G389" s="8" t="str">
        <f t="shared" ref="G389:G452" si="191">IF($F389&lt;=$C$16*12,G388*(1+$C$32),"-")</f>
        <v>-</v>
      </c>
      <c r="H389" s="8" t="str">
        <f>IF($F389&lt;=$C$16*12,$G389-$C$7+SUM('Mortgage Calculators (By Month)'!$D$23:$D407),"-")</f>
        <v>-</v>
      </c>
      <c r="I389" s="8" t="str">
        <f t="shared" si="168"/>
        <v>-</v>
      </c>
      <c r="J389" s="8" t="str">
        <f>IF($F389&lt;=$C$16*12,SUM(Inputs!$C$61:$C$78)*'Forecast (By Month)'!I389,"-")</f>
        <v>-</v>
      </c>
      <c r="K389" s="8" t="str">
        <f>IF($F389&lt;=$C$16*12,(SUMIF(Inputs!$C$61:$C$78,0,Inputs!$F$61:$F$78)/12)*(1+$C$34)^ROUNDDOWN((F389-1)/12,0),"-")</f>
        <v>-</v>
      </c>
      <c r="L389" s="8" t="str">
        <f t="shared" si="169"/>
        <v>-</v>
      </c>
      <c r="M389" s="8" t="str">
        <f>IF($F389&lt;=$C$16*12,'Mortgage Calculators (By Month)'!$C407,"-")</f>
        <v>-</v>
      </c>
      <c r="N389" s="8" t="str">
        <f>IF($F389&lt;=$C$16*12,'Mortgage Calculators (By Month)'!$D407,"-")</f>
        <v>-</v>
      </c>
      <c r="O389" s="8" t="str">
        <f>IF($F389&lt;=$C$16*12,'Mortgage Calculators (By Month)'!$E407,"-")</f>
        <v>-</v>
      </c>
      <c r="P389" s="8" t="str">
        <f t="shared" si="166"/>
        <v>-</v>
      </c>
      <c r="Q389" s="8" t="str">
        <f t="shared" si="170"/>
        <v>-</v>
      </c>
      <c r="R389" s="8" t="str">
        <f t="shared" si="171"/>
        <v>-</v>
      </c>
      <c r="S389" s="8" t="str">
        <f t="shared" si="172"/>
        <v>-</v>
      </c>
      <c r="T389" s="8" t="str">
        <f t="shared" si="173"/>
        <v>-</v>
      </c>
      <c r="U389" s="8" t="str">
        <f>IF($F389&lt;=$C$16*12,SUM(T$5:T389),"-")</f>
        <v>-</v>
      </c>
      <c r="V389" s="8" t="str">
        <f>IF($F389&lt;=$C$16*12,G389-$C$10-'RE Calculations'!$C576-'Mortgage Calculators (By Month)'!$F407,"-")</f>
        <v>-</v>
      </c>
      <c r="W389" s="29" t="str">
        <f t="shared" si="174"/>
        <v>-</v>
      </c>
      <c r="X389" s="31" t="str">
        <f t="shared" si="175"/>
        <v>-</v>
      </c>
      <c r="Y389" s="8" t="str">
        <f t="shared" si="176"/>
        <v>-</v>
      </c>
      <c r="Z389" s="29" t="str">
        <f t="shared" si="177"/>
        <v>-</v>
      </c>
      <c r="AA389" s="31" t="str">
        <f t="shared" si="178"/>
        <v>-</v>
      </c>
      <c r="AD389" s="12" t="str">
        <f t="shared" ref="AD389:AD452" si="192">IF($AD388&lt;$C$25*12,AD388+1,"-")</f>
        <v>-</v>
      </c>
      <c r="AE389" s="8" t="str">
        <f t="shared" ref="AE389:AE452" si="193">IF($AD389&lt;=$C$25*12,AE388*(1+$C$32),"-")</f>
        <v>-</v>
      </c>
      <c r="AF389" s="8" t="str">
        <f>IF($AD389&lt;=$C$25*12,$AE389-$C$7+SUM('Mortgage Calculators (By Month)'!$K$23:$K407),"-")</f>
        <v>-</v>
      </c>
      <c r="AG389" s="8" t="str">
        <f t="shared" si="179"/>
        <v>-</v>
      </c>
      <c r="AH389" s="8" t="str">
        <f>IF($AD389&lt;=$C$25*12,SUM(Inputs!$C$61:$C$78)*'Forecast (By Month)'!AG389,"-")</f>
        <v>-</v>
      </c>
      <c r="AI389" s="8" t="str">
        <f>IF($AD389&lt;=$C$25*12,(SUMIF(Inputs!$C$61:$C$78,0,Inputs!$F$61:$F$78)/12)*(1+$C$34)^ROUNDDOWN((AD389-1)/12,0),"-")</f>
        <v>-</v>
      </c>
      <c r="AJ389" s="8" t="str">
        <f t="shared" si="180"/>
        <v>-</v>
      </c>
      <c r="AK389" s="8" t="str">
        <f>IF($AD389&lt;=$C$25*12,'Mortgage Calculators (By Month)'!$J407,"-")</f>
        <v>-</v>
      </c>
      <c r="AL389" s="8" t="str">
        <f>IF($AD389&lt;=$C$25*12,'Mortgage Calculators (By Month)'!$K407,"-")</f>
        <v>-</v>
      </c>
      <c r="AM389" s="8" t="str">
        <f>IF($AD389&lt;=$C$25*12,'Mortgage Calculators (By Month)'!$L407,"-")</f>
        <v>-</v>
      </c>
      <c r="AN389" s="8" t="str">
        <f t="shared" si="167"/>
        <v>-</v>
      </c>
      <c r="AO389" s="8" t="str">
        <f t="shared" si="181"/>
        <v>-</v>
      </c>
      <c r="AP389" s="8" t="str">
        <f t="shared" si="182"/>
        <v>-</v>
      </c>
      <c r="AQ389" s="8" t="str">
        <f t="shared" si="183"/>
        <v>-</v>
      </c>
      <c r="AR389" s="8" t="str">
        <f t="shared" si="184"/>
        <v>-</v>
      </c>
      <c r="AS389" s="8" t="str">
        <f>IF($AD389&lt;=$C$25*12,SUM(AR$5:AR389),"-")</f>
        <v>-</v>
      </c>
      <c r="AT389" s="8" t="str">
        <f>IF($AD389&lt;=$C$25*12,AE389-$C$10-'RE Calculations'!$C576-'Mortgage Calculators (By Month)'!$M407,"-")</f>
        <v>-</v>
      </c>
      <c r="AU389" s="29" t="str">
        <f t="shared" si="185"/>
        <v>-</v>
      </c>
      <c r="AV389" s="31" t="str">
        <f t="shared" si="186"/>
        <v>-</v>
      </c>
      <c r="AW389" s="8" t="str">
        <f t="shared" si="187"/>
        <v>-</v>
      </c>
      <c r="AX389" s="29" t="str">
        <f t="shared" si="188"/>
        <v>-</v>
      </c>
      <c r="AY389" s="31" t="str">
        <f t="shared" si="189"/>
        <v>-</v>
      </c>
    </row>
    <row r="390" spans="6:51" x14ac:dyDescent="0.35">
      <c r="F390" s="12" t="str">
        <f t="shared" si="190"/>
        <v>-</v>
      </c>
      <c r="G390" s="8" t="str">
        <f t="shared" si="191"/>
        <v>-</v>
      </c>
      <c r="H390" s="8" t="str">
        <f>IF($F390&lt;=$C$16*12,$G390-$C$7+SUM('Mortgage Calculators (By Month)'!$D$23:$D408),"-")</f>
        <v>-</v>
      </c>
      <c r="I390" s="8" t="str">
        <f t="shared" si="168"/>
        <v>-</v>
      </c>
      <c r="J390" s="8" t="str">
        <f>IF($F390&lt;=$C$16*12,SUM(Inputs!$C$61:$C$78)*'Forecast (By Month)'!I390,"-")</f>
        <v>-</v>
      </c>
      <c r="K390" s="8" t="str">
        <f>IF($F390&lt;=$C$16*12,(SUMIF(Inputs!$C$61:$C$78,0,Inputs!$F$61:$F$78)/12)*(1+$C$34)^ROUNDDOWN((F390-1)/12,0),"-")</f>
        <v>-</v>
      </c>
      <c r="L390" s="8" t="str">
        <f t="shared" si="169"/>
        <v>-</v>
      </c>
      <c r="M390" s="8" t="str">
        <f>IF($F390&lt;=$C$16*12,'Mortgage Calculators (By Month)'!$C408,"-")</f>
        <v>-</v>
      </c>
      <c r="N390" s="8" t="str">
        <f>IF($F390&lt;=$C$16*12,'Mortgage Calculators (By Month)'!$D408,"-")</f>
        <v>-</v>
      </c>
      <c r="O390" s="8" t="str">
        <f>IF($F390&lt;=$C$16*12,'Mortgage Calculators (By Month)'!$E408,"-")</f>
        <v>-</v>
      </c>
      <c r="P390" s="8" t="str">
        <f t="shared" ref="P390:P453" si="194">IF($F390&lt;=$C$16*12,IF($F390&lt;=$C$38*12,IFERROR($C$37/($C$38*12),0),0),"-")</f>
        <v>-</v>
      </c>
      <c r="Q390" s="8" t="str">
        <f t="shared" si="170"/>
        <v>-</v>
      </c>
      <c r="R390" s="8" t="str">
        <f t="shared" si="171"/>
        <v>-</v>
      </c>
      <c r="S390" s="8" t="str">
        <f t="shared" si="172"/>
        <v>-</v>
      </c>
      <c r="T390" s="8" t="str">
        <f t="shared" si="173"/>
        <v>-</v>
      </c>
      <c r="U390" s="8" t="str">
        <f>IF($F390&lt;=$C$16*12,SUM(T$5:T390),"-")</f>
        <v>-</v>
      </c>
      <c r="V390" s="8" t="str">
        <f>IF($F390&lt;=$C$16*12,G390-$C$10-'RE Calculations'!$C577-'Mortgage Calculators (By Month)'!$F408,"-")</f>
        <v>-</v>
      </c>
      <c r="W390" s="29" t="str">
        <f t="shared" si="174"/>
        <v>-</v>
      </c>
      <c r="X390" s="31" t="str">
        <f t="shared" si="175"/>
        <v>-</v>
      </c>
      <c r="Y390" s="8" t="str">
        <f t="shared" si="176"/>
        <v>-</v>
      </c>
      <c r="Z390" s="29" t="str">
        <f t="shared" si="177"/>
        <v>-</v>
      </c>
      <c r="AA390" s="31" t="str">
        <f t="shared" si="178"/>
        <v>-</v>
      </c>
      <c r="AD390" s="12" t="str">
        <f t="shared" si="192"/>
        <v>-</v>
      </c>
      <c r="AE390" s="8" t="str">
        <f t="shared" si="193"/>
        <v>-</v>
      </c>
      <c r="AF390" s="8" t="str">
        <f>IF($AD390&lt;=$C$25*12,$AE390-$C$7+SUM('Mortgage Calculators (By Month)'!$K$23:$K408),"-")</f>
        <v>-</v>
      </c>
      <c r="AG390" s="8" t="str">
        <f t="shared" si="179"/>
        <v>-</v>
      </c>
      <c r="AH390" s="8" t="str">
        <f>IF($AD390&lt;=$C$25*12,SUM(Inputs!$C$61:$C$78)*'Forecast (By Month)'!AG390,"-")</f>
        <v>-</v>
      </c>
      <c r="AI390" s="8" t="str">
        <f>IF($AD390&lt;=$C$25*12,(SUMIF(Inputs!$C$61:$C$78,0,Inputs!$F$61:$F$78)/12)*(1+$C$34)^ROUNDDOWN((AD390-1)/12,0),"-")</f>
        <v>-</v>
      </c>
      <c r="AJ390" s="8" t="str">
        <f t="shared" si="180"/>
        <v>-</v>
      </c>
      <c r="AK390" s="8" t="str">
        <f>IF($AD390&lt;=$C$25*12,'Mortgage Calculators (By Month)'!$J408,"-")</f>
        <v>-</v>
      </c>
      <c r="AL390" s="8" t="str">
        <f>IF($AD390&lt;=$C$25*12,'Mortgage Calculators (By Month)'!$K408,"-")</f>
        <v>-</v>
      </c>
      <c r="AM390" s="8" t="str">
        <f>IF($AD390&lt;=$C$25*12,'Mortgage Calculators (By Month)'!$L408,"-")</f>
        <v>-</v>
      </c>
      <c r="AN390" s="8" t="str">
        <f t="shared" ref="AN390:AN453" si="195">IF($AD390&lt;=$C$25*12,IF($AD390&lt;=$C$38*12,IFERROR($C$37/($C$38*12),0),0),"-")</f>
        <v>-</v>
      </c>
      <c r="AO390" s="8" t="str">
        <f t="shared" si="181"/>
        <v>-</v>
      </c>
      <c r="AP390" s="8" t="str">
        <f t="shared" si="182"/>
        <v>-</v>
      </c>
      <c r="AQ390" s="8" t="str">
        <f t="shared" si="183"/>
        <v>-</v>
      </c>
      <c r="AR390" s="8" t="str">
        <f t="shared" si="184"/>
        <v>-</v>
      </c>
      <c r="AS390" s="8" t="str">
        <f>IF($AD390&lt;=$C$25*12,SUM(AR$5:AR390),"-")</f>
        <v>-</v>
      </c>
      <c r="AT390" s="8" t="str">
        <f>IF($AD390&lt;=$C$25*12,AE390-$C$10-'RE Calculations'!$C577-'Mortgage Calculators (By Month)'!$M408,"-")</f>
        <v>-</v>
      </c>
      <c r="AU390" s="29" t="str">
        <f t="shared" si="185"/>
        <v>-</v>
      </c>
      <c r="AV390" s="31" t="str">
        <f t="shared" si="186"/>
        <v>-</v>
      </c>
      <c r="AW390" s="8" t="str">
        <f t="shared" si="187"/>
        <v>-</v>
      </c>
      <c r="AX390" s="29" t="str">
        <f t="shared" si="188"/>
        <v>-</v>
      </c>
      <c r="AY390" s="31" t="str">
        <f t="shared" si="189"/>
        <v>-</v>
      </c>
    </row>
    <row r="391" spans="6:51" x14ac:dyDescent="0.35">
      <c r="F391" s="12" t="str">
        <f t="shared" si="190"/>
        <v>-</v>
      </c>
      <c r="G391" s="8" t="str">
        <f t="shared" si="191"/>
        <v>-</v>
      </c>
      <c r="H391" s="8" t="str">
        <f>IF($F391&lt;=$C$16*12,$G391-$C$7+SUM('Mortgage Calculators (By Month)'!$D$23:$D409),"-")</f>
        <v>-</v>
      </c>
      <c r="I391" s="8" t="str">
        <f t="shared" si="168"/>
        <v>-</v>
      </c>
      <c r="J391" s="8" t="str">
        <f>IF($F391&lt;=$C$16*12,SUM(Inputs!$C$61:$C$78)*'Forecast (By Month)'!I391,"-")</f>
        <v>-</v>
      </c>
      <c r="K391" s="8" t="str">
        <f>IF($F391&lt;=$C$16*12,(SUMIF(Inputs!$C$61:$C$78,0,Inputs!$F$61:$F$78)/12)*(1+$C$34)^ROUNDDOWN((F391-1)/12,0),"-")</f>
        <v>-</v>
      </c>
      <c r="L391" s="8" t="str">
        <f t="shared" si="169"/>
        <v>-</v>
      </c>
      <c r="M391" s="8" t="str">
        <f>IF($F391&lt;=$C$16*12,'Mortgage Calculators (By Month)'!$C409,"-")</f>
        <v>-</v>
      </c>
      <c r="N391" s="8" t="str">
        <f>IF($F391&lt;=$C$16*12,'Mortgage Calculators (By Month)'!$D409,"-")</f>
        <v>-</v>
      </c>
      <c r="O391" s="8" t="str">
        <f>IF($F391&lt;=$C$16*12,'Mortgage Calculators (By Month)'!$E409,"-")</f>
        <v>-</v>
      </c>
      <c r="P391" s="8" t="str">
        <f t="shared" si="194"/>
        <v>-</v>
      </c>
      <c r="Q391" s="8" t="str">
        <f t="shared" si="170"/>
        <v>-</v>
      </c>
      <c r="R391" s="8" t="str">
        <f t="shared" si="171"/>
        <v>-</v>
      </c>
      <c r="S391" s="8" t="str">
        <f t="shared" si="172"/>
        <v>-</v>
      </c>
      <c r="T391" s="8" t="str">
        <f t="shared" si="173"/>
        <v>-</v>
      </c>
      <c r="U391" s="8" t="str">
        <f>IF($F391&lt;=$C$16*12,SUM(T$5:T391),"-")</f>
        <v>-</v>
      </c>
      <c r="V391" s="8" t="str">
        <f>IF($F391&lt;=$C$16*12,G391-$C$10-'RE Calculations'!$C578-'Mortgage Calculators (By Month)'!$F409,"-")</f>
        <v>-</v>
      </c>
      <c r="W391" s="29" t="str">
        <f t="shared" si="174"/>
        <v>-</v>
      </c>
      <c r="X391" s="31" t="str">
        <f t="shared" si="175"/>
        <v>-</v>
      </c>
      <c r="Y391" s="8" t="str">
        <f t="shared" si="176"/>
        <v>-</v>
      </c>
      <c r="Z391" s="29" t="str">
        <f t="shared" si="177"/>
        <v>-</v>
      </c>
      <c r="AA391" s="31" t="str">
        <f t="shared" si="178"/>
        <v>-</v>
      </c>
      <c r="AD391" s="12" t="str">
        <f t="shared" si="192"/>
        <v>-</v>
      </c>
      <c r="AE391" s="8" t="str">
        <f t="shared" si="193"/>
        <v>-</v>
      </c>
      <c r="AF391" s="8" t="str">
        <f>IF($AD391&lt;=$C$25*12,$AE391-$C$7+SUM('Mortgage Calculators (By Month)'!$K$23:$K409),"-")</f>
        <v>-</v>
      </c>
      <c r="AG391" s="8" t="str">
        <f t="shared" si="179"/>
        <v>-</v>
      </c>
      <c r="AH391" s="8" t="str">
        <f>IF($AD391&lt;=$C$25*12,SUM(Inputs!$C$61:$C$78)*'Forecast (By Month)'!AG391,"-")</f>
        <v>-</v>
      </c>
      <c r="AI391" s="8" t="str">
        <f>IF($AD391&lt;=$C$25*12,(SUMIF(Inputs!$C$61:$C$78,0,Inputs!$F$61:$F$78)/12)*(1+$C$34)^ROUNDDOWN((AD391-1)/12,0),"-")</f>
        <v>-</v>
      </c>
      <c r="AJ391" s="8" t="str">
        <f t="shared" si="180"/>
        <v>-</v>
      </c>
      <c r="AK391" s="8" t="str">
        <f>IF($AD391&lt;=$C$25*12,'Mortgage Calculators (By Month)'!$J409,"-")</f>
        <v>-</v>
      </c>
      <c r="AL391" s="8" t="str">
        <f>IF($AD391&lt;=$C$25*12,'Mortgage Calculators (By Month)'!$K409,"-")</f>
        <v>-</v>
      </c>
      <c r="AM391" s="8" t="str">
        <f>IF($AD391&lt;=$C$25*12,'Mortgage Calculators (By Month)'!$L409,"-")</f>
        <v>-</v>
      </c>
      <c r="AN391" s="8" t="str">
        <f t="shared" si="195"/>
        <v>-</v>
      </c>
      <c r="AO391" s="8" t="str">
        <f t="shared" si="181"/>
        <v>-</v>
      </c>
      <c r="AP391" s="8" t="str">
        <f t="shared" si="182"/>
        <v>-</v>
      </c>
      <c r="AQ391" s="8" t="str">
        <f t="shared" si="183"/>
        <v>-</v>
      </c>
      <c r="AR391" s="8" t="str">
        <f t="shared" si="184"/>
        <v>-</v>
      </c>
      <c r="AS391" s="8" t="str">
        <f>IF($AD391&lt;=$C$25*12,SUM(AR$5:AR391),"-")</f>
        <v>-</v>
      </c>
      <c r="AT391" s="8" t="str">
        <f>IF($AD391&lt;=$C$25*12,AE391-$C$10-'RE Calculations'!$C578-'Mortgage Calculators (By Month)'!$M409,"-")</f>
        <v>-</v>
      </c>
      <c r="AU391" s="29" t="str">
        <f t="shared" si="185"/>
        <v>-</v>
      </c>
      <c r="AV391" s="31" t="str">
        <f t="shared" si="186"/>
        <v>-</v>
      </c>
      <c r="AW391" s="8" t="str">
        <f t="shared" si="187"/>
        <v>-</v>
      </c>
      <c r="AX391" s="29" t="str">
        <f t="shared" si="188"/>
        <v>-</v>
      </c>
      <c r="AY391" s="31" t="str">
        <f t="shared" si="189"/>
        <v>-</v>
      </c>
    </row>
    <row r="392" spans="6:51" x14ac:dyDescent="0.35">
      <c r="F392" s="12" t="str">
        <f t="shared" si="190"/>
        <v>-</v>
      </c>
      <c r="G392" s="8" t="str">
        <f t="shared" si="191"/>
        <v>-</v>
      </c>
      <c r="H392" s="8" t="str">
        <f>IF($F392&lt;=$C$16*12,$G392-$C$7+SUM('Mortgage Calculators (By Month)'!$D$23:$D410),"-")</f>
        <v>-</v>
      </c>
      <c r="I392" s="8" t="str">
        <f t="shared" si="168"/>
        <v>-</v>
      </c>
      <c r="J392" s="8" t="str">
        <f>IF($F392&lt;=$C$16*12,SUM(Inputs!$C$61:$C$78)*'Forecast (By Month)'!I392,"-")</f>
        <v>-</v>
      </c>
      <c r="K392" s="8" t="str">
        <f>IF($F392&lt;=$C$16*12,(SUMIF(Inputs!$C$61:$C$78,0,Inputs!$F$61:$F$78)/12)*(1+$C$34)^ROUNDDOWN((F392-1)/12,0),"-")</f>
        <v>-</v>
      </c>
      <c r="L392" s="8" t="str">
        <f t="shared" si="169"/>
        <v>-</v>
      </c>
      <c r="M392" s="8" t="str">
        <f>IF($F392&lt;=$C$16*12,'Mortgage Calculators (By Month)'!$C410,"-")</f>
        <v>-</v>
      </c>
      <c r="N392" s="8" t="str">
        <f>IF($F392&lt;=$C$16*12,'Mortgage Calculators (By Month)'!$D410,"-")</f>
        <v>-</v>
      </c>
      <c r="O392" s="8" t="str">
        <f>IF($F392&lt;=$C$16*12,'Mortgage Calculators (By Month)'!$E410,"-")</f>
        <v>-</v>
      </c>
      <c r="P392" s="8" t="str">
        <f t="shared" si="194"/>
        <v>-</v>
      </c>
      <c r="Q392" s="8" t="str">
        <f t="shared" si="170"/>
        <v>-</v>
      </c>
      <c r="R392" s="8" t="str">
        <f t="shared" si="171"/>
        <v>-</v>
      </c>
      <c r="S392" s="8" t="str">
        <f t="shared" si="172"/>
        <v>-</v>
      </c>
      <c r="T392" s="8" t="str">
        <f t="shared" si="173"/>
        <v>-</v>
      </c>
      <c r="U392" s="8" t="str">
        <f>IF($F392&lt;=$C$16*12,SUM(T$5:T392),"-")</f>
        <v>-</v>
      </c>
      <c r="V392" s="8" t="str">
        <f>IF($F392&lt;=$C$16*12,G392-$C$10-'RE Calculations'!$C579-'Mortgage Calculators (By Month)'!$F410,"-")</f>
        <v>-</v>
      </c>
      <c r="W392" s="29" t="str">
        <f t="shared" si="174"/>
        <v>-</v>
      </c>
      <c r="X392" s="31" t="str">
        <f t="shared" si="175"/>
        <v>-</v>
      </c>
      <c r="Y392" s="8" t="str">
        <f t="shared" si="176"/>
        <v>-</v>
      </c>
      <c r="Z392" s="29" t="str">
        <f t="shared" si="177"/>
        <v>-</v>
      </c>
      <c r="AA392" s="31" t="str">
        <f t="shared" si="178"/>
        <v>-</v>
      </c>
      <c r="AD392" s="12" t="str">
        <f t="shared" si="192"/>
        <v>-</v>
      </c>
      <c r="AE392" s="8" t="str">
        <f t="shared" si="193"/>
        <v>-</v>
      </c>
      <c r="AF392" s="8" t="str">
        <f>IF($AD392&lt;=$C$25*12,$AE392-$C$7+SUM('Mortgage Calculators (By Month)'!$K$23:$K410),"-")</f>
        <v>-</v>
      </c>
      <c r="AG392" s="8" t="str">
        <f t="shared" si="179"/>
        <v>-</v>
      </c>
      <c r="AH392" s="8" t="str">
        <f>IF($AD392&lt;=$C$25*12,SUM(Inputs!$C$61:$C$78)*'Forecast (By Month)'!AG392,"-")</f>
        <v>-</v>
      </c>
      <c r="AI392" s="8" t="str">
        <f>IF($AD392&lt;=$C$25*12,(SUMIF(Inputs!$C$61:$C$78,0,Inputs!$F$61:$F$78)/12)*(1+$C$34)^ROUNDDOWN((AD392-1)/12,0),"-")</f>
        <v>-</v>
      </c>
      <c r="AJ392" s="8" t="str">
        <f t="shared" si="180"/>
        <v>-</v>
      </c>
      <c r="AK392" s="8" t="str">
        <f>IF($AD392&lt;=$C$25*12,'Mortgage Calculators (By Month)'!$J410,"-")</f>
        <v>-</v>
      </c>
      <c r="AL392" s="8" t="str">
        <f>IF($AD392&lt;=$C$25*12,'Mortgage Calculators (By Month)'!$K410,"-")</f>
        <v>-</v>
      </c>
      <c r="AM392" s="8" t="str">
        <f>IF($AD392&lt;=$C$25*12,'Mortgage Calculators (By Month)'!$L410,"-")</f>
        <v>-</v>
      </c>
      <c r="AN392" s="8" t="str">
        <f t="shared" si="195"/>
        <v>-</v>
      </c>
      <c r="AO392" s="8" t="str">
        <f t="shared" si="181"/>
        <v>-</v>
      </c>
      <c r="AP392" s="8" t="str">
        <f t="shared" si="182"/>
        <v>-</v>
      </c>
      <c r="AQ392" s="8" t="str">
        <f t="shared" si="183"/>
        <v>-</v>
      </c>
      <c r="AR392" s="8" t="str">
        <f t="shared" si="184"/>
        <v>-</v>
      </c>
      <c r="AS392" s="8" t="str">
        <f>IF($AD392&lt;=$C$25*12,SUM(AR$5:AR392),"-")</f>
        <v>-</v>
      </c>
      <c r="AT392" s="8" t="str">
        <f>IF($AD392&lt;=$C$25*12,AE392-$C$10-'RE Calculations'!$C579-'Mortgage Calculators (By Month)'!$M410,"-")</f>
        <v>-</v>
      </c>
      <c r="AU392" s="29" t="str">
        <f t="shared" si="185"/>
        <v>-</v>
      </c>
      <c r="AV392" s="31" t="str">
        <f t="shared" si="186"/>
        <v>-</v>
      </c>
      <c r="AW392" s="8" t="str">
        <f t="shared" si="187"/>
        <v>-</v>
      </c>
      <c r="AX392" s="29" t="str">
        <f t="shared" si="188"/>
        <v>-</v>
      </c>
      <c r="AY392" s="31" t="str">
        <f t="shared" si="189"/>
        <v>-</v>
      </c>
    </row>
    <row r="393" spans="6:51" x14ac:dyDescent="0.35">
      <c r="F393" s="12" t="str">
        <f t="shared" si="190"/>
        <v>-</v>
      </c>
      <c r="G393" s="8" t="str">
        <f t="shared" si="191"/>
        <v>-</v>
      </c>
      <c r="H393" s="8" t="str">
        <f>IF($F393&lt;=$C$16*12,$G393-$C$7+SUM('Mortgage Calculators (By Month)'!$D$23:$D411),"-")</f>
        <v>-</v>
      </c>
      <c r="I393" s="8" t="str">
        <f t="shared" si="168"/>
        <v>-</v>
      </c>
      <c r="J393" s="8" t="str">
        <f>IF($F393&lt;=$C$16*12,SUM(Inputs!$C$61:$C$78)*'Forecast (By Month)'!I393,"-")</f>
        <v>-</v>
      </c>
      <c r="K393" s="8" t="str">
        <f>IF($F393&lt;=$C$16*12,(SUMIF(Inputs!$C$61:$C$78,0,Inputs!$F$61:$F$78)/12)*(1+$C$34)^ROUNDDOWN((F393-1)/12,0),"-")</f>
        <v>-</v>
      </c>
      <c r="L393" s="8" t="str">
        <f t="shared" si="169"/>
        <v>-</v>
      </c>
      <c r="M393" s="8" t="str">
        <f>IF($F393&lt;=$C$16*12,'Mortgage Calculators (By Month)'!$C411,"-")</f>
        <v>-</v>
      </c>
      <c r="N393" s="8" t="str">
        <f>IF($F393&lt;=$C$16*12,'Mortgage Calculators (By Month)'!$D411,"-")</f>
        <v>-</v>
      </c>
      <c r="O393" s="8" t="str">
        <f>IF($F393&lt;=$C$16*12,'Mortgage Calculators (By Month)'!$E411,"-")</f>
        <v>-</v>
      </c>
      <c r="P393" s="8" t="str">
        <f t="shared" si="194"/>
        <v>-</v>
      </c>
      <c r="Q393" s="8" t="str">
        <f t="shared" si="170"/>
        <v>-</v>
      </c>
      <c r="R393" s="8" t="str">
        <f t="shared" si="171"/>
        <v>-</v>
      </c>
      <c r="S393" s="8" t="str">
        <f t="shared" si="172"/>
        <v>-</v>
      </c>
      <c r="T393" s="8" t="str">
        <f t="shared" si="173"/>
        <v>-</v>
      </c>
      <c r="U393" s="8" t="str">
        <f>IF($F393&lt;=$C$16*12,SUM(T$5:T393),"-")</f>
        <v>-</v>
      </c>
      <c r="V393" s="8" t="str">
        <f>IF($F393&lt;=$C$16*12,G393-$C$10-'RE Calculations'!$C580-'Mortgage Calculators (By Month)'!$F411,"-")</f>
        <v>-</v>
      </c>
      <c r="W393" s="29" t="str">
        <f t="shared" si="174"/>
        <v>-</v>
      </c>
      <c r="X393" s="31" t="str">
        <f t="shared" si="175"/>
        <v>-</v>
      </c>
      <c r="Y393" s="8" t="str">
        <f t="shared" si="176"/>
        <v>-</v>
      </c>
      <c r="Z393" s="29" t="str">
        <f t="shared" si="177"/>
        <v>-</v>
      </c>
      <c r="AA393" s="31" t="str">
        <f t="shared" si="178"/>
        <v>-</v>
      </c>
      <c r="AD393" s="12" t="str">
        <f t="shared" si="192"/>
        <v>-</v>
      </c>
      <c r="AE393" s="8" t="str">
        <f t="shared" si="193"/>
        <v>-</v>
      </c>
      <c r="AF393" s="8" t="str">
        <f>IF($AD393&lt;=$C$25*12,$AE393-$C$7+SUM('Mortgage Calculators (By Month)'!$K$23:$K411),"-")</f>
        <v>-</v>
      </c>
      <c r="AG393" s="8" t="str">
        <f t="shared" si="179"/>
        <v>-</v>
      </c>
      <c r="AH393" s="8" t="str">
        <f>IF($AD393&lt;=$C$25*12,SUM(Inputs!$C$61:$C$78)*'Forecast (By Month)'!AG393,"-")</f>
        <v>-</v>
      </c>
      <c r="AI393" s="8" t="str">
        <f>IF($AD393&lt;=$C$25*12,(SUMIF(Inputs!$C$61:$C$78,0,Inputs!$F$61:$F$78)/12)*(1+$C$34)^ROUNDDOWN((AD393-1)/12,0),"-")</f>
        <v>-</v>
      </c>
      <c r="AJ393" s="8" t="str">
        <f t="shared" si="180"/>
        <v>-</v>
      </c>
      <c r="AK393" s="8" t="str">
        <f>IF($AD393&lt;=$C$25*12,'Mortgage Calculators (By Month)'!$J411,"-")</f>
        <v>-</v>
      </c>
      <c r="AL393" s="8" t="str">
        <f>IF($AD393&lt;=$C$25*12,'Mortgage Calculators (By Month)'!$K411,"-")</f>
        <v>-</v>
      </c>
      <c r="AM393" s="8" t="str">
        <f>IF($AD393&lt;=$C$25*12,'Mortgage Calculators (By Month)'!$L411,"-")</f>
        <v>-</v>
      </c>
      <c r="AN393" s="8" t="str">
        <f t="shared" si="195"/>
        <v>-</v>
      </c>
      <c r="AO393" s="8" t="str">
        <f t="shared" si="181"/>
        <v>-</v>
      </c>
      <c r="AP393" s="8" t="str">
        <f t="shared" si="182"/>
        <v>-</v>
      </c>
      <c r="AQ393" s="8" t="str">
        <f t="shared" si="183"/>
        <v>-</v>
      </c>
      <c r="AR393" s="8" t="str">
        <f t="shared" si="184"/>
        <v>-</v>
      </c>
      <c r="AS393" s="8" t="str">
        <f>IF($AD393&lt;=$C$25*12,SUM(AR$5:AR393),"-")</f>
        <v>-</v>
      </c>
      <c r="AT393" s="8" t="str">
        <f>IF($AD393&lt;=$C$25*12,AE393-$C$10-'RE Calculations'!$C580-'Mortgage Calculators (By Month)'!$M411,"-")</f>
        <v>-</v>
      </c>
      <c r="AU393" s="29" t="str">
        <f t="shared" si="185"/>
        <v>-</v>
      </c>
      <c r="AV393" s="31" t="str">
        <f t="shared" si="186"/>
        <v>-</v>
      </c>
      <c r="AW393" s="8" t="str">
        <f t="shared" si="187"/>
        <v>-</v>
      </c>
      <c r="AX393" s="29" t="str">
        <f t="shared" si="188"/>
        <v>-</v>
      </c>
      <c r="AY393" s="31" t="str">
        <f t="shared" si="189"/>
        <v>-</v>
      </c>
    </row>
    <row r="394" spans="6:51" x14ac:dyDescent="0.35">
      <c r="F394" s="12" t="str">
        <f t="shared" si="190"/>
        <v>-</v>
      </c>
      <c r="G394" s="8" t="str">
        <f t="shared" si="191"/>
        <v>-</v>
      </c>
      <c r="H394" s="8" t="str">
        <f>IF($F394&lt;=$C$16*12,$G394-$C$7+SUM('Mortgage Calculators (By Month)'!$D$23:$D412),"-")</f>
        <v>-</v>
      </c>
      <c r="I394" s="8" t="str">
        <f t="shared" si="168"/>
        <v>-</v>
      </c>
      <c r="J394" s="8" t="str">
        <f>IF($F394&lt;=$C$16*12,SUM(Inputs!$C$61:$C$78)*'Forecast (By Month)'!I394,"-")</f>
        <v>-</v>
      </c>
      <c r="K394" s="8" t="str">
        <f>IF($F394&lt;=$C$16*12,(SUMIF(Inputs!$C$61:$C$78,0,Inputs!$F$61:$F$78)/12)*(1+$C$34)^ROUNDDOWN((F394-1)/12,0),"-")</f>
        <v>-</v>
      </c>
      <c r="L394" s="8" t="str">
        <f t="shared" si="169"/>
        <v>-</v>
      </c>
      <c r="M394" s="8" t="str">
        <f>IF($F394&lt;=$C$16*12,'Mortgage Calculators (By Month)'!$C412,"-")</f>
        <v>-</v>
      </c>
      <c r="N394" s="8" t="str">
        <f>IF($F394&lt;=$C$16*12,'Mortgage Calculators (By Month)'!$D412,"-")</f>
        <v>-</v>
      </c>
      <c r="O394" s="8" t="str">
        <f>IF($F394&lt;=$C$16*12,'Mortgage Calculators (By Month)'!$E412,"-")</f>
        <v>-</v>
      </c>
      <c r="P394" s="8" t="str">
        <f t="shared" si="194"/>
        <v>-</v>
      </c>
      <c r="Q394" s="8" t="str">
        <f t="shared" si="170"/>
        <v>-</v>
      </c>
      <c r="R394" s="8" t="str">
        <f t="shared" si="171"/>
        <v>-</v>
      </c>
      <c r="S394" s="8" t="str">
        <f t="shared" si="172"/>
        <v>-</v>
      </c>
      <c r="T394" s="8" t="str">
        <f t="shared" si="173"/>
        <v>-</v>
      </c>
      <c r="U394" s="8" t="str">
        <f>IF($F394&lt;=$C$16*12,SUM(T$5:T394),"-")</f>
        <v>-</v>
      </c>
      <c r="V394" s="8" t="str">
        <f>IF($F394&lt;=$C$16*12,G394-$C$10-'RE Calculations'!$C581-'Mortgage Calculators (By Month)'!$F412,"-")</f>
        <v>-</v>
      </c>
      <c r="W394" s="29" t="str">
        <f t="shared" si="174"/>
        <v>-</v>
      </c>
      <c r="X394" s="31" t="str">
        <f t="shared" si="175"/>
        <v>-</v>
      </c>
      <c r="Y394" s="8" t="str">
        <f t="shared" si="176"/>
        <v>-</v>
      </c>
      <c r="Z394" s="29" t="str">
        <f t="shared" si="177"/>
        <v>-</v>
      </c>
      <c r="AA394" s="31" t="str">
        <f t="shared" si="178"/>
        <v>-</v>
      </c>
      <c r="AD394" s="12" t="str">
        <f t="shared" si="192"/>
        <v>-</v>
      </c>
      <c r="AE394" s="8" t="str">
        <f t="shared" si="193"/>
        <v>-</v>
      </c>
      <c r="AF394" s="8" t="str">
        <f>IF($AD394&lt;=$C$25*12,$AE394-$C$7+SUM('Mortgage Calculators (By Month)'!$K$23:$K412),"-")</f>
        <v>-</v>
      </c>
      <c r="AG394" s="8" t="str">
        <f t="shared" si="179"/>
        <v>-</v>
      </c>
      <c r="AH394" s="8" t="str">
        <f>IF($AD394&lt;=$C$25*12,SUM(Inputs!$C$61:$C$78)*'Forecast (By Month)'!AG394,"-")</f>
        <v>-</v>
      </c>
      <c r="AI394" s="8" t="str">
        <f>IF($AD394&lt;=$C$25*12,(SUMIF(Inputs!$C$61:$C$78,0,Inputs!$F$61:$F$78)/12)*(1+$C$34)^ROUNDDOWN((AD394-1)/12,0),"-")</f>
        <v>-</v>
      </c>
      <c r="AJ394" s="8" t="str">
        <f t="shared" si="180"/>
        <v>-</v>
      </c>
      <c r="AK394" s="8" t="str">
        <f>IF($AD394&lt;=$C$25*12,'Mortgage Calculators (By Month)'!$J412,"-")</f>
        <v>-</v>
      </c>
      <c r="AL394" s="8" t="str">
        <f>IF($AD394&lt;=$C$25*12,'Mortgage Calculators (By Month)'!$K412,"-")</f>
        <v>-</v>
      </c>
      <c r="AM394" s="8" t="str">
        <f>IF($AD394&lt;=$C$25*12,'Mortgage Calculators (By Month)'!$L412,"-")</f>
        <v>-</v>
      </c>
      <c r="AN394" s="8" t="str">
        <f t="shared" si="195"/>
        <v>-</v>
      </c>
      <c r="AO394" s="8" t="str">
        <f t="shared" si="181"/>
        <v>-</v>
      </c>
      <c r="AP394" s="8" t="str">
        <f t="shared" si="182"/>
        <v>-</v>
      </c>
      <c r="AQ394" s="8" t="str">
        <f t="shared" si="183"/>
        <v>-</v>
      </c>
      <c r="AR394" s="8" t="str">
        <f t="shared" si="184"/>
        <v>-</v>
      </c>
      <c r="AS394" s="8" t="str">
        <f>IF($AD394&lt;=$C$25*12,SUM(AR$5:AR394),"-")</f>
        <v>-</v>
      </c>
      <c r="AT394" s="8" t="str">
        <f>IF($AD394&lt;=$C$25*12,AE394-$C$10-'RE Calculations'!$C581-'Mortgage Calculators (By Month)'!$M412,"-")</f>
        <v>-</v>
      </c>
      <c r="AU394" s="29" t="str">
        <f t="shared" si="185"/>
        <v>-</v>
      </c>
      <c r="AV394" s="31" t="str">
        <f t="shared" si="186"/>
        <v>-</v>
      </c>
      <c r="AW394" s="8" t="str">
        <f t="shared" si="187"/>
        <v>-</v>
      </c>
      <c r="AX394" s="29" t="str">
        <f t="shared" si="188"/>
        <v>-</v>
      </c>
      <c r="AY394" s="31" t="str">
        <f t="shared" si="189"/>
        <v>-</v>
      </c>
    </row>
    <row r="395" spans="6:51" x14ac:dyDescent="0.35">
      <c r="F395" s="12" t="str">
        <f t="shared" si="190"/>
        <v>-</v>
      </c>
      <c r="G395" s="8" t="str">
        <f t="shared" si="191"/>
        <v>-</v>
      </c>
      <c r="H395" s="8" t="str">
        <f>IF($F395&lt;=$C$16*12,$G395-$C$7+SUM('Mortgage Calculators (By Month)'!$D$23:$D413),"-")</f>
        <v>-</v>
      </c>
      <c r="I395" s="8" t="str">
        <f t="shared" si="168"/>
        <v>-</v>
      </c>
      <c r="J395" s="8" t="str">
        <f>IF($F395&lt;=$C$16*12,SUM(Inputs!$C$61:$C$78)*'Forecast (By Month)'!I395,"-")</f>
        <v>-</v>
      </c>
      <c r="K395" s="8" t="str">
        <f>IF($F395&lt;=$C$16*12,(SUMIF(Inputs!$C$61:$C$78,0,Inputs!$F$61:$F$78)/12)*(1+$C$34)^ROUNDDOWN((F395-1)/12,0),"-")</f>
        <v>-</v>
      </c>
      <c r="L395" s="8" t="str">
        <f t="shared" si="169"/>
        <v>-</v>
      </c>
      <c r="M395" s="8" t="str">
        <f>IF($F395&lt;=$C$16*12,'Mortgage Calculators (By Month)'!$C413,"-")</f>
        <v>-</v>
      </c>
      <c r="N395" s="8" t="str">
        <f>IF($F395&lt;=$C$16*12,'Mortgage Calculators (By Month)'!$D413,"-")</f>
        <v>-</v>
      </c>
      <c r="O395" s="8" t="str">
        <f>IF($F395&lt;=$C$16*12,'Mortgage Calculators (By Month)'!$E413,"-")</f>
        <v>-</v>
      </c>
      <c r="P395" s="8" t="str">
        <f t="shared" si="194"/>
        <v>-</v>
      </c>
      <c r="Q395" s="8" t="str">
        <f t="shared" si="170"/>
        <v>-</v>
      </c>
      <c r="R395" s="8" t="str">
        <f t="shared" si="171"/>
        <v>-</v>
      </c>
      <c r="S395" s="8" t="str">
        <f t="shared" si="172"/>
        <v>-</v>
      </c>
      <c r="T395" s="8" t="str">
        <f t="shared" si="173"/>
        <v>-</v>
      </c>
      <c r="U395" s="8" t="str">
        <f>IF($F395&lt;=$C$16*12,SUM(T$5:T395),"-")</f>
        <v>-</v>
      </c>
      <c r="V395" s="8" t="str">
        <f>IF($F395&lt;=$C$16*12,G395-$C$10-'RE Calculations'!$C582-'Mortgage Calculators (By Month)'!$F413,"-")</f>
        <v>-</v>
      </c>
      <c r="W395" s="29" t="str">
        <f t="shared" si="174"/>
        <v>-</v>
      </c>
      <c r="X395" s="31" t="str">
        <f t="shared" si="175"/>
        <v>-</v>
      </c>
      <c r="Y395" s="8" t="str">
        <f t="shared" si="176"/>
        <v>-</v>
      </c>
      <c r="Z395" s="29" t="str">
        <f t="shared" si="177"/>
        <v>-</v>
      </c>
      <c r="AA395" s="31" t="str">
        <f t="shared" si="178"/>
        <v>-</v>
      </c>
      <c r="AD395" s="12" t="str">
        <f t="shared" si="192"/>
        <v>-</v>
      </c>
      <c r="AE395" s="8" t="str">
        <f t="shared" si="193"/>
        <v>-</v>
      </c>
      <c r="AF395" s="8" t="str">
        <f>IF($AD395&lt;=$C$25*12,$AE395-$C$7+SUM('Mortgage Calculators (By Month)'!$K$23:$K413),"-")</f>
        <v>-</v>
      </c>
      <c r="AG395" s="8" t="str">
        <f t="shared" si="179"/>
        <v>-</v>
      </c>
      <c r="AH395" s="8" t="str">
        <f>IF($AD395&lt;=$C$25*12,SUM(Inputs!$C$61:$C$78)*'Forecast (By Month)'!AG395,"-")</f>
        <v>-</v>
      </c>
      <c r="AI395" s="8" t="str">
        <f>IF($AD395&lt;=$C$25*12,(SUMIF(Inputs!$C$61:$C$78,0,Inputs!$F$61:$F$78)/12)*(1+$C$34)^ROUNDDOWN((AD395-1)/12,0),"-")</f>
        <v>-</v>
      </c>
      <c r="AJ395" s="8" t="str">
        <f t="shared" si="180"/>
        <v>-</v>
      </c>
      <c r="AK395" s="8" t="str">
        <f>IF($AD395&lt;=$C$25*12,'Mortgage Calculators (By Month)'!$J413,"-")</f>
        <v>-</v>
      </c>
      <c r="AL395" s="8" t="str">
        <f>IF($AD395&lt;=$C$25*12,'Mortgage Calculators (By Month)'!$K413,"-")</f>
        <v>-</v>
      </c>
      <c r="AM395" s="8" t="str">
        <f>IF($AD395&lt;=$C$25*12,'Mortgage Calculators (By Month)'!$L413,"-")</f>
        <v>-</v>
      </c>
      <c r="AN395" s="8" t="str">
        <f t="shared" si="195"/>
        <v>-</v>
      </c>
      <c r="AO395" s="8" t="str">
        <f t="shared" si="181"/>
        <v>-</v>
      </c>
      <c r="AP395" s="8" t="str">
        <f t="shared" si="182"/>
        <v>-</v>
      </c>
      <c r="AQ395" s="8" t="str">
        <f t="shared" si="183"/>
        <v>-</v>
      </c>
      <c r="AR395" s="8" t="str">
        <f t="shared" si="184"/>
        <v>-</v>
      </c>
      <c r="AS395" s="8" t="str">
        <f>IF($AD395&lt;=$C$25*12,SUM(AR$5:AR395),"-")</f>
        <v>-</v>
      </c>
      <c r="AT395" s="8" t="str">
        <f>IF($AD395&lt;=$C$25*12,AE395-$C$10-'RE Calculations'!$C582-'Mortgage Calculators (By Month)'!$M413,"-")</f>
        <v>-</v>
      </c>
      <c r="AU395" s="29" t="str">
        <f t="shared" si="185"/>
        <v>-</v>
      </c>
      <c r="AV395" s="31" t="str">
        <f t="shared" si="186"/>
        <v>-</v>
      </c>
      <c r="AW395" s="8" t="str">
        <f t="shared" si="187"/>
        <v>-</v>
      </c>
      <c r="AX395" s="29" t="str">
        <f t="shared" si="188"/>
        <v>-</v>
      </c>
      <c r="AY395" s="31" t="str">
        <f t="shared" si="189"/>
        <v>-</v>
      </c>
    </row>
    <row r="396" spans="6:51" x14ac:dyDescent="0.35">
      <c r="F396" s="12" t="str">
        <f t="shared" si="190"/>
        <v>-</v>
      </c>
      <c r="G396" s="8" t="str">
        <f t="shared" si="191"/>
        <v>-</v>
      </c>
      <c r="H396" s="8" t="str">
        <f>IF($F396&lt;=$C$16*12,$G396-$C$7+SUM('Mortgage Calculators (By Month)'!$D$23:$D414),"-")</f>
        <v>-</v>
      </c>
      <c r="I396" s="8" t="str">
        <f t="shared" si="168"/>
        <v>-</v>
      </c>
      <c r="J396" s="8" t="str">
        <f>IF($F396&lt;=$C$16*12,SUM(Inputs!$C$61:$C$78)*'Forecast (By Month)'!I396,"-")</f>
        <v>-</v>
      </c>
      <c r="K396" s="8" t="str">
        <f>IF($F396&lt;=$C$16*12,(SUMIF(Inputs!$C$61:$C$78,0,Inputs!$F$61:$F$78)/12)*(1+$C$34)^ROUNDDOWN((F396-1)/12,0),"-")</f>
        <v>-</v>
      </c>
      <c r="L396" s="8" t="str">
        <f t="shared" si="169"/>
        <v>-</v>
      </c>
      <c r="M396" s="8" t="str">
        <f>IF($F396&lt;=$C$16*12,'Mortgage Calculators (By Month)'!$C414,"-")</f>
        <v>-</v>
      </c>
      <c r="N396" s="8" t="str">
        <f>IF($F396&lt;=$C$16*12,'Mortgage Calculators (By Month)'!$D414,"-")</f>
        <v>-</v>
      </c>
      <c r="O396" s="8" t="str">
        <f>IF($F396&lt;=$C$16*12,'Mortgage Calculators (By Month)'!$E414,"-")</f>
        <v>-</v>
      </c>
      <c r="P396" s="8" t="str">
        <f t="shared" si="194"/>
        <v>-</v>
      </c>
      <c r="Q396" s="8" t="str">
        <f t="shared" si="170"/>
        <v>-</v>
      </c>
      <c r="R396" s="8" t="str">
        <f t="shared" si="171"/>
        <v>-</v>
      </c>
      <c r="S396" s="8" t="str">
        <f t="shared" si="172"/>
        <v>-</v>
      </c>
      <c r="T396" s="8" t="str">
        <f t="shared" si="173"/>
        <v>-</v>
      </c>
      <c r="U396" s="8" t="str">
        <f>IF($F396&lt;=$C$16*12,SUM(T$5:T396),"-")</f>
        <v>-</v>
      </c>
      <c r="V396" s="8" t="str">
        <f>IF($F396&lt;=$C$16*12,G396-$C$10-'RE Calculations'!$C583-'Mortgage Calculators (By Month)'!$F414,"-")</f>
        <v>-</v>
      </c>
      <c r="W396" s="29" t="str">
        <f t="shared" si="174"/>
        <v>-</v>
      </c>
      <c r="X396" s="31" t="str">
        <f t="shared" si="175"/>
        <v>-</v>
      </c>
      <c r="Y396" s="8" t="str">
        <f t="shared" si="176"/>
        <v>-</v>
      </c>
      <c r="Z396" s="29" t="str">
        <f t="shared" si="177"/>
        <v>-</v>
      </c>
      <c r="AA396" s="31" t="str">
        <f t="shared" si="178"/>
        <v>-</v>
      </c>
      <c r="AD396" s="12" t="str">
        <f t="shared" si="192"/>
        <v>-</v>
      </c>
      <c r="AE396" s="8" t="str">
        <f t="shared" si="193"/>
        <v>-</v>
      </c>
      <c r="AF396" s="8" t="str">
        <f>IF($AD396&lt;=$C$25*12,$AE396-$C$7+SUM('Mortgage Calculators (By Month)'!$K$23:$K414),"-")</f>
        <v>-</v>
      </c>
      <c r="AG396" s="8" t="str">
        <f t="shared" si="179"/>
        <v>-</v>
      </c>
      <c r="AH396" s="8" t="str">
        <f>IF($AD396&lt;=$C$25*12,SUM(Inputs!$C$61:$C$78)*'Forecast (By Month)'!AG396,"-")</f>
        <v>-</v>
      </c>
      <c r="AI396" s="8" t="str">
        <f>IF($AD396&lt;=$C$25*12,(SUMIF(Inputs!$C$61:$C$78,0,Inputs!$F$61:$F$78)/12)*(1+$C$34)^ROUNDDOWN((AD396-1)/12,0),"-")</f>
        <v>-</v>
      </c>
      <c r="AJ396" s="8" t="str">
        <f t="shared" si="180"/>
        <v>-</v>
      </c>
      <c r="AK396" s="8" t="str">
        <f>IF($AD396&lt;=$C$25*12,'Mortgage Calculators (By Month)'!$J414,"-")</f>
        <v>-</v>
      </c>
      <c r="AL396" s="8" t="str">
        <f>IF($AD396&lt;=$C$25*12,'Mortgage Calculators (By Month)'!$K414,"-")</f>
        <v>-</v>
      </c>
      <c r="AM396" s="8" t="str">
        <f>IF($AD396&lt;=$C$25*12,'Mortgage Calculators (By Month)'!$L414,"-")</f>
        <v>-</v>
      </c>
      <c r="AN396" s="8" t="str">
        <f t="shared" si="195"/>
        <v>-</v>
      </c>
      <c r="AO396" s="8" t="str">
        <f t="shared" si="181"/>
        <v>-</v>
      </c>
      <c r="AP396" s="8" t="str">
        <f t="shared" si="182"/>
        <v>-</v>
      </c>
      <c r="AQ396" s="8" t="str">
        <f t="shared" si="183"/>
        <v>-</v>
      </c>
      <c r="AR396" s="8" t="str">
        <f t="shared" si="184"/>
        <v>-</v>
      </c>
      <c r="AS396" s="8" t="str">
        <f>IF($AD396&lt;=$C$25*12,SUM(AR$5:AR396),"-")</f>
        <v>-</v>
      </c>
      <c r="AT396" s="8" t="str">
        <f>IF($AD396&lt;=$C$25*12,AE396-$C$10-'RE Calculations'!$C583-'Mortgage Calculators (By Month)'!$M414,"-")</f>
        <v>-</v>
      </c>
      <c r="AU396" s="29" t="str">
        <f t="shared" si="185"/>
        <v>-</v>
      </c>
      <c r="AV396" s="31" t="str">
        <f t="shared" si="186"/>
        <v>-</v>
      </c>
      <c r="AW396" s="8" t="str">
        <f t="shared" si="187"/>
        <v>-</v>
      </c>
      <c r="AX396" s="29" t="str">
        <f t="shared" si="188"/>
        <v>-</v>
      </c>
      <c r="AY396" s="31" t="str">
        <f t="shared" si="189"/>
        <v>-</v>
      </c>
    </row>
    <row r="397" spans="6:51" x14ac:dyDescent="0.35">
      <c r="F397" s="12" t="str">
        <f t="shared" si="190"/>
        <v>-</v>
      </c>
      <c r="G397" s="8" t="str">
        <f t="shared" si="191"/>
        <v>-</v>
      </c>
      <c r="H397" s="8" t="str">
        <f>IF($F397&lt;=$C$16*12,$G397-$C$7+SUM('Mortgage Calculators (By Month)'!$D$23:$D415),"-")</f>
        <v>-</v>
      </c>
      <c r="I397" s="8" t="str">
        <f t="shared" si="168"/>
        <v>-</v>
      </c>
      <c r="J397" s="8" t="str">
        <f>IF($F397&lt;=$C$16*12,SUM(Inputs!$C$61:$C$78)*'Forecast (By Month)'!I397,"-")</f>
        <v>-</v>
      </c>
      <c r="K397" s="8" t="str">
        <f>IF($F397&lt;=$C$16*12,(SUMIF(Inputs!$C$61:$C$78,0,Inputs!$F$61:$F$78)/12)*(1+$C$34)^ROUNDDOWN((F397-1)/12,0),"-")</f>
        <v>-</v>
      </c>
      <c r="L397" s="8" t="str">
        <f t="shared" si="169"/>
        <v>-</v>
      </c>
      <c r="M397" s="8" t="str">
        <f>IF($F397&lt;=$C$16*12,'Mortgage Calculators (By Month)'!$C415,"-")</f>
        <v>-</v>
      </c>
      <c r="N397" s="8" t="str">
        <f>IF($F397&lt;=$C$16*12,'Mortgage Calculators (By Month)'!$D415,"-")</f>
        <v>-</v>
      </c>
      <c r="O397" s="8" t="str">
        <f>IF($F397&lt;=$C$16*12,'Mortgage Calculators (By Month)'!$E415,"-")</f>
        <v>-</v>
      </c>
      <c r="P397" s="8" t="str">
        <f t="shared" si="194"/>
        <v>-</v>
      </c>
      <c r="Q397" s="8" t="str">
        <f t="shared" si="170"/>
        <v>-</v>
      </c>
      <c r="R397" s="8" t="str">
        <f t="shared" si="171"/>
        <v>-</v>
      </c>
      <c r="S397" s="8" t="str">
        <f t="shared" si="172"/>
        <v>-</v>
      </c>
      <c r="T397" s="8" t="str">
        <f t="shared" si="173"/>
        <v>-</v>
      </c>
      <c r="U397" s="8" t="str">
        <f>IF($F397&lt;=$C$16*12,SUM(T$5:T397),"-")</f>
        <v>-</v>
      </c>
      <c r="V397" s="8" t="str">
        <f>IF($F397&lt;=$C$16*12,G397-$C$10-'RE Calculations'!$C584-'Mortgage Calculators (By Month)'!$F415,"-")</f>
        <v>-</v>
      </c>
      <c r="W397" s="29" t="str">
        <f t="shared" si="174"/>
        <v>-</v>
      </c>
      <c r="X397" s="31" t="str">
        <f t="shared" si="175"/>
        <v>-</v>
      </c>
      <c r="Y397" s="8" t="str">
        <f t="shared" si="176"/>
        <v>-</v>
      </c>
      <c r="Z397" s="29" t="str">
        <f t="shared" si="177"/>
        <v>-</v>
      </c>
      <c r="AA397" s="31" t="str">
        <f t="shared" si="178"/>
        <v>-</v>
      </c>
      <c r="AD397" s="12" t="str">
        <f t="shared" si="192"/>
        <v>-</v>
      </c>
      <c r="AE397" s="8" t="str">
        <f t="shared" si="193"/>
        <v>-</v>
      </c>
      <c r="AF397" s="8" t="str">
        <f>IF($AD397&lt;=$C$25*12,$AE397-$C$7+SUM('Mortgage Calculators (By Month)'!$K$23:$K415),"-")</f>
        <v>-</v>
      </c>
      <c r="AG397" s="8" t="str">
        <f t="shared" si="179"/>
        <v>-</v>
      </c>
      <c r="AH397" s="8" t="str">
        <f>IF($AD397&lt;=$C$25*12,SUM(Inputs!$C$61:$C$78)*'Forecast (By Month)'!AG397,"-")</f>
        <v>-</v>
      </c>
      <c r="AI397" s="8" t="str">
        <f>IF($AD397&lt;=$C$25*12,(SUMIF(Inputs!$C$61:$C$78,0,Inputs!$F$61:$F$78)/12)*(1+$C$34)^ROUNDDOWN((AD397-1)/12,0),"-")</f>
        <v>-</v>
      </c>
      <c r="AJ397" s="8" t="str">
        <f t="shared" si="180"/>
        <v>-</v>
      </c>
      <c r="AK397" s="8" t="str">
        <f>IF($AD397&lt;=$C$25*12,'Mortgage Calculators (By Month)'!$J415,"-")</f>
        <v>-</v>
      </c>
      <c r="AL397" s="8" t="str">
        <f>IF($AD397&lt;=$C$25*12,'Mortgage Calculators (By Month)'!$K415,"-")</f>
        <v>-</v>
      </c>
      <c r="AM397" s="8" t="str">
        <f>IF($AD397&lt;=$C$25*12,'Mortgage Calculators (By Month)'!$L415,"-")</f>
        <v>-</v>
      </c>
      <c r="AN397" s="8" t="str">
        <f t="shared" si="195"/>
        <v>-</v>
      </c>
      <c r="AO397" s="8" t="str">
        <f t="shared" si="181"/>
        <v>-</v>
      </c>
      <c r="AP397" s="8" t="str">
        <f t="shared" si="182"/>
        <v>-</v>
      </c>
      <c r="AQ397" s="8" t="str">
        <f t="shared" si="183"/>
        <v>-</v>
      </c>
      <c r="AR397" s="8" t="str">
        <f t="shared" si="184"/>
        <v>-</v>
      </c>
      <c r="AS397" s="8" t="str">
        <f>IF($AD397&lt;=$C$25*12,SUM(AR$5:AR397),"-")</f>
        <v>-</v>
      </c>
      <c r="AT397" s="8" t="str">
        <f>IF($AD397&lt;=$C$25*12,AE397-$C$10-'RE Calculations'!$C584-'Mortgage Calculators (By Month)'!$M415,"-")</f>
        <v>-</v>
      </c>
      <c r="AU397" s="29" t="str">
        <f t="shared" si="185"/>
        <v>-</v>
      </c>
      <c r="AV397" s="31" t="str">
        <f t="shared" si="186"/>
        <v>-</v>
      </c>
      <c r="AW397" s="8" t="str">
        <f t="shared" si="187"/>
        <v>-</v>
      </c>
      <c r="AX397" s="29" t="str">
        <f t="shared" si="188"/>
        <v>-</v>
      </c>
      <c r="AY397" s="31" t="str">
        <f t="shared" si="189"/>
        <v>-</v>
      </c>
    </row>
    <row r="398" spans="6:51" x14ac:dyDescent="0.35">
      <c r="F398" s="12" t="str">
        <f t="shared" si="190"/>
        <v>-</v>
      </c>
      <c r="G398" s="8" t="str">
        <f t="shared" si="191"/>
        <v>-</v>
      </c>
      <c r="H398" s="8" t="str">
        <f>IF($F398&lt;=$C$16*12,$G398-$C$7+SUM('Mortgage Calculators (By Month)'!$D$23:$D416),"-")</f>
        <v>-</v>
      </c>
      <c r="I398" s="8" t="str">
        <f t="shared" si="168"/>
        <v>-</v>
      </c>
      <c r="J398" s="8" t="str">
        <f>IF($F398&lt;=$C$16*12,SUM(Inputs!$C$61:$C$78)*'Forecast (By Month)'!I398,"-")</f>
        <v>-</v>
      </c>
      <c r="K398" s="8" t="str">
        <f>IF($F398&lt;=$C$16*12,(SUMIF(Inputs!$C$61:$C$78,0,Inputs!$F$61:$F$78)/12)*(1+$C$34)^ROUNDDOWN((F398-1)/12,0),"-")</f>
        <v>-</v>
      </c>
      <c r="L398" s="8" t="str">
        <f t="shared" si="169"/>
        <v>-</v>
      </c>
      <c r="M398" s="8" t="str">
        <f>IF($F398&lt;=$C$16*12,'Mortgage Calculators (By Month)'!$C416,"-")</f>
        <v>-</v>
      </c>
      <c r="N398" s="8" t="str">
        <f>IF($F398&lt;=$C$16*12,'Mortgage Calculators (By Month)'!$D416,"-")</f>
        <v>-</v>
      </c>
      <c r="O398" s="8" t="str">
        <f>IF($F398&lt;=$C$16*12,'Mortgage Calculators (By Month)'!$E416,"-")</f>
        <v>-</v>
      </c>
      <c r="P398" s="8" t="str">
        <f t="shared" si="194"/>
        <v>-</v>
      </c>
      <c r="Q398" s="8" t="str">
        <f t="shared" si="170"/>
        <v>-</v>
      </c>
      <c r="R398" s="8" t="str">
        <f t="shared" si="171"/>
        <v>-</v>
      </c>
      <c r="S398" s="8" t="str">
        <f t="shared" si="172"/>
        <v>-</v>
      </c>
      <c r="T398" s="8" t="str">
        <f t="shared" si="173"/>
        <v>-</v>
      </c>
      <c r="U398" s="8" t="str">
        <f>IF($F398&lt;=$C$16*12,SUM(T$5:T398),"-")</f>
        <v>-</v>
      </c>
      <c r="V398" s="8" t="str">
        <f>IF($F398&lt;=$C$16*12,G398-$C$10-'RE Calculations'!$C585-'Mortgage Calculators (By Month)'!$F416,"-")</f>
        <v>-</v>
      </c>
      <c r="W398" s="29" t="str">
        <f t="shared" si="174"/>
        <v>-</v>
      </c>
      <c r="X398" s="31" t="str">
        <f t="shared" si="175"/>
        <v>-</v>
      </c>
      <c r="Y398" s="8" t="str">
        <f t="shared" si="176"/>
        <v>-</v>
      </c>
      <c r="Z398" s="29" t="str">
        <f t="shared" si="177"/>
        <v>-</v>
      </c>
      <c r="AA398" s="31" t="str">
        <f t="shared" si="178"/>
        <v>-</v>
      </c>
      <c r="AD398" s="12" t="str">
        <f t="shared" si="192"/>
        <v>-</v>
      </c>
      <c r="AE398" s="8" t="str">
        <f t="shared" si="193"/>
        <v>-</v>
      </c>
      <c r="AF398" s="8" t="str">
        <f>IF($AD398&lt;=$C$25*12,$AE398-$C$7+SUM('Mortgage Calculators (By Month)'!$K$23:$K416),"-")</f>
        <v>-</v>
      </c>
      <c r="AG398" s="8" t="str">
        <f t="shared" si="179"/>
        <v>-</v>
      </c>
      <c r="AH398" s="8" t="str">
        <f>IF($AD398&lt;=$C$25*12,SUM(Inputs!$C$61:$C$78)*'Forecast (By Month)'!AG398,"-")</f>
        <v>-</v>
      </c>
      <c r="AI398" s="8" t="str">
        <f>IF($AD398&lt;=$C$25*12,(SUMIF(Inputs!$C$61:$C$78,0,Inputs!$F$61:$F$78)/12)*(1+$C$34)^ROUNDDOWN((AD398-1)/12,0),"-")</f>
        <v>-</v>
      </c>
      <c r="AJ398" s="8" t="str">
        <f t="shared" si="180"/>
        <v>-</v>
      </c>
      <c r="AK398" s="8" t="str">
        <f>IF($AD398&lt;=$C$25*12,'Mortgage Calculators (By Month)'!$J416,"-")</f>
        <v>-</v>
      </c>
      <c r="AL398" s="8" t="str">
        <f>IF($AD398&lt;=$C$25*12,'Mortgage Calculators (By Month)'!$K416,"-")</f>
        <v>-</v>
      </c>
      <c r="AM398" s="8" t="str">
        <f>IF($AD398&lt;=$C$25*12,'Mortgage Calculators (By Month)'!$L416,"-")</f>
        <v>-</v>
      </c>
      <c r="AN398" s="8" t="str">
        <f t="shared" si="195"/>
        <v>-</v>
      </c>
      <c r="AO398" s="8" t="str">
        <f t="shared" si="181"/>
        <v>-</v>
      </c>
      <c r="AP398" s="8" t="str">
        <f t="shared" si="182"/>
        <v>-</v>
      </c>
      <c r="AQ398" s="8" t="str">
        <f t="shared" si="183"/>
        <v>-</v>
      </c>
      <c r="AR398" s="8" t="str">
        <f t="shared" si="184"/>
        <v>-</v>
      </c>
      <c r="AS398" s="8" t="str">
        <f>IF($AD398&lt;=$C$25*12,SUM(AR$5:AR398),"-")</f>
        <v>-</v>
      </c>
      <c r="AT398" s="8" t="str">
        <f>IF($AD398&lt;=$C$25*12,AE398-$C$10-'RE Calculations'!$C585-'Mortgage Calculators (By Month)'!$M416,"-")</f>
        <v>-</v>
      </c>
      <c r="AU398" s="29" t="str">
        <f t="shared" si="185"/>
        <v>-</v>
      </c>
      <c r="AV398" s="31" t="str">
        <f t="shared" si="186"/>
        <v>-</v>
      </c>
      <c r="AW398" s="8" t="str">
        <f t="shared" si="187"/>
        <v>-</v>
      </c>
      <c r="AX398" s="29" t="str">
        <f t="shared" si="188"/>
        <v>-</v>
      </c>
      <c r="AY398" s="31" t="str">
        <f t="shared" si="189"/>
        <v>-</v>
      </c>
    </row>
    <row r="399" spans="6:51" x14ac:dyDescent="0.35">
      <c r="F399" s="12" t="str">
        <f t="shared" si="190"/>
        <v>-</v>
      </c>
      <c r="G399" s="8" t="str">
        <f t="shared" si="191"/>
        <v>-</v>
      </c>
      <c r="H399" s="8" t="str">
        <f>IF($F399&lt;=$C$16*12,$G399-$C$7+SUM('Mortgage Calculators (By Month)'!$D$23:$D417),"-")</f>
        <v>-</v>
      </c>
      <c r="I399" s="8" t="str">
        <f t="shared" si="168"/>
        <v>-</v>
      </c>
      <c r="J399" s="8" t="str">
        <f>IF($F399&lt;=$C$16*12,SUM(Inputs!$C$61:$C$78)*'Forecast (By Month)'!I399,"-")</f>
        <v>-</v>
      </c>
      <c r="K399" s="8" t="str">
        <f>IF($F399&lt;=$C$16*12,(SUMIF(Inputs!$C$61:$C$78,0,Inputs!$F$61:$F$78)/12)*(1+$C$34)^ROUNDDOWN((F399-1)/12,0),"-")</f>
        <v>-</v>
      </c>
      <c r="L399" s="8" t="str">
        <f t="shared" si="169"/>
        <v>-</v>
      </c>
      <c r="M399" s="8" t="str">
        <f>IF($F399&lt;=$C$16*12,'Mortgage Calculators (By Month)'!$C417,"-")</f>
        <v>-</v>
      </c>
      <c r="N399" s="8" t="str">
        <f>IF($F399&lt;=$C$16*12,'Mortgage Calculators (By Month)'!$D417,"-")</f>
        <v>-</v>
      </c>
      <c r="O399" s="8" t="str">
        <f>IF($F399&lt;=$C$16*12,'Mortgage Calculators (By Month)'!$E417,"-")</f>
        <v>-</v>
      </c>
      <c r="P399" s="8" t="str">
        <f t="shared" si="194"/>
        <v>-</v>
      </c>
      <c r="Q399" s="8" t="str">
        <f t="shared" si="170"/>
        <v>-</v>
      </c>
      <c r="R399" s="8" t="str">
        <f t="shared" si="171"/>
        <v>-</v>
      </c>
      <c r="S399" s="8" t="str">
        <f t="shared" si="172"/>
        <v>-</v>
      </c>
      <c r="T399" s="8" t="str">
        <f t="shared" si="173"/>
        <v>-</v>
      </c>
      <c r="U399" s="8" t="str">
        <f>IF($F399&lt;=$C$16*12,SUM(T$5:T399),"-")</f>
        <v>-</v>
      </c>
      <c r="V399" s="8" t="str">
        <f>IF($F399&lt;=$C$16*12,G399-$C$10-'RE Calculations'!$C586-'Mortgage Calculators (By Month)'!$F417,"-")</f>
        <v>-</v>
      </c>
      <c r="W399" s="29" t="str">
        <f t="shared" si="174"/>
        <v>-</v>
      </c>
      <c r="X399" s="31" t="str">
        <f t="shared" si="175"/>
        <v>-</v>
      </c>
      <c r="Y399" s="8" t="str">
        <f t="shared" si="176"/>
        <v>-</v>
      </c>
      <c r="Z399" s="29" t="str">
        <f t="shared" si="177"/>
        <v>-</v>
      </c>
      <c r="AA399" s="31" t="str">
        <f t="shared" si="178"/>
        <v>-</v>
      </c>
      <c r="AD399" s="12" t="str">
        <f t="shared" si="192"/>
        <v>-</v>
      </c>
      <c r="AE399" s="8" t="str">
        <f t="shared" si="193"/>
        <v>-</v>
      </c>
      <c r="AF399" s="8" t="str">
        <f>IF($AD399&lt;=$C$25*12,$AE399-$C$7+SUM('Mortgage Calculators (By Month)'!$K$23:$K417),"-")</f>
        <v>-</v>
      </c>
      <c r="AG399" s="8" t="str">
        <f t="shared" si="179"/>
        <v>-</v>
      </c>
      <c r="AH399" s="8" t="str">
        <f>IF($AD399&lt;=$C$25*12,SUM(Inputs!$C$61:$C$78)*'Forecast (By Month)'!AG399,"-")</f>
        <v>-</v>
      </c>
      <c r="AI399" s="8" t="str">
        <f>IF($AD399&lt;=$C$25*12,(SUMIF(Inputs!$C$61:$C$78,0,Inputs!$F$61:$F$78)/12)*(1+$C$34)^ROUNDDOWN((AD399-1)/12,0),"-")</f>
        <v>-</v>
      </c>
      <c r="AJ399" s="8" t="str">
        <f t="shared" si="180"/>
        <v>-</v>
      </c>
      <c r="AK399" s="8" t="str">
        <f>IF($AD399&lt;=$C$25*12,'Mortgage Calculators (By Month)'!$J417,"-")</f>
        <v>-</v>
      </c>
      <c r="AL399" s="8" t="str">
        <f>IF($AD399&lt;=$C$25*12,'Mortgage Calculators (By Month)'!$K417,"-")</f>
        <v>-</v>
      </c>
      <c r="AM399" s="8" t="str">
        <f>IF($AD399&lt;=$C$25*12,'Mortgage Calculators (By Month)'!$L417,"-")</f>
        <v>-</v>
      </c>
      <c r="AN399" s="8" t="str">
        <f t="shared" si="195"/>
        <v>-</v>
      </c>
      <c r="AO399" s="8" t="str">
        <f t="shared" si="181"/>
        <v>-</v>
      </c>
      <c r="AP399" s="8" t="str">
        <f t="shared" si="182"/>
        <v>-</v>
      </c>
      <c r="AQ399" s="8" t="str">
        <f t="shared" si="183"/>
        <v>-</v>
      </c>
      <c r="AR399" s="8" t="str">
        <f t="shared" si="184"/>
        <v>-</v>
      </c>
      <c r="AS399" s="8" t="str">
        <f>IF($AD399&lt;=$C$25*12,SUM(AR$5:AR399),"-")</f>
        <v>-</v>
      </c>
      <c r="AT399" s="8" t="str">
        <f>IF($AD399&lt;=$C$25*12,AE399-$C$10-'RE Calculations'!$C586-'Mortgage Calculators (By Month)'!$M417,"-")</f>
        <v>-</v>
      </c>
      <c r="AU399" s="29" t="str">
        <f t="shared" si="185"/>
        <v>-</v>
      </c>
      <c r="AV399" s="31" t="str">
        <f t="shared" si="186"/>
        <v>-</v>
      </c>
      <c r="AW399" s="8" t="str">
        <f t="shared" si="187"/>
        <v>-</v>
      </c>
      <c r="AX399" s="29" t="str">
        <f t="shared" si="188"/>
        <v>-</v>
      </c>
      <c r="AY399" s="31" t="str">
        <f t="shared" si="189"/>
        <v>-</v>
      </c>
    </row>
    <row r="400" spans="6:51" x14ac:dyDescent="0.35">
      <c r="F400" s="12" t="str">
        <f t="shared" si="190"/>
        <v>-</v>
      </c>
      <c r="G400" s="8" t="str">
        <f t="shared" si="191"/>
        <v>-</v>
      </c>
      <c r="H400" s="8" t="str">
        <f>IF($F400&lt;=$C$16*12,$G400-$C$7+SUM('Mortgage Calculators (By Month)'!$D$23:$D418),"-")</f>
        <v>-</v>
      </c>
      <c r="I400" s="8" t="str">
        <f t="shared" si="168"/>
        <v>-</v>
      </c>
      <c r="J400" s="8" t="str">
        <f>IF($F400&lt;=$C$16*12,SUM(Inputs!$C$61:$C$78)*'Forecast (By Month)'!I400,"-")</f>
        <v>-</v>
      </c>
      <c r="K400" s="8" t="str">
        <f>IF($F400&lt;=$C$16*12,(SUMIF(Inputs!$C$61:$C$78,0,Inputs!$F$61:$F$78)/12)*(1+$C$34)^ROUNDDOWN((F400-1)/12,0),"-")</f>
        <v>-</v>
      </c>
      <c r="L400" s="8" t="str">
        <f t="shared" si="169"/>
        <v>-</v>
      </c>
      <c r="M400" s="8" t="str">
        <f>IF($F400&lt;=$C$16*12,'Mortgage Calculators (By Month)'!$C418,"-")</f>
        <v>-</v>
      </c>
      <c r="N400" s="8" t="str">
        <f>IF($F400&lt;=$C$16*12,'Mortgage Calculators (By Month)'!$D418,"-")</f>
        <v>-</v>
      </c>
      <c r="O400" s="8" t="str">
        <f>IF($F400&lt;=$C$16*12,'Mortgage Calculators (By Month)'!$E418,"-")</f>
        <v>-</v>
      </c>
      <c r="P400" s="8" t="str">
        <f t="shared" si="194"/>
        <v>-</v>
      </c>
      <c r="Q400" s="8" t="str">
        <f t="shared" si="170"/>
        <v>-</v>
      </c>
      <c r="R400" s="8" t="str">
        <f t="shared" si="171"/>
        <v>-</v>
      </c>
      <c r="S400" s="8" t="str">
        <f t="shared" si="172"/>
        <v>-</v>
      </c>
      <c r="T400" s="8" t="str">
        <f t="shared" si="173"/>
        <v>-</v>
      </c>
      <c r="U400" s="8" t="str">
        <f>IF($F400&lt;=$C$16*12,SUM(T$5:T400),"-")</f>
        <v>-</v>
      </c>
      <c r="V400" s="8" t="str">
        <f>IF($F400&lt;=$C$16*12,G400-$C$10-'RE Calculations'!$C587-'Mortgage Calculators (By Month)'!$F418,"-")</f>
        <v>-</v>
      </c>
      <c r="W400" s="29" t="str">
        <f t="shared" si="174"/>
        <v>-</v>
      </c>
      <c r="X400" s="31" t="str">
        <f t="shared" si="175"/>
        <v>-</v>
      </c>
      <c r="Y400" s="8" t="str">
        <f t="shared" si="176"/>
        <v>-</v>
      </c>
      <c r="Z400" s="29" t="str">
        <f t="shared" si="177"/>
        <v>-</v>
      </c>
      <c r="AA400" s="31" t="str">
        <f t="shared" si="178"/>
        <v>-</v>
      </c>
      <c r="AD400" s="12" t="str">
        <f t="shared" si="192"/>
        <v>-</v>
      </c>
      <c r="AE400" s="8" t="str">
        <f t="shared" si="193"/>
        <v>-</v>
      </c>
      <c r="AF400" s="8" t="str">
        <f>IF($AD400&lt;=$C$25*12,$AE400-$C$7+SUM('Mortgage Calculators (By Month)'!$K$23:$K418),"-")</f>
        <v>-</v>
      </c>
      <c r="AG400" s="8" t="str">
        <f t="shared" si="179"/>
        <v>-</v>
      </c>
      <c r="AH400" s="8" t="str">
        <f>IF($AD400&lt;=$C$25*12,SUM(Inputs!$C$61:$C$78)*'Forecast (By Month)'!AG400,"-")</f>
        <v>-</v>
      </c>
      <c r="AI400" s="8" t="str">
        <f>IF($AD400&lt;=$C$25*12,(SUMIF(Inputs!$C$61:$C$78,0,Inputs!$F$61:$F$78)/12)*(1+$C$34)^ROUNDDOWN((AD400-1)/12,0),"-")</f>
        <v>-</v>
      </c>
      <c r="AJ400" s="8" t="str">
        <f t="shared" si="180"/>
        <v>-</v>
      </c>
      <c r="AK400" s="8" t="str">
        <f>IF($AD400&lt;=$C$25*12,'Mortgage Calculators (By Month)'!$J418,"-")</f>
        <v>-</v>
      </c>
      <c r="AL400" s="8" t="str">
        <f>IF($AD400&lt;=$C$25*12,'Mortgage Calculators (By Month)'!$K418,"-")</f>
        <v>-</v>
      </c>
      <c r="AM400" s="8" t="str">
        <f>IF($AD400&lt;=$C$25*12,'Mortgage Calculators (By Month)'!$L418,"-")</f>
        <v>-</v>
      </c>
      <c r="AN400" s="8" t="str">
        <f t="shared" si="195"/>
        <v>-</v>
      </c>
      <c r="AO400" s="8" t="str">
        <f t="shared" si="181"/>
        <v>-</v>
      </c>
      <c r="AP400" s="8" t="str">
        <f t="shared" si="182"/>
        <v>-</v>
      </c>
      <c r="AQ400" s="8" t="str">
        <f t="shared" si="183"/>
        <v>-</v>
      </c>
      <c r="AR400" s="8" t="str">
        <f t="shared" si="184"/>
        <v>-</v>
      </c>
      <c r="AS400" s="8" t="str">
        <f>IF($AD400&lt;=$C$25*12,SUM(AR$5:AR400),"-")</f>
        <v>-</v>
      </c>
      <c r="AT400" s="8" t="str">
        <f>IF($AD400&lt;=$C$25*12,AE400-$C$10-'RE Calculations'!$C587-'Mortgage Calculators (By Month)'!$M418,"-")</f>
        <v>-</v>
      </c>
      <c r="AU400" s="29" t="str">
        <f t="shared" si="185"/>
        <v>-</v>
      </c>
      <c r="AV400" s="31" t="str">
        <f t="shared" si="186"/>
        <v>-</v>
      </c>
      <c r="AW400" s="8" t="str">
        <f t="shared" si="187"/>
        <v>-</v>
      </c>
      <c r="AX400" s="29" t="str">
        <f t="shared" si="188"/>
        <v>-</v>
      </c>
      <c r="AY400" s="31" t="str">
        <f t="shared" si="189"/>
        <v>-</v>
      </c>
    </row>
    <row r="401" spans="6:51" x14ac:dyDescent="0.35">
      <c r="F401" s="12" t="str">
        <f t="shared" si="190"/>
        <v>-</v>
      </c>
      <c r="G401" s="8" t="str">
        <f t="shared" si="191"/>
        <v>-</v>
      </c>
      <c r="H401" s="8" t="str">
        <f>IF($F401&lt;=$C$16*12,$G401-$C$7+SUM('Mortgage Calculators (By Month)'!$D$23:$D419),"-")</f>
        <v>-</v>
      </c>
      <c r="I401" s="8" t="str">
        <f t="shared" si="168"/>
        <v>-</v>
      </c>
      <c r="J401" s="8" t="str">
        <f>IF($F401&lt;=$C$16*12,SUM(Inputs!$C$61:$C$78)*'Forecast (By Month)'!I401,"-")</f>
        <v>-</v>
      </c>
      <c r="K401" s="8" t="str">
        <f>IF($F401&lt;=$C$16*12,(SUMIF(Inputs!$C$61:$C$78,0,Inputs!$F$61:$F$78)/12)*(1+$C$34)^ROUNDDOWN((F401-1)/12,0),"-")</f>
        <v>-</v>
      </c>
      <c r="L401" s="8" t="str">
        <f t="shared" si="169"/>
        <v>-</v>
      </c>
      <c r="M401" s="8" t="str">
        <f>IF($F401&lt;=$C$16*12,'Mortgage Calculators (By Month)'!$C419,"-")</f>
        <v>-</v>
      </c>
      <c r="N401" s="8" t="str">
        <f>IF($F401&lt;=$C$16*12,'Mortgage Calculators (By Month)'!$D419,"-")</f>
        <v>-</v>
      </c>
      <c r="O401" s="8" t="str">
        <f>IF($F401&lt;=$C$16*12,'Mortgage Calculators (By Month)'!$E419,"-")</f>
        <v>-</v>
      </c>
      <c r="P401" s="8" t="str">
        <f t="shared" si="194"/>
        <v>-</v>
      </c>
      <c r="Q401" s="8" t="str">
        <f t="shared" si="170"/>
        <v>-</v>
      </c>
      <c r="R401" s="8" t="str">
        <f t="shared" si="171"/>
        <v>-</v>
      </c>
      <c r="S401" s="8" t="str">
        <f t="shared" si="172"/>
        <v>-</v>
      </c>
      <c r="T401" s="8" t="str">
        <f t="shared" si="173"/>
        <v>-</v>
      </c>
      <c r="U401" s="8" t="str">
        <f>IF($F401&lt;=$C$16*12,SUM(T$5:T401),"-")</f>
        <v>-</v>
      </c>
      <c r="V401" s="8" t="str">
        <f>IF($F401&lt;=$C$16*12,G401-$C$10-'RE Calculations'!$C588-'Mortgage Calculators (By Month)'!$F419,"-")</f>
        <v>-</v>
      </c>
      <c r="W401" s="29" t="str">
        <f t="shared" si="174"/>
        <v>-</v>
      </c>
      <c r="X401" s="31" t="str">
        <f t="shared" si="175"/>
        <v>-</v>
      </c>
      <c r="Y401" s="8" t="str">
        <f t="shared" si="176"/>
        <v>-</v>
      </c>
      <c r="Z401" s="29" t="str">
        <f t="shared" si="177"/>
        <v>-</v>
      </c>
      <c r="AA401" s="31" t="str">
        <f t="shared" si="178"/>
        <v>-</v>
      </c>
      <c r="AD401" s="12" t="str">
        <f t="shared" si="192"/>
        <v>-</v>
      </c>
      <c r="AE401" s="8" t="str">
        <f t="shared" si="193"/>
        <v>-</v>
      </c>
      <c r="AF401" s="8" t="str">
        <f>IF($AD401&lt;=$C$25*12,$AE401-$C$7+SUM('Mortgage Calculators (By Month)'!$K$23:$K419),"-")</f>
        <v>-</v>
      </c>
      <c r="AG401" s="8" t="str">
        <f t="shared" si="179"/>
        <v>-</v>
      </c>
      <c r="AH401" s="8" t="str">
        <f>IF($AD401&lt;=$C$25*12,SUM(Inputs!$C$61:$C$78)*'Forecast (By Month)'!AG401,"-")</f>
        <v>-</v>
      </c>
      <c r="AI401" s="8" t="str">
        <f>IF($AD401&lt;=$C$25*12,(SUMIF(Inputs!$C$61:$C$78,0,Inputs!$F$61:$F$78)/12)*(1+$C$34)^ROUNDDOWN((AD401-1)/12,0),"-")</f>
        <v>-</v>
      </c>
      <c r="AJ401" s="8" t="str">
        <f t="shared" si="180"/>
        <v>-</v>
      </c>
      <c r="AK401" s="8" t="str">
        <f>IF($AD401&lt;=$C$25*12,'Mortgage Calculators (By Month)'!$J419,"-")</f>
        <v>-</v>
      </c>
      <c r="AL401" s="8" t="str">
        <f>IF($AD401&lt;=$C$25*12,'Mortgage Calculators (By Month)'!$K419,"-")</f>
        <v>-</v>
      </c>
      <c r="AM401" s="8" t="str">
        <f>IF($AD401&lt;=$C$25*12,'Mortgage Calculators (By Month)'!$L419,"-")</f>
        <v>-</v>
      </c>
      <c r="AN401" s="8" t="str">
        <f t="shared" si="195"/>
        <v>-</v>
      </c>
      <c r="AO401" s="8" t="str">
        <f t="shared" si="181"/>
        <v>-</v>
      </c>
      <c r="AP401" s="8" t="str">
        <f t="shared" si="182"/>
        <v>-</v>
      </c>
      <c r="AQ401" s="8" t="str">
        <f t="shared" si="183"/>
        <v>-</v>
      </c>
      <c r="AR401" s="8" t="str">
        <f t="shared" si="184"/>
        <v>-</v>
      </c>
      <c r="AS401" s="8" t="str">
        <f>IF($AD401&lt;=$C$25*12,SUM(AR$5:AR401),"-")</f>
        <v>-</v>
      </c>
      <c r="AT401" s="8" t="str">
        <f>IF($AD401&lt;=$C$25*12,AE401-$C$10-'RE Calculations'!$C588-'Mortgage Calculators (By Month)'!$M419,"-")</f>
        <v>-</v>
      </c>
      <c r="AU401" s="29" t="str">
        <f t="shared" si="185"/>
        <v>-</v>
      </c>
      <c r="AV401" s="31" t="str">
        <f t="shared" si="186"/>
        <v>-</v>
      </c>
      <c r="AW401" s="8" t="str">
        <f t="shared" si="187"/>
        <v>-</v>
      </c>
      <c r="AX401" s="29" t="str">
        <f t="shared" si="188"/>
        <v>-</v>
      </c>
      <c r="AY401" s="31" t="str">
        <f t="shared" si="189"/>
        <v>-</v>
      </c>
    </row>
    <row r="402" spans="6:51" x14ac:dyDescent="0.35">
      <c r="F402" s="12" t="str">
        <f t="shared" si="190"/>
        <v>-</v>
      </c>
      <c r="G402" s="8" t="str">
        <f t="shared" si="191"/>
        <v>-</v>
      </c>
      <c r="H402" s="8" t="str">
        <f>IF($F402&lt;=$C$16*12,$G402-$C$7+SUM('Mortgage Calculators (By Month)'!$D$23:$D420),"-")</f>
        <v>-</v>
      </c>
      <c r="I402" s="8" t="str">
        <f t="shared" si="168"/>
        <v>-</v>
      </c>
      <c r="J402" s="8" t="str">
        <f>IF($F402&lt;=$C$16*12,SUM(Inputs!$C$61:$C$78)*'Forecast (By Month)'!I402,"-")</f>
        <v>-</v>
      </c>
      <c r="K402" s="8" t="str">
        <f>IF($F402&lt;=$C$16*12,(SUMIF(Inputs!$C$61:$C$78,0,Inputs!$F$61:$F$78)/12)*(1+$C$34)^ROUNDDOWN((F402-1)/12,0),"-")</f>
        <v>-</v>
      </c>
      <c r="L402" s="8" t="str">
        <f t="shared" si="169"/>
        <v>-</v>
      </c>
      <c r="M402" s="8" t="str">
        <f>IF($F402&lt;=$C$16*12,'Mortgage Calculators (By Month)'!$C420,"-")</f>
        <v>-</v>
      </c>
      <c r="N402" s="8" t="str">
        <f>IF($F402&lt;=$C$16*12,'Mortgage Calculators (By Month)'!$D420,"-")</f>
        <v>-</v>
      </c>
      <c r="O402" s="8" t="str">
        <f>IF($F402&lt;=$C$16*12,'Mortgage Calculators (By Month)'!$E420,"-")</f>
        <v>-</v>
      </c>
      <c r="P402" s="8" t="str">
        <f t="shared" si="194"/>
        <v>-</v>
      </c>
      <c r="Q402" s="8" t="str">
        <f t="shared" si="170"/>
        <v>-</v>
      </c>
      <c r="R402" s="8" t="str">
        <f t="shared" si="171"/>
        <v>-</v>
      </c>
      <c r="S402" s="8" t="str">
        <f t="shared" si="172"/>
        <v>-</v>
      </c>
      <c r="T402" s="8" t="str">
        <f t="shared" si="173"/>
        <v>-</v>
      </c>
      <c r="U402" s="8" t="str">
        <f>IF($F402&lt;=$C$16*12,SUM(T$5:T402),"-")</f>
        <v>-</v>
      </c>
      <c r="V402" s="8" t="str">
        <f>IF($F402&lt;=$C$16*12,G402-$C$10-'RE Calculations'!$C589-'Mortgage Calculators (By Month)'!$F420,"-")</f>
        <v>-</v>
      </c>
      <c r="W402" s="29" t="str">
        <f t="shared" si="174"/>
        <v>-</v>
      </c>
      <c r="X402" s="31" t="str">
        <f t="shared" si="175"/>
        <v>-</v>
      </c>
      <c r="Y402" s="8" t="str">
        <f t="shared" si="176"/>
        <v>-</v>
      </c>
      <c r="Z402" s="29" t="str">
        <f t="shared" si="177"/>
        <v>-</v>
      </c>
      <c r="AA402" s="31" t="str">
        <f t="shared" si="178"/>
        <v>-</v>
      </c>
      <c r="AD402" s="12" t="str">
        <f t="shared" si="192"/>
        <v>-</v>
      </c>
      <c r="AE402" s="8" t="str">
        <f t="shared" si="193"/>
        <v>-</v>
      </c>
      <c r="AF402" s="8" t="str">
        <f>IF($AD402&lt;=$C$25*12,$AE402-$C$7+SUM('Mortgage Calculators (By Month)'!$K$23:$K420),"-")</f>
        <v>-</v>
      </c>
      <c r="AG402" s="8" t="str">
        <f t="shared" si="179"/>
        <v>-</v>
      </c>
      <c r="AH402" s="8" t="str">
        <f>IF($AD402&lt;=$C$25*12,SUM(Inputs!$C$61:$C$78)*'Forecast (By Month)'!AG402,"-")</f>
        <v>-</v>
      </c>
      <c r="AI402" s="8" t="str">
        <f>IF($AD402&lt;=$C$25*12,(SUMIF(Inputs!$C$61:$C$78,0,Inputs!$F$61:$F$78)/12)*(1+$C$34)^ROUNDDOWN((AD402-1)/12,0),"-")</f>
        <v>-</v>
      </c>
      <c r="AJ402" s="8" t="str">
        <f t="shared" si="180"/>
        <v>-</v>
      </c>
      <c r="AK402" s="8" t="str">
        <f>IF($AD402&lt;=$C$25*12,'Mortgage Calculators (By Month)'!$J420,"-")</f>
        <v>-</v>
      </c>
      <c r="AL402" s="8" t="str">
        <f>IF($AD402&lt;=$C$25*12,'Mortgage Calculators (By Month)'!$K420,"-")</f>
        <v>-</v>
      </c>
      <c r="AM402" s="8" t="str">
        <f>IF($AD402&lt;=$C$25*12,'Mortgage Calculators (By Month)'!$L420,"-")</f>
        <v>-</v>
      </c>
      <c r="AN402" s="8" t="str">
        <f t="shared" si="195"/>
        <v>-</v>
      </c>
      <c r="AO402" s="8" t="str">
        <f t="shared" si="181"/>
        <v>-</v>
      </c>
      <c r="AP402" s="8" t="str">
        <f t="shared" si="182"/>
        <v>-</v>
      </c>
      <c r="AQ402" s="8" t="str">
        <f t="shared" si="183"/>
        <v>-</v>
      </c>
      <c r="AR402" s="8" t="str">
        <f t="shared" si="184"/>
        <v>-</v>
      </c>
      <c r="AS402" s="8" t="str">
        <f>IF($AD402&lt;=$C$25*12,SUM(AR$5:AR402),"-")</f>
        <v>-</v>
      </c>
      <c r="AT402" s="8" t="str">
        <f>IF($AD402&lt;=$C$25*12,AE402-$C$10-'RE Calculations'!$C589-'Mortgage Calculators (By Month)'!$M420,"-")</f>
        <v>-</v>
      </c>
      <c r="AU402" s="29" t="str">
        <f t="shared" si="185"/>
        <v>-</v>
      </c>
      <c r="AV402" s="31" t="str">
        <f t="shared" si="186"/>
        <v>-</v>
      </c>
      <c r="AW402" s="8" t="str">
        <f t="shared" si="187"/>
        <v>-</v>
      </c>
      <c r="AX402" s="29" t="str">
        <f t="shared" si="188"/>
        <v>-</v>
      </c>
      <c r="AY402" s="31" t="str">
        <f t="shared" si="189"/>
        <v>-</v>
      </c>
    </row>
    <row r="403" spans="6:51" x14ac:dyDescent="0.35">
      <c r="F403" s="12" t="str">
        <f t="shared" si="190"/>
        <v>-</v>
      </c>
      <c r="G403" s="8" t="str">
        <f t="shared" si="191"/>
        <v>-</v>
      </c>
      <c r="H403" s="8" t="str">
        <f>IF($F403&lt;=$C$16*12,$G403-$C$7+SUM('Mortgage Calculators (By Month)'!$D$23:$D421),"-")</f>
        <v>-</v>
      </c>
      <c r="I403" s="8" t="str">
        <f t="shared" si="168"/>
        <v>-</v>
      </c>
      <c r="J403" s="8" t="str">
        <f>IF($F403&lt;=$C$16*12,SUM(Inputs!$C$61:$C$78)*'Forecast (By Month)'!I403,"-")</f>
        <v>-</v>
      </c>
      <c r="K403" s="8" t="str">
        <f>IF($F403&lt;=$C$16*12,(SUMIF(Inputs!$C$61:$C$78,0,Inputs!$F$61:$F$78)/12)*(1+$C$34)^ROUNDDOWN((F403-1)/12,0),"-")</f>
        <v>-</v>
      </c>
      <c r="L403" s="8" t="str">
        <f t="shared" si="169"/>
        <v>-</v>
      </c>
      <c r="M403" s="8" t="str">
        <f>IF($F403&lt;=$C$16*12,'Mortgage Calculators (By Month)'!$C421,"-")</f>
        <v>-</v>
      </c>
      <c r="N403" s="8" t="str">
        <f>IF($F403&lt;=$C$16*12,'Mortgage Calculators (By Month)'!$D421,"-")</f>
        <v>-</v>
      </c>
      <c r="O403" s="8" t="str">
        <f>IF($F403&lt;=$C$16*12,'Mortgage Calculators (By Month)'!$E421,"-")</f>
        <v>-</v>
      </c>
      <c r="P403" s="8" t="str">
        <f t="shared" si="194"/>
        <v>-</v>
      </c>
      <c r="Q403" s="8" t="str">
        <f t="shared" si="170"/>
        <v>-</v>
      </c>
      <c r="R403" s="8" t="str">
        <f t="shared" si="171"/>
        <v>-</v>
      </c>
      <c r="S403" s="8" t="str">
        <f t="shared" si="172"/>
        <v>-</v>
      </c>
      <c r="T403" s="8" t="str">
        <f t="shared" si="173"/>
        <v>-</v>
      </c>
      <c r="U403" s="8" t="str">
        <f>IF($F403&lt;=$C$16*12,SUM(T$5:T403),"-")</f>
        <v>-</v>
      </c>
      <c r="V403" s="8" t="str">
        <f>IF($F403&lt;=$C$16*12,G403-$C$10-'RE Calculations'!$C590-'Mortgage Calculators (By Month)'!$F421,"-")</f>
        <v>-</v>
      </c>
      <c r="W403" s="29" t="str">
        <f t="shared" si="174"/>
        <v>-</v>
      </c>
      <c r="X403" s="31" t="str">
        <f t="shared" si="175"/>
        <v>-</v>
      </c>
      <c r="Y403" s="8" t="str">
        <f t="shared" si="176"/>
        <v>-</v>
      </c>
      <c r="Z403" s="29" t="str">
        <f t="shared" si="177"/>
        <v>-</v>
      </c>
      <c r="AA403" s="31" t="str">
        <f t="shared" si="178"/>
        <v>-</v>
      </c>
      <c r="AD403" s="12" t="str">
        <f t="shared" si="192"/>
        <v>-</v>
      </c>
      <c r="AE403" s="8" t="str">
        <f t="shared" si="193"/>
        <v>-</v>
      </c>
      <c r="AF403" s="8" t="str">
        <f>IF($AD403&lt;=$C$25*12,$AE403-$C$7+SUM('Mortgage Calculators (By Month)'!$K$23:$K421),"-")</f>
        <v>-</v>
      </c>
      <c r="AG403" s="8" t="str">
        <f t="shared" si="179"/>
        <v>-</v>
      </c>
      <c r="AH403" s="8" t="str">
        <f>IF($AD403&lt;=$C$25*12,SUM(Inputs!$C$61:$C$78)*'Forecast (By Month)'!AG403,"-")</f>
        <v>-</v>
      </c>
      <c r="AI403" s="8" t="str">
        <f>IF($AD403&lt;=$C$25*12,(SUMIF(Inputs!$C$61:$C$78,0,Inputs!$F$61:$F$78)/12)*(1+$C$34)^ROUNDDOWN((AD403-1)/12,0),"-")</f>
        <v>-</v>
      </c>
      <c r="AJ403" s="8" t="str">
        <f t="shared" si="180"/>
        <v>-</v>
      </c>
      <c r="AK403" s="8" t="str">
        <f>IF($AD403&lt;=$C$25*12,'Mortgage Calculators (By Month)'!$J421,"-")</f>
        <v>-</v>
      </c>
      <c r="AL403" s="8" t="str">
        <f>IF($AD403&lt;=$C$25*12,'Mortgage Calculators (By Month)'!$K421,"-")</f>
        <v>-</v>
      </c>
      <c r="AM403" s="8" t="str">
        <f>IF($AD403&lt;=$C$25*12,'Mortgage Calculators (By Month)'!$L421,"-")</f>
        <v>-</v>
      </c>
      <c r="AN403" s="8" t="str">
        <f t="shared" si="195"/>
        <v>-</v>
      </c>
      <c r="AO403" s="8" t="str">
        <f t="shared" si="181"/>
        <v>-</v>
      </c>
      <c r="AP403" s="8" t="str">
        <f t="shared" si="182"/>
        <v>-</v>
      </c>
      <c r="AQ403" s="8" t="str">
        <f t="shared" si="183"/>
        <v>-</v>
      </c>
      <c r="AR403" s="8" t="str">
        <f t="shared" si="184"/>
        <v>-</v>
      </c>
      <c r="AS403" s="8" t="str">
        <f>IF($AD403&lt;=$C$25*12,SUM(AR$5:AR403),"-")</f>
        <v>-</v>
      </c>
      <c r="AT403" s="8" t="str">
        <f>IF($AD403&lt;=$C$25*12,AE403-$C$10-'RE Calculations'!$C590-'Mortgage Calculators (By Month)'!$M421,"-")</f>
        <v>-</v>
      </c>
      <c r="AU403" s="29" t="str">
        <f t="shared" si="185"/>
        <v>-</v>
      </c>
      <c r="AV403" s="31" t="str">
        <f t="shared" si="186"/>
        <v>-</v>
      </c>
      <c r="AW403" s="8" t="str">
        <f t="shared" si="187"/>
        <v>-</v>
      </c>
      <c r="AX403" s="29" t="str">
        <f t="shared" si="188"/>
        <v>-</v>
      </c>
      <c r="AY403" s="31" t="str">
        <f t="shared" si="189"/>
        <v>-</v>
      </c>
    </row>
    <row r="404" spans="6:51" x14ac:dyDescent="0.35">
      <c r="F404" s="12" t="str">
        <f t="shared" si="190"/>
        <v>-</v>
      </c>
      <c r="G404" s="8" t="str">
        <f t="shared" si="191"/>
        <v>-</v>
      </c>
      <c r="H404" s="8" t="str">
        <f>IF($F404&lt;=$C$16*12,$G404-$C$7+SUM('Mortgage Calculators (By Month)'!$D$23:$D422),"-")</f>
        <v>-</v>
      </c>
      <c r="I404" s="8" t="str">
        <f t="shared" si="168"/>
        <v>-</v>
      </c>
      <c r="J404" s="8" t="str">
        <f>IF($F404&lt;=$C$16*12,SUM(Inputs!$C$61:$C$78)*'Forecast (By Month)'!I404,"-")</f>
        <v>-</v>
      </c>
      <c r="K404" s="8" t="str">
        <f>IF($F404&lt;=$C$16*12,(SUMIF(Inputs!$C$61:$C$78,0,Inputs!$F$61:$F$78)/12)*(1+$C$34)^ROUNDDOWN((F404-1)/12,0),"-")</f>
        <v>-</v>
      </c>
      <c r="L404" s="8" t="str">
        <f t="shared" si="169"/>
        <v>-</v>
      </c>
      <c r="M404" s="8" t="str">
        <f>IF($F404&lt;=$C$16*12,'Mortgage Calculators (By Month)'!$C422,"-")</f>
        <v>-</v>
      </c>
      <c r="N404" s="8" t="str">
        <f>IF($F404&lt;=$C$16*12,'Mortgage Calculators (By Month)'!$D422,"-")</f>
        <v>-</v>
      </c>
      <c r="O404" s="8" t="str">
        <f>IF($F404&lt;=$C$16*12,'Mortgage Calculators (By Month)'!$E422,"-")</f>
        <v>-</v>
      </c>
      <c r="P404" s="8" t="str">
        <f t="shared" si="194"/>
        <v>-</v>
      </c>
      <c r="Q404" s="8" t="str">
        <f t="shared" si="170"/>
        <v>-</v>
      </c>
      <c r="R404" s="8" t="str">
        <f t="shared" si="171"/>
        <v>-</v>
      </c>
      <c r="S404" s="8" t="str">
        <f t="shared" si="172"/>
        <v>-</v>
      </c>
      <c r="T404" s="8" t="str">
        <f t="shared" si="173"/>
        <v>-</v>
      </c>
      <c r="U404" s="8" t="str">
        <f>IF($F404&lt;=$C$16*12,SUM(T$5:T404),"-")</f>
        <v>-</v>
      </c>
      <c r="V404" s="8" t="str">
        <f>IF($F404&lt;=$C$16*12,G404-$C$10-'RE Calculations'!$C591-'Mortgage Calculators (By Month)'!$F422,"-")</f>
        <v>-</v>
      </c>
      <c r="W404" s="29" t="str">
        <f t="shared" si="174"/>
        <v>-</v>
      </c>
      <c r="X404" s="31" t="str">
        <f t="shared" si="175"/>
        <v>-</v>
      </c>
      <c r="Y404" s="8" t="str">
        <f t="shared" si="176"/>
        <v>-</v>
      </c>
      <c r="Z404" s="29" t="str">
        <f t="shared" si="177"/>
        <v>-</v>
      </c>
      <c r="AA404" s="31" t="str">
        <f t="shared" si="178"/>
        <v>-</v>
      </c>
      <c r="AD404" s="12" t="str">
        <f t="shared" si="192"/>
        <v>-</v>
      </c>
      <c r="AE404" s="8" t="str">
        <f t="shared" si="193"/>
        <v>-</v>
      </c>
      <c r="AF404" s="8" t="str">
        <f>IF($AD404&lt;=$C$25*12,$AE404-$C$7+SUM('Mortgage Calculators (By Month)'!$K$23:$K422),"-")</f>
        <v>-</v>
      </c>
      <c r="AG404" s="8" t="str">
        <f t="shared" si="179"/>
        <v>-</v>
      </c>
      <c r="AH404" s="8" t="str">
        <f>IF($AD404&lt;=$C$25*12,SUM(Inputs!$C$61:$C$78)*'Forecast (By Month)'!AG404,"-")</f>
        <v>-</v>
      </c>
      <c r="AI404" s="8" t="str">
        <f>IF($AD404&lt;=$C$25*12,(SUMIF(Inputs!$C$61:$C$78,0,Inputs!$F$61:$F$78)/12)*(1+$C$34)^ROUNDDOWN((AD404-1)/12,0),"-")</f>
        <v>-</v>
      </c>
      <c r="AJ404" s="8" t="str">
        <f t="shared" si="180"/>
        <v>-</v>
      </c>
      <c r="AK404" s="8" t="str">
        <f>IF($AD404&lt;=$C$25*12,'Mortgage Calculators (By Month)'!$J422,"-")</f>
        <v>-</v>
      </c>
      <c r="AL404" s="8" t="str">
        <f>IF($AD404&lt;=$C$25*12,'Mortgage Calculators (By Month)'!$K422,"-")</f>
        <v>-</v>
      </c>
      <c r="AM404" s="8" t="str">
        <f>IF($AD404&lt;=$C$25*12,'Mortgage Calculators (By Month)'!$L422,"-")</f>
        <v>-</v>
      </c>
      <c r="AN404" s="8" t="str">
        <f t="shared" si="195"/>
        <v>-</v>
      </c>
      <c r="AO404" s="8" t="str">
        <f t="shared" si="181"/>
        <v>-</v>
      </c>
      <c r="AP404" s="8" t="str">
        <f t="shared" si="182"/>
        <v>-</v>
      </c>
      <c r="AQ404" s="8" t="str">
        <f t="shared" si="183"/>
        <v>-</v>
      </c>
      <c r="AR404" s="8" t="str">
        <f t="shared" si="184"/>
        <v>-</v>
      </c>
      <c r="AS404" s="8" t="str">
        <f>IF($AD404&lt;=$C$25*12,SUM(AR$5:AR404),"-")</f>
        <v>-</v>
      </c>
      <c r="AT404" s="8" t="str">
        <f>IF($AD404&lt;=$C$25*12,AE404-$C$10-'RE Calculations'!$C591-'Mortgage Calculators (By Month)'!$M422,"-")</f>
        <v>-</v>
      </c>
      <c r="AU404" s="29" t="str">
        <f t="shared" si="185"/>
        <v>-</v>
      </c>
      <c r="AV404" s="31" t="str">
        <f t="shared" si="186"/>
        <v>-</v>
      </c>
      <c r="AW404" s="8" t="str">
        <f t="shared" si="187"/>
        <v>-</v>
      </c>
      <c r="AX404" s="29" t="str">
        <f t="shared" si="188"/>
        <v>-</v>
      </c>
      <c r="AY404" s="31" t="str">
        <f t="shared" si="189"/>
        <v>-</v>
      </c>
    </row>
    <row r="405" spans="6:51" x14ac:dyDescent="0.35">
      <c r="F405" s="12" t="str">
        <f t="shared" si="190"/>
        <v>-</v>
      </c>
      <c r="G405" s="8" t="str">
        <f t="shared" si="191"/>
        <v>-</v>
      </c>
      <c r="H405" s="8" t="str">
        <f>IF($F405&lt;=$C$16*12,$G405-$C$7+SUM('Mortgage Calculators (By Month)'!$D$23:$D423),"-")</f>
        <v>-</v>
      </c>
      <c r="I405" s="8" t="str">
        <f t="shared" si="168"/>
        <v>-</v>
      </c>
      <c r="J405" s="8" t="str">
        <f>IF($F405&lt;=$C$16*12,SUM(Inputs!$C$61:$C$78)*'Forecast (By Month)'!I405,"-")</f>
        <v>-</v>
      </c>
      <c r="K405" s="8" t="str">
        <f>IF($F405&lt;=$C$16*12,(SUMIF(Inputs!$C$61:$C$78,0,Inputs!$F$61:$F$78)/12)*(1+$C$34)^ROUNDDOWN((F405-1)/12,0),"-")</f>
        <v>-</v>
      </c>
      <c r="L405" s="8" t="str">
        <f t="shared" si="169"/>
        <v>-</v>
      </c>
      <c r="M405" s="8" t="str">
        <f>IF($F405&lt;=$C$16*12,'Mortgage Calculators (By Month)'!$C423,"-")</f>
        <v>-</v>
      </c>
      <c r="N405" s="8" t="str">
        <f>IF($F405&lt;=$C$16*12,'Mortgage Calculators (By Month)'!$D423,"-")</f>
        <v>-</v>
      </c>
      <c r="O405" s="8" t="str">
        <f>IF($F405&lt;=$C$16*12,'Mortgage Calculators (By Month)'!$E423,"-")</f>
        <v>-</v>
      </c>
      <c r="P405" s="8" t="str">
        <f t="shared" si="194"/>
        <v>-</v>
      </c>
      <c r="Q405" s="8" t="str">
        <f t="shared" si="170"/>
        <v>-</v>
      </c>
      <c r="R405" s="8" t="str">
        <f t="shared" si="171"/>
        <v>-</v>
      </c>
      <c r="S405" s="8" t="str">
        <f t="shared" si="172"/>
        <v>-</v>
      </c>
      <c r="T405" s="8" t="str">
        <f t="shared" si="173"/>
        <v>-</v>
      </c>
      <c r="U405" s="8" t="str">
        <f>IF($F405&lt;=$C$16*12,SUM(T$5:T405),"-")</f>
        <v>-</v>
      </c>
      <c r="V405" s="8" t="str">
        <f>IF($F405&lt;=$C$16*12,G405-$C$10-'RE Calculations'!$C592-'Mortgage Calculators (By Month)'!$F423,"-")</f>
        <v>-</v>
      </c>
      <c r="W405" s="29" t="str">
        <f t="shared" si="174"/>
        <v>-</v>
      </c>
      <c r="X405" s="31" t="str">
        <f t="shared" si="175"/>
        <v>-</v>
      </c>
      <c r="Y405" s="8" t="str">
        <f t="shared" si="176"/>
        <v>-</v>
      </c>
      <c r="Z405" s="29" t="str">
        <f t="shared" si="177"/>
        <v>-</v>
      </c>
      <c r="AA405" s="31" t="str">
        <f t="shared" si="178"/>
        <v>-</v>
      </c>
      <c r="AD405" s="12" t="str">
        <f t="shared" si="192"/>
        <v>-</v>
      </c>
      <c r="AE405" s="8" t="str">
        <f t="shared" si="193"/>
        <v>-</v>
      </c>
      <c r="AF405" s="8" t="str">
        <f>IF($AD405&lt;=$C$25*12,$AE405-$C$7+SUM('Mortgage Calculators (By Month)'!$K$23:$K423),"-")</f>
        <v>-</v>
      </c>
      <c r="AG405" s="8" t="str">
        <f t="shared" si="179"/>
        <v>-</v>
      </c>
      <c r="AH405" s="8" t="str">
        <f>IF($AD405&lt;=$C$25*12,SUM(Inputs!$C$61:$C$78)*'Forecast (By Month)'!AG405,"-")</f>
        <v>-</v>
      </c>
      <c r="AI405" s="8" t="str">
        <f>IF($AD405&lt;=$C$25*12,(SUMIF(Inputs!$C$61:$C$78,0,Inputs!$F$61:$F$78)/12)*(1+$C$34)^ROUNDDOWN((AD405-1)/12,0),"-")</f>
        <v>-</v>
      </c>
      <c r="AJ405" s="8" t="str">
        <f t="shared" si="180"/>
        <v>-</v>
      </c>
      <c r="AK405" s="8" t="str">
        <f>IF($AD405&lt;=$C$25*12,'Mortgage Calculators (By Month)'!$J423,"-")</f>
        <v>-</v>
      </c>
      <c r="AL405" s="8" t="str">
        <f>IF($AD405&lt;=$C$25*12,'Mortgage Calculators (By Month)'!$K423,"-")</f>
        <v>-</v>
      </c>
      <c r="AM405" s="8" t="str">
        <f>IF($AD405&lt;=$C$25*12,'Mortgage Calculators (By Month)'!$L423,"-")</f>
        <v>-</v>
      </c>
      <c r="AN405" s="8" t="str">
        <f t="shared" si="195"/>
        <v>-</v>
      </c>
      <c r="AO405" s="8" t="str">
        <f t="shared" si="181"/>
        <v>-</v>
      </c>
      <c r="AP405" s="8" t="str">
        <f t="shared" si="182"/>
        <v>-</v>
      </c>
      <c r="AQ405" s="8" t="str">
        <f t="shared" si="183"/>
        <v>-</v>
      </c>
      <c r="AR405" s="8" t="str">
        <f t="shared" si="184"/>
        <v>-</v>
      </c>
      <c r="AS405" s="8" t="str">
        <f>IF($AD405&lt;=$C$25*12,SUM(AR$5:AR405),"-")</f>
        <v>-</v>
      </c>
      <c r="AT405" s="8" t="str">
        <f>IF($AD405&lt;=$C$25*12,AE405-$C$10-'RE Calculations'!$C592-'Mortgage Calculators (By Month)'!$M423,"-")</f>
        <v>-</v>
      </c>
      <c r="AU405" s="29" t="str">
        <f t="shared" si="185"/>
        <v>-</v>
      </c>
      <c r="AV405" s="31" t="str">
        <f t="shared" si="186"/>
        <v>-</v>
      </c>
      <c r="AW405" s="8" t="str">
        <f t="shared" si="187"/>
        <v>-</v>
      </c>
      <c r="AX405" s="29" t="str">
        <f t="shared" si="188"/>
        <v>-</v>
      </c>
      <c r="AY405" s="31" t="str">
        <f t="shared" si="189"/>
        <v>-</v>
      </c>
    </row>
    <row r="406" spans="6:51" x14ac:dyDescent="0.35">
      <c r="F406" s="12" t="str">
        <f t="shared" si="190"/>
        <v>-</v>
      </c>
      <c r="G406" s="8" t="str">
        <f t="shared" si="191"/>
        <v>-</v>
      </c>
      <c r="H406" s="8" t="str">
        <f>IF($F406&lt;=$C$16*12,$G406-$C$7+SUM('Mortgage Calculators (By Month)'!$D$23:$D424),"-")</f>
        <v>-</v>
      </c>
      <c r="I406" s="8" t="str">
        <f t="shared" si="168"/>
        <v>-</v>
      </c>
      <c r="J406" s="8" t="str">
        <f>IF($F406&lt;=$C$16*12,SUM(Inputs!$C$61:$C$78)*'Forecast (By Month)'!I406,"-")</f>
        <v>-</v>
      </c>
      <c r="K406" s="8" t="str">
        <f>IF($F406&lt;=$C$16*12,(SUMIF(Inputs!$C$61:$C$78,0,Inputs!$F$61:$F$78)/12)*(1+$C$34)^ROUNDDOWN((F406-1)/12,0),"-")</f>
        <v>-</v>
      </c>
      <c r="L406" s="8" t="str">
        <f t="shared" si="169"/>
        <v>-</v>
      </c>
      <c r="M406" s="8" t="str">
        <f>IF($F406&lt;=$C$16*12,'Mortgage Calculators (By Month)'!$C424,"-")</f>
        <v>-</v>
      </c>
      <c r="N406" s="8" t="str">
        <f>IF($F406&lt;=$C$16*12,'Mortgage Calculators (By Month)'!$D424,"-")</f>
        <v>-</v>
      </c>
      <c r="O406" s="8" t="str">
        <f>IF($F406&lt;=$C$16*12,'Mortgage Calculators (By Month)'!$E424,"-")</f>
        <v>-</v>
      </c>
      <c r="P406" s="8" t="str">
        <f t="shared" si="194"/>
        <v>-</v>
      </c>
      <c r="Q406" s="8" t="str">
        <f t="shared" si="170"/>
        <v>-</v>
      </c>
      <c r="R406" s="8" t="str">
        <f t="shared" si="171"/>
        <v>-</v>
      </c>
      <c r="S406" s="8" t="str">
        <f t="shared" si="172"/>
        <v>-</v>
      </c>
      <c r="T406" s="8" t="str">
        <f t="shared" si="173"/>
        <v>-</v>
      </c>
      <c r="U406" s="8" t="str">
        <f>IF($F406&lt;=$C$16*12,SUM(T$5:T406),"-")</f>
        <v>-</v>
      </c>
      <c r="V406" s="8" t="str">
        <f>IF($F406&lt;=$C$16*12,G406-$C$10-'RE Calculations'!$C593-'Mortgage Calculators (By Month)'!$F424,"-")</f>
        <v>-</v>
      </c>
      <c r="W406" s="29" t="str">
        <f t="shared" si="174"/>
        <v>-</v>
      </c>
      <c r="X406" s="31" t="str">
        <f t="shared" si="175"/>
        <v>-</v>
      </c>
      <c r="Y406" s="8" t="str">
        <f t="shared" si="176"/>
        <v>-</v>
      </c>
      <c r="Z406" s="29" t="str">
        <f t="shared" si="177"/>
        <v>-</v>
      </c>
      <c r="AA406" s="31" t="str">
        <f t="shared" si="178"/>
        <v>-</v>
      </c>
      <c r="AD406" s="12" t="str">
        <f t="shared" si="192"/>
        <v>-</v>
      </c>
      <c r="AE406" s="8" t="str">
        <f t="shared" si="193"/>
        <v>-</v>
      </c>
      <c r="AF406" s="8" t="str">
        <f>IF($AD406&lt;=$C$25*12,$AE406-$C$7+SUM('Mortgage Calculators (By Month)'!$K$23:$K424),"-")</f>
        <v>-</v>
      </c>
      <c r="AG406" s="8" t="str">
        <f t="shared" si="179"/>
        <v>-</v>
      </c>
      <c r="AH406" s="8" t="str">
        <f>IF($AD406&lt;=$C$25*12,SUM(Inputs!$C$61:$C$78)*'Forecast (By Month)'!AG406,"-")</f>
        <v>-</v>
      </c>
      <c r="AI406" s="8" t="str">
        <f>IF($AD406&lt;=$C$25*12,(SUMIF(Inputs!$C$61:$C$78,0,Inputs!$F$61:$F$78)/12)*(1+$C$34)^ROUNDDOWN((AD406-1)/12,0),"-")</f>
        <v>-</v>
      </c>
      <c r="AJ406" s="8" t="str">
        <f t="shared" si="180"/>
        <v>-</v>
      </c>
      <c r="AK406" s="8" t="str">
        <f>IF($AD406&lt;=$C$25*12,'Mortgage Calculators (By Month)'!$J424,"-")</f>
        <v>-</v>
      </c>
      <c r="AL406" s="8" t="str">
        <f>IF($AD406&lt;=$C$25*12,'Mortgage Calculators (By Month)'!$K424,"-")</f>
        <v>-</v>
      </c>
      <c r="AM406" s="8" t="str">
        <f>IF($AD406&lt;=$C$25*12,'Mortgage Calculators (By Month)'!$L424,"-")</f>
        <v>-</v>
      </c>
      <c r="AN406" s="8" t="str">
        <f t="shared" si="195"/>
        <v>-</v>
      </c>
      <c r="AO406" s="8" t="str">
        <f t="shared" si="181"/>
        <v>-</v>
      </c>
      <c r="AP406" s="8" t="str">
        <f t="shared" si="182"/>
        <v>-</v>
      </c>
      <c r="AQ406" s="8" t="str">
        <f t="shared" si="183"/>
        <v>-</v>
      </c>
      <c r="AR406" s="8" t="str">
        <f t="shared" si="184"/>
        <v>-</v>
      </c>
      <c r="AS406" s="8" t="str">
        <f>IF($AD406&lt;=$C$25*12,SUM(AR$5:AR406),"-")</f>
        <v>-</v>
      </c>
      <c r="AT406" s="8" t="str">
        <f>IF($AD406&lt;=$C$25*12,AE406-$C$10-'RE Calculations'!$C593-'Mortgage Calculators (By Month)'!$M424,"-")</f>
        <v>-</v>
      </c>
      <c r="AU406" s="29" t="str">
        <f t="shared" si="185"/>
        <v>-</v>
      </c>
      <c r="AV406" s="31" t="str">
        <f t="shared" si="186"/>
        <v>-</v>
      </c>
      <c r="AW406" s="8" t="str">
        <f t="shared" si="187"/>
        <v>-</v>
      </c>
      <c r="AX406" s="29" t="str">
        <f t="shared" si="188"/>
        <v>-</v>
      </c>
      <c r="AY406" s="31" t="str">
        <f t="shared" si="189"/>
        <v>-</v>
      </c>
    </row>
    <row r="407" spans="6:51" x14ac:dyDescent="0.35">
      <c r="F407" s="12" t="str">
        <f t="shared" si="190"/>
        <v>-</v>
      </c>
      <c r="G407" s="8" t="str">
        <f t="shared" si="191"/>
        <v>-</v>
      </c>
      <c r="H407" s="8" t="str">
        <f>IF($F407&lt;=$C$16*12,$G407-$C$7+SUM('Mortgage Calculators (By Month)'!$D$23:$D425),"-")</f>
        <v>-</v>
      </c>
      <c r="I407" s="8" t="str">
        <f t="shared" si="168"/>
        <v>-</v>
      </c>
      <c r="J407" s="8" t="str">
        <f>IF($F407&lt;=$C$16*12,SUM(Inputs!$C$61:$C$78)*'Forecast (By Month)'!I407,"-")</f>
        <v>-</v>
      </c>
      <c r="K407" s="8" t="str">
        <f>IF($F407&lt;=$C$16*12,(SUMIF(Inputs!$C$61:$C$78,0,Inputs!$F$61:$F$78)/12)*(1+$C$34)^ROUNDDOWN((F407-1)/12,0),"-")</f>
        <v>-</v>
      </c>
      <c r="L407" s="8" t="str">
        <f t="shared" si="169"/>
        <v>-</v>
      </c>
      <c r="M407" s="8" t="str">
        <f>IF($F407&lt;=$C$16*12,'Mortgage Calculators (By Month)'!$C425,"-")</f>
        <v>-</v>
      </c>
      <c r="N407" s="8" t="str">
        <f>IF($F407&lt;=$C$16*12,'Mortgage Calculators (By Month)'!$D425,"-")</f>
        <v>-</v>
      </c>
      <c r="O407" s="8" t="str">
        <f>IF($F407&lt;=$C$16*12,'Mortgage Calculators (By Month)'!$E425,"-")</f>
        <v>-</v>
      </c>
      <c r="P407" s="8" t="str">
        <f t="shared" si="194"/>
        <v>-</v>
      </c>
      <c r="Q407" s="8" t="str">
        <f t="shared" si="170"/>
        <v>-</v>
      </c>
      <c r="R407" s="8" t="str">
        <f t="shared" si="171"/>
        <v>-</v>
      </c>
      <c r="S407" s="8" t="str">
        <f t="shared" si="172"/>
        <v>-</v>
      </c>
      <c r="T407" s="8" t="str">
        <f t="shared" si="173"/>
        <v>-</v>
      </c>
      <c r="U407" s="8" t="str">
        <f>IF($F407&lt;=$C$16*12,SUM(T$5:T407),"-")</f>
        <v>-</v>
      </c>
      <c r="V407" s="8" t="str">
        <f>IF($F407&lt;=$C$16*12,G407-$C$10-'RE Calculations'!$C594-'Mortgage Calculators (By Month)'!$F425,"-")</f>
        <v>-</v>
      </c>
      <c r="W407" s="29" t="str">
        <f t="shared" si="174"/>
        <v>-</v>
      </c>
      <c r="X407" s="31" t="str">
        <f t="shared" si="175"/>
        <v>-</v>
      </c>
      <c r="Y407" s="8" t="str">
        <f t="shared" si="176"/>
        <v>-</v>
      </c>
      <c r="Z407" s="29" t="str">
        <f t="shared" si="177"/>
        <v>-</v>
      </c>
      <c r="AA407" s="31" t="str">
        <f t="shared" si="178"/>
        <v>-</v>
      </c>
      <c r="AD407" s="12" t="str">
        <f t="shared" si="192"/>
        <v>-</v>
      </c>
      <c r="AE407" s="8" t="str">
        <f t="shared" si="193"/>
        <v>-</v>
      </c>
      <c r="AF407" s="8" t="str">
        <f>IF($AD407&lt;=$C$25*12,$AE407-$C$7+SUM('Mortgage Calculators (By Month)'!$K$23:$K425),"-")</f>
        <v>-</v>
      </c>
      <c r="AG407" s="8" t="str">
        <f t="shared" si="179"/>
        <v>-</v>
      </c>
      <c r="AH407" s="8" t="str">
        <f>IF($AD407&lt;=$C$25*12,SUM(Inputs!$C$61:$C$78)*'Forecast (By Month)'!AG407,"-")</f>
        <v>-</v>
      </c>
      <c r="AI407" s="8" t="str">
        <f>IF($AD407&lt;=$C$25*12,(SUMIF(Inputs!$C$61:$C$78,0,Inputs!$F$61:$F$78)/12)*(1+$C$34)^ROUNDDOWN((AD407-1)/12,0),"-")</f>
        <v>-</v>
      </c>
      <c r="AJ407" s="8" t="str">
        <f t="shared" si="180"/>
        <v>-</v>
      </c>
      <c r="AK407" s="8" t="str">
        <f>IF($AD407&lt;=$C$25*12,'Mortgage Calculators (By Month)'!$J425,"-")</f>
        <v>-</v>
      </c>
      <c r="AL407" s="8" t="str">
        <f>IF($AD407&lt;=$C$25*12,'Mortgage Calculators (By Month)'!$K425,"-")</f>
        <v>-</v>
      </c>
      <c r="AM407" s="8" t="str">
        <f>IF($AD407&lt;=$C$25*12,'Mortgage Calculators (By Month)'!$L425,"-")</f>
        <v>-</v>
      </c>
      <c r="AN407" s="8" t="str">
        <f t="shared" si="195"/>
        <v>-</v>
      </c>
      <c r="AO407" s="8" t="str">
        <f t="shared" si="181"/>
        <v>-</v>
      </c>
      <c r="AP407" s="8" t="str">
        <f t="shared" si="182"/>
        <v>-</v>
      </c>
      <c r="AQ407" s="8" t="str">
        <f t="shared" si="183"/>
        <v>-</v>
      </c>
      <c r="AR407" s="8" t="str">
        <f t="shared" si="184"/>
        <v>-</v>
      </c>
      <c r="AS407" s="8" t="str">
        <f>IF($AD407&lt;=$C$25*12,SUM(AR$5:AR407),"-")</f>
        <v>-</v>
      </c>
      <c r="AT407" s="8" t="str">
        <f>IF($AD407&lt;=$C$25*12,AE407-$C$10-'RE Calculations'!$C594-'Mortgage Calculators (By Month)'!$M425,"-")</f>
        <v>-</v>
      </c>
      <c r="AU407" s="29" t="str">
        <f t="shared" si="185"/>
        <v>-</v>
      </c>
      <c r="AV407" s="31" t="str">
        <f t="shared" si="186"/>
        <v>-</v>
      </c>
      <c r="AW407" s="8" t="str">
        <f t="shared" si="187"/>
        <v>-</v>
      </c>
      <c r="AX407" s="29" t="str">
        <f t="shared" si="188"/>
        <v>-</v>
      </c>
      <c r="AY407" s="31" t="str">
        <f t="shared" si="189"/>
        <v>-</v>
      </c>
    </row>
    <row r="408" spans="6:51" x14ac:dyDescent="0.35">
      <c r="F408" s="12" t="str">
        <f t="shared" si="190"/>
        <v>-</v>
      </c>
      <c r="G408" s="8" t="str">
        <f t="shared" si="191"/>
        <v>-</v>
      </c>
      <c r="H408" s="8" t="str">
        <f>IF($F408&lt;=$C$16*12,$G408-$C$7+SUM('Mortgage Calculators (By Month)'!$D$23:$D426),"-")</f>
        <v>-</v>
      </c>
      <c r="I408" s="8" t="str">
        <f t="shared" si="168"/>
        <v>-</v>
      </c>
      <c r="J408" s="8" t="str">
        <f>IF($F408&lt;=$C$16*12,SUM(Inputs!$C$61:$C$78)*'Forecast (By Month)'!I408,"-")</f>
        <v>-</v>
      </c>
      <c r="K408" s="8" t="str">
        <f>IF($F408&lt;=$C$16*12,(SUMIF(Inputs!$C$61:$C$78,0,Inputs!$F$61:$F$78)/12)*(1+$C$34)^ROUNDDOWN((F408-1)/12,0),"-")</f>
        <v>-</v>
      </c>
      <c r="L408" s="8" t="str">
        <f t="shared" si="169"/>
        <v>-</v>
      </c>
      <c r="M408" s="8" t="str">
        <f>IF($F408&lt;=$C$16*12,'Mortgage Calculators (By Month)'!$C426,"-")</f>
        <v>-</v>
      </c>
      <c r="N408" s="8" t="str">
        <f>IF($F408&lt;=$C$16*12,'Mortgage Calculators (By Month)'!$D426,"-")</f>
        <v>-</v>
      </c>
      <c r="O408" s="8" t="str">
        <f>IF($F408&lt;=$C$16*12,'Mortgage Calculators (By Month)'!$E426,"-")</f>
        <v>-</v>
      </c>
      <c r="P408" s="8" t="str">
        <f t="shared" si="194"/>
        <v>-</v>
      </c>
      <c r="Q408" s="8" t="str">
        <f t="shared" si="170"/>
        <v>-</v>
      </c>
      <c r="R408" s="8" t="str">
        <f t="shared" si="171"/>
        <v>-</v>
      </c>
      <c r="S408" s="8" t="str">
        <f t="shared" si="172"/>
        <v>-</v>
      </c>
      <c r="T408" s="8" t="str">
        <f t="shared" si="173"/>
        <v>-</v>
      </c>
      <c r="U408" s="8" t="str">
        <f>IF($F408&lt;=$C$16*12,SUM(T$5:T408),"-")</f>
        <v>-</v>
      </c>
      <c r="V408" s="8" t="str">
        <f>IF($F408&lt;=$C$16*12,G408-$C$10-'RE Calculations'!$C595-'Mortgage Calculators (By Month)'!$F426,"-")</f>
        <v>-</v>
      </c>
      <c r="W408" s="29" t="str">
        <f t="shared" si="174"/>
        <v>-</v>
      </c>
      <c r="X408" s="31" t="str">
        <f t="shared" si="175"/>
        <v>-</v>
      </c>
      <c r="Y408" s="8" t="str">
        <f t="shared" si="176"/>
        <v>-</v>
      </c>
      <c r="Z408" s="29" t="str">
        <f t="shared" si="177"/>
        <v>-</v>
      </c>
      <c r="AA408" s="31" t="str">
        <f t="shared" si="178"/>
        <v>-</v>
      </c>
      <c r="AD408" s="12" t="str">
        <f t="shared" si="192"/>
        <v>-</v>
      </c>
      <c r="AE408" s="8" t="str">
        <f t="shared" si="193"/>
        <v>-</v>
      </c>
      <c r="AF408" s="8" t="str">
        <f>IF($AD408&lt;=$C$25*12,$AE408-$C$7+SUM('Mortgage Calculators (By Month)'!$K$23:$K426),"-")</f>
        <v>-</v>
      </c>
      <c r="AG408" s="8" t="str">
        <f t="shared" si="179"/>
        <v>-</v>
      </c>
      <c r="AH408" s="8" t="str">
        <f>IF($AD408&lt;=$C$25*12,SUM(Inputs!$C$61:$C$78)*'Forecast (By Month)'!AG408,"-")</f>
        <v>-</v>
      </c>
      <c r="AI408" s="8" t="str">
        <f>IF($AD408&lt;=$C$25*12,(SUMIF(Inputs!$C$61:$C$78,0,Inputs!$F$61:$F$78)/12)*(1+$C$34)^ROUNDDOWN((AD408-1)/12,0),"-")</f>
        <v>-</v>
      </c>
      <c r="AJ408" s="8" t="str">
        <f t="shared" si="180"/>
        <v>-</v>
      </c>
      <c r="AK408" s="8" t="str">
        <f>IF($AD408&lt;=$C$25*12,'Mortgage Calculators (By Month)'!$J426,"-")</f>
        <v>-</v>
      </c>
      <c r="AL408" s="8" t="str">
        <f>IF($AD408&lt;=$C$25*12,'Mortgage Calculators (By Month)'!$K426,"-")</f>
        <v>-</v>
      </c>
      <c r="AM408" s="8" t="str">
        <f>IF($AD408&lt;=$C$25*12,'Mortgage Calculators (By Month)'!$L426,"-")</f>
        <v>-</v>
      </c>
      <c r="AN408" s="8" t="str">
        <f t="shared" si="195"/>
        <v>-</v>
      </c>
      <c r="AO408" s="8" t="str">
        <f t="shared" si="181"/>
        <v>-</v>
      </c>
      <c r="AP408" s="8" t="str">
        <f t="shared" si="182"/>
        <v>-</v>
      </c>
      <c r="AQ408" s="8" t="str">
        <f t="shared" si="183"/>
        <v>-</v>
      </c>
      <c r="AR408" s="8" t="str">
        <f t="shared" si="184"/>
        <v>-</v>
      </c>
      <c r="AS408" s="8" t="str">
        <f>IF($AD408&lt;=$C$25*12,SUM(AR$5:AR408),"-")</f>
        <v>-</v>
      </c>
      <c r="AT408" s="8" t="str">
        <f>IF($AD408&lt;=$C$25*12,AE408-$C$10-'RE Calculations'!$C595-'Mortgage Calculators (By Month)'!$M426,"-")</f>
        <v>-</v>
      </c>
      <c r="AU408" s="29" t="str">
        <f t="shared" si="185"/>
        <v>-</v>
      </c>
      <c r="AV408" s="31" t="str">
        <f t="shared" si="186"/>
        <v>-</v>
      </c>
      <c r="AW408" s="8" t="str">
        <f t="shared" si="187"/>
        <v>-</v>
      </c>
      <c r="AX408" s="29" t="str">
        <f t="shared" si="188"/>
        <v>-</v>
      </c>
      <c r="AY408" s="31" t="str">
        <f t="shared" si="189"/>
        <v>-</v>
      </c>
    </row>
    <row r="409" spans="6:51" x14ac:dyDescent="0.35">
      <c r="F409" s="12" t="str">
        <f t="shared" si="190"/>
        <v>-</v>
      </c>
      <c r="G409" s="8" t="str">
        <f t="shared" si="191"/>
        <v>-</v>
      </c>
      <c r="H409" s="8" t="str">
        <f>IF($F409&lt;=$C$16*12,$G409-$C$7+SUM('Mortgage Calculators (By Month)'!$D$23:$D427),"-")</f>
        <v>-</v>
      </c>
      <c r="I409" s="8" t="str">
        <f t="shared" si="168"/>
        <v>-</v>
      </c>
      <c r="J409" s="8" t="str">
        <f>IF($F409&lt;=$C$16*12,SUM(Inputs!$C$61:$C$78)*'Forecast (By Month)'!I409,"-")</f>
        <v>-</v>
      </c>
      <c r="K409" s="8" t="str">
        <f>IF($F409&lt;=$C$16*12,(SUMIF(Inputs!$C$61:$C$78,0,Inputs!$F$61:$F$78)/12)*(1+$C$34)^ROUNDDOWN((F409-1)/12,0),"-")</f>
        <v>-</v>
      </c>
      <c r="L409" s="8" t="str">
        <f t="shared" si="169"/>
        <v>-</v>
      </c>
      <c r="M409" s="8" t="str">
        <f>IF($F409&lt;=$C$16*12,'Mortgage Calculators (By Month)'!$C427,"-")</f>
        <v>-</v>
      </c>
      <c r="N409" s="8" t="str">
        <f>IF($F409&lt;=$C$16*12,'Mortgage Calculators (By Month)'!$D427,"-")</f>
        <v>-</v>
      </c>
      <c r="O409" s="8" t="str">
        <f>IF($F409&lt;=$C$16*12,'Mortgage Calculators (By Month)'!$E427,"-")</f>
        <v>-</v>
      </c>
      <c r="P409" s="8" t="str">
        <f t="shared" si="194"/>
        <v>-</v>
      </c>
      <c r="Q409" s="8" t="str">
        <f t="shared" si="170"/>
        <v>-</v>
      </c>
      <c r="R409" s="8" t="str">
        <f t="shared" si="171"/>
        <v>-</v>
      </c>
      <c r="S409" s="8" t="str">
        <f t="shared" si="172"/>
        <v>-</v>
      </c>
      <c r="T409" s="8" t="str">
        <f t="shared" si="173"/>
        <v>-</v>
      </c>
      <c r="U409" s="8" t="str">
        <f>IF($F409&lt;=$C$16*12,SUM(T$5:T409),"-")</f>
        <v>-</v>
      </c>
      <c r="V409" s="8" t="str">
        <f>IF($F409&lt;=$C$16*12,G409-$C$10-'RE Calculations'!$C596-'Mortgage Calculators (By Month)'!$F427,"-")</f>
        <v>-</v>
      </c>
      <c r="W409" s="29" t="str">
        <f t="shared" si="174"/>
        <v>-</v>
      </c>
      <c r="X409" s="31" t="str">
        <f t="shared" si="175"/>
        <v>-</v>
      </c>
      <c r="Y409" s="8" t="str">
        <f t="shared" si="176"/>
        <v>-</v>
      </c>
      <c r="Z409" s="29" t="str">
        <f t="shared" si="177"/>
        <v>-</v>
      </c>
      <c r="AA409" s="31" t="str">
        <f t="shared" si="178"/>
        <v>-</v>
      </c>
      <c r="AD409" s="12" t="str">
        <f t="shared" si="192"/>
        <v>-</v>
      </c>
      <c r="AE409" s="8" t="str">
        <f t="shared" si="193"/>
        <v>-</v>
      </c>
      <c r="AF409" s="8" t="str">
        <f>IF($AD409&lt;=$C$25*12,$AE409-$C$7+SUM('Mortgage Calculators (By Month)'!$K$23:$K427),"-")</f>
        <v>-</v>
      </c>
      <c r="AG409" s="8" t="str">
        <f t="shared" si="179"/>
        <v>-</v>
      </c>
      <c r="AH409" s="8" t="str">
        <f>IF($AD409&lt;=$C$25*12,SUM(Inputs!$C$61:$C$78)*'Forecast (By Month)'!AG409,"-")</f>
        <v>-</v>
      </c>
      <c r="AI409" s="8" t="str">
        <f>IF($AD409&lt;=$C$25*12,(SUMIF(Inputs!$C$61:$C$78,0,Inputs!$F$61:$F$78)/12)*(1+$C$34)^ROUNDDOWN((AD409-1)/12,0),"-")</f>
        <v>-</v>
      </c>
      <c r="AJ409" s="8" t="str">
        <f t="shared" si="180"/>
        <v>-</v>
      </c>
      <c r="AK409" s="8" t="str">
        <f>IF($AD409&lt;=$C$25*12,'Mortgage Calculators (By Month)'!$J427,"-")</f>
        <v>-</v>
      </c>
      <c r="AL409" s="8" t="str">
        <f>IF($AD409&lt;=$C$25*12,'Mortgage Calculators (By Month)'!$K427,"-")</f>
        <v>-</v>
      </c>
      <c r="AM409" s="8" t="str">
        <f>IF($AD409&lt;=$C$25*12,'Mortgage Calculators (By Month)'!$L427,"-")</f>
        <v>-</v>
      </c>
      <c r="AN409" s="8" t="str">
        <f t="shared" si="195"/>
        <v>-</v>
      </c>
      <c r="AO409" s="8" t="str">
        <f t="shared" si="181"/>
        <v>-</v>
      </c>
      <c r="AP409" s="8" t="str">
        <f t="shared" si="182"/>
        <v>-</v>
      </c>
      <c r="AQ409" s="8" t="str">
        <f t="shared" si="183"/>
        <v>-</v>
      </c>
      <c r="AR409" s="8" t="str">
        <f t="shared" si="184"/>
        <v>-</v>
      </c>
      <c r="AS409" s="8" t="str">
        <f>IF($AD409&lt;=$C$25*12,SUM(AR$5:AR409),"-")</f>
        <v>-</v>
      </c>
      <c r="AT409" s="8" t="str">
        <f>IF($AD409&lt;=$C$25*12,AE409-$C$10-'RE Calculations'!$C596-'Mortgage Calculators (By Month)'!$M427,"-")</f>
        <v>-</v>
      </c>
      <c r="AU409" s="29" t="str">
        <f t="shared" si="185"/>
        <v>-</v>
      </c>
      <c r="AV409" s="31" t="str">
        <f t="shared" si="186"/>
        <v>-</v>
      </c>
      <c r="AW409" s="8" t="str">
        <f t="shared" si="187"/>
        <v>-</v>
      </c>
      <c r="AX409" s="29" t="str">
        <f t="shared" si="188"/>
        <v>-</v>
      </c>
      <c r="AY409" s="31" t="str">
        <f t="shared" si="189"/>
        <v>-</v>
      </c>
    </row>
    <row r="410" spans="6:51" x14ac:dyDescent="0.35">
      <c r="F410" s="12" t="str">
        <f t="shared" si="190"/>
        <v>-</v>
      </c>
      <c r="G410" s="8" t="str">
        <f t="shared" si="191"/>
        <v>-</v>
      </c>
      <c r="H410" s="8" t="str">
        <f>IF($F410&lt;=$C$16*12,$G410-$C$7+SUM('Mortgage Calculators (By Month)'!$D$23:$D428),"-")</f>
        <v>-</v>
      </c>
      <c r="I410" s="8" t="str">
        <f t="shared" si="168"/>
        <v>-</v>
      </c>
      <c r="J410" s="8" t="str">
        <f>IF($F410&lt;=$C$16*12,SUM(Inputs!$C$61:$C$78)*'Forecast (By Month)'!I410,"-")</f>
        <v>-</v>
      </c>
      <c r="K410" s="8" t="str">
        <f>IF($F410&lt;=$C$16*12,(SUMIF(Inputs!$C$61:$C$78,0,Inputs!$F$61:$F$78)/12)*(1+$C$34)^ROUNDDOWN((F410-1)/12,0),"-")</f>
        <v>-</v>
      </c>
      <c r="L410" s="8" t="str">
        <f t="shared" si="169"/>
        <v>-</v>
      </c>
      <c r="M410" s="8" t="str">
        <f>IF($F410&lt;=$C$16*12,'Mortgage Calculators (By Month)'!$C428,"-")</f>
        <v>-</v>
      </c>
      <c r="N410" s="8" t="str">
        <f>IF($F410&lt;=$C$16*12,'Mortgage Calculators (By Month)'!$D428,"-")</f>
        <v>-</v>
      </c>
      <c r="O410" s="8" t="str">
        <f>IF($F410&lt;=$C$16*12,'Mortgage Calculators (By Month)'!$E428,"-")</f>
        <v>-</v>
      </c>
      <c r="P410" s="8" t="str">
        <f t="shared" si="194"/>
        <v>-</v>
      </c>
      <c r="Q410" s="8" t="str">
        <f t="shared" si="170"/>
        <v>-</v>
      </c>
      <c r="R410" s="8" t="str">
        <f t="shared" si="171"/>
        <v>-</v>
      </c>
      <c r="S410" s="8" t="str">
        <f t="shared" si="172"/>
        <v>-</v>
      </c>
      <c r="T410" s="8" t="str">
        <f t="shared" si="173"/>
        <v>-</v>
      </c>
      <c r="U410" s="8" t="str">
        <f>IF($F410&lt;=$C$16*12,SUM(T$5:T410),"-")</f>
        <v>-</v>
      </c>
      <c r="V410" s="8" t="str">
        <f>IF($F410&lt;=$C$16*12,G410-$C$10-'RE Calculations'!$C597-'Mortgage Calculators (By Month)'!$F428,"-")</f>
        <v>-</v>
      </c>
      <c r="W410" s="29" t="str">
        <f t="shared" si="174"/>
        <v>-</v>
      </c>
      <c r="X410" s="31" t="str">
        <f t="shared" si="175"/>
        <v>-</v>
      </c>
      <c r="Y410" s="8" t="str">
        <f t="shared" si="176"/>
        <v>-</v>
      </c>
      <c r="Z410" s="29" t="str">
        <f t="shared" si="177"/>
        <v>-</v>
      </c>
      <c r="AA410" s="31" t="str">
        <f t="shared" si="178"/>
        <v>-</v>
      </c>
      <c r="AD410" s="12" t="str">
        <f t="shared" si="192"/>
        <v>-</v>
      </c>
      <c r="AE410" s="8" t="str">
        <f t="shared" si="193"/>
        <v>-</v>
      </c>
      <c r="AF410" s="8" t="str">
        <f>IF($AD410&lt;=$C$25*12,$AE410-$C$7+SUM('Mortgage Calculators (By Month)'!$K$23:$K428),"-")</f>
        <v>-</v>
      </c>
      <c r="AG410" s="8" t="str">
        <f t="shared" si="179"/>
        <v>-</v>
      </c>
      <c r="AH410" s="8" t="str">
        <f>IF($AD410&lt;=$C$25*12,SUM(Inputs!$C$61:$C$78)*'Forecast (By Month)'!AG410,"-")</f>
        <v>-</v>
      </c>
      <c r="AI410" s="8" t="str">
        <f>IF($AD410&lt;=$C$25*12,(SUMIF(Inputs!$C$61:$C$78,0,Inputs!$F$61:$F$78)/12)*(1+$C$34)^ROUNDDOWN((AD410-1)/12,0),"-")</f>
        <v>-</v>
      </c>
      <c r="AJ410" s="8" t="str">
        <f t="shared" si="180"/>
        <v>-</v>
      </c>
      <c r="AK410" s="8" t="str">
        <f>IF($AD410&lt;=$C$25*12,'Mortgage Calculators (By Month)'!$J428,"-")</f>
        <v>-</v>
      </c>
      <c r="AL410" s="8" t="str">
        <f>IF($AD410&lt;=$C$25*12,'Mortgage Calculators (By Month)'!$K428,"-")</f>
        <v>-</v>
      </c>
      <c r="AM410" s="8" t="str">
        <f>IF($AD410&lt;=$C$25*12,'Mortgage Calculators (By Month)'!$L428,"-")</f>
        <v>-</v>
      </c>
      <c r="AN410" s="8" t="str">
        <f t="shared" si="195"/>
        <v>-</v>
      </c>
      <c r="AO410" s="8" t="str">
        <f t="shared" si="181"/>
        <v>-</v>
      </c>
      <c r="AP410" s="8" t="str">
        <f t="shared" si="182"/>
        <v>-</v>
      </c>
      <c r="AQ410" s="8" t="str">
        <f t="shared" si="183"/>
        <v>-</v>
      </c>
      <c r="AR410" s="8" t="str">
        <f t="shared" si="184"/>
        <v>-</v>
      </c>
      <c r="AS410" s="8" t="str">
        <f>IF($AD410&lt;=$C$25*12,SUM(AR$5:AR410),"-")</f>
        <v>-</v>
      </c>
      <c r="AT410" s="8" t="str">
        <f>IF($AD410&lt;=$C$25*12,AE410-$C$10-'RE Calculations'!$C597-'Mortgage Calculators (By Month)'!$M428,"-")</f>
        <v>-</v>
      </c>
      <c r="AU410" s="29" t="str">
        <f t="shared" si="185"/>
        <v>-</v>
      </c>
      <c r="AV410" s="31" t="str">
        <f t="shared" si="186"/>
        <v>-</v>
      </c>
      <c r="AW410" s="8" t="str">
        <f t="shared" si="187"/>
        <v>-</v>
      </c>
      <c r="AX410" s="29" t="str">
        <f t="shared" si="188"/>
        <v>-</v>
      </c>
      <c r="AY410" s="31" t="str">
        <f t="shared" si="189"/>
        <v>-</v>
      </c>
    </row>
    <row r="411" spans="6:51" x14ac:dyDescent="0.35">
      <c r="F411" s="12" t="str">
        <f t="shared" si="190"/>
        <v>-</v>
      </c>
      <c r="G411" s="8" t="str">
        <f t="shared" si="191"/>
        <v>-</v>
      </c>
      <c r="H411" s="8" t="str">
        <f>IF($F411&lt;=$C$16*12,$G411-$C$7+SUM('Mortgage Calculators (By Month)'!$D$23:$D429),"-")</f>
        <v>-</v>
      </c>
      <c r="I411" s="8" t="str">
        <f t="shared" si="168"/>
        <v>-</v>
      </c>
      <c r="J411" s="8" t="str">
        <f>IF($F411&lt;=$C$16*12,SUM(Inputs!$C$61:$C$78)*'Forecast (By Month)'!I411,"-")</f>
        <v>-</v>
      </c>
      <c r="K411" s="8" t="str">
        <f>IF($F411&lt;=$C$16*12,(SUMIF(Inputs!$C$61:$C$78,0,Inputs!$F$61:$F$78)/12)*(1+$C$34)^ROUNDDOWN((F411-1)/12,0),"-")</f>
        <v>-</v>
      </c>
      <c r="L411" s="8" t="str">
        <f t="shared" si="169"/>
        <v>-</v>
      </c>
      <c r="M411" s="8" t="str">
        <f>IF($F411&lt;=$C$16*12,'Mortgage Calculators (By Month)'!$C429,"-")</f>
        <v>-</v>
      </c>
      <c r="N411" s="8" t="str">
        <f>IF($F411&lt;=$C$16*12,'Mortgage Calculators (By Month)'!$D429,"-")</f>
        <v>-</v>
      </c>
      <c r="O411" s="8" t="str">
        <f>IF($F411&lt;=$C$16*12,'Mortgage Calculators (By Month)'!$E429,"-")</f>
        <v>-</v>
      </c>
      <c r="P411" s="8" t="str">
        <f t="shared" si="194"/>
        <v>-</v>
      </c>
      <c r="Q411" s="8" t="str">
        <f t="shared" si="170"/>
        <v>-</v>
      </c>
      <c r="R411" s="8" t="str">
        <f t="shared" si="171"/>
        <v>-</v>
      </c>
      <c r="S411" s="8" t="str">
        <f t="shared" si="172"/>
        <v>-</v>
      </c>
      <c r="T411" s="8" t="str">
        <f t="shared" si="173"/>
        <v>-</v>
      </c>
      <c r="U411" s="8" t="str">
        <f>IF($F411&lt;=$C$16*12,SUM(T$5:T411),"-")</f>
        <v>-</v>
      </c>
      <c r="V411" s="8" t="str">
        <f>IF($F411&lt;=$C$16*12,G411-$C$10-'RE Calculations'!$C598-'Mortgage Calculators (By Month)'!$F429,"-")</f>
        <v>-</v>
      </c>
      <c r="W411" s="29" t="str">
        <f t="shared" si="174"/>
        <v>-</v>
      </c>
      <c r="X411" s="31" t="str">
        <f t="shared" si="175"/>
        <v>-</v>
      </c>
      <c r="Y411" s="8" t="str">
        <f t="shared" si="176"/>
        <v>-</v>
      </c>
      <c r="Z411" s="29" t="str">
        <f t="shared" si="177"/>
        <v>-</v>
      </c>
      <c r="AA411" s="31" t="str">
        <f t="shared" si="178"/>
        <v>-</v>
      </c>
      <c r="AD411" s="12" t="str">
        <f t="shared" si="192"/>
        <v>-</v>
      </c>
      <c r="AE411" s="8" t="str">
        <f t="shared" si="193"/>
        <v>-</v>
      </c>
      <c r="AF411" s="8" t="str">
        <f>IF($AD411&lt;=$C$25*12,$AE411-$C$7+SUM('Mortgage Calculators (By Month)'!$K$23:$K429),"-")</f>
        <v>-</v>
      </c>
      <c r="AG411" s="8" t="str">
        <f t="shared" si="179"/>
        <v>-</v>
      </c>
      <c r="AH411" s="8" t="str">
        <f>IF($AD411&lt;=$C$25*12,SUM(Inputs!$C$61:$C$78)*'Forecast (By Month)'!AG411,"-")</f>
        <v>-</v>
      </c>
      <c r="AI411" s="8" t="str">
        <f>IF($AD411&lt;=$C$25*12,(SUMIF(Inputs!$C$61:$C$78,0,Inputs!$F$61:$F$78)/12)*(1+$C$34)^ROUNDDOWN((AD411-1)/12,0),"-")</f>
        <v>-</v>
      </c>
      <c r="AJ411" s="8" t="str">
        <f t="shared" si="180"/>
        <v>-</v>
      </c>
      <c r="AK411" s="8" t="str">
        <f>IF($AD411&lt;=$C$25*12,'Mortgage Calculators (By Month)'!$J429,"-")</f>
        <v>-</v>
      </c>
      <c r="AL411" s="8" t="str">
        <f>IF($AD411&lt;=$C$25*12,'Mortgage Calculators (By Month)'!$K429,"-")</f>
        <v>-</v>
      </c>
      <c r="AM411" s="8" t="str">
        <f>IF($AD411&lt;=$C$25*12,'Mortgage Calculators (By Month)'!$L429,"-")</f>
        <v>-</v>
      </c>
      <c r="AN411" s="8" t="str">
        <f t="shared" si="195"/>
        <v>-</v>
      </c>
      <c r="AO411" s="8" t="str">
        <f t="shared" si="181"/>
        <v>-</v>
      </c>
      <c r="AP411" s="8" t="str">
        <f t="shared" si="182"/>
        <v>-</v>
      </c>
      <c r="AQ411" s="8" t="str">
        <f t="shared" si="183"/>
        <v>-</v>
      </c>
      <c r="AR411" s="8" t="str">
        <f t="shared" si="184"/>
        <v>-</v>
      </c>
      <c r="AS411" s="8" t="str">
        <f>IF($AD411&lt;=$C$25*12,SUM(AR$5:AR411),"-")</f>
        <v>-</v>
      </c>
      <c r="AT411" s="8" t="str">
        <f>IF($AD411&lt;=$C$25*12,AE411-$C$10-'RE Calculations'!$C598-'Mortgage Calculators (By Month)'!$M429,"-")</f>
        <v>-</v>
      </c>
      <c r="AU411" s="29" t="str">
        <f t="shared" si="185"/>
        <v>-</v>
      </c>
      <c r="AV411" s="31" t="str">
        <f t="shared" si="186"/>
        <v>-</v>
      </c>
      <c r="AW411" s="8" t="str">
        <f t="shared" si="187"/>
        <v>-</v>
      </c>
      <c r="AX411" s="29" t="str">
        <f t="shared" si="188"/>
        <v>-</v>
      </c>
      <c r="AY411" s="31" t="str">
        <f t="shared" si="189"/>
        <v>-</v>
      </c>
    </row>
    <row r="412" spans="6:51" x14ac:dyDescent="0.35">
      <c r="F412" s="12" t="str">
        <f t="shared" si="190"/>
        <v>-</v>
      </c>
      <c r="G412" s="8" t="str">
        <f t="shared" si="191"/>
        <v>-</v>
      </c>
      <c r="H412" s="8" t="str">
        <f>IF($F412&lt;=$C$16*12,$G412-$C$7+SUM('Mortgage Calculators (By Month)'!$D$23:$D430),"-")</f>
        <v>-</v>
      </c>
      <c r="I412" s="8" t="str">
        <f t="shared" si="168"/>
        <v>-</v>
      </c>
      <c r="J412" s="8" t="str">
        <f>IF($F412&lt;=$C$16*12,SUM(Inputs!$C$61:$C$78)*'Forecast (By Month)'!I412,"-")</f>
        <v>-</v>
      </c>
      <c r="K412" s="8" t="str">
        <f>IF($F412&lt;=$C$16*12,(SUMIF(Inputs!$C$61:$C$78,0,Inputs!$F$61:$F$78)/12)*(1+$C$34)^ROUNDDOWN((F412-1)/12,0),"-")</f>
        <v>-</v>
      </c>
      <c r="L412" s="8" t="str">
        <f t="shared" si="169"/>
        <v>-</v>
      </c>
      <c r="M412" s="8" t="str">
        <f>IF($F412&lt;=$C$16*12,'Mortgage Calculators (By Month)'!$C430,"-")</f>
        <v>-</v>
      </c>
      <c r="N412" s="8" t="str">
        <f>IF($F412&lt;=$C$16*12,'Mortgage Calculators (By Month)'!$D430,"-")</f>
        <v>-</v>
      </c>
      <c r="O412" s="8" t="str">
        <f>IF($F412&lt;=$C$16*12,'Mortgage Calculators (By Month)'!$E430,"-")</f>
        <v>-</v>
      </c>
      <c r="P412" s="8" t="str">
        <f t="shared" si="194"/>
        <v>-</v>
      </c>
      <c r="Q412" s="8" t="str">
        <f t="shared" si="170"/>
        <v>-</v>
      </c>
      <c r="R412" s="8" t="str">
        <f t="shared" si="171"/>
        <v>-</v>
      </c>
      <c r="S412" s="8" t="str">
        <f t="shared" si="172"/>
        <v>-</v>
      </c>
      <c r="T412" s="8" t="str">
        <f t="shared" si="173"/>
        <v>-</v>
      </c>
      <c r="U412" s="8" t="str">
        <f>IF($F412&lt;=$C$16*12,SUM(T$5:T412),"-")</f>
        <v>-</v>
      </c>
      <c r="V412" s="8" t="str">
        <f>IF($F412&lt;=$C$16*12,G412-$C$10-'RE Calculations'!$C599-'Mortgage Calculators (By Month)'!$F430,"-")</f>
        <v>-</v>
      </c>
      <c r="W412" s="29" t="str">
        <f t="shared" si="174"/>
        <v>-</v>
      </c>
      <c r="X412" s="31" t="str">
        <f t="shared" si="175"/>
        <v>-</v>
      </c>
      <c r="Y412" s="8" t="str">
        <f t="shared" si="176"/>
        <v>-</v>
      </c>
      <c r="Z412" s="29" t="str">
        <f t="shared" si="177"/>
        <v>-</v>
      </c>
      <c r="AA412" s="31" t="str">
        <f t="shared" si="178"/>
        <v>-</v>
      </c>
      <c r="AD412" s="12" t="str">
        <f t="shared" si="192"/>
        <v>-</v>
      </c>
      <c r="AE412" s="8" t="str">
        <f t="shared" si="193"/>
        <v>-</v>
      </c>
      <c r="AF412" s="8" t="str">
        <f>IF($AD412&lt;=$C$25*12,$AE412-$C$7+SUM('Mortgage Calculators (By Month)'!$K$23:$K430),"-")</f>
        <v>-</v>
      </c>
      <c r="AG412" s="8" t="str">
        <f t="shared" si="179"/>
        <v>-</v>
      </c>
      <c r="AH412" s="8" t="str">
        <f>IF($AD412&lt;=$C$25*12,SUM(Inputs!$C$61:$C$78)*'Forecast (By Month)'!AG412,"-")</f>
        <v>-</v>
      </c>
      <c r="AI412" s="8" t="str">
        <f>IF($AD412&lt;=$C$25*12,(SUMIF(Inputs!$C$61:$C$78,0,Inputs!$F$61:$F$78)/12)*(1+$C$34)^ROUNDDOWN((AD412-1)/12,0),"-")</f>
        <v>-</v>
      </c>
      <c r="AJ412" s="8" t="str">
        <f t="shared" si="180"/>
        <v>-</v>
      </c>
      <c r="AK412" s="8" t="str">
        <f>IF($AD412&lt;=$C$25*12,'Mortgage Calculators (By Month)'!$J430,"-")</f>
        <v>-</v>
      </c>
      <c r="AL412" s="8" t="str">
        <f>IF($AD412&lt;=$C$25*12,'Mortgage Calculators (By Month)'!$K430,"-")</f>
        <v>-</v>
      </c>
      <c r="AM412" s="8" t="str">
        <f>IF($AD412&lt;=$C$25*12,'Mortgage Calculators (By Month)'!$L430,"-")</f>
        <v>-</v>
      </c>
      <c r="AN412" s="8" t="str">
        <f t="shared" si="195"/>
        <v>-</v>
      </c>
      <c r="AO412" s="8" t="str">
        <f t="shared" si="181"/>
        <v>-</v>
      </c>
      <c r="AP412" s="8" t="str">
        <f t="shared" si="182"/>
        <v>-</v>
      </c>
      <c r="AQ412" s="8" t="str">
        <f t="shared" si="183"/>
        <v>-</v>
      </c>
      <c r="AR412" s="8" t="str">
        <f t="shared" si="184"/>
        <v>-</v>
      </c>
      <c r="AS412" s="8" t="str">
        <f>IF($AD412&lt;=$C$25*12,SUM(AR$5:AR412),"-")</f>
        <v>-</v>
      </c>
      <c r="AT412" s="8" t="str">
        <f>IF($AD412&lt;=$C$25*12,AE412-$C$10-'RE Calculations'!$C599-'Mortgage Calculators (By Month)'!$M430,"-")</f>
        <v>-</v>
      </c>
      <c r="AU412" s="29" t="str">
        <f t="shared" si="185"/>
        <v>-</v>
      </c>
      <c r="AV412" s="31" t="str">
        <f t="shared" si="186"/>
        <v>-</v>
      </c>
      <c r="AW412" s="8" t="str">
        <f t="shared" si="187"/>
        <v>-</v>
      </c>
      <c r="AX412" s="29" t="str">
        <f t="shared" si="188"/>
        <v>-</v>
      </c>
      <c r="AY412" s="31" t="str">
        <f t="shared" si="189"/>
        <v>-</v>
      </c>
    </row>
    <row r="413" spans="6:51" x14ac:dyDescent="0.35">
      <c r="F413" s="12" t="str">
        <f t="shared" si="190"/>
        <v>-</v>
      </c>
      <c r="G413" s="8" t="str">
        <f t="shared" si="191"/>
        <v>-</v>
      </c>
      <c r="H413" s="8" t="str">
        <f>IF($F413&lt;=$C$16*12,$G413-$C$7+SUM('Mortgage Calculators (By Month)'!$D$23:$D431),"-")</f>
        <v>-</v>
      </c>
      <c r="I413" s="8" t="str">
        <f t="shared" si="168"/>
        <v>-</v>
      </c>
      <c r="J413" s="8" t="str">
        <f>IF($F413&lt;=$C$16*12,SUM(Inputs!$C$61:$C$78)*'Forecast (By Month)'!I413,"-")</f>
        <v>-</v>
      </c>
      <c r="K413" s="8" t="str">
        <f>IF($F413&lt;=$C$16*12,(SUMIF(Inputs!$C$61:$C$78,0,Inputs!$F$61:$F$78)/12)*(1+$C$34)^ROUNDDOWN((F413-1)/12,0),"-")</f>
        <v>-</v>
      </c>
      <c r="L413" s="8" t="str">
        <f t="shared" si="169"/>
        <v>-</v>
      </c>
      <c r="M413" s="8" t="str">
        <f>IF($F413&lt;=$C$16*12,'Mortgage Calculators (By Month)'!$C431,"-")</f>
        <v>-</v>
      </c>
      <c r="N413" s="8" t="str">
        <f>IF($F413&lt;=$C$16*12,'Mortgage Calculators (By Month)'!$D431,"-")</f>
        <v>-</v>
      </c>
      <c r="O413" s="8" t="str">
        <f>IF($F413&lt;=$C$16*12,'Mortgage Calculators (By Month)'!$E431,"-")</f>
        <v>-</v>
      </c>
      <c r="P413" s="8" t="str">
        <f t="shared" si="194"/>
        <v>-</v>
      </c>
      <c r="Q413" s="8" t="str">
        <f t="shared" si="170"/>
        <v>-</v>
      </c>
      <c r="R413" s="8" t="str">
        <f t="shared" si="171"/>
        <v>-</v>
      </c>
      <c r="S413" s="8" t="str">
        <f t="shared" si="172"/>
        <v>-</v>
      </c>
      <c r="T413" s="8" t="str">
        <f t="shared" si="173"/>
        <v>-</v>
      </c>
      <c r="U413" s="8" t="str">
        <f>IF($F413&lt;=$C$16*12,SUM(T$5:T413),"-")</f>
        <v>-</v>
      </c>
      <c r="V413" s="8" t="str">
        <f>IF($F413&lt;=$C$16*12,G413-$C$10-'RE Calculations'!$C600-'Mortgage Calculators (By Month)'!$F431,"-")</f>
        <v>-</v>
      </c>
      <c r="W413" s="29" t="str">
        <f t="shared" si="174"/>
        <v>-</v>
      </c>
      <c r="X413" s="31" t="str">
        <f t="shared" si="175"/>
        <v>-</v>
      </c>
      <c r="Y413" s="8" t="str">
        <f t="shared" si="176"/>
        <v>-</v>
      </c>
      <c r="Z413" s="29" t="str">
        <f t="shared" si="177"/>
        <v>-</v>
      </c>
      <c r="AA413" s="31" t="str">
        <f t="shared" si="178"/>
        <v>-</v>
      </c>
      <c r="AD413" s="12" t="str">
        <f t="shared" si="192"/>
        <v>-</v>
      </c>
      <c r="AE413" s="8" t="str">
        <f t="shared" si="193"/>
        <v>-</v>
      </c>
      <c r="AF413" s="8" t="str">
        <f>IF($AD413&lt;=$C$25*12,$AE413-$C$7+SUM('Mortgage Calculators (By Month)'!$K$23:$K431),"-")</f>
        <v>-</v>
      </c>
      <c r="AG413" s="8" t="str">
        <f t="shared" si="179"/>
        <v>-</v>
      </c>
      <c r="AH413" s="8" t="str">
        <f>IF($AD413&lt;=$C$25*12,SUM(Inputs!$C$61:$C$78)*'Forecast (By Month)'!AG413,"-")</f>
        <v>-</v>
      </c>
      <c r="AI413" s="8" t="str">
        <f>IF($AD413&lt;=$C$25*12,(SUMIF(Inputs!$C$61:$C$78,0,Inputs!$F$61:$F$78)/12)*(1+$C$34)^ROUNDDOWN((AD413-1)/12,0),"-")</f>
        <v>-</v>
      </c>
      <c r="AJ413" s="8" t="str">
        <f t="shared" si="180"/>
        <v>-</v>
      </c>
      <c r="AK413" s="8" t="str">
        <f>IF($AD413&lt;=$C$25*12,'Mortgage Calculators (By Month)'!$J431,"-")</f>
        <v>-</v>
      </c>
      <c r="AL413" s="8" t="str">
        <f>IF($AD413&lt;=$C$25*12,'Mortgage Calculators (By Month)'!$K431,"-")</f>
        <v>-</v>
      </c>
      <c r="AM413" s="8" t="str">
        <f>IF($AD413&lt;=$C$25*12,'Mortgage Calculators (By Month)'!$L431,"-")</f>
        <v>-</v>
      </c>
      <c r="AN413" s="8" t="str">
        <f t="shared" si="195"/>
        <v>-</v>
      </c>
      <c r="AO413" s="8" t="str">
        <f t="shared" si="181"/>
        <v>-</v>
      </c>
      <c r="AP413" s="8" t="str">
        <f t="shared" si="182"/>
        <v>-</v>
      </c>
      <c r="AQ413" s="8" t="str">
        <f t="shared" si="183"/>
        <v>-</v>
      </c>
      <c r="AR413" s="8" t="str">
        <f t="shared" si="184"/>
        <v>-</v>
      </c>
      <c r="AS413" s="8" t="str">
        <f>IF($AD413&lt;=$C$25*12,SUM(AR$5:AR413),"-")</f>
        <v>-</v>
      </c>
      <c r="AT413" s="8" t="str">
        <f>IF($AD413&lt;=$C$25*12,AE413-$C$10-'RE Calculations'!$C600-'Mortgage Calculators (By Month)'!$M431,"-")</f>
        <v>-</v>
      </c>
      <c r="AU413" s="29" t="str">
        <f t="shared" si="185"/>
        <v>-</v>
      </c>
      <c r="AV413" s="31" t="str">
        <f t="shared" si="186"/>
        <v>-</v>
      </c>
      <c r="AW413" s="8" t="str">
        <f t="shared" si="187"/>
        <v>-</v>
      </c>
      <c r="AX413" s="29" t="str">
        <f t="shared" si="188"/>
        <v>-</v>
      </c>
      <c r="AY413" s="31" t="str">
        <f t="shared" si="189"/>
        <v>-</v>
      </c>
    </row>
    <row r="414" spans="6:51" x14ac:dyDescent="0.35">
      <c r="F414" s="12" t="str">
        <f t="shared" si="190"/>
        <v>-</v>
      </c>
      <c r="G414" s="8" t="str">
        <f t="shared" si="191"/>
        <v>-</v>
      </c>
      <c r="H414" s="8" t="str">
        <f>IF($F414&lt;=$C$16*12,$G414-$C$7+SUM('Mortgage Calculators (By Month)'!$D$23:$D432),"-")</f>
        <v>-</v>
      </c>
      <c r="I414" s="8" t="str">
        <f t="shared" si="168"/>
        <v>-</v>
      </c>
      <c r="J414" s="8" t="str">
        <f>IF($F414&lt;=$C$16*12,SUM(Inputs!$C$61:$C$78)*'Forecast (By Month)'!I414,"-")</f>
        <v>-</v>
      </c>
      <c r="K414" s="8" t="str">
        <f>IF($F414&lt;=$C$16*12,(SUMIF(Inputs!$C$61:$C$78,0,Inputs!$F$61:$F$78)/12)*(1+$C$34)^ROUNDDOWN((F414-1)/12,0),"-")</f>
        <v>-</v>
      </c>
      <c r="L414" s="8" t="str">
        <f t="shared" si="169"/>
        <v>-</v>
      </c>
      <c r="M414" s="8" t="str">
        <f>IF($F414&lt;=$C$16*12,'Mortgage Calculators (By Month)'!$C432,"-")</f>
        <v>-</v>
      </c>
      <c r="N414" s="8" t="str">
        <f>IF($F414&lt;=$C$16*12,'Mortgage Calculators (By Month)'!$D432,"-")</f>
        <v>-</v>
      </c>
      <c r="O414" s="8" t="str">
        <f>IF($F414&lt;=$C$16*12,'Mortgage Calculators (By Month)'!$E432,"-")</f>
        <v>-</v>
      </c>
      <c r="P414" s="8" t="str">
        <f t="shared" si="194"/>
        <v>-</v>
      </c>
      <c r="Q414" s="8" t="str">
        <f t="shared" si="170"/>
        <v>-</v>
      </c>
      <c r="R414" s="8" t="str">
        <f t="shared" si="171"/>
        <v>-</v>
      </c>
      <c r="S414" s="8" t="str">
        <f t="shared" si="172"/>
        <v>-</v>
      </c>
      <c r="T414" s="8" t="str">
        <f t="shared" si="173"/>
        <v>-</v>
      </c>
      <c r="U414" s="8" t="str">
        <f>IF($F414&lt;=$C$16*12,SUM(T$5:T414),"-")</f>
        <v>-</v>
      </c>
      <c r="V414" s="8" t="str">
        <f>IF($F414&lt;=$C$16*12,G414-$C$10-'RE Calculations'!$C601-'Mortgage Calculators (By Month)'!$F432,"-")</f>
        <v>-</v>
      </c>
      <c r="W414" s="29" t="str">
        <f t="shared" si="174"/>
        <v>-</v>
      </c>
      <c r="X414" s="31" t="str">
        <f t="shared" si="175"/>
        <v>-</v>
      </c>
      <c r="Y414" s="8" t="str">
        <f t="shared" si="176"/>
        <v>-</v>
      </c>
      <c r="Z414" s="29" t="str">
        <f t="shared" si="177"/>
        <v>-</v>
      </c>
      <c r="AA414" s="31" t="str">
        <f t="shared" si="178"/>
        <v>-</v>
      </c>
      <c r="AD414" s="12" t="str">
        <f t="shared" si="192"/>
        <v>-</v>
      </c>
      <c r="AE414" s="8" t="str">
        <f t="shared" si="193"/>
        <v>-</v>
      </c>
      <c r="AF414" s="8" t="str">
        <f>IF($AD414&lt;=$C$25*12,$AE414-$C$7+SUM('Mortgage Calculators (By Month)'!$K$23:$K432),"-")</f>
        <v>-</v>
      </c>
      <c r="AG414" s="8" t="str">
        <f t="shared" si="179"/>
        <v>-</v>
      </c>
      <c r="AH414" s="8" t="str">
        <f>IF($AD414&lt;=$C$25*12,SUM(Inputs!$C$61:$C$78)*'Forecast (By Month)'!AG414,"-")</f>
        <v>-</v>
      </c>
      <c r="AI414" s="8" t="str">
        <f>IF($AD414&lt;=$C$25*12,(SUMIF(Inputs!$C$61:$C$78,0,Inputs!$F$61:$F$78)/12)*(1+$C$34)^ROUNDDOWN((AD414-1)/12,0),"-")</f>
        <v>-</v>
      </c>
      <c r="AJ414" s="8" t="str">
        <f t="shared" si="180"/>
        <v>-</v>
      </c>
      <c r="AK414" s="8" t="str">
        <f>IF($AD414&lt;=$C$25*12,'Mortgage Calculators (By Month)'!$J432,"-")</f>
        <v>-</v>
      </c>
      <c r="AL414" s="8" t="str">
        <f>IF($AD414&lt;=$C$25*12,'Mortgage Calculators (By Month)'!$K432,"-")</f>
        <v>-</v>
      </c>
      <c r="AM414" s="8" t="str">
        <f>IF($AD414&lt;=$C$25*12,'Mortgage Calculators (By Month)'!$L432,"-")</f>
        <v>-</v>
      </c>
      <c r="AN414" s="8" t="str">
        <f t="shared" si="195"/>
        <v>-</v>
      </c>
      <c r="AO414" s="8" t="str">
        <f t="shared" si="181"/>
        <v>-</v>
      </c>
      <c r="AP414" s="8" t="str">
        <f t="shared" si="182"/>
        <v>-</v>
      </c>
      <c r="AQ414" s="8" t="str">
        <f t="shared" si="183"/>
        <v>-</v>
      </c>
      <c r="AR414" s="8" t="str">
        <f t="shared" si="184"/>
        <v>-</v>
      </c>
      <c r="AS414" s="8" t="str">
        <f>IF($AD414&lt;=$C$25*12,SUM(AR$5:AR414),"-")</f>
        <v>-</v>
      </c>
      <c r="AT414" s="8" t="str">
        <f>IF($AD414&lt;=$C$25*12,AE414-$C$10-'RE Calculations'!$C601-'Mortgage Calculators (By Month)'!$M432,"-")</f>
        <v>-</v>
      </c>
      <c r="AU414" s="29" t="str">
        <f t="shared" si="185"/>
        <v>-</v>
      </c>
      <c r="AV414" s="31" t="str">
        <f t="shared" si="186"/>
        <v>-</v>
      </c>
      <c r="AW414" s="8" t="str">
        <f t="shared" si="187"/>
        <v>-</v>
      </c>
      <c r="AX414" s="29" t="str">
        <f t="shared" si="188"/>
        <v>-</v>
      </c>
      <c r="AY414" s="31" t="str">
        <f t="shared" si="189"/>
        <v>-</v>
      </c>
    </row>
    <row r="415" spans="6:51" x14ac:dyDescent="0.35">
      <c r="F415" s="12" t="str">
        <f t="shared" si="190"/>
        <v>-</v>
      </c>
      <c r="G415" s="8" t="str">
        <f t="shared" si="191"/>
        <v>-</v>
      </c>
      <c r="H415" s="8" t="str">
        <f>IF($F415&lt;=$C$16*12,$G415-$C$7+SUM('Mortgage Calculators (By Month)'!$D$23:$D433),"-")</f>
        <v>-</v>
      </c>
      <c r="I415" s="8" t="str">
        <f t="shared" si="168"/>
        <v>-</v>
      </c>
      <c r="J415" s="8" t="str">
        <f>IF($F415&lt;=$C$16*12,SUM(Inputs!$C$61:$C$78)*'Forecast (By Month)'!I415,"-")</f>
        <v>-</v>
      </c>
      <c r="K415" s="8" t="str">
        <f>IF($F415&lt;=$C$16*12,(SUMIF(Inputs!$C$61:$C$78,0,Inputs!$F$61:$F$78)/12)*(1+$C$34)^ROUNDDOWN((F415-1)/12,0),"-")</f>
        <v>-</v>
      </c>
      <c r="L415" s="8" t="str">
        <f t="shared" si="169"/>
        <v>-</v>
      </c>
      <c r="M415" s="8" t="str">
        <f>IF($F415&lt;=$C$16*12,'Mortgage Calculators (By Month)'!$C433,"-")</f>
        <v>-</v>
      </c>
      <c r="N415" s="8" t="str">
        <f>IF($F415&lt;=$C$16*12,'Mortgage Calculators (By Month)'!$D433,"-")</f>
        <v>-</v>
      </c>
      <c r="O415" s="8" t="str">
        <f>IF($F415&lt;=$C$16*12,'Mortgage Calculators (By Month)'!$E433,"-")</f>
        <v>-</v>
      </c>
      <c r="P415" s="8" t="str">
        <f t="shared" si="194"/>
        <v>-</v>
      </c>
      <c r="Q415" s="8" t="str">
        <f t="shared" si="170"/>
        <v>-</v>
      </c>
      <c r="R415" s="8" t="str">
        <f t="shared" si="171"/>
        <v>-</v>
      </c>
      <c r="S415" s="8" t="str">
        <f t="shared" si="172"/>
        <v>-</v>
      </c>
      <c r="T415" s="8" t="str">
        <f t="shared" si="173"/>
        <v>-</v>
      </c>
      <c r="U415" s="8" t="str">
        <f>IF($F415&lt;=$C$16*12,SUM(T$5:T415),"-")</f>
        <v>-</v>
      </c>
      <c r="V415" s="8" t="str">
        <f>IF($F415&lt;=$C$16*12,G415-$C$10-'RE Calculations'!$C602-'Mortgage Calculators (By Month)'!$F433,"-")</f>
        <v>-</v>
      </c>
      <c r="W415" s="29" t="str">
        <f t="shared" si="174"/>
        <v>-</v>
      </c>
      <c r="X415" s="31" t="str">
        <f t="shared" si="175"/>
        <v>-</v>
      </c>
      <c r="Y415" s="8" t="str">
        <f t="shared" si="176"/>
        <v>-</v>
      </c>
      <c r="Z415" s="29" t="str">
        <f t="shared" si="177"/>
        <v>-</v>
      </c>
      <c r="AA415" s="31" t="str">
        <f t="shared" si="178"/>
        <v>-</v>
      </c>
      <c r="AD415" s="12" t="str">
        <f t="shared" si="192"/>
        <v>-</v>
      </c>
      <c r="AE415" s="8" t="str">
        <f t="shared" si="193"/>
        <v>-</v>
      </c>
      <c r="AF415" s="8" t="str">
        <f>IF($AD415&lt;=$C$25*12,$AE415-$C$7+SUM('Mortgage Calculators (By Month)'!$K$23:$K433),"-")</f>
        <v>-</v>
      </c>
      <c r="AG415" s="8" t="str">
        <f t="shared" si="179"/>
        <v>-</v>
      </c>
      <c r="AH415" s="8" t="str">
        <f>IF($AD415&lt;=$C$25*12,SUM(Inputs!$C$61:$C$78)*'Forecast (By Month)'!AG415,"-")</f>
        <v>-</v>
      </c>
      <c r="AI415" s="8" t="str">
        <f>IF($AD415&lt;=$C$25*12,(SUMIF(Inputs!$C$61:$C$78,0,Inputs!$F$61:$F$78)/12)*(1+$C$34)^ROUNDDOWN((AD415-1)/12,0),"-")</f>
        <v>-</v>
      </c>
      <c r="AJ415" s="8" t="str">
        <f t="shared" si="180"/>
        <v>-</v>
      </c>
      <c r="AK415" s="8" t="str">
        <f>IF($AD415&lt;=$C$25*12,'Mortgage Calculators (By Month)'!$J433,"-")</f>
        <v>-</v>
      </c>
      <c r="AL415" s="8" t="str">
        <f>IF($AD415&lt;=$C$25*12,'Mortgage Calculators (By Month)'!$K433,"-")</f>
        <v>-</v>
      </c>
      <c r="AM415" s="8" t="str">
        <f>IF($AD415&lt;=$C$25*12,'Mortgage Calculators (By Month)'!$L433,"-")</f>
        <v>-</v>
      </c>
      <c r="AN415" s="8" t="str">
        <f t="shared" si="195"/>
        <v>-</v>
      </c>
      <c r="AO415" s="8" t="str">
        <f t="shared" si="181"/>
        <v>-</v>
      </c>
      <c r="AP415" s="8" t="str">
        <f t="shared" si="182"/>
        <v>-</v>
      </c>
      <c r="AQ415" s="8" t="str">
        <f t="shared" si="183"/>
        <v>-</v>
      </c>
      <c r="AR415" s="8" t="str">
        <f t="shared" si="184"/>
        <v>-</v>
      </c>
      <c r="AS415" s="8" t="str">
        <f>IF($AD415&lt;=$C$25*12,SUM(AR$5:AR415),"-")</f>
        <v>-</v>
      </c>
      <c r="AT415" s="8" t="str">
        <f>IF($AD415&lt;=$C$25*12,AE415-$C$10-'RE Calculations'!$C602-'Mortgage Calculators (By Month)'!$M433,"-")</f>
        <v>-</v>
      </c>
      <c r="AU415" s="29" t="str">
        <f t="shared" si="185"/>
        <v>-</v>
      </c>
      <c r="AV415" s="31" t="str">
        <f t="shared" si="186"/>
        <v>-</v>
      </c>
      <c r="AW415" s="8" t="str">
        <f t="shared" si="187"/>
        <v>-</v>
      </c>
      <c r="AX415" s="29" t="str">
        <f t="shared" si="188"/>
        <v>-</v>
      </c>
      <c r="AY415" s="31" t="str">
        <f t="shared" si="189"/>
        <v>-</v>
      </c>
    </row>
    <row r="416" spans="6:51" x14ac:dyDescent="0.35">
      <c r="F416" s="12" t="str">
        <f t="shared" si="190"/>
        <v>-</v>
      </c>
      <c r="G416" s="8" t="str">
        <f t="shared" si="191"/>
        <v>-</v>
      </c>
      <c r="H416" s="8" t="str">
        <f>IF($F416&lt;=$C$16*12,$G416-$C$7+SUM('Mortgage Calculators (By Month)'!$D$23:$D434),"-")</f>
        <v>-</v>
      </c>
      <c r="I416" s="8" t="str">
        <f t="shared" si="168"/>
        <v>-</v>
      </c>
      <c r="J416" s="8" t="str">
        <f>IF($F416&lt;=$C$16*12,SUM(Inputs!$C$61:$C$78)*'Forecast (By Month)'!I416,"-")</f>
        <v>-</v>
      </c>
      <c r="K416" s="8" t="str">
        <f>IF($F416&lt;=$C$16*12,(SUMIF(Inputs!$C$61:$C$78,0,Inputs!$F$61:$F$78)/12)*(1+$C$34)^ROUNDDOWN((F416-1)/12,0),"-")</f>
        <v>-</v>
      </c>
      <c r="L416" s="8" t="str">
        <f t="shared" si="169"/>
        <v>-</v>
      </c>
      <c r="M416" s="8" t="str">
        <f>IF($F416&lt;=$C$16*12,'Mortgage Calculators (By Month)'!$C434,"-")</f>
        <v>-</v>
      </c>
      <c r="N416" s="8" t="str">
        <f>IF($F416&lt;=$C$16*12,'Mortgage Calculators (By Month)'!$D434,"-")</f>
        <v>-</v>
      </c>
      <c r="O416" s="8" t="str">
        <f>IF($F416&lt;=$C$16*12,'Mortgage Calculators (By Month)'!$E434,"-")</f>
        <v>-</v>
      </c>
      <c r="P416" s="8" t="str">
        <f t="shared" si="194"/>
        <v>-</v>
      </c>
      <c r="Q416" s="8" t="str">
        <f t="shared" si="170"/>
        <v>-</v>
      </c>
      <c r="R416" s="8" t="str">
        <f t="shared" si="171"/>
        <v>-</v>
      </c>
      <c r="S416" s="8" t="str">
        <f t="shared" si="172"/>
        <v>-</v>
      </c>
      <c r="T416" s="8" t="str">
        <f t="shared" si="173"/>
        <v>-</v>
      </c>
      <c r="U416" s="8" t="str">
        <f>IF($F416&lt;=$C$16*12,SUM(T$5:T416),"-")</f>
        <v>-</v>
      </c>
      <c r="V416" s="8" t="str">
        <f>IF($F416&lt;=$C$16*12,G416-$C$10-'RE Calculations'!$C603-'Mortgage Calculators (By Month)'!$F434,"-")</f>
        <v>-</v>
      </c>
      <c r="W416" s="29" t="str">
        <f t="shared" si="174"/>
        <v>-</v>
      </c>
      <c r="X416" s="31" t="str">
        <f t="shared" si="175"/>
        <v>-</v>
      </c>
      <c r="Y416" s="8" t="str">
        <f t="shared" si="176"/>
        <v>-</v>
      </c>
      <c r="Z416" s="29" t="str">
        <f t="shared" si="177"/>
        <v>-</v>
      </c>
      <c r="AA416" s="31" t="str">
        <f t="shared" si="178"/>
        <v>-</v>
      </c>
      <c r="AD416" s="12" t="str">
        <f t="shared" si="192"/>
        <v>-</v>
      </c>
      <c r="AE416" s="8" t="str">
        <f t="shared" si="193"/>
        <v>-</v>
      </c>
      <c r="AF416" s="8" t="str">
        <f>IF($AD416&lt;=$C$25*12,$AE416-$C$7+SUM('Mortgage Calculators (By Month)'!$K$23:$K434),"-")</f>
        <v>-</v>
      </c>
      <c r="AG416" s="8" t="str">
        <f t="shared" si="179"/>
        <v>-</v>
      </c>
      <c r="AH416" s="8" t="str">
        <f>IF($AD416&lt;=$C$25*12,SUM(Inputs!$C$61:$C$78)*'Forecast (By Month)'!AG416,"-")</f>
        <v>-</v>
      </c>
      <c r="AI416" s="8" t="str">
        <f>IF($AD416&lt;=$C$25*12,(SUMIF(Inputs!$C$61:$C$78,0,Inputs!$F$61:$F$78)/12)*(1+$C$34)^ROUNDDOWN((AD416-1)/12,0),"-")</f>
        <v>-</v>
      </c>
      <c r="AJ416" s="8" t="str">
        <f t="shared" si="180"/>
        <v>-</v>
      </c>
      <c r="AK416" s="8" t="str">
        <f>IF($AD416&lt;=$C$25*12,'Mortgage Calculators (By Month)'!$J434,"-")</f>
        <v>-</v>
      </c>
      <c r="AL416" s="8" t="str">
        <f>IF($AD416&lt;=$C$25*12,'Mortgage Calculators (By Month)'!$K434,"-")</f>
        <v>-</v>
      </c>
      <c r="AM416" s="8" t="str">
        <f>IF($AD416&lt;=$C$25*12,'Mortgage Calculators (By Month)'!$L434,"-")</f>
        <v>-</v>
      </c>
      <c r="AN416" s="8" t="str">
        <f t="shared" si="195"/>
        <v>-</v>
      </c>
      <c r="AO416" s="8" t="str">
        <f t="shared" si="181"/>
        <v>-</v>
      </c>
      <c r="AP416" s="8" t="str">
        <f t="shared" si="182"/>
        <v>-</v>
      </c>
      <c r="AQ416" s="8" t="str">
        <f t="shared" si="183"/>
        <v>-</v>
      </c>
      <c r="AR416" s="8" t="str">
        <f t="shared" si="184"/>
        <v>-</v>
      </c>
      <c r="AS416" s="8" t="str">
        <f>IF($AD416&lt;=$C$25*12,SUM(AR$5:AR416),"-")</f>
        <v>-</v>
      </c>
      <c r="AT416" s="8" t="str">
        <f>IF($AD416&lt;=$C$25*12,AE416-$C$10-'RE Calculations'!$C603-'Mortgage Calculators (By Month)'!$M434,"-")</f>
        <v>-</v>
      </c>
      <c r="AU416" s="29" t="str">
        <f t="shared" si="185"/>
        <v>-</v>
      </c>
      <c r="AV416" s="31" t="str">
        <f t="shared" si="186"/>
        <v>-</v>
      </c>
      <c r="AW416" s="8" t="str">
        <f t="shared" si="187"/>
        <v>-</v>
      </c>
      <c r="AX416" s="29" t="str">
        <f t="shared" si="188"/>
        <v>-</v>
      </c>
      <c r="AY416" s="31" t="str">
        <f t="shared" si="189"/>
        <v>-</v>
      </c>
    </row>
    <row r="417" spans="6:51" x14ac:dyDescent="0.35">
      <c r="F417" s="12" t="str">
        <f t="shared" si="190"/>
        <v>-</v>
      </c>
      <c r="G417" s="8" t="str">
        <f t="shared" si="191"/>
        <v>-</v>
      </c>
      <c r="H417" s="8" t="str">
        <f>IF($F417&lt;=$C$16*12,$G417-$C$7+SUM('Mortgage Calculators (By Month)'!$D$23:$D435),"-")</f>
        <v>-</v>
      </c>
      <c r="I417" s="8" t="str">
        <f t="shared" si="168"/>
        <v>-</v>
      </c>
      <c r="J417" s="8" t="str">
        <f>IF($F417&lt;=$C$16*12,SUM(Inputs!$C$61:$C$78)*'Forecast (By Month)'!I417,"-")</f>
        <v>-</v>
      </c>
      <c r="K417" s="8" t="str">
        <f>IF($F417&lt;=$C$16*12,(SUMIF(Inputs!$C$61:$C$78,0,Inputs!$F$61:$F$78)/12)*(1+$C$34)^ROUNDDOWN((F417-1)/12,0),"-")</f>
        <v>-</v>
      </c>
      <c r="L417" s="8" t="str">
        <f t="shared" si="169"/>
        <v>-</v>
      </c>
      <c r="M417" s="8" t="str">
        <f>IF($F417&lt;=$C$16*12,'Mortgage Calculators (By Month)'!$C435,"-")</f>
        <v>-</v>
      </c>
      <c r="N417" s="8" t="str">
        <f>IF($F417&lt;=$C$16*12,'Mortgage Calculators (By Month)'!$D435,"-")</f>
        <v>-</v>
      </c>
      <c r="O417" s="8" t="str">
        <f>IF($F417&lt;=$C$16*12,'Mortgage Calculators (By Month)'!$E435,"-")</f>
        <v>-</v>
      </c>
      <c r="P417" s="8" t="str">
        <f t="shared" si="194"/>
        <v>-</v>
      </c>
      <c r="Q417" s="8" t="str">
        <f t="shared" si="170"/>
        <v>-</v>
      </c>
      <c r="R417" s="8" t="str">
        <f t="shared" si="171"/>
        <v>-</v>
      </c>
      <c r="S417" s="8" t="str">
        <f t="shared" si="172"/>
        <v>-</v>
      </c>
      <c r="T417" s="8" t="str">
        <f t="shared" si="173"/>
        <v>-</v>
      </c>
      <c r="U417" s="8" t="str">
        <f>IF($F417&lt;=$C$16*12,SUM(T$5:T417),"-")</f>
        <v>-</v>
      </c>
      <c r="V417" s="8" t="str">
        <f>IF($F417&lt;=$C$16*12,G417-$C$10-'RE Calculations'!$C604-'Mortgage Calculators (By Month)'!$F435,"-")</f>
        <v>-</v>
      </c>
      <c r="W417" s="29" t="str">
        <f t="shared" si="174"/>
        <v>-</v>
      </c>
      <c r="X417" s="31" t="str">
        <f t="shared" si="175"/>
        <v>-</v>
      </c>
      <c r="Y417" s="8" t="str">
        <f t="shared" si="176"/>
        <v>-</v>
      </c>
      <c r="Z417" s="29" t="str">
        <f t="shared" si="177"/>
        <v>-</v>
      </c>
      <c r="AA417" s="31" t="str">
        <f t="shared" si="178"/>
        <v>-</v>
      </c>
      <c r="AD417" s="12" t="str">
        <f t="shared" si="192"/>
        <v>-</v>
      </c>
      <c r="AE417" s="8" t="str">
        <f t="shared" si="193"/>
        <v>-</v>
      </c>
      <c r="AF417" s="8" t="str">
        <f>IF($AD417&lt;=$C$25*12,$AE417-$C$7+SUM('Mortgage Calculators (By Month)'!$K$23:$K435),"-")</f>
        <v>-</v>
      </c>
      <c r="AG417" s="8" t="str">
        <f t="shared" si="179"/>
        <v>-</v>
      </c>
      <c r="AH417" s="8" t="str">
        <f>IF($AD417&lt;=$C$25*12,SUM(Inputs!$C$61:$C$78)*'Forecast (By Month)'!AG417,"-")</f>
        <v>-</v>
      </c>
      <c r="AI417" s="8" t="str">
        <f>IF($AD417&lt;=$C$25*12,(SUMIF(Inputs!$C$61:$C$78,0,Inputs!$F$61:$F$78)/12)*(1+$C$34)^ROUNDDOWN((AD417-1)/12,0),"-")</f>
        <v>-</v>
      </c>
      <c r="AJ417" s="8" t="str">
        <f t="shared" si="180"/>
        <v>-</v>
      </c>
      <c r="AK417" s="8" t="str">
        <f>IF($AD417&lt;=$C$25*12,'Mortgage Calculators (By Month)'!$J435,"-")</f>
        <v>-</v>
      </c>
      <c r="AL417" s="8" t="str">
        <f>IF($AD417&lt;=$C$25*12,'Mortgage Calculators (By Month)'!$K435,"-")</f>
        <v>-</v>
      </c>
      <c r="AM417" s="8" t="str">
        <f>IF($AD417&lt;=$C$25*12,'Mortgage Calculators (By Month)'!$L435,"-")</f>
        <v>-</v>
      </c>
      <c r="AN417" s="8" t="str">
        <f t="shared" si="195"/>
        <v>-</v>
      </c>
      <c r="AO417" s="8" t="str">
        <f t="shared" si="181"/>
        <v>-</v>
      </c>
      <c r="AP417" s="8" t="str">
        <f t="shared" si="182"/>
        <v>-</v>
      </c>
      <c r="AQ417" s="8" t="str">
        <f t="shared" si="183"/>
        <v>-</v>
      </c>
      <c r="AR417" s="8" t="str">
        <f t="shared" si="184"/>
        <v>-</v>
      </c>
      <c r="AS417" s="8" t="str">
        <f>IF($AD417&lt;=$C$25*12,SUM(AR$5:AR417),"-")</f>
        <v>-</v>
      </c>
      <c r="AT417" s="8" t="str">
        <f>IF($AD417&lt;=$C$25*12,AE417-$C$10-'RE Calculations'!$C604-'Mortgage Calculators (By Month)'!$M435,"-")</f>
        <v>-</v>
      </c>
      <c r="AU417" s="29" t="str">
        <f t="shared" si="185"/>
        <v>-</v>
      </c>
      <c r="AV417" s="31" t="str">
        <f t="shared" si="186"/>
        <v>-</v>
      </c>
      <c r="AW417" s="8" t="str">
        <f t="shared" si="187"/>
        <v>-</v>
      </c>
      <c r="AX417" s="29" t="str">
        <f t="shared" si="188"/>
        <v>-</v>
      </c>
      <c r="AY417" s="31" t="str">
        <f t="shared" si="189"/>
        <v>-</v>
      </c>
    </row>
    <row r="418" spans="6:51" x14ac:dyDescent="0.35">
      <c r="F418" s="12" t="str">
        <f t="shared" si="190"/>
        <v>-</v>
      </c>
      <c r="G418" s="8" t="str">
        <f t="shared" si="191"/>
        <v>-</v>
      </c>
      <c r="H418" s="8" t="str">
        <f>IF($F418&lt;=$C$16*12,$G418-$C$7+SUM('Mortgage Calculators (By Month)'!$D$23:$D436),"-")</f>
        <v>-</v>
      </c>
      <c r="I418" s="8" t="str">
        <f t="shared" si="168"/>
        <v>-</v>
      </c>
      <c r="J418" s="8" t="str">
        <f>IF($F418&lt;=$C$16*12,SUM(Inputs!$C$61:$C$78)*'Forecast (By Month)'!I418,"-")</f>
        <v>-</v>
      </c>
      <c r="K418" s="8" t="str">
        <f>IF($F418&lt;=$C$16*12,(SUMIF(Inputs!$C$61:$C$78,0,Inputs!$F$61:$F$78)/12)*(1+$C$34)^ROUNDDOWN((F418-1)/12,0),"-")</f>
        <v>-</v>
      </c>
      <c r="L418" s="8" t="str">
        <f t="shared" si="169"/>
        <v>-</v>
      </c>
      <c r="M418" s="8" t="str">
        <f>IF($F418&lt;=$C$16*12,'Mortgage Calculators (By Month)'!$C436,"-")</f>
        <v>-</v>
      </c>
      <c r="N418" s="8" t="str">
        <f>IF($F418&lt;=$C$16*12,'Mortgage Calculators (By Month)'!$D436,"-")</f>
        <v>-</v>
      </c>
      <c r="O418" s="8" t="str">
        <f>IF($F418&lt;=$C$16*12,'Mortgage Calculators (By Month)'!$E436,"-")</f>
        <v>-</v>
      </c>
      <c r="P418" s="8" t="str">
        <f t="shared" si="194"/>
        <v>-</v>
      </c>
      <c r="Q418" s="8" t="str">
        <f t="shared" si="170"/>
        <v>-</v>
      </c>
      <c r="R418" s="8" t="str">
        <f t="shared" si="171"/>
        <v>-</v>
      </c>
      <c r="S418" s="8" t="str">
        <f t="shared" si="172"/>
        <v>-</v>
      </c>
      <c r="T418" s="8" t="str">
        <f t="shared" si="173"/>
        <v>-</v>
      </c>
      <c r="U418" s="8" t="str">
        <f>IF($F418&lt;=$C$16*12,SUM(T$5:T418),"-")</f>
        <v>-</v>
      </c>
      <c r="V418" s="8" t="str">
        <f>IF($F418&lt;=$C$16*12,G418-$C$10-'RE Calculations'!$C605-'Mortgage Calculators (By Month)'!$F436,"-")</f>
        <v>-</v>
      </c>
      <c r="W418" s="29" t="str">
        <f t="shared" si="174"/>
        <v>-</v>
      </c>
      <c r="X418" s="31" t="str">
        <f t="shared" si="175"/>
        <v>-</v>
      </c>
      <c r="Y418" s="8" t="str">
        <f t="shared" si="176"/>
        <v>-</v>
      </c>
      <c r="Z418" s="29" t="str">
        <f t="shared" si="177"/>
        <v>-</v>
      </c>
      <c r="AA418" s="31" t="str">
        <f t="shared" si="178"/>
        <v>-</v>
      </c>
      <c r="AD418" s="12" t="str">
        <f t="shared" si="192"/>
        <v>-</v>
      </c>
      <c r="AE418" s="8" t="str">
        <f t="shared" si="193"/>
        <v>-</v>
      </c>
      <c r="AF418" s="8" t="str">
        <f>IF($AD418&lt;=$C$25*12,$AE418-$C$7+SUM('Mortgage Calculators (By Month)'!$K$23:$K436),"-")</f>
        <v>-</v>
      </c>
      <c r="AG418" s="8" t="str">
        <f t="shared" si="179"/>
        <v>-</v>
      </c>
      <c r="AH418" s="8" t="str">
        <f>IF($AD418&lt;=$C$25*12,SUM(Inputs!$C$61:$C$78)*'Forecast (By Month)'!AG418,"-")</f>
        <v>-</v>
      </c>
      <c r="AI418" s="8" t="str">
        <f>IF($AD418&lt;=$C$25*12,(SUMIF(Inputs!$C$61:$C$78,0,Inputs!$F$61:$F$78)/12)*(1+$C$34)^ROUNDDOWN((AD418-1)/12,0),"-")</f>
        <v>-</v>
      </c>
      <c r="AJ418" s="8" t="str">
        <f t="shared" si="180"/>
        <v>-</v>
      </c>
      <c r="AK418" s="8" t="str">
        <f>IF($AD418&lt;=$C$25*12,'Mortgage Calculators (By Month)'!$J436,"-")</f>
        <v>-</v>
      </c>
      <c r="AL418" s="8" t="str">
        <f>IF($AD418&lt;=$C$25*12,'Mortgage Calculators (By Month)'!$K436,"-")</f>
        <v>-</v>
      </c>
      <c r="AM418" s="8" t="str">
        <f>IF($AD418&lt;=$C$25*12,'Mortgage Calculators (By Month)'!$L436,"-")</f>
        <v>-</v>
      </c>
      <c r="AN418" s="8" t="str">
        <f t="shared" si="195"/>
        <v>-</v>
      </c>
      <c r="AO418" s="8" t="str">
        <f t="shared" si="181"/>
        <v>-</v>
      </c>
      <c r="AP418" s="8" t="str">
        <f t="shared" si="182"/>
        <v>-</v>
      </c>
      <c r="AQ418" s="8" t="str">
        <f t="shared" si="183"/>
        <v>-</v>
      </c>
      <c r="AR418" s="8" t="str">
        <f t="shared" si="184"/>
        <v>-</v>
      </c>
      <c r="AS418" s="8" t="str">
        <f>IF($AD418&lt;=$C$25*12,SUM(AR$5:AR418),"-")</f>
        <v>-</v>
      </c>
      <c r="AT418" s="8" t="str">
        <f>IF($AD418&lt;=$C$25*12,AE418-$C$10-'RE Calculations'!$C605-'Mortgage Calculators (By Month)'!$M436,"-")</f>
        <v>-</v>
      </c>
      <c r="AU418" s="29" t="str">
        <f t="shared" si="185"/>
        <v>-</v>
      </c>
      <c r="AV418" s="31" t="str">
        <f t="shared" si="186"/>
        <v>-</v>
      </c>
      <c r="AW418" s="8" t="str">
        <f t="shared" si="187"/>
        <v>-</v>
      </c>
      <c r="AX418" s="29" t="str">
        <f t="shared" si="188"/>
        <v>-</v>
      </c>
      <c r="AY418" s="31" t="str">
        <f t="shared" si="189"/>
        <v>-</v>
      </c>
    </row>
    <row r="419" spans="6:51" x14ac:dyDescent="0.35">
      <c r="F419" s="12" t="str">
        <f t="shared" si="190"/>
        <v>-</v>
      </c>
      <c r="G419" s="8" t="str">
        <f t="shared" si="191"/>
        <v>-</v>
      </c>
      <c r="H419" s="8" t="str">
        <f>IF($F419&lt;=$C$16*12,$G419-$C$7+SUM('Mortgage Calculators (By Month)'!$D$23:$D437),"-")</f>
        <v>-</v>
      </c>
      <c r="I419" s="8" t="str">
        <f t="shared" si="168"/>
        <v>-</v>
      </c>
      <c r="J419" s="8" t="str">
        <f>IF($F419&lt;=$C$16*12,SUM(Inputs!$C$61:$C$78)*'Forecast (By Month)'!I419,"-")</f>
        <v>-</v>
      </c>
      <c r="K419" s="8" t="str">
        <f>IF($F419&lt;=$C$16*12,(SUMIF(Inputs!$C$61:$C$78,0,Inputs!$F$61:$F$78)/12)*(1+$C$34)^ROUNDDOWN((F419-1)/12,0),"-")</f>
        <v>-</v>
      </c>
      <c r="L419" s="8" t="str">
        <f t="shared" si="169"/>
        <v>-</v>
      </c>
      <c r="M419" s="8" t="str">
        <f>IF($F419&lt;=$C$16*12,'Mortgage Calculators (By Month)'!$C437,"-")</f>
        <v>-</v>
      </c>
      <c r="N419" s="8" t="str">
        <f>IF($F419&lt;=$C$16*12,'Mortgage Calculators (By Month)'!$D437,"-")</f>
        <v>-</v>
      </c>
      <c r="O419" s="8" t="str">
        <f>IF($F419&lt;=$C$16*12,'Mortgage Calculators (By Month)'!$E437,"-")</f>
        <v>-</v>
      </c>
      <c r="P419" s="8" t="str">
        <f t="shared" si="194"/>
        <v>-</v>
      </c>
      <c r="Q419" s="8" t="str">
        <f t="shared" si="170"/>
        <v>-</v>
      </c>
      <c r="R419" s="8" t="str">
        <f t="shared" si="171"/>
        <v>-</v>
      </c>
      <c r="S419" s="8" t="str">
        <f t="shared" si="172"/>
        <v>-</v>
      </c>
      <c r="T419" s="8" t="str">
        <f t="shared" si="173"/>
        <v>-</v>
      </c>
      <c r="U419" s="8" t="str">
        <f>IF($F419&lt;=$C$16*12,SUM(T$5:T419),"-")</f>
        <v>-</v>
      </c>
      <c r="V419" s="8" t="str">
        <f>IF($F419&lt;=$C$16*12,G419-$C$10-'RE Calculations'!$C606-'Mortgage Calculators (By Month)'!$F437,"-")</f>
        <v>-</v>
      </c>
      <c r="W419" s="29" t="str">
        <f t="shared" si="174"/>
        <v>-</v>
      </c>
      <c r="X419" s="31" t="str">
        <f t="shared" si="175"/>
        <v>-</v>
      </c>
      <c r="Y419" s="8" t="str">
        <f t="shared" si="176"/>
        <v>-</v>
      </c>
      <c r="Z419" s="29" t="str">
        <f t="shared" si="177"/>
        <v>-</v>
      </c>
      <c r="AA419" s="31" t="str">
        <f t="shared" si="178"/>
        <v>-</v>
      </c>
      <c r="AD419" s="12" t="str">
        <f t="shared" si="192"/>
        <v>-</v>
      </c>
      <c r="AE419" s="8" t="str">
        <f t="shared" si="193"/>
        <v>-</v>
      </c>
      <c r="AF419" s="8" t="str">
        <f>IF($AD419&lt;=$C$25*12,$AE419-$C$7+SUM('Mortgage Calculators (By Month)'!$K$23:$K437),"-")</f>
        <v>-</v>
      </c>
      <c r="AG419" s="8" t="str">
        <f t="shared" si="179"/>
        <v>-</v>
      </c>
      <c r="AH419" s="8" t="str">
        <f>IF($AD419&lt;=$C$25*12,SUM(Inputs!$C$61:$C$78)*'Forecast (By Month)'!AG419,"-")</f>
        <v>-</v>
      </c>
      <c r="AI419" s="8" t="str">
        <f>IF($AD419&lt;=$C$25*12,(SUMIF(Inputs!$C$61:$C$78,0,Inputs!$F$61:$F$78)/12)*(1+$C$34)^ROUNDDOWN((AD419-1)/12,0),"-")</f>
        <v>-</v>
      </c>
      <c r="AJ419" s="8" t="str">
        <f t="shared" si="180"/>
        <v>-</v>
      </c>
      <c r="AK419" s="8" t="str">
        <f>IF($AD419&lt;=$C$25*12,'Mortgage Calculators (By Month)'!$J437,"-")</f>
        <v>-</v>
      </c>
      <c r="AL419" s="8" t="str">
        <f>IF($AD419&lt;=$C$25*12,'Mortgage Calculators (By Month)'!$K437,"-")</f>
        <v>-</v>
      </c>
      <c r="AM419" s="8" t="str">
        <f>IF($AD419&lt;=$C$25*12,'Mortgage Calculators (By Month)'!$L437,"-")</f>
        <v>-</v>
      </c>
      <c r="AN419" s="8" t="str">
        <f t="shared" si="195"/>
        <v>-</v>
      </c>
      <c r="AO419" s="8" t="str">
        <f t="shared" si="181"/>
        <v>-</v>
      </c>
      <c r="AP419" s="8" t="str">
        <f t="shared" si="182"/>
        <v>-</v>
      </c>
      <c r="AQ419" s="8" t="str">
        <f t="shared" si="183"/>
        <v>-</v>
      </c>
      <c r="AR419" s="8" t="str">
        <f t="shared" si="184"/>
        <v>-</v>
      </c>
      <c r="AS419" s="8" t="str">
        <f>IF($AD419&lt;=$C$25*12,SUM(AR$5:AR419),"-")</f>
        <v>-</v>
      </c>
      <c r="AT419" s="8" t="str">
        <f>IF($AD419&lt;=$C$25*12,AE419-$C$10-'RE Calculations'!$C606-'Mortgage Calculators (By Month)'!$M437,"-")</f>
        <v>-</v>
      </c>
      <c r="AU419" s="29" t="str">
        <f t="shared" si="185"/>
        <v>-</v>
      </c>
      <c r="AV419" s="31" t="str">
        <f t="shared" si="186"/>
        <v>-</v>
      </c>
      <c r="AW419" s="8" t="str">
        <f t="shared" si="187"/>
        <v>-</v>
      </c>
      <c r="AX419" s="29" t="str">
        <f t="shared" si="188"/>
        <v>-</v>
      </c>
      <c r="AY419" s="31" t="str">
        <f t="shared" si="189"/>
        <v>-</v>
      </c>
    </row>
    <row r="420" spans="6:51" x14ac:dyDescent="0.35">
      <c r="F420" s="12" t="str">
        <f t="shared" si="190"/>
        <v>-</v>
      </c>
      <c r="G420" s="8" t="str">
        <f t="shared" si="191"/>
        <v>-</v>
      </c>
      <c r="H420" s="8" t="str">
        <f>IF($F420&lt;=$C$16*12,$G420-$C$7+SUM('Mortgage Calculators (By Month)'!$D$23:$D438),"-")</f>
        <v>-</v>
      </c>
      <c r="I420" s="8" t="str">
        <f t="shared" si="168"/>
        <v>-</v>
      </c>
      <c r="J420" s="8" t="str">
        <f>IF($F420&lt;=$C$16*12,SUM(Inputs!$C$61:$C$78)*'Forecast (By Month)'!I420,"-")</f>
        <v>-</v>
      </c>
      <c r="K420" s="8" t="str">
        <f>IF($F420&lt;=$C$16*12,(SUMIF(Inputs!$C$61:$C$78,0,Inputs!$F$61:$F$78)/12)*(1+$C$34)^ROUNDDOWN((F420-1)/12,0),"-")</f>
        <v>-</v>
      </c>
      <c r="L420" s="8" t="str">
        <f t="shared" si="169"/>
        <v>-</v>
      </c>
      <c r="M420" s="8" t="str">
        <f>IF($F420&lt;=$C$16*12,'Mortgage Calculators (By Month)'!$C438,"-")</f>
        <v>-</v>
      </c>
      <c r="N420" s="8" t="str">
        <f>IF($F420&lt;=$C$16*12,'Mortgage Calculators (By Month)'!$D438,"-")</f>
        <v>-</v>
      </c>
      <c r="O420" s="8" t="str">
        <f>IF($F420&lt;=$C$16*12,'Mortgage Calculators (By Month)'!$E438,"-")</f>
        <v>-</v>
      </c>
      <c r="P420" s="8" t="str">
        <f t="shared" si="194"/>
        <v>-</v>
      </c>
      <c r="Q420" s="8" t="str">
        <f t="shared" si="170"/>
        <v>-</v>
      </c>
      <c r="R420" s="8" t="str">
        <f t="shared" si="171"/>
        <v>-</v>
      </c>
      <c r="S420" s="8" t="str">
        <f t="shared" si="172"/>
        <v>-</v>
      </c>
      <c r="T420" s="8" t="str">
        <f t="shared" si="173"/>
        <v>-</v>
      </c>
      <c r="U420" s="8" t="str">
        <f>IF($F420&lt;=$C$16*12,SUM(T$5:T420),"-")</f>
        <v>-</v>
      </c>
      <c r="V420" s="8" t="str">
        <f>IF($F420&lt;=$C$16*12,G420-$C$10-'RE Calculations'!$C607-'Mortgage Calculators (By Month)'!$F438,"-")</f>
        <v>-</v>
      </c>
      <c r="W420" s="29" t="str">
        <f t="shared" si="174"/>
        <v>-</v>
      </c>
      <c r="X420" s="31" t="str">
        <f t="shared" si="175"/>
        <v>-</v>
      </c>
      <c r="Y420" s="8" t="str">
        <f t="shared" si="176"/>
        <v>-</v>
      </c>
      <c r="Z420" s="29" t="str">
        <f t="shared" si="177"/>
        <v>-</v>
      </c>
      <c r="AA420" s="31" t="str">
        <f t="shared" si="178"/>
        <v>-</v>
      </c>
      <c r="AD420" s="12" t="str">
        <f t="shared" si="192"/>
        <v>-</v>
      </c>
      <c r="AE420" s="8" t="str">
        <f t="shared" si="193"/>
        <v>-</v>
      </c>
      <c r="AF420" s="8" t="str">
        <f>IF($AD420&lt;=$C$25*12,$AE420-$C$7+SUM('Mortgage Calculators (By Month)'!$K$23:$K438),"-")</f>
        <v>-</v>
      </c>
      <c r="AG420" s="8" t="str">
        <f t="shared" si="179"/>
        <v>-</v>
      </c>
      <c r="AH420" s="8" t="str">
        <f>IF($AD420&lt;=$C$25*12,SUM(Inputs!$C$61:$C$78)*'Forecast (By Month)'!AG420,"-")</f>
        <v>-</v>
      </c>
      <c r="AI420" s="8" t="str">
        <f>IF($AD420&lt;=$C$25*12,(SUMIF(Inputs!$C$61:$C$78,0,Inputs!$F$61:$F$78)/12)*(1+$C$34)^ROUNDDOWN((AD420-1)/12,0),"-")</f>
        <v>-</v>
      </c>
      <c r="AJ420" s="8" t="str">
        <f t="shared" si="180"/>
        <v>-</v>
      </c>
      <c r="AK420" s="8" t="str">
        <f>IF($AD420&lt;=$C$25*12,'Mortgage Calculators (By Month)'!$J438,"-")</f>
        <v>-</v>
      </c>
      <c r="AL420" s="8" t="str">
        <f>IF($AD420&lt;=$C$25*12,'Mortgage Calculators (By Month)'!$K438,"-")</f>
        <v>-</v>
      </c>
      <c r="AM420" s="8" t="str">
        <f>IF($AD420&lt;=$C$25*12,'Mortgage Calculators (By Month)'!$L438,"-")</f>
        <v>-</v>
      </c>
      <c r="AN420" s="8" t="str">
        <f t="shared" si="195"/>
        <v>-</v>
      </c>
      <c r="AO420" s="8" t="str">
        <f t="shared" si="181"/>
        <v>-</v>
      </c>
      <c r="AP420" s="8" t="str">
        <f t="shared" si="182"/>
        <v>-</v>
      </c>
      <c r="AQ420" s="8" t="str">
        <f t="shared" si="183"/>
        <v>-</v>
      </c>
      <c r="AR420" s="8" t="str">
        <f t="shared" si="184"/>
        <v>-</v>
      </c>
      <c r="AS420" s="8" t="str">
        <f>IF($AD420&lt;=$C$25*12,SUM(AR$5:AR420),"-")</f>
        <v>-</v>
      </c>
      <c r="AT420" s="8" t="str">
        <f>IF($AD420&lt;=$C$25*12,AE420-$C$10-'RE Calculations'!$C607-'Mortgage Calculators (By Month)'!$M438,"-")</f>
        <v>-</v>
      </c>
      <c r="AU420" s="29" t="str">
        <f t="shared" si="185"/>
        <v>-</v>
      </c>
      <c r="AV420" s="31" t="str">
        <f t="shared" si="186"/>
        <v>-</v>
      </c>
      <c r="AW420" s="8" t="str">
        <f t="shared" si="187"/>
        <v>-</v>
      </c>
      <c r="AX420" s="29" t="str">
        <f t="shared" si="188"/>
        <v>-</v>
      </c>
      <c r="AY420" s="31" t="str">
        <f t="shared" si="189"/>
        <v>-</v>
      </c>
    </row>
    <row r="421" spans="6:51" x14ac:dyDescent="0.35">
      <c r="F421" s="12" t="str">
        <f t="shared" si="190"/>
        <v>-</v>
      </c>
      <c r="G421" s="8" t="str">
        <f t="shared" si="191"/>
        <v>-</v>
      </c>
      <c r="H421" s="8" t="str">
        <f>IF($F421&lt;=$C$16*12,$G421-$C$7+SUM('Mortgage Calculators (By Month)'!$D$23:$D439),"-")</f>
        <v>-</v>
      </c>
      <c r="I421" s="8" t="str">
        <f t="shared" si="168"/>
        <v>-</v>
      </c>
      <c r="J421" s="8" t="str">
        <f>IF($F421&lt;=$C$16*12,SUM(Inputs!$C$61:$C$78)*'Forecast (By Month)'!I421,"-")</f>
        <v>-</v>
      </c>
      <c r="K421" s="8" t="str">
        <f>IF($F421&lt;=$C$16*12,(SUMIF(Inputs!$C$61:$C$78,0,Inputs!$F$61:$F$78)/12)*(1+$C$34)^ROUNDDOWN((F421-1)/12,0),"-")</f>
        <v>-</v>
      </c>
      <c r="L421" s="8" t="str">
        <f t="shared" si="169"/>
        <v>-</v>
      </c>
      <c r="M421" s="8" t="str">
        <f>IF($F421&lt;=$C$16*12,'Mortgage Calculators (By Month)'!$C439,"-")</f>
        <v>-</v>
      </c>
      <c r="N421" s="8" t="str">
        <f>IF($F421&lt;=$C$16*12,'Mortgage Calculators (By Month)'!$D439,"-")</f>
        <v>-</v>
      </c>
      <c r="O421" s="8" t="str">
        <f>IF($F421&lt;=$C$16*12,'Mortgage Calculators (By Month)'!$E439,"-")</f>
        <v>-</v>
      </c>
      <c r="P421" s="8" t="str">
        <f t="shared" si="194"/>
        <v>-</v>
      </c>
      <c r="Q421" s="8" t="str">
        <f t="shared" si="170"/>
        <v>-</v>
      </c>
      <c r="R421" s="8" t="str">
        <f t="shared" si="171"/>
        <v>-</v>
      </c>
      <c r="S421" s="8" t="str">
        <f t="shared" si="172"/>
        <v>-</v>
      </c>
      <c r="T421" s="8" t="str">
        <f t="shared" si="173"/>
        <v>-</v>
      </c>
      <c r="U421" s="8" t="str">
        <f>IF($F421&lt;=$C$16*12,SUM(T$5:T421),"-")</f>
        <v>-</v>
      </c>
      <c r="V421" s="8" t="str">
        <f>IF($F421&lt;=$C$16*12,G421-$C$10-'RE Calculations'!$C608-'Mortgage Calculators (By Month)'!$F439,"-")</f>
        <v>-</v>
      </c>
      <c r="W421" s="29" t="str">
        <f t="shared" si="174"/>
        <v>-</v>
      </c>
      <c r="X421" s="31" t="str">
        <f t="shared" si="175"/>
        <v>-</v>
      </c>
      <c r="Y421" s="8" t="str">
        <f t="shared" si="176"/>
        <v>-</v>
      </c>
      <c r="Z421" s="29" t="str">
        <f t="shared" si="177"/>
        <v>-</v>
      </c>
      <c r="AA421" s="31" t="str">
        <f t="shared" si="178"/>
        <v>-</v>
      </c>
      <c r="AD421" s="12" t="str">
        <f t="shared" si="192"/>
        <v>-</v>
      </c>
      <c r="AE421" s="8" t="str">
        <f t="shared" si="193"/>
        <v>-</v>
      </c>
      <c r="AF421" s="8" t="str">
        <f>IF($AD421&lt;=$C$25*12,$AE421-$C$7+SUM('Mortgage Calculators (By Month)'!$K$23:$K439),"-")</f>
        <v>-</v>
      </c>
      <c r="AG421" s="8" t="str">
        <f t="shared" si="179"/>
        <v>-</v>
      </c>
      <c r="AH421" s="8" t="str">
        <f>IF($AD421&lt;=$C$25*12,SUM(Inputs!$C$61:$C$78)*'Forecast (By Month)'!AG421,"-")</f>
        <v>-</v>
      </c>
      <c r="AI421" s="8" t="str">
        <f>IF($AD421&lt;=$C$25*12,(SUMIF(Inputs!$C$61:$C$78,0,Inputs!$F$61:$F$78)/12)*(1+$C$34)^ROUNDDOWN((AD421-1)/12,0),"-")</f>
        <v>-</v>
      </c>
      <c r="AJ421" s="8" t="str">
        <f t="shared" si="180"/>
        <v>-</v>
      </c>
      <c r="AK421" s="8" t="str">
        <f>IF($AD421&lt;=$C$25*12,'Mortgage Calculators (By Month)'!$J439,"-")</f>
        <v>-</v>
      </c>
      <c r="AL421" s="8" t="str">
        <f>IF($AD421&lt;=$C$25*12,'Mortgage Calculators (By Month)'!$K439,"-")</f>
        <v>-</v>
      </c>
      <c r="AM421" s="8" t="str">
        <f>IF($AD421&lt;=$C$25*12,'Mortgage Calculators (By Month)'!$L439,"-")</f>
        <v>-</v>
      </c>
      <c r="AN421" s="8" t="str">
        <f t="shared" si="195"/>
        <v>-</v>
      </c>
      <c r="AO421" s="8" t="str">
        <f t="shared" si="181"/>
        <v>-</v>
      </c>
      <c r="AP421" s="8" t="str">
        <f t="shared" si="182"/>
        <v>-</v>
      </c>
      <c r="AQ421" s="8" t="str">
        <f t="shared" si="183"/>
        <v>-</v>
      </c>
      <c r="AR421" s="8" t="str">
        <f t="shared" si="184"/>
        <v>-</v>
      </c>
      <c r="AS421" s="8" t="str">
        <f>IF($AD421&lt;=$C$25*12,SUM(AR$5:AR421),"-")</f>
        <v>-</v>
      </c>
      <c r="AT421" s="8" t="str">
        <f>IF($AD421&lt;=$C$25*12,AE421-$C$10-'RE Calculations'!$C608-'Mortgage Calculators (By Month)'!$M439,"-")</f>
        <v>-</v>
      </c>
      <c r="AU421" s="29" t="str">
        <f t="shared" si="185"/>
        <v>-</v>
      </c>
      <c r="AV421" s="31" t="str">
        <f t="shared" si="186"/>
        <v>-</v>
      </c>
      <c r="AW421" s="8" t="str">
        <f t="shared" si="187"/>
        <v>-</v>
      </c>
      <c r="AX421" s="29" t="str">
        <f t="shared" si="188"/>
        <v>-</v>
      </c>
      <c r="AY421" s="31" t="str">
        <f t="shared" si="189"/>
        <v>-</v>
      </c>
    </row>
    <row r="422" spans="6:51" x14ac:dyDescent="0.35">
      <c r="F422" s="12" t="str">
        <f t="shared" si="190"/>
        <v>-</v>
      </c>
      <c r="G422" s="8" t="str">
        <f t="shared" si="191"/>
        <v>-</v>
      </c>
      <c r="H422" s="8" t="str">
        <f>IF($F422&lt;=$C$16*12,$G422-$C$7+SUM('Mortgage Calculators (By Month)'!$D$23:$D440),"-")</f>
        <v>-</v>
      </c>
      <c r="I422" s="8" t="str">
        <f t="shared" si="168"/>
        <v>-</v>
      </c>
      <c r="J422" s="8" t="str">
        <f>IF($F422&lt;=$C$16*12,SUM(Inputs!$C$61:$C$78)*'Forecast (By Month)'!I422,"-")</f>
        <v>-</v>
      </c>
      <c r="K422" s="8" t="str">
        <f>IF($F422&lt;=$C$16*12,(SUMIF(Inputs!$C$61:$C$78,0,Inputs!$F$61:$F$78)/12)*(1+$C$34)^ROUNDDOWN((F422-1)/12,0),"-")</f>
        <v>-</v>
      </c>
      <c r="L422" s="8" t="str">
        <f t="shared" si="169"/>
        <v>-</v>
      </c>
      <c r="M422" s="8" t="str">
        <f>IF($F422&lt;=$C$16*12,'Mortgage Calculators (By Month)'!$C440,"-")</f>
        <v>-</v>
      </c>
      <c r="N422" s="8" t="str">
        <f>IF($F422&lt;=$C$16*12,'Mortgage Calculators (By Month)'!$D440,"-")</f>
        <v>-</v>
      </c>
      <c r="O422" s="8" t="str">
        <f>IF($F422&lt;=$C$16*12,'Mortgage Calculators (By Month)'!$E440,"-")</f>
        <v>-</v>
      </c>
      <c r="P422" s="8" t="str">
        <f t="shared" si="194"/>
        <v>-</v>
      </c>
      <c r="Q422" s="8" t="str">
        <f t="shared" si="170"/>
        <v>-</v>
      </c>
      <c r="R422" s="8" t="str">
        <f t="shared" si="171"/>
        <v>-</v>
      </c>
      <c r="S422" s="8" t="str">
        <f t="shared" si="172"/>
        <v>-</v>
      </c>
      <c r="T422" s="8" t="str">
        <f t="shared" si="173"/>
        <v>-</v>
      </c>
      <c r="U422" s="8" t="str">
        <f>IF($F422&lt;=$C$16*12,SUM(T$5:T422),"-")</f>
        <v>-</v>
      </c>
      <c r="V422" s="8" t="str">
        <f>IF($F422&lt;=$C$16*12,G422-$C$10-'RE Calculations'!$C609-'Mortgage Calculators (By Month)'!$F440,"-")</f>
        <v>-</v>
      </c>
      <c r="W422" s="29" t="str">
        <f t="shared" si="174"/>
        <v>-</v>
      </c>
      <c r="X422" s="31" t="str">
        <f t="shared" si="175"/>
        <v>-</v>
      </c>
      <c r="Y422" s="8" t="str">
        <f t="shared" si="176"/>
        <v>-</v>
      </c>
      <c r="Z422" s="29" t="str">
        <f t="shared" si="177"/>
        <v>-</v>
      </c>
      <c r="AA422" s="31" t="str">
        <f t="shared" si="178"/>
        <v>-</v>
      </c>
      <c r="AD422" s="12" t="str">
        <f t="shared" si="192"/>
        <v>-</v>
      </c>
      <c r="AE422" s="8" t="str">
        <f t="shared" si="193"/>
        <v>-</v>
      </c>
      <c r="AF422" s="8" t="str">
        <f>IF($AD422&lt;=$C$25*12,$AE422-$C$7+SUM('Mortgage Calculators (By Month)'!$K$23:$K440),"-")</f>
        <v>-</v>
      </c>
      <c r="AG422" s="8" t="str">
        <f t="shared" si="179"/>
        <v>-</v>
      </c>
      <c r="AH422" s="8" t="str">
        <f>IF($AD422&lt;=$C$25*12,SUM(Inputs!$C$61:$C$78)*'Forecast (By Month)'!AG422,"-")</f>
        <v>-</v>
      </c>
      <c r="AI422" s="8" t="str">
        <f>IF($AD422&lt;=$C$25*12,(SUMIF(Inputs!$C$61:$C$78,0,Inputs!$F$61:$F$78)/12)*(1+$C$34)^ROUNDDOWN((AD422-1)/12,0),"-")</f>
        <v>-</v>
      </c>
      <c r="AJ422" s="8" t="str">
        <f t="shared" si="180"/>
        <v>-</v>
      </c>
      <c r="AK422" s="8" t="str">
        <f>IF($AD422&lt;=$C$25*12,'Mortgage Calculators (By Month)'!$J440,"-")</f>
        <v>-</v>
      </c>
      <c r="AL422" s="8" t="str">
        <f>IF($AD422&lt;=$C$25*12,'Mortgage Calculators (By Month)'!$K440,"-")</f>
        <v>-</v>
      </c>
      <c r="AM422" s="8" t="str">
        <f>IF($AD422&lt;=$C$25*12,'Mortgage Calculators (By Month)'!$L440,"-")</f>
        <v>-</v>
      </c>
      <c r="AN422" s="8" t="str">
        <f t="shared" si="195"/>
        <v>-</v>
      </c>
      <c r="AO422" s="8" t="str">
        <f t="shared" si="181"/>
        <v>-</v>
      </c>
      <c r="AP422" s="8" t="str">
        <f t="shared" si="182"/>
        <v>-</v>
      </c>
      <c r="AQ422" s="8" t="str">
        <f t="shared" si="183"/>
        <v>-</v>
      </c>
      <c r="AR422" s="8" t="str">
        <f t="shared" si="184"/>
        <v>-</v>
      </c>
      <c r="AS422" s="8" t="str">
        <f>IF($AD422&lt;=$C$25*12,SUM(AR$5:AR422),"-")</f>
        <v>-</v>
      </c>
      <c r="AT422" s="8" t="str">
        <f>IF($AD422&lt;=$C$25*12,AE422-$C$10-'RE Calculations'!$C609-'Mortgage Calculators (By Month)'!$M440,"-")</f>
        <v>-</v>
      </c>
      <c r="AU422" s="29" t="str">
        <f t="shared" si="185"/>
        <v>-</v>
      </c>
      <c r="AV422" s="31" t="str">
        <f t="shared" si="186"/>
        <v>-</v>
      </c>
      <c r="AW422" s="8" t="str">
        <f t="shared" si="187"/>
        <v>-</v>
      </c>
      <c r="AX422" s="29" t="str">
        <f t="shared" si="188"/>
        <v>-</v>
      </c>
      <c r="AY422" s="31" t="str">
        <f t="shared" si="189"/>
        <v>-</v>
      </c>
    </row>
    <row r="423" spans="6:51" x14ac:dyDescent="0.35">
      <c r="F423" s="12" t="str">
        <f t="shared" si="190"/>
        <v>-</v>
      </c>
      <c r="G423" s="8" t="str">
        <f t="shared" si="191"/>
        <v>-</v>
      </c>
      <c r="H423" s="8" t="str">
        <f>IF($F423&lt;=$C$16*12,$G423-$C$7+SUM('Mortgage Calculators (By Month)'!$D$23:$D441),"-")</f>
        <v>-</v>
      </c>
      <c r="I423" s="8" t="str">
        <f t="shared" si="168"/>
        <v>-</v>
      </c>
      <c r="J423" s="8" t="str">
        <f>IF($F423&lt;=$C$16*12,SUM(Inputs!$C$61:$C$78)*'Forecast (By Month)'!I423,"-")</f>
        <v>-</v>
      </c>
      <c r="K423" s="8" t="str">
        <f>IF($F423&lt;=$C$16*12,(SUMIF(Inputs!$C$61:$C$78,0,Inputs!$F$61:$F$78)/12)*(1+$C$34)^ROUNDDOWN((F423-1)/12,0),"-")</f>
        <v>-</v>
      </c>
      <c r="L423" s="8" t="str">
        <f t="shared" si="169"/>
        <v>-</v>
      </c>
      <c r="M423" s="8" t="str">
        <f>IF($F423&lt;=$C$16*12,'Mortgage Calculators (By Month)'!$C441,"-")</f>
        <v>-</v>
      </c>
      <c r="N423" s="8" t="str">
        <f>IF($F423&lt;=$C$16*12,'Mortgage Calculators (By Month)'!$D441,"-")</f>
        <v>-</v>
      </c>
      <c r="O423" s="8" t="str">
        <f>IF($F423&lt;=$C$16*12,'Mortgage Calculators (By Month)'!$E441,"-")</f>
        <v>-</v>
      </c>
      <c r="P423" s="8" t="str">
        <f t="shared" si="194"/>
        <v>-</v>
      </c>
      <c r="Q423" s="8" t="str">
        <f t="shared" si="170"/>
        <v>-</v>
      </c>
      <c r="R423" s="8" t="str">
        <f t="shared" si="171"/>
        <v>-</v>
      </c>
      <c r="S423" s="8" t="str">
        <f t="shared" si="172"/>
        <v>-</v>
      </c>
      <c r="T423" s="8" t="str">
        <f t="shared" si="173"/>
        <v>-</v>
      </c>
      <c r="U423" s="8" t="str">
        <f>IF($F423&lt;=$C$16*12,SUM(T$5:T423),"-")</f>
        <v>-</v>
      </c>
      <c r="V423" s="8" t="str">
        <f>IF($F423&lt;=$C$16*12,G423-$C$10-'RE Calculations'!$C610-'Mortgage Calculators (By Month)'!$F441,"-")</f>
        <v>-</v>
      </c>
      <c r="W423" s="29" t="str">
        <f t="shared" si="174"/>
        <v>-</v>
      </c>
      <c r="X423" s="31" t="str">
        <f t="shared" si="175"/>
        <v>-</v>
      </c>
      <c r="Y423" s="8" t="str">
        <f t="shared" si="176"/>
        <v>-</v>
      </c>
      <c r="Z423" s="29" t="str">
        <f t="shared" si="177"/>
        <v>-</v>
      </c>
      <c r="AA423" s="31" t="str">
        <f t="shared" si="178"/>
        <v>-</v>
      </c>
      <c r="AD423" s="12" t="str">
        <f t="shared" si="192"/>
        <v>-</v>
      </c>
      <c r="AE423" s="8" t="str">
        <f t="shared" si="193"/>
        <v>-</v>
      </c>
      <c r="AF423" s="8" t="str">
        <f>IF($AD423&lt;=$C$25*12,$AE423-$C$7+SUM('Mortgage Calculators (By Month)'!$K$23:$K441),"-")</f>
        <v>-</v>
      </c>
      <c r="AG423" s="8" t="str">
        <f t="shared" si="179"/>
        <v>-</v>
      </c>
      <c r="AH423" s="8" t="str">
        <f>IF($AD423&lt;=$C$25*12,SUM(Inputs!$C$61:$C$78)*'Forecast (By Month)'!AG423,"-")</f>
        <v>-</v>
      </c>
      <c r="AI423" s="8" t="str">
        <f>IF($AD423&lt;=$C$25*12,(SUMIF(Inputs!$C$61:$C$78,0,Inputs!$F$61:$F$78)/12)*(1+$C$34)^ROUNDDOWN((AD423-1)/12,0),"-")</f>
        <v>-</v>
      </c>
      <c r="AJ423" s="8" t="str">
        <f t="shared" si="180"/>
        <v>-</v>
      </c>
      <c r="AK423" s="8" t="str">
        <f>IF($AD423&lt;=$C$25*12,'Mortgage Calculators (By Month)'!$J441,"-")</f>
        <v>-</v>
      </c>
      <c r="AL423" s="8" t="str">
        <f>IF($AD423&lt;=$C$25*12,'Mortgage Calculators (By Month)'!$K441,"-")</f>
        <v>-</v>
      </c>
      <c r="AM423" s="8" t="str">
        <f>IF($AD423&lt;=$C$25*12,'Mortgage Calculators (By Month)'!$L441,"-")</f>
        <v>-</v>
      </c>
      <c r="AN423" s="8" t="str">
        <f t="shared" si="195"/>
        <v>-</v>
      </c>
      <c r="AO423" s="8" t="str">
        <f t="shared" si="181"/>
        <v>-</v>
      </c>
      <c r="AP423" s="8" t="str">
        <f t="shared" si="182"/>
        <v>-</v>
      </c>
      <c r="AQ423" s="8" t="str">
        <f t="shared" si="183"/>
        <v>-</v>
      </c>
      <c r="AR423" s="8" t="str">
        <f t="shared" si="184"/>
        <v>-</v>
      </c>
      <c r="AS423" s="8" t="str">
        <f>IF($AD423&lt;=$C$25*12,SUM(AR$5:AR423),"-")</f>
        <v>-</v>
      </c>
      <c r="AT423" s="8" t="str">
        <f>IF($AD423&lt;=$C$25*12,AE423-$C$10-'RE Calculations'!$C610-'Mortgage Calculators (By Month)'!$M441,"-")</f>
        <v>-</v>
      </c>
      <c r="AU423" s="29" t="str">
        <f t="shared" si="185"/>
        <v>-</v>
      </c>
      <c r="AV423" s="31" t="str">
        <f t="shared" si="186"/>
        <v>-</v>
      </c>
      <c r="AW423" s="8" t="str">
        <f t="shared" si="187"/>
        <v>-</v>
      </c>
      <c r="AX423" s="29" t="str">
        <f t="shared" si="188"/>
        <v>-</v>
      </c>
      <c r="AY423" s="31" t="str">
        <f t="shared" si="189"/>
        <v>-</v>
      </c>
    </row>
    <row r="424" spans="6:51" x14ac:dyDescent="0.35">
      <c r="F424" s="12" t="str">
        <f t="shared" si="190"/>
        <v>-</v>
      </c>
      <c r="G424" s="8" t="str">
        <f t="shared" si="191"/>
        <v>-</v>
      </c>
      <c r="H424" s="8" t="str">
        <f>IF($F424&lt;=$C$16*12,$G424-$C$7+SUM('Mortgage Calculators (By Month)'!$D$23:$D442),"-")</f>
        <v>-</v>
      </c>
      <c r="I424" s="8" t="str">
        <f t="shared" si="168"/>
        <v>-</v>
      </c>
      <c r="J424" s="8" t="str">
        <f>IF($F424&lt;=$C$16*12,SUM(Inputs!$C$61:$C$78)*'Forecast (By Month)'!I424,"-")</f>
        <v>-</v>
      </c>
      <c r="K424" s="8" t="str">
        <f>IF($F424&lt;=$C$16*12,(SUMIF(Inputs!$C$61:$C$78,0,Inputs!$F$61:$F$78)/12)*(1+$C$34)^ROUNDDOWN((F424-1)/12,0),"-")</f>
        <v>-</v>
      </c>
      <c r="L424" s="8" t="str">
        <f t="shared" si="169"/>
        <v>-</v>
      </c>
      <c r="M424" s="8" t="str">
        <f>IF($F424&lt;=$C$16*12,'Mortgage Calculators (By Month)'!$C442,"-")</f>
        <v>-</v>
      </c>
      <c r="N424" s="8" t="str">
        <f>IF($F424&lt;=$C$16*12,'Mortgage Calculators (By Month)'!$D442,"-")</f>
        <v>-</v>
      </c>
      <c r="O424" s="8" t="str">
        <f>IF($F424&lt;=$C$16*12,'Mortgage Calculators (By Month)'!$E442,"-")</f>
        <v>-</v>
      </c>
      <c r="P424" s="8" t="str">
        <f t="shared" si="194"/>
        <v>-</v>
      </c>
      <c r="Q424" s="8" t="str">
        <f t="shared" si="170"/>
        <v>-</v>
      </c>
      <c r="R424" s="8" t="str">
        <f t="shared" si="171"/>
        <v>-</v>
      </c>
      <c r="S424" s="8" t="str">
        <f t="shared" si="172"/>
        <v>-</v>
      </c>
      <c r="T424" s="8" t="str">
        <f t="shared" si="173"/>
        <v>-</v>
      </c>
      <c r="U424" s="8" t="str">
        <f>IF($F424&lt;=$C$16*12,SUM(T$5:T424),"-")</f>
        <v>-</v>
      </c>
      <c r="V424" s="8" t="str">
        <f>IF($F424&lt;=$C$16*12,G424-$C$10-'RE Calculations'!$C611-'Mortgage Calculators (By Month)'!$F442,"-")</f>
        <v>-</v>
      </c>
      <c r="W424" s="29" t="str">
        <f t="shared" si="174"/>
        <v>-</v>
      </c>
      <c r="X424" s="31" t="str">
        <f t="shared" si="175"/>
        <v>-</v>
      </c>
      <c r="Y424" s="8" t="str">
        <f t="shared" si="176"/>
        <v>-</v>
      </c>
      <c r="Z424" s="29" t="str">
        <f t="shared" si="177"/>
        <v>-</v>
      </c>
      <c r="AA424" s="31" t="str">
        <f t="shared" si="178"/>
        <v>-</v>
      </c>
      <c r="AD424" s="12" t="str">
        <f t="shared" si="192"/>
        <v>-</v>
      </c>
      <c r="AE424" s="8" t="str">
        <f t="shared" si="193"/>
        <v>-</v>
      </c>
      <c r="AF424" s="8" t="str">
        <f>IF($AD424&lt;=$C$25*12,$AE424-$C$7+SUM('Mortgage Calculators (By Month)'!$K$23:$K442),"-")</f>
        <v>-</v>
      </c>
      <c r="AG424" s="8" t="str">
        <f t="shared" si="179"/>
        <v>-</v>
      </c>
      <c r="AH424" s="8" t="str">
        <f>IF($AD424&lt;=$C$25*12,SUM(Inputs!$C$61:$C$78)*'Forecast (By Month)'!AG424,"-")</f>
        <v>-</v>
      </c>
      <c r="AI424" s="8" t="str">
        <f>IF($AD424&lt;=$C$25*12,(SUMIF(Inputs!$C$61:$C$78,0,Inputs!$F$61:$F$78)/12)*(1+$C$34)^ROUNDDOWN((AD424-1)/12,0),"-")</f>
        <v>-</v>
      </c>
      <c r="AJ424" s="8" t="str">
        <f t="shared" si="180"/>
        <v>-</v>
      </c>
      <c r="AK424" s="8" t="str">
        <f>IF($AD424&lt;=$C$25*12,'Mortgage Calculators (By Month)'!$J442,"-")</f>
        <v>-</v>
      </c>
      <c r="AL424" s="8" t="str">
        <f>IF($AD424&lt;=$C$25*12,'Mortgage Calculators (By Month)'!$K442,"-")</f>
        <v>-</v>
      </c>
      <c r="AM424" s="8" t="str">
        <f>IF($AD424&lt;=$C$25*12,'Mortgage Calculators (By Month)'!$L442,"-")</f>
        <v>-</v>
      </c>
      <c r="AN424" s="8" t="str">
        <f t="shared" si="195"/>
        <v>-</v>
      </c>
      <c r="AO424" s="8" t="str">
        <f t="shared" si="181"/>
        <v>-</v>
      </c>
      <c r="AP424" s="8" t="str">
        <f t="shared" si="182"/>
        <v>-</v>
      </c>
      <c r="AQ424" s="8" t="str">
        <f t="shared" si="183"/>
        <v>-</v>
      </c>
      <c r="AR424" s="8" t="str">
        <f t="shared" si="184"/>
        <v>-</v>
      </c>
      <c r="AS424" s="8" t="str">
        <f>IF($AD424&lt;=$C$25*12,SUM(AR$5:AR424),"-")</f>
        <v>-</v>
      </c>
      <c r="AT424" s="8" t="str">
        <f>IF($AD424&lt;=$C$25*12,AE424-$C$10-'RE Calculations'!$C611-'Mortgage Calculators (By Month)'!$M442,"-")</f>
        <v>-</v>
      </c>
      <c r="AU424" s="29" t="str">
        <f t="shared" si="185"/>
        <v>-</v>
      </c>
      <c r="AV424" s="31" t="str">
        <f t="shared" si="186"/>
        <v>-</v>
      </c>
      <c r="AW424" s="8" t="str">
        <f t="shared" si="187"/>
        <v>-</v>
      </c>
      <c r="AX424" s="29" t="str">
        <f t="shared" si="188"/>
        <v>-</v>
      </c>
      <c r="AY424" s="31" t="str">
        <f t="shared" si="189"/>
        <v>-</v>
      </c>
    </row>
    <row r="425" spans="6:51" x14ac:dyDescent="0.35">
      <c r="F425" s="12" t="str">
        <f t="shared" si="190"/>
        <v>-</v>
      </c>
      <c r="G425" s="8" t="str">
        <f t="shared" si="191"/>
        <v>-</v>
      </c>
      <c r="H425" s="8" t="str">
        <f>IF($F425&lt;=$C$16*12,$G425-$C$7+SUM('Mortgage Calculators (By Month)'!$D$23:$D443),"-")</f>
        <v>-</v>
      </c>
      <c r="I425" s="8" t="str">
        <f t="shared" si="168"/>
        <v>-</v>
      </c>
      <c r="J425" s="8" t="str">
        <f>IF($F425&lt;=$C$16*12,SUM(Inputs!$C$61:$C$78)*'Forecast (By Month)'!I425,"-")</f>
        <v>-</v>
      </c>
      <c r="K425" s="8" t="str">
        <f>IF($F425&lt;=$C$16*12,(SUMIF(Inputs!$C$61:$C$78,0,Inputs!$F$61:$F$78)/12)*(1+$C$34)^ROUNDDOWN((F425-1)/12,0),"-")</f>
        <v>-</v>
      </c>
      <c r="L425" s="8" t="str">
        <f t="shared" si="169"/>
        <v>-</v>
      </c>
      <c r="M425" s="8" t="str">
        <f>IF($F425&lt;=$C$16*12,'Mortgage Calculators (By Month)'!$C443,"-")</f>
        <v>-</v>
      </c>
      <c r="N425" s="8" t="str">
        <f>IF($F425&lt;=$C$16*12,'Mortgage Calculators (By Month)'!$D443,"-")</f>
        <v>-</v>
      </c>
      <c r="O425" s="8" t="str">
        <f>IF($F425&lt;=$C$16*12,'Mortgage Calculators (By Month)'!$E443,"-")</f>
        <v>-</v>
      </c>
      <c r="P425" s="8" t="str">
        <f t="shared" si="194"/>
        <v>-</v>
      </c>
      <c r="Q425" s="8" t="str">
        <f t="shared" si="170"/>
        <v>-</v>
      </c>
      <c r="R425" s="8" t="str">
        <f t="shared" si="171"/>
        <v>-</v>
      </c>
      <c r="S425" s="8" t="str">
        <f t="shared" si="172"/>
        <v>-</v>
      </c>
      <c r="T425" s="8" t="str">
        <f t="shared" si="173"/>
        <v>-</v>
      </c>
      <c r="U425" s="8" t="str">
        <f>IF($F425&lt;=$C$16*12,SUM(T$5:T425),"-")</f>
        <v>-</v>
      </c>
      <c r="V425" s="8" t="str">
        <f>IF($F425&lt;=$C$16*12,G425-$C$10-'RE Calculations'!$C612-'Mortgage Calculators (By Month)'!$F443,"-")</f>
        <v>-</v>
      </c>
      <c r="W425" s="29" t="str">
        <f t="shared" si="174"/>
        <v>-</v>
      </c>
      <c r="X425" s="31" t="str">
        <f t="shared" si="175"/>
        <v>-</v>
      </c>
      <c r="Y425" s="8" t="str">
        <f t="shared" si="176"/>
        <v>-</v>
      </c>
      <c r="Z425" s="29" t="str">
        <f t="shared" si="177"/>
        <v>-</v>
      </c>
      <c r="AA425" s="31" t="str">
        <f t="shared" si="178"/>
        <v>-</v>
      </c>
      <c r="AD425" s="12" t="str">
        <f t="shared" si="192"/>
        <v>-</v>
      </c>
      <c r="AE425" s="8" t="str">
        <f t="shared" si="193"/>
        <v>-</v>
      </c>
      <c r="AF425" s="8" t="str">
        <f>IF($AD425&lt;=$C$25*12,$AE425-$C$7+SUM('Mortgage Calculators (By Month)'!$K$23:$K443),"-")</f>
        <v>-</v>
      </c>
      <c r="AG425" s="8" t="str">
        <f t="shared" si="179"/>
        <v>-</v>
      </c>
      <c r="AH425" s="8" t="str">
        <f>IF($AD425&lt;=$C$25*12,SUM(Inputs!$C$61:$C$78)*'Forecast (By Month)'!AG425,"-")</f>
        <v>-</v>
      </c>
      <c r="AI425" s="8" t="str">
        <f>IF($AD425&lt;=$C$25*12,(SUMIF(Inputs!$C$61:$C$78,0,Inputs!$F$61:$F$78)/12)*(1+$C$34)^ROUNDDOWN((AD425-1)/12,0),"-")</f>
        <v>-</v>
      </c>
      <c r="AJ425" s="8" t="str">
        <f t="shared" si="180"/>
        <v>-</v>
      </c>
      <c r="AK425" s="8" t="str">
        <f>IF($AD425&lt;=$C$25*12,'Mortgage Calculators (By Month)'!$J443,"-")</f>
        <v>-</v>
      </c>
      <c r="AL425" s="8" t="str">
        <f>IF($AD425&lt;=$C$25*12,'Mortgage Calculators (By Month)'!$K443,"-")</f>
        <v>-</v>
      </c>
      <c r="AM425" s="8" t="str">
        <f>IF($AD425&lt;=$C$25*12,'Mortgage Calculators (By Month)'!$L443,"-")</f>
        <v>-</v>
      </c>
      <c r="AN425" s="8" t="str">
        <f t="shared" si="195"/>
        <v>-</v>
      </c>
      <c r="AO425" s="8" t="str">
        <f t="shared" si="181"/>
        <v>-</v>
      </c>
      <c r="AP425" s="8" t="str">
        <f t="shared" si="182"/>
        <v>-</v>
      </c>
      <c r="AQ425" s="8" t="str">
        <f t="shared" si="183"/>
        <v>-</v>
      </c>
      <c r="AR425" s="8" t="str">
        <f t="shared" si="184"/>
        <v>-</v>
      </c>
      <c r="AS425" s="8" t="str">
        <f>IF($AD425&lt;=$C$25*12,SUM(AR$5:AR425),"-")</f>
        <v>-</v>
      </c>
      <c r="AT425" s="8" t="str">
        <f>IF($AD425&lt;=$C$25*12,AE425-$C$10-'RE Calculations'!$C612-'Mortgage Calculators (By Month)'!$M443,"-")</f>
        <v>-</v>
      </c>
      <c r="AU425" s="29" t="str">
        <f t="shared" si="185"/>
        <v>-</v>
      </c>
      <c r="AV425" s="31" t="str">
        <f t="shared" si="186"/>
        <v>-</v>
      </c>
      <c r="AW425" s="8" t="str">
        <f t="shared" si="187"/>
        <v>-</v>
      </c>
      <c r="AX425" s="29" t="str">
        <f t="shared" si="188"/>
        <v>-</v>
      </c>
      <c r="AY425" s="31" t="str">
        <f t="shared" si="189"/>
        <v>-</v>
      </c>
    </row>
    <row r="426" spans="6:51" x14ac:dyDescent="0.35">
      <c r="F426" s="12" t="str">
        <f t="shared" si="190"/>
        <v>-</v>
      </c>
      <c r="G426" s="8" t="str">
        <f t="shared" si="191"/>
        <v>-</v>
      </c>
      <c r="H426" s="8" t="str">
        <f>IF($F426&lt;=$C$16*12,$G426-$C$7+SUM('Mortgage Calculators (By Month)'!$D$23:$D444),"-")</f>
        <v>-</v>
      </c>
      <c r="I426" s="8" t="str">
        <f t="shared" si="168"/>
        <v>-</v>
      </c>
      <c r="J426" s="8" t="str">
        <f>IF($F426&lt;=$C$16*12,SUM(Inputs!$C$61:$C$78)*'Forecast (By Month)'!I426,"-")</f>
        <v>-</v>
      </c>
      <c r="K426" s="8" t="str">
        <f>IF($F426&lt;=$C$16*12,(SUMIF(Inputs!$C$61:$C$78,0,Inputs!$F$61:$F$78)/12)*(1+$C$34)^ROUNDDOWN((F426-1)/12,0),"-")</f>
        <v>-</v>
      </c>
      <c r="L426" s="8" t="str">
        <f t="shared" si="169"/>
        <v>-</v>
      </c>
      <c r="M426" s="8" t="str">
        <f>IF($F426&lt;=$C$16*12,'Mortgage Calculators (By Month)'!$C444,"-")</f>
        <v>-</v>
      </c>
      <c r="N426" s="8" t="str">
        <f>IF($F426&lt;=$C$16*12,'Mortgage Calculators (By Month)'!$D444,"-")</f>
        <v>-</v>
      </c>
      <c r="O426" s="8" t="str">
        <f>IF($F426&lt;=$C$16*12,'Mortgage Calculators (By Month)'!$E444,"-")</f>
        <v>-</v>
      </c>
      <c r="P426" s="8" t="str">
        <f t="shared" si="194"/>
        <v>-</v>
      </c>
      <c r="Q426" s="8" t="str">
        <f t="shared" si="170"/>
        <v>-</v>
      </c>
      <c r="R426" s="8" t="str">
        <f t="shared" si="171"/>
        <v>-</v>
      </c>
      <c r="S426" s="8" t="str">
        <f t="shared" si="172"/>
        <v>-</v>
      </c>
      <c r="T426" s="8" t="str">
        <f t="shared" si="173"/>
        <v>-</v>
      </c>
      <c r="U426" s="8" t="str">
        <f>IF($F426&lt;=$C$16*12,SUM(T$5:T426),"-")</f>
        <v>-</v>
      </c>
      <c r="V426" s="8" t="str">
        <f>IF($F426&lt;=$C$16*12,G426-$C$10-'RE Calculations'!$C613-'Mortgage Calculators (By Month)'!$F444,"-")</f>
        <v>-</v>
      </c>
      <c r="W426" s="29" t="str">
        <f t="shared" si="174"/>
        <v>-</v>
      </c>
      <c r="X426" s="31" t="str">
        <f t="shared" si="175"/>
        <v>-</v>
      </c>
      <c r="Y426" s="8" t="str">
        <f t="shared" si="176"/>
        <v>-</v>
      </c>
      <c r="Z426" s="29" t="str">
        <f t="shared" si="177"/>
        <v>-</v>
      </c>
      <c r="AA426" s="31" t="str">
        <f t="shared" si="178"/>
        <v>-</v>
      </c>
      <c r="AD426" s="12" t="str">
        <f t="shared" si="192"/>
        <v>-</v>
      </c>
      <c r="AE426" s="8" t="str">
        <f t="shared" si="193"/>
        <v>-</v>
      </c>
      <c r="AF426" s="8" t="str">
        <f>IF($AD426&lt;=$C$25*12,$AE426-$C$7+SUM('Mortgage Calculators (By Month)'!$K$23:$K444),"-")</f>
        <v>-</v>
      </c>
      <c r="AG426" s="8" t="str">
        <f t="shared" si="179"/>
        <v>-</v>
      </c>
      <c r="AH426" s="8" t="str">
        <f>IF($AD426&lt;=$C$25*12,SUM(Inputs!$C$61:$C$78)*'Forecast (By Month)'!AG426,"-")</f>
        <v>-</v>
      </c>
      <c r="AI426" s="8" t="str">
        <f>IF($AD426&lt;=$C$25*12,(SUMIF(Inputs!$C$61:$C$78,0,Inputs!$F$61:$F$78)/12)*(1+$C$34)^ROUNDDOWN((AD426-1)/12,0),"-")</f>
        <v>-</v>
      </c>
      <c r="AJ426" s="8" t="str">
        <f t="shared" si="180"/>
        <v>-</v>
      </c>
      <c r="AK426" s="8" t="str">
        <f>IF($AD426&lt;=$C$25*12,'Mortgage Calculators (By Month)'!$J444,"-")</f>
        <v>-</v>
      </c>
      <c r="AL426" s="8" t="str">
        <f>IF($AD426&lt;=$C$25*12,'Mortgage Calculators (By Month)'!$K444,"-")</f>
        <v>-</v>
      </c>
      <c r="AM426" s="8" t="str">
        <f>IF($AD426&lt;=$C$25*12,'Mortgage Calculators (By Month)'!$L444,"-")</f>
        <v>-</v>
      </c>
      <c r="AN426" s="8" t="str">
        <f t="shared" si="195"/>
        <v>-</v>
      </c>
      <c r="AO426" s="8" t="str">
        <f t="shared" si="181"/>
        <v>-</v>
      </c>
      <c r="AP426" s="8" t="str">
        <f t="shared" si="182"/>
        <v>-</v>
      </c>
      <c r="AQ426" s="8" t="str">
        <f t="shared" si="183"/>
        <v>-</v>
      </c>
      <c r="AR426" s="8" t="str">
        <f t="shared" si="184"/>
        <v>-</v>
      </c>
      <c r="AS426" s="8" t="str">
        <f>IF($AD426&lt;=$C$25*12,SUM(AR$5:AR426),"-")</f>
        <v>-</v>
      </c>
      <c r="AT426" s="8" t="str">
        <f>IF($AD426&lt;=$C$25*12,AE426-$C$10-'RE Calculations'!$C613-'Mortgage Calculators (By Month)'!$M444,"-")</f>
        <v>-</v>
      </c>
      <c r="AU426" s="29" t="str">
        <f t="shared" si="185"/>
        <v>-</v>
      </c>
      <c r="AV426" s="31" t="str">
        <f t="shared" si="186"/>
        <v>-</v>
      </c>
      <c r="AW426" s="8" t="str">
        <f t="shared" si="187"/>
        <v>-</v>
      </c>
      <c r="AX426" s="29" t="str">
        <f t="shared" si="188"/>
        <v>-</v>
      </c>
      <c r="AY426" s="31" t="str">
        <f t="shared" si="189"/>
        <v>-</v>
      </c>
    </row>
    <row r="427" spans="6:51" x14ac:dyDescent="0.35">
      <c r="F427" s="12" t="str">
        <f t="shared" si="190"/>
        <v>-</v>
      </c>
      <c r="G427" s="8" t="str">
        <f t="shared" si="191"/>
        <v>-</v>
      </c>
      <c r="H427" s="8" t="str">
        <f>IF($F427&lt;=$C$16*12,$G427-$C$7+SUM('Mortgage Calculators (By Month)'!$D$23:$D445),"-")</f>
        <v>-</v>
      </c>
      <c r="I427" s="8" t="str">
        <f t="shared" si="168"/>
        <v>-</v>
      </c>
      <c r="J427" s="8" t="str">
        <f>IF($F427&lt;=$C$16*12,SUM(Inputs!$C$61:$C$78)*'Forecast (By Month)'!I427,"-")</f>
        <v>-</v>
      </c>
      <c r="K427" s="8" t="str">
        <f>IF($F427&lt;=$C$16*12,(SUMIF(Inputs!$C$61:$C$78,0,Inputs!$F$61:$F$78)/12)*(1+$C$34)^ROUNDDOWN((F427-1)/12,0),"-")</f>
        <v>-</v>
      </c>
      <c r="L427" s="8" t="str">
        <f t="shared" si="169"/>
        <v>-</v>
      </c>
      <c r="M427" s="8" t="str">
        <f>IF($F427&lt;=$C$16*12,'Mortgage Calculators (By Month)'!$C445,"-")</f>
        <v>-</v>
      </c>
      <c r="N427" s="8" t="str">
        <f>IF($F427&lt;=$C$16*12,'Mortgage Calculators (By Month)'!$D445,"-")</f>
        <v>-</v>
      </c>
      <c r="O427" s="8" t="str">
        <f>IF($F427&lt;=$C$16*12,'Mortgage Calculators (By Month)'!$E445,"-")</f>
        <v>-</v>
      </c>
      <c r="P427" s="8" t="str">
        <f t="shared" si="194"/>
        <v>-</v>
      </c>
      <c r="Q427" s="8" t="str">
        <f t="shared" si="170"/>
        <v>-</v>
      </c>
      <c r="R427" s="8" t="str">
        <f t="shared" si="171"/>
        <v>-</v>
      </c>
      <c r="S427" s="8" t="str">
        <f t="shared" si="172"/>
        <v>-</v>
      </c>
      <c r="T427" s="8" t="str">
        <f t="shared" si="173"/>
        <v>-</v>
      </c>
      <c r="U427" s="8" t="str">
        <f>IF($F427&lt;=$C$16*12,SUM(T$5:T427),"-")</f>
        <v>-</v>
      </c>
      <c r="V427" s="8" t="str">
        <f>IF($F427&lt;=$C$16*12,G427-$C$10-'RE Calculations'!$C614-'Mortgage Calculators (By Month)'!$F445,"-")</f>
        <v>-</v>
      </c>
      <c r="W427" s="29" t="str">
        <f t="shared" si="174"/>
        <v>-</v>
      </c>
      <c r="X427" s="31" t="str">
        <f t="shared" si="175"/>
        <v>-</v>
      </c>
      <c r="Y427" s="8" t="str">
        <f t="shared" si="176"/>
        <v>-</v>
      </c>
      <c r="Z427" s="29" t="str">
        <f t="shared" si="177"/>
        <v>-</v>
      </c>
      <c r="AA427" s="31" t="str">
        <f t="shared" si="178"/>
        <v>-</v>
      </c>
      <c r="AD427" s="12" t="str">
        <f t="shared" si="192"/>
        <v>-</v>
      </c>
      <c r="AE427" s="8" t="str">
        <f t="shared" si="193"/>
        <v>-</v>
      </c>
      <c r="AF427" s="8" t="str">
        <f>IF($AD427&lt;=$C$25*12,$AE427-$C$7+SUM('Mortgage Calculators (By Month)'!$K$23:$K445),"-")</f>
        <v>-</v>
      </c>
      <c r="AG427" s="8" t="str">
        <f t="shared" si="179"/>
        <v>-</v>
      </c>
      <c r="AH427" s="8" t="str">
        <f>IF($AD427&lt;=$C$25*12,SUM(Inputs!$C$61:$C$78)*'Forecast (By Month)'!AG427,"-")</f>
        <v>-</v>
      </c>
      <c r="AI427" s="8" t="str">
        <f>IF($AD427&lt;=$C$25*12,(SUMIF(Inputs!$C$61:$C$78,0,Inputs!$F$61:$F$78)/12)*(1+$C$34)^ROUNDDOWN((AD427-1)/12,0),"-")</f>
        <v>-</v>
      </c>
      <c r="AJ427" s="8" t="str">
        <f t="shared" si="180"/>
        <v>-</v>
      </c>
      <c r="AK427" s="8" t="str">
        <f>IF($AD427&lt;=$C$25*12,'Mortgage Calculators (By Month)'!$J445,"-")</f>
        <v>-</v>
      </c>
      <c r="AL427" s="8" t="str">
        <f>IF($AD427&lt;=$C$25*12,'Mortgage Calculators (By Month)'!$K445,"-")</f>
        <v>-</v>
      </c>
      <c r="AM427" s="8" t="str">
        <f>IF($AD427&lt;=$C$25*12,'Mortgage Calculators (By Month)'!$L445,"-")</f>
        <v>-</v>
      </c>
      <c r="AN427" s="8" t="str">
        <f t="shared" si="195"/>
        <v>-</v>
      </c>
      <c r="AO427" s="8" t="str">
        <f t="shared" si="181"/>
        <v>-</v>
      </c>
      <c r="AP427" s="8" t="str">
        <f t="shared" si="182"/>
        <v>-</v>
      </c>
      <c r="AQ427" s="8" t="str">
        <f t="shared" si="183"/>
        <v>-</v>
      </c>
      <c r="AR427" s="8" t="str">
        <f t="shared" si="184"/>
        <v>-</v>
      </c>
      <c r="AS427" s="8" t="str">
        <f>IF($AD427&lt;=$C$25*12,SUM(AR$5:AR427),"-")</f>
        <v>-</v>
      </c>
      <c r="AT427" s="8" t="str">
        <f>IF($AD427&lt;=$C$25*12,AE427-$C$10-'RE Calculations'!$C614-'Mortgage Calculators (By Month)'!$M445,"-")</f>
        <v>-</v>
      </c>
      <c r="AU427" s="29" t="str">
        <f t="shared" si="185"/>
        <v>-</v>
      </c>
      <c r="AV427" s="31" t="str">
        <f t="shared" si="186"/>
        <v>-</v>
      </c>
      <c r="AW427" s="8" t="str">
        <f t="shared" si="187"/>
        <v>-</v>
      </c>
      <c r="AX427" s="29" t="str">
        <f t="shared" si="188"/>
        <v>-</v>
      </c>
      <c r="AY427" s="31" t="str">
        <f t="shared" si="189"/>
        <v>-</v>
      </c>
    </row>
    <row r="428" spans="6:51" x14ac:dyDescent="0.35">
      <c r="F428" s="12" t="str">
        <f t="shared" si="190"/>
        <v>-</v>
      </c>
      <c r="G428" s="8" t="str">
        <f t="shared" si="191"/>
        <v>-</v>
      </c>
      <c r="H428" s="8" t="str">
        <f>IF($F428&lt;=$C$16*12,$G428-$C$7+SUM('Mortgage Calculators (By Month)'!$D$23:$D446),"-")</f>
        <v>-</v>
      </c>
      <c r="I428" s="8" t="str">
        <f t="shared" si="168"/>
        <v>-</v>
      </c>
      <c r="J428" s="8" t="str">
        <f>IF($F428&lt;=$C$16*12,SUM(Inputs!$C$61:$C$78)*'Forecast (By Month)'!I428,"-")</f>
        <v>-</v>
      </c>
      <c r="K428" s="8" t="str">
        <f>IF($F428&lt;=$C$16*12,(SUMIF(Inputs!$C$61:$C$78,0,Inputs!$F$61:$F$78)/12)*(1+$C$34)^ROUNDDOWN((F428-1)/12,0),"-")</f>
        <v>-</v>
      </c>
      <c r="L428" s="8" t="str">
        <f t="shared" si="169"/>
        <v>-</v>
      </c>
      <c r="M428" s="8" t="str">
        <f>IF($F428&lt;=$C$16*12,'Mortgage Calculators (By Month)'!$C446,"-")</f>
        <v>-</v>
      </c>
      <c r="N428" s="8" t="str">
        <f>IF($F428&lt;=$C$16*12,'Mortgage Calculators (By Month)'!$D446,"-")</f>
        <v>-</v>
      </c>
      <c r="O428" s="8" t="str">
        <f>IF($F428&lt;=$C$16*12,'Mortgage Calculators (By Month)'!$E446,"-")</f>
        <v>-</v>
      </c>
      <c r="P428" s="8" t="str">
        <f t="shared" si="194"/>
        <v>-</v>
      </c>
      <c r="Q428" s="8" t="str">
        <f t="shared" si="170"/>
        <v>-</v>
      </c>
      <c r="R428" s="8" t="str">
        <f t="shared" si="171"/>
        <v>-</v>
      </c>
      <c r="S428" s="8" t="str">
        <f t="shared" si="172"/>
        <v>-</v>
      </c>
      <c r="T428" s="8" t="str">
        <f t="shared" si="173"/>
        <v>-</v>
      </c>
      <c r="U428" s="8" t="str">
        <f>IF($F428&lt;=$C$16*12,SUM(T$5:T428),"-")</f>
        <v>-</v>
      </c>
      <c r="V428" s="8" t="str">
        <f>IF($F428&lt;=$C$16*12,G428-$C$10-'RE Calculations'!$C615-'Mortgage Calculators (By Month)'!$F446,"-")</f>
        <v>-</v>
      </c>
      <c r="W428" s="29" t="str">
        <f t="shared" si="174"/>
        <v>-</v>
      </c>
      <c r="X428" s="31" t="str">
        <f t="shared" si="175"/>
        <v>-</v>
      </c>
      <c r="Y428" s="8" t="str">
        <f t="shared" si="176"/>
        <v>-</v>
      </c>
      <c r="Z428" s="29" t="str">
        <f t="shared" si="177"/>
        <v>-</v>
      </c>
      <c r="AA428" s="31" t="str">
        <f t="shared" si="178"/>
        <v>-</v>
      </c>
      <c r="AD428" s="12" t="str">
        <f t="shared" si="192"/>
        <v>-</v>
      </c>
      <c r="AE428" s="8" t="str">
        <f t="shared" si="193"/>
        <v>-</v>
      </c>
      <c r="AF428" s="8" t="str">
        <f>IF($AD428&lt;=$C$25*12,$AE428-$C$7+SUM('Mortgage Calculators (By Month)'!$K$23:$K446),"-")</f>
        <v>-</v>
      </c>
      <c r="AG428" s="8" t="str">
        <f t="shared" si="179"/>
        <v>-</v>
      </c>
      <c r="AH428" s="8" t="str">
        <f>IF($AD428&lt;=$C$25*12,SUM(Inputs!$C$61:$C$78)*'Forecast (By Month)'!AG428,"-")</f>
        <v>-</v>
      </c>
      <c r="AI428" s="8" t="str">
        <f>IF($AD428&lt;=$C$25*12,(SUMIF(Inputs!$C$61:$C$78,0,Inputs!$F$61:$F$78)/12)*(1+$C$34)^ROUNDDOWN((AD428-1)/12,0),"-")</f>
        <v>-</v>
      </c>
      <c r="AJ428" s="8" t="str">
        <f t="shared" si="180"/>
        <v>-</v>
      </c>
      <c r="AK428" s="8" t="str">
        <f>IF($AD428&lt;=$C$25*12,'Mortgage Calculators (By Month)'!$J446,"-")</f>
        <v>-</v>
      </c>
      <c r="AL428" s="8" t="str">
        <f>IF($AD428&lt;=$C$25*12,'Mortgage Calculators (By Month)'!$K446,"-")</f>
        <v>-</v>
      </c>
      <c r="AM428" s="8" t="str">
        <f>IF($AD428&lt;=$C$25*12,'Mortgage Calculators (By Month)'!$L446,"-")</f>
        <v>-</v>
      </c>
      <c r="AN428" s="8" t="str">
        <f t="shared" si="195"/>
        <v>-</v>
      </c>
      <c r="AO428" s="8" t="str">
        <f t="shared" si="181"/>
        <v>-</v>
      </c>
      <c r="AP428" s="8" t="str">
        <f t="shared" si="182"/>
        <v>-</v>
      </c>
      <c r="AQ428" s="8" t="str">
        <f t="shared" si="183"/>
        <v>-</v>
      </c>
      <c r="AR428" s="8" t="str">
        <f t="shared" si="184"/>
        <v>-</v>
      </c>
      <c r="AS428" s="8" t="str">
        <f>IF($AD428&lt;=$C$25*12,SUM(AR$5:AR428),"-")</f>
        <v>-</v>
      </c>
      <c r="AT428" s="8" t="str">
        <f>IF($AD428&lt;=$C$25*12,AE428-$C$10-'RE Calculations'!$C615-'Mortgage Calculators (By Month)'!$M446,"-")</f>
        <v>-</v>
      </c>
      <c r="AU428" s="29" t="str">
        <f t="shared" si="185"/>
        <v>-</v>
      </c>
      <c r="AV428" s="31" t="str">
        <f t="shared" si="186"/>
        <v>-</v>
      </c>
      <c r="AW428" s="8" t="str">
        <f t="shared" si="187"/>
        <v>-</v>
      </c>
      <c r="AX428" s="29" t="str">
        <f t="shared" si="188"/>
        <v>-</v>
      </c>
      <c r="AY428" s="31" t="str">
        <f t="shared" si="189"/>
        <v>-</v>
      </c>
    </row>
    <row r="429" spans="6:51" x14ac:dyDescent="0.35">
      <c r="F429" s="12" t="str">
        <f t="shared" si="190"/>
        <v>-</v>
      </c>
      <c r="G429" s="8" t="str">
        <f t="shared" si="191"/>
        <v>-</v>
      </c>
      <c r="H429" s="8" t="str">
        <f>IF($F429&lt;=$C$16*12,$G429-$C$7+SUM('Mortgage Calculators (By Month)'!$D$23:$D447),"-")</f>
        <v>-</v>
      </c>
      <c r="I429" s="8" t="str">
        <f t="shared" si="168"/>
        <v>-</v>
      </c>
      <c r="J429" s="8" t="str">
        <f>IF($F429&lt;=$C$16*12,SUM(Inputs!$C$61:$C$78)*'Forecast (By Month)'!I429,"-")</f>
        <v>-</v>
      </c>
      <c r="K429" s="8" t="str">
        <f>IF($F429&lt;=$C$16*12,(SUMIF(Inputs!$C$61:$C$78,0,Inputs!$F$61:$F$78)/12)*(1+$C$34)^ROUNDDOWN((F429-1)/12,0),"-")</f>
        <v>-</v>
      </c>
      <c r="L429" s="8" t="str">
        <f t="shared" si="169"/>
        <v>-</v>
      </c>
      <c r="M429" s="8" t="str">
        <f>IF($F429&lt;=$C$16*12,'Mortgage Calculators (By Month)'!$C447,"-")</f>
        <v>-</v>
      </c>
      <c r="N429" s="8" t="str">
        <f>IF($F429&lt;=$C$16*12,'Mortgage Calculators (By Month)'!$D447,"-")</f>
        <v>-</v>
      </c>
      <c r="O429" s="8" t="str">
        <f>IF($F429&lt;=$C$16*12,'Mortgage Calculators (By Month)'!$E447,"-")</f>
        <v>-</v>
      </c>
      <c r="P429" s="8" t="str">
        <f t="shared" si="194"/>
        <v>-</v>
      </c>
      <c r="Q429" s="8" t="str">
        <f t="shared" si="170"/>
        <v>-</v>
      </c>
      <c r="R429" s="8" t="str">
        <f t="shared" si="171"/>
        <v>-</v>
      </c>
      <c r="S429" s="8" t="str">
        <f t="shared" si="172"/>
        <v>-</v>
      </c>
      <c r="T429" s="8" t="str">
        <f t="shared" si="173"/>
        <v>-</v>
      </c>
      <c r="U429" s="8" t="str">
        <f>IF($F429&lt;=$C$16*12,SUM(T$5:T429),"-")</f>
        <v>-</v>
      </c>
      <c r="V429" s="8" t="str">
        <f>IF($F429&lt;=$C$16*12,G429-$C$10-'RE Calculations'!$C616-'Mortgage Calculators (By Month)'!$F447,"-")</f>
        <v>-</v>
      </c>
      <c r="W429" s="29" t="str">
        <f t="shared" si="174"/>
        <v>-</v>
      </c>
      <c r="X429" s="31" t="str">
        <f t="shared" si="175"/>
        <v>-</v>
      </c>
      <c r="Y429" s="8" t="str">
        <f t="shared" si="176"/>
        <v>-</v>
      </c>
      <c r="Z429" s="29" t="str">
        <f t="shared" si="177"/>
        <v>-</v>
      </c>
      <c r="AA429" s="31" t="str">
        <f t="shared" si="178"/>
        <v>-</v>
      </c>
      <c r="AD429" s="12" t="str">
        <f t="shared" si="192"/>
        <v>-</v>
      </c>
      <c r="AE429" s="8" t="str">
        <f t="shared" si="193"/>
        <v>-</v>
      </c>
      <c r="AF429" s="8" t="str">
        <f>IF($AD429&lt;=$C$25*12,$AE429-$C$7+SUM('Mortgage Calculators (By Month)'!$K$23:$K447),"-")</f>
        <v>-</v>
      </c>
      <c r="AG429" s="8" t="str">
        <f t="shared" si="179"/>
        <v>-</v>
      </c>
      <c r="AH429" s="8" t="str">
        <f>IF($AD429&lt;=$C$25*12,SUM(Inputs!$C$61:$C$78)*'Forecast (By Month)'!AG429,"-")</f>
        <v>-</v>
      </c>
      <c r="AI429" s="8" t="str">
        <f>IF($AD429&lt;=$C$25*12,(SUMIF(Inputs!$C$61:$C$78,0,Inputs!$F$61:$F$78)/12)*(1+$C$34)^ROUNDDOWN((AD429-1)/12,0),"-")</f>
        <v>-</v>
      </c>
      <c r="AJ429" s="8" t="str">
        <f t="shared" si="180"/>
        <v>-</v>
      </c>
      <c r="AK429" s="8" t="str">
        <f>IF($AD429&lt;=$C$25*12,'Mortgage Calculators (By Month)'!$J447,"-")</f>
        <v>-</v>
      </c>
      <c r="AL429" s="8" t="str">
        <f>IF($AD429&lt;=$C$25*12,'Mortgage Calculators (By Month)'!$K447,"-")</f>
        <v>-</v>
      </c>
      <c r="AM429" s="8" t="str">
        <f>IF($AD429&lt;=$C$25*12,'Mortgage Calculators (By Month)'!$L447,"-")</f>
        <v>-</v>
      </c>
      <c r="AN429" s="8" t="str">
        <f t="shared" si="195"/>
        <v>-</v>
      </c>
      <c r="AO429" s="8" t="str">
        <f t="shared" si="181"/>
        <v>-</v>
      </c>
      <c r="AP429" s="8" t="str">
        <f t="shared" si="182"/>
        <v>-</v>
      </c>
      <c r="AQ429" s="8" t="str">
        <f t="shared" si="183"/>
        <v>-</v>
      </c>
      <c r="AR429" s="8" t="str">
        <f t="shared" si="184"/>
        <v>-</v>
      </c>
      <c r="AS429" s="8" t="str">
        <f>IF($AD429&lt;=$C$25*12,SUM(AR$5:AR429),"-")</f>
        <v>-</v>
      </c>
      <c r="AT429" s="8" t="str">
        <f>IF($AD429&lt;=$C$25*12,AE429-$C$10-'RE Calculations'!$C616-'Mortgage Calculators (By Month)'!$M447,"-")</f>
        <v>-</v>
      </c>
      <c r="AU429" s="29" t="str">
        <f t="shared" si="185"/>
        <v>-</v>
      </c>
      <c r="AV429" s="31" t="str">
        <f t="shared" si="186"/>
        <v>-</v>
      </c>
      <c r="AW429" s="8" t="str">
        <f t="shared" si="187"/>
        <v>-</v>
      </c>
      <c r="AX429" s="29" t="str">
        <f t="shared" si="188"/>
        <v>-</v>
      </c>
      <c r="AY429" s="31" t="str">
        <f t="shared" si="189"/>
        <v>-</v>
      </c>
    </row>
    <row r="430" spans="6:51" x14ac:dyDescent="0.35">
      <c r="F430" s="12" t="str">
        <f t="shared" si="190"/>
        <v>-</v>
      </c>
      <c r="G430" s="8" t="str">
        <f t="shared" si="191"/>
        <v>-</v>
      </c>
      <c r="H430" s="8" t="str">
        <f>IF($F430&lt;=$C$16*12,$G430-$C$7+SUM('Mortgage Calculators (By Month)'!$D$23:$D448),"-")</f>
        <v>-</v>
      </c>
      <c r="I430" s="8" t="str">
        <f t="shared" ref="I430:I493" si="196">IF($F430&lt;=$C$16*12,$C$9*(1+$C$33)^ROUNDDOWN((F430-1)/12,0),"-")</f>
        <v>-</v>
      </c>
      <c r="J430" s="8" t="str">
        <f>IF($F430&lt;=$C$16*12,SUM(Inputs!$C$61:$C$78)*'Forecast (By Month)'!I430,"-")</f>
        <v>-</v>
      </c>
      <c r="K430" s="8" t="str">
        <f>IF($F430&lt;=$C$16*12,(SUMIF(Inputs!$C$61:$C$78,0,Inputs!$F$61:$F$78)/12)*(1+$C$34)^ROUNDDOWN((F430-1)/12,0),"-")</f>
        <v>-</v>
      </c>
      <c r="L430" s="8" t="str">
        <f t="shared" ref="L430:L493" si="197">IF($F430&lt;=$C$16*12,SUM(J430:K430),"-")</f>
        <v>-</v>
      </c>
      <c r="M430" s="8" t="str">
        <f>IF($F430&lt;=$C$16*12,'Mortgage Calculators (By Month)'!$C448,"-")</f>
        <v>-</v>
      </c>
      <c r="N430" s="8" t="str">
        <f>IF($F430&lt;=$C$16*12,'Mortgage Calculators (By Month)'!$D448,"-")</f>
        <v>-</v>
      </c>
      <c r="O430" s="8" t="str">
        <f>IF($F430&lt;=$C$16*12,'Mortgage Calculators (By Month)'!$E448,"-")</f>
        <v>-</v>
      </c>
      <c r="P430" s="8" t="str">
        <f t="shared" si="194"/>
        <v>-</v>
      </c>
      <c r="Q430" s="8" t="str">
        <f t="shared" ref="Q430:Q493" si="198">IF($F430&lt;=$C$16*12,L430+O430+P430,"-")</f>
        <v>-</v>
      </c>
      <c r="R430" s="8" t="str">
        <f t="shared" ref="R430:R493" si="199">IF($F430&lt;=$C$16*12,$I430-$L430-M430,"-")</f>
        <v>-</v>
      </c>
      <c r="S430" s="8" t="str">
        <f t="shared" ref="S430:S493" si="200">IF($F430&lt;=$C$16*12,(I430-Q430)*$C$35,"-")</f>
        <v>-</v>
      </c>
      <c r="T430" s="8" t="str">
        <f t="shared" ref="T430:T493" si="201">IF($F430&lt;=$C$16*12,R430-S430,"-")</f>
        <v>-</v>
      </c>
      <c r="U430" s="8" t="str">
        <f>IF($F430&lt;=$C$16*12,SUM(T$5:T430),"-")</f>
        <v>-</v>
      </c>
      <c r="V430" s="8" t="str">
        <f>IF($F430&lt;=$C$16*12,G430-$C$10-'RE Calculations'!$C617-'Mortgage Calculators (By Month)'!$F448,"-")</f>
        <v>-</v>
      </c>
      <c r="W430" s="29" t="str">
        <f t="shared" ref="W430:W493" si="202">IF($F430&lt;=$C$16*12,V430/$C$10,"-")</f>
        <v>-</v>
      </c>
      <c r="X430" s="31" t="str">
        <f t="shared" ref="X430:X493" si="203">IF($F430&lt;=$C$16*12,W430/($F430/12),"-")</f>
        <v>-</v>
      </c>
      <c r="Y430" s="8" t="str">
        <f t="shared" ref="Y430:Y493" si="204">IF($F430&lt;=$C$16*12,V430+U430,"-")</f>
        <v>-</v>
      </c>
      <c r="Z430" s="29" t="str">
        <f t="shared" ref="Z430:Z493" si="205">IF($F430&lt;=$C$16*12,Y430/$C$10,"-")</f>
        <v>-</v>
      </c>
      <c r="AA430" s="31" t="str">
        <f t="shared" ref="AA430:AA493" si="206">IF($F430&lt;=$C$16*12,Z430/($F430/12),"-")</f>
        <v>-</v>
      </c>
      <c r="AD430" s="12" t="str">
        <f t="shared" si="192"/>
        <v>-</v>
      </c>
      <c r="AE430" s="8" t="str">
        <f t="shared" si="193"/>
        <v>-</v>
      </c>
      <c r="AF430" s="8" t="str">
        <f>IF($AD430&lt;=$C$25*12,$AE430-$C$7+SUM('Mortgage Calculators (By Month)'!$K$23:$K448),"-")</f>
        <v>-</v>
      </c>
      <c r="AG430" s="8" t="str">
        <f t="shared" ref="AG430:AG493" si="207">IF($AD430&lt;=$C$25*12,$C$9*(1+$C$33)^ROUNDDOWN((AD430-1)/12,0),"-")</f>
        <v>-</v>
      </c>
      <c r="AH430" s="8" t="str">
        <f>IF($AD430&lt;=$C$25*12,SUM(Inputs!$C$61:$C$78)*'Forecast (By Month)'!AG430,"-")</f>
        <v>-</v>
      </c>
      <c r="AI430" s="8" t="str">
        <f>IF($AD430&lt;=$C$25*12,(SUMIF(Inputs!$C$61:$C$78,0,Inputs!$F$61:$F$78)/12)*(1+$C$34)^ROUNDDOWN((AD430-1)/12,0),"-")</f>
        <v>-</v>
      </c>
      <c r="AJ430" s="8" t="str">
        <f t="shared" ref="AJ430:AJ493" si="208">IF($AD430&lt;=$C$25*12,SUM(AH430:AI430),"-")</f>
        <v>-</v>
      </c>
      <c r="AK430" s="8" t="str">
        <f>IF($AD430&lt;=$C$25*12,'Mortgage Calculators (By Month)'!$J448,"-")</f>
        <v>-</v>
      </c>
      <c r="AL430" s="8" t="str">
        <f>IF($AD430&lt;=$C$25*12,'Mortgage Calculators (By Month)'!$K448,"-")</f>
        <v>-</v>
      </c>
      <c r="AM430" s="8" t="str">
        <f>IF($AD430&lt;=$C$25*12,'Mortgage Calculators (By Month)'!$L448,"-")</f>
        <v>-</v>
      </c>
      <c r="AN430" s="8" t="str">
        <f t="shared" si="195"/>
        <v>-</v>
      </c>
      <c r="AO430" s="8" t="str">
        <f t="shared" ref="AO430:AO493" si="209">IF($AD430&lt;=$C$25*12,AJ430+AM430+AN430,"-")</f>
        <v>-</v>
      </c>
      <c r="AP430" s="8" t="str">
        <f t="shared" ref="AP430:AP493" si="210">IF($AD430&lt;=$C$25*12,$AG430-$AJ430-AK430,"-")</f>
        <v>-</v>
      </c>
      <c r="AQ430" s="8" t="str">
        <f t="shared" ref="AQ430:AQ493" si="211">IF($AD430&lt;=$C$25*12,(AG430-AO430)*$C$35,"-")</f>
        <v>-</v>
      </c>
      <c r="AR430" s="8" t="str">
        <f t="shared" ref="AR430:AR493" si="212">IF($AD430&lt;=$C$25*12,AP430-AQ430,"-")</f>
        <v>-</v>
      </c>
      <c r="AS430" s="8" t="str">
        <f>IF($AD430&lt;=$C$25*12,SUM(AR$5:AR430),"-")</f>
        <v>-</v>
      </c>
      <c r="AT430" s="8" t="str">
        <f>IF($AD430&lt;=$C$25*12,AE430-$C$10-'RE Calculations'!$C617-'Mortgage Calculators (By Month)'!$M448,"-")</f>
        <v>-</v>
      </c>
      <c r="AU430" s="29" t="str">
        <f t="shared" ref="AU430:AU493" si="213">IF($AD430&lt;=$C$25*12,AT430/$C$10,"-")</f>
        <v>-</v>
      </c>
      <c r="AV430" s="31" t="str">
        <f t="shared" ref="AV430:AV493" si="214">IF($AD430&lt;=$C$25*12,AU430/($AD430/12),"-")</f>
        <v>-</v>
      </c>
      <c r="AW430" s="8" t="str">
        <f t="shared" ref="AW430:AW493" si="215">IF($AD430&lt;=$C$25*12,AT430+AS430,"-")</f>
        <v>-</v>
      </c>
      <c r="AX430" s="29" t="str">
        <f t="shared" ref="AX430:AX493" si="216">IF($AD430&lt;=$C$25*12,AW430/$C$10,"-")</f>
        <v>-</v>
      </c>
      <c r="AY430" s="31" t="str">
        <f t="shared" ref="AY430:AY493" si="217">IF($AD430&lt;=$C$25*12,AX430/($AD430/12),"-")</f>
        <v>-</v>
      </c>
    </row>
    <row r="431" spans="6:51" x14ac:dyDescent="0.35">
      <c r="F431" s="12" t="str">
        <f t="shared" si="190"/>
        <v>-</v>
      </c>
      <c r="G431" s="8" t="str">
        <f t="shared" si="191"/>
        <v>-</v>
      </c>
      <c r="H431" s="8" t="str">
        <f>IF($F431&lt;=$C$16*12,$G431-$C$7+SUM('Mortgage Calculators (By Month)'!$D$23:$D449),"-")</f>
        <v>-</v>
      </c>
      <c r="I431" s="8" t="str">
        <f t="shared" si="196"/>
        <v>-</v>
      </c>
      <c r="J431" s="8" t="str">
        <f>IF($F431&lt;=$C$16*12,SUM(Inputs!$C$61:$C$78)*'Forecast (By Month)'!I431,"-")</f>
        <v>-</v>
      </c>
      <c r="K431" s="8" t="str">
        <f>IF($F431&lt;=$C$16*12,(SUMIF(Inputs!$C$61:$C$78,0,Inputs!$F$61:$F$78)/12)*(1+$C$34)^ROUNDDOWN((F431-1)/12,0),"-")</f>
        <v>-</v>
      </c>
      <c r="L431" s="8" t="str">
        <f t="shared" si="197"/>
        <v>-</v>
      </c>
      <c r="M431" s="8" t="str">
        <f>IF($F431&lt;=$C$16*12,'Mortgage Calculators (By Month)'!$C449,"-")</f>
        <v>-</v>
      </c>
      <c r="N431" s="8" t="str">
        <f>IF($F431&lt;=$C$16*12,'Mortgage Calculators (By Month)'!$D449,"-")</f>
        <v>-</v>
      </c>
      <c r="O431" s="8" t="str">
        <f>IF($F431&lt;=$C$16*12,'Mortgage Calculators (By Month)'!$E449,"-")</f>
        <v>-</v>
      </c>
      <c r="P431" s="8" t="str">
        <f t="shared" si="194"/>
        <v>-</v>
      </c>
      <c r="Q431" s="8" t="str">
        <f t="shared" si="198"/>
        <v>-</v>
      </c>
      <c r="R431" s="8" t="str">
        <f t="shared" si="199"/>
        <v>-</v>
      </c>
      <c r="S431" s="8" t="str">
        <f t="shared" si="200"/>
        <v>-</v>
      </c>
      <c r="T431" s="8" t="str">
        <f t="shared" si="201"/>
        <v>-</v>
      </c>
      <c r="U431" s="8" t="str">
        <f>IF($F431&lt;=$C$16*12,SUM(T$5:T431),"-")</f>
        <v>-</v>
      </c>
      <c r="V431" s="8" t="str">
        <f>IF($F431&lt;=$C$16*12,G431-$C$10-'RE Calculations'!$C618-'Mortgage Calculators (By Month)'!$F449,"-")</f>
        <v>-</v>
      </c>
      <c r="W431" s="29" t="str">
        <f t="shared" si="202"/>
        <v>-</v>
      </c>
      <c r="X431" s="31" t="str">
        <f t="shared" si="203"/>
        <v>-</v>
      </c>
      <c r="Y431" s="8" t="str">
        <f t="shared" si="204"/>
        <v>-</v>
      </c>
      <c r="Z431" s="29" t="str">
        <f t="shared" si="205"/>
        <v>-</v>
      </c>
      <c r="AA431" s="31" t="str">
        <f t="shared" si="206"/>
        <v>-</v>
      </c>
      <c r="AD431" s="12" t="str">
        <f t="shared" si="192"/>
        <v>-</v>
      </c>
      <c r="AE431" s="8" t="str">
        <f t="shared" si="193"/>
        <v>-</v>
      </c>
      <c r="AF431" s="8" t="str">
        <f>IF($AD431&lt;=$C$25*12,$AE431-$C$7+SUM('Mortgage Calculators (By Month)'!$K$23:$K449),"-")</f>
        <v>-</v>
      </c>
      <c r="AG431" s="8" t="str">
        <f t="shared" si="207"/>
        <v>-</v>
      </c>
      <c r="AH431" s="8" t="str">
        <f>IF($AD431&lt;=$C$25*12,SUM(Inputs!$C$61:$C$78)*'Forecast (By Month)'!AG431,"-")</f>
        <v>-</v>
      </c>
      <c r="AI431" s="8" t="str">
        <f>IF($AD431&lt;=$C$25*12,(SUMIF(Inputs!$C$61:$C$78,0,Inputs!$F$61:$F$78)/12)*(1+$C$34)^ROUNDDOWN((AD431-1)/12,0),"-")</f>
        <v>-</v>
      </c>
      <c r="AJ431" s="8" t="str">
        <f t="shared" si="208"/>
        <v>-</v>
      </c>
      <c r="AK431" s="8" t="str">
        <f>IF($AD431&lt;=$C$25*12,'Mortgage Calculators (By Month)'!$J449,"-")</f>
        <v>-</v>
      </c>
      <c r="AL431" s="8" t="str">
        <f>IF($AD431&lt;=$C$25*12,'Mortgage Calculators (By Month)'!$K449,"-")</f>
        <v>-</v>
      </c>
      <c r="AM431" s="8" t="str">
        <f>IF($AD431&lt;=$C$25*12,'Mortgage Calculators (By Month)'!$L449,"-")</f>
        <v>-</v>
      </c>
      <c r="AN431" s="8" t="str">
        <f t="shared" si="195"/>
        <v>-</v>
      </c>
      <c r="AO431" s="8" t="str">
        <f t="shared" si="209"/>
        <v>-</v>
      </c>
      <c r="AP431" s="8" t="str">
        <f t="shared" si="210"/>
        <v>-</v>
      </c>
      <c r="AQ431" s="8" t="str">
        <f t="shared" si="211"/>
        <v>-</v>
      </c>
      <c r="AR431" s="8" t="str">
        <f t="shared" si="212"/>
        <v>-</v>
      </c>
      <c r="AS431" s="8" t="str">
        <f>IF($AD431&lt;=$C$25*12,SUM(AR$5:AR431),"-")</f>
        <v>-</v>
      </c>
      <c r="AT431" s="8" t="str">
        <f>IF($AD431&lt;=$C$25*12,AE431-$C$10-'RE Calculations'!$C618-'Mortgage Calculators (By Month)'!$M449,"-")</f>
        <v>-</v>
      </c>
      <c r="AU431" s="29" t="str">
        <f t="shared" si="213"/>
        <v>-</v>
      </c>
      <c r="AV431" s="31" t="str">
        <f t="shared" si="214"/>
        <v>-</v>
      </c>
      <c r="AW431" s="8" t="str">
        <f t="shared" si="215"/>
        <v>-</v>
      </c>
      <c r="AX431" s="29" t="str">
        <f t="shared" si="216"/>
        <v>-</v>
      </c>
      <c r="AY431" s="31" t="str">
        <f t="shared" si="217"/>
        <v>-</v>
      </c>
    </row>
    <row r="432" spans="6:51" x14ac:dyDescent="0.35">
      <c r="F432" s="12" t="str">
        <f t="shared" si="190"/>
        <v>-</v>
      </c>
      <c r="G432" s="8" t="str">
        <f t="shared" si="191"/>
        <v>-</v>
      </c>
      <c r="H432" s="8" t="str">
        <f>IF($F432&lt;=$C$16*12,$G432-$C$7+SUM('Mortgage Calculators (By Month)'!$D$23:$D450),"-")</f>
        <v>-</v>
      </c>
      <c r="I432" s="8" t="str">
        <f t="shared" si="196"/>
        <v>-</v>
      </c>
      <c r="J432" s="8" t="str">
        <f>IF($F432&lt;=$C$16*12,SUM(Inputs!$C$61:$C$78)*'Forecast (By Month)'!I432,"-")</f>
        <v>-</v>
      </c>
      <c r="K432" s="8" t="str">
        <f>IF($F432&lt;=$C$16*12,(SUMIF(Inputs!$C$61:$C$78,0,Inputs!$F$61:$F$78)/12)*(1+$C$34)^ROUNDDOWN((F432-1)/12,0),"-")</f>
        <v>-</v>
      </c>
      <c r="L432" s="8" t="str">
        <f t="shared" si="197"/>
        <v>-</v>
      </c>
      <c r="M432" s="8" t="str">
        <f>IF($F432&lt;=$C$16*12,'Mortgage Calculators (By Month)'!$C450,"-")</f>
        <v>-</v>
      </c>
      <c r="N432" s="8" t="str">
        <f>IF($F432&lt;=$C$16*12,'Mortgage Calculators (By Month)'!$D450,"-")</f>
        <v>-</v>
      </c>
      <c r="O432" s="8" t="str">
        <f>IF($F432&lt;=$C$16*12,'Mortgage Calculators (By Month)'!$E450,"-")</f>
        <v>-</v>
      </c>
      <c r="P432" s="8" t="str">
        <f t="shared" si="194"/>
        <v>-</v>
      </c>
      <c r="Q432" s="8" t="str">
        <f t="shared" si="198"/>
        <v>-</v>
      </c>
      <c r="R432" s="8" t="str">
        <f t="shared" si="199"/>
        <v>-</v>
      </c>
      <c r="S432" s="8" t="str">
        <f t="shared" si="200"/>
        <v>-</v>
      </c>
      <c r="T432" s="8" t="str">
        <f t="shared" si="201"/>
        <v>-</v>
      </c>
      <c r="U432" s="8" t="str">
        <f>IF($F432&lt;=$C$16*12,SUM(T$5:T432),"-")</f>
        <v>-</v>
      </c>
      <c r="V432" s="8" t="str">
        <f>IF($F432&lt;=$C$16*12,G432-$C$10-'RE Calculations'!$C619-'Mortgage Calculators (By Month)'!$F450,"-")</f>
        <v>-</v>
      </c>
      <c r="W432" s="29" t="str">
        <f t="shared" si="202"/>
        <v>-</v>
      </c>
      <c r="X432" s="31" t="str">
        <f t="shared" si="203"/>
        <v>-</v>
      </c>
      <c r="Y432" s="8" t="str">
        <f t="shared" si="204"/>
        <v>-</v>
      </c>
      <c r="Z432" s="29" t="str">
        <f t="shared" si="205"/>
        <v>-</v>
      </c>
      <c r="AA432" s="31" t="str">
        <f t="shared" si="206"/>
        <v>-</v>
      </c>
      <c r="AD432" s="12" t="str">
        <f t="shared" si="192"/>
        <v>-</v>
      </c>
      <c r="AE432" s="8" t="str">
        <f t="shared" si="193"/>
        <v>-</v>
      </c>
      <c r="AF432" s="8" t="str">
        <f>IF($AD432&lt;=$C$25*12,$AE432-$C$7+SUM('Mortgage Calculators (By Month)'!$K$23:$K450),"-")</f>
        <v>-</v>
      </c>
      <c r="AG432" s="8" t="str">
        <f t="shared" si="207"/>
        <v>-</v>
      </c>
      <c r="AH432" s="8" t="str">
        <f>IF($AD432&lt;=$C$25*12,SUM(Inputs!$C$61:$C$78)*'Forecast (By Month)'!AG432,"-")</f>
        <v>-</v>
      </c>
      <c r="AI432" s="8" t="str">
        <f>IF($AD432&lt;=$C$25*12,(SUMIF(Inputs!$C$61:$C$78,0,Inputs!$F$61:$F$78)/12)*(1+$C$34)^ROUNDDOWN((AD432-1)/12,0),"-")</f>
        <v>-</v>
      </c>
      <c r="AJ432" s="8" t="str">
        <f t="shared" si="208"/>
        <v>-</v>
      </c>
      <c r="AK432" s="8" t="str">
        <f>IF($AD432&lt;=$C$25*12,'Mortgage Calculators (By Month)'!$J450,"-")</f>
        <v>-</v>
      </c>
      <c r="AL432" s="8" t="str">
        <f>IF($AD432&lt;=$C$25*12,'Mortgage Calculators (By Month)'!$K450,"-")</f>
        <v>-</v>
      </c>
      <c r="AM432" s="8" t="str">
        <f>IF($AD432&lt;=$C$25*12,'Mortgage Calculators (By Month)'!$L450,"-")</f>
        <v>-</v>
      </c>
      <c r="AN432" s="8" t="str">
        <f t="shared" si="195"/>
        <v>-</v>
      </c>
      <c r="AO432" s="8" t="str">
        <f t="shared" si="209"/>
        <v>-</v>
      </c>
      <c r="AP432" s="8" t="str">
        <f t="shared" si="210"/>
        <v>-</v>
      </c>
      <c r="AQ432" s="8" t="str">
        <f t="shared" si="211"/>
        <v>-</v>
      </c>
      <c r="AR432" s="8" t="str">
        <f t="shared" si="212"/>
        <v>-</v>
      </c>
      <c r="AS432" s="8" t="str">
        <f>IF($AD432&lt;=$C$25*12,SUM(AR$5:AR432),"-")</f>
        <v>-</v>
      </c>
      <c r="AT432" s="8" t="str">
        <f>IF($AD432&lt;=$C$25*12,AE432-$C$10-'RE Calculations'!$C619-'Mortgage Calculators (By Month)'!$M450,"-")</f>
        <v>-</v>
      </c>
      <c r="AU432" s="29" t="str">
        <f t="shared" si="213"/>
        <v>-</v>
      </c>
      <c r="AV432" s="31" t="str">
        <f t="shared" si="214"/>
        <v>-</v>
      </c>
      <c r="AW432" s="8" t="str">
        <f t="shared" si="215"/>
        <v>-</v>
      </c>
      <c r="AX432" s="29" t="str">
        <f t="shared" si="216"/>
        <v>-</v>
      </c>
      <c r="AY432" s="31" t="str">
        <f t="shared" si="217"/>
        <v>-</v>
      </c>
    </row>
    <row r="433" spans="6:51" x14ac:dyDescent="0.35">
      <c r="F433" s="12" t="str">
        <f t="shared" si="190"/>
        <v>-</v>
      </c>
      <c r="G433" s="8" t="str">
        <f t="shared" si="191"/>
        <v>-</v>
      </c>
      <c r="H433" s="8" t="str">
        <f>IF($F433&lt;=$C$16*12,$G433-$C$7+SUM('Mortgage Calculators (By Month)'!$D$23:$D451),"-")</f>
        <v>-</v>
      </c>
      <c r="I433" s="8" t="str">
        <f t="shared" si="196"/>
        <v>-</v>
      </c>
      <c r="J433" s="8" t="str">
        <f>IF($F433&lt;=$C$16*12,SUM(Inputs!$C$61:$C$78)*'Forecast (By Month)'!I433,"-")</f>
        <v>-</v>
      </c>
      <c r="K433" s="8" t="str">
        <f>IF($F433&lt;=$C$16*12,(SUMIF(Inputs!$C$61:$C$78,0,Inputs!$F$61:$F$78)/12)*(1+$C$34)^ROUNDDOWN((F433-1)/12,0),"-")</f>
        <v>-</v>
      </c>
      <c r="L433" s="8" t="str">
        <f t="shared" si="197"/>
        <v>-</v>
      </c>
      <c r="M433" s="8" t="str">
        <f>IF($F433&lt;=$C$16*12,'Mortgage Calculators (By Month)'!$C451,"-")</f>
        <v>-</v>
      </c>
      <c r="N433" s="8" t="str">
        <f>IF($F433&lt;=$C$16*12,'Mortgage Calculators (By Month)'!$D451,"-")</f>
        <v>-</v>
      </c>
      <c r="O433" s="8" t="str">
        <f>IF($F433&lt;=$C$16*12,'Mortgage Calculators (By Month)'!$E451,"-")</f>
        <v>-</v>
      </c>
      <c r="P433" s="8" t="str">
        <f t="shared" si="194"/>
        <v>-</v>
      </c>
      <c r="Q433" s="8" t="str">
        <f t="shared" si="198"/>
        <v>-</v>
      </c>
      <c r="R433" s="8" t="str">
        <f t="shared" si="199"/>
        <v>-</v>
      </c>
      <c r="S433" s="8" t="str">
        <f t="shared" si="200"/>
        <v>-</v>
      </c>
      <c r="T433" s="8" t="str">
        <f t="shared" si="201"/>
        <v>-</v>
      </c>
      <c r="U433" s="8" t="str">
        <f>IF($F433&lt;=$C$16*12,SUM(T$5:T433),"-")</f>
        <v>-</v>
      </c>
      <c r="V433" s="8" t="str">
        <f>IF($F433&lt;=$C$16*12,G433-$C$10-'RE Calculations'!$C620-'Mortgage Calculators (By Month)'!$F451,"-")</f>
        <v>-</v>
      </c>
      <c r="W433" s="29" t="str">
        <f t="shared" si="202"/>
        <v>-</v>
      </c>
      <c r="X433" s="31" t="str">
        <f t="shared" si="203"/>
        <v>-</v>
      </c>
      <c r="Y433" s="8" t="str">
        <f t="shared" si="204"/>
        <v>-</v>
      </c>
      <c r="Z433" s="29" t="str">
        <f t="shared" si="205"/>
        <v>-</v>
      </c>
      <c r="AA433" s="31" t="str">
        <f t="shared" si="206"/>
        <v>-</v>
      </c>
      <c r="AD433" s="12" t="str">
        <f t="shared" si="192"/>
        <v>-</v>
      </c>
      <c r="AE433" s="8" t="str">
        <f t="shared" si="193"/>
        <v>-</v>
      </c>
      <c r="AF433" s="8" t="str">
        <f>IF($AD433&lt;=$C$25*12,$AE433-$C$7+SUM('Mortgage Calculators (By Month)'!$K$23:$K451),"-")</f>
        <v>-</v>
      </c>
      <c r="AG433" s="8" t="str">
        <f t="shared" si="207"/>
        <v>-</v>
      </c>
      <c r="AH433" s="8" t="str">
        <f>IF($AD433&lt;=$C$25*12,SUM(Inputs!$C$61:$C$78)*'Forecast (By Month)'!AG433,"-")</f>
        <v>-</v>
      </c>
      <c r="AI433" s="8" t="str">
        <f>IF($AD433&lt;=$C$25*12,(SUMIF(Inputs!$C$61:$C$78,0,Inputs!$F$61:$F$78)/12)*(1+$C$34)^ROUNDDOWN((AD433-1)/12,0),"-")</f>
        <v>-</v>
      </c>
      <c r="AJ433" s="8" t="str">
        <f t="shared" si="208"/>
        <v>-</v>
      </c>
      <c r="AK433" s="8" t="str">
        <f>IF($AD433&lt;=$C$25*12,'Mortgage Calculators (By Month)'!$J451,"-")</f>
        <v>-</v>
      </c>
      <c r="AL433" s="8" t="str">
        <f>IF($AD433&lt;=$C$25*12,'Mortgage Calculators (By Month)'!$K451,"-")</f>
        <v>-</v>
      </c>
      <c r="AM433" s="8" t="str">
        <f>IF($AD433&lt;=$C$25*12,'Mortgage Calculators (By Month)'!$L451,"-")</f>
        <v>-</v>
      </c>
      <c r="AN433" s="8" t="str">
        <f t="shared" si="195"/>
        <v>-</v>
      </c>
      <c r="AO433" s="8" t="str">
        <f t="shared" si="209"/>
        <v>-</v>
      </c>
      <c r="AP433" s="8" t="str">
        <f t="shared" si="210"/>
        <v>-</v>
      </c>
      <c r="AQ433" s="8" t="str">
        <f t="shared" si="211"/>
        <v>-</v>
      </c>
      <c r="AR433" s="8" t="str">
        <f t="shared" si="212"/>
        <v>-</v>
      </c>
      <c r="AS433" s="8" t="str">
        <f>IF($AD433&lt;=$C$25*12,SUM(AR$5:AR433),"-")</f>
        <v>-</v>
      </c>
      <c r="AT433" s="8" t="str">
        <f>IF($AD433&lt;=$C$25*12,AE433-$C$10-'RE Calculations'!$C620-'Mortgage Calculators (By Month)'!$M451,"-")</f>
        <v>-</v>
      </c>
      <c r="AU433" s="29" t="str">
        <f t="shared" si="213"/>
        <v>-</v>
      </c>
      <c r="AV433" s="31" t="str">
        <f t="shared" si="214"/>
        <v>-</v>
      </c>
      <c r="AW433" s="8" t="str">
        <f t="shared" si="215"/>
        <v>-</v>
      </c>
      <c r="AX433" s="29" t="str">
        <f t="shared" si="216"/>
        <v>-</v>
      </c>
      <c r="AY433" s="31" t="str">
        <f t="shared" si="217"/>
        <v>-</v>
      </c>
    </row>
    <row r="434" spans="6:51" x14ac:dyDescent="0.35">
      <c r="F434" s="12" t="str">
        <f t="shared" si="190"/>
        <v>-</v>
      </c>
      <c r="G434" s="8" t="str">
        <f t="shared" si="191"/>
        <v>-</v>
      </c>
      <c r="H434" s="8" t="str">
        <f>IF($F434&lt;=$C$16*12,$G434-$C$7+SUM('Mortgage Calculators (By Month)'!$D$23:$D452),"-")</f>
        <v>-</v>
      </c>
      <c r="I434" s="8" t="str">
        <f t="shared" si="196"/>
        <v>-</v>
      </c>
      <c r="J434" s="8" t="str">
        <f>IF($F434&lt;=$C$16*12,SUM(Inputs!$C$61:$C$78)*'Forecast (By Month)'!I434,"-")</f>
        <v>-</v>
      </c>
      <c r="K434" s="8" t="str">
        <f>IF($F434&lt;=$C$16*12,(SUMIF(Inputs!$C$61:$C$78,0,Inputs!$F$61:$F$78)/12)*(1+$C$34)^ROUNDDOWN((F434-1)/12,0),"-")</f>
        <v>-</v>
      </c>
      <c r="L434" s="8" t="str">
        <f t="shared" si="197"/>
        <v>-</v>
      </c>
      <c r="M434" s="8" t="str">
        <f>IF($F434&lt;=$C$16*12,'Mortgage Calculators (By Month)'!$C452,"-")</f>
        <v>-</v>
      </c>
      <c r="N434" s="8" t="str">
        <f>IF($F434&lt;=$C$16*12,'Mortgage Calculators (By Month)'!$D452,"-")</f>
        <v>-</v>
      </c>
      <c r="O434" s="8" t="str">
        <f>IF($F434&lt;=$C$16*12,'Mortgage Calculators (By Month)'!$E452,"-")</f>
        <v>-</v>
      </c>
      <c r="P434" s="8" t="str">
        <f t="shared" si="194"/>
        <v>-</v>
      </c>
      <c r="Q434" s="8" t="str">
        <f t="shared" si="198"/>
        <v>-</v>
      </c>
      <c r="R434" s="8" t="str">
        <f t="shared" si="199"/>
        <v>-</v>
      </c>
      <c r="S434" s="8" t="str">
        <f t="shared" si="200"/>
        <v>-</v>
      </c>
      <c r="T434" s="8" t="str">
        <f t="shared" si="201"/>
        <v>-</v>
      </c>
      <c r="U434" s="8" t="str">
        <f>IF($F434&lt;=$C$16*12,SUM(T$5:T434),"-")</f>
        <v>-</v>
      </c>
      <c r="V434" s="8" t="str">
        <f>IF($F434&lt;=$C$16*12,G434-$C$10-'RE Calculations'!$C621-'Mortgage Calculators (By Month)'!$F452,"-")</f>
        <v>-</v>
      </c>
      <c r="W434" s="29" t="str">
        <f t="shared" si="202"/>
        <v>-</v>
      </c>
      <c r="X434" s="31" t="str">
        <f t="shared" si="203"/>
        <v>-</v>
      </c>
      <c r="Y434" s="8" t="str">
        <f t="shared" si="204"/>
        <v>-</v>
      </c>
      <c r="Z434" s="29" t="str">
        <f t="shared" si="205"/>
        <v>-</v>
      </c>
      <c r="AA434" s="31" t="str">
        <f t="shared" si="206"/>
        <v>-</v>
      </c>
      <c r="AD434" s="12" t="str">
        <f t="shared" si="192"/>
        <v>-</v>
      </c>
      <c r="AE434" s="8" t="str">
        <f t="shared" si="193"/>
        <v>-</v>
      </c>
      <c r="AF434" s="8" t="str">
        <f>IF($AD434&lt;=$C$25*12,$AE434-$C$7+SUM('Mortgage Calculators (By Month)'!$K$23:$K452),"-")</f>
        <v>-</v>
      </c>
      <c r="AG434" s="8" t="str">
        <f t="shared" si="207"/>
        <v>-</v>
      </c>
      <c r="AH434" s="8" t="str">
        <f>IF($AD434&lt;=$C$25*12,SUM(Inputs!$C$61:$C$78)*'Forecast (By Month)'!AG434,"-")</f>
        <v>-</v>
      </c>
      <c r="AI434" s="8" t="str">
        <f>IF($AD434&lt;=$C$25*12,(SUMIF(Inputs!$C$61:$C$78,0,Inputs!$F$61:$F$78)/12)*(1+$C$34)^ROUNDDOWN((AD434-1)/12,0),"-")</f>
        <v>-</v>
      </c>
      <c r="AJ434" s="8" t="str">
        <f t="shared" si="208"/>
        <v>-</v>
      </c>
      <c r="AK434" s="8" t="str">
        <f>IF($AD434&lt;=$C$25*12,'Mortgage Calculators (By Month)'!$J452,"-")</f>
        <v>-</v>
      </c>
      <c r="AL434" s="8" t="str">
        <f>IF($AD434&lt;=$C$25*12,'Mortgage Calculators (By Month)'!$K452,"-")</f>
        <v>-</v>
      </c>
      <c r="AM434" s="8" t="str">
        <f>IF($AD434&lt;=$C$25*12,'Mortgage Calculators (By Month)'!$L452,"-")</f>
        <v>-</v>
      </c>
      <c r="AN434" s="8" t="str">
        <f t="shared" si="195"/>
        <v>-</v>
      </c>
      <c r="AO434" s="8" t="str">
        <f t="shared" si="209"/>
        <v>-</v>
      </c>
      <c r="AP434" s="8" t="str">
        <f t="shared" si="210"/>
        <v>-</v>
      </c>
      <c r="AQ434" s="8" t="str">
        <f t="shared" si="211"/>
        <v>-</v>
      </c>
      <c r="AR434" s="8" t="str">
        <f t="shared" si="212"/>
        <v>-</v>
      </c>
      <c r="AS434" s="8" t="str">
        <f>IF($AD434&lt;=$C$25*12,SUM(AR$5:AR434),"-")</f>
        <v>-</v>
      </c>
      <c r="AT434" s="8" t="str">
        <f>IF($AD434&lt;=$C$25*12,AE434-$C$10-'RE Calculations'!$C621-'Mortgage Calculators (By Month)'!$M452,"-")</f>
        <v>-</v>
      </c>
      <c r="AU434" s="29" t="str">
        <f t="shared" si="213"/>
        <v>-</v>
      </c>
      <c r="AV434" s="31" t="str">
        <f t="shared" si="214"/>
        <v>-</v>
      </c>
      <c r="AW434" s="8" t="str">
        <f t="shared" si="215"/>
        <v>-</v>
      </c>
      <c r="AX434" s="29" t="str">
        <f t="shared" si="216"/>
        <v>-</v>
      </c>
      <c r="AY434" s="31" t="str">
        <f t="shared" si="217"/>
        <v>-</v>
      </c>
    </row>
    <row r="435" spans="6:51" x14ac:dyDescent="0.35">
      <c r="F435" s="12" t="str">
        <f t="shared" si="190"/>
        <v>-</v>
      </c>
      <c r="G435" s="8" t="str">
        <f t="shared" si="191"/>
        <v>-</v>
      </c>
      <c r="H435" s="8" t="str">
        <f>IF($F435&lt;=$C$16*12,$G435-$C$7+SUM('Mortgage Calculators (By Month)'!$D$23:$D453),"-")</f>
        <v>-</v>
      </c>
      <c r="I435" s="8" t="str">
        <f t="shared" si="196"/>
        <v>-</v>
      </c>
      <c r="J435" s="8" t="str">
        <f>IF($F435&lt;=$C$16*12,SUM(Inputs!$C$61:$C$78)*'Forecast (By Month)'!I435,"-")</f>
        <v>-</v>
      </c>
      <c r="K435" s="8" t="str">
        <f>IF($F435&lt;=$C$16*12,(SUMIF(Inputs!$C$61:$C$78,0,Inputs!$F$61:$F$78)/12)*(1+$C$34)^ROUNDDOWN((F435-1)/12,0),"-")</f>
        <v>-</v>
      </c>
      <c r="L435" s="8" t="str">
        <f t="shared" si="197"/>
        <v>-</v>
      </c>
      <c r="M435" s="8" t="str">
        <f>IF($F435&lt;=$C$16*12,'Mortgage Calculators (By Month)'!$C453,"-")</f>
        <v>-</v>
      </c>
      <c r="N435" s="8" t="str">
        <f>IF($F435&lt;=$C$16*12,'Mortgage Calculators (By Month)'!$D453,"-")</f>
        <v>-</v>
      </c>
      <c r="O435" s="8" t="str">
        <f>IF($F435&lt;=$C$16*12,'Mortgage Calculators (By Month)'!$E453,"-")</f>
        <v>-</v>
      </c>
      <c r="P435" s="8" t="str">
        <f t="shared" si="194"/>
        <v>-</v>
      </c>
      <c r="Q435" s="8" t="str">
        <f t="shared" si="198"/>
        <v>-</v>
      </c>
      <c r="R435" s="8" t="str">
        <f t="shared" si="199"/>
        <v>-</v>
      </c>
      <c r="S435" s="8" t="str">
        <f t="shared" si="200"/>
        <v>-</v>
      </c>
      <c r="T435" s="8" t="str">
        <f t="shared" si="201"/>
        <v>-</v>
      </c>
      <c r="U435" s="8" t="str">
        <f>IF($F435&lt;=$C$16*12,SUM(T$5:T435),"-")</f>
        <v>-</v>
      </c>
      <c r="V435" s="8" t="str">
        <f>IF($F435&lt;=$C$16*12,G435-$C$10-'RE Calculations'!$C622-'Mortgage Calculators (By Month)'!$F453,"-")</f>
        <v>-</v>
      </c>
      <c r="W435" s="29" t="str">
        <f t="shared" si="202"/>
        <v>-</v>
      </c>
      <c r="X435" s="31" t="str">
        <f t="shared" si="203"/>
        <v>-</v>
      </c>
      <c r="Y435" s="8" t="str">
        <f t="shared" si="204"/>
        <v>-</v>
      </c>
      <c r="Z435" s="29" t="str">
        <f t="shared" si="205"/>
        <v>-</v>
      </c>
      <c r="AA435" s="31" t="str">
        <f t="shared" si="206"/>
        <v>-</v>
      </c>
      <c r="AD435" s="12" t="str">
        <f t="shared" si="192"/>
        <v>-</v>
      </c>
      <c r="AE435" s="8" t="str">
        <f t="shared" si="193"/>
        <v>-</v>
      </c>
      <c r="AF435" s="8" t="str">
        <f>IF($AD435&lt;=$C$25*12,$AE435-$C$7+SUM('Mortgage Calculators (By Month)'!$K$23:$K453),"-")</f>
        <v>-</v>
      </c>
      <c r="AG435" s="8" t="str">
        <f t="shared" si="207"/>
        <v>-</v>
      </c>
      <c r="AH435" s="8" t="str">
        <f>IF($AD435&lt;=$C$25*12,SUM(Inputs!$C$61:$C$78)*'Forecast (By Month)'!AG435,"-")</f>
        <v>-</v>
      </c>
      <c r="AI435" s="8" t="str">
        <f>IF($AD435&lt;=$C$25*12,(SUMIF(Inputs!$C$61:$C$78,0,Inputs!$F$61:$F$78)/12)*(1+$C$34)^ROUNDDOWN((AD435-1)/12,0),"-")</f>
        <v>-</v>
      </c>
      <c r="AJ435" s="8" t="str">
        <f t="shared" si="208"/>
        <v>-</v>
      </c>
      <c r="AK435" s="8" t="str">
        <f>IF($AD435&lt;=$C$25*12,'Mortgage Calculators (By Month)'!$J453,"-")</f>
        <v>-</v>
      </c>
      <c r="AL435" s="8" t="str">
        <f>IF($AD435&lt;=$C$25*12,'Mortgage Calculators (By Month)'!$K453,"-")</f>
        <v>-</v>
      </c>
      <c r="AM435" s="8" t="str">
        <f>IF($AD435&lt;=$C$25*12,'Mortgage Calculators (By Month)'!$L453,"-")</f>
        <v>-</v>
      </c>
      <c r="AN435" s="8" t="str">
        <f t="shared" si="195"/>
        <v>-</v>
      </c>
      <c r="AO435" s="8" t="str">
        <f t="shared" si="209"/>
        <v>-</v>
      </c>
      <c r="AP435" s="8" t="str">
        <f t="shared" si="210"/>
        <v>-</v>
      </c>
      <c r="AQ435" s="8" t="str">
        <f t="shared" si="211"/>
        <v>-</v>
      </c>
      <c r="AR435" s="8" t="str">
        <f t="shared" si="212"/>
        <v>-</v>
      </c>
      <c r="AS435" s="8" t="str">
        <f>IF($AD435&lt;=$C$25*12,SUM(AR$5:AR435),"-")</f>
        <v>-</v>
      </c>
      <c r="AT435" s="8" t="str">
        <f>IF($AD435&lt;=$C$25*12,AE435-$C$10-'RE Calculations'!$C622-'Mortgage Calculators (By Month)'!$M453,"-")</f>
        <v>-</v>
      </c>
      <c r="AU435" s="29" t="str">
        <f t="shared" si="213"/>
        <v>-</v>
      </c>
      <c r="AV435" s="31" t="str">
        <f t="shared" si="214"/>
        <v>-</v>
      </c>
      <c r="AW435" s="8" t="str">
        <f t="shared" si="215"/>
        <v>-</v>
      </c>
      <c r="AX435" s="29" t="str">
        <f t="shared" si="216"/>
        <v>-</v>
      </c>
      <c r="AY435" s="31" t="str">
        <f t="shared" si="217"/>
        <v>-</v>
      </c>
    </row>
    <row r="436" spans="6:51" x14ac:dyDescent="0.35">
      <c r="F436" s="12" t="str">
        <f t="shared" si="190"/>
        <v>-</v>
      </c>
      <c r="G436" s="8" t="str">
        <f t="shared" si="191"/>
        <v>-</v>
      </c>
      <c r="H436" s="8" t="str">
        <f>IF($F436&lt;=$C$16*12,$G436-$C$7+SUM('Mortgage Calculators (By Month)'!$D$23:$D454),"-")</f>
        <v>-</v>
      </c>
      <c r="I436" s="8" t="str">
        <f t="shared" si="196"/>
        <v>-</v>
      </c>
      <c r="J436" s="8" t="str">
        <f>IF($F436&lt;=$C$16*12,SUM(Inputs!$C$61:$C$78)*'Forecast (By Month)'!I436,"-")</f>
        <v>-</v>
      </c>
      <c r="K436" s="8" t="str">
        <f>IF($F436&lt;=$C$16*12,(SUMIF(Inputs!$C$61:$C$78,0,Inputs!$F$61:$F$78)/12)*(1+$C$34)^ROUNDDOWN((F436-1)/12,0),"-")</f>
        <v>-</v>
      </c>
      <c r="L436" s="8" t="str">
        <f t="shared" si="197"/>
        <v>-</v>
      </c>
      <c r="M436" s="8" t="str">
        <f>IF($F436&lt;=$C$16*12,'Mortgage Calculators (By Month)'!$C454,"-")</f>
        <v>-</v>
      </c>
      <c r="N436" s="8" t="str">
        <f>IF($F436&lt;=$C$16*12,'Mortgage Calculators (By Month)'!$D454,"-")</f>
        <v>-</v>
      </c>
      <c r="O436" s="8" t="str">
        <f>IF($F436&lt;=$C$16*12,'Mortgage Calculators (By Month)'!$E454,"-")</f>
        <v>-</v>
      </c>
      <c r="P436" s="8" t="str">
        <f t="shared" si="194"/>
        <v>-</v>
      </c>
      <c r="Q436" s="8" t="str">
        <f t="shared" si="198"/>
        <v>-</v>
      </c>
      <c r="R436" s="8" t="str">
        <f t="shared" si="199"/>
        <v>-</v>
      </c>
      <c r="S436" s="8" t="str">
        <f t="shared" si="200"/>
        <v>-</v>
      </c>
      <c r="T436" s="8" t="str">
        <f t="shared" si="201"/>
        <v>-</v>
      </c>
      <c r="U436" s="8" t="str">
        <f>IF($F436&lt;=$C$16*12,SUM(T$5:T436),"-")</f>
        <v>-</v>
      </c>
      <c r="V436" s="8" t="str">
        <f>IF($F436&lt;=$C$16*12,G436-$C$10-'RE Calculations'!$C623-'Mortgage Calculators (By Month)'!$F454,"-")</f>
        <v>-</v>
      </c>
      <c r="W436" s="29" t="str">
        <f t="shared" si="202"/>
        <v>-</v>
      </c>
      <c r="X436" s="31" t="str">
        <f t="shared" si="203"/>
        <v>-</v>
      </c>
      <c r="Y436" s="8" t="str">
        <f t="shared" si="204"/>
        <v>-</v>
      </c>
      <c r="Z436" s="29" t="str">
        <f t="shared" si="205"/>
        <v>-</v>
      </c>
      <c r="AA436" s="31" t="str">
        <f t="shared" si="206"/>
        <v>-</v>
      </c>
      <c r="AD436" s="12" t="str">
        <f t="shared" si="192"/>
        <v>-</v>
      </c>
      <c r="AE436" s="8" t="str">
        <f t="shared" si="193"/>
        <v>-</v>
      </c>
      <c r="AF436" s="8" t="str">
        <f>IF($AD436&lt;=$C$25*12,$AE436-$C$7+SUM('Mortgage Calculators (By Month)'!$K$23:$K454),"-")</f>
        <v>-</v>
      </c>
      <c r="AG436" s="8" t="str">
        <f t="shared" si="207"/>
        <v>-</v>
      </c>
      <c r="AH436" s="8" t="str">
        <f>IF($AD436&lt;=$C$25*12,SUM(Inputs!$C$61:$C$78)*'Forecast (By Month)'!AG436,"-")</f>
        <v>-</v>
      </c>
      <c r="AI436" s="8" t="str">
        <f>IF($AD436&lt;=$C$25*12,(SUMIF(Inputs!$C$61:$C$78,0,Inputs!$F$61:$F$78)/12)*(1+$C$34)^ROUNDDOWN((AD436-1)/12,0),"-")</f>
        <v>-</v>
      </c>
      <c r="AJ436" s="8" t="str">
        <f t="shared" si="208"/>
        <v>-</v>
      </c>
      <c r="AK436" s="8" t="str">
        <f>IF($AD436&lt;=$C$25*12,'Mortgage Calculators (By Month)'!$J454,"-")</f>
        <v>-</v>
      </c>
      <c r="AL436" s="8" t="str">
        <f>IF($AD436&lt;=$C$25*12,'Mortgage Calculators (By Month)'!$K454,"-")</f>
        <v>-</v>
      </c>
      <c r="AM436" s="8" t="str">
        <f>IF($AD436&lt;=$C$25*12,'Mortgage Calculators (By Month)'!$L454,"-")</f>
        <v>-</v>
      </c>
      <c r="AN436" s="8" t="str">
        <f t="shared" si="195"/>
        <v>-</v>
      </c>
      <c r="AO436" s="8" t="str">
        <f t="shared" si="209"/>
        <v>-</v>
      </c>
      <c r="AP436" s="8" t="str">
        <f t="shared" si="210"/>
        <v>-</v>
      </c>
      <c r="AQ436" s="8" t="str">
        <f t="shared" si="211"/>
        <v>-</v>
      </c>
      <c r="AR436" s="8" t="str">
        <f t="shared" si="212"/>
        <v>-</v>
      </c>
      <c r="AS436" s="8" t="str">
        <f>IF($AD436&lt;=$C$25*12,SUM(AR$5:AR436),"-")</f>
        <v>-</v>
      </c>
      <c r="AT436" s="8" t="str">
        <f>IF($AD436&lt;=$C$25*12,AE436-$C$10-'RE Calculations'!$C623-'Mortgage Calculators (By Month)'!$M454,"-")</f>
        <v>-</v>
      </c>
      <c r="AU436" s="29" t="str">
        <f t="shared" si="213"/>
        <v>-</v>
      </c>
      <c r="AV436" s="31" t="str">
        <f t="shared" si="214"/>
        <v>-</v>
      </c>
      <c r="AW436" s="8" t="str">
        <f t="shared" si="215"/>
        <v>-</v>
      </c>
      <c r="AX436" s="29" t="str">
        <f t="shared" si="216"/>
        <v>-</v>
      </c>
      <c r="AY436" s="31" t="str">
        <f t="shared" si="217"/>
        <v>-</v>
      </c>
    </row>
    <row r="437" spans="6:51" x14ac:dyDescent="0.35">
      <c r="F437" s="12" t="str">
        <f t="shared" si="190"/>
        <v>-</v>
      </c>
      <c r="G437" s="8" t="str">
        <f t="shared" si="191"/>
        <v>-</v>
      </c>
      <c r="H437" s="8" t="str">
        <f>IF($F437&lt;=$C$16*12,$G437-$C$7+SUM('Mortgage Calculators (By Month)'!$D$23:$D455),"-")</f>
        <v>-</v>
      </c>
      <c r="I437" s="8" t="str">
        <f t="shared" si="196"/>
        <v>-</v>
      </c>
      <c r="J437" s="8" t="str">
        <f>IF($F437&lt;=$C$16*12,SUM(Inputs!$C$61:$C$78)*'Forecast (By Month)'!I437,"-")</f>
        <v>-</v>
      </c>
      <c r="K437" s="8" t="str">
        <f>IF($F437&lt;=$C$16*12,(SUMIF(Inputs!$C$61:$C$78,0,Inputs!$F$61:$F$78)/12)*(1+$C$34)^ROUNDDOWN((F437-1)/12,0),"-")</f>
        <v>-</v>
      </c>
      <c r="L437" s="8" t="str">
        <f t="shared" si="197"/>
        <v>-</v>
      </c>
      <c r="M437" s="8" t="str">
        <f>IF($F437&lt;=$C$16*12,'Mortgage Calculators (By Month)'!$C455,"-")</f>
        <v>-</v>
      </c>
      <c r="N437" s="8" t="str">
        <f>IF($F437&lt;=$C$16*12,'Mortgage Calculators (By Month)'!$D455,"-")</f>
        <v>-</v>
      </c>
      <c r="O437" s="8" t="str">
        <f>IF($F437&lt;=$C$16*12,'Mortgage Calculators (By Month)'!$E455,"-")</f>
        <v>-</v>
      </c>
      <c r="P437" s="8" t="str">
        <f t="shared" si="194"/>
        <v>-</v>
      </c>
      <c r="Q437" s="8" t="str">
        <f t="shared" si="198"/>
        <v>-</v>
      </c>
      <c r="R437" s="8" t="str">
        <f t="shared" si="199"/>
        <v>-</v>
      </c>
      <c r="S437" s="8" t="str">
        <f t="shared" si="200"/>
        <v>-</v>
      </c>
      <c r="T437" s="8" t="str">
        <f t="shared" si="201"/>
        <v>-</v>
      </c>
      <c r="U437" s="8" t="str">
        <f>IF($F437&lt;=$C$16*12,SUM(T$5:T437),"-")</f>
        <v>-</v>
      </c>
      <c r="V437" s="8" t="str">
        <f>IF($F437&lt;=$C$16*12,G437-$C$10-'RE Calculations'!$C624-'Mortgage Calculators (By Month)'!$F455,"-")</f>
        <v>-</v>
      </c>
      <c r="W437" s="29" t="str">
        <f t="shared" si="202"/>
        <v>-</v>
      </c>
      <c r="X437" s="31" t="str">
        <f t="shared" si="203"/>
        <v>-</v>
      </c>
      <c r="Y437" s="8" t="str">
        <f t="shared" si="204"/>
        <v>-</v>
      </c>
      <c r="Z437" s="29" t="str">
        <f t="shared" si="205"/>
        <v>-</v>
      </c>
      <c r="AA437" s="31" t="str">
        <f t="shared" si="206"/>
        <v>-</v>
      </c>
      <c r="AD437" s="12" t="str">
        <f t="shared" si="192"/>
        <v>-</v>
      </c>
      <c r="AE437" s="8" t="str">
        <f t="shared" si="193"/>
        <v>-</v>
      </c>
      <c r="AF437" s="8" t="str">
        <f>IF($AD437&lt;=$C$25*12,$AE437-$C$7+SUM('Mortgage Calculators (By Month)'!$K$23:$K455),"-")</f>
        <v>-</v>
      </c>
      <c r="AG437" s="8" t="str">
        <f t="shared" si="207"/>
        <v>-</v>
      </c>
      <c r="AH437" s="8" t="str">
        <f>IF($AD437&lt;=$C$25*12,SUM(Inputs!$C$61:$C$78)*'Forecast (By Month)'!AG437,"-")</f>
        <v>-</v>
      </c>
      <c r="AI437" s="8" t="str">
        <f>IF($AD437&lt;=$C$25*12,(SUMIF(Inputs!$C$61:$C$78,0,Inputs!$F$61:$F$78)/12)*(1+$C$34)^ROUNDDOWN((AD437-1)/12,0),"-")</f>
        <v>-</v>
      </c>
      <c r="AJ437" s="8" t="str">
        <f t="shared" si="208"/>
        <v>-</v>
      </c>
      <c r="AK437" s="8" t="str">
        <f>IF($AD437&lt;=$C$25*12,'Mortgage Calculators (By Month)'!$J455,"-")</f>
        <v>-</v>
      </c>
      <c r="AL437" s="8" t="str">
        <f>IF($AD437&lt;=$C$25*12,'Mortgage Calculators (By Month)'!$K455,"-")</f>
        <v>-</v>
      </c>
      <c r="AM437" s="8" t="str">
        <f>IF($AD437&lt;=$C$25*12,'Mortgage Calculators (By Month)'!$L455,"-")</f>
        <v>-</v>
      </c>
      <c r="AN437" s="8" t="str">
        <f t="shared" si="195"/>
        <v>-</v>
      </c>
      <c r="AO437" s="8" t="str">
        <f t="shared" si="209"/>
        <v>-</v>
      </c>
      <c r="AP437" s="8" t="str">
        <f t="shared" si="210"/>
        <v>-</v>
      </c>
      <c r="AQ437" s="8" t="str">
        <f t="shared" si="211"/>
        <v>-</v>
      </c>
      <c r="AR437" s="8" t="str">
        <f t="shared" si="212"/>
        <v>-</v>
      </c>
      <c r="AS437" s="8" t="str">
        <f>IF($AD437&lt;=$C$25*12,SUM(AR$5:AR437),"-")</f>
        <v>-</v>
      </c>
      <c r="AT437" s="8" t="str">
        <f>IF($AD437&lt;=$C$25*12,AE437-$C$10-'RE Calculations'!$C624-'Mortgage Calculators (By Month)'!$M455,"-")</f>
        <v>-</v>
      </c>
      <c r="AU437" s="29" t="str">
        <f t="shared" si="213"/>
        <v>-</v>
      </c>
      <c r="AV437" s="31" t="str">
        <f t="shared" si="214"/>
        <v>-</v>
      </c>
      <c r="AW437" s="8" t="str">
        <f t="shared" si="215"/>
        <v>-</v>
      </c>
      <c r="AX437" s="29" t="str">
        <f t="shared" si="216"/>
        <v>-</v>
      </c>
      <c r="AY437" s="31" t="str">
        <f t="shared" si="217"/>
        <v>-</v>
      </c>
    </row>
    <row r="438" spans="6:51" x14ac:dyDescent="0.35">
      <c r="F438" s="12" t="str">
        <f t="shared" si="190"/>
        <v>-</v>
      </c>
      <c r="G438" s="8" t="str">
        <f t="shared" si="191"/>
        <v>-</v>
      </c>
      <c r="H438" s="8" t="str">
        <f>IF($F438&lt;=$C$16*12,$G438-$C$7+SUM('Mortgage Calculators (By Month)'!$D$23:$D456),"-")</f>
        <v>-</v>
      </c>
      <c r="I438" s="8" t="str">
        <f t="shared" si="196"/>
        <v>-</v>
      </c>
      <c r="J438" s="8" t="str">
        <f>IF($F438&lt;=$C$16*12,SUM(Inputs!$C$61:$C$78)*'Forecast (By Month)'!I438,"-")</f>
        <v>-</v>
      </c>
      <c r="K438" s="8" t="str">
        <f>IF($F438&lt;=$C$16*12,(SUMIF(Inputs!$C$61:$C$78,0,Inputs!$F$61:$F$78)/12)*(1+$C$34)^ROUNDDOWN((F438-1)/12,0),"-")</f>
        <v>-</v>
      </c>
      <c r="L438" s="8" t="str">
        <f t="shared" si="197"/>
        <v>-</v>
      </c>
      <c r="M438" s="8" t="str">
        <f>IF($F438&lt;=$C$16*12,'Mortgage Calculators (By Month)'!$C456,"-")</f>
        <v>-</v>
      </c>
      <c r="N438" s="8" t="str">
        <f>IF($F438&lt;=$C$16*12,'Mortgage Calculators (By Month)'!$D456,"-")</f>
        <v>-</v>
      </c>
      <c r="O438" s="8" t="str">
        <f>IF($F438&lt;=$C$16*12,'Mortgage Calculators (By Month)'!$E456,"-")</f>
        <v>-</v>
      </c>
      <c r="P438" s="8" t="str">
        <f t="shared" si="194"/>
        <v>-</v>
      </c>
      <c r="Q438" s="8" t="str">
        <f t="shared" si="198"/>
        <v>-</v>
      </c>
      <c r="R438" s="8" t="str">
        <f t="shared" si="199"/>
        <v>-</v>
      </c>
      <c r="S438" s="8" t="str">
        <f t="shared" si="200"/>
        <v>-</v>
      </c>
      <c r="T438" s="8" t="str">
        <f t="shared" si="201"/>
        <v>-</v>
      </c>
      <c r="U438" s="8" t="str">
        <f>IF($F438&lt;=$C$16*12,SUM(T$5:T438),"-")</f>
        <v>-</v>
      </c>
      <c r="V438" s="8" t="str">
        <f>IF($F438&lt;=$C$16*12,G438-$C$10-'RE Calculations'!$C625-'Mortgage Calculators (By Month)'!$F456,"-")</f>
        <v>-</v>
      </c>
      <c r="W438" s="29" t="str">
        <f t="shared" si="202"/>
        <v>-</v>
      </c>
      <c r="X438" s="31" t="str">
        <f t="shared" si="203"/>
        <v>-</v>
      </c>
      <c r="Y438" s="8" t="str">
        <f t="shared" si="204"/>
        <v>-</v>
      </c>
      <c r="Z438" s="29" t="str">
        <f t="shared" si="205"/>
        <v>-</v>
      </c>
      <c r="AA438" s="31" t="str">
        <f t="shared" si="206"/>
        <v>-</v>
      </c>
      <c r="AD438" s="12" t="str">
        <f t="shared" si="192"/>
        <v>-</v>
      </c>
      <c r="AE438" s="8" t="str">
        <f t="shared" si="193"/>
        <v>-</v>
      </c>
      <c r="AF438" s="8" t="str">
        <f>IF($AD438&lt;=$C$25*12,$AE438-$C$7+SUM('Mortgage Calculators (By Month)'!$K$23:$K456),"-")</f>
        <v>-</v>
      </c>
      <c r="AG438" s="8" t="str">
        <f t="shared" si="207"/>
        <v>-</v>
      </c>
      <c r="AH438" s="8" t="str">
        <f>IF($AD438&lt;=$C$25*12,SUM(Inputs!$C$61:$C$78)*'Forecast (By Month)'!AG438,"-")</f>
        <v>-</v>
      </c>
      <c r="AI438" s="8" t="str">
        <f>IF($AD438&lt;=$C$25*12,(SUMIF(Inputs!$C$61:$C$78,0,Inputs!$F$61:$F$78)/12)*(1+$C$34)^ROUNDDOWN((AD438-1)/12,0),"-")</f>
        <v>-</v>
      </c>
      <c r="AJ438" s="8" t="str">
        <f t="shared" si="208"/>
        <v>-</v>
      </c>
      <c r="AK438" s="8" t="str">
        <f>IF($AD438&lt;=$C$25*12,'Mortgage Calculators (By Month)'!$J456,"-")</f>
        <v>-</v>
      </c>
      <c r="AL438" s="8" t="str">
        <f>IF($AD438&lt;=$C$25*12,'Mortgage Calculators (By Month)'!$K456,"-")</f>
        <v>-</v>
      </c>
      <c r="AM438" s="8" t="str">
        <f>IF($AD438&lt;=$C$25*12,'Mortgage Calculators (By Month)'!$L456,"-")</f>
        <v>-</v>
      </c>
      <c r="AN438" s="8" t="str">
        <f t="shared" si="195"/>
        <v>-</v>
      </c>
      <c r="AO438" s="8" t="str">
        <f t="shared" si="209"/>
        <v>-</v>
      </c>
      <c r="AP438" s="8" t="str">
        <f t="shared" si="210"/>
        <v>-</v>
      </c>
      <c r="AQ438" s="8" t="str">
        <f t="shared" si="211"/>
        <v>-</v>
      </c>
      <c r="AR438" s="8" t="str">
        <f t="shared" si="212"/>
        <v>-</v>
      </c>
      <c r="AS438" s="8" t="str">
        <f>IF($AD438&lt;=$C$25*12,SUM(AR$5:AR438),"-")</f>
        <v>-</v>
      </c>
      <c r="AT438" s="8" t="str">
        <f>IF($AD438&lt;=$C$25*12,AE438-$C$10-'RE Calculations'!$C625-'Mortgage Calculators (By Month)'!$M456,"-")</f>
        <v>-</v>
      </c>
      <c r="AU438" s="29" t="str">
        <f t="shared" si="213"/>
        <v>-</v>
      </c>
      <c r="AV438" s="31" t="str">
        <f t="shared" si="214"/>
        <v>-</v>
      </c>
      <c r="AW438" s="8" t="str">
        <f t="shared" si="215"/>
        <v>-</v>
      </c>
      <c r="AX438" s="29" t="str">
        <f t="shared" si="216"/>
        <v>-</v>
      </c>
      <c r="AY438" s="31" t="str">
        <f t="shared" si="217"/>
        <v>-</v>
      </c>
    </row>
    <row r="439" spans="6:51" x14ac:dyDescent="0.35">
      <c r="F439" s="12" t="str">
        <f t="shared" si="190"/>
        <v>-</v>
      </c>
      <c r="G439" s="8" t="str">
        <f t="shared" si="191"/>
        <v>-</v>
      </c>
      <c r="H439" s="8" t="str">
        <f>IF($F439&lt;=$C$16*12,$G439-$C$7+SUM('Mortgage Calculators (By Month)'!$D$23:$D457),"-")</f>
        <v>-</v>
      </c>
      <c r="I439" s="8" t="str">
        <f t="shared" si="196"/>
        <v>-</v>
      </c>
      <c r="J439" s="8" t="str">
        <f>IF($F439&lt;=$C$16*12,SUM(Inputs!$C$61:$C$78)*'Forecast (By Month)'!I439,"-")</f>
        <v>-</v>
      </c>
      <c r="K439" s="8" t="str">
        <f>IF($F439&lt;=$C$16*12,(SUMIF(Inputs!$C$61:$C$78,0,Inputs!$F$61:$F$78)/12)*(1+$C$34)^ROUNDDOWN((F439-1)/12,0),"-")</f>
        <v>-</v>
      </c>
      <c r="L439" s="8" t="str">
        <f t="shared" si="197"/>
        <v>-</v>
      </c>
      <c r="M439" s="8" t="str">
        <f>IF($F439&lt;=$C$16*12,'Mortgage Calculators (By Month)'!$C457,"-")</f>
        <v>-</v>
      </c>
      <c r="N439" s="8" t="str">
        <f>IF($F439&lt;=$C$16*12,'Mortgage Calculators (By Month)'!$D457,"-")</f>
        <v>-</v>
      </c>
      <c r="O439" s="8" t="str">
        <f>IF($F439&lt;=$C$16*12,'Mortgage Calculators (By Month)'!$E457,"-")</f>
        <v>-</v>
      </c>
      <c r="P439" s="8" t="str">
        <f t="shared" si="194"/>
        <v>-</v>
      </c>
      <c r="Q439" s="8" t="str">
        <f t="shared" si="198"/>
        <v>-</v>
      </c>
      <c r="R439" s="8" t="str">
        <f t="shared" si="199"/>
        <v>-</v>
      </c>
      <c r="S439" s="8" t="str">
        <f t="shared" si="200"/>
        <v>-</v>
      </c>
      <c r="T439" s="8" t="str">
        <f t="shared" si="201"/>
        <v>-</v>
      </c>
      <c r="U439" s="8" t="str">
        <f>IF($F439&lt;=$C$16*12,SUM(T$5:T439),"-")</f>
        <v>-</v>
      </c>
      <c r="V439" s="8" t="str">
        <f>IF($F439&lt;=$C$16*12,G439-$C$10-'RE Calculations'!$C626-'Mortgage Calculators (By Month)'!$F457,"-")</f>
        <v>-</v>
      </c>
      <c r="W439" s="29" t="str">
        <f t="shared" si="202"/>
        <v>-</v>
      </c>
      <c r="X439" s="31" t="str">
        <f t="shared" si="203"/>
        <v>-</v>
      </c>
      <c r="Y439" s="8" t="str">
        <f t="shared" si="204"/>
        <v>-</v>
      </c>
      <c r="Z439" s="29" t="str">
        <f t="shared" si="205"/>
        <v>-</v>
      </c>
      <c r="AA439" s="31" t="str">
        <f t="shared" si="206"/>
        <v>-</v>
      </c>
      <c r="AD439" s="12" t="str">
        <f t="shared" si="192"/>
        <v>-</v>
      </c>
      <c r="AE439" s="8" t="str">
        <f t="shared" si="193"/>
        <v>-</v>
      </c>
      <c r="AF439" s="8" t="str">
        <f>IF($AD439&lt;=$C$25*12,$AE439-$C$7+SUM('Mortgage Calculators (By Month)'!$K$23:$K457),"-")</f>
        <v>-</v>
      </c>
      <c r="AG439" s="8" t="str">
        <f t="shared" si="207"/>
        <v>-</v>
      </c>
      <c r="AH439" s="8" t="str">
        <f>IF($AD439&lt;=$C$25*12,SUM(Inputs!$C$61:$C$78)*'Forecast (By Month)'!AG439,"-")</f>
        <v>-</v>
      </c>
      <c r="AI439" s="8" t="str">
        <f>IF($AD439&lt;=$C$25*12,(SUMIF(Inputs!$C$61:$C$78,0,Inputs!$F$61:$F$78)/12)*(1+$C$34)^ROUNDDOWN((AD439-1)/12,0),"-")</f>
        <v>-</v>
      </c>
      <c r="AJ439" s="8" t="str">
        <f t="shared" si="208"/>
        <v>-</v>
      </c>
      <c r="AK439" s="8" t="str">
        <f>IF($AD439&lt;=$C$25*12,'Mortgage Calculators (By Month)'!$J457,"-")</f>
        <v>-</v>
      </c>
      <c r="AL439" s="8" t="str">
        <f>IF($AD439&lt;=$C$25*12,'Mortgage Calculators (By Month)'!$K457,"-")</f>
        <v>-</v>
      </c>
      <c r="AM439" s="8" t="str">
        <f>IF($AD439&lt;=$C$25*12,'Mortgage Calculators (By Month)'!$L457,"-")</f>
        <v>-</v>
      </c>
      <c r="AN439" s="8" t="str">
        <f t="shared" si="195"/>
        <v>-</v>
      </c>
      <c r="AO439" s="8" t="str">
        <f t="shared" si="209"/>
        <v>-</v>
      </c>
      <c r="AP439" s="8" t="str">
        <f t="shared" si="210"/>
        <v>-</v>
      </c>
      <c r="AQ439" s="8" t="str">
        <f t="shared" si="211"/>
        <v>-</v>
      </c>
      <c r="AR439" s="8" t="str">
        <f t="shared" si="212"/>
        <v>-</v>
      </c>
      <c r="AS439" s="8" t="str">
        <f>IF($AD439&lt;=$C$25*12,SUM(AR$5:AR439),"-")</f>
        <v>-</v>
      </c>
      <c r="AT439" s="8" t="str">
        <f>IF($AD439&lt;=$C$25*12,AE439-$C$10-'RE Calculations'!$C626-'Mortgage Calculators (By Month)'!$M457,"-")</f>
        <v>-</v>
      </c>
      <c r="AU439" s="29" t="str">
        <f t="shared" si="213"/>
        <v>-</v>
      </c>
      <c r="AV439" s="31" t="str">
        <f t="shared" si="214"/>
        <v>-</v>
      </c>
      <c r="AW439" s="8" t="str">
        <f t="shared" si="215"/>
        <v>-</v>
      </c>
      <c r="AX439" s="29" t="str">
        <f t="shared" si="216"/>
        <v>-</v>
      </c>
      <c r="AY439" s="31" t="str">
        <f t="shared" si="217"/>
        <v>-</v>
      </c>
    </row>
    <row r="440" spans="6:51" x14ac:dyDescent="0.35">
      <c r="F440" s="12" t="str">
        <f t="shared" si="190"/>
        <v>-</v>
      </c>
      <c r="G440" s="8" t="str">
        <f t="shared" si="191"/>
        <v>-</v>
      </c>
      <c r="H440" s="8" t="str">
        <f>IF($F440&lt;=$C$16*12,$G440-$C$7+SUM('Mortgage Calculators (By Month)'!$D$23:$D458),"-")</f>
        <v>-</v>
      </c>
      <c r="I440" s="8" t="str">
        <f t="shared" si="196"/>
        <v>-</v>
      </c>
      <c r="J440" s="8" t="str">
        <f>IF($F440&lt;=$C$16*12,SUM(Inputs!$C$61:$C$78)*'Forecast (By Month)'!I440,"-")</f>
        <v>-</v>
      </c>
      <c r="K440" s="8" t="str">
        <f>IF($F440&lt;=$C$16*12,(SUMIF(Inputs!$C$61:$C$78,0,Inputs!$F$61:$F$78)/12)*(1+$C$34)^ROUNDDOWN((F440-1)/12,0),"-")</f>
        <v>-</v>
      </c>
      <c r="L440" s="8" t="str">
        <f t="shared" si="197"/>
        <v>-</v>
      </c>
      <c r="M440" s="8" t="str">
        <f>IF($F440&lt;=$C$16*12,'Mortgage Calculators (By Month)'!$C458,"-")</f>
        <v>-</v>
      </c>
      <c r="N440" s="8" t="str">
        <f>IF($F440&lt;=$C$16*12,'Mortgage Calculators (By Month)'!$D458,"-")</f>
        <v>-</v>
      </c>
      <c r="O440" s="8" t="str">
        <f>IF($F440&lt;=$C$16*12,'Mortgage Calculators (By Month)'!$E458,"-")</f>
        <v>-</v>
      </c>
      <c r="P440" s="8" t="str">
        <f t="shared" si="194"/>
        <v>-</v>
      </c>
      <c r="Q440" s="8" t="str">
        <f t="shared" si="198"/>
        <v>-</v>
      </c>
      <c r="R440" s="8" t="str">
        <f t="shared" si="199"/>
        <v>-</v>
      </c>
      <c r="S440" s="8" t="str">
        <f t="shared" si="200"/>
        <v>-</v>
      </c>
      <c r="T440" s="8" t="str">
        <f t="shared" si="201"/>
        <v>-</v>
      </c>
      <c r="U440" s="8" t="str">
        <f>IF($F440&lt;=$C$16*12,SUM(T$5:T440),"-")</f>
        <v>-</v>
      </c>
      <c r="V440" s="8" t="str">
        <f>IF($F440&lt;=$C$16*12,G440-$C$10-'RE Calculations'!$C627-'Mortgage Calculators (By Month)'!$F458,"-")</f>
        <v>-</v>
      </c>
      <c r="W440" s="29" t="str">
        <f t="shared" si="202"/>
        <v>-</v>
      </c>
      <c r="X440" s="31" t="str">
        <f t="shared" si="203"/>
        <v>-</v>
      </c>
      <c r="Y440" s="8" t="str">
        <f t="shared" si="204"/>
        <v>-</v>
      </c>
      <c r="Z440" s="29" t="str">
        <f t="shared" si="205"/>
        <v>-</v>
      </c>
      <c r="AA440" s="31" t="str">
        <f t="shared" si="206"/>
        <v>-</v>
      </c>
      <c r="AD440" s="12" t="str">
        <f t="shared" si="192"/>
        <v>-</v>
      </c>
      <c r="AE440" s="8" t="str">
        <f t="shared" si="193"/>
        <v>-</v>
      </c>
      <c r="AF440" s="8" t="str">
        <f>IF($AD440&lt;=$C$25*12,$AE440-$C$7+SUM('Mortgage Calculators (By Month)'!$K$23:$K458),"-")</f>
        <v>-</v>
      </c>
      <c r="AG440" s="8" t="str">
        <f t="shared" si="207"/>
        <v>-</v>
      </c>
      <c r="AH440" s="8" t="str">
        <f>IF($AD440&lt;=$C$25*12,SUM(Inputs!$C$61:$C$78)*'Forecast (By Month)'!AG440,"-")</f>
        <v>-</v>
      </c>
      <c r="AI440" s="8" t="str">
        <f>IF($AD440&lt;=$C$25*12,(SUMIF(Inputs!$C$61:$C$78,0,Inputs!$F$61:$F$78)/12)*(1+$C$34)^ROUNDDOWN((AD440-1)/12,0),"-")</f>
        <v>-</v>
      </c>
      <c r="AJ440" s="8" t="str">
        <f t="shared" si="208"/>
        <v>-</v>
      </c>
      <c r="AK440" s="8" t="str">
        <f>IF($AD440&lt;=$C$25*12,'Mortgage Calculators (By Month)'!$J458,"-")</f>
        <v>-</v>
      </c>
      <c r="AL440" s="8" t="str">
        <f>IF($AD440&lt;=$C$25*12,'Mortgage Calculators (By Month)'!$K458,"-")</f>
        <v>-</v>
      </c>
      <c r="AM440" s="8" t="str">
        <f>IF($AD440&lt;=$C$25*12,'Mortgage Calculators (By Month)'!$L458,"-")</f>
        <v>-</v>
      </c>
      <c r="AN440" s="8" t="str">
        <f t="shared" si="195"/>
        <v>-</v>
      </c>
      <c r="AO440" s="8" t="str">
        <f t="shared" si="209"/>
        <v>-</v>
      </c>
      <c r="AP440" s="8" t="str">
        <f t="shared" si="210"/>
        <v>-</v>
      </c>
      <c r="AQ440" s="8" t="str">
        <f t="shared" si="211"/>
        <v>-</v>
      </c>
      <c r="AR440" s="8" t="str">
        <f t="shared" si="212"/>
        <v>-</v>
      </c>
      <c r="AS440" s="8" t="str">
        <f>IF($AD440&lt;=$C$25*12,SUM(AR$5:AR440),"-")</f>
        <v>-</v>
      </c>
      <c r="AT440" s="8" t="str">
        <f>IF($AD440&lt;=$C$25*12,AE440-$C$10-'RE Calculations'!$C627-'Mortgage Calculators (By Month)'!$M458,"-")</f>
        <v>-</v>
      </c>
      <c r="AU440" s="29" t="str">
        <f t="shared" si="213"/>
        <v>-</v>
      </c>
      <c r="AV440" s="31" t="str">
        <f t="shared" si="214"/>
        <v>-</v>
      </c>
      <c r="AW440" s="8" t="str">
        <f t="shared" si="215"/>
        <v>-</v>
      </c>
      <c r="AX440" s="29" t="str">
        <f t="shared" si="216"/>
        <v>-</v>
      </c>
      <c r="AY440" s="31" t="str">
        <f t="shared" si="217"/>
        <v>-</v>
      </c>
    </row>
    <row r="441" spans="6:51" x14ac:dyDescent="0.35">
      <c r="F441" s="12" t="str">
        <f t="shared" si="190"/>
        <v>-</v>
      </c>
      <c r="G441" s="8" t="str">
        <f t="shared" si="191"/>
        <v>-</v>
      </c>
      <c r="H441" s="8" t="str">
        <f>IF($F441&lt;=$C$16*12,$G441-$C$7+SUM('Mortgage Calculators (By Month)'!$D$23:$D459),"-")</f>
        <v>-</v>
      </c>
      <c r="I441" s="8" t="str">
        <f t="shared" si="196"/>
        <v>-</v>
      </c>
      <c r="J441" s="8" t="str">
        <f>IF($F441&lt;=$C$16*12,SUM(Inputs!$C$61:$C$78)*'Forecast (By Month)'!I441,"-")</f>
        <v>-</v>
      </c>
      <c r="K441" s="8" t="str">
        <f>IF($F441&lt;=$C$16*12,(SUMIF(Inputs!$C$61:$C$78,0,Inputs!$F$61:$F$78)/12)*(1+$C$34)^ROUNDDOWN((F441-1)/12,0),"-")</f>
        <v>-</v>
      </c>
      <c r="L441" s="8" t="str">
        <f t="shared" si="197"/>
        <v>-</v>
      </c>
      <c r="M441" s="8" t="str">
        <f>IF($F441&lt;=$C$16*12,'Mortgage Calculators (By Month)'!$C459,"-")</f>
        <v>-</v>
      </c>
      <c r="N441" s="8" t="str">
        <f>IF($F441&lt;=$C$16*12,'Mortgage Calculators (By Month)'!$D459,"-")</f>
        <v>-</v>
      </c>
      <c r="O441" s="8" t="str">
        <f>IF($F441&lt;=$C$16*12,'Mortgage Calculators (By Month)'!$E459,"-")</f>
        <v>-</v>
      </c>
      <c r="P441" s="8" t="str">
        <f t="shared" si="194"/>
        <v>-</v>
      </c>
      <c r="Q441" s="8" t="str">
        <f t="shared" si="198"/>
        <v>-</v>
      </c>
      <c r="R441" s="8" t="str">
        <f t="shared" si="199"/>
        <v>-</v>
      </c>
      <c r="S441" s="8" t="str">
        <f t="shared" si="200"/>
        <v>-</v>
      </c>
      <c r="T441" s="8" t="str">
        <f t="shared" si="201"/>
        <v>-</v>
      </c>
      <c r="U441" s="8" t="str">
        <f>IF($F441&lt;=$C$16*12,SUM(T$5:T441),"-")</f>
        <v>-</v>
      </c>
      <c r="V441" s="8" t="str">
        <f>IF($F441&lt;=$C$16*12,G441-$C$10-'RE Calculations'!$C628-'Mortgage Calculators (By Month)'!$F459,"-")</f>
        <v>-</v>
      </c>
      <c r="W441" s="29" t="str">
        <f t="shared" si="202"/>
        <v>-</v>
      </c>
      <c r="X441" s="31" t="str">
        <f t="shared" si="203"/>
        <v>-</v>
      </c>
      <c r="Y441" s="8" t="str">
        <f t="shared" si="204"/>
        <v>-</v>
      </c>
      <c r="Z441" s="29" t="str">
        <f t="shared" si="205"/>
        <v>-</v>
      </c>
      <c r="AA441" s="31" t="str">
        <f t="shared" si="206"/>
        <v>-</v>
      </c>
      <c r="AD441" s="12" t="str">
        <f t="shared" si="192"/>
        <v>-</v>
      </c>
      <c r="AE441" s="8" t="str">
        <f t="shared" si="193"/>
        <v>-</v>
      </c>
      <c r="AF441" s="8" t="str">
        <f>IF($AD441&lt;=$C$25*12,$AE441-$C$7+SUM('Mortgage Calculators (By Month)'!$K$23:$K459),"-")</f>
        <v>-</v>
      </c>
      <c r="AG441" s="8" t="str">
        <f t="shared" si="207"/>
        <v>-</v>
      </c>
      <c r="AH441" s="8" t="str">
        <f>IF($AD441&lt;=$C$25*12,SUM(Inputs!$C$61:$C$78)*'Forecast (By Month)'!AG441,"-")</f>
        <v>-</v>
      </c>
      <c r="AI441" s="8" t="str">
        <f>IF($AD441&lt;=$C$25*12,(SUMIF(Inputs!$C$61:$C$78,0,Inputs!$F$61:$F$78)/12)*(1+$C$34)^ROUNDDOWN((AD441-1)/12,0),"-")</f>
        <v>-</v>
      </c>
      <c r="AJ441" s="8" t="str">
        <f t="shared" si="208"/>
        <v>-</v>
      </c>
      <c r="AK441" s="8" t="str">
        <f>IF($AD441&lt;=$C$25*12,'Mortgage Calculators (By Month)'!$J459,"-")</f>
        <v>-</v>
      </c>
      <c r="AL441" s="8" t="str">
        <f>IF($AD441&lt;=$C$25*12,'Mortgage Calculators (By Month)'!$K459,"-")</f>
        <v>-</v>
      </c>
      <c r="AM441" s="8" t="str">
        <f>IF($AD441&lt;=$C$25*12,'Mortgage Calculators (By Month)'!$L459,"-")</f>
        <v>-</v>
      </c>
      <c r="AN441" s="8" t="str">
        <f t="shared" si="195"/>
        <v>-</v>
      </c>
      <c r="AO441" s="8" t="str">
        <f t="shared" si="209"/>
        <v>-</v>
      </c>
      <c r="AP441" s="8" t="str">
        <f t="shared" si="210"/>
        <v>-</v>
      </c>
      <c r="AQ441" s="8" t="str">
        <f t="shared" si="211"/>
        <v>-</v>
      </c>
      <c r="AR441" s="8" t="str">
        <f t="shared" si="212"/>
        <v>-</v>
      </c>
      <c r="AS441" s="8" t="str">
        <f>IF($AD441&lt;=$C$25*12,SUM(AR$5:AR441),"-")</f>
        <v>-</v>
      </c>
      <c r="AT441" s="8" t="str">
        <f>IF($AD441&lt;=$C$25*12,AE441-$C$10-'RE Calculations'!$C628-'Mortgage Calculators (By Month)'!$M459,"-")</f>
        <v>-</v>
      </c>
      <c r="AU441" s="29" t="str">
        <f t="shared" si="213"/>
        <v>-</v>
      </c>
      <c r="AV441" s="31" t="str">
        <f t="shared" si="214"/>
        <v>-</v>
      </c>
      <c r="AW441" s="8" t="str">
        <f t="shared" si="215"/>
        <v>-</v>
      </c>
      <c r="AX441" s="29" t="str">
        <f t="shared" si="216"/>
        <v>-</v>
      </c>
      <c r="AY441" s="31" t="str">
        <f t="shared" si="217"/>
        <v>-</v>
      </c>
    </row>
    <row r="442" spans="6:51" x14ac:dyDescent="0.35">
      <c r="F442" s="12" t="str">
        <f t="shared" si="190"/>
        <v>-</v>
      </c>
      <c r="G442" s="8" t="str">
        <f t="shared" si="191"/>
        <v>-</v>
      </c>
      <c r="H442" s="8" t="str">
        <f>IF($F442&lt;=$C$16*12,$G442-$C$7+SUM('Mortgage Calculators (By Month)'!$D$23:$D460),"-")</f>
        <v>-</v>
      </c>
      <c r="I442" s="8" t="str">
        <f t="shared" si="196"/>
        <v>-</v>
      </c>
      <c r="J442" s="8" t="str">
        <f>IF($F442&lt;=$C$16*12,SUM(Inputs!$C$61:$C$78)*'Forecast (By Month)'!I442,"-")</f>
        <v>-</v>
      </c>
      <c r="K442" s="8" t="str">
        <f>IF($F442&lt;=$C$16*12,(SUMIF(Inputs!$C$61:$C$78,0,Inputs!$F$61:$F$78)/12)*(1+$C$34)^ROUNDDOWN((F442-1)/12,0),"-")</f>
        <v>-</v>
      </c>
      <c r="L442" s="8" t="str">
        <f t="shared" si="197"/>
        <v>-</v>
      </c>
      <c r="M442" s="8" t="str">
        <f>IF($F442&lt;=$C$16*12,'Mortgage Calculators (By Month)'!$C460,"-")</f>
        <v>-</v>
      </c>
      <c r="N442" s="8" t="str">
        <f>IF($F442&lt;=$C$16*12,'Mortgage Calculators (By Month)'!$D460,"-")</f>
        <v>-</v>
      </c>
      <c r="O442" s="8" t="str">
        <f>IF($F442&lt;=$C$16*12,'Mortgage Calculators (By Month)'!$E460,"-")</f>
        <v>-</v>
      </c>
      <c r="P442" s="8" t="str">
        <f t="shared" si="194"/>
        <v>-</v>
      </c>
      <c r="Q442" s="8" t="str">
        <f t="shared" si="198"/>
        <v>-</v>
      </c>
      <c r="R442" s="8" t="str">
        <f t="shared" si="199"/>
        <v>-</v>
      </c>
      <c r="S442" s="8" t="str">
        <f t="shared" si="200"/>
        <v>-</v>
      </c>
      <c r="T442" s="8" t="str">
        <f t="shared" si="201"/>
        <v>-</v>
      </c>
      <c r="U442" s="8" t="str">
        <f>IF($F442&lt;=$C$16*12,SUM(T$5:T442),"-")</f>
        <v>-</v>
      </c>
      <c r="V442" s="8" t="str">
        <f>IF($F442&lt;=$C$16*12,G442-$C$10-'RE Calculations'!$C629-'Mortgage Calculators (By Month)'!$F460,"-")</f>
        <v>-</v>
      </c>
      <c r="W442" s="29" t="str">
        <f t="shared" si="202"/>
        <v>-</v>
      </c>
      <c r="X442" s="31" t="str">
        <f t="shared" si="203"/>
        <v>-</v>
      </c>
      <c r="Y442" s="8" t="str">
        <f t="shared" si="204"/>
        <v>-</v>
      </c>
      <c r="Z442" s="29" t="str">
        <f t="shared" si="205"/>
        <v>-</v>
      </c>
      <c r="AA442" s="31" t="str">
        <f t="shared" si="206"/>
        <v>-</v>
      </c>
      <c r="AD442" s="12" t="str">
        <f t="shared" si="192"/>
        <v>-</v>
      </c>
      <c r="AE442" s="8" t="str">
        <f t="shared" si="193"/>
        <v>-</v>
      </c>
      <c r="AF442" s="8" t="str">
        <f>IF($AD442&lt;=$C$25*12,$AE442-$C$7+SUM('Mortgage Calculators (By Month)'!$K$23:$K460),"-")</f>
        <v>-</v>
      </c>
      <c r="AG442" s="8" t="str">
        <f t="shared" si="207"/>
        <v>-</v>
      </c>
      <c r="AH442" s="8" t="str">
        <f>IF($AD442&lt;=$C$25*12,SUM(Inputs!$C$61:$C$78)*'Forecast (By Month)'!AG442,"-")</f>
        <v>-</v>
      </c>
      <c r="AI442" s="8" t="str">
        <f>IF($AD442&lt;=$C$25*12,(SUMIF(Inputs!$C$61:$C$78,0,Inputs!$F$61:$F$78)/12)*(1+$C$34)^ROUNDDOWN((AD442-1)/12,0),"-")</f>
        <v>-</v>
      </c>
      <c r="AJ442" s="8" t="str">
        <f t="shared" si="208"/>
        <v>-</v>
      </c>
      <c r="AK442" s="8" t="str">
        <f>IF($AD442&lt;=$C$25*12,'Mortgage Calculators (By Month)'!$J460,"-")</f>
        <v>-</v>
      </c>
      <c r="AL442" s="8" t="str">
        <f>IF($AD442&lt;=$C$25*12,'Mortgage Calculators (By Month)'!$K460,"-")</f>
        <v>-</v>
      </c>
      <c r="AM442" s="8" t="str">
        <f>IF($AD442&lt;=$C$25*12,'Mortgage Calculators (By Month)'!$L460,"-")</f>
        <v>-</v>
      </c>
      <c r="AN442" s="8" t="str">
        <f t="shared" si="195"/>
        <v>-</v>
      </c>
      <c r="AO442" s="8" t="str">
        <f t="shared" si="209"/>
        <v>-</v>
      </c>
      <c r="AP442" s="8" t="str">
        <f t="shared" si="210"/>
        <v>-</v>
      </c>
      <c r="AQ442" s="8" t="str">
        <f t="shared" si="211"/>
        <v>-</v>
      </c>
      <c r="AR442" s="8" t="str">
        <f t="shared" si="212"/>
        <v>-</v>
      </c>
      <c r="AS442" s="8" t="str">
        <f>IF($AD442&lt;=$C$25*12,SUM(AR$5:AR442),"-")</f>
        <v>-</v>
      </c>
      <c r="AT442" s="8" t="str">
        <f>IF($AD442&lt;=$C$25*12,AE442-$C$10-'RE Calculations'!$C629-'Mortgage Calculators (By Month)'!$M460,"-")</f>
        <v>-</v>
      </c>
      <c r="AU442" s="29" t="str">
        <f t="shared" si="213"/>
        <v>-</v>
      </c>
      <c r="AV442" s="31" t="str">
        <f t="shared" si="214"/>
        <v>-</v>
      </c>
      <c r="AW442" s="8" t="str">
        <f t="shared" si="215"/>
        <v>-</v>
      </c>
      <c r="AX442" s="29" t="str">
        <f t="shared" si="216"/>
        <v>-</v>
      </c>
      <c r="AY442" s="31" t="str">
        <f t="shared" si="217"/>
        <v>-</v>
      </c>
    </row>
    <row r="443" spans="6:51" x14ac:dyDescent="0.35">
      <c r="F443" s="12" t="str">
        <f t="shared" si="190"/>
        <v>-</v>
      </c>
      <c r="G443" s="8" t="str">
        <f t="shared" si="191"/>
        <v>-</v>
      </c>
      <c r="H443" s="8" t="str">
        <f>IF($F443&lt;=$C$16*12,$G443-$C$7+SUM('Mortgage Calculators (By Month)'!$D$23:$D461),"-")</f>
        <v>-</v>
      </c>
      <c r="I443" s="8" t="str">
        <f t="shared" si="196"/>
        <v>-</v>
      </c>
      <c r="J443" s="8" t="str">
        <f>IF($F443&lt;=$C$16*12,SUM(Inputs!$C$61:$C$78)*'Forecast (By Month)'!I443,"-")</f>
        <v>-</v>
      </c>
      <c r="K443" s="8" t="str">
        <f>IF($F443&lt;=$C$16*12,(SUMIF(Inputs!$C$61:$C$78,0,Inputs!$F$61:$F$78)/12)*(1+$C$34)^ROUNDDOWN((F443-1)/12,0),"-")</f>
        <v>-</v>
      </c>
      <c r="L443" s="8" t="str">
        <f t="shared" si="197"/>
        <v>-</v>
      </c>
      <c r="M443" s="8" t="str">
        <f>IF($F443&lt;=$C$16*12,'Mortgage Calculators (By Month)'!$C461,"-")</f>
        <v>-</v>
      </c>
      <c r="N443" s="8" t="str">
        <f>IF($F443&lt;=$C$16*12,'Mortgage Calculators (By Month)'!$D461,"-")</f>
        <v>-</v>
      </c>
      <c r="O443" s="8" t="str">
        <f>IF($F443&lt;=$C$16*12,'Mortgage Calculators (By Month)'!$E461,"-")</f>
        <v>-</v>
      </c>
      <c r="P443" s="8" t="str">
        <f t="shared" si="194"/>
        <v>-</v>
      </c>
      <c r="Q443" s="8" t="str">
        <f t="shared" si="198"/>
        <v>-</v>
      </c>
      <c r="R443" s="8" t="str">
        <f t="shared" si="199"/>
        <v>-</v>
      </c>
      <c r="S443" s="8" t="str">
        <f t="shared" si="200"/>
        <v>-</v>
      </c>
      <c r="T443" s="8" t="str">
        <f t="shared" si="201"/>
        <v>-</v>
      </c>
      <c r="U443" s="8" t="str">
        <f>IF($F443&lt;=$C$16*12,SUM(T$5:T443),"-")</f>
        <v>-</v>
      </c>
      <c r="V443" s="8" t="str">
        <f>IF($F443&lt;=$C$16*12,G443-$C$10-'RE Calculations'!$C630-'Mortgage Calculators (By Month)'!$F461,"-")</f>
        <v>-</v>
      </c>
      <c r="W443" s="29" t="str">
        <f t="shared" si="202"/>
        <v>-</v>
      </c>
      <c r="X443" s="31" t="str">
        <f t="shared" si="203"/>
        <v>-</v>
      </c>
      <c r="Y443" s="8" t="str">
        <f t="shared" si="204"/>
        <v>-</v>
      </c>
      <c r="Z443" s="29" t="str">
        <f t="shared" si="205"/>
        <v>-</v>
      </c>
      <c r="AA443" s="31" t="str">
        <f t="shared" si="206"/>
        <v>-</v>
      </c>
      <c r="AD443" s="12" t="str">
        <f t="shared" si="192"/>
        <v>-</v>
      </c>
      <c r="AE443" s="8" t="str">
        <f t="shared" si="193"/>
        <v>-</v>
      </c>
      <c r="AF443" s="8" t="str">
        <f>IF($AD443&lt;=$C$25*12,$AE443-$C$7+SUM('Mortgage Calculators (By Month)'!$K$23:$K461),"-")</f>
        <v>-</v>
      </c>
      <c r="AG443" s="8" t="str">
        <f t="shared" si="207"/>
        <v>-</v>
      </c>
      <c r="AH443" s="8" t="str">
        <f>IF($AD443&lt;=$C$25*12,SUM(Inputs!$C$61:$C$78)*'Forecast (By Month)'!AG443,"-")</f>
        <v>-</v>
      </c>
      <c r="AI443" s="8" t="str">
        <f>IF($AD443&lt;=$C$25*12,(SUMIF(Inputs!$C$61:$C$78,0,Inputs!$F$61:$F$78)/12)*(1+$C$34)^ROUNDDOWN((AD443-1)/12,0),"-")</f>
        <v>-</v>
      </c>
      <c r="AJ443" s="8" t="str">
        <f t="shared" si="208"/>
        <v>-</v>
      </c>
      <c r="AK443" s="8" t="str">
        <f>IF($AD443&lt;=$C$25*12,'Mortgage Calculators (By Month)'!$J461,"-")</f>
        <v>-</v>
      </c>
      <c r="AL443" s="8" t="str">
        <f>IF($AD443&lt;=$C$25*12,'Mortgage Calculators (By Month)'!$K461,"-")</f>
        <v>-</v>
      </c>
      <c r="AM443" s="8" t="str">
        <f>IF($AD443&lt;=$C$25*12,'Mortgage Calculators (By Month)'!$L461,"-")</f>
        <v>-</v>
      </c>
      <c r="AN443" s="8" t="str">
        <f t="shared" si="195"/>
        <v>-</v>
      </c>
      <c r="AO443" s="8" t="str">
        <f t="shared" si="209"/>
        <v>-</v>
      </c>
      <c r="AP443" s="8" t="str">
        <f t="shared" si="210"/>
        <v>-</v>
      </c>
      <c r="AQ443" s="8" t="str">
        <f t="shared" si="211"/>
        <v>-</v>
      </c>
      <c r="AR443" s="8" t="str">
        <f t="shared" si="212"/>
        <v>-</v>
      </c>
      <c r="AS443" s="8" t="str">
        <f>IF($AD443&lt;=$C$25*12,SUM(AR$5:AR443),"-")</f>
        <v>-</v>
      </c>
      <c r="AT443" s="8" t="str">
        <f>IF($AD443&lt;=$C$25*12,AE443-$C$10-'RE Calculations'!$C630-'Mortgage Calculators (By Month)'!$M461,"-")</f>
        <v>-</v>
      </c>
      <c r="AU443" s="29" t="str">
        <f t="shared" si="213"/>
        <v>-</v>
      </c>
      <c r="AV443" s="31" t="str">
        <f t="shared" si="214"/>
        <v>-</v>
      </c>
      <c r="AW443" s="8" t="str">
        <f t="shared" si="215"/>
        <v>-</v>
      </c>
      <c r="AX443" s="29" t="str">
        <f t="shared" si="216"/>
        <v>-</v>
      </c>
      <c r="AY443" s="31" t="str">
        <f t="shared" si="217"/>
        <v>-</v>
      </c>
    </row>
    <row r="444" spans="6:51" x14ac:dyDescent="0.35">
      <c r="F444" s="12" t="str">
        <f t="shared" si="190"/>
        <v>-</v>
      </c>
      <c r="G444" s="8" t="str">
        <f t="shared" si="191"/>
        <v>-</v>
      </c>
      <c r="H444" s="8" t="str">
        <f>IF($F444&lt;=$C$16*12,$G444-$C$7+SUM('Mortgage Calculators (By Month)'!$D$23:$D462),"-")</f>
        <v>-</v>
      </c>
      <c r="I444" s="8" t="str">
        <f t="shared" si="196"/>
        <v>-</v>
      </c>
      <c r="J444" s="8" t="str">
        <f>IF($F444&lt;=$C$16*12,SUM(Inputs!$C$61:$C$78)*'Forecast (By Month)'!I444,"-")</f>
        <v>-</v>
      </c>
      <c r="K444" s="8" t="str">
        <f>IF($F444&lt;=$C$16*12,(SUMIF(Inputs!$C$61:$C$78,0,Inputs!$F$61:$F$78)/12)*(1+$C$34)^ROUNDDOWN((F444-1)/12,0),"-")</f>
        <v>-</v>
      </c>
      <c r="L444" s="8" t="str">
        <f t="shared" si="197"/>
        <v>-</v>
      </c>
      <c r="M444" s="8" t="str">
        <f>IF($F444&lt;=$C$16*12,'Mortgage Calculators (By Month)'!$C462,"-")</f>
        <v>-</v>
      </c>
      <c r="N444" s="8" t="str">
        <f>IF($F444&lt;=$C$16*12,'Mortgage Calculators (By Month)'!$D462,"-")</f>
        <v>-</v>
      </c>
      <c r="O444" s="8" t="str">
        <f>IF($F444&lt;=$C$16*12,'Mortgage Calculators (By Month)'!$E462,"-")</f>
        <v>-</v>
      </c>
      <c r="P444" s="8" t="str">
        <f t="shared" si="194"/>
        <v>-</v>
      </c>
      <c r="Q444" s="8" t="str">
        <f t="shared" si="198"/>
        <v>-</v>
      </c>
      <c r="R444" s="8" t="str">
        <f t="shared" si="199"/>
        <v>-</v>
      </c>
      <c r="S444" s="8" t="str">
        <f t="shared" si="200"/>
        <v>-</v>
      </c>
      <c r="T444" s="8" t="str">
        <f t="shared" si="201"/>
        <v>-</v>
      </c>
      <c r="U444" s="8" t="str">
        <f>IF($F444&lt;=$C$16*12,SUM(T$5:T444),"-")</f>
        <v>-</v>
      </c>
      <c r="V444" s="8" t="str">
        <f>IF($F444&lt;=$C$16*12,G444-$C$10-'RE Calculations'!$C631-'Mortgage Calculators (By Month)'!$F462,"-")</f>
        <v>-</v>
      </c>
      <c r="W444" s="29" t="str">
        <f t="shared" si="202"/>
        <v>-</v>
      </c>
      <c r="X444" s="31" t="str">
        <f t="shared" si="203"/>
        <v>-</v>
      </c>
      <c r="Y444" s="8" t="str">
        <f t="shared" si="204"/>
        <v>-</v>
      </c>
      <c r="Z444" s="29" t="str">
        <f t="shared" si="205"/>
        <v>-</v>
      </c>
      <c r="AA444" s="31" t="str">
        <f t="shared" si="206"/>
        <v>-</v>
      </c>
      <c r="AD444" s="12" t="str">
        <f t="shared" si="192"/>
        <v>-</v>
      </c>
      <c r="AE444" s="8" t="str">
        <f t="shared" si="193"/>
        <v>-</v>
      </c>
      <c r="AF444" s="8" t="str">
        <f>IF($AD444&lt;=$C$25*12,$AE444-$C$7+SUM('Mortgage Calculators (By Month)'!$K$23:$K462),"-")</f>
        <v>-</v>
      </c>
      <c r="AG444" s="8" t="str">
        <f t="shared" si="207"/>
        <v>-</v>
      </c>
      <c r="AH444" s="8" t="str">
        <f>IF($AD444&lt;=$C$25*12,SUM(Inputs!$C$61:$C$78)*'Forecast (By Month)'!AG444,"-")</f>
        <v>-</v>
      </c>
      <c r="AI444" s="8" t="str">
        <f>IF($AD444&lt;=$C$25*12,(SUMIF(Inputs!$C$61:$C$78,0,Inputs!$F$61:$F$78)/12)*(1+$C$34)^ROUNDDOWN((AD444-1)/12,0),"-")</f>
        <v>-</v>
      </c>
      <c r="AJ444" s="8" t="str">
        <f t="shared" si="208"/>
        <v>-</v>
      </c>
      <c r="AK444" s="8" t="str">
        <f>IF($AD444&lt;=$C$25*12,'Mortgage Calculators (By Month)'!$J462,"-")</f>
        <v>-</v>
      </c>
      <c r="AL444" s="8" t="str">
        <f>IF($AD444&lt;=$C$25*12,'Mortgage Calculators (By Month)'!$K462,"-")</f>
        <v>-</v>
      </c>
      <c r="AM444" s="8" t="str">
        <f>IF($AD444&lt;=$C$25*12,'Mortgage Calculators (By Month)'!$L462,"-")</f>
        <v>-</v>
      </c>
      <c r="AN444" s="8" t="str">
        <f t="shared" si="195"/>
        <v>-</v>
      </c>
      <c r="AO444" s="8" t="str">
        <f t="shared" si="209"/>
        <v>-</v>
      </c>
      <c r="AP444" s="8" t="str">
        <f t="shared" si="210"/>
        <v>-</v>
      </c>
      <c r="AQ444" s="8" t="str">
        <f t="shared" si="211"/>
        <v>-</v>
      </c>
      <c r="AR444" s="8" t="str">
        <f t="shared" si="212"/>
        <v>-</v>
      </c>
      <c r="AS444" s="8" t="str">
        <f>IF($AD444&lt;=$C$25*12,SUM(AR$5:AR444),"-")</f>
        <v>-</v>
      </c>
      <c r="AT444" s="8" t="str">
        <f>IF($AD444&lt;=$C$25*12,AE444-$C$10-'RE Calculations'!$C631-'Mortgage Calculators (By Month)'!$M462,"-")</f>
        <v>-</v>
      </c>
      <c r="AU444" s="29" t="str">
        <f t="shared" si="213"/>
        <v>-</v>
      </c>
      <c r="AV444" s="31" t="str">
        <f t="shared" si="214"/>
        <v>-</v>
      </c>
      <c r="AW444" s="8" t="str">
        <f t="shared" si="215"/>
        <v>-</v>
      </c>
      <c r="AX444" s="29" t="str">
        <f t="shared" si="216"/>
        <v>-</v>
      </c>
      <c r="AY444" s="31" t="str">
        <f t="shared" si="217"/>
        <v>-</v>
      </c>
    </row>
    <row r="445" spans="6:51" x14ac:dyDescent="0.35">
      <c r="F445" s="12" t="str">
        <f t="shared" si="190"/>
        <v>-</v>
      </c>
      <c r="G445" s="8" t="str">
        <f t="shared" si="191"/>
        <v>-</v>
      </c>
      <c r="H445" s="8" t="str">
        <f>IF($F445&lt;=$C$16*12,$G445-$C$7+SUM('Mortgage Calculators (By Month)'!$D$23:$D463),"-")</f>
        <v>-</v>
      </c>
      <c r="I445" s="8" t="str">
        <f t="shared" si="196"/>
        <v>-</v>
      </c>
      <c r="J445" s="8" t="str">
        <f>IF($F445&lt;=$C$16*12,SUM(Inputs!$C$61:$C$78)*'Forecast (By Month)'!I445,"-")</f>
        <v>-</v>
      </c>
      <c r="K445" s="8" t="str">
        <f>IF($F445&lt;=$C$16*12,(SUMIF(Inputs!$C$61:$C$78,0,Inputs!$F$61:$F$78)/12)*(1+$C$34)^ROUNDDOWN((F445-1)/12,0),"-")</f>
        <v>-</v>
      </c>
      <c r="L445" s="8" t="str">
        <f t="shared" si="197"/>
        <v>-</v>
      </c>
      <c r="M445" s="8" t="str">
        <f>IF($F445&lt;=$C$16*12,'Mortgage Calculators (By Month)'!$C463,"-")</f>
        <v>-</v>
      </c>
      <c r="N445" s="8" t="str">
        <f>IF($F445&lt;=$C$16*12,'Mortgage Calculators (By Month)'!$D463,"-")</f>
        <v>-</v>
      </c>
      <c r="O445" s="8" t="str">
        <f>IF($F445&lt;=$C$16*12,'Mortgage Calculators (By Month)'!$E463,"-")</f>
        <v>-</v>
      </c>
      <c r="P445" s="8" t="str">
        <f t="shared" si="194"/>
        <v>-</v>
      </c>
      <c r="Q445" s="8" t="str">
        <f t="shared" si="198"/>
        <v>-</v>
      </c>
      <c r="R445" s="8" t="str">
        <f t="shared" si="199"/>
        <v>-</v>
      </c>
      <c r="S445" s="8" t="str">
        <f t="shared" si="200"/>
        <v>-</v>
      </c>
      <c r="T445" s="8" t="str">
        <f t="shared" si="201"/>
        <v>-</v>
      </c>
      <c r="U445" s="8" t="str">
        <f>IF($F445&lt;=$C$16*12,SUM(T$5:T445),"-")</f>
        <v>-</v>
      </c>
      <c r="V445" s="8" t="str">
        <f>IF($F445&lt;=$C$16*12,G445-$C$10-'RE Calculations'!$C632-'Mortgage Calculators (By Month)'!$F463,"-")</f>
        <v>-</v>
      </c>
      <c r="W445" s="29" t="str">
        <f t="shared" si="202"/>
        <v>-</v>
      </c>
      <c r="X445" s="31" t="str">
        <f t="shared" si="203"/>
        <v>-</v>
      </c>
      <c r="Y445" s="8" t="str">
        <f t="shared" si="204"/>
        <v>-</v>
      </c>
      <c r="Z445" s="29" t="str">
        <f t="shared" si="205"/>
        <v>-</v>
      </c>
      <c r="AA445" s="31" t="str">
        <f t="shared" si="206"/>
        <v>-</v>
      </c>
      <c r="AD445" s="12" t="str">
        <f t="shared" si="192"/>
        <v>-</v>
      </c>
      <c r="AE445" s="8" t="str">
        <f t="shared" si="193"/>
        <v>-</v>
      </c>
      <c r="AF445" s="8" t="str">
        <f>IF($AD445&lt;=$C$25*12,$AE445-$C$7+SUM('Mortgage Calculators (By Month)'!$K$23:$K463),"-")</f>
        <v>-</v>
      </c>
      <c r="AG445" s="8" t="str">
        <f t="shared" si="207"/>
        <v>-</v>
      </c>
      <c r="AH445" s="8" t="str">
        <f>IF($AD445&lt;=$C$25*12,SUM(Inputs!$C$61:$C$78)*'Forecast (By Month)'!AG445,"-")</f>
        <v>-</v>
      </c>
      <c r="AI445" s="8" t="str">
        <f>IF($AD445&lt;=$C$25*12,(SUMIF(Inputs!$C$61:$C$78,0,Inputs!$F$61:$F$78)/12)*(1+$C$34)^ROUNDDOWN((AD445-1)/12,0),"-")</f>
        <v>-</v>
      </c>
      <c r="AJ445" s="8" t="str">
        <f t="shared" si="208"/>
        <v>-</v>
      </c>
      <c r="AK445" s="8" t="str">
        <f>IF($AD445&lt;=$C$25*12,'Mortgage Calculators (By Month)'!$J463,"-")</f>
        <v>-</v>
      </c>
      <c r="AL445" s="8" t="str">
        <f>IF($AD445&lt;=$C$25*12,'Mortgage Calculators (By Month)'!$K463,"-")</f>
        <v>-</v>
      </c>
      <c r="AM445" s="8" t="str">
        <f>IF($AD445&lt;=$C$25*12,'Mortgage Calculators (By Month)'!$L463,"-")</f>
        <v>-</v>
      </c>
      <c r="AN445" s="8" t="str">
        <f t="shared" si="195"/>
        <v>-</v>
      </c>
      <c r="AO445" s="8" t="str">
        <f t="shared" si="209"/>
        <v>-</v>
      </c>
      <c r="AP445" s="8" t="str">
        <f t="shared" si="210"/>
        <v>-</v>
      </c>
      <c r="AQ445" s="8" t="str">
        <f t="shared" si="211"/>
        <v>-</v>
      </c>
      <c r="AR445" s="8" t="str">
        <f t="shared" si="212"/>
        <v>-</v>
      </c>
      <c r="AS445" s="8" t="str">
        <f>IF($AD445&lt;=$C$25*12,SUM(AR$5:AR445),"-")</f>
        <v>-</v>
      </c>
      <c r="AT445" s="8" t="str">
        <f>IF($AD445&lt;=$C$25*12,AE445-$C$10-'RE Calculations'!$C632-'Mortgage Calculators (By Month)'!$M463,"-")</f>
        <v>-</v>
      </c>
      <c r="AU445" s="29" t="str">
        <f t="shared" si="213"/>
        <v>-</v>
      </c>
      <c r="AV445" s="31" t="str">
        <f t="shared" si="214"/>
        <v>-</v>
      </c>
      <c r="AW445" s="8" t="str">
        <f t="shared" si="215"/>
        <v>-</v>
      </c>
      <c r="AX445" s="29" t="str">
        <f t="shared" si="216"/>
        <v>-</v>
      </c>
      <c r="AY445" s="31" t="str">
        <f t="shared" si="217"/>
        <v>-</v>
      </c>
    </row>
    <row r="446" spans="6:51" x14ac:dyDescent="0.35">
      <c r="F446" s="12" t="str">
        <f t="shared" si="190"/>
        <v>-</v>
      </c>
      <c r="G446" s="8" t="str">
        <f t="shared" si="191"/>
        <v>-</v>
      </c>
      <c r="H446" s="8" t="str">
        <f>IF($F446&lt;=$C$16*12,$G446-$C$7+SUM('Mortgage Calculators (By Month)'!$D$23:$D464),"-")</f>
        <v>-</v>
      </c>
      <c r="I446" s="8" t="str">
        <f t="shared" si="196"/>
        <v>-</v>
      </c>
      <c r="J446" s="8" t="str">
        <f>IF($F446&lt;=$C$16*12,SUM(Inputs!$C$61:$C$78)*'Forecast (By Month)'!I446,"-")</f>
        <v>-</v>
      </c>
      <c r="K446" s="8" t="str">
        <f>IF($F446&lt;=$C$16*12,(SUMIF(Inputs!$C$61:$C$78,0,Inputs!$F$61:$F$78)/12)*(1+$C$34)^ROUNDDOWN((F446-1)/12,0),"-")</f>
        <v>-</v>
      </c>
      <c r="L446" s="8" t="str">
        <f t="shared" si="197"/>
        <v>-</v>
      </c>
      <c r="M446" s="8" t="str">
        <f>IF($F446&lt;=$C$16*12,'Mortgage Calculators (By Month)'!$C464,"-")</f>
        <v>-</v>
      </c>
      <c r="N446" s="8" t="str">
        <f>IF($F446&lt;=$C$16*12,'Mortgage Calculators (By Month)'!$D464,"-")</f>
        <v>-</v>
      </c>
      <c r="O446" s="8" t="str">
        <f>IF($F446&lt;=$C$16*12,'Mortgage Calculators (By Month)'!$E464,"-")</f>
        <v>-</v>
      </c>
      <c r="P446" s="8" t="str">
        <f t="shared" si="194"/>
        <v>-</v>
      </c>
      <c r="Q446" s="8" t="str">
        <f t="shared" si="198"/>
        <v>-</v>
      </c>
      <c r="R446" s="8" t="str">
        <f t="shared" si="199"/>
        <v>-</v>
      </c>
      <c r="S446" s="8" t="str">
        <f t="shared" si="200"/>
        <v>-</v>
      </c>
      <c r="T446" s="8" t="str">
        <f t="shared" si="201"/>
        <v>-</v>
      </c>
      <c r="U446" s="8" t="str">
        <f>IF($F446&lt;=$C$16*12,SUM(T$5:T446),"-")</f>
        <v>-</v>
      </c>
      <c r="V446" s="8" t="str">
        <f>IF($F446&lt;=$C$16*12,G446-$C$10-'RE Calculations'!$C633-'Mortgage Calculators (By Month)'!$F464,"-")</f>
        <v>-</v>
      </c>
      <c r="W446" s="29" t="str">
        <f t="shared" si="202"/>
        <v>-</v>
      </c>
      <c r="X446" s="31" t="str">
        <f t="shared" si="203"/>
        <v>-</v>
      </c>
      <c r="Y446" s="8" t="str">
        <f t="shared" si="204"/>
        <v>-</v>
      </c>
      <c r="Z446" s="29" t="str">
        <f t="shared" si="205"/>
        <v>-</v>
      </c>
      <c r="AA446" s="31" t="str">
        <f t="shared" si="206"/>
        <v>-</v>
      </c>
      <c r="AD446" s="12" t="str">
        <f t="shared" si="192"/>
        <v>-</v>
      </c>
      <c r="AE446" s="8" t="str">
        <f t="shared" si="193"/>
        <v>-</v>
      </c>
      <c r="AF446" s="8" t="str">
        <f>IF($AD446&lt;=$C$25*12,$AE446-$C$7+SUM('Mortgage Calculators (By Month)'!$K$23:$K464),"-")</f>
        <v>-</v>
      </c>
      <c r="AG446" s="8" t="str">
        <f t="shared" si="207"/>
        <v>-</v>
      </c>
      <c r="AH446" s="8" t="str">
        <f>IF($AD446&lt;=$C$25*12,SUM(Inputs!$C$61:$C$78)*'Forecast (By Month)'!AG446,"-")</f>
        <v>-</v>
      </c>
      <c r="AI446" s="8" t="str">
        <f>IF($AD446&lt;=$C$25*12,(SUMIF(Inputs!$C$61:$C$78,0,Inputs!$F$61:$F$78)/12)*(1+$C$34)^ROUNDDOWN((AD446-1)/12,0),"-")</f>
        <v>-</v>
      </c>
      <c r="AJ446" s="8" t="str">
        <f t="shared" si="208"/>
        <v>-</v>
      </c>
      <c r="AK446" s="8" t="str">
        <f>IF($AD446&lt;=$C$25*12,'Mortgage Calculators (By Month)'!$J464,"-")</f>
        <v>-</v>
      </c>
      <c r="AL446" s="8" t="str">
        <f>IF($AD446&lt;=$C$25*12,'Mortgage Calculators (By Month)'!$K464,"-")</f>
        <v>-</v>
      </c>
      <c r="AM446" s="8" t="str">
        <f>IF($AD446&lt;=$C$25*12,'Mortgage Calculators (By Month)'!$L464,"-")</f>
        <v>-</v>
      </c>
      <c r="AN446" s="8" t="str">
        <f t="shared" si="195"/>
        <v>-</v>
      </c>
      <c r="AO446" s="8" t="str">
        <f t="shared" si="209"/>
        <v>-</v>
      </c>
      <c r="AP446" s="8" t="str">
        <f t="shared" si="210"/>
        <v>-</v>
      </c>
      <c r="AQ446" s="8" t="str">
        <f t="shared" si="211"/>
        <v>-</v>
      </c>
      <c r="AR446" s="8" t="str">
        <f t="shared" si="212"/>
        <v>-</v>
      </c>
      <c r="AS446" s="8" t="str">
        <f>IF($AD446&lt;=$C$25*12,SUM(AR$5:AR446),"-")</f>
        <v>-</v>
      </c>
      <c r="AT446" s="8" t="str">
        <f>IF($AD446&lt;=$C$25*12,AE446-$C$10-'RE Calculations'!$C633-'Mortgage Calculators (By Month)'!$M464,"-")</f>
        <v>-</v>
      </c>
      <c r="AU446" s="29" t="str">
        <f t="shared" si="213"/>
        <v>-</v>
      </c>
      <c r="AV446" s="31" t="str">
        <f t="shared" si="214"/>
        <v>-</v>
      </c>
      <c r="AW446" s="8" t="str">
        <f t="shared" si="215"/>
        <v>-</v>
      </c>
      <c r="AX446" s="29" t="str">
        <f t="shared" si="216"/>
        <v>-</v>
      </c>
      <c r="AY446" s="31" t="str">
        <f t="shared" si="217"/>
        <v>-</v>
      </c>
    </row>
    <row r="447" spans="6:51" x14ac:dyDescent="0.35">
      <c r="F447" s="12" t="str">
        <f t="shared" si="190"/>
        <v>-</v>
      </c>
      <c r="G447" s="8" t="str">
        <f t="shared" si="191"/>
        <v>-</v>
      </c>
      <c r="H447" s="8" t="str">
        <f>IF($F447&lt;=$C$16*12,$G447-$C$7+SUM('Mortgage Calculators (By Month)'!$D$23:$D465),"-")</f>
        <v>-</v>
      </c>
      <c r="I447" s="8" t="str">
        <f t="shared" si="196"/>
        <v>-</v>
      </c>
      <c r="J447" s="8" t="str">
        <f>IF($F447&lt;=$C$16*12,SUM(Inputs!$C$61:$C$78)*'Forecast (By Month)'!I447,"-")</f>
        <v>-</v>
      </c>
      <c r="K447" s="8" t="str">
        <f>IF($F447&lt;=$C$16*12,(SUMIF(Inputs!$C$61:$C$78,0,Inputs!$F$61:$F$78)/12)*(1+$C$34)^ROUNDDOWN((F447-1)/12,0),"-")</f>
        <v>-</v>
      </c>
      <c r="L447" s="8" t="str">
        <f t="shared" si="197"/>
        <v>-</v>
      </c>
      <c r="M447" s="8" t="str">
        <f>IF($F447&lt;=$C$16*12,'Mortgage Calculators (By Month)'!$C465,"-")</f>
        <v>-</v>
      </c>
      <c r="N447" s="8" t="str">
        <f>IF($F447&lt;=$C$16*12,'Mortgage Calculators (By Month)'!$D465,"-")</f>
        <v>-</v>
      </c>
      <c r="O447" s="8" t="str">
        <f>IF($F447&lt;=$C$16*12,'Mortgage Calculators (By Month)'!$E465,"-")</f>
        <v>-</v>
      </c>
      <c r="P447" s="8" t="str">
        <f t="shared" si="194"/>
        <v>-</v>
      </c>
      <c r="Q447" s="8" t="str">
        <f t="shared" si="198"/>
        <v>-</v>
      </c>
      <c r="R447" s="8" t="str">
        <f t="shared" si="199"/>
        <v>-</v>
      </c>
      <c r="S447" s="8" t="str">
        <f t="shared" si="200"/>
        <v>-</v>
      </c>
      <c r="T447" s="8" t="str">
        <f t="shared" si="201"/>
        <v>-</v>
      </c>
      <c r="U447" s="8" t="str">
        <f>IF($F447&lt;=$C$16*12,SUM(T$5:T447),"-")</f>
        <v>-</v>
      </c>
      <c r="V447" s="8" t="str">
        <f>IF($F447&lt;=$C$16*12,G447-$C$10-'RE Calculations'!$C634-'Mortgage Calculators (By Month)'!$F465,"-")</f>
        <v>-</v>
      </c>
      <c r="W447" s="29" t="str">
        <f t="shared" si="202"/>
        <v>-</v>
      </c>
      <c r="X447" s="31" t="str">
        <f t="shared" si="203"/>
        <v>-</v>
      </c>
      <c r="Y447" s="8" t="str">
        <f t="shared" si="204"/>
        <v>-</v>
      </c>
      <c r="Z447" s="29" t="str">
        <f t="shared" si="205"/>
        <v>-</v>
      </c>
      <c r="AA447" s="31" t="str">
        <f t="shared" si="206"/>
        <v>-</v>
      </c>
      <c r="AD447" s="12" t="str">
        <f t="shared" si="192"/>
        <v>-</v>
      </c>
      <c r="AE447" s="8" t="str">
        <f t="shared" si="193"/>
        <v>-</v>
      </c>
      <c r="AF447" s="8" t="str">
        <f>IF($AD447&lt;=$C$25*12,$AE447-$C$7+SUM('Mortgage Calculators (By Month)'!$K$23:$K465),"-")</f>
        <v>-</v>
      </c>
      <c r="AG447" s="8" t="str">
        <f t="shared" si="207"/>
        <v>-</v>
      </c>
      <c r="AH447" s="8" t="str">
        <f>IF($AD447&lt;=$C$25*12,SUM(Inputs!$C$61:$C$78)*'Forecast (By Month)'!AG447,"-")</f>
        <v>-</v>
      </c>
      <c r="AI447" s="8" t="str">
        <f>IF($AD447&lt;=$C$25*12,(SUMIF(Inputs!$C$61:$C$78,0,Inputs!$F$61:$F$78)/12)*(1+$C$34)^ROUNDDOWN((AD447-1)/12,0),"-")</f>
        <v>-</v>
      </c>
      <c r="AJ447" s="8" t="str">
        <f t="shared" si="208"/>
        <v>-</v>
      </c>
      <c r="AK447" s="8" t="str">
        <f>IF($AD447&lt;=$C$25*12,'Mortgage Calculators (By Month)'!$J465,"-")</f>
        <v>-</v>
      </c>
      <c r="AL447" s="8" t="str">
        <f>IF($AD447&lt;=$C$25*12,'Mortgage Calculators (By Month)'!$K465,"-")</f>
        <v>-</v>
      </c>
      <c r="AM447" s="8" t="str">
        <f>IF($AD447&lt;=$C$25*12,'Mortgage Calculators (By Month)'!$L465,"-")</f>
        <v>-</v>
      </c>
      <c r="AN447" s="8" t="str">
        <f t="shared" si="195"/>
        <v>-</v>
      </c>
      <c r="AO447" s="8" t="str">
        <f t="shared" si="209"/>
        <v>-</v>
      </c>
      <c r="AP447" s="8" t="str">
        <f t="shared" si="210"/>
        <v>-</v>
      </c>
      <c r="AQ447" s="8" t="str">
        <f t="shared" si="211"/>
        <v>-</v>
      </c>
      <c r="AR447" s="8" t="str">
        <f t="shared" si="212"/>
        <v>-</v>
      </c>
      <c r="AS447" s="8" t="str">
        <f>IF($AD447&lt;=$C$25*12,SUM(AR$5:AR447),"-")</f>
        <v>-</v>
      </c>
      <c r="AT447" s="8" t="str">
        <f>IF($AD447&lt;=$C$25*12,AE447-$C$10-'RE Calculations'!$C634-'Mortgage Calculators (By Month)'!$M465,"-")</f>
        <v>-</v>
      </c>
      <c r="AU447" s="29" t="str">
        <f t="shared" si="213"/>
        <v>-</v>
      </c>
      <c r="AV447" s="31" t="str">
        <f t="shared" si="214"/>
        <v>-</v>
      </c>
      <c r="AW447" s="8" t="str">
        <f t="shared" si="215"/>
        <v>-</v>
      </c>
      <c r="AX447" s="29" t="str">
        <f t="shared" si="216"/>
        <v>-</v>
      </c>
      <c r="AY447" s="31" t="str">
        <f t="shared" si="217"/>
        <v>-</v>
      </c>
    </row>
    <row r="448" spans="6:51" x14ac:dyDescent="0.35">
      <c r="F448" s="12" t="str">
        <f t="shared" si="190"/>
        <v>-</v>
      </c>
      <c r="G448" s="8" t="str">
        <f t="shared" si="191"/>
        <v>-</v>
      </c>
      <c r="H448" s="8" t="str">
        <f>IF($F448&lt;=$C$16*12,$G448-$C$7+SUM('Mortgage Calculators (By Month)'!$D$23:$D466),"-")</f>
        <v>-</v>
      </c>
      <c r="I448" s="8" t="str">
        <f t="shared" si="196"/>
        <v>-</v>
      </c>
      <c r="J448" s="8" t="str">
        <f>IF($F448&lt;=$C$16*12,SUM(Inputs!$C$61:$C$78)*'Forecast (By Month)'!I448,"-")</f>
        <v>-</v>
      </c>
      <c r="K448" s="8" t="str">
        <f>IF($F448&lt;=$C$16*12,(SUMIF(Inputs!$C$61:$C$78,0,Inputs!$F$61:$F$78)/12)*(1+$C$34)^ROUNDDOWN((F448-1)/12,0),"-")</f>
        <v>-</v>
      </c>
      <c r="L448" s="8" t="str">
        <f t="shared" si="197"/>
        <v>-</v>
      </c>
      <c r="M448" s="8" t="str">
        <f>IF($F448&lt;=$C$16*12,'Mortgage Calculators (By Month)'!$C466,"-")</f>
        <v>-</v>
      </c>
      <c r="N448" s="8" t="str">
        <f>IF($F448&lt;=$C$16*12,'Mortgage Calculators (By Month)'!$D466,"-")</f>
        <v>-</v>
      </c>
      <c r="O448" s="8" t="str">
        <f>IF($F448&lt;=$C$16*12,'Mortgage Calculators (By Month)'!$E466,"-")</f>
        <v>-</v>
      </c>
      <c r="P448" s="8" t="str">
        <f t="shared" si="194"/>
        <v>-</v>
      </c>
      <c r="Q448" s="8" t="str">
        <f t="shared" si="198"/>
        <v>-</v>
      </c>
      <c r="R448" s="8" t="str">
        <f t="shared" si="199"/>
        <v>-</v>
      </c>
      <c r="S448" s="8" t="str">
        <f t="shared" si="200"/>
        <v>-</v>
      </c>
      <c r="T448" s="8" t="str">
        <f t="shared" si="201"/>
        <v>-</v>
      </c>
      <c r="U448" s="8" t="str">
        <f>IF($F448&lt;=$C$16*12,SUM(T$5:T448),"-")</f>
        <v>-</v>
      </c>
      <c r="V448" s="8" t="str">
        <f>IF($F448&lt;=$C$16*12,G448-$C$10-'RE Calculations'!$C635-'Mortgage Calculators (By Month)'!$F466,"-")</f>
        <v>-</v>
      </c>
      <c r="W448" s="29" t="str">
        <f t="shared" si="202"/>
        <v>-</v>
      </c>
      <c r="X448" s="31" t="str">
        <f t="shared" si="203"/>
        <v>-</v>
      </c>
      <c r="Y448" s="8" t="str">
        <f t="shared" si="204"/>
        <v>-</v>
      </c>
      <c r="Z448" s="29" t="str">
        <f t="shared" si="205"/>
        <v>-</v>
      </c>
      <c r="AA448" s="31" t="str">
        <f t="shared" si="206"/>
        <v>-</v>
      </c>
      <c r="AD448" s="12" t="str">
        <f t="shared" si="192"/>
        <v>-</v>
      </c>
      <c r="AE448" s="8" t="str">
        <f t="shared" si="193"/>
        <v>-</v>
      </c>
      <c r="AF448" s="8" t="str">
        <f>IF($AD448&lt;=$C$25*12,$AE448-$C$7+SUM('Mortgage Calculators (By Month)'!$K$23:$K466),"-")</f>
        <v>-</v>
      </c>
      <c r="AG448" s="8" t="str">
        <f t="shared" si="207"/>
        <v>-</v>
      </c>
      <c r="AH448" s="8" t="str">
        <f>IF($AD448&lt;=$C$25*12,SUM(Inputs!$C$61:$C$78)*'Forecast (By Month)'!AG448,"-")</f>
        <v>-</v>
      </c>
      <c r="AI448" s="8" t="str">
        <f>IF($AD448&lt;=$C$25*12,(SUMIF(Inputs!$C$61:$C$78,0,Inputs!$F$61:$F$78)/12)*(1+$C$34)^ROUNDDOWN((AD448-1)/12,0),"-")</f>
        <v>-</v>
      </c>
      <c r="AJ448" s="8" t="str">
        <f t="shared" si="208"/>
        <v>-</v>
      </c>
      <c r="AK448" s="8" t="str">
        <f>IF($AD448&lt;=$C$25*12,'Mortgage Calculators (By Month)'!$J466,"-")</f>
        <v>-</v>
      </c>
      <c r="AL448" s="8" t="str">
        <f>IF($AD448&lt;=$C$25*12,'Mortgage Calculators (By Month)'!$K466,"-")</f>
        <v>-</v>
      </c>
      <c r="AM448" s="8" t="str">
        <f>IF($AD448&lt;=$C$25*12,'Mortgage Calculators (By Month)'!$L466,"-")</f>
        <v>-</v>
      </c>
      <c r="AN448" s="8" t="str">
        <f t="shared" si="195"/>
        <v>-</v>
      </c>
      <c r="AO448" s="8" t="str">
        <f t="shared" si="209"/>
        <v>-</v>
      </c>
      <c r="AP448" s="8" t="str">
        <f t="shared" si="210"/>
        <v>-</v>
      </c>
      <c r="AQ448" s="8" t="str">
        <f t="shared" si="211"/>
        <v>-</v>
      </c>
      <c r="AR448" s="8" t="str">
        <f t="shared" si="212"/>
        <v>-</v>
      </c>
      <c r="AS448" s="8" t="str">
        <f>IF($AD448&lt;=$C$25*12,SUM(AR$5:AR448),"-")</f>
        <v>-</v>
      </c>
      <c r="AT448" s="8" t="str">
        <f>IF($AD448&lt;=$C$25*12,AE448-$C$10-'RE Calculations'!$C635-'Mortgage Calculators (By Month)'!$M466,"-")</f>
        <v>-</v>
      </c>
      <c r="AU448" s="29" t="str">
        <f t="shared" si="213"/>
        <v>-</v>
      </c>
      <c r="AV448" s="31" t="str">
        <f t="shared" si="214"/>
        <v>-</v>
      </c>
      <c r="AW448" s="8" t="str">
        <f t="shared" si="215"/>
        <v>-</v>
      </c>
      <c r="AX448" s="29" t="str">
        <f t="shared" si="216"/>
        <v>-</v>
      </c>
      <c r="AY448" s="31" t="str">
        <f t="shared" si="217"/>
        <v>-</v>
      </c>
    </row>
    <row r="449" spans="6:51" x14ac:dyDescent="0.35">
      <c r="F449" s="12" t="str">
        <f t="shared" si="190"/>
        <v>-</v>
      </c>
      <c r="G449" s="8" t="str">
        <f t="shared" si="191"/>
        <v>-</v>
      </c>
      <c r="H449" s="8" t="str">
        <f>IF($F449&lt;=$C$16*12,$G449-$C$7+SUM('Mortgage Calculators (By Month)'!$D$23:$D467),"-")</f>
        <v>-</v>
      </c>
      <c r="I449" s="8" t="str">
        <f t="shared" si="196"/>
        <v>-</v>
      </c>
      <c r="J449" s="8" t="str">
        <f>IF($F449&lt;=$C$16*12,SUM(Inputs!$C$61:$C$78)*'Forecast (By Month)'!I449,"-")</f>
        <v>-</v>
      </c>
      <c r="K449" s="8" t="str">
        <f>IF($F449&lt;=$C$16*12,(SUMIF(Inputs!$C$61:$C$78,0,Inputs!$F$61:$F$78)/12)*(1+$C$34)^ROUNDDOWN((F449-1)/12,0),"-")</f>
        <v>-</v>
      </c>
      <c r="L449" s="8" t="str">
        <f t="shared" si="197"/>
        <v>-</v>
      </c>
      <c r="M449" s="8" t="str">
        <f>IF($F449&lt;=$C$16*12,'Mortgage Calculators (By Month)'!$C467,"-")</f>
        <v>-</v>
      </c>
      <c r="N449" s="8" t="str">
        <f>IF($F449&lt;=$C$16*12,'Mortgage Calculators (By Month)'!$D467,"-")</f>
        <v>-</v>
      </c>
      <c r="O449" s="8" t="str">
        <f>IF($F449&lt;=$C$16*12,'Mortgage Calculators (By Month)'!$E467,"-")</f>
        <v>-</v>
      </c>
      <c r="P449" s="8" t="str">
        <f t="shared" si="194"/>
        <v>-</v>
      </c>
      <c r="Q449" s="8" t="str">
        <f t="shared" si="198"/>
        <v>-</v>
      </c>
      <c r="R449" s="8" t="str">
        <f t="shared" si="199"/>
        <v>-</v>
      </c>
      <c r="S449" s="8" t="str">
        <f t="shared" si="200"/>
        <v>-</v>
      </c>
      <c r="T449" s="8" t="str">
        <f t="shared" si="201"/>
        <v>-</v>
      </c>
      <c r="U449" s="8" t="str">
        <f>IF($F449&lt;=$C$16*12,SUM(T$5:T449),"-")</f>
        <v>-</v>
      </c>
      <c r="V449" s="8" t="str">
        <f>IF($F449&lt;=$C$16*12,G449-$C$10-'RE Calculations'!$C636-'Mortgage Calculators (By Month)'!$F467,"-")</f>
        <v>-</v>
      </c>
      <c r="W449" s="29" t="str">
        <f t="shared" si="202"/>
        <v>-</v>
      </c>
      <c r="X449" s="31" t="str">
        <f t="shared" si="203"/>
        <v>-</v>
      </c>
      <c r="Y449" s="8" t="str">
        <f t="shared" si="204"/>
        <v>-</v>
      </c>
      <c r="Z449" s="29" t="str">
        <f t="shared" si="205"/>
        <v>-</v>
      </c>
      <c r="AA449" s="31" t="str">
        <f t="shared" si="206"/>
        <v>-</v>
      </c>
      <c r="AD449" s="12" t="str">
        <f t="shared" si="192"/>
        <v>-</v>
      </c>
      <c r="AE449" s="8" t="str">
        <f t="shared" si="193"/>
        <v>-</v>
      </c>
      <c r="AF449" s="8" t="str">
        <f>IF($AD449&lt;=$C$25*12,$AE449-$C$7+SUM('Mortgage Calculators (By Month)'!$K$23:$K467),"-")</f>
        <v>-</v>
      </c>
      <c r="AG449" s="8" t="str">
        <f t="shared" si="207"/>
        <v>-</v>
      </c>
      <c r="AH449" s="8" t="str">
        <f>IF($AD449&lt;=$C$25*12,SUM(Inputs!$C$61:$C$78)*'Forecast (By Month)'!AG449,"-")</f>
        <v>-</v>
      </c>
      <c r="AI449" s="8" t="str">
        <f>IF($AD449&lt;=$C$25*12,(SUMIF(Inputs!$C$61:$C$78,0,Inputs!$F$61:$F$78)/12)*(1+$C$34)^ROUNDDOWN((AD449-1)/12,0),"-")</f>
        <v>-</v>
      </c>
      <c r="AJ449" s="8" t="str">
        <f t="shared" si="208"/>
        <v>-</v>
      </c>
      <c r="AK449" s="8" t="str">
        <f>IF($AD449&lt;=$C$25*12,'Mortgage Calculators (By Month)'!$J467,"-")</f>
        <v>-</v>
      </c>
      <c r="AL449" s="8" t="str">
        <f>IF($AD449&lt;=$C$25*12,'Mortgage Calculators (By Month)'!$K467,"-")</f>
        <v>-</v>
      </c>
      <c r="AM449" s="8" t="str">
        <f>IF($AD449&lt;=$C$25*12,'Mortgage Calculators (By Month)'!$L467,"-")</f>
        <v>-</v>
      </c>
      <c r="AN449" s="8" t="str">
        <f t="shared" si="195"/>
        <v>-</v>
      </c>
      <c r="AO449" s="8" t="str">
        <f t="shared" si="209"/>
        <v>-</v>
      </c>
      <c r="AP449" s="8" t="str">
        <f t="shared" si="210"/>
        <v>-</v>
      </c>
      <c r="AQ449" s="8" t="str">
        <f t="shared" si="211"/>
        <v>-</v>
      </c>
      <c r="AR449" s="8" t="str">
        <f t="shared" si="212"/>
        <v>-</v>
      </c>
      <c r="AS449" s="8" t="str">
        <f>IF($AD449&lt;=$C$25*12,SUM(AR$5:AR449),"-")</f>
        <v>-</v>
      </c>
      <c r="AT449" s="8" t="str">
        <f>IF($AD449&lt;=$C$25*12,AE449-$C$10-'RE Calculations'!$C636-'Mortgage Calculators (By Month)'!$M467,"-")</f>
        <v>-</v>
      </c>
      <c r="AU449" s="29" t="str">
        <f t="shared" si="213"/>
        <v>-</v>
      </c>
      <c r="AV449" s="31" t="str">
        <f t="shared" si="214"/>
        <v>-</v>
      </c>
      <c r="AW449" s="8" t="str">
        <f t="shared" si="215"/>
        <v>-</v>
      </c>
      <c r="AX449" s="29" t="str">
        <f t="shared" si="216"/>
        <v>-</v>
      </c>
      <c r="AY449" s="31" t="str">
        <f t="shared" si="217"/>
        <v>-</v>
      </c>
    </row>
    <row r="450" spans="6:51" x14ac:dyDescent="0.35">
      <c r="F450" s="12" t="str">
        <f t="shared" si="190"/>
        <v>-</v>
      </c>
      <c r="G450" s="8" t="str">
        <f t="shared" si="191"/>
        <v>-</v>
      </c>
      <c r="H450" s="8" t="str">
        <f>IF($F450&lt;=$C$16*12,$G450-$C$7+SUM('Mortgage Calculators (By Month)'!$D$23:$D468),"-")</f>
        <v>-</v>
      </c>
      <c r="I450" s="8" t="str">
        <f t="shared" si="196"/>
        <v>-</v>
      </c>
      <c r="J450" s="8" t="str">
        <f>IF($F450&lt;=$C$16*12,SUM(Inputs!$C$61:$C$78)*'Forecast (By Month)'!I450,"-")</f>
        <v>-</v>
      </c>
      <c r="K450" s="8" t="str">
        <f>IF($F450&lt;=$C$16*12,(SUMIF(Inputs!$C$61:$C$78,0,Inputs!$F$61:$F$78)/12)*(1+$C$34)^ROUNDDOWN((F450-1)/12,0),"-")</f>
        <v>-</v>
      </c>
      <c r="L450" s="8" t="str">
        <f t="shared" si="197"/>
        <v>-</v>
      </c>
      <c r="M450" s="8" t="str">
        <f>IF($F450&lt;=$C$16*12,'Mortgage Calculators (By Month)'!$C468,"-")</f>
        <v>-</v>
      </c>
      <c r="N450" s="8" t="str">
        <f>IF($F450&lt;=$C$16*12,'Mortgage Calculators (By Month)'!$D468,"-")</f>
        <v>-</v>
      </c>
      <c r="O450" s="8" t="str">
        <f>IF($F450&lt;=$C$16*12,'Mortgage Calculators (By Month)'!$E468,"-")</f>
        <v>-</v>
      </c>
      <c r="P450" s="8" t="str">
        <f t="shared" si="194"/>
        <v>-</v>
      </c>
      <c r="Q450" s="8" t="str">
        <f t="shared" si="198"/>
        <v>-</v>
      </c>
      <c r="R450" s="8" t="str">
        <f t="shared" si="199"/>
        <v>-</v>
      </c>
      <c r="S450" s="8" t="str">
        <f t="shared" si="200"/>
        <v>-</v>
      </c>
      <c r="T450" s="8" t="str">
        <f t="shared" si="201"/>
        <v>-</v>
      </c>
      <c r="U450" s="8" t="str">
        <f>IF($F450&lt;=$C$16*12,SUM(T$5:T450),"-")</f>
        <v>-</v>
      </c>
      <c r="V450" s="8" t="str">
        <f>IF($F450&lt;=$C$16*12,G450-$C$10-'RE Calculations'!$C637-'Mortgage Calculators (By Month)'!$F468,"-")</f>
        <v>-</v>
      </c>
      <c r="W450" s="29" t="str">
        <f t="shared" si="202"/>
        <v>-</v>
      </c>
      <c r="X450" s="31" t="str">
        <f t="shared" si="203"/>
        <v>-</v>
      </c>
      <c r="Y450" s="8" t="str">
        <f t="shared" si="204"/>
        <v>-</v>
      </c>
      <c r="Z450" s="29" t="str">
        <f t="shared" si="205"/>
        <v>-</v>
      </c>
      <c r="AA450" s="31" t="str">
        <f t="shared" si="206"/>
        <v>-</v>
      </c>
      <c r="AD450" s="12" t="str">
        <f t="shared" si="192"/>
        <v>-</v>
      </c>
      <c r="AE450" s="8" t="str">
        <f t="shared" si="193"/>
        <v>-</v>
      </c>
      <c r="AF450" s="8" t="str">
        <f>IF($AD450&lt;=$C$25*12,$AE450-$C$7+SUM('Mortgage Calculators (By Month)'!$K$23:$K468),"-")</f>
        <v>-</v>
      </c>
      <c r="AG450" s="8" t="str">
        <f t="shared" si="207"/>
        <v>-</v>
      </c>
      <c r="AH450" s="8" t="str">
        <f>IF($AD450&lt;=$C$25*12,SUM(Inputs!$C$61:$C$78)*'Forecast (By Month)'!AG450,"-")</f>
        <v>-</v>
      </c>
      <c r="AI450" s="8" t="str">
        <f>IF($AD450&lt;=$C$25*12,(SUMIF(Inputs!$C$61:$C$78,0,Inputs!$F$61:$F$78)/12)*(1+$C$34)^ROUNDDOWN((AD450-1)/12,0),"-")</f>
        <v>-</v>
      </c>
      <c r="AJ450" s="8" t="str">
        <f t="shared" si="208"/>
        <v>-</v>
      </c>
      <c r="AK450" s="8" t="str">
        <f>IF($AD450&lt;=$C$25*12,'Mortgage Calculators (By Month)'!$J468,"-")</f>
        <v>-</v>
      </c>
      <c r="AL450" s="8" t="str">
        <f>IF($AD450&lt;=$C$25*12,'Mortgage Calculators (By Month)'!$K468,"-")</f>
        <v>-</v>
      </c>
      <c r="AM450" s="8" t="str">
        <f>IF($AD450&lt;=$C$25*12,'Mortgage Calculators (By Month)'!$L468,"-")</f>
        <v>-</v>
      </c>
      <c r="AN450" s="8" t="str">
        <f t="shared" si="195"/>
        <v>-</v>
      </c>
      <c r="AO450" s="8" t="str">
        <f t="shared" si="209"/>
        <v>-</v>
      </c>
      <c r="AP450" s="8" t="str">
        <f t="shared" si="210"/>
        <v>-</v>
      </c>
      <c r="AQ450" s="8" t="str">
        <f t="shared" si="211"/>
        <v>-</v>
      </c>
      <c r="AR450" s="8" t="str">
        <f t="shared" si="212"/>
        <v>-</v>
      </c>
      <c r="AS450" s="8" t="str">
        <f>IF($AD450&lt;=$C$25*12,SUM(AR$5:AR450),"-")</f>
        <v>-</v>
      </c>
      <c r="AT450" s="8" t="str">
        <f>IF($AD450&lt;=$C$25*12,AE450-$C$10-'RE Calculations'!$C637-'Mortgage Calculators (By Month)'!$M468,"-")</f>
        <v>-</v>
      </c>
      <c r="AU450" s="29" t="str">
        <f t="shared" si="213"/>
        <v>-</v>
      </c>
      <c r="AV450" s="31" t="str">
        <f t="shared" si="214"/>
        <v>-</v>
      </c>
      <c r="AW450" s="8" t="str">
        <f t="shared" si="215"/>
        <v>-</v>
      </c>
      <c r="AX450" s="29" t="str">
        <f t="shared" si="216"/>
        <v>-</v>
      </c>
      <c r="AY450" s="31" t="str">
        <f t="shared" si="217"/>
        <v>-</v>
      </c>
    </row>
    <row r="451" spans="6:51" x14ac:dyDescent="0.35">
      <c r="F451" s="12" t="str">
        <f t="shared" si="190"/>
        <v>-</v>
      </c>
      <c r="G451" s="8" t="str">
        <f t="shared" si="191"/>
        <v>-</v>
      </c>
      <c r="H451" s="8" t="str">
        <f>IF($F451&lt;=$C$16*12,$G451-$C$7+SUM('Mortgage Calculators (By Month)'!$D$23:$D469),"-")</f>
        <v>-</v>
      </c>
      <c r="I451" s="8" t="str">
        <f t="shared" si="196"/>
        <v>-</v>
      </c>
      <c r="J451" s="8" t="str">
        <f>IF($F451&lt;=$C$16*12,SUM(Inputs!$C$61:$C$78)*'Forecast (By Month)'!I451,"-")</f>
        <v>-</v>
      </c>
      <c r="K451" s="8" t="str">
        <f>IF($F451&lt;=$C$16*12,(SUMIF(Inputs!$C$61:$C$78,0,Inputs!$F$61:$F$78)/12)*(1+$C$34)^ROUNDDOWN((F451-1)/12,0),"-")</f>
        <v>-</v>
      </c>
      <c r="L451" s="8" t="str">
        <f t="shared" si="197"/>
        <v>-</v>
      </c>
      <c r="M451" s="8" t="str">
        <f>IF($F451&lt;=$C$16*12,'Mortgage Calculators (By Month)'!$C469,"-")</f>
        <v>-</v>
      </c>
      <c r="N451" s="8" t="str">
        <f>IF($F451&lt;=$C$16*12,'Mortgage Calculators (By Month)'!$D469,"-")</f>
        <v>-</v>
      </c>
      <c r="O451" s="8" t="str">
        <f>IF($F451&lt;=$C$16*12,'Mortgage Calculators (By Month)'!$E469,"-")</f>
        <v>-</v>
      </c>
      <c r="P451" s="8" t="str">
        <f t="shared" si="194"/>
        <v>-</v>
      </c>
      <c r="Q451" s="8" t="str">
        <f t="shared" si="198"/>
        <v>-</v>
      </c>
      <c r="R451" s="8" t="str">
        <f t="shared" si="199"/>
        <v>-</v>
      </c>
      <c r="S451" s="8" t="str">
        <f t="shared" si="200"/>
        <v>-</v>
      </c>
      <c r="T451" s="8" t="str">
        <f t="shared" si="201"/>
        <v>-</v>
      </c>
      <c r="U451" s="8" t="str">
        <f>IF($F451&lt;=$C$16*12,SUM(T$5:T451),"-")</f>
        <v>-</v>
      </c>
      <c r="V451" s="8" t="str">
        <f>IF($F451&lt;=$C$16*12,G451-$C$10-'RE Calculations'!$C638-'Mortgage Calculators (By Month)'!$F469,"-")</f>
        <v>-</v>
      </c>
      <c r="W451" s="29" t="str">
        <f t="shared" si="202"/>
        <v>-</v>
      </c>
      <c r="X451" s="31" t="str">
        <f t="shared" si="203"/>
        <v>-</v>
      </c>
      <c r="Y451" s="8" t="str">
        <f t="shared" si="204"/>
        <v>-</v>
      </c>
      <c r="Z451" s="29" t="str">
        <f t="shared" si="205"/>
        <v>-</v>
      </c>
      <c r="AA451" s="31" t="str">
        <f t="shared" si="206"/>
        <v>-</v>
      </c>
      <c r="AD451" s="12" t="str">
        <f t="shared" si="192"/>
        <v>-</v>
      </c>
      <c r="AE451" s="8" t="str">
        <f t="shared" si="193"/>
        <v>-</v>
      </c>
      <c r="AF451" s="8" t="str">
        <f>IF($AD451&lt;=$C$25*12,$AE451-$C$7+SUM('Mortgage Calculators (By Month)'!$K$23:$K469),"-")</f>
        <v>-</v>
      </c>
      <c r="AG451" s="8" t="str">
        <f t="shared" si="207"/>
        <v>-</v>
      </c>
      <c r="AH451" s="8" t="str">
        <f>IF($AD451&lt;=$C$25*12,SUM(Inputs!$C$61:$C$78)*'Forecast (By Month)'!AG451,"-")</f>
        <v>-</v>
      </c>
      <c r="AI451" s="8" t="str">
        <f>IF($AD451&lt;=$C$25*12,(SUMIF(Inputs!$C$61:$C$78,0,Inputs!$F$61:$F$78)/12)*(1+$C$34)^ROUNDDOWN((AD451-1)/12,0),"-")</f>
        <v>-</v>
      </c>
      <c r="AJ451" s="8" t="str">
        <f t="shared" si="208"/>
        <v>-</v>
      </c>
      <c r="AK451" s="8" t="str">
        <f>IF($AD451&lt;=$C$25*12,'Mortgage Calculators (By Month)'!$J469,"-")</f>
        <v>-</v>
      </c>
      <c r="AL451" s="8" t="str">
        <f>IF($AD451&lt;=$C$25*12,'Mortgage Calculators (By Month)'!$K469,"-")</f>
        <v>-</v>
      </c>
      <c r="AM451" s="8" t="str">
        <f>IF($AD451&lt;=$C$25*12,'Mortgage Calculators (By Month)'!$L469,"-")</f>
        <v>-</v>
      </c>
      <c r="AN451" s="8" t="str">
        <f t="shared" si="195"/>
        <v>-</v>
      </c>
      <c r="AO451" s="8" t="str">
        <f t="shared" si="209"/>
        <v>-</v>
      </c>
      <c r="AP451" s="8" t="str">
        <f t="shared" si="210"/>
        <v>-</v>
      </c>
      <c r="AQ451" s="8" t="str">
        <f t="shared" si="211"/>
        <v>-</v>
      </c>
      <c r="AR451" s="8" t="str">
        <f t="shared" si="212"/>
        <v>-</v>
      </c>
      <c r="AS451" s="8" t="str">
        <f>IF($AD451&lt;=$C$25*12,SUM(AR$5:AR451),"-")</f>
        <v>-</v>
      </c>
      <c r="AT451" s="8" t="str">
        <f>IF($AD451&lt;=$C$25*12,AE451-$C$10-'RE Calculations'!$C638-'Mortgage Calculators (By Month)'!$M469,"-")</f>
        <v>-</v>
      </c>
      <c r="AU451" s="29" t="str">
        <f t="shared" si="213"/>
        <v>-</v>
      </c>
      <c r="AV451" s="31" t="str">
        <f t="shared" si="214"/>
        <v>-</v>
      </c>
      <c r="AW451" s="8" t="str">
        <f t="shared" si="215"/>
        <v>-</v>
      </c>
      <c r="AX451" s="29" t="str">
        <f t="shared" si="216"/>
        <v>-</v>
      </c>
      <c r="AY451" s="31" t="str">
        <f t="shared" si="217"/>
        <v>-</v>
      </c>
    </row>
    <row r="452" spans="6:51" x14ac:dyDescent="0.35">
      <c r="F452" s="12" t="str">
        <f t="shared" si="190"/>
        <v>-</v>
      </c>
      <c r="G452" s="8" t="str">
        <f t="shared" si="191"/>
        <v>-</v>
      </c>
      <c r="H452" s="8" t="str">
        <f>IF($F452&lt;=$C$16*12,$G452-$C$7+SUM('Mortgage Calculators (By Month)'!$D$23:$D470),"-")</f>
        <v>-</v>
      </c>
      <c r="I452" s="8" t="str">
        <f t="shared" si="196"/>
        <v>-</v>
      </c>
      <c r="J452" s="8" t="str">
        <f>IF($F452&lt;=$C$16*12,SUM(Inputs!$C$61:$C$78)*'Forecast (By Month)'!I452,"-")</f>
        <v>-</v>
      </c>
      <c r="K452" s="8" t="str">
        <f>IF($F452&lt;=$C$16*12,(SUMIF(Inputs!$C$61:$C$78,0,Inputs!$F$61:$F$78)/12)*(1+$C$34)^ROUNDDOWN((F452-1)/12,0),"-")</f>
        <v>-</v>
      </c>
      <c r="L452" s="8" t="str">
        <f t="shared" si="197"/>
        <v>-</v>
      </c>
      <c r="M452" s="8" t="str">
        <f>IF($F452&lt;=$C$16*12,'Mortgage Calculators (By Month)'!$C470,"-")</f>
        <v>-</v>
      </c>
      <c r="N452" s="8" t="str">
        <f>IF($F452&lt;=$C$16*12,'Mortgage Calculators (By Month)'!$D470,"-")</f>
        <v>-</v>
      </c>
      <c r="O452" s="8" t="str">
        <f>IF($F452&lt;=$C$16*12,'Mortgage Calculators (By Month)'!$E470,"-")</f>
        <v>-</v>
      </c>
      <c r="P452" s="8" t="str">
        <f t="shared" si="194"/>
        <v>-</v>
      </c>
      <c r="Q452" s="8" t="str">
        <f t="shared" si="198"/>
        <v>-</v>
      </c>
      <c r="R452" s="8" t="str">
        <f t="shared" si="199"/>
        <v>-</v>
      </c>
      <c r="S452" s="8" t="str">
        <f t="shared" si="200"/>
        <v>-</v>
      </c>
      <c r="T452" s="8" t="str">
        <f t="shared" si="201"/>
        <v>-</v>
      </c>
      <c r="U452" s="8" t="str">
        <f>IF($F452&lt;=$C$16*12,SUM(T$5:T452),"-")</f>
        <v>-</v>
      </c>
      <c r="V452" s="8" t="str">
        <f>IF($F452&lt;=$C$16*12,G452-$C$10-'RE Calculations'!$C639-'Mortgage Calculators (By Month)'!$F470,"-")</f>
        <v>-</v>
      </c>
      <c r="W452" s="29" t="str">
        <f t="shared" si="202"/>
        <v>-</v>
      </c>
      <c r="X452" s="31" t="str">
        <f t="shared" si="203"/>
        <v>-</v>
      </c>
      <c r="Y452" s="8" t="str">
        <f t="shared" si="204"/>
        <v>-</v>
      </c>
      <c r="Z452" s="29" t="str">
        <f t="shared" si="205"/>
        <v>-</v>
      </c>
      <c r="AA452" s="31" t="str">
        <f t="shared" si="206"/>
        <v>-</v>
      </c>
      <c r="AD452" s="12" t="str">
        <f t="shared" si="192"/>
        <v>-</v>
      </c>
      <c r="AE452" s="8" t="str">
        <f t="shared" si="193"/>
        <v>-</v>
      </c>
      <c r="AF452" s="8" t="str">
        <f>IF($AD452&lt;=$C$25*12,$AE452-$C$7+SUM('Mortgage Calculators (By Month)'!$K$23:$K470),"-")</f>
        <v>-</v>
      </c>
      <c r="AG452" s="8" t="str">
        <f t="shared" si="207"/>
        <v>-</v>
      </c>
      <c r="AH452" s="8" t="str">
        <f>IF($AD452&lt;=$C$25*12,SUM(Inputs!$C$61:$C$78)*'Forecast (By Month)'!AG452,"-")</f>
        <v>-</v>
      </c>
      <c r="AI452" s="8" t="str">
        <f>IF($AD452&lt;=$C$25*12,(SUMIF(Inputs!$C$61:$C$78,0,Inputs!$F$61:$F$78)/12)*(1+$C$34)^ROUNDDOWN((AD452-1)/12,0),"-")</f>
        <v>-</v>
      </c>
      <c r="AJ452" s="8" t="str">
        <f t="shared" si="208"/>
        <v>-</v>
      </c>
      <c r="AK452" s="8" t="str">
        <f>IF($AD452&lt;=$C$25*12,'Mortgage Calculators (By Month)'!$J470,"-")</f>
        <v>-</v>
      </c>
      <c r="AL452" s="8" t="str">
        <f>IF($AD452&lt;=$C$25*12,'Mortgage Calculators (By Month)'!$K470,"-")</f>
        <v>-</v>
      </c>
      <c r="AM452" s="8" t="str">
        <f>IF($AD452&lt;=$C$25*12,'Mortgage Calculators (By Month)'!$L470,"-")</f>
        <v>-</v>
      </c>
      <c r="AN452" s="8" t="str">
        <f t="shared" si="195"/>
        <v>-</v>
      </c>
      <c r="AO452" s="8" t="str">
        <f t="shared" si="209"/>
        <v>-</v>
      </c>
      <c r="AP452" s="8" t="str">
        <f t="shared" si="210"/>
        <v>-</v>
      </c>
      <c r="AQ452" s="8" t="str">
        <f t="shared" si="211"/>
        <v>-</v>
      </c>
      <c r="AR452" s="8" t="str">
        <f t="shared" si="212"/>
        <v>-</v>
      </c>
      <c r="AS452" s="8" t="str">
        <f>IF($AD452&lt;=$C$25*12,SUM(AR$5:AR452),"-")</f>
        <v>-</v>
      </c>
      <c r="AT452" s="8" t="str">
        <f>IF($AD452&lt;=$C$25*12,AE452-$C$10-'RE Calculations'!$C639-'Mortgage Calculators (By Month)'!$M470,"-")</f>
        <v>-</v>
      </c>
      <c r="AU452" s="29" t="str">
        <f t="shared" si="213"/>
        <v>-</v>
      </c>
      <c r="AV452" s="31" t="str">
        <f t="shared" si="214"/>
        <v>-</v>
      </c>
      <c r="AW452" s="8" t="str">
        <f t="shared" si="215"/>
        <v>-</v>
      </c>
      <c r="AX452" s="29" t="str">
        <f t="shared" si="216"/>
        <v>-</v>
      </c>
      <c r="AY452" s="31" t="str">
        <f t="shared" si="217"/>
        <v>-</v>
      </c>
    </row>
    <row r="453" spans="6:51" x14ac:dyDescent="0.35">
      <c r="F453" s="12" t="str">
        <f t="shared" ref="F453:F516" si="218">IF(F452&lt;$C$16*12,F452+1,"-")</f>
        <v>-</v>
      </c>
      <c r="G453" s="8" t="str">
        <f t="shared" ref="G453:G516" si="219">IF($F453&lt;=$C$16*12,G452*(1+$C$32),"-")</f>
        <v>-</v>
      </c>
      <c r="H453" s="8" t="str">
        <f>IF($F453&lt;=$C$16*12,$G453-$C$7+SUM('Mortgage Calculators (By Month)'!$D$23:$D471),"-")</f>
        <v>-</v>
      </c>
      <c r="I453" s="8" t="str">
        <f t="shared" si="196"/>
        <v>-</v>
      </c>
      <c r="J453" s="8" t="str">
        <f>IF($F453&lt;=$C$16*12,SUM(Inputs!$C$61:$C$78)*'Forecast (By Month)'!I453,"-")</f>
        <v>-</v>
      </c>
      <c r="K453" s="8" t="str">
        <f>IF($F453&lt;=$C$16*12,(SUMIF(Inputs!$C$61:$C$78,0,Inputs!$F$61:$F$78)/12)*(1+$C$34)^ROUNDDOWN((F453-1)/12,0),"-")</f>
        <v>-</v>
      </c>
      <c r="L453" s="8" t="str">
        <f t="shared" si="197"/>
        <v>-</v>
      </c>
      <c r="M453" s="8" t="str">
        <f>IF($F453&lt;=$C$16*12,'Mortgage Calculators (By Month)'!$C471,"-")</f>
        <v>-</v>
      </c>
      <c r="N453" s="8" t="str">
        <f>IF($F453&lt;=$C$16*12,'Mortgage Calculators (By Month)'!$D471,"-")</f>
        <v>-</v>
      </c>
      <c r="O453" s="8" t="str">
        <f>IF($F453&lt;=$C$16*12,'Mortgage Calculators (By Month)'!$E471,"-")</f>
        <v>-</v>
      </c>
      <c r="P453" s="8" t="str">
        <f t="shared" si="194"/>
        <v>-</v>
      </c>
      <c r="Q453" s="8" t="str">
        <f t="shared" si="198"/>
        <v>-</v>
      </c>
      <c r="R453" s="8" t="str">
        <f t="shared" si="199"/>
        <v>-</v>
      </c>
      <c r="S453" s="8" t="str">
        <f t="shared" si="200"/>
        <v>-</v>
      </c>
      <c r="T453" s="8" t="str">
        <f t="shared" si="201"/>
        <v>-</v>
      </c>
      <c r="U453" s="8" t="str">
        <f>IF($F453&lt;=$C$16*12,SUM(T$5:T453),"-")</f>
        <v>-</v>
      </c>
      <c r="V453" s="8" t="str">
        <f>IF($F453&lt;=$C$16*12,G453-$C$10-'RE Calculations'!$C640-'Mortgage Calculators (By Month)'!$F471,"-")</f>
        <v>-</v>
      </c>
      <c r="W453" s="29" t="str">
        <f t="shared" si="202"/>
        <v>-</v>
      </c>
      <c r="X453" s="31" t="str">
        <f t="shared" si="203"/>
        <v>-</v>
      </c>
      <c r="Y453" s="8" t="str">
        <f t="shared" si="204"/>
        <v>-</v>
      </c>
      <c r="Z453" s="29" t="str">
        <f t="shared" si="205"/>
        <v>-</v>
      </c>
      <c r="AA453" s="31" t="str">
        <f t="shared" si="206"/>
        <v>-</v>
      </c>
      <c r="AD453" s="12" t="str">
        <f t="shared" ref="AD453:AD516" si="220">IF($AD452&lt;$C$25*12,AD452+1,"-")</f>
        <v>-</v>
      </c>
      <c r="AE453" s="8" t="str">
        <f t="shared" ref="AE453:AE516" si="221">IF($AD453&lt;=$C$25*12,AE452*(1+$C$32),"-")</f>
        <v>-</v>
      </c>
      <c r="AF453" s="8" t="str">
        <f>IF($AD453&lt;=$C$25*12,$AE453-$C$7+SUM('Mortgage Calculators (By Month)'!$K$23:$K471),"-")</f>
        <v>-</v>
      </c>
      <c r="AG453" s="8" t="str">
        <f t="shared" si="207"/>
        <v>-</v>
      </c>
      <c r="AH453" s="8" t="str">
        <f>IF($AD453&lt;=$C$25*12,SUM(Inputs!$C$61:$C$78)*'Forecast (By Month)'!AG453,"-")</f>
        <v>-</v>
      </c>
      <c r="AI453" s="8" t="str">
        <f>IF($AD453&lt;=$C$25*12,(SUMIF(Inputs!$C$61:$C$78,0,Inputs!$F$61:$F$78)/12)*(1+$C$34)^ROUNDDOWN((AD453-1)/12,0),"-")</f>
        <v>-</v>
      </c>
      <c r="AJ453" s="8" t="str">
        <f t="shared" si="208"/>
        <v>-</v>
      </c>
      <c r="AK453" s="8" t="str">
        <f>IF($AD453&lt;=$C$25*12,'Mortgage Calculators (By Month)'!$J471,"-")</f>
        <v>-</v>
      </c>
      <c r="AL453" s="8" t="str">
        <f>IF($AD453&lt;=$C$25*12,'Mortgage Calculators (By Month)'!$K471,"-")</f>
        <v>-</v>
      </c>
      <c r="AM453" s="8" t="str">
        <f>IF($AD453&lt;=$C$25*12,'Mortgage Calculators (By Month)'!$L471,"-")</f>
        <v>-</v>
      </c>
      <c r="AN453" s="8" t="str">
        <f t="shared" si="195"/>
        <v>-</v>
      </c>
      <c r="AO453" s="8" t="str">
        <f t="shared" si="209"/>
        <v>-</v>
      </c>
      <c r="AP453" s="8" t="str">
        <f t="shared" si="210"/>
        <v>-</v>
      </c>
      <c r="AQ453" s="8" t="str">
        <f t="shared" si="211"/>
        <v>-</v>
      </c>
      <c r="AR453" s="8" t="str">
        <f t="shared" si="212"/>
        <v>-</v>
      </c>
      <c r="AS453" s="8" t="str">
        <f>IF($AD453&lt;=$C$25*12,SUM(AR$5:AR453),"-")</f>
        <v>-</v>
      </c>
      <c r="AT453" s="8" t="str">
        <f>IF($AD453&lt;=$C$25*12,AE453-$C$10-'RE Calculations'!$C640-'Mortgage Calculators (By Month)'!$M471,"-")</f>
        <v>-</v>
      </c>
      <c r="AU453" s="29" t="str">
        <f t="shared" si="213"/>
        <v>-</v>
      </c>
      <c r="AV453" s="31" t="str">
        <f t="shared" si="214"/>
        <v>-</v>
      </c>
      <c r="AW453" s="8" t="str">
        <f t="shared" si="215"/>
        <v>-</v>
      </c>
      <c r="AX453" s="29" t="str">
        <f t="shared" si="216"/>
        <v>-</v>
      </c>
      <c r="AY453" s="31" t="str">
        <f t="shared" si="217"/>
        <v>-</v>
      </c>
    </row>
    <row r="454" spans="6:51" x14ac:dyDescent="0.35">
      <c r="F454" s="12" t="str">
        <f t="shared" si="218"/>
        <v>-</v>
      </c>
      <c r="G454" s="8" t="str">
        <f t="shared" si="219"/>
        <v>-</v>
      </c>
      <c r="H454" s="8" t="str">
        <f>IF($F454&lt;=$C$16*12,$G454-$C$7+SUM('Mortgage Calculators (By Month)'!$D$23:$D472),"-")</f>
        <v>-</v>
      </c>
      <c r="I454" s="8" t="str">
        <f t="shared" si="196"/>
        <v>-</v>
      </c>
      <c r="J454" s="8" t="str">
        <f>IF($F454&lt;=$C$16*12,SUM(Inputs!$C$61:$C$78)*'Forecast (By Month)'!I454,"-")</f>
        <v>-</v>
      </c>
      <c r="K454" s="8" t="str">
        <f>IF($F454&lt;=$C$16*12,(SUMIF(Inputs!$C$61:$C$78,0,Inputs!$F$61:$F$78)/12)*(1+$C$34)^ROUNDDOWN((F454-1)/12,0),"-")</f>
        <v>-</v>
      </c>
      <c r="L454" s="8" t="str">
        <f t="shared" si="197"/>
        <v>-</v>
      </c>
      <c r="M454" s="8" t="str">
        <f>IF($F454&lt;=$C$16*12,'Mortgage Calculators (By Month)'!$C472,"-")</f>
        <v>-</v>
      </c>
      <c r="N454" s="8" t="str">
        <f>IF($F454&lt;=$C$16*12,'Mortgage Calculators (By Month)'!$D472,"-")</f>
        <v>-</v>
      </c>
      <c r="O454" s="8" t="str">
        <f>IF($F454&lt;=$C$16*12,'Mortgage Calculators (By Month)'!$E472,"-")</f>
        <v>-</v>
      </c>
      <c r="P454" s="8" t="str">
        <f t="shared" ref="P454:P517" si="222">IF($F454&lt;=$C$16*12,IF($F454&lt;=$C$38*12,IFERROR($C$37/($C$38*12),0),0),"-")</f>
        <v>-</v>
      </c>
      <c r="Q454" s="8" t="str">
        <f t="shared" si="198"/>
        <v>-</v>
      </c>
      <c r="R454" s="8" t="str">
        <f t="shared" si="199"/>
        <v>-</v>
      </c>
      <c r="S454" s="8" t="str">
        <f t="shared" si="200"/>
        <v>-</v>
      </c>
      <c r="T454" s="8" t="str">
        <f t="shared" si="201"/>
        <v>-</v>
      </c>
      <c r="U454" s="8" t="str">
        <f>IF($F454&lt;=$C$16*12,SUM(T$5:T454),"-")</f>
        <v>-</v>
      </c>
      <c r="V454" s="8" t="str">
        <f>IF($F454&lt;=$C$16*12,G454-$C$10-'RE Calculations'!$C641-'Mortgage Calculators (By Month)'!$F472,"-")</f>
        <v>-</v>
      </c>
      <c r="W454" s="29" t="str">
        <f t="shared" si="202"/>
        <v>-</v>
      </c>
      <c r="X454" s="31" t="str">
        <f t="shared" si="203"/>
        <v>-</v>
      </c>
      <c r="Y454" s="8" t="str">
        <f t="shared" si="204"/>
        <v>-</v>
      </c>
      <c r="Z454" s="29" t="str">
        <f t="shared" si="205"/>
        <v>-</v>
      </c>
      <c r="AA454" s="31" t="str">
        <f t="shared" si="206"/>
        <v>-</v>
      </c>
      <c r="AD454" s="12" t="str">
        <f t="shared" si="220"/>
        <v>-</v>
      </c>
      <c r="AE454" s="8" t="str">
        <f t="shared" si="221"/>
        <v>-</v>
      </c>
      <c r="AF454" s="8" t="str">
        <f>IF($AD454&lt;=$C$25*12,$AE454-$C$7+SUM('Mortgage Calculators (By Month)'!$K$23:$K472),"-")</f>
        <v>-</v>
      </c>
      <c r="AG454" s="8" t="str">
        <f t="shared" si="207"/>
        <v>-</v>
      </c>
      <c r="AH454" s="8" t="str">
        <f>IF($AD454&lt;=$C$25*12,SUM(Inputs!$C$61:$C$78)*'Forecast (By Month)'!AG454,"-")</f>
        <v>-</v>
      </c>
      <c r="AI454" s="8" t="str">
        <f>IF($AD454&lt;=$C$25*12,(SUMIF(Inputs!$C$61:$C$78,0,Inputs!$F$61:$F$78)/12)*(1+$C$34)^ROUNDDOWN((AD454-1)/12,0),"-")</f>
        <v>-</v>
      </c>
      <c r="AJ454" s="8" t="str">
        <f t="shared" si="208"/>
        <v>-</v>
      </c>
      <c r="AK454" s="8" t="str">
        <f>IF($AD454&lt;=$C$25*12,'Mortgage Calculators (By Month)'!$J472,"-")</f>
        <v>-</v>
      </c>
      <c r="AL454" s="8" t="str">
        <f>IF($AD454&lt;=$C$25*12,'Mortgage Calculators (By Month)'!$K472,"-")</f>
        <v>-</v>
      </c>
      <c r="AM454" s="8" t="str">
        <f>IF($AD454&lt;=$C$25*12,'Mortgage Calculators (By Month)'!$L472,"-")</f>
        <v>-</v>
      </c>
      <c r="AN454" s="8" t="str">
        <f t="shared" ref="AN454:AN517" si="223">IF($AD454&lt;=$C$25*12,IF($AD454&lt;=$C$38*12,IFERROR($C$37/($C$38*12),0),0),"-")</f>
        <v>-</v>
      </c>
      <c r="AO454" s="8" t="str">
        <f t="shared" si="209"/>
        <v>-</v>
      </c>
      <c r="AP454" s="8" t="str">
        <f t="shared" si="210"/>
        <v>-</v>
      </c>
      <c r="AQ454" s="8" t="str">
        <f t="shared" si="211"/>
        <v>-</v>
      </c>
      <c r="AR454" s="8" t="str">
        <f t="shared" si="212"/>
        <v>-</v>
      </c>
      <c r="AS454" s="8" t="str">
        <f>IF($AD454&lt;=$C$25*12,SUM(AR$5:AR454),"-")</f>
        <v>-</v>
      </c>
      <c r="AT454" s="8" t="str">
        <f>IF($AD454&lt;=$C$25*12,AE454-$C$10-'RE Calculations'!$C641-'Mortgage Calculators (By Month)'!$M472,"-")</f>
        <v>-</v>
      </c>
      <c r="AU454" s="29" t="str">
        <f t="shared" si="213"/>
        <v>-</v>
      </c>
      <c r="AV454" s="31" t="str">
        <f t="shared" si="214"/>
        <v>-</v>
      </c>
      <c r="AW454" s="8" t="str">
        <f t="shared" si="215"/>
        <v>-</v>
      </c>
      <c r="AX454" s="29" t="str">
        <f t="shared" si="216"/>
        <v>-</v>
      </c>
      <c r="AY454" s="31" t="str">
        <f t="shared" si="217"/>
        <v>-</v>
      </c>
    </row>
    <row r="455" spans="6:51" x14ac:dyDescent="0.35">
      <c r="F455" s="12" t="str">
        <f t="shared" si="218"/>
        <v>-</v>
      </c>
      <c r="G455" s="8" t="str">
        <f t="shared" si="219"/>
        <v>-</v>
      </c>
      <c r="H455" s="8" t="str">
        <f>IF($F455&lt;=$C$16*12,$G455-$C$7+SUM('Mortgage Calculators (By Month)'!$D$23:$D473),"-")</f>
        <v>-</v>
      </c>
      <c r="I455" s="8" t="str">
        <f t="shared" si="196"/>
        <v>-</v>
      </c>
      <c r="J455" s="8" t="str">
        <f>IF($F455&lt;=$C$16*12,SUM(Inputs!$C$61:$C$78)*'Forecast (By Month)'!I455,"-")</f>
        <v>-</v>
      </c>
      <c r="K455" s="8" t="str">
        <f>IF($F455&lt;=$C$16*12,(SUMIF(Inputs!$C$61:$C$78,0,Inputs!$F$61:$F$78)/12)*(1+$C$34)^ROUNDDOWN((F455-1)/12,0),"-")</f>
        <v>-</v>
      </c>
      <c r="L455" s="8" t="str">
        <f t="shared" si="197"/>
        <v>-</v>
      </c>
      <c r="M455" s="8" t="str">
        <f>IF($F455&lt;=$C$16*12,'Mortgage Calculators (By Month)'!$C473,"-")</f>
        <v>-</v>
      </c>
      <c r="N455" s="8" t="str">
        <f>IF($F455&lt;=$C$16*12,'Mortgage Calculators (By Month)'!$D473,"-")</f>
        <v>-</v>
      </c>
      <c r="O455" s="8" t="str">
        <f>IF($F455&lt;=$C$16*12,'Mortgage Calculators (By Month)'!$E473,"-")</f>
        <v>-</v>
      </c>
      <c r="P455" s="8" t="str">
        <f t="shared" si="222"/>
        <v>-</v>
      </c>
      <c r="Q455" s="8" t="str">
        <f t="shared" si="198"/>
        <v>-</v>
      </c>
      <c r="R455" s="8" t="str">
        <f t="shared" si="199"/>
        <v>-</v>
      </c>
      <c r="S455" s="8" t="str">
        <f t="shared" si="200"/>
        <v>-</v>
      </c>
      <c r="T455" s="8" t="str">
        <f t="shared" si="201"/>
        <v>-</v>
      </c>
      <c r="U455" s="8" t="str">
        <f>IF($F455&lt;=$C$16*12,SUM(T$5:T455),"-")</f>
        <v>-</v>
      </c>
      <c r="V455" s="8" t="str">
        <f>IF($F455&lt;=$C$16*12,G455-$C$10-'RE Calculations'!$C642-'Mortgage Calculators (By Month)'!$F473,"-")</f>
        <v>-</v>
      </c>
      <c r="W455" s="29" t="str">
        <f t="shared" si="202"/>
        <v>-</v>
      </c>
      <c r="X455" s="31" t="str">
        <f t="shared" si="203"/>
        <v>-</v>
      </c>
      <c r="Y455" s="8" t="str">
        <f t="shared" si="204"/>
        <v>-</v>
      </c>
      <c r="Z455" s="29" t="str">
        <f t="shared" si="205"/>
        <v>-</v>
      </c>
      <c r="AA455" s="31" t="str">
        <f t="shared" si="206"/>
        <v>-</v>
      </c>
      <c r="AD455" s="12" t="str">
        <f t="shared" si="220"/>
        <v>-</v>
      </c>
      <c r="AE455" s="8" t="str">
        <f t="shared" si="221"/>
        <v>-</v>
      </c>
      <c r="AF455" s="8" t="str">
        <f>IF($AD455&lt;=$C$25*12,$AE455-$C$7+SUM('Mortgage Calculators (By Month)'!$K$23:$K473),"-")</f>
        <v>-</v>
      </c>
      <c r="AG455" s="8" t="str">
        <f t="shared" si="207"/>
        <v>-</v>
      </c>
      <c r="AH455" s="8" t="str">
        <f>IF($AD455&lt;=$C$25*12,SUM(Inputs!$C$61:$C$78)*'Forecast (By Month)'!AG455,"-")</f>
        <v>-</v>
      </c>
      <c r="AI455" s="8" t="str">
        <f>IF($AD455&lt;=$C$25*12,(SUMIF(Inputs!$C$61:$C$78,0,Inputs!$F$61:$F$78)/12)*(1+$C$34)^ROUNDDOWN((AD455-1)/12,0),"-")</f>
        <v>-</v>
      </c>
      <c r="AJ455" s="8" t="str">
        <f t="shared" si="208"/>
        <v>-</v>
      </c>
      <c r="AK455" s="8" t="str">
        <f>IF($AD455&lt;=$C$25*12,'Mortgage Calculators (By Month)'!$J473,"-")</f>
        <v>-</v>
      </c>
      <c r="AL455" s="8" t="str">
        <f>IF($AD455&lt;=$C$25*12,'Mortgage Calculators (By Month)'!$K473,"-")</f>
        <v>-</v>
      </c>
      <c r="AM455" s="8" t="str">
        <f>IF($AD455&lt;=$C$25*12,'Mortgage Calculators (By Month)'!$L473,"-")</f>
        <v>-</v>
      </c>
      <c r="AN455" s="8" t="str">
        <f t="shared" si="223"/>
        <v>-</v>
      </c>
      <c r="AO455" s="8" t="str">
        <f t="shared" si="209"/>
        <v>-</v>
      </c>
      <c r="AP455" s="8" t="str">
        <f t="shared" si="210"/>
        <v>-</v>
      </c>
      <c r="AQ455" s="8" t="str">
        <f t="shared" si="211"/>
        <v>-</v>
      </c>
      <c r="AR455" s="8" t="str">
        <f t="shared" si="212"/>
        <v>-</v>
      </c>
      <c r="AS455" s="8" t="str">
        <f>IF($AD455&lt;=$C$25*12,SUM(AR$5:AR455),"-")</f>
        <v>-</v>
      </c>
      <c r="AT455" s="8" t="str">
        <f>IF($AD455&lt;=$C$25*12,AE455-$C$10-'RE Calculations'!$C642-'Mortgage Calculators (By Month)'!$M473,"-")</f>
        <v>-</v>
      </c>
      <c r="AU455" s="29" t="str">
        <f t="shared" si="213"/>
        <v>-</v>
      </c>
      <c r="AV455" s="31" t="str">
        <f t="shared" si="214"/>
        <v>-</v>
      </c>
      <c r="AW455" s="8" t="str">
        <f t="shared" si="215"/>
        <v>-</v>
      </c>
      <c r="AX455" s="29" t="str">
        <f t="shared" si="216"/>
        <v>-</v>
      </c>
      <c r="AY455" s="31" t="str">
        <f t="shared" si="217"/>
        <v>-</v>
      </c>
    </row>
    <row r="456" spans="6:51" x14ac:dyDescent="0.35">
      <c r="F456" s="12" t="str">
        <f t="shared" si="218"/>
        <v>-</v>
      </c>
      <c r="G456" s="8" t="str">
        <f t="shared" si="219"/>
        <v>-</v>
      </c>
      <c r="H456" s="8" t="str">
        <f>IF($F456&lt;=$C$16*12,$G456-$C$7+SUM('Mortgage Calculators (By Month)'!$D$23:$D474),"-")</f>
        <v>-</v>
      </c>
      <c r="I456" s="8" t="str">
        <f t="shared" si="196"/>
        <v>-</v>
      </c>
      <c r="J456" s="8" t="str">
        <f>IF($F456&lt;=$C$16*12,SUM(Inputs!$C$61:$C$78)*'Forecast (By Month)'!I456,"-")</f>
        <v>-</v>
      </c>
      <c r="K456" s="8" t="str">
        <f>IF($F456&lt;=$C$16*12,(SUMIF(Inputs!$C$61:$C$78,0,Inputs!$F$61:$F$78)/12)*(1+$C$34)^ROUNDDOWN((F456-1)/12,0),"-")</f>
        <v>-</v>
      </c>
      <c r="L456" s="8" t="str">
        <f t="shared" si="197"/>
        <v>-</v>
      </c>
      <c r="M456" s="8" t="str">
        <f>IF($F456&lt;=$C$16*12,'Mortgage Calculators (By Month)'!$C474,"-")</f>
        <v>-</v>
      </c>
      <c r="N456" s="8" t="str">
        <f>IF($F456&lt;=$C$16*12,'Mortgage Calculators (By Month)'!$D474,"-")</f>
        <v>-</v>
      </c>
      <c r="O456" s="8" t="str">
        <f>IF($F456&lt;=$C$16*12,'Mortgage Calculators (By Month)'!$E474,"-")</f>
        <v>-</v>
      </c>
      <c r="P456" s="8" t="str">
        <f t="shared" si="222"/>
        <v>-</v>
      </c>
      <c r="Q456" s="8" t="str">
        <f t="shared" si="198"/>
        <v>-</v>
      </c>
      <c r="R456" s="8" t="str">
        <f t="shared" si="199"/>
        <v>-</v>
      </c>
      <c r="S456" s="8" t="str">
        <f t="shared" si="200"/>
        <v>-</v>
      </c>
      <c r="T456" s="8" t="str">
        <f t="shared" si="201"/>
        <v>-</v>
      </c>
      <c r="U456" s="8" t="str">
        <f>IF($F456&lt;=$C$16*12,SUM(T$5:T456),"-")</f>
        <v>-</v>
      </c>
      <c r="V456" s="8" t="str">
        <f>IF($F456&lt;=$C$16*12,G456-$C$10-'RE Calculations'!$C643-'Mortgage Calculators (By Month)'!$F474,"-")</f>
        <v>-</v>
      </c>
      <c r="W456" s="29" t="str">
        <f t="shared" si="202"/>
        <v>-</v>
      </c>
      <c r="X456" s="31" t="str">
        <f t="shared" si="203"/>
        <v>-</v>
      </c>
      <c r="Y456" s="8" t="str">
        <f t="shared" si="204"/>
        <v>-</v>
      </c>
      <c r="Z456" s="29" t="str">
        <f t="shared" si="205"/>
        <v>-</v>
      </c>
      <c r="AA456" s="31" t="str">
        <f t="shared" si="206"/>
        <v>-</v>
      </c>
      <c r="AD456" s="12" t="str">
        <f t="shared" si="220"/>
        <v>-</v>
      </c>
      <c r="AE456" s="8" t="str">
        <f t="shared" si="221"/>
        <v>-</v>
      </c>
      <c r="AF456" s="8" t="str">
        <f>IF($AD456&lt;=$C$25*12,$AE456-$C$7+SUM('Mortgage Calculators (By Month)'!$K$23:$K474),"-")</f>
        <v>-</v>
      </c>
      <c r="AG456" s="8" t="str">
        <f t="shared" si="207"/>
        <v>-</v>
      </c>
      <c r="AH456" s="8" t="str">
        <f>IF($AD456&lt;=$C$25*12,SUM(Inputs!$C$61:$C$78)*'Forecast (By Month)'!AG456,"-")</f>
        <v>-</v>
      </c>
      <c r="AI456" s="8" t="str">
        <f>IF($AD456&lt;=$C$25*12,(SUMIF(Inputs!$C$61:$C$78,0,Inputs!$F$61:$F$78)/12)*(1+$C$34)^ROUNDDOWN((AD456-1)/12,0),"-")</f>
        <v>-</v>
      </c>
      <c r="AJ456" s="8" t="str">
        <f t="shared" si="208"/>
        <v>-</v>
      </c>
      <c r="AK456" s="8" t="str">
        <f>IF($AD456&lt;=$C$25*12,'Mortgage Calculators (By Month)'!$J474,"-")</f>
        <v>-</v>
      </c>
      <c r="AL456" s="8" t="str">
        <f>IF($AD456&lt;=$C$25*12,'Mortgage Calculators (By Month)'!$K474,"-")</f>
        <v>-</v>
      </c>
      <c r="AM456" s="8" t="str">
        <f>IF($AD456&lt;=$C$25*12,'Mortgage Calculators (By Month)'!$L474,"-")</f>
        <v>-</v>
      </c>
      <c r="AN456" s="8" t="str">
        <f t="shared" si="223"/>
        <v>-</v>
      </c>
      <c r="AO456" s="8" t="str">
        <f t="shared" si="209"/>
        <v>-</v>
      </c>
      <c r="AP456" s="8" t="str">
        <f t="shared" si="210"/>
        <v>-</v>
      </c>
      <c r="AQ456" s="8" t="str">
        <f t="shared" si="211"/>
        <v>-</v>
      </c>
      <c r="AR456" s="8" t="str">
        <f t="shared" si="212"/>
        <v>-</v>
      </c>
      <c r="AS456" s="8" t="str">
        <f>IF($AD456&lt;=$C$25*12,SUM(AR$5:AR456),"-")</f>
        <v>-</v>
      </c>
      <c r="AT456" s="8" t="str">
        <f>IF($AD456&lt;=$C$25*12,AE456-$C$10-'RE Calculations'!$C643-'Mortgage Calculators (By Month)'!$M474,"-")</f>
        <v>-</v>
      </c>
      <c r="AU456" s="29" t="str">
        <f t="shared" si="213"/>
        <v>-</v>
      </c>
      <c r="AV456" s="31" t="str">
        <f t="shared" si="214"/>
        <v>-</v>
      </c>
      <c r="AW456" s="8" t="str">
        <f t="shared" si="215"/>
        <v>-</v>
      </c>
      <c r="AX456" s="29" t="str">
        <f t="shared" si="216"/>
        <v>-</v>
      </c>
      <c r="AY456" s="31" t="str">
        <f t="shared" si="217"/>
        <v>-</v>
      </c>
    </row>
    <row r="457" spans="6:51" x14ac:dyDescent="0.35">
      <c r="F457" s="12" t="str">
        <f t="shared" si="218"/>
        <v>-</v>
      </c>
      <c r="G457" s="8" t="str">
        <f t="shared" si="219"/>
        <v>-</v>
      </c>
      <c r="H457" s="8" t="str">
        <f>IF($F457&lt;=$C$16*12,$G457-$C$7+SUM('Mortgage Calculators (By Month)'!$D$23:$D475),"-")</f>
        <v>-</v>
      </c>
      <c r="I457" s="8" t="str">
        <f t="shared" si="196"/>
        <v>-</v>
      </c>
      <c r="J457" s="8" t="str">
        <f>IF($F457&lt;=$C$16*12,SUM(Inputs!$C$61:$C$78)*'Forecast (By Month)'!I457,"-")</f>
        <v>-</v>
      </c>
      <c r="K457" s="8" t="str">
        <f>IF($F457&lt;=$C$16*12,(SUMIF(Inputs!$C$61:$C$78,0,Inputs!$F$61:$F$78)/12)*(1+$C$34)^ROUNDDOWN((F457-1)/12,0),"-")</f>
        <v>-</v>
      </c>
      <c r="L457" s="8" t="str">
        <f t="shared" si="197"/>
        <v>-</v>
      </c>
      <c r="M457" s="8" t="str">
        <f>IF($F457&lt;=$C$16*12,'Mortgage Calculators (By Month)'!$C475,"-")</f>
        <v>-</v>
      </c>
      <c r="N457" s="8" t="str">
        <f>IF($F457&lt;=$C$16*12,'Mortgage Calculators (By Month)'!$D475,"-")</f>
        <v>-</v>
      </c>
      <c r="O457" s="8" t="str">
        <f>IF($F457&lt;=$C$16*12,'Mortgage Calculators (By Month)'!$E475,"-")</f>
        <v>-</v>
      </c>
      <c r="P457" s="8" t="str">
        <f t="shared" si="222"/>
        <v>-</v>
      </c>
      <c r="Q457" s="8" t="str">
        <f t="shared" si="198"/>
        <v>-</v>
      </c>
      <c r="R457" s="8" t="str">
        <f t="shared" si="199"/>
        <v>-</v>
      </c>
      <c r="S457" s="8" t="str">
        <f t="shared" si="200"/>
        <v>-</v>
      </c>
      <c r="T457" s="8" t="str">
        <f t="shared" si="201"/>
        <v>-</v>
      </c>
      <c r="U457" s="8" t="str">
        <f>IF($F457&lt;=$C$16*12,SUM(T$5:T457),"-")</f>
        <v>-</v>
      </c>
      <c r="V457" s="8" t="str">
        <f>IF($F457&lt;=$C$16*12,G457-$C$10-'RE Calculations'!$C644-'Mortgage Calculators (By Month)'!$F475,"-")</f>
        <v>-</v>
      </c>
      <c r="W457" s="29" t="str">
        <f t="shared" si="202"/>
        <v>-</v>
      </c>
      <c r="X457" s="31" t="str">
        <f t="shared" si="203"/>
        <v>-</v>
      </c>
      <c r="Y457" s="8" t="str">
        <f t="shared" si="204"/>
        <v>-</v>
      </c>
      <c r="Z457" s="29" t="str">
        <f t="shared" si="205"/>
        <v>-</v>
      </c>
      <c r="AA457" s="31" t="str">
        <f t="shared" si="206"/>
        <v>-</v>
      </c>
      <c r="AD457" s="12" t="str">
        <f t="shared" si="220"/>
        <v>-</v>
      </c>
      <c r="AE457" s="8" t="str">
        <f t="shared" si="221"/>
        <v>-</v>
      </c>
      <c r="AF457" s="8" t="str">
        <f>IF($AD457&lt;=$C$25*12,$AE457-$C$7+SUM('Mortgage Calculators (By Month)'!$K$23:$K475),"-")</f>
        <v>-</v>
      </c>
      <c r="AG457" s="8" t="str">
        <f t="shared" si="207"/>
        <v>-</v>
      </c>
      <c r="AH457" s="8" t="str">
        <f>IF($AD457&lt;=$C$25*12,SUM(Inputs!$C$61:$C$78)*'Forecast (By Month)'!AG457,"-")</f>
        <v>-</v>
      </c>
      <c r="AI457" s="8" t="str">
        <f>IF($AD457&lt;=$C$25*12,(SUMIF(Inputs!$C$61:$C$78,0,Inputs!$F$61:$F$78)/12)*(1+$C$34)^ROUNDDOWN((AD457-1)/12,0),"-")</f>
        <v>-</v>
      </c>
      <c r="AJ457" s="8" t="str">
        <f t="shared" si="208"/>
        <v>-</v>
      </c>
      <c r="AK457" s="8" t="str">
        <f>IF($AD457&lt;=$C$25*12,'Mortgage Calculators (By Month)'!$J475,"-")</f>
        <v>-</v>
      </c>
      <c r="AL457" s="8" t="str">
        <f>IF($AD457&lt;=$C$25*12,'Mortgage Calculators (By Month)'!$K475,"-")</f>
        <v>-</v>
      </c>
      <c r="AM457" s="8" t="str">
        <f>IF($AD457&lt;=$C$25*12,'Mortgage Calculators (By Month)'!$L475,"-")</f>
        <v>-</v>
      </c>
      <c r="AN457" s="8" t="str">
        <f t="shared" si="223"/>
        <v>-</v>
      </c>
      <c r="AO457" s="8" t="str">
        <f t="shared" si="209"/>
        <v>-</v>
      </c>
      <c r="AP457" s="8" t="str">
        <f t="shared" si="210"/>
        <v>-</v>
      </c>
      <c r="AQ457" s="8" t="str">
        <f t="shared" si="211"/>
        <v>-</v>
      </c>
      <c r="AR457" s="8" t="str">
        <f t="shared" si="212"/>
        <v>-</v>
      </c>
      <c r="AS457" s="8" t="str">
        <f>IF($AD457&lt;=$C$25*12,SUM(AR$5:AR457),"-")</f>
        <v>-</v>
      </c>
      <c r="AT457" s="8" t="str">
        <f>IF($AD457&lt;=$C$25*12,AE457-$C$10-'RE Calculations'!$C644-'Mortgage Calculators (By Month)'!$M475,"-")</f>
        <v>-</v>
      </c>
      <c r="AU457" s="29" t="str">
        <f t="shared" si="213"/>
        <v>-</v>
      </c>
      <c r="AV457" s="31" t="str">
        <f t="shared" si="214"/>
        <v>-</v>
      </c>
      <c r="AW457" s="8" t="str">
        <f t="shared" si="215"/>
        <v>-</v>
      </c>
      <c r="AX457" s="29" t="str">
        <f t="shared" si="216"/>
        <v>-</v>
      </c>
      <c r="AY457" s="31" t="str">
        <f t="shared" si="217"/>
        <v>-</v>
      </c>
    </row>
    <row r="458" spans="6:51" x14ac:dyDescent="0.35">
      <c r="F458" s="12" t="str">
        <f t="shared" si="218"/>
        <v>-</v>
      </c>
      <c r="G458" s="8" t="str">
        <f t="shared" si="219"/>
        <v>-</v>
      </c>
      <c r="H458" s="8" t="str">
        <f>IF($F458&lt;=$C$16*12,$G458-$C$7+SUM('Mortgage Calculators (By Month)'!$D$23:$D476),"-")</f>
        <v>-</v>
      </c>
      <c r="I458" s="8" t="str">
        <f t="shared" si="196"/>
        <v>-</v>
      </c>
      <c r="J458" s="8" t="str">
        <f>IF($F458&lt;=$C$16*12,SUM(Inputs!$C$61:$C$78)*'Forecast (By Month)'!I458,"-")</f>
        <v>-</v>
      </c>
      <c r="K458" s="8" t="str">
        <f>IF($F458&lt;=$C$16*12,(SUMIF(Inputs!$C$61:$C$78,0,Inputs!$F$61:$F$78)/12)*(1+$C$34)^ROUNDDOWN((F458-1)/12,0),"-")</f>
        <v>-</v>
      </c>
      <c r="L458" s="8" t="str">
        <f t="shared" si="197"/>
        <v>-</v>
      </c>
      <c r="M458" s="8" t="str">
        <f>IF($F458&lt;=$C$16*12,'Mortgage Calculators (By Month)'!$C476,"-")</f>
        <v>-</v>
      </c>
      <c r="N458" s="8" t="str">
        <f>IF($F458&lt;=$C$16*12,'Mortgage Calculators (By Month)'!$D476,"-")</f>
        <v>-</v>
      </c>
      <c r="O458" s="8" t="str">
        <f>IF($F458&lt;=$C$16*12,'Mortgage Calculators (By Month)'!$E476,"-")</f>
        <v>-</v>
      </c>
      <c r="P458" s="8" t="str">
        <f t="shared" si="222"/>
        <v>-</v>
      </c>
      <c r="Q458" s="8" t="str">
        <f t="shared" si="198"/>
        <v>-</v>
      </c>
      <c r="R458" s="8" t="str">
        <f t="shared" si="199"/>
        <v>-</v>
      </c>
      <c r="S458" s="8" t="str">
        <f t="shared" si="200"/>
        <v>-</v>
      </c>
      <c r="T458" s="8" t="str">
        <f t="shared" si="201"/>
        <v>-</v>
      </c>
      <c r="U458" s="8" t="str">
        <f>IF($F458&lt;=$C$16*12,SUM(T$5:T458),"-")</f>
        <v>-</v>
      </c>
      <c r="V458" s="8" t="str">
        <f>IF($F458&lt;=$C$16*12,G458-$C$10-'RE Calculations'!$C645-'Mortgage Calculators (By Month)'!$F476,"-")</f>
        <v>-</v>
      </c>
      <c r="W458" s="29" t="str">
        <f t="shared" si="202"/>
        <v>-</v>
      </c>
      <c r="X458" s="31" t="str">
        <f t="shared" si="203"/>
        <v>-</v>
      </c>
      <c r="Y458" s="8" t="str">
        <f t="shared" si="204"/>
        <v>-</v>
      </c>
      <c r="Z458" s="29" t="str">
        <f t="shared" si="205"/>
        <v>-</v>
      </c>
      <c r="AA458" s="31" t="str">
        <f t="shared" si="206"/>
        <v>-</v>
      </c>
      <c r="AD458" s="12" t="str">
        <f t="shared" si="220"/>
        <v>-</v>
      </c>
      <c r="AE458" s="8" t="str">
        <f t="shared" si="221"/>
        <v>-</v>
      </c>
      <c r="AF458" s="8" t="str">
        <f>IF($AD458&lt;=$C$25*12,$AE458-$C$7+SUM('Mortgage Calculators (By Month)'!$K$23:$K476),"-")</f>
        <v>-</v>
      </c>
      <c r="AG458" s="8" t="str">
        <f t="shared" si="207"/>
        <v>-</v>
      </c>
      <c r="AH458" s="8" t="str">
        <f>IF($AD458&lt;=$C$25*12,SUM(Inputs!$C$61:$C$78)*'Forecast (By Month)'!AG458,"-")</f>
        <v>-</v>
      </c>
      <c r="AI458" s="8" t="str">
        <f>IF($AD458&lt;=$C$25*12,(SUMIF(Inputs!$C$61:$C$78,0,Inputs!$F$61:$F$78)/12)*(1+$C$34)^ROUNDDOWN((AD458-1)/12,0),"-")</f>
        <v>-</v>
      </c>
      <c r="AJ458" s="8" t="str">
        <f t="shared" si="208"/>
        <v>-</v>
      </c>
      <c r="AK458" s="8" t="str">
        <f>IF($AD458&lt;=$C$25*12,'Mortgage Calculators (By Month)'!$J476,"-")</f>
        <v>-</v>
      </c>
      <c r="AL458" s="8" t="str">
        <f>IF($AD458&lt;=$C$25*12,'Mortgage Calculators (By Month)'!$K476,"-")</f>
        <v>-</v>
      </c>
      <c r="AM458" s="8" t="str">
        <f>IF($AD458&lt;=$C$25*12,'Mortgage Calculators (By Month)'!$L476,"-")</f>
        <v>-</v>
      </c>
      <c r="AN458" s="8" t="str">
        <f t="shared" si="223"/>
        <v>-</v>
      </c>
      <c r="AO458" s="8" t="str">
        <f t="shared" si="209"/>
        <v>-</v>
      </c>
      <c r="AP458" s="8" t="str">
        <f t="shared" si="210"/>
        <v>-</v>
      </c>
      <c r="AQ458" s="8" t="str">
        <f t="shared" si="211"/>
        <v>-</v>
      </c>
      <c r="AR458" s="8" t="str">
        <f t="shared" si="212"/>
        <v>-</v>
      </c>
      <c r="AS458" s="8" t="str">
        <f>IF($AD458&lt;=$C$25*12,SUM(AR$5:AR458),"-")</f>
        <v>-</v>
      </c>
      <c r="AT458" s="8" t="str">
        <f>IF($AD458&lt;=$C$25*12,AE458-$C$10-'RE Calculations'!$C645-'Mortgage Calculators (By Month)'!$M476,"-")</f>
        <v>-</v>
      </c>
      <c r="AU458" s="29" t="str">
        <f t="shared" si="213"/>
        <v>-</v>
      </c>
      <c r="AV458" s="31" t="str">
        <f t="shared" si="214"/>
        <v>-</v>
      </c>
      <c r="AW458" s="8" t="str">
        <f t="shared" si="215"/>
        <v>-</v>
      </c>
      <c r="AX458" s="29" t="str">
        <f t="shared" si="216"/>
        <v>-</v>
      </c>
      <c r="AY458" s="31" t="str">
        <f t="shared" si="217"/>
        <v>-</v>
      </c>
    </row>
    <row r="459" spans="6:51" x14ac:dyDescent="0.35">
      <c r="F459" s="12" t="str">
        <f t="shared" si="218"/>
        <v>-</v>
      </c>
      <c r="G459" s="8" t="str">
        <f t="shared" si="219"/>
        <v>-</v>
      </c>
      <c r="H459" s="8" t="str">
        <f>IF($F459&lt;=$C$16*12,$G459-$C$7+SUM('Mortgage Calculators (By Month)'!$D$23:$D477),"-")</f>
        <v>-</v>
      </c>
      <c r="I459" s="8" t="str">
        <f t="shared" si="196"/>
        <v>-</v>
      </c>
      <c r="J459" s="8" t="str">
        <f>IF($F459&lt;=$C$16*12,SUM(Inputs!$C$61:$C$78)*'Forecast (By Month)'!I459,"-")</f>
        <v>-</v>
      </c>
      <c r="K459" s="8" t="str">
        <f>IF($F459&lt;=$C$16*12,(SUMIF(Inputs!$C$61:$C$78,0,Inputs!$F$61:$F$78)/12)*(1+$C$34)^ROUNDDOWN((F459-1)/12,0),"-")</f>
        <v>-</v>
      </c>
      <c r="L459" s="8" t="str">
        <f t="shared" si="197"/>
        <v>-</v>
      </c>
      <c r="M459" s="8" t="str">
        <f>IF($F459&lt;=$C$16*12,'Mortgage Calculators (By Month)'!$C477,"-")</f>
        <v>-</v>
      </c>
      <c r="N459" s="8" t="str">
        <f>IF($F459&lt;=$C$16*12,'Mortgage Calculators (By Month)'!$D477,"-")</f>
        <v>-</v>
      </c>
      <c r="O459" s="8" t="str">
        <f>IF($F459&lt;=$C$16*12,'Mortgage Calculators (By Month)'!$E477,"-")</f>
        <v>-</v>
      </c>
      <c r="P459" s="8" t="str">
        <f t="shared" si="222"/>
        <v>-</v>
      </c>
      <c r="Q459" s="8" t="str">
        <f t="shared" si="198"/>
        <v>-</v>
      </c>
      <c r="R459" s="8" t="str">
        <f t="shared" si="199"/>
        <v>-</v>
      </c>
      <c r="S459" s="8" t="str">
        <f t="shared" si="200"/>
        <v>-</v>
      </c>
      <c r="T459" s="8" t="str">
        <f t="shared" si="201"/>
        <v>-</v>
      </c>
      <c r="U459" s="8" t="str">
        <f>IF($F459&lt;=$C$16*12,SUM(T$5:T459),"-")</f>
        <v>-</v>
      </c>
      <c r="V459" s="8" t="str">
        <f>IF($F459&lt;=$C$16*12,G459-$C$10-'RE Calculations'!$C646-'Mortgage Calculators (By Month)'!$F477,"-")</f>
        <v>-</v>
      </c>
      <c r="W459" s="29" t="str">
        <f t="shared" si="202"/>
        <v>-</v>
      </c>
      <c r="X459" s="31" t="str">
        <f t="shared" si="203"/>
        <v>-</v>
      </c>
      <c r="Y459" s="8" t="str">
        <f t="shared" si="204"/>
        <v>-</v>
      </c>
      <c r="Z459" s="29" t="str">
        <f t="shared" si="205"/>
        <v>-</v>
      </c>
      <c r="AA459" s="31" t="str">
        <f t="shared" si="206"/>
        <v>-</v>
      </c>
      <c r="AD459" s="12" t="str">
        <f t="shared" si="220"/>
        <v>-</v>
      </c>
      <c r="AE459" s="8" t="str">
        <f t="shared" si="221"/>
        <v>-</v>
      </c>
      <c r="AF459" s="8" t="str">
        <f>IF($AD459&lt;=$C$25*12,$AE459-$C$7+SUM('Mortgage Calculators (By Month)'!$K$23:$K477),"-")</f>
        <v>-</v>
      </c>
      <c r="AG459" s="8" t="str">
        <f t="shared" si="207"/>
        <v>-</v>
      </c>
      <c r="AH459" s="8" t="str">
        <f>IF($AD459&lt;=$C$25*12,SUM(Inputs!$C$61:$C$78)*'Forecast (By Month)'!AG459,"-")</f>
        <v>-</v>
      </c>
      <c r="AI459" s="8" t="str">
        <f>IF($AD459&lt;=$C$25*12,(SUMIF(Inputs!$C$61:$C$78,0,Inputs!$F$61:$F$78)/12)*(1+$C$34)^ROUNDDOWN((AD459-1)/12,0),"-")</f>
        <v>-</v>
      </c>
      <c r="AJ459" s="8" t="str">
        <f t="shared" si="208"/>
        <v>-</v>
      </c>
      <c r="AK459" s="8" t="str">
        <f>IF($AD459&lt;=$C$25*12,'Mortgage Calculators (By Month)'!$J477,"-")</f>
        <v>-</v>
      </c>
      <c r="AL459" s="8" t="str">
        <f>IF($AD459&lt;=$C$25*12,'Mortgage Calculators (By Month)'!$K477,"-")</f>
        <v>-</v>
      </c>
      <c r="AM459" s="8" t="str">
        <f>IF($AD459&lt;=$C$25*12,'Mortgage Calculators (By Month)'!$L477,"-")</f>
        <v>-</v>
      </c>
      <c r="AN459" s="8" t="str">
        <f t="shared" si="223"/>
        <v>-</v>
      </c>
      <c r="AO459" s="8" t="str">
        <f t="shared" si="209"/>
        <v>-</v>
      </c>
      <c r="AP459" s="8" t="str">
        <f t="shared" si="210"/>
        <v>-</v>
      </c>
      <c r="AQ459" s="8" t="str">
        <f t="shared" si="211"/>
        <v>-</v>
      </c>
      <c r="AR459" s="8" t="str">
        <f t="shared" si="212"/>
        <v>-</v>
      </c>
      <c r="AS459" s="8" t="str">
        <f>IF($AD459&lt;=$C$25*12,SUM(AR$5:AR459),"-")</f>
        <v>-</v>
      </c>
      <c r="AT459" s="8" t="str">
        <f>IF($AD459&lt;=$C$25*12,AE459-$C$10-'RE Calculations'!$C646-'Mortgage Calculators (By Month)'!$M477,"-")</f>
        <v>-</v>
      </c>
      <c r="AU459" s="29" t="str">
        <f t="shared" si="213"/>
        <v>-</v>
      </c>
      <c r="AV459" s="31" t="str">
        <f t="shared" si="214"/>
        <v>-</v>
      </c>
      <c r="AW459" s="8" t="str">
        <f t="shared" si="215"/>
        <v>-</v>
      </c>
      <c r="AX459" s="29" t="str">
        <f t="shared" si="216"/>
        <v>-</v>
      </c>
      <c r="AY459" s="31" t="str">
        <f t="shared" si="217"/>
        <v>-</v>
      </c>
    </row>
    <row r="460" spans="6:51" x14ac:dyDescent="0.35">
      <c r="F460" s="12" t="str">
        <f t="shared" si="218"/>
        <v>-</v>
      </c>
      <c r="G460" s="8" t="str">
        <f t="shared" si="219"/>
        <v>-</v>
      </c>
      <c r="H460" s="8" t="str">
        <f>IF($F460&lt;=$C$16*12,$G460-$C$7+SUM('Mortgage Calculators (By Month)'!$D$23:$D478),"-")</f>
        <v>-</v>
      </c>
      <c r="I460" s="8" t="str">
        <f t="shared" si="196"/>
        <v>-</v>
      </c>
      <c r="J460" s="8" t="str">
        <f>IF($F460&lt;=$C$16*12,SUM(Inputs!$C$61:$C$78)*'Forecast (By Month)'!I460,"-")</f>
        <v>-</v>
      </c>
      <c r="K460" s="8" t="str">
        <f>IF($F460&lt;=$C$16*12,(SUMIF(Inputs!$C$61:$C$78,0,Inputs!$F$61:$F$78)/12)*(1+$C$34)^ROUNDDOWN((F460-1)/12,0),"-")</f>
        <v>-</v>
      </c>
      <c r="L460" s="8" t="str">
        <f t="shared" si="197"/>
        <v>-</v>
      </c>
      <c r="M460" s="8" t="str">
        <f>IF($F460&lt;=$C$16*12,'Mortgage Calculators (By Month)'!$C478,"-")</f>
        <v>-</v>
      </c>
      <c r="N460" s="8" t="str">
        <f>IF($F460&lt;=$C$16*12,'Mortgage Calculators (By Month)'!$D478,"-")</f>
        <v>-</v>
      </c>
      <c r="O460" s="8" t="str">
        <f>IF($F460&lt;=$C$16*12,'Mortgage Calculators (By Month)'!$E478,"-")</f>
        <v>-</v>
      </c>
      <c r="P460" s="8" t="str">
        <f t="shared" si="222"/>
        <v>-</v>
      </c>
      <c r="Q460" s="8" t="str">
        <f t="shared" si="198"/>
        <v>-</v>
      </c>
      <c r="R460" s="8" t="str">
        <f t="shared" si="199"/>
        <v>-</v>
      </c>
      <c r="S460" s="8" t="str">
        <f t="shared" si="200"/>
        <v>-</v>
      </c>
      <c r="T460" s="8" t="str">
        <f t="shared" si="201"/>
        <v>-</v>
      </c>
      <c r="U460" s="8" t="str">
        <f>IF($F460&lt;=$C$16*12,SUM(T$5:T460),"-")</f>
        <v>-</v>
      </c>
      <c r="V460" s="8" t="str">
        <f>IF($F460&lt;=$C$16*12,G460-$C$10-'RE Calculations'!$C647-'Mortgage Calculators (By Month)'!$F478,"-")</f>
        <v>-</v>
      </c>
      <c r="W460" s="29" t="str">
        <f t="shared" si="202"/>
        <v>-</v>
      </c>
      <c r="X460" s="31" t="str">
        <f t="shared" si="203"/>
        <v>-</v>
      </c>
      <c r="Y460" s="8" t="str">
        <f t="shared" si="204"/>
        <v>-</v>
      </c>
      <c r="Z460" s="29" t="str">
        <f t="shared" si="205"/>
        <v>-</v>
      </c>
      <c r="AA460" s="31" t="str">
        <f t="shared" si="206"/>
        <v>-</v>
      </c>
      <c r="AD460" s="12" t="str">
        <f t="shared" si="220"/>
        <v>-</v>
      </c>
      <c r="AE460" s="8" t="str">
        <f t="shared" si="221"/>
        <v>-</v>
      </c>
      <c r="AF460" s="8" t="str">
        <f>IF($AD460&lt;=$C$25*12,$AE460-$C$7+SUM('Mortgage Calculators (By Month)'!$K$23:$K478),"-")</f>
        <v>-</v>
      </c>
      <c r="AG460" s="8" t="str">
        <f t="shared" si="207"/>
        <v>-</v>
      </c>
      <c r="AH460" s="8" t="str">
        <f>IF($AD460&lt;=$C$25*12,SUM(Inputs!$C$61:$C$78)*'Forecast (By Month)'!AG460,"-")</f>
        <v>-</v>
      </c>
      <c r="AI460" s="8" t="str">
        <f>IF($AD460&lt;=$C$25*12,(SUMIF(Inputs!$C$61:$C$78,0,Inputs!$F$61:$F$78)/12)*(1+$C$34)^ROUNDDOWN((AD460-1)/12,0),"-")</f>
        <v>-</v>
      </c>
      <c r="AJ460" s="8" t="str">
        <f t="shared" si="208"/>
        <v>-</v>
      </c>
      <c r="AK460" s="8" t="str">
        <f>IF($AD460&lt;=$C$25*12,'Mortgage Calculators (By Month)'!$J478,"-")</f>
        <v>-</v>
      </c>
      <c r="AL460" s="8" t="str">
        <f>IF($AD460&lt;=$C$25*12,'Mortgage Calculators (By Month)'!$K478,"-")</f>
        <v>-</v>
      </c>
      <c r="AM460" s="8" t="str">
        <f>IF($AD460&lt;=$C$25*12,'Mortgage Calculators (By Month)'!$L478,"-")</f>
        <v>-</v>
      </c>
      <c r="AN460" s="8" t="str">
        <f t="shared" si="223"/>
        <v>-</v>
      </c>
      <c r="AO460" s="8" t="str">
        <f t="shared" si="209"/>
        <v>-</v>
      </c>
      <c r="AP460" s="8" t="str">
        <f t="shared" si="210"/>
        <v>-</v>
      </c>
      <c r="AQ460" s="8" t="str">
        <f t="shared" si="211"/>
        <v>-</v>
      </c>
      <c r="AR460" s="8" t="str">
        <f t="shared" si="212"/>
        <v>-</v>
      </c>
      <c r="AS460" s="8" t="str">
        <f>IF($AD460&lt;=$C$25*12,SUM(AR$5:AR460),"-")</f>
        <v>-</v>
      </c>
      <c r="AT460" s="8" t="str">
        <f>IF($AD460&lt;=$C$25*12,AE460-$C$10-'RE Calculations'!$C647-'Mortgage Calculators (By Month)'!$M478,"-")</f>
        <v>-</v>
      </c>
      <c r="AU460" s="29" t="str">
        <f t="shared" si="213"/>
        <v>-</v>
      </c>
      <c r="AV460" s="31" t="str">
        <f t="shared" si="214"/>
        <v>-</v>
      </c>
      <c r="AW460" s="8" t="str">
        <f t="shared" si="215"/>
        <v>-</v>
      </c>
      <c r="AX460" s="29" t="str">
        <f t="shared" si="216"/>
        <v>-</v>
      </c>
      <c r="AY460" s="31" t="str">
        <f t="shared" si="217"/>
        <v>-</v>
      </c>
    </row>
    <row r="461" spans="6:51" x14ac:dyDescent="0.35">
      <c r="F461" s="12" t="str">
        <f t="shared" si="218"/>
        <v>-</v>
      </c>
      <c r="G461" s="8" t="str">
        <f t="shared" si="219"/>
        <v>-</v>
      </c>
      <c r="H461" s="8" t="str">
        <f>IF($F461&lt;=$C$16*12,$G461-$C$7+SUM('Mortgage Calculators (By Month)'!$D$23:$D479),"-")</f>
        <v>-</v>
      </c>
      <c r="I461" s="8" t="str">
        <f t="shared" si="196"/>
        <v>-</v>
      </c>
      <c r="J461" s="8" t="str">
        <f>IF($F461&lt;=$C$16*12,SUM(Inputs!$C$61:$C$78)*'Forecast (By Month)'!I461,"-")</f>
        <v>-</v>
      </c>
      <c r="K461" s="8" t="str">
        <f>IF($F461&lt;=$C$16*12,(SUMIF(Inputs!$C$61:$C$78,0,Inputs!$F$61:$F$78)/12)*(1+$C$34)^ROUNDDOWN((F461-1)/12,0),"-")</f>
        <v>-</v>
      </c>
      <c r="L461" s="8" t="str">
        <f t="shared" si="197"/>
        <v>-</v>
      </c>
      <c r="M461" s="8" t="str">
        <f>IF($F461&lt;=$C$16*12,'Mortgage Calculators (By Month)'!$C479,"-")</f>
        <v>-</v>
      </c>
      <c r="N461" s="8" t="str">
        <f>IF($F461&lt;=$C$16*12,'Mortgage Calculators (By Month)'!$D479,"-")</f>
        <v>-</v>
      </c>
      <c r="O461" s="8" t="str">
        <f>IF($F461&lt;=$C$16*12,'Mortgage Calculators (By Month)'!$E479,"-")</f>
        <v>-</v>
      </c>
      <c r="P461" s="8" t="str">
        <f t="shared" si="222"/>
        <v>-</v>
      </c>
      <c r="Q461" s="8" t="str">
        <f t="shared" si="198"/>
        <v>-</v>
      </c>
      <c r="R461" s="8" t="str">
        <f t="shared" si="199"/>
        <v>-</v>
      </c>
      <c r="S461" s="8" t="str">
        <f t="shared" si="200"/>
        <v>-</v>
      </c>
      <c r="T461" s="8" t="str">
        <f t="shared" si="201"/>
        <v>-</v>
      </c>
      <c r="U461" s="8" t="str">
        <f>IF($F461&lt;=$C$16*12,SUM(T$5:T461),"-")</f>
        <v>-</v>
      </c>
      <c r="V461" s="8" t="str">
        <f>IF($F461&lt;=$C$16*12,G461-$C$10-'RE Calculations'!$C648-'Mortgage Calculators (By Month)'!$F479,"-")</f>
        <v>-</v>
      </c>
      <c r="W461" s="29" t="str">
        <f t="shared" si="202"/>
        <v>-</v>
      </c>
      <c r="X461" s="31" t="str">
        <f t="shared" si="203"/>
        <v>-</v>
      </c>
      <c r="Y461" s="8" t="str">
        <f t="shared" si="204"/>
        <v>-</v>
      </c>
      <c r="Z461" s="29" t="str">
        <f t="shared" si="205"/>
        <v>-</v>
      </c>
      <c r="AA461" s="31" t="str">
        <f t="shared" si="206"/>
        <v>-</v>
      </c>
      <c r="AD461" s="12" t="str">
        <f t="shared" si="220"/>
        <v>-</v>
      </c>
      <c r="AE461" s="8" t="str">
        <f t="shared" si="221"/>
        <v>-</v>
      </c>
      <c r="AF461" s="8" t="str">
        <f>IF($AD461&lt;=$C$25*12,$AE461-$C$7+SUM('Mortgage Calculators (By Month)'!$K$23:$K479),"-")</f>
        <v>-</v>
      </c>
      <c r="AG461" s="8" t="str">
        <f t="shared" si="207"/>
        <v>-</v>
      </c>
      <c r="AH461" s="8" t="str">
        <f>IF($AD461&lt;=$C$25*12,SUM(Inputs!$C$61:$C$78)*'Forecast (By Month)'!AG461,"-")</f>
        <v>-</v>
      </c>
      <c r="AI461" s="8" t="str">
        <f>IF($AD461&lt;=$C$25*12,(SUMIF(Inputs!$C$61:$C$78,0,Inputs!$F$61:$F$78)/12)*(1+$C$34)^ROUNDDOWN((AD461-1)/12,0),"-")</f>
        <v>-</v>
      </c>
      <c r="AJ461" s="8" t="str">
        <f t="shared" si="208"/>
        <v>-</v>
      </c>
      <c r="AK461" s="8" t="str">
        <f>IF($AD461&lt;=$C$25*12,'Mortgage Calculators (By Month)'!$J479,"-")</f>
        <v>-</v>
      </c>
      <c r="AL461" s="8" t="str">
        <f>IF($AD461&lt;=$C$25*12,'Mortgage Calculators (By Month)'!$K479,"-")</f>
        <v>-</v>
      </c>
      <c r="AM461" s="8" t="str">
        <f>IF($AD461&lt;=$C$25*12,'Mortgage Calculators (By Month)'!$L479,"-")</f>
        <v>-</v>
      </c>
      <c r="AN461" s="8" t="str">
        <f t="shared" si="223"/>
        <v>-</v>
      </c>
      <c r="AO461" s="8" t="str">
        <f t="shared" si="209"/>
        <v>-</v>
      </c>
      <c r="AP461" s="8" t="str">
        <f t="shared" si="210"/>
        <v>-</v>
      </c>
      <c r="AQ461" s="8" t="str">
        <f t="shared" si="211"/>
        <v>-</v>
      </c>
      <c r="AR461" s="8" t="str">
        <f t="shared" si="212"/>
        <v>-</v>
      </c>
      <c r="AS461" s="8" t="str">
        <f>IF($AD461&lt;=$C$25*12,SUM(AR$5:AR461),"-")</f>
        <v>-</v>
      </c>
      <c r="AT461" s="8" t="str">
        <f>IF($AD461&lt;=$C$25*12,AE461-$C$10-'RE Calculations'!$C648-'Mortgage Calculators (By Month)'!$M479,"-")</f>
        <v>-</v>
      </c>
      <c r="AU461" s="29" t="str">
        <f t="shared" si="213"/>
        <v>-</v>
      </c>
      <c r="AV461" s="31" t="str">
        <f t="shared" si="214"/>
        <v>-</v>
      </c>
      <c r="AW461" s="8" t="str">
        <f t="shared" si="215"/>
        <v>-</v>
      </c>
      <c r="AX461" s="29" t="str">
        <f t="shared" si="216"/>
        <v>-</v>
      </c>
      <c r="AY461" s="31" t="str">
        <f t="shared" si="217"/>
        <v>-</v>
      </c>
    </row>
    <row r="462" spans="6:51" x14ac:dyDescent="0.35">
      <c r="F462" s="12" t="str">
        <f t="shared" si="218"/>
        <v>-</v>
      </c>
      <c r="G462" s="8" t="str">
        <f t="shared" si="219"/>
        <v>-</v>
      </c>
      <c r="H462" s="8" t="str">
        <f>IF($F462&lt;=$C$16*12,$G462-$C$7+SUM('Mortgage Calculators (By Month)'!$D$23:$D480),"-")</f>
        <v>-</v>
      </c>
      <c r="I462" s="8" t="str">
        <f t="shared" si="196"/>
        <v>-</v>
      </c>
      <c r="J462" s="8" t="str">
        <f>IF($F462&lt;=$C$16*12,SUM(Inputs!$C$61:$C$78)*'Forecast (By Month)'!I462,"-")</f>
        <v>-</v>
      </c>
      <c r="K462" s="8" t="str">
        <f>IF($F462&lt;=$C$16*12,(SUMIF(Inputs!$C$61:$C$78,0,Inputs!$F$61:$F$78)/12)*(1+$C$34)^ROUNDDOWN((F462-1)/12,0),"-")</f>
        <v>-</v>
      </c>
      <c r="L462" s="8" t="str">
        <f t="shared" si="197"/>
        <v>-</v>
      </c>
      <c r="M462" s="8" t="str">
        <f>IF($F462&lt;=$C$16*12,'Mortgage Calculators (By Month)'!$C480,"-")</f>
        <v>-</v>
      </c>
      <c r="N462" s="8" t="str">
        <f>IF($F462&lt;=$C$16*12,'Mortgage Calculators (By Month)'!$D480,"-")</f>
        <v>-</v>
      </c>
      <c r="O462" s="8" t="str">
        <f>IF($F462&lt;=$C$16*12,'Mortgage Calculators (By Month)'!$E480,"-")</f>
        <v>-</v>
      </c>
      <c r="P462" s="8" t="str">
        <f t="shared" si="222"/>
        <v>-</v>
      </c>
      <c r="Q462" s="8" t="str">
        <f t="shared" si="198"/>
        <v>-</v>
      </c>
      <c r="R462" s="8" t="str">
        <f t="shared" si="199"/>
        <v>-</v>
      </c>
      <c r="S462" s="8" t="str">
        <f t="shared" si="200"/>
        <v>-</v>
      </c>
      <c r="T462" s="8" t="str">
        <f t="shared" si="201"/>
        <v>-</v>
      </c>
      <c r="U462" s="8" t="str">
        <f>IF($F462&lt;=$C$16*12,SUM(T$5:T462),"-")</f>
        <v>-</v>
      </c>
      <c r="V462" s="8" t="str">
        <f>IF($F462&lt;=$C$16*12,G462-$C$10-'RE Calculations'!$C649-'Mortgage Calculators (By Month)'!$F480,"-")</f>
        <v>-</v>
      </c>
      <c r="W462" s="29" t="str">
        <f t="shared" si="202"/>
        <v>-</v>
      </c>
      <c r="X462" s="31" t="str">
        <f t="shared" si="203"/>
        <v>-</v>
      </c>
      <c r="Y462" s="8" t="str">
        <f t="shared" si="204"/>
        <v>-</v>
      </c>
      <c r="Z462" s="29" t="str">
        <f t="shared" si="205"/>
        <v>-</v>
      </c>
      <c r="AA462" s="31" t="str">
        <f t="shared" si="206"/>
        <v>-</v>
      </c>
      <c r="AD462" s="12" t="str">
        <f t="shared" si="220"/>
        <v>-</v>
      </c>
      <c r="AE462" s="8" t="str">
        <f t="shared" si="221"/>
        <v>-</v>
      </c>
      <c r="AF462" s="8" t="str">
        <f>IF($AD462&lt;=$C$25*12,$AE462-$C$7+SUM('Mortgage Calculators (By Month)'!$K$23:$K480),"-")</f>
        <v>-</v>
      </c>
      <c r="AG462" s="8" t="str">
        <f t="shared" si="207"/>
        <v>-</v>
      </c>
      <c r="AH462" s="8" t="str">
        <f>IF($AD462&lt;=$C$25*12,SUM(Inputs!$C$61:$C$78)*'Forecast (By Month)'!AG462,"-")</f>
        <v>-</v>
      </c>
      <c r="AI462" s="8" t="str">
        <f>IF($AD462&lt;=$C$25*12,(SUMIF(Inputs!$C$61:$C$78,0,Inputs!$F$61:$F$78)/12)*(1+$C$34)^ROUNDDOWN((AD462-1)/12,0),"-")</f>
        <v>-</v>
      </c>
      <c r="AJ462" s="8" t="str">
        <f t="shared" si="208"/>
        <v>-</v>
      </c>
      <c r="AK462" s="8" t="str">
        <f>IF($AD462&lt;=$C$25*12,'Mortgage Calculators (By Month)'!$J480,"-")</f>
        <v>-</v>
      </c>
      <c r="AL462" s="8" t="str">
        <f>IF($AD462&lt;=$C$25*12,'Mortgage Calculators (By Month)'!$K480,"-")</f>
        <v>-</v>
      </c>
      <c r="AM462" s="8" t="str">
        <f>IF($AD462&lt;=$C$25*12,'Mortgage Calculators (By Month)'!$L480,"-")</f>
        <v>-</v>
      </c>
      <c r="AN462" s="8" t="str">
        <f t="shared" si="223"/>
        <v>-</v>
      </c>
      <c r="AO462" s="8" t="str">
        <f t="shared" si="209"/>
        <v>-</v>
      </c>
      <c r="AP462" s="8" t="str">
        <f t="shared" si="210"/>
        <v>-</v>
      </c>
      <c r="AQ462" s="8" t="str">
        <f t="shared" si="211"/>
        <v>-</v>
      </c>
      <c r="AR462" s="8" t="str">
        <f t="shared" si="212"/>
        <v>-</v>
      </c>
      <c r="AS462" s="8" t="str">
        <f>IF($AD462&lt;=$C$25*12,SUM(AR$5:AR462),"-")</f>
        <v>-</v>
      </c>
      <c r="AT462" s="8" t="str">
        <f>IF($AD462&lt;=$C$25*12,AE462-$C$10-'RE Calculations'!$C649-'Mortgage Calculators (By Month)'!$M480,"-")</f>
        <v>-</v>
      </c>
      <c r="AU462" s="29" t="str">
        <f t="shared" si="213"/>
        <v>-</v>
      </c>
      <c r="AV462" s="31" t="str">
        <f t="shared" si="214"/>
        <v>-</v>
      </c>
      <c r="AW462" s="8" t="str">
        <f t="shared" si="215"/>
        <v>-</v>
      </c>
      <c r="AX462" s="29" t="str">
        <f t="shared" si="216"/>
        <v>-</v>
      </c>
      <c r="AY462" s="31" t="str">
        <f t="shared" si="217"/>
        <v>-</v>
      </c>
    </row>
    <row r="463" spans="6:51" x14ac:dyDescent="0.35">
      <c r="F463" s="12" t="str">
        <f t="shared" si="218"/>
        <v>-</v>
      </c>
      <c r="G463" s="8" t="str">
        <f t="shared" si="219"/>
        <v>-</v>
      </c>
      <c r="H463" s="8" t="str">
        <f>IF($F463&lt;=$C$16*12,$G463-$C$7+SUM('Mortgage Calculators (By Month)'!$D$23:$D481),"-")</f>
        <v>-</v>
      </c>
      <c r="I463" s="8" t="str">
        <f t="shared" si="196"/>
        <v>-</v>
      </c>
      <c r="J463" s="8" t="str">
        <f>IF($F463&lt;=$C$16*12,SUM(Inputs!$C$61:$C$78)*'Forecast (By Month)'!I463,"-")</f>
        <v>-</v>
      </c>
      <c r="K463" s="8" t="str">
        <f>IF($F463&lt;=$C$16*12,(SUMIF(Inputs!$C$61:$C$78,0,Inputs!$F$61:$F$78)/12)*(1+$C$34)^ROUNDDOWN((F463-1)/12,0),"-")</f>
        <v>-</v>
      </c>
      <c r="L463" s="8" t="str">
        <f t="shared" si="197"/>
        <v>-</v>
      </c>
      <c r="M463" s="8" t="str">
        <f>IF($F463&lt;=$C$16*12,'Mortgage Calculators (By Month)'!$C481,"-")</f>
        <v>-</v>
      </c>
      <c r="N463" s="8" t="str">
        <f>IF($F463&lt;=$C$16*12,'Mortgage Calculators (By Month)'!$D481,"-")</f>
        <v>-</v>
      </c>
      <c r="O463" s="8" t="str">
        <f>IF($F463&lt;=$C$16*12,'Mortgage Calculators (By Month)'!$E481,"-")</f>
        <v>-</v>
      </c>
      <c r="P463" s="8" t="str">
        <f t="shared" si="222"/>
        <v>-</v>
      </c>
      <c r="Q463" s="8" t="str">
        <f t="shared" si="198"/>
        <v>-</v>
      </c>
      <c r="R463" s="8" t="str">
        <f t="shared" si="199"/>
        <v>-</v>
      </c>
      <c r="S463" s="8" t="str">
        <f t="shared" si="200"/>
        <v>-</v>
      </c>
      <c r="T463" s="8" t="str">
        <f t="shared" si="201"/>
        <v>-</v>
      </c>
      <c r="U463" s="8" t="str">
        <f>IF($F463&lt;=$C$16*12,SUM(T$5:T463),"-")</f>
        <v>-</v>
      </c>
      <c r="V463" s="8" t="str">
        <f>IF($F463&lt;=$C$16*12,G463-$C$10-'RE Calculations'!$C650-'Mortgage Calculators (By Month)'!$F481,"-")</f>
        <v>-</v>
      </c>
      <c r="W463" s="29" t="str">
        <f t="shared" si="202"/>
        <v>-</v>
      </c>
      <c r="X463" s="31" t="str">
        <f t="shared" si="203"/>
        <v>-</v>
      </c>
      <c r="Y463" s="8" t="str">
        <f t="shared" si="204"/>
        <v>-</v>
      </c>
      <c r="Z463" s="29" t="str">
        <f t="shared" si="205"/>
        <v>-</v>
      </c>
      <c r="AA463" s="31" t="str">
        <f t="shared" si="206"/>
        <v>-</v>
      </c>
      <c r="AD463" s="12" t="str">
        <f t="shared" si="220"/>
        <v>-</v>
      </c>
      <c r="AE463" s="8" t="str">
        <f t="shared" si="221"/>
        <v>-</v>
      </c>
      <c r="AF463" s="8" t="str">
        <f>IF($AD463&lt;=$C$25*12,$AE463-$C$7+SUM('Mortgage Calculators (By Month)'!$K$23:$K481),"-")</f>
        <v>-</v>
      </c>
      <c r="AG463" s="8" t="str">
        <f t="shared" si="207"/>
        <v>-</v>
      </c>
      <c r="AH463" s="8" t="str">
        <f>IF($AD463&lt;=$C$25*12,SUM(Inputs!$C$61:$C$78)*'Forecast (By Month)'!AG463,"-")</f>
        <v>-</v>
      </c>
      <c r="AI463" s="8" t="str">
        <f>IF($AD463&lt;=$C$25*12,(SUMIF(Inputs!$C$61:$C$78,0,Inputs!$F$61:$F$78)/12)*(1+$C$34)^ROUNDDOWN((AD463-1)/12,0),"-")</f>
        <v>-</v>
      </c>
      <c r="AJ463" s="8" t="str">
        <f t="shared" si="208"/>
        <v>-</v>
      </c>
      <c r="AK463" s="8" t="str">
        <f>IF($AD463&lt;=$C$25*12,'Mortgage Calculators (By Month)'!$J481,"-")</f>
        <v>-</v>
      </c>
      <c r="AL463" s="8" t="str">
        <f>IF($AD463&lt;=$C$25*12,'Mortgage Calculators (By Month)'!$K481,"-")</f>
        <v>-</v>
      </c>
      <c r="AM463" s="8" t="str">
        <f>IF($AD463&lt;=$C$25*12,'Mortgage Calculators (By Month)'!$L481,"-")</f>
        <v>-</v>
      </c>
      <c r="AN463" s="8" t="str">
        <f t="shared" si="223"/>
        <v>-</v>
      </c>
      <c r="AO463" s="8" t="str">
        <f t="shared" si="209"/>
        <v>-</v>
      </c>
      <c r="AP463" s="8" t="str">
        <f t="shared" si="210"/>
        <v>-</v>
      </c>
      <c r="AQ463" s="8" t="str">
        <f t="shared" si="211"/>
        <v>-</v>
      </c>
      <c r="AR463" s="8" t="str">
        <f t="shared" si="212"/>
        <v>-</v>
      </c>
      <c r="AS463" s="8" t="str">
        <f>IF($AD463&lt;=$C$25*12,SUM(AR$5:AR463),"-")</f>
        <v>-</v>
      </c>
      <c r="AT463" s="8" t="str">
        <f>IF($AD463&lt;=$C$25*12,AE463-$C$10-'RE Calculations'!$C650-'Mortgage Calculators (By Month)'!$M481,"-")</f>
        <v>-</v>
      </c>
      <c r="AU463" s="29" t="str">
        <f t="shared" si="213"/>
        <v>-</v>
      </c>
      <c r="AV463" s="31" t="str">
        <f t="shared" si="214"/>
        <v>-</v>
      </c>
      <c r="AW463" s="8" t="str">
        <f t="shared" si="215"/>
        <v>-</v>
      </c>
      <c r="AX463" s="29" t="str">
        <f t="shared" si="216"/>
        <v>-</v>
      </c>
      <c r="AY463" s="31" t="str">
        <f t="shared" si="217"/>
        <v>-</v>
      </c>
    </row>
    <row r="464" spans="6:51" x14ac:dyDescent="0.35">
      <c r="F464" s="12" t="str">
        <f t="shared" si="218"/>
        <v>-</v>
      </c>
      <c r="G464" s="8" t="str">
        <f t="shared" si="219"/>
        <v>-</v>
      </c>
      <c r="H464" s="8" t="str">
        <f>IF($F464&lt;=$C$16*12,$G464-$C$7+SUM('Mortgage Calculators (By Month)'!$D$23:$D482),"-")</f>
        <v>-</v>
      </c>
      <c r="I464" s="8" t="str">
        <f t="shared" si="196"/>
        <v>-</v>
      </c>
      <c r="J464" s="8" t="str">
        <f>IF($F464&lt;=$C$16*12,SUM(Inputs!$C$61:$C$78)*'Forecast (By Month)'!I464,"-")</f>
        <v>-</v>
      </c>
      <c r="K464" s="8" t="str">
        <f>IF($F464&lt;=$C$16*12,(SUMIF(Inputs!$C$61:$C$78,0,Inputs!$F$61:$F$78)/12)*(1+$C$34)^ROUNDDOWN((F464-1)/12,0),"-")</f>
        <v>-</v>
      </c>
      <c r="L464" s="8" t="str">
        <f t="shared" si="197"/>
        <v>-</v>
      </c>
      <c r="M464" s="8" t="str">
        <f>IF($F464&lt;=$C$16*12,'Mortgage Calculators (By Month)'!$C482,"-")</f>
        <v>-</v>
      </c>
      <c r="N464" s="8" t="str">
        <f>IF($F464&lt;=$C$16*12,'Mortgage Calculators (By Month)'!$D482,"-")</f>
        <v>-</v>
      </c>
      <c r="O464" s="8" t="str">
        <f>IF($F464&lt;=$C$16*12,'Mortgage Calculators (By Month)'!$E482,"-")</f>
        <v>-</v>
      </c>
      <c r="P464" s="8" t="str">
        <f t="shared" si="222"/>
        <v>-</v>
      </c>
      <c r="Q464" s="8" t="str">
        <f t="shared" si="198"/>
        <v>-</v>
      </c>
      <c r="R464" s="8" t="str">
        <f t="shared" si="199"/>
        <v>-</v>
      </c>
      <c r="S464" s="8" t="str">
        <f t="shared" si="200"/>
        <v>-</v>
      </c>
      <c r="T464" s="8" t="str">
        <f t="shared" si="201"/>
        <v>-</v>
      </c>
      <c r="U464" s="8" t="str">
        <f>IF($F464&lt;=$C$16*12,SUM(T$5:T464),"-")</f>
        <v>-</v>
      </c>
      <c r="V464" s="8" t="str">
        <f>IF($F464&lt;=$C$16*12,G464-$C$10-'RE Calculations'!$C651-'Mortgage Calculators (By Month)'!$F482,"-")</f>
        <v>-</v>
      </c>
      <c r="W464" s="29" t="str">
        <f t="shared" si="202"/>
        <v>-</v>
      </c>
      <c r="X464" s="31" t="str">
        <f t="shared" si="203"/>
        <v>-</v>
      </c>
      <c r="Y464" s="8" t="str">
        <f t="shared" si="204"/>
        <v>-</v>
      </c>
      <c r="Z464" s="29" t="str">
        <f t="shared" si="205"/>
        <v>-</v>
      </c>
      <c r="AA464" s="31" t="str">
        <f t="shared" si="206"/>
        <v>-</v>
      </c>
      <c r="AD464" s="12" t="str">
        <f t="shared" si="220"/>
        <v>-</v>
      </c>
      <c r="AE464" s="8" t="str">
        <f t="shared" si="221"/>
        <v>-</v>
      </c>
      <c r="AF464" s="8" t="str">
        <f>IF($AD464&lt;=$C$25*12,$AE464-$C$7+SUM('Mortgage Calculators (By Month)'!$K$23:$K482),"-")</f>
        <v>-</v>
      </c>
      <c r="AG464" s="8" t="str">
        <f t="shared" si="207"/>
        <v>-</v>
      </c>
      <c r="AH464" s="8" t="str">
        <f>IF($AD464&lt;=$C$25*12,SUM(Inputs!$C$61:$C$78)*'Forecast (By Month)'!AG464,"-")</f>
        <v>-</v>
      </c>
      <c r="AI464" s="8" t="str">
        <f>IF($AD464&lt;=$C$25*12,(SUMIF(Inputs!$C$61:$C$78,0,Inputs!$F$61:$F$78)/12)*(1+$C$34)^ROUNDDOWN((AD464-1)/12,0),"-")</f>
        <v>-</v>
      </c>
      <c r="AJ464" s="8" t="str">
        <f t="shared" si="208"/>
        <v>-</v>
      </c>
      <c r="AK464" s="8" t="str">
        <f>IF($AD464&lt;=$C$25*12,'Mortgage Calculators (By Month)'!$J482,"-")</f>
        <v>-</v>
      </c>
      <c r="AL464" s="8" t="str">
        <f>IF($AD464&lt;=$C$25*12,'Mortgage Calculators (By Month)'!$K482,"-")</f>
        <v>-</v>
      </c>
      <c r="AM464" s="8" t="str">
        <f>IF($AD464&lt;=$C$25*12,'Mortgage Calculators (By Month)'!$L482,"-")</f>
        <v>-</v>
      </c>
      <c r="AN464" s="8" t="str">
        <f t="shared" si="223"/>
        <v>-</v>
      </c>
      <c r="AO464" s="8" t="str">
        <f t="shared" si="209"/>
        <v>-</v>
      </c>
      <c r="AP464" s="8" t="str">
        <f t="shared" si="210"/>
        <v>-</v>
      </c>
      <c r="AQ464" s="8" t="str">
        <f t="shared" si="211"/>
        <v>-</v>
      </c>
      <c r="AR464" s="8" t="str">
        <f t="shared" si="212"/>
        <v>-</v>
      </c>
      <c r="AS464" s="8" t="str">
        <f>IF($AD464&lt;=$C$25*12,SUM(AR$5:AR464),"-")</f>
        <v>-</v>
      </c>
      <c r="AT464" s="8" t="str">
        <f>IF($AD464&lt;=$C$25*12,AE464-$C$10-'RE Calculations'!$C651-'Mortgage Calculators (By Month)'!$M482,"-")</f>
        <v>-</v>
      </c>
      <c r="AU464" s="29" t="str">
        <f t="shared" si="213"/>
        <v>-</v>
      </c>
      <c r="AV464" s="31" t="str">
        <f t="shared" si="214"/>
        <v>-</v>
      </c>
      <c r="AW464" s="8" t="str">
        <f t="shared" si="215"/>
        <v>-</v>
      </c>
      <c r="AX464" s="29" t="str">
        <f t="shared" si="216"/>
        <v>-</v>
      </c>
      <c r="AY464" s="31" t="str">
        <f t="shared" si="217"/>
        <v>-</v>
      </c>
    </row>
    <row r="465" spans="6:51" x14ac:dyDescent="0.35">
      <c r="F465" s="12" t="str">
        <f t="shared" si="218"/>
        <v>-</v>
      </c>
      <c r="G465" s="8" t="str">
        <f t="shared" si="219"/>
        <v>-</v>
      </c>
      <c r="H465" s="8" t="str">
        <f>IF($F465&lt;=$C$16*12,$G465-$C$7+SUM('Mortgage Calculators (By Month)'!$D$23:$D483),"-")</f>
        <v>-</v>
      </c>
      <c r="I465" s="8" t="str">
        <f t="shared" si="196"/>
        <v>-</v>
      </c>
      <c r="J465" s="8" t="str">
        <f>IF($F465&lt;=$C$16*12,SUM(Inputs!$C$61:$C$78)*'Forecast (By Month)'!I465,"-")</f>
        <v>-</v>
      </c>
      <c r="K465" s="8" t="str">
        <f>IF($F465&lt;=$C$16*12,(SUMIF(Inputs!$C$61:$C$78,0,Inputs!$F$61:$F$78)/12)*(1+$C$34)^ROUNDDOWN((F465-1)/12,0),"-")</f>
        <v>-</v>
      </c>
      <c r="L465" s="8" t="str">
        <f t="shared" si="197"/>
        <v>-</v>
      </c>
      <c r="M465" s="8" t="str">
        <f>IF($F465&lt;=$C$16*12,'Mortgage Calculators (By Month)'!$C483,"-")</f>
        <v>-</v>
      </c>
      <c r="N465" s="8" t="str">
        <f>IF($F465&lt;=$C$16*12,'Mortgage Calculators (By Month)'!$D483,"-")</f>
        <v>-</v>
      </c>
      <c r="O465" s="8" t="str">
        <f>IF($F465&lt;=$C$16*12,'Mortgage Calculators (By Month)'!$E483,"-")</f>
        <v>-</v>
      </c>
      <c r="P465" s="8" t="str">
        <f t="shared" si="222"/>
        <v>-</v>
      </c>
      <c r="Q465" s="8" t="str">
        <f t="shared" si="198"/>
        <v>-</v>
      </c>
      <c r="R465" s="8" t="str">
        <f t="shared" si="199"/>
        <v>-</v>
      </c>
      <c r="S465" s="8" t="str">
        <f t="shared" si="200"/>
        <v>-</v>
      </c>
      <c r="T465" s="8" t="str">
        <f t="shared" si="201"/>
        <v>-</v>
      </c>
      <c r="U465" s="8" t="str">
        <f>IF($F465&lt;=$C$16*12,SUM(T$5:T465),"-")</f>
        <v>-</v>
      </c>
      <c r="V465" s="8" t="str">
        <f>IF($F465&lt;=$C$16*12,G465-$C$10-'RE Calculations'!$C652-'Mortgage Calculators (By Month)'!$F483,"-")</f>
        <v>-</v>
      </c>
      <c r="W465" s="29" t="str">
        <f t="shared" si="202"/>
        <v>-</v>
      </c>
      <c r="X465" s="31" t="str">
        <f t="shared" si="203"/>
        <v>-</v>
      </c>
      <c r="Y465" s="8" t="str">
        <f t="shared" si="204"/>
        <v>-</v>
      </c>
      <c r="Z465" s="29" t="str">
        <f t="shared" si="205"/>
        <v>-</v>
      </c>
      <c r="AA465" s="31" t="str">
        <f t="shared" si="206"/>
        <v>-</v>
      </c>
      <c r="AD465" s="12" t="str">
        <f t="shared" si="220"/>
        <v>-</v>
      </c>
      <c r="AE465" s="8" t="str">
        <f t="shared" si="221"/>
        <v>-</v>
      </c>
      <c r="AF465" s="8" t="str">
        <f>IF($AD465&lt;=$C$25*12,$AE465-$C$7+SUM('Mortgage Calculators (By Month)'!$K$23:$K483),"-")</f>
        <v>-</v>
      </c>
      <c r="AG465" s="8" t="str">
        <f t="shared" si="207"/>
        <v>-</v>
      </c>
      <c r="AH465" s="8" t="str">
        <f>IF($AD465&lt;=$C$25*12,SUM(Inputs!$C$61:$C$78)*'Forecast (By Month)'!AG465,"-")</f>
        <v>-</v>
      </c>
      <c r="AI465" s="8" t="str">
        <f>IF($AD465&lt;=$C$25*12,(SUMIF(Inputs!$C$61:$C$78,0,Inputs!$F$61:$F$78)/12)*(1+$C$34)^ROUNDDOWN((AD465-1)/12,0),"-")</f>
        <v>-</v>
      </c>
      <c r="AJ465" s="8" t="str">
        <f t="shared" si="208"/>
        <v>-</v>
      </c>
      <c r="AK465" s="8" t="str">
        <f>IF($AD465&lt;=$C$25*12,'Mortgage Calculators (By Month)'!$J483,"-")</f>
        <v>-</v>
      </c>
      <c r="AL465" s="8" t="str">
        <f>IF($AD465&lt;=$C$25*12,'Mortgage Calculators (By Month)'!$K483,"-")</f>
        <v>-</v>
      </c>
      <c r="AM465" s="8" t="str">
        <f>IF($AD465&lt;=$C$25*12,'Mortgage Calculators (By Month)'!$L483,"-")</f>
        <v>-</v>
      </c>
      <c r="AN465" s="8" t="str">
        <f t="shared" si="223"/>
        <v>-</v>
      </c>
      <c r="AO465" s="8" t="str">
        <f t="shared" si="209"/>
        <v>-</v>
      </c>
      <c r="AP465" s="8" t="str">
        <f t="shared" si="210"/>
        <v>-</v>
      </c>
      <c r="AQ465" s="8" t="str">
        <f t="shared" si="211"/>
        <v>-</v>
      </c>
      <c r="AR465" s="8" t="str">
        <f t="shared" si="212"/>
        <v>-</v>
      </c>
      <c r="AS465" s="8" t="str">
        <f>IF($AD465&lt;=$C$25*12,SUM(AR$5:AR465),"-")</f>
        <v>-</v>
      </c>
      <c r="AT465" s="8" t="str">
        <f>IF($AD465&lt;=$C$25*12,AE465-$C$10-'RE Calculations'!$C652-'Mortgage Calculators (By Month)'!$M483,"-")</f>
        <v>-</v>
      </c>
      <c r="AU465" s="29" t="str">
        <f t="shared" si="213"/>
        <v>-</v>
      </c>
      <c r="AV465" s="31" t="str">
        <f t="shared" si="214"/>
        <v>-</v>
      </c>
      <c r="AW465" s="8" t="str">
        <f t="shared" si="215"/>
        <v>-</v>
      </c>
      <c r="AX465" s="29" t="str">
        <f t="shared" si="216"/>
        <v>-</v>
      </c>
      <c r="AY465" s="31" t="str">
        <f t="shared" si="217"/>
        <v>-</v>
      </c>
    </row>
    <row r="466" spans="6:51" x14ac:dyDescent="0.35">
      <c r="F466" s="12" t="str">
        <f t="shared" si="218"/>
        <v>-</v>
      </c>
      <c r="G466" s="8" t="str">
        <f t="shared" si="219"/>
        <v>-</v>
      </c>
      <c r="H466" s="8" t="str">
        <f>IF($F466&lt;=$C$16*12,$G466-$C$7+SUM('Mortgage Calculators (By Month)'!$D$23:$D484),"-")</f>
        <v>-</v>
      </c>
      <c r="I466" s="8" t="str">
        <f t="shared" si="196"/>
        <v>-</v>
      </c>
      <c r="J466" s="8" t="str">
        <f>IF($F466&lt;=$C$16*12,SUM(Inputs!$C$61:$C$78)*'Forecast (By Month)'!I466,"-")</f>
        <v>-</v>
      </c>
      <c r="K466" s="8" t="str">
        <f>IF($F466&lt;=$C$16*12,(SUMIF(Inputs!$C$61:$C$78,0,Inputs!$F$61:$F$78)/12)*(1+$C$34)^ROUNDDOWN((F466-1)/12,0),"-")</f>
        <v>-</v>
      </c>
      <c r="L466" s="8" t="str">
        <f t="shared" si="197"/>
        <v>-</v>
      </c>
      <c r="M466" s="8" t="str">
        <f>IF($F466&lt;=$C$16*12,'Mortgage Calculators (By Month)'!$C484,"-")</f>
        <v>-</v>
      </c>
      <c r="N466" s="8" t="str">
        <f>IF($F466&lt;=$C$16*12,'Mortgage Calculators (By Month)'!$D484,"-")</f>
        <v>-</v>
      </c>
      <c r="O466" s="8" t="str">
        <f>IF($F466&lt;=$C$16*12,'Mortgage Calculators (By Month)'!$E484,"-")</f>
        <v>-</v>
      </c>
      <c r="P466" s="8" t="str">
        <f t="shared" si="222"/>
        <v>-</v>
      </c>
      <c r="Q466" s="8" t="str">
        <f t="shared" si="198"/>
        <v>-</v>
      </c>
      <c r="R466" s="8" t="str">
        <f t="shared" si="199"/>
        <v>-</v>
      </c>
      <c r="S466" s="8" t="str">
        <f t="shared" si="200"/>
        <v>-</v>
      </c>
      <c r="T466" s="8" t="str">
        <f t="shared" si="201"/>
        <v>-</v>
      </c>
      <c r="U466" s="8" t="str">
        <f>IF($F466&lt;=$C$16*12,SUM(T$5:T466),"-")</f>
        <v>-</v>
      </c>
      <c r="V466" s="8" t="str">
        <f>IF($F466&lt;=$C$16*12,G466-$C$10-'RE Calculations'!$C653-'Mortgage Calculators (By Month)'!$F484,"-")</f>
        <v>-</v>
      </c>
      <c r="W466" s="29" t="str">
        <f t="shared" si="202"/>
        <v>-</v>
      </c>
      <c r="X466" s="31" t="str">
        <f t="shared" si="203"/>
        <v>-</v>
      </c>
      <c r="Y466" s="8" t="str">
        <f t="shared" si="204"/>
        <v>-</v>
      </c>
      <c r="Z466" s="29" t="str">
        <f t="shared" si="205"/>
        <v>-</v>
      </c>
      <c r="AA466" s="31" t="str">
        <f t="shared" si="206"/>
        <v>-</v>
      </c>
      <c r="AD466" s="12" t="str">
        <f t="shared" si="220"/>
        <v>-</v>
      </c>
      <c r="AE466" s="8" t="str">
        <f t="shared" si="221"/>
        <v>-</v>
      </c>
      <c r="AF466" s="8" t="str">
        <f>IF($AD466&lt;=$C$25*12,$AE466-$C$7+SUM('Mortgage Calculators (By Month)'!$K$23:$K484),"-")</f>
        <v>-</v>
      </c>
      <c r="AG466" s="8" t="str">
        <f t="shared" si="207"/>
        <v>-</v>
      </c>
      <c r="AH466" s="8" t="str">
        <f>IF($AD466&lt;=$C$25*12,SUM(Inputs!$C$61:$C$78)*'Forecast (By Month)'!AG466,"-")</f>
        <v>-</v>
      </c>
      <c r="AI466" s="8" t="str">
        <f>IF($AD466&lt;=$C$25*12,(SUMIF(Inputs!$C$61:$C$78,0,Inputs!$F$61:$F$78)/12)*(1+$C$34)^ROUNDDOWN((AD466-1)/12,0),"-")</f>
        <v>-</v>
      </c>
      <c r="AJ466" s="8" t="str">
        <f t="shared" si="208"/>
        <v>-</v>
      </c>
      <c r="AK466" s="8" t="str">
        <f>IF($AD466&lt;=$C$25*12,'Mortgage Calculators (By Month)'!$J484,"-")</f>
        <v>-</v>
      </c>
      <c r="AL466" s="8" t="str">
        <f>IF($AD466&lt;=$C$25*12,'Mortgage Calculators (By Month)'!$K484,"-")</f>
        <v>-</v>
      </c>
      <c r="AM466" s="8" t="str">
        <f>IF($AD466&lt;=$C$25*12,'Mortgage Calculators (By Month)'!$L484,"-")</f>
        <v>-</v>
      </c>
      <c r="AN466" s="8" t="str">
        <f t="shared" si="223"/>
        <v>-</v>
      </c>
      <c r="AO466" s="8" t="str">
        <f t="shared" si="209"/>
        <v>-</v>
      </c>
      <c r="AP466" s="8" t="str">
        <f t="shared" si="210"/>
        <v>-</v>
      </c>
      <c r="AQ466" s="8" t="str">
        <f t="shared" si="211"/>
        <v>-</v>
      </c>
      <c r="AR466" s="8" t="str">
        <f t="shared" si="212"/>
        <v>-</v>
      </c>
      <c r="AS466" s="8" t="str">
        <f>IF($AD466&lt;=$C$25*12,SUM(AR$5:AR466),"-")</f>
        <v>-</v>
      </c>
      <c r="AT466" s="8" t="str">
        <f>IF($AD466&lt;=$C$25*12,AE466-$C$10-'RE Calculations'!$C653-'Mortgage Calculators (By Month)'!$M484,"-")</f>
        <v>-</v>
      </c>
      <c r="AU466" s="29" t="str">
        <f t="shared" si="213"/>
        <v>-</v>
      </c>
      <c r="AV466" s="31" t="str">
        <f t="shared" si="214"/>
        <v>-</v>
      </c>
      <c r="AW466" s="8" t="str">
        <f t="shared" si="215"/>
        <v>-</v>
      </c>
      <c r="AX466" s="29" t="str">
        <f t="shared" si="216"/>
        <v>-</v>
      </c>
      <c r="AY466" s="31" t="str">
        <f t="shared" si="217"/>
        <v>-</v>
      </c>
    </row>
    <row r="467" spans="6:51" x14ac:dyDescent="0.35">
      <c r="F467" s="12" t="str">
        <f t="shared" si="218"/>
        <v>-</v>
      </c>
      <c r="G467" s="8" t="str">
        <f t="shared" si="219"/>
        <v>-</v>
      </c>
      <c r="H467" s="8" t="str">
        <f>IF($F467&lt;=$C$16*12,$G467-$C$7+SUM('Mortgage Calculators (By Month)'!$D$23:$D485),"-")</f>
        <v>-</v>
      </c>
      <c r="I467" s="8" t="str">
        <f t="shared" si="196"/>
        <v>-</v>
      </c>
      <c r="J467" s="8" t="str">
        <f>IF($F467&lt;=$C$16*12,SUM(Inputs!$C$61:$C$78)*'Forecast (By Month)'!I467,"-")</f>
        <v>-</v>
      </c>
      <c r="K467" s="8" t="str">
        <f>IF($F467&lt;=$C$16*12,(SUMIF(Inputs!$C$61:$C$78,0,Inputs!$F$61:$F$78)/12)*(1+$C$34)^ROUNDDOWN((F467-1)/12,0),"-")</f>
        <v>-</v>
      </c>
      <c r="L467" s="8" t="str">
        <f t="shared" si="197"/>
        <v>-</v>
      </c>
      <c r="M467" s="8" t="str">
        <f>IF($F467&lt;=$C$16*12,'Mortgage Calculators (By Month)'!$C485,"-")</f>
        <v>-</v>
      </c>
      <c r="N467" s="8" t="str">
        <f>IF($F467&lt;=$C$16*12,'Mortgage Calculators (By Month)'!$D485,"-")</f>
        <v>-</v>
      </c>
      <c r="O467" s="8" t="str">
        <f>IF($F467&lt;=$C$16*12,'Mortgage Calculators (By Month)'!$E485,"-")</f>
        <v>-</v>
      </c>
      <c r="P467" s="8" t="str">
        <f t="shared" si="222"/>
        <v>-</v>
      </c>
      <c r="Q467" s="8" t="str">
        <f t="shared" si="198"/>
        <v>-</v>
      </c>
      <c r="R467" s="8" t="str">
        <f t="shared" si="199"/>
        <v>-</v>
      </c>
      <c r="S467" s="8" t="str">
        <f t="shared" si="200"/>
        <v>-</v>
      </c>
      <c r="T467" s="8" t="str">
        <f t="shared" si="201"/>
        <v>-</v>
      </c>
      <c r="U467" s="8" t="str">
        <f>IF($F467&lt;=$C$16*12,SUM(T$5:T467),"-")</f>
        <v>-</v>
      </c>
      <c r="V467" s="8" t="str">
        <f>IF($F467&lt;=$C$16*12,G467-$C$10-'RE Calculations'!$C654-'Mortgage Calculators (By Month)'!$F485,"-")</f>
        <v>-</v>
      </c>
      <c r="W467" s="29" t="str">
        <f t="shared" si="202"/>
        <v>-</v>
      </c>
      <c r="X467" s="31" t="str">
        <f t="shared" si="203"/>
        <v>-</v>
      </c>
      <c r="Y467" s="8" t="str">
        <f t="shared" si="204"/>
        <v>-</v>
      </c>
      <c r="Z467" s="29" t="str">
        <f t="shared" si="205"/>
        <v>-</v>
      </c>
      <c r="AA467" s="31" t="str">
        <f t="shared" si="206"/>
        <v>-</v>
      </c>
      <c r="AD467" s="12" t="str">
        <f t="shared" si="220"/>
        <v>-</v>
      </c>
      <c r="AE467" s="8" t="str">
        <f t="shared" si="221"/>
        <v>-</v>
      </c>
      <c r="AF467" s="8" t="str">
        <f>IF($AD467&lt;=$C$25*12,$AE467-$C$7+SUM('Mortgage Calculators (By Month)'!$K$23:$K485),"-")</f>
        <v>-</v>
      </c>
      <c r="AG467" s="8" t="str">
        <f t="shared" si="207"/>
        <v>-</v>
      </c>
      <c r="AH467" s="8" t="str">
        <f>IF($AD467&lt;=$C$25*12,SUM(Inputs!$C$61:$C$78)*'Forecast (By Month)'!AG467,"-")</f>
        <v>-</v>
      </c>
      <c r="AI467" s="8" t="str">
        <f>IF($AD467&lt;=$C$25*12,(SUMIF(Inputs!$C$61:$C$78,0,Inputs!$F$61:$F$78)/12)*(1+$C$34)^ROUNDDOWN((AD467-1)/12,0),"-")</f>
        <v>-</v>
      </c>
      <c r="AJ467" s="8" t="str">
        <f t="shared" si="208"/>
        <v>-</v>
      </c>
      <c r="AK467" s="8" t="str">
        <f>IF($AD467&lt;=$C$25*12,'Mortgage Calculators (By Month)'!$J485,"-")</f>
        <v>-</v>
      </c>
      <c r="AL467" s="8" t="str">
        <f>IF($AD467&lt;=$C$25*12,'Mortgage Calculators (By Month)'!$K485,"-")</f>
        <v>-</v>
      </c>
      <c r="AM467" s="8" t="str">
        <f>IF($AD467&lt;=$C$25*12,'Mortgage Calculators (By Month)'!$L485,"-")</f>
        <v>-</v>
      </c>
      <c r="AN467" s="8" t="str">
        <f t="shared" si="223"/>
        <v>-</v>
      </c>
      <c r="AO467" s="8" t="str">
        <f t="shared" si="209"/>
        <v>-</v>
      </c>
      <c r="AP467" s="8" t="str">
        <f t="shared" si="210"/>
        <v>-</v>
      </c>
      <c r="AQ467" s="8" t="str">
        <f t="shared" si="211"/>
        <v>-</v>
      </c>
      <c r="AR467" s="8" t="str">
        <f t="shared" si="212"/>
        <v>-</v>
      </c>
      <c r="AS467" s="8" t="str">
        <f>IF($AD467&lt;=$C$25*12,SUM(AR$5:AR467),"-")</f>
        <v>-</v>
      </c>
      <c r="AT467" s="8" t="str">
        <f>IF($AD467&lt;=$C$25*12,AE467-$C$10-'RE Calculations'!$C654-'Mortgage Calculators (By Month)'!$M485,"-")</f>
        <v>-</v>
      </c>
      <c r="AU467" s="29" t="str">
        <f t="shared" si="213"/>
        <v>-</v>
      </c>
      <c r="AV467" s="31" t="str">
        <f t="shared" si="214"/>
        <v>-</v>
      </c>
      <c r="AW467" s="8" t="str">
        <f t="shared" si="215"/>
        <v>-</v>
      </c>
      <c r="AX467" s="29" t="str">
        <f t="shared" si="216"/>
        <v>-</v>
      </c>
      <c r="AY467" s="31" t="str">
        <f t="shared" si="217"/>
        <v>-</v>
      </c>
    </row>
    <row r="468" spans="6:51" x14ac:dyDescent="0.35">
      <c r="F468" s="12" t="str">
        <f t="shared" si="218"/>
        <v>-</v>
      </c>
      <c r="G468" s="8" t="str">
        <f t="shared" si="219"/>
        <v>-</v>
      </c>
      <c r="H468" s="8" t="str">
        <f>IF($F468&lt;=$C$16*12,$G468-$C$7+SUM('Mortgage Calculators (By Month)'!$D$23:$D486),"-")</f>
        <v>-</v>
      </c>
      <c r="I468" s="8" t="str">
        <f t="shared" si="196"/>
        <v>-</v>
      </c>
      <c r="J468" s="8" t="str">
        <f>IF($F468&lt;=$C$16*12,SUM(Inputs!$C$61:$C$78)*'Forecast (By Month)'!I468,"-")</f>
        <v>-</v>
      </c>
      <c r="K468" s="8" t="str">
        <f>IF($F468&lt;=$C$16*12,(SUMIF(Inputs!$C$61:$C$78,0,Inputs!$F$61:$F$78)/12)*(1+$C$34)^ROUNDDOWN((F468-1)/12,0),"-")</f>
        <v>-</v>
      </c>
      <c r="L468" s="8" t="str">
        <f t="shared" si="197"/>
        <v>-</v>
      </c>
      <c r="M468" s="8" t="str">
        <f>IF($F468&lt;=$C$16*12,'Mortgage Calculators (By Month)'!$C486,"-")</f>
        <v>-</v>
      </c>
      <c r="N468" s="8" t="str">
        <f>IF($F468&lt;=$C$16*12,'Mortgage Calculators (By Month)'!$D486,"-")</f>
        <v>-</v>
      </c>
      <c r="O468" s="8" t="str">
        <f>IF($F468&lt;=$C$16*12,'Mortgage Calculators (By Month)'!$E486,"-")</f>
        <v>-</v>
      </c>
      <c r="P468" s="8" t="str">
        <f t="shared" si="222"/>
        <v>-</v>
      </c>
      <c r="Q468" s="8" t="str">
        <f t="shared" si="198"/>
        <v>-</v>
      </c>
      <c r="R468" s="8" t="str">
        <f t="shared" si="199"/>
        <v>-</v>
      </c>
      <c r="S468" s="8" t="str">
        <f t="shared" si="200"/>
        <v>-</v>
      </c>
      <c r="T468" s="8" t="str">
        <f t="shared" si="201"/>
        <v>-</v>
      </c>
      <c r="U468" s="8" t="str">
        <f>IF($F468&lt;=$C$16*12,SUM(T$5:T468),"-")</f>
        <v>-</v>
      </c>
      <c r="V468" s="8" t="str">
        <f>IF($F468&lt;=$C$16*12,G468-$C$10-'RE Calculations'!$C655-'Mortgage Calculators (By Month)'!$F486,"-")</f>
        <v>-</v>
      </c>
      <c r="W468" s="29" t="str">
        <f t="shared" si="202"/>
        <v>-</v>
      </c>
      <c r="X468" s="31" t="str">
        <f t="shared" si="203"/>
        <v>-</v>
      </c>
      <c r="Y468" s="8" t="str">
        <f t="shared" si="204"/>
        <v>-</v>
      </c>
      <c r="Z468" s="29" t="str">
        <f t="shared" si="205"/>
        <v>-</v>
      </c>
      <c r="AA468" s="31" t="str">
        <f t="shared" si="206"/>
        <v>-</v>
      </c>
      <c r="AD468" s="12" t="str">
        <f t="shared" si="220"/>
        <v>-</v>
      </c>
      <c r="AE468" s="8" t="str">
        <f t="shared" si="221"/>
        <v>-</v>
      </c>
      <c r="AF468" s="8" t="str">
        <f>IF($AD468&lt;=$C$25*12,$AE468-$C$7+SUM('Mortgage Calculators (By Month)'!$K$23:$K486),"-")</f>
        <v>-</v>
      </c>
      <c r="AG468" s="8" t="str">
        <f t="shared" si="207"/>
        <v>-</v>
      </c>
      <c r="AH468" s="8" t="str">
        <f>IF($AD468&lt;=$C$25*12,SUM(Inputs!$C$61:$C$78)*'Forecast (By Month)'!AG468,"-")</f>
        <v>-</v>
      </c>
      <c r="AI468" s="8" t="str">
        <f>IF($AD468&lt;=$C$25*12,(SUMIF(Inputs!$C$61:$C$78,0,Inputs!$F$61:$F$78)/12)*(1+$C$34)^ROUNDDOWN((AD468-1)/12,0),"-")</f>
        <v>-</v>
      </c>
      <c r="AJ468" s="8" t="str">
        <f t="shared" si="208"/>
        <v>-</v>
      </c>
      <c r="AK468" s="8" t="str">
        <f>IF($AD468&lt;=$C$25*12,'Mortgage Calculators (By Month)'!$J486,"-")</f>
        <v>-</v>
      </c>
      <c r="AL468" s="8" t="str">
        <f>IF($AD468&lt;=$C$25*12,'Mortgage Calculators (By Month)'!$K486,"-")</f>
        <v>-</v>
      </c>
      <c r="AM468" s="8" t="str">
        <f>IF($AD468&lt;=$C$25*12,'Mortgage Calculators (By Month)'!$L486,"-")</f>
        <v>-</v>
      </c>
      <c r="AN468" s="8" t="str">
        <f t="shared" si="223"/>
        <v>-</v>
      </c>
      <c r="AO468" s="8" t="str">
        <f t="shared" si="209"/>
        <v>-</v>
      </c>
      <c r="AP468" s="8" t="str">
        <f t="shared" si="210"/>
        <v>-</v>
      </c>
      <c r="AQ468" s="8" t="str">
        <f t="shared" si="211"/>
        <v>-</v>
      </c>
      <c r="AR468" s="8" t="str">
        <f t="shared" si="212"/>
        <v>-</v>
      </c>
      <c r="AS468" s="8" t="str">
        <f>IF($AD468&lt;=$C$25*12,SUM(AR$5:AR468),"-")</f>
        <v>-</v>
      </c>
      <c r="AT468" s="8" t="str">
        <f>IF($AD468&lt;=$C$25*12,AE468-$C$10-'RE Calculations'!$C655-'Mortgage Calculators (By Month)'!$M486,"-")</f>
        <v>-</v>
      </c>
      <c r="AU468" s="29" t="str">
        <f t="shared" si="213"/>
        <v>-</v>
      </c>
      <c r="AV468" s="31" t="str">
        <f t="shared" si="214"/>
        <v>-</v>
      </c>
      <c r="AW468" s="8" t="str">
        <f t="shared" si="215"/>
        <v>-</v>
      </c>
      <c r="AX468" s="29" t="str">
        <f t="shared" si="216"/>
        <v>-</v>
      </c>
      <c r="AY468" s="31" t="str">
        <f t="shared" si="217"/>
        <v>-</v>
      </c>
    </row>
    <row r="469" spans="6:51" x14ac:dyDescent="0.35">
      <c r="F469" s="12" t="str">
        <f t="shared" si="218"/>
        <v>-</v>
      </c>
      <c r="G469" s="8" t="str">
        <f t="shared" si="219"/>
        <v>-</v>
      </c>
      <c r="H469" s="8" t="str">
        <f>IF($F469&lt;=$C$16*12,$G469-$C$7+SUM('Mortgage Calculators (By Month)'!$D$23:$D487),"-")</f>
        <v>-</v>
      </c>
      <c r="I469" s="8" t="str">
        <f t="shared" si="196"/>
        <v>-</v>
      </c>
      <c r="J469" s="8" t="str">
        <f>IF($F469&lt;=$C$16*12,SUM(Inputs!$C$61:$C$78)*'Forecast (By Month)'!I469,"-")</f>
        <v>-</v>
      </c>
      <c r="K469" s="8" t="str">
        <f>IF($F469&lt;=$C$16*12,(SUMIF(Inputs!$C$61:$C$78,0,Inputs!$F$61:$F$78)/12)*(1+$C$34)^ROUNDDOWN((F469-1)/12,0),"-")</f>
        <v>-</v>
      </c>
      <c r="L469" s="8" t="str">
        <f t="shared" si="197"/>
        <v>-</v>
      </c>
      <c r="M469" s="8" t="str">
        <f>IF($F469&lt;=$C$16*12,'Mortgage Calculators (By Month)'!$C487,"-")</f>
        <v>-</v>
      </c>
      <c r="N469" s="8" t="str">
        <f>IF($F469&lt;=$C$16*12,'Mortgage Calculators (By Month)'!$D487,"-")</f>
        <v>-</v>
      </c>
      <c r="O469" s="8" t="str">
        <f>IF($F469&lt;=$C$16*12,'Mortgage Calculators (By Month)'!$E487,"-")</f>
        <v>-</v>
      </c>
      <c r="P469" s="8" t="str">
        <f t="shared" si="222"/>
        <v>-</v>
      </c>
      <c r="Q469" s="8" t="str">
        <f t="shared" si="198"/>
        <v>-</v>
      </c>
      <c r="R469" s="8" t="str">
        <f t="shared" si="199"/>
        <v>-</v>
      </c>
      <c r="S469" s="8" t="str">
        <f t="shared" si="200"/>
        <v>-</v>
      </c>
      <c r="T469" s="8" t="str">
        <f t="shared" si="201"/>
        <v>-</v>
      </c>
      <c r="U469" s="8" t="str">
        <f>IF($F469&lt;=$C$16*12,SUM(T$5:T469),"-")</f>
        <v>-</v>
      </c>
      <c r="V469" s="8" t="str">
        <f>IF($F469&lt;=$C$16*12,G469-$C$10-'RE Calculations'!$C656-'Mortgage Calculators (By Month)'!$F487,"-")</f>
        <v>-</v>
      </c>
      <c r="W469" s="29" t="str">
        <f t="shared" si="202"/>
        <v>-</v>
      </c>
      <c r="X469" s="31" t="str">
        <f t="shared" si="203"/>
        <v>-</v>
      </c>
      <c r="Y469" s="8" t="str">
        <f t="shared" si="204"/>
        <v>-</v>
      </c>
      <c r="Z469" s="29" t="str">
        <f t="shared" si="205"/>
        <v>-</v>
      </c>
      <c r="AA469" s="31" t="str">
        <f t="shared" si="206"/>
        <v>-</v>
      </c>
      <c r="AD469" s="12" t="str">
        <f t="shared" si="220"/>
        <v>-</v>
      </c>
      <c r="AE469" s="8" t="str">
        <f t="shared" si="221"/>
        <v>-</v>
      </c>
      <c r="AF469" s="8" t="str">
        <f>IF($AD469&lt;=$C$25*12,$AE469-$C$7+SUM('Mortgage Calculators (By Month)'!$K$23:$K487),"-")</f>
        <v>-</v>
      </c>
      <c r="AG469" s="8" t="str">
        <f t="shared" si="207"/>
        <v>-</v>
      </c>
      <c r="AH469" s="8" t="str">
        <f>IF($AD469&lt;=$C$25*12,SUM(Inputs!$C$61:$C$78)*'Forecast (By Month)'!AG469,"-")</f>
        <v>-</v>
      </c>
      <c r="AI469" s="8" t="str">
        <f>IF($AD469&lt;=$C$25*12,(SUMIF(Inputs!$C$61:$C$78,0,Inputs!$F$61:$F$78)/12)*(1+$C$34)^ROUNDDOWN((AD469-1)/12,0),"-")</f>
        <v>-</v>
      </c>
      <c r="AJ469" s="8" t="str">
        <f t="shared" si="208"/>
        <v>-</v>
      </c>
      <c r="AK469" s="8" t="str">
        <f>IF($AD469&lt;=$C$25*12,'Mortgage Calculators (By Month)'!$J487,"-")</f>
        <v>-</v>
      </c>
      <c r="AL469" s="8" t="str">
        <f>IF($AD469&lt;=$C$25*12,'Mortgage Calculators (By Month)'!$K487,"-")</f>
        <v>-</v>
      </c>
      <c r="AM469" s="8" t="str">
        <f>IF($AD469&lt;=$C$25*12,'Mortgage Calculators (By Month)'!$L487,"-")</f>
        <v>-</v>
      </c>
      <c r="AN469" s="8" t="str">
        <f t="shared" si="223"/>
        <v>-</v>
      </c>
      <c r="AO469" s="8" t="str">
        <f t="shared" si="209"/>
        <v>-</v>
      </c>
      <c r="AP469" s="8" t="str">
        <f t="shared" si="210"/>
        <v>-</v>
      </c>
      <c r="AQ469" s="8" t="str">
        <f t="shared" si="211"/>
        <v>-</v>
      </c>
      <c r="AR469" s="8" t="str">
        <f t="shared" si="212"/>
        <v>-</v>
      </c>
      <c r="AS469" s="8" t="str">
        <f>IF($AD469&lt;=$C$25*12,SUM(AR$5:AR469),"-")</f>
        <v>-</v>
      </c>
      <c r="AT469" s="8" t="str">
        <f>IF($AD469&lt;=$C$25*12,AE469-$C$10-'RE Calculations'!$C656-'Mortgage Calculators (By Month)'!$M487,"-")</f>
        <v>-</v>
      </c>
      <c r="AU469" s="29" t="str">
        <f t="shared" si="213"/>
        <v>-</v>
      </c>
      <c r="AV469" s="31" t="str">
        <f t="shared" si="214"/>
        <v>-</v>
      </c>
      <c r="AW469" s="8" t="str">
        <f t="shared" si="215"/>
        <v>-</v>
      </c>
      <c r="AX469" s="29" t="str">
        <f t="shared" si="216"/>
        <v>-</v>
      </c>
      <c r="AY469" s="31" t="str">
        <f t="shared" si="217"/>
        <v>-</v>
      </c>
    </row>
    <row r="470" spans="6:51" x14ac:dyDescent="0.35">
      <c r="F470" s="12" t="str">
        <f t="shared" si="218"/>
        <v>-</v>
      </c>
      <c r="G470" s="8" t="str">
        <f t="shared" si="219"/>
        <v>-</v>
      </c>
      <c r="H470" s="8" t="str">
        <f>IF($F470&lt;=$C$16*12,$G470-$C$7+SUM('Mortgage Calculators (By Month)'!$D$23:$D488),"-")</f>
        <v>-</v>
      </c>
      <c r="I470" s="8" t="str">
        <f t="shared" si="196"/>
        <v>-</v>
      </c>
      <c r="J470" s="8" t="str">
        <f>IF($F470&lt;=$C$16*12,SUM(Inputs!$C$61:$C$78)*'Forecast (By Month)'!I470,"-")</f>
        <v>-</v>
      </c>
      <c r="K470" s="8" t="str">
        <f>IF($F470&lt;=$C$16*12,(SUMIF(Inputs!$C$61:$C$78,0,Inputs!$F$61:$F$78)/12)*(1+$C$34)^ROUNDDOWN((F470-1)/12,0),"-")</f>
        <v>-</v>
      </c>
      <c r="L470" s="8" t="str">
        <f t="shared" si="197"/>
        <v>-</v>
      </c>
      <c r="M470" s="8" t="str">
        <f>IF($F470&lt;=$C$16*12,'Mortgage Calculators (By Month)'!$C488,"-")</f>
        <v>-</v>
      </c>
      <c r="N470" s="8" t="str">
        <f>IF($F470&lt;=$C$16*12,'Mortgage Calculators (By Month)'!$D488,"-")</f>
        <v>-</v>
      </c>
      <c r="O470" s="8" t="str">
        <f>IF($F470&lt;=$C$16*12,'Mortgage Calculators (By Month)'!$E488,"-")</f>
        <v>-</v>
      </c>
      <c r="P470" s="8" t="str">
        <f t="shared" si="222"/>
        <v>-</v>
      </c>
      <c r="Q470" s="8" t="str">
        <f t="shared" si="198"/>
        <v>-</v>
      </c>
      <c r="R470" s="8" t="str">
        <f t="shared" si="199"/>
        <v>-</v>
      </c>
      <c r="S470" s="8" t="str">
        <f t="shared" si="200"/>
        <v>-</v>
      </c>
      <c r="T470" s="8" t="str">
        <f t="shared" si="201"/>
        <v>-</v>
      </c>
      <c r="U470" s="8" t="str">
        <f>IF($F470&lt;=$C$16*12,SUM(T$5:T470),"-")</f>
        <v>-</v>
      </c>
      <c r="V470" s="8" t="str">
        <f>IF($F470&lt;=$C$16*12,G470-$C$10-'RE Calculations'!$C657-'Mortgage Calculators (By Month)'!$F488,"-")</f>
        <v>-</v>
      </c>
      <c r="W470" s="29" t="str">
        <f t="shared" si="202"/>
        <v>-</v>
      </c>
      <c r="X470" s="31" t="str">
        <f t="shared" si="203"/>
        <v>-</v>
      </c>
      <c r="Y470" s="8" t="str">
        <f t="shared" si="204"/>
        <v>-</v>
      </c>
      <c r="Z470" s="29" t="str">
        <f t="shared" si="205"/>
        <v>-</v>
      </c>
      <c r="AA470" s="31" t="str">
        <f t="shared" si="206"/>
        <v>-</v>
      </c>
      <c r="AD470" s="12" t="str">
        <f t="shared" si="220"/>
        <v>-</v>
      </c>
      <c r="AE470" s="8" t="str">
        <f t="shared" si="221"/>
        <v>-</v>
      </c>
      <c r="AF470" s="8" t="str">
        <f>IF($AD470&lt;=$C$25*12,$AE470-$C$7+SUM('Mortgage Calculators (By Month)'!$K$23:$K488),"-")</f>
        <v>-</v>
      </c>
      <c r="AG470" s="8" t="str">
        <f t="shared" si="207"/>
        <v>-</v>
      </c>
      <c r="AH470" s="8" t="str">
        <f>IF($AD470&lt;=$C$25*12,SUM(Inputs!$C$61:$C$78)*'Forecast (By Month)'!AG470,"-")</f>
        <v>-</v>
      </c>
      <c r="AI470" s="8" t="str">
        <f>IF($AD470&lt;=$C$25*12,(SUMIF(Inputs!$C$61:$C$78,0,Inputs!$F$61:$F$78)/12)*(1+$C$34)^ROUNDDOWN((AD470-1)/12,0),"-")</f>
        <v>-</v>
      </c>
      <c r="AJ470" s="8" t="str">
        <f t="shared" si="208"/>
        <v>-</v>
      </c>
      <c r="AK470" s="8" t="str">
        <f>IF($AD470&lt;=$C$25*12,'Mortgage Calculators (By Month)'!$J488,"-")</f>
        <v>-</v>
      </c>
      <c r="AL470" s="8" t="str">
        <f>IF($AD470&lt;=$C$25*12,'Mortgage Calculators (By Month)'!$K488,"-")</f>
        <v>-</v>
      </c>
      <c r="AM470" s="8" t="str">
        <f>IF($AD470&lt;=$C$25*12,'Mortgage Calculators (By Month)'!$L488,"-")</f>
        <v>-</v>
      </c>
      <c r="AN470" s="8" t="str">
        <f t="shared" si="223"/>
        <v>-</v>
      </c>
      <c r="AO470" s="8" t="str">
        <f t="shared" si="209"/>
        <v>-</v>
      </c>
      <c r="AP470" s="8" t="str">
        <f t="shared" si="210"/>
        <v>-</v>
      </c>
      <c r="AQ470" s="8" t="str">
        <f t="shared" si="211"/>
        <v>-</v>
      </c>
      <c r="AR470" s="8" t="str">
        <f t="shared" si="212"/>
        <v>-</v>
      </c>
      <c r="AS470" s="8" t="str">
        <f>IF($AD470&lt;=$C$25*12,SUM(AR$5:AR470),"-")</f>
        <v>-</v>
      </c>
      <c r="AT470" s="8" t="str">
        <f>IF($AD470&lt;=$C$25*12,AE470-$C$10-'RE Calculations'!$C657-'Mortgage Calculators (By Month)'!$M488,"-")</f>
        <v>-</v>
      </c>
      <c r="AU470" s="29" t="str">
        <f t="shared" si="213"/>
        <v>-</v>
      </c>
      <c r="AV470" s="31" t="str">
        <f t="shared" si="214"/>
        <v>-</v>
      </c>
      <c r="AW470" s="8" t="str">
        <f t="shared" si="215"/>
        <v>-</v>
      </c>
      <c r="AX470" s="29" t="str">
        <f t="shared" si="216"/>
        <v>-</v>
      </c>
      <c r="AY470" s="31" t="str">
        <f t="shared" si="217"/>
        <v>-</v>
      </c>
    </row>
    <row r="471" spans="6:51" x14ac:dyDescent="0.35">
      <c r="F471" s="12" t="str">
        <f t="shared" si="218"/>
        <v>-</v>
      </c>
      <c r="G471" s="8" t="str">
        <f t="shared" si="219"/>
        <v>-</v>
      </c>
      <c r="H471" s="8" t="str">
        <f>IF($F471&lt;=$C$16*12,$G471-$C$7+SUM('Mortgage Calculators (By Month)'!$D$23:$D489),"-")</f>
        <v>-</v>
      </c>
      <c r="I471" s="8" t="str">
        <f t="shared" si="196"/>
        <v>-</v>
      </c>
      <c r="J471" s="8" t="str">
        <f>IF($F471&lt;=$C$16*12,SUM(Inputs!$C$61:$C$78)*'Forecast (By Month)'!I471,"-")</f>
        <v>-</v>
      </c>
      <c r="K471" s="8" t="str">
        <f>IF($F471&lt;=$C$16*12,(SUMIF(Inputs!$C$61:$C$78,0,Inputs!$F$61:$F$78)/12)*(1+$C$34)^ROUNDDOWN((F471-1)/12,0),"-")</f>
        <v>-</v>
      </c>
      <c r="L471" s="8" t="str">
        <f t="shared" si="197"/>
        <v>-</v>
      </c>
      <c r="M471" s="8" t="str">
        <f>IF($F471&lt;=$C$16*12,'Mortgage Calculators (By Month)'!$C489,"-")</f>
        <v>-</v>
      </c>
      <c r="N471" s="8" t="str">
        <f>IF($F471&lt;=$C$16*12,'Mortgage Calculators (By Month)'!$D489,"-")</f>
        <v>-</v>
      </c>
      <c r="O471" s="8" t="str">
        <f>IF($F471&lt;=$C$16*12,'Mortgage Calculators (By Month)'!$E489,"-")</f>
        <v>-</v>
      </c>
      <c r="P471" s="8" t="str">
        <f t="shared" si="222"/>
        <v>-</v>
      </c>
      <c r="Q471" s="8" t="str">
        <f t="shared" si="198"/>
        <v>-</v>
      </c>
      <c r="R471" s="8" t="str">
        <f t="shared" si="199"/>
        <v>-</v>
      </c>
      <c r="S471" s="8" t="str">
        <f t="shared" si="200"/>
        <v>-</v>
      </c>
      <c r="T471" s="8" t="str">
        <f t="shared" si="201"/>
        <v>-</v>
      </c>
      <c r="U471" s="8" t="str">
        <f>IF($F471&lt;=$C$16*12,SUM(T$5:T471),"-")</f>
        <v>-</v>
      </c>
      <c r="V471" s="8" t="str">
        <f>IF($F471&lt;=$C$16*12,G471-$C$10-'RE Calculations'!$C658-'Mortgage Calculators (By Month)'!$F489,"-")</f>
        <v>-</v>
      </c>
      <c r="W471" s="29" t="str">
        <f t="shared" si="202"/>
        <v>-</v>
      </c>
      <c r="X471" s="31" t="str">
        <f t="shared" si="203"/>
        <v>-</v>
      </c>
      <c r="Y471" s="8" t="str">
        <f t="shared" si="204"/>
        <v>-</v>
      </c>
      <c r="Z471" s="29" t="str">
        <f t="shared" si="205"/>
        <v>-</v>
      </c>
      <c r="AA471" s="31" t="str">
        <f t="shared" si="206"/>
        <v>-</v>
      </c>
      <c r="AD471" s="12" t="str">
        <f t="shared" si="220"/>
        <v>-</v>
      </c>
      <c r="AE471" s="8" t="str">
        <f t="shared" si="221"/>
        <v>-</v>
      </c>
      <c r="AF471" s="8" t="str">
        <f>IF($AD471&lt;=$C$25*12,$AE471-$C$7+SUM('Mortgage Calculators (By Month)'!$K$23:$K489),"-")</f>
        <v>-</v>
      </c>
      <c r="AG471" s="8" t="str">
        <f t="shared" si="207"/>
        <v>-</v>
      </c>
      <c r="AH471" s="8" t="str">
        <f>IF($AD471&lt;=$C$25*12,SUM(Inputs!$C$61:$C$78)*'Forecast (By Month)'!AG471,"-")</f>
        <v>-</v>
      </c>
      <c r="AI471" s="8" t="str">
        <f>IF($AD471&lt;=$C$25*12,(SUMIF(Inputs!$C$61:$C$78,0,Inputs!$F$61:$F$78)/12)*(1+$C$34)^ROUNDDOWN((AD471-1)/12,0),"-")</f>
        <v>-</v>
      </c>
      <c r="AJ471" s="8" t="str">
        <f t="shared" si="208"/>
        <v>-</v>
      </c>
      <c r="AK471" s="8" t="str">
        <f>IF($AD471&lt;=$C$25*12,'Mortgage Calculators (By Month)'!$J489,"-")</f>
        <v>-</v>
      </c>
      <c r="AL471" s="8" t="str">
        <f>IF($AD471&lt;=$C$25*12,'Mortgage Calculators (By Month)'!$K489,"-")</f>
        <v>-</v>
      </c>
      <c r="AM471" s="8" t="str">
        <f>IF($AD471&lt;=$C$25*12,'Mortgage Calculators (By Month)'!$L489,"-")</f>
        <v>-</v>
      </c>
      <c r="AN471" s="8" t="str">
        <f t="shared" si="223"/>
        <v>-</v>
      </c>
      <c r="AO471" s="8" t="str">
        <f t="shared" si="209"/>
        <v>-</v>
      </c>
      <c r="AP471" s="8" t="str">
        <f t="shared" si="210"/>
        <v>-</v>
      </c>
      <c r="AQ471" s="8" t="str">
        <f t="shared" si="211"/>
        <v>-</v>
      </c>
      <c r="AR471" s="8" t="str">
        <f t="shared" si="212"/>
        <v>-</v>
      </c>
      <c r="AS471" s="8" t="str">
        <f>IF($AD471&lt;=$C$25*12,SUM(AR$5:AR471),"-")</f>
        <v>-</v>
      </c>
      <c r="AT471" s="8" t="str">
        <f>IF($AD471&lt;=$C$25*12,AE471-$C$10-'RE Calculations'!$C658-'Mortgage Calculators (By Month)'!$M489,"-")</f>
        <v>-</v>
      </c>
      <c r="AU471" s="29" t="str">
        <f t="shared" si="213"/>
        <v>-</v>
      </c>
      <c r="AV471" s="31" t="str">
        <f t="shared" si="214"/>
        <v>-</v>
      </c>
      <c r="AW471" s="8" t="str">
        <f t="shared" si="215"/>
        <v>-</v>
      </c>
      <c r="AX471" s="29" t="str">
        <f t="shared" si="216"/>
        <v>-</v>
      </c>
      <c r="AY471" s="31" t="str">
        <f t="shared" si="217"/>
        <v>-</v>
      </c>
    </row>
    <row r="472" spans="6:51" x14ac:dyDescent="0.35">
      <c r="F472" s="12" t="str">
        <f t="shared" si="218"/>
        <v>-</v>
      </c>
      <c r="G472" s="8" t="str">
        <f t="shared" si="219"/>
        <v>-</v>
      </c>
      <c r="H472" s="8" t="str">
        <f>IF($F472&lt;=$C$16*12,$G472-$C$7+SUM('Mortgage Calculators (By Month)'!$D$23:$D490),"-")</f>
        <v>-</v>
      </c>
      <c r="I472" s="8" t="str">
        <f t="shared" si="196"/>
        <v>-</v>
      </c>
      <c r="J472" s="8" t="str">
        <f>IF($F472&lt;=$C$16*12,SUM(Inputs!$C$61:$C$78)*'Forecast (By Month)'!I472,"-")</f>
        <v>-</v>
      </c>
      <c r="K472" s="8" t="str">
        <f>IF($F472&lt;=$C$16*12,(SUMIF(Inputs!$C$61:$C$78,0,Inputs!$F$61:$F$78)/12)*(1+$C$34)^ROUNDDOWN((F472-1)/12,0),"-")</f>
        <v>-</v>
      </c>
      <c r="L472" s="8" t="str">
        <f t="shared" si="197"/>
        <v>-</v>
      </c>
      <c r="M472" s="8" t="str">
        <f>IF($F472&lt;=$C$16*12,'Mortgage Calculators (By Month)'!$C490,"-")</f>
        <v>-</v>
      </c>
      <c r="N472" s="8" t="str">
        <f>IF($F472&lt;=$C$16*12,'Mortgage Calculators (By Month)'!$D490,"-")</f>
        <v>-</v>
      </c>
      <c r="O472" s="8" t="str">
        <f>IF($F472&lt;=$C$16*12,'Mortgage Calculators (By Month)'!$E490,"-")</f>
        <v>-</v>
      </c>
      <c r="P472" s="8" t="str">
        <f t="shared" si="222"/>
        <v>-</v>
      </c>
      <c r="Q472" s="8" t="str">
        <f t="shared" si="198"/>
        <v>-</v>
      </c>
      <c r="R472" s="8" t="str">
        <f t="shared" si="199"/>
        <v>-</v>
      </c>
      <c r="S472" s="8" t="str">
        <f t="shared" si="200"/>
        <v>-</v>
      </c>
      <c r="T472" s="8" t="str">
        <f t="shared" si="201"/>
        <v>-</v>
      </c>
      <c r="U472" s="8" t="str">
        <f>IF($F472&lt;=$C$16*12,SUM(T$5:T472),"-")</f>
        <v>-</v>
      </c>
      <c r="V472" s="8" t="str">
        <f>IF($F472&lt;=$C$16*12,G472-$C$10-'RE Calculations'!$C659-'Mortgage Calculators (By Month)'!$F490,"-")</f>
        <v>-</v>
      </c>
      <c r="W472" s="29" t="str">
        <f t="shared" si="202"/>
        <v>-</v>
      </c>
      <c r="X472" s="31" t="str">
        <f t="shared" si="203"/>
        <v>-</v>
      </c>
      <c r="Y472" s="8" t="str">
        <f t="shared" si="204"/>
        <v>-</v>
      </c>
      <c r="Z472" s="29" t="str">
        <f t="shared" si="205"/>
        <v>-</v>
      </c>
      <c r="AA472" s="31" t="str">
        <f t="shared" si="206"/>
        <v>-</v>
      </c>
      <c r="AD472" s="12" t="str">
        <f t="shared" si="220"/>
        <v>-</v>
      </c>
      <c r="AE472" s="8" t="str">
        <f t="shared" si="221"/>
        <v>-</v>
      </c>
      <c r="AF472" s="8" t="str">
        <f>IF($AD472&lt;=$C$25*12,$AE472-$C$7+SUM('Mortgage Calculators (By Month)'!$K$23:$K490),"-")</f>
        <v>-</v>
      </c>
      <c r="AG472" s="8" t="str">
        <f t="shared" si="207"/>
        <v>-</v>
      </c>
      <c r="AH472" s="8" t="str">
        <f>IF($AD472&lt;=$C$25*12,SUM(Inputs!$C$61:$C$78)*'Forecast (By Month)'!AG472,"-")</f>
        <v>-</v>
      </c>
      <c r="AI472" s="8" t="str">
        <f>IF($AD472&lt;=$C$25*12,(SUMIF(Inputs!$C$61:$C$78,0,Inputs!$F$61:$F$78)/12)*(1+$C$34)^ROUNDDOWN((AD472-1)/12,0),"-")</f>
        <v>-</v>
      </c>
      <c r="AJ472" s="8" t="str">
        <f t="shared" si="208"/>
        <v>-</v>
      </c>
      <c r="AK472" s="8" t="str">
        <f>IF($AD472&lt;=$C$25*12,'Mortgage Calculators (By Month)'!$J490,"-")</f>
        <v>-</v>
      </c>
      <c r="AL472" s="8" t="str">
        <f>IF($AD472&lt;=$C$25*12,'Mortgage Calculators (By Month)'!$K490,"-")</f>
        <v>-</v>
      </c>
      <c r="AM472" s="8" t="str">
        <f>IF($AD472&lt;=$C$25*12,'Mortgage Calculators (By Month)'!$L490,"-")</f>
        <v>-</v>
      </c>
      <c r="AN472" s="8" t="str">
        <f t="shared" si="223"/>
        <v>-</v>
      </c>
      <c r="AO472" s="8" t="str">
        <f t="shared" si="209"/>
        <v>-</v>
      </c>
      <c r="AP472" s="8" t="str">
        <f t="shared" si="210"/>
        <v>-</v>
      </c>
      <c r="AQ472" s="8" t="str">
        <f t="shared" si="211"/>
        <v>-</v>
      </c>
      <c r="AR472" s="8" t="str">
        <f t="shared" si="212"/>
        <v>-</v>
      </c>
      <c r="AS472" s="8" t="str">
        <f>IF($AD472&lt;=$C$25*12,SUM(AR$5:AR472),"-")</f>
        <v>-</v>
      </c>
      <c r="AT472" s="8" t="str">
        <f>IF($AD472&lt;=$C$25*12,AE472-$C$10-'RE Calculations'!$C659-'Mortgage Calculators (By Month)'!$M490,"-")</f>
        <v>-</v>
      </c>
      <c r="AU472" s="29" t="str">
        <f t="shared" si="213"/>
        <v>-</v>
      </c>
      <c r="AV472" s="31" t="str">
        <f t="shared" si="214"/>
        <v>-</v>
      </c>
      <c r="AW472" s="8" t="str">
        <f t="shared" si="215"/>
        <v>-</v>
      </c>
      <c r="AX472" s="29" t="str">
        <f t="shared" si="216"/>
        <v>-</v>
      </c>
      <c r="AY472" s="31" t="str">
        <f t="shared" si="217"/>
        <v>-</v>
      </c>
    </row>
    <row r="473" spans="6:51" x14ac:dyDescent="0.35">
      <c r="F473" s="12" t="str">
        <f t="shared" si="218"/>
        <v>-</v>
      </c>
      <c r="G473" s="8" t="str">
        <f t="shared" si="219"/>
        <v>-</v>
      </c>
      <c r="H473" s="8" t="str">
        <f>IF($F473&lt;=$C$16*12,$G473-$C$7+SUM('Mortgage Calculators (By Month)'!$D$23:$D491),"-")</f>
        <v>-</v>
      </c>
      <c r="I473" s="8" t="str">
        <f t="shared" si="196"/>
        <v>-</v>
      </c>
      <c r="J473" s="8" t="str">
        <f>IF($F473&lt;=$C$16*12,SUM(Inputs!$C$61:$C$78)*'Forecast (By Month)'!I473,"-")</f>
        <v>-</v>
      </c>
      <c r="K473" s="8" t="str">
        <f>IF($F473&lt;=$C$16*12,(SUMIF(Inputs!$C$61:$C$78,0,Inputs!$F$61:$F$78)/12)*(1+$C$34)^ROUNDDOWN((F473-1)/12,0),"-")</f>
        <v>-</v>
      </c>
      <c r="L473" s="8" t="str">
        <f t="shared" si="197"/>
        <v>-</v>
      </c>
      <c r="M473" s="8" t="str">
        <f>IF($F473&lt;=$C$16*12,'Mortgage Calculators (By Month)'!$C491,"-")</f>
        <v>-</v>
      </c>
      <c r="N473" s="8" t="str">
        <f>IF($F473&lt;=$C$16*12,'Mortgage Calculators (By Month)'!$D491,"-")</f>
        <v>-</v>
      </c>
      <c r="O473" s="8" t="str">
        <f>IF($F473&lt;=$C$16*12,'Mortgage Calculators (By Month)'!$E491,"-")</f>
        <v>-</v>
      </c>
      <c r="P473" s="8" t="str">
        <f t="shared" si="222"/>
        <v>-</v>
      </c>
      <c r="Q473" s="8" t="str">
        <f t="shared" si="198"/>
        <v>-</v>
      </c>
      <c r="R473" s="8" t="str">
        <f t="shared" si="199"/>
        <v>-</v>
      </c>
      <c r="S473" s="8" t="str">
        <f t="shared" si="200"/>
        <v>-</v>
      </c>
      <c r="T473" s="8" t="str">
        <f t="shared" si="201"/>
        <v>-</v>
      </c>
      <c r="U473" s="8" t="str">
        <f>IF($F473&lt;=$C$16*12,SUM(T$5:T473),"-")</f>
        <v>-</v>
      </c>
      <c r="V473" s="8" t="str">
        <f>IF($F473&lt;=$C$16*12,G473-$C$10-'RE Calculations'!$C660-'Mortgage Calculators (By Month)'!$F491,"-")</f>
        <v>-</v>
      </c>
      <c r="W473" s="29" t="str">
        <f t="shared" si="202"/>
        <v>-</v>
      </c>
      <c r="X473" s="31" t="str">
        <f t="shared" si="203"/>
        <v>-</v>
      </c>
      <c r="Y473" s="8" t="str">
        <f t="shared" si="204"/>
        <v>-</v>
      </c>
      <c r="Z473" s="29" t="str">
        <f t="shared" si="205"/>
        <v>-</v>
      </c>
      <c r="AA473" s="31" t="str">
        <f t="shared" si="206"/>
        <v>-</v>
      </c>
      <c r="AD473" s="12" t="str">
        <f t="shared" si="220"/>
        <v>-</v>
      </c>
      <c r="AE473" s="8" t="str">
        <f t="shared" si="221"/>
        <v>-</v>
      </c>
      <c r="AF473" s="8" t="str">
        <f>IF($AD473&lt;=$C$25*12,$AE473-$C$7+SUM('Mortgage Calculators (By Month)'!$K$23:$K491),"-")</f>
        <v>-</v>
      </c>
      <c r="AG473" s="8" t="str">
        <f t="shared" si="207"/>
        <v>-</v>
      </c>
      <c r="AH473" s="8" t="str">
        <f>IF($AD473&lt;=$C$25*12,SUM(Inputs!$C$61:$C$78)*'Forecast (By Month)'!AG473,"-")</f>
        <v>-</v>
      </c>
      <c r="AI473" s="8" t="str">
        <f>IF($AD473&lt;=$C$25*12,(SUMIF(Inputs!$C$61:$C$78,0,Inputs!$F$61:$F$78)/12)*(1+$C$34)^ROUNDDOWN((AD473-1)/12,0),"-")</f>
        <v>-</v>
      </c>
      <c r="AJ473" s="8" t="str">
        <f t="shared" si="208"/>
        <v>-</v>
      </c>
      <c r="AK473" s="8" t="str">
        <f>IF($AD473&lt;=$C$25*12,'Mortgage Calculators (By Month)'!$J491,"-")</f>
        <v>-</v>
      </c>
      <c r="AL473" s="8" t="str">
        <f>IF($AD473&lt;=$C$25*12,'Mortgage Calculators (By Month)'!$K491,"-")</f>
        <v>-</v>
      </c>
      <c r="AM473" s="8" t="str">
        <f>IF($AD473&lt;=$C$25*12,'Mortgage Calculators (By Month)'!$L491,"-")</f>
        <v>-</v>
      </c>
      <c r="AN473" s="8" t="str">
        <f t="shared" si="223"/>
        <v>-</v>
      </c>
      <c r="AO473" s="8" t="str">
        <f t="shared" si="209"/>
        <v>-</v>
      </c>
      <c r="AP473" s="8" t="str">
        <f t="shared" si="210"/>
        <v>-</v>
      </c>
      <c r="AQ473" s="8" t="str">
        <f t="shared" si="211"/>
        <v>-</v>
      </c>
      <c r="AR473" s="8" t="str">
        <f t="shared" si="212"/>
        <v>-</v>
      </c>
      <c r="AS473" s="8" t="str">
        <f>IF($AD473&lt;=$C$25*12,SUM(AR$5:AR473),"-")</f>
        <v>-</v>
      </c>
      <c r="AT473" s="8" t="str">
        <f>IF($AD473&lt;=$C$25*12,AE473-$C$10-'RE Calculations'!$C660-'Mortgage Calculators (By Month)'!$M491,"-")</f>
        <v>-</v>
      </c>
      <c r="AU473" s="29" t="str">
        <f t="shared" si="213"/>
        <v>-</v>
      </c>
      <c r="AV473" s="31" t="str">
        <f t="shared" si="214"/>
        <v>-</v>
      </c>
      <c r="AW473" s="8" t="str">
        <f t="shared" si="215"/>
        <v>-</v>
      </c>
      <c r="AX473" s="29" t="str">
        <f t="shared" si="216"/>
        <v>-</v>
      </c>
      <c r="AY473" s="31" t="str">
        <f t="shared" si="217"/>
        <v>-</v>
      </c>
    </row>
    <row r="474" spans="6:51" x14ac:dyDescent="0.35">
      <c r="F474" s="12" t="str">
        <f t="shared" si="218"/>
        <v>-</v>
      </c>
      <c r="G474" s="8" t="str">
        <f t="shared" si="219"/>
        <v>-</v>
      </c>
      <c r="H474" s="8" t="str">
        <f>IF($F474&lt;=$C$16*12,$G474-$C$7+SUM('Mortgage Calculators (By Month)'!$D$23:$D492),"-")</f>
        <v>-</v>
      </c>
      <c r="I474" s="8" t="str">
        <f t="shared" si="196"/>
        <v>-</v>
      </c>
      <c r="J474" s="8" t="str">
        <f>IF($F474&lt;=$C$16*12,SUM(Inputs!$C$61:$C$78)*'Forecast (By Month)'!I474,"-")</f>
        <v>-</v>
      </c>
      <c r="K474" s="8" t="str">
        <f>IF($F474&lt;=$C$16*12,(SUMIF(Inputs!$C$61:$C$78,0,Inputs!$F$61:$F$78)/12)*(1+$C$34)^ROUNDDOWN((F474-1)/12,0),"-")</f>
        <v>-</v>
      </c>
      <c r="L474" s="8" t="str">
        <f t="shared" si="197"/>
        <v>-</v>
      </c>
      <c r="M474" s="8" t="str">
        <f>IF($F474&lt;=$C$16*12,'Mortgage Calculators (By Month)'!$C492,"-")</f>
        <v>-</v>
      </c>
      <c r="N474" s="8" t="str">
        <f>IF($F474&lt;=$C$16*12,'Mortgage Calculators (By Month)'!$D492,"-")</f>
        <v>-</v>
      </c>
      <c r="O474" s="8" t="str">
        <f>IF($F474&lt;=$C$16*12,'Mortgage Calculators (By Month)'!$E492,"-")</f>
        <v>-</v>
      </c>
      <c r="P474" s="8" t="str">
        <f t="shared" si="222"/>
        <v>-</v>
      </c>
      <c r="Q474" s="8" t="str">
        <f t="shared" si="198"/>
        <v>-</v>
      </c>
      <c r="R474" s="8" t="str">
        <f t="shared" si="199"/>
        <v>-</v>
      </c>
      <c r="S474" s="8" t="str">
        <f t="shared" si="200"/>
        <v>-</v>
      </c>
      <c r="T474" s="8" t="str">
        <f t="shared" si="201"/>
        <v>-</v>
      </c>
      <c r="U474" s="8" t="str">
        <f>IF($F474&lt;=$C$16*12,SUM(T$5:T474),"-")</f>
        <v>-</v>
      </c>
      <c r="V474" s="8" t="str">
        <f>IF($F474&lt;=$C$16*12,G474-$C$10-'RE Calculations'!$C661-'Mortgage Calculators (By Month)'!$F492,"-")</f>
        <v>-</v>
      </c>
      <c r="W474" s="29" t="str">
        <f t="shared" si="202"/>
        <v>-</v>
      </c>
      <c r="X474" s="31" t="str">
        <f t="shared" si="203"/>
        <v>-</v>
      </c>
      <c r="Y474" s="8" t="str">
        <f t="shared" si="204"/>
        <v>-</v>
      </c>
      <c r="Z474" s="29" t="str">
        <f t="shared" si="205"/>
        <v>-</v>
      </c>
      <c r="AA474" s="31" t="str">
        <f t="shared" si="206"/>
        <v>-</v>
      </c>
      <c r="AD474" s="12" t="str">
        <f t="shared" si="220"/>
        <v>-</v>
      </c>
      <c r="AE474" s="8" t="str">
        <f t="shared" si="221"/>
        <v>-</v>
      </c>
      <c r="AF474" s="8" t="str">
        <f>IF($AD474&lt;=$C$25*12,$AE474-$C$7+SUM('Mortgage Calculators (By Month)'!$K$23:$K492),"-")</f>
        <v>-</v>
      </c>
      <c r="AG474" s="8" t="str">
        <f t="shared" si="207"/>
        <v>-</v>
      </c>
      <c r="AH474" s="8" t="str">
        <f>IF($AD474&lt;=$C$25*12,SUM(Inputs!$C$61:$C$78)*'Forecast (By Month)'!AG474,"-")</f>
        <v>-</v>
      </c>
      <c r="AI474" s="8" t="str">
        <f>IF($AD474&lt;=$C$25*12,(SUMIF(Inputs!$C$61:$C$78,0,Inputs!$F$61:$F$78)/12)*(1+$C$34)^ROUNDDOWN((AD474-1)/12,0),"-")</f>
        <v>-</v>
      </c>
      <c r="AJ474" s="8" t="str">
        <f t="shared" si="208"/>
        <v>-</v>
      </c>
      <c r="AK474" s="8" t="str">
        <f>IF($AD474&lt;=$C$25*12,'Mortgage Calculators (By Month)'!$J492,"-")</f>
        <v>-</v>
      </c>
      <c r="AL474" s="8" t="str">
        <f>IF($AD474&lt;=$C$25*12,'Mortgage Calculators (By Month)'!$K492,"-")</f>
        <v>-</v>
      </c>
      <c r="AM474" s="8" t="str">
        <f>IF($AD474&lt;=$C$25*12,'Mortgage Calculators (By Month)'!$L492,"-")</f>
        <v>-</v>
      </c>
      <c r="AN474" s="8" t="str">
        <f t="shared" si="223"/>
        <v>-</v>
      </c>
      <c r="AO474" s="8" t="str">
        <f t="shared" si="209"/>
        <v>-</v>
      </c>
      <c r="AP474" s="8" t="str">
        <f t="shared" si="210"/>
        <v>-</v>
      </c>
      <c r="AQ474" s="8" t="str">
        <f t="shared" si="211"/>
        <v>-</v>
      </c>
      <c r="AR474" s="8" t="str">
        <f t="shared" si="212"/>
        <v>-</v>
      </c>
      <c r="AS474" s="8" t="str">
        <f>IF($AD474&lt;=$C$25*12,SUM(AR$5:AR474),"-")</f>
        <v>-</v>
      </c>
      <c r="AT474" s="8" t="str">
        <f>IF($AD474&lt;=$C$25*12,AE474-$C$10-'RE Calculations'!$C661-'Mortgage Calculators (By Month)'!$M492,"-")</f>
        <v>-</v>
      </c>
      <c r="AU474" s="29" t="str">
        <f t="shared" si="213"/>
        <v>-</v>
      </c>
      <c r="AV474" s="31" t="str">
        <f t="shared" si="214"/>
        <v>-</v>
      </c>
      <c r="AW474" s="8" t="str">
        <f t="shared" si="215"/>
        <v>-</v>
      </c>
      <c r="AX474" s="29" t="str">
        <f t="shared" si="216"/>
        <v>-</v>
      </c>
      <c r="AY474" s="31" t="str">
        <f t="shared" si="217"/>
        <v>-</v>
      </c>
    </row>
    <row r="475" spans="6:51" x14ac:dyDescent="0.35">
      <c r="F475" s="12" t="str">
        <f t="shared" si="218"/>
        <v>-</v>
      </c>
      <c r="G475" s="8" t="str">
        <f t="shared" si="219"/>
        <v>-</v>
      </c>
      <c r="H475" s="8" t="str">
        <f>IF($F475&lt;=$C$16*12,$G475-$C$7+SUM('Mortgage Calculators (By Month)'!$D$23:$D493),"-")</f>
        <v>-</v>
      </c>
      <c r="I475" s="8" t="str">
        <f t="shared" si="196"/>
        <v>-</v>
      </c>
      <c r="J475" s="8" t="str">
        <f>IF($F475&lt;=$C$16*12,SUM(Inputs!$C$61:$C$78)*'Forecast (By Month)'!I475,"-")</f>
        <v>-</v>
      </c>
      <c r="K475" s="8" t="str">
        <f>IF($F475&lt;=$C$16*12,(SUMIF(Inputs!$C$61:$C$78,0,Inputs!$F$61:$F$78)/12)*(1+$C$34)^ROUNDDOWN((F475-1)/12,0),"-")</f>
        <v>-</v>
      </c>
      <c r="L475" s="8" t="str">
        <f t="shared" si="197"/>
        <v>-</v>
      </c>
      <c r="M475" s="8" t="str">
        <f>IF($F475&lt;=$C$16*12,'Mortgage Calculators (By Month)'!$C493,"-")</f>
        <v>-</v>
      </c>
      <c r="N475" s="8" t="str">
        <f>IF($F475&lt;=$C$16*12,'Mortgage Calculators (By Month)'!$D493,"-")</f>
        <v>-</v>
      </c>
      <c r="O475" s="8" t="str">
        <f>IF($F475&lt;=$C$16*12,'Mortgage Calculators (By Month)'!$E493,"-")</f>
        <v>-</v>
      </c>
      <c r="P475" s="8" t="str">
        <f t="shared" si="222"/>
        <v>-</v>
      </c>
      <c r="Q475" s="8" t="str">
        <f t="shared" si="198"/>
        <v>-</v>
      </c>
      <c r="R475" s="8" t="str">
        <f t="shared" si="199"/>
        <v>-</v>
      </c>
      <c r="S475" s="8" t="str">
        <f t="shared" si="200"/>
        <v>-</v>
      </c>
      <c r="T475" s="8" t="str">
        <f t="shared" si="201"/>
        <v>-</v>
      </c>
      <c r="U475" s="8" t="str">
        <f>IF($F475&lt;=$C$16*12,SUM(T$5:T475),"-")</f>
        <v>-</v>
      </c>
      <c r="V475" s="8" t="str">
        <f>IF($F475&lt;=$C$16*12,G475-$C$10-'RE Calculations'!$C662-'Mortgage Calculators (By Month)'!$F493,"-")</f>
        <v>-</v>
      </c>
      <c r="W475" s="29" t="str">
        <f t="shared" si="202"/>
        <v>-</v>
      </c>
      <c r="X475" s="31" t="str">
        <f t="shared" si="203"/>
        <v>-</v>
      </c>
      <c r="Y475" s="8" t="str">
        <f t="shared" si="204"/>
        <v>-</v>
      </c>
      <c r="Z475" s="29" t="str">
        <f t="shared" si="205"/>
        <v>-</v>
      </c>
      <c r="AA475" s="31" t="str">
        <f t="shared" si="206"/>
        <v>-</v>
      </c>
      <c r="AD475" s="12" t="str">
        <f t="shared" si="220"/>
        <v>-</v>
      </c>
      <c r="AE475" s="8" t="str">
        <f t="shared" si="221"/>
        <v>-</v>
      </c>
      <c r="AF475" s="8" t="str">
        <f>IF($AD475&lt;=$C$25*12,$AE475-$C$7+SUM('Mortgage Calculators (By Month)'!$K$23:$K493),"-")</f>
        <v>-</v>
      </c>
      <c r="AG475" s="8" t="str">
        <f t="shared" si="207"/>
        <v>-</v>
      </c>
      <c r="AH475" s="8" t="str">
        <f>IF($AD475&lt;=$C$25*12,SUM(Inputs!$C$61:$C$78)*'Forecast (By Month)'!AG475,"-")</f>
        <v>-</v>
      </c>
      <c r="AI475" s="8" t="str">
        <f>IF($AD475&lt;=$C$25*12,(SUMIF(Inputs!$C$61:$C$78,0,Inputs!$F$61:$F$78)/12)*(1+$C$34)^ROUNDDOWN((AD475-1)/12,0),"-")</f>
        <v>-</v>
      </c>
      <c r="AJ475" s="8" t="str">
        <f t="shared" si="208"/>
        <v>-</v>
      </c>
      <c r="AK475" s="8" t="str">
        <f>IF($AD475&lt;=$C$25*12,'Mortgage Calculators (By Month)'!$J493,"-")</f>
        <v>-</v>
      </c>
      <c r="AL475" s="8" t="str">
        <f>IF($AD475&lt;=$C$25*12,'Mortgage Calculators (By Month)'!$K493,"-")</f>
        <v>-</v>
      </c>
      <c r="AM475" s="8" t="str">
        <f>IF($AD475&lt;=$C$25*12,'Mortgage Calculators (By Month)'!$L493,"-")</f>
        <v>-</v>
      </c>
      <c r="AN475" s="8" t="str">
        <f t="shared" si="223"/>
        <v>-</v>
      </c>
      <c r="AO475" s="8" t="str">
        <f t="shared" si="209"/>
        <v>-</v>
      </c>
      <c r="AP475" s="8" t="str">
        <f t="shared" si="210"/>
        <v>-</v>
      </c>
      <c r="AQ475" s="8" t="str">
        <f t="shared" si="211"/>
        <v>-</v>
      </c>
      <c r="AR475" s="8" t="str">
        <f t="shared" si="212"/>
        <v>-</v>
      </c>
      <c r="AS475" s="8" t="str">
        <f>IF($AD475&lt;=$C$25*12,SUM(AR$5:AR475),"-")</f>
        <v>-</v>
      </c>
      <c r="AT475" s="8" t="str">
        <f>IF($AD475&lt;=$C$25*12,AE475-$C$10-'RE Calculations'!$C662-'Mortgage Calculators (By Month)'!$M493,"-")</f>
        <v>-</v>
      </c>
      <c r="AU475" s="29" t="str">
        <f t="shared" si="213"/>
        <v>-</v>
      </c>
      <c r="AV475" s="31" t="str">
        <f t="shared" si="214"/>
        <v>-</v>
      </c>
      <c r="AW475" s="8" t="str">
        <f t="shared" si="215"/>
        <v>-</v>
      </c>
      <c r="AX475" s="29" t="str">
        <f t="shared" si="216"/>
        <v>-</v>
      </c>
      <c r="AY475" s="31" t="str">
        <f t="shared" si="217"/>
        <v>-</v>
      </c>
    </row>
    <row r="476" spans="6:51" x14ac:dyDescent="0.35">
      <c r="F476" s="12" t="str">
        <f t="shared" si="218"/>
        <v>-</v>
      </c>
      <c r="G476" s="8" t="str">
        <f t="shared" si="219"/>
        <v>-</v>
      </c>
      <c r="H476" s="8" t="str">
        <f>IF($F476&lt;=$C$16*12,$G476-$C$7+SUM('Mortgage Calculators (By Month)'!$D$23:$D494),"-")</f>
        <v>-</v>
      </c>
      <c r="I476" s="8" t="str">
        <f t="shared" si="196"/>
        <v>-</v>
      </c>
      <c r="J476" s="8" t="str">
        <f>IF($F476&lt;=$C$16*12,SUM(Inputs!$C$61:$C$78)*'Forecast (By Month)'!I476,"-")</f>
        <v>-</v>
      </c>
      <c r="K476" s="8" t="str">
        <f>IF($F476&lt;=$C$16*12,(SUMIF(Inputs!$C$61:$C$78,0,Inputs!$F$61:$F$78)/12)*(1+$C$34)^ROUNDDOWN((F476-1)/12,0),"-")</f>
        <v>-</v>
      </c>
      <c r="L476" s="8" t="str">
        <f t="shared" si="197"/>
        <v>-</v>
      </c>
      <c r="M476" s="8" t="str">
        <f>IF($F476&lt;=$C$16*12,'Mortgage Calculators (By Month)'!$C494,"-")</f>
        <v>-</v>
      </c>
      <c r="N476" s="8" t="str">
        <f>IF($F476&lt;=$C$16*12,'Mortgage Calculators (By Month)'!$D494,"-")</f>
        <v>-</v>
      </c>
      <c r="O476" s="8" t="str">
        <f>IF($F476&lt;=$C$16*12,'Mortgage Calculators (By Month)'!$E494,"-")</f>
        <v>-</v>
      </c>
      <c r="P476" s="8" t="str">
        <f t="shared" si="222"/>
        <v>-</v>
      </c>
      <c r="Q476" s="8" t="str">
        <f t="shared" si="198"/>
        <v>-</v>
      </c>
      <c r="R476" s="8" t="str">
        <f t="shared" si="199"/>
        <v>-</v>
      </c>
      <c r="S476" s="8" t="str">
        <f t="shared" si="200"/>
        <v>-</v>
      </c>
      <c r="T476" s="8" t="str">
        <f t="shared" si="201"/>
        <v>-</v>
      </c>
      <c r="U476" s="8" t="str">
        <f>IF($F476&lt;=$C$16*12,SUM(T$5:T476),"-")</f>
        <v>-</v>
      </c>
      <c r="V476" s="8" t="str">
        <f>IF($F476&lt;=$C$16*12,G476-$C$10-'RE Calculations'!$C663-'Mortgage Calculators (By Month)'!$F494,"-")</f>
        <v>-</v>
      </c>
      <c r="W476" s="29" t="str">
        <f t="shared" si="202"/>
        <v>-</v>
      </c>
      <c r="X476" s="31" t="str">
        <f t="shared" si="203"/>
        <v>-</v>
      </c>
      <c r="Y476" s="8" t="str">
        <f t="shared" si="204"/>
        <v>-</v>
      </c>
      <c r="Z476" s="29" t="str">
        <f t="shared" si="205"/>
        <v>-</v>
      </c>
      <c r="AA476" s="31" t="str">
        <f t="shared" si="206"/>
        <v>-</v>
      </c>
      <c r="AD476" s="12" t="str">
        <f t="shared" si="220"/>
        <v>-</v>
      </c>
      <c r="AE476" s="8" t="str">
        <f t="shared" si="221"/>
        <v>-</v>
      </c>
      <c r="AF476" s="8" t="str">
        <f>IF($AD476&lt;=$C$25*12,$AE476-$C$7+SUM('Mortgage Calculators (By Month)'!$K$23:$K494),"-")</f>
        <v>-</v>
      </c>
      <c r="AG476" s="8" t="str">
        <f t="shared" si="207"/>
        <v>-</v>
      </c>
      <c r="AH476" s="8" t="str">
        <f>IF($AD476&lt;=$C$25*12,SUM(Inputs!$C$61:$C$78)*'Forecast (By Month)'!AG476,"-")</f>
        <v>-</v>
      </c>
      <c r="AI476" s="8" t="str">
        <f>IF($AD476&lt;=$C$25*12,(SUMIF(Inputs!$C$61:$C$78,0,Inputs!$F$61:$F$78)/12)*(1+$C$34)^ROUNDDOWN((AD476-1)/12,0),"-")</f>
        <v>-</v>
      </c>
      <c r="AJ476" s="8" t="str">
        <f t="shared" si="208"/>
        <v>-</v>
      </c>
      <c r="AK476" s="8" t="str">
        <f>IF($AD476&lt;=$C$25*12,'Mortgage Calculators (By Month)'!$J494,"-")</f>
        <v>-</v>
      </c>
      <c r="AL476" s="8" t="str">
        <f>IF($AD476&lt;=$C$25*12,'Mortgage Calculators (By Month)'!$K494,"-")</f>
        <v>-</v>
      </c>
      <c r="AM476" s="8" t="str">
        <f>IF($AD476&lt;=$C$25*12,'Mortgage Calculators (By Month)'!$L494,"-")</f>
        <v>-</v>
      </c>
      <c r="AN476" s="8" t="str">
        <f t="shared" si="223"/>
        <v>-</v>
      </c>
      <c r="AO476" s="8" t="str">
        <f t="shared" si="209"/>
        <v>-</v>
      </c>
      <c r="AP476" s="8" t="str">
        <f t="shared" si="210"/>
        <v>-</v>
      </c>
      <c r="AQ476" s="8" t="str">
        <f t="shared" si="211"/>
        <v>-</v>
      </c>
      <c r="AR476" s="8" t="str">
        <f t="shared" si="212"/>
        <v>-</v>
      </c>
      <c r="AS476" s="8" t="str">
        <f>IF($AD476&lt;=$C$25*12,SUM(AR$5:AR476),"-")</f>
        <v>-</v>
      </c>
      <c r="AT476" s="8" t="str">
        <f>IF($AD476&lt;=$C$25*12,AE476-$C$10-'RE Calculations'!$C663-'Mortgage Calculators (By Month)'!$M494,"-")</f>
        <v>-</v>
      </c>
      <c r="AU476" s="29" t="str">
        <f t="shared" si="213"/>
        <v>-</v>
      </c>
      <c r="AV476" s="31" t="str">
        <f t="shared" si="214"/>
        <v>-</v>
      </c>
      <c r="AW476" s="8" t="str">
        <f t="shared" si="215"/>
        <v>-</v>
      </c>
      <c r="AX476" s="29" t="str">
        <f t="shared" si="216"/>
        <v>-</v>
      </c>
      <c r="AY476" s="31" t="str">
        <f t="shared" si="217"/>
        <v>-</v>
      </c>
    </row>
    <row r="477" spans="6:51" x14ac:dyDescent="0.35">
      <c r="F477" s="12" t="str">
        <f t="shared" si="218"/>
        <v>-</v>
      </c>
      <c r="G477" s="8" t="str">
        <f t="shared" si="219"/>
        <v>-</v>
      </c>
      <c r="H477" s="8" t="str">
        <f>IF($F477&lt;=$C$16*12,$G477-$C$7+SUM('Mortgage Calculators (By Month)'!$D$23:$D495),"-")</f>
        <v>-</v>
      </c>
      <c r="I477" s="8" t="str">
        <f t="shared" si="196"/>
        <v>-</v>
      </c>
      <c r="J477" s="8" t="str">
        <f>IF($F477&lt;=$C$16*12,SUM(Inputs!$C$61:$C$78)*'Forecast (By Month)'!I477,"-")</f>
        <v>-</v>
      </c>
      <c r="K477" s="8" t="str">
        <f>IF($F477&lt;=$C$16*12,(SUMIF(Inputs!$C$61:$C$78,0,Inputs!$F$61:$F$78)/12)*(1+$C$34)^ROUNDDOWN((F477-1)/12,0),"-")</f>
        <v>-</v>
      </c>
      <c r="L477" s="8" t="str">
        <f t="shared" si="197"/>
        <v>-</v>
      </c>
      <c r="M477" s="8" t="str">
        <f>IF($F477&lt;=$C$16*12,'Mortgage Calculators (By Month)'!$C495,"-")</f>
        <v>-</v>
      </c>
      <c r="N477" s="8" t="str">
        <f>IF($F477&lt;=$C$16*12,'Mortgage Calculators (By Month)'!$D495,"-")</f>
        <v>-</v>
      </c>
      <c r="O477" s="8" t="str">
        <f>IF($F477&lt;=$C$16*12,'Mortgage Calculators (By Month)'!$E495,"-")</f>
        <v>-</v>
      </c>
      <c r="P477" s="8" t="str">
        <f t="shared" si="222"/>
        <v>-</v>
      </c>
      <c r="Q477" s="8" t="str">
        <f t="shared" si="198"/>
        <v>-</v>
      </c>
      <c r="R477" s="8" t="str">
        <f t="shared" si="199"/>
        <v>-</v>
      </c>
      <c r="S477" s="8" t="str">
        <f t="shared" si="200"/>
        <v>-</v>
      </c>
      <c r="T477" s="8" t="str">
        <f t="shared" si="201"/>
        <v>-</v>
      </c>
      <c r="U477" s="8" t="str">
        <f>IF($F477&lt;=$C$16*12,SUM(T$5:T477),"-")</f>
        <v>-</v>
      </c>
      <c r="V477" s="8" t="str">
        <f>IF($F477&lt;=$C$16*12,G477-$C$10-'RE Calculations'!$C664-'Mortgage Calculators (By Month)'!$F495,"-")</f>
        <v>-</v>
      </c>
      <c r="W477" s="29" t="str">
        <f t="shared" si="202"/>
        <v>-</v>
      </c>
      <c r="X477" s="31" t="str">
        <f t="shared" si="203"/>
        <v>-</v>
      </c>
      <c r="Y477" s="8" t="str">
        <f t="shared" si="204"/>
        <v>-</v>
      </c>
      <c r="Z477" s="29" t="str">
        <f t="shared" si="205"/>
        <v>-</v>
      </c>
      <c r="AA477" s="31" t="str">
        <f t="shared" si="206"/>
        <v>-</v>
      </c>
      <c r="AD477" s="12" t="str">
        <f t="shared" si="220"/>
        <v>-</v>
      </c>
      <c r="AE477" s="8" t="str">
        <f t="shared" si="221"/>
        <v>-</v>
      </c>
      <c r="AF477" s="8" t="str">
        <f>IF($AD477&lt;=$C$25*12,$AE477-$C$7+SUM('Mortgage Calculators (By Month)'!$K$23:$K495),"-")</f>
        <v>-</v>
      </c>
      <c r="AG477" s="8" t="str">
        <f t="shared" si="207"/>
        <v>-</v>
      </c>
      <c r="AH477" s="8" t="str">
        <f>IF($AD477&lt;=$C$25*12,SUM(Inputs!$C$61:$C$78)*'Forecast (By Month)'!AG477,"-")</f>
        <v>-</v>
      </c>
      <c r="AI477" s="8" t="str">
        <f>IF($AD477&lt;=$C$25*12,(SUMIF(Inputs!$C$61:$C$78,0,Inputs!$F$61:$F$78)/12)*(1+$C$34)^ROUNDDOWN((AD477-1)/12,0),"-")</f>
        <v>-</v>
      </c>
      <c r="AJ477" s="8" t="str">
        <f t="shared" si="208"/>
        <v>-</v>
      </c>
      <c r="AK477" s="8" t="str">
        <f>IF($AD477&lt;=$C$25*12,'Mortgage Calculators (By Month)'!$J495,"-")</f>
        <v>-</v>
      </c>
      <c r="AL477" s="8" t="str">
        <f>IF($AD477&lt;=$C$25*12,'Mortgage Calculators (By Month)'!$K495,"-")</f>
        <v>-</v>
      </c>
      <c r="AM477" s="8" t="str">
        <f>IF($AD477&lt;=$C$25*12,'Mortgage Calculators (By Month)'!$L495,"-")</f>
        <v>-</v>
      </c>
      <c r="AN477" s="8" t="str">
        <f t="shared" si="223"/>
        <v>-</v>
      </c>
      <c r="AO477" s="8" t="str">
        <f t="shared" si="209"/>
        <v>-</v>
      </c>
      <c r="AP477" s="8" t="str">
        <f t="shared" si="210"/>
        <v>-</v>
      </c>
      <c r="AQ477" s="8" t="str">
        <f t="shared" si="211"/>
        <v>-</v>
      </c>
      <c r="AR477" s="8" t="str">
        <f t="shared" si="212"/>
        <v>-</v>
      </c>
      <c r="AS477" s="8" t="str">
        <f>IF($AD477&lt;=$C$25*12,SUM(AR$5:AR477),"-")</f>
        <v>-</v>
      </c>
      <c r="AT477" s="8" t="str">
        <f>IF($AD477&lt;=$C$25*12,AE477-$C$10-'RE Calculations'!$C664-'Mortgage Calculators (By Month)'!$M495,"-")</f>
        <v>-</v>
      </c>
      <c r="AU477" s="29" t="str">
        <f t="shared" si="213"/>
        <v>-</v>
      </c>
      <c r="AV477" s="31" t="str">
        <f t="shared" si="214"/>
        <v>-</v>
      </c>
      <c r="AW477" s="8" t="str">
        <f t="shared" si="215"/>
        <v>-</v>
      </c>
      <c r="AX477" s="29" t="str">
        <f t="shared" si="216"/>
        <v>-</v>
      </c>
      <c r="AY477" s="31" t="str">
        <f t="shared" si="217"/>
        <v>-</v>
      </c>
    </row>
    <row r="478" spans="6:51" x14ac:dyDescent="0.35">
      <c r="F478" s="12" t="str">
        <f t="shared" si="218"/>
        <v>-</v>
      </c>
      <c r="G478" s="8" t="str">
        <f t="shared" si="219"/>
        <v>-</v>
      </c>
      <c r="H478" s="8" t="str">
        <f>IF($F478&lt;=$C$16*12,$G478-$C$7+SUM('Mortgage Calculators (By Month)'!$D$23:$D496),"-")</f>
        <v>-</v>
      </c>
      <c r="I478" s="8" t="str">
        <f t="shared" si="196"/>
        <v>-</v>
      </c>
      <c r="J478" s="8" t="str">
        <f>IF($F478&lt;=$C$16*12,SUM(Inputs!$C$61:$C$78)*'Forecast (By Month)'!I478,"-")</f>
        <v>-</v>
      </c>
      <c r="K478" s="8" t="str">
        <f>IF($F478&lt;=$C$16*12,(SUMIF(Inputs!$C$61:$C$78,0,Inputs!$F$61:$F$78)/12)*(1+$C$34)^ROUNDDOWN((F478-1)/12,0),"-")</f>
        <v>-</v>
      </c>
      <c r="L478" s="8" t="str">
        <f t="shared" si="197"/>
        <v>-</v>
      </c>
      <c r="M478" s="8" t="str">
        <f>IF($F478&lt;=$C$16*12,'Mortgage Calculators (By Month)'!$C496,"-")</f>
        <v>-</v>
      </c>
      <c r="N478" s="8" t="str">
        <f>IF($F478&lt;=$C$16*12,'Mortgage Calculators (By Month)'!$D496,"-")</f>
        <v>-</v>
      </c>
      <c r="O478" s="8" t="str">
        <f>IF($F478&lt;=$C$16*12,'Mortgage Calculators (By Month)'!$E496,"-")</f>
        <v>-</v>
      </c>
      <c r="P478" s="8" t="str">
        <f t="shared" si="222"/>
        <v>-</v>
      </c>
      <c r="Q478" s="8" t="str">
        <f t="shared" si="198"/>
        <v>-</v>
      </c>
      <c r="R478" s="8" t="str">
        <f t="shared" si="199"/>
        <v>-</v>
      </c>
      <c r="S478" s="8" t="str">
        <f t="shared" si="200"/>
        <v>-</v>
      </c>
      <c r="T478" s="8" t="str">
        <f t="shared" si="201"/>
        <v>-</v>
      </c>
      <c r="U478" s="8" t="str">
        <f>IF($F478&lt;=$C$16*12,SUM(T$5:T478),"-")</f>
        <v>-</v>
      </c>
      <c r="V478" s="8" t="str">
        <f>IF($F478&lt;=$C$16*12,G478-$C$10-'RE Calculations'!$C665-'Mortgage Calculators (By Month)'!$F496,"-")</f>
        <v>-</v>
      </c>
      <c r="W478" s="29" t="str">
        <f t="shared" si="202"/>
        <v>-</v>
      </c>
      <c r="X478" s="31" t="str">
        <f t="shared" si="203"/>
        <v>-</v>
      </c>
      <c r="Y478" s="8" t="str">
        <f t="shared" si="204"/>
        <v>-</v>
      </c>
      <c r="Z478" s="29" t="str">
        <f t="shared" si="205"/>
        <v>-</v>
      </c>
      <c r="AA478" s="31" t="str">
        <f t="shared" si="206"/>
        <v>-</v>
      </c>
      <c r="AD478" s="12" t="str">
        <f t="shared" si="220"/>
        <v>-</v>
      </c>
      <c r="AE478" s="8" t="str">
        <f t="shared" si="221"/>
        <v>-</v>
      </c>
      <c r="AF478" s="8" t="str">
        <f>IF($AD478&lt;=$C$25*12,$AE478-$C$7+SUM('Mortgage Calculators (By Month)'!$K$23:$K496),"-")</f>
        <v>-</v>
      </c>
      <c r="AG478" s="8" t="str">
        <f t="shared" si="207"/>
        <v>-</v>
      </c>
      <c r="AH478" s="8" t="str">
        <f>IF($AD478&lt;=$C$25*12,SUM(Inputs!$C$61:$C$78)*'Forecast (By Month)'!AG478,"-")</f>
        <v>-</v>
      </c>
      <c r="AI478" s="8" t="str">
        <f>IF($AD478&lt;=$C$25*12,(SUMIF(Inputs!$C$61:$C$78,0,Inputs!$F$61:$F$78)/12)*(1+$C$34)^ROUNDDOWN((AD478-1)/12,0),"-")</f>
        <v>-</v>
      </c>
      <c r="AJ478" s="8" t="str">
        <f t="shared" si="208"/>
        <v>-</v>
      </c>
      <c r="AK478" s="8" t="str">
        <f>IF($AD478&lt;=$C$25*12,'Mortgage Calculators (By Month)'!$J496,"-")</f>
        <v>-</v>
      </c>
      <c r="AL478" s="8" t="str">
        <f>IF($AD478&lt;=$C$25*12,'Mortgage Calculators (By Month)'!$K496,"-")</f>
        <v>-</v>
      </c>
      <c r="AM478" s="8" t="str">
        <f>IF($AD478&lt;=$C$25*12,'Mortgage Calculators (By Month)'!$L496,"-")</f>
        <v>-</v>
      </c>
      <c r="AN478" s="8" t="str">
        <f t="shared" si="223"/>
        <v>-</v>
      </c>
      <c r="AO478" s="8" t="str">
        <f t="shared" si="209"/>
        <v>-</v>
      </c>
      <c r="AP478" s="8" t="str">
        <f t="shared" si="210"/>
        <v>-</v>
      </c>
      <c r="AQ478" s="8" t="str">
        <f t="shared" si="211"/>
        <v>-</v>
      </c>
      <c r="AR478" s="8" t="str">
        <f t="shared" si="212"/>
        <v>-</v>
      </c>
      <c r="AS478" s="8" t="str">
        <f>IF($AD478&lt;=$C$25*12,SUM(AR$5:AR478),"-")</f>
        <v>-</v>
      </c>
      <c r="AT478" s="8" t="str">
        <f>IF($AD478&lt;=$C$25*12,AE478-$C$10-'RE Calculations'!$C665-'Mortgage Calculators (By Month)'!$M496,"-")</f>
        <v>-</v>
      </c>
      <c r="AU478" s="29" t="str">
        <f t="shared" si="213"/>
        <v>-</v>
      </c>
      <c r="AV478" s="31" t="str">
        <f t="shared" si="214"/>
        <v>-</v>
      </c>
      <c r="AW478" s="8" t="str">
        <f t="shared" si="215"/>
        <v>-</v>
      </c>
      <c r="AX478" s="29" t="str">
        <f t="shared" si="216"/>
        <v>-</v>
      </c>
      <c r="AY478" s="31" t="str">
        <f t="shared" si="217"/>
        <v>-</v>
      </c>
    </row>
    <row r="479" spans="6:51" x14ac:dyDescent="0.35">
      <c r="F479" s="12" t="str">
        <f t="shared" si="218"/>
        <v>-</v>
      </c>
      <c r="G479" s="8" t="str">
        <f t="shared" si="219"/>
        <v>-</v>
      </c>
      <c r="H479" s="8" t="str">
        <f>IF($F479&lt;=$C$16*12,$G479-$C$7+SUM('Mortgage Calculators (By Month)'!$D$23:$D497),"-")</f>
        <v>-</v>
      </c>
      <c r="I479" s="8" t="str">
        <f t="shared" si="196"/>
        <v>-</v>
      </c>
      <c r="J479" s="8" t="str">
        <f>IF($F479&lt;=$C$16*12,SUM(Inputs!$C$61:$C$78)*'Forecast (By Month)'!I479,"-")</f>
        <v>-</v>
      </c>
      <c r="K479" s="8" t="str">
        <f>IF($F479&lt;=$C$16*12,(SUMIF(Inputs!$C$61:$C$78,0,Inputs!$F$61:$F$78)/12)*(1+$C$34)^ROUNDDOWN((F479-1)/12,0),"-")</f>
        <v>-</v>
      </c>
      <c r="L479" s="8" t="str">
        <f t="shared" si="197"/>
        <v>-</v>
      </c>
      <c r="M479" s="8" t="str">
        <f>IF($F479&lt;=$C$16*12,'Mortgage Calculators (By Month)'!$C497,"-")</f>
        <v>-</v>
      </c>
      <c r="N479" s="8" t="str">
        <f>IF($F479&lt;=$C$16*12,'Mortgage Calculators (By Month)'!$D497,"-")</f>
        <v>-</v>
      </c>
      <c r="O479" s="8" t="str">
        <f>IF($F479&lt;=$C$16*12,'Mortgage Calculators (By Month)'!$E497,"-")</f>
        <v>-</v>
      </c>
      <c r="P479" s="8" t="str">
        <f t="shared" si="222"/>
        <v>-</v>
      </c>
      <c r="Q479" s="8" t="str">
        <f t="shared" si="198"/>
        <v>-</v>
      </c>
      <c r="R479" s="8" t="str">
        <f t="shared" si="199"/>
        <v>-</v>
      </c>
      <c r="S479" s="8" t="str">
        <f t="shared" si="200"/>
        <v>-</v>
      </c>
      <c r="T479" s="8" t="str">
        <f t="shared" si="201"/>
        <v>-</v>
      </c>
      <c r="U479" s="8" t="str">
        <f>IF($F479&lt;=$C$16*12,SUM(T$5:T479),"-")</f>
        <v>-</v>
      </c>
      <c r="V479" s="8" t="str">
        <f>IF($F479&lt;=$C$16*12,G479-$C$10-'RE Calculations'!$C666-'Mortgage Calculators (By Month)'!$F497,"-")</f>
        <v>-</v>
      </c>
      <c r="W479" s="29" t="str">
        <f t="shared" si="202"/>
        <v>-</v>
      </c>
      <c r="X479" s="31" t="str">
        <f t="shared" si="203"/>
        <v>-</v>
      </c>
      <c r="Y479" s="8" t="str">
        <f t="shared" si="204"/>
        <v>-</v>
      </c>
      <c r="Z479" s="29" t="str">
        <f t="shared" si="205"/>
        <v>-</v>
      </c>
      <c r="AA479" s="31" t="str">
        <f t="shared" si="206"/>
        <v>-</v>
      </c>
      <c r="AD479" s="12" t="str">
        <f t="shared" si="220"/>
        <v>-</v>
      </c>
      <c r="AE479" s="8" t="str">
        <f t="shared" si="221"/>
        <v>-</v>
      </c>
      <c r="AF479" s="8" t="str">
        <f>IF($AD479&lt;=$C$25*12,$AE479-$C$7+SUM('Mortgage Calculators (By Month)'!$K$23:$K497),"-")</f>
        <v>-</v>
      </c>
      <c r="AG479" s="8" t="str">
        <f t="shared" si="207"/>
        <v>-</v>
      </c>
      <c r="AH479" s="8" t="str">
        <f>IF($AD479&lt;=$C$25*12,SUM(Inputs!$C$61:$C$78)*'Forecast (By Month)'!AG479,"-")</f>
        <v>-</v>
      </c>
      <c r="AI479" s="8" t="str">
        <f>IF($AD479&lt;=$C$25*12,(SUMIF(Inputs!$C$61:$C$78,0,Inputs!$F$61:$F$78)/12)*(1+$C$34)^ROUNDDOWN((AD479-1)/12,0),"-")</f>
        <v>-</v>
      </c>
      <c r="AJ479" s="8" t="str">
        <f t="shared" si="208"/>
        <v>-</v>
      </c>
      <c r="AK479" s="8" t="str">
        <f>IF($AD479&lt;=$C$25*12,'Mortgage Calculators (By Month)'!$J497,"-")</f>
        <v>-</v>
      </c>
      <c r="AL479" s="8" t="str">
        <f>IF($AD479&lt;=$C$25*12,'Mortgage Calculators (By Month)'!$K497,"-")</f>
        <v>-</v>
      </c>
      <c r="AM479" s="8" t="str">
        <f>IF($AD479&lt;=$C$25*12,'Mortgage Calculators (By Month)'!$L497,"-")</f>
        <v>-</v>
      </c>
      <c r="AN479" s="8" t="str">
        <f t="shared" si="223"/>
        <v>-</v>
      </c>
      <c r="AO479" s="8" t="str">
        <f t="shared" si="209"/>
        <v>-</v>
      </c>
      <c r="AP479" s="8" t="str">
        <f t="shared" si="210"/>
        <v>-</v>
      </c>
      <c r="AQ479" s="8" t="str">
        <f t="shared" si="211"/>
        <v>-</v>
      </c>
      <c r="AR479" s="8" t="str">
        <f t="shared" si="212"/>
        <v>-</v>
      </c>
      <c r="AS479" s="8" t="str">
        <f>IF($AD479&lt;=$C$25*12,SUM(AR$5:AR479),"-")</f>
        <v>-</v>
      </c>
      <c r="AT479" s="8" t="str">
        <f>IF($AD479&lt;=$C$25*12,AE479-$C$10-'RE Calculations'!$C666-'Mortgage Calculators (By Month)'!$M497,"-")</f>
        <v>-</v>
      </c>
      <c r="AU479" s="29" t="str">
        <f t="shared" si="213"/>
        <v>-</v>
      </c>
      <c r="AV479" s="31" t="str">
        <f t="shared" si="214"/>
        <v>-</v>
      </c>
      <c r="AW479" s="8" t="str">
        <f t="shared" si="215"/>
        <v>-</v>
      </c>
      <c r="AX479" s="29" t="str">
        <f t="shared" si="216"/>
        <v>-</v>
      </c>
      <c r="AY479" s="31" t="str">
        <f t="shared" si="217"/>
        <v>-</v>
      </c>
    </row>
    <row r="480" spans="6:51" x14ac:dyDescent="0.35">
      <c r="F480" s="12" t="str">
        <f t="shared" si="218"/>
        <v>-</v>
      </c>
      <c r="G480" s="8" t="str">
        <f t="shared" si="219"/>
        <v>-</v>
      </c>
      <c r="H480" s="8" t="str">
        <f>IF($F480&lt;=$C$16*12,$G480-$C$7+SUM('Mortgage Calculators (By Month)'!$D$23:$D498),"-")</f>
        <v>-</v>
      </c>
      <c r="I480" s="8" t="str">
        <f t="shared" si="196"/>
        <v>-</v>
      </c>
      <c r="J480" s="8" t="str">
        <f>IF($F480&lt;=$C$16*12,SUM(Inputs!$C$61:$C$78)*'Forecast (By Month)'!I480,"-")</f>
        <v>-</v>
      </c>
      <c r="K480" s="8" t="str">
        <f>IF($F480&lt;=$C$16*12,(SUMIF(Inputs!$C$61:$C$78,0,Inputs!$F$61:$F$78)/12)*(1+$C$34)^ROUNDDOWN((F480-1)/12,0),"-")</f>
        <v>-</v>
      </c>
      <c r="L480" s="8" t="str">
        <f t="shared" si="197"/>
        <v>-</v>
      </c>
      <c r="M480" s="8" t="str">
        <f>IF($F480&lt;=$C$16*12,'Mortgage Calculators (By Month)'!$C498,"-")</f>
        <v>-</v>
      </c>
      <c r="N480" s="8" t="str">
        <f>IF($F480&lt;=$C$16*12,'Mortgage Calculators (By Month)'!$D498,"-")</f>
        <v>-</v>
      </c>
      <c r="O480" s="8" t="str">
        <f>IF($F480&lt;=$C$16*12,'Mortgage Calculators (By Month)'!$E498,"-")</f>
        <v>-</v>
      </c>
      <c r="P480" s="8" t="str">
        <f t="shared" si="222"/>
        <v>-</v>
      </c>
      <c r="Q480" s="8" t="str">
        <f t="shared" si="198"/>
        <v>-</v>
      </c>
      <c r="R480" s="8" t="str">
        <f t="shared" si="199"/>
        <v>-</v>
      </c>
      <c r="S480" s="8" t="str">
        <f t="shared" si="200"/>
        <v>-</v>
      </c>
      <c r="T480" s="8" t="str">
        <f t="shared" si="201"/>
        <v>-</v>
      </c>
      <c r="U480" s="8" t="str">
        <f>IF($F480&lt;=$C$16*12,SUM(T$5:T480),"-")</f>
        <v>-</v>
      </c>
      <c r="V480" s="8" t="str">
        <f>IF($F480&lt;=$C$16*12,G480-$C$10-'RE Calculations'!$C667-'Mortgage Calculators (By Month)'!$F498,"-")</f>
        <v>-</v>
      </c>
      <c r="W480" s="29" t="str">
        <f t="shared" si="202"/>
        <v>-</v>
      </c>
      <c r="X480" s="31" t="str">
        <f t="shared" si="203"/>
        <v>-</v>
      </c>
      <c r="Y480" s="8" t="str">
        <f t="shared" si="204"/>
        <v>-</v>
      </c>
      <c r="Z480" s="29" t="str">
        <f t="shared" si="205"/>
        <v>-</v>
      </c>
      <c r="AA480" s="31" t="str">
        <f t="shared" si="206"/>
        <v>-</v>
      </c>
      <c r="AD480" s="12" t="str">
        <f t="shared" si="220"/>
        <v>-</v>
      </c>
      <c r="AE480" s="8" t="str">
        <f t="shared" si="221"/>
        <v>-</v>
      </c>
      <c r="AF480" s="8" t="str">
        <f>IF($AD480&lt;=$C$25*12,$AE480-$C$7+SUM('Mortgage Calculators (By Month)'!$K$23:$K498),"-")</f>
        <v>-</v>
      </c>
      <c r="AG480" s="8" t="str">
        <f t="shared" si="207"/>
        <v>-</v>
      </c>
      <c r="AH480" s="8" t="str">
        <f>IF($AD480&lt;=$C$25*12,SUM(Inputs!$C$61:$C$78)*'Forecast (By Month)'!AG480,"-")</f>
        <v>-</v>
      </c>
      <c r="AI480" s="8" t="str">
        <f>IF($AD480&lt;=$C$25*12,(SUMIF(Inputs!$C$61:$C$78,0,Inputs!$F$61:$F$78)/12)*(1+$C$34)^ROUNDDOWN((AD480-1)/12,0),"-")</f>
        <v>-</v>
      </c>
      <c r="AJ480" s="8" t="str">
        <f t="shared" si="208"/>
        <v>-</v>
      </c>
      <c r="AK480" s="8" t="str">
        <f>IF($AD480&lt;=$C$25*12,'Mortgage Calculators (By Month)'!$J498,"-")</f>
        <v>-</v>
      </c>
      <c r="AL480" s="8" t="str">
        <f>IF($AD480&lt;=$C$25*12,'Mortgage Calculators (By Month)'!$K498,"-")</f>
        <v>-</v>
      </c>
      <c r="AM480" s="8" t="str">
        <f>IF($AD480&lt;=$C$25*12,'Mortgage Calculators (By Month)'!$L498,"-")</f>
        <v>-</v>
      </c>
      <c r="AN480" s="8" t="str">
        <f t="shared" si="223"/>
        <v>-</v>
      </c>
      <c r="AO480" s="8" t="str">
        <f t="shared" si="209"/>
        <v>-</v>
      </c>
      <c r="AP480" s="8" t="str">
        <f t="shared" si="210"/>
        <v>-</v>
      </c>
      <c r="AQ480" s="8" t="str">
        <f t="shared" si="211"/>
        <v>-</v>
      </c>
      <c r="AR480" s="8" t="str">
        <f t="shared" si="212"/>
        <v>-</v>
      </c>
      <c r="AS480" s="8" t="str">
        <f>IF($AD480&lt;=$C$25*12,SUM(AR$5:AR480),"-")</f>
        <v>-</v>
      </c>
      <c r="AT480" s="8" t="str">
        <f>IF($AD480&lt;=$C$25*12,AE480-$C$10-'RE Calculations'!$C667-'Mortgage Calculators (By Month)'!$M498,"-")</f>
        <v>-</v>
      </c>
      <c r="AU480" s="29" t="str">
        <f t="shared" si="213"/>
        <v>-</v>
      </c>
      <c r="AV480" s="31" t="str">
        <f t="shared" si="214"/>
        <v>-</v>
      </c>
      <c r="AW480" s="8" t="str">
        <f t="shared" si="215"/>
        <v>-</v>
      </c>
      <c r="AX480" s="29" t="str">
        <f t="shared" si="216"/>
        <v>-</v>
      </c>
      <c r="AY480" s="31" t="str">
        <f t="shared" si="217"/>
        <v>-</v>
      </c>
    </row>
    <row r="481" spans="6:51" x14ac:dyDescent="0.35">
      <c r="F481" s="12" t="str">
        <f t="shared" si="218"/>
        <v>-</v>
      </c>
      <c r="G481" s="8" t="str">
        <f t="shared" si="219"/>
        <v>-</v>
      </c>
      <c r="H481" s="8" t="str">
        <f>IF($F481&lt;=$C$16*12,$G481-$C$7+SUM('Mortgage Calculators (By Month)'!$D$23:$D499),"-")</f>
        <v>-</v>
      </c>
      <c r="I481" s="8" t="str">
        <f t="shared" si="196"/>
        <v>-</v>
      </c>
      <c r="J481" s="8" t="str">
        <f>IF($F481&lt;=$C$16*12,SUM(Inputs!$C$61:$C$78)*'Forecast (By Month)'!I481,"-")</f>
        <v>-</v>
      </c>
      <c r="K481" s="8" t="str">
        <f>IF($F481&lt;=$C$16*12,(SUMIF(Inputs!$C$61:$C$78,0,Inputs!$F$61:$F$78)/12)*(1+$C$34)^ROUNDDOWN((F481-1)/12,0),"-")</f>
        <v>-</v>
      </c>
      <c r="L481" s="8" t="str">
        <f t="shared" si="197"/>
        <v>-</v>
      </c>
      <c r="M481" s="8" t="str">
        <f>IF($F481&lt;=$C$16*12,'Mortgage Calculators (By Month)'!$C499,"-")</f>
        <v>-</v>
      </c>
      <c r="N481" s="8" t="str">
        <f>IF($F481&lt;=$C$16*12,'Mortgage Calculators (By Month)'!$D499,"-")</f>
        <v>-</v>
      </c>
      <c r="O481" s="8" t="str">
        <f>IF($F481&lt;=$C$16*12,'Mortgage Calculators (By Month)'!$E499,"-")</f>
        <v>-</v>
      </c>
      <c r="P481" s="8" t="str">
        <f t="shared" si="222"/>
        <v>-</v>
      </c>
      <c r="Q481" s="8" t="str">
        <f t="shared" si="198"/>
        <v>-</v>
      </c>
      <c r="R481" s="8" t="str">
        <f t="shared" si="199"/>
        <v>-</v>
      </c>
      <c r="S481" s="8" t="str">
        <f t="shared" si="200"/>
        <v>-</v>
      </c>
      <c r="T481" s="8" t="str">
        <f t="shared" si="201"/>
        <v>-</v>
      </c>
      <c r="U481" s="8" t="str">
        <f>IF($F481&lt;=$C$16*12,SUM(T$5:T481),"-")</f>
        <v>-</v>
      </c>
      <c r="V481" s="8" t="str">
        <f>IF($F481&lt;=$C$16*12,G481-$C$10-'RE Calculations'!$C668-'Mortgage Calculators (By Month)'!$F499,"-")</f>
        <v>-</v>
      </c>
      <c r="W481" s="29" t="str">
        <f t="shared" si="202"/>
        <v>-</v>
      </c>
      <c r="X481" s="31" t="str">
        <f t="shared" si="203"/>
        <v>-</v>
      </c>
      <c r="Y481" s="8" t="str">
        <f t="shared" si="204"/>
        <v>-</v>
      </c>
      <c r="Z481" s="29" t="str">
        <f t="shared" si="205"/>
        <v>-</v>
      </c>
      <c r="AA481" s="31" t="str">
        <f t="shared" si="206"/>
        <v>-</v>
      </c>
      <c r="AD481" s="12" t="str">
        <f t="shared" si="220"/>
        <v>-</v>
      </c>
      <c r="AE481" s="8" t="str">
        <f t="shared" si="221"/>
        <v>-</v>
      </c>
      <c r="AF481" s="8" t="str">
        <f>IF($AD481&lt;=$C$25*12,$AE481-$C$7+SUM('Mortgage Calculators (By Month)'!$K$23:$K499),"-")</f>
        <v>-</v>
      </c>
      <c r="AG481" s="8" t="str">
        <f t="shared" si="207"/>
        <v>-</v>
      </c>
      <c r="AH481" s="8" t="str">
        <f>IF($AD481&lt;=$C$25*12,SUM(Inputs!$C$61:$C$78)*'Forecast (By Month)'!AG481,"-")</f>
        <v>-</v>
      </c>
      <c r="AI481" s="8" t="str">
        <f>IF($AD481&lt;=$C$25*12,(SUMIF(Inputs!$C$61:$C$78,0,Inputs!$F$61:$F$78)/12)*(1+$C$34)^ROUNDDOWN((AD481-1)/12,0),"-")</f>
        <v>-</v>
      </c>
      <c r="AJ481" s="8" t="str">
        <f t="shared" si="208"/>
        <v>-</v>
      </c>
      <c r="AK481" s="8" t="str">
        <f>IF($AD481&lt;=$C$25*12,'Mortgage Calculators (By Month)'!$J499,"-")</f>
        <v>-</v>
      </c>
      <c r="AL481" s="8" t="str">
        <f>IF($AD481&lt;=$C$25*12,'Mortgage Calculators (By Month)'!$K499,"-")</f>
        <v>-</v>
      </c>
      <c r="AM481" s="8" t="str">
        <f>IF($AD481&lt;=$C$25*12,'Mortgage Calculators (By Month)'!$L499,"-")</f>
        <v>-</v>
      </c>
      <c r="AN481" s="8" t="str">
        <f t="shared" si="223"/>
        <v>-</v>
      </c>
      <c r="AO481" s="8" t="str">
        <f t="shared" si="209"/>
        <v>-</v>
      </c>
      <c r="AP481" s="8" t="str">
        <f t="shared" si="210"/>
        <v>-</v>
      </c>
      <c r="AQ481" s="8" t="str">
        <f t="shared" si="211"/>
        <v>-</v>
      </c>
      <c r="AR481" s="8" t="str">
        <f t="shared" si="212"/>
        <v>-</v>
      </c>
      <c r="AS481" s="8" t="str">
        <f>IF($AD481&lt;=$C$25*12,SUM(AR$5:AR481),"-")</f>
        <v>-</v>
      </c>
      <c r="AT481" s="8" t="str">
        <f>IF($AD481&lt;=$C$25*12,AE481-$C$10-'RE Calculations'!$C668-'Mortgage Calculators (By Month)'!$M499,"-")</f>
        <v>-</v>
      </c>
      <c r="AU481" s="29" t="str">
        <f t="shared" si="213"/>
        <v>-</v>
      </c>
      <c r="AV481" s="31" t="str">
        <f t="shared" si="214"/>
        <v>-</v>
      </c>
      <c r="AW481" s="8" t="str">
        <f t="shared" si="215"/>
        <v>-</v>
      </c>
      <c r="AX481" s="29" t="str">
        <f t="shared" si="216"/>
        <v>-</v>
      </c>
      <c r="AY481" s="31" t="str">
        <f t="shared" si="217"/>
        <v>-</v>
      </c>
    </row>
    <row r="482" spans="6:51" x14ac:dyDescent="0.35">
      <c r="F482" s="12" t="str">
        <f t="shared" si="218"/>
        <v>-</v>
      </c>
      <c r="G482" s="8" t="str">
        <f t="shared" si="219"/>
        <v>-</v>
      </c>
      <c r="H482" s="8" t="str">
        <f>IF($F482&lt;=$C$16*12,$G482-$C$7+SUM('Mortgage Calculators (By Month)'!$D$23:$D500),"-")</f>
        <v>-</v>
      </c>
      <c r="I482" s="8" t="str">
        <f t="shared" si="196"/>
        <v>-</v>
      </c>
      <c r="J482" s="8" t="str">
        <f>IF($F482&lt;=$C$16*12,SUM(Inputs!$C$61:$C$78)*'Forecast (By Month)'!I482,"-")</f>
        <v>-</v>
      </c>
      <c r="K482" s="8" t="str">
        <f>IF($F482&lt;=$C$16*12,(SUMIF(Inputs!$C$61:$C$78,0,Inputs!$F$61:$F$78)/12)*(1+$C$34)^ROUNDDOWN((F482-1)/12,0),"-")</f>
        <v>-</v>
      </c>
      <c r="L482" s="8" t="str">
        <f t="shared" si="197"/>
        <v>-</v>
      </c>
      <c r="M482" s="8" t="str">
        <f>IF($F482&lt;=$C$16*12,'Mortgage Calculators (By Month)'!$C500,"-")</f>
        <v>-</v>
      </c>
      <c r="N482" s="8" t="str">
        <f>IF($F482&lt;=$C$16*12,'Mortgage Calculators (By Month)'!$D500,"-")</f>
        <v>-</v>
      </c>
      <c r="O482" s="8" t="str">
        <f>IF($F482&lt;=$C$16*12,'Mortgage Calculators (By Month)'!$E500,"-")</f>
        <v>-</v>
      </c>
      <c r="P482" s="8" t="str">
        <f t="shared" si="222"/>
        <v>-</v>
      </c>
      <c r="Q482" s="8" t="str">
        <f t="shared" si="198"/>
        <v>-</v>
      </c>
      <c r="R482" s="8" t="str">
        <f t="shared" si="199"/>
        <v>-</v>
      </c>
      <c r="S482" s="8" t="str">
        <f t="shared" si="200"/>
        <v>-</v>
      </c>
      <c r="T482" s="8" t="str">
        <f t="shared" si="201"/>
        <v>-</v>
      </c>
      <c r="U482" s="8" t="str">
        <f>IF($F482&lt;=$C$16*12,SUM(T$5:T482),"-")</f>
        <v>-</v>
      </c>
      <c r="V482" s="8" t="str">
        <f>IF($F482&lt;=$C$16*12,G482-$C$10-'RE Calculations'!$C669-'Mortgage Calculators (By Month)'!$F500,"-")</f>
        <v>-</v>
      </c>
      <c r="W482" s="29" t="str">
        <f t="shared" si="202"/>
        <v>-</v>
      </c>
      <c r="X482" s="31" t="str">
        <f t="shared" si="203"/>
        <v>-</v>
      </c>
      <c r="Y482" s="8" t="str">
        <f t="shared" si="204"/>
        <v>-</v>
      </c>
      <c r="Z482" s="29" t="str">
        <f t="shared" si="205"/>
        <v>-</v>
      </c>
      <c r="AA482" s="31" t="str">
        <f t="shared" si="206"/>
        <v>-</v>
      </c>
      <c r="AD482" s="12" t="str">
        <f t="shared" si="220"/>
        <v>-</v>
      </c>
      <c r="AE482" s="8" t="str">
        <f t="shared" si="221"/>
        <v>-</v>
      </c>
      <c r="AF482" s="8" t="str">
        <f>IF($AD482&lt;=$C$25*12,$AE482-$C$7+SUM('Mortgage Calculators (By Month)'!$K$23:$K500),"-")</f>
        <v>-</v>
      </c>
      <c r="AG482" s="8" t="str">
        <f t="shared" si="207"/>
        <v>-</v>
      </c>
      <c r="AH482" s="8" t="str">
        <f>IF($AD482&lt;=$C$25*12,SUM(Inputs!$C$61:$C$78)*'Forecast (By Month)'!AG482,"-")</f>
        <v>-</v>
      </c>
      <c r="AI482" s="8" t="str">
        <f>IF($AD482&lt;=$C$25*12,(SUMIF(Inputs!$C$61:$C$78,0,Inputs!$F$61:$F$78)/12)*(1+$C$34)^ROUNDDOWN((AD482-1)/12,0),"-")</f>
        <v>-</v>
      </c>
      <c r="AJ482" s="8" t="str">
        <f t="shared" si="208"/>
        <v>-</v>
      </c>
      <c r="AK482" s="8" t="str">
        <f>IF($AD482&lt;=$C$25*12,'Mortgage Calculators (By Month)'!$J500,"-")</f>
        <v>-</v>
      </c>
      <c r="AL482" s="8" t="str">
        <f>IF($AD482&lt;=$C$25*12,'Mortgage Calculators (By Month)'!$K500,"-")</f>
        <v>-</v>
      </c>
      <c r="AM482" s="8" t="str">
        <f>IF($AD482&lt;=$C$25*12,'Mortgage Calculators (By Month)'!$L500,"-")</f>
        <v>-</v>
      </c>
      <c r="AN482" s="8" t="str">
        <f t="shared" si="223"/>
        <v>-</v>
      </c>
      <c r="AO482" s="8" t="str">
        <f t="shared" si="209"/>
        <v>-</v>
      </c>
      <c r="AP482" s="8" t="str">
        <f t="shared" si="210"/>
        <v>-</v>
      </c>
      <c r="AQ482" s="8" t="str">
        <f t="shared" si="211"/>
        <v>-</v>
      </c>
      <c r="AR482" s="8" t="str">
        <f t="shared" si="212"/>
        <v>-</v>
      </c>
      <c r="AS482" s="8" t="str">
        <f>IF($AD482&lt;=$C$25*12,SUM(AR$5:AR482),"-")</f>
        <v>-</v>
      </c>
      <c r="AT482" s="8" t="str">
        <f>IF($AD482&lt;=$C$25*12,AE482-$C$10-'RE Calculations'!$C669-'Mortgage Calculators (By Month)'!$M500,"-")</f>
        <v>-</v>
      </c>
      <c r="AU482" s="29" t="str">
        <f t="shared" si="213"/>
        <v>-</v>
      </c>
      <c r="AV482" s="31" t="str">
        <f t="shared" si="214"/>
        <v>-</v>
      </c>
      <c r="AW482" s="8" t="str">
        <f t="shared" si="215"/>
        <v>-</v>
      </c>
      <c r="AX482" s="29" t="str">
        <f t="shared" si="216"/>
        <v>-</v>
      </c>
      <c r="AY482" s="31" t="str">
        <f t="shared" si="217"/>
        <v>-</v>
      </c>
    </row>
    <row r="483" spans="6:51" x14ac:dyDescent="0.35">
      <c r="F483" s="12" t="str">
        <f t="shared" si="218"/>
        <v>-</v>
      </c>
      <c r="G483" s="8" t="str">
        <f t="shared" si="219"/>
        <v>-</v>
      </c>
      <c r="H483" s="8" t="str">
        <f>IF($F483&lt;=$C$16*12,$G483-$C$7+SUM('Mortgage Calculators (By Month)'!$D$23:$D501),"-")</f>
        <v>-</v>
      </c>
      <c r="I483" s="8" t="str">
        <f t="shared" si="196"/>
        <v>-</v>
      </c>
      <c r="J483" s="8" t="str">
        <f>IF($F483&lt;=$C$16*12,SUM(Inputs!$C$61:$C$78)*'Forecast (By Month)'!I483,"-")</f>
        <v>-</v>
      </c>
      <c r="K483" s="8" t="str">
        <f>IF($F483&lt;=$C$16*12,(SUMIF(Inputs!$C$61:$C$78,0,Inputs!$F$61:$F$78)/12)*(1+$C$34)^ROUNDDOWN((F483-1)/12,0),"-")</f>
        <v>-</v>
      </c>
      <c r="L483" s="8" t="str">
        <f t="shared" si="197"/>
        <v>-</v>
      </c>
      <c r="M483" s="8" t="str">
        <f>IF($F483&lt;=$C$16*12,'Mortgage Calculators (By Month)'!$C501,"-")</f>
        <v>-</v>
      </c>
      <c r="N483" s="8" t="str">
        <f>IF($F483&lt;=$C$16*12,'Mortgage Calculators (By Month)'!$D501,"-")</f>
        <v>-</v>
      </c>
      <c r="O483" s="8" t="str">
        <f>IF($F483&lt;=$C$16*12,'Mortgage Calculators (By Month)'!$E501,"-")</f>
        <v>-</v>
      </c>
      <c r="P483" s="8" t="str">
        <f t="shared" si="222"/>
        <v>-</v>
      </c>
      <c r="Q483" s="8" t="str">
        <f t="shared" si="198"/>
        <v>-</v>
      </c>
      <c r="R483" s="8" t="str">
        <f t="shared" si="199"/>
        <v>-</v>
      </c>
      <c r="S483" s="8" t="str">
        <f t="shared" si="200"/>
        <v>-</v>
      </c>
      <c r="T483" s="8" t="str">
        <f t="shared" si="201"/>
        <v>-</v>
      </c>
      <c r="U483" s="8" t="str">
        <f>IF($F483&lt;=$C$16*12,SUM(T$5:T483),"-")</f>
        <v>-</v>
      </c>
      <c r="V483" s="8" t="str">
        <f>IF($F483&lt;=$C$16*12,G483-$C$10-'RE Calculations'!$C670-'Mortgage Calculators (By Month)'!$F501,"-")</f>
        <v>-</v>
      </c>
      <c r="W483" s="29" t="str">
        <f t="shared" si="202"/>
        <v>-</v>
      </c>
      <c r="X483" s="31" t="str">
        <f t="shared" si="203"/>
        <v>-</v>
      </c>
      <c r="Y483" s="8" t="str">
        <f t="shared" si="204"/>
        <v>-</v>
      </c>
      <c r="Z483" s="29" t="str">
        <f t="shared" si="205"/>
        <v>-</v>
      </c>
      <c r="AA483" s="31" t="str">
        <f t="shared" si="206"/>
        <v>-</v>
      </c>
      <c r="AD483" s="12" t="str">
        <f t="shared" si="220"/>
        <v>-</v>
      </c>
      <c r="AE483" s="8" t="str">
        <f t="shared" si="221"/>
        <v>-</v>
      </c>
      <c r="AF483" s="8" t="str">
        <f>IF($AD483&lt;=$C$25*12,$AE483-$C$7+SUM('Mortgage Calculators (By Month)'!$K$23:$K501),"-")</f>
        <v>-</v>
      </c>
      <c r="AG483" s="8" t="str">
        <f t="shared" si="207"/>
        <v>-</v>
      </c>
      <c r="AH483" s="8" t="str">
        <f>IF($AD483&lt;=$C$25*12,SUM(Inputs!$C$61:$C$78)*'Forecast (By Month)'!AG483,"-")</f>
        <v>-</v>
      </c>
      <c r="AI483" s="8" t="str">
        <f>IF($AD483&lt;=$C$25*12,(SUMIF(Inputs!$C$61:$C$78,0,Inputs!$F$61:$F$78)/12)*(1+$C$34)^ROUNDDOWN((AD483-1)/12,0),"-")</f>
        <v>-</v>
      </c>
      <c r="AJ483" s="8" t="str">
        <f t="shared" si="208"/>
        <v>-</v>
      </c>
      <c r="AK483" s="8" t="str">
        <f>IF($AD483&lt;=$C$25*12,'Mortgage Calculators (By Month)'!$J501,"-")</f>
        <v>-</v>
      </c>
      <c r="AL483" s="8" t="str">
        <f>IF($AD483&lt;=$C$25*12,'Mortgage Calculators (By Month)'!$K501,"-")</f>
        <v>-</v>
      </c>
      <c r="AM483" s="8" t="str">
        <f>IF($AD483&lt;=$C$25*12,'Mortgage Calculators (By Month)'!$L501,"-")</f>
        <v>-</v>
      </c>
      <c r="AN483" s="8" t="str">
        <f t="shared" si="223"/>
        <v>-</v>
      </c>
      <c r="AO483" s="8" t="str">
        <f t="shared" si="209"/>
        <v>-</v>
      </c>
      <c r="AP483" s="8" t="str">
        <f t="shared" si="210"/>
        <v>-</v>
      </c>
      <c r="AQ483" s="8" t="str">
        <f t="shared" si="211"/>
        <v>-</v>
      </c>
      <c r="AR483" s="8" t="str">
        <f t="shared" si="212"/>
        <v>-</v>
      </c>
      <c r="AS483" s="8" t="str">
        <f>IF($AD483&lt;=$C$25*12,SUM(AR$5:AR483),"-")</f>
        <v>-</v>
      </c>
      <c r="AT483" s="8" t="str">
        <f>IF($AD483&lt;=$C$25*12,AE483-$C$10-'RE Calculations'!$C670-'Mortgage Calculators (By Month)'!$M501,"-")</f>
        <v>-</v>
      </c>
      <c r="AU483" s="29" t="str">
        <f t="shared" si="213"/>
        <v>-</v>
      </c>
      <c r="AV483" s="31" t="str">
        <f t="shared" si="214"/>
        <v>-</v>
      </c>
      <c r="AW483" s="8" t="str">
        <f t="shared" si="215"/>
        <v>-</v>
      </c>
      <c r="AX483" s="29" t="str">
        <f t="shared" si="216"/>
        <v>-</v>
      </c>
      <c r="AY483" s="31" t="str">
        <f t="shared" si="217"/>
        <v>-</v>
      </c>
    </row>
    <row r="484" spans="6:51" x14ac:dyDescent="0.35">
      <c r="F484" s="12" t="str">
        <f t="shared" si="218"/>
        <v>-</v>
      </c>
      <c r="G484" s="8" t="str">
        <f t="shared" si="219"/>
        <v>-</v>
      </c>
      <c r="H484" s="8" t="str">
        <f>IF($F484&lt;=$C$16*12,$G484-$C$7+SUM('Mortgage Calculators (By Month)'!$D$23:$D502),"-")</f>
        <v>-</v>
      </c>
      <c r="I484" s="8" t="str">
        <f t="shared" si="196"/>
        <v>-</v>
      </c>
      <c r="J484" s="8" t="str">
        <f>IF($F484&lt;=$C$16*12,SUM(Inputs!$C$61:$C$78)*'Forecast (By Month)'!I484,"-")</f>
        <v>-</v>
      </c>
      <c r="K484" s="8" t="str">
        <f>IF($F484&lt;=$C$16*12,(SUMIF(Inputs!$C$61:$C$78,0,Inputs!$F$61:$F$78)/12)*(1+$C$34)^ROUNDDOWN((F484-1)/12,0),"-")</f>
        <v>-</v>
      </c>
      <c r="L484" s="8" t="str">
        <f t="shared" si="197"/>
        <v>-</v>
      </c>
      <c r="M484" s="8" t="str">
        <f>IF($F484&lt;=$C$16*12,'Mortgage Calculators (By Month)'!$C502,"-")</f>
        <v>-</v>
      </c>
      <c r="N484" s="8" t="str">
        <f>IF($F484&lt;=$C$16*12,'Mortgage Calculators (By Month)'!$D502,"-")</f>
        <v>-</v>
      </c>
      <c r="O484" s="8" t="str">
        <f>IF($F484&lt;=$C$16*12,'Mortgage Calculators (By Month)'!$E502,"-")</f>
        <v>-</v>
      </c>
      <c r="P484" s="8" t="str">
        <f t="shared" si="222"/>
        <v>-</v>
      </c>
      <c r="Q484" s="8" t="str">
        <f t="shared" si="198"/>
        <v>-</v>
      </c>
      <c r="R484" s="8" t="str">
        <f t="shared" si="199"/>
        <v>-</v>
      </c>
      <c r="S484" s="8" t="str">
        <f t="shared" si="200"/>
        <v>-</v>
      </c>
      <c r="T484" s="8" t="str">
        <f t="shared" si="201"/>
        <v>-</v>
      </c>
      <c r="U484" s="8" t="str">
        <f>IF($F484&lt;=$C$16*12,SUM(T$5:T484),"-")</f>
        <v>-</v>
      </c>
      <c r="V484" s="8" t="str">
        <f>IF($F484&lt;=$C$16*12,G484-$C$10-'RE Calculations'!$C671-'Mortgage Calculators (By Month)'!$F502,"-")</f>
        <v>-</v>
      </c>
      <c r="W484" s="29" t="str">
        <f t="shared" si="202"/>
        <v>-</v>
      </c>
      <c r="X484" s="31" t="str">
        <f t="shared" si="203"/>
        <v>-</v>
      </c>
      <c r="Y484" s="8" t="str">
        <f t="shared" si="204"/>
        <v>-</v>
      </c>
      <c r="Z484" s="29" t="str">
        <f t="shared" si="205"/>
        <v>-</v>
      </c>
      <c r="AA484" s="31" t="str">
        <f t="shared" si="206"/>
        <v>-</v>
      </c>
      <c r="AD484" s="12" t="str">
        <f t="shared" si="220"/>
        <v>-</v>
      </c>
      <c r="AE484" s="8" t="str">
        <f t="shared" si="221"/>
        <v>-</v>
      </c>
      <c r="AF484" s="8" t="str">
        <f>IF($AD484&lt;=$C$25*12,$AE484-$C$7+SUM('Mortgage Calculators (By Month)'!$K$23:$K502),"-")</f>
        <v>-</v>
      </c>
      <c r="AG484" s="8" t="str">
        <f t="shared" si="207"/>
        <v>-</v>
      </c>
      <c r="AH484" s="8" t="str">
        <f>IF($AD484&lt;=$C$25*12,SUM(Inputs!$C$61:$C$78)*'Forecast (By Month)'!AG484,"-")</f>
        <v>-</v>
      </c>
      <c r="AI484" s="8" t="str">
        <f>IF($AD484&lt;=$C$25*12,(SUMIF(Inputs!$C$61:$C$78,0,Inputs!$F$61:$F$78)/12)*(1+$C$34)^ROUNDDOWN((AD484-1)/12,0),"-")</f>
        <v>-</v>
      </c>
      <c r="AJ484" s="8" t="str">
        <f t="shared" si="208"/>
        <v>-</v>
      </c>
      <c r="AK484" s="8" t="str">
        <f>IF($AD484&lt;=$C$25*12,'Mortgage Calculators (By Month)'!$J502,"-")</f>
        <v>-</v>
      </c>
      <c r="AL484" s="8" t="str">
        <f>IF($AD484&lt;=$C$25*12,'Mortgage Calculators (By Month)'!$K502,"-")</f>
        <v>-</v>
      </c>
      <c r="AM484" s="8" t="str">
        <f>IF($AD484&lt;=$C$25*12,'Mortgage Calculators (By Month)'!$L502,"-")</f>
        <v>-</v>
      </c>
      <c r="AN484" s="8" t="str">
        <f t="shared" si="223"/>
        <v>-</v>
      </c>
      <c r="AO484" s="8" t="str">
        <f t="shared" si="209"/>
        <v>-</v>
      </c>
      <c r="AP484" s="8" t="str">
        <f t="shared" si="210"/>
        <v>-</v>
      </c>
      <c r="AQ484" s="8" t="str">
        <f t="shared" si="211"/>
        <v>-</v>
      </c>
      <c r="AR484" s="8" t="str">
        <f t="shared" si="212"/>
        <v>-</v>
      </c>
      <c r="AS484" s="8" t="str">
        <f>IF($AD484&lt;=$C$25*12,SUM(AR$5:AR484),"-")</f>
        <v>-</v>
      </c>
      <c r="AT484" s="8" t="str">
        <f>IF($AD484&lt;=$C$25*12,AE484-$C$10-'RE Calculations'!$C671-'Mortgage Calculators (By Month)'!$M502,"-")</f>
        <v>-</v>
      </c>
      <c r="AU484" s="29" t="str">
        <f t="shared" si="213"/>
        <v>-</v>
      </c>
      <c r="AV484" s="31" t="str">
        <f t="shared" si="214"/>
        <v>-</v>
      </c>
      <c r="AW484" s="8" t="str">
        <f t="shared" si="215"/>
        <v>-</v>
      </c>
      <c r="AX484" s="29" t="str">
        <f t="shared" si="216"/>
        <v>-</v>
      </c>
      <c r="AY484" s="31" t="str">
        <f t="shared" si="217"/>
        <v>-</v>
      </c>
    </row>
    <row r="485" spans="6:51" x14ac:dyDescent="0.35">
      <c r="F485" s="12" t="str">
        <f t="shared" si="218"/>
        <v>-</v>
      </c>
      <c r="G485" s="8" t="str">
        <f t="shared" si="219"/>
        <v>-</v>
      </c>
      <c r="H485" s="8" t="str">
        <f>IF($F485&lt;=$C$16*12,$G485-$C$7+SUM('Mortgage Calculators (By Month)'!$D$23:$D503),"-")</f>
        <v>-</v>
      </c>
      <c r="I485" s="8" t="str">
        <f t="shared" si="196"/>
        <v>-</v>
      </c>
      <c r="J485" s="8" t="str">
        <f>IF($F485&lt;=$C$16*12,SUM(Inputs!$C$61:$C$78)*'Forecast (By Month)'!I485,"-")</f>
        <v>-</v>
      </c>
      <c r="K485" s="8" t="str">
        <f>IF($F485&lt;=$C$16*12,(SUMIF(Inputs!$C$61:$C$78,0,Inputs!$F$61:$F$78)/12)*(1+$C$34)^ROUNDDOWN((F485-1)/12,0),"-")</f>
        <v>-</v>
      </c>
      <c r="L485" s="8" t="str">
        <f t="shared" si="197"/>
        <v>-</v>
      </c>
      <c r="M485" s="8" t="str">
        <f>IF($F485&lt;=$C$16*12,'Mortgage Calculators (By Month)'!$C503,"-")</f>
        <v>-</v>
      </c>
      <c r="N485" s="8" t="str">
        <f>IF($F485&lt;=$C$16*12,'Mortgage Calculators (By Month)'!$D503,"-")</f>
        <v>-</v>
      </c>
      <c r="O485" s="8" t="str">
        <f>IF($F485&lt;=$C$16*12,'Mortgage Calculators (By Month)'!$E503,"-")</f>
        <v>-</v>
      </c>
      <c r="P485" s="8" t="str">
        <f t="shared" si="222"/>
        <v>-</v>
      </c>
      <c r="Q485" s="8" t="str">
        <f t="shared" si="198"/>
        <v>-</v>
      </c>
      <c r="R485" s="8" t="str">
        <f t="shared" si="199"/>
        <v>-</v>
      </c>
      <c r="S485" s="8" t="str">
        <f t="shared" si="200"/>
        <v>-</v>
      </c>
      <c r="T485" s="8" t="str">
        <f t="shared" si="201"/>
        <v>-</v>
      </c>
      <c r="U485" s="8" t="str">
        <f>IF($F485&lt;=$C$16*12,SUM(T$5:T485),"-")</f>
        <v>-</v>
      </c>
      <c r="V485" s="8" t="str">
        <f>IF($F485&lt;=$C$16*12,G485-$C$10-'RE Calculations'!$C672-'Mortgage Calculators (By Month)'!$F503,"-")</f>
        <v>-</v>
      </c>
      <c r="W485" s="29" t="str">
        <f t="shared" si="202"/>
        <v>-</v>
      </c>
      <c r="X485" s="31" t="str">
        <f t="shared" si="203"/>
        <v>-</v>
      </c>
      <c r="Y485" s="8" t="str">
        <f t="shared" si="204"/>
        <v>-</v>
      </c>
      <c r="Z485" s="29" t="str">
        <f t="shared" si="205"/>
        <v>-</v>
      </c>
      <c r="AA485" s="31" t="str">
        <f t="shared" si="206"/>
        <v>-</v>
      </c>
      <c r="AD485" s="12" t="str">
        <f t="shared" si="220"/>
        <v>-</v>
      </c>
      <c r="AE485" s="8" t="str">
        <f t="shared" si="221"/>
        <v>-</v>
      </c>
      <c r="AF485" s="8" t="str">
        <f>IF($AD485&lt;=$C$25*12,$AE485-$C$7+SUM('Mortgage Calculators (By Month)'!$K$23:$K503),"-")</f>
        <v>-</v>
      </c>
      <c r="AG485" s="8" t="str">
        <f t="shared" si="207"/>
        <v>-</v>
      </c>
      <c r="AH485" s="8" t="str">
        <f>IF($AD485&lt;=$C$25*12,SUM(Inputs!$C$61:$C$78)*'Forecast (By Month)'!AG485,"-")</f>
        <v>-</v>
      </c>
      <c r="AI485" s="8" t="str">
        <f>IF($AD485&lt;=$C$25*12,(SUMIF(Inputs!$C$61:$C$78,0,Inputs!$F$61:$F$78)/12)*(1+$C$34)^ROUNDDOWN((AD485-1)/12,0),"-")</f>
        <v>-</v>
      </c>
      <c r="AJ485" s="8" t="str">
        <f t="shared" si="208"/>
        <v>-</v>
      </c>
      <c r="AK485" s="8" t="str">
        <f>IF($AD485&lt;=$C$25*12,'Mortgage Calculators (By Month)'!$J503,"-")</f>
        <v>-</v>
      </c>
      <c r="AL485" s="8" t="str">
        <f>IF($AD485&lt;=$C$25*12,'Mortgage Calculators (By Month)'!$K503,"-")</f>
        <v>-</v>
      </c>
      <c r="AM485" s="8" t="str">
        <f>IF($AD485&lt;=$C$25*12,'Mortgage Calculators (By Month)'!$L503,"-")</f>
        <v>-</v>
      </c>
      <c r="AN485" s="8" t="str">
        <f t="shared" si="223"/>
        <v>-</v>
      </c>
      <c r="AO485" s="8" t="str">
        <f t="shared" si="209"/>
        <v>-</v>
      </c>
      <c r="AP485" s="8" t="str">
        <f t="shared" si="210"/>
        <v>-</v>
      </c>
      <c r="AQ485" s="8" t="str">
        <f t="shared" si="211"/>
        <v>-</v>
      </c>
      <c r="AR485" s="8" t="str">
        <f t="shared" si="212"/>
        <v>-</v>
      </c>
      <c r="AS485" s="8" t="str">
        <f>IF($AD485&lt;=$C$25*12,SUM(AR$5:AR485),"-")</f>
        <v>-</v>
      </c>
      <c r="AT485" s="8" t="str">
        <f>IF($AD485&lt;=$C$25*12,AE485-$C$10-'RE Calculations'!$C672-'Mortgage Calculators (By Month)'!$M503,"-")</f>
        <v>-</v>
      </c>
      <c r="AU485" s="29" t="str">
        <f t="shared" si="213"/>
        <v>-</v>
      </c>
      <c r="AV485" s="31" t="str">
        <f t="shared" si="214"/>
        <v>-</v>
      </c>
      <c r="AW485" s="8" t="str">
        <f t="shared" si="215"/>
        <v>-</v>
      </c>
      <c r="AX485" s="29" t="str">
        <f t="shared" si="216"/>
        <v>-</v>
      </c>
      <c r="AY485" s="31" t="str">
        <f t="shared" si="217"/>
        <v>-</v>
      </c>
    </row>
    <row r="486" spans="6:51" x14ac:dyDescent="0.35">
      <c r="F486" s="12" t="str">
        <f t="shared" si="218"/>
        <v>-</v>
      </c>
      <c r="G486" s="8" t="str">
        <f t="shared" si="219"/>
        <v>-</v>
      </c>
      <c r="H486" s="8" t="str">
        <f>IF($F486&lt;=$C$16*12,$G486-$C$7+SUM('Mortgage Calculators (By Month)'!$D$23:$D504),"-")</f>
        <v>-</v>
      </c>
      <c r="I486" s="8" t="str">
        <f t="shared" si="196"/>
        <v>-</v>
      </c>
      <c r="J486" s="8" t="str">
        <f>IF($F486&lt;=$C$16*12,SUM(Inputs!$C$61:$C$78)*'Forecast (By Month)'!I486,"-")</f>
        <v>-</v>
      </c>
      <c r="K486" s="8" t="str">
        <f>IF($F486&lt;=$C$16*12,(SUMIF(Inputs!$C$61:$C$78,0,Inputs!$F$61:$F$78)/12)*(1+$C$34)^ROUNDDOWN((F486-1)/12,0),"-")</f>
        <v>-</v>
      </c>
      <c r="L486" s="8" t="str">
        <f t="shared" si="197"/>
        <v>-</v>
      </c>
      <c r="M486" s="8" t="str">
        <f>IF($F486&lt;=$C$16*12,'Mortgage Calculators (By Month)'!$C504,"-")</f>
        <v>-</v>
      </c>
      <c r="N486" s="8" t="str">
        <f>IF($F486&lt;=$C$16*12,'Mortgage Calculators (By Month)'!$D504,"-")</f>
        <v>-</v>
      </c>
      <c r="O486" s="8" t="str">
        <f>IF($F486&lt;=$C$16*12,'Mortgage Calculators (By Month)'!$E504,"-")</f>
        <v>-</v>
      </c>
      <c r="P486" s="8" t="str">
        <f t="shared" si="222"/>
        <v>-</v>
      </c>
      <c r="Q486" s="8" t="str">
        <f t="shared" si="198"/>
        <v>-</v>
      </c>
      <c r="R486" s="8" t="str">
        <f t="shared" si="199"/>
        <v>-</v>
      </c>
      <c r="S486" s="8" t="str">
        <f t="shared" si="200"/>
        <v>-</v>
      </c>
      <c r="T486" s="8" t="str">
        <f t="shared" si="201"/>
        <v>-</v>
      </c>
      <c r="U486" s="8" t="str">
        <f>IF($F486&lt;=$C$16*12,SUM(T$5:T486),"-")</f>
        <v>-</v>
      </c>
      <c r="V486" s="8" t="str">
        <f>IF($F486&lt;=$C$16*12,G486-$C$10-'RE Calculations'!$C673-'Mortgage Calculators (By Month)'!$F504,"-")</f>
        <v>-</v>
      </c>
      <c r="W486" s="29" t="str">
        <f t="shared" si="202"/>
        <v>-</v>
      </c>
      <c r="X486" s="31" t="str">
        <f t="shared" si="203"/>
        <v>-</v>
      </c>
      <c r="Y486" s="8" t="str">
        <f t="shared" si="204"/>
        <v>-</v>
      </c>
      <c r="Z486" s="29" t="str">
        <f t="shared" si="205"/>
        <v>-</v>
      </c>
      <c r="AA486" s="31" t="str">
        <f t="shared" si="206"/>
        <v>-</v>
      </c>
      <c r="AD486" s="12" t="str">
        <f t="shared" si="220"/>
        <v>-</v>
      </c>
      <c r="AE486" s="8" t="str">
        <f t="shared" si="221"/>
        <v>-</v>
      </c>
      <c r="AF486" s="8" t="str">
        <f>IF($AD486&lt;=$C$25*12,$AE486-$C$7+SUM('Mortgage Calculators (By Month)'!$K$23:$K504),"-")</f>
        <v>-</v>
      </c>
      <c r="AG486" s="8" t="str">
        <f t="shared" si="207"/>
        <v>-</v>
      </c>
      <c r="AH486" s="8" t="str">
        <f>IF($AD486&lt;=$C$25*12,SUM(Inputs!$C$61:$C$78)*'Forecast (By Month)'!AG486,"-")</f>
        <v>-</v>
      </c>
      <c r="AI486" s="8" t="str">
        <f>IF($AD486&lt;=$C$25*12,(SUMIF(Inputs!$C$61:$C$78,0,Inputs!$F$61:$F$78)/12)*(1+$C$34)^ROUNDDOWN((AD486-1)/12,0),"-")</f>
        <v>-</v>
      </c>
      <c r="AJ486" s="8" t="str">
        <f t="shared" si="208"/>
        <v>-</v>
      </c>
      <c r="AK486" s="8" t="str">
        <f>IF($AD486&lt;=$C$25*12,'Mortgage Calculators (By Month)'!$J504,"-")</f>
        <v>-</v>
      </c>
      <c r="AL486" s="8" t="str">
        <f>IF($AD486&lt;=$C$25*12,'Mortgage Calculators (By Month)'!$K504,"-")</f>
        <v>-</v>
      </c>
      <c r="AM486" s="8" t="str">
        <f>IF($AD486&lt;=$C$25*12,'Mortgage Calculators (By Month)'!$L504,"-")</f>
        <v>-</v>
      </c>
      <c r="AN486" s="8" t="str">
        <f t="shared" si="223"/>
        <v>-</v>
      </c>
      <c r="AO486" s="8" t="str">
        <f t="shared" si="209"/>
        <v>-</v>
      </c>
      <c r="AP486" s="8" t="str">
        <f t="shared" si="210"/>
        <v>-</v>
      </c>
      <c r="AQ486" s="8" t="str">
        <f t="shared" si="211"/>
        <v>-</v>
      </c>
      <c r="AR486" s="8" t="str">
        <f t="shared" si="212"/>
        <v>-</v>
      </c>
      <c r="AS486" s="8" t="str">
        <f>IF($AD486&lt;=$C$25*12,SUM(AR$5:AR486),"-")</f>
        <v>-</v>
      </c>
      <c r="AT486" s="8" t="str">
        <f>IF($AD486&lt;=$C$25*12,AE486-$C$10-'RE Calculations'!$C673-'Mortgage Calculators (By Month)'!$M504,"-")</f>
        <v>-</v>
      </c>
      <c r="AU486" s="29" t="str">
        <f t="shared" si="213"/>
        <v>-</v>
      </c>
      <c r="AV486" s="31" t="str">
        <f t="shared" si="214"/>
        <v>-</v>
      </c>
      <c r="AW486" s="8" t="str">
        <f t="shared" si="215"/>
        <v>-</v>
      </c>
      <c r="AX486" s="29" t="str">
        <f t="shared" si="216"/>
        <v>-</v>
      </c>
      <c r="AY486" s="31" t="str">
        <f t="shared" si="217"/>
        <v>-</v>
      </c>
    </row>
    <row r="487" spans="6:51" x14ac:dyDescent="0.35">
      <c r="F487" s="12" t="str">
        <f t="shared" si="218"/>
        <v>-</v>
      </c>
      <c r="G487" s="8" t="str">
        <f t="shared" si="219"/>
        <v>-</v>
      </c>
      <c r="H487" s="8" t="str">
        <f>IF($F487&lt;=$C$16*12,$G487-$C$7+SUM('Mortgage Calculators (By Month)'!$D$23:$D505),"-")</f>
        <v>-</v>
      </c>
      <c r="I487" s="8" t="str">
        <f t="shared" si="196"/>
        <v>-</v>
      </c>
      <c r="J487" s="8" t="str">
        <f>IF($F487&lt;=$C$16*12,SUM(Inputs!$C$61:$C$78)*'Forecast (By Month)'!I487,"-")</f>
        <v>-</v>
      </c>
      <c r="K487" s="8" t="str">
        <f>IF($F487&lt;=$C$16*12,(SUMIF(Inputs!$C$61:$C$78,0,Inputs!$F$61:$F$78)/12)*(1+$C$34)^ROUNDDOWN((F487-1)/12,0),"-")</f>
        <v>-</v>
      </c>
      <c r="L487" s="8" t="str">
        <f t="shared" si="197"/>
        <v>-</v>
      </c>
      <c r="M487" s="8" t="str">
        <f>IF($F487&lt;=$C$16*12,'Mortgage Calculators (By Month)'!$C505,"-")</f>
        <v>-</v>
      </c>
      <c r="N487" s="8" t="str">
        <f>IF($F487&lt;=$C$16*12,'Mortgage Calculators (By Month)'!$D505,"-")</f>
        <v>-</v>
      </c>
      <c r="O487" s="8" t="str">
        <f>IF($F487&lt;=$C$16*12,'Mortgage Calculators (By Month)'!$E505,"-")</f>
        <v>-</v>
      </c>
      <c r="P487" s="8" t="str">
        <f t="shared" si="222"/>
        <v>-</v>
      </c>
      <c r="Q487" s="8" t="str">
        <f t="shared" si="198"/>
        <v>-</v>
      </c>
      <c r="R487" s="8" t="str">
        <f t="shared" si="199"/>
        <v>-</v>
      </c>
      <c r="S487" s="8" t="str">
        <f t="shared" si="200"/>
        <v>-</v>
      </c>
      <c r="T487" s="8" t="str">
        <f t="shared" si="201"/>
        <v>-</v>
      </c>
      <c r="U487" s="8" t="str">
        <f>IF($F487&lt;=$C$16*12,SUM(T$5:T487),"-")</f>
        <v>-</v>
      </c>
      <c r="V487" s="8" t="str">
        <f>IF($F487&lt;=$C$16*12,G487-$C$10-'RE Calculations'!$C674-'Mortgage Calculators (By Month)'!$F505,"-")</f>
        <v>-</v>
      </c>
      <c r="W487" s="29" t="str">
        <f t="shared" si="202"/>
        <v>-</v>
      </c>
      <c r="X487" s="31" t="str">
        <f t="shared" si="203"/>
        <v>-</v>
      </c>
      <c r="Y487" s="8" t="str">
        <f t="shared" si="204"/>
        <v>-</v>
      </c>
      <c r="Z487" s="29" t="str">
        <f t="shared" si="205"/>
        <v>-</v>
      </c>
      <c r="AA487" s="31" t="str">
        <f t="shared" si="206"/>
        <v>-</v>
      </c>
      <c r="AD487" s="12" t="str">
        <f t="shared" si="220"/>
        <v>-</v>
      </c>
      <c r="AE487" s="8" t="str">
        <f t="shared" si="221"/>
        <v>-</v>
      </c>
      <c r="AF487" s="8" t="str">
        <f>IF($AD487&lt;=$C$25*12,$AE487-$C$7+SUM('Mortgage Calculators (By Month)'!$K$23:$K505),"-")</f>
        <v>-</v>
      </c>
      <c r="AG487" s="8" t="str">
        <f t="shared" si="207"/>
        <v>-</v>
      </c>
      <c r="AH487" s="8" t="str">
        <f>IF($AD487&lt;=$C$25*12,SUM(Inputs!$C$61:$C$78)*'Forecast (By Month)'!AG487,"-")</f>
        <v>-</v>
      </c>
      <c r="AI487" s="8" t="str">
        <f>IF($AD487&lt;=$C$25*12,(SUMIF(Inputs!$C$61:$C$78,0,Inputs!$F$61:$F$78)/12)*(1+$C$34)^ROUNDDOWN((AD487-1)/12,0),"-")</f>
        <v>-</v>
      </c>
      <c r="AJ487" s="8" t="str">
        <f t="shared" si="208"/>
        <v>-</v>
      </c>
      <c r="AK487" s="8" t="str">
        <f>IF($AD487&lt;=$C$25*12,'Mortgage Calculators (By Month)'!$J505,"-")</f>
        <v>-</v>
      </c>
      <c r="AL487" s="8" t="str">
        <f>IF($AD487&lt;=$C$25*12,'Mortgage Calculators (By Month)'!$K505,"-")</f>
        <v>-</v>
      </c>
      <c r="AM487" s="8" t="str">
        <f>IF($AD487&lt;=$C$25*12,'Mortgage Calculators (By Month)'!$L505,"-")</f>
        <v>-</v>
      </c>
      <c r="AN487" s="8" t="str">
        <f t="shared" si="223"/>
        <v>-</v>
      </c>
      <c r="AO487" s="8" t="str">
        <f t="shared" si="209"/>
        <v>-</v>
      </c>
      <c r="AP487" s="8" t="str">
        <f t="shared" si="210"/>
        <v>-</v>
      </c>
      <c r="AQ487" s="8" t="str">
        <f t="shared" si="211"/>
        <v>-</v>
      </c>
      <c r="AR487" s="8" t="str">
        <f t="shared" si="212"/>
        <v>-</v>
      </c>
      <c r="AS487" s="8" t="str">
        <f>IF($AD487&lt;=$C$25*12,SUM(AR$5:AR487),"-")</f>
        <v>-</v>
      </c>
      <c r="AT487" s="8" t="str">
        <f>IF($AD487&lt;=$C$25*12,AE487-$C$10-'RE Calculations'!$C674-'Mortgage Calculators (By Month)'!$M505,"-")</f>
        <v>-</v>
      </c>
      <c r="AU487" s="29" t="str">
        <f t="shared" si="213"/>
        <v>-</v>
      </c>
      <c r="AV487" s="31" t="str">
        <f t="shared" si="214"/>
        <v>-</v>
      </c>
      <c r="AW487" s="8" t="str">
        <f t="shared" si="215"/>
        <v>-</v>
      </c>
      <c r="AX487" s="29" t="str">
        <f t="shared" si="216"/>
        <v>-</v>
      </c>
      <c r="AY487" s="31" t="str">
        <f t="shared" si="217"/>
        <v>-</v>
      </c>
    </row>
    <row r="488" spans="6:51" x14ac:dyDescent="0.35">
      <c r="F488" s="12" t="str">
        <f t="shared" si="218"/>
        <v>-</v>
      </c>
      <c r="G488" s="8" t="str">
        <f t="shared" si="219"/>
        <v>-</v>
      </c>
      <c r="H488" s="8" t="str">
        <f>IF($F488&lt;=$C$16*12,$G488-$C$7+SUM('Mortgage Calculators (By Month)'!$D$23:$D506),"-")</f>
        <v>-</v>
      </c>
      <c r="I488" s="8" t="str">
        <f t="shared" si="196"/>
        <v>-</v>
      </c>
      <c r="J488" s="8" t="str">
        <f>IF($F488&lt;=$C$16*12,SUM(Inputs!$C$61:$C$78)*'Forecast (By Month)'!I488,"-")</f>
        <v>-</v>
      </c>
      <c r="K488" s="8" t="str">
        <f>IF($F488&lt;=$C$16*12,(SUMIF(Inputs!$C$61:$C$78,0,Inputs!$F$61:$F$78)/12)*(1+$C$34)^ROUNDDOWN((F488-1)/12,0),"-")</f>
        <v>-</v>
      </c>
      <c r="L488" s="8" t="str">
        <f t="shared" si="197"/>
        <v>-</v>
      </c>
      <c r="M488" s="8" t="str">
        <f>IF($F488&lt;=$C$16*12,'Mortgage Calculators (By Month)'!$C506,"-")</f>
        <v>-</v>
      </c>
      <c r="N488" s="8" t="str">
        <f>IF($F488&lt;=$C$16*12,'Mortgage Calculators (By Month)'!$D506,"-")</f>
        <v>-</v>
      </c>
      <c r="O488" s="8" t="str">
        <f>IF($F488&lt;=$C$16*12,'Mortgage Calculators (By Month)'!$E506,"-")</f>
        <v>-</v>
      </c>
      <c r="P488" s="8" t="str">
        <f t="shared" si="222"/>
        <v>-</v>
      </c>
      <c r="Q488" s="8" t="str">
        <f t="shared" si="198"/>
        <v>-</v>
      </c>
      <c r="R488" s="8" t="str">
        <f t="shared" si="199"/>
        <v>-</v>
      </c>
      <c r="S488" s="8" t="str">
        <f t="shared" si="200"/>
        <v>-</v>
      </c>
      <c r="T488" s="8" t="str">
        <f t="shared" si="201"/>
        <v>-</v>
      </c>
      <c r="U488" s="8" t="str">
        <f>IF($F488&lt;=$C$16*12,SUM(T$5:T488),"-")</f>
        <v>-</v>
      </c>
      <c r="V488" s="8" t="str">
        <f>IF($F488&lt;=$C$16*12,G488-$C$10-'RE Calculations'!$C675-'Mortgage Calculators (By Month)'!$F506,"-")</f>
        <v>-</v>
      </c>
      <c r="W488" s="29" t="str">
        <f t="shared" si="202"/>
        <v>-</v>
      </c>
      <c r="X488" s="31" t="str">
        <f t="shared" si="203"/>
        <v>-</v>
      </c>
      <c r="Y488" s="8" t="str">
        <f t="shared" si="204"/>
        <v>-</v>
      </c>
      <c r="Z488" s="29" t="str">
        <f t="shared" si="205"/>
        <v>-</v>
      </c>
      <c r="AA488" s="31" t="str">
        <f t="shared" si="206"/>
        <v>-</v>
      </c>
      <c r="AD488" s="12" t="str">
        <f t="shared" si="220"/>
        <v>-</v>
      </c>
      <c r="AE488" s="8" t="str">
        <f t="shared" si="221"/>
        <v>-</v>
      </c>
      <c r="AF488" s="8" t="str">
        <f>IF($AD488&lt;=$C$25*12,$AE488-$C$7+SUM('Mortgage Calculators (By Month)'!$K$23:$K506),"-")</f>
        <v>-</v>
      </c>
      <c r="AG488" s="8" t="str">
        <f t="shared" si="207"/>
        <v>-</v>
      </c>
      <c r="AH488" s="8" t="str">
        <f>IF($AD488&lt;=$C$25*12,SUM(Inputs!$C$61:$C$78)*'Forecast (By Month)'!AG488,"-")</f>
        <v>-</v>
      </c>
      <c r="AI488" s="8" t="str">
        <f>IF($AD488&lt;=$C$25*12,(SUMIF(Inputs!$C$61:$C$78,0,Inputs!$F$61:$F$78)/12)*(1+$C$34)^ROUNDDOWN((AD488-1)/12,0),"-")</f>
        <v>-</v>
      </c>
      <c r="AJ488" s="8" t="str">
        <f t="shared" si="208"/>
        <v>-</v>
      </c>
      <c r="AK488" s="8" t="str">
        <f>IF($AD488&lt;=$C$25*12,'Mortgage Calculators (By Month)'!$J506,"-")</f>
        <v>-</v>
      </c>
      <c r="AL488" s="8" t="str">
        <f>IF($AD488&lt;=$C$25*12,'Mortgage Calculators (By Month)'!$K506,"-")</f>
        <v>-</v>
      </c>
      <c r="AM488" s="8" t="str">
        <f>IF($AD488&lt;=$C$25*12,'Mortgage Calculators (By Month)'!$L506,"-")</f>
        <v>-</v>
      </c>
      <c r="AN488" s="8" t="str">
        <f t="shared" si="223"/>
        <v>-</v>
      </c>
      <c r="AO488" s="8" t="str">
        <f t="shared" si="209"/>
        <v>-</v>
      </c>
      <c r="AP488" s="8" t="str">
        <f t="shared" si="210"/>
        <v>-</v>
      </c>
      <c r="AQ488" s="8" t="str">
        <f t="shared" si="211"/>
        <v>-</v>
      </c>
      <c r="AR488" s="8" t="str">
        <f t="shared" si="212"/>
        <v>-</v>
      </c>
      <c r="AS488" s="8" t="str">
        <f>IF($AD488&lt;=$C$25*12,SUM(AR$5:AR488),"-")</f>
        <v>-</v>
      </c>
      <c r="AT488" s="8" t="str">
        <f>IF($AD488&lt;=$C$25*12,AE488-$C$10-'RE Calculations'!$C675-'Mortgage Calculators (By Month)'!$M506,"-")</f>
        <v>-</v>
      </c>
      <c r="AU488" s="29" t="str">
        <f t="shared" si="213"/>
        <v>-</v>
      </c>
      <c r="AV488" s="31" t="str">
        <f t="shared" si="214"/>
        <v>-</v>
      </c>
      <c r="AW488" s="8" t="str">
        <f t="shared" si="215"/>
        <v>-</v>
      </c>
      <c r="AX488" s="29" t="str">
        <f t="shared" si="216"/>
        <v>-</v>
      </c>
      <c r="AY488" s="31" t="str">
        <f t="shared" si="217"/>
        <v>-</v>
      </c>
    </row>
    <row r="489" spans="6:51" x14ac:dyDescent="0.35">
      <c r="F489" s="12" t="str">
        <f t="shared" si="218"/>
        <v>-</v>
      </c>
      <c r="G489" s="8" t="str">
        <f t="shared" si="219"/>
        <v>-</v>
      </c>
      <c r="H489" s="8" t="str">
        <f>IF($F489&lt;=$C$16*12,$G489-$C$7+SUM('Mortgage Calculators (By Month)'!$D$23:$D507),"-")</f>
        <v>-</v>
      </c>
      <c r="I489" s="8" t="str">
        <f t="shared" si="196"/>
        <v>-</v>
      </c>
      <c r="J489" s="8" t="str">
        <f>IF($F489&lt;=$C$16*12,SUM(Inputs!$C$61:$C$78)*'Forecast (By Month)'!I489,"-")</f>
        <v>-</v>
      </c>
      <c r="K489" s="8" t="str">
        <f>IF($F489&lt;=$C$16*12,(SUMIF(Inputs!$C$61:$C$78,0,Inputs!$F$61:$F$78)/12)*(1+$C$34)^ROUNDDOWN((F489-1)/12,0),"-")</f>
        <v>-</v>
      </c>
      <c r="L489" s="8" t="str">
        <f t="shared" si="197"/>
        <v>-</v>
      </c>
      <c r="M489" s="8" t="str">
        <f>IF($F489&lt;=$C$16*12,'Mortgage Calculators (By Month)'!$C507,"-")</f>
        <v>-</v>
      </c>
      <c r="N489" s="8" t="str">
        <f>IF($F489&lt;=$C$16*12,'Mortgage Calculators (By Month)'!$D507,"-")</f>
        <v>-</v>
      </c>
      <c r="O489" s="8" t="str">
        <f>IF($F489&lt;=$C$16*12,'Mortgage Calculators (By Month)'!$E507,"-")</f>
        <v>-</v>
      </c>
      <c r="P489" s="8" t="str">
        <f t="shared" si="222"/>
        <v>-</v>
      </c>
      <c r="Q489" s="8" t="str">
        <f t="shared" si="198"/>
        <v>-</v>
      </c>
      <c r="R489" s="8" t="str">
        <f t="shared" si="199"/>
        <v>-</v>
      </c>
      <c r="S489" s="8" t="str">
        <f t="shared" si="200"/>
        <v>-</v>
      </c>
      <c r="T489" s="8" t="str">
        <f t="shared" si="201"/>
        <v>-</v>
      </c>
      <c r="U489" s="8" t="str">
        <f>IF($F489&lt;=$C$16*12,SUM(T$5:T489),"-")</f>
        <v>-</v>
      </c>
      <c r="V489" s="8" t="str">
        <f>IF($F489&lt;=$C$16*12,G489-$C$10-'RE Calculations'!$C676-'Mortgage Calculators (By Month)'!$F507,"-")</f>
        <v>-</v>
      </c>
      <c r="W489" s="29" t="str">
        <f t="shared" si="202"/>
        <v>-</v>
      </c>
      <c r="X489" s="31" t="str">
        <f t="shared" si="203"/>
        <v>-</v>
      </c>
      <c r="Y489" s="8" t="str">
        <f t="shared" si="204"/>
        <v>-</v>
      </c>
      <c r="Z489" s="29" t="str">
        <f t="shared" si="205"/>
        <v>-</v>
      </c>
      <c r="AA489" s="31" t="str">
        <f t="shared" si="206"/>
        <v>-</v>
      </c>
      <c r="AD489" s="12" t="str">
        <f t="shared" si="220"/>
        <v>-</v>
      </c>
      <c r="AE489" s="8" t="str">
        <f t="shared" si="221"/>
        <v>-</v>
      </c>
      <c r="AF489" s="8" t="str">
        <f>IF($AD489&lt;=$C$25*12,$AE489-$C$7+SUM('Mortgage Calculators (By Month)'!$K$23:$K507),"-")</f>
        <v>-</v>
      </c>
      <c r="AG489" s="8" t="str">
        <f t="shared" si="207"/>
        <v>-</v>
      </c>
      <c r="AH489" s="8" t="str">
        <f>IF($AD489&lt;=$C$25*12,SUM(Inputs!$C$61:$C$78)*'Forecast (By Month)'!AG489,"-")</f>
        <v>-</v>
      </c>
      <c r="AI489" s="8" t="str">
        <f>IF($AD489&lt;=$C$25*12,(SUMIF(Inputs!$C$61:$C$78,0,Inputs!$F$61:$F$78)/12)*(1+$C$34)^ROUNDDOWN((AD489-1)/12,0),"-")</f>
        <v>-</v>
      </c>
      <c r="AJ489" s="8" t="str">
        <f t="shared" si="208"/>
        <v>-</v>
      </c>
      <c r="AK489" s="8" t="str">
        <f>IF($AD489&lt;=$C$25*12,'Mortgage Calculators (By Month)'!$J507,"-")</f>
        <v>-</v>
      </c>
      <c r="AL489" s="8" t="str">
        <f>IF($AD489&lt;=$C$25*12,'Mortgage Calculators (By Month)'!$K507,"-")</f>
        <v>-</v>
      </c>
      <c r="AM489" s="8" t="str">
        <f>IF($AD489&lt;=$C$25*12,'Mortgage Calculators (By Month)'!$L507,"-")</f>
        <v>-</v>
      </c>
      <c r="AN489" s="8" t="str">
        <f t="shared" si="223"/>
        <v>-</v>
      </c>
      <c r="AO489" s="8" t="str">
        <f t="shared" si="209"/>
        <v>-</v>
      </c>
      <c r="AP489" s="8" t="str">
        <f t="shared" si="210"/>
        <v>-</v>
      </c>
      <c r="AQ489" s="8" t="str">
        <f t="shared" si="211"/>
        <v>-</v>
      </c>
      <c r="AR489" s="8" t="str">
        <f t="shared" si="212"/>
        <v>-</v>
      </c>
      <c r="AS489" s="8" t="str">
        <f>IF($AD489&lt;=$C$25*12,SUM(AR$5:AR489),"-")</f>
        <v>-</v>
      </c>
      <c r="AT489" s="8" t="str">
        <f>IF($AD489&lt;=$C$25*12,AE489-$C$10-'RE Calculations'!$C676-'Mortgage Calculators (By Month)'!$M507,"-")</f>
        <v>-</v>
      </c>
      <c r="AU489" s="29" t="str">
        <f t="shared" si="213"/>
        <v>-</v>
      </c>
      <c r="AV489" s="31" t="str">
        <f t="shared" si="214"/>
        <v>-</v>
      </c>
      <c r="AW489" s="8" t="str">
        <f t="shared" si="215"/>
        <v>-</v>
      </c>
      <c r="AX489" s="29" t="str">
        <f t="shared" si="216"/>
        <v>-</v>
      </c>
      <c r="AY489" s="31" t="str">
        <f t="shared" si="217"/>
        <v>-</v>
      </c>
    </row>
    <row r="490" spans="6:51" x14ac:dyDescent="0.35">
      <c r="F490" s="12" t="str">
        <f t="shared" si="218"/>
        <v>-</v>
      </c>
      <c r="G490" s="8" t="str">
        <f t="shared" si="219"/>
        <v>-</v>
      </c>
      <c r="H490" s="8" t="str">
        <f>IF($F490&lt;=$C$16*12,$G490-$C$7+SUM('Mortgage Calculators (By Month)'!$D$23:$D508),"-")</f>
        <v>-</v>
      </c>
      <c r="I490" s="8" t="str">
        <f t="shared" si="196"/>
        <v>-</v>
      </c>
      <c r="J490" s="8" t="str">
        <f>IF($F490&lt;=$C$16*12,SUM(Inputs!$C$61:$C$78)*'Forecast (By Month)'!I490,"-")</f>
        <v>-</v>
      </c>
      <c r="K490" s="8" t="str">
        <f>IF($F490&lt;=$C$16*12,(SUMIF(Inputs!$C$61:$C$78,0,Inputs!$F$61:$F$78)/12)*(1+$C$34)^ROUNDDOWN((F490-1)/12,0),"-")</f>
        <v>-</v>
      </c>
      <c r="L490" s="8" t="str">
        <f t="shared" si="197"/>
        <v>-</v>
      </c>
      <c r="M490" s="8" t="str">
        <f>IF($F490&lt;=$C$16*12,'Mortgage Calculators (By Month)'!$C508,"-")</f>
        <v>-</v>
      </c>
      <c r="N490" s="8" t="str">
        <f>IF($F490&lt;=$C$16*12,'Mortgage Calculators (By Month)'!$D508,"-")</f>
        <v>-</v>
      </c>
      <c r="O490" s="8" t="str">
        <f>IF($F490&lt;=$C$16*12,'Mortgage Calculators (By Month)'!$E508,"-")</f>
        <v>-</v>
      </c>
      <c r="P490" s="8" t="str">
        <f t="shared" si="222"/>
        <v>-</v>
      </c>
      <c r="Q490" s="8" t="str">
        <f t="shared" si="198"/>
        <v>-</v>
      </c>
      <c r="R490" s="8" t="str">
        <f t="shared" si="199"/>
        <v>-</v>
      </c>
      <c r="S490" s="8" t="str">
        <f t="shared" si="200"/>
        <v>-</v>
      </c>
      <c r="T490" s="8" t="str">
        <f t="shared" si="201"/>
        <v>-</v>
      </c>
      <c r="U490" s="8" t="str">
        <f>IF($F490&lt;=$C$16*12,SUM(T$5:T490),"-")</f>
        <v>-</v>
      </c>
      <c r="V490" s="8" t="str">
        <f>IF($F490&lt;=$C$16*12,G490-$C$10-'RE Calculations'!$C677-'Mortgage Calculators (By Month)'!$F508,"-")</f>
        <v>-</v>
      </c>
      <c r="W490" s="29" t="str">
        <f t="shared" si="202"/>
        <v>-</v>
      </c>
      <c r="X490" s="31" t="str">
        <f t="shared" si="203"/>
        <v>-</v>
      </c>
      <c r="Y490" s="8" t="str">
        <f t="shared" si="204"/>
        <v>-</v>
      </c>
      <c r="Z490" s="29" t="str">
        <f t="shared" si="205"/>
        <v>-</v>
      </c>
      <c r="AA490" s="31" t="str">
        <f t="shared" si="206"/>
        <v>-</v>
      </c>
      <c r="AD490" s="12" t="str">
        <f t="shared" si="220"/>
        <v>-</v>
      </c>
      <c r="AE490" s="8" t="str">
        <f t="shared" si="221"/>
        <v>-</v>
      </c>
      <c r="AF490" s="8" t="str">
        <f>IF($AD490&lt;=$C$25*12,$AE490-$C$7+SUM('Mortgage Calculators (By Month)'!$K$23:$K508),"-")</f>
        <v>-</v>
      </c>
      <c r="AG490" s="8" t="str">
        <f t="shared" si="207"/>
        <v>-</v>
      </c>
      <c r="AH490" s="8" t="str">
        <f>IF($AD490&lt;=$C$25*12,SUM(Inputs!$C$61:$C$78)*'Forecast (By Month)'!AG490,"-")</f>
        <v>-</v>
      </c>
      <c r="AI490" s="8" t="str">
        <f>IF($AD490&lt;=$C$25*12,(SUMIF(Inputs!$C$61:$C$78,0,Inputs!$F$61:$F$78)/12)*(1+$C$34)^ROUNDDOWN((AD490-1)/12,0),"-")</f>
        <v>-</v>
      </c>
      <c r="AJ490" s="8" t="str">
        <f t="shared" si="208"/>
        <v>-</v>
      </c>
      <c r="AK490" s="8" t="str">
        <f>IF($AD490&lt;=$C$25*12,'Mortgage Calculators (By Month)'!$J508,"-")</f>
        <v>-</v>
      </c>
      <c r="AL490" s="8" t="str">
        <f>IF($AD490&lt;=$C$25*12,'Mortgage Calculators (By Month)'!$K508,"-")</f>
        <v>-</v>
      </c>
      <c r="AM490" s="8" t="str">
        <f>IF($AD490&lt;=$C$25*12,'Mortgage Calculators (By Month)'!$L508,"-")</f>
        <v>-</v>
      </c>
      <c r="AN490" s="8" t="str">
        <f t="shared" si="223"/>
        <v>-</v>
      </c>
      <c r="AO490" s="8" t="str">
        <f t="shared" si="209"/>
        <v>-</v>
      </c>
      <c r="AP490" s="8" t="str">
        <f t="shared" si="210"/>
        <v>-</v>
      </c>
      <c r="AQ490" s="8" t="str">
        <f t="shared" si="211"/>
        <v>-</v>
      </c>
      <c r="AR490" s="8" t="str">
        <f t="shared" si="212"/>
        <v>-</v>
      </c>
      <c r="AS490" s="8" t="str">
        <f>IF($AD490&lt;=$C$25*12,SUM(AR$5:AR490),"-")</f>
        <v>-</v>
      </c>
      <c r="AT490" s="8" t="str">
        <f>IF($AD490&lt;=$C$25*12,AE490-$C$10-'RE Calculations'!$C677-'Mortgage Calculators (By Month)'!$M508,"-")</f>
        <v>-</v>
      </c>
      <c r="AU490" s="29" t="str">
        <f t="shared" si="213"/>
        <v>-</v>
      </c>
      <c r="AV490" s="31" t="str">
        <f t="shared" si="214"/>
        <v>-</v>
      </c>
      <c r="AW490" s="8" t="str">
        <f t="shared" si="215"/>
        <v>-</v>
      </c>
      <c r="AX490" s="29" t="str">
        <f t="shared" si="216"/>
        <v>-</v>
      </c>
      <c r="AY490" s="31" t="str">
        <f t="shared" si="217"/>
        <v>-</v>
      </c>
    </row>
    <row r="491" spans="6:51" x14ac:dyDescent="0.35">
      <c r="F491" s="12" t="str">
        <f t="shared" si="218"/>
        <v>-</v>
      </c>
      <c r="G491" s="8" t="str">
        <f t="shared" si="219"/>
        <v>-</v>
      </c>
      <c r="H491" s="8" t="str">
        <f>IF($F491&lt;=$C$16*12,$G491-$C$7+SUM('Mortgage Calculators (By Month)'!$D$23:$D509),"-")</f>
        <v>-</v>
      </c>
      <c r="I491" s="8" t="str">
        <f t="shared" si="196"/>
        <v>-</v>
      </c>
      <c r="J491" s="8" t="str">
        <f>IF($F491&lt;=$C$16*12,SUM(Inputs!$C$61:$C$78)*'Forecast (By Month)'!I491,"-")</f>
        <v>-</v>
      </c>
      <c r="K491" s="8" t="str">
        <f>IF($F491&lt;=$C$16*12,(SUMIF(Inputs!$C$61:$C$78,0,Inputs!$F$61:$F$78)/12)*(1+$C$34)^ROUNDDOWN((F491-1)/12,0),"-")</f>
        <v>-</v>
      </c>
      <c r="L491" s="8" t="str">
        <f t="shared" si="197"/>
        <v>-</v>
      </c>
      <c r="M491" s="8" t="str">
        <f>IF($F491&lt;=$C$16*12,'Mortgage Calculators (By Month)'!$C509,"-")</f>
        <v>-</v>
      </c>
      <c r="N491" s="8" t="str">
        <f>IF($F491&lt;=$C$16*12,'Mortgage Calculators (By Month)'!$D509,"-")</f>
        <v>-</v>
      </c>
      <c r="O491" s="8" t="str">
        <f>IF($F491&lt;=$C$16*12,'Mortgage Calculators (By Month)'!$E509,"-")</f>
        <v>-</v>
      </c>
      <c r="P491" s="8" t="str">
        <f t="shared" si="222"/>
        <v>-</v>
      </c>
      <c r="Q491" s="8" t="str">
        <f t="shared" si="198"/>
        <v>-</v>
      </c>
      <c r="R491" s="8" t="str">
        <f t="shared" si="199"/>
        <v>-</v>
      </c>
      <c r="S491" s="8" t="str">
        <f t="shared" si="200"/>
        <v>-</v>
      </c>
      <c r="T491" s="8" t="str">
        <f t="shared" si="201"/>
        <v>-</v>
      </c>
      <c r="U491" s="8" t="str">
        <f>IF($F491&lt;=$C$16*12,SUM(T$5:T491),"-")</f>
        <v>-</v>
      </c>
      <c r="V491" s="8" t="str">
        <f>IF($F491&lt;=$C$16*12,G491-$C$10-'RE Calculations'!$C678-'Mortgage Calculators (By Month)'!$F509,"-")</f>
        <v>-</v>
      </c>
      <c r="W491" s="29" t="str">
        <f t="shared" si="202"/>
        <v>-</v>
      </c>
      <c r="X491" s="31" t="str">
        <f t="shared" si="203"/>
        <v>-</v>
      </c>
      <c r="Y491" s="8" t="str">
        <f t="shared" si="204"/>
        <v>-</v>
      </c>
      <c r="Z491" s="29" t="str">
        <f t="shared" si="205"/>
        <v>-</v>
      </c>
      <c r="AA491" s="31" t="str">
        <f t="shared" si="206"/>
        <v>-</v>
      </c>
      <c r="AD491" s="12" t="str">
        <f t="shared" si="220"/>
        <v>-</v>
      </c>
      <c r="AE491" s="8" t="str">
        <f t="shared" si="221"/>
        <v>-</v>
      </c>
      <c r="AF491" s="8" t="str">
        <f>IF($AD491&lt;=$C$25*12,$AE491-$C$7+SUM('Mortgage Calculators (By Month)'!$K$23:$K509),"-")</f>
        <v>-</v>
      </c>
      <c r="AG491" s="8" t="str">
        <f t="shared" si="207"/>
        <v>-</v>
      </c>
      <c r="AH491" s="8" t="str">
        <f>IF($AD491&lt;=$C$25*12,SUM(Inputs!$C$61:$C$78)*'Forecast (By Month)'!AG491,"-")</f>
        <v>-</v>
      </c>
      <c r="AI491" s="8" t="str">
        <f>IF($AD491&lt;=$C$25*12,(SUMIF(Inputs!$C$61:$C$78,0,Inputs!$F$61:$F$78)/12)*(1+$C$34)^ROUNDDOWN((AD491-1)/12,0),"-")</f>
        <v>-</v>
      </c>
      <c r="AJ491" s="8" t="str">
        <f t="shared" si="208"/>
        <v>-</v>
      </c>
      <c r="AK491" s="8" t="str">
        <f>IF($AD491&lt;=$C$25*12,'Mortgage Calculators (By Month)'!$J509,"-")</f>
        <v>-</v>
      </c>
      <c r="AL491" s="8" t="str">
        <f>IF($AD491&lt;=$C$25*12,'Mortgage Calculators (By Month)'!$K509,"-")</f>
        <v>-</v>
      </c>
      <c r="AM491" s="8" t="str">
        <f>IF($AD491&lt;=$C$25*12,'Mortgage Calculators (By Month)'!$L509,"-")</f>
        <v>-</v>
      </c>
      <c r="AN491" s="8" t="str">
        <f t="shared" si="223"/>
        <v>-</v>
      </c>
      <c r="AO491" s="8" t="str">
        <f t="shared" si="209"/>
        <v>-</v>
      </c>
      <c r="AP491" s="8" t="str">
        <f t="shared" si="210"/>
        <v>-</v>
      </c>
      <c r="AQ491" s="8" t="str">
        <f t="shared" si="211"/>
        <v>-</v>
      </c>
      <c r="AR491" s="8" t="str">
        <f t="shared" si="212"/>
        <v>-</v>
      </c>
      <c r="AS491" s="8" t="str">
        <f>IF($AD491&lt;=$C$25*12,SUM(AR$5:AR491),"-")</f>
        <v>-</v>
      </c>
      <c r="AT491" s="8" t="str">
        <f>IF($AD491&lt;=$C$25*12,AE491-$C$10-'RE Calculations'!$C678-'Mortgage Calculators (By Month)'!$M509,"-")</f>
        <v>-</v>
      </c>
      <c r="AU491" s="29" t="str">
        <f t="shared" si="213"/>
        <v>-</v>
      </c>
      <c r="AV491" s="31" t="str">
        <f t="shared" si="214"/>
        <v>-</v>
      </c>
      <c r="AW491" s="8" t="str">
        <f t="shared" si="215"/>
        <v>-</v>
      </c>
      <c r="AX491" s="29" t="str">
        <f t="shared" si="216"/>
        <v>-</v>
      </c>
      <c r="AY491" s="31" t="str">
        <f t="shared" si="217"/>
        <v>-</v>
      </c>
    </row>
    <row r="492" spans="6:51" x14ac:dyDescent="0.35">
      <c r="F492" s="12" t="str">
        <f t="shared" si="218"/>
        <v>-</v>
      </c>
      <c r="G492" s="8" t="str">
        <f t="shared" si="219"/>
        <v>-</v>
      </c>
      <c r="H492" s="8" t="str">
        <f>IF($F492&lt;=$C$16*12,$G492-$C$7+SUM('Mortgage Calculators (By Month)'!$D$23:$D510),"-")</f>
        <v>-</v>
      </c>
      <c r="I492" s="8" t="str">
        <f t="shared" si="196"/>
        <v>-</v>
      </c>
      <c r="J492" s="8" t="str">
        <f>IF($F492&lt;=$C$16*12,SUM(Inputs!$C$61:$C$78)*'Forecast (By Month)'!I492,"-")</f>
        <v>-</v>
      </c>
      <c r="K492" s="8" t="str">
        <f>IF($F492&lt;=$C$16*12,(SUMIF(Inputs!$C$61:$C$78,0,Inputs!$F$61:$F$78)/12)*(1+$C$34)^ROUNDDOWN((F492-1)/12,0),"-")</f>
        <v>-</v>
      </c>
      <c r="L492" s="8" t="str">
        <f t="shared" si="197"/>
        <v>-</v>
      </c>
      <c r="M492" s="8" t="str">
        <f>IF($F492&lt;=$C$16*12,'Mortgage Calculators (By Month)'!$C510,"-")</f>
        <v>-</v>
      </c>
      <c r="N492" s="8" t="str">
        <f>IF($F492&lt;=$C$16*12,'Mortgage Calculators (By Month)'!$D510,"-")</f>
        <v>-</v>
      </c>
      <c r="O492" s="8" t="str">
        <f>IF($F492&lt;=$C$16*12,'Mortgage Calculators (By Month)'!$E510,"-")</f>
        <v>-</v>
      </c>
      <c r="P492" s="8" t="str">
        <f t="shared" si="222"/>
        <v>-</v>
      </c>
      <c r="Q492" s="8" t="str">
        <f t="shared" si="198"/>
        <v>-</v>
      </c>
      <c r="R492" s="8" t="str">
        <f t="shared" si="199"/>
        <v>-</v>
      </c>
      <c r="S492" s="8" t="str">
        <f t="shared" si="200"/>
        <v>-</v>
      </c>
      <c r="T492" s="8" t="str">
        <f t="shared" si="201"/>
        <v>-</v>
      </c>
      <c r="U492" s="8" t="str">
        <f>IF($F492&lt;=$C$16*12,SUM(T$5:T492),"-")</f>
        <v>-</v>
      </c>
      <c r="V492" s="8" t="str">
        <f>IF($F492&lt;=$C$16*12,G492-$C$10-'RE Calculations'!$C679-'Mortgage Calculators (By Month)'!$F510,"-")</f>
        <v>-</v>
      </c>
      <c r="W492" s="29" t="str">
        <f t="shared" si="202"/>
        <v>-</v>
      </c>
      <c r="X492" s="31" t="str">
        <f t="shared" si="203"/>
        <v>-</v>
      </c>
      <c r="Y492" s="8" t="str">
        <f t="shared" si="204"/>
        <v>-</v>
      </c>
      <c r="Z492" s="29" t="str">
        <f t="shared" si="205"/>
        <v>-</v>
      </c>
      <c r="AA492" s="31" t="str">
        <f t="shared" si="206"/>
        <v>-</v>
      </c>
      <c r="AD492" s="12" t="str">
        <f t="shared" si="220"/>
        <v>-</v>
      </c>
      <c r="AE492" s="8" t="str">
        <f t="shared" si="221"/>
        <v>-</v>
      </c>
      <c r="AF492" s="8" t="str">
        <f>IF($AD492&lt;=$C$25*12,$AE492-$C$7+SUM('Mortgage Calculators (By Month)'!$K$23:$K510),"-")</f>
        <v>-</v>
      </c>
      <c r="AG492" s="8" t="str">
        <f t="shared" si="207"/>
        <v>-</v>
      </c>
      <c r="AH492" s="8" t="str">
        <f>IF($AD492&lt;=$C$25*12,SUM(Inputs!$C$61:$C$78)*'Forecast (By Month)'!AG492,"-")</f>
        <v>-</v>
      </c>
      <c r="AI492" s="8" t="str">
        <f>IF($AD492&lt;=$C$25*12,(SUMIF(Inputs!$C$61:$C$78,0,Inputs!$F$61:$F$78)/12)*(1+$C$34)^ROUNDDOWN((AD492-1)/12,0),"-")</f>
        <v>-</v>
      </c>
      <c r="AJ492" s="8" t="str">
        <f t="shared" si="208"/>
        <v>-</v>
      </c>
      <c r="AK492" s="8" t="str">
        <f>IF($AD492&lt;=$C$25*12,'Mortgage Calculators (By Month)'!$J510,"-")</f>
        <v>-</v>
      </c>
      <c r="AL492" s="8" t="str">
        <f>IF($AD492&lt;=$C$25*12,'Mortgage Calculators (By Month)'!$K510,"-")</f>
        <v>-</v>
      </c>
      <c r="AM492" s="8" t="str">
        <f>IF($AD492&lt;=$C$25*12,'Mortgage Calculators (By Month)'!$L510,"-")</f>
        <v>-</v>
      </c>
      <c r="AN492" s="8" t="str">
        <f t="shared" si="223"/>
        <v>-</v>
      </c>
      <c r="AO492" s="8" t="str">
        <f t="shared" si="209"/>
        <v>-</v>
      </c>
      <c r="AP492" s="8" t="str">
        <f t="shared" si="210"/>
        <v>-</v>
      </c>
      <c r="AQ492" s="8" t="str">
        <f t="shared" si="211"/>
        <v>-</v>
      </c>
      <c r="AR492" s="8" t="str">
        <f t="shared" si="212"/>
        <v>-</v>
      </c>
      <c r="AS492" s="8" t="str">
        <f>IF($AD492&lt;=$C$25*12,SUM(AR$5:AR492),"-")</f>
        <v>-</v>
      </c>
      <c r="AT492" s="8" t="str">
        <f>IF($AD492&lt;=$C$25*12,AE492-$C$10-'RE Calculations'!$C679-'Mortgage Calculators (By Month)'!$M510,"-")</f>
        <v>-</v>
      </c>
      <c r="AU492" s="29" t="str">
        <f t="shared" si="213"/>
        <v>-</v>
      </c>
      <c r="AV492" s="31" t="str">
        <f t="shared" si="214"/>
        <v>-</v>
      </c>
      <c r="AW492" s="8" t="str">
        <f t="shared" si="215"/>
        <v>-</v>
      </c>
      <c r="AX492" s="29" t="str">
        <f t="shared" si="216"/>
        <v>-</v>
      </c>
      <c r="AY492" s="31" t="str">
        <f t="shared" si="217"/>
        <v>-</v>
      </c>
    </row>
    <row r="493" spans="6:51" x14ac:dyDescent="0.35">
      <c r="F493" s="12" t="str">
        <f t="shared" si="218"/>
        <v>-</v>
      </c>
      <c r="G493" s="8" t="str">
        <f t="shared" si="219"/>
        <v>-</v>
      </c>
      <c r="H493" s="8" t="str">
        <f>IF($F493&lt;=$C$16*12,$G493-$C$7+SUM('Mortgage Calculators (By Month)'!$D$23:$D511),"-")</f>
        <v>-</v>
      </c>
      <c r="I493" s="8" t="str">
        <f t="shared" si="196"/>
        <v>-</v>
      </c>
      <c r="J493" s="8" t="str">
        <f>IF($F493&lt;=$C$16*12,SUM(Inputs!$C$61:$C$78)*'Forecast (By Month)'!I493,"-")</f>
        <v>-</v>
      </c>
      <c r="K493" s="8" t="str">
        <f>IF($F493&lt;=$C$16*12,(SUMIF(Inputs!$C$61:$C$78,0,Inputs!$F$61:$F$78)/12)*(1+$C$34)^ROUNDDOWN((F493-1)/12,0),"-")</f>
        <v>-</v>
      </c>
      <c r="L493" s="8" t="str">
        <f t="shared" si="197"/>
        <v>-</v>
      </c>
      <c r="M493" s="8" t="str">
        <f>IF($F493&lt;=$C$16*12,'Mortgage Calculators (By Month)'!$C511,"-")</f>
        <v>-</v>
      </c>
      <c r="N493" s="8" t="str">
        <f>IF($F493&lt;=$C$16*12,'Mortgage Calculators (By Month)'!$D511,"-")</f>
        <v>-</v>
      </c>
      <c r="O493" s="8" t="str">
        <f>IF($F493&lt;=$C$16*12,'Mortgage Calculators (By Month)'!$E511,"-")</f>
        <v>-</v>
      </c>
      <c r="P493" s="8" t="str">
        <f t="shared" si="222"/>
        <v>-</v>
      </c>
      <c r="Q493" s="8" t="str">
        <f t="shared" si="198"/>
        <v>-</v>
      </c>
      <c r="R493" s="8" t="str">
        <f t="shared" si="199"/>
        <v>-</v>
      </c>
      <c r="S493" s="8" t="str">
        <f t="shared" si="200"/>
        <v>-</v>
      </c>
      <c r="T493" s="8" t="str">
        <f t="shared" si="201"/>
        <v>-</v>
      </c>
      <c r="U493" s="8" t="str">
        <f>IF($F493&lt;=$C$16*12,SUM(T$5:T493),"-")</f>
        <v>-</v>
      </c>
      <c r="V493" s="8" t="str">
        <f>IF($F493&lt;=$C$16*12,G493-$C$10-'RE Calculations'!$C680-'Mortgage Calculators (By Month)'!$F511,"-")</f>
        <v>-</v>
      </c>
      <c r="W493" s="29" t="str">
        <f t="shared" si="202"/>
        <v>-</v>
      </c>
      <c r="X493" s="31" t="str">
        <f t="shared" si="203"/>
        <v>-</v>
      </c>
      <c r="Y493" s="8" t="str">
        <f t="shared" si="204"/>
        <v>-</v>
      </c>
      <c r="Z493" s="29" t="str">
        <f t="shared" si="205"/>
        <v>-</v>
      </c>
      <c r="AA493" s="31" t="str">
        <f t="shared" si="206"/>
        <v>-</v>
      </c>
      <c r="AD493" s="12" t="str">
        <f t="shared" si="220"/>
        <v>-</v>
      </c>
      <c r="AE493" s="8" t="str">
        <f t="shared" si="221"/>
        <v>-</v>
      </c>
      <c r="AF493" s="8" t="str">
        <f>IF($AD493&lt;=$C$25*12,$AE493-$C$7+SUM('Mortgage Calculators (By Month)'!$K$23:$K511),"-")</f>
        <v>-</v>
      </c>
      <c r="AG493" s="8" t="str">
        <f t="shared" si="207"/>
        <v>-</v>
      </c>
      <c r="AH493" s="8" t="str">
        <f>IF($AD493&lt;=$C$25*12,SUM(Inputs!$C$61:$C$78)*'Forecast (By Month)'!AG493,"-")</f>
        <v>-</v>
      </c>
      <c r="AI493" s="8" t="str">
        <f>IF($AD493&lt;=$C$25*12,(SUMIF(Inputs!$C$61:$C$78,0,Inputs!$F$61:$F$78)/12)*(1+$C$34)^ROUNDDOWN((AD493-1)/12,0),"-")</f>
        <v>-</v>
      </c>
      <c r="AJ493" s="8" t="str">
        <f t="shared" si="208"/>
        <v>-</v>
      </c>
      <c r="AK493" s="8" t="str">
        <f>IF($AD493&lt;=$C$25*12,'Mortgage Calculators (By Month)'!$J511,"-")</f>
        <v>-</v>
      </c>
      <c r="AL493" s="8" t="str">
        <f>IF($AD493&lt;=$C$25*12,'Mortgage Calculators (By Month)'!$K511,"-")</f>
        <v>-</v>
      </c>
      <c r="AM493" s="8" t="str">
        <f>IF($AD493&lt;=$C$25*12,'Mortgage Calculators (By Month)'!$L511,"-")</f>
        <v>-</v>
      </c>
      <c r="AN493" s="8" t="str">
        <f t="shared" si="223"/>
        <v>-</v>
      </c>
      <c r="AO493" s="8" t="str">
        <f t="shared" si="209"/>
        <v>-</v>
      </c>
      <c r="AP493" s="8" t="str">
        <f t="shared" si="210"/>
        <v>-</v>
      </c>
      <c r="AQ493" s="8" t="str">
        <f t="shared" si="211"/>
        <v>-</v>
      </c>
      <c r="AR493" s="8" t="str">
        <f t="shared" si="212"/>
        <v>-</v>
      </c>
      <c r="AS493" s="8" t="str">
        <f>IF($AD493&lt;=$C$25*12,SUM(AR$5:AR493),"-")</f>
        <v>-</v>
      </c>
      <c r="AT493" s="8" t="str">
        <f>IF($AD493&lt;=$C$25*12,AE493-$C$10-'RE Calculations'!$C680-'Mortgage Calculators (By Month)'!$M511,"-")</f>
        <v>-</v>
      </c>
      <c r="AU493" s="29" t="str">
        <f t="shared" si="213"/>
        <v>-</v>
      </c>
      <c r="AV493" s="31" t="str">
        <f t="shared" si="214"/>
        <v>-</v>
      </c>
      <c r="AW493" s="8" t="str">
        <f t="shared" si="215"/>
        <v>-</v>
      </c>
      <c r="AX493" s="29" t="str">
        <f t="shared" si="216"/>
        <v>-</v>
      </c>
      <c r="AY493" s="31" t="str">
        <f t="shared" si="217"/>
        <v>-</v>
      </c>
    </row>
    <row r="494" spans="6:51" x14ac:dyDescent="0.35">
      <c r="F494" s="12" t="str">
        <f t="shared" si="218"/>
        <v>-</v>
      </c>
      <c r="G494" s="8" t="str">
        <f t="shared" si="219"/>
        <v>-</v>
      </c>
      <c r="H494" s="8" t="str">
        <f>IF($F494&lt;=$C$16*12,$G494-$C$7+SUM('Mortgage Calculators (By Month)'!$D$23:$D512),"-")</f>
        <v>-</v>
      </c>
      <c r="I494" s="8" t="str">
        <f t="shared" ref="I494:I557" si="224">IF($F494&lt;=$C$16*12,$C$9*(1+$C$33)^ROUNDDOWN((F494-1)/12,0),"-")</f>
        <v>-</v>
      </c>
      <c r="J494" s="8" t="str">
        <f>IF($F494&lt;=$C$16*12,SUM(Inputs!$C$61:$C$78)*'Forecast (By Month)'!I494,"-")</f>
        <v>-</v>
      </c>
      <c r="K494" s="8" t="str">
        <f>IF($F494&lt;=$C$16*12,(SUMIF(Inputs!$C$61:$C$78,0,Inputs!$F$61:$F$78)/12)*(1+$C$34)^ROUNDDOWN((F494-1)/12,0),"-")</f>
        <v>-</v>
      </c>
      <c r="L494" s="8" t="str">
        <f t="shared" ref="L494:L557" si="225">IF($F494&lt;=$C$16*12,SUM(J494:K494),"-")</f>
        <v>-</v>
      </c>
      <c r="M494" s="8" t="str">
        <f>IF($F494&lt;=$C$16*12,'Mortgage Calculators (By Month)'!$C512,"-")</f>
        <v>-</v>
      </c>
      <c r="N494" s="8" t="str">
        <f>IF($F494&lt;=$C$16*12,'Mortgage Calculators (By Month)'!$D512,"-")</f>
        <v>-</v>
      </c>
      <c r="O494" s="8" t="str">
        <f>IF($F494&lt;=$C$16*12,'Mortgage Calculators (By Month)'!$E512,"-")</f>
        <v>-</v>
      </c>
      <c r="P494" s="8" t="str">
        <f t="shared" si="222"/>
        <v>-</v>
      </c>
      <c r="Q494" s="8" t="str">
        <f t="shared" ref="Q494:Q557" si="226">IF($F494&lt;=$C$16*12,L494+O494+P494,"-")</f>
        <v>-</v>
      </c>
      <c r="R494" s="8" t="str">
        <f t="shared" ref="R494:R557" si="227">IF($F494&lt;=$C$16*12,$I494-$L494-M494,"-")</f>
        <v>-</v>
      </c>
      <c r="S494" s="8" t="str">
        <f t="shared" ref="S494:S557" si="228">IF($F494&lt;=$C$16*12,(I494-Q494)*$C$35,"-")</f>
        <v>-</v>
      </c>
      <c r="T494" s="8" t="str">
        <f t="shared" ref="T494:T557" si="229">IF($F494&lt;=$C$16*12,R494-S494,"-")</f>
        <v>-</v>
      </c>
      <c r="U494" s="8" t="str">
        <f>IF($F494&lt;=$C$16*12,SUM(T$5:T494),"-")</f>
        <v>-</v>
      </c>
      <c r="V494" s="8" t="str">
        <f>IF($F494&lt;=$C$16*12,G494-$C$10-'RE Calculations'!$C681-'Mortgage Calculators (By Month)'!$F512,"-")</f>
        <v>-</v>
      </c>
      <c r="W494" s="29" t="str">
        <f t="shared" ref="W494:W557" si="230">IF($F494&lt;=$C$16*12,V494/$C$10,"-")</f>
        <v>-</v>
      </c>
      <c r="X494" s="31" t="str">
        <f t="shared" ref="X494:X557" si="231">IF($F494&lt;=$C$16*12,W494/($F494/12),"-")</f>
        <v>-</v>
      </c>
      <c r="Y494" s="8" t="str">
        <f t="shared" ref="Y494:Y557" si="232">IF($F494&lt;=$C$16*12,V494+U494,"-")</f>
        <v>-</v>
      </c>
      <c r="Z494" s="29" t="str">
        <f t="shared" ref="Z494:Z557" si="233">IF($F494&lt;=$C$16*12,Y494/$C$10,"-")</f>
        <v>-</v>
      </c>
      <c r="AA494" s="31" t="str">
        <f t="shared" ref="AA494:AA557" si="234">IF($F494&lt;=$C$16*12,Z494/($F494/12),"-")</f>
        <v>-</v>
      </c>
      <c r="AD494" s="12" t="str">
        <f t="shared" si="220"/>
        <v>-</v>
      </c>
      <c r="AE494" s="8" t="str">
        <f t="shared" si="221"/>
        <v>-</v>
      </c>
      <c r="AF494" s="8" t="str">
        <f>IF($AD494&lt;=$C$25*12,$AE494-$C$7+SUM('Mortgage Calculators (By Month)'!$K$23:$K512),"-")</f>
        <v>-</v>
      </c>
      <c r="AG494" s="8" t="str">
        <f t="shared" ref="AG494:AG557" si="235">IF($AD494&lt;=$C$25*12,$C$9*(1+$C$33)^ROUNDDOWN((AD494-1)/12,0),"-")</f>
        <v>-</v>
      </c>
      <c r="AH494" s="8" t="str">
        <f>IF($AD494&lt;=$C$25*12,SUM(Inputs!$C$61:$C$78)*'Forecast (By Month)'!AG494,"-")</f>
        <v>-</v>
      </c>
      <c r="AI494" s="8" t="str">
        <f>IF($AD494&lt;=$C$25*12,(SUMIF(Inputs!$C$61:$C$78,0,Inputs!$F$61:$F$78)/12)*(1+$C$34)^ROUNDDOWN((AD494-1)/12,0),"-")</f>
        <v>-</v>
      </c>
      <c r="AJ494" s="8" t="str">
        <f t="shared" ref="AJ494:AJ557" si="236">IF($AD494&lt;=$C$25*12,SUM(AH494:AI494),"-")</f>
        <v>-</v>
      </c>
      <c r="AK494" s="8" t="str">
        <f>IF($AD494&lt;=$C$25*12,'Mortgage Calculators (By Month)'!$J512,"-")</f>
        <v>-</v>
      </c>
      <c r="AL494" s="8" t="str">
        <f>IF($AD494&lt;=$C$25*12,'Mortgage Calculators (By Month)'!$K512,"-")</f>
        <v>-</v>
      </c>
      <c r="AM494" s="8" t="str">
        <f>IF($AD494&lt;=$C$25*12,'Mortgage Calculators (By Month)'!$L512,"-")</f>
        <v>-</v>
      </c>
      <c r="AN494" s="8" t="str">
        <f t="shared" si="223"/>
        <v>-</v>
      </c>
      <c r="AO494" s="8" t="str">
        <f t="shared" ref="AO494:AO557" si="237">IF($AD494&lt;=$C$25*12,AJ494+AM494+AN494,"-")</f>
        <v>-</v>
      </c>
      <c r="AP494" s="8" t="str">
        <f t="shared" ref="AP494:AP557" si="238">IF($AD494&lt;=$C$25*12,$AG494-$AJ494-AK494,"-")</f>
        <v>-</v>
      </c>
      <c r="AQ494" s="8" t="str">
        <f t="shared" ref="AQ494:AQ557" si="239">IF($AD494&lt;=$C$25*12,(AG494-AO494)*$C$35,"-")</f>
        <v>-</v>
      </c>
      <c r="AR494" s="8" t="str">
        <f t="shared" ref="AR494:AR557" si="240">IF($AD494&lt;=$C$25*12,AP494-AQ494,"-")</f>
        <v>-</v>
      </c>
      <c r="AS494" s="8" t="str">
        <f>IF($AD494&lt;=$C$25*12,SUM(AR$5:AR494),"-")</f>
        <v>-</v>
      </c>
      <c r="AT494" s="8" t="str">
        <f>IF($AD494&lt;=$C$25*12,AE494-$C$10-'RE Calculations'!$C681-'Mortgage Calculators (By Month)'!$M512,"-")</f>
        <v>-</v>
      </c>
      <c r="AU494" s="29" t="str">
        <f t="shared" ref="AU494:AU557" si="241">IF($AD494&lt;=$C$25*12,AT494/$C$10,"-")</f>
        <v>-</v>
      </c>
      <c r="AV494" s="31" t="str">
        <f t="shared" ref="AV494:AV557" si="242">IF($AD494&lt;=$C$25*12,AU494/($AD494/12),"-")</f>
        <v>-</v>
      </c>
      <c r="AW494" s="8" t="str">
        <f t="shared" ref="AW494:AW557" si="243">IF($AD494&lt;=$C$25*12,AT494+AS494,"-")</f>
        <v>-</v>
      </c>
      <c r="AX494" s="29" t="str">
        <f t="shared" ref="AX494:AX557" si="244">IF($AD494&lt;=$C$25*12,AW494/$C$10,"-")</f>
        <v>-</v>
      </c>
      <c r="AY494" s="31" t="str">
        <f t="shared" ref="AY494:AY557" si="245">IF($AD494&lt;=$C$25*12,AX494/($AD494/12),"-")</f>
        <v>-</v>
      </c>
    </row>
    <row r="495" spans="6:51" x14ac:dyDescent="0.35">
      <c r="F495" s="12" t="str">
        <f t="shared" si="218"/>
        <v>-</v>
      </c>
      <c r="G495" s="8" t="str">
        <f t="shared" si="219"/>
        <v>-</v>
      </c>
      <c r="H495" s="8" t="str">
        <f>IF($F495&lt;=$C$16*12,$G495-$C$7+SUM('Mortgage Calculators (By Month)'!$D$23:$D513),"-")</f>
        <v>-</v>
      </c>
      <c r="I495" s="8" t="str">
        <f t="shared" si="224"/>
        <v>-</v>
      </c>
      <c r="J495" s="8" t="str">
        <f>IF($F495&lt;=$C$16*12,SUM(Inputs!$C$61:$C$78)*'Forecast (By Month)'!I495,"-")</f>
        <v>-</v>
      </c>
      <c r="K495" s="8" t="str">
        <f>IF($F495&lt;=$C$16*12,(SUMIF(Inputs!$C$61:$C$78,0,Inputs!$F$61:$F$78)/12)*(1+$C$34)^ROUNDDOWN((F495-1)/12,0),"-")</f>
        <v>-</v>
      </c>
      <c r="L495" s="8" t="str">
        <f t="shared" si="225"/>
        <v>-</v>
      </c>
      <c r="M495" s="8" t="str">
        <f>IF($F495&lt;=$C$16*12,'Mortgage Calculators (By Month)'!$C513,"-")</f>
        <v>-</v>
      </c>
      <c r="N495" s="8" t="str">
        <f>IF($F495&lt;=$C$16*12,'Mortgage Calculators (By Month)'!$D513,"-")</f>
        <v>-</v>
      </c>
      <c r="O495" s="8" t="str">
        <f>IF($F495&lt;=$C$16*12,'Mortgage Calculators (By Month)'!$E513,"-")</f>
        <v>-</v>
      </c>
      <c r="P495" s="8" t="str">
        <f t="shared" si="222"/>
        <v>-</v>
      </c>
      <c r="Q495" s="8" t="str">
        <f t="shared" si="226"/>
        <v>-</v>
      </c>
      <c r="R495" s="8" t="str">
        <f t="shared" si="227"/>
        <v>-</v>
      </c>
      <c r="S495" s="8" t="str">
        <f t="shared" si="228"/>
        <v>-</v>
      </c>
      <c r="T495" s="8" t="str">
        <f t="shared" si="229"/>
        <v>-</v>
      </c>
      <c r="U495" s="8" t="str">
        <f>IF($F495&lt;=$C$16*12,SUM(T$5:T495),"-")</f>
        <v>-</v>
      </c>
      <c r="V495" s="8" t="str">
        <f>IF($F495&lt;=$C$16*12,G495-$C$10-'RE Calculations'!$C682-'Mortgage Calculators (By Month)'!$F513,"-")</f>
        <v>-</v>
      </c>
      <c r="W495" s="29" t="str">
        <f t="shared" si="230"/>
        <v>-</v>
      </c>
      <c r="X495" s="31" t="str">
        <f t="shared" si="231"/>
        <v>-</v>
      </c>
      <c r="Y495" s="8" t="str">
        <f t="shared" si="232"/>
        <v>-</v>
      </c>
      <c r="Z495" s="29" t="str">
        <f t="shared" si="233"/>
        <v>-</v>
      </c>
      <c r="AA495" s="31" t="str">
        <f t="shared" si="234"/>
        <v>-</v>
      </c>
      <c r="AD495" s="12" t="str">
        <f t="shared" si="220"/>
        <v>-</v>
      </c>
      <c r="AE495" s="8" t="str">
        <f t="shared" si="221"/>
        <v>-</v>
      </c>
      <c r="AF495" s="8" t="str">
        <f>IF($AD495&lt;=$C$25*12,$AE495-$C$7+SUM('Mortgage Calculators (By Month)'!$K$23:$K513),"-")</f>
        <v>-</v>
      </c>
      <c r="AG495" s="8" t="str">
        <f t="shared" si="235"/>
        <v>-</v>
      </c>
      <c r="AH495" s="8" t="str">
        <f>IF($AD495&lt;=$C$25*12,SUM(Inputs!$C$61:$C$78)*'Forecast (By Month)'!AG495,"-")</f>
        <v>-</v>
      </c>
      <c r="AI495" s="8" t="str">
        <f>IF($AD495&lt;=$C$25*12,(SUMIF(Inputs!$C$61:$C$78,0,Inputs!$F$61:$F$78)/12)*(1+$C$34)^ROUNDDOWN((AD495-1)/12,0),"-")</f>
        <v>-</v>
      </c>
      <c r="AJ495" s="8" t="str">
        <f t="shared" si="236"/>
        <v>-</v>
      </c>
      <c r="AK495" s="8" t="str">
        <f>IF($AD495&lt;=$C$25*12,'Mortgage Calculators (By Month)'!$J513,"-")</f>
        <v>-</v>
      </c>
      <c r="AL495" s="8" t="str">
        <f>IF($AD495&lt;=$C$25*12,'Mortgage Calculators (By Month)'!$K513,"-")</f>
        <v>-</v>
      </c>
      <c r="AM495" s="8" t="str">
        <f>IF($AD495&lt;=$C$25*12,'Mortgage Calculators (By Month)'!$L513,"-")</f>
        <v>-</v>
      </c>
      <c r="AN495" s="8" t="str">
        <f t="shared" si="223"/>
        <v>-</v>
      </c>
      <c r="AO495" s="8" t="str">
        <f t="shared" si="237"/>
        <v>-</v>
      </c>
      <c r="AP495" s="8" t="str">
        <f t="shared" si="238"/>
        <v>-</v>
      </c>
      <c r="AQ495" s="8" t="str">
        <f t="shared" si="239"/>
        <v>-</v>
      </c>
      <c r="AR495" s="8" t="str">
        <f t="shared" si="240"/>
        <v>-</v>
      </c>
      <c r="AS495" s="8" t="str">
        <f>IF($AD495&lt;=$C$25*12,SUM(AR$5:AR495),"-")</f>
        <v>-</v>
      </c>
      <c r="AT495" s="8" t="str">
        <f>IF($AD495&lt;=$C$25*12,AE495-$C$10-'RE Calculations'!$C682-'Mortgage Calculators (By Month)'!$M513,"-")</f>
        <v>-</v>
      </c>
      <c r="AU495" s="29" t="str">
        <f t="shared" si="241"/>
        <v>-</v>
      </c>
      <c r="AV495" s="31" t="str">
        <f t="shared" si="242"/>
        <v>-</v>
      </c>
      <c r="AW495" s="8" t="str">
        <f t="shared" si="243"/>
        <v>-</v>
      </c>
      <c r="AX495" s="29" t="str">
        <f t="shared" si="244"/>
        <v>-</v>
      </c>
      <c r="AY495" s="31" t="str">
        <f t="shared" si="245"/>
        <v>-</v>
      </c>
    </row>
    <row r="496" spans="6:51" x14ac:dyDescent="0.35">
      <c r="F496" s="12" t="str">
        <f t="shared" si="218"/>
        <v>-</v>
      </c>
      <c r="G496" s="8" t="str">
        <f t="shared" si="219"/>
        <v>-</v>
      </c>
      <c r="H496" s="8" t="str">
        <f>IF($F496&lt;=$C$16*12,$G496-$C$7+SUM('Mortgage Calculators (By Month)'!$D$23:$D514),"-")</f>
        <v>-</v>
      </c>
      <c r="I496" s="8" t="str">
        <f t="shared" si="224"/>
        <v>-</v>
      </c>
      <c r="J496" s="8" t="str">
        <f>IF($F496&lt;=$C$16*12,SUM(Inputs!$C$61:$C$78)*'Forecast (By Month)'!I496,"-")</f>
        <v>-</v>
      </c>
      <c r="K496" s="8" t="str">
        <f>IF($F496&lt;=$C$16*12,(SUMIF(Inputs!$C$61:$C$78,0,Inputs!$F$61:$F$78)/12)*(1+$C$34)^ROUNDDOWN((F496-1)/12,0),"-")</f>
        <v>-</v>
      </c>
      <c r="L496" s="8" t="str">
        <f t="shared" si="225"/>
        <v>-</v>
      </c>
      <c r="M496" s="8" t="str">
        <f>IF($F496&lt;=$C$16*12,'Mortgage Calculators (By Month)'!$C514,"-")</f>
        <v>-</v>
      </c>
      <c r="N496" s="8" t="str">
        <f>IF($F496&lt;=$C$16*12,'Mortgage Calculators (By Month)'!$D514,"-")</f>
        <v>-</v>
      </c>
      <c r="O496" s="8" t="str">
        <f>IF($F496&lt;=$C$16*12,'Mortgage Calculators (By Month)'!$E514,"-")</f>
        <v>-</v>
      </c>
      <c r="P496" s="8" t="str">
        <f t="shared" si="222"/>
        <v>-</v>
      </c>
      <c r="Q496" s="8" t="str">
        <f t="shared" si="226"/>
        <v>-</v>
      </c>
      <c r="R496" s="8" t="str">
        <f t="shared" si="227"/>
        <v>-</v>
      </c>
      <c r="S496" s="8" t="str">
        <f t="shared" si="228"/>
        <v>-</v>
      </c>
      <c r="T496" s="8" t="str">
        <f t="shared" si="229"/>
        <v>-</v>
      </c>
      <c r="U496" s="8" t="str">
        <f>IF($F496&lt;=$C$16*12,SUM(T$5:T496),"-")</f>
        <v>-</v>
      </c>
      <c r="V496" s="8" t="str">
        <f>IF($F496&lt;=$C$16*12,G496-$C$10-'RE Calculations'!$C683-'Mortgage Calculators (By Month)'!$F514,"-")</f>
        <v>-</v>
      </c>
      <c r="W496" s="29" t="str">
        <f t="shared" si="230"/>
        <v>-</v>
      </c>
      <c r="X496" s="31" t="str">
        <f t="shared" si="231"/>
        <v>-</v>
      </c>
      <c r="Y496" s="8" t="str">
        <f t="shared" si="232"/>
        <v>-</v>
      </c>
      <c r="Z496" s="29" t="str">
        <f t="shared" si="233"/>
        <v>-</v>
      </c>
      <c r="AA496" s="31" t="str">
        <f t="shared" si="234"/>
        <v>-</v>
      </c>
      <c r="AD496" s="12" t="str">
        <f t="shared" si="220"/>
        <v>-</v>
      </c>
      <c r="AE496" s="8" t="str">
        <f t="shared" si="221"/>
        <v>-</v>
      </c>
      <c r="AF496" s="8" t="str">
        <f>IF($AD496&lt;=$C$25*12,$AE496-$C$7+SUM('Mortgage Calculators (By Month)'!$K$23:$K514),"-")</f>
        <v>-</v>
      </c>
      <c r="AG496" s="8" t="str">
        <f t="shared" si="235"/>
        <v>-</v>
      </c>
      <c r="AH496" s="8" t="str">
        <f>IF($AD496&lt;=$C$25*12,SUM(Inputs!$C$61:$C$78)*'Forecast (By Month)'!AG496,"-")</f>
        <v>-</v>
      </c>
      <c r="AI496" s="8" t="str">
        <f>IF($AD496&lt;=$C$25*12,(SUMIF(Inputs!$C$61:$C$78,0,Inputs!$F$61:$F$78)/12)*(1+$C$34)^ROUNDDOWN((AD496-1)/12,0),"-")</f>
        <v>-</v>
      </c>
      <c r="AJ496" s="8" t="str">
        <f t="shared" si="236"/>
        <v>-</v>
      </c>
      <c r="AK496" s="8" t="str">
        <f>IF($AD496&lt;=$C$25*12,'Mortgage Calculators (By Month)'!$J514,"-")</f>
        <v>-</v>
      </c>
      <c r="AL496" s="8" t="str">
        <f>IF($AD496&lt;=$C$25*12,'Mortgage Calculators (By Month)'!$K514,"-")</f>
        <v>-</v>
      </c>
      <c r="AM496" s="8" t="str">
        <f>IF($AD496&lt;=$C$25*12,'Mortgage Calculators (By Month)'!$L514,"-")</f>
        <v>-</v>
      </c>
      <c r="AN496" s="8" t="str">
        <f t="shared" si="223"/>
        <v>-</v>
      </c>
      <c r="AO496" s="8" t="str">
        <f t="shared" si="237"/>
        <v>-</v>
      </c>
      <c r="AP496" s="8" t="str">
        <f t="shared" si="238"/>
        <v>-</v>
      </c>
      <c r="AQ496" s="8" t="str">
        <f t="shared" si="239"/>
        <v>-</v>
      </c>
      <c r="AR496" s="8" t="str">
        <f t="shared" si="240"/>
        <v>-</v>
      </c>
      <c r="AS496" s="8" t="str">
        <f>IF($AD496&lt;=$C$25*12,SUM(AR$5:AR496),"-")</f>
        <v>-</v>
      </c>
      <c r="AT496" s="8" t="str">
        <f>IF($AD496&lt;=$C$25*12,AE496-$C$10-'RE Calculations'!$C683-'Mortgage Calculators (By Month)'!$M514,"-")</f>
        <v>-</v>
      </c>
      <c r="AU496" s="29" t="str">
        <f t="shared" si="241"/>
        <v>-</v>
      </c>
      <c r="AV496" s="31" t="str">
        <f t="shared" si="242"/>
        <v>-</v>
      </c>
      <c r="AW496" s="8" t="str">
        <f t="shared" si="243"/>
        <v>-</v>
      </c>
      <c r="AX496" s="29" t="str">
        <f t="shared" si="244"/>
        <v>-</v>
      </c>
      <c r="AY496" s="31" t="str">
        <f t="shared" si="245"/>
        <v>-</v>
      </c>
    </row>
    <row r="497" spans="6:51" x14ac:dyDescent="0.35">
      <c r="F497" s="12" t="str">
        <f t="shared" si="218"/>
        <v>-</v>
      </c>
      <c r="G497" s="8" t="str">
        <f t="shared" si="219"/>
        <v>-</v>
      </c>
      <c r="H497" s="8" t="str">
        <f>IF($F497&lt;=$C$16*12,$G497-$C$7+SUM('Mortgage Calculators (By Month)'!$D$23:$D515),"-")</f>
        <v>-</v>
      </c>
      <c r="I497" s="8" t="str">
        <f t="shared" si="224"/>
        <v>-</v>
      </c>
      <c r="J497" s="8" t="str">
        <f>IF($F497&lt;=$C$16*12,SUM(Inputs!$C$61:$C$78)*'Forecast (By Month)'!I497,"-")</f>
        <v>-</v>
      </c>
      <c r="K497" s="8" t="str">
        <f>IF($F497&lt;=$C$16*12,(SUMIF(Inputs!$C$61:$C$78,0,Inputs!$F$61:$F$78)/12)*(1+$C$34)^ROUNDDOWN((F497-1)/12,0),"-")</f>
        <v>-</v>
      </c>
      <c r="L497" s="8" t="str">
        <f t="shared" si="225"/>
        <v>-</v>
      </c>
      <c r="M497" s="8" t="str">
        <f>IF($F497&lt;=$C$16*12,'Mortgage Calculators (By Month)'!$C515,"-")</f>
        <v>-</v>
      </c>
      <c r="N497" s="8" t="str">
        <f>IF($F497&lt;=$C$16*12,'Mortgage Calculators (By Month)'!$D515,"-")</f>
        <v>-</v>
      </c>
      <c r="O497" s="8" t="str">
        <f>IF($F497&lt;=$C$16*12,'Mortgage Calculators (By Month)'!$E515,"-")</f>
        <v>-</v>
      </c>
      <c r="P497" s="8" t="str">
        <f t="shared" si="222"/>
        <v>-</v>
      </c>
      <c r="Q497" s="8" t="str">
        <f t="shared" si="226"/>
        <v>-</v>
      </c>
      <c r="R497" s="8" t="str">
        <f t="shared" si="227"/>
        <v>-</v>
      </c>
      <c r="S497" s="8" t="str">
        <f t="shared" si="228"/>
        <v>-</v>
      </c>
      <c r="T497" s="8" t="str">
        <f t="shared" si="229"/>
        <v>-</v>
      </c>
      <c r="U497" s="8" t="str">
        <f>IF($F497&lt;=$C$16*12,SUM(T$5:T497),"-")</f>
        <v>-</v>
      </c>
      <c r="V497" s="8" t="str">
        <f>IF($F497&lt;=$C$16*12,G497-$C$10-'RE Calculations'!$C684-'Mortgage Calculators (By Month)'!$F515,"-")</f>
        <v>-</v>
      </c>
      <c r="W497" s="29" t="str">
        <f t="shared" si="230"/>
        <v>-</v>
      </c>
      <c r="X497" s="31" t="str">
        <f t="shared" si="231"/>
        <v>-</v>
      </c>
      <c r="Y497" s="8" t="str">
        <f t="shared" si="232"/>
        <v>-</v>
      </c>
      <c r="Z497" s="29" t="str">
        <f t="shared" si="233"/>
        <v>-</v>
      </c>
      <c r="AA497" s="31" t="str">
        <f t="shared" si="234"/>
        <v>-</v>
      </c>
      <c r="AD497" s="12" t="str">
        <f t="shared" si="220"/>
        <v>-</v>
      </c>
      <c r="AE497" s="8" t="str">
        <f t="shared" si="221"/>
        <v>-</v>
      </c>
      <c r="AF497" s="8" t="str">
        <f>IF($AD497&lt;=$C$25*12,$AE497-$C$7+SUM('Mortgage Calculators (By Month)'!$K$23:$K515),"-")</f>
        <v>-</v>
      </c>
      <c r="AG497" s="8" t="str">
        <f t="shared" si="235"/>
        <v>-</v>
      </c>
      <c r="AH497" s="8" t="str">
        <f>IF($AD497&lt;=$C$25*12,SUM(Inputs!$C$61:$C$78)*'Forecast (By Month)'!AG497,"-")</f>
        <v>-</v>
      </c>
      <c r="AI497" s="8" t="str">
        <f>IF($AD497&lt;=$C$25*12,(SUMIF(Inputs!$C$61:$C$78,0,Inputs!$F$61:$F$78)/12)*(1+$C$34)^ROUNDDOWN((AD497-1)/12,0),"-")</f>
        <v>-</v>
      </c>
      <c r="AJ497" s="8" t="str">
        <f t="shared" si="236"/>
        <v>-</v>
      </c>
      <c r="AK497" s="8" t="str">
        <f>IF($AD497&lt;=$C$25*12,'Mortgage Calculators (By Month)'!$J515,"-")</f>
        <v>-</v>
      </c>
      <c r="AL497" s="8" t="str">
        <f>IF($AD497&lt;=$C$25*12,'Mortgage Calculators (By Month)'!$K515,"-")</f>
        <v>-</v>
      </c>
      <c r="AM497" s="8" t="str">
        <f>IF($AD497&lt;=$C$25*12,'Mortgage Calculators (By Month)'!$L515,"-")</f>
        <v>-</v>
      </c>
      <c r="AN497" s="8" t="str">
        <f t="shared" si="223"/>
        <v>-</v>
      </c>
      <c r="AO497" s="8" t="str">
        <f t="shared" si="237"/>
        <v>-</v>
      </c>
      <c r="AP497" s="8" t="str">
        <f t="shared" si="238"/>
        <v>-</v>
      </c>
      <c r="AQ497" s="8" t="str">
        <f t="shared" si="239"/>
        <v>-</v>
      </c>
      <c r="AR497" s="8" t="str">
        <f t="shared" si="240"/>
        <v>-</v>
      </c>
      <c r="AS497" s="8" t="str">
        <f>IF($AD497&lt;=$C$25*12,SUM(AR$5:AR497),"-")</f>
        <v>-</v>
      </c>
      <c r="AT497" s="8" t="str">
        <f>IF($AD497&lt;=$C$25*12,AE497-$C$10-'RE Calculations'!$C684-'Mortgage Calculators (By Month)'!$M515,"-")</f>
        <v>-</v>
      </c>
      <c r="AU497" s="29" t="str">
        <f t="shared" si="241"/>
        <v>-</v>
      </c>
      <c r="AV497" s="31" t="str">
        <f t="shared" si="242"/>
        <v>-</v>
      </c>
      <c r="AW497" s="8" t="str">
        <f t="shared" si="243"/>
        <v>-</v>
      </c>
      <c r="AX497" s="29" t="str">
        <f t="shared" si="244"/>
        <v>-</v>
      </c>
      <c r="AY497" s="31" t="str">
        <f t="shared" si="245"/>
        <v>-</v>
      </c>
    </row>
    <row r="498" spans="6:51" x14ac:dyDescent="0.35">
      <c r="F498" s="12" t="str">
        <f t="shared" si="218"/>
        <v>-</v>
      </c>
      <c r="G498" s="8" t="str">
        <f t="shared" si="219"/>
        <v>-</v>
      </c>
      <c r="H498" s="8" t="str">
        <f>IF($F498&lt;=$C$16*12,$G498-$C$7+SUM('Mortgage Calculators (By Month)'!$D$23:$D516),"-")</f>
        <v>-</v>
      </c>
      <c r="I498" s="8" t="str">
        <f t="shared" si="224"/>
        <v>-</v>
      </c>
      <c r="J498" s="8" t="str">
        <f>IF($F498&lt;=$C$16*12,SUM(Inputs!$C$61:$C$78)*'Forecast (By Month)'!I498,"-")</f>
        <v>-</v>
      </c>
      <c r="K498" s="8" t="str">
        <f>IF($F498&lt;=$C$16*12,(SUMIF(Inputs!$C$61:$C$78,0,Inputs!$F$61:$F$78)/12)*(1+$C$34)^ROUNDDOWN((F498-1)/12,0),"-")</f>
        <v>-</v>
      </c>
      <c r="L498" s="8" t="str">
        <f t="shared" si="225"/>
        <v>-</v>
      </c>
      <c r="M498" s="8" t="str">
        <f>IF($F498&lt;=$C$16*12,'Mortgage Calculators (By Month)'!$C516,"-")</f>
        <v>-</v>
      </c>
      <c r="N498" s="8" t="str">
        <f>IF($F498&lt;=$C$16*12,'Mortgage Calculators (By Month)'!$D516,"-")</f>
        <v>-</v>
      </c>
      <c r="O498" s="8" t="str">
        <f>IF($F498&lt;=$C$16*12,'Mortgage Calculators (By Month)'!$E516,"-")</f>
        <v>-</v>
      </c>
      <c r="P498" s="8" t="str">
        <f t="shared" si="222"/>
        <v>-</v>
      </c>
      <c r="Q498" s="8" t="str">
        <f t="shared" si="226"/>
        <v>-</v>
      </c>
      <c r="R498" s="8" t="str">
        <f t="shared" si="227"/>
        <v>-</v>
      </c>
      <c r="S498" s="8" t="str">
        <f t="shared" si="228"/>
        <v>-</v>
      </c>
      <c r="T498" s="8" t="str">
        <f t="shared" si="229"/>
        <v>-</v>
      </c>
      <c r="U498" s="8" t="str">
        <f>IF($F498&lt;=$C$16*12,SUM(T$5:T498),"-")</f>
        <v>-</v>
      </c>
      <c r="V498" s="8" t="str">
        <f>IF($F498&lt;=$C$16*12,G498-$C$10-'RE Calculations'!$C685-'Mortgage Calculators (By Month)'!$F516,"-")</f>
        <v>-</v>
      </c>
      <c r="W498" s="29" t="str">
        <f t="shared" si="230"/>
        <v>-</v>
      </c>
      <c r="X498" s="31" t="str">
        <f t="shared" si="231"/>
        <v>-</v>
      </c>
      <c r="Y498" s="8" t="str">
        <f t="shared" si="232"/>
        <v>-</v>
      </c>
      <c r="Z498" s="29" t="str">
        <f t="shared" si="233"/>
        <v>-</v>
      </c>
      <c r="AA498" s="31" t="str">
        <f t="shared" si="234"/>
        <v>-</v>
      </c>
      <c r="AD498" s="12" t="str">
        <f t="shared" si="220"/>
        <v>-</v>
      </c>
      <c r="AE498" s="8" t="str">
        <f t="shared" si="221"/>
        <v>-</v>
      </c>
      <c r="AF498" s="8" t="str">
        <f>IF($AD498&lt;=$C$25*12,$AE498-$C$7+SUM('Mortgage Calculators (By Month)'!$K$23:$K516),"-")</f>
        <v>-</v>
      </c>
      <c r="AG498" s="8" t="str">
        <f t="shared" si="235"/>
        <v>-</v>
      </c>
      <c r="AH498" s="8" t="str">
        <f>IF($AD498&lt;=$C$25*12,SUM(Inputs!$C$61:$C$78)*'Forecast (By Month)'!AG498,"-")</f>
        <v>-</v>
      </c>
      <c r="AI498" s="8" t="str">
        <f>IF($AD498&lt;=$C$25*12,(SUMIF(Inputs!$C$61:$C$78,0,Inputs!$F$61:$F$78)/12)*(1+$C$34)^ROUNDDOWN((AD498-1)/12,0),"-")</f>
        <v>-</v>
      </c>
      <c r="AJ498" s="8" t="str">
        <f t="shared" si="236"/>
        <v>-</v>
      </c>
      <c r="AK498" s="8" t="str">
        <f>IF($AD498&lt;=$C$25*12,'Mortgage Calculators (By Month)'!$J516,"-")</f>
        <v>-</v>
      </c>
      <c r="AL498" s="8" t="str">
        <f>IF($AD498&lt;=$C$25*12,'Mortgage Calculators (By Month)'!$K516,"-")</f>
        <v>-</v>
      </c>
      <c r="AM498" s="8" t="str">
        <f>IF($AD498&lt;=$C$25*12,'Mortgage Calculators (By Month)'!$L516,"-")</f>
        <v>-</v>
      </c>
      <c r="AN498" s="8" t="str">
        <f t="shared" si="223"/>
        <v>-</v>
      </c>
      <c r="AO498" s="8" t="str">
        <f t="shared" si="237"/>
        <v>-</v>
      </c>
      <c r="AP498" s="8" t="str">
        <f t="shared" si="238"/>
        <v>-</v>
      </c>
      <c r="AQ498" s="8" t="str">
        <f t="shared" si="239"/>
        <v>-</v>
      </c>
      <c r="AR498" s="8" t="str">
        <f t="shared" si="240"/>
        <v>-</v>
      </c>
      <c r="AS498" s="8" t="str">
        <f>IF($AD498&lt;=$C$25*12,SUM(AR$5:AR498),"-")</f>
        <v>-</v>
      </c>
      <c r="AT498" s="8" t="str">
        <f>IF($AD498&lt;=$C$25*12,AE498-$C$10-'RE Calculations'!$C685-'Mortgage Calculators (By Month)'!$M516,"-")</f>
        <v>-</v>
      </c>
      <c r="AU498" s="29" t="str">
        <f t="shared" si="241"/>
        <v>-</v>
      </c>
      <c r="AV498" s="31" t="str">
        <f t="shared" si="242"/>
        <v>-</v>
      </c>
      <c r="AW498" s="8" t="str">
        <f t="shared" si="243"/>
        <v>-</v>
      </c>
      <c r="AX498" s="29" t="str">
        <f t="shared" si="244"/>
        <v>-</v>
      </c>
      <c r="AY498" s="31" t="str">
        <f t="shared" si="245"/>
        <v>-</v>
      </c>
    </row>
    <row r="499" spans="6:51" x14ac:dyDescent="0.35">
      <c r="F499" s="12" t="str">
        <f t="shared" si="218"/>
        <v>-</v>
      </c>
      <c r="G499" s="8" t="str">
        <f t="shared" si="219"/>
        <v>-</v>
      </c>
      <c r="H499" s="8" t="str">
        <f>IF($F499&lt;=$C$16*12,$G499-$C$7+SUM('Mortgage Calculators (By Month)'!$D$23:$D517),"-")</f>
        <v>-</v>
      </c>
      <c r="I499" s="8" t="str">
        <f t="shared" si="224"/>
        <v>-</v>
      </c>
      <c r="J499" s="8" t="str">
        <f>IF($F499&lt;=$C$16*12,SUM(Inputs!$C$61:$C$78)*'Forecast (By Month)'!I499,"-")</f>
        <v>-</v>
      </c>
      <c r="K499" s="8" t="str">
        <f>IF($F499&lt;=$C$16*12,(SUMIF(Inputs!$C$61:$C$78,0,Inputs!$F$61:$F$78)/12)*(1+$C$34)^ROUNDDOWN((F499-1)/12,0),"-")</f>
        <v>-</v>
      </c>
      <c r="L499" s="8" t="str">
        <f t="shared" si="225"/>
        <v>-</v>
      </c>
      <c r="M499" s="8" t="str">
        <f>IF($F499&lt;=$C$16*12,'Mortgage Calculators (By Month)'!$C517,"-")</f>
        <v>-</v>
      </c>
      <c r="N499" s="8" t="str">
        <f>IF($F499&lt;=$C$16*12,'Mortgage Calculators (By Month)'!$D517,"-")</f>
        <v>-</v>
      </c>
      <c r="O499" s="8" t="str">
        <f>IF($F499&lt;=$C$16*12,'Mortgage Calculators (By Month)'!$E517,"-")</f>
        <v>-</v>
      </c>
      <c r="P499" s="8" t="str">
        <f t="shared" si="222"/>
        <v>-</v>
      </c>
      <c r="Q499" s="8" t="str">
        <f t="shared" si="226"/>
        <v>-</v>
      </c>
      <c r="R499" s="8" t="str">
        <f t="shared" si="227"/>
        <v>-</v>
      </c>
      <c r="S499" s="8" t="str">
        <f t="shared" si="228"/>
        <v>-</v>
      </c>
      <c r="T499" s="8" t="str">
        <f t="shared" si="229"/>
        <v>-</v>
      </c>
      <c r="U499" s="8" t="str">
        <f>IF($F499&lt;=$C$16*12,SUM(T$5:T499),"-")</f>
        <v>-</v>
      </c>
      <c r="V499" s="8" t="str">
        <f>IF($F499&lt;=$C$16*12,G499-$C$10-'RE Calculations'!$C686-'Mortgage Calculators (By Month)'!$F517,"-")</f>
        <v>-</v>
      </c>
      <c r="W499" s="29" t="str">
        <f t="shared" si="230"/>
        <v>-</v>
      </c>
      <c r="X499" s="31" t="str">
        <f t="shared" si="231"/>
        <v>-</v>
      </c>
      <c r="Y499" s="8" t="str">
        <f t="shared" si="232"/>
        <v>-</v>
      </c>
      <c r="Z499" s="29" t="str">
        <f t="shared" si="233"/>
        <v>-</v>
      </c>
      <c r="AA499" s="31" t="str">
        <f t="shared" si="234"/>
        <v>-</v>
      </c>
      <c r="AD499" s="12" t="str">
        <f t="shared" si="220"/>
        <v>-</v>
      </c>
      <c r="AE499" s="8" t="str">
        <f t="shared" si="221"/>
        <v>-</v>
      </c>
      <c r="AF499" s="8" t="str">
        <f>IF($AD499&lt;=$C$25*12,$AE499-$C$7+SUM('Mortgage Calculators (By Month)'!$K$23:$K517),"-")</f>
        <v>-</v>
      </c>
      <c r="AG499" s="8" t="str">
        <f t="shared" si="235"/>
        <v>-</v>
      </c>
      <c r="AH499" s="8" t="str">
        <f>IF($AD499&lt;=$C$25*12,SUM(Inputs!$C$61:$C$78)*'Forecast (By Month)'!AG499,"-")</f>
        <v>-</v>
      </c>
      <c r="AI499" s="8" t="str">
        <f>IF($AD499&lt;=$C$25*12,(SUMIF(Inputs!$C$61:$C$78,0,Inputs!$F$61:$F$78)/12)*(1+$C$34)^ROUNDDOWN((AD499-1)/12,0),"-")</f>
        <v>-</v>
      </c>
      <c r="AJ499" s="8" t="str">
        <f t="shared" si="236"/>
        <v>-</v>
      </c>
      <c r="AK499" s="8" t="str">
        <f>IF($AD499&lt;=$C$25*12,'Mortgage Calculators (By Month)'!$J517,"-")</f>
        <v>-</v>
      </c>
      <c r="AL499" s="8" t="str">
        <f>IF($AD499&lt;=$C$25*12,'Mortgage Calculators (By Month)'!$K517,"-")</f>
        <v>-</v>
      </c>
      <c r="AM499" s="8" t="str">
        <f>IF($AD499&lt;=$C$25*12,'Mortgage Calculators (By Month)'!$L517,"-")</f>
        <v>-</v>
      </c>
      <c r="AN499" s="8" t="str">
        <f t="shared" si="223"/>
        <v>-</v>
      </c>
      <c r="AO499" s="8" t="str">
        <f t="shared" si="237"/>
        <v>-</v>
      </c>
      <c r="AP499" s="8" t="str">
        <f t="shared" si="238"/>
        <v>-</v>
      </c>
      <c r="AQ499" s="8" t="str">
        <f t="shared" si="239"/>
        <v>-</v>
      </c>
      <c r="AR499" s="8" t="str">
        <f t="shared" si="240"/>
        <v>-</v>
      </c>
      <c r="AS499" s="8" t="str">
        <f>IF($AD499&lt;=$C$25*12,SUM(AR$5:AR499),"-")</f>
        <v>-</v>
      </c>
      <c r="AT499" s="8" t="str">
        <f>IF($AD499&lt;=$C$25*12,AE499-$C$10-'RE Calculations'!$C686-'Mortgage Calculators (By Month)'!$M517,"-")</f>
        <v>-</v>
      </c>
      <c r="AU499" s="29" t="str">
        <f t="shared" si="241"/>
        <v>-</v>
      </c>
      <c r="AV499" s="31" t="str">
        <f t="shared" si="242"/>
        <v>-</v>
      </c>
      <c r="AW499" s="8" t="str">
        <f t="shared" si="243"/>
        <v>-</v>
      </c>
      <c r="AX499" s="29" t="str">
        <f t="shared" si="244"/>
        <v>-</v>
      </c>
      <c r="AY499" s="31" t="str">
        <f t="shared" si="245"/>
        <v>-</v>
      </c>
    </row>
    <row r="500" spans="6:51" x14ac:dyDescent="0.35">
      <c r="F500" s="12" t="str">
        <f t="shared" si="218"/>
        <v>-</v>
      </c>
      <c r="G500" s="8" t="str">
        <f t="shared" si="219"/>
        <v>-</v>
      </c>
      <c r="H500" s="8" t="str">
        <f>IF($F500&lt;=$C$16*12,$G500-$C$7+SUM('Mortgage Calculators (By Month)'!$D$23:$D518),"-")</f>
        <v>-</v>
      </c>
      <c r="I500" s="8" t="str">
        <f t="shared" si="224"/>
        <v>-</v>
      </c>
      <c r="J500" s="8" t="str">
        <f>IF($F500&lt;=$C$16*12,SUM(Inputs!$C$61:$C$78)*'Forecast (By Month)'!I500,"-")</f>
        <v>-</v>
      </c>
      <c r="K500" s="8" t="str">
        <f>IF($F500&lt;=$C$16*12,(SUMIF(Inputs!$C$61:$C$78,0,Inputs!$F$61:$F$78)/12)*(1+$C$34)^ROUNDDOWN((F500-1)/12,0),"-")</f>
        <v>-</v>
      </c>
      <c r="L500" s="8" t="str">
        <f t="shared" si="225"/>
        <v>-</v>
      </c>
      <c r="M500" s="8" t="str">
        <f>IF($F500&lt;=$C$16*12,'Mortgage Calculators (By Month)'!$C518,"-")</f>
        <v>-</v>
      </c>
      <c r="N500" s="8" t="str">
        <f>IF($F500&lt;=$C$16*12,'Mortgage Calculators (By Month)'!$D518,"-")</f>
        <v>-</v>
      </c>
      <c r="O500" s="8" t="str">
        <f>IF($F500&lt;=$C$16*12,'Mortgage Calculators (By Month)'!$E518,"-")</f>
        <v>-</v>
      </c>
      <c r="P500" s="8" t="str">
        <f t="shared" si="222"/>
        <v>-</v>
      </c>
      <c r="Q500" s="8" t="str">
        <f t="shared" si="226"/>
        <v>-</v>
      </c>
      <c r="R500" s="8" t="str">
        <f t="shared" si="227"/>
        <v>-</v>
      </c>
      <c r="S500" s="8" t="str">
        <f t="shared" si="228"/>
        <v>-</v>
      </c>
      <c r="T500" s="8" t="str">
        <f t="shared" si="229"/>
        <v>-</v>
      </c>
      <c r="U500" s="8" t="str">
        <f>IF($F500&lt;=$C$16*12,SUM(T$5:T500),"-")</f>
        <v>-</v>
      </c>
      <c r="V500" s="8" t="str">
        <f>IF($F500&lt;=$C$16*12,G500-$C$10-'RE Calculations'!$C687-'Mortgage Calculators (By Month)'!$F518,"-")</f>
        <v>-</v>
      </c>
      <c r="W500" s="29" t="str">
        <f t="shared" si="230"/>
        <v>-</v>
      </c>
      <c r="X500" s="31" t="str">
        <f t="shared" si="231"/>
        <v>-</v>
      </c>
      <c r="Y500" s="8" t="str">
        <f t="shared" si="232"/>
        <v>-</v>
      </c>
      <c r="Z500" s="29" t="str">
        <f t="shared" si="233"/>
        <v>-</v>
      </c>
      <c r="AA500" s="31" t="str">
        <f t="shared" si="234"/>
        <v>-</v>
      </c>
      <c r="AD500" s="12" t="str">
        <f t="shared" si="220"/>
        <v>-</v>
      </c>
      <c r="AE500" s="8" t="str">
        <f t="shared" si="221"/>
        <v>-</v>
      </c>
      <c r="AF500" s="8" t="str">
        <f>IF($AD500&lt;=$C$25*12,$AE500-$C$7+SUM('Mortgage Calculators (By Month)'!$K$23:$K518),"-")</f>
        <v>-</v>
      </c>
      <c r="AG500" s="8" t="str">
        <f t="shared" si="235"/>
        <v>-</v>
      </c>
      <c r="AH500" s="8" t="str">
        <f>IF($AD500&lt;=$C$25*12,SUM(Inputs!$C$61:$C$78)*'Forecast (By Month)'!AG500,"-")</f>
        <v>-</v>
      </c>
      <c r="AI500" s="8" t="str">
        <f>IF($AD500&lt;=$C$25*12,(SUMIF(Inputs!$C$61:$C$78,0,Inputs!$F$61:$F$78)/12)*(1+$C$34)^ROUNDDOWN((AD500-1)/12,0),"-")</f>
        <v>-</v>
      </c>
      <c r="AJ500" s="8" t="str">
        <f t="shared" si="236"/>
        <v>-</v>
      </c>
      <c r="AK500" s="8" t="str">
        <f>IF($AD500&lt;=$C$25*12,'Mortgage Calculators (By Month)'!$J518,"-")</f>
        <v>-</v>
      </c>
      <c r="AL500" s="8" t="str">
        <f>IF($AD500&lt;=$C$25*12,'Mortgage Calculators (By Month)'!$K518,"-")</f>
        <v>-</v>
      </c>
      <c r="AM500" s="8" t="str">
        <f>IF($AD500&lt;=$C$25*12,'Mortgage Calculators (By Month)'!$L518,"-")</f>
        <v>-</v>
      </c>
      <c r="AN500" s="8" t="str">
        <f t="shared" si="223"/>
        <v>-</v>
      </c>
      <c r="AO500" s="8" t="str">
        <f t="shared" si="237"/>
        <v>-</v>
      </c>
      <c r="AP500" s="8" t="str">
        <f t="shared" si="238"/>
        <v>-</v>
      </c>
      <c r="AQ500" s="8" t="str">
        <f t="shared" si="239"/>
        <v>-</v>
      </c>
      <c r="AR500" s="8" t="str">
        <f t="shared" si="240"/>
        <v>-</v>
      </c>
      <c r="AS500" s="8" t="str">
        <f>IF($AD500&lt;=$C$25*12,SUM(AR$5:AR500),"-")</f>
        <v>-</v>
      </c>
      <c r="AT500" s="8" t="str">
        <f>IF($AD500&lt;=$C$25*12,AE500-$C$10-'RE Calculations'!$C687-'Mortgage Calculators (By Month)'!$M518,"-")</f>
        <v>-</v>
      </c>
      <c r="AU500" s="29" t="str">
        <f t="shared" si="241"/>
        <v>-</v>
      </c>
      <c r="AV500" s="31" t="str">
        <f t="shared" si="242"/>
        <v>-</v>
      </c>
      <c r="AW500" s="8" t="str">
        <f t="shared" si="243"/>
        <v>-</v>
      </c>
      <c r="AX500" s="29" t="str">
        <f t="shared" si="244"/>
        <v>-</v>
      </c>
      <c r="AY500" s="31" t="str">
        <f t="shared" si="245"/>
        <v>-</v>
      </c>
    </row>
    <row r="501" spans="6:51" x14ac:dyDescent="0.35">
      <c r="F501" s="12" t="str">
        <f t="shared" si="218"/>
        <v>-</v>
      </c>
      <c r="G501" s="8" t="str">
        <f t="shared" si="219"/>
        <v>-</v>
      </c>
      <c r="H501" s="8" t="str">
        <f>IF($F501&lt;=$C$16*12,$G501-$C$7+SUM('Mortgage Calculators (By Month)'!$D$23:$D519),"-")</f>
        <v>-</v>
      </c>
      <c r="I501" s="8" t="str">
        <f t="shared" si="224"/>
        <v>-</v>
      </c>
      <c r="J501" s="8" t="str">
        <f>IF($F501&lt;=$C$16*12,SUM(Inputs!$C$61:$C$78)*'Forecast (By Month)'!I501,"-")</f>
        <v>-</v>
      </c>
      <c r="K501" s="8" t="str">
        <f>IF($F501&lt;=$C$16*12,(SUMIF(Inputs!$C$61:$C$78,0,Inputs!$F$61:$F$78)/12)*(1+$C$34)^ROUNDDOWN((F501-1)/12,0),"-")</f>
        <v>-</v>
      </c>
      <c r="L501" s="8" t="str">
        <f t="shared" si="225"/>
        <v>-</v>
      </c>
      <c r="M501" s="8" t="str">
        <f>IF($F501&lt;=$C$16*12,'Mortgage Calculators (By Month)'!$C519,"-")</f>
        <v>-</v>
      </c>
      <c r="N501" s="8" t="str">
        <f>IF($F501&lt;=$C$16*12,'Mortgage Calculators (By Month)'!$D519,"-")</f>
        <v>-</v>
      </c>
      <c r="O501" s="8" t="str">
        <f>IF($F501&lt;=$C$16*12,'Mortgage Calculators (By Month)'!$E519,"-")</f>
        <v>-</v>
      </c>
      <c r="P501" s="8" t="str">
        <f t="shared" si="222"/>
        <v>-</v>
      </c>
      <c r="Q501" s="8" t="str">
        <f t="shared" si="226"/>
        <v>-</v>
      </c>
      <c r="R501" s="8" t="str">
        <f t="shared" si="227"/>
        <v>-</v>
      </c>
      <c r="S501" s="8" t="str">
        <f t="shared" si="228"/>
        <v>-</v>
      </c>
      <c r="T501" s="8" t="str">
        <f t="shared" si="229"/>
        <v>-</v>
      </c>
      <c r="U501" s="8" t="str">
        <f>IF($F501&lt;=$C$16*12,SUM(T$5:T501),"-")</f>
        <v>-</v>
      </c>
      <c r="V501" s="8" t="str">
        <f>IF($F501&lt;=$C$16*12,G501-$C$10-'RE Calculations'!$C688-'Mortgage Calculators (By Month)'!$F519,"-")</f>
        <v>-</v>
      </c>
      <c r="W501" s="29" t="str">
        <f t="shared" si="230"/>
        <v>-</v>
      </c>
      <c r="X501" s="31" t="str">
        <f t="shared" si="231"/>
        <v>-</v>
      </c>
      <c r="Y501" s="8" t="str">
        <f t="shared" si="232"/>
        <v>-</v>
      </c>
      <c r="Z501" s="29" t="str">
        <f t="shared" si="233"/>
        <v>-</v>
      </c>
      <c r="AA501" s="31" t="str">
        <f t="shared" si="234"/>
        <v>-</v>
      </c>
      <c r="AD501" s="12" t="str">
        <f t="shared" si="220"/>
        <v>-</v>
      </c>
      <c r="AE501" s="8" t="str">
        <f t="shared" si="221"/>
        <v>-</v>
      </c>
      <c r="AF501" s="8" t="str">
        <f>IF($AD501&lt;=$C$25*12,$AE501-$C$7+SUM('Mortgage Calculators (By Month)'!$K$23:$K519),"-")</f>
        <v>-</v>
      </c>
      <c r="AG501" s="8" t="str">
        <f t="shared" si="235"/>
        <v>-</v>
      </c>
      <c r="AH501" s="8" t="str">
        <f>IF($AD501&lt;=$C$25*12,SUM(Inputs!$C$61:$C$78)*'Forecast (By Month)'!AG501,"-")</f>
        <v>-</v>
      </c>
      <c r="AI501" s="8" t="str">
        <f>IF($AD501&lt;=$C$25*12,(SUMIF(Inputs!$C$61:$C$78,0,Inputs!$F$61:$F$78)/12)*(1+$C$34)^ROUNDDOWN((AD501-1)/12,0),"-")</f>
        <v>-</v>
      </c>
      <c r="AJ501" s="8" t="str">
        <f t="shared" si="236"/>
        <v>-</v>
      </c>
      <c r="AK501" s="8" t="str">
        <f>IF($AD501&lt;=$C$25*12,'Mortgage Calculators (By Month)'!$J519,"-")</f>
        <v>-</v>
      </c>
      <c r="AL501" s="8" t="str">
        <f>IF($AD501&lt;=$C$25*12,'Mortgage Calculators (By Month)'!$K519,"-")</f>
        <v>-</v>
      </c>
      <c r="AM501" s="8" t="str">
        <f>IF($AD501&lt;=$C$25*12,'Mortgage Calculators (By Month)'!$L519,"-")</f>
        <v>-</v>
      </c>
      <c r="AN501" s="8" t="str">
        <f t="shared" si="223"/>
        <v>-</v>
      </c>
      <c r="AO501" s="8" t="str">
        <f t="shared" si="237"/>
        <v>-</v>
      </c>
      <c r="AP501" s="8" t="str">
        <f t="shared" si="238"/>
        <v>-</v>
      </c>
      <c r="AQ501" s="8" t="str">
        <f t="shared" si="239"/>
        <v>-</v>
      </c>
      <c r="AR501" s="8" t="str">
        <f t="shared" si="240"/>
        <v>-</v>
      </c>
      <c r="AS501" s="8" t="str">
        <f>IF($AD501&lt;=$C$25*12,SUM(AR$5:AR501),"-")</f>
        <v>-</v>
      </c>
      <c r="AT501" s="8" t="str">
        <f>IF($AD501&lt;=$C$25*12,AE501-$C$10-'RE Calculations'!$C688-'Mortgage Calculators (By Month)'!$M519,"-")</f>
        <v>-</v>
      </c>
      <c r="AU501" s="29" t="str">
        <f t="shared" si="241"/>
        <v>-</v>
      </c>
      <c r="AV501" s="31" t="str">
        <f t="shared" si="242"/>
        <v>-</v>
      </c>
      <c r="AW501" s="8" t="str">
        <f t="shared" si="243"/>
        <v>-</v>
      </c>
      <c r="AX501" s="29" t="str">
        <f t="shared" si="244"/>
        <v>-</v>
      </c>
      <c r="AY501" s="31" t="str">
        <f t="shared" si="245"/>
        <v>-</v>
      </c>
    </row>
    <row r="502" spans="6:51" x14ac:dyDescent="0.35">
      <c r="F502" s="12" t="str">
        <f t="shared" si="218"/>
        <v>-</v>
      </c>
      <c r="G502" s="8" t="str">
        <f t="shared" si="219"/>
        <v>-</v>
      </c>
      <c r="H502" s="8" t="str">
        <f>IF($F502&lt;=$C$16*12,$G502-$C$7+SUM('Mortgage Calculators (By Month)'!$D$23:$D520),"-")</f>
        <v>-</v>
      </c>
      <c r="I502" s="8" t="str">
        <f t="shared" si="224"/>
        <v>-</v>
      </c>
      <c r="J502" s="8" t="str">
        <f>IF($F502&lt;=$C$16*12,SUM(Inputs!$C$61:$C$78)*'Forecast (By Month)'!I502,"-")</f>
        <v>-</v>
      </c>
      <c r="K502" s="8" t="str">
        <f>IF($F502&lt;=$C$16*12,(SUMIF(Inputs!$C$61:$C$78,0,Inputs!$F$61:$F$78)/12)*(1+$C$34)^ROUNDDOWN((F502-1)/12,0),"-")</f>
        <v>-</v>
      </c>
      <c r="L502" s="8" t="str">
        <f t="shared" si="225"/>
        <v>-</v>
      </c>
      <c r="M502" s="8" t="str">
        <f>IF($F502&lt;=$C$16*12,'Mortgage Calculators (By Month)'!$C520,"-")</f>
        <v>-</v>
      </c>
      <c r="N502" s="8" t="str">
        <f>IF($F502&lt;=$C$16*12,'Mortgage Calculators (By Month)'!$D520,"-")</f>
        <v>-</v>
      </c>
      <c r="O502" s="8" t="str">
        <f>IF($F502&lt;=$C$16*12,'Mortgage Calculators (By Month)'!$E520,"-")</f>
        <v>-</v>
      </c>
      <c r="P502" s="8" t="str">
        <f t="shared" si="222"/>
        <v>-</v>
      </c>
      <c r="Q502" s="8" t="str">
        <f t="shared" si="226"/>
        <v>-</v>
      </c>
      <c r="R502" s="8" t="str">
        <f t="shared" si="227"/>
        <v>-</v>
      </c>
      <c r="S502" s="8" t="str">
        <f t="shared" si="228"/>
        <v>-</v>
      </c>
      <c r="T502" s="8" t="str">
        <f t="shared" si="229"/>
        <v>-</v>
      </c>
      <c r="U502" s="8" t="str">
        <f>IF($F502&lt;=$C$16*12,SUM(T$5:T502),"-")</f>
        <v>-</v>
      </c>
      <c r="V502" s="8" t="str">
        <f>IF($F502&lt;=$C$16*12,G502-$C$10-'RE Calculations'!$C689-'Mortgage Calculators (By Month)'!$F520,"-")</f>
        <v>-</v>
      </c>
      <c r="W502" s="29" t="str">
        <f t="shared" si="230"/>
        <v>-</v>
      </c>
      <c r="X502" s="31" t="str">
        <f t="shared" si="231"/>
        <v>-</v>
      </c>
      <c r="Y502" s="8" t="str">
        <f t="shared" si="232"/>
        <v>-</v>
      </c>
      <c r="Z502" s="29" t="str">
        <f t="shared" si="233"/>
        <v>-</v>
      </c>
      <c r="AA502" s="31" t="str">
        <f t="shared" si="234"/>
        <v>-</v>
      </c>
      <c r="AD502" s="12" t="str">
        <f t="shared" si="220"/>
        <v>-</v>
      </c>
      <c r="AE502" s="8" t="str">
        <f t="shared" si="221"/>
        <v>-</v>
      </c>
      <c r="AF502" s="8" t="str">
        <f>IF($AD502&lt;=$C$25*12,$AE502-$C$7+SUM('Mortgage Calculators (By Month)'!$K$23:$K520),"-")</f>
        <v>-</v>
      </c>
      <c r="AG502" s="8" t="str">
        <f t="shared" si="235"/>
        <v>-</v>
      </c>
      <c r="AH502" s="8" t="str">
        <f>IF($AD502&lt;=$C$25*12,SUM(Inputs!$C$61:$C$78)*'Forecast (By Month)'!AG502,"-")</f>
        <v>-</v>
      </c>
      <c r="AI502" s="8" t="str">
        <f>IF($AD502&lt;=$C$25*12,(SUMIF(Inputs!$C$61:$C$78,0,Inputs!$F$61:$F$78)/12)*(1+$C$34)^ROUNDDOWN((AD502-1)/12,0),"-")</f>
        <v>-</v>
      </c>
      <c r="AJ502" s="8" t="str">
        <f t="shared" si="236"/>
        <v>-</v>
      </c>
      <c r="AK502" s="8" t="str">
        <f>IF($AD502&lt;=$C$25*12,'Mortgage Calculators (By Month)'!$J520,"-")</f>
        <v>-</v>
      </c>
      <c r="AL502" s="8" t="str">
        <f>IF($AD502&lt;=$C$25*12,'Mortgage Calculators (By Month)'!$K520,"-")</f>
        <v>-</v>
      </c>
      <c r="AM502" s="8" t="str">
        <f>IF($AD502&lt;=$C$25*12,'Mortgage Calculators (By Month)'!$L520,"-")</f>
        <v>-</v>
      </c>
      <c r="AN502" s="8" t="str">
        <f t="shared" si="223"/>
        <v>-</v>
      </c>
      <c r="AO502" s="8" t="str">
        <f t="shared" si="237"/>
        <v>-</v>
      </c>
      <c r="AP502" s="8" t="str">
        <f t="shared" si="238"/>
        <v>-</v>
      </c>
      <c r="AQ502" s="8" t="str">
        <f t="shared" si="239"/>
        <v>-</v>
      </c>
      <c r="AR502" s="8" t="str">
        <f t="shared" si="240"/>
        <v>-</v>
      </c>
      <c r="AS502" s="8" t="str">
        <f>IF($AD502&lt;=$C$25*12,SUM(AR$5:AR502),"-")</f>
        <v>-</v>
      </c>
      <c r="AT502" s="8" t="str">
        <f>IF($AD502&lt;=$C$25*12,AE502-$C$10-'RE Calculations'!$C689-'Mortgage Calculators (By Month)'!$M520,"-")</f>
        <v>-</v>
      </c>
      <c r="AU502" s="29" t="str">
        <f t="shared" si="241"/>
        <v>-</v>
      </c>
      <c r="AV502" s="31" t="str">
        <f t="shared" si="242"/>
        <v>-</v>
      </c>
      <c r="AW502" s="8" t="str">
        <f t="shared" si="243"/>
        <v>-</v>
      </c>
      <c r="AX502" s="29" t="str">
        <f t="shared" si="244"/>
        <v>-</v>
      </c>
      <c r="AY502" s="31" t="str">
        <f t="shared" si="245"/>
        <v>-</v>
      </c>
    </row>
    <row r="503" spans="6:51" x14ac:dyDescent="0.35">
      <c r="F503" s="12" t="str">
        <f t="shared" si="218"/>
        <v>-</v>
      </c>
      <c r="G503" s="8" t="str">
        <f t="shared" si="219"/>
        <v>-</v>
      </c>
      <c r="H503" s="8" t="str">
        <f>IF($F503&lt;=$C$16*12,$G503-$C$7+SUM('Mortgage Calculators (By Month)'!$D$23:$D521),"-")</f>
        <v>-</v>
      </c>
      <c r="I503" s="8" t="str">
        <f t="shared" si="224"/>
        <v>-</v>
      </c>
      <c r="J503" s="8" t="str">
        <f>IF($F503&lt;=$C$16*12,SUM(Inputs!$C$61:$C$78)*'Forecast (By Month)'!I503,"-")</f>
        <v>-</v>
      </c>
      <c r="K503" s="8" t="str">
        <f>IF($F503&lt;=$C$16*12,(SUMIF(Inputs!$C$61:$C$78,0,Inputs!$F$61:$F$78)/12)*(1+$C$34)^ROUNDDOWN((F503-1)/12,0),"-")</f>
        <v>-</v>
      </c>
      <c r="L503" s="8" t="str">
        <f t="shared" si="225"/>
        <v>-</v>
      </c>
      <c r="M503" s="8" t="str">
        <f>IF($F503&lt;=$C$16*12,'Mortgage Calculators (By Month)'!$C521,"-")</f>
        <v>-</v>
      </c>
      <c r="N503" s="8" t="str">
        <f>IF($F503&lt;=$C$16*12,'Mortgage Calculators (By Month)'!$D521,"-")</f>
        <v>-</v>
      </c>
      <c r="O503" s="8" t="str">
        <f>IF($F503&lt;=$C$16*12,'Mortgage Calculators (By Month)'!$E521,"-")</f>
        <v>-</v>
      </c>
      <c r="P503" s="8" t="str">
        <f t="shared" si="222"/>
        <v>-</v>
      </c>
      <c r="Q503" s="8" t="str">
        <f t="shared" si="226"/>
        <v>-</v>
      </c>
      <c r="R503" s="8" t="str">
        <f t="shared" si="227"/>
        <v>-</v>
      </c>
      <c r="S503" s="8" t="str">
        <f t="shared" si="228"/>
        <v>-</v>
      </c>
      <c r="T503" s="8" t="str">
        <f t="shared" si="229"/>
        <v>-</v>
      </c>
      <c r="U503" s="8" t="str">
        <f>IF($F503&lt;=$C$16*12,SUM(T$5:T503),"-")</f>
        <v>-</v>
      </c>
      <c r="V503" s="8" t="str">
        <f>IF($F503&lt;=$C$16*12,G503-$C$10-'RE Calculations'!$C690-'Mortgage Calculators (By Month)'!$F521,"-")</f>
        <v>-</v>
      </c>
      <c r="W503" s="29" t="str">
        <f t="shared" si="230"/>
        <v>-</v>
      </c>
      <c r="X503" s="31" t="str">
        <f t="shared" si="231"/>
        <v>-</v>
      </c>
      <c r="Y503" s="8" t="str">
        <f t="shared" si="232"/>
        <v>-</v>
      </c>
      <c r="Z503" s="29" t="str">
        <f t="shared" si="233"/>
        <v>-</v>
      </c>
      <c r="AA503" s="31" t="str">
        <f t="shared" si="234"/>
        <v>-</v>
      </c>
      <c r="AD503" s="12" t="str">
        <f t="shared" si="220"/>
        <v>-</v>
      </c>
      <c r="AE503" s="8" t="str">
        <f t="shared" si="221"/>
        <v>-</v>
      </c>
      <c r="AF503" s="8" t="str">
        <f>IF($AD503&lt;=$C$25*12,$AE503-$C$7+SUM('Mortgage Calculators (By Month)'!$K$23:$K521),"-")</f>
        <v>-</v>
      </c>
      <c r="AG503" s="8" t="str">
        <f t="shared" si="235"/>
        <v>-</v>
      </c>
      <c r="AH503" s="8" t="str">
        <f>IF($AD503&lt;=$C$25*12,SUM(Inputs!$C$61:$C$78)*'Forecast (By Month)'!AG503,"-")</f>
        <v>-</v>
      </c>
      <c r="AI503" s="8" t="str">
        <f>IF($AD503&lt;=$C$25*12,(SUMIF(Inputs!$C$61:$C$78,0,Inputs!$F$61:$F$78)/12)*(1+$C$34)^ROUNDDOWN((AD503-1)/12,0),"-")</f>
        <v>-</v>
      </c>
      <c r="AJ503" s="8" t="str">
        <f t="shared" si="236"/>
        <v>-</v>
      </c>
      <c r="AK503" s="8" t="str">
        <f>IF($AD503&lt;=$C$25*12,'Mortgage Calculators (By Month)'!$J521,"-")</f>
        <v>-</v>
      </c>
      <c r="AL503" s="8" t="str">
        <f>IF($AD503&lt;=$C$25*12,'Mortgage Calculators (By Month)'!$K521,"-")</f>
        <v>-</v>
      </c>
      <c r="AM503" s="8" t="str">
        <f>IF($AD503&lt;=$C$25*12,'Mortgage Calculators (By Month)'!$L521,"-")</f>
        <v>-</v>
      </c>
      <c r="AN503" s="8" t="str">
        <f t="shared" si="223"/>
        <v>-</v>
      </c>
      <c r="AO503" s="8" t="str">
        <f t="shared" si="237"/>
        <v>-</v>
      </c>
      <c r="AP503" s="8" t="str">
        <f t="shared" si="238"/>
        <v>-</v>
      </c>
      <c r="AQ503" s="8" t="str">
        <f t="shared" si="239"/>
        <v>-</v>
      </c>
      <c r="AR503" s="8" t="str">
        <f t="shared" si="240"/>
        <v>-</v>
      </c>
      <c r="AS503" s="8" t="str">
        <f>IF($AD503&lt;=$C$25*12,SUM(AR$5:AR503),"-")</f>
        <v>-</v>
      </c>
      <c r="AT503" s="8" t="str">
        <f>IF($AD503&lt;=$C$25*12,AE503-$C$10-'RE Calculations'!$C690-'Mortgage Calculators (By Month)'!$M521,"-")</f>
        <v>-</v>
      </c>
      <c r="AU503" s="29" t="str">
        <f t="shared" si="241"/>
        <v>-</v>
      </c>
      <c r="AV503" s="31" t="str">
        <f t="shared" si="242"/>
        <v>-</v>
      </c>
      <c r="AW503" s="8" t="str">
        <f t="shared" si="243"/>
        <v>-</v>
      </c>
      <c r="AX503" s="29" t="str">
        <f t="shared" si="244"/>
        <v>-</v>
      </c>
      <c r="AY503" s="31" t="str">
        <f t="shared" si="245"/>
        <v>-</v>
      </c>
    </row>
    <row r="504" spans="6:51" x14ac:dyDescent="0.35">
      <c r="F504" s="12" t="str">
        <f t="shared" si="218"/>
        <v>-</v>
      </c>
      <c r="G504" s="8" t="str">
        <f t="shared" si="219"/>
        <v>-</v>
      </c>
      <c r="H504" s="8" t="str">
        <f>IF($F504&lt;=$C$16*12,$G504-$C$7+SUM('Mortgage Calculators (By Month)'!$D$23:$D522),"-")</f>
        <v>-</v>
      </c>
      <c r="I504" s="8" t="str">
        <f t="shared" si="224"/>
        <v>-</v>
      </c>
      <c r="J504" s="8" t="str">
        <f>IF($F504&lt;=$C$16*12,SUM(Inputs!$C$61:$C$78)*'Forecast (By Month)'!I504,"-")</f>
        <v>-</v>
      </c>
      <c r="K504" s="8" t="str">
        <f>IF($F504&lt;=$C$16*12,(SUMIF(Inputs!$C$61:$C$78,0,Inputs!$F$61:$F$78)/12)*(1+$C$34)^ROUNDDOWN((F504-1)/12,0),"-")</f>
        <v>-</v>
      </c>
      <c r="L504" s="8" t="str">
        <f t="shared" si="225"/>
        <v>-</v>
      </c>
      <c r="M504" s="8" t="str">
        <f>IF($F504&lt;=$C$16*12,'Mortgage Calculators (By Month)'!$C522,"-")</f>
        <v>-</v>
      </c>
      <c r="N504" s="8" t="str">
        <f>IF($F504&lt;=$C$16*12,'Mortgage Calculators (By Month)'!$D522,"-")</f>
        <v>-</v>
      </c>
      <c r="O504" s="8" t="str">
        <f>IF($F504&lt;=$C$16*12,'Mortgage Calculators (By Month)'!$E522,"-")</f>
        <v>-</v>
      </c>
      <c r="P504" s="8" t="str">
        <f t="shared" si="222"/>
        <v>-</v>
      </c>
      <c r="Q504" s="8" t="str">
        <f t="shared" si="226"/>
        <v>-</v>
      </c>
      <c r="R504" s="8" t="str">
        <f t="shared" si="227"/>
        <v>-</v>
      </c>
      <c r="S504" s="8" t="str">
        <f t="shared" si="228"/>
        <v>-</v>
      </c>
      <c r="T504" s="8" t="str">
        <f t="shared" si="229"/>
        <v>-</v>
      </c>
      <c r="U504" s="8" t="str">
        <f>IF($F504&lt;=$C$16*12,SUM(T$5:T504),"-")</f>
        <v>-</v>
      </c>
      <c r="V504" s="8" t="str">
        <f>IF($F504&lt;=$C$16*12,G504-$C$10-'RE Calculations'!$C691-'Mortgage Calculators (By Month)'!$F522,"-")</f>
        <v>-</v>
      </c>
      <c r="W504" s="29" t="str">
        <f t="shared" si="230"/>
        <v>-</v>
      </c>
      <c r="X504" s="31" t="str">
        <f t="shared" si="231"/>
        <v>-</v>
      </c>
      <c r="Y504" s="8" t="str">
        <f t="shared" si="232"/>
        <v>-</v>
      </c>
      <c r="Z504" s="29" t="str">
        <f t="shared" si="233"/>
        <v>-</v>
      </c>
      <c r="AA504" s="31" t="str">
        <f t="shared" si="234"/>
        <v>-</v>
      </c>
      <c r="AD504" s="12" t="str">
        <f t="shared" si="220"/>
        <v>-</v>
      </c>
      <c r="AE504" s="8" t="str">
        <f t="shared" si="221"/>
        <v>-</v>
      </c>
      <c r="AF504" s="8" t="str">
        <f>IF($AD504&lt;=$C$25*12,$AE504-$C$7+SUM('Mortgage Calculators (By Month)'!$K$23:$K522),"-")</f>
        <v>-</v>
      </c>
      <c r="AG504" s="8" t="str">
        <f t="shared" si="235"/>
        <v>-</v>
      </c>
      <c r="AH504" s="8" t="str">
        <f>IF($AD504&lt;=$C$25*12,SUM(Inputs!$C$61:$C$78)*'Forecast (By Month)'!AG504,"-")</f>
        <v>-</v>
      </c>
      <c r="AI504" s="8" t="str">
        <f>IF($AD504&lt;=$C$25*12,(SUMIF(Inputs!$C$61:$C$78,0,Inputs!$F$61:$F$78)/12)*(1+$C$34)^ROUNDDOWN((AD504-1)/12,0),"-")</f>
        <v>-</v>
      </c>
      <c r="AJ504" s="8" t="str">
        <f t="shared" si="236"/>
        <v>-</v>
      </c>
      <c r="AK504" s="8" t="str">
        <f>IF($AD504&lt;=$C$25*12,'Mortgage Calculators (By Month)'!$J522,"-")</f>
        <v>-</v>
      </c>
      <c r="AL504" s="8" t="str">
        <f>IF($AD504&lt;=$C$25*12,'Mortgage Calculators (By Month)'!$K522,"-")</f>
        <v>-</v>
      </c>
      <c r="AM504" s="8" t="str">
        <f>IF($AD504&lt;=$C$25*12,'Mortgage Calculators (By Month)'!$L522,"-")</f>
        <v>-</v>
      </c>
      <c r="AN504" s="8" t="str">
        <f t="shared" si="223"/>
        <v>-</v>
      </c>
      <c r="AO504" s="8" t="str">
        <f t="shared" si="237"/>
        <v>-</v>
      </c>
      <c r="AP504" s="8" t="str">
        <f t="shared" si="238"/>
        <v>-</v>
      </c>
      <c r="AQ504" s="8" t="str">
        <f t="shared" si="239"/>
        <v>-</v>
      </c>
      <c r="AR504" s="8" t="str">
        <f t="shared" si="240"/>
        <v>-</v>
      </c>
      <c r="AS504" s="8" t="str">
        <f>IF($AD504&lt;=$C$25*12,SUM(AR$5:AR504),"-")</f>
        <v>-</v>
      </c>
      <c r="AT504" s="8" t="str">
        <f>IF($AD504&lt;=$C$25*12,AE504-$C$10-'RE Calculations'!$C691-'Mortgage Calculators (By Month)'!$M522,"-")</f>
        <v>-</v>
      </c>
      <c r="AU504" s="29" t="str">
        <f t="shared" si="241"/>
        <v>-</v>
      </c>
      <c r="AV504" s="31" t="str">
        <f t="shared" si="242"/>
        <v>-</v>
      </c>
      <c r="AW504" s="8" t="str">
        <f t="shared" si="243"/>
        <v>-</v>
      </c>
      <c r="AX504" s="29" t="str">
        <f t="shared" si="244"/>
        <v>-</v>
      </c>
      <c r="AY504" s="31" t="str">
        <f t="shared" si="245"/>
        <v>-</v>
      </c>
    </row>
    <row r="505" spans="6:51" x14ac:dyDescent="0.35">
      <c r="F505" s="12" t="str">
        <f t="shared" si="218"/>
        <v>-</v>
      </c>
      <c r="G505" s="8" t="str">
        <f t="shared" si="219"/>
        <v>-</v>
      </c>
      <c r="H505" s="8" t="str">
        <f>IF($F505&lt;=$C$16*12,$G505-$C$7+SUM('Mortgage Calculators (By Month)'!$D$23:$D523),"-")</f>
        <v>-</v>
      </c>
      <c r="I505" s="8" t="str">
        <f t="shared" si="224"/>
        <v>-</v>
      </c>
      <c r="J505" s="8" t="str">
        <f>IF($F505&lt;=$C$16*12,SUM(Inputs!$C$61:$C$78)*'Forecast (By Month)'!I505,"-")</f>
        <v>-</v>
      </c>
      <c r="K505" s="8" t="str">
        <f>IF($F505&lt;=$C$16*12,(SUMIF(Inputs!$C$61:$C$78,0,Inputs!$F$61:$F$78)/12)*(1+$C$34)^ROUNDDOWN((F505-1)/12,0),"-")</f>
        <v>-</v>
      </c>
      <c r="L505" s="8" t="str">
        <f t="shared" si="225"/>
        <v>-</v>
      </c>
      <c r="M505" s="8" t="str">
        <f>IF($F505&lt;=$C$16*12,'Mortgage Calculators (By Month)'!$C523,"-")</f>
        <v>-</v>
      </c>
      <c r="N505" s="8" t="str">
        <f>IF($F505&lt;=$C$16*12,'Mortgage Calculators (By Month)'!$D523,"-")</f>
        <v>-</v>
      </c>
      <c r="O505" s="8" t="str">
        <f>IF($F505&lt;=$C$16*12,'Mortgage Calculators (By Month)'!$E523,"-")</f>
        <v>-</v>
      </c>
      <c r="P505" s="8" t="str">
        <f t="shared" si="222"/>
        <v>-</v>
      </c>
      <c r="Q505" s="8" t="str">
        <f t="shared" si="226"/>
        <v>-</v>
      </c>
      <c r="R505" s="8" t="str">
        <f t="shared" si="227"/>
        <v>-</v>
      </c>
      <c r="S505" s="8" t="str">
        <f t="shared" si="228"/>
        <v>-</v>
      </c>
      <c r="T505" s="8" t="str">
        <f t="shared" si="229"/>
        <v>-</v>
      </c>
      <c r="U505" s="8" t="str">
        <f>IF($F505&lt;=$C$16*12,SUM(T$5:T505),"-")</f>
        <v>-</v>
      </c>
      <c r="V505" s="8" t="str">
        <f>IF($F505&lt;=$C$16*12,G505-$C$10-'RE Calculations'!$C692-'Mortgage Calculators (By Month)'!$F523,"-")</f>
        <v>-</v>
      </c>
      <c r="W505" s="29" t="str">
        <f t="shared" si="230"/>
        <v>-</v>
      </c>
      <c r="X505" s="31" t="str">
        <f t="shared" si="231"/>
        <v>-</v>
      </c>
      <c r="Y505" s="8" t="str">
        <f t="shared" si="232"/>
        <v>-</v>
      </c>
      <c r="Z505" s="29" t="str">
        <f t="shared" si="233"/>
        <v>-</v>
      </c>
      <c r="AA505" s="31" t="str">
        <f t="shared" si="234"/>
        <v>-</v>
      </c>
      <c r="AD505" s="12" t="str">
        <f t="shared" si="220"/>
        <v>-</v>
      </c>
      <c r="AE505" s="8" t="str">
        <f t="shared" si="221"/>
        <v>-</v>
      </c>
      <c r="AF505" s="8" t="str">
        <f>IF($AD505&lt;=$C$25*12,$AE505-$C$7+SUM('Mortgage Calculators (By Month)'!$K$23:$K523),"-")</f>
        <v>-</v>
      </c>
      <c r="AG505" s="8" t="str">
        <f t="shared" si="235"/>
        <v>-</v>
      </c>
      <c r="AH505" s="8" t="str">
        <f>IF($AD505&lt;=$C$25*12,SUM(Inputs!$C$61:$C$78)*'Forecast (By Month)'!AG505,"-")</f>
        <v>-</v>
      </c>
      <c r="AI505" s="8" t="str">
        <f>IF($AD505&lt;=$C$25*12,(SUMIF(Inputs!$C$61:$C$78,0,Inputs!$F$61:$F$78)/12)*(1+$C$34)^ROUNDDOWN((AD505-1)/12,0),"-")</f>
        <v>-</v>
      </c>
      <c r="AJ505" s="8" t="str">
        <f t="shared" si="236"/>
        <v>-</v>
      </c>
      <c r="AK505" s="8" t="str">
        <f>IF($AD505&lt;=$C$25*12,'Mortgage Calculators (By Month)'!$J523,"-")</f>
        <v>-</v>
      </c>
      <c r="AL505" s="8" t="str">
        <f>IF($AD505&lt;=$C$25*12,'Mortgage Calculators (By Month)'!$K523,"-")</f>
        <v>-</v>
      </c>
      <c r="AM505" s="8" t="str">
        <f>IF($AD505&lt;=$C$25*12,'Mortgage Calculators (By Month)'!$L523,"-")</f>
        <v>-</v>
      </c>
      <c r="AN505" s="8" t="str">
        <f t="shared" si="223"/>
        <v>-</v>
      </c>
      <c r="AO505" s="8" t="str">
        <f t="shared" si="237"/>
        <v>-</v>
      </c>
      <c r="AP505" s="8" t="str">
        <f t="shared" si="238"/>
        <v>-</v>
      </c>
      <c r="AQ505" s="8" t="str">
        <f t="shared" si="239"/>
        <v>-</v>
      </c>
      <c r="AR505" s="8" t="str">
        <f t="shared" si="240"/>
        <v>-</v>
      </c>
      <c r="AS505" s="8" t="str">
        <f>IF($AD505&lt;=$C$25*12,SUM(AR$5:AR505),"-")</f>
        <v>-</v>
      </c>
      <c r="AT505" s="8" t="str">
        <f>IF($AD505&lt;=$C$25*12,AE505-$C$10-'RE Calculations'!$C692-'Mortgage Calculators (By Month)'!$M523,"-")</f>
        <v>-</v>
      </c>
      <c r="AU505" s="29" t="str">
        <f t="shared" si="241"/>
        <v>-</v>
      </c>
      <c r="AV505" s="31" t="str">
        <f t="shared" si="242"/>
        <v>-</v>
      </c>
      <c r="AW505" s="8" t="str">
        <f t="shared" si="243"/>
        <v>-</v>
      </c>
      <c r="AX505" s="29" t="str">
        <f t="shared" si="244"/>
        <v>-</v>
      </c>
      <c r="AY505" s="31" t="str">
        <f t="shared" si="245"/>
        <v>-</v>
      </c>
    </row>
    <row r="506" spans="6:51" x14ac:dyDescent="0.35">
      <c r="F506" s="12" t="str">
        <f t="shared" si="218"/>
        <v>-</v>
      </c>
      <c r="G506" s="8" t="str">
        <f t="shared" si="219"/>
        <v>-</v>
      </c>
      <c r="H506" s="8" t="str">
        <f>IF($F506&lt;=$C$16*12,$G506-$C$7+SUM('Mortgage Calculators (By Month)'!$D$23:$D524),"-")</f>
        <v>-</v>
      </c>
      <c r="I506" s="8" t="str">
        <f t="shared" si="224"/>
        <v>-</v>
      </c>
      <c r="J506" s="8" t="str">
        <f>IF($F506&lt;=$C$16*12,SUM(Inputs!$C$61:$C$78)*'Forecast (By Month)'!I506,"-")</f>
        <v>-</v>
      </c>
      <c r="K506" s="8" t="str">
        <f>IF($F506&lt;=$C$16*12,(SUMIF(Inputs!$C$61:$C$78,0,Inputs!$F$61:$F$78)/12)*(1+$C$34)^ROUNDDOWN((F506-1)/12,0),"-")</f>
        <v>-</v>
      </c>
      <c r="L506" s="8" t="str">
        <f t="shared" si="225"/>
        <v>-</v>
      </c>
      <c r="M506" s="8" t="str">
        <f>IF($F506&lt;=$C$16*12,'Mortgage Calculators (By Month)'!$C524,"-")</f>
        <v>-</v>
      </c>
      <c r="N506" s="8" t="str">
        <f>IF($F506&lt;=$C$16*12,'Mortgage Calculators (By Month)'!$D524,"-")</f>
        <v>-</v>
      </c>
      <c r="O506" s="8" t="str">
        <f>IF($F506&lt;=$C$16*12,'Mortgage Calculators (By Month)'!$E524,"-")</f>
        <v>-</v>
      </c>
      <c r="P506" s="8" t="str">
        <f t="shared" si="222"/>
        <v>-</v>
      </c>
      <c r="Q506" s="8" t="str">
        <f t="shared" si="226"/>
        <v>-</v>
      </c>
      <c r="R506" s="8" t="str">
        <f t="shared" si="227"/>
        <v>-</v>
      </c>
      <c r="S506" s="8" t="str">
        <f t="shared" si="228"/>
        <v>-</v>
      </c>
      <c r="T506" s="8" t="str">
        <f t="shared" si="229"/>
        <v>-</v>
      </c>
      <c r="U506" s="8" t="str">
        <f>IF($F506&lt;=$C$16*12,SUM(T$5:T506),"-")</f>
        <v>-</v>
      </c>
      <c r="V506" s="8" t="str">
        <f>IF($F506&lt;=$C$16*12,G506-$C$10-'RE Calculations'!$C693-'Mortgage Calculators (By Month)'!$F524,"-")</f>
        <v>-</v>
      </c>
      <c r="W506" s="29" t="str">
        <f t="shared" si="230"/>
        <v>-</v>
      </c>
      <c r="X506" s="31" t="str">
        <f t="shared" si="231"/>
        <v>-</v>
      </c>
      <c r="Y506" s="8" t="str">
        <f t="shared" si="232"/>
        <v>-</v>
      </c>
      <c r="Z506" s="29" t="str">
        <f t="shared" si="233"/>
        <v>-</v>
      </c>
      <c r="AA506" s="31" t="str">
        <f t="shared" si="234"/>
        <v>-</v>
      </c>
      <c r="AD506" s="12" t="str">
        <f t="shared" si="220"/>
        <v>-</v>
      </c>
      <c r="AE506" s="8" t="str">
        <f t="shared" si="221"/>
        <v>-</v>
      </c>
      <c r="AF506" s="8" t="str">
        <f>IF($AD506&lt;=$C$25*12,$AE506-$C$7+SUM('Mortgage Calculators (By Month)'!$K$23:$K524),"-")</f>
        <v>-</v>
      </c>
      <c r="AG506" s="8" t="str">
        <f t="shared" si="235"/>
        <v>-</v>
      </c>
      <c r="AH506" s="8" t="str">
        <f>IF($AD506&lt;=$C$25*12,SUM(Inputs!$C$61:$C$78)*'Forecast (By Month)'!AG506,"-")</f>
        <v>-</v>
      </c>
      <c r="AI506" s="8" t="str">
        <f>IF($AD506&lt;=$C$25*12,(SUMIF(Inputs!$C$61:$C$78,0,Inputs!$F$61:$F$78)/12)*(1+$C$34)^ROUNDDOWN((AD506-1)/12,0),"-")</f>
        <v>-</v>
      </c>
      <c r="AJ506" s="8" t="str">
        <f t="shared" si="236"/>
        <v>-</v>
      </c>
      <c r="AK506" s="8" t="str">
        <f>IF($AD506&lt;=$C$25*12,'Mortgage Calculators (By Month)'!$J524,"-")</f>
        <v>-</v>
      </c>
      <c r="AL506" s="8" t="str">
        <f>IF($AD506&lt;=$C$25*12,'Mortgage Calculators (By Month)'!$K524,"-")</f>
        <v>-</v>
      </c>
      <c r="AM506" s="8" t="str">
        <f>IF($AD506&lt;=$C$25*12,'Mortgage Calculators (By Month)'!$L524,"-")</f>
        <v>-</v>
      </c>
      <c r="AN506" s="8" t="str">
        <f t="shared" si="223"/>
        <v>-</v>
      </c>
      <c r="AO506" s="8" t="str">
        <f t="shared" si="237"/>
        <v>-</v>
      </c>
      <c r="AP506" s="8" t="str">
        <f t="shared" si="238"/>
        <v>-</v>
      </c>
      <c r="AQ506" s="8" t="str">
        <f t="shared" si="239"/>
        <v>-</v>
      </c>
      <c r="AR506" s="8" t="str">
        <f t="shared" si="240"/>
        <v>-</v>
      </c>
      <c r="AS506" s="8" t="str">
        <f>IF($AD506&lt;=$C$25*12,SUM(AR$5:AR506),"-")</f>
        <v>-</v>
      </c>
      <c r="AT506" s="8" t="str">
        <f>IF($AD506&lt;=$C$25*12,AE506-$C$10-'RE Calculations'!$C693-'Mortgage Calculators (By Month)'!$M524,"-")</f>
        <v>-</v>
      </c>
      <c r="AU506" s="29" t="str">
        <f t="shared" si="241"/>
        <v>-</v>
      </c>
      <c r="AV506" s="31" t="str">
        <f t="shared" si="242"/>
        <v>-</v>
      </c>
      <c r="AW506" s="8" t="str">
        <f t="shared" si="243"/>
        <v>-</v>
      </c>
      <c r="AX506" s="29" t="str">
        <f t="shared" si="244"/>
        <v>-</v>
      </c>
      <c r="AY506" s="31" t="str">
        <f t="shared" si="245"/>
        <v>-</v>
      </c>
    </row>
    <row r="507" spans="6:51" x14ac:dyDescent="0.35">
      <c r="F507" s="12" t="str">
        <f t="shared" si="218"/>
        <v>-</v>
      </c>
      <c r="G507" s="8" t="str">
        <f t="shared" si="219"/>
        <v>-</v>
      </c>
      <c r="H507" s="8" t="str">
        <f>IF($F507&lt;=$C$16*12,$G507-$C$7+SUM('Mortgage Calculators (By Month)'!$D$23:$D525),"-")</f>
        <v>-</v>
      </c>
      <c r="I507" s="8" t="str">
        <f t="shared" si="224"/>
        <v>-</v>
      </c>
      <c r="J507" s="8" t="str">
        <f>IF($F507&lt;=$C$16*12,SUM(Inputs!$C$61:$C$78)*'Forecast (By Month)'!I507,"-")</f>
        <v>-</v>
      </c>
      <c r="K507" s="8" t="str">
        <f>IF($F507&lt;=$C$16*12,(SUMIF(Inputs!$C$61:$C$78,0,Inputs!$F$61:$F$78)/12)*(1+$C$34)^ROUNDDOWN((F507-1)/12,0),"-")</f>
        <v>-</v>
      </c>
      <c r="L507" s="8" t="str">
        <f t="shared" si="225"/>
        <v>-</v>
      </c>
      <c r="M507" s="8" t="str">
        <f>IF($F507&lt;=$C$16*12,'Mortgage Calculators (By Month)'!$C525,"-")</f>
        <v>-</v>
      </c>
      <c r="N507" s="8" t="str">
        <f>IF($F507&lt;=$C$16*12,'Mortgage Calculators (By Month)'!$D525,"-")</f>
        <v>-</v>
      </c>
      <c r="O507" s="8" t="str">
        <f>IF($F507&lt;=$C$16*12,'Mortgage Calculators (By Month)'!$E525,"-")</f>
        <v>-</v>
      </c>
      <c r="P507" s="8" t="str">
        <f t="shared" si="222"/>
        <v>-</v>
      </c>
      <c r="Q507" s="8" t="str">
        <f t="shared" si="226"/>
        <v>-</v>
      </c>
      <c r="R507" s="8" t="str">
        <f t="shared" si="227"/>
        <v>-</v>
      </c>
      <c r="S507" s="8" t="str">
        <f t="shared" si="228"/>
        <v>-</v>
      </c>
      <c r="T507" s="8" t="str">
        <f t="shared" si="229"/>
        <v>-</v>
      </c>
      <c r="U507" s="8" t="str">
        <f>IF($F507&lt;=$C$16*12,SUM(T$5:T507),"-")</f>
        <v>-</v>
      </c>
      <c r="V507" s="8" t="str">
        <f>IF($F507&lt;=$C$16*12,G507-$C$10-'RE Calculations'!$C694-'Mortgage Calculators (By Month)'!$F525,"-")</f>
        <v>-</v>
      </c>
      <c r="W507" s="29" t="str">
        <f t="shared" si="230"/>
        <v>-</v>
      </c>
      <c r="X507" s="31" t="str">
        <f t="shared" si="231"/>
        <v>-</v>
      </c>
      <c r="Y507" s="8" t="str">
        <f t="shared" si="232"/>
        <v>-</v>
      </c>
      <c r="Z507" s="29" t="str">
        <f t="shared" si="233"/>
        <v>-</v>
      </c>
      <c r="AA507" s="31" t="str">
        <f t="shared" si="234"/>
        <v>-</v>
      </c>
      <c r="AD507" s="12" t="str">
        <f t="shared" si="220"/>
        <v>-</v>
      </c>
      <c r="AE507" s="8" t="str">
        <f t="shared" si="221"/>
        <v>-</v>
      </c>
      <c r="AF507" s="8" t="str">
        <f>IF($AD507&lt;=$C$25*12,$AE507-$C$7+SUM('Mortgage Calculators (By Month)'!$K$23:$K525),"-")</f>
        <v>-</v>
      </c>
      <c r="AG507" s="8" t="str">
        <f t="shared" si="235"/>
        <v>-</v>
      </c>
      <c r="AH507" s="8" t="str">
        <f>IF($AD507&lt;=$C$25*12,SUM(Inputs!$C$61:$C$78)*'Forecast (By Month)'!AG507,"-")</f>
        <v>-</v>
      </c>
      <c r="AI507" s="8" t="str">
        <f>IF($AD507&lt;=$C$25*12,(SUMIF(Inputs!$C$61:$C$78,0,Inputs!$F$61:$F$78)/12)*(1+$C$34)^ROUNDDOWN((AD507-1)/12,0),"-")</f>
        <v>-</v>
      </c>
      <c r="AJ507" s="8" t="str">
        <f t="shared" si="236"/>
        <v>-</v>
      </c>
      <c r="AK507" s="8" t="str">
        <f>IF($AD507&lt;=$C$25*12,'Mortgage Calculators (By Month)'!$J525,"-")</f>
        <v>-</v>
      </c>
      <c r="AL507" s="8" t="str">
        <f>IF($AD507&lt;=$C$25*12,'Mortgage Calculators (By Month)'!$K525,"-")</f>
        <v>-</v>
      </c>
      <c r="AM507" s="8" t="str">
        <f>IF($AD507&lt;=$C$25*12,'Mortgage Calculators (By Month)'!$L525,"-")</f>
        <v>-</v>
      </c>
      <c r="AN507" s="8" t="str">
        <f t="shared" si="223"/>
        <v>-</v>
      </c>
      <c r="AO507" s="8" t="str">
        <f t="shared" si="237"/>
        <v>-</v>
      </c>
      <c r="AP507" s="8" t="str">
        <f t="shared" si="238"/>
        <v>-</v>
      </c>
      <c r="AQ507" s="8" t="str">
        <f t="shared" si="239"/>
        <v>-</v>
      </c>
      <c r="AR507" s="8" t="str">
        <f t="shared" si="240"/>
        <v>-</v>
      </c>
      <c r="AS507" s="8" t="str">
        <f>IF($AD507&lt;=$C$25*12,SUM(AR$5:AR507),"-")</f>
        <v>-</v>
      </c>
      <c r="AT507" s="8" t="str">
        <f>IF($AD507&lt;=$C$25*12,AE507-$C$10-'RE Calculations'!$C694-'Mortgage Calculators (By Month)'!$M525,"-")</f>
        <v>-</v>
      </c>
      <c r="AU507" s="29" t="str">
        <f t="shared" si="241"/>
        <v>-</v>
      </c>
      <c r="AV507" s="31" t="str">
        <f t="shared" si="242"/>
        <v>-</v>
      </c>
      <c r="AW507" s="8" t="str">
        <f t="shared" si="243"/>
        <v>-</v>
      </c>
      <c r="AX507" s="29" t="str">
        <f t="shared" si="244"/>
        <v>-</v>
      </c>
      <c r="AY507" s="31" t="str">
        <f t="shared" si="245"/>
        <v>-</v>
      </c>
    </row>
    <row r="508" spans="6:51" x14ac:dyDescent="0.35">
      <c r="F508" s="12" t="str">
        <f t="shared" si="218"/>
        <v>-</v>
      </c>
      <c r="G508" s="8" t="str">
        <f t="shared" si="219"/>
        <v>-</v>
      </c>
      <c r="H508" s="8" t="str">
        <f>IF($F508&lt;=$C$16*12,$G508-$C$7+SUM('Mortgage Calculators (By Month)'!$D$23:$D526),"-")</f>
        <v>-</v>
      </c>
      <c r="I508" s="8" t="str">
        <f t="shared" si="224"/>
        <v>-</v>
      </c>
      <c r="J508" s="8" t="str">
        <f>IF($F508&lt;=$C$16*12,SUM(Inputs!$C$61:$C$78)*'Forecast (By Month)'!I508,"-")</f>
        <v>-</v>
      </c>
      <c r="K508" s="8" t="str">
        <f>IF($F508&lt;=$C$16*12,(SUMIF(Inputs!$C$61:$C$78,0,Inputs!$F$61:$F$78)/12)*(1+$C$34)^ROUNDDOWN((F508-1)/12,0),"-")</f>
        <v>-</v>
      </c>
      <c r="L508" s="8" t="str">
        <f t="shared" si="225"/>
        <v>-</v>
      </c>
      <c r="M508" s="8" t="str">
        <f>IF($F508&lt;=$C$16*12,'Mortgage Calculators (By Month)'!$C526,"-")</f>
        <v>-</v>
      </c>
      <c r="N508" s="8" t="str">
        <f>IF($F508&lt;=$C$16*12,'Mortgage Calculators (By Month)'!$D526,"-")</f>
        <v>-</v>
      </c>
      <c r="O508" s="8" t="str">
        <f>IF($F508&lt;=$C$16*12,'Mortgage Calculators (By Month)'!$E526,"-")</f>
        <v>-</v>
      </c>
      <c r="P508" s="8" t="str">
        <f t="shared" si="222"/>
        <v>-</v>
      </c>
      <c r="Q508" s="8" t="str">
        <f t="shared" si="226"/>
        <v>-</v>
      </c>
      <c r="R508" s="8" t="str">
        <f t="shared" si="227"/>
        <v>-</v>
      </c>
      <c r="S508" s="8" t="str">
        <f t="shared" si="228"/>
        <v>-</v>
      </c>
      <c r="T508" s="8" t="str">
        <f t="shared" si="229"/>
        <v>-</v>
      </c>
      <c r="U508" s="8" t="str">
        <f>IF($F508&lt;=$C$16*12,SUM(T$5:T508),"-")</f>
        <v>-</v>
      </c>
      <c r="V508" s="8" t="str">
        <f>IF($F508&lt;=$C$16*12,G508-$C$10-'RE Calculations'!$C695-'Mortgage Calculators (By Month)'!$F526,"-")</f>
        <v>-</v>
      </c>
      <c r="W508" s="29" t="str">
        <f t="shared" si="230"/>
        <v>-</v>
      </c>
      <c r="X508" s="31" t="str">
        <f t="shared" si="231"/>
        <v>-</v>
      </c>
      <c r="Y508" s="8" t="str">
        <f t="shared" si="232"/>
        <v>-</v>
      </c>
      <c r="Z508" s="29" t="str">
        <f t="shared" si="233"/>
        <v>-</v>
      </c>
      <c r="AA508" s="31" t="str">
        <f t="shared" si="234"/>
        <v>-</v>
      </c>
      <c r="AD508" s="12" t="str">
        <f t="shared" si="220"/>
        <v>-</v>
      </c>
      <c r="AE508" s="8" t="str">
        <f t="shared" si="221"/>
        <v>-</v>
      </c>
      <c r="AF508" s="8" t="str">
        <f>IF($AD508&lt;=$C$25*12,$AE508-$C$7+SUM('Mortgage Calculators (By Month)'!$K$23:$K526),"-")</f>
        <v>-</v>
      </c>
      <c r="AG508" s="8" t="str">
        <f t="shared" si="235"/>
        <v>-</v>
      </c>
      <c r="AH508" s="8" t="str">
        <f>IF($AD508&lt;=$C$25*12,SUM(Inputs!$C$61:$C$78)*'Forecast (By Month)'!AG508,"-")</f>
        <v>-</v>
      </c>
      <c r="AI508" s="8" t="str">
        <f>IF($AD508&lt;=$C$25*12,(SUMIF(Inputs!$C$61:$C$78,0,Inputs!$F$61:$F$78)/12)*(1+$C$34)^ROUNDDOWN((AD508-1)/12,0),"-")</f>
        <v>-</v>
      </c>
      <c r="AJ508" s="8" t="str">
        <f t="shared" si="236"/>
        <v>-</v>
      </c>
      <c r="AK508" s="8" t="str">
        <f>IF($AD508&lt;=$C$25*12,'Mortgage Calculators (By Month)'!$J526,"-")</f>
        <v>-</v>
      </c>
      <c r="AL508" s="8" t="str">
        <f>IF($AD508&lt;=$C$25*12,'Mortgage Calculators (By Month)'!$K526,"-")</f>
        <v>-</v>
      </c>
      <c r="AM508" s="8" t="str">
        <f>IF($AD508&lt;=$C$25*12,'Mortgage Calculators (By Month)'!$L526,"-")</f>
        <v>-</v>
      </c>
      <c r="AN508" s="8" t="str">
        <f t="shared" si="223"/>
        <v>-</v>
      </c>
      <c r="AO508" s="8" t="str">
        <f t="shared" si="237"/>
        <v>-</v>
      </c>
      <c r="AP508" s="8" t="str">
        <f t="shared" si="238"/>
        <v>-</v>
      </c>
      <c r="AQ508" s="8" t="str">
        <f t="shared" si="239"/>
        <v>-</v>
      </c>
      <c r="AR508" s="8" t="str">
        <f t="shared" si="240"/>
        <v>-</v>
      </c>
      <c r="AS508" s="8" t="str">
        <f>IF($AD508&lt;=$C$25*12,SUM(AR$5:AR508),"-")</f>
        <v>-</v>
      </c>
      <c r="AT508" s="8" t="str">
        <f>IF($AD508&lt;=$C$25*12,AE508-$C$10-'RE Calculations'!$C695-'Mortgage Calculators (By Month)'!$M526,"-")</f>
        <v>-</v>
      </c>
      <c r="AU508" s="29" t="str">
        <f t="shared" si="241"/>
        <v>-</v>
      </c>
      <c r="AV508" s="31" t="str">
        <f t="shared" si="242"/>
        <v>-</v>
      </c>
      <c r="AW508" s="8" t="str">
        <f t="shared" si="243"/>
        <v>-</v>
      </c>
      <c r="AX508" s="29" t="str">
        <f t="shared" si="244"/>
        <v>-</v>
      </c>
      <c r="AY508" s="31" t="str">
        <f t="shared" si="245"/>
        <v>-</v>
      </c>
    </row>
    <row r="509" spans="6:51" x14ac:dyDescent="0.35">
      <c r="F509" s="12" t="str">
        <f t="shared" si="218"/>
        <v>-</v>
      </c>
      <c r="G509" s="8" t="str">
        <f t="shared" si="219"/>
        <v>-</v>
      </c>
      <c r="H509" s="8" t="str">
        <f>IF($F509&lt;=$C$16*12,$G509-$C$7+SUM('Mortgage Calculators (By Month)'!$D$23:$D527),"-")</f>
        <v>-</v>
      </c>
      <c r="I509" s="8" t="str">
        <f t="shared" si="224"/>
        <v>-</v>
      </c>
      <c r="J509" s="8" t="str">
        <f>IF($F509&lt;=$C$16*12,SUM(Inputs!$C$61:$C$78)*'Forecast (By Month)'!I509,"-")</f>
        <v>-</v>
      </c>
      <c r="K509" s="8" t="str">
        <f>IF($F509&lt;=$C$16*12,(SUMIF(Inputs!$C$61:$C$78,0,Inputs!$F$61:$F$78)/12)*(1+$C$34)^ROUNDDOWN((F509-1)/12,0),"-")</f>
        <v>-</v>
      </c>
      <c r="L509" s="8" t="str">
        <f t="shared" si="225"/>
        <v>-</v>
      </c>
      <c r="M509" s="8" t="str">
        <f>IF($F509&lt;=$C$16*12,'Mortgage Calculators (By Month)'!$C527,"-")</f>
        <v>-</v>
      </c>
      <c r="N509" s="8" t="str">
        <f>IF($F509&lt;=$C$16*12,'Mortgage Calculators (By Month)'!$D527,"-")</f>
        <v>-</v>
      </c>
      <c r="O509" s="8" t="str">
        <f>IF($F509&lt;=$C$16*12,'Mortgage Calculators (By Month)'!$E527,"-")</f>
        <v>-</v>
      </c>
      <c r="P509" s="8" t="str">
        <f t="shared" si="222"/>
        <v>-</v>
      </c>
      <c r="Q509" s="8" t="str">
        <f t="shared" si="226"/>
        <v>-</v>
      </c>
      <c r="R509" s="8" t="str">
        <f t="shared" si="227"/>
        <v>-</v>
      </c>
      <c r="S509" s="8" t="str">
        <f t="shared" si="228"/>
        <v>-</v>
      </c>
      <c r="T509" s="8" t="str">
        <f t="shared" si="229"/>
        <v>-</v>
      </c>
      <c r="U509" s="8" t="str">
        <f>IF($F509&lt;=$C$16*12,SUM(T$5:T509),"-")</f>
        <v>-</v>
      </c>
      <c r="V509" s="8" t="str">
        <f>IF($F509&lt;=$C$16*12,G509-$C$10-'RE Calculations'!$C696-'Mortgage Calculators (By Month)'!$F527,"-")</f>
        <v>-</v>
      </c>
      <c r="W509" s="29" t="str">
        <f t="shared" si="230"/>
        <v>-</v>
      </c>
      <c r="X509" s="31" t="str">
        <f t="shared" si="231"/>
        <v>-</v>
      </c>
      <c r="Y509" s="8" t="str">
        <f t="shared" si="232"/>
        <v>-</v>
      </c>
      <c r="Z509" s="29" t="str">
        <f t="shared" si="233"/>
        <v>-</v>
      </c>
      <c r="AA509" s="31" t="str">
        <f t="shared" si="234"/>
        <v>-</v>
      </c>
      <c r="AD509" s="12" t="str">
        <f t="shared" si="220"/>
        <v>-</v>
      </c>
      <c r="AE509" s="8" t="str">
        <f t="shared" si="221"/>
        <v>-</v>
      </c>
      <c r="AF509" s="8" t="str">
        <f>IF($AD509&lt;=$C$25*12,$AE509-$C$7+SUM('Mortgage Calculators (By Month)'!$K$23:$K527),"-")</f>
        <v>-</v>
      </c>
      <c r="AG509" s="8" t="str">
        <f t="shared" si="235"/>
        <v>-</v>
      </c>
      <c r="AH509" s="8" t="str">
        <f>IF($AD509&lt;=$C$25*12,SUM(Inputs!$C$61:$C$78)*'Forecast (By Month)'!AG509,"-")</f>
        <v>-</v>
      </c>
      <c r="AI509" s="8" t="str">
        <f>IF($AD509&lt;=$C$25*12,(SUMIF(Inputs!$C$61:$C$78,0,Inputs!$F$61:$F$78)/12)*(1+$C$34)^ROUNDDOWN((AD509-1)/12,0),"-")</f>
        <v>-</v>
      </c>
      <c r="AJ509" s="8" t="str">
        <f t="shared" si="236"/>
        <v>-</v>
      </c>
      <c r="AK509" s="8" t="str">
        <f>IF($AD509&lt;=$C$25*12,'Mortgage Calculators (By Month)'!$J527,"-")</f>
        <v>-</v>
      </c>
      <c r="AL509" s="8" t="str">
        <f>IF($AD509&lt;=$C$25*12,'Mortgage Calculators (By Month)'!$K527,"-")</f>
        <v>-</v>
      </c>
      <c r="AM509" s="8" t="str">
        <f>IF($AD509&lt;=$C$25*12,'Mortgage Calculators (By Month)'!$L527,"-")</f>
        <v>-</v>
      </c>
      <c r="AN509" s="8" t="str">
        <f t="shared" si="223"/>
        <v>-</v>
      </c>
      <c r="AO509" s="8" t="str">
        <f t="shared" si="237"/>
        <v>-</v>
      </c>
      <c r="AP509" s="8" t="str">
        <f t="shared" si="238"/>
        <v>-</v>
      </c>
      <c r="AQ509" s="8" t="str">
        <f t="shared" si="239"/>
        <v>-</v>
      </c>
      <c r="AR509" s="8" t="str">
        <f t="shared" si="240"/>
        <v>-</v>
      </c>
      <c r="AS509" s="8" t="str">
        <f>IF($AD509&lt;=$C$25*12,SUM(AR$5:AR509),"-")</f>
        <v>-</v>
      </c>
      <c r="AT509" s="8" t="str">
        <f>IF($AD509&lt;=$C$25*12,AE509-$C$10-'RE Calculations'!$C696-'Mortgage Calculators (By Month)'!$M527,"-")</f>
        <v>-</v>
      </c>
      <c r="AU509" s="29" t="str">
        <f t="shared" si="241"/>
        <v>-</v>
      </c>
      <c r="AV509" s="31" t="str">
        <f t="shared" si="242"/>
        <v>-</v>
      </c>
      <c r="AW509" s="8" t="str">
        <f t="shared" si="243"/>
        <v>-</v>
      </c>
      <c r="AX509" s="29" t="str">
        <f t="shared" si="244"/>
        <v>-</v>
      </c>
      <c r="AY509" s="31" t="str">
        <f t="shared" si="245"/>
        <v>-</v>
      </c>
    </row>
    <row r="510" spans="6:51" x14ac:dyDescent="0.35">
      <c r="F510" s="12" t="str">
        <f t="shared" si="218"/>
        <v>-</v>
      </c>
      <c r="G510" s="8" t="str">
        <f t="shared" si="219"/>
        <v>-</v>
      </c>
      <c r="H510" s="8" t="str">
        <f>IF($F510&lt;=$C$16*12,$G510-$C$7+SUM('Mortgage Calculators (By Month)'!$D$23:$D528),"-")</f>
        <v>-</v>
      </c>
      <c r="I510" s="8" t="str">
        <f t="shared" si="224"/>
        <v>-</v>
      </c>
      <c r="J510" s="8" t="str">
        <f>IF($F510&lt;=$C$16*12,SUM(Inputs!$C$61:$C$78)*'Forecast (By Month)'!I510,"-")</f>
        <v>-</v>
      </c>
      <c r="K510" s="8" t="str">
        <f>IF($F510&lt;=$C$16*12,(SUMIF(Inputs!$C$61:$C$78,0,Inputs!$F$61:$F$78)/12)*(1+$C$34)^ROUNDDOWN((F510-1)/12,0),"-")</f>
        <v>-</v>
      </c>
      <c r="L510" s="8" t="str">
        <f t="shared" si="225"/>
        <v>-</v>
      </c>
      <c r="M510" s="8" t="str">
        <f>IF($F510&lt;=$C$16*12,'Mortgage Calculators (By Month)'!$C528,"-")</f>
        <v>-</v>
      </c>
      <c r="N510" s="8" t="str">
        <f>IF($F510&lt;=$C$16*12,'Mortgage Calculators (By Month)'!$D528,"-")</f>
        <v>-</v>
      </c>
      <c r="O510" s="8" t="str">
        <f>IF($F510&lt;=$C$16*12,'Mortgage Calculators (By Month)'!$E528,"-")</f>
        <v>-</v>
      </c>
      <c r="P510" s="8" t="str">
        <f t="shared" si="222"/>
        <v>-</v>
      </c>
      <c r="Q510" s="8" t="str">
        <f t="shared" si="226"/>
        <v>-</v>
      </c>
      <c r="R510" s="8" t="str">
        <f t="shared" si="227"/>
        <v>-</v>
      </c>
      <c r="S510" s="8" t="str">
        <f t="shared" si="228"/>
        <v>-</v>
      </c>
      <c r="T510" s="8" t="str">
        <f t="shared" si="229"/>
        <v>-</v>
      </c>
      <c r="U510" s="8" t="str">
        <f>IF($F510&lt;=$C$16*12,SUM(T$5:T510),"-")</f>
        <v>-</v>
      </c>
      <c r="V510" s="8" t="str">
        <f>IF($F510&lt;=$C$16*12,G510-$C$10-'RE Calculations'!$C697-'Mortgage Calculators (By Month)'!$F528,"-")</f>
        <v>-</v>
      </c>
      <c r="W510" s="29" t="str">
        <f t="shared" si="230"/>
        <v>-</v>
      </c>
      <c r="X510" s="31" t="str">
        <f t="shared" si="231"/>
        <v>-</v>
      </c>
      <c r="Y510" s="8" t="str">
        <f t="shared" si="232"/>
        <v>-</v>
      </c>
      <c r="Z510" s="29" t="str">
        <f t="shared" si="233"/>
        <v>-</v>
      </c>
      <c r="AA510" s="31" t="str">
        <f t="shared" si="234"/>
        <v>-</v>
      </c>
      <c r="AD510" s="12" t="str">
        <f t="shared" si="220"/>
        <v>-</v>
      </c>
      <c r="AE510" s="8" t="str">
        <f t="shared" si="221"/>
        <v>-</v>
      </c>
      <c r="AF510" s="8" t="str">
        <f>IF($AD510&lt;=$C$25*12,$AE510-$C$7+SUM('Mortgage Calculators (By Month)'!$K$23:$K528),"-")</f>
        <v>-</v>
      </c>
      <c r="AG510" s="8" t="str">
        <f t="shared" si="235"/>
        <v>-</v>
      </c>
      <c r="AH510" s="8" t="str">
        <f>IF($AD510&lt;=$C$25*12,SUM(Inputs!$C$61:$C$78)*'Forecast (By Month)'!AG510,"-")</f>
        <v>-</v>
      </c>
      <c r="AI510" s="8" t="str">
        <f>IF($AD510&lt;=$C$25*12,(SUMIF(Inputs!$C$61:$C$78,0,Inputs!$F$61:$F$78)/12)*(1+$C$34)^ROUNDDOWN((AD510-1)/12,0),"-")</f>
        <v>-</v>
      </c>
      <c r="AJ510" s="8" t="str">
        <f t="shared" si="236"/>
        <v>-</v>
      </c>
      <c r="AK510" s="8" t="str">
        <f>IF($AD510&lt;=$C$25*12,'Mortgage Calculators (By Month)'!$J528,"-")</f>
        <v>-</v>
      </c>
      <c r="AL510" s="8" t="str">
        <f>IF($AD510&lt;=$C$25*12,'Mortgage Calculators (By Month)'!$K528,"-")</f>
        <v>-</v>
      </c>
      <c r="AM510" s="8" t="str">
        <f>IF($AD510&lt;=$C$25*12,'Mortgage Calculators (By Month)'!$L528,"-")</f>
        <v>-</v>
      </c>
      <c r="AN510" s="8" t="str">
        <f t="shared" si="223"/>
        <v>-</v>
      </c>
      <c r="AO510" s="8" t="str">
        <f t="shared" si="237"/>
        <v>-</v>
      </c>
      <c r="AP510" s="8" t="str">
        <f t="shared" si="238"/>
        <v>-</v>
      </c>
      <c r="AQ510" s="8" t="str">
        <f t="shared" si="239"/>
        <v>-</v>
      </c>
      <c r="AR510" s="8" t="str">
        <f t="shared" si="240"/>
        <v>-</v>
      </c>
      <c r="AS510" s="8" t="str">
        <f>IF($AD510&lt;=$C$25*12,SUM(AR$5:AR510),"-")</f>
        <v>-</v>
      </c>
      <c r="AT510" s="8" t="str">
        <f>IF($AD510&lt;=$C$25*12,AE510-$C$10-'RE Calculations'!$C697-'Mortgage Calculators (By Month)'!$M528,"-")</f>
        <v>-</v>
      </c>
      <c r="AU510" s="29" t="str">
        <f t="shared" si="241"/>
        <v>-</v>
      </c>
      <c r="AV510" s="31" t="str">
        <f t="shared" si="242"/>
        <v>-</v>
      </c>
      <c r="AW510" s="8" t="str">
        <f t="shared" si="243"/>
        <v>-</v>
      </c>
      <c r="AX510" s="29" t="str">
        <f t="shared" si="244"/>
        <v>-</v>
      </c>
      <c r="AY510" s="31" t="str">
        <f t="shared" si="245"/>
        <v>-</v>
      </c>
    </row>
    <row r="511" spans="6:51" x14ac:dyDescent="0.35">
      <c r="F511" s="12" t="str">
        <f t="shared" si="218"/>
        <v>-</v>
      </c>
      <c r="G511" s="8" t="str">
        <f t="shared" si="219"/>
        <v>-</v>
      </c>
      <c r="H511" s="8" t="str">
        <f>IF($F511&lt;=$C$16*12,$G511-$C$7+SUM('Mortgage Calculators (By Month)'!$D$23:$D529),"-")</f>
        <v>-</v>
      </c>
      <c r="I511" s="8" t="str">
        <f t="shared" si="224"/>
        <v>-</v>
      </c>
      <c r="J511" s="8" t="str">
        <f>IF($F511&lt;=$C$16*12,SUM(Inputs!$C$61:$C$78)*'Forecast (By Month)'!I511,"-")</f>
        <v>-</v>
      </c>
      <c r="K511" s="8" t="str">
        <f>IF($F511&lt;=$C$16*12,(SUMIF(Inputs!$C$61:$C$78,0,Inputs!$F$61:$F$78)/12)*(1+$C$34)^ROUNDDOWN((F511-1)/12,0),"-")</f>
        <v>-</v>
      </c>
      <c r="L511" s="8" t="str">
        <f t="shared" si="225"/>
        <v>-</v>
      </c>
      <c r="M511" s="8" t="str">
        <f>IF($F511&lt;=$C$16*12,'Mortgage Calculators (By Month)'!$C529,"-")</f>
        <v>-</v>
      </c>
      <c r="N511" s="8" t="str">
        <f>IF($F511&lt;=$C$16*12,'Mortgage Calculators (By Month)'!$D529,"-")</f>
        <v>-</v>
      </c>
      <c r="O511" s="8" t="str">
        <f>IF($F511&lt;=$C$16*12,'Mortgage Calculators (By Month)'!$E529,"-")</f>
        <v>-</v>
      </c>
      <c r="P511" s="8" t="str">
        <f t="shared" si="222"/>
        <v>-</v>
      </c>
      <c r="Q511" s="8" t="str">
        <f t="shared" si="226"/>
        <v>-</v>
      </c>
      <c r="R511" s="8" t="str">
        <f t="shared" si="227"/>
        <v>-</v>
      </c>
      <c r="S511" s="8" t="str">
        <f t="shared" si="228"/>
        <v>-</v>
      </c>
      <c r="T511" s="8" t="str">
        <f t="shared" si="229"/>
        <v>-</v>
      </c>
      <c r="U511" s="8" t="str">
        <f>IF($F511&lt;=$C$16*12,SUM(T$5:T511),"-")</f>
        <v>-</v>
      </c>
      <c r="V511" s="8" t="str">
        <f>IF($F511&lt;=$C$16*12,G511-$C$10-'RE Calculations'!$C698-'Mortgage Calculators (By Month)'!$F529,"-")</f>
        <v>-</v>
      </c>
      <c r="W511" s="29" t="str">
        <f t="shared" si="230"/>
        <v>-</v>
      </c>
      <c r="X511" s="31" t="str">
        <f t="shared" si="231"/>
        <v>-</v>
      </c>
      <c r="Y511" s="8" t="str">
        <f t="shared" si="232"/>
        <v>-</v>
      </c>
      <c r="Z511" s="29" t="str">
        <f t="shared" si="233"/>
        <v>-</v>
      </c>
      <c r="AA511" s="31" t="str">
        <f t="shared" si="234"/>
        <v>-</v>
      </c>
      <c r="AD511" s="12" t="str">
        <f t="shared" si="220"/>
        <v>-</v>
      </c>
      <c r="AE511" s="8" t="str">
        <f t="shared" si="221"/>
        <v>-</v>
      </c>
      <c r="AF511" s="8" t="str">
        <f>IF($AD511&lt;=$C$25*12,$AE511-$C$7+SUM('Mortgage Calculators (By Month)'!$K$23:$K529),"-")</f>
        <v>-</v>
      </c>
      <c r="AG511" s="8" t="str">
        <f t="shared" si="235"/>
        <v>-</v>
      </c>
      <c r="AH511" s="8" t="str">
        <f>IF($AD511&lt;=$C$25*12,SUM(Inputs!$C$61:$C$78)*'Forecast (By Month)'!AG511,"-")</f>
        <v>-</v>
      </c>
      <c r="AI511" s="8" t="str">
        <f>IF($AD511&lt;=$C$25*12,(SUMIF(Inputs!$C$61:$C$78,0,Inputs!$F$61:$F$78)/12)*(1+$C$34)^ROUNDDOWN((AD511-1)/12,0),"-")</f>
        <v>-</v>
      </c>
      <c r="AJ511" s="8" t="str">
        <f t="shared" si="236"/>
        <v>-</v>
      </c>
      <c r="AK511" s="8" t="str">
        <f>IF($AD511&lt;=$C$25*12,'Mortgage Calculators (By Month)'!$J529,"-")</f>
        <v>-</v>
      </c>
      <c r="AL511" s="8" t="str">
        <f>IF($AD511&lt;=$C$25*12,'Mortgage Calculators (By Month)'!$K529,"-")</f>
        <v>-</v>
      </c>
      <c r="AM511" s="8" t="str">
        <f>IF($AD511&lt;=$C$25*12,'Mortgage Calculators (By Month)'!$L529,"-")</f>
        <v>-</v>
      </c>
      <c r="AN511" s="8" t="str">
        <f t="shared" si="223"/>
        <v>-</v>
      </c>
      <c r="AO511" s="8" t="str">
        <f t="shared" si="237"/>
        <v>-</v>
      </c>
      <c r="AP511" s="8" t="str">
        <f t="shared" si="238"/>
        <v>-</v>
      </c>
      <c r="AQ511" s="8" t="str">
        <f t="shared" si="239"/>
        <v>-</v>
      </c>
      <c r="AR511" s="8" t="str">
        <f t="shared" si="240"/>
        <v>-</v>
      </c>
      <c r="AS511" s="8" t="str">
        <f>IF($AD511&lt;=$C$25*12,SUM(AR$5:AR511),"-")</f>
        <v>-</v>
      </c>
      <c r="AT511" s="8" t="str">
        <f>IF($AD511&lt;=$C$25*12,AE511-$C$10-'RE Calculations'!$C698-'Mortgage Calculators (By Month)'!$M529,"-")</f>
        <v>-</v>
      </c>
      <c r="AU511" s="29" t="str">
        <f t="shared" si="241"/>
        <v>-</v>
      </c>
      <c r="AV511" s="31" t="str">
        <f t="shared" si="242"/>
        <v>-</v>
      </c>
      <c r="AW511" s="8" t="str">
        <f t="shared" si="243"/>
        <v>-</v>
      </c>
      <c r="AX511" s="29" t="str">
        <f t="shared" si="244"/>
        <v>-</v>
      </c>
      <c r="AY511" s="31" t="str">
        <f t="shared" si="245"/>
        <v>-</v>
      </c>
    </row>
    <row r="512" spans="6:51" x14ac:dyDescent="0.35">
      <c r="F512" s="12" t="str">
        <f t="shared" si="218"/>
        <v>-</v>
      </c>
      <c r="G512" s="8" t="str">
        <f t="shared" si="219"/>
        <v>-</v>
      </c>
      <c r="H512" s="8" t="str">
        <f>IF($F512&lt;=$C$16*12,$G512-$C$7+SUM('Mortgage Calculators (By Month)'!$D$23:$D530),"-")</f>
        <v>-</v>
      </c>
      <c r="I512" s="8" t="str">
        <f t="shared" si="224"/>
        <v>-</v>
      </c>
      <c r="J512" s="8" t="str">
        <f>IF($F512&lt;=$C$16*12,SUM(Inputs!$C$61:$C$78)*'Forecast (By Month)'!I512,"-")</f>
        <v>-</v>
      </c>
      <c r="K512" s="8" t="str">
        <f>IF($F512&lt;=$C$16*12,(SUMIF(Inputs!$C$61:$C$78,0,Inputs!$F$61:$F$78)/12)*(1+$C$34)^ROUNDDOWN((F512-1)/12,0),"-")</f>
        <v>-</v>
      </c>
      <c r="L512" s="8" t="str">
        <f t="shared" si="225"/>
        <v>-</v>
      </c>
      <c r="M512" s="8" t="str">
        <f>IF($F512&lt;=$C$16*12,'Mortgage Calculators (By Month)'!$C530,"-")</f>
        <v>-</v>
      </c>
      <c r="N512" s="8" t="str">
        <f>IF($F512&lt;=$C$16*12,'Mortgage Calculators (By Month)'!$D530,"-")</f>
        <v>-</v>
      </c>
      <c r="O512" s="8" t="str">
        <f>IF($F512&lt;=$C$16*12,'Mortgage Calculators (By Month)'!$E530,"-")</f>
        <v>-</v>
      </c>
      <c r="P512" s="8" t="str">
        <f t="shared" si="222"/>
        <v>-</v>
      </c>
      <c r="Q512" s="8" t="str">
        <f t="shared" si="226"/>
        <v>-</v>
      </c>
      <c r="R512" s="8" t="str">
        <f t="shared" si="227"/>
        <v>-</v>
      </c>
      <c r="S512" s="8" t="str">
        <f t="shared" si="228"/>
        <v>-</v>
      </c>
      <c r="T512" s="8" t="str">
        <f t="shared" si="229"/>
        <v>-</v>
      </c>
      <c r="U512" s="8" t="str">
        <f>IF($F512&lt;=$C$16*12,SUM(T$5:T512),"-")</f>
        <v>-</v>
      </c>
      <c r="V512" s="8" t="str">
        <f>IF($F512&lt;=$C$16*12,G512-$C$10-'RE Calculations'!$C699-'Mortgage Calculators (By Month)'!$F530,"-")</f>
        <v>-</v>
      </c>
      <c r="W512" s="29" t="str">
        <f t="shared" si="230"/>
        <v>-</v>
      </c>
      <c r="X512" s="31" t="str">
        <f t="shared" si="231"/>
        <v>-</v>
      </c>
      <c r="Y512" s="8" t="str">
        <f t="shared" si="232"/>
        <v>-</v>
      </c>
      <c r="Z512" s="29" t="str">
        <f t="shared" si="233"/>
        <v>-</v>
      </c>
      <c r="AA512" s="31" t="str">
        <f t="shared" si="234"/>
        <v>-</v>
      </c>
      <c r="AD512" s="12" t="str">
        <f t="shared" si="220"/>
        <v>-</v>
      </c>
      <c r="AE512" s="8" t="str">
        <f t="shared" si="221"/>
        <v>-</v>
      </c>
      <c r="AF512" s="8" t="str">
        <f>IF($AD512&lt;=$C$25*12,$AE512-$C$7+SUM('Mortgage Calculators (By Month)'!$K$23:$K530),"-")</f>
        <v>-</v>
      </c>
      <c r="AG512" s="8" t="str">
        <f t="shared" si="235"/>
        <v>-</v>
      </c>
      <c r="AH512" s="8" t="str">
        <f>IF($AD512&lt;=$C$25*12,SUM(Inputs!$C$61:$C$78)*'Forecast (By Month)'!AG512,"-")</f>
        <v>-</v>
      </c>
      <c r="AI512" s="8" t="str">
        <f>IF($AD512&lt;=$C$25*12,(SUMIF(Inputs!$C$61:$C$78,0,Inputs!$F$61:$F$78)/12)*(1+$C$34)^ROUNDDOWN((AD512-1)/12,0),"-")</f>
        <v>-</v>
      </c>
      <c r="AJ512" s="8" t="str">
        <f t="shared" si="236"/>
        <v>-</v>
      </c>
      <c r="AK512" s="8" t="str">
        <f>IF($AD512&lt;=$C$25*12,'Mortgage Calculators (By Month)'!$J530,"-")</f>
        <v>-</v>
      </c>
      <c r="AL512" s="8" t="str">
        <f>IF($AD512&lt;=$C$25*12,'Mortgage Calculators (By Month)'!$K530,"-")</f>
        <v>-</v>
      </c>
      <c r="AM512" s="8" t="str">
        <f>IF($AD512&lt;=$C$25*12,'Mortgage Calculators (By Month)'!$L530,"-")</f>
        <v>-</v>
      </c>
      <c r="AN512" s="8" t="str">
        <f t="shared" si="223"/>
        <v>-</v>
      </c>
      <c r="AO512" s="8" t="str">
        <f t="shared" si="237"/>
        <v>-</v>
      </c>
      <c r="AP512" s="8" t="str">
        <f t="shared" si="238"/>
        <v>-</v>
      </c>
      <c r="AQ512" s="8" t="str">
        <f t="shared" si="239"/>
        <v>-</v>
      </c>
      <c r="AR512" s="8" t="str">
        <f t="shared" si="240"/>
        <v>-</v>
      </c>
      <c r="AS512" s="8" t="str">
        <f>IF($AD512&lt;=$C$25*12,SUM(AR$5:AR512),"-")</f>
        <v>-</v>
      </c>
      <c r="AT512" s="8" t="str">
        <f>IF($AD512&lt;=$C$25*12,AE512-$C$10-'RE Calculations'!$C699-'Mortgage Calculators (By Month)'!$M530,"-")</f>
        <v>-</v>
      </c>
      <c r="AU512" s="29" t="str">
        <f t="shared" si="241"/>
        <v>-</v>
      </c>
      <c r="AV512" s="31" t="str">
        <f t="shared" si="242"/>
        <v>-</v>
      </c>
      <c r="AW512" s="8" t="str">
        <f t="shared" si="243"/>
        <v>-</v>
      </c>
      <c r="AX512" s="29" t="str">
        <f t="shared" si="244"/>
        <v>-</v>
      </c>
      <c r="AY512" s="31" t="str">
        <f t="shared" si="245"/>
        <v>-</v>
      </c>
    </row>
    <row r="513" spans="6:51" x14ac:dyDescent="0.35">
      <c r="F513" s="12" t="str">
        <f t="shared" si="218"/>
        <v>-</v>
      </c>
      <c r="G513" s="8" t="str">
        <f t="shared" si="219"/>
        <v>-</v>
      </c>
      <c r="H513" s="8" t="str">
        <f>IF($F513&lt;=$C$16*12,$G513-$C$7+SUM('Mortgage Calculators (By Month)'!$D$23:$D531),"-")</f>
        <v>-</v>
      </c>
      <c r="I513" s="8" t="str">
        <f t="shared" si="224"/>
        <v>-</v>
      </c>
      <c r="J513" s="8" t="str">
        <f>IF($F513&lt;=$C$16*12,SUM(Inputs!$C$61:$C$78)*'Forecast (By Month)'!I513,"-")</f>
        <v>-</v>
      </c>
      <c r="K513" s="8" t="str">
        <f>IF($F513&lt;=$C$16*12,(SUMIF(Inputs!$C$61:$C$78,0,Inputs!$F$61:$F$78)/12)*(1+$C$34)^ROUNDDOWN((F513-1)/12,0),"-")</f>
        <v>-</v>
      </c>
      <c r="L513" s="8" t="str">
        <f t="shared" si="225"/>
        <v>-</v>
      </c>
      <c r="M513" s="8" t="str">
        <f>IF($F513&lt;=$C$16*12,'Mortgage Calculators (By Month)'!$C531,"-")</f>
        <v>-</v>
      </c>
      <c r="N513" s="8" t="str">
        <f>IF($F513&lt;=$C$16*12,'Mortgage Calculators (By Month)'!$D531,"-")</f>
        <v>-</v>
      </c>
      <c r="O513" s="8" t="str">
        <f>IF($F513&lt;=$C$16*12,'Mortgage Calculators (By Month)'!$E531,"-")</f>
        <v>-</v>
      </c>
      <c r="P513" s="8" t="str">
        <f t="shared" si="222"/>
        <v>-</v>
      </c>
      <c r="Q513" s="8" t="str">
        <f t="shared" si="226"/>
        <v>-</v>
      </c>
      <c r="R513" s="8" t="str">
        <f t="shared" si="227"/>
        <v>-</v>
      </c>
      <c r="S513" s="8" t="str">
        <f t="shared" si="228"/>
        <v>-</v>
      </c>
      <c r="T513" s="8" t="str">
        <f t="shared" si="229"/>
        <v>-</v>
      </c>
      <c r="U513" s="8" t="str">
        <f>IF($F513&lt;=$C$16*12,SUM(T$5:T513),"-")</f>
        <v>-</v>
      </c>
      <c r="V513" s="8" t="str">
        <f>IF($F513&lt;=$C$16*12,G513-$C$10-'RE Calculations'!$C700-'Mortgage Calculators (By Month)'!$F531,"-")</f>
        <v>-</v>
      </c>
      <c r="W513" s="29" t="str">
        <f t="shared" si="230"/>
        <v>-</v>
      </c>
      <c r="X513" s="31" t="str">
        <f t="shared" si="231"/>
        <v>-</v>
      </c>
      <c r="Y513" s="8" t="str">
        <f t="shared" si="232"/>
        <v>-</v>
      </c>
      <c r="Z513" s="29" t="str">
        <f t="shared" si="233"/>
        <v>-</v>
      </c>
      <c r="AA513" s="31" t="str">
        <f t="shared" si="234"/>
        <v>-</v>
      </c>
      <c r="AD513" s="12" t="str">
        <f t="shared" si="220"/>
        <v>-</v>
      </c>
      <c r="AE513" s="8" t="str">
        <f t="shared" si="221"/>
        <v>-</v>
      </c>
      <c r="AF513" s="8" t="str">
        <f>IF($AD513&lt;=$C$25*12,$AE513-$C$7+SUM('Mortgage Calculators (By Month)'!$K$23:$K531),"-")</f>
        <v>-</v>
      </c>
      <c r="AG513" s="8" t="str">
        <f t="shared" si="235"/>
        <v>-</v>
      </c>
      <c r="AH513" s="8" t="str">
        <f>IF($AD513&lt;=$C$25*12,SUM(Inputs!$C$61:$C$78)*'Forecast (By Month)'!AG513,"-")</f>
        <v>-</v>
      </c>
      <c r="AI513" s="8" t="str">
        <f>IF($AD513&lt;=$C$25*12,(SUMIF(Inputs!$C$61:$C$78,0,Inputs!$F$61:$F$78)/12)*(1+$C$34)^ROUNDDOWN((AD513-1)/12,0),"-")</f>
        <v>-</v>
      </c>
      <c r="AJ513" s="8" t="str">
        <f t="shared" si="236"/>
        <v>-</v>
      </c>
      <c r="AK513" s="8" t="str">
        <f>IF($AD513&lt;=$C$25*12,'Mortgage Calculators (By Month)'!$J531,"-")</f>
        <v>-</v>
      </c>
      <c r="AL513" s="8" t="str">
        <f>IF($AD513&lt;=$C$25*12,'Mortgage Calculators (By Month)'!$K531,"-")</f>
        <v>-</v>
      </c>
      <c r="AM513" s="8" t="str">
        <f>IF($AD513&lt;=$C$25*12,'Mortgage Calculators (By Month)'!$L531,"-")</f>
        <v>-</v>
      </c>
      <c r="AN513" s="8" t="str">
        <f t="shared" si="223"/>
        <v>-</v>
      </c>
      <c r="AO513" s="8" t="str">
        <f t="shared" si="237"/>
        <v>-</v>
      </c>
      <c r="AP513" s="8" t="str">
        <f t="shared" si="238"/>
        <v>-</v>
      </c>
      <c r="AQ513" s="8" t="str">
        <f t="shared" si="239"/>
        <v>-</v>
      </c>
      <c r="AR513" s="8" t="str">
        <f t="shared" si="240"/>
        <v>-</v>
      </c>
      <c r="AS513" s="8" t="str">
        <f>IF($AD513&lt;=$C$25*12,SUM(AR$5:AR513),"-")</f>
        <v>-</v>
      </c>
      <c r="AT513" s="8" t="str">
        <f>IF($AD513&lt;=$C$25*12,AE513-$C$10-'RE Calculations'!$C700-'Mortgage Calculators (By Month)'!$M531,"-")</f>
        <v>-</v>
      </c>
      <c r="AU513" s="29" t="str">
        <f t="shared" si="241"/>
        <v>-</v>
      </c>
      <c r="AV513" s="31" t="str">
        <f t="shared" si="242"/>
        <v>-</v>
      </c>
      <c r="AW513" s="8" t="str">
        <f t="shared" si="243"/>
        <v>-</v>
      </c>
      <c r="AX513" s="29" t="str">
        <f t="shared" si="244"/>
        <v>-</v>
      </c>
      <c r="AY513" s="31" t="str">
        <f t="shared" si="245"/>
        <v>-</v>
      </c>
    </row>
    <row r="514" spans="6:51" x14ac:dyDescent="0.35">
      <c r="F514" s="12" t="str">
        <f t="shared" si="218"/>
        <v>-</v>
      </c>
      <c r="G514" s="8" t="str">
        <f t="shared" si="219"/>
        <v>-</v>
      </c>
      <c r="H514" s="8" t="str">
        <f>IF($F514&lt;=$C$16*12,$G514-$C$7+SUM('Mortgage Calculators (By Month)'!$D$23:$D532),"-")</f>
        <v>-</v>
      </c>
      <c r="I514" s="8" t="str">
        <f t="shared" si="224"/>
        <v>-</v>
      </c>
      <c r="J514" s="8" t="str">
        <f>IF($F514&lt;=$C$16*12,SUM(Inputs!$C$61:$C$78)*'Forecast (By Month)'!I514,"-")</f>
        <v>-</v>
      </c>
      <c r="K514" s="8" t="str">
        <f>IF($F514&lt;=$C$16*12,(SUMIF(Inputs!$C$61:$C$78,0,Inputs!$F$61:$F$78)/12)*(1+$C$34)^ROUNDDOWN((F514-1)/12,0),"-")</f>
        <v>-</v>
      </c>
      <c r="L514" s="8" t="str">
        <f t="shared" si="225"/>
        <v>-</v>
      </c>
      <c r="M514" s="8" t="str">
        <f>IF($F514&lt;=$C$16*12,'Mortgage Calculators (By Month)'!$C532,"-")</f>
        <v>-</v>
      </c>
      <c r="N514" s="8" t="str">
        <f>IF($F514&lt;=$C$16*12,'Mortgage Calculators (By Month)'!$D532,"-")</f>
        <v>-</v>
      </c>
      <c r="O514" s="8" t="str">
        <f>IF($F514&lt;=$C$16*12,'Mortgage Calculators (By Month)'!$E532,"-")</f>
        <v>-</v>
      </c>
      <c r="P514" s="8" t="str">
        <f t="shared" si="222"/>
        <v>-</v>
      </c>
      <c r="Q514" s="8" t="str">
        <f t="shared" si="226"/>
        <v>-</v>
      </c>
      <c r="R514" s="8" t="str">
        <f t="shared" si="227"/>
        <v>-</v>
      </c>
      <c r="S514" s="8" t="str">
        <f t="shared" si="228"/>
        <v>-</v>
      </c>
      <c r="T514" s="8" t="str">
        <f t="shared" si="229"/>
        <v>-</v>
      </c>
      <c r="U514" s="8" t="str">
        <f>IF($F514&lt;=$C$16*12,SUM(T$5:T514),"-")</f>
        <v>-</v>
      </c>
      <c r="V514" s="8" t="str">
        <f>IF($F514&lt;=$C$16*12,G514-$C$10-'RE Calculations'!$C701-'Mortgage Calculators (By Month)'!$F532,"-")</f>
        <v>-</v>
      </c>
      <c r="W514" s="29" t="str">
        <f t="shared" si="230"/>
        <v>-</v>
      </c>
      <c r="X514" s="31" t="str">
        <f t="shared" si="231"/>
        <v>-</v>
      </c>
      <c r="Y514" s="8" t="str">
        <f t="shared" si="232"/>
        <v>-</v>
      </c>
      <c r="Z514" s="29" t="str">
        <f t="shared" si="233"/>
        <v>-</v>
      </c>
      <c r="AA514" s="31" t="str">
        <f t="shared" si="234"/>
        <v>-</v>
      </c>
      <c r="AD514" s="12" t="str">
        <f t="shared" si="220"/>
        <v>-</v>
      </c>
      <c r="AE514" s="8" t="str">
        <f t="shared" si="221"/>
        <v>-</v>
      </c>
      <c r="AF514" s="8" t="str">
        <f>IF($AD514&lt;=$C$25*12,$AE514-$C$7+SUM('Mortgage Calculators (By Month)'!$K$23:$K532),"-")</f>
        <v>-</v>
      </c>
      <c r="AG514" s="8" t="str">
        <f t="shared" si="235"/>
        <v>-</v>
      </c>
      <c r="AH514" s="8" t="str">
        <f>IF($AD514&lt;=$C$25*12,SUM(Inputs!$C$61:$C$78)*'Forecast (By Month)'!AG514,"-")</f>
        <v>-</v>
      </c>
      <c r="AI514" s="8" t="str">
        <f>IF($AD514&lt;=$C$25*12,(SUMIF(Inputs!$C$61:$C$78,0,Inputs!$F$61:$F$78)/12)*(1+$C$34)^ROUNDDOWN((AD514-1)/12,0),"-")</f>
        <v>-</v>
      </c>
      <c r="AJ514" s="8" t="str">
        <f t="shared" si="236"/>
        <v>-</v>
      </c>
      <c r="AK514" s="8" t="str">
        <f>IF($AD514&lt;=$C$25*12,'Mortgage Calculators (By Month)'!$J532,"-")</f>
        <v>-</v>
      </c>
      <c r="AL514" s="8" t="str">
        <f>IF($AD514&lt;=$C$25*12,'Mortgage Calculators (By Month)'!$K532,"-")</f>
        <v>-</v>
      </c>
      <c r="AM514" s="8" t="str">
        <f>IF($AD514&lt;=$C$25*12,'Mortgage Calculators (By Month)'!$L532,"-")</f>
        <v>-</v>
      </c>
      <c r="AN514" s="8" t="str">
        <f t="shared" si="223"/>
        <v>-</v>
      </c>
      <c r="AO514" s="8" t="str">
        <f t="shared" si="237"/>
        <v>-</v>
      </c>
      <c r="AP514" s="8" t="str">
        <f t="shared" si="238"/>
        <v>-</v>
      </c>
      <c r="AQ514" s="8" t="str">
        <f t="shared" si="239"/>
        <v>-</v>
      </c>
      <c r="AR514" s="8" t="str">
        <f t="shared" si="240"/>
        <v>-</v>
      </c>
      <c r="AS514" s="8" t="str">
        <f>IF($AD514&lt;=$C$25*12,SUM(AR$5:AR514),"-")</f>
        <v>-</v>
      </c>
      <c r="AT514" s="8" t="str">
        <f>IF($AD514&lt;=$C$25*12,AE514-$C$10-'RE Calculations'!$C701-'Mortgage Calculators (By Month)'!$M532,"-")</f>
        <v>-</v>
      </c>
      <c r="AU514" s="29" t="str">
        <f t="shared" si="241"/>
        <v>-</v>
      </c>
      <c r="AV514" s="31" t="str">
        <f t="shared" si="242"/>
        <v>-</v>
      </c>
      <c r="AW514" s="8" t="str">
        <f t="shared" si="243"/>
        <v>-</v>
      </c>
      <c r="AX514" s="29" t="str">
        <f t="shared" si="244"/>
        <v>-</v>
      </c>
      <c r="AY514" s="31" t="str">
        <f t="shared" si="245"/>
        <v>-</v>
      </c>
    </row>
    <row r="515" spans="6:51" x14ac:dyDescent="0.35">
      <c r="F515" s="12" t="str">
        <f t="shared" si="218"/>
        <v>-</v>
      </c>
      <c r="G515" s="8" t="str">
        <f t="shared" si="219"/>
        <v>-</v>
      </c>
      <c r="H515" s="8" t="str">
        <f>IF($F515&lt;=$C$16*12,$G515-$C$7+SUM('Mortgage Calculators (By Month)'!$D$23:$D533),"-")</f>
        <v>-</v>
      </c>
      <c r="I515" s="8" t="str">
        <f t="shared" si="224"/>
        <v>-</v>
      </c>
      <c r="J515" s="8" t="str">
        <f>IF($F515&lt;=$C$16*12,SUM(Inputs!$C$61:$C$78)*'Forecast (By Month)'!I515,"-")</f>
        <v>-</v>
      </c>
      <c r="K515" s="8" t="str">
        <f>IF($F515&lt;=$C$16*12,(SUMIF(Inputs!$C$61:$C$78,0,Inputs!$F$61:$F$78)/12)*(1+$C$34)^ROUNDDOWN((F515-1)/12,0),"-")</f>
        <v>-</v>
      </c>
      <c r="L515" s="8" t="str">
        <f t="shared" si="225"/>
        <v>-</v>
      </c>
      <c r="M515" s="8" t="str">
        <f>IF($F515&lt;=$C$16*12,'Mortgage Calculators (By Month)'!$C533,"-")</f>
        <v>-</v>
      </c>
      <c r="N515" s="8" t="str">
        <f>IF($F515&lt;=$C$16*12,'Mortgage Calculators (By Month)'!$D533,"-")</f>
        <v>-</v>
      </c>
      <c r="O515" s="8" t="str">
        <f>IF($F515&lt;=$C$16*12,'Mortgage Calculators (By Month)'!$E533,"-")</f>
        <v>-</v>
      </c>
      <c r="P515" s="8" t="str">
        <f t="shared" si="222"/>
        <v>-</v>
      </c>
      <c r="Q515" s="8" t="str">
        <f t="shared" si="226"/>
        <v>-</v>
      </c>
      <c r="R515" s="8" t="str">
        <f t="shared" si="227"/>
        <v>-</v>
      </c>
      <c r="S515" s="8" t="str">
        <f t="shared" si="228"/>
        <v>-</v>
      </c>
      <c r="T515" s="8" t="str">
        <f t="shared" si="229"/>
        <v>-</v>
      </c>
      <c r="U515" s="8" t="str">
        <f>IF($F515&lt;=$C$16*12,SUM(T$5:T515),"-")</f>
        <v>-</v>
      </c>
      <c r="V515" s="8" t="str">
        <f>IF($F515&lt;=$C$16*12,G515-$C$10-'RE Calculations'!$C702-'Mortgage Calculators (By Month)'!$F533,"-")</f>
        <v>-</v>
      </c>
      <c r="W515" s="29" t="str">
        <f t="shared" si="230"/>
        <v>-</v>
      </c>
      <c r="X515" s="31" t="str">
        <f t="shared" si="231"/>
        <v>-</v>
      </c>
      <c r="Y515" s="8" t="str">
        <f t="shared" si="232"/>
        <v>-</v>
      </c>
      <c r="Z515" s="29" t="str">
        <f t="shared" si="233"/>
        <v>-</v>
      </c>
      <c r="AA515" s="31" t="str">
        <f t="shared" si="234"/>
        <v>-</v>
      </c>
      <c r="AD515" s="12" t="str">
        <f t="shared" si="220"/>
        <v>-</v>
      </c>
      <c r="AE515" s="8" t="str">
        <f t="shared" si="221"/>
        <v>-</v>
      </c>
      <c r="AF515" s="8" t="str">
        <f>IF($AD515&lt;=$C$25*12,$AE515-$C$7+SUM('Mortgage Calculators (By Month)'!$K$23:$K533),"-")</f>
        <v>-</v>
      </c>
      <c r="AG515" s="8" t="str">
        <f t="shared" si="235"/>
        <v>-</v>
      </c>
      <c r="AH515" s="8" t="str">
        <f>IF($AD515&lt;=$C$25*12,SUM(Inputs!$C$61:$C$78)*'Forecast (By Month)'!AG515,"-")</f>
        <v>-</v>
      </c>
      <c r="AI515" s="8" t="str">
        <f>IF($AD515&lt;=$C$25*12,(SUMIF(Inputs!$C$61:$C$78,0,Inputs!$F$61:$F$78)/12)*(1+$C$34)^ROUNDDOWN((AD515-1)/12,0),"-")</f>
        <v>-</v>
      </c>
      <c r="AJ515" s="8" t="str">
        <f t="shared" si="236"/>
        <v>-</v>
      </c>
      <c r="AK515" s="8" t="str">
        <f>IF($AD515&lt;=$C$25*12,'Mortgage Calculators (By Month)'!$J533,"-")</f>
        <v>-</v>
      </c>
      <c r="AL515" s="8" t="str">
        <f>IF($AD515&lt;=$C$25*12,'Mortgage Calculators (By Month)'!$K533,"-")</f>
        <v>-</v>
      </c>
      <c r="AM515" s="8" t="str">
        <f>IF($AD515&lt;=$C$25*12,'Mortgage Calculators (By Month)'!$L533,"-")</f>
        <v>-</v>
      </c>
      <c r="AN515" s="8" t="str">
        <f t="shared" si="223"/>
        <v>-</v>
      </c>
      <c r="AO515" s="8" t="str">
        <f t="shared" si="237"/>
        <v>-</v>
      </c>
      <c r="AP515" s="8" t="str">
        <f t="shared" si="238"/>
        <v>-</v>
      </c>
      <c r="AQ515" s="8" t="str">
        <f t="shared" si="239"/>
        <v>-</v>
      </c>
      <c r="AR515" s="8" t="str">
        <f t="shared" si="240"/>
        <v>-</v>
      </c>
      <c r="AS515" s="8" t="str">
        <f>IF($AD515&lt;=$C$25*12,SUM(AR$5:AR515),"-")</f>
        <v>-</v>
      </c>
      <c r="AT515" s="8" t="str">
        <f>IF($AD515&lt;=$C$25*12,AE515-$C$10-'RE Calculations'!$C702-'Mortgage Calculators (By Month)'!$M533,"-")</f>
        <v>-</v>
      </c>
      <c r="AU515" s="29" t="str">
        <f t="shared" si="241"/>
        <v>-</v>
      </c>
      <c r="AV515" s="31" t="str">
        <f t="shared" si="242"/>
        <v>-</v>
      </c>
      <c r="AW515" s="8" t="str">
        <f t="shared" si="243"/>
        <v>-</v>
      </c>
      <c r="AX515" s="29" t="str">
        <f t="shared" si="244"/>
        <v>-</v>
      </c>
      <c r="AY515" s="31" t="str">
        <f t="shared" si="245"/>
        <v>-</v>
      </c>
    </row>
    <row r="516" spans="6:51" x14ac:dyDescent="0.35">
      <c r="F516" s="12" t="str">
        <f t="shared" si="218"/>
        <v>-</v>
      </c>
      <c r="G516" s="8" t="str">
        <f t="shared" si="219"/>
        <v>-</v>
      </c>
      <c r="H516" s="8" t="str">
        <f>IF($F516&lt;=$C$16*12,$G516-$C$7+SUM('Mortgage Calculators (By Month)'!$D$23:$D534),"-")</f>
        <v>-</v>
      </c>
      <c r="I516" s="8" t="str">
        <f t="shared" si="224"/>
        <v>-</v>
      </c>
      <c r="J516" s="8" t="str">
        <f>IF($F516&lt;=$C$16*12,SUM(Inputs!$C$61:$C$78)*'Forecast (By Month)'!I516,"-")</f>
        <v>-</v>
      </c>
      <c r="K516" s="8" t="str">
        <f>IF($F516&lt;=$C$16*12,(SUMIF(Inputs!$C$61:$C$78,0,Inputs!$F$61:$F$78)/12)*(1+$C$34)^ROUNDDOWN((F516-1)/12,0),"-")</f>
        <v>-</v>
      </c>
      <c r="L516" s="8" t="str">
        <f t="shared" si="225"/>
        <v>-</v>
      </c>
      <c r="M516" s="8" t="str">
        <f>IF($F516&lt;=$C$16*12,'Mortgage Calculators (By Month)'!$C534,"-")</f>
        <v>-</v>
      </c>
      <c r="N516" s="8" t="str">
        <f>IF($F516&lt;=$C$16*12,'Mortgage Calculators (By Month)'!$D534,"-")</f>
        <v>-</v>
      </c>
      <c r="O516" s="8" t="str">
        <f>IF($F516&lt;=$C$16*12,'Mortgage Calculators (By Month)'!$E534,"-")</f>
        <v>-</v>
      </c>
      <c r="P516" s="8" t="str">
        <f t="shared" si="222"/>
        <v>-</v>
      </c>
      <c r="Q516" s="8" t="str">
        <f t="shared" si="226"/>
        <v>-</v>
      </c>
      <c r="R516" s="8" t="str">
        <f t="shared" si="227"/>
        <v>-</v>
      </c>
      <c r="S516" s="8" t="str">
        <f t="shared" si="228"/>
        <v>-</v>
      </c>
      <c r="T516" s="8" t="str">
        <f t="shared" si="229"/>
        <v>-</v>
      </c>
      <c r="U516" s="8" t="str">
        <f>IF($F516&lt;=$C$16*12,SUM(T$5:T516),"-")</f>
        <v>-</v>
      </c>
      <c r="V516" s="8" t="str">
        <f>IF($F516&lt;=$C$16*12,G516-$C$10-'RE Calculations'!$C703-'Mortgage Calculators (By Month)'!$F534,"-")</f>
        <v>-</v>
      </c>
      <c r="W516" s="29" t="str">
        <f t="shared" si="230"/>
        <v>-</v>
      </c>
      <c r="X516" s="31" t="str">
        <f t="shared" si="231"/>
        <v>-</v>
      </c>
      <c r="Y516" s="8" t="str">
        <f t="shared" si="232"/>
        <v>-</v>
      </c>
      <c r="Z516" s="29" t="str">
        <f t="shared" si="233"/>
        <v>-</v>
      </c>
      <c r="AA516" s="31" t="str">
        <f t="shared" si="234"/>
        <v>-</v>
      </c>
      <c r="AD516" s="12" t="str">
        <f t="shared" si="220"/>
        <v>-</v>
      </c>
      <c r="AE516" s="8" t="str">
        <f t="shared" si="221"/>
        <v>-</v>
      </c>
      <c r="AF516" s="8" t="str">
        <f>IF($AD516&lt;=$C$25*12,$AE516-$C$7+SUM('Mortgage Calculators (By Month)'!$K$23:$K534),"-")</f>
        <v>-</v>
      </c>
      <c r="AG516" s="8" t="str">
        <f t="shared" si="235"/>
        <v>-</v>
      </c>
      <c r="AH516" s="8" t="str">
        <f>IF($AD516&lt;=$C$25*12,SUM(Inputs!$C$61:$C$78)*'Forecast (By Month)'!AG516,"-")</f>
        <v>-</v>
      </c>
      <c r="AI516" s="8" t="str">
        <f>IF($AD516&lt;=$C$25*12,(SUMIF(Inputs!$C$61:$C$78,0,Inputs!$F$61:$F$78)/12)*(1+$C$34)^ROUNDDOWN((AD516-1)/12,0),"-")</f>
        <v>-</v>
      </c>
      <c r="AJ516" s="8" t="str">
        <f t="shared" si="236"/>
        <v>-</v>
      </c>
      <c r="AK516" s="8" t="str">
        <f>IF($AD516&lt;=$C$25*12,'Mortgage Calculators (By Month)'!$J534,"-")</f>
        <v>-</v>
      </c>
      <c r="AL516" s="8" t="str">
        <f>IF($AD516&lt;=$C$25*12,'Mortgage Calculators (By Month)'!$K534,"-")</f>
        <v>-</v>
      </c>
      <c r="AM516" s="8" t="str">
        <f>IF($AD516&lt;=$C$25*12,'Mortgage Calculators (By Month)'!$L534,"-")</f>
        <v>-</v>
      </c>
      <c r="AN516" s="8" t="str">
        <f t="shared" si="223"/>
        <v>-</v>
      </c>
      <c r="AO516" s="8" t="str">
        <f t="shared" si="237"/>
        <v>-</v>
      </c>
      <c r="AP516" s="8" t="str">
        <f t="shared" si="238"/>
        <v>-</v>
      </c>
      <c r="AQ516" s="8" t="str">
        <f t="shared" si="239"/>
        <v>-</v>
      </c>
      <c r="AR516" s="8" t="str">
        <f t="shared" si="240"/>
        <v>-</v>
      </c>
      <c r="AS516" s="8" t="str">
        <f>IF($AD516&lt;=$C$25*12,SUM(AR$5:AR516),"-")</f>
        <v>-</v>
      </c>
      <c r="AT516" s="8" t="str">
        <f>IF($AD516&lt;=$C$25*12,AE516-$C$10-'RE Calculations'!$C703-'Mortgage Calculators (By Month)'!$M534,"-")</f>
        <v>-</v>
      </c>
      <c r="AU516" s="29" t="str">
        <f t="shared" si="241"/>
        <v>-</v>
      </c>
      <c r="AV516" s="31" t="str">
        <f t="shared" si="242"/>
        <v>-</v>
      </c>
      <c r="AW516" s="8" t="str">
        <f t="shared" si="243"/>
        <v>-</v>
      </c>
      <c r="AX516" s="29" t="str">
        <f t="shared" si="244"/>
        <v>-</v>
      </c>
      <c r="AY516" s="31" t="str">
        <f t="shared" si="245"/>
        <v>-</v>
      </c>
    </row>
    <row r="517" spans="6:51" x14ac:dyDescent="0.35">
      <c r="F517" s="12" t="str">
        <f t="shared" ref="F517:F580" si="246">IF(F516&lt;$C$16*12,F516+1,"-")</f>
        <v>-</v>
      </c>
      <c r="G517" s="8" t="str">
        <f t="shared" ref="G517:G580" si="247">IF($F517&lt;=$C$16*12,G516*(1+$C$32),"-")</f>
        <v>-</v>
      </c>
      <c r="H517" s="8" t="str">
        <f>IF($F517&lt;=$C$16*12,$G517-$C$7+SUM('Mortgage Calculators (By Month)'!$D$23:$D535),"-")</f>
        <v>-</v>
      </c>
      <c r="I517" s="8" t="str">
        <f t="shared" si="224"/>
        <v>-</v>
      </c>
      <c r="J517" s="8" t="str">
        <f>IF($F517&lt;=$C$16*12,SUM(Inputs!$C$61:$C$78)*'Forecast (By Month)'!I517,"-")</f>
        <v>-</v>
      </c>
      <c r="K517" s="8" t="str">
        <f>IF($F517&lt;=$C$16*12,(SUMIF(Inputs!$C$61:$C$78,0,Inputs!$F$61:$F$78)/12)*(1+$C$34)^ROUNDDOWN((F517-1)/12,0),"-")</f>
        <v>-</v>
      </c>
      <c r="L517" s="8" t="str">
        <f t="shared" si="225"/>
        <v>-</v>
      </c>
      <c r="M517" s="8" t="str">
        <f>IF($F517&lt;=$C$16*12,'Mortgage Calculators (By Month)'!$C535,"-")</f>
        <v>-</v>
      </c>
      <c r="N517" s="8" t="str">
        <f>IF($F517&lt;=$C$16*12,'Mortgage Calculators (By Month)'!$D535,"-")</f>
        <v>-</v>
      </c>
      <c r="O517" s="8" t="str">
        <f>IF($F517&lt;=$C$16*12,'Mortgage Calculators (By Month)'!$E535,"-")</f>
        <v>-</v>
      </c>
      <c r="P517" s="8" t="str">
        <f t="shared" si="222"/>
        <v>-</v>
      </c>
      <c r="Q517" s="8" t="str">
        <f t="shared" si="226"/>
        <v>-</v>
      </c>
      <c r="R517" s="8" t="str">
        <f t="shared" si="227"/>
        <v>-</v>
      </c>
      <c r="S517" s="8" t="str">
        <f t="shared" si="228"/>
        <v>-</v>
      </c>
      <c r="T517" s="8" t="str">
        <f t="shared" si="229"/>
        <v>-</v>
      </c>
      <c r="U517" s="8" t="str">
        <f>IF($F517&lt;=$C$16*12,SUM(T$5:T517),"-")</f>
        <v>-</v>
      </c>
      <c r="V517" s="8" t="str">
        <f>IF($F517&lt;=$C$16*12,G517-$C$10-'RE Calculations'!$C704-'Mortgage Calculators (By Month)'!$F535,"-")</f>
        <v>-</v>
      </c>
      <c r="W517" s="29" t="str">
        <f t="shared" si="230"/>
        <v>-</v>
      </c>
      <c r="X517" s="31" t="str">
        <f t="shared" si="231"/>
        <v>-</v>
      </c>
      <c r="Y517" s="8" t="str">
        <f t="shared" si="232"/>
        <v>-</v>
      </c>
      <c r="Z517" s="29" t="str">
        <f t="shared" si="233"/>
        <v>-</v>
      </c>
      <c r="AA517" s="31" t="str">
        <f t="shared" si="234"/>
        <v>-</v>
      </c>
      <c r="AD517" s="12" t="str">
        <f t="shared" ref="AD517:AD580" si="248">IF($AD516&lt;$C$25*12,AD516+1,"-")</f>
        <v>-</v>
      </c>
      <c r="AE517" s="8" t="str">
        <f t="shared" ref="AE517:AE580" si="249">IF($AD517&lt;=$C$25*12,AE516*(1+$C$32),"-")</f>
        <v>-</v>
      </c>
      <c r="AF517" s="8" t="str">
        <f>IF($AD517&lt;=$C$25*12,$AE517-$C$7+SUM('Mortgage Calculators (By Month)'!$K$23:$K535),"-")</f>
        <v>-</v>
      </c>
      <c r="AG517" s="8" t="str">
        <f t="shared" si="235"/>
        <v>-</v>
      </c>
      <c r="AH517" s="8" t="str">
        <f>IF($AD517&lt;=$C$25*12,SUM(Inputs!$C$61:$C$78)*'Forecast (By Month)'!AG517,"-")</f>
        <v>-</v>
      </c>
      <c r="AI517" s="8" t="str">
        <f>IF($AD517&lt;=$C$25*12,(SUMIF(Inputs!$C$61:$C$78,0,Inputs!$F$61:$F$78)/12)*(1+$C$34)^ROUNDDOWN((AD517-1)/12,0),"-")</f>
        <v>-</v>
      </c>
      <c r="AJ517" s="8" t="str">
        <f t="shared" si="236"/>
        <v>-</v>
      </c>
      <c r="AK517" s="8" t="str">
        <f>IF($AD517&lt;=$C$25*12,'Mortgage Calculators (By Month)'!$J535,"-")</f>
        <v>-</v>
      </c>
      <c r="AL517" s="8" t="str">
        <f>IF($AD517&lt;=$C$25*12,'Mortgage Calculators (By Month)'!$K535,"-")</f>
        <v>-</v>
      </c>
      <c r="AM517" s="8" t="str">
        <f>IF($AD517&lt;=$C$25*12,'Mortgage Calculators (By Month)'!$L535,"-")</f>
        <v>-</v>
      </c>
      <c r="AN517" s="8" t="str">
        <f t="shared" si="223"/>
        <v>-</v>
      </c>
      <c r="AO517" s="8" t="str">
        <f t="shared" si="237"/>
        <v>-</v>
      </c>
      <c r="AP517" s="8" t="str">
        <f t="shared" si="238"/>
        <v>-</v>
      </c>
      <c r="AQ517" s="8" t="str">
        <f t="shared" si="239"/>
        <v>-</v>
      </c>
      <c r="AR517" s="8" t="str">
        <f t="shared" si="240"/>
        <v>-</v>
      </c>
      <c r="AS517" s="8" t="str">
        <f>IF($AD517&lt;=$C$25*12,SUM(AR$5:AR517),"-")</f>
        <v>-</v>
      </c>
      <c r="AT517" s="8" t="str">
        <f>IF($AD517&lt;=$C$25*12,AE517-$C$10-'RE Calculations'!$C704-'Mortgage Calculators (By Month)'!$M535,"-")</f>
        <v>-</v>
      </c>
      <c r="AU517" s="29" t="str">
        <f t="shared" si="241"/>
        <v>-</v>
      </c>
      <c r="AV517" s="31" t="str">
        <f t="shared" si="242"/>
        <v>-</v>
      </c>
      <c r="AW517" s="8" t="str">
        <f t="shared" si="243"/>
        <v>-</v>
      </c>
      <c r="AX517" s="29" t="str">
        <f t="shared" si="244"/>
        <v>-</v>
      </c>
      <c r="AY517" s="31" t="str">
        <f t="shared" si="245"/>
        <v>-</v>
      </c>
    </row>
    <row r="518" spans="6:51" x14ac:dyDescent="0.35">
      <c r="F518" s="12" t="str">
        <f t="shared" si="246"/>
        <v>-</v>
      </c>
      <c r="G518" s="8" t="str">
        <f t="shared" si="247"/>
        <v>-</v>
      </c>
      <c r="H518" s="8" t="str">
        <f>IF($F518&lt;=$C$16*12,$G518-$C$7+SUM('Mortgage Calculators (By Month)'!$D$23:$D536),"-")</f>
        <v>-</v>
      </c>
      <c r="I518" s="8" t="str">
        <f t="shared" si="224"/>
        <v>-</v>
      </c>
      <c r="J518" s="8" t="str">
        <f>IF($F518&lt;=$C$16*12,SUM(Inputs!$C$61:$C$78)*'Forecast (By Month)'!I518,"-")</f>
        <v>-</v>
      </c>
      <c r="K518" s="8" t="str">
        <f>IF($F518&lt;=$C$16*12,(SUMIF(Inputs!$C$61:$C$78,0,Inputs!$F$61:$F$78)/12)*(1+$C$34)^ROUNDDOWN((F518-1)/12,0),"-")</f>
        <v>-</v>
      </c>
      <c r="L518" s="8" t="str">
        <f t="shared" si="225"/>
        <v>-</v>
      </c>
      <c r="M518" s="8" t="str">
        <f>IF($F518&lt;=$C$16*12,'Mortgage Calculators (By Month)'!$C536,"-")</f>
        <v>-</v>
      </c>
      <c r="N518" s="8" t="str">
        <f>IF($F518&lt;=$C$16*12,'Mortgage Calculators (By Month)'!$D536,"-")</f>
        <v>-</v>
      </c>
      <c r="O518" s="8" t="str">
        <f>IF($F518&lt;=$C$16*12,'Mortgage Calculators (By Month)'!$E536,"-")</f>
        <v>-</v>
      </c>
      <c r="P518" s="8" t="str">
        <f t="shared" ref="P518:P581" si="250">IF($F518&lt;=$C$16*12,IF($F518&lt;=$C$38*12,IFERROR($C$37/($C$38*12),0),0),"-")</f>
        <v>-</v>
      </c>
      <c r="Q518" s="8" t="str">
        <f t="shared" si="226"/>
        <v>-</v>
      </c>
      <c r="R518" s="8" t="str">
        <f t="shared" si="227"/>
        <v>-</v>
      </c>
      <c r="S518" s="8" t="str">
        <f t="shared" si="228"/>
        <v>-</v>
      </c>
      <c r="T518" s="8" t="str">
        <f t="shared" si="229"/>
        <v>-</v>
      </c>
      <c r="U518" s="8" t="str">
        <f>IF($F518&lt;=$C$16*12,SUM(T$5:T518),"-")</f>
        <v>-</v>
      </c>
      <c r="V518" s="8" t="str">
        <f>IF($F518&lt;=$C$16*12,G518-$C$10-'RE Calculations'!$C705-'Mortgage Calculators (By Month)'!$F536,"-")</f>
        <v>-</v>
      </c>
      <c r="W518" s="29" t="str">
        <f t="shared" si="230"/>
        <v>-</v>
      </c>
      <c r="X518" s="31" t="str">
        <f t="shared" si="231"/>
        <v>-</v>
      </c>
      <c r="Y518" s="8" t="str">
        <f t="shared" si="232"/>
        <v>-</v>
      </c>
      <c r="Z518" s="29" t="str">
        <f t="shared" si="233"/>
        <v>-</v>
      </c>
      <c r="AA518" s="31" t="str">
        <f t="shared" si="234"/>
        <v>-</v>
      </c>
      <c r="AD518" s="12" t="str">
        <f t="shared" si="248"/>
        <v>-</v>
      </c>
      <c r="AE518" s="8" t="str">
        <f t="shared" si="249"/>
        <v>-</v>
      </c>
      <c r="AF518" s="8" t="str">
        <f>IF($AD518&lt;=$C$25*12,$AE518-$C$7+SUM('Mortgage Calculators (By Month)'!$K$23:$K536),"-")</f>
        <v>-</v>
      </c>
      <c r="AG518" s="8" t="str">
        <f t="shared" si="235"/>
        <v>-</v>
      </c>
      <c r="AH518" s="8" t="str">
        <f>IF($AD518&lt;=$C$25*12,SUM(Inputs!$C$61:$C$78)*'Forecast (By Month)'!AG518,"-")</f>
        <v>-</v>
      </c>
      <c r="AI518" s="8" t="str">
        <f>IF($AD518&lt;=$C$25*12,(SUMIF(Inputs!$C$61:$C$78,0,Inputs!$F$61:$F$78)/12)*(1+$C$34)^ROUNDDOWN((AD518-1)/12,0),"-")</f>
        <v>-</v>
      </c>
      <c r="AJ518" s="8" t="str">
        <f t="shared" si="236"/>
        <v>-</v>
      </c>
      <c r="AK518" s="8" t="str">
        <f>IF($AD518&lt;=$C$25*12,'Mortgage Calculators (By Month)'!$J536,"-")</f>
        <v>-</v>
      </c>
      <c r="AL518" s="8" t="str">
        <f>IF($AD518&lt;=$C$25*12,'Mortgage Calculators (By Month)'!$K536,"-")</f>
        <v>-</v>
      </c>
      <c r="AM518" s="8" t="str">
        <f>IF($AD518&lt;=$C$25*12,'Mortgage Calculators (By Month)'!$L536,"-")</f>
        <v>-</v>
      </c>
      <c r="AN518" s="8" t="str">
        <f t="shared" ref="AN518:AN581" si="251">IF($AD518&lt;=$C$25*12,IF($AD518&lt;=$C$38*12,IFERROR($C$37/($C$38*12),0),0),"-")</f>
        <v>-</v>
      </c>
      <c r="AO518" s="8" t="str">
        <f t="shared" si="237"/>
        <v>-</v>
      </c>
      <c r="AP518" s="8" t="str">
        <f t="shared" si="238"/>
        <v>-</v>
      </c>
      <c r="AQ518" s="8" t="str">
        <f t="shared" si="239"/>
        <v>-</v>
      </c>
      <c r="AR518" s="8" t="str">
        <f t="shared" si="240"/>
        <v>-</v>
      </c>
      <c r="AS518" s="8" t="str">
        <f>IF($AD518&lt;=$C$25*12,SUM(AR$5:AR518),"-")</f>
        <v>-</v>
      </c>
      <c r="AT518" s="8" t="str">
        <f>IF($AD518&lt;=$C$25*12,AE518-$C$10-'RE Calculations'!$C705-'Mortgage Calculators (By Month)'!$M536,"-")</f>
        <v>-</v>
      </c>
      <c r="AU518" s="29" t="str">
        <f t="shared" si="241"/>
        <v>-</v>
      </c>
      <c r="AV518" s="31" t="str">
        <f t="shared" si="242"/>
        <v>-</v>
      </c>
      <c r="AW518" s="8" t="str">
        <f t="shared" si="243"/>
        <v>-</v>
      </c>
      <c r="AX518" s="29" t="str">
        <f t="shared" si="244"/>
        <v>-</v>
      </c>
      <c r="AY518" s="31" t="str">
        <f t="shared" si="245"/>
        <v>-</v>
      </c>
    </row>
    <row r="519" spans="6:51" x14ac:dyDescent="0.35">
      <c r="F519" s="12" t="str">
        <f t="shared" si="246"/>
        <v>-</v>
      </c>
      <c r="G519" s="8" t="str">
        <f t="shared" si="247"/>
        <v>-</v>
      </c>
      <c r="H519" s="8" t="str">
        <f>IF($F519&lt;=$C$16*12,$G519-$C$7+SUM('Mortgage Calculators (By Month)'!$D$23:$D537),"-")</f>
        <v>-</v>
      </c>
      <c r="I519" s="8" t="str">
        <f t="shared" si="224"/>
        <v>-</v>
      </c>
      <c r="J519" s="8" t="str">
        <f>IF($F519&lt;=$C$16*12,SUM(Inputs!$C$61:$C$78)*'Forecast (By Month)'!I519,"-")</f>
        <v>-</v>
      </c>
      <c r="K519" s="8" t="str">
        <f>IF($F519&lt;=$C$16*12,(SUMIF(Inputs!$C$61:$C$78,0,Inputs!$F$61:$F$78)/12)*(1+$C$34)^ROUNDDOWN((F519-1)/12,0),"-")</f>
        <v>-</v>
      </c>
      <c r="L519" s="8" t="str">
        <f t="shared" si="225"/>
        <v>-</v>
      </c>
      <c r="M519" s="8" t="str">
        <f>IF($F519&lt;=$C$16*12,'Mortgage Calculators (By Month)'!$C537,"-")</f>
        <v>-</v>
      </c>
      <c r="N519" s="8" t="str">
        <f>IF($F519&lt;=$C$16*12,'Mortgage Calculators (By Month)'!$D537,"-")</f>
        <v>-</v>
      </c>
      <c r="O519" s="8" t="str">
        <f>IF($F519&lt;=$C$16*12,'Mortgage Calculators (By Month)'!$E537,"-")</f>
        <v>-</v>
      </c>
      <c r="P519" s="8" t="str">
        <f t="shared" si="250"/>
        <v>-</v>
      </c>
      <c r="Q519" s="8" t="str">
        <f t="shared" si="226"/>
        <v>-</v>
      </c>
      <c r="R519" s="8" t="str">
        <f t="shared" si="227"/>
        <v>-</v>
      </c>
      <c r="S519" s="8" t="str">
        <f t="shared" si="228"/>
        <v>-</v>
      </c>
      <c r="T519" s="8" t="str">
        <f t="shared" si="229"/>
        <v>-</v>
      </c>
      <c r="U519" s="8" t="str">
        <f>IF($F519&lt;=$C$16*12,SUM(T$5:T519),"-")</f>
        <v>-</v>
      </c>
      <c r="V519" s="8" t="str">
        <f>IF($F519&lt;=$C$16*12,G519-$C$10-'RE Calculations'!$C706-'Mortgage Calculators (By Month)'!$F537,"-")</f>
        <v>-</v>
      </c>
      <c r="W519" s="29" t="str">
        <f t="shared" si="230"/>
        <v>-</v>
      </c>
      <c r="X519" s="31" t="str">
        <f t="shared" si="231"/>
        <v>-</v>
      </c>
      <c r="Y519" s="8" t="str">
        <f t="shared" si="232"/>
        <v>-</v>
      </c>
      <c r="Z519" s="29" t="str">
        <f t="shared" si="233"/>
        <v>-</v>
      </c>
      <c r="AA519" s="31" t="str">
        <f t="shared" si="234"/>
        <v>-</v>
      </c>
      <c r="AD519" s="12" t="str">
        <f t="shared" si="248"/>
        <v>-</v>
      </c>
      <c r="AE519" s="8" t="str">
        <f t="shared" si="249"/>
        <v>-</v>
      </c>
      <c r="AF519" s="8" t="str">
        <f>IF($AD519&lt;=$C$25*12,$AE519-$C$7+SUM('Mortgage Calculators (By Month)'!$K$23:$K537),"-")</f>
        <v>-</v>
      </c>
      <c r="AG519" s="8" t="str">
        <f t="shared" si="235"/>
        <v>-</v>
      </c>
      <c r="AH519" s="8" t="str">
        <f>IF($AD519&lt;=$C$25*12,SUM(Inputs!$C$61:$C$78)*'Forecast (By Month)'!AG519,"-")</f>
        <v>-</v>
      </c>
      <c r="AI519" s="8" t="str">
        <f>IF($AD519&lt;=$C$25*12,(SUMIF(Inputs!$C$61:$C$78,0,Inputs!$F$61:$F$78)/12)*(1+$C$34)^ROUNDDOWN((AD519-1)/12,0),"-")</f>
        <v>-</v>
      </c>
      <c r="AJ519" s="8" t="str">
        <f t="shared" si="236"/>
        <v>-</v>
      </c>
      <c r="AK519" s="8" t="str">
        <f>IF($AD519&lt;=$C$25*12,'Mortgage Calculators (By Month)'!$J537,"-")</f>
        <v>-</v>
      </c>
      <c r="AL519" s="8" t="str">
        <f>IF($AD519&lt;=$C$25*12,'Mortgage Calculators (By Month)'!$K537,"-")</f>
        <v>-</v>
      </c>
      <c r="AM519" s="8" t="str">
        <f>IF($AD519&lt;=$C$25*12,'Mortgage Calculators (By Month)'!$L537,"-")</f>
        <v>-</v>
      </c>
      <c r="AN519" s="8" t="str">
        <f t="shared" si="251"/>
        <v>-</v>
      </c>
      <c r="AO519" s="8" t="str">
        <f t="shared" si="237"/>
        <v>-</v>
      </c>
      <c r="AP519" s="8" t="str">
        <f t="shared" si="238"/>
        <v>-</v>
      </c>
      <c r="AQ519" s="8" t="str">
        <f t="shared" si="239"/>
        <v>-</v>
      </c>
      <c r="AR519" s="8" t="str">
        <f t="shared" si="240"/>
        <v>-</v>
      </c>
      <c r="AS519" s="8" t="str">
        <f>IF($AD519&lt;=$C$25*12,SUM(AR$5:AR519),"-")</f>
        <v>-</v>
      </c>
      <c r="AT519" s="8" t="str">
        <f>IF($AD519&lt;=$C$25*12,AE519-$C$10-'RE Calculations'!$C706-'Mortgage Calculators (By Month)'!$M537,"-")</f>
        <v>-</v>
      </c>
      <c r="AU519" s="29" t="str">
        <f t="shared" si="241"/>
        <v>-</v>
      </c>
      <c r="AV519" s="31" t="str">
        <f t="shared" si="242"/>
        <v>-</v>
      </c>
      <c r="AW519" s="8" t="str">
        <f t="shared" si="243"/>
        <v>-</v>
      </c>
      <c r="AX519" s="29" t="str">
        <f t="shared" si="244"/>
        <v>-</v>
      </c>
      <c r="AY519" s="31" t="str">
        <f t="shared" si="245"/>
        <v>-</v>
      </c>
    </row>
    <row r="520" spans="6:51" x14ac:dyDescent="0.35">
      <c r="F520" s="12" t="str">
        <f t="shared" si="246"/>
        <v>-</v>
      </c>
      <c r="G520" s="8" t="str">
        <f t="shared" si="247"/>
        <v>-</v>
      </c>
      <c r="H520" s="8" t="str">
        <f>IF($F520&lt;=$C$16*12,$G520-$C$7+SUM('Mortgage Calculators (By Month)'!$D$23:$D538),"-")</f>
        <v>-</v>
      </c>
      <c r="I520" s="8" t="str">
        <f t="shared" si="224"/>
        <v>-</v>
      </c>
      <c r="J520" s="8" t="str">
        <f>IF($F520&lt;=$C$16*12,SUM(Inputs!$C$61:$C$78)*'Forecast (By Month)'!I520,"-")</f>
        <v>-</v>
      </c>
      <c r="K520" s="8" t="str">
        <f>IF($F520&lt;=$C$16*12,(SUMIF(Inputs!$C$61:$C$78,0,Inputs!$F$61:$F$78)/12)*(1+$C$34)^ROUNDDOWN((F520-1)/12,0),"-")</f>
        <v>-</v>
      </c>
      <c r="L520" s="8" t="str">
        <f t="shared" si="225"/>
        <v>-</v>
      </c>
      <c r="M520" s="8" t="str">
        <f>IF($F520&lt;=$C$16*12,'Mortgage Calculators (By Month)'!$C538,"-")</f>
        <v>-</v>
      </c>
      <c r="N520" s="8" t="str">
        <f>IF($F520&lt;=$C$16*12,'Mortgage Calculators (By Month)'!$D538,"-")</f>
        <v>-</v>
      </c>
      <c r="O520" s="8" t="str">
        <f>IF($F520&lt;=$C$16*12,'Mortgage Calculators (By Month)'!$E538,"-")</f>
        <v>-</v>
      </c>
      <c r="P520" s="8" t="str">
        <f t="shared" si="250"/>
        <v>-</v>
      </c>
      <c r="Q520" s="8" t="str">
        <f t="shared" si="226"/>
        <v>-</v>
      </c>
      <c r="R520" s="8" t="str">
        <f t="shared" si="227"/>
        <v>-</v>
      </c>
      <c r="S520" s="8" t="str">
        <f t="shared" si="228"/>
        <v>-</v>
      </c>
      <c r="T520" s="8" t="str">
        <f t="shared" si="229"/>
        <v>-</v>
      </c>
      <c r="U520" s="8" t="str">
        <f>IF($F520&lt;=$C$16*12,SUM(T$5:T520),"-")</f>
        <v>-</v>
      </c>
      <c r="V520" s="8" t="str">
        <f>IF($F520&lt;=$C$16*12,G520-$C$10-'RE Calculations'!$C707-'Mortgage Calculators (By Month)'!$F538,"-")</f>
        <v>-</v>
      </c>
      <c r="W520" s="29" t="str">
        <f t="shared" si="230"/>
        <v>-</v>
      </c>
      <c r="X520" s="31" t="str">
        <f t="shared" si="231"/>
        <v>-</v>
      </c>
      <c r="Y520" s="8" t="str">
        <f t="shared" si="232"/>
        <v>-</v>
      </c>
      <c r="Z520" s="29" t="str">
        <f t="shared" si="233"/>
        <v>-</v>
      </c>
      <c r="AA520" s="31" t="str">
        <f t="shared" si="234"/>
        <v>-</v>
      </c>
      <c r="AD520" s="12" t="str">
        <f t="shared" si="248"/>
        <v>-</v>
      </c>
      <c r="AE520" s="8" t="str">
        <f t="shared" si="249"/>
        <v>-</v>
      </c>
      <c r="AF520" s="8" t="str">
        <f>IF($AD520&lt;=$C$25*12,$AE520-$C$7+SUM('Mortgage Calculators (By Month)'!$K$23:$K538),"-")</f>
        <v>-</v>
      </c>
      <c r="AG520" s="8" t="str">
        <f t="shared" si="235"/>
        <v>-</v>
      </c>
      <c r="AH520" s="8" t="str">
        <f>IF($AD520&lt;=$C$25*12,SUM(Inputs!$C$61:$C$78)*'Forecast (By Month)'!AG520,"-")</f>
        <v>-</v>
      </c>
      <c r="AI520" s="8" t="str">
        <f>IF($AD520&lt;=$C$25*12,(SUMIF(Inputs!$C$61:$C$78,0,Inputs!$F$61:$F$78)/12)*(1+$C$34)^ROUNDDOWN((AD520-1)/12,0),"-")</f>
        <v>-</v>
      </c>
      <c r="AJ520" s="8" t="str">
        <f t="shared" si="236"/>
        <v>-</v>
      </c>
      <c r="AK520" s="8" t="str">
        <f>IF($AD520&lt;=$C$25*12,'Mortgage Calculators (By Month)'!$J538,"-")</f>
        <v>-</v>
      </c>
      <c r="AL520" s="8" t="str">
        <f>IF($AD520&lt;=$C$25*12,'Mortgage Calculators (By Month)'!$K538,"-")</f>
        <v>-</v>
      </c>
      <c r="AM520" s="8" t="str">
        <f>IF($AD520&lt;=$C$25*12,'Mortgage Calculators (By Month)'!$L538,"-")</f>
        <v>-</v>
      </c>
      <c r="AN520" s="8" t="str">
        <f t="shared" si="251"/>
        <v>-</v>
      </c>
      <c r="AO520" s="8" t="str">
        <f t="shared" si="237"/>
        <v>-</v>
      </c>
      <c r="AP520" s="8" t="str">
        <f t="shared" si="238"/>
        <v>-</v>
      </c>
      <c r="AQ520" s="8" t="str">
        <f t="shared" si="239"/>
        <v>-</v>
      </c>
      <c r="AR520" s="8" t="str">
        <f t="shared" si="240"/>
        <v>-</v>
      </c>
      <c r="AS520" s="8" t="str">
        <f>IF($AD520&lt;=$C$25*12,SUM(AR$5:AR520),"-")</f>
        <v>-</v>
      </c>
      <c r="AT520" s="8" t="str">
        <f>IF($AD520&lt;=$C$25*12,AE520-$C$10-'RE Calculations'!$C707-'Mortgage Calculators (By Month)'!$M538,"-")</f>
        <v>-</v>
      </c>
      <c r="AU520" s="29" t="str">
        <f t="shared" si="241"/>
        <v>-</v>
      </c>
      <c r="AV520" s="31" t="str">
        <f t="shared" si="242"/>
        <v>-</v>
      </c>
      <c r="AW520" s="8" t="str">
        <f t="shared" si="243"/>
        <v>-</v>
      </c>
      <c r="AX520" s="29" t="str">
        <f t="shared" si="244"/>
        <v>-</v>
      </c>
      <c r="AY520" s="31" t="str">
        <f t="shared" si="245"/>
        <v>-</v>
      </c>
    </row>
    <row r="521" spans="6:51" x14ac:dyDescent="0.35">
      <c r="F521" s="12" t="str">
        <f t="shared" si="246"/>
        <v>-</v>
      </c>
      <c r="G521" s="8" t="str">
        <f t="shared" si="247"/>
        <v>-</v>
      </c>
      <c r="H521" s="8" t="str">
        <f>IF($F521&lt;=$C$16*12,$G521-$C$7+SUM('Mortgage Calculators (By Month)'!$D$23:$D539),"-")</f>
        <v>-</v>
      </c>
      <c r="I521" s="8" t="str">
        <f t="shared" si="224"/>
        <v>-</v>
      </c>
      <c r="J521" s="8" t="str">
        <f>IF($F521&lt;=$C$16*12,SUM(Inputs!$C$61:$C$78)*'Forecast (By Month)'!I521,"-")</f>
        <v>-</v>
      </c>
      <c r="K521" s="8" t="str">
        <f>IF($F521&lt;=$C$16*12,(SUMIF(Inputs!$C$61:$C$78,0,Inputs!$F$61:$F$78)/12)*(1+$C$34)^ROUNDDOWN((F521-1)/12,0),"-")</f>
        <v>-</v>
      </c>
      <c r="L521" s="8" t="str">
        <f t="shared" si="225"/>
        <v>-</v>
      </c>
      <c r="M521" s="8" t="str">
        <f>IF($F521&lt;=$C$16*12,'Mortgage Calculators (By Month)'!$C539,"-")</f>
        <v>-</v>
      </c>
      <c r="N521" s="8" t="str">
        <f>IF($F521&lt;=$C$16*12,'Mortgage Calculators (By Month)'!$D539,"-")</f>
        <v>-</v>
      </c>
      <c r="O521" s="8" t="str">
        <f>IF($F521&lt;=$C$16*12,'Mortgage Calculators (By Month)'!$E539,"-")</f>
        <v>-</v>
      </c>
      <c r="P521" s="8" t="str">
        <f t="shared" si="250"/>
        <v>-</v>
      </c>
      <c r="Q521" s="8" t="str">
        <f t="shared" si="226"/>
        <v>-</v>
      </c>
      <c r="R521" s="8" t="str">
        <f t="shared" si="227"/>
        <v>-</v>
      </c>
      <c r="S521" s="8" t="str">
        <f t="shared" si="228"/>
        <v>-</v>
      </c>
      <c r="T521" s="8" t="str">
        <f t="shared" si="229"/>
        <v>-</v>
      </c>
      <c r="U521" s="8" t="str">
        <f>IF($F521&lt;=$C$16*12,SUM(T$5:T521),"-")</f>
        <v>-</v>
      </c>
      <c r="V521" s="8" t="str">
        <f>IF($F521&lt;=$C$16*12,G521-$C$10-'RE Calculations'!$C708-'Mortgage Calculators (By Month)'!$F539,"-")</f>
        <v>-</v>
      </c>
      <c r="W521" s="29" t="str">
        <f t="shared" si="230"/>
        <v>-</v>
      </c>
      <c r="X521" s="31" t="str">
        <f t="shared" si="231"/>
        <v>-</v>
      </c>
      <c r="Y521" s="8" t="str">
        <f t="shared" si="232"/>
        <v>-</v>
      </c>
      <c r="Z521" s="29" t="str">
        <f t="shared" si="233"/>
        <v>-</v>
      </c>
      <c r="AA521" s="31" t="str">
        <f t="shared" si="234"/>
        <v>-</v>
      </c>
      <c r="AD521" s="12" t="str">
        <f t="shared" si="248"/>
        <v>-</v>
      </c>
      <c r="AE521" s="8" t="str">
        <f t="shared" si="249"/>
        <v>-</v>
      </c>
      <c r="AF521" s="8" t="str">
        <f>IF($AD521&lt;=$C$25*12,$AE521-$C$7+SUM('Mortgage Calculators (By Month)'!$K$23:$K539),"-")</f>
        <v>-</v>
      </c>
      <c r="AG521" s="8" t="str">
        <f t="shared" si="235"/>
        <v>-</v>
      </c>
      <c r="AH521" s="8" t="str">
        <f>IF($AD521&lt;=$C$25*12,SUM(Inputs!$C$61:$C$78)*'Forecast (By Month)'!AG521,"-")</f>
        <v>-</v>
      </c>
      <c r="AI521" s="8" t="str">
        <f>IF($AD521&lt;=$C$25*12,(SUMIF(Inputs!$C$61:$C$78,0,Inputs!$F$61:$F$78)/12)*(1+$C$34)^ROUNDDOWN((AD521-1)/12,0),"-")</f>
        <v>-</v>
      </c>
      <c r="AJ521" s="8" t="str">
        <f t="shared" si="236"/>
        <v>-</v>
      </c>
      <c r="AK521" s="8" t="str">
        <f>IF($AD521&lt;=$C$25*12,'Mortgage Calculators (By Month)'!$J539,"-")</f>
        <v>-</v>
      </c>
      <c r="AL521" s="8" t="str">
        <f>IF($AD521&lt;=$C$25*12,'Mortgage Calculators (By Month)'!$K539,"-")</f>
        <v>-</v>
      </c>
      <c r="AM521" s="8" t="str">
        <f>IF($AD521&lt;=$C$25*12,'Mortgage Calculators (By Month)'!$L539,"-")</f>
        <v>-</v>
      </c>
      <c r="AN521" s="8" t="str">
        <f t="shared" si="251"/>
        <v>-</v>
      </c>
      <c r="AO521" s="8" t="str">
        <f t="shared" si="237"/>
        <v>-</v>
      </c>
      <c r="AP521" s="8" t="str">
        <f t="shared" si="238"/>
        <v>-</v>
      </c>
      <c r="AQ521" s="8" t="str">
        <f t="shared" si="239"/>
        <v>-</v>
      </c>
      <c r="AR521" s="8" t="str">
        <f t="shared" si="240"/>
        <v>-</v>
      </c>
      <c r="AS521" s="8" t="str">
        <f>IF($AD521&lt;=$C$25*12,SUM(AR$5:AR521),"-")</f>
        <v>-</v>
      </c>
      <c r="AT521" s="8" t="str">
        <f>IF($AD521&lt;=$C$25*12,AE521-$C$10-'RE Calculations'!$C708-'Mortgage Calculators (By Month)'!$M539,"-")</f>
        <v>-</v>
      </c>
      <c r="AU521" s="29" t="str">
        <f t="shared" si="241"/>
        <v>-</v>
      </c>
      <c r="AV521" s="31" t="str">
        <f t="shared" si="242"/>
        <v>-</v>
      </c>
      <c r="AW521" s="8" t="str">
        <f t="shared" si="243"/>
        <v>-</v>
      </c>
      <c r="AX521" s="29" t="str">
        <f t="shared" si="244"/>
        <v>-</v>
      </c>
      <c r="AY521" s="31" t="str">
        <f t="shared" si="245"/>
        <v>-</v>
      </c>
    </row>
    <row r="522" spans="6:51" x14ac:dyDescent="0.35">
      <c r="F522" s="12" t="str">
        <f t="shared" si="246"/>
        <v>-</v>
      </c>
      <c r="G522" s="8" t="str">
        <f t="shared" si="247"/>
        <v>-</v>
      </c>
      <c r="H522" s="8" t="str">
        <f>IF($F522&lt;=$C$16*12,$G522-$C$7+SUM('Mortgage Calculators (By Month)'!$D$23:$D540),"-")</f>
        <v>-</v>
      </c>
      <c r="I522" s="8" t="str">
        <f t="shared" si="224"/>
        <v>-</v>
      </c>
      <c r="J522" s="8" t="str">
        <f>IF($F522&lt;=$C$16*12,SUM(Inputs!$C$61:$C$78)*'Forecast (By Month)'!I522,"-")</f>
        <v>-</v>
      </c>
      <c r="K522" s="8" t="str">
        <f>IF($F522&lt;=$C$16*12,(SUMIF(Inputs!$C$61:$C$78,0,Inputs!$F$61:$F$78)/12)*(1+$C$34)^ROUNDDOWN((F522-1)/12,0),"-")</f>
        <v>-</v>
      </c>
      <c r="L522" s="8" t="str">
        <f t="shared" si="225"/>
        <v>-</v>
      </c>
      <c r="M522" s="8" t="str">
        <f>IF($F522&lt;=$C$16*12,'Mortgage Calculators (By Month)'!$C540,"-")</f>
        <v>-</v>
      </c>
      <c r="N522" s="8" t="str">
        <f>IF($F522&lt;=$C$16*12,'Mortgage Calculators (By Month)'!$D540,"-")</f>
        <v>-</v>
      </c>
      <c r="O522" s="8" t="str">
        <f>IF($F522&lt;=$C$16*12,'Mortgage Calculators (By Month)'!$E540,"-")</f>
        <v>-</v>
      </c>
      <c r="P522" s="8" t="str">
        <f t="shared" si="250"/>
        <v>-</v>
      </c>
      <c r="Q522" s="8" t="str">
        <f t="shared" si="226"/>
        <v>-</v>
      </c>
      <c r="R522" s="8" t="str">
        <f t="shared" si="227"/>
        <v>-</v>
      </c>
      <c r="S522" s="8" t="str">
        <f t="shared" si="228"/>
        <v>-</v>
      </c>
      <c r="T522" s="8" t="str">
        <f t="shared" si="229"/>
        <v>-</v>
      </c>
      <c r="U522" s="8" t="str">
        <f>IF($F522&lt;=$C$16*12,SUM(T$5:T522),"-")</f>
        <v>-</v>
      </c>
      <c r="V522" s="8" t="str">
        <f>IF($F522&lt;=$C$16*12,G522-$C$10-'RE Calculations'!$C709-'Mortgage Calculators (By Month)'!$F540,"-")</f>
        <v>-</v>
      </c>
      <c r="W522" s="29" t="str">
        <f t="shared" si="230"/>
        <v>-</v>
      </c>
      <c r="X522" s="31" t="str">
        <f t="shared" si="231"/>
        <v>-</v>
      </c>
      <c r="Y522" s="8" t="str">
        <f t="shared" si="232"/>
        <v>-</v>
      </c>
      <c r="Z522" s="29" t="str">
        <f t="shared" si="233"/>
        <v>-</v>
      </c>
      <c r="AA522" s="31" t="str">
        <f t="shared" si="234"/>
        <v>-</v>
      </c>
      <c r="AD522" s="12" t="str">
        <f t="shared" si="248"/>
        <v>-</v>
      </c>
      <c r="AE522" s="8" t="str">
        <f t="shared" si="249"/>
        <v>-</v>
      </c>
      <c r="AF522" s="8" t="str">
        <f>IF($AD522&lt;=$C$25*12,$AE522-$C$7+SUM('Mortgage Calculators (By Month)'!$K$23:$K540),"-")</f>
        <v>-</v>
      </c>
      <c r="AG522" s="8" t="str">
        <f t="shared" si="235"/>
        <v>-</v>
      </c>
      <c r="AH522" s="8" t="str">
        <f>IF($AD522&lt;=$C$25*12,SUM(Inputs!$C$61:$C$78)*'Forecast (By Month)'!AG522,"-")</f>
        <v>-</v>
      </c>
      <c r="AI522" s="8" t="str">
        <f>IF($AD522&lt;=$C$25*12,(SUMIF(Inputs!$C$61:$C$78,0,Inputs!$F$61:$F$78)/12)*(1+$C$34)^ROUNDDOWN((AD522-1)/12,0),"-")</f>
        <v>-</v>
      </c>
      <c r="AJ522" s="8" t="str">
        <f t="shared" si="236"/>
        <v>-</v>
      </c>
      <c r="AK522" s="8" t="str">
        <f>IF($AD522&lt;=$C$25*12,'Mortgage Calculators (By Month)'!$J540,"-")</f>
        <v>-</v>
      </c>
      <c r="AL522" s="8" t="str">
        <f>IF($AD522&lt;=$C$25*12,'Mortgage Calculators (By Month)'!$K540,"-")</f>
        <v>-</v>
      </c>
      <c r="AM522" s="8" t="str">
        <f>IF($AD522&lt;=$C$25*12,'Mortgage Calculators (By Month)'!$L540,"-")</f>
        <v>-</v>
      </c>
      <c r="AN522" s="8" t="str">
        <f t="shared" si="251"/>
        <v>-</v>
      </c>
      <c r="AO522" s="8" t="str">
        <f t="shared" si="237"/>
        <v>-</v>
      </c>
      <c r="AP522" s="8" t="str">
        <f t="shared" si="238"/>
        <v>-</v>
      </c>
      <c r="AQ522" s="8" t="str">
        <f t="shared" si="239"/>
        <v>-</v>
      </c>
      <c r="AR522" s="8" t="str">
        <f t="shared" si="240"/>
        <v>-</v>
      </c>
      <c r="AS522" s="8" t="str">
        <f>IF($AD522&lt;=$C$25*12,SUM(AR$5:AR522),"-")</f>
        <v>-</v>
      </c>
      <c r="AT522" s="8" t="str">
        <f>IF($AD522&lt;=$C$25*12,AE522-$C$10-'RE Calculations'!$C709-'Mortgage Calculators (By Month)'!$M540,"-")</f>
        <v>-</v>
      </c>
      <c r="AU522" s="29" t="str">
        <f t="shared" si="241"/>
        <v>-</v>
      </c>
      <c r="AV522" s="31" t="str">
        <f t="shared" si="242"/>
        <v>-</v>
      </c>
      <c r="AW522" s="8" t="str">
        <f t="shared" si="243"/>
        <v>-</v>
      </c>
      <c r="AX522" s="29" t="str">
        <f t="shared" si="244"/>
        <v>-</v>
      </c>
      <c r="AY522" s="31" t="str">
        <f t="shared" si="245"/>
        <v>-</v>
      </c>
    </row>
    <row r="523" spans="6:51" x14ac:dyDescent="0.35">
      <c r="F523" s="12" t="str">
        <f t="shared" si="246"/>
        <v>-</v>
      </c>
      <c r="G523" s="8" t="str">
        <f t="shared" si="247"/>
        <v>-</v>
      </c>
      <c r="H523" s="8" t="str">
        <f>IF($F523&lt;=$C$16*12,$G523-$C$7+SUM('Mortgage Calculators (By Month)'!$D$23:$D541),"-")</f>
        <v>-</v>
      </c>
      <c r="I523" s="8" t="str">
        <f t="shared" si="224"/>
        <v>-</v>
      </c>
      <c r="J523" s="8" t="str">
        <f>IF($F523&lt;=$C$16*12,SUM(Inputs!$C$61:$C$78)*'Forecast (By Month)'!I523,"-")</f>
        <v>-</v>
      </c>
      <c r="K523" s="8" t="str">
        <f>IF($F523&lt;=$C$16*12,(SUMIF(Inputs!$C$61:$C$78,0,Inputs!$F$61:$F$78)/12)*(1+$C$34)^ROUNDDOWN((F523-1)/12,0),"-")</f>
        <v>-</v>
      </c>
      <c r="L523" s="8" t="str">
        <f t="shared" si="225"/>
        <v>-</v>
      </c>
      <c r="M523" s="8" t="str">
        <f>IF($F523&lt;=$C$16*12,'Mortgage Calculators (By Month)'!$C541,"-")</f>
        <v>-</v>
      </c>
      <c r="N523" s="8" t="str">
        <f>IF($F523&lt;=$C$16*12,'Mortgage Calculators (By Month)'!$D541,"-")</f>
        <v>-</v>
      </c>
      <c r="O523" s="8" t="str">
        <f>IF($F523&lt;=$C$16*12,'Mortgage Calculators (By Month)'!$E541,"-")</f>
        <v>-</v>
      </c>
      <c r="P523" s="8" t="str">
        <f t="shared" si="250"/>
        <v>-</v>
      </c>
      <c r="Q523" s="8" t="str">
        <f t="shared" si="226"/>
        <v>-</v>
      </c>
      <c r="R523" s="8" t="str">
        <f t="shared" si="227"/>
        <v>-</v>
      </c>
      <c r="S523" s="8" t="str">
        <f t="shared" si="228"/>
        <v>-</v>
      </c>
      <c r="T523" s="8" t="str">
        <f t="shared" si="229"/>
        <v>-</v>
      </c>
      <c r="U523" s="8" t="str">
        <f>IF($F523&lt;=$C$16*12,SUM(T$5:T523),"-")</f>
        <v>-</v>
      </c>
      <c r="V523" s="8" t="str">
        <f>IF($F523&lt;=$C$16*12,G523-$C$10-'RE Calculations'!$C710-'Mortgage Calculators (By Month)'!$F541,"-")</f>
        <v>-</v>
      </c>
      <c r="W523" s="29" t="str">
        <f t="shared" si="230"/>
        <v>-</v>
      </c>
      <c r="X523" s="31" t="str">
        <f t="shared" si="231"/>
        <v>-</v>
      </c>
      <c r="Y523" s="8" t="str">
        <f t="shared" si="232"/>
        <v>-</v>
      </c>
      <c r="Z523" s="29" t="str">
        <f t="shared" si="233"/>
        <v>-</v>
      </c>
      <c r="AA523" s="31" t="str">
        <f t="shared" si="234"/>
        <v>-</v>
      </c>
      <c r="AD523" s="12" t="str">
        <f t="shared" si="248"/>
        <v>-</v>
      </c>
      <c r="AE523" s="8" t="str">
        <f t="shared" si="249"/>
        <v>-</v>
      </c>
      <c r="AF523" s="8" t="str">
        <f>IF($AD523&lt;=$C$25*12,$AE523-$C$7+SUM('Mortgage Calculators (By Month)'!$K$23:$K541),"-")</f>
        <v>-</v>
      </c>
      <c r="AG523" s="8" t="str">
        <f t="shared" si="235"/>
        <v>-</v>
      </c>
      <c r="AH523" s="8" t="str">
        <f>IF($AD523&lt;=$C$25*12,SUM(Inputs!$C$61:$C$78)*'Forecast (By Month)'!AG523,"-")</f>
        <v>-</v>
      </c>
      <c r="AI523" s="8" t="str">
        <f>IF($AD523&lt;=$C$25*12,(SUMIF(Inputs!$C$61:$C$78,0,Inputs!$F$61:$F$78)/12)*(1+$C$34)^ROUNDDOWN((AD523-1)/12,0),"-")</f>
        <v>-</v>
      </c>
      <c r="AJ523" s="8" t="str">
        <f t="shared" si="236"/>
        <v>-</v>
      </c>
      <c r="AK523" s="8" t="str">
        <f>IF($AD523&lt;=$C$25*12,'Mortgage Calculators (By Month)'!$J541,"-")</f>
        <v>-</v>
      </c>
      <c r="AL523" s="8" t="str">
        <f>IF($AD523&lt;=$C$25*12,'Mortgage Calculators (By Month)'!$K541,"-")</f>
        <v>-</v>
      </c>
      <c r="AM523" s="8" t="str">
        <f>IF($AD523&lt;=$C$25*12,'Mortgage Calculators (By Month)'!$L541,"-")</f>
        <v>-</v>
      </c>
      <c r="AN523" s="8" t="str">
        <f t="shared" si="251"/>
        <v>-</v>
      </c>
      <c r="AO523" s="8" t="str">
        <f t="shared" si="237"/>
        <v>-</v>
      </c>
      <c r="AP523" s="8" t="str">
        <f t="shared" si="238"/>
        <v>-</v>
      </c>
      <c r="AQ523" s="8" t="str">
        <f t="shared" si="239"/>
        <v>-</v>
      </c>
      <c r="AR523" s="8" t="str">
        <f t="shared" si="240"/>
        <v>-</v>
      </c>
      <c r="AS523" s="8" t="str">
        <f>IF($AD523&lt;=$C$25*12,SUM(AR$5:AR523),"-")</f>
        <v>-</v>
      </c>
      <c r="AT523" s="8" t="str">
        <f>IF($AD523&lt;=$C$25*12,AE523-$C$10-'RE Calculations'!$C710-'Mortgage Calculators (By Month)'!$M541,"-")</f>
        <v>-</v>
      </c>
      <c r="AU523" s="29" t="str">
        <f t="shared" si="241"/>
        <v>-</v>
      </c>
      <c r="AV523" s="31" t="str">
        <f t="shared" si="242"/>
        <v>-</v>
      </c>
      <c r="AW523" s="8" t="str">
        <f t="shared" si="243"/>
        <v>-</v>
      </c>
      <c r="AX523" s="29" t="str">
        <f t="shared" si="244"/>
        <v>-</v>
      </c>
      <c r="AY523" s="31" t="str">
        <f t="shared" si="245"/>
        <v>-</v>
      </c>
    </row>
    <row r="524" spans="6:51" x14ac:dyDescent="0.35">
      <c r="F524" s="12" t="str">
        <f t="shared" si="246"/>
        <v>-</v>
      </c>
      <c r="G524" s="8" t="str">
        <f t="shared" si="247"/>
        <v>-</v>
      </c>
      <c r="H524" s="8" t="str">
        <f>IF($F524&lt;=$C$16*12,$G524-$C$7+SUM('Mortgage Calculators (By Month)'!$D$23:$D542),"-")</f>
        <v>-</v>
      </c>
      <c r="I524" s="8" t="str">
        <f t="shared" si="224"/>
        <v>-</v>
      </c>
      <c r="J524" s="8" t="str">
        <f>IF($F524&lt;=$C$16*12,SUM(Inputs!$C$61:$C$78)*'Forecast (By Month)'!I524,"-")</f>
        <v>-</v>
      </c>
      <c r="K524" s="8" t="str">
        <f>IF($F524&lt;=$C$16*12,(SUMIF(Inputs!$C$61:$C$78,0,Inputs!$F$61:$F$78)/12)*(1+$C$34)^ROUNDDOWN((F524-1)/12,0),"-")</f>
        <v>-</v>
      </c>
      <c r="L524" s="8" t="str">
        <f t="shared" si="225"/>
        <v>-</v>
      </c>
      <c r="M524" s="8" t="str">
        <f>IF($F524&lt;=$C$16*12,'Mortgage Calculators (By Month)'!$C542,"-")</f>
        <v>-</v>
      </c>
      <c r="N524" s="8" t="str">
        <f>IF($F524&lt;=$C$16*12,'Mortgage Calculators (By Month)'!$D542,"-")</f>
        <v>-</v>
      </c>
      <c r="O524" s="8" t="str">
        <f>IF($F524&lt;=$C$16*12,'Mortgage Calculators (By Month)'!$E542,"-")</f>
        <v>-</v>
      </c>
      <c r="P524" s="8" t="str">
        <f t="shared" si="250"/>
        <v>-</v>
      </c>
      <c r="Q524" s="8" t="str">
        <f t="shared" si="226"/>
        <v>-</v>
      </c>
      <c r="R524" s="8" t="str">
        <f t="shared" si="227"/>
        <v>-</v>
      </c>
      <c r="S524" s="8" t="str">
        <f t="shared" si="228"/>
        <v>-</v>
      </c>
      <c r="T524" s="8" t="str">
        <f t="shared" si="229"/>
        <v>-</v>
      </c>
      <c r="U524" s="8" t="str">
        <f>IF($F524&lt;=$C$16*12,SUM(T$5:T524),"-")</f>
        <v>-</v>
      </c>
      <c r="V524" s="8" t="str">
        <f>IF($F524&lt;=$C$16*12,G524-$C$10-'RE Calculations'!$C711-'Mortgage Calculators (By Month)'!$F542,"-")</f>
        <v>-</v>
      </c>
      <c r="W524" s="29" t="str">
        <f t="shared" si="230"/>
        <v>-</v>
      </c>
      <c r="X524" s="31" t="str">
        <f t="shared" si="231"/>
        <v>-</v>
      </c>
      <c r="Y524" s="8" t="str">
        <f t="shared" si="232"/>
        <v>-</v>
      </c>
      <c r="Z524" s="29" t="str">
        <f t="shared" si="233"/>
        <v>-</v>
      </c>
      <c r="AA524" s="31" t="str">
        <f t="shared" si="234"/>
        <v>-</v>
      </c>
      <c r="AD524" s="12" t="str">
        <f t="shared" si="248"/>
        <v>-</v>
      </c>
      <c r="AE524" s="8" t="str">
        <f t="shared" si="249"/>
        <v>-</v>
      </c>
      <c r="AF524" s="8" t="str">
        <f>IF($AD524&lt;=$C$25*12,$AE524-$C$7+SUM('Mortgage Calculators (By Month)'!$K$23:$K542),"-")</f>
        <v>-</v>
      </c>
      <c r="AG524" s="8" t="str">
        <f t="shared" si="235"/>
        <v>-</v>
      </c>
      <c r="AH524" s="8" t="str">
        <f>IF($AD524&lt;=$C$25*12,SUM(Inputs!$C$61:$C$78)*'Forecast (By Month)'!AG524,"-")</f>
        <v>-</v>
      </c>
      <c r="AI524" s="8" t="str">
        <f>IF($AD524&lt;=$C$25*12,(SUMIF(Inputs!$C$61:$C$78,0,Inputs!$F$61:$F$78)/12)*(1+$C$34)^ROUNDDOWN((AD524-1)/12,0),"-")</f>
        <v>-</v>
      </c>
      <c r="AJ524" s="8" t="str">
        <f t="shared" si="236"/>
        <v>-</v>
      </c>
      <c r="AK524" s="8" t="str">
        <f>IF($AD524&lt;=$C$25*12,'Mortgage Calculators (By Month)'!$J542,"-")</f>
        <v>-</v>
      </c>
      <c r="AL524" s="8" t="str">
        <f>IF($AD524&lt;=$C$25*12,'Mortgage Calculators (By Month)'!$K542,"-")</f>
        <v>-</v>
      </c>
      <c r="AM524" s="8" t="str">
        <f>IF($AD524&lt;=$C$25*12,'Mortgage Calculators (By Month)'!$L542,"-")</f>
        <v>-</v>
      </c>
      <c r="AN524" s="8" t="str">
        <f t="shared" si="251"/>
        <v>-</v>
      </c>
      <c r="AO524" s="8" t="str">
        <f t="shared" si="237"/>
        <v>-</v>
      </c>
      <c r="AP524" s="8" t="str">
        <f t="shared" si="238"/>
        <v>-</v>
      </c>
      <c r="AQ524" s="8" t="str">
        <f t="shared" si="239"/>
        <v>-</v>
      </c>
      <c r="AR524" s="8" t="str">
        <f t="shared" si="240"/>
        <v>-</v>
      </c>
      <c r="AS524" s="8" t="str">
        <f>IF($AD524&lt;=$C$25*12,SUM(AR$5:AR524),"-")</f>
        <v>-</v>
      </c>
      <c r="AT524" s="8" t="str">
        <f>IF($AD524&lt;=$C$25*12,AE524-$C$10-'RE Calculations'!$C711-'Mortgage Calculators (By Month)'!$M542,"-")</f>
        <v>-</v>
      </c>
      <c r="AU524" s="29" t="str">
        <f t="shared" si="241"/>
        <v>-</v>
      </c>
      <c r="AV524" s="31" t="str">
        <f t="shared" si="242"/>
        <v>-</v>
      </c>
      <c r="AW524" s="8" t="str">
        <f t="shared" si="243"/>
        <v>-</v>
      </c>
      <c r="AX524" s="29" t="str">
        <f t="shared" si="244"/>
        <v>-</v>
      </c>
      <c r="AY524" s="31" t="str">
        <f t="shared" si="245"/>
        <v>-</v>
      </c>
    </row>
    <row r="525" spans="6:51" x14ac:dyDescent="0.35">
      <c r="F525" s="12" t="str">
        <f t="shared" si="246"/>
        <v>-</v>
      </c>
      <c r="G525" s="8" t="str">
        <f t="shared" si="247"/>
        <v>-</v>
      </c>
      <c r="H525" s="8" t="str">
        <f>IF($F525&lt;=$C$16*12,$G525-$C$7+SUM('Mortgage Calculators (By Month)'!$D$23:$D543),"-")</f>
        <v>-</v>
      </c>
      <c r="I525" s="8" t="str">
        <f t="shared" si="224"/>
        <v>-</v>
      </c>
      <c r="J525" s="8" t="str">
        <f>IF($F525&lt;=$C$16*12,SUM(Inputs!$C$61:$C$78)*'Forecast (By Month)'!I525,"-")</f>
        <v>-</v>
      </c>
      <c r="K525" s="8" t="str">
        <f>IF($F525&lt;=$C$16*12,(SUMIF(Inputs!$C$61:$C$78,0,Inputs!$F$61:$F$78)/12)*(1+$C$34)^ROUNDDOWN((F525-1)/12,0),"-")</f>
        <v>-</v>
      </c>
      <c r="L525" s="8" t="str">
        <f t="shared" si="225"/>
        <v>-</v>
      </c>
      <c r="M525" s="8" t="str">
        <f>IF($F525&lt;=$C$16*12,'Mortgage Calculators (By Month)'!$C543,"-")</f>
        <v>-</v>
      </c>
      <c r="N525" s="8" t="str">
        <f>IF($F525&lt;=$C$16*12,'Mortgage Calculators (By Month)'!$D543,"-")</f>
        <v>-</v>
      </c>
      <c r="O525" s="8" t="str">
        <f>IF($F525&lt;=$C$16*12,'Mortgage Calculators (By Month)'!$E543,"-")</f>
        <v>-</v>
      </c>
      <c r="P525" s="8" t="str">
        <f t="shared" si="250"/>
        <v>-</v>
      </c>
      <c r="Q525" s="8" t="str">
        <f t="shared" si="226"/>
        <v>-</v>
      </c>
      <c r="R525" s="8" t="str">
        <f t="shared" si="227"/>
        <v>-</v>
      </c>
      <c r="S525" s="8" t="str">
        <f t="shared" si="228"/>
        <v>-</v>
      </c>
      <c r="T525" s="8" t="str">
        <f t="shared" si="229"/>
        <v>-</v>
      </c>
      <c r="U525" s="8" t="str">
        <f>IF($F525&lt;=$C$16*12,SUM(T$5:T525),"-")</f>
        <v>-</v>
      </c>
      <c r="V525" s="8" t="str">
        <f>IF($F525&lt;=$C$16*12,G525-$C$10-'RE Calculations'!$C712-'Mortgage Calculators (By Month)'!$F543,"-")</f>
        <v>-</v>
      </c>
      <c r="W525" s="29" t="str">
        <f t="shared" si="230"/>
        <v>-</v>
      </c>
      <c r="X525" s="31" t="str">
        <f t="shared" si="231"/>
        <v>-</v>
      </c>
      <c r="Y525" s="8" t="str">
        <f t="shared" si="232"/>
        <v>-</v>
      </c>
      <c r="Z525" s="29" t="str">
        <f t="shared" si="233"/>
        <v>-</v>
      </c>
      <c r="AA525" s="31" t="str">
        <f t="shared" si="234"/>
        <v>-</v>
      </c>
      <c r="AD525" s="12" t="str">
        <f t="shared" si="248"/>
        <v>-</v>
      </c>
      <c r="AE525" s="8" t="str">
        <f t="shared" si="249"/>
        <v>-</v>
      </c>
      <c r="AF525" s="8" t="str">
        <f>IF($AD525&lt;=$C$25*12,$AE525-$C$7+SUM('Mortgage Calculators (By Month)'!$K$23:$K543),"-")</f>
        <v>-</v>
      </c>
      <c r="AG525" s="8" t="str">
        <f t="shared" si="235"/>
        <v>-</v>
      </c>
      <c r="AH525" s="8" t="str">
        <f>IF($AD525&lt;=$C$25*12,SUM(Inputs!$C$61:$C$78)*'Forecast (By Month)'!AG525,"-")</f>
        <v>-</v>
      </c>
      <c r="AI525" s="8" t="str">
        <f>IF($AD525&lt;=$C$25*12,(SUMIF(Inputs!$C$61:$C$78,0,Inputs!$F$61:$F$78)/12)*(1+$C$34)^ROUNDDOWN((AD525-1)/12,0),"-")</f>
        <v>-</v>
      </c>
      <c r="AJ525" s="8" t="str">
        <f t="shared" si="236"/>
        <v>-</v>
      </c>
      <c r="AK525" s="8" t="str">
        <f>IF($AD525&lt;=$C$25*12,'Mortgage Calculators (By Month)'!$J543,"-")</f>
        <v>-</v>
      </c>
      <c r="AL525" s="8" t="str">
        <f>IF($AD525&lt;=$C$25*12,'Mortgage Calculators (By Month)'!$K543,"-")</f>
        <v>-</v>
      </c>
      <c r="AM525" s="8" t="str">
        <f>IF($AD525&lt;=$C$25*12,'Mortgage Calculators (By Month)'!$L543,"-")</f>
        <v>-</v>
      </c>
      <c r="AN525" s="8" t="str">
        <f t="shared" si="251"/>
        <v>-</v>
      </c>
      <c r="AO525" s="8" t="str">
        <f t="shared" si="237"/>
        <v>-</v>
      </c>
      <c r="AP525" s="8" t="str">
        <f t="shared" si="238"/>
        <v>-</v>
      </c>
      <c r="AQ525" s="8" t="str">
        <f t="shared" si="239"/>
        <v>-</v>
      </c>
      <c r="AR525" s="8" t="str">
        <f t="shared" si="240"/>
        <v>-</v>
      </c>
      <c r="AS525" s="8" t="str">
        <f>IF($AD525&lt;=$C$25*12,SUM(AR$5:AR525),"-")</f>
        <v>-</v>
      </c>
      <c r="AT525" s="8" t="str">
        <f>IF($AD525&lt;=$C$25*12,AE525-$C$10-'RE Calculations'!$C712-'Mortgage Calculators (By Month)'!$M543,"-")</f>
        <v>-</v>
      </c>
      <c r="AU525" s="29" t="str">
        <f t="shared" si="241"/>
        <v>-</v>
      </c>
      <c r="AV525" s="31" t="str">
        <f t="shared" si="242"/>
        <v>-</v>
      </c>
      <c r="AW525" s="8" t="str">
        <f t="shared" si="243"/>
        <v>-</v>
      </c>
      <c r="AX525" s="29" t="str">
        <f t="shared" si="244"/>
        <v>-</v>
      </c>
      <c r="AY525" s="31" t="str">
        <f t="shared" si="245"/>
        <v>-</v>
      </c>
    </row>
    <row r="526" spans="6:51" x14ac:dyDescent="0.35">
      <c r="F526" s="12" t="str">
        <f t="shared" si="246"/>
        <v>-</v>
      </c>
      <c r="G526" s="8" t="str">
        <f t="shared" si="247"/>
        <v>-</v>
      </c>
      <c r="H526" s="8" t="str">
        <f>IF($F526&lt;=$C$16*12,$G526-$C$7+SUM('Mortgage Calculators (By Month)'!$D$23:$D544),"-")</f>
        <v>-</v>
      </c>
      <c r="I526" s="8" t="str">
        <f t="shared" si="224"/>
        <v>-</v>
      </c>
      <c r="J526" s="8" t="str">
        <f>IF($F526&lt;=$C$16*12,SUM(Inputs!$C$61:$C$78)*'Forecast (By Month)'!I526,"-")</f>
        <v>-</v>
      </c>
      <c r="K526" s="8" t="str">
        <f>IF($F526&lt;=$C$16*12,(SUMIF(Inputs!$C$61:$C$78,0,Inputs!$F$61:$F$78)/12)*(1+$C$34)^ROUNDDOWN((F526-1)/12,0),"-")</f>
        <v>-</v>
      </c>
      <c r="L526" s="8" t="str">
        <f t="shared" si="225"/>
        <v>-</v>
      </c>
      <c r="M526" s="8" t="str">
        <f>IF($F526&lt;=$C$16*12,'Mortgage Calculators (By Month)'!$C544,"-")</f>
        <v>-</v>
      </c>
      <c r="N526" s="8" t="str">
        <f>IF($F526&lt;=$C$16*12,'Mortgage Calculators (By Month)'!$D544,"-")</f>
        <v>-</v>
      </c>
      <c r="O526" s="8" t="str">
        <f>IF($F526&lt;=$C$16*12,'Mortgage Calculators (By Month)'!$E544,"-")</f>
        <v>-</v>
      </c>
      <c r="P526" s="8" t="str">
        <f t="shared" si="250"/>
        <v>-</v>
      </c>
      <c r="Q526" s="8" t="str">
        <f t="shared" si="226"/>
        <v>-</v>
      </c>
      <c r="R526" s="8" t="str">
        <f t="shared" si="227"/>
        <v>-</v>
      </c>
      <c r="S526" s="8" t="str">
        <f t="shared" si="228"/>
        <v>-</v>
      </c>
      <c r="T526" s="8" t="str">
        <f t="shared" si="229"/>
        <v>-</v>
      </c>
      <c r="U526" s="8" t="str">
        <f>IF($F526&lt;=$C$16*12,SUM(T$5:T526),"-")</f>
        <v>-</v>
      </c>
      <c r="V526" s="8" t="str">
        <f>IF($F526&lt;=$C$16*12,G526-$C$10-'RE Calculations'!$C713-'Mortgage Calculators (By Month)'!$F544,"-")</f>
        <v>-</v>
      </c>
      <c r="W526" s="29" t="str">
        <f t="shared" si="230"/>
        <v>-</v>
      </c>
      <c r="X526" s="31" t="str">
        <f t="shared" si="231"/>
        <v>-</v>
      </c>
      <c r="Y526" s="8" t="str">
        <f t="shared" si="232"/>
        <v>-</v>
      </c>
      <c r="Z526" s="29" t="str">
        <f t="shared" si="233"/>
        <v>-</v>
      </c>
      <c r="AA526" s="31" t="str">
        <f t="shared" si="234"/>
        <v>-</v>
      </c>
      <c r="AD526" s="12" t="str">
        <f t="shared" si="248"/>
        <v>-</v>
      </c>
      <c r="AE526" s="8" t="str">
        <f t="shared" si="249"/>
        <v>-</v>
      </c>
      <c r="AF526" s="8" t="str">
        <f>IF($AD526&lt;=$C$25*12,$AE526-$C$7+SUM('Mortgage Calculators (By Month)'!$K$23:$K544),"-")</f>
        <v>-</v>
      </c>
      <c r="AG526" s="8" t="str">
        <f t="shared" si="235"/>
        <v>-</v>
      </c>
      <c r="AH526" s="8" t="str">
        <f>IF($AD526&lt;=$C$25*12,SUM(Inputs!$C$61:$C$78)*'Forecast (By Month)'!AG526,"-")</f>
        <v>-</v>
      </c>
      <c r="AI526" s="8" t="str">
        <f>IF($AD526&lt;=$C$25*12,(SUMIF(Inputs!$C$61:$C$78,0,Inputs!$F$61:$F$78)/12)*(1+$C$34)^ROUNDDOWN((AD526-1)/12,0),"-")</f>
        <v>-</v>
      </c>
      <c r="AJ526" s="8" t="str">
        <f t="shared" si="236"/>
        <v>-</v>
      </c>
      <c r="AK526" s="8" t="str">
        <f>IF($AD526&lt;=$C$25*12,'Mortgage Calculators (By Month)'!$J544,"-")</f>
        <v>-</v>
      </c>
      <c r="AL526" s="8" t="str">
        <f>IF($AD526&lt;=$C$25*12,'Mortgage Calculators (By Month)'!$K544,"-")</f>
        <v>-</v>
      </c>
      <c r="AM526" s="8" t="str">
        <f>IF($AD526&lt;=$C$25*12,'Mortgage Calculators (By Month)'!$L544,"-")</f>
        <v>-</v>
      </c>
      <c r="AN526" s="8" t="str">
        <f t="shared" si="251"/>
        <v>-</v>
      </c>
      <c r="AO526" s="8" t="str">
        <f t="shared" si="237"/>
        <v>-</v>
      </c>
      <c r="AP526" s="8" t="str">
        <f t="shared" si="238"/>
        <v>-</v>
      </c>
      <c r="AQ526" s="8" t="str">
        <f t="shared" si="239"/>
        <v>-</v>
      </c>
      <c r="AR526" s="8" t="str">
        <f t="shared" si="240"/>
        <v>-</v>
      </c>
      <c r="AS526" s="8" t="str">
        <f>IF($AD526&lt;=$C$25*12,SUM(AR$5:AR526),"-")</f>
        <v>-</v>
      </c>
      <c r="AT526" s="8" t="str">
        <f>IF($AD526&lt;=$C$25*12,AE526-$C$10-'RE Calculations'!$C713-'Mortgage Calculators (By Month)'!$M544,"-")</f>
        <v>-</v>
      </c>
      <c r="AU526" s="29" t="str">
        <f t="shared" si="241"/>
        <v>-</v>
      </c>
      <c r="AV526" s="31" t="str">
        <f t="shared" si="242"/>
        <v>-</v>
      </c>
      <c r="AW526" s="8" t="str">
        <f t="shared" si="243"/>
        <v>-</v>
      </c>
      <c r="AX526" s="29" t="str">
        <f t="shared" si="244"/>
        <v>-</v>
      </c>
      <c r="AY526" s="31" t="str">
        <f t="shared" si="245"/>
        <v>-</v>
      </c>
    </row>
    <row r="527" spans="6:51" x14ac:dyDescent="0.35">
      <c r="F527" s="12" t="str">
        <f t="shared" si="246"/>
        <v>-</v>
      </c>
      <c r="G527" s="8" t="str">
        <f t="shared" si="247"/>
        <v>-</v>
      </c>
      <c r="H527" s="8" t="str">
        <f>IF($F527&lt;=$C$16*12,$G527-$C$7+SUM('Mortgage Calculators (By Month)'!$D$23:$D545),"-")</f>
        <v>-</v>
      </c>
      <c r="I527" s="8" t="str">
        <f t="shared" si="224"/>
        <v>-</v>
      </c>
      <c r="J527" s="8" t="str">
        <f>IF($F527&lt;=$C$16*12,SUM(Inputs!$C$61:$C$78)*'Forecast (By Month)'!I527,"-")</f>
        <v>-</v>
      </c>
      <c r="K527" s="8" t="str">
        <f>IF($F527&lt;=$C$16*12,(SUMIF(Inputs!$C$61:$C$78,0,Inputs!$F$61:$F$78)/12)*(1+$C$34)^ROUNDDOWN((F527-1)/12,0),"-")</f>
        <v>-</v>
      </c>
      <c r="L527" s="8" t="str">
        <f t="shared" si="225"/>
        <v>-</v>
      </c>
      <c r="M527" s="8" t="str">
        <f>IF($F527&lt;=$C$16*12,'Mortgage Calculators (By Month)'!$C545,"-")</f>
        <v>-</v>
      </c>
      <c r="N527" s="8" t="str">
        <f>IF($F527&lt;=$C$16*12,'Mortgage Calculators (By Month)'!$D545,"-")</f>
        <v>-</v>
      </c>
      <c r="O527" s="8" t="str">
        <f>IF($F527&lt;=$C$16*12,'Mortgage Calculators (By Month)'!$E545,"-")</f>
        <v>-</v>
      </c>
      <c r="P527" s="8" t="str">
        <f t="shared" si="250"/>
        <v>-</v>
      </c>
      <c r="Q527" s="8" t="str">
        <f t="shared" si="226"/>
        <v>-</v>
      </c>
      <c r="R527" s="8" t="str">
        <f t="shared" si="227"/>
        <v>-</v>
      </c>
      <c r="S527" s="8" t="str">
        <f t="shared" si="228"/>
        <v>-</v>
      </c>
      <c r="T527" s="8" t="str">
        <f t="shared" si="229"/>
        <v>-</v>
      </c>
      <c r="U527" s="8" t="str">
        <f>IF($F527&lt;=$C$16*12,SUM(T$5:T527),"-")</f>
        <v>-</v>
      </c>
      <c r="V527" s="8" t="str">
        <f>IF($F527&lt;=$C$16*12,G527-$C$10-'RE Calculations'!$C714-'Mortgage Calculators (By Month)'!$F545,"-")</f>
        <v>-</v>
      </c>
      <c r="W527" s="29" t="str">
        <f t="shared" si="230"/>
        <v>-</v>
      </c>
      <c r="X527" s="31" t="str">
        <f t="shared" si="231"/>
        <v>-</v>
      </c>
      <c r="Y527" s="8" t="str">
        <f t="shared" si="232"/>
        <v>-</v>
      </c>
      <c r="Z527" s="29" t="str">
        <f t="shared" si="233"/>
        <v>-</v>
      </c>
      <c r="AA527" s="31" t="str">
        <f t="shared" si="234"/>
        <v>-</v>
      </c>
      <c r="AD527" s="12" t="str">
        <f t="shared" si="248"/>
        <v>-</v>
      </c>
      <c r="AE527" s="8" t="str">
        <f t="shared" si="249"/>
        <v>-</v>
      </c>
      <c r="AF527" s="8" t="str">
        <f>IF($AD527&lt;=$C$25*12,$AE527-$C$7+SUM('Mortgage Calculators (By Month)'!$K$23:$K545),"-")</f>
        <v>-</v>
      </c>
      <c r="AG527" s="8" t="str">
        <f t="shared" si="235"/>
        <v>-</v>
      </c>
      <c r="AH527" s="8" t="str">
        <f>IF($AD527&lt;=$C$25*12,SUM(Inputs!$C$61:$C$78)*'Forecast (By Month)'!AG527,"-")</f>
        <v>-</v>
      </c>
      <c r="AI527" s="8" t="str">
        <f>IF($AD527&lt;=$C$25*12,(SUMIF(Inputs!$C$61:$C$78,0,Inputs!$F$61:$F$78)/12)*(1+$C$34)^ROUNDDOWN((AD527-1)/12,0),"-")</f>
        <v>-</v>
      </c>
      <c r="AJ527" s="8" t="str">
        <f t="shared" si="236"/>
        <v>-</v>
      </c>
      <c r="AK527" s="8" t="str">
        <f>IF($AD527&lt;=$C$25*12,'Mortgage Calculators (By Month)'!$J545,"-")</f>
        <v>-</v>
      </c>
      <c r="AL527" s="8" t="str">
        <f>IF($AD527&lt;=$C$25*12,'Mortgage Calculators (By Month)'!$K545,"-")</f>
        <v>-</v>
      </c>
      <c r="AM527" s="8" t="str">
        <f>IF($AD527&lt;=$C$25*12,'Mortgage Calculators (By Month)'!$L545,"-")</f>
        <v>-</v>
      </c>
      <c r="AN527" s="8" t="str">
        <f t="shared" si="251"/>
        <v>-</v>
      </c>
      <c r="AO527" s="8" t="str">
        <f t="shared" si="237"/>
        <v>-</v>
      </c>
      <c r="AP527" s="8" t="str">
        <f t="shared" si="238"/>
        <v>-</v>
      </c>
      <c r="AQ527" s="8" t="str">
        <f t="shared" si="239"/>
        <v>-</v>
      </c>
      <c r="AR527" s="8" t="str">
        <f t="shared" si="240"/>
        <v>-</v>
      </c>
      <c r="AS527" s="8" t="str">
        <f>IF($AD527&lt;=$C$25*12,SUM(AR$5:AR527),"-")</f>
        <v>-</v>
      </c>
      <c r="AT527" s="8" t="str">
        <f>IF($AD527&lt;=$C$25*12,AE527-$C$10-'RE Calculations'!$C714-'Mortgage Calculators (By Month)'!$M545,"-")</f>
        <v>-</v>
      </c>
      <c r="AU527" s="29" t="str">
        <f t="shared" si="241"/>
        <v>-</v>
      </c>
      <c r="AV527" s="31" t="str">
        <f t="shared" si="242"/>
        <v>-</v>
      </c>
      <c r="AW527" s="8" t="str">
        <f t="shared" si="243"/>
        <v>-</v>
      </c>
      <c r="AX527" s="29" t="str">
        <f t="shared" si="244"/>
        <v>-</v>
      </c>
      <c r="AY527" s="31" t="str">
        <f t="shared" si="245"/>
        <v>-</v>
      </c>
    </row>
    <row r="528" spans="6:51" x14ac:dyDescent="0.35">
      <c r="F528" s="12" t="str">
        <f t="shared" si="246"/>
        <v>-</v>
      </c>
      <c r="G528" s="8" t="str">
        <f t="shared" si="247"/>
        <v>-</v>
      </c>
      <c r="H528" s="8" t="str">
        <f>IF($F528&lt;=$C$16*12,$G528-$C$7+SUM('Mortgage Calculators (By Month)'!$D$23:$D546),"-")</f>
        <v>-</v>
      </c>
      <c r="I528" s="8" t="str">
        <f t="shared" si="224"/>
        <v>-</v>
      </c>
      <c r="J528" s="8" t="str">
        <f>IF($F528&lt;=$C$16*12,SUM(Inputs!$C$61:$C$78)*'Forecast (By Month)'!I528,"-")</f>
        <v>-</v>
      </c>
      <c r="K528" s="8" t="str">
        <f>IF($F528&lt;=$C$16*12,(SUMIF(Inputs!$C$61:$C$78,0,Inputs!$F$61:$F$78)/12)*(1+$C$34)^ROUNDDOWN((F528-1)/12,0),"-")</f>
        <v>-</v>
      </c>
      <c r="L528" s="8" t="str">
        <f t="shared" si="225"/>
        <v>-</v>
      </c>
      <c r="M528" s="8" t="str">
        <f>IF($F528&lt;=$C$16*12,'Mortgage Calculators (By Month)'!$C546,"-")</f>
        <v>-</v>
      </c>
      <c r="N528" s="8" t="str">
        <f>IF($F528&lt;=$C$16*12,'Mortgage Calculators (By Month)'!$D546,"-")</f>
        <v>-</v>
      </c>
      <c r="O528" s="8" t="str">
        <f>IF($F528&lt;=$C$16*12,'Mortgage Calculators (By Month)'!$E546,"-")</f>
        <v>-</v>
      </c>
      <c r="P528" s="8" t="str">
        <f t="shared" si="250"/>
        <v>-</v>
      </c>
      <c r="Q528" s="8" t="str">
        <f t="shared" si="226"/>
        <v>-</v>
      </c>
      <c r="R528" s="8" t="str">
        <f t="shared" si="227"/>
        <v>-</v>
      </c>
      <c r="S528" s="8" t="str">
        <f t="shared" si="228"/>
        <v>-</v>
      </c>
      <c r="T528" s="8" t="str">
        <f t="shared" si="229"/>
        <v>-</v>
      </c>
      <c r="U528" s="8" t="str">
        <f>IF($F528&lt;=$C$16*12,SUM(T$5:T528),"-")</f>
        <v>-</v>
      </c>
      <c r="V528" s="8" t="str">
        <f>IF($F528&lt;=$C$16*12,G528-$C$10-'RE Calculations'!$C715-'Mortgage Calculators (By Month)'!$F546,"-")</f>
        <v>-</v>
      </c>
      <c r="W528" s="29" t="str">
        <f t="shared" si="230"/>
        <v>-</v>
      </c>
      <c r="X528" s="31" t="str">
        <f t="shared" si="231"/>
        <v>-</v>
      </c>
      <c r="Y528" s="8" t="str">
        <f t="shared" si="232"/>
        <v>-</v>
      </c>
      <c r="Z528" s="29" t="str">
        <f t="shared" si="233"/>
        <v>-</v>
      </c>
      <c r="AA528" s="31" t="str">
        <f t="shared" si="234"/>
        <v>-</v>
      </c>
      <c r="AD528" s="12" t="str">
        <f t="shared" si="248"/>
        <v>-</v>
      </c>
      <c r="AE528" s="8" t="str">
        <f t="shared" si="249"/>
        <v>-</v>
      </c>
      <c r="AF528" s="8" t="str">
        <f>IF($AD528&lt;=$C$25*12,$AE528-$C$7+SUM('Mortgage Calculators (By Month)'!$K$23:$K546),"-")</f>
        <v>-</v>
      </c>
      <c r="AG528" s="8" t="str">
        <f t="shared" si="235"/>
        <v>-</v>
      </c>
      <c r="AH528" s="8" t="str">
        <f>IF($AD528&lt;=$C$25*12,SUM(Inputs!$C$61:$C$78)*'Forecast (By Month)'!AG528,"-")</f>
        <v>-</v>
      </c>
      <c r="AI528" s="8" t="str">
        <f>IF($AD528&lt;=$C$25*12,(SUMIF(Inputs!$C$61:$C$78,0,Inputs!$F$61:$F$78)/12)*(1+$C$34)^ROUNDDOWN((AD528-1)/12,0),"-")</f>
        <v>-</v>
      </c>
      <c r="AJ528" s="8" t="str">
        <f t="shared" si="236"/>
        <v>-</v>
      </c>
      <c r="AK528" s="8" t="str">
        <f>IF($AD528&lt;=$C$25*12,'Mortgage Calculators (By Month)'!$J546,"-")</f>
        <v>-</v>
      </c>
      <c r="AL528" s="8" t="str">
        <f>IF($AD528&lt;=$C$25*12,'Mortgage Calculators (By Month)'!$K546,"-")</f>
        <v>-</v>
      </c>
      <c r="AM528" s="8" t="str">
        <f>IF($AD528&lt;=$C$25*12,'Mortgage Calculators (By Month)'!$L546,"-")</f>
        <v>-</v>
      </c>
      <c r="AN528" s="8" t="str">
        <f t="shared" si="251"/>
        <v>-</v>
      </c>
      <c r="AO528" s="8" t="str">
        <f t="shared" si="237"/>
        <v>-</v>
      </c>
      <c r="AP528" s="8" t="str">
        <f t="shared" si="238"/>
        <v>-</v>
      </c>
      <c r="AQ528" s="8" t="str">
        <f t="shared" si="239"/>
        <v>-</v>
      </c>
      <c r="AR528" s="8" t="str">
        <f t="shared" si="240"/>
        <v>-</v>
      </c>
      <c r="AS528" s="8" t="str">
        <f>IF($AD528&lt;=$C$25*12,SUM(AR$5:AR528),"-")</f>
        <v>-</v>
      </c>
      <c r="AT528" s="8" t="str">
        <f>IF($AD528&lt;=$C$25*12,AE528-$C$10-'RE Calculations'!$C715-'Mortgage Calculators (By Month)'!$M546,"-")</f>
        <v>-</v>
      </c>
      <c r="AU528" s="29" t="str">
        <f t="shared" si="241"/>
        <v>-</v>
      </c>
      <c r="AV528" s="31" t="str">
        <f t="shared" si="242"/>
        <v>-</v>
      </c>
      <c r="AW528" s="8" t="str">
        <f t="shared" si="243"/>
        <v>-</v>
      </c>
      <c r="AX528" s="29" t="str">
        <f t="shared" si="244"/>
        <v>-</v>
      </c>
      <c r="AY528" s="31" t="str">
        <f t="shared" si="245"/>
        <v>-</v>
      </c>
    </row>
    <row r="529" spans="6:51" x14ac:dyDescent="0.35">
      <c r="F529" s="12" t="str">
        <f t="shared" si="246"/>
        <v>-</v>
      </c>
      <c r="G529" s="8" t="str">
        <f t="shared" si="247"/>
        <v>-</v>
      </c>
      <c r="H529" s="8" t="str">
        <f>IF($F529&lt;=$C$16*12,$G529-$C$7+SUM('Mortgage Calculators (By Month)'!$D$23:$D547),"-")</f>
        <v>-</v>
      </c>
      <c r="I529" s="8" t="str">
        <f t="shared" si="224"/>
        <v>-</v>
      </c>
      <c r="J529" s="8" t="str">
        <f>IF($F529&lt;=$C$16*12,SUM(Inputs!$C$61:$C$78)*'Forecast (By Month)'!I529,"-")</f>
        <v>-</v>
      </c>
      <c r="K529" s="8" t="str">
        <f>IF($F529&lt;=$C$16*12,(SUMIF(Inputs!$C$61:$C$78,0,Inputs!$F$61:$F$78)/12)*(1+$C$34)^ROUNDDOWN((F529-1)/12,0),"-")</f>
        <v>-</v>
      </c>
      <c r="L529" s="8" t="str">
        <f t="shared" si="225"/>
        <v>-</v>
      </c>
      <c r="M529" s="8" t="str">
        <f>IF($F529&lt;=$C$16*12,'Mortgage Calculators (By Month)'!$C547,"-")</f>
        <v>-</v>
      </c>
      <c r="N529" s="8" t="str">
        <f>IF($F529&lt;=$C$16*12,'Mortgage Calculators (By Month)'!$D547,"-")</f>
        <v>-</v>
      </c>
      <c r="O529" s="8" t="str">
        <f>IF($F529&lt;=$C$16*12,'Mortgage Calculators (By Month)'!$E547,"-")</f>
        <v>-</v>
      </c>
      <c r="P529" s="8" t="str">
        <f t="shared" si="250"/>
        <v>-</v>
      </c>
      <c r="Q529" s="8" t="str">
        <f t="shared" si="226"/>
        <v>-</v>
      </c>
      <c r="R529" s="8" t="str">
        <f t="shared" si="227"/>
        <v>-</v>
      </c>
      <c r="S529" s="8" t="str">
        <f t="shared" si="228"/>
        <v>-</v>
      </c>
      <c r="T529" s="8" t="str">
        <f t="shared" si="229"/>
        <v>-</v>
      </c>
      <c r="U529" s="8" t="str">
        <f>IF($F529&lt;=$C$16*12,SUM(T$5:T529),"-")</f>
        <v>-</v>
      </c>
      <c r="V529" s="8" t="str">
        <f>IF($F529&lt;=$C$16*12,G529-$C$10-'RE Calculations'!$C716-'Mortgage Calculators (By Month)'!$F547,"-")</f>
        <v>-</v>
      </c>
      <c r="W529" s="29" t="str">
        <f t="shared" si="230"/>
        <v>-</v>
      </c>
      <c r="X529" s="31" t="str">
        <f t="shared" si="231"/>
        <v>-</v>
      </c>
      <c r="Y529" s="8" t="str">
        <f t="shared" si="232"/>
        <v>-</v>
      </c>
      <c r="Z529" s="29" t="str">
        <f t="shared" si="233"/>
        <v>-</v>
      </c>
      <c r="AA529" s="31" t="str">
        <f t="shared" si="234"/>
        <v>-</v>
      </c>
      <c r="AD529" s="12" t="str">
        <f t="shared" si="248"/>
        <v>-</v>
      </c>
      <c r="AE529" s="8" t="str">
        <f t="shared" si="249"/>
        <v>-</v>
      </c>
      <c r="AF529" s="8" t="str">
        <f>IF($AD529&lt;=$C$25*12,$AE529-$C$7+SUM('Mortgage Calculators (By Month)'!$K$23:$K547),"-")</f>
        <v>-</v>
      </c>
      <c r="AG529" s="8" t="str">
        <f t="shared" si="235"/>
        <v>-</v>
      </c>
      <c r="AH529" s="8" t="str">
        <f>IF($AD529&lt;=$C$25*12,SUM(Inputs!$C$61:$C$78)*'Forecast (By Month)'!AG529,"-")</f>
        <v>-</v>
      </c>
      <c r="AI529" s="8" t="str">
        <f>IF($AD529&lt;=$C$25*12,(SUMIF(Inputs!$C$61:$C$78,0,Inputs!$F$61:$F$78)/12)*(1+$C$34)^ROUNDDOWN((AD529-1)/12,0),"-")</f>
        <v>-</v>
      </c>
      <c r="AJ529" s="8" t="str">
        <f t="shared" si="236"/>
        <v>-</v>
      </c>
      <c r="AK529" s="8" t="str">
        <f>IF($AD529&lt;=$C$25*12,'Mortgage Calculators (By Month)'!$J547,"-")</f>
        <v>-</v>
      </c>
      <c r="AL529" s="8" t="str">
        <f>IF($AD529&lt;=$C$25*12,'Mortgage Calculators (By Month)'!$K547,"-")</f>
        <v>-</v>
      </c>
      <c r="AM529" s="8" t="str">
        <f>IF($AD529&lt;=$C$25*12,'Mortgage Calculators (By Month)'!$L547,"-")</f>
        <v>-</v>
      </c>
      <c r="AN529" s="8" t="str">
        <f t="shared" si="251"/>
        <v>-</v>
      </c>
      <c r="AO529" s="8" t="str">
        <f t="shared" si="237"/>
        <v>-</v>
      </c>
      <c r="AP529" s="8" t="str">
        <f t="shared" si="238"/>
        <v>-</v>
      </c>
      <c r="AQ529" s="8" t="str">
        <f t="shared" si="239"/>
        <v>-</v>
      </c>
      <c r="AR529" s="8" t="str">
        <f t="shared" si="240"/>
        <v>-</v>
      </c>
      <c r="AS529" s="8" t="str">
        <f>IF($AD529&lt;=$C$25*12,SUM(AR$5:AR529),"-")</f>
        <v>-</v>
      </c>
      <c r="AT529" s="8" t="str">
        <f>IF($AD529&lt;=$C$25*12,AE529-$C$10-'RE Calculations'!$C716-'Mortgage Calculators (By Month)'!$M547,"-")</f>
        <v>-</v>
      </c>
      <c r="AU529" s="29" t="str">
        <f t="shared" si="241"/>
        <v>-</v>
      </c>
      <c r="AV529" s="31" t="str">
        <f t="shared" si="242"/>
        <v>-</v>
      </c>
      <c r="AW529" s="8" t="str">
        <f t="shared" si="243"/>
        <v>-</v>
      </c>
      <c r="AX529" s="29" t="str">
        <f t="shared" si="244"/>
        <v>-</v>
      </c>
      <c r="AY529" s="31" t="str">
        <f t="shared" si="245"/>
        <v>-</v>
      </c>
    </row>
    <row r="530" spans="6:51" x14ac:dyDescent="0.35">
      <c r="F530" s="12" t="str">
        <f t="shared" si="246"/>
        <v>-</v>
      </c>
      <c r="G530" s="8" t="str">
        <f t="shared" si="247"/>
        <v>-</v>
      </c>
      <c r="H530" s="8" t="str">
        <f>IF($F530&lt;=$C$16*12,$G530-$C$7+SUM('Mortgage Calculators (By Month)'!$D$23:$D548),"-")</f>
        <v>-</v>
      </c>
      <c r="I530" s="8" t="str">
        <f t="shared" si="224"/>
        <v>-</v>
      </c>
      <c r="J530" s="8" t="str">
        <f>IF($F530&lt;=$C$16*12,SUM(Inputs!$C$61:$C$78)*'Forecast (By Month)'!I530,"-")</f>
        <v>-</v>
      </c>
      <c r="K530" s="8" t="str">
        <f>IF($F530&lt;=$C$16*12,(SUMIF(Inputs!$C$61:$C$78,0,Inputs!$F$61:$F$78)/12)*(1+$C$34)^ROUNDDOWN((F530-1)/12,0),"-")</f>
        <v>-</v>
      </c>
      <c r="L530" s="8" t="str">
        <f t="shared" si="225"/>
        <v>-</v>
      </c>
      <c r="M530" s="8" t="str">
        <f>IF($F530&lt;=$C$16*12,'Mortgage Calculators (By Month)'!$C548,"-")</f>
        <v>-</v>
      </c>
      <c r="N530" s="8" t="str">
        <f>IF($F530&lt;=$C$16*12,'Mortgage Calculators (By Month)'!$D548,"-")</f>
        <v>-</v>
      </c>
      <c r="O530" s="8" t="str">
        <f>IF($F530&lt;=$C$16*12,'Mortgage Calculators (By Month)'!$E548,"-")</f>
        <v>-</v>
      </c>
      <c r="P530" s="8" t="str">
        <f t="shared" si="250"/>
        <v>-</v>
      </c>
      <c r="Q530" s="8" t="str">
        <f t="shared" si="226"/>
        <v>-</v>
      </c>
      <c r="R530" s="8" t="str">
        <f t="shared" si="227"/>
        <v>-</v>
      </c>
      <c r="S530" s="8" t="str">
        <f t="shared" si="228"/>
        <v>-</v>
      </c>
      <c r="T530" s="8" t="str">
        <f t="shared" si="229"/>
        <v>-</v>
      </c>
      <c r="U530" s="8" t="str">
        <f>IF($F530&lt;=$C$16*12,SUM(T$5:T530),"-")</f>
        <v>-</v>
      </c>
      <c r="V530" s="8" t="str">
        <f>IF($F530&lt;=$C$16*12,G530-$C$10-'RE Calculations'!$C717-'Mortgage Calculators (By Month)'!$F548,"-")</f>
        <v>-</v>
      </c>
      <c r="W530" s="29" t="str">
        <f t="shared" si="230"/>
        <v>-</v>
      </c>
      <c r="X530" s="31" t="str">
        <f t="shared" si="231"/>
        <v>-</v>
      </c>
      <c r="Y530" s="8" t="str">
        <f t="shared" si="232"/>
        <v>-</v>
      </c>
      <c r="Z530" s="29" t="str">
        <f t="shared" si="233"/>
        <v>-</v>
      </c>
      <c r="AA530" s="31" t="str">
        <f t="shared" si="234"/>
        <v>-</v>
      </c>
      <c r="AD530" s="12" t="str">
        <f t="shared" si="248"/>
        <v>-</v>
      </c>
      <c r="AE530" s="8" t="str">
        <f t="shared" si="249"/>
        <v>-</v>
      </c>
      <c r="AF530" s="8" t="str">
        <f>IF($AD530&lt;=$C$25*12,$AE530-$C$7+SUM('Mortgage Calculators (By Month)'!$K$23:$K548),"-")</f>
        <v>-</v>
      </c>
      <c r="AG530" s="8" t="str">
        <f t="shared" si="235"/>
        <v>-</v>
      </c>
      <c r="AH530" s="8" t="str">
        <f>IF($AD530&lt;=$C$25*12,SUM(Inputs!$C$61:$C$78)*'Forecast (By Month)'!AG530,"-")</f>
        <v>-</v>
      </c>
      <c r="AI530" s="8" t="str">
        <f>IF($AD530&lt;=$C$25*12,(SUMIF(Inputs!$C$61:$C$78,0,Inputs!$F$61:$F$78)/12)*(1+$C$34)^ROUNDDOWN((AD530-1)/12,0),"-")</f>
        <v>-</v>
      </c>
      <c r="AJ530" s="8" t="str">
        <f t="shared" si="236"/>
        <v>-</v>
      </c>
      <c r="AK530" s="8" t="str">
        <f>IF($AD530&lt;=$C$25*12,'Mortgage Calculators (By Month)'!$J548,"-")</f>
        <v>-</v>
      </c>
      <c r="AL530" s="8" t="str">
        <f>IF($AD530&lt;=$C$25*12,'Mortgage Calculators (By Month)'!$K548,"-")</f>
        <v>-</v>
      </c>
      <c r="AM530" s="8" t="str">
        <f>IF($AD530&lt;=$C$25*12,'Mortgage Calculators (By Month)'!$L548,"-")</f>
        <v>-</v>
      </c>
      <c r="AN530" s="8" t="str">
        <f t="shared" si="251"/>
        <v>-</v>
      </c>
      <c r="AO530" s="8" t="str">
        <f t="shared" si="237"/>
        <v>-</v>
      </c>
      <c r="AP530" s="8" t="str">
        <f t="shared" si="238"/>
        <v>-</v>
      </c>
      <c r="AQ530" s="8" t="str">
        <f t="shared" si="239"/>
        <v>-</v>
      </c>
      <c r="AR530" s="8" t="str">
        <f t="shared" si="240"/>
        <v>-</v>
      </c>
      <c r="AS530" s="8" t="str">
        <f>IF($AD530&lt;=$C$25*12,SUM(AR$5:AR530),"-")</f>
        <v>-</v>
      </c>
      <c r="AT530" s="8" t="str">
        <f>IF($AD530&lt;=$C$25*12,AE530-$C$10-'RE Calculations'!$C717-'Mortgage Calculators (By Month)'!$M548,"-")</f>
        <v>-</v>
      </c>
      <c r="AU530" s="29" t="str">
        <f t="shared" si="241"/>
        <v>-</v>
      </c>
      <c r="AV530" s="31" t="str">
        <f t="shared" si="242"/>
        <v>-</v>
      </c>
      <c r="AW530" s="8" t="str">
        <f t="shared" si="243"/>
        <v>-</v>
      </c>
      <c r="AX530" s="29" t="str">
        <f t="shared" si="244"/>
        <v>-</v>
      </c>
      <c r="AY530" s="31" t="str">
        <f t="shared" si="245"/>
        <v>-</v>
      </c>
    </row>
    <row r="531" spans="6:51" x14ac:dyDescent="0.35">
      <c r="F531" s="12" t="str">
        <f t="shared" si="246"/>
        <v>-</v>
      </c>
      <c r="G531" s="8" t="str">
        <f t="shared" si="247"/>
        <v>-</v>
      </c>
      <c r="H531" s="8" t="str">
        <f>IF($F531&lt;=$C$16*12,$G531-$C$7+SUM('Mortgage Calculators (By Month)'!$D$23:$D549),"-")</f>
        <v>-</v>
      </c>
      <c r="I531" s="8" t="str">
        <f t="shared" si="224"/>
        <v>-</v>
      </c>
      <c r="J531" s="8" t="str">
        <f>IF($F531&lt;=$C$16*12,SUM(Inputs!$C$61:$C$78)*'Forecast (By Month)'!I531,"-")</f>
        <v>-</v>
      </c>
      <c r="K531" s="8" t="str">
        <f>IF($F531&lt;=$C$16*12,(SUMIF(Inputs!$C$61:$C$78,0,Inputs!$F$61:$F$78)/12)*(1+$C$34)^ROUNDDOWN((F531-1)/12,0),"-")</f>
        <v>-</v>
      </c>
      <c r="L531" s="8" t="str">
        <f t="shared" si="225"/>
        <v>-</v>
      </c>
      <c r="M531" s="8" t="str">
        <f>IF($F531&lt;=$C$16*12,'Mortgage Calculators (By Month)'!$C549,"-")</f>
        <v>-</v>
      </c>
      <c r="N531" s="8" t="str">
        <f>IF($F531&lt;=$C$16*12,'Mortgage Calculators (By Month)'!$D549,"-")</f>
        <v>-</v>
      </c>
      <c r="O531" s="8" t="str">
        <f>IF($F531&lt;=$C$16*12,'Mortgage Calculators (By Month)'!$E549,"-")</f>
        <v>-</v>
      </c>
      <c r="P531" s="8" t="str">
        <f t="shared" si="250"/>
        <v>-</v>
      </c>
      <c r="Q531" s="8" t="str">
        <f t="shared" si="226"/>
        <v>-</v>
      </c>
      <c r="R531" s="8" t="str">
        <f t="shared" si="227"/>
        <v>-</v>
      </c>
      <c r="S531" s="8" t="str">
        <f t="shared" si="228"/>
        <v>-</v>
      </c>
      <c r="T531" s="8" t="str">
        <f t="shared" si="229"/>
        <v>-</v>
      </c>
      <c r="U531" s="8" t="str">
        <f>IF($F531&lt;=$C$16*12,SUM(T$5:T531),"-")</f>
        <v>-</v>
      </c>
      <c r="V531" s="8" t="str">
        <f>IF($F531&lt;=$C$16*12,G531-$C$10-'RE Calculations'!$C718-'Mortgage Calculators (By Month)'!$F549,"-")</f>
        <v>-</v>
      </c>
      <c r="W531" s="29" t="str">
        <f t="shared" si="230"/>
        <v>-</v>
      </c>
      <c r="X531" s="31" t="str">
        <f t="shared" si="231"/>
        <v>-</v>
      </c>
      <c r="Y531" s="8" t="str">
        <f t="shared" si="232"/>
        <v>-</v>
      </c>
      <c r="Z531" s="29" t="str">
        <f t="shared" si="233"/>
        <v>-</v>
      </c>
      <c r="AA531" s="31" t="str">
        <f t="shared" si="234"/>
        <v>-</v>
      </c>
      <c r="AD531" s="12" t="str">
        <f t="shared" si="248"/>
        <v>-</v>
      </c>
      <c r="AE531" s="8" t="str">
        <f t="shared" si="249"/>
        <v>-</v>
      </c>
      <c r="AF531" s="8" t="str">
        <f>IF($AD531&lt;=$C$25*12,$AE531-$C$7+SUM('Mortgage Calculators (By Month)'!$K$23:$K549),"-")</f>
        <v>-</v>
      </c>
      <c r="AG531" s="8" t="str">
        <f t="shared" si="235"/>
        <v>-</v>
      </c>
      <c r="AH531" s="8" t="str">
        <f>IF($AD531&lt;=$C$25*12,SUM(Inputs!$C$61:$C$78)*'Forecast (By Month)'!AG531,"-")</f>
        <v>-</v>
      </c>
      <c r="AI531" s="8" t="str">
        <f>IF($AD531&lt;=$C$25*12,(SUMIF(Inputs!$C$61:$C$78,0,Inputs!$F$61:$F$78)/12)*(1+$C$34)^ROUNDDOWN((AD531-1)/12,0),"-")</f>
        <v>-</v>
      </c>
      <c r="AJ531" s="8" t="str">
        <f t="shared" si="236"/>
        <v>-</v>
      </c>
      <c r="AK531" s="8" t="str">
        <f>IF($AD531&lt;=$C$25*12,'Mortgage Calculators (By Month)'!$J549,"-")</f>
        <v>-</v>
      </c>
      <c r="AL531" s="8" t="str">
        <f>IF($AD531&lt;=$C$25*12,'Mortgage Calculators (By Month)'!$K549,"-")</f>
        <v>-</v>
      </c>
      <c r="AM531" s="8" t="str">
        <f>IF($AD531&lt;=$C$25*12,'Mortgage Calculators (By Month)'!$L549,"-")</f>
        <v>-</v>
      </c>
      <c r="AN531" s="8" t="str">
        <f t="shared" si="251"/>
        <v>-</v>
      </c>
      <c r="AO531" s="8" t="str">
        <f t="shared" si="237"/>
        <v>-</v>
      </c>
      <c r="AP531" s="8" t="str">
        <f t="shared" si="238"/>
        <v>-</v>
      </c>
      <c r="AQ531" s="8" t="str">
        <f t="shared" si="239"/>
        <v>-</v>
      </c>
      <c r="AR531" s="8" t="str">
        <f t="shared" si="240"/>
        <v>-</v>
      </c>
      <c r="AS531" s="8" t="str">
        <f>IF($AD531&lt;=$C$25*12,SUM(AR$5:AR531),"-")</f>
        <v>-</v>
      </c>
      <c r="AT531" s="8" t="str">
        <f>IF($AD531&lt;=$C$25*12,AE531-$C$10-'RE Calculations'!$C718-'Mortgage Calculators (By Month)'!$M549,"-")</f>
        <v>-</v>
      </c>
      <c r="AU531" s="29" t="str">
        <f t="shared" si="241"/>
        <v>-</v>
      </c>
      <c r="AV531" s="31" t="str">
        <f t="shared" si="242"/>
        <v>-</v>
      </c>
      <c r="AW531" s="8" t="str">
        <f t="shared" si="243"/>
        <v>-</v>
      </c>
      <c r="AX531" s="29" t="str">
        <f t="shared" si="244"/>
        <v>-</v>
      </c>
      <c r="AY531" s="31" t="str">
        <f t="shared" si="245"/>
        <v>-</v>
      </c>
    </row>
    <row r="532" spans="6:51" x14ac:dyDescent="0.35">
      <c r="F532" s="12" t="str">
        <f t="shared" si="246"/>
        <v>-</v>
      </c>
      <c r="G532" s="8" t="str">
        <f t="shared" si="247"/>
        <v>-</v>
      </c>
      <c r="H532" s="8" t="str">
        <f>IF($F532&lt;=$C$16*12,$G532-$C$7+SUM('Mortgage Calculators (By Month)'!$D$23:$D550),"-")</f>
        <v>-</v>
      </c>
      <c r="I532" s="8" t="str">
        <f t="shared" si="224"/>
        <v>-</v>
      </c>
      <c r="J532" s="8" t="str">
        <f>IF($F532&lt;=$C$16*12,SUM(Inputs!$C$61:$C$78)*'Forecast (By Month)'!I532,"-")</f>
        <v>-</v>
      </c>
      <c r="K532" s="8" t="str">
        <f>IF($F532&lt;=$C$16*12,(SUMIF(Inputs!$C$61:$C$78,0,Inputs!$F$61:$F$78)/12)*(1+$C$34)^ROUNDDOWN((F532-1)/12,0),"-")</f>
        <v>-</v>
      </c>
      <c r="L532" s="8" t="str">
        <f t="shared" si="225"/>
        <v>-</v>
      </c>
      <c r="M532" s="8" t="str">
        <f>IF($F532&lt;=$C$16*12,'Mortgage Calculators (By Month)'!$C550,"-")</f>
        <v>-</v>
      </c>
      <c r="N532" s="8" t="str">
        <f>IF($F532&lt;=$C$16*12,'Mortgage Calculators (By Month)'!$D550,"-")</f>
        <v>-</v>
      </c>
      <c r="O532" s="8" t="str">
        <f>IF($F532&lt;=$C$16*12,'Mortgage Calculators (By Month)'!$E550,"-")</f>
        <v>-</v>
      </c>
      <c r="P532" s="8" t="str">
        <f t="shared" si="250"/>
        <v>-</v>
      </c>
      <c r="Q532" s="8" t="str">
        <f t="shared" si="226"/>
        <v>-</v>
      </c>
      <c r="R532" s="8" t="str">
        <f t="shared" si="227"/>
        <v>-</v>
      </c>
      <c r="S532" s="8" t="str">
        <f t="shared" si="228"/>
        <v>-</v>
      </c>
      <c r="T532" s="8" t="str">
        <f t="shared" si="229"/>
        <v>-</v>
      </c>
      <c r="U532" s="8" t="str">
        <f>IF($F532&lt;=$C$16*12,SUM(T$5:T532),"-")</f>
        <v>-</v>
      </c>
      <c r="V532" s="8" t="str">
        <f>IF($F532&lt;=$C$16*12,G532-$C$10-'RE Calculations'!$C719-'Mortgage Calculators (By Month)'!$F550,"-")</f>
        <v>-</v>
      </c>
      <c r="W532" s="29" t="str">
        <f t="shared" si="230"/>
        <v>-</v>
      </c>
      <c r="X532" s="31" t="str">
        <f t="shared" si="231"/>
        <v>-</v>
      </c>
      <c r="Y532" s="8" t="str">
        <f t="shared" si="232"/>
        <v>-</v>
      </c>
      <c r="Z532" s="29" t="str">
        <f t="shared" si="233"/>
        <v>-</v>
      </c>
      <c r="AA532" s="31" t="str">
        <f t="shared" si="234"/>
        <v>-</v>
      </c>
      <c r="AD532" s="12" t="str">
        <f t="shared" si="248"/>
        <v>-</v>
      </c>
      <c r="AE532" s="8" t="str">
        <f t="shared" si="249"/>
        <v>-</v>
      </c>
      <c r="AF532" s="8" t="str">
        <f>IF($AD532&lt;=$C$25*12,$AE532-$C$7+SUM('Mortgage Calculators (By Month)'!$K$23:$K550),"-")</f>
        <v>-</v>
      </c>
      <c r="AG532" s="8" t="str">
        <f t="shared" si="235"/>
        <v>-</v>
      </c>
      <c r="AH532" s="8" t="str">
        <f>IF($AD532&lt;=$C$25*12,SUM(Inputs!$C$61:$C$78)*'Forecast (By Month)'!AG532,"-")</f>
        <v>-</v>
      </c>
      <c r="AI532" s="8" t="str">
        <f>IF($AD532&lt;=$C$25*12,(SUMIF(Inputs!$C$61:$C$78,0,Inputs!$F$61:$F$78)/12)*(1+$C$34)^ROUNDDOWN((AD532-1)/12,0),"-")</f>
        <v>-</v>
      </c>
      <c r="AJ532" s="8" t="str">
        <f t="shared" si="236"/>
        <v>-</v>
      </c>
      <c r="AK532" s="8" t="str">
        <f>IF($AD532&lt;=$C$25*12,'Mortgage Calculators (By Month)'!$J550,"-")</f>
        <v>-</v>
      </c>
      <c r="AL532" s="8" t="str">
        <f>IF($AD532&lt;=$C$25*12,'Mortgage Calculators (By Month)'!$K550,"-")</f>
        <v>-</v>
      </c>
      <c r="AM532" s="8" t="str">
        <f>IF($AD532&lt;=$C$25*12,'Mortgage Calculators (By Month)'!$L550,"-")</f>
        <v>-</v>
      </c>
      <c r="AN532" s="8" t="str">
        <f t="shared" si="251"/>
        <v>-</v>
      </c>
      <c r="AO532" s="8" t="str">
        <f t="shared" si="237"/>
        <v>-</v>
      </c>
      <c r="AP532" s="8" t="str">
        <f t="shared" si="238"/>
        <v>-</v>
      </c>
      <c r="AQ532" s="8" t="str">
        <f t="shared" si="239"/>
        <v>-</v>
      </c>
      <c r="AR532" s="8" t="str">
        <f t="shared" si="240"/>
        <v>-</v>
      </c>
      <c r="AS532" s="8" t="str">
        <f>IF($AD532&lt;=$C$25*12,SUM(AR$5:AR532),"-")</f>
        <v>-</v>
      </c>
      <c r="AT532" s="8" t="str">
        <f>IF($AD532&lt;=$C$25*12,AE532-$C$10-'RE Calculations'!$C719-'Mortgage Calculators (By Month)'!$M550,"-")</f>
        <v>-</v>
      </c>
      <c r="AU532" s="29" t="str">
        <f t="shared" si="241"/>
        <v>-</v>
      </c>
      <c r="AV532" s="31" t="str">
        <f t="shared" si="242"/>
        <v>-</v>
      </c>
      <c r="AW532" s="8" t="str">
        <f t="shared" si="243"/>
        <v>-</v>
      </c>
      <c r="AX532" s="29" t="str">
        <f t="shared" si="244"/>
        <v>-</v>
      </c>
      <c r="AY532" s="31" t="str">
        <f t="shared" si="245"/>
        <v>-</v>
      </c>
    </row>
    <row r="533" spans="6:51" x14ac:dyDescent="0.35">
      <c r="F533" s="12" t="str">
        <f t="shared" si="246"/>
        <v>-</v>
      </c>
      <c r="G533" s="8" t="str">
        <f t="shared" si="247"/>
        <v>-</v>
      </c>
      <c r="H533" s="8" t="str">
        <f>IF($F533&lt;=$C$16*12,$G533-$C$7+SUM('Mortgage Calculators (By Month)'!$D$23:$D551),"-")</f>
        <v>-</v>
      </c>
      <c r="I533" s="8" t="str">
        <f t="shared" si="224"/>
        <v>-</v>
      </c>
      <c r="J533" s="8" t="str">
        <f>IF($F533&lt;=$C$16*12,SUM(Inputs!$C$61:$C$78)*'Forecast (By Month)'!I533,"-")</f>
        <v>-</v>
      </c>
      <c r="K533" s="8" t="str">
        <f>IF($F533&lt;=$C$16*12,(SUMIF(Inputs!$C$61:$C$78,0,Inputs!$F$61:$F$78)/12)*(1+$C$34)^ROUNDDOWN((F533-1)/12,0),"-")</f>
        <v>-</v>
      </c>
      <c r="L533" s="8" t="str">
        <f t="shared" si="225"/>
        <v>-</v>
      </c>
      <c r="M533" s="8" t="str">
        <f>IF($F533&lt;=$C$16*12,'Mortgage Calculators (By Month)'!$C551,"-")</f>
        <v>-</v>
      </c>
      <c r="N533" s="8" t="str">
        <f>IF($F533&lt;=$C$16*12,'Mortgage Calculators (By Month)'!$D551,"-")</f>
        <v>-</v>
      </c>
      <c r="O533" s="8" t="str">
        <f>IF($F533&lt;=$C$16*12,'Mortgage Calculators (By Month)'!$E551,"-")</f>
        <v>-</v>
      </c>
      <c r="P533" s="8" t="str">
        <f t="shared" si="250"/>
        <v>-</v>
      </c>
      <c r="Q533" s="8" t="str">
        <f t="shared" si="226"/>
        <v>-</v>
      </c>
      <c r="R533" s="8" t="str">
        <f t="shared" si="227"/>
        <v>-</v>
      </c>
      <c r="S533" s="8" t="str">
        <f t="shared" si="228"/>
        <v>-</v>
      </c>
      <c r="T533" s="8" t="str">
        <f t="shared" si="229"/>
        <v>-</v>
      </c>
      <c r="U533" s="8" t="str">
        <f>IF($F533&lt;=$C$16*12,SUM(T$5:T533),"-")</f>
        <v>-</v>
      </c>
      <c r="V533" s="8" t="str">
        <f>IF($F533&lt;=$C$16*12,G533-$C$10-'RE Calculations'!$C720-'Mortgage Calculators (By Month)'!$F551,"-")</f>
        <v>-</v>
      </c>
      <c r="W533" s="29" t="str">
        <f t="shared" si="230"/>
        <v>-</v>
      </c>
      <c r="X533" s="31" t="str">
        <f t="shared" si="231"/>
        <v>-</v>
      </c>
      <c r="Y533" s="8" t="str">
        <f t="shared" si="232"/>
        <v>-</v>
      </c>
      <c r="Z533" s="29" t="str">
        <f t="shared" si="233"/>
        <v>-</v>
      </c>
      <c r="AA533" s="31" t="str">
        <f t="shared" si="234"/>
        <v>-</v>
      </c>
      <c r="AD533" s="12" t="str">
        <f t="shared" si="248"/>
        <v>-</v>
      </c>
      <c r="AE533" s="8" t="str">
        <f t="shared" si="249"/>
        <v>-</v>
      </c>
      <c r="AF533" s="8" t="str">
        <f>IF($AD533&lt;=$C$25*12,$AE533-$C$7+SUM('Mortgage Calculators (By Month)'!$K$23:$K551),"-")</f>
        <v>-</v>
      </c>
      <c r="AG533" s="8" t="str">
        <f t="shared" si="235"/>
        <v>-</v>
      </c>
      <c r="AH533" s="8" t="str">
        <f>IF($AD533&lt;=$C$25*12,SUM(Inputs!$C$61:$C$78)*'Forecast (By Month)'!AG533,"-")</f>
        <v>-</v>
      </c>
      <c r="AI533" s="8" t="str">
        <f>IF($AD533&lt;=$C$25*12,(SUMIF(Inputs!$C$61:$C$78,0,Inputs!$F$61:$F$78)/12)*(1+$C$34)^ROUNDDOWN((AD533-1)/12,0),"-")</f>
        <v>-</v>
      </c>
      <c r="AJ533" s="8" t="str">
        <f t="shared" si="236"/>
        <v>-</v>
      </c>
      <c r="AK533" s="8" t="str">
        <f>IF($AD533&lt;=$C$25*12,'Mortgage Calculators (By Month)'!$J551,"-")</f>
        <v>-</v>
      </c>
      <c r="AL533" s="8" t="str">
        <f>IF($AD533&lt;=$C$25*12,'Mortgage Calculators (By Month)'!$K551,"-")</f>
        <v>-</v>
      </c>
      <c r="AM533" s="8" t="str">
        <f>IF($AD533&lt;=$C$25*12,'Mortgage Calculators (By Month)'!$L551,"-")</f>
        <v>-</v>
      </c>
      <c r="AN533" s="8" t="str">
        <f t="shared" si="251"/>
        <v>-</v>
      </c>
      <c r="AO533" s="8" t="str">
        <f t="shared" si="237"/>
        <v>-</v>
      </c>
      <c r="AP533" s="8" t="str">
        <f t="shared" si="238"/>
        <v>-</v>
      </c>
      <c r="AQ533" s="8" t="str">
        <f t="shared" si="239"/>
        <v>-</v>
      </c>
      <c r="AR533" s="8" t="str">
        <f t="shared" si="240"/>
        <v>-</v>
      </c>
      <c r="AS533" s="8" t="str">
        <f>IF($AD533&lt;=$C$25*12,SUM(AR$5:AR533),"-")</f>
        <v>-</v>
      </c>
      <c r="AT533" s="8" t="str">
        <f>IF($AD533&lt;=$C$25*12,AE533-$C$10-'RE Calculations'!$C720-'Mortgage Calculators (By Month)'!$M551,"-")</f>
        <v>-</v>
      </c>
      <c r="AU533" s="29" t="str">
        <f t="shared" si="241"/>
        <v>-</v>
      </c>
      <c r="AV533" s="31" t="str">
        <f t="shared" si="242"/>
        <v>-</v>
      </c>
      <c r="AW533" s="8" t="str">
        <f t="shared" si="243"/>
        <v>-</v>
      </c>
      <c r="AX533" s="29" t="str">
        <f t="shared" si="244"/>
        <v>-</v>
      </c>
      <c r="AY533" s="31" t="str">
        <f t="shared" si="245"/>
        <v>-</v>
      </c>
    </row>
    <row r="534" spans="6:51" x14ac:dyDescent="0.35">
      <c r="F534" s="12" t="str">
        <f t="shared" si="246"/>
        <v>-</v>
      </c>
      <c r="G534" s="8" t="str">
        <f t="shared" si="247"/>
        <v>-</v>
      </c>
      <c r="H534" s="8" t="str">
        <f>IF($F534&lt;=$C$16*12,$G534-$C$7+SUM('Mortgage Calculators (By Month)'!$D$23:$D552),"-")</f>
        <v>-</v>
      </c>
      <c r="I534" s="8" t="str">
        <f t="shared" si="224"/>
        <v>-</v>
      </c>
      <c r="J534" s="8" t="str">
        <f>IF($F534&lt;=$C$16*12,SUM(Inputs!$C$61:$C$78)*'Forecast (By Month)'!I534,"-")</f>
        <v>-</v>
      </c>
      <c r="K534" s="8" t="str">
        <f>IF($F534&lt;=$C$16*12,(SUMIF(Inputs!$C$61:$C$78,0,Inputs!$F$61:$F$78)/12)*(1+$C$34)^ROUNDDOWN((F534-1)/12,0),"-")</f>
        <v>-</v>
      </c>
      <c r="L534" s="8" t="str">
        <f t="shared" si="225"/>
        <v>-</v>
      </c>
      <c r="M534" s="8" t="str">
        <f>IF($F534&lt;=$C$16*12,'Mortgage Calculators (By Month)'!$C552,"-")</f>
        <v>-</v>
      </c>
      <c r="N534" s="8" t="str">
        <f>IF($F534&lt;=$C$16*12,'Mortgage Calculators (By Month)'!$D552,"-")</f>
        <v>-</v>
      </c>
      <c r="O534" s="8" t="str">
        <f>IF($F534&lt;=$C$16*12,'Mortgage Calculators (By Month)'!$E552,"-")</f>
        <v>-</v>
      </c>
      <c r="P534" s="8" t="str">
        <f t="shared" si="250"/>
        <v>-</v>
      </c>
      <c r="Q534" s="8" t="str">
        <f t="shared" si="226"/>
        <v>-</v>
      </c>
      <c r="R534" s="8" t="str">
        <f t="shared" si="227"/>
        <v>-</v>
      </c>
      <c r="S534" s="8" t="str">
        <f t="shared" si="228"/>
        <v>-</v>
      </c>
      <c r="T534" s="8" t="str">
        <f t="shared" si="229"/>
        <v>-</v>
      </c>
      <c r="U534" s="8" t="str">
        <f>IF($F534&lt;=$C$16*12,SUM(T$5:T534),"-")</f>
        <v>-</v>
      </c>
      <c r="V534" s="8" t="str">
        <f>IF($F534&lt;=$C$16*12,G534-$C$10-'RE Calculations'!$C721-'Mortgage Calculators (By Month)'!$F552,"-")</f>
        <v>-</v>
      </c>
      <c r="W534" s="29" t="str">
        <f t="shared" si="230"/>
        <v>-</v>
      </c>
      <c r="X534" s="31" t="str">
        <f t="shared" si="231"/>
        <v>-</v>
      </c>
      <c r="Y534" s="8" t="str">
        <f t="shared" si="232"/>
        <v>-</v>
      </c>
      <c r="Z534" s="29" t="str">
        <f t="shared" si="233"/>
        <v>-</v>
      </c>
      <c r="AA534" s="31" t="str">
        <f t="shared" si="234"/>
        <v>-</v>
      </c>
      <c r="AD534" s="12" t="str">
        <f t="shared" si="248"/>
        <v>-</v>
      </c>
      <c r="AE534" s="8" t="str">
        <f t="shared" si="249"/>
        <v>-</v>
      </c>
      <c r="AF534" s="8" t="str">
        <f>IF($AD534&lt;=$C$25*12,$AE534-$C$7+SUM('Mortgage Calculators (By Month)'!$K$23:$K552),"-")</f>
        <v>-</v>
      </c>
      <c r="AG534" s="8" t="str">
        <f t="shared" si="235"/>
        <v>-</v>
      </c>
      <c r="AH534" s="8" t="str">
        <f>IF($AD534&lt;=$C$25*12,SUM(Inputs!$C$61:$C$78)*'Forecast (By Month)'!AG534,"-")</f>
        <v>-</v>
      </c>
      <c r="AI534" s="8" t="str">
        <f>IF($AD534&lt;=$C$25*12,(SUMIF(Inputs!$C$61:$C$78,0,Inputs!$F$61:$F$78)/12)*(1+$C$34)^ROUNDDOWN((AD534-1)/12,0),"-")</f>
        <v>-</v>
      </c>
      <c r="AJ534" s="8" t="str">
        <f t="shared" si="236"/>
        <v>-</v>
      </c>
      <c r="AK534" s="8" t="str">
        <f>IF($AD534&lt;=$C$25*12,'Mortgage Calculators (By Month)'!$J552,"-")</f>
        <v>-</v>
      </c>
      <c r="AL534" s="8" t="str">
        <f>IF($AD534&lt;=$C$25*12,'Mortgage Calculators (By Month)'!$K552,"-")</f>
        <v>-</v>
      </c>
      <c r="AM534" s="8" t="str">
        <f>IF($AD534&lt;=$C$25*12,'Mortgage Calculators (By Month)'!$L552,"-")</f>
        <v>-</v>
      </c>
      <c r="AN534" s="8" t="str">
        <f t="shared" si="251"/>
        <v>-</v>
      </c>
      <c r="AO534" s="8" t="str">
        <f t="shared" si="237"/>
        <v>-</v>
      </c>
      <c r="AP534" s="8" t="str">
        <f t="shared" si="238"/>
        <v>-</v>
      </c>
      <c r="AQ534" s="8" t="str">
        <f t="shared" si="239"/>
        <v>-</v>
      </c>
      <c r="AR534" s="8" t="str">
        <f t="shared" si="240"/>
        <v>-</v>
      </c>
      <c r="AS534" s="8" t="str">
        <f>IF($AD534&lt;=$C$25*12,SUM(AR$5:AR534),"-")</f>
        <v>-</v>
      </c>
      <c r="AT534" s="8" t="str">
        <f>IF($AD534&lt;=$C$25*12,AE534-$C$10-'RE Calculations'!$C721-'Mortgage Calculators (By Month)'!$M552,"-")</f>
        <v>-</v>
      </c>
      <c r="AU534" s="29" t="str">
        <f t="shared" si="241"/>
        <v>-</v>
      </c>
      <c r="AV534" s="31" t="str">
        <f t="shared" si="242"/>
        <v>-</v>
      </c>
      <c r="AW534" s="8" t="str">
        <f t="shared" si="243"/>
        <v>-</v>
      </c>
      <c r="AX534" s="29" t="str">
        <f t="shared" si="244"/>
        <v>-</v>
      </c>
      <c r="AY534" s="31" t="str">
        <f t="shared" si="245"/>
        <v>-</v>
      </c>
    </row>
    <row r="535" spans="6:51" x14ac:dyDescent="0.35">
      <c r="F535" s="12" t="str">
        <f t="shared" si="246"/>
        <v>-</v>
      </c>
      <c r="G535" s="8" t="str">
        <f t="shared" si="247"/>
        <v>-</v>
      </c>
      <c r="H535" s="8" t="str">
        <f>IF($F535&lt;=$C$16*12,$G535-$C$7+SUM('Mortgage Calculators (By Month)'!$D$23:$D553),"-")</f>
        <v>-</v>
      </c>
      <c r="I535" s="8" t="str">
        <f t="shared" si="224"/>
        <v>-</v>
      </c>
      <c r="J535" s="8" t="str">
        <f>IF($F535&lt;=$C$16*12,SUM(Inputs!$C$61:$C$78)*'Forecast (By Month)'!I535,"-")</f>
        <v>-</v>
      </c>
      <c r="K535" s="8" t="str">
        <f>IF($F535&lt;=$C$16*12,(SUMIF(Inputs!$C$61:$C$78,0,Inputs!$F$61:$F$78)/12)*(1+$C$34)^ROUNDDOWN((F535-1)/12,0),"-")</f>
        <v>-</v>
      </c>
      <c r="L535" s="8" t="str">
        <f t="shared" si="225"/>
        <v>-</v>
      </c>
      <c r="M535" s="8" t="str">
        <f>IF($F535&lt;=$C$16*12,'Mortgage Calculators (By Month)'!$C553,"-")</f>
        <v>-</v>
      </c>
      <c r="N535" s="8" t="str">
        <f>IF($F535&lt;=$C$16*12,'Mortgage Calculators (By Month)'!$D553,"-")</f>
        <v>-</v>
      </c>
      <c r="O535" s="8" t="str">
        <f>IF($F535&lt;=$C$16*12,'Mortgage Calculators (By Month)'!$E553,"-")</f>
        <v>-</v>
      </c>
      <c r="P535" s="8" t="str">
        <f t="shared" si="250"/>
        <v>-</v>
      </c>
      <c r="Q535" s="8" t="str">
        <f t="shared" si="226"/>
        <v>-</v>
      </c>
      <c r="R535" s="8" t="str">
        <f t="shared" si="227"/>
        <v>-</v>
      </c>
      <c r="S535" s="8" t="str">
        <f t="shared" si="228"/>
        <v>-</v>
      </c>
      <c r="T535" s="8" t="str">
        <f t="shared" si="229"/>
        <v>-</v>
      </c>
      <c r="U535" s="8" t="str">
        <f>IF($F535&lt;=$C$16*12,SUM(T$5:T535),"-")</f>
        <v>-</v>
      </c>
      <c r="V535" s="8" t="str">
        <f>IF($F535&lt;=$C$16*12,G535-$C$10-'RE Calculations'!$C722-'Mortgage Calculators (By Month)'!$F553,"-")</f>
        <v>-</v>
      </c>
      <c r="W535" s="29" t="str">
        <f t="shared" si="230"/>
        <v>-</v>
      </c>
      <c r="X535" s="31" t="str">
        <f t="shared" si="231"/>
        <v>-</v>
      </c>
      <c r="Y535" s="8" t="str">
        <f t="shared" si="232"/>
        <v>-</v>
      </c>
      <c r="Z535" s="29" t="str">
        <f t="shared" si="233"/>
        <v>-</v>
      </c>
      <c r="AA535" s="31" t="str">
        <f t="shared" si="234"/>
        <v>-</v>
      </c>
      <c r="AD535" s="12" t="str">
        <f t="shared" si="248"/>
        <v>-</v>
      </c>
      <c r="AE535" s="8" t="str">
        <f t="shared" si="249"/>
        <v>-</v>
      </c>
      <c r="AF535" s="8" t="str">
        <f>IF($AD535&lt;=$C$25*12,$AE535-$C$7+SUM('Mortgage Calculators (By Month)'!$K$23:$K553),"-")</f>
        <v>-</v>
      </c>
      <c r="AG535" s="8" t="str">
        <f t="shared" si="235"/>
        <v>-</v>
      </c>
      <c r="AH535" s="8" t="str">
        <f>IF($AD535&lt;=$C$25*12,SUM(Inputs!$C$61:$C$78)*'Forecast (By Month)'!AG535,"-")</f>
        <v>-</v>
      </c>
      <c r="AI535" s="8" t="str">
        <f>IF($AD535&lt;=$C$25*12,(SUMIF(Inputs!$C$61:$C$78,0,Inputs!$F$61:$F$78)/12)*(1+$C$34)^ROUNDDOWN((AD535-1)/12,0),"-")</f>
        <v>-</v>
      </c>
      <c r="AJ535" s="8" t="str">
        <f t="shared" si="236"/>
        <v>-</v>
      </c>
      <c r="AK535" s="8" t="str">
        <f>IF($AD535&lt;=$C$25*12,'Mortgage Calculators (By Month)'!$J553,"-")</f>
        <v>-</v>
      </c>
      <c r="AL535" s="8" t="str">
        <f>IF($AD535&lt;=$C$25*12,'Mortgage Calculators (By Month)'!$K553,"-")</f>
        <v>-</v>
      </c>
      <c r="AM535" s="8" t="str">
        <f>IF($AD535&lt;=$C$25*12,'Mortgage Calculators (By Month)'!$L553,"-")</f>
        <v>-</v>
      </c>
      <c r="AN535" s="8" t="str">
        <f t="shared" si="251"/>
        <v>-</v>
      </c>
      <c r="AO535" s="8" t="str">
        <f t="shared" si="237"/>
        <v>-</v>
      </c>
      <c r="AP535" s="8" t="str">
        <f t="shared" si="238"/>
        <v>-</v>
      </c>
      <c r="AQ535" s="8" t="str">
        <f t="shared" si="239"/>
        <v>-</v>
      </c>
      <c r="AR535" s="8" t="str">
        <f t="shared" si="240"/>
        <v>-</v>
      </c>
      <c r="AS535" s="8" t="str">
        <f>IF($AD535&lt;=$C$25*12,SUM(AR$5:AR535),"-")</f>
        <v>-</v>
      </c>
      <c r="AT535" s="8" t="str">
        <f>IF($AD535&lt;=$C$25*12,AE535-$C$10-'RE Calculations'!$C722-'Mortgage Calculators (By Month)'!$M553,"-")</f>
        <v>-</v>
      </c>
      <c r="AU535" s="29" t="str">
        <f t="shared" si="241"/>
        <v>-</v>
      </c>
      <c r="AV535" s="31" t="str">
        <f t="shared" si="242"/>
        <v>-</v>
      </c>
      <c r="AW535" s="8" t="str">
        <f t="shared" si="243"/>
        <v>-</v>
      </c>
      <c r="AX535" s="29" t="str">
        <f t="shared" si="244"/>
        <v>-</v>
      </c>
      <c r="AY535" s="31" t="str">
        <f t="shared" si="245"/>
        <v>-</v>
      </c>
    </row>
    <row r="536" spans="6:51" x14ac:dyDescent="0.35">
      <c r="F536" s="12" t="str">
        <f t="shared" si="246"/>
        <v>-</v>
      </c>
      <c r="G536" s="8" t="str">
        <f t="shared" si="247"/>
        <v>-</v>
      </c>
      <c r="H536" s="8" t="str">
        <f>IF($F536&lt;=$C$16*12,$G536-$C$7+SUM('Mortgage Calculators (By Month)'!$D$23:$D554),"-")</f>
        <v>-</v>
      </c>
      <c r="I536" s="8" t="str">
        <f t="shared" si="224"/>
        <v>-</v>
      </c>
      <c r="J536" s="8" t="str">
        <f>IF($F536&lt;=$C$16*12,SUM(Inputs!$C$61:$C$78)*'Forecast (By Month)'!I536,"-")</f>
        <v>-</v>
      </c>
      <c r="K536" s="8" t="str">
        <f>IF($F536&lt;=$C$16*12,(SUMIF(Inputs!$C$61:$C$78,0,Inputs!$F$61:$F$78)/12)*(1+$C$34)^ROUNDDOWN((F536-1)/12,0),"-")</f>
        <v>-</v>
      </c>
      <c r="L536" s="8" t="str">
        <f t="shared" si="225"/>
        <v>-</v>
      </c>
      <c r="M536" s="8" t="str">
        <f>IF($F536&lt;=$C$16*12,'Mortgage Calculators (By Month)'!$C554,"-")</f>
        <v>-</v>
      </c>
      <c r="N536" s="8" t="str">
        <f>IF($F536&lt;=$C$16*12,'Mortgage Calculators (By Month)'!$D554,"-")</f>
        <v>-</v>
      </c>
      <c r="O536" s="8" t="str">
        <f>IF($F536&lt;=$C$16*12,'Mortgage Calculators (By Month)'!$E554,"-")</f>
        <v>-</v>
      </c>
      <c r="P536" s="8" t="str">
        <f t="shared" si="250"/>
        <v>-</v>
      </c>
      <c r="Q536" s="8" t="str">
        <f t="shared" si="226"/>
        <v>-</v>
      </c>
      <c r="R536" s="8" t="str">
        <f t="shared" si="227"/>
        <v>-</v>
      </c>
      <c r="S536" s="8" t="str">
        <f t="shared" si="228"/>
        <v>-</v>
      </c>
      <c r="T536" s="8" t="str">
        <f t="shared" si="229"/>
        <v>-</v>
      </c>
      <c r="U536" s="8" t="str">
        <f>IF($F536&lt;=$C$16*12,SUM(T$5:T536),"-")</f>
        <v>-</v>
      </c>
      <c r="V536" s="8" t="str">
        <f>IF($F536&lt;=$C$16*12,G536-$C$10-'RE Calculations'!$C723-'Mortgage Calculators (By Month)'!$F554,"-")</f>
        <v>-</v>
      </c>
      <c r="W536" s="29" t="str">
        <f t="shared" si="230"/>
        <v>-</v>
      </c>
      <c r="X536" s="31" t="str">
        <f t="shared" si="231"/>
        <v>-</v>
      </c>
      <c r="Y536" s="8" t="str">
        <f t="shared" si="232"/>
        <v>-</v>
      </c>
      <c r="Z536" s="29" t="str">
        <f t="shared" si="233"/>
        <v>-</v>
      </c>
      <c r="AA536" s="31" t="str">
        <f t="shared" si="234"/>
        <v>-</v>
      </c>
      <c r="AD536" s="12" t="str">
        <f t="shared" si="248"/>
        <v>-</v>
      </c>
      <c r="AE536" s="8" t="str">
        <f t="shared" si="249"/>
        <v>-</v>
      </c>
      <c r="AF536" s="8" t="str">
        <f>IF($AD536&lt;=$C$25*12,$AE536-$C$7+SUM('Mortgage Calculators (By Month)'!$K$23:$K554),"-")</f>
        <v>-</v>
      </c>
      <c r="AG536" s="8" t="str">
        <f t="shared" si="235"/>
        <v>-</v>
      </c>
      <c r="AH536" s="8" t="str">
        <f>IF($AD536&lt;=$C$25*12,SUM(Inputs!$C$61:$C$78)*'Forecast (By Month)'!AG536,"-")</f>
        <v>-</v>
      </c>
      <c r="AI536" s="8" t="str">
        <f>IF($AD536&lt;=$C$25*12,(SUMIF(Inputs!$C$61:$C$78,0,Inputs!$F$61:$F$78)/12)*(1+$C$34)^ROUNDDOWN((AD536-1)/12,0),"-")</f>
        <v>-</v>
      </c>
      <c r="AJ536" s="8" t="str">
        <f t="shared" si="236"/>
        <v>-</v>
      </c>
      <c r="AK536" s="8" t="str">
        <f>IF($AD536&lt;=$C$25*12,'Mortgage Calculators (By Month)'!$J554,"-")</f>
        <v>-</v>
      </c>
      <c r="AL536" s="8" t="str">
        <f>IF($AD536&lt;=$C$25*12,'Mortgage Calculators (By Month)'!$K554,"-")</f>
        <v>-</v>
      </c>
      <c r="AM536" s="8" t="str">
        <f>IF($AD536&lt;=$C$25*12,'Mortgage Calculators (By Month)'!$L554,"-")</f>
        <v>-</v>
      </c>
      <c r="AN536" s="8" t="str">
        <f t="shared" si="251"/>
        <v>-</v>
      </c>
      <c r="AO536" s="8" t="str">
        <f t="shared" si="237"/>
        <v>-</v>
      </c>
      <c r="AP536" s="8" t="str">
        <f t="shared" si="238"/>
        <v>-</v>
      </c>
      <c r="AQ536" s="8" t="str">
        <f t="shared" si="239"/>
        <v>-</v>
      </c>
      <c r="AR536" s="8" t="str">
        <f t="shared" si="240"/>
        <v>-</v>
      </c>
      <c r="AS536" s="8" t="str">
        <f>IF($AD536&lt;=$C$25*12,SUM(AR$5:AR536),"-")</f>
        <v>-</v>
      </c>
      <c r="AT536" s="8" t="str">
        <f>IF($AD536&lt;=$C$25*12,AE536-$C$10-'RE Calculations'!$C723-'Mortgage Calculators (By Month)'!$M554,"-")</f>
        <v>-</v>
      </c>
      <c r="AU536" s="29" t="str">
        <f t="shared" si="241"/>
        <v>-</v>
      </c>
      <c r="AV536" s="31" t="str">
        <f t="shared" si="242"/>
        <v>-</v>
      </c>
      <c r="AW536" s="8" t="str">
        <f t="shared" si="243"/>
        <v>-</v>
      </c>
      <c r="AX536" s="29" t="str">
        <f t="shared" si="244"/>
        <v>-</v>
      </c>
      <c r="AY536" s="31" t="str">
        <f t="shared" si="245"/>
        <v>-</v>
      </c>
    </row>
    <row r="537" spans="6:51" x14ac:dyDescent="0.35">
      <c r="F537" s="12" t="str">
        <f t="shared" si="246"/>
        <v>-</v>
      </c>
      <c r="G537" s="8" t="str">
        <f t="shared" si="247"/>
        <v>-</v>
      </c>
      <c r="H537" s="8" t="str">
        <f>IF($F537&lt;=$C$16*12,$G537-$C$7+SUM('Mortgage Calculators (By Month)'!$D$23:$D555),"-")</f>
        <v>-</v>
      </c>
      <c r="I537" s="8" t="str">
        <f t="shared" si="224"/>
        <v>-</v>
      </c>
      <c r="J537" s="8" t="str">
        <f>IF($F537&lt;=$C$16*12,SUM(Inputs!$C$61:$C$78)*'Forecast (By Month)'!I537,"-")</f>
        <v>-</v>
      </c>
      <c r="K537" s="8" t="str">
        <f>IF($F537&lt;=$C$16*12,(SUMIF(Inputs!$C$61:$C$78,0,Inputs!$F$61:$F$78)/12)*(1+$C$34)^ROUNDDOWN((F537-1)/12,0),"-")</f>
        <v>-</v>
      </c>
      <c r="L537" s="8" t="str">
        <f t="shared" si="225"/>
        <v>-</v>
      </c>
      <c r="M537" s="8" t="str">
        <f>IF($F537&lt;=$C$16*12,'Mortgage Calculators (By Month)'!$C555,"-")</f>
        <v>-</v>
      </c>
      <c r="N537" s="8" t="str">
        <f>IF($F537&lt;=$C$16*12,'Mortgage Calculators (By Month)'!$D555,"-")</f>
        <v>-</v>
      </c>
      <c r="O537" s="8" t="str">
        <f>IF($F537&lt;=$C$16*12,'Mortgage Calculators (By Month)'!$E555,"-")</f>
        <v>-</v>
      </c>
      <c r="P537" s="8" t="str">
        <f t="shared" si="250"/>
        <v>-</v>
      </c>
      <c r="Q537" s="8" t="str">
        <f t="shared" si="226"/>
        <v>-</v>
      </c>
      <c r="R537" s="8" t="str">
        <f t="shared" si="227"/>
        <v>-</v>
      </c>
      <c r="S537" s="8" t="str">
        <f t="shared" si="228"/>
        <v>-</v>
      </c>
      <c r="T537" s="8" t="str">
        <f t="shared" si="229"/>
        <v>-</v>
      </c>
      <c r="U537" s="8" t="str">
        <f>IF($F537&lt;=$C$16*12,SUM(T$5:T537),"-")</f>
        <v>-</v>
      </c>
      <c r="V537" s="8" t="str">
        <f>IF($F537&lt;=$C$16*12,G537-$C$10-'RE Calculations'!$C724-'Mortgage Calculators (By Month)'!$F555,"-")</f>
        <v>-</v>
      </c>
      <c r="W537" s="29" t="str">
        <f t="shared" si="230"/>
        <v>-</v>
      </c>
      <c r="X537" s="31" t="str">
        <f t="shared" si="231"/>
        <v>-</v>
      </c>
      <c r="Y537" s="8" t="str">
        <f t="shared" si="232"/>
        <v>-</v>
      </c>
      <c r="Z537" s="29" t="str">
        <f t="shared" si="233"/>
        <v>-</v>
      </c>
      <c r="AA537" s="31" t="str">
        <f t="shared" si="234"/>
        <v>-</v>
      </c>
      <c r="AD537" s="12" t="str">
        <f t="shared" si="248"/>
        <v>-</v>
      </c>
      <c r="AE537" s="8" t="str">
        <f t="shared" si="249"/>
        <v>-</v>
      </c>
      <c r="AF537" s="8" t="str">
        <f>IF($AD537&lt;=$C$25*12,$AE537-$C$7+SUM('Mortgage Calculators (By Month)'!$K$23:$K555),"-")</f>
        <v>-</v>
      </c>
      <c r="AG537" s="8" t="str">
        <f t="shared" si="235"/>
        <v>-</v>
      </c>
      <c r="AH537" s="8" t="str">
        <f>IF($AD537&lt;=$C$25*12,SUM(Inputs!$C$61:$C$78)*'Forecast (By Month)'!AG537,"-")</f>
        <v>-</v>
      </c>
      <c r="AI537" s="8" t="str">
        <f>IF($AD537&lt;=$C$25*12,(SUMIF(Inputs!$C$61:$C$78,0,Inputs!$F$61:$F$78)/12)*(1+$C$34)^ROUNDDOWN((AD537-1)/12,0),"-")</f>
        <v>-</v>
      </c>
      <c r="AJ537" s="8" t="str">
        <f t="shared" si="236"/>
        <v>-</v>
      </c>
      <c r="AK537" s="8" t="str">
        <f>IF($AD537&lt;=$C$25*12,'Mortgage Calculators (By Month)'!$J555,"-")</f>
        <v>-</v>
      </c>
      <c r="AL537" s="8" t="str">
        <f>IF($AD537&lt;=$C$25*12,'Mortgage Calculators (By Month)'!$K555,"-")</f>
        <v>-</v>
      </c>
      <c r="AM537" s="8" t="str">
        <f>IF($AD537&lt;=$C$25*12,'Mortgage Calculators (By Month)'!$L555,"-")</f>
        <v>-</v>
      </c>
      <c r="AN537" s="8" t="str">
        <f t="shared" si="251"/>
        <v>-</v>
      </c>
      <c r="AO537" s="8" t="str">
        <f t="shared" si="237"/>
        <v>-</v>
      </c>
      <c r="AP537" s="8" t="str">
        <f t="shared" si="238"/>
        <v>-</v>
      </c>
      <c r="AQ537" s="8" t="str">
        <f t="shared" si="239"/>
        <v>-</v>
      </c>
      <c r="AR537" s="8" t="str">
        <f t="shared" si="240"/>
        <v>-</v>
      </c>
      <c r="AS537" s="8" t="str">
        <f>IF($AD537&lt;=$C$25*12,SUM(AR$5:AR537),"-")</f>
        <v>-</v>
      </c>
      <c r="AT537" s="8" t="str">
        <f>IF($AD537&lt;=$C$25*12,AE537-$C$10-'RE Calculations'!$C724-'Mortgage Calculators (By Month)'!$M555,"-")</f>
        <v>-</v>
      </c>
      <c r="AU537" s="29" t="str">
        <f t="shared" si="241"/>
        <v>-</v>
      </c>
      <c r="AV537" s="31" t="str">
        <f t="shared" si="242"/>
        <v>-</v>
      </c>
      <c r="AW537" s="8" t="str">
        <f t="shared" si="243"/>
        <v>-</v>
      </c>
      <c r="AX537" s="29" t="str">
        <f t="shared" si="244"/>
        <v>-</v>
      </c>
      <c r="AY537" s="31" t="str">
        <f t="shared" si="245"/>
        <v>-</v>
      </c>
    </row>
    <row r="538" spans="6:51" x14ac:dyDescent="0.35">
      <c r="F538" s="12" t="str">
        <f t="shared" si="246"/>
        <v>-</v>
      </c>
      <c r="G538" s="8" t="str">
        <f t="shared" si="247"/>
        <v>-</v>
      </c>
      <c r="H538" s="8" t="str">
        <f>IF($F538&lt;=$C$16*12,$G538-$C$7+SUM('Mortgage Calculators (By Month)'!$D$23:$D556),"-")</f>
        <v>-</v>
      </c>
      <c r="I538" s="8" t="str">
        <f t="shared" si="224"/>
        <v>-</v>
      </c>
      <c r="J538" s="8" t="str">
        <f>IF($F538&lt;=$C$16*12,SUM(Inputs!$C$61:$C$78)*'Forecast (By Month)'!I538,"-")</f>
        <v>-</v>
      </c>
      <c r="K538" s="8" t="str">
        <f>IF($F538&lt;=$C$16*12,(SUMIF(Inputs!$C$61:$C$78,0,Inputs!$F$61:$F$78)/12)*(1+$C$34)^ROUNDDOWN((F538-1)/12,0),"-")</f>
        <v>-</v>
      </c>
      <c r="L538" s="8" t="str">
        <f t="shared" si="225"/>
        <v>-</v>
      </c>
      <c r="M538" s="8" t="str">
        <f>IF($F538&lt;=$C$16*12,'Mortgage Calculators (By Month)'!$C556,"-")</f>
        <v>-</v>
      </c>
      <c r="N538" s="8" t="str">
        <f>IF($F538&lt;=$C$16*12,'Mortgage Calculators (By Month)'!$D556,"-")</f>
        <v>-</v>
      </c>
      <c r="O538" s="8" t="str">
        <f>IF($F538&lt;=$C$16*12,'Mortgage Calculators (By Month)'!$E556,"-")</f>
        <v>-</v>
      </c>
      <c r="P538" s="8" t="str">
        <f t="shared" si="250"/>
        <v>-</v>
      </c>
      <c r="Q538" s="8" t="str">
        <f t="shared" si="226"/>
        <v>-</v>
      </c>
      <c r="R538" s="8" t="str">
        <f t="shared" si="227"/>
        <v>-</v>
      </c>
      <c r="S538" s="8" t="str">
        <f t="shared" si="228"/>
        <v>-</v>
      </c>
      <c r="T538" s="8" t="str">
        <f t="shared" si="229"/>
        <v>-</v>
      </c>
      <c r="U538" s="8" t="str">
        <f>IF($F538&lt;=$C$16*12,SUM(T$5:T538),"-")</f>
        <v>-</v>
      </c>
      <c r="V538" s="8" t="str">
        <f>IF($F538&lt;=$C$16*12,G538-$C$10-'RE Calculations'!$C725-'Mortgage Calculators (By Month)'!$F556,"-")</f>
        <v>-</v>
      </c>
      <c r="W538" s="29" t="str">
        <f t="shared" si="230"/>
        <v>-</v>
      </c>
      <c r="X538" s="31" t="str">
        <f t="shared" si="231"/>
        <v>-</v>
      </c>
      <c r="Y538" s="8" t="str">
        <f t="shared" si="232"/>
        <v>-</v>
      </c>
      <c r="Z538" s="29" t="str">
        <f t="shared" si="233"/>
        <v>-</v>
      </c>
      <c r="AA538" s="31" t="str">
        <f t="shared" si="234"/>
        <v>-</v>
      </c>
      <c r="AD538" s="12" t="str">
        <f t="shared" si="248"/>
        <v>-</v>
      </c>
      <c r="AE538" s="8" t="str">
        <f t="shared" si="249"/>
        <v>-</v>
      </c>
      <c r="AF538" s="8" t="str">
        <f>IF($AD538&lt;=$C$25*12,$AE538-$C$7+SUM('Mortgage Calculators (By Month)'!$K$23:$K556),"-")</f>
        <v>-</v>
      </c>
      <c r="AG538" s="8" t="str">
        <f t="shared" si="235"/>
        <v>-</v>
      </c>
      <c r="AH538" s="8" t="str">
        <f>IF($AD538&lt;=$C$25*12,SUM(Inputs!$C$61:$C$78)*'Forecast (By Month)'!AG538,"-")</f>
        <v>-</v>
      </c>
      <c r="AI538" s="8" t="str">
        <f>IF($AD538&lt;=$C$25*12,(SUMIF(Inputs!$C$61:$C$78,0,Inputs!$F$61:$F$78)/12)*(1+$C$34)^ROUNDDOWN((AD538-1)/12,0),"-")</f>
        <v>-</v>
      </c>
      <c r="AJ538" s="8" t="str">
        <f t="shared" si="236"/>
        <v>-</v>
      </c>
      <c r="AK538" s="8" t="str">
        <f>IF($AD538&lt;=$C$25*12,'Mortgage Calculators (By Month)'!$J556,"-")</f>
        <v>-</v>
      </c>
      <c r="AL538" s="8" t="str">
        <f>IF($AD538&lt;=$C$25*12,'Mortgage Calculators (By Month)'!$K556,"-")</f>
        <v>-</v>
      </c>
      <c r="AM538" s="8" t="str">
        <f>IF($AD538&lt;=$C$25*12,'Mortgage Calculators (By Month)'!$L556,"-")</f>
        <v>-</v>
      </c>
      <c r="AN538" s="8" t="str">
        <f t="shared" si="251"/>
        <v>-</v>
      </c>
      <c r="AO538" s="8" t="str">
        <f t="shared" si="237"/>
        <v>-</v>
      </c>
      <c r="AP538" s="8" t="str">
        <f t="shared" si="238"/>
        <v>-</v>
      </c>
      <c r="AQ538" s="8" t="str">
        <f t="shared" si="239"/>
        <v>-</v>
      </c>
      <c r="AR538" s="8" t="str">
        <f t="shared" si="240"/>
        <v>-</v>
      </c>
      <c r="AS538" s="8" t="str">
        <f>IF($AD538&lt;=$C$25*12,SUM(AR$5:AR538),"-")</f>
        <v>-</v>
      </c>
      <c r="AT538" s="8" t="str">
        <f>IF($AD538&lt;=$C$25*12,AE538-$C$10-'RE Calculations'!$C725-'Mortgage Calculators (By Month)'!$M556,"-")</f>
        <v>-</v>
      </c>
      <c r="AU538" s="29" t="str">
        <f t="shared" si="241"/>
        <v>-</v>
      </c>
      <c r="AV538" s="31" t="str">
        <f t="shared" si="242"/>
        <v>-</v>
      </c>
      <c r="AW538" s="8" t="str">
        <f t="shared" si="243"/>
        <v>-</v>
      </c>
      <c r="AX538" s="29" t="str">
        <f t="shared" si="244"/>
        <v>-</v>
      </c>
      <c r="AY538" s="31" t="str">
        <f t="shared" si="245"/>
        <v>-</v>
      </c>
    </row>
    <row r="539" spans="6:51" x14ac:dyDescent="0.35">
      <c r="F539" s="12" t="str">
        <f t="shared" si="246"/>
        <v>-</v>
      </c>
      <c r="G539" s="8" t="str">
        <f t="shared" si="247"/>
        <v>-</v>
      </c>
      <c r="H539" s="8" t="str">
        <f>IF($F539&lt;=$C$16*12,$G539-$C$7+SUM('Mortgage Calculators (By Month)'!$D$23:$D557),"-")</f>
        <v>-</v>
      </c>
      <c r="I539" s="8" t="str">
        <f t="shared" si="224"/>
        <v>-</v>
      </c>
      <c r="J539" s="8" t="str">
        <f>IF($F539&lt;=$C$16*12,SUM(Inputs!$C$61:$C$78)*'Forecast (By Month)'!I539,"-")</f>
        <v>-</v>
      </c>
      <c r="K539" s="8" t="str">
        <f>IF($F539&lt;=$C$16*12,(SUMIF(Inputs!$C$61:$C$78,0,Inputs!$F$61:$F$78)/12)*(1+$C$34)^ROUNDDOWN((F539-1)/12,0),"-")</f>
        <v>-</v>
      </c>
      <c r="L539" s="8" t="str">
        <f t="shared" si="225"/>
        <v>-</v>
      </c>
      <c r="M539" s="8" t="str">
        <f>IF($F539&lt;=$C$16*12,'Mortgage Calculators (By Month)'!$C557,"-")</f>
        <v>-</v>
      </c>
      <c r="N539" s="8" t="str">
        <f>IF($F539&lt;=$C$16*12,'Mortgage Calculators (By Month)'!$D557,"-")</f>
        <v>-</v>
      </c>
      <c r="O539" s="8" t="str">
        <f>IF($F539&lt;=$C$16*12,'Mortgage Calculators (By Month)'!$E557,"-")</f>
        <v>-</v>
      </c>
      <c r="P539" s="8" t="str">
        <f t="shared" si="250"/>
        <v>-</v>
      </c>
      <c r="Q539" s="8" t="str">
        <f t="shared" si="226"/>
        <v>-</v>
      </c>
      <c r="R539" s="8" t="str">
        <f t="shared" si="227"/>
        <v>-</v>
      </c>
      <c r="S539" s="8" t="str">
        <f t="shared" si="228"/>
        <v>-</v>
      </c>
      <c r="T539" s="8" t="str">
        <f t="shared" si="229"/>
        <v>-</v>
      </c>
      <c r="U539" s="8" t="str">
        <f>IF($F539&lt;=$C$16*12,SUM(T$5:T539),"-")</f>
        <v>-</v>
      </c>
      <c r="V539" s="8" t="str">
        <f>IF($F539&lt;=$C$16*12,G539-$C$10-'RE Calculations'!$C726-'Mortgage Calculators (By Month)'!$F557,"-")</f>
        <v>-</v>
      </c>
      <c r="W539" s="29" t="str">
        <f t="shared" si="230"/>
        <v>-</v>
      </c>
      <c r="X539" s="31" t="str">
        <f t="shared" si="231"/>
        <v>-</v>
      </c>
      <c r="Y539" s="8" t="str">
        <f t="shared" si="232"/>
        <v>-</v>
      </c>
      <c r="Z539" s="29" t="str">
        <f t="shared" si="233"/>
        <v>-</v>
      </c>
      <c r="AA539" s="31" t="str">
        <f t="shared" si="234"/>
        <v>-</v>
      </c>
      <c r="AD539" s="12" t="str">
        <f t="shared" si="248"/>
        <v>-</v>
      </c>
      <c r="AE539" s="8" t="str">
        <f t="shared" si="249"/>
        <v>-</v>
      </c>
      <c r="AF539" s="8" t="str">
        <f>IF($AD539&lt;=$C$25*12,$AE539-$C$7+SUM('Mortgage Calculators (By Month)'!$K$23:$K557),"-")</f>
        <v>-</v>
      </c>
      <c r="AG539" s="8" t="str">
        <f t="shared" si="235"/>
        <v>-</v>
      </c>
      <c r="AH539" s="8" t="str">
        <f>IF($AD539&lt;=$C$25*12,SUM(Inputs!$C$61:$C$78)*'Forecast (By Month)'!AG539,"-")</f>
        <v>-</v>
      </c>
      <c r="AI539" s="8" t="str">
        <f>IF($AD539&lt;=$C$25*12,(SUMIF(Inputs!$C$61:$C$78,0,Inputs!$F$61:$F$78)/12)*(1+$C$34)^ROUNDDOWN((AD539-1)/12,0),"-")</f>
        <v>-</v>
      </c>
      <c r="AJ539" s="8" t="str">
        <f t="shared" si="236"/>
        <v>-</v>
      </c>
      <c r="AK539" s="8" t="str">
        <f>IF($AD539&lt;=$C$25*12,'Mortgage Calculators (By Month)'!$J557,"-")</f>
        <v>-</v>
      </c>
      <c r="AL539" s="8" t="str">
        <f>IF($AD539&lt;=$C$25*12,'Mortgage Calculators (By Month)'!$K557,"-")</f>
        <v>-</v>
      </c>
      <c r="AM539" s="8" t="str">
        <f>IF($AD539&lt;=$C$25*12,'Mortgage Calculators (By Month)'!$L557,"-")</f>
        <v>-</v>
      </c>
      <c r="AN539" s="8" t="str">
        <f t="shared" si="251"/>
        <v>-</v>
      </c>
      <c r="AO539" s="8" t="str">
        <f t="shared" si="237"/>
        <v>-</v>
      </c>
      <c r="AP539" s="8" t="str">
        <f t="shared" si="238"/>
        <v>-</v>
      </c>
      <c r="AQ539" s="8" t="str">
        <f t="shared" si="239"/>
        <v>-</v>
      </c>
      <c r="AR539" s="8" t="str">
        <f t="shared" si="240"/>
        <v>-</v>
      </c>
      <c r="AS539" s="8" t="str">
        <f>IF($AD539&lt;=$C$25*12,SUM(AR$5:AR539),"-")</f>
        <v>-</v>
      </c>
      <c r="AT539" s="8" t="str">
        <f>IF($AD539&lt;=$C$25*12,AE539-$C$10-'RE Calculations'!$C726-'Mortgage Calculators (By Month)'!$M557,"-")</f>
        <v>-</v>
      </c>
      <c r="AU539" s="29" t="str">
        <f t="shared" si="241"/>
        <v>-</v>
      </c>
      <c r="AV539" s="31" t="str">
        <f t="shared" si="242"/>
        <v>-</v>
      </c>
      <c r="AW539" s="8" t="str">
        <f t="shared" si="243"/>
        <v>-</v>
      </c>
      <c r="AX539" s="29" t="str">
        <f t="shared" si="244"/>
        <v>-</v>
      </c>
      <c r="AY539" s="31" t="str">
        <f t="shared" si="245"/>
        <v>-</v>
      </c>
    </row>
    <row r="540" spans="6:51" x14ac:dyDescent="0.35">
      <c r="F540" s="12" t="str">
        <f t="shared" si="246"/>
        <v>-</v>
      </c>
      <c r="G540" s="8" t="str">
        <f t="shared" si="247"/>
        <v>-</v>
      </c>
      <c r="H540" s="8" t="str">
        <f>IF($F540&lt;=$C$16*12,$G540-$C$7+SUM('Mortgage Calculators (By Month)'!$D$23:$D558),"-")</f>
        <v>-</v>
      </c>
      <c r="I540" s="8" t="str">
        <f t="shared" si="224"/>
        <v>-</v>
      </c>
      <c r="J540" s="8" t="str">
        <f>IF($F540&lt;=$C$16*12,SUM(Inputs!$C$61:$C$78)*'Forecast (By Month)'!I540,"-")</f>
        <v>-</v>
      </c>
      <c r="K540" s="8" t="str">
        <f>IF($F540&lt;=$C$16*12,(SUMIF(Inputs!$C$61:$C$78,0,Inputs!$F$61:$F$78)/12)*(1+$C$34)^ROUNDDOWN((F540-1)/12,0),"-")</f>
        <v>-</v>
      </c>
      <c r="L540" s="8" t="str">
        <f t="shared" si="225"/>
        <v>-</v>
      </c>
      <c r="M540" s="8" t="str">
        <f>IF($F540&lt;=$C$16*12,'Mortgage Calculators (By Month)'!$C558,"-")</f>
        <v>-</v>
      </c>
      <c r="N540" s="8" t="str">
        <f>IF($F540&lt;=$C$16*12,'Mortgage Calculators (By Month)'!$D558,"-")</f>
        <v>-</v>
      </c>
      <c r="O540" s="8" t="str">
        <f>IF($F540&lt;=$C$16*12,'Mortgage Calculators (By Month)'!$E558,"-")</f>
        <v>-</v>
      </c>
      <c r="P540" s="8" t="str">
        <f t="shared" si="250"/>
        <v>-</v>
      </c>
      <c r="Q540" s="8" t="str">
        <f t="shared" si="226"/>
        <v>-</v>
      </c>
      <c r="R540" s="8" t="str">
        <f t="shared" si="227"/>
        <v>-</v>
      </c>
      <c r="S540" s="8" t="str">
        <f t="shared" si="228"/>
        <v>-</v>
      </c>
      <c r="T540" s="8" t="str">
        <f t="shared" si="229"/>
        <v>-</v>
      </c>
      <c r="U540" s="8" t="str">
        <f>IF($F540&lt;=$C$16*12,SUM(T$5:T540),"-")</f>
        <v>-</v>
      </c>
      <c r="V540" s="8" t="str">
        <f>IF($F540&lt;=$C$16*12,G540-$C$10-'RE Calculations'!$C727-'Mortgage Calculators (By Month)'!$F558,"-")</f>
        <v>-</v>
      </c>
      <c r="W540" s="29" t="str">
        <f t="shared" si="230"/>
        <v>-</v>
      </c>
      <c r="X540" s="31" t="str">
        <f t="shared" si="231"/>
        <v>-</v>
      </c>
      <c r="Y540" s="8" t="str">
        <f t="shared" si="232"/>
        <v>-</v>
      </c>
      <c r="Z540" s="29" t="str">
        <f t="shared" si="233"/>
        <v>-</v>
      </c>
      <c r="AA540" s="31" t="str">
        <f t="shared" si="234"/>
        <v>-</v>
      </c>
      <c r="AD540" s="12" t="str">
        <f t="shared" si="248"/>
        <v>-</v>
      </c>
      <c r="AE540" s="8" t="str">
        <f t="shared" si="249"/>
        <v>-</v>
      </c>
      <c r="AF540" s="8" t="str">
        <f>IF($AD540&lt;=$C$25*12,$AE540-$C$7+SUM('Mortgage Calculators (By Month)'!$K$23:$K558),"-")</f>
        <v>-</v>
      </c>
      <c r="AG540" s="8" t="str">
        <f t="shared" si="235"/>
        <v>-</v>
      </c>
      <c r="AH540" s="8" t="str">
        <f>IF($AD540&lt;=$C$25*12,SUM(Inputs!$C$61:$C$78)*'Forecast (By Month)'!AG540,"-")</f>
        <v>-</v>
      </c>
      <c r="AI540" s="8" t="str">
        <f>IF($AD540&lt;=$C$25*12,(SUMIF(Inputs!$C$61:$C$78,0,Inputs!$F$61:$F$78)/12)*(1+$C$34)^ROUNDDOWN((AD540-1)/12,0),"-")</f>
        <v>-</v>
      </c>
      <c r="AJ540" s="8" t="str">
        <f t="shared" si="236"/>
        <v>-</v>
      </c>
      <c r="AK540" s="8" t="str">
        <f>IF($AD540&lt;=$C$25*12,'Mortgage Calculators (By Month)'!$J558,"-")</f>
        <v>-</v>
      </c>
      <c r="AL540" s="8" t="str">
        <f>IF($AD540&lt;=$C$25*12,'Mortgage Calculators (By Month)'!$K558,"-")</f>
        <v>-</v>
      </c>
      <c r="AM540" s="8" t="str">
        <f>IF($AD540&lt;=$C$25*12,'Mortgage Calculators (By Month)'!$L558,"-")</f>
        <v>-</v>
      </c>
      <c r="AN540" s="8" t="str">
        <f t="shared" si="251"/>
        <v>-</v>
      </c>
      <c r="AO540" s="8" t="str">
        <f t="shared" si="237"/>
        <v>-</v>
      </c>
      <c r="AP540" s="8" t="str">
        <f t="shared" si="238"/>
        <v>-</v>
      </c>
      <c r="AQ540" s="8" t="str">
        <f t="shared" si="239"/>
        <v>-</v>
      </c>
      <c r="AR540" s="8" t="str">
        <f t="shared" si="240"/>
        <v>-</v>
      </c>
      <c r="AS540" s="8" t="str">
        <f>IF($AD540&lt;=$C$25*12,SUM(AR$5:AR540),"-")</f>
        <v>-</v>
      </c>
      <c r="AT540" s="8" t="str">
        <f>IF($AD540&lt;=$C$25*12,AE540-$C$10-'RE Calculations'!$C727-'Mortgage Calculators (By Month)'!$M558,"-")</f>
        <v>-</v>
      </c>
      <c r="AU540" s="29" t="str">
        <f t="shared" si="241"/>
        <v>-</v>
      </c>
      <c r="AV540" s="31" t="str">
        <f t="shared" si="242"/>
        <v>-</v>
      </c>
      <c r="AW540" s="8" t="str">
        <f t="shared" si="243"/>
        <v>-</v>
      </c>
      <c r="AX540" s="29" t="str">
        <f t="shared" si="244"/>
        <v>-</v>
      </c>
      <c r="AY540" s="31" t="str">
        <f t="shared" si="245"/>
        <v>-</v>
      </c>
    </row>
    <row r="541" spans="6:51" x14ac:dyDescent="0.35">
      <c r="F541" s="12" t="str">
        <f t="shared" si="246"/>
        <v>-</v>
      </c>
      <c r="G541" s="8" t="str">
        <f t="shared" si="247"/>
        <v>-</v>
      </c>
      <c r="H541" s="8" t="str">
        <f>IF($F541&lt;=$C$16*12,$G541-$C$7+SUM('Mortgage Calculators (By Month)'!$D$23:$D559),"-")</f>
        <v>-</v>
      </c>
      <c r="I541" s="8" t="str">
        <f t="shared" si="224"/>
        <v>-</v>
      </c>
      <c r="J541" s="8" t="str">
        <f>IF($F541&lt;=$C$16*12,SUM(Inputs!$C$61:$C$78)*'Forecast (By Month)'!I541,"-")</f>
        <v>-</v>
      </c>
      <c r="K541" s="8" t="str">
        <f>IF($F541&lt;=$C$16*12,(SUMIF(Inputs!$C$61:$C$78,0,Inputs!$F$61:$F$78)/12)*(1+$C$34)^ROUNDDOWN((F541-1)/12,0),"-")</f>
        <v>-</v>
      </c>
      <c r="L541" s="8" t="str">
        <f t="shared" si="225"/>
        <v>-</v>
      </c>
      <c r="M541" s="8" t="str">
        <f>IF($F541&lt;=$C$16*12,'Mortgage Calculators (By Month)'!$C559,"-")</f>
        <v>-</v>
      </c>
      <c r="N541" s="8" t="str">
        <f>IF($F541&lt;=$C$16*12,'Mortgage Calculators (By Month)'!$D559,"-")</f>
        <v>-</v>
      </c>
      <c r="O541" s="8" t="str">
        <f>IF($F541&lt;=$C$16*12,'Mortgage Calculators (By Month)'!$E559,"-")</f>
        <v>-</v>
      </c>
      <c r="P541" s="8" t="str">
        <f t="shared" si="250"/>
        <v>-</v>
      </c>
      <c r="Q541" s="8" t="str">
        <f t="shared" si="226"/>
        <v>-</v>
      </c>
      <c r="R541" s="8" t="str">
        <f t="shared" si="227"/>
        <v>-</v>
      </c>
      <c r="S541" s="8" t="str">
        <f t="shared" si="228"/>
        <v>-</v>
      </c>
      <c r="T541" s="8" t="str">
        <f t="shared" si="229"/>
        <v>-</v>
      </c>
      <c r="U541" s="8" t="str">
        <f>IF($F541&lt;=$C$16*12,SUM(T$5:T541),"-")</f>
        <v>-</v>
      </c>
      <c r="V541" s="8" t="str">
        <f>IF($F541&lt;=$C$16*12,G541-$C$10-'RE Calculations'!$C728-'Mortgage Calculators (By Month)'!$F559,"-")</f>
        <v>-</v>
      </c>
      <c r="W541" s="29" t="str">
        <f t="shared" si="230"/>
        <v>-</v>
      </c>
      <c r="X541" s="31" t="str">
        <f t="shared" si="231"/>
        <v>-</v>
      </c>
      <c r="Y541" s="8" t="str">
        <f t="shared" si="232"/>
        <v>-</v>
      </c>
      <c r="Z541" s="29" t="str">
        <f t="shared" si="233"/>
        <v>-</v>
      </c>
      <c r="AA541" s="31" t="str">
        <f t="shared" si="234"/>
        <v>-</v>
      </c>
      <c r="AD541" s="12" t="str">
        <f t="shared" si="248"/>
        <v>-</v>
      </c>
      <c r="AE541" s="8" t="str">
        <f t="shared" si="249"/>
        <v>-</v>
      </c>
      <c r="AF541" s="8" t="str">
        <f>IF($AD541&lt;=$C$25*12,$AE541-$C$7+SUM('Mortgage Calculators (By Month)'!$K$23:$K559),"-")</f>
        <v>-</v>
      </c>
      <c r="AG541" s="8" t="str">
        <f t="shared" si="235"/>
        <v>-</v>
      </c>
      <c r="AH541" s="8" t="str">
        <f>IF($AD541&lt;=$C$25*12,SUM(Inputs!$C$61:$C$78)*'Forecast (By Month)'!AG541,"-")</f>
        <v>-</v>
      </c>
      <c r="AI541" s="8" t="str">
        <f>IF($AD541&lt;=$C$25*12,(SUMIF(Inputs!$C$61:$C$78,0,Inputs!$F$61:$F$78)/12)*(1+$C$34)^ROUNDDOWN((AD541-1)/12,0),"-")</f>
        <v>-</v>
      </c>
      <c r="AJ541" s="8" t="str">
        <f t="shared" si="236"/>
        <v>-</v>
      </c>
      <c r="AK541" s="8" t="str">
        <f>IF($AD541&lt;=$C$25*12,'Mortgage Calculators (By Month)'!$J559,"-")</f>
        <v>-</v>
      </c>
      <c r="AL541" s="8" t="str">
        <f>IF($AD541&lt;=$C$25*12,'Mortgage Calculators (By Month)'!$K559,"-")</f>
        <v>-</v>
      </c>
      <c r="AM541" s="8" t="str">
        <f>IF($AD541&lt;=$C$25*12,'Mortgage Calculators (By Month)'!$L559,"-")</f>
        <v>-</v>
      </c>
      <c r="AN541" s="8" t="str">
        <f t="shared" si="251"/>
        <v>-</v>
      </c>
      <c r="AO541" s="8" t="str">
        <f t="shared" si="237"/>
        <v>-</v>
      </c>
      <c r="AP541" s="8" t="str">
        <f t="shared" si="238"/>
        <v>-</v>
      </c>
      <c r="AQ541" s="8" t="str">
        <f t="shared" si="239"/>
        <v>-</v>
      </c>
      <c r="AR541" s="8" t="str">
        <f t="shared" si="240"/>
        <v>-</v>
      </c>
      <c r="AS541" s="8" t="str">
        <f>IF($AD541&lt;=$C$25*12,SUM(AR$5:AR541),"-")</f>
        <v>-</v>
      </c>
      <c r="AT541" s="8" t="str">
        <f>IF($AD541&lt;=$C$25*12,AE541-$C$10-'RE Calculations'!$C728-'Mortgage Calculators (By Month)'!$M559,"-")</f>
        <v>-</v>
      </c>
      <c r="AU541" s="29" t="str">
        <f t="shared" si="241"/>
        <v>-</v>
      </c>
      <c r="AV541" s="31" t="str">
        <f t="shared" si="242"/>
        <v>-</v>
      </c>
      <c r="AW541" s="8" t="str">
        <f t="shared" si="243"/>
        <v>-</v>
      </c>
      <c r="AX541" s="29" t="str">
        <f t="shared" si="244"/>
        <v>-</v>
      </c>
      <c r="AY541" s="31" t="str">
        <f t="shared" si="245"/>
        <v>-</v>
      </c>
    </row>
    <row r="542" spans="6:51" x14ac:dyDescent="0.35">
      <c r="F542" s="12" t="str">
        <f t="shared" si="246"/>
        <v>-</v>
      </c>
      <c r="G542" s="8" t="str">
        <f t="shared" si="247"/>
        <v>-</v>
      </c>
      <c r="H542" s="8" t="str">
        <f>IF($F542&lt;=$C$16*12,$G542-$C$7+SUM('Mortgage Calculators (By Month)'!$D$23:$D560),"-")</f>
        <v>-</v>
      </c>
      <c r="I542" s="8" t="str">
        <f t="shared" si="224"/>
        <v>-</v>
      </c>
      <c r="J542" s="8" t="str">
        <f>IF($F542&lt;=$C$16*12,SUM(Inputs!$C$61:$C$78)*'Forecast (By Month)'!I542,"-")</f>
        <v>-</v>
      </c>
      <c r="K542" s="8" t="str">
        <f>IF($F542&lt;=$C$16*12,(SUMIF(Inputs!$C$61:$C$78,0,Inputs!$F$61:$F$78)/12)*(1+$C$34)^ROUNDDOWN((F542-1)/12,0),"-")</f>
        <v>-</v>
      </c>
      <c r="L542" s="8" t="str">
        <f t="shared" si="225"/>
        <v>-</v>
      </c>
      <c r="M542" s="8" t="str">
        <f>IF($F542&lt;=$C$16*12,'Mortgage Calculators (By Month)'!$C560,"-")</f>
        <v>-</v>
      </c>
      <c r="N542" s="8" t="str">
        <f>IF($F542&lt;=$C$16*12,'Mortgage Calculators (By Month)'!$D560,"-")</f>
        <v>-</v>
      </c>
      <c r="O542" s="8" t="str">
        <f>IF($F542&lt;=$C$16*12,'Mortgage Calculators (By Month)'!$E560,"-")</f>
        <v>-</v>
      </c>
      <c r="P542" s="8" t="str">
        <f t="shared" si="250"/>
        <v>-</v>
      </c>
      <c r="Q542" s="8" t="str">
        <f t="shared" si="226"/>
        <v>-</v>
      </c>
      <c r="R542" s="8" t="str">
        <f t="shared" si="227"/>
        <v>-</v>
      </c>
      <c r="S542" s="8" t="str">
        <f t="shared" si="228"/>
        <v>-</v>
      </c>
      <c r="T542" s="8" t="str">
        <f t="shared" si="229"/>
        <v>-</v>
      </c>
      <c r="U542" s="8" t="str">
        <f>IF($F542&lt;=$C$16*12,SUM(T$5:T542),"-")</f>
        <v>-</v>
      </c>
      <c r="V542" s="8" t="str">
        <f>IF($F542&lt;=$C$16*12,G542-$C$10-'RE Calculations'!$C729-'Mortgage Calculators (By Month)'!$F560,"-")</f>
        <v>-</v>
      </c>
      <c r="W542" s="29" t="str">
        <f t="shared" si="230"/>
        <v>-</v>
      </c>
      <c r="X542" s="31" t="str">
        <f t="shared" si="231"/>
        <v>-</v>
      </c>
      <c r="Y542" s="8" t="str">
        <f t="shared" si="232"/>
        <v>-</v>
      </c>
      <c r="Z542" s="29" t="str">
        <f t="shared" si="233"/>
        <v>-</v>
      </c>
      <c r="AA542" s="31" t="str">
        <f t="shared" si="234"/>
        <v>-</v>
      </c>
      <c r="AD542" s="12" t="str">
        <f t="shared" si="248"/>
        <v>-</v>
      </c>
      <c r="AE542" s="8" t="str">
        <f t="shared" si="249"/>
        <v>-</v>
      </c>
      <c r="AF542" s="8" t="str">
        <f>IF($AD542&lt;=$C$25*12,$AE542-$C$7+SUM('Mortgage Calculators (By Month)'!$K$23:$K560),"-")</f>
        <v>-</v>
      </c>
      <c r="AG542" s="8" t="str">
        <f t="shared" si="235"/>
        <v>-</v>
      </c>
      <c r="AH542" s="8" t="str">
        <f>IF($AD542&lt;=$C$25*12,SUM(Inputs!$C$61:$C$78)*'Forecast (By Month)'!AG542,"-")</f>
        <v>-</v>
      </c>
      <c r="AI542" s="8" t="str">
        <f>IF($AD542&lt;=$C$25*12,(SUMIF(Inputs!$C$61:$C$78,0,Inputs!$F$61:$F$78)/12)*(1+$C$34)^ROUNDDOWN((AD542-1)/12,0),"-")</f>
        <v>-</v>
      </c>
      <c r="AJ542" s="8" t="str">
        <f t="shared" si="236"/>
        <v>-</v>
      </c>
      <c r="AK542" s="8" t="str">
        <f>IF($AD542&lt;=$C$25*12,'Mortgage Calculators (By Month)'!$J560,"-")</f>
        <v>-</v>
      </c>
      <c r="AL542" s="8" t="str">
        <f>IF($AD542&lt;=$C$25*12,'Mortgage Calculators (By Month)'!$K560,"-")</f>
        <v>-</v>
      </c>
      <c r="AM542" s="8" t="str">
        <f>IF($AD542&lt;=$C$25*12,'Mortgage Calculators (By Month)'!$L560,"-")</f>
        <v>-</v>
      </c>
      <c r="AN542" s="8" t="str">
        <f t="shared" si="251"/>
        <v>-</v>
      </c>
      <c r="AO542" s="8" t="str">
        <f t="shared" si="237"/>
        <v>-</v>
      </c>
      <c r="AP542" s="8" t="str">
        <f t="shared" si="238"/>
        <v>-</v>
      </c>
      <c r="AQ542" s="8" t="str">
        <f t="shared" si="239"/>
        <v>-</v>
      </c>
      <c r="AR542" s="8" t="str">
        <f t="shared" si="240"/>
        <v>-</v>
      </c>
      <c r="AS542" s="8" t="str">
        <f>IF($AD542&lt;=$C$25*12,SUM(AR$5:AR542),"-")</f>
        <v>-</v>
      </c>
      <c r="AT542" s="8" t="str">
        <f>IF($AD542&lt;=$C$25*12,AE542-$C$10-'RE Calculations'!$C729-'Mortgage Calculators (By Month)'!$M560,"-")</f>
        <v>-</v>
      </c>
      <c r="AU542" s="29" t="str">
        <f t="shared" si="241"/>
        <v>-</v>
      </c>
      <c r="AV542" s="31" t="str">
        <f t="shared" si="242"/>
        <v>-</v>
      </c>
      <c r="AW542" s="8" t="str">
        <f t="shared" si="243"/>
        <v>-</v>
      </c>
      <c r="AX542" s="29" t="str">
        <f t="shared" si="244"/>
        <v>-</v>
      </c>
      <c r="AY542" s="31" t="str">
        <f t="shared" si="245"/>
        <v>-</v>
      </c>
    </row>
    <row r="543" spans="6:51" x14ac:dyDescent="0.35">
      <c r="F543" s="12" t="str">
        <f t="shared" si="246"/>
        <v>-</v>
      </c>
      <c r="G543" s="8" t="str">
        <f t="shared" si="247"/>
        <v>-</v>
      </c>
      <c r="H543" s="8" t="str">
        <f>IF($F543&lt;=$C$16*12,$G543-$C$7+SUM('Mortgage Calculators (By Month)'!$D$23:$D561),"-")</f>
        <v>-</v>
      </c>
      <c r="I543" s="8" t="str">
        <f t="shared" si="224"/>
        <v>-</v>
      </c>
      <c r="J543" s="8" t="str">
        <f>IF($F543&lt;=$C$16*12,SUM(Inputs!$C$61:$C$78)*'Forecast (By Month)'!I543,"-")</f>
        <v>-</v>
      </c>
      <c r="K543" s="8" t="str">
        <f>IF($F543&lt;=$C$16*12,(SUMIF(Inputs!$C$61:$C$78,0,Inputs!$F$61:$F$78)/12)*(1+$C$34)^ROUNDDOWN((F543-1)/12,0),"-")</f>
        <v>-</v>
      </c>
      <c r="L543" s="8" t="str">
        <f t="shared" si="225"/>
        <v>-</v>
      </c>
      <c r="M543" s="8" t="str">
        <f>IF($F543&lt;=$C$16*12,'Mortgage Calculators (By Month)'!$C561,"-")</f>
        <v>-</v>
      </c>
      <c r="N543" s="8" t="str">
        <f>IF($F543&lt;=$C$16*12,'Mortgage Calculators (By Month)'!$D561,"-")</f>
        <v>-</v>
      </c>
      <c r="O543" s="8" t="str">
        <f>IF($F543&lt;=$C$16*12,'Mortgage Calculators (By Month)'!$E561,"-")</f>
        <v>-</v>
      </c>
      <c r="P543" s="8" t="str">
        <f t="shared" si="250"/>
        <v>-</v>
      </c>
      <c r="Q543" s="8" t="str">
        <f t="shared" si="226"/>
        <v>-</v>
      </c>
      <c r="R543" s="8" t="str">
        <f t="shared" si="227"/>
        <v>-</v>
      </c>
      <c r="S543" s="8" t="str">
        <f t="shared" si="228"/>
        <v>-</v>
      </c>
      <c r="T543" s="8" t="str">
        <f t="shared" si="229"/>
        <v>-</v>
      </c>
      <c r="U543" s="8" t="str">
        <f>IF($F543&lt;=$C$16*12,SUM(T$5:T543),"-")</f>
        <v>-</v>
      </c>
      <c r="V543" s="8" t="str">
        <f>IF($F543&lt;=$C$16*12,G543-$C$10-'RE Calculations'!$C730-'Mortgage Calculators (By Month)'!$F561,"-")</f>
        <v>-</v>
      </c>
      <c r="W543" s="29" t="str">
        <f t="shared" si="230"/>
        <v>-</v>
      </c>
      <c r="X543" s="31" t="str">
        <f t="shared" si="231"/>
        <v>-</v>
      </c>
      <c r="Y543" s="8" t="str">
        <f t="shared" si="232"/>
        <v>-</v>
      </c>
      <c r="Z543" s="29" t="str">
        <f t="shared" si="233"/>
        <v>-</v>
      </c>
      <c r="AA543" s="31" t="str">
        <f t="shared" si="234"/>
        <v>-</v>
      </c>
      <c r="AD543" s="12" t="str">
        <f t="shared" si="248"/>
        <v>-</v>
      </c>
      <c r="AE543" s="8" t="str">
        <f t="shared" si="249"/>
        <v>-</v>
      </c>
      <c r="AF543" s="8" t="str">
        <f>IF($AD543&lt;=$C$25*12,$AE543-$C$7+SUM('Mortgage Calculators (By Month)'!$K$23:$K561),"-")</f>
        <v>-</v>
      </c>
      <c r="AG543" s="8" t="str">
        <f t="shared" si="235"/>
        <v>-</v>
      </c>
      <c r="AH543" s="8" t="str">
        <f>IF($AD543&lt;=$C$25*12,SUM(Inputs!$C$61:$C$78)*'Forecast (By Month)'!AG543,"-")</f>
        <v>-</v>
      </c>
      <c r="AI543" s="8" t="str">
        <f>IF($AD543&lt;=$C$25*12,(SUMIF(Inputs!$C$61:$C$78,0,Inputs!$F$61:$F$78)/12)*(1+$C$34)^ROUNDDOWN((AD543-1)/12,0),"-")</f>
        <v>-</v>
      </c>
      <c r="AJ543" s="8" t="str">
        <f t="shared" si="236"/>
        <v>-</v>
      </c>
      <c r="AK543" s="8" t="str">
        <f>IF($AD543&lt;=$C$25*12,'Mortgage Calculators (By Month)'!$J561,"-")</f>
        <v>-</v>
      </c>
      <c r="AL543" s="8" t="str">
        <f>IF($AD543&lt;=$C$25*12,'Mortgage Calculators (By Month)'!$K561,"-")</f>
        <v>-</v>
      </c>
      <c r="AM543" s="8" t="str">
        <f>IF($AD543&lt;=$C$25*12,'Mortgage Calculators (By Month)'!$L561,"-")</f>
        <v>-</v>
      </c>
      <c r="AN543" s="8" t="str">
        <f t="shared" si="251"/>
        <v>-</v>
      </c>
      <c r="AO543" s="8" t="str">
        <f t="shared" si="237"/>
        <v>-</v>
      </c>
      <c r="AP543" s="8" t="str">
        <f t="shared" si="238"/>
        <v>-</v>
      </c>
      <c r="AQ543" s="8" t="str">
        <f t="shared" si="239"/>
        <v>-</v>
      </c>
      <c r="AR543" s="8" t="str">
        <f t="shared" si="240"/>
        <v>-</v>
      </c>
      <c r="AS543" s="8" t="str">
        <f>IF($AD543&lt;=$C$25*12,SUM(AR$5:AR543),"-")</f>
        <v>-</v>
      </c>
      <c r="AT543" s="8" t="str">
        <f>IF($AD543&lt;=$C$25*12,AE543-$C$10-'RE Calculations'!$C730-'Mortgage Calculators (By Month)'!$M561,"-")</f>
        <v>-</v>
      </c>
      <c r="AU543" s="29" t="str">
        <f t="shared" si="241"/>
        <v>-</v>
      </c>
      <c r="AV543" s="31" t="str">
        <f t="shared" si="242"/>
        <v>-</v>
      </c>
      <c r="AW543" s="8" t="str">
        <f t="shared" si="243"/>
        <v>-</v>
      </c>
      <c r="AX543" s="29" t="str">
        <f t="shared" si="244"/>
        <v>-</v>
      </c>
      <c r="AY543" s="31" t="str">
        <f t="shared" si="245"/>
        <v>-</v>
      </c>
    </row>
    <row r="544" spans="6:51" x14ac:dyDescent="0.35">
      <c r="F544" s="12" t="str">
        <f t="shared" si="246"/>
        <v>-</v>
      </c>
      <c r="G544" s="8" t="str">
        <f t="shared" si="247"/>
        <v>-</v>
      </c>
      <c r="H544" s="8" t="str">
        <f>IF($F544&lt;=$C$16*12,$G544-$C$7+SUM('Mortgage Calculators (By Month)'!$D$23:$D562),"-")</f>
        <v>-</v>
      </c>
      <c r="I544" s="8" t="str">
        <f t="shared" si="224"/>
        <v>-</v>
      </c>
      <c r="J544" s="8" t="str">
        <f>IF($F544&lt;=$C$16*12,SUM(Inputs!$C$61:$C$78)*'Forecast (By Month)'!I544,"-")</f>
        <v>-</v>
      </c>
      <c r="K544" s="8" t="str">
        <f>IF($F544&lt;=$C$16*12,(SUMIF(Inputs!$C$61:$C$78,0,Inputs!$F$61:$F$78)/12)*(1+$C$34)^ROUNDDOWN((F544-1)/12,0),"-")</f>
        <v>-</v>
      </c>
      <c r="L544" s="8" t="str">
        <f t="shared" si="225"/>
        <v>-</v>
      </c>
      <c r="M544" s="8" t="str">
        <f>IF($F544&lt;=$C$16*12,'Mortgage Calculators (By Month)'!$C562,"-")</f>
        <v>-</v>
      </c>
      <c r="N544" s="8" t="str">
        <f>IF($F544&lt;=$C$16*12,'Mortgage Calculators (By Month)'!$D562,"-")</f>
        <v>-</v>
      </c>
      <c r="O544" s="8" t="str">
        <f>IF($F544&lt;=$C$16*12,'Mortgage Calculators (By Month)'!$E562,"-")</f>
        <v>-</v>
      </c>
      <c r="P544" s="8" t="str">
        <f t="shared" si="250"/>
        <v>-</v>
      </c>
      <c r="Q544" s="8" t="str">
        <f t="shared" si="226"/>
        <v>-</v>
      </c>
      <c r="R544" s="8" t="str">
        <f t="shared" si="227"/>
        <v>-</v>
      </c>
      <c r="S544" s="8" t="str">
        <f t="shared" si="228"/>
        <v>-</v>
      </c>
      <c r="T544" s="8" t="str">
        <f t="shared" si="229"/>
        <v>-</v>
      </c>
      <c r="U544" s="8" t="str">
        <f>IF($F544&lt;=$C$16*12,SUM(T$5:T544),"-")</f>
        <v>-</v>
      </c>
      <c r="V544" s="8" t="str">
        <f>IF($F544&lt;=$C$16*12,G544-$C$10-'RE Calculations'!$C731-'Mortgage Calculators (By Month)'!$F562,"-")</f>
        <v>-</v>
      </c>
      <c r="W544" s="29" t="str">
        <f t="shared" si="230"/>
        <v>-</v>
      </c>
      <c r="X544" s="31" t="str">
        <f t="shared" si="231"/>
        <v>-</v>
      </c>
      <c r="Y544" s="8" t="str">
        <f t="shared" si="232"/>
        <v>-</v>
      </c>
      <c r="Z544" s="29" t="str">
        <f t="shared" si="233"/>
        <v>-</v>
      </c>
      <c r="AA544" s="31" t="str">
        <f t="shared" si="234"/>
        <v>-</v>
      </c>
      <c r="AD544" s="12" t="str">
        <f t="shared" si="248"/>
        <v>-</v>
      </c>
      <c r="AE544" s="8" t="str">
        <f t="shared" si="249"/>
        <v>-</v>
      </c>
      <c r="AF544" s="8" t="str">
        <f>IF($AD544&lt;=$C$25*12,$AE544-$C$7+SUM('Mortgage Calculators (By Month)'!$K$23:$K562),"-")</f>
        <v>-</v>
      </c>
      <c r="AG544" s="8" t="str">
        <f t="shared" si="235"/>
        <v>-</v>
      </c>
      <c r="AH544" s="8" t="str">
        <f>IF($AD544&lt;=$C$25*12,SUM(Inputs!$C$61:$C$78)*'Forecast (By Month)'!AG544,"-")</f>
        <v>-</v>
      </c>
      <c r="AI544" s="8" t="str">
        <f>IF($AD544&lt;=$C$25*12,(SUMIF(Inputs!$C$61:$C$78,0,Inputs!$F$61:$F$78)/12)*(1+$C$34)^ROUNDDOWN((AD544-1)/12,0),"-")</f>
        <v>-</v>
      </c>
      <c r="AJ544" s="8" t="str">
        <f t="shared" si="236"/>
        <v>-</v>
      </c>
      <c r="AK544" s="8" t="str">
        <f>IF($AD544&lt;=$C$25*12,'Mortgage Calculators (By Month)'!$J562,"-")</f>
        <v>-</v>
      </c>
      <c r="AL544" s="8" t="str">
        <f>IF($AD544&lt;=$C$25*12,'Mortgage Calculators (By Month)'!$K562,"-")</f>
        <v>-</v>
      </c>
      <c r="AM544" s="8" t="str">
        <f>IF($AD544&lt;=$C$25*12,'Mortgage Calculators (By Month)'!$L562,"-")</f>
        <v>-</v>
      </c>
      <c r="AN544" s="8" t="str">
        <f t="shared" si="251"/>
        <v>-</v>
      </c>
      <c r="AO544" s="8" t="str">
        <f t="shared" si="237"/>
        <v>-</v>
      </c>
      <c r="AP544" s="8" t="str">
        <f t="shared" si="238"/>
        <v>-</v>
      </c>
      <c r="AQ544" s="8" t="str">
        <f t="shared" si="239"/>
        <v>-</v>
      </c>
      <c r="AR544" s="8" t="str">
        <f t="shared" si="240"/>
        <v>-</v>
      </c>
      <c r="AS544" s="8" t="str">
        <f>IF($AD544&lt;=$C$25*12,SUM(AR$5:AR544),"-")</f>
        <v>-</v>
      </c>
      <c r="AT544" s="8" t="str">
        <f>IF($AD544&lt;=$C$25*12,AE544-$C$10-'RE Calculations'!$C731-'Mortgage Calculators (By Month)'!$M562,"-")</f>
        <v>-</v>
      </c>
      <c r="AU544" s="29" t="str">
        <f t="shared" si="241"/>
        <v>-</v>
      </c>
      <c r="AV544" s="31" t="str">
        <f t="shared" si="242"/>
        <v>-</v>
      </c>
      <c r="AW544" s="8" t="str">
        <f t="shared" si="243"/>
        <v>-</v>
      </c>
      <c r="AX544" s="29" t="str">
        <f t="shared" si="244"/>
        <v>-</v>
      </c>
      <c r="AY544" s="31" t="str">
        <f t="shared" si="245"/>
        <v>-</v>
      </c>
    </row>
    <row r="545" spans="6:51" x14ac:dyDescent="0.35">
      <c r="F545" s="12" t="str">
        <f t="shared" si="246"/>
        <v>-</v>
      </c>
      <c r="G545" s="8" t="str">
        <f t="shared" si="247"/>
        <v>-</v>
      </c>
      <c r="H545" s="8" t="str">
        <f>IF($F545&lt;=$C$16*12,$G545-$C$7+SUM('Mortgage Calculators (By Month)'!$D$23:$D563),"-")</f>
        <v>-</v>
      </c>
      <c r="I545" s="8" t="str">
        <f t="shared" si="224"/>
        <v>-</v>
      </c>
      <c r="J545" s="8" t="str">
        <f>IF($F545&lt;=$C$16*12,SUM(Inputs!$C$61:$C$78)*'Forecast (By Month)'!I545,"-")</f>
        <v>-</v>
      </c>
      <c r="K545" s="8" t="str">
        <f>IF($F545&lt;=$C$16*12,(SUMIF(Inputs!$C$61:$C$78,0,Inputs!$F$61:$F$78)/12)*(1+$C$34)^ROUNDDOWN((F545-1)/12,0),"-")</f>
        <v>-</v>
      </c>
      <c r="L545" s="8" t="str">
        <f t="shared" si="225"/>
        <v>-</v>
      </c>
      <c r="M545" s="8" t="str">
        <f>IF($F545&lt;=$C$16*12,'Mortgage Calculators (By Month)'!$C563,"-")</f>
        <v>-</v>
      </c>
      <c r="N545" s="8" t="str">
        <f>IF($F545&lt;=$C$16*12,'Mortgage Calculators (By Month)'!$D563,"-")</f>
        <v>-</v>
      </c>
      <c r="O545" s="8" t="str">
        <f>IF($F545&lt;=$C$16*12,'Mortgage Calculators (By Month)'!$E563,"-")</f>
        <v>-</v>
      </c>
      <c r="P545" s="8" t="str">
        <f t="shared" si="250"/>
        <v>-</v>
      </c>
      <c r="Q545" s="8" t="str">
        <f t="shared" si="226"/>
        <v>-</v>
      </c>
      <c r="R545" s="8" t="str">
        <f t="shared" si="227"/>
        <v>-</v>
      </c>
      <c r="S545" s="8" t="str">
        <f t="shared" si="228"/>
        <v>-</v>
      </c>
      <c r="T545" s="8" t="str">
        <f t="shared" si="229"/>
        <v>-</v>
      </c>
      <c r="U545" s="8" t="str">
        <f>IF($F545&lt;=$C$16*12,SUM(T$5:T545),"-")</f>
        <v>-</v>
      </c>
      <c r="V545" s="8" t="str">
        <f>IF($F545&lt;=$C$16*12,G545-$C$10-'RE Calculations'!$C732-'Mortgage Calculators (By Month)'!$F563,"-")</f>
        <v>-</v>
      </c>
      <c r="W545" s="29" t="str">
        <f t="shared" si="230"/>
        <v>-</v>
      </c>
      <c r="X545" s="31" t="str">
        <f t="shared" si="231"/>
        <v>-</v>
      </c>
      <c r="Y545" s="8" t="str">
        <f t="shared" si="232"/>
        <v>-</v>
      </c>
      <c r="Z545" s="29" t="str">
        <f t="shared" si="233"/>
        <v>-</v>
      </c>
      <c r="AA545" s="31" t="str">
        <f t="shared" si="234"/>
        <v>-</v>
      </c>
      <c r="AD545" s="12" t="str">
        <f t="shared" si="248"/>
        <v>-</v>
      </c>
      <c r="AE545" s="8" t="str">
        <f t="shared" si="249"/>
        <v>-</v>
      </c>
      <c r="AF545" s="8" t="str">
        <f>IF($AD545&lt;=$C$25*12,$AE545-$C$7+SUM('Mortgage Calculators (By Month)'!$K$23:$K563),"-")</f>
        <v>-</v>
      </c>
      <c r="AG545" s="8" t="str">
        <f t="shared" si="235"/>
        <v>-</v>
      </c>
      <c r="AH545" s="8" t="str">
        <f>IF($AD545&lt;=$C$25*12,SUM(Inputs!$C$61:$C$78)*'Forecast (By Month)'!AG545,"-")</f>
        <v>-</v>
      </c>
      <c r="AI545" s="8" t="str">
        <f>IF($AD545&lt;=$C$25*12,(SUMIF(Inputs!$C$61:$C$78,0,Inputs!$F$61:$F$78)/12)*(1+$C$34)^ROUNDDOWN((AD545-1)/12,0),"-")</f>
        <v>-</v>
      </c>
      <c r="AJ545" s="8" t="str">
        <f t="shared" si="236"/>
        <v>-</v>
      </c>
      <c r="AK545" s="8" t="str">
        <f>IF($AD545&lt;=$C$25*12,'Mortgage Calculators (By Month)'!$J563,"-")</f>
        <v>-</v>
      </c>
      <c r="AL545" s="8" t="str">
        <f>IF($AD545&lt;=$C$25*12,'Mortgage Calculators (By Month)'!$K563,"-")</f>
        <v>-</v>
      </c>
      <c r="AM545" s="8" t="str">
        <f>IF($AD545&lt;=$C$25*12,'Mortgage Calculators (By Month)'!$L563,"-")</f>
        <v>-</v>
      </c>
      <c r="AN545" s="8" t="str">
        <f t="shared" si="251"/>
        <v>-</v>
      </c>
      <c r="AO545" s="8" t="str">
        <f t="shared" si="237"/>
        <v>-</v>
      </c>
      <c r="AP545" s="8" t="str">
        <f t="shared" si="238"/>
        <v>-</v>
      </c>
      <c r="AQ545" s="8" t="str">
        <f t="shared" si="239"/>
        <v>-</v>
      </c>
      <c r="AR545" s="8" t="str">
        <f t="shared" si="240"/>
        <v>-</v>
      </c>
      <c r="AS545" s="8" t="str">
        <f>IF($AD545&lt;=$C$25*12,SUM(AR$5:AR545),"-")</f>
        <v>-</v>
      </c>
      <c r="AT545" s="8" t="str">
        <f>IF($AD545&lt;=$C$25*12,AE545-$C$10-'RE Calculations'!$C732-'Mortgage Calculators (By Month)'!$M563,"-")</f>
        <v>-</v>
      </c>
      <c r="AU545" s="29" t="str">
        <f t="shared" si="241"/>
        <v>-</v>
      </c>
      <c r="AV545" s="31" t="str">
        <f t="shared" si="242"/>
        <v>-</v>
      </c>
      <c r="AW545" s="8" t="str">
        <f t="shared" si="243"/>
        <v>-</v>
      </c>
      <c r="AX545" s="29" t="str">
        <f t="shared" si="244"/>
        <v>-</v>
      </c>
      <c r="AY545" s="31" t="str">
        <f t="shared" si="245"/>
        <v>-</v>
      </c>
    </row>
    <row r="546" spans="6:51" x14ac:dyDescent="0.35">
      <c r="F546" s="12" t="str">
        <f t="shared" si="246"/>
        <v>-</v>
      </c>
      <c r="G546" s="8" t="str">
        <f t="shared" si="247"/>
        <v>-</v>
      </c>
      <c r="H546" s="8" t="str">
        <f>IF($F546&lt;=$C$16*12,$G546-$C$7+SUM('Mortgage Calculators (By Month)'!$D$23:$D564),"-")</f>
        <v>-</v>
      </c>
      <c r="I546" s="8" t="str">
        <f t="shared" si="224"/>
        <v>-</v>
      </c>
      <c r="J546" s="8" t="str">
        <f>IF($F546&lt;=$C$16*12,SUM(Inputs!$C$61:$C$78)*'Forecast (By Month)'!I546,"-")</f>
        <v>-</v>
      </c>
      <c r="K546" s="8" t="str">
        <f>IF($F546&lt;=$C$16*12,(SUMIF(Inputs!$C$61:$C$78,0,Inputs!$F$61:$F$78)/12)*(1+$C$34)^ROUNDDOWN((F546-1)/12,0),"-")</f>
        <v>-</v>
      </c>
      <c r="L546" s="8" t="str">
        <f t="shared" si="225"/>
        <v>-</v>
      </c>
      <c r="M546" s="8" t="str">
        <f>IF($F546&lt;=$C$16*12,'Mortgage Calculators (By Month)'!$C564,"-")</f>
        <v>-</v>
      </c>
      <c r="N546" s="8" t="str">
        <f>IF($F546&lt;=$C$16*12,'Mortgage Calculators (By Month)'!$D564,"-")</f>
        <v>-</v>
      </c>
      <c r="O546" s="8" t="str">
        <f>IF($F546&lt;=$C$16*12,'Mortgage Calculators (By Month)'!$E564,"-")</f>
        <v>-</v>
      </c>
      <c r="P546" s="8" t="str">
        <f t="shared" si="250"/>
        <v>-</v>
      </c>
      <c r="Q546" s="8" t="str">
        <f t="shared" si="226"/>
        <v>-</v>
      </c>
      <c r="R546" s="8" t="str">
        <f t="shared" si="227"/>
        <v>-</v>
      </c>
      <c r="S546" s="8" t="str">
        <f t="shared" si="228"/>
        <v>-</v>
      </c>
      <c r="T546" s="8" t="str">
        <f t="shared" si="229"/>
        <v>-</v>
      </c>
      <c r="U546" s="8" t="str">
        <f>IF($F546&lt;=$C$16*12,SUM(T$5:T546),"-")</f>
        <v>-</v>
      </c>
      <c r="V546" s="8" t="str">
        <f>IF($F546&lt;=$C$16*12,G546-$C$10-'RE Calculations'!$C733-'Mortgage Calculators (By Month)'!$F564,"-")</f>
        <v>-</v>
      </c>
      <c r="W546" s="29" t="str">
        <f t="shared" si="230"/>
        <v>-</v>
      </c>
      <c r="X546" s="31" t="str">
        <f t="shared" si="231"/>
        <v>-</v>
      </c>
      <c r="Y546" s="8" t="str">
        <f t="shared" si="232"/>
        <v>-</v>
      </c>
      <c r="Z546" s="29" t="str">
        <f t="shared" si="233"/>
        <v>-</v>
      </c>
      <c r="AA546" s="31" t="str">
        <f t="shared" si="234"/>
        <v>-</v>
      </c>
      <c r="AD546" s="12" t="str">
        <f t="shared" si="248"/>
        <v>-</v>
      </c>
      <c r="AE546" s="8" t="str">
        <f t="shared" si="249"/>
        <v>-</v>
      </c>
      <c r="AF546" s="8" t="str">
        <f>IF($AD546&lt;=$C$25*12,$AE546-$C$7+SUM('Mortgage Calculators (By Month)'!$K$23:$K564),"-")</f>
        <v>-</v>
      </c>
      <c r="AG546" s="8" t="str">
        <f t="shared" si="235"/>
        <v>-</v>
      </c>
      <c r="AH546" s="8" t="str">
        <f>IF($AD546&lt;=$C$25*12,SUM(Inputs!$C$61:$C$78)*'Forecast (By Month)'!AG546,"-")</f>
        <v>-</v>
      </c>
      <c r="AI546" s="8" t="str">
        <f>IF($AD546&lt;=$C$25*12,(SUMIF(Inputs!$C$61:$C$78,0,Inputs!$F$61:$F$78)/12)*(1+$C$34)^ROUNDDOWN((AD546-1)/12,0),"-")</f>
        <v>-</v>
      </c>
      <c r="AJ546" s="8" t="str">
        <f t="shared" si="236"/>
        <v>-</v>
      </c>
      <c r="AK546" s="8" t="str">
        <f>IF($AD546&lt;=$C$25*12,'Mortgage Calculators (By Month)'!$J564,"-")</f>
        <v>-</v>
      </c>
      <c r="AL546" s="8" t="str">
        <f>IF($AD546&lt;=$C$25*12,'Mortgage Calculators (By Month)'!$K564,"-")</f>
        <v>-</v>
      </c>
      <c r="AM546" s="8" t="str">
        <f>IF($AD546&lt;=$C$25*12,'Mortgage Calculators (By Month)'!$L564,"-")</f>
        <v>-</v>
      </c>
      <c r="AN546" s="8" t="str">
        <f t="shared" si="251"/>
        <v>-</v>
      </c>
      <c r="AO546" s="8" t="str">
        <f t="shared" si="237"/>
        <v>-</v>
      </c>
      <c r="AP546" s="8" t="str">
        <f t="shared" si="238"/>
        <v>-</v>
      </c>
      <c r="AQ546" s="8" t="str">
        <f t="shared" si="239"/>
        <v>-</v>
      </c>
      <c r="AR546" s="8" t="str">
        <f t="shared" si="240"/>
        <v>-</v>
      </c>
      <c r="AS546" s="8" t="str">
        <f>IF($AD546&lt;=$C$25*12,SUM(AR$5:AR546),"-")</f>
        <v>-</v>
      </c>
      <c r="AT546" s="8" t="str">
        <f>IF($AD546&lt;=$C$25*12,AE546-$C$10-'RE Calculations'!$C733-'Mortgage Calculators (By Month)'!$M564,"-")</f>
        <v>-</v>
      </c>
      <c r="AU546" s="29" t="str">
        <f t="shared" si="241"/>
        <v>-</v>
      </c>
      <c r="AV546" s="31" t="str">
        <f t="shared" si="242"/>
        <v>-</v>
      </c>
      <c r="AW546" s="8" t="str">
        <f t="shared" si="243"/>
        <v>-</v>
      </c>
      <c r="AX546" s="29" t="str">
        <f t="shared" si="244"/>
        <v>-</v>
      </c>
      <c r="AY546" s="31" t="str">
        <f t="shared" si="245"/>
        <v>-</v>
      </c>
    </row>
    <row r="547" spans="6:51" x14ac:dyDescent="0.35">
      <c r="F547" s="12" t="str">
        <f t="shared" si="246"/>
        <v>-</v>
      </c>
      <c r="G547" s="8" t="str">
        <f t="shared" si="247"/>
        <v>-</v>
      </c>
      <c r="H547" s="8" t="str">
        <f>IF($F547&lt;=$C$16*12,$G547-$C$7+SUM('Mortgage Calculators (By Month)'!$D$23:$D565),"-")</f>
        <v>-</v>
      </c>
      <c r="I547" s="8" t="str">
        <f t="shared" si="224"/>
        <v>-</v>
      </c>
      <c r="J547" s="8" t="str">
        <f>IF($F547&lt;=$C$16*12,SUM(Inputs!$C$61:$C$78)*'Forecast (By Month)'!I547,"-")</f>
        <v>-</v>
      </c>
      <c r="K547" s="8" t="str">
        <f>IF($F547&lt;=$C$16*12,(SUMIF(Inputs!$C$61:$C$78,0,Inputs!$F$61:$F$78)/12)*(1+$C$34)^ROUNDDOWN((F547-1)/12,0),"-")</f>
        <v>-</v>
      </c>
      <c r="L547" s="8" t="str">
        <f t="shared" si="225"/>
        <v>-</v>
      </c>
      <c r="M547" s="8" t="str">
        <f>IF($F547&lt;=$C$16*12,'Mortgage Calculators (By Month)'!$C565,"-")</f>
        <v>-</v>
      </c>
      <c r="N547" s="8" t="str">
        <f>IF($F547&lt;=$C$16*12,'Mortgage Calculators (By Month)'!$D565,"-")</f>
        <v>-</v>
      </c>
      <c r="O547" s="8" t="str">
        <f>IF($F547&lt;=$C$16*12,'Mortgage Calculators (By Month)'!$E565,"-")</f>
        <v>-</v>
      </c>
      <c r="P547" s="8" t="str">
        <f t="shared" si="250"/>
        <v>-</v>
      </c>
      <c r="Q547" s="8" t="str">
        <f t="shared" si="226"/>
        <v>-</v>
      </c>
      <c r="R547" s="8" t="str">
        <f t="shared" si="227"/>
        <v>-</v>
      </c>
      <c r="S547" s="8" t="str">
        <f t="shared" si="228"/>
        <v>-</v>
      </c>
      <c r="T547" s="8" t="str">
        <f t="shared" si="229"/>
        <v>-</v>
      </c>
      <c r="U547" s="8" t="str">
        <f>IF($F547&lt;=$C$16*12,SUM(T$5:T547),"-")</f>
        <v>-</v>
      </c>
      <c r="V547" s="8" t="str">
        <f>IF($F547&lt;=$C$16*12,G547-$C$10-'RE Calculations'!$C734-'Mortgage Calculators (By Month)'!$F565,"-")</f>
        <v>-</v>
      </c>
      <c r="W547" s="29" t="str">
        <f t="shared" si="230"/>
        <v>-</v>
      </c>
      <c r="X547" s="31" t="str">
        <f t="shared" si="231"/>
        <v>-</v>
      </c>
      <c r="Y547" s="8" t="str">
        <f t="shared" si="232"/>
        <v>-</v>
      </c>
      <c r="Z547" s="29" t="str">
        <f t="shared" si="233"/>
        <v>-</v>
      </c>
      <c r="AA547" s="31" t="str">
        <f t="shared" si="234"/>
        <v>-</v>
      </c>
      <c r="AD547" s="12" t="str">
        <f t="shared" si="248"/>
        <v>-</v>
      </c>
      <c r="AE547" s="8" t="str">
        <f t="shared" si="249"/>
        <v>-</v>
      </c>
      <c r="AF547" s="8" t="str">
        <f>IF($AD547&lt;=$C$25*12,$AE547-$C$7+SUM('Mortgage Calculators (By Month)'!$K$23:$K565),"-")</f>
        <v>-</v>
      </c>
      <c r="AG547" s="8" t="str">
        <f t="shared" si="235"/>
        <v>-</v>
      </c>
      <c r="AH547" s="8" t="str">
        <f>IF($AD547&lt;=$C$25*12,SUM(Inputs!$C$61:$C$78)*'Forecast (By Month)'!AG547,"-")</f>
        <v>-</v>
      </c>
      <c r="AI547" s="8" t="str">
        <f>IF($AD547&lt;=$C$25*12,(SUMIF(Inputs!$C$61:$C$78,0,Inputs!$F$61:$F$78)/12)*(1+$C$34)^ROUNDDOWN((AD547-1)/12,0),"-")</f>
        <v>-</v>
      </c>
      <c r="AJ547" s="8" t="str">
        <f t="shared" si="236"/>
        <v>-</v>
      </c>
      <c r="AK547" s="8" t="str">
        <f>IF($AD547&lt;=$C$25*12,'Mortgage Calculators (By Month)'!$J565,"-")</f>
        <v>-</v>
      </c>
      <c r="AL547" s="8" t="str">
        <f>IF($AD547&lt;=$C$25*12,'Mortgage Calculators (By Month)'!$K565,"-")</f>
        <v>-</v>
      </c>
      <c r="AM547" s="8" t="str">
        <f>IF($AD547&lt;=$C$25*12,'Mortgage Calculators (By Month)'!$L565,"-")</f>
        <v>-</v>
      </c>
      <c r="AN547" s="8" t="str">
        <f t="shared" si="251"/>
        <v>-</v>
      </c>
      <c r="AO547" s="8" t="str">
        <f t="shared" si="237"/>
        <v>-</v>
      </c>
      <c r="AP547" s="8" t="str">
        <f t="shared" si="238"/>
        <v>-</v>
      </c>
      <c r="AQ547" s="8" t="str">
        <f t="shared" si="239"/>
        <v>-</v>
      </c>
      <c r="AR547" s="8" t="str">
        <f t="shared" si="240"/>
        <v>-</v>
      </c>
      <c r="AS547" s="8" t="str">
        <f>IF($AD547&lt;=$C$25*12,SUM(AR$5:AR547),"-")</f>
        <v>-</v>
      </c>
      <c r="AT547" s="8" t="str">
        <f>IF($AD547&lt;=$C$25*12,AE547-$C$10-'RE Calculations'!$C734-'Mortgage Calculators (By Month)'!$M565,"-")</f>
        <v>-</v>
      </c>
      <c r="AU547" s="29" t="str">
        <f t="shared" si="241"/>
        <v>-</v>
      </c>
      <c r="AV547" s="31" t="str">
        <f t="shared" si="242"/>
        <v>-</v>
      </c>
      <c r="AW547" s="8" t="str">
        <f t="shared" si="243"/>
        <v>-</v>
      </c>
      <c r="AX547" s="29" t="str">
        <f t="shared" si="244"/>
        <v>-</v>
      </c>
      <c r="AY547" s="31" t="str">
        <f t="shared" si="245"/>
        <v>-</v>
      </c>
    </row>
    <row r="548" spans="6:51" x14ac:dyDescent="0.35">
      <c r="F548" s="12" t="str">
        <f t="shared" si="246"/>
        <v>-</v>
      </c>
      <c r="G548" s="8" t="str">
        <f t="shared" si="247"/>
        <v>-</v>
      </c>
      <c r="H548" s="8" t="str">
        <f>IF($F548&lt;=$C$16*12,$G548-$C$7+SUM('Mortgage Calculators (By Month)'!$D$23:$D566),"-")</f>
        <v>-</v>
      </c>
      <c r="I548" s="8" t="str">
        <f t="shared" si="224"/>
        <v>-</v>
      </c>
      <c r="J548" s="8" t="str">
        <f>IF($F548&lt;=$C$16*12,SUM(Inputs!$C$61:$C$78)*'Forecast (By Month)'!I548,"-")</f>
        <v>-</v>
      </c>
      <c r="K548" s="8" t="str">
        <f>IF($F548&lt;=$C$16*12,(SUMIF(Inputs!$C$61:$C$78,0,Inputs!$F$61:$F$78)/12)*(1+$C$34)^ROUNDDOWN((F548-1)/12,0),"-")</f>
        <v>-</v>
      </c>
      <c r="L548" s="8" t="str">
        <f t="shared" si="225"/>
        <v>-</v>
      </c>
      <c r="M548" s="8" t="str">
        <f>IF($F548&lt;=$C$16*12,'Mortgage Calculators (By Month)'!$C566,"-")</f>
        <v>-</v>
      </c>
      <c r="N548" s="8" t="str">
        <f>IF($F548&lt;=$C$16*12,'Mortgage Calculators (By Month)'!$D566,"-")</f>
        <v>-</v>
      </c>
      <c r="O548" s="8" t="str">
        <f>IF($F548&lt;=$C$16*12,'Mortgage Calculators (By Month)'!$E566,"-")</f>
        <v>-</v>
      </c>
      <c r="P548" s="8" t="str">
        <f t="shared" si="250"/>
        <v>-</v>
      </c>
      <c r="Q548" s="8" t="str">
        <f t="shared" si="226"/>
        <v>-</v>
      </c>
      <c r="R548" s="8" t="str">
        <f t="shared" si="227"/>
        <v>-</v>
      </c>
      <c r="S548" s="8" t="str">
        <f t="shared" si="228"/>
        <v>-</v>
      </c>
      <c r="T548" s="8" t="str">
        <f t="shared" si="229"/>
        <v>-</v>
      </c>
      <c r="U548" s="8" t="str">
        <f>IF($F548&lt;=$C$16*12,SUM(T$5:T548),"-")</f>
        <v>-</v>
      </c>
      <c r="V548" s="8" t="str">
        <f>IF($F548&lt;=$C$16*12,G548-$C$10-'RE Calculations'!$C735-'Mortgage Calculators (By Month)'!$F566,"-")</f>
        <v>-</v>
      </c>
      <c r="W548" s="29" t="str">
        <f t="shared" si="230"/>
        <v>-</v>
      </c>
      <c r="X548" s="31" t="str">
        <f t="shared" si="231"/>
        <v>-</v>
      </c>
      <c r="Y548" s="8" t="str">
        <f t="shared" si="232"/>
        <v>-</v>
      </c>
      <c r="Z548" s="29" t="str">
        <f t="shared" si="233"/>
        <v>-</v>
      </c>
      <c r="AA548" s="31" t="str">
        <f t="shared" si="234"/>
        <v>-</v>
      </c>
      <c r="AD548" s="12" t="str">
        <f t="shared" si="248"/>
        <v>-</v>
      </c>
      <c r="AE548" s="8" t="str">
        <f t="shared" si="249"/>
        <v>-</v>
      </c>
      <c r="AF548" s="8" t="str">
        <f>IF($AD548&lt;=$C$25*12,$AE548-$C$7+SUM('Mortgage Calculators (By Month)'!$K$23:$K566),"-")</f>
        <v>-</v>
      </c>
      <c r="AG548" s="8" t="str">
        <f t="shared" si="235"/>
        <v>-</v>
      </c>
      <c r="AH548" s="8" t="str">
        <f>IF($AD548&lt;=$C$25*12,SUM(Inputs!$C$61:$C$78)*'Forecast (By Month)'!AG548,"-")</f>
        <v>-</v>
      </c>
      <c r="AI548" s="8" t="str">
        <f>IF($AD548&lt;=$C$25*12,(SUMIF(Inputs!$C$61:$C$78,0,Inputs!$F$61:$F$78)/12)*(1+$C$34)^ROUNDDOWN((AD548-1)/12,0),"-")</f>
        <v>-</v>
      </c>
      <c r="AJ548" s="8" t="str">
        <f t="shared" si="236"/>
        <v>-</v>
      </c>
      <c r="AK548" s="8" t="str">
        <f>IF($AD548&lt;=$C$25*12,'Mortgage Calculators (By Month)'!$J566,"-")</f>
        <v>-</v>
      </c>
      <c r="AL548" s="8" t="str">
        <f>IF($AD548&lt;=$C$25*12,'Mortgage Calculators (By Month)'!$K566,"-")</f>
        <v>-</v>
      </c>
      <c r="AM548" s="8" t="str">
        <f>IF($AD548&lt;=$C$25*12,'Mortgage Calculators (By Month)'!$L566,"-")</f>
        <v>-</v>
      </c>
      <c r="AN548" s="8" t="str">
        <f t="shared" si="251"/>
        <v>-</v>
      </c>
      <c r="AO548" s="8" t="str">
        <f t="shared" si="237"/>
        <v>-</v>
      </c>
      <c r="AP548" s="8" t="str">
        <f t="shared" si="238"/>
        <v>-</v>
      </c>
      <c r="AQ548" s="8" t="str">
        <f t="shared" si="239"/>
        <v>-</v>
      </c>
      <c r="AR548" s="8" t="str">
        <f t="shared" si="240"/>
        <v>-</v>
      </c>
      <c r="AS548" s="8" t="str">
        <f>IF($AD548&lt;=$C$25*12,SUM(AR$5:AR548),"-")</f>
        <v>-</v>
      </c>
      <c r="AT548" s="8" t="str">
        <f>IF($AD548&lt;=$C$25*12,AE548-$C$10-'RE Calculations'!$C735-'Mortgage Calculators (By Month)'!$M566,"-")</f>
        <v>-</v>
      </c>
      <c r="AU548" s="29" t="str">
        <f t="shared" si="241"/>
        <v>-</v>
      </c>
      <c r="AV548" s="31" t="str">
        <f t="shared" si="242"/>
        <v>-</v>
      </c>
      <c r="AW548" s="8" t="str">
        <f t="shared" si="243"/>
        <v>-</v>
      </c>
      <c r="AX548" s="29" t="str">
        <f t="shared" si="244"/>
        <v>-</v>
      </c>
      <c r="AY548" s="31" t="str">
        <f t="shared" si="245"/>
        <v>-</v>
      </c>
    </row>
    <row r="549" spans="6:51" x14ac:dyDescent="0.35">
      <c r="F549" s="12" t="str">
        <f t="shared" si="246"/>
        <v>-</v>
      </c>
      <c r="G549" s="8" t="str">
        <f t="shared" si="247"/>
        <v>-</v>
      </c>
      <c r="H549" s="8" t="str">
        <f>IF($F549&lt;=$C$16*12,$G549-$C$7+SUM('Mortgage Calculators (By Month)'!$D$23:$D567),"-")</f>
        <v>-</v>
      </c>
      <c r="I549" s="8" t="str">
        <f t="shared" si="224"/>
        <v>-</v>
      </c>
      <c r="J549" s="8" t="str">
        <f>IF($F549&lt;=$C$16*12,SUM(Inputs!$C$61:$C$78)*'Forecast (By Month)'!I549,"-")</f>
        <v>-</v>
      </c>
      <c r="K549" s="8" t="str">
        <f>IF($F549&lt;=$C$16*12,(SUMIF(Inputs!$C$61:$C$78,0,Inputs!$F$61:$F$78)/12)*(1+$C$34)^ROUNDDOWN((F549-1)/12,0),"-")</f>
        <v>-</v>
      </c>
      <c r="L549" s="8" t="str">
        <f t="shared" si="225"/>
        <v>-</v>
      </c>
      <c r="M549" s="8" t="str">
        <f>IF($F549&lt;=$C$16*12,'Mortgage Calculators (By Month)'!$C567,"-")</f>
        <v>-</v>
      </c>
      <c r="N549" s="8" t="str">
        <f>IF($F549&lt;=$C$16*12,'Mortgage Calculators (By Month)'!$D567,"-")</f>
        <v>-</v>
      </c>
      <c r="O549" s="8" t="str">
        <f>IF($F549&lt;=$C$16*12,'Mortgage Calculators (By Month)'!$E567,"-")</f>
        <v>-</v>
      </c>
      <c r="P549" s="8" t="str">
        <f t="shared" si="250"/>
        <v>-</v>
      </c>
      <c r="Q549" s="8" t="str">
        <f t="shared" si="226"/>
        <v>-</v>
      </c>
      <c r="R549" s="8" t="str">
        <f t="shared" si="227"/>
        <v>-</v>
      </c>
      <c r="S549" s="8" t="str">
        <f t="shared" si="228"/>
        <v>-</v>
      </c>
      <c r="T549" s="8" t="str">
        <f t="shared" si="229"/>
        <v>-</v>
      </c>
      <c r="U549" s="8" t="str">
        <f>IF($F549&lt;=$C$16*12,SUM(T$5:T549),"-")</f>
        <v>-</v>
      </c>
      <c r="V549" s="8" t="str">
        <f>IF($F549&lt;=$C$16*12,G549-$C$10-'RE Calculations'!$C736-'Mortgage Calculators (By Month)'!$F567,"-")</f>
        <v>-</v>
      </c>
      <c r="W549" s="29" t="str">
        <f t="shared" si="230"/>
        <v>-</v>
      </c>
      <c r="X549" s="31" t="str">
        <f t="shared" si="231"/>
        <v>-</v>
      </c>
      <c r="Y549" s="8" t="str">
        <f t="shared" si="232"/>
        <v>-</v>
      </c>
      <c r="Z549" s="29" t="str">
        <f t="shared" si="233"/>
        <v>-</v>
      </c>
      <c r="AA549" s="31" t="str">
        <f t="shared" si="234"/>
        <v>-</v>
      </c>
      <c r="AD549" s="12" t="str">
        <f t="shared" si="248"/>
        <v>-</v>
      </c>
      <c r="AE549" s="8" t="str">
        <f t="shared" si="249"/>
        <v>-</v>
      </c>
      <c r="AF549" s="8" t="str">
        <f>IF($AD549&lt;=$C$25*12,$AE549-$C$7+SUM('Mortgage Calculators (By Month)'!$K$23:$K567),"-")</f>
        <v>-</v>
      </c>
      <c r="AG549" s="8" t="str">
        <f t="shared" si="235"/>
        <v>-</v>
      </c>
      <c r="AH549" s="8" t="str">
        <f>IF($AD549&lt;=$C$25*12,SUM(Inputs!$C$61:$C$78)*'Forecast (By Month)'!AG549,"-")</f>
        <v>-</v>
      </c>
      <c r="AI549" s="8" t="str">
        <f>IF($AD549&lt;=$C$25*12,(SUMIF(Inputs!$C$61:$C$78,0,Inputs!$F$61:$F$78)/12)*(1+$C$34)^ROUNDDOWN((AD549-1)/12,0),"-")</f>
        <v>-</v>
      </c>
      <c r="AJ549" s="8" t="str">
        <f t="shared" si="236"/>
        <v>-</v>
      </c>
      <c r="AK549" s="8" t="str">
        <f>IF($AD549&lt;=$C$25*12,'Mortgage Calculators (By Month)'!$J567,"-")</f>
        <v>-</v>
      </c>
      <c r="AL549" s="8" t="str">
        <f>IF($AD549&lt;=$C$25*12,'Mortgage Calculators (By Month)'!$K567,"-")</f>
        <v>-</v>
      </c>
      <c r="AM549" s="8" t="str">
        <f>IF($AD549&lt;=$C$25*12,'Mortgage Calculators (By Month)'!$L567,"-")</f>
        <v>-</v>
      </c>
      <c r="AN549" s="8" t="str">
        <f t="shared" si="251"/>
        <v>-</v>
      </c>
      <c r="AO549" s="8" t="str">
        <f t="shared" si="237"/>
        <v>-</v>
      </c>
      <c r="AP549" s="8" t="str">
        <f t="shared" si="238"/>
        <v>-</v>
      </c>
      <c r="AQ549" s="8" t="str">
        <f t="shared" si="239"/>
        <v>-</v>
      </c>
      <c r="AR549" s="8" t="str">
        <f t="shared" si="240"/>
        <v>-</v>
      </c>
      <c r="AS549" s="8" t="str">
        <f>IF($AD549&lt;=$C$25*12,SUM(AR$5:AR549),"-")</f>
        <v>-</v>
      </c>
      <c r="AT549" s="8" t="str">
        <f>IF($AD549&lt;=$C$25*12,AE549-$C$10-'RE Calculations'!$C736-'Mortgage Calculators (By Month)'!$M567,"-")</f>
        <v>-</v>
      </c>
      <c r="AU549" s="29" t="str">
        <f t="shared" si="241"/>
        <v>-</v>
      </c>
      <c r="AV549" s="31" t="str">
        <f t="shared" si="242"/>
        <v>-</v>
      </c>
      <c r="AW549" s="8" t="str">
        <f t="shared" si="243"/>
        <v>-</v>
      </c>
      <c r="AX549" s="29" t="str">
        <f t="shared" si="244"/>
        <v>-</v>
      </c>
      <c r="AY549" s="31" t="str">
        <f t="shared" si="245"/>
        <v>-</v>
      </c>
    </row>
    <row r="550" spans="6:51" x14ac:dyDescent="0.35">
      <c r="F550" s="12" t="str">
        <f t="shared" si="246"/>
        <v>-</v>
      </c>
      <c r="G550" s="8" t="str">
        <f t="shared" si="247"/>
        <v>-</v>
      </c>
      <c r="H550" s="8" t="str">
        <f>IF($F550&lt;=$C$16*12,$G550-$C$7+SUM('Mortgage Calculators (By Month)'!$D$23:$D568),"-")</f>
        <v>-</v>
      </c>
      <c r="I550" s="8" t="str">
        <f t="shared" si="224"/>
        <v>-</v>
      </c>
      <c r="J550" s="8" t="str">
        <f>IF($F550&lt;=$C$16*12,SUM(Inputs!$C$61:$C$78)*'Forecast (By Month)'!I550,"-")</f>
        <v>-</v>
      </c>
      <c r="K550" s="8" t="str">
        <f>IF($F550&lt;=$C$16*12,(SUMIF(Inputs!$C$61:$C$78,0,Inputs!$F$61:$F$78)/12)*(1+$C$34)^ROUNDDOWN((F550-1)/12,0),"-")</f>
        <v>-</v>
      </c>
      <c r="L550" s="8" t="str">
        <f t="shared" si="225"/>
        <v>-</v>
      </c>
      <c r="M550" s="8" t="str">
        <f>IF($F550&lt;=$C$16*12,'Mortgage Calculators (By Month)'!$C568,"-")</f>
        <v>-</v>
      </c>
      <c r="N550" s="8" t="str">
        <f>IF($F550&lt;=$C$16*12,'Mortgage Calculators (By Month)'!$D568,"-")</f>
        <v>-</v>
      </c>
      <c r="O550" s="8" t="str">
        <f>IF($F550&lt;=$C$16*12,'Mortgage Calculators (By Month)'!$E568,"-")</f>
        <v>-</v>
      </c>
      <c r="P550" s="8" t="str">
        <f t="shared" si="250"/>
        <v>-</v>
      </c>
      <c r="Q550" s="8" t="str">
        <f t="shared" si="226"/>
        <v>-</v>
      </c>
      <c r="R550" s="8" t="str">
        <f t="shared" si="227"/>
        <v>-</v>
      </c>
      <c r="S550" s="8" t="str">
        <f t="shared" si="228"/>
        <v>-</v>
      </c>
      <c r="T550" s="8" t="str">
        <f t="shared" si="229"/>
        <v>-</v>
      </c>
      <c r="U550" s="8" t="str">
        <f>IF($F550&lt;=$C$16*12,SUM(T$5:T550),"-")</f>
        <v>-</v>
      </c>
      <c r="V550" s="8" t="str">
        <f>IF($F550&lt;=$C$16*12,G550-$C$10-'RE Calculations'!$C737-'Mortgage Calculators (By Month)'!$F568,"-")</f>
        <v>-</v>
      </c>
      <c r="W550" s="29" t="str">
        <f t="shared" si="230"/>
        <v>-</v>
      </c>
      <c r="X550" s="31" t="str">
        <f t="shared" si="231"/>
        <v>-</v>
      </c>
      <c r="Y550" s="8" t="str">
        <f t="shared" si="232"/>
        <v>-</v>
      </c>
      <c r="Z550" s="29" t="str">
        <f t="shared" si="233"/>
        <v>-</v>
      </c>
      <c r="AA550" s="31" t="str">
        <f t="shared" si="234"/>
        <v>-</v>
      </c>
      <c r="AD550" s="12" t="str">
        <f t="shared" si="248"/>
        <v>-</v>
      </c>
      <c r="AE550" s="8" t="str">
        <f t="shared" si="249"/>
        <v>-</v>
      </c>
      <c r="AF550" s="8" t="str">
        <f>IF($AD550&lt;=$C$25*12,$AE550-$C$7+SUM('Mortgage Calculators (By Month)'!$K$23:$K568),"-")</f>
        <v>-</v>
      </c>
      <c r="AG550" s="8" t="str">
        <f t="shared" si="235"/>
        <v>-</v>
      </c>
      <c r="AH550" s="8" t="str">
        <f>IF($AD550&lt;=$C$25*12,SUM(Inputs!$C$61:$C$78)*'Forecast (By Month)'!AG550,"-")</f>
        <v>-</v>
      </c>
      <c r="AI550" s="8" t="str">
        <f>IF($AD550&lt;=$C$25*12,(SUMIF(Inputs!$C$61:$C$78,0,Inputs!$F$61:$F$78)/12)*(1+$C$34)^ROUNDDOWN((AD550-1)/12,0),"-")</f>
        <v>-</v>
      </c>
      <c r="AJ550" s="8" t="str">
        <f t="shared" si="236"/>
        <v>-</v>
      </c>
      <c r="AK550" s="8" t="str">
        <f>IF($AD550&lt;=$C$25*12,'Mortgage Calculators (By Month)'!$J568,"-")</f>
        <v>-</v>
      </c>
      <c r="AL550" s="8" t="str">
        <f>IF($AD550&lt;=$C$25*12,'Mortgage Calculators (By Month)'!$K568,"-")</f>
        <v>-</v>
      </c>
      <c r="AM550" s="8" t="str">
        <f>IF($AD550&lt;=$C$25*12,'Mortgage Calculators (By Month)'!$L568,"-")</f>
        <v>-</v>
      </c>
      <c r="AN550" s="8" t="str">
        <f t="shared" si="251"/>
        <v>-</v>
      </c>
      <c r="AO550" s="8" t="str">
        <f t="shared" si="237"/>
        <v>-</v>
      </c>
      <c r="AP550" s="8" t="str">
        <f t="shared" si="238"/>
        <v>-</v>
      </c>
      <c r="AQ550" s="8" t="str">
        <f t="shared" si="239"/>
        <v>-</v>
      </c>
      <c r="AR550" s="8" t="str">
        <f t="shared" si="240"/>
        <v>-</v>
      </c>
      <c r="AS550" s="8" t="str">
        <f>IF($AD550&lt;=$C$25*12,SUM(AR$5:AR550),"-")</f>
        <v>-</v>
      </c>
      <c r="AT550" s="8" t="str">
        <f>IF($AD550&lt;=$C$25*12,AE550-$C$10-'RE Calculations'!$C737-'Mortgage Calculators (By Month)'!$M568,"-")</f>
        <v>-</v>
      </c>
      <c r="AU550" s="29" t="str">
        <f t="shared" si="241"/>
        <v>-</v>
      </c>
      <c r="AV550" s="31" t="str">
        <f t="shared" si="242"/>
        <v>-</v>
      </c>
      <c r="AW550" s="8" t="str">
        <f t="shared" si="243"/>
        <v>-</v>
      </c>
      <c r="AX550" s="29" t="str">
        <f t="shared" si="244"/>
        <v>-</v>
      </c>
      <c r="AY550" s="31" t="str">
        <f t="shared" si="245"/>
        <v>-</v>
      </c>
    </row>
    <row r="551" spans="6:51" x14ac:dyDescent="0.35">
      <c r="F551" s="12" t="str">
        <f t="shared" si="246"/>
        <v>-</v>
      </c>
      <c r="G551" s="8" t="str">
        <f t="shared" si="247"/>
        <v>-</v>
      </c>
      <c r="H551" s="8" t="str">
        <f>IF($F551&lt;=$C$16*12,$G551-$C$7+SUM('Mortgage Calculators (By Month)'!$D$23:$D569),"-")</f>
        <v>-</v>
      </c>
      <c r="I551" s="8" t="str">
        <f t="shared" si="224"/>
        <v>-</v>
      </c>
      <c r="J551" s="8" t="str">
        <f>IF($F551&lt;=$C$16*12,SUM(Inputs!$C$61:$C$78)*'Forecast (By Month)'!I551,"-")</f>
        <v>-</v>
      </c>
      <c r="K551" s="8" t="str">
        <f>IF($F551&lt;=$C$16*12,(SUMIF(Inputs!$C$61:$C$78,0,Inputs!$F$61:$F$78)/12)*(1+$C$34)^ROUNDDOWN((F551-1)/12,0),"-")</f>
        <v>-</v>
      </c>
      <c r="L551" s="8" t="str">
        <f t="shared" si="225"/>
        <v>-</v>
      </c>
      <c r="M551" s="8" t="str">
        <f>IF($F551&lt;=$C$16*12,'Mortgage Calculators (By Month)'!$C569,"-")</f>
        <v>-</v>
      </c>
      <c r="N551" s="8" t="str">
        <f>IF($F551&lt;=$C$16*12,'Mortgage Calculators (By Month)'!$D569,"-")</f>
        <v>-</v>
      </c>
      <c r="O551" s="8" t="str">
        <f>IF($F551&lt;=$C$16*12,'Mortgage Calculators (By Month)'!$E569,"-")</f>
        <v>-</v>
      </c>
      <c r="P551" s="8" t="str">
        <f t="shared" si="250"/>
        <v>-</v>
      </c>
      <c r="Q551" s="8" t="str">
        <f t="shared" si="226"/>
        <v>-</v>
      </c>
      <c r="R551" s="8" t="str">
        <f t="shared" si="227"/>
        <v>-</v>
      </c>
      <c r="S551" s="8" t="str">
        <f t="shared" si="228"/>
        <v>-</v>
      </c>
      <c r="T551" s="8" t="str">
        <f t="shared" si="229"/>
        <v>-</v>
      </c>
      <c r="U551" s="8" t="str">
        <f>IF($F551&lt;=$C$16*12,SUM(T$5:T551),"-")</f>
        <v>-</v>
      </c>
      <c r="V551" s="8" t="str">
        <f>IF($F551&lt;=$C$16*12,G551-$C$10-'RE Calculations'!$C738-'Mortgage Calculators (By Month)'!$F569,"-")</f>
        <v>-</v>
      </c>
      <c r="W551" s="29" t="str">
        <f t="shared" si="230"/>
        <v>-</v>
      </c>
      <c r="X551" s="31" t="str">
        <f t="shared" si="231"/>
        <v>-</v>
      </c>
      <c r="Y551" s="8" t="str">
        <f t="shared" si="232"/>
        <v>-</v>
      </c>
      <c r="Z551" s="29" t="str">
        <f t="shared" si="233"/>
        <v>-</v>
      </c>
      <c r="AA551" s="31" t="str">
        <f t="shared" si="234"/>
        <v>-</v>
      </c>
      <c r="AD551" s="12" t="str">
        <f t="shared" si="248"/>
        <v>-</v>
      </c>
      <c r="AE551" s="8" t="str">
        <f t="shared" si="249"/>
        <v>-</v>
      </c>
      <c r="AF551" s="8" t="str">
        <f>IF($AD551&lt;=$C$25*12,$AE551-$C$7+SUM('Mortgage Calculators (By Month)'!$K$23:$K569),"-")</f>
        <v>-</v>
      </c>
      <c r="AG551" s="8" t="str">
        <f t="shared" si="235"/>
        <v>-</v>
      </c>
      <c r="AH551" s="8" t="str">
        <f>IF($AD551&lt;=$C$25*12,SUM(Inputs!$C$61:$C$78)*'Forecast (By Month)'!AG551,"-")</f>
        <v>-</v>
      </c>
      <c r="AI551" s="8" t="str">
        <f>IF($AD551&lt;=$C$25*12,(SUMIF(Inputs!$C$61:$C$78,0,Inputs!$F$61:$F$78)/12)*(1+$C$34)^ROUNDDOWN((AD551-1)/12,0),"-")</f>
        <v>-</v>
      </c>
      <c r="AJ551" s="8" t="str">
        <f t="shared" si="236"/>
        <v>-</v>
      </c>
      <c r="AK551" s="8" t="str">
        <f>IF($AD551&lt;=$C$25*12,'Mortgage Calculators (By Month)'!$J569,"-")</f>
        <v>-</v>
      </c>
      <c r="AL551" s="8" t="str">
        <f>IF($AD551&lt;=$C$25*12,'Mortgage Calculators (By Month)'!$K569,"-")</f>
        <v>-</v>
      </c>
      <c r="AM551" s="8" t="str">
        <f>IF($AD551&lt;=$C$25*12,'Mortgage Calculators (By Month)'!$L569,"-")</f>
        <v>-</v>
      </c>
      <c r="AN551" s="8" t="str">
        <f t="shared" si="251"/>
        <v>-</v>
      </c>
      <c r="AO551" s="8" t="str">
        <f t="shared" si="237"/>
        <v>-</v>
      </c>
      <c r="AP551" s="8" t="str">
        <f t="shared" si="238"/>
        <v>-</v>
      </c>
      <c r="AQ551" s="8" t="str">
        <f t="shared" si="239"/>
        <v>-</v>
      </c>
      <c r="AR551" s="8" t="str">
        <f t="shared" si="240"/>
        <v>-</v>
      </c>
      <c r="AS551" s="8" t="str">
        <f>IF($AD551&lt;=$C$25*12,SUM(AR$5:AR551),"-")</f>
        <v>-</v>
      </c>
      <c r="AT551" s="8" t="str">
        <f>IF($AD551&lt;=$C$25*12,AE551-$C$10-'RE Calculations'!$C738-'Mortgage Calculators (By Month)'!$M569,"-")</f>
        <v>-</v>
      </c>
      <c r="AU551" s="29" t="str">
        <f t="shared" si="241"/>
        <v>-</v>
      </c>
      <c r="AV551" s="31" t="str">
        <f t="shared" si="242"/>
        <v>-</v>
      </c>
      <c r="AW551" s="8" t="str">
        <f t="shared" si="243"/>
        <v>-</v>
      </c>
      <c r="AX551" s="29" t="str">
        <f t="shared" si="244"/>
        <v>-</v>
      </c>
      <c r="AY551" s="31" t="str">
        <f t="shared" si="245"/>
        <v>-</v>
      </c>
    </row>
    <row r="552" spans="6:51" x14ac:dyDescent="0.35">
      <c r="F552" s="12" t="str">
        <f t="shared" si="246"/>
        <v>-</v>
      </c>
      <c r="G552" s="8" t="str">
        <f t="shared" si="247"/>
        <v>-</v>
      </c>
      <c r="H552" s="8" t="str">
        <f>IF($F552&lt;=$C$16*12,$G552-$C$7+SUM('Mortgage Calculators (By Month)'!$D$23:$D570),"-")</f>
        <v>-</v>
      </c>
      <c r="I552" s="8" t="str">
        <f t="shared" si="224"/>
        <v>-</v>
      </c>
      <c r="J552" s="8" t="str">
        <f>IF($F552&lt;=$C$16*12,SUM(Inputs!$C$61:$C$78)*'Forecast (By Month)'!I552,"-")</f>
        <v>-</v>
      </c>
      <c r="K552" s="8" t="str">
        <f>IF($F552&lt;=$C$16*12,(SUMIF(Inputs!$C$61:$C$78,0,Inputs!$F$61:$F$78)/12)*(1+$C$34)^ROUNDDOWN((F552-1)/12,0),"-")</f>
        <v>-</v>
      </c>
      <c r="L552" s="8" t="str">
        <f t="shared" si="225"/>
        <v>-</v>
      </c>
      <c r="M552" s="8" t="str">
        <f>IF($F552&lt;=$C$16*12,'Mortgage Calculators (By Month)'!$C570,"-")</f>
        <v>-</v>
      </c>
      <c r="N552" s="8" t="str">
        <f>IF($F552&lt;=$C$16*12,'Mortgage Calculators (By Month)'!$D570,"-")</f>
        <v>-</v>
      </c>
      <c r="O552" s="8" t="str">
        <f>IF($F552&lt;=$C$16*12,'Mortgage Calculators (By Month)'!$E570,"-")</f>
        <v>-</v>
      </c>
      <c r="P552" s="8" t="str">
        <f t="shared" si="250"/>
        <v>-</v>
      </c>
      <c r="Q552" s="8" t="str">
        <f t="shared" si="226"/>
        <v>-</v>
      </c>
      <c r="R552" s="8" t="str">
        <f t="shared" si="227"/>
        <v>-</v>
      </c>
      <c r="S552" s="8" t="str">
        <f t="shared" si="228"/>
        <v>-</v>
      </c>
      <c r="T552" s="8" t="str">
        <f t="shared" si="229"/>
        <v>-</v>
      </c>
      <c r="U552" s="8" t="str">
        <f>IF($F552&lt;=$C$16*12,SUM(T$5:T552),"-")</f>
        <v>-</v>
      </c>
      <c r="V552" s="8" t="str">
        <f>IF($F552&lt;=$C$16*12,G552-$C$10-'RE Calculations'!$C739-'Mortgage Calculators (By Month)'!$F570,"-")</f>
        <v>-</v>
      </c>
      <c r="W552" s="29" t="str">
        <f t="shared" si="230"/>
        <v>-</v>
      </c>
      <c r="X552" s="31" t="str">
        <f t="shared" si="231"/>
        <v>-</v>
      </c>
      <c r="Y552" s="8" t="str">
        <f t="shared" si="232"/>
        <v>-</v>
      </c>
      <c r="Z552" s="29" t="str">
        <f t="shared" si="233"/>
        <v>-</v>
      </c>
      <c r="AA552" s="31" t="str">
        <f t="shared" si="234"/>
        <v>-</v>
      </c>
      <c r="AD552" s="12" t="str">
        <f t="shared" si="248"/>
        <v>-</v>
      </c>
      <c r="AE552" s="8" t="str">
        <f t="shared" si="249"/>
        <v>-</v>
      </c>
      <c r="AF552" s="8" t="str">
        <f>IF($AD552&lt;=$C$25*12,$AE552-$C$7+SUM('Mortgage Calculators (By Month)'!$K$23:$K570),"-")</f>
        <v>-</v>
      </c>
      <c r="AG552" s="8" t="str">
        <f t="shared" si="235"/>
        <v>-</v>
      </c>
      <c r="AH552" s="8" t="str">
        <f>IF($AD552&lt;=$C$25*12,SUM(Inputs!$C$61:$C$78)*'Forecast (By Month)'!AG552,"-")</f>
        <v>-</v>
      </c>
      <c r="AI552" s="8" t="str">
        <f>IF($AD552&lt;=$C$25*12,(SUMIF(Inputs!$C$61:$C$78,0,Inputs!$F$61:$F$78)/12)*(1+$C$34)^ROUNDDOWN((AD552-1)/12,0),"-")</f>
        <v>-</v>
      </c>
      <c r="AJ552" s="8" t="str">
        <f t="shared" si="236"/>
        <v>-</v>
      </c>
      <c r="AK552" s="8" t="str">
        <f>IF($AD552&lt;=$C$25*12,'Mortgage Calculators (By Month)'!$J570,"-")</f>
        <v>-</v>
      </c>
      <c r="AL552" s="8" t="str">
        <f>IF($AD552&lt;=$C$25*12,'Mortgage Calculators (By Month)'!$K570,"-")</f>
        <v>-</v>
      </c>
      <c r="AM552" s="8" t="str">
        <f>IF($AD552&lt;=$C$25*12,'Mortgage Calculators (By Month)'!$L570,"-")</f>
        <v>-</v>
      </c>
      <c r="AN552" s="8" t="str">
        <f t="shared" si="251"/>
        <v>-</v>
      </c>
      <c r="AO552" s="8" t="str">
        <f t="shared" si="237"/>
        <v>-</v>
      </c>
      <c r="AP552" s="8" t="str">
        <f t="shared" si="238"/>
        <v>-</v>
      </c>
      <c r="AQ552" s="8" t="str">
        <f t="shared" si="239"/>
        <v>-</v>
      </c>
      <c r="AR552" s="8" t="str">
        <f t="shared" si="240"/>
        <v>-</v>
      </c>
      <c r="AS552" s="8" t="str">
        <f>IF($AD552&lt;=$C$25*12,SUM(AR$5:AR552),"-")</f>
        <v>-</v>
      </c>
      <c r="AT552" s="8" t="str">
        <f>IF($AD552&lt;=$C$25*12,AE552-$C$10-'RE Calculations'!$C739-'Mortgage Calculators (By Month)'!$M570,"-")</f>
        <v>-</v>
      </c>
      <c r="AU552" s="29" t="str">
        <f t="shared" si="241"/>
        <v>-</v>
      </c>
      <c r="AV552" s="31" t="str">
        <f t="shared" si="242"/>
        <v>-</v>
      </c>
      <c r="AW552" s="8" t="str">
        <f t="shared" si="243"/>
        <v>-</v>
      </c>
      <c r="AX552" s="29" t="str">
        <f t="shared" si="244"/>
        <v>-</v>
      </c>
      <c r="AY552" s="31" t="str">
        <f t="shared" si="245"/>
        <v>-</v>
      </c>
    </row>
    <row r="553" spans="6:51" x14ac:dyDescent="0.35">
      <c r="F553" s="12" t="str">
        <f t="shared" si="246"/>
        <v>-</v>
      </c>
      <c r="G553" s="8" t="str">
        <f t="shared" si="247"/>
        <v>-</v>
      </c>
      <c r="H553" s="8" t="str">
        <f>IF($F553&lt;=$C$16*12,$G553-$C$7+SUM('Mortgage Calculators (By Month)'!$D$23:$D571),"-")</f>
        <v>-</v>
      </c>
      <c r="I553" s="8" t="str">
        <f t="shared" si="224"/>
        <v>-</v>
      </c>
      <c r="J553" s="8" t="str">
        <f>IF($F553&lt;=$C$16*12,SUM(Inputs!$C$61:$C$78)*'Forecast (By Month)'!I553,"-")</f>
        <v>-</v>
      </c>
      <c r="K553" s="8" t="str">
        <f>IF($F553&lt;=$C$16*12,(SUMIF(Inputs!$C$61:$C$78,0,Inputs!$F$61:$F$78)/12)*(1+$C$34)^ROUNDDOWN((F553-1)/12,0),"-")</f>
        <v>-</v>
      </c>
      <c r="L553" s="8" t="str">
        <f t="shared" si="225"/>
        <v>-</v>
      </c>
      <c r="M553" s="8" t="str">
        <f>IF($F553&lt;=$C$16*12,'Mortgage Calculators (By Month)'!$C571,"-")</f>
        <v>-</v>
      </c>
      <c r="N553" s="8" t="str">
        <f>IF($F553&lt;=$C$16*12,'Mortgage Calculators (By Month)'!$D571,"-")</f>
        <v>-</v>
      </c>
      <c r="O553" s="8" t="str">
        <f>IF($F553&lt;=$C$16*12,'Mortgage Calculators (By Month)'!$E571,"-")</f>
        <v>-</v>
      </c>
      <c r="P553" s="8" t="str">
        <f t="shared" si="250"/>
        <v>-</v>
      </c>
      <c r="Q553" s="8" t="str">
        <f t="shared" si="226"/>
        <v>-</v>
      </c>
      <c r="R553" s="8" t="str">
        <f t="shared" si="227"/>
        <v>-</v>
      </c>
      <c r="S553" s="8" t="str">
        <f t="shared" si="228"/>
        <v>-</v>
      </c>
      <c r="T553" s="8" t="str">
        <f t="shared" si="229"/>
        <v>-</v>
      </c>
      <c r="U553" s="8" t="str">
        <f>IF($F553&lt;=$C$16*12,SUM(T$5:T553),"-")</f>
        <v>-</v>
      </c>
      <c r="V553" s="8" t="str">
        <f>IF($F553&lt;=$C$16*12,G553-$C$10-'RE Calculations'!$C740-'Mortgage Calculators (By Month)'!$F571,"-")</f>
        <v>-</v>
      </c>
      <c r="W553" s="29" t="str">
        <f t="shared" si="230"/>
        <v>-</v>
      </c>
      <c r="X553" s="31" t="str">
        <f t="shared" si="231"/>
        <v>-</v>
      </c>
      <c r="Y553" s="8" t="str">
        <f t="shared" si="232"/>
        <v>-</v>
      </c>
      <c r="Z553" s="29" t="str">
        <f t="shared" si="233"/>
        <v>-</v>
      </c>
      <c r="AA553" s="31" t="str">
        <f t="shared" si="234"/>
        <v>-</v>
      </c>
      <c r="AD553" s="12" t="str">
        <f t="shared" si="248"/>
        <v>-</v>
      </c>
      <c r="AE553" s="8" t="str">
        <f t="shared" si="249"/>
        <v>-</v>
      </c>
      <c r="AF553" s="8" t="str">
        <f>IF($AD553&lt;=$C$25*12,$AE553-$C$7+SUM('Mortgage Calculators (By Month)'!$K$23:$K571),"-")</f>
        <v>-</v>
      </c>
      <c r="AG553" s="8" t="str">
        <f t="shared" si="235"/>
        <v>-</v>
      </c>
      <c r="AH553" s="8" t="str">
        <f>IF($AD553&lt;=$C$25*12,SUM(Inputs!$C$61:$C$78)*'Forecast (By Month)'!AG553,"-")</f>
        <v>-</v>
      </c>
      <c r="AI553" s="8" t="str">
        <f>IF($AD553&lt;=$C$25*12,(SUMIF(Inputs!$C$61:$C$78,0,Inputs!$F$61:$F$78)/12)*(1+$C$34)^ROUNDDOWN((AD553-1)/12,0),"-")</f>
        <v>-</v>
      </c>
      <c r="AJ553" s="8" t="str">
        <f t="shared" si="236"/>
        <v>-</v>
      </c>
      <c r="AK553" s="8" t="str">
        <f>IF($AD553&lt;=$C$25*12,'Mortgage Calculators (By Month)'!$J571,"-")</f>
        <v>-</v>
      </c>
      <c r="AL553" s="8" t="str">
        <f>IF($AD553&lt;=$C$25*12,'Mortgage Calculators (By Month)'!$K571,"-")</f>
        <v>-</v>
      </c>
      <c r="AM553" s="8" t="str">
        <f>IF($AD553&lt;=$C$25*12,'Mortgage Calculators (By Month)'!$L571,"-")</f>
        <v>-</v>
      </c>
      <c r="AN553" s="8" t="str">
        <f t="shared" si="251"/>
        <v>-</v>
      </c>
      <c r="AO553" s="8" t="str">
        <f t="shared" si="237"/>
        <v>-</v>
      </c>
      <c r="AP553" s="8" t="str">
        <f t="shared" si="238"/>
        <v>-</v>
      </c>
      <c r="AQ553" s="8" t="str">
        <f t="shared" si="239"/>
        <v>-</v>
      </c>
      <c r="AR553" s="8" t="str">
        <f t="shared" si="240"/>
        <v>-</v>
      </c>
      <c r="AS553" s="8" t="str">
        <f>IF($AD553&lt;=$C$25*12,SUM(AR$5:AR553),"-")</f>
        <v>-</v>
      </c>
      <c r="AT553" s="8" t="str">
        <f>IF($AD553&lt;=$C$25*12,AE553-$C$10-'RE Calculations'!$C740-'Mortgage Calculators (By Month)'!$M571,"-")</f>
        <v>-</v>
      </c>
      <c r="AU553" s="29" t="str">
        <f t="shared" si="241"/>
        <v>-</v>
      </c>
      <c r="AV553" s="31" t="str">
        <f t="shared" si="242"/>
        <v>-</v>
      </c>
      <c r="AW553" s="8" t="str">
        <f t="shared" si="243"/>
        <v>-</v>
      </c>
      <c r="AX553" s="29" t="str">
        <f t="shared" si="244"/>
        <v>-</v>
      </c>
      <c r="AY553" s="31" t="str">
        <f t="shared" si="245"/>
        <v>-</v>
      </c>
    </row>
    <row r="554" spans="6:51" x14ac:dyDescent="0.35">
      <c r="F554" s="12" t="str">
        <f t="shared" si="246"/>
        <v>-</v>
      </c>
      <c r="G554" s="8" t="str">
        <f t="shared" si="247"/>
        <v>-</v>
      </c>
      <c r="H554" s="8" t="str">
        <f>IF($F554&lt;=$C$16*12,$G554-$C$7+SUM('Mortgage Calculators (By Month)'!$D$23:$D572),"-")</f>
        <v>-</v>
      </c>
      <c r="I554" s="8" t="str">
        <f t="shared" si="224"/>
        <v>-</v>
      </c>
      <c r="J554" s="8" t="str">
        <f>IF($F554&lt;=$C$16*12,SUM(Inputs!$C$61:$C$78)*'Forecast (By Month)'!I554,"-")</f>
        <v>-</v>
      </c>
      <c r="K554" s="8" t="str">
        <f>IF($F554&lt;=$C$16*12,(SUMIF(Inputs!$C$61:$C$78,0,Inputs!$F$61:$F$78)/12)*(1+$C$34)^ROUNDDOWN((F554-1)/12,0),"-")</f>
        <v>-</v>
      </c>
      <c r="L554" s="8" t="str">
        <f t="shared" si="225"/>
        <v>-</v>
      </c>
      <c r="M554" s="8" t="str">
        <f>IF($F554&lt;=$C$16*12,'Mortgage Calculators (By Month)'!$C572,"-")</f>
        <v>-</v>
      </c>
      <c r="N554" s="8" t="str">
        <f>IF($F554&lt;=$C$16*12,'Mortgage Calculators (By Month)'!$D572,"-")</f>
        <v>-</v>
      </c>
      <c r="O554" s="8" t="str">
        <f>IF($F554&lt;=$C$16*12,'Mortgage Calculators (By Month)'!$E572,"-")</f>
        <v>-</v>
      </c>
      <c r="P554" s="8" t="str">
        <f t="shared" si="250"/>
        <v>-</v>
      </c>
      <c r="Q554" s="8" t="str">
        <f t="shared" si="226"/>
        <v>-</v>
      </c>
      <c r="R554" s="8" t="str">
        <f t="shared" si="227"/>
        <v>-</v>
      </c>
      <c r="S554" s="8" t="str">
        <f t="shared" si="228"/>
        <v>-</v>
      </c>
      <c r="T554" s="8" t="str">
        <f t="shared" si="229"/>
        <v>-</v>
      </c>
      <c r="U554" s="8" t="str">
        <f>IF($F554&lt;=$C$16*12,SUM(T$5:T554),"-")</f>
        <v>-</v>
      </c>
      <c r="V554" s="8" t="str">
        <f>IF($F554&lt;=$C$16*12,G554-$C$10-'RE Calculations'!$C741-'Mortgage Calculators (By Month)'!$F572,"-")</f>
        <v>-</v>
      </c>
      <c r="W554" s="29" t="str">
        <f t="shared" si="230"/>
        <v>-</v>
      </c>
      <c r="X554" s="31" t="str">
        <f t="shared" si="231"/>
        <v>-</v>
      </c>
      <c r="Y554" s="8" t="str">
        <f t="shared" si="232"/>
        <v>-</v>
      </c>
      <c r="Z554" s="29" t="str">
        <f t="shared" si="233"/>
        <v>-</v>
      </c>
      <c r="AA554" s="31" t="str">
        <f t="shared" si="234"/>
        <v>-</v>
      </c>
      <c r="AD554" s="12" t="str">
        <f t="shared" si="248"/>
        <v>-</v>
      </c>
      <c r="AE554" s="8" t="str">
        <f t="shared" si="249"/>
        <v>-</v>
      </c>
      <c r="AF554" s="8" t="str">
        <f>IF($AD554&lt;=$C$25*12,$AE554-$C$7+SUM('Mortgage Calculators (By Month)'!$K$23:$K572),"-")</f>
        <v>-</v>
      </c>
      <c r="AG554" s="8" t="str">
        <f t="shared" si="235"/>
        <v>-</v>
      </c>
      <c r="AH554" s="8" t="str">
        <f>IF($AD554&lt;=$C$25*12,SUM(Inputs!$C$61:$C$78)*'Forecast (By Month)'!AG554,"-")</f>
        <v>-</v>
      </c>
      <c r="AI554" s="8" t="str">
        <f>IF($AD554&lt;=$C$25*12,(SUMIF(Inputs!$C$61:$C$78,0,Inputs!$F$61:$F$78)/12)*(1+$C$34)^ROUNDDOWN((AD554-1)/12,0),"-")</f>
        <v>-</v>
      </c>
      <c r="AJ554" s="8" t="str">
        <f t="shared" si="236"/>
        <v>-</v>
      </c>
      <c r="AK554" s="8" t="str">
        <f>IF($AD554&lt;=$C$25*12,'Mortgage Calculators (By Month)'!$J572,"-")</f>
        <v>-</v>
      </c>
      <c r="AL554" s="8" t="str">
        <f>IF($AD554&lt;=$C$25*12,'Mortgage Calculators (By Month)'!$K572,"-")</f>
        <v>-</v>
      </c>
      <c r="AM554" s="8" t="str">
        <f>IF($AD554&lt;=$C$25*12,'Mortgage Calculators (By Month)'!$L572,"-")</f>
        <v>-</v>
      </c>
      <c r="AN554" s="8" t="str">
        <f t="shared" si="251"/>
        <v>-</v>
      </c>
      <c r="AO554" s="8" t="str">
        <f t="shared" si="237"/>
        <v>-</v>
      </c>
      <c r="AP554" s="8" t="str">
        <f t="shared" si="238"/>
        <v>-</v>
      </c>
      <c r="AQ554" s="8" t="str">
        <f t="shared" si="239"/>
        <v>-</v>
      </c>
      <c r="AR554" s="8" t="str">
        <f t="shared" si="240"/>
        <v>-</v>
      </c>
      <c r="AS554" s="8" t="str">
        <f>IF($AD554&lt;=$C$25*12,SUM(AR$5:AR554),"-")</f>
        <v>-</v>
      </c>
      <c r="AT554" s="8" t="str">
        <f>IF($AD554&lt;=$C$25*12,AE554-$C$10-'RE Calculations'!$C741-'Mortgage Calculators (By Month)'!$M572,"-")</f>
        <v>-</v>
      </c>
      <c r="AU554" s="29" t="str">
        <f t="shared" si="241"/>
        <v>-</v>
      </c>
      <c r="AV554" s="31" t="str">
        <f t="shared" si="242"/>
        <v>-</v>
      </c>
      <c r="AW554" s="8" t="str">
        <f t="shared" si="243"/>
        <v>-</v>
      </c>
      <c r="AX554" s="29" t="str">
        <f t="shared" si="244"/>
        <v>-</v>
      </c>
      <c r="AY554" s="31" t="str">
        <f t="shared" si="245"/>
        <v>-</v>
      </c>
    </row>
    <row r="555" spans="6:51" x14ac:dyDescent="0.35">
      <c r="F555" s="12" t="str">
        <f t="shared" si="246"/>
        <v>-</v>
      </c>
      <c r="G555" s="8" t="str">
        <f t="shared" si="247"/>
        <v>-</v>
      </c>
      <c r="H555" s="8" t="str">
        <f>IF($F555&lt;=$C$16*12,$G555-$C$7+SUM('Mortgage Calculators (By Month)'!$D$23:$D573),"-")</f>
        <v>-</v>
      </c>
      <c r="I555" s="8" t="str">
        <f t="shared" si="224"/>
        <v>-</v>
      </c>
      <c r="J555" s="8" t="str">
        <f>IF($F555&lt;=$C$16*12,SUM(Inputs!$C$61:$C$78)*'Forecast (By Month)'!I555,"-")</f>
        <v>-</v>
      </c>
      <c r="K555" s="8" t="str">
        <f>IF($F555&lt;=$C$16*12,(SUMIF(Inputs!$C$61:$C$78,0,Inputs!$F$61:$F$78)/12)*(1+$C$34)^ROUNDDOWN((F555-1)/12,0),"-")</f>
        <v>-</v>
      </c>
      <c r="L555" s="8" t="str">
        <f t="shared" si="225"/>
        <v>-</v>
      </c>
      <c r="M555" s="8" t="str">
        <f>IF($F555&lt;=$C$16*12,'Mortgage Calculators (By Month)'!$C573,"-")</f>
        <v>-</v>
      </c>
      <c r="N555" s="8" t="str">
        <f>IF($F555&lt;=$C$16*12,'Mortgage Calculators (By Month)'!$D573,"-")</f>
        <v>-</v>
      </c>
      <c r="O555" s="8" t="str">
        <f>IF($F555&lt;=$C$16*12,'Mortgage Calculators (By Month)'!$E573,"-")</f>
        <v>-</v>
      </c>
      <c r="P555" s="8" t="str">
        <f t="shared" si="250"/>
        <v>-</v>
      </c>
      <c r="Q555" s="8" t="str">
        <f t="shared" si="226"/>
        <v>-</v>
      </c>
      <c r="R555" s="8" t="str">
        <f t="shared" si="227"/>
        <v>-</v>
      </c>
      <c r="S555" s="8" t="str">
        <f t="shared" si="228"/>
        <v>-</v>
      </c>
      <c r="T555" s="8" t="str">
        <f t="shared" si="229"/>
        <v>-</v>
      </c>
      <c r="U555" s="8" t="str">
        <f>IF($F555&lt;=$C$16*12,SUM(T$5:T555),"-")</f>
        <v>-</v>
      </c>
      <c r="V555" s="8" t="str">
        <f>IF($F555&lt;=$C$16*12,G555-$C$10-'RE Calculations'!$C742-'Mortgage Calculators (By Month)'!$F573,"-")</f>
        <v>-</v>
      </c>
      <c r="W555" s="29" t="str">
        <f t="shared" si="230"/>
        <v>-</v>
      </c>
      <c r="X555" s="31" t="str">
        <f t="shared" si="231"/>
        <v>-</v>
      </c>
      <c r="Y555" s="8" t="str">
        <f t="shared" si="232"/>
        <v>-</v>
      </c>
      <c r="Z555" s="29" t="str">
        <f t="shared" si="233"/>
        <v>-</v>
      </c>
      <c r="AA555" s="31" t="str">
        <f t="shared" si="234"/>
        <v>-</v>
      </c>
      <c r="AD555" s="12" t="str">
        <f t="shared" si="248"/>
        <v>-</v>
      </c>
      <c r="AE555" s="8" t="str">
        <f t="shared" si="249"/>
        <v>-</v>
      </c>
      <c r="AF555" s="8" t="str">
        <f>IF($AD555&lt;=$C$25*12,$AE555-$C$7+SUM('Mortgage Calculators (By Month)'!$K$23:$K573),"-")</f>
        <v>-</v>
      </c>
      <c r="AG555" s="8" t="str">
        <f t="shared" si="235"/>
        <v>-</v>
      </c>
      <c r="AH555" s="8" t="str">
        <f>IF($AD555&lt;=$C$25*12,SUM(Inputs!$C$61:$C$78)*'Forecast (By Month)'!AG555,"-")</f>
        <v>-</v>
      </c>
      <c r="AI555" s="8" t="str">
        <f>IF($AD555&lt;=$C$25*12,(SUMIF(Inputs!$C$61:$C$78,0,Inputs!$F$61:$F$78)/12)*(1+$C$34)^ROUNDDOWN((AD555-1)/12,0),"-")</f>
        <v>-</v>
      </c>
      <c r="AJ555" s="8" t="str">
        <f t="shared" si="236"/>
        <v>-</v>
      </c>
      <c r="AK555" s="8" t="str">
        <f>IF($AD555&lt;=$C$25*12,'Mortgage Calculators (By Month)'!$J573,"-")</f>
        <v>-</v>
      </c>
      <c r="AL555" s="8" t="str">
        <f>IF($AD555&lt;=$C$25*12,'Mortgage Calculators (By Month)'!$K573,"-")</f>
        <v>-</v>
      </c>
      <c r="AM555" s="8" t="str">
        <f>IF($AD555&lt;=$C$25*12,'Mortgage Calculators (By Month)'!$L573,"-")</f>
        <v>-</v>
      </c>
      <c r="AN555" s="8" t="str">
        <f t="shared" si="251"/>
        <v>-</v>
      </c>
      <c r="AO555" s="8" t="str">
        <f t="shared" si="237"/>
        <v>-</v>
      </c>
      <c r="AP555" s="8" t="str">
        <f t="shared" si="238"/>
        <v>-</v>
      </c>
      <c r="AQ555" s="8" t="str">
        <f t="shared" si="239"/>
        <v>-</v>
      </c>
      <c r="AR555" s="8" t="str">
        <f t="shared" si="240"/>
        <v>-</v>
      </c>
      <c r="AS555" s="8" t="str">
        <f>IF($AD555&lt;=$C$25*12,SUM(AR$5:AR555),"-")</f>
        <v>-</v>
      </c>
      <c r="AT555" s="8" t="str">
        <f>IF($AD555&lt;=$C$25*12,AE555-$C$10-'RE Calculations'!$C742-'Mortgage Calculators (By Month)'!$M573,"-")</f>
        <v>-</v>
      </c>
      <c r="AU555" s="29" t="str">
        <f t="shared" si="241"/>
        <v>-</v>
      </c>
      <c r="AV555" s="31" t="str">
        <f t="shared" si="242"/>
        <v>-</v>
      </c>
      <c r="AW555" s="8" t="str">
        <f t="shared" si="243"/>
        <v>-</v>
      </c>
      <c r="AX555" s="29" t="str">
        <f t="shared" si="244"/>
        <v>-</v>
      </c>
      <c r="AY555" s="31" t="str">
        <f t="shared" si="245"/>
        <v>-</v>
      </c>
    </row>
    <row r="556" spans="6:51" x14ac:dyDescent="0.35">
      <c r="F556" s="12" t="str">
        <f t="shared" si="246"/>
        <v>-</v>
      </c>
      <c r="G556" s="8" t="str">
        <f t="shared" si="247"/>
        <v>-</v>
      </c>
      <c r="H556" s="8" t="str">
        <f>IF($F556&lt;=$C$16*12,$G556-$C$7+SUM('Mortgage Calculators (By Month)'!$D$23:$D574),"-")</f>
        <v>-</v>
      </c>
      <c r="I556" s="8" t="str">
        <f t="shared" si="224"/>
        <v>-</v>
      </c>
      <c r="J556" s="8" t="str">
        <f>IF($F556&lt;=$C$16*12,SUM(Inputs!$C$61:$C$78)*'Forecast (By Month)'!I556,"-")</f>
        <v>-</v>
      </c>
      <c r="K556" s="8" t="str">
        <f>IF($F556&lt;=$C$16*12,(SUMIF(Inputs!$C$61:$C$78,0,Inputs!$F$61:$F$78)/12)*(1+$C$34)^ROUNDDOWN((F556-1)/12,0),"-")</f>
        <v>-</v>
      </c>
      <c r="L556" s="8" t="str">
        <f t="shared" si="225"/>
        <v>-</v>
      </c>
      <c r="M556" s="8" t="str">
        <f>IF($F556&lt;=$C$16*12,'Mortgage Calculators (By Month)'!$C574,"-")</f>
        <v>-</v>
      </c>
      <c r="N556" s="8" t="str">
        <f>IF($F556&lt;=$C$16*12,'Mortgage Calculators (By Month)'!$D574,"-")</f>
        <v>-</v>
      </c>
      <c r="O556" s="8" t="str">
        <f>IF($F556&lt;=$C$16*12,'Mortgage Calculators (By Month)'!$E574,"-")</f>
        <v>-</v>
      </c>
      <c r="P556" s="8" t="str">
        <f t="shared" si="250"/>
        <v>-</v>
      </c>
      <c r="Q556" s="8" t="str">
        <f t="shared" si="226"/>
        <v>-</v>
      </c>
      <c r="R556" s="8" t="str">
        <f t="shared" si="227"/>
        <v>-</v>
      </c>
      <c r="S556" s="8" t="str">
        <f t="shared" si="228"/>
        <v>-</v>
      </c>
      <c r="T556" s="8" t="str">
        <f t="shared" si="229"/>
        <v>-</v>
      </c>
      <c r="U556" s="8" t="str">
        <f>IF($F556&lt;=$C$16*12,SUM(T$5:T556),"-")</f>
        <v>-</v>
      </c>
      <c r="V556" s="8" t="str">
        <f>IF($F556&lt;=$C$16*12,G556-$C$10-'RE Calculations'!$C743-'Mortgage Calculators (By Month)'!$F574,"-")</f>
        <v>-</v>
      </c>
      <c r="W556" s="29" t="str">
        <f t="shared" si="230"/>
        <v>-</v>
      </c>
      <c r="X556" s="31" t="str">
        <f t="shared" si="231"/>
        <v>-</v>
      </c>
      <c r="Y556" s="8" t="str">
        <f t="shared" si="232"/>
        <v>-</v>
      </c>
      <c r="Z556" s="29" t="str">
        <f t="shared" si="233"/>
        <v>-</v>
      </c>
      <c r="AA556" s="31" t="str">
        <f t="shared" si="234"/>
        <v>-</v>
      </c>
      <c r="AD556" s="12" t="str">
        <f t="shared" si="248"/>
        <v>-</v>
      </c>
      <c r="AE556" s="8" t="str">
        <f t="shared" si="249"/>
        <v>-</v>
      </c>
      <c r="AF556" s="8" t="str">
        <f>IF($AD556&lt;=$C$25*12,$AE556-$C$7+SUM('Mortgage Calculators (By Month)'!$K$23:$K574),"-")</f>
        <v>-</v>
      </c>
      <c r="AG556" s="8" t="str">
        <f t="shared" si="235"/>
        <v>-</v>
      </c>
      <c r="AH556" s="8" t="str">
        <f>IF($AD556&lt;=$C$25*12,SUM(Inputs!$C$61:$C$78)*'Forecast (By Month)'!AG556,"-")</f>
        <v>-</v>
      </c>
      <c r="AI556" s="8" t="str">
        <f>IF($AD556&lt;=$C$25*12,(SUMIF(Inputs!$C$61:$C$78,0,Inputs!$F$61:$F$78)/12)*(1+$C$34)^ROUNDDOWN((AD556-1)/12,0),"-")</f>
        <v>-</v>
      </c>
      <c r="AJ556" s="8" t="str">
        <f t="shared" si="236"/>
        <v>-</v>
      </c>
      <c r="AK556" s="8" t="str">
        <f>IF($AD556&lt;=$C$25*12,'Mortgage Calculators (By Month)'!$J574,"-")</f>
        <v>-</v>
      </c>
      <c r="AL556" s="8" t="str">
        <f>IF($AD556&lt;=$C$25*12,'Mortgage Calculators (By Month)'!$K574,"-")</f>
        <v>-</v>
      </c>
      <c r="AM556" s="8" t="str">
        <f>IF($AD556&lt;=$C$25*12,'Mortgage Calculators (By Month)'!$L574,"-")</f>
        <v>-</v>
      </c>
      <c r="AN556" s="8" t="str">
        <f t="shared" si="251"/>
        <v>-</v>
      </c>
      <c r="AO556" s="8" t="str">
        <f t="shared" si="237"/>
        <v>-</v>
      </c>
      <c r="AP556" s="8" t="str">
        <f t="shared" si="238"/>
        <v>-</v>
      </c>
      <c r="AQ556" s="8" t="str">
        <f t="shared" si="239"/>
        <v>-</v>
      </c>
      <c r="AR556" s="8" t="str">
        <f t="shared" si="240"/>
        <v>-</v>
      </c>
      <c r="AS556" s="8" t="str">
        <f>IF($AD556&lt;=$C$25*12,SUM(AR$5:AR556),"-")</f>
        <v>-</v>
      </c>
      <c r="AT556" s="8" t="str">
        <f>IF($AD556&lt;=$C$25*12,AE556-$C$10-'RE Calculations'!$C743-'Mortgage Calculators (By Month)'!$M574,"-")</f>
        <v>-</v>
      </c>
      <c r="AU556" s="29" t="str">
        <f t="shared" si="241"/>
        <v>-</v>
      </c>
      <c r="AV556" s="31" t="str">
        <f t="shared" si="242"/>
        <v>-</v>
      </c>
      <c r="AW556" s="8" t="str">
        <f t="shared" si="243"/>
        <v>-</v>
      </c>
      <c r="AX556" s="29" t="str">
        <f t="shared" si="244"/>
        <v>-</v>
      </c>
      <c r="AY556" s="31" t="str">
        <f t="shared" si="245"/>
        <v>-</v>
      </c>
    </row>
    <row r="557" spans="6:51" x14ac:dyDescent="0.35">
      <c r="F557" s="12" t="str">
        <f t="shared" si="246"/>
        <v>-</v>
      </c>
      <c r="G557" s="8" t="str">
        <f t="shared" si="247"/>
        <v>-</v>
      </c>
      <c r="H557" s="8" t="str">
        <f>IF($F557&lt;=$C$16*12,$G557-$C$7+SUM('Mortgage Calculators (By Month)'!$D$23:$D575),"-")</f>
        <v>-</v>
      </c>
      <c r="I557" s="8" t="str">
        <f t="shared" si="224"/>
        <v>-</v>
      </c>
      <c r="J557" s="8" t="str">
        <f>IF($F557&lt;=$C$16*12,SUM(Inputs!$C$61:$C$78)*'Forecast (By Month)'!I557,"-")</f>
        <v>-</v>
      </c>
      <c r="K557" s="8" t="str">
        <f>IF($F557&lt;=$C$16*12,(SUMIF(Inputs!$C$61:$C$78,0,Inputs!$F$61:$F$78)/12)*(1+$C$34)^ROUNDDOWN((F557-1)/12,0),"-")</f>
        <v>-</v>
      </c>
      <c r="L557" s="8" t="str">
        <f t="shared" si="225"/>
        <v>-</v>
      </c>
      <c r="M557" s="8" t="str">
        <f>IF($F557&lt;=$C$16*12,'Mortgage Calculators (By Month)'!$C575,"-")</f>
        <v>-</v>
      </c>
      <c r="N557" s="8" t="str">
        <f>IF($F557&lt;=$C$16*12,'Mortgage Calculators (By Month)'!$D575,"-")</f>
        <v>-</v>
      </c>
      <c r="O557" s="8" t="str">
        <f>IF($F557&lt;=$C$16*12,'Mortgage Calculators (By Month)'!$E575,"-")</f>
        <v>-</v>
      </c>
      <c r="P557" s="8" t="str">
        <f t="shared" si="250"/>
        <v>-</v>
      </c>
      <c r="Q557" s="8" t="str">
        <f t="shared" si="226"/>
        <v>-</v>
      </c>
      <c r="R557" s="8" t="str">
        <f t="shared" si="227"/>
        <v>-</v>
      </c>
      <c r="S557" s="8" t="str">
        <f t="shared" si="228"/>
        <v>-</v>
      </c>
      <c r="T557" s="8" t="str">
        <f t="shared" si="229"/>
        <v>-</v>
      </c>
      <c r="U557" s="8" t="str">
        <f>IF($F557&lt;=$C$16*12,SUM(T$5:T557),"-")</f>
        <v>-</v>
      </c>
      <c r="V557" s="8" t="str">
        <f>IF($F557&lt;=$C$16*12,G557-$C$10-'RE Calculations'!$C744-'Mortgage Calculators (By Month)'!$F575,"-")</f>
        <v>-</v>
      </c>
      <c r="W557" s="29" t="str">
        <f t="shared" si="230"/>
        <v>-</v>
      </c>
      <c r="X557" s="31" t="str">
        <f t="shared" si="231"/>
        <v>-</v>
      </c>
      <c r="Y557" s="8" t="str">
        <f t="shared" si="232"/>
        <v>-</v>
      </c>
      <c r="Z557" s="29" t="str">
        <f t="shared" si="233"/>
        <v>-</v>
      </c>
      <c r="AA557" s="31" t="str">
        <f t="shared" si="234"/>
        <v>-</v>
      </c>
      <c r="AD557" s="12" t="str">
        <f t="shared" si="248"/>
        <v>-</v>
      </c>
      <c r="AE557" s="8" t="str">
        <f t="shared" si="249"/>
        <v>-</v>
      </c>
      <c r="AF557" s="8" t="str">
        <f>IF($AD557&lt;=$C$25*12,$AE557-$C$7+SUM('Mortgage Calculators (By Month)'!$K$23:$K575),"-")</f>
        <v>-</v>
      </c>
      <c r="AG557" s="8" t="str">
        <f t="shared" si="235"/>
        <v>-</v>
      </c>
      <c r="AH557" s="8" t="str">
        <f>IF($AD557&lt;=$C$25*12,SUM(Inputs!$C$61:$C$78)*'Forecast (By Month)'!AG557,"-")</f>
        <v>-</v>
      </c>
      <c r="AI557" s="8" t="str">
        <f>IF($AD557&lt;=$C$25*12,(SUMIF(Inputs!$C$61:$C$78,0,Inputs!$F$61:$F$78)/12)*(1+$C$34)^ROUNDDOWN((AD557-1)/12,0),"-")</f>
        <v>-</v>
      </c>
      <c r="AJ557" s="8" t="str">
        <f t="shared" si="236"/>
        <v>-</v>
      </c>
      <c r="AK557" s="8" t="str">
        <f>IF($AD557&lt;=$C$25*12,'Mortgage Calculators (By Month)'!$J575,"-")</f>
        <v>-</v>
      </c>
      <c r="AL557" s="8" t="str">
        <f>IF($AD557&lt;=$C$25*12,'Mortgage Calculators (By Month)'!$K575,"-")</f>
        <v>-</v>
      </c>
      <c r="AM557" s="8" t="str">
        <f>IF($AD557&lt;=$C$25*12,'Mortgage Calculators (By Month)'!$L575,"-")</f>
        <v>-</v>
      </c>
      <c r="AN557" s="8" t="str">
        <f t="shared" si="251"/>
        <v>-</v>
      </c>
      <c r="AO557" s="8" t="str">
        <f t="shared" si="237"/>
        <v>-</v>
      </c>
      <c r="AP557" s="8" t="str">
        <f t="shared" si="238"/>
        <v>-</v>
      </c>
      <c r="AQ557" s="8" t="str">
        <f t="shared" si="239"/>
        <v>-</v>
      </c>
      <c r="AR557" s="8" t="str">
        <f t="shared" si="240"/>
        <v>-</v>
      </c>
      <c r="AS557" s="8" t="str">
        <f>IF($AD557&lt;=$C$25*12,SUM(AR$5:AR557),"-")</f>
        <v>-</v>
      </c>
      <c r="AT557" s="8" t="str">
        <f>IF($AD557&lt;=$C$25*12,AE557-$C$10-'RE Calculations'!$C744-'Mortgage Calculators (By Month)'!$M575,"-")</f>
        <v>-</v>
      </c>
      <c r="AU557" s="29" t="str">
        <f t="shared" si="241"/>
        <v>-</v>
      </c>
      <c r="AV557" s="31" t="str">
        <f t="shared" si="242"/>
        <v>-</v>
      </c>
      <c r="AW557" s="8" t="str">
        <f t="shared" si="243"/>
        <v>-</v>
      </c>
      <c r="AX557" s="29" t="str">
        <f t="shared" si="244"/>
        <v>-</v>
      </c>
      <c r="AY557" s="31" t="str">
        <f t="shared" si="245"/>
        <v>-</v>
      </c>
    </row>
    <row r="558" spans="6:51" x14ac:dyDescent="0.35">
      <c r="F558" s="12" t="str">
        <f t="shared" si="246"/>
        <v>-</v>
      </c>
      <c r="G558" s="8" t="str">
        <f t="shared" si="247"/>
        <v>-</v>
      </c>
      <c r="H558" s="8" t="str">
        <f>IF($F558&lt;=$C$16*12,$G558-$C$7+SUM('Mortgage Calculators (By Month)'!$D$23:$D576),"-")</f>
        <v>-</v>
      </c>
      <c r="I558" s="8" t="str">
        <f t="shared" ref="I558:I605" si="252">IF($F558&lt;=$C$16*12,$C$9*(1+$C$33)^ROUNDDOWN((F558-1)/12,0),"-")</f>
        <v>-</v>
      </c>
      <c r="J558" s="8" t="str">
        <f>IF($F558&lt;=$C$16*12,SUM(Inputs!$C$61:$C$78)*'Forecast (By Month)'!I558,"-")</f>
        <v>-</v>
      </c>
      <c r="K558" s="8" t="str">
        <f>IF($F558&lt;=$C$16*12,(SUMIF(Inputs!$C$61:$C$78,0,Inputs!$F$61:$F$78)/12)*(1+$C$34)^ROUNDDOWN((F558-1)/12,0),"-")</f>
        <v>-</v>
      </c>
      <c r="L558" s="8" t="str">
        <f t="shared" ref="L558:L605" si="253">IF($F558&lt;=$C$16*12,SUM(J558:K558),"-")</f>
        <v>-</v>
      </c>
      <c r="M558" s="8" t="str">
        <f>IF($F558&lt;=$C$16*12,'Mortgage Calculators (By Month)'!$C576,"-")</f>
        <v>-</v>
      </c>
      <c r="N558" s="8" t="str">
        <f>IF($F558&lt;=$C$16*12,'Mortgage Calculators (By Month)'!$D576,"-")</f>
        <v>-</v>
      </c>
      <c r="O558" s="8" t="str">
        <f>IF($F558&lt;=$C$16*12,'Mortgage Calculators (By Month)'!$E576,"-")</f>
        <v>-</v>
      </c>
      <c r="P558" s="8" t="str">
        <f t="shared" si="250"/>
        <v>-</v>
      </c>
      <c r="Q558" s="8" t="str">
        <f t="shared" ref="Q558:Q605" si="254">IF($F558&lt;=$C$16*12,L558+O558+P558,"-")</f>
        <v>-</v>
      </c>
      <c r="R558" s="8" t="str">
        <f t="shared" ref="R558:R605" si="255">IF($F558&lt;=$C$16*12,$I558-$L558-M558,"-")</f>
        <v>-</v>
      </c>
      <c r="S558" s="8" t="str">
        <f t="shared" ref="S558:S605" si="256">IF($F558&lt;=$C$16*12,(I558-Q558)*$C$35,"-")</f>
        <v>-</v>
      </c>
      <c r="T558" s="8" t="str">
        <f t="shared" ref="T558:T605" si="257">IF($F558&lt;=$C$16*12,R558-S558,"-")</f>
        <v>-</v>
      </c>
      <c r="U558" s="8" t="str">
        <f>IF($F558&lt;=$C$16*12,SUM(T$5:T558),"-")</f>
        <v>-</v>
      </c>
      <c r="V558" s="8" t="str">
        <f>IF($F558&lt;=$C$16*12,G558-$C$10-'RE Calculations'!$C745-'Mortgage Calculators (By Month)'!$F576,"-")</f>
        <v>-</v>
      </c>
      <c r="W558" s="29" t="str">
        <f t="shared" ref="W558:W605" si="258">IF($F558&lt;=$C$16*12,V558/$C$10,"-")</f>
        <v>-</v>
      </c>
      <c r="X558" s="31" t="str">
        <f t="shared" ref="X558:X605" si="259">IF($F558&lt;=$C$16*12,W558/($F558/12),"-")</f>
        <v>-</v>
      </c>
      <c r="Y558" s="8" t="str">
        <f t="shared" ref="Y558:Y605" si="260">IF($F558&lt;=$C$16*12,V558+U558,"-")</f>
        <v>-</v>
      </c>
      <c r="Z558" s="29" t="str">
        <f t="shared" ref="Z558:Z605" si="261">IF($F558&lt;=$C$16*12,Y558/$C$10,"-")</f>
        <v>-</v>
      </c>
      <c r="AA558" s="31" t="str">
        <f t="shared" ref="AA558:AA605" si="262">IF($F558&lt;=$C$16*12,Z558/($F558/12),"-")</f>
        <v>-</v>
      </c>
      <c r="AD558" s="12" t="str">
        <f t="shared" si="248"/>
        <v>-</v>
      </c>
      <c r="AE558" s="8" t="str">
        <f t="shared" si="249"/>
        <v>-</v>
      </c>
      <c r="AF558" s="8" t="str">
        <f>IF($AD558&lt;=$C$25*12,$AE558-$C$7+SUM('Mortgage Calculators (By Month)'!$K$23:$K576),"-")</f>
        <v>-</v>
      </c>
      <c r="AG558" s="8" t="str">
        <f t="shared" ref="AG558:AG605" si="263">IF($AD558&lt;=$C$25*12,$C$9*(1+$C$33)^ROUNDDOWN((AD558-1)/12,0),"-")</f>
        <v>-</v>
      </c>
      <c r="AH558" s="8" t="str">
        <f>IF($AD558&lt;=$C$25*12,SUM(Inputs!$C$61:$C$78)*'Forecast (By Month)'!AG558,"-")</f>
        <v>-</v>
      </c>
      <c r="AI558" s="8" t="str">
        <f>IF($AD558&lt;=$C$25*12,(SUMIF(Inputs!$C$61:$C$78,0,Inputs!$F$61:$F$78)/12)*(1+$C$34)^ROUNDDOWN((AD558-1)/12,0),"-")</f>
        <v>-</v>
      </c>
      <c r="AJ558" s="8" t="str">
        <f t="shared" ref="AJ558:AJ605" si="264">IF($AD558&lt;=$C$25*12,SUM(AH558:AI558),"-")</f>
        <v>-</v>
      </c>
      <c r="AK558" s="8" t="str">
        <f>IF($AD558&lt;=$C$25*12,'Mortgage Calculators (By Month)'!$J576,"-")</f>
        <v>-</v>
      </c>
      <c r="AL558" s="8" t="str">
        <f>IF($AD558&lt;=$C$25*12,'Mortgage Calculators (By Month)'!$K576,"-")</f>
        <v>-</v>
      </c>
      <c r="AM558" s="8" t="str">
        <f>IF($AD558&lt;=$C$25*12,'Mortgage Calculators (By Month)'!$L576,"-")</f>
        <v>-</v>
      </c>
      <c r="AN558" s="8" t="str">
        <f t="shared" si="251"/>
        <v>-</v>
      </c>
      <c r="AO558" s="8" t="str">
        <f t="shared" ref="AO558:AO605" si="265">IF($AD558&lt;=$C$25*12,AJ558+AM558+AN558,"-")</f>
        <v>-</v>
      </c>
      <c r="AP558" s="8" t="str">
        <f t="shared" ref="AP558:AP605" si="266">IF($AD558&lt;=$C$25*12,$AG558-$AJ558-AK558,"-")</f>
        <v>-</v>
      </c>
      <c r="AQ558" s="8" t="str">
        <f t="shared" ref="AQ558:AQ605" si="267">IF($AD558&lt;=$C$25*12,(AG558-AO558)*$C$35,"-")</f>
        <v>-</v>
      </c>
      <c r="AR558" s="8" t="str">
        <f t="shared" ref="AR558:AR605" si="268">IF($AD558&lt;=$C$25*12,AP558-AQ558,"-")</f>
        <v>-</v>
      </c>
      <c r="AS558" s="8" t="str">
        <f>IF($AD558&lt;=$C$25*12,SUM(AR$5:AR558),"-")</f>
        <v>-</v>
      </c>
      <c r="AT558" s="8" t="str">
        <f>IF($AD558&lt;=$C$25*12,AE558-$C$10-'RE Calculations'!$C745-'Mortgage Calculators (By Month)'!$M576,"-")</f>
        <v>-</v>
      </c>
      <c r="AU558" s="29" t="str">
        <f t="shared" ref="AU558:AU605" si="269">IF($AD558&lt;=$C$25*12,AT558/$C$10,"-")</f>
        <v>-</v>
      </c>
      <c r="AV558" s="31" t="str">
        <f t="shared" ref="AV558:AV605" si="270">IF($AD558&lt;=$C$25*12,AU558/($AD558/12),"-")</f>
        <v>-</v>
      </c>
      <c r="AW558" s="8" t="str">
        <f t="shared" ref="AW558:AW605" si="271">IF($AD558&lt;=$C$25*12,AT558+AS558,"-")</f>
        <v>-</v>
      </c>
      <c r="AX558" s="29" t="str">
        <f t="shared" ref="AX558:AX605" si="272">IF($AD558&lt;=$C$25*12,AW558/$C$10,"-")</f>
        <v>-</v>
      </c>
      <c r="AY558" s="31" t="str">
        <f t="shared" ref="AY558:AY605" si="273">IF($AD558&lt;=$C$25*12,AX558/($AD558/12),"-")</f>
        <v>-</v>
      </c>
    </row>
    <row r="559" spans="6:51" x14ac:dyDescent="0.35">
      <c r="F559" s="12" t="str">
        <f t="shared" si="246"/>
        <v>-</v>
      </c>
      <c r="G559" s="8" t="str">
        <f t="shared" si="247"/>
        <v>-</v>
      </c>
      <c r="H559" s="8" t="str">
        <f>IF($F559&lt;=$C$16*12,$G559-$C$7+SUM('Mortgage Calculators (By Month)'!$D$23:$D577),"-")</f>
        <v>-</v>
      </c>
      <c r="I559" s="8" t="str">
        <f t="shared" si="252"/>
        <v>-</v>
      </c>
      <c r="J559" s="8" t="str">
        <f>IF($F559&lt;=$C$16*12,SUM(Inputs!$C$61:$C$78)*'Forecast (By Month)'!I559,"-")</f>
        <v>-</v>
      </c>
      <c r="K559" s="8" t="str">
        <f>IF($F559&lt;=$C$16*12,(SUMIF(Inputs!$C$61:$C$78,0,Inputs!$F$61:$F$78)/12)*(1+$C$34)^ROUNDDOWN((F559-1)/12,0),"-")</f>
        <v>-</v>
      </c>
      <c r="L559" s="8" t="str">
        <f t="shared" si="253"/>
        <v>-</v>
      </c>
      <c r="M559" s="8" t="str">
        <f>IF($F559&lt;=$C$16*12,'Mortgage Calculators (By Month)'!$C577,"-")</f>
        <v>-</v>
      </c>
      <c r="N559" s="8" t="str">
        <f>IF($F559&lt;=$C$16*12,'Mortgage Calculators (By Month)'!$D577,"-")</f>
        <v>-</v>
      </c>
      <c r="O559" s="8" t="str">
        <f>IF($F559&lt;=$C$16*12,'Mortgage Calculators (By Month)'!$E577,"-")</f>
        <v>-</v>
      </c>
      <c r="P559" s="8" t="str">
        <f t="shared" si="250"/>
        <v>-</v>
      </c>
      <c r="Q559" s="8" t="str">
        <f t="shared" si="254"/>
        <v>-</v>
      </c>
      <c r="R559" s="8" t="str">
        <f t="shared" si="255"/>
        <v>-</v>
      </c>
      <c r="S559" s="8" t="str">
        <f t="shared" si="256"/>
        <v>-</v>
      </c>
      <c r="T559" s="8" t="str">
        <f t="shared" si="257"/>
        <v>-</v>
      </c>
      <c r="U559" s="8" t="str">
        <f>IF($F559&lt;=$C$16*12,SUM(T$5:T559),"-")</f>
        <v>-</v>
      </c>
      <c r="V559" s="8" t="str">
        <f>IF($F559&lt;=$C$16*12,G559-$C$10-'RE Calculations'!$C746-'Mortgage Calculators (By Month)'!$F577,"-")</f>
        <v>-</v>
      </c>
      <c r="W559" s="29" t="str">
        <f t="shared" si="258"/>
        <v>-</v>
      </c>
      <c r="X559" s="31" t="str">
        <f t="shared" si="259"/>
        <v>-</v>
      </c>
      <c r="Y559" s="8" t="str">
        <f t="shared" si="260"/>
        <v>-</v>
      </c>
      <c r="Z559" s="29" t="str">
        <f t="shared" si="261"/>
        <v>-</v>
      </c>
      <c r="AA559" s="31" t="str">
        <f t="shared" si="262"/>
        <v>-</v>
      </c>
      <c r="AD559" s="12" t="str">
        <f t="shared" si="248"/>
        <v>-</v>
      </c>
      <c r="AE559" s="8" t="str">
        <f t="shared" si="249"/>
        <v>-</v>
      </c>
      <c r="AF559" s="8" t="str">
        <f>IF($AD559&lt;=$C$25*12,$AE559-$C$7+SUM('Mortgage Calculators (By Month)'!$K$23:$K577),"-")</f>
        <v>-</v>
      </c>
      <c r="AG559" s="8" t="str">
        <f t="shared" si="263"/>
        <v>-</v>
      </c>
      <c r="AH559" s="8" t="str">
        <f>IF($AD559&lt;=$C$25*12,SUM(Inputs!$C$61:$C$78)*'Forecast (By Month)'!AG559,"-")</f>
        <v>-</v>
      </c>
      <c r="AI559" s="8" t="str">
        <f>IF($AD559&lt;=$C$25*12,(SUMIF(Inputs!$C$61:$C$78,0,Inputs!$F$61:$F$78)/12)*(1+$C$34)^ROUNDDOWN((AD559-1)/12,0),"-")</f>
        <v>-</v>
      </c>
      <c r="AJ559" s="8" t="str">
        <f t="shared" si="264"/>
        <v>-</v>
      </c>
      <c r="AK559" s="8" t="str">
        <f>IF($AD559&lt;=$C$25*12,'Mortgage Calculators (By Month)'!$J577,"-")</f>
        <v>-</v>
      </c>
      <c r="AL559" s="8" t="str">
        <f>IF($AD559&lt;=$C$25*12,'Mortgage Calculators (By Month)'!$K577,"-")</f>
        <v>-</v>
      </c>
      <c r="AM559" s="8" t="str">
        <f>IF($AD559&lt;=$C$25*12,'Mortgage Calculators (By Month)'!$L577,"-")</f>
        <v>-</v>
      </c>
      <c r="AN559" s="8" t="str">
        <f t="shared" si="251"/>
        <v>-</v>
      </c>
      <c r="AO559" s="8" t="str">
        <f t="shared" si="265"/>
        <v>-</v>
      </c>
      <c r="AP559" s="8" t="str">
        <f t="shared" si="266"/>
        <v>-</v>
      </c>
      <c r="AQ559" s="8" t="str">
        <f t="shared" si="267"/>
        <v>-</v>
      </c>
      <c r="AR559" s="8" t="str">
        <f t="shared" si="268"/>
        <v>-</v>
      </c>
      <c r="AS559" s="8" t="str">
        <f>IF($AD559&lt;=$C$25*12,SUM(AR$5:AR559),"-")</f>
        <v>-</v>
      </c>
      <c r="AT559" s="8" t="str">
        <f>IF($AD559&lt;=$C$25*12,AE559-$C$10-'RE Calculations'!$C746-'Mortgage Calculators (By Month)'!$M577,"-")</f>
        <v>-</v>
      </c>
      <c r="AU559" s="29" t="str">
        <f t="shared" si="269"/>
        <v>-</v>
      </c>
      <c r="AV559" s="31" t="str">
        <f t="shared" si="270"/>
        <v>-</v>
      </c>
      <c r="AW559" s="8" t="str">
        <f t="shared" si="271"/>
        <v>-</v>
      </c>
      <c r="AX559" s="29" t="str">
        <f t="shared" si="272"/>
        <v>-</v>
      </c>
      <c r="AY559" s="31" t="str">
        <f t="shared" si="273"/>
        <v>-</v>
      </c>
    </row>
    <row r="560" spans="6:51" x14ac:dyDescent="0.35">
      <c r="F560" s="12" t="str">
        <f t="shared" si="246"/>
        <v>-</v>
      </c>
      <c r="G560" s="8" t="str">
        <f t="shared" si="247"/>
        <v>-</v>
      </c>
      <c r="H560" s="8" t="str">
        <f>IF($F560&lt;=$C$16*12,$G560-$C$7+SUM('Mortgage Calculators (By Month)'!$D$23:$D578),"-")</f>
        <v>-</v>
      </c>
      <c r="I560" s="8" t="str">
        <f t="shared" si="252"/>
        <v>-</v>
      </c>
      <c r="J560" s="8" t="str">
        <f>IF($F560&lt;=$C$16*12,SUM(Inputs!$C$61:$C$78)*'Forecast (By Month)'!I560,"-")</f>
        <v>-</v>
      </c>
      <c r="K560" s="8" t="str">
        <f>IF($F560&lt;=$C$16*12,(SUMIF(Inputs!$C$61:$C$78,0,Inputs!$F$61:$F$78)/12)*(1+$C$34)^ROUNDDOWN((F560-1)/12,0),"-")</f>
        <v>-</v>
      </c>
      <c r="L560" s="8" t="str">
        <f t="shared" si="253"/>
        <v>-</v>
      </c>
      <c r="M560" s="8" t="str">
        <f>IF($F560&lt;=$C$16*12,'Mortgage Calculators (By Month)'!$C578,"-")</f>
        <v>-</v>
      </c>
      <c r="N560" s="8" t="str">
        <f>IF($F560&lt;=$C$16*12,'Mortgage Calculators (By Month)'!$D578,"-")</f>
        <v>-</v>
      </c>
      <c r="O560" s="8" t="str">
        <f>IF($F560&lt;=$C$16*12,'Mortgage Calculators (By Month)'!$E578,"-")</f>
        <v>-</v>
      </c>
      <c r="P560" s="8" t="str">
        <f t="shared" si="250"/>
        <v>-</v>
      </c>
      <c r="Q560" s="8" t="str">
        <f t="shared" si="254"/>
        <v>-</v>
      </c>
      <c r="R560" s="8" t="str">
        <f t="shared" si="255"/>
        <v>-</v>
      </c>
      <c r="S560" s="8" t="str">
        <f t="shared" si="256"/>
        <v>-</v>
      </c>
      <c r="T560" s="8" t="str">
        <f t="shared" si="257"/>
        <v>-</v>
      </c>
      <c r="U560" s="8" t="str">
        <f>IF($F560&lt;=$C$16*12,SUM(T$5:T560),"-")</f>
        <v>-</v>
      </c>
      <c r="V560" s="8" t="str">
        <f>IF($F560&lt;=$C$16*12,G560-$C$10-'RE Calculations'!$C747-'Mortgage Calculators (By Month)'!$F578,"-")</f>
        <v>-</v>
      </c>
      <c r="W560" s="29" t="str">
        <f t="shared" si="258"/>
        <v>-</v>
      </c>
      <c r="X560" s="31" t="str">
        <f t="shared" si="259"/>
        <v>-</v>
      </c>
      <c r="Y560" s="8" t="str">
        <f t="shared" si="260"/>
        <v>-</v>
      </c>
      <c r="Z560" s="29" t="str">
        <f t="shared" si="261"/>
        <v>-</v>
      </c>
      <c r="AA560" s="31" t="str">
        <f t="shared" si="262"/>
        <v>-</v>
      </c>
      <c r="AD560" s="12" t="str">
        <f t="shared" si="248"/>
        <v>-</v>
      </c>
      <c r="AE560" s="8" t="str">
        <f t="shared" si="249"/>
        <v>-</v>
      </c>
      <c r="AF560" s="8" t="str">
        <f>IF($AD560&lt;=$C$25*12,$AE560-$C$7+SUM('Mortgage Calculators (By Month)'!$K$23:$K578),"-")</f>
        <v>-</v>
      </c>
      <c r="AG560" s="8" t="str">
        <f t="shared" si="263"/>
        <v>-</v>
      </c>
      <c r="AH560" s="8" t="str">
        <f>IF($AD560&lt;=$C$25*12,SUM(Inputs!$C$61:$C$78)*'Forecast (By Month)'!AG560,"-")</f>
        <v>-</v>
      </c>
      <c r="AI560" s="8" t="str">
        <f>IF($AD560&lt;=$C$25*12,(SUMIF(Inputs!$C$61:$C$78,0,Inputs!$F$61:$F$78)/12)*(1+$C$34)^ROUNDDOWN((AD560-1)/12,0),"-")</f>
        <v>-</v>
      </c>
      <c r="AJ560" s="8" t="str">
        <f t="shared" si="264"/>
        <v>-</v>
      </c>
      <c r="AK560" s="8" t="str">
        <f>IF($AD560&lt;=$C$25*12,'Mortgage Calculators (By Month)'!$J578,"-")</f>
        <v>-</v>
      </c>
      <c r="AL560" s="8" t="str">
        <f>IF($AD560&lt;=$C$25*12,'Mortgage Calculators (By Month)'!$K578,"-")</f>
        <v>-</v>
      </c>
      <c r="AM560" s="8" t="str">
        <f>IF($AD560&lt;=$C$25*12,'Mortgage Calculators (By Month)'!$L578,"-")</f>
        <v>-</v>
      </c>
      <c r="AN560" s="8" t="str">
        <f t="shared" si="251"/>
        <v>-</v>
      </c>
      <c r="AO560" s="8" t="str">
        <f t="shared" si="265"/>
        <v>-</v>
      </c>
      <c r="AP560" s="8" t="str">
        <f t="shared" si="266"/>
        <v>-</v>
      </c>
      <c r="AQ560" s="8" t="str">
        <f t="shared" si="267"/>
        <v>-</v>
      </c>
      <c r="AR560" s="8" t="str">
        <f t="shared" si="268"/>
        <v>-</v>
      </c>
      <c r="AS560" s="8" t="str">
        <f>IF($AD560&lt;=$C$25*12,SUM(AR$5:AR560),"-")</f>
        <v>-</v>
      </c>
      <c r="AT560" s="8" t="str">
        <f>IF($AD560&lt;=$C$25*12,AE560-$C$10-'RE Calculations'!$C747-'Mortgage Calculators (By Month)'!$M578,"-")</f>
        <v>-</v>
      </c>
      <c r="AU560" s="29" t="str">
        <f t="shared" si="269"/>
        <v>-</v>
      </c>
      <c r="AV560" s="31" t="str">
        <f t="shared" si="270"/>
        <v>-</v>
      </c>
      <c r="AW560" s="8" t="str">
        <f t="shared" si="271"/>
        <v>-</v>
      </c>
      <c r="AX560" s="29" t="str">
        <f t="shared" si="272"/>
        <v>-</v>
      </c>
      <c r="AY560" s="31" t="str">
        <f t="shared" si="273"/>
        <v>-</v>
      </c>
    </row>
    <row r="561" spans="6:51" x14ac:dyDescent="0.35">
      <c r="F561" s="12" t="str">
        <f t="shared" si="246"/>
        <v>-</v>
      </c>
      <c r="G561" s="8" t="str">
        <f t="shared" si="247"/>
        <v>-</v>
      </c>
      <c r="H561" s="8" t="str">
        <f>IF($F561&lt;=$C$16*12,$G561-$C$7+SUM('Mortgage Calculators (By Month)'!$D$23:$D579),"-")</f>
        <v>-</v>
      </c>
      <c r="I561" s="8" t="str">
        <f t="shared" si="252"/>
        <v>-</v>
      </c>
      <c r="J561" s="8" t="str">
        <f>IF($F561&lt;=$C$16*12,SUM(Inputs!$C$61:$C$78)*'Forecast (By Month)'!I561,"-")</f>
        <v>-</v>
      </c>
      <c r="K561" s="8" t="str">
        <f>IF($F561&lt;=$C$16*12,(SUMIF(Inputs!$C$61:$C$78,0,Inputs!$F$61:$F$78)/12)*(1+$C$34)^ROUNDDOWN((F561-1)/12,0),"-")</f>
        <v>-</v>
      </c>
      <c r="L561" s="8" t="str">
        <f t="shared" si="253"/>
        <v>-</v>
      </c>
      <c r="M561" s="8" t="str">
        <f>IF($F561&lt;=$C$16*12,'Mortgage Calculators (By Month)'!$C579,"-")</f>
        <v>-</v>
      </c>
      <c r="N561" s="8" t="str">
        <f>IF($F561&lt;=$C$16*12,'Mortgage Calculators (By Month)'!$D579,"-")</f>
        <v>-</v>
      </c>
      <c r="O561" s="8" t="str">
        <f>IF($F561&lt;=$C$16*12,'Mortgage Calculators (By Month)'!$E579,"-")</f>
        <v>-</v>
      </c>
      <c r="P561" s="8" t="str">
        <f t="shared" si="250"/>
        <v>-</v>
      </c>
      <c r="Q561" s="8" t="str">
        <f t="shared" si="254"/>
        <v>-</v>
      </c>
      <c r="R561" s="8" t="str">
        <f t="shared" si="255"/>
        <v>-</v>
      </c>
      <c r="S561" s="8" t="str">
        <f t="shared" si="256"/>
        <v>-</v>
      </c>
      <c r="T561" s="8" t="str">
        <f t="shared" si="257"/>
        <v>-</v>
      </c>
      <c r="U561" s="8" t="str">
        <f>IF($F561&lt;=$C$16*12,SUM(T$5:T561),"-")</f>
        <v>-</v>
      </c>
      <c r="V561" s="8" t="str">
        <f>IF($F561&lt;=$C$16*12,G561-$C$10-'RE Calculations'!$C748-'Mortgage Calculators (By Month)'!$F579,"-")</f>
        <v>-</v>
      </c>
      <c r="W561" s="29" t="str">
        <f t="shared" si="258"/>
        <v>-</v>
      </c>
      <c r="X561" s="31" t="str">
        <f t="shared" si="259"/>
        <v>-</v>
      </c>
      <c r="Y561" s="8" t="str">
        <f t="shared" si="260"/>
        <v>-</v>
      </c>
      <c r="Z561" s="29" t="str">
        <f t="shared" si="261"/>
        <v>-</v>
      </c>
      <c r="AA561" s="31" t="str">
        <f t="shared" si="262"/>
        <v>-</v>
      </c>
      <c r="AD561" s="12" t="str">
        <f t="shared" si="248"/>
        <v>-</v>
      </c>
      <c r="AE561" s="8" t="str">
        <f t="shared" si="249"/>
        <v>-</v>
      </c>
      <c r="AF561" s="8" t="str">
        <f>IF($AD561&lt;=$C$25*12,$AE561-$C$7+SUM('Mortgage Calculators (By Month)'!$K$23:$K579),"-")</f>
        <v>-</v>
      </c>
      <c r="AG561" s="8" t="str">
        <f t="shared" si="263"/>
        <v>-</v>
      </c>
      <c r="AH561" s="8" t="str">
        <f>IF($AD561&lt;=$C$25*12,SUM(Inputs!$C$61:$C$78)*'Forecast (By Month)'!AG561,"-")</f>
        <v>-</v>
      </c>
      <c r="AI561" s="8" t="str">
        <f>IF($AD561&lt;=$C$25*12,(SUMIF(Inputs!$C$61:$C$78,0,Inputs!$F$61:$F$78)/12)*(1+$C$34)^ROUNDDOWN((AD561-1)/12,0),"-")</f>
        <v>-</v>
      </c>
      <c r="AJ561" s="8" t="str">
        <f t="shared" si="264"/>
        <v>-</v>
      </c>
      <c r="AK561" s="8" t="str">
        <f>IF($AD561&lt;=$C$25*12,'Mortgage Calculators (By Month)'!$J579,"-")</f>
        <v>-</v>
      </c>
      <c r="AL561" s="8" t="str">
        <f>IF($AD561&lt;=$C$25*12,'Mortgage Calculators (By Month)'!$K579,"-")</f>
        <v>-</v>
      </c>
      <c r="AM561" s="8" t="str">
        <f>IF($AD561&lt;=$C$25*12,'Mortgage Calculators (By Month)'!$L579,"-")</f>
        <v>-</v>
      </c>
      <c r="AN561" s="8" t="str">
        <f t="shared" si="251"/>
        <v>-</v>
      </c>
      <c r="AO561" s="8" t="str">
        <f t="shared" si="265"/>
        <v>-</v>
      </c>
      <c r="AP561" s="8" t="str">
        <f t="shared" si="266"/>
        <v>-</v>
      </c>
      <c r="AQ561" s="8" t="str">
        <f t="shared" si="267"/>
        <v>-</v>
      </c>
      <c r="AR561" s="8" t="str">
        <f t="shared" si="268"/>
        <v>-</v>
      </c>
      <c r="AS561" s="8" t="str">
        <f>IF($AD561&lt;=$C$25*12,SUM(AR$5:AR561),"-")</f>
        <v>-</v>
      </c>
      <c r="AT561" s="8" t="str">
        <f>IF($AD561&lt;=$C$25*12,AE561-$C$10-'RE Calculations'!$C748-'Mortgage Calculators (By Month)'!$M579,"-")</f>
        <v>-</v>
      </c>
      <c r="AU561" s="29" t="str">
        <f t="shared" si="269"/>
        <v>-</v>
      </c>
      <c r="AV561" s="31" t="str">
        <f t="shared" si="270"/>
        <v>-</v>
      </c>
      <c r="AW561" s="8" t="str">
        <f t="shared" si="271"/>
        <v>-</v>
      </c>
      <c r="AX561" s="29" t="str">
        <f t="shared" si="272"/>
        <v>-</v>
      </c>
      <c r="AY561" s="31" t="str">
        <f t="shared" si="273"/>
        <v>-</v>
      </c>
    </row>
    <row r="562" spans="6:51" x14ac:dyDescent="0.35">
      <c r="F562" s="12" t="str">
        <f t="shared" si="246"/>
        <v>-</v>
      </c>
      <c r="G562" s="8" t="str">
        <f t="shared" si="247"/>
        <v>-</v>
      </c>
      <c r="H562" s="8" t="str">
        <f>IF($F562&lt;=$C$16*12,$G562-$C$7+SUM('Mortgage Calculators (By Month)'!$D$23:$D580),"-")</f>
        <v>-</v>
      </c>
      <c r="I562" s="8" t="str">
        <f t="shared" si="252"/>
        <v>-</v>
      </c>
      <c r="J562" s="8" t="str">
        <f>IF($F562&lt;=$C$16*12,SUM(Inputs!$C$61:$C$78)*'Forecast (By Month)'!I562,"-")</f>
        <v>-</v>
      </c>
      <c r="K562" s="8" t="str">
        <f>IF($F562&lt;=$C$16*12,(SUMIF(Inputs!$C$61:$C$78,0,Inputs!$F$61:$F$78)/12)*(1+$C$34)^ROUNDDOWN((F562-1)/12,0),"-")</f>
        <v>-</v>
      </c>
      <c r="L562" s="8" t="str">
        <f t="shared" si="253"/>
        <v>-</v>
      </c>
      <c r="M562" s="8" t="str">
        <f>IF($F562&lt;=$C$16*12,'Mortgage Calculators (By Month)'!$C580,"-")</f>
        <v>-</v>
      </c>
      <c r="N562" s="8" t="str">
        <f>IF($F562&lt;=$C$16*12,'Mortgage Calculators (By Month)'!$D580,"-")</f>
        <v>-</v>
      </c>
      <c r="O562" s="8" t="str">
        <f>IF($F562&lt;=$C$16*12,'Mortgage Calculators (By Month)'!$E580,"-")</f>
        <v>-</v>
      </c>
      <c r="P562" s="8" t="str">
        <f t="shared" si="250"/>
        <v>-</v>
      </c>
      <c r="Q562" s="8" t="str">
        <f t="shared" si="254"/>
        <v>-</v>
      </c>
      <c r="R562" s="8" t="str">
        <f t="shared" si="255"/>
        <v>-</v>
      </c>
      <c r="S562" s="8" t="str">
        <f t="shared" si="256"/>
        <v>-</v>
      </c>
      <c r="T562" s="8" t="str">
        <f t="shared" si="257"/>
        <v>-</v>
      </c>
      <c r="U562" s="8" t="str">
        <f>IF($F562&lt;=$C$16*12,SUM(T$5:T562),"-")</f>
        <v>-</v>
      </c>
      <c r="V562" s="8" t="str">
        <f>IF($F562&lt;=$C$16*12,G562-$C$10-'RE Calculations'!$C749-'Mortgage Calculators (By Month)'!$F580,"-")</f>
        <v>-</v>
      </c>
      <c r="W562" s="29" t="str">
        <f t="shared" si="258"/>
        <v>-</v>
      </c>
      <c r="X562" s="31" t="str">
        <f t="shared" si="259"/>
        <v>-</v>
      </c>
      <c r="Y562" s="8" t="str">
        <f t="shared" si="260"/>
        <v>-</v>
      </c>
      <c r="Z562" s="29" t="str">
        <f t="shared" si="261"/>
        <v>-</v>
      </c>
      <c r="AA562" s="31" t="str">
        <f t="shared" si="262"/>
        <v>-</v>
      </c>
      <c r="AD562" s="12" t="str">
        <f t="shared" si="248"/>
        <v>-</v>
      </c>
      <c r="AE562" s="8" t="str">
        <f t="shared" si="249"/>
        <v>-</v>
      </c>
      <c r="AF562" s="8" t="str">
        <f>IF($AD562&lt;=$C$25*12,$AE562-$C$7+SUM('Mortgage Calculators (By Month)'!$K$23:$K580),"-")</f>
        <v>-</v>
      </c>
      <c r="AG562" s="8" t="str">
        <f t="shared" si="263"/>
        <v>-</v>
      </c>
      <c r="AH562" s="8" t="str">
        <f>IF($AD562&lt;=$C$25*12,SUM(Inputs!$C$61:$C$78)*'Forecast (By Month)'!AG562,"-")</f>
        <v>-</v>
      </c>
      <c r="AI562" s="8" t="str">
        <f>IF($AD562&lt;=$C$25*12,(SUMIF(Inputs!$C$61:$C$78,0,Inputs!$F$61:$F$78)/12)*(1+$C$34)^ROUNDDOWN((AD562-1)/12,0),"-")</f>
        <v>-</v>
      </c>
      <c r="AJ562" s="8" t="str">
        <f t="shared" si="264"/>
        <v>-</v>
      </c>
      <c r="AK562" s="8" t="str">
        <f>IF($AD562&lt;=$C$25*12,'Mortgage Calculators (By Month)'!$J580,"-")</f>
        <v>-</v>
      </c>
      <c r="AL562" s="8" t="str">
        <f>IF($AD562&lt;=$C$25*12,'Mortgage Calculators (By Month)'!$K580,"-")</f>
        <v>-</v>
      </c>
      <c r="AM562" s="8" t="str">
        <f>IF($AD562&lt;=$C$25*12,'Mortgage Calculators (By Month)'!$L580,"-")</f>
        <v>-</v>
      </c>
      <c r="AN562" s="8" t="str">
        <f t="shared" si="251"/>
        <v>-</v>
      </c>
      <c r="AO562" s="8" t="str">
        <f t="shared" si="265"/>
        <v>-</v>
      </c>
      <c r="AP562" s="8" t="str">
        <f t="shared" si="266"/>
        <v>-</v>
      </c>
      <c r="AQ562" s="8" t="str">
        <f t="shared" si="267"/>
        <v>-</v>
      </c>
      <c r="AR562" s="8" t="str">
        <f t="shared" si="268"/>
        <v>-</v>
      </c>
      <c r="AS562" s="8" t="str">
        <f>IF($AD562&lt;=$C$25*12,SUM(AR$5:AR562),"-")</f>
        <v>-</v>
      </c>
      <c r="AT562" s="8" t="str">
        <f>IF($AD562&lt;=$C$25*12,AE562-$C$10-'RE Calculations'!$C749-'Mortgage Calculators (By Month)'!$M580,"-")</f>
        <v>-</v>
      </c>
      <c r="AU562" s="29" t="str">
        <f t="shared" si="269"/>
        <v>-</v>
      </c>
      <c r="AV562" s="31" t="str">
        <f t="shared" si="270"/>
        <v>-</v>
      </c>
      <c r="AW562" s="8" t="str">
        <f t="shared" si="271"/>
        <v>-</v>
      </c>
      <c r="AX562" s="29" t="str">
        <f t="shared" si="272"/>
        <v>-</v>
      </c>
      <c r="AY562" s="31" t="str">
        <f t="shared" si="273"/>
        <v>-</v>
      </c>
    </row>
    <row r="563" spans="6:51" x14ac:dyDescent="0.35">
      <c r="F563" s="12" t="str">
        <f t="shared" si="246"/>
        <v>-</v>
      </c>
      <c r="G563" s="8" t="str">
        <f t="shared" si="247"/>
        <v>-</v>
      </c>
      <c r="H563" s="8" t="str">
        <f>IF($F563&lt;=$C$16*12,$G563-$C$7+SUM('Mortgage Calculators (By Month)'!$D$23:$D581),"-")</f>
        <v>-</v>
      </c>
      <c r="I563" s="8" t="str">
        <f t="shared" si="252"/>
        <v>-</v>
      </c>
      <c r="J563" s="8" t="str">
        <f>IF($F563&lt;=$C$16*12,SUM(Inputs!$C$61:$C$78)*'Forecast (By Month)'!I563,"-")</f>
        <v>-</v>
      </c>
      <c r="K563" s="8" t="str">
        <f>IF($F563&lt;=$C$16*12,(SUMIF(Inputs!$C$61:$C$78,0,Inputs!$F$61:$F$78)/12)*(1+$C$34)^ROUNDDOWN((F563-1)/12,0),"-")</f>
        <v>-</v>
      </c>
      <c r="L563" s="8" t="str">
        <f t="shared" si="253"/>
        <v>-</v>
      </c>
      <c r="M563" s="8" t="str">
        <f>IF($F563&lt;=$C$16*12,'Mortgage Calculators (By Month)'!$C581,"-")</f>
        <v>-</v>
      </c>
      <c r="N563" s="8" t="str">
        <f>IF($F563&lt;=$C$16*12,'Mortgage Calculators (By Month)'!$D581,"-")</f>
        <v>-</v>
      </c>
      <c r="O563" s="8" t="str">
        <f>IF($F563&lt;=$C$16*12,'Mortgage Calculators (By Month)'!$E581,"-")</f>
        <v>-</v>
      </c>
      <c r="P563" s="8" t="str">
        <f t="shared" si="250"/>
        <v>-</v>
      </c>
      <c r="Q563" s="8" t="str">
        <f t="shared" si="254"/>
        <v>-</v>
      </c>
      <c r="R563" s="8" t="str">
        <f t="shared" si="255"/>
        <v>-</v>
      </c>
      <c r="S563" s="8" t="str">
        <f t="shared" si="256"/>
        <v>-</v>
      </c>
      <c r="T563" s="8" t="str">
        <f t="shared" si="257"/>
        <v>-</v>
      </c>
      <c r="U563" s="8" t="str">
        <f>IF($F563&lt;=$C$16*12,SUM(T$5:T563),"-")</f>
        <v>-</v>
      </c>
      <c r="V563" s="8" t="str">
        <f>IF($F563&lt;=$C$16*12,G563-$C$10-'RE Calculations'!$C750-'Mortgage Calculators (By Month)'!$F581,"-")</f>
        <v>-</v>
      </c>
      <c r="W563" s="29" t="str">
        <f t="shared" si="258"/>
        <v>-</v>
      </c>
      <c r="X563" s="31" t="str">
        <f t="shared" si="259"/>
        <v>-</v>
      </c>
      <c r="Y563" s="8" t="str">
        <f t="shared" si="260"/>
        <v>-</v>
      </c>
      <c r="Z563" s="29" t="str">
        <f t="shared" si="261"/>
        <v>-</v>
      </c>
      <c r="AA563" s="31" t="str">
        <f t="shared" si="262"/>
        <v>-</v>
      </c>
      <c r="AD563" s="12" t="str">
        <f t="shared" si="248"/>
        <v>-</v>
      </c>
      <c r="AE563" s="8" t="str">
        <f t="shared" si="249"/>
        <v>-</v>
      </c>
      <c r="AF563" s="8" t="str">
        <f>IF($AD563&lt;=$C$25*12,$AE563-$C$7+SUM('Mortgage Calculators (By Month)'!$K$23:$K581),"-")</f>
        <v>-</v>
      </c>
      <c r="AG563" s="8" t="str">
        <f t="shared" si="263"/>
        <v>-</v>
      </c>
      <c r="AH563" s="8" t="str">
        <f>IF($AD563&lt;=$C$25*12,SUM(Inputs!$C$61:$C$78)*'Forecast (By Month)'!AG563,"-")</f>
        <v>-</v>
      </c>
      <c r="AI563" s="8" t="str">
        <f>IF($AD563&lt;=$C$25*12,(SUMIF(Inputs!$C$61:$C$78,0,Inputs!$F$61:$F$78)/12)*(1+$C$34)^ROUNDDOWN((AD563-1)/12,0),"-")</f>
        <v>-</v>
      </c>
      <c r="AJ563" s="8" t="str">
        <f t="shared" si="264"/>
        <v>-</v>
      </c>
      <c r="AK563" s="8" t="str">
        <f>IF($AD563&lt;=$C$25*12,'Mortgage Calculators (By Month)'!$J581,"-")</f>
        <v>-</v>
      </c>
      <c r="AL563" s="8" t="str">
        <f>IF($AD563&lt;=$C$25*12,'Mortgage Calculators (By Month)'!$K581,"-")</f>
        <v>-</v>
      </c>
      <c r="AM563" s="8" t="str">
        <f>IF($AD563&lt;=$C$25*12,'Mortgage Calculators (By Month)'!$L581,"-")</f>
        <v>-</v>
      </c>
      <c r="AN563" s="8" t="str">
        <f t="shared" si="251"/>
        <v>-</v>
      </c>
      <c r="AO563" s="8" t="str">
        <f t="shared" si="265"/>
        <v>-</v>
      </c>
      <c r="AP563" s="8" t="str">
        <f t="shared" si="266"/>
        <v>-</v>
      </c>
      <c r="AQ563" s="8" t="str">
        <f t="shared" si="267"/>
        <v>-</v>
      </c>
      <c r="AR563" s="8" t="str">
        <f t="shared" si="268"/>
        <v>-</v>
      </c>
      <c r="AS563" s="8" t="str">
        <f>IF($AD563&lt;=$C$25*12,SUM(AR$5:AR563),"-")</f>
        <v>-</v>
      </c>
      <c r="AT563" s="8" t="str">
        <f>IF($AD563&lt;=$C$25*12,AE563-$C$10-'RE Calculations'!$C750-'Mortgage Calculators (By Month)'!$M581,"-")</f>
        <v>-</v>
      </c>
      <c r="AU563" s="29" t="str">
        <f t="shared" si="269"/>
        <v>-</v>
      </c>
      <c r="AV563" s="31" t="str">
        <f t="shared" si="270"/>
        <v>-</v>
      </c>
      <c r="AW563" s="8" t="str">
        <f t="shared" si="271"/>
        <v>-</v>
      </c>
      <c r="AX563" s="29" t="str">
        <f t="shared" si="272"/>
        <v>-</v>
      </c>
      <c r="AY563" s="31" t="str">
        <f t="shared" si="273"/>
        <v>-</v>
      </c>
    </row>
    <row r="564" spans="6:51" x14ac:dyDescent="0.35">
      <c r="F564" s="12" t="str">
        <f t="shared" si="246"/>
        <v>-</v>
      </c>
      <c r="G564" s="8" t="str">
        <f t="shared" si="247"/>
        <v>-</v>
      </c>
      <c r="H564" s="8" t="str">
        <f>IF($F564&lt;=$C$16*12,$G564-$C$7+SUM('Mortgage Calculators (By Month)'!$D$23:$D582),"-")</f>
        <v>-</v>
      </c>
      <c r="I564" s="8" t="str">
        <f t="shared" si="252"/>
        <v>-</v>
      </c>
      <c r="J564" s="8" t="str">
        <f>IF($F564&lt;=$C$16*12,SUM(Inputs!$C$61:$C$78)*'Forecast (By Month)'!I564,"-")</f>
        <v>-</v>
      </c>
      <c r="K564" s="8" t="str">
        <f>IF($F564&lt;=$C$16*12,(SUMIF(Inputs!$C$61:$C$78,0,Inputs!$F$61:$F$78)/12)*(1+$C$34)^ROUNDDOWN((F564-1)/12,0),"-")</f>
        <v>-</v>
      </c>
      <c r="L564" s="8" t="str">
        <f t="shared" si="253"/>
        <v>-</v>
      </c>
      <c r="M564" s="8" t="str">
        <f>IF($F564&lt;=$C$16*12,'Mortgage Calculators (By Month)'!$C582,"-")</f>
        <v>-</v>
      </c>
      <c r="N564" s="8" t="str">
        <f>IF($F564&lt;=$C$16*12,'Mortgage Calculators (By Month)'!$D582,"-")</f>
        <v>-</v>
      </c>
      <c r="O564" s="8" t="str">
        <f>IF($F564&lt;=$C$16*12,'Mortgage Calculators (By Month)'!$E582,"-")</f>
        <v>-</v>
      </c>
      <c r="P564" s="8" t="str">
        <f t="shared" si="250"/>
        <v>-</v>
      </c>
      <c r="Q564" s="8" t="str">
        <f t="shared" si="254"/>
        <v>-</v>
      </c>
      <c r="R564" s="8" t="str">
        <f t="shared" si="255"/>
        <v>-</v>
      </c>
      <c r="S564" s="8" t="str">
        <f t="shared" si="256"/>
        <v>-</v>
      </c>
      <c r="T564" s="8" t="str">
        <f t="shared" si="257"/>
        <v>-</v>
      </c>
      <c r="U564" s="8" t="str">
        <f>IF($F564&lt;=$C$16*12,SUM(T$5:T564),"-")</f>
        <v>-</v>
      </c>
      <c r="V564" s="8" t="str">
        <f>IF($F564&lt;=$C$16*12,G564-$C$10-'RE Calculations'!$C751-'Mortgage Calculators (By Month)'!$F582,"-")</f>
        <v>-</v>
      </c>
      <c r="W564" s="29" t="str">
        <f t="shared" si="258"/>
        <v>-</v>
      </c>
      <c r="X564" s="31" t="str">
        <f t="shared" si="259"/>
        <v>-</v>
      </c>
      <c r="Y564" s="8" t="str">
        <f t="shared" si="260"/>
        <v>-</v>
      </c>
      <c r="Z564" s="29" t="str">
        <f t="shared" si="261"/>
        <v>-</v>
      </c>
      <c r="AA564" s="31" t="str">
        <f t="shared" si="262"/>
        <v>-</v>
      </c>
      <c r="AD564" s="12" t="str">
        <f t="shared" si="248"/>
        <v>-</v>
      </c>
      <c r="AE564" s="8" t="str">
        <f t="shared" si="249"/>
        <v>-</v>
      </c>
      <c r="AF564" s="8" t="str">
        <f>IF($AD564&lt;=$C$25*12,$AE564-$C$7+SUM('Mortgage Calculators (By Month)'!$K$23:$K582),"-")</f>
        <v>-</v>
      </c>
      <c r="AG564" s="8" t="str">
        <f t="shared" si="263"/>
        <v>-</v>
      </c>
      <c r="AH564" s="8" t="str">
        <f>IF($AD564&lt;=$C$25*12,SUM(Inputs!$C$61:$C$78)*'Forecast (By Month)'!AG564,"-")</f>
        <v>-</v>
      </c>
      <c r="AI564" s="8" t="str">
        <f>IF($AD564&lt;=$C$25*12,(SUMIF(Inputs!$C$61:$C$78,0,Inputs!$F$61:$F$78)/12)*(1+$C$34)^ROUNDDOWN((AD564-1)/12,0),"-")</f>
        <v>-</v>
      </c>
      <c r="AJ564" s="8" t="str">
        <f t="shared" si="264"/>
        <v>-</v>
      </c>
      <c r="AK564" s="8" t="str">
        <f>IF($AD564&lt;=$C$25*12,'Mortgage Calculators (By Month)'!$J582,"-")</f>
        <v>-</v>
      </c>
      <c r="AL564" s="8" t="str">
        <f>IF($AD564&lt;=$C$25*12,'Mortgage Calculators (By Month)'!$K582,"-")</f>
        <v>-</v>
      </c>
      <c r="AM564" s="8" t="str">
        <f>IF($AD564&lt;=$C$25*12,'Mortgage Calculators (By Month)'!$L582,"-")</f>
        <v>-</v>
      </c>
      <c r="AN564" s="8" t="str">
        <f t="shared" si="251"/>
        <v>-</v>
      </c>
      <c r="AO564" s="8" t="str">
        <f t="shared" si="265"/>
        <v>-</v>
      </c>
      <c r="AP564" s="8" t="str">
        <f t="shared" si="266"/>
        <v>-</v>
      </c>
      <c r="AQ564" s="8" t="str">
        <f t="shared" si="267"/>
        <v>-</v>
      </c>
      <c r="AR564" s="8" t="str">
        <f t="shared" si="268"/>
        <v>-</v>
      </c>
      <c r="AS564" s="8" t="str">
        <f>IF($AD564&lt;=$C$25*12,SUM(AR$5:AR564),"-")</f>
        <v>-</v>
      </c>
      <c r="AT564" s="8" t="str">
        <f>IF($AD564&lt;=$C$25*12,AE564-$C$10-'RE Calculations'!$C751-'Mortgage Calculators (By Month)'!$M582,"-")</f>
        <v>-</v>
      </c>
      <c r="AU564" s="29" t="str">
        <f t="shared" si="269"/>
        <v>-</v>
      </c>
      <c r="AV564" s="31" t="str">
        <f t="shared" si="270"/>
        <v>-</v>
      </c>
      <c r="AW564" s="8" t="str">
        <f t="shared" si="271"/>
        <v>-</v>
      </c>
      <c r="AX564" s="29" t="str">
        <f t="shared" si="272"/>
        <v>-</v>
      </c>
      <c r="AY564" s="31" t="str">
        <f t="shared" si="273"/>
        <v>-</v>
      </c>
    </row>
    <row r="565" spans="6:51" x14ac:dyDescent="0.35">
      <c r="F565" s="12" t="str">
        <f t="shared" si="246"/>
        <v>-</v>
      </c>
      <c r="G565" s="8" t="str">
        <f t="shared" si="247"/>
        <v>-</v>
      </c>
      <c r="H565" s="8" t="str">
        <f>IF($F565&lt;=$C$16*12,$G565-$C$7+SUM('Mortgage Calculators (By Month)'!$D$23:$D583),"-")</f>
        <v>-</v>
      </c>
      <c r="I565" s="8" t="str">
        <f t="shared" si="252"/>
        <v>-</v>
      </c>
      <c r="J565" s="8" t="str">
        <f>IF($F565&lt;=$C$16*12,SUM(Inputs!$C$61:$C$78)*'Forecast (By Month)'!I565,"-")</f>
        <v>-</v>
      </c>
      <c r="K565" s="8" t="str">
        <f>IF($F565&lt;=$C$16*12,(SUMIF(Inputs!$C$61:$C$78,0,Inputs!$F$61:$F$78)/12)*(1+$C$34)^ROUNDDOWN((F565-1)/12,0),"-")</f>
        <v>-</v>
      </c>
      <c r="L565" s="8" t="str">
        <f t="shared" si="253"/>
        <v>-</v>
      </c>
      <c r="M565" s="8" t="str">
        <f>IF($F565&lt;=$C$16*12,'Mortgage Calculators (By Month)'!$C583,"-")</f>
        <v>-</v>
      </c>
      <c r="N565" s="8" t="str">
        <f>IF($F565&lt;=$C$16*12,'Mortgage Calculators (By Month)'!$D583,"-")</f>
        <v>-</v>
      </c>
      <c r="O565" s="8" t="str">
        <f>IF($F565&lt;=$C$16*12,'Mortgage Calculators (By Month)'!$E583,"-")</f>
        <v>-</v>
      </c>
      <c r="P565" s="8" t="str">
        <f t="shared" si="250"/>
        <v>-</v>
      </c>
      <c r="Q565" s="8" t="str">
        <f t="shared" si="254"/>
        <v>-</v>
      </c>
      <c r="R565" s="8" t="str">
        <f t="shared" si="255"/>
        <v>-</v>
      </c>
      <c r="S565" s="8" t="str">
        <f t="shared" si="256"/>
        <v>-</v>
      </c>
      <c r="T565" s="8" t="str">
        <f t="shared" si="257"/>
        <v>-</v>
      </c>
      <c r="U565" s="8" t="str">
        <f>IF($F565&lt;=$C$16*12,SUM(T$5:T565),"-")</f>
        <v>-</v>
      </c>
      <c r="V565" s="8" t="str">
        <f>IF($F565&lt;=$C$16*12,G565-$C$10-'RE Calculations'!$C752-'Mortgage Calculators (By Month)'!$F583,"-")</f>
        <v>-</v>
      </c>
      <c r="W565" s="29" t="str">
        <f t="shared" si="258"/>
        <v>-</v>
      </c>
      <c r="X565" s="31" t="str">
        <f t="shared" si="259"/>
        <v>-</v>
      </c>
      <c r="Y565" s="8" t="str">
        <f t="shared" si="260"/>
        <v>-</v>
      </c>
      <c r="Z565" s="29" t="str">
        <f t="shared" si="261"/>
        <v>-</v>
      </c>
      <c r="AA565" s="31" t="str">
        <f t="shared" si="262"/>
        <v>-</v>
      </c>
      <c r="AD565" s="12" t="str">
        <f t="shared" si="248"/>
        <v>-</v>
      </c>
      <c r="AE565" s="8" t="str">
        <f t="shared" si="249"/>
        <v>-</v>
      </c>
      <c r="AF565" s="8" t="str">
        <f>IF($AD565&lt;=$C$25*12,$AE565-$C$7+SUM('Mortgage Calculators (By Month)'!$K$23:$K583),"-")</f>
        <v>-</v>
      </c>
      <c r="AG565" s="8" t="str">
        <f t="shared" si="263"/>
        <v>-</v>
      </c>
      <c r="AH565" s="8" t="str">
        <f>IF($AD565&lt;=$C$25*12,SUM(Inputs!$C$61:$C$78)*'Forecast (By Month)'!AG565,"-")</f>
        <v>-</v>
      </c>
      <c r="AI565" s="8" t="str">
        <f>IF($AD565&lt;=$C$25*12,(SUMIF(Inputs!$C$61:$C$78,0,Inputs!$F$61:$F$78)/12)*(1+$C$34)^ROUNDDOWN((AD565-1)/12,0),"-")</f>
        <v>-</v>
      </c>
      <c r="AJ565" s="8" t="str">
        <f t="shared" si="264"/>
        <v>-</v>
      </c>
      <c r="AK565" s="8" t="str">
        <f>IF($AD565&lt;=$C$25*12,'Mortgage Calculators (By Month)'!$J583,"-")</f>
        <v>-</v>
      </c>
      <c r="AL565" s="8" t="str">
        <f>IF($AD565&lt;=$C$25*12,'Mortgage Calculators (By Month)'!$K583,"-")</f>
        <v>-</v>
      </c>
      <c r="AM565" s="8" t="str">
        <f>IF($AD565&lt;=$C$25*12,'Mortgage Calculators (By Month)'!$L583,"-")</f>
        <v>-</v>
      </c>
      <c r="AN565" s="8" t="str">
        <f t="shared" si="251"/>
        <v>-</v>
      </c>
      <c r="AO565" s="8" t="str">
        <f t="shared" si="265"/>
        <v>-</v>
      </c>
      <c r="AP565" s="8" t="str">
        <f t="shared" si="266"/>
        <v>-</v>
      </c>
      <c r="AQ565" s="8" t="str">
        <f t="shared" si="267"/>
        <v>-</v>
      </c>
      <c r="AR565" s="8" t="str">
        <f t="shared" si="268"/>
        <v>-</v>
      </c>
      <c r="AS565" s="8" t="str">
        <f>IF($AD565&lt;=$C$25*12,SUM(AR$5:AR565),"-")</f>
        <v>-</v>
      </c>
      <c r="AT565" s="8" t="str">
        <f>IF($AD565&lt;=$C$25*12,AE565-$C$10-'RE Calculations'!$C752-'Mortgage Calculators (By Month)'!$M583,"-")</f>
        <v>-</v>
      </c>
      <c r="AU565" s="29" t="str">
        <f t="shared" si="269"/>
        <v>-</v>
      </c>
      <c r="AV565" s="31" t="str">
        <f t="shared" si="270"/>
        <v>-</v>
      </c>
      <c r="AW565" s="8" t="str">
        <f t="shared" si="271"/>
        <v>-</v>
      </c>
      <c r="AX565" s="29" t="str">
        <f t="shared" si="272"/>
        <v>-</v>
      </c>
      <c r="AY565" s="31" t="str">
        <f t="shared" si="273"/>
        <v>-</v>
      </c>
    </row>
    <row r="566" spans="6:51" x14ac:dyDescent="0.35">
      <c r="F566" s="12" t="str">
        <f t="shared" si="246"/>
        <v>-</v>
      </c>
      <c r="G566" s="8" t="str">
        <f t="shared" si="247"/>
        <v>-</v>
      </c>
      <c r="H566" s="8" t="str">
        <f>IF($F566&lt;=$C$16*12,$G566-$C$7+SUM('Mortgage Calculators (By Month)'!$D$23:$D584),"-")</f>
        <v>-</v>
      </c>
      <c r="I566" s="8" t="str">
        <f t="shared" si="252"/>
        <v>-</v>
      </c>
      <c r="J566" s="8" t="str">
        <f>IF($F566&lt;=$C$16*12,SUM(Inputs!$C$61:$C$78)*'Forecast (By Month)'!I566,"-")</f>
        <v>-</v>
      </c>
      <c r="K566" s="8" t="str">
        <f>IF($F566&lt;=$C$16*12,(SUMIF(Inputs!$C$61:$C$78,0,Inputs!$F$61:$F$78)/12)*(1+$C$34)^ROUNDDOWN((F566-1)/12,0),"-")</f>
        <v>-</v>
      </c>
      <c r="L566" s="8" t="str">
        <f t="shared" si="253"/>
        <v>-</v>
      </c>
      <c r="M566" s="8" t="str">
        <f>IF($F566&lt;=$C$16*12,'Mortgage Calculators (By Month)'!$C584,"-")</f>
        <v>-</v>
      </c>
      <c r="N566" s="8" t="str">
        <f>IF($F566&lt;=$C$16*12,'Mortgage Calculators (By Month)'!$D584,"-")</f>
        <v>-</v>
      </c>
      <c r="O566" s="8" t="str">
        <f>IF($F566&lt;=$C$16*12,'Mortgage Calculators (By Month)'!$E584,"-")</f>
        <v>-</v>
      </c>
      <c r="P566" s="8" t="str">
        <f t="shared" si="250"/>
        <v>-</v>
      </c>
      <c r="Q566" s="8" t="str">
        <f t="shared" si="254"/>
        <v>-</v>
      </c>
      <c r="R566" s="8" t="str">
        <f t="shared" si="255"/>
        <v>-</v>
      </c>
      <c r="S566" s="8" t="str">
        <f t="shared" si="256"/>
        <v>-</v>
      </c>
      <c r="T566" s="8" t="str">
        <f t="shared" si="257"/>
        <v>-</v>
      </c>
      <c r="U566" s="8" t="str">
        <f>IF($F566&lt;=$C$16*12,SUM(T$5:T566),"-")</f>
        <v>-</v>
      </c>
      <c r="V566" s="8" t="str">
        <f>IF($F566&lt;=$C$16*12,G566-$C$10-'RE Calculations'!$C753-'Mortgage Calculators (By Month)'!$F584,"-")</f>
        <v>-</v>
      </c>
      <c r="W566" s="29" t="str">
        <f t="shared" si="258"/>
        <v>-</v>
      </c>
      <c r="X566" s="31" t="str">
        <f t="shared" si="259"/>
        <v>-</v>
      </c>
      <c r="Y566" s="8" t="str">
        <f t="shared" si="260"/>
        <v>-</v>
      </c>
      <c r="Z566" s="29" t="str">
        <f t="shared" si="261"/>
        <v>-</v>
      </c>
      <c r="AA566" s="31" t="str">
        <f t="shared" si="262"/>
        <v>-</v>
      </c>
      <c r="AD566" s="12" t="str">
        <f t="shared" si="248"/>
        <v>-</v>
      </c>
      <c r="AE566" s="8" t="str">
        <f t="shared" si="249"/>
        <v>-</v>
      </c>
      <c r="AF566" s="8" t="str">
        <f>IF($AD566&lt;=$C$25*12,$AE566-$C$7+SUM('Mortgage Calculators (By Month)'!$K$23:$K584),"-")</f>
        <v>-</v>
      </c>
      <c r="AG566" s="8" t="str">
        <f t="shared" si="263"/>
        <v>-</v>
      </c>
      <c r="AH566" s="8" t="str">
        <f>IF($AD566&lt;=$C$25*12,SUM(Inputs!$C$61:$C$78)*'Forecast (By Month)'!AG566,"-")</f>
        <v>-</v>
      </c>
      <c r="AI566" s="8" t="str">
        <f>IF($AD566&lt;=$C$25*12,(SUMIF(Inputs!$C$61:$C$78,0,Inputs!$F$61:$F$78)/12)*(1+$C$34)^ROUNDDOWN((AD566-1)/12,0),"-")</f>
        <v>-</v>
      </c>
      <c r="AJ566" s="8" t="str">
        <f t="shared" si="264"/>
        <v>-</v>
      </c>
      <c r="AK566" s="8" t="str">
        <f>IF($AD566&lt;=$C$25*12,'Mortgage Calculators (By Month)'!$J584,"-")</f>
        <v>-</v>
      </c>
      <c r="AL566" s="8" t="str">
        <f>IF($AD566&lt;=$C$25*12,'Mortgage Calculators (By Month)'!$K584,"-")</f>
        <v>-</v>
      </c>
      <c r="AM566" s="8" t="str">
        <f>IF($AD566&lt;=$C$25*12,'Mortgage Calculators (By Month)'!$L584,"-")</f>
        <v>-</v>
      </c>
      <c r="AN566" s="8" t="str">
        <f t="shared" si="251"/>
        <v>-</v>
      </c>
      <c r="AO566" s="8" t="str">
        <f t="shared" si="265"/>
        <v>-</v>
      </c>
      <c r="AP566" s="8" t="str">
        <f t="shared" si="266"/>
        <v>-</v>
      </c>
      <c r="AQ566" s="8" t="str">
        <f t="shared" si="267"/>
        <v>-</v>
      </c>
      <c r="AR566" s="8" t="str">
        <f t="shared" si="268"/>
        <v>-</v>
      </c>
      <c r="AS566" s="8" t="str">
        <f>IF($AD566&lt;=$C$25*12,SUM(AR$5:AR566),"-")</f>
        <v>-</v>
      </c>
      <c r="AT566" s="8" t="str">
        <f>IF($AD566&lt;=$C$25*12,AE566-$C$10-'RE Calculations'!$C753-'Mortgage Calculators (By Month)'!$M584,"-")</f>
        <v>-</v>
      </c>
      <c r="AU566" s="29" t="str">
        <f t="shared" si="269"/>
        <v>-</v>
      </c>
      <c r="AV566" s="31" t="str">
        <f t="shared" si="270"/>
        <v>-</v>
      </c>
      <c r="AW566" s="8" t="str">
        <f t="shared" si="271"/>
        <v>-</v>
      </c>
      <c r="AX566" s="29" t="str">
        <f t="shared" si="272"/>
        <v>-</v>
      </c>
      <c r="AY566" s="31" t="str">
        <f t="shared" si="273"/>
        <v>-</v>
      </c>
    </row>
    <row r="567" spans="6:51" x14ac:dyDescent="0.35">
      <c r="F567" s="12" t="str">
        <f t="shared" si="246"/>
        <v>-</v>
      </c>
      <c r="G567" s="8" t="str">
        <f t="shared" si="247"/>
        <v>-</v>
      </c>
      <c r="H567" s="8" t="str">
        <f>IF($F567&lt;=$C$16*12,$G567-$C$7+SUM('Mortgage Calculators (By Month)'!$D$23:$D585),"-")</f>
        <v>-</v>
      </c>
      <c r="I567" s="8" t="str">
        <f t="shared" si="252"/>
        <v>-</v>
      </c>
      <c r="J567" s="8" t="str">
        <f>IF($F567&lt;=$C$16*12,SUM(Inputs!$C$61:$C$78)*'Forecast (By Month)'!I567,"-")</f>
        <v>-</v>
      </c>
      <c r="K567" s="8" t="str">
        <f>IF($F567&lt;=$C$16*12,(SUMIF(Inputs!$C$61:$C$78,0,Inputs!$F$61:$F$78)/12)*(1+$C$34)^ROUNDDOWN((F567-1)/12,0),"-")</f>
        <v>-</v>
      </c>
      <c r="L567" s="8" t="str">
        <f t="shared" si="253"/>
        <v>-</v>
      </c>
      <c r="M567" s="8" t="str">
        <f>IF($F567&lt;=$C$16*12,'Mortgage Calculators (By Month)'!$C585,"-")</f>
        <v>-</v>
      </c>
      <c r="N567" s="8" t="str">
        <f>IF($F567&lt;=$C$16*12,'Mortgage Calculators (By Month)'!$D585,"-")</f>
        <v>-</v>
      </c>
      <c r="O567" s="8" t="str">
        <f>IF($F567&lt;=$C$16*12,'Mortgage Calculators (By Month)'!$E585,"-")</f>
        <v>-</v>
      </c>
      <c r="P567" s="8" t="str">
        <f t="shared" si="250"/>
        <v>-</v>
      </c>
      <c r="Q567" s="8" t="str">
        <f t="shared" si="254"/>
        <v>-</v>
      </c>
      <c r="R567" s="8" t="str">
        <f t="shared" si="255"/>
        <v>-</v>
      </c>
      <c r="S567" s="8" t="str">
        <f t="shared" si="256"/>
        <v>-</v>
      </c>
      <c r="T567" s="8" t="str">
        <f t="shared" si="257"/>
        <v>-</v>
      </c>
      <c r="U567" s="8" t="str">
        <f>IF($F567&lt;=$C$16*12,SUM(T$5:T567),"-")</f>
        <v>-</v>
      </c>
      <c r="V567" s="8" t="str">
        <f>IF($F567&lt;=$C$16*12,G567-$C$10-'RE Calculations'!$C754-'Mortgage Calculators (By Month)'!$F585,"-")</f>
        <v>-</v>
      </c>
      <c r="W567" s="29" t="str">
        <f t="shared" si="258"/>
        <v>-</v>
      </c>
      <c r="X567" s="31" t="str">
        <f t="shared" si="259"/>
        <v>-</v>
      </c>
      <c r="Y567" s="8" t="str">
        <f t="shared" si="260"/>
        <v>-</v>
      </c>
      <c r="Z567" s="29" t="str">
        <f t="shared" si="261"/>
        <v>-</v>
      </c>
      <c r="AA567" s="31" t="str">
        <f t="shared" si="262"/>
        <v>-</v>
      </c>
      <c r="AD567" s="12" t="str">
        <f t="shared" si="248"/>
        <v>-</v>
      </c>
      <c r="AE567" s="8" t="str">
        <f t="shared" si="249"/>
        <v>-</v>
      </c>
      <c r="AF567" s="8" t="str">
        <f>IF($AD567&lt;=$C$25*12,$AE567-$C$7+SUM('Mortgage Calculators (By Month)'!$K$23:$K585),"-")</f>
        <v>-</v>
      </c>
      <c r="AG567" s="8" t="str">
        <f t="shared" si="263"/>
        <v>-</v>
      </c>
      <c r="AH567" s="8" t="str">
        <f>IF($AD567&lt;=$C$25*12,SUM(Inputs!$C$61:$C$78)*'Forecast (By Month)'!AG567,"-")</f>
        <v>-</v>
      </c>
      <c r="AI567" s="8" t="str">
        <f>IF($AD567&lt;=$C$25*12,(SUMIF(Inputs!$C$61:$C$78,0,Inputs!$F$61:$F$78)/12)*(1+$C$34)^ROUNDDOWN((AD567-1)/12,0),"-")</f>
        <v>-</v>
      </c>
      <c r="AJ567" s="8" t="str">
        <f t="shared" si="264"/>
        <v>-</v>
      </c>
      <c r="AK567" s="8" t="str">
        <f>IF($AD567&lt;=$C$25*12,'Mortgage Calculators (By Month)'!$J585,"-")</f>
        <v>-</v>
      </c>
      <c r="AL567" s="8" t="str">
        <f>IF($AD567&lt;=$C$25*12,'Mortgage Calculators (By Month)'!$K585,"-")</f>
        <v>-</v>
      </c>
      <c r="AM567" s="8" t="str">
        <f>IF($AD567&lt;=$C$25*12,'Mortgage Calculators (By Month)'!$L585,"-")</f>
        <v>-</v>
      </c>
      <c r="AN567" s="8" t="str">
        <f t="shared" si="251"/>
        <v>-</v>
      </c>
      <c r="AO567" s="8" t="str">
        <f t="shared" si="265"/>
        <v>-</v>
      </c>
      <c r="AP567" s="8" t="str">
        <f t="shared" si="266"/>
        <v>-</v>
      </c>
      <c r="AQ567" s="8" t="str">
        <f t="shared" si="267"/>
        <v>-</v>
      </c>
      <c r="AR567" s="8" t="str">
        <f t="shared" si="268"/>
        <v>-</v>
      </c>
      <c r="AS567" s="8" t="str">
        <f>IF($AD567&lt;=$C$25*12,SUM(AR$5:AR567),"-")</f>
        <v>-</v>
      </c>
      <c r="AT567" s="8" t="str">
        <f>IF($AD567&lt;=$C$25*12,AE567-$C$10-'RE Calculations'!$C754-'Mortgage Calculators (By Month)'!$M585,"-")</f>
        <v>-</v>
      </c>
      <c r="AU567" s="29" t="str">
        <f t="shared" si="269"/>
        <v>-</v>
      </c>
      <c r="AV567" s="31" t="str">
        <f t="shared" si="270"/>
        <v>-</v>
      </c>
      <c r="AW567" s="8" t="str">
        <f t="shared" si="271"/>
        <v>-</v>
      </c>
      <c r="AX567" s="29" t="str">
        <f t="shared" si="272"/>
        <v>-</v>
      </c>
      <c r="AY567" s="31" t="str">
        <f t="shared" si="273"/>
        <v>-</v>
      </c>
    </row>
    <row r="568" spans="6:51" x14ac:dyDescent="0.35">
      <c r="F568" s="12" t="str">
        <f t="shared" si="246"/>
        <v>-</v>
      </c>
      <c r="G568" s="8" t="str">
        <f t="shared" si="247"/>
        <v>-</v>
      </c>
      <c r="H568" s="8" t="str">
        <f>IF($F568&lt;=$C$16*12,$G568-$C$7+SUM('Mortgage Calculators (By Month)'!$D$23:$D586),"-")</f>
        <v>-</v>
      </c>
      <c r="I568" s="8" t="str">
        <f t="shared" si="252"/>
        <v>-</v>
      </c>
      <c r="J568" s="8" t="str">
        <f>IF($F568&lt;=$C$16*12,SUM(Inputs!$C$61:$C$78)*'Forecast (By Month)'!I568,"-")</f>
        <v>-</v>
      </c>
      <c r="K568" s="8" t="str">
        <f>IF($F568&lt;=$C$16*12,(SUMIF(Inputs!$C$61:$C$78,0,Inputs!$F$61:$F$78)/12)*(1+$C$34)^ROUNDDOWN((F568-1)/12,0),"-")</f>
        <v>-</v>
      </c>
      <c r="L568" s="8" t="str">
        <f t="shared" si="253"/>
        <v>-</v>
      </c>
      <c r="M568" s="8" t="str">
        <f>IF($F568&lt;=$C$16*12,'Mortgage Calculators (By Month)'!$C586,"-")</f>
        <v>-</v>
      </c>
      <c r="N568" s="8" t="str">
        <f>IF($F568&lt;=$C$16*12,'Mortgage Calculators (By Month)'!$D586,"-")</f>
        <v>-</v>
      </c>
      <c r="O568" s="8" t="str">
        <f>IF($F568&lt;=$C$16*12,'Mortgage Calculators (By Month)'!$E586,"-")</f>
        <v>-</v>
      </c>
      <c r="P568" s="8" t="str">
        <f t="shared" si="250"/>
        <v>-</v>
      </c>
      <c r="Q568" s="8" t="str">
        <f t="shared" si="254"/>
        <v>-</v>
      </c>
      <c r="R568" s="8" t="str">
        <f t="shared" si="255"/>
        <v>-</v>
      </c>
      <c r="S568" s="8" t="str">
        <f t="shared" si="256"/>
        <v>-</v>
      </c>
      <c r="T568" s="8" t="str">
        <f t="shared" si="257"/>
        <v>-</v>
      </c>
      <c r="U568" s="8" t="str">
        <f>IF($F568&lt;=$C$16*12,SUM(T$5:T568),"-")</f>
        <v>-</v>
      </c>
      <c r="V568" s="8" t="str">
        <f>IF($F568&lt;=$C$16*12,G568-$C$10-'RE Calculations'!$C755-'Mortgage Calculators (By Month)'!$F586,"-")</f>
        <v>-</v>
      </c>
      <c r="W568" s="29" t="str">
        <f t="shared" si="258"/>
        <v>-</v>
      </c>
      <c r="X568" s="31" t="str">
        <f t="shared" si="259"/>
        <v>-</v>
      </c>
      <c r="Y568" s="8" t="str">
        <f t="shared" si="260"/>
        <v>-</v>
      </c>
      <c r="Z568" s="29" t="str">
        <f t="shared" si="261"/>
        <v>-</v>
      </c>
      <c r="AA568" s="31" t="str">
        <f t="shared" si="262"/>
        <v>-</v>
      </c>
      <c r="AD568" s="12" t="str">
        <f t="shared" si="248"/>
        <v>-</v>
      </c>
      <c r="AE568" s="8" t="str">
        <f t="shared" si="249"/>
        <v>-</v>
      </c>
      <c r="AF568" s="8" t="str">
        <f>IF($AD568&lt;=$C$25*12,$AE568-$C$7+SUM('Mortgage Calculators (By Month)'!$K$23:$K586),"-")</f>
        <v>-</v>
      </c>
      <c r="AG568" s="8" t="str">
        <f t="shared" si="263"/>
        <v>-</v>
      </c>
      <c r="AH568" s="8" t="str">
        <f>IF($AD568&lt;=$C$25*12,SUM(Inputs!$C$61:$C$78)*'Forecast (By Month)'!AG568,"-")</f>
        <v>-</v>
      </c>
      <c r="AI568" s="8" t="str">
        <f>IF($AD568&lt;=$C$25*12,(SUMIF(Inputs!$C$61:$C$78,0,Inputs!$F$61:$F$78)/12)*(1+$C$34)^ROUNDDOWN((AD568-1)/12,0),"-")</f>
        <v>-</v>
      </c>
      <c r="AJ568" s="8" t="str">
        <f t="shared" si="264"/>
        <v>-</v>
      </c>
      <c r="AK568" s="8" t="str">
        <f>IF($AD568&lt;=$C$25*12,'Mortgage Calculators (By Month)'!$J586,"-")</f>
        <v>-</v>
      </c>
      <c r="AL568" s="8" t="str">
        <f>IF($AD568&lt;=$C$25*12,'Mortgage Calculators (By Month)'!$K586,"-")</f>
        <v>-</v>
      </c>
      <c r="AM568" s="8" t="str">
        <f>IF($AD568&lt;=$C$25*12,'Mortgage Calculators (By Month)'!$L586,"-")</f>
        <v>-</v>
      </c>
      <c r="AN568" s="8" t="str">
        <f t="shared" si="251"/>
        <v>-</v>
      </c>
      <c r="AO568" s="8" t="str">
        <f t="shared" si="265"/>
        <v>-</v>
      </c>
      <c r="AP568" s="8" t="str">
        <f t="shared" si="266"/>
        <v>-</v>
      </c>
      <c r="AQ568" s="8" t="str">
        <f t="shared" si="267"/>
        <v>-</v>
      </c>
      <c r="AR568" s="8" t="str">
        <f t="shared" si="268"/>
        <v>-</v>
      </c>
      <c r="AS568" s="8" t="str">
        <f>IF($AD568&lt;=$C$25*12,SUM(AR$5:AR568),"-")</f>
        <v>-</v>
      </c>
      <c r="AT568" s="8" t="str">
        <f>IF($AD568&lt;=$C$25*12,AE568-$C$10-'RE Calculations'!$C755-'Mortgage Calculators (By Month)'!$M586,"-")</f>
        <v>-</v>
      </c>
      <c r="AU568" s="29" t="str">
        <f t="shared" si="269"/>
        <v>-</v>
      </c>
      <c r="AV568" s="31" t="str">
        <f t="shared" si="270"/>
        <v>-</v>
      </c>
      <c r="AW568" s="8" t="str">
        <f t="shared" si="271"/>
        <v>-</v>
      </c>
      <c r="AX568" s="29" t="str">
        <f t="shared" si="272"/>
        <v>-</v>
      </c>
      <c r="AY568" s="31" t="str">
        <f t="shared" si="273"/>
        <v>-</v>
      </c>
    </row>
    <row r="569" spans="6:51" x14ac:dyDescent="0.35">
      <c r="F569" s="12" t="str">
        <f t="shared" si="246"/>
        <v>-</v>
      </c>
      <c r="G569" s="8" t="str">
        <f t="shared" si="247"/>
        <v>-</v>
      </c>
      <c r="H569" s="8" t="str">
        <f>IF($F569&lt;=$C$16*12,$G569-$C$7+SUM('Mortgage Calculators (By Month)'!$D$23:$D587),"-")</f>
        <v>-</v>
      </c>
      <c r="I569" s="8" t="str">
        <f t="shared" si="252"/>
        <v>-</v>
      </c>
      <c r="J569" s="8" t="str">
        <f>IF($F569&lt;=$C$16*12,SUM(Inputs!$C$61:$C$78)*'Forecast (By Month)'!I569,"-")</f>
        <v>-</v>
      </c>
      <c r="K569" s="8" t="str">
        <f>IF($F569&lt;=$C$16*12,(SUMIF(Inputs!$C$61:$C$78,0,Inputs!$F$61:$F$78)/12)*(1+$C$34)^ROUNDDOWN((F569-1)/12,0),"-")</f>
        <v>-</v>
      </c>
      <c r="L569" s="8" t="str">
        <f t="shared" si="253"/>
        <v>-</v>
      </c>
      <c r="M569" s="8" t="str">
        <f>IF($F569&lt;=$C$16*12,'Mortgage Calculators (By Month)'!$C587,"-")</f>
        <v>-</v>
      </c>
      <c r="N569" s="8" t="str">
        <f>IF($F569&lt;=$C$16*12,'Mortgage Calculators (By Month)'!$D587,"-")</f>
        <v>-</v>
      </c>
      <c r="O569" s="8" t="str">
        <f>IF($F569&lt;=$C$16*12,'Mortgage Calculators (By Month)'!$E587,"-")</f>
        <v>-</v>
      </c>
      <c r="P569" s="8" t="str">
        <f t="shared" si="250"/>
        <v>-</v>
      </c>
      <c r="Q569" s="8" t="str">
        <f t="shared" si="254"/>
        <v>-</v>
      </c>
      <c r="R569" s="8" t="str">
        <f t="shared" si="255"/>
        <v>-</v>
      </c>
      <c r="S569" s="8" t="str">
        <f t="shared" si="256"/>
        <v>-</v>
      </c>
      <c r="T569" s="8" t="str">
        <f t="shared" si="257"/>
        <v>-</v>
      </c>
      <c r="U569" s="8" t="str">
        <f>IF($F569&lt;=$C$16*12,SUM(T$5:T569),"-")</f>
        <v>-</v>
      </c>
      <c r="V569" s="8" t="str">
        <f>IF($F569&lt;=$C$16*12,G569-$C$10-'RE Calculations'!$C756-'Mortgage Calculators (By Month)'!$F587,"-")</f>
        <v>-</v>
      </c>
      <c r="W569" s="29" t="str">
        <f t="shared" si="258"/>
        <v>-</v>
      </c>
      <c r="X569" s="31" t="str">
        <f t="shared" si="259"/>
        <v>-</v>
      </c>
      <c r="Y569" s="8" t="str">
        <f t="shared" si="260"/>
        <v>-</v>
      </c>
      <c r="Z569" s="29" t="str">
        <f t="shared" si="261"/>
        <v>-</v>
      </c>
      <c r="AA569" s="31" t="str">
        <f t="shared" si="262"/>
        <v>-</v>
      </c>
      <c r="AD569" s="12" t="str">
        <f t="shared" si="248"/>
        <v>-</v>
      </c>
      <c r="AE569" s="8" t="str">
        <f t="shared" si="249"/>
        <v>-</v>
      </c>
      <c r="AF569" s="8" t="str">
        <f>IF($AD569&lt;=$C$25*12,$AE569-$C$7+SUM('Mortgage Calculators (By Month)'!$K$23:$K587),"-")</f>
        <v>-</v>
      </c>
      <c r="AG569" s="8" t="str">
        <f t="shared" si="263"/>
        <v>-</v>
      </c>
      <c r="AH569" s="8" t="str">
        <f>IF($AD569&lt;=$C$25*12,SUM(Inputs!$C$61:$C$78)*'Forecast (By Month)'!AG569,"-")</f>
        <v>-</v>
      </c>
      <c r="AI569" s="8" t="str">
        <f>IF($AD569&lt;=$C$25*12,(SUMIF(Inputs!$C$61:$C$78,0,Inputs!$F$61:$F$78)/12)*(1+$C$34)^ROUNDDOWN((AD569-1)/12,0),"-")</f>
        <v>-</v>
      </c>
      <c r="AJ569" s="8" t="str">
        <f t="shared" si="264"/>
        <v>-</v>
      </c>
      <c r="AK569" s="8" t="str">
        <f>IF($AD569&lt;=$C$25*12,'Mortgage Calculators (By Month)'!$J587,"-")</f>
        <v>-</v>
      </c>
      <c r="AL569" s="8" t="str">
        <f>IF($AD569&lt;=$C$25*12,'Mortgage Calculators (By Month)'!$K587,"-")</f>
        <v>-</v>
      </c>
      <c r="AM569" s="8" t="str">
        <f>IF($AD569&lt;=$C$25*12,'Mortgage Calculators (By Month)'!$L587,"-")</f>
        <v>-</v>
      </c>
      <c r="AN569" s="8" t="str">
        <f t="shared" si="251"/>
        <v>-</v>
      </c>
      <c r="AO569" s="8" t="str">
        <f t="shared" si="265"/>
        <v>-</v>
      </c>
      <c r="AP569" s="8" t="str">
        <f t="shared" si="266"/>
        <v>-</v>
      </c>
      <c r="AQ569" s="8" t="str">
        <f t="shared" si="267"/>
        <v>-</v>
      </c>
      <c r="AR569" s="8" t="str">
        <f t="shared" si="268"/>
        <v>-</v>
      </c>
      <c r="AS569" s="8" t="str">
        <f>IF($AD569&lt;=$C$25*12,SUM(AR$5:AR569),"-")</f>
        <v>-</v>
      </c>
      <c r="AT569" s="8" t="str">
        <f>IF($AD569&lt;=$C$25*12,AE569-$C$10-'RE Calculations'!$C756-'Mortgage Calculators (By Month)'!$M587,"-")</f>
        <v>-</v>
      </c>
      <c r="AU569" s="29" t="str">
        <f t="shared" si="269"/>
        <v>-</v>
      </c>
      <c r="AV569" s="31" t="str">
        <f t="shared" si="270"/>
        <v>-</v>
      </c>
      <c r="AW569" s="8" t="str">
        <f t="shared" si="271"/>
        <v>-</v>
      </c>
      <c r="AX569" s="29" t="str">
        <f t="shared" si="272"/>
        <v>-</v>
      </c>
      <c r="AY569" s="31" t="str">
        <f t="shared" si="273"/>
        <v>-</v>
      </c>
    </row>
    <row r="570" spans="6:51" x14ac:dyDescent="0.35">
      <c r="F570" s="12" t="str">
        <f t="shared" si="246"/>
        <v>-</v>
      </c>
      <c r="G570" s="8" t="str">
        <f t="shared" si="247"/>
        <v>-</v>
      </c>
      <c r="H570" s="8" t="str">
        <f>IF($F570&lt;=$C$16*12,$G570-$C$7+SUM('Mortgage Calculators (By Month)'!$D$23:$D588),"-")</f>
        <v>-</v>
      </c>
      <c r="I570" s="8" t="str">
        <f t="shared" si="252"/>
        <v>-</v>
      </c>
      <c r="J570" s="8" t="str">
        <f>IF($F570&lt;=$C$16*12,SUM(Inputs!$C$61:$C$78)*'Forecast (By Month)'!I570,"-")</f>
        <v>-</v>
      </c>
      <c r="K570" s="8" t="str">
        <f>IF($F570&lt;=$C$16*12,(SUMIF(Inputs!$C$61:$C$78,0,Inputs!$F$61:$F$78)/12)*(1+$C$34)^ROUNDDOWN((F570-1)/12,0),"-")</f>
        <v>-</v>
      </c>
      <c r="L570" s="8" t="str">
        <f t="shared" si="253"/>
        <v>-</v>
      </c>
      <c r="M570" s="8" t="str">
        <f>IF($F570&lt;=$C$16*12,'Mortgage Calculators (By Month)'!$C588,"-")</f>
        <v>-</v>
      </c>
      <c r="N570" s="8" t="str">
        <f>IF($F570&lt;=$C$16*12,'Mortgage Calculators (By Month)'!$D588,"-")</f>
        <v>-</v>
      </c>
      <c r="O570" s="8" t="str">
        <f>IF($F570&lt;=$C$16*12,'Mortgage Calculators (By Month)'!$E588,"-")</f>
        <v>-</v>
      </c>
      <c r="P570" s="8" t="str">
        <f t="shared" si="250"/>
        <v>-</v>
      </c>
      <c r="Q570" s="8" t="str">
        <f t="shared" si="254"/>
        <v>-</v>
      </c>
      <c r="R570" s="8" t="str">
        <f t="shared" si="255"/>
        <v>-</v>
      </c>
      <c r="S570" s="8" t="str">
        <f t="shared" si="256"/>
        <v>-</v>
      </c>
      <c r="T570" s="8" t="str">
        <f t="shared" si="257"/>
        <v>-</v>
      </c>
      <c r="U570" s="8" t="str">
        <f>IF($F570&lt;=$C$16*12,SUM(T$5:T570),"-")</f>
        <v>-</v>
      </c>
      <c r="V570" s="8" t="str">
        <f>IF($F570&lt;=$C$16*12,G570-$C$10-'RE Calculations'!$C757-'Mortgage Calculators (By Month)'!$F588,"-")</f>
        <v>-</v>
      </c>
      <c r="W570" s="29" t="str">
        <f t="shared" si="258"/>
        <v>-</v>
      </c>
      <c r="X570" s="31" t="str">
        <f t="shared" si="259"/>
        <v>-</v>
      </c>
      <c r="Y570" s="8" t="str">
        <f t="shared" si="260"/>
        <v>-</v>
      </c>
      <c r="Z570" s="29" t="str">
        <f t="shared" si="261"/>
        <v>-</v>
      </c>
      <c r="AA570" s="31" t="str">
        <f t="shared" si="262"/>
        <v>-</v>
      </c>
      <c r="AD570" s="12" t="str">
        <f t="shared" si="248"/>
        <v>-</v>
      </c>
      <c r="AE570" s="8" t="str">
        <f t="shared" si="249"/>
        <v>-</v>
      </c>
      <c r="AF570" s="8" t="str">
        <f>IF($AD570&lt;=$C$25*12,$AE570-$C$7+SUM('Mortgage Calculators (By Month)'!$K$23:$K588),"-")</f>
        <v>-</v>
      </c>
      <c r="AG570" s="8" t="str">
        <f t="shared" si="263"/>
        <v>-</v>
      </c>
      <c r="AH570" s="8" t="str">
        <f>IF($AD570&lt;=$C$25*12,SUM(Inputs!$C$61:$C$78)*'Forecast (By Month)'!AG570,"-")</f>
        <v>-</v>
      </c>
      <c r="AI570" s="8" t="str">
        <f>IF($AD570&lt;=$C$25*12,(SUMIF(Inputs!$C$61:$C$78,0,Inputs!$F$61:$F$78)/12)*(1+$C$34)^ROUNDDOWN((AD570-1)/12,0),"-")</f>
        <v>-</v>
      </c>
      <c r="AJ570" s="8" t="str">
        <f t="shared" si="264"/>
        <v>-</v>
      </c>
      <c r="AK570" s="8" t="str">
        <f>IF($AD570&lt;=$C$25*12,'Mortgage Calculators (By Month)'!$J588,"-")</f>
        <v>-</v>
      </c>
      <c r="AL570" s="8" t="str">
        <f>IF($AD570&lt;=$C$25*12,'Mortgage Calculators (By Month)'!$K588,"-")</f>
        <v>-</v>
      </c>
      <c r="AM570" s="8" t="str">
        <f>IF($AD570&lt;=$C$25*12,'Mortgage Calculators (By Month)'!$L588,"-")</f>
        <v>-</v>
      </c>
      <c r="AN570" s="8" t="str">
        <f t="shared" si="251"/>
        <v>-</v>
      </c>
      <c r="AO570" s="8" t="str">
        <f t="shared" si="265"/>
        <v>-</v>
      </c>
      <c r="AP570" s="8" t="str">
        <f t="shared" si="266"/>
        <v>-</v>
      </c>
      <c r="AQ570" s="8" t="str">
        <f t="shared" si="267"/>
        <v>-</v>
      </c>
      <c r="AR570" s="8" t="str">
        <f t="shared" si="268"/>
        <v>-</v>
      </c>
      <c r="AS570" s="8" t="str">
        <f>IF($AD570&lt;=$C$25*12,SUM(AR$5:AR570),"-")</f>
        <v>-</v>
      </c>
      <c r="AT570" s="8" t="str">
        <f>IF($AD570&lt;=$C$25*12,AE570-$C$10-'RE Calculations'!$C757-'Mortgage Calculators (By Month)'!$M588,"-")</f>
        <v>-</v>
      </c>
      <c r="AU570" s="29" t="str">
        <f t="shared" si="269"/>
        <v>-</v>
      </c>
      <c r="AV570" s="31" t="str">
        <f t="shared" si="270"/>
        <v>-</v>
      </c>
      <c r="AW570" s="8" t="str">
        <f t="shared" si="271"/>
        <v>-</v>
      </c>
      <c r="AX570" s="29" t="str">
        <f t="shared" si="272"/>
        <v>-</v>
      </c>
      <c r="AY570" s="31" t="str">
        <f t="shared" si="273"/>
        <v>-</v>
      </c>
    </row>
    <row r="571" spans="6:51" x14ac:dyDescent="0.35">
      <c r="F571" s="12" t="str">
        <f t="shared" si="246"/>
        <v>-</v>
      </c>
      <c r="G571" s="8" t="str">
        <f t="shared" si="247"/>
        <v>-</v>
      </c>
      <c r="H571" s="8" t="str">
        <f>IF($F571&lt;=$C$16*12,$G571-$C$7+SUM('Mortgage Calculators (By Month)'!$D$23:$D589),"-")</f>
        <v>-</v>
      </c>
      <c r="I571" s="8" t="str">
        <f t="shared" si="252"/>
        <v>-</v>
      </c>
      <c r="J571" s="8" t="str">
        <f>IF($F571&lt;=$C$16*12,SUM(Inputs!$C$61:$C$78)*'Forecast (By Month)'!I571,"-")</f>
        <v>-</v>
      </c>
      <c r="K571" s="8" t="str">
        <f>IF($F571&lt;=$C$16*12,(SUMIF(Inputs!$C$61:$C$78,0,Inputs!$F$61:$F$78)/12)*(1+$C$34)^ROUNDDOWN((F571-1)/12,0),"-")</f>
        <v>-</v>
      </c>
      <c r="L571" s="8" t="str">
        <f t="shared" si="253"/>
        <v>-</v>
      </c>
      <c r="M571" s="8" t="str">
        <f>IF($F571&lt;=$C$16*12,'Mortgage Calculators (By Month)'!$C589,"-")</f>
        <v>-</v>
      </c>
      <c r="N571" s="8" t="str">
        <f>IF($F571&lt;=$C$16*12,'Mortgage Calculators (By Month)'!$D589,"-")</f>
        <v>-</v>
      </c>
      <c r="O571" s="8" t="str">
        <f>IF($F571&lt;=$C$16*12,'Mortgage Calculators (By Month)'!$E589,"-")</f>
        <v>-</v>
      </c>
      <c r="P571" s="8" t="str">
        <f t="shared" si="250"/>
        <v>-</v>
      </c>
      <c r="Q571" s="8" t="str">
        <f t="shared" si="254"/>
        <v>-</v>
      </c>
      <c r="R571" s="8" t="str">
        <f t="shared" si="255"/>
        <v>-</v>
      </c>
      <c r="S571" s="8" t="str">
        <f t="shared" si="256"/>
        <v>-</v>
      </c>
      <c r="T571" s="8" t="str">
        <f t="shared" si="257"/>
        <v>-</v>
      </c>
      <c r="U571" s="8" t="str">
        <f>IF($F571&lt;=$C$16*12,SUM(T$5:T571),"-")</f>
        <v>-</v>
      </c>
      <c r="V571" s="8" t="str">
        <f>IF($F571&lt;=$C$16*12,G571-$C$10-'RE Calculations'!$C758-'Mortgage Calculators (By Month)'!$F589,"-")</f>
        <v>-</v>
      </c>
      <c r="W571" s="29" t="str">
        <f t="shared" si="258"/>
        <v>-</v>
      </c>
      <c r="X571" s="31" t="str">
        <f t="shared" si="259"/>
        <v>-</v>
      </c>
      <c r="Y571" s="8" t="str">
        <f t="shared" si="260"/>
        <v>-</v>
      </c>
      <c r="Z571" s="29" t="str">
        <f t="shared" si="261"/>
        <v>-</v>
      </c>
      <c r="AA571" s="31" t="str">
        <f t="shared" si="262"/>
        <v>-</v>
      </c>
      <c r="AD571" s="12" t="str">
        <f t="shared" si="248"/>
        <v>-</v>
      </c>
      <c r="AE571" s="8" t="str">
        <f t="shared" si="249"/>
        <v>-</v>
      </c>
      <c r="AF571" s="8" t="str">
        <f>IF($AD571&lt;=$C$25*12,$AE571-$C$7+SUM('Mortgage Calculators (By Month)'!$K$23:$K589),"-")</f>
        <v>-</v>
      </c>
      <c r="AG571" s="8" t="str">
        <f t="shared" si="263"/>
        <v>-</v>
      </c>
      <c r="AH571" s="8" t="str">
        <f>IF($AD571&lt;=$C$25*12,SUM(Inputs!$C$61:$C$78)*'Forecast (By Month)'!AG571,"-")</f>
        <v>-</v>
      </c>
      <c r="AI571" s="8" t="str">
        <f>IF($AD571&lt;=$C$25*12,(SUMIF(Inputs!$C$61:$C$78,0,Inputs!$F$61:$F$78)/12)*(1+$C$34)^ROUNDDOWN((AD571-1)/12,0),"-")</f>
        <v>-</v>
      </c>
      <c r="AJ571" s="8" t="str">
        <f t="shared" si="264"/>
        <v>-</v>
      </c>
      <c r="AK571" s="8" t="str">
        <f>IF($AD571&lt;=$C$25*12,'Mortgage Calculators (By Month)'!$J589,"-")</f>
        <v>-</v>
      </c>
      <c r="AL571" s="8" t="str">
        <f>IF($AD571&lt;=$C$25*12,'Mortgage Calculators (By Month)'!$K589,"-")</f>
        <v>-</v>
      </c>
      <c r="AM571" s="8" t="str">
        <f>IF($AD571&lt;=$C$25*12,'Mortgage Calculators (By Month)'!$L589,"-")</f>
        <v>-</v>
      </c>
      <c r="AN571" s="8" t="str">
        <f t="shared" si="251"/>
        <v>-</v>
      </c>
      <c r="AO571" s="8" t="str">
        <f t="shared" si="265"/>
        <v>-</v>
      </c>
      <c r="AP571" s="8" t="str">
        <f t="shared" si="266"/>
        <v>-</v>
      </c>
      <c r="AQ571" s="8" t="str">
        <f t="shared" si="267"/>
        <v>-</v>
      </c>
      <c r="AR571" s="8" t="str">
        <f t="shared" si="268"/>
        <v>-</v>
      </c>
      <c r="AS571" s="8" t="str">
        <f>IF($AD571&lt;=$C$25*12,SUM(AR$5:AR571),"-")</f>
        <v>-</v>
      </c>
      <c r="AT571" s="8" t="str">
        <f>IF($AD571&lt;=$C$25*12,AE571-$C$10-'RE Calculations'!$C758-'Mortgage Calculators (By Month)'!$M589,"-")</f>
        <v>-</v>
      </c>
      <c r="AU571" s="29" t="str">
        <f t="shared" si="269"/>
        <v>-</v>
      </c>
      <c r="AV571" s="31" t="str">
        <f t="shared" si="270"/>
        <v>-</v>
      </c>
      <c r="AW571" s="8" t="str">
        <f t="shared" si="271"/>
        <v>-</v>
      </c>
      <c r="AX571" s="29" t="str">
        <f t="shared" si="272"/>
        <v>-</v>
      </c>
      <c r="AY571" s="31" t="str">
        <f t="shared" si="273"/>
        <v>-</v>
      </c>
    </row>
    <row r="572" spans="6:51" x14ac:dyDescent="0.35">
      <c r="F572" s="12" t="str">
        <f t="shared" si="246"/>
        <v>-</v>
      </c>
      <c r="G572" s="8" t="str">
        <f t="shared" si="247"/>
        <v>-</v>
      </c>
      <c r="H572" s="8" t="str">
        <f>IF($F572&lt;=$C$16*12,$G572-$C$7+SUM('Mortgage Calculators (By Month)'!$D$23:$D590),"-")</f>
        <v>-</v>
      </c>
      <c r="I572" s="8" t="str">
        <f t="shared" si="252"/>
        <v>-</v>
      </c>
      <c r="J572" s="8" t="str">
        <f>IF($F572&lt;=$C$16*12,SUM(Inputs!$C$61:$C$78)*'Forecast (By Month)'!I572,"-")</f>
        <v>-</v>
      </c>
      <c r="K572" s="8" t="str">
        <f>IF($F572&lt;=$C$16*12,(SUMIF(Inputs!$C$61:$C$78,0,Inputs!$F$61:$F$78)/12)*(1+$C$34)^ROUNDDOWN((F572-1)/12,0),"-")</f>
        <v>-</v>
      </c>
      <c r="L572" s="8" t="str">
        <f t="shared" si="253"/>
        <v>-</v>
      </c>
      <c r="M572" s="8" t="str">
        <f>IF($F572&lt;=$C$16*12,'Mortgage Calculators (By Month)'!$C590,"-")</f>
        <v>-</v>
      </c>
      <c r="N572" s="8" t="str">
        <f>IF($F572&lt;=$C$16*12,'Mortgage Calculators (By Month)'!$D590,"-")</f>
        <v>-</v>
      </c>
      <c r="O572" s="8" t="str">
        <f>IF($F572&lt;=$C$16*12,'Mortgage Calculators (By Month)'!$E590,"-")</f>
        <v>-</v>
      </c>
      <c r="P572" s="8" t="str">
        <f t="shared" si="250"/>
        <v>-</v>
      </c>
      <c r="Q572" s="8" t="str">
        <f t="shared" si="254"/>
        <v>-</v>
      </c>
      <c r="R572" s="8" t="str">
        <f t="shared" si="255"/>
        <v>-</v>
      </c>
      <c r="S572" s="8" t="str">
        <f t="shared" si="256"/>
        <v>-</v>
      </c>
      <c r="T572" s="8" t="str">
        <f t="shared" si="257"/>
        <v>-</v>
      </c>
      <c r="U572" s="8" t="str">
        <f>IF($F572&lt;=$C$16*12,SUM(T$5:T572),"-")</f>
        <v>-</v>
      </c>
      <c r="V572" s="8" t="str">
        <f>IF($F572&lt;=$C$16*12,G572-$C$10-'RE Calculations'!$C759-'Mortgage Calculators (By Month)'!$F590,"-")</f>
        <v>-</v>
      </c>
      <c r="W572" s="29" t="str">
        <f t="shared" si="258"/>
        <v>-</v>
      </c>
      <c r="X572" s="31" t="str">
        <f t="shared" si="259"/>
        <v>-</v>
      </c>
      <c r="Y572" s="8" t="str">
        <f t="shared" si="260"/>
        <v>-</v>
      </c>
      <c r="Z572" s="29" t="str">
        <f t="shared" si="261"/>
        <v>-</v>
      </c>
      <c r="AA572" s="31" t="str">
        <f t="shared" si="262"/>
        <v>-</v>
      </c>
      <c r="AD572" s="12" t="str">
        <f t="shared" si="248"/>
        <v>-</v>
      </c>
      <c r="AE572" s="8" t="str">
        <f t="shared" si="249"/>
        <v>-</v>
      </c>
      <c r="AF572" s="8" t="str">
        <f>IF($AD572&lt;=$C$25*12,$AE572-$C$7+SUM('Mortgage Calculators (By Month)'!$K$23:$K590),"-")</f>
        <v>-</v>
      </c>
      <c r="AG572" s="8" t="str">
        <f t="shared" si="263"/>
        <v>-</v>
      </c>
      <c r="AH572" s="8" t="str">
        <f>IF($AD572&lt;=$C$25*12,SUM(Inputs!$C$61:$C$78)*'Forecast (By Month)'!AG572,"-")</f>
        <v>-</v>
      </c>
      <c r="AI572" s="8" t="str">
        <f>IF($AD572&lt;=$C$25*12,(SUMIF(Inputs!$C$61:$C$78,0,Inputs!$F$61:$F$78)/12)*(1+$C$34)^ROUNDDOWN((AD572-1)/12,0),"-")</f>
        <v>-</v>
      </c>
      <c r="AJ572" s="8" t="str">
        <f t="shared" si="264"/>
        <v>-</v>
      </c>
      <c r="AK572" s="8" t="str">
        <f>IF($AD572&lt;=$C$25*12,'Mortgage Calculators (By Month)'!$J590,"-")</f>
        <v>-</v>
      </c>
      <c r="AL572" s="8" t="str">
        <f>IF($AD572&lt;=$C$25*12,'Mortgage Calculators (By Month)'!$K590,"-")</f>
        <v>-</v>
      </c>
      <c r="AM572" s="8" t="str">
        <f>IF($AD572&lt;=$C$25*12,'Mortgage Calculators (By Month)'!$L590,"-")</f>
        <v>-</v>
      </c>
      <c r="AN572" s="8" t="str">
        <f t="shared" si="251"/>
        <v>-</v>
      </c>
      <c r="AO572" s="8" t="str">
        <f t="shared" si="265"/>
        <v>-</v>
      </c>
      <c r="AP572" s="8" t="str">
        <f t="shared" si="266"/>
        <v>-</v>
      </c>
      <c r="AQ572" s="8" t="str">
        <f t="shared" si="267"/>
        <v>-</v>
      </c>
      <c r="AR572" s="8" t="str">
        <f t="shared" si="268"/>
        <v>-</v>
      </c>
      <c r="AS572" s="8" t="str">
        <f>IF($AD572&lt;=$C$25*12,SUM(AR$5:AR572),"-")</f>
        <v>-</v>
      </c>
      <c r="AT572" s="8" t="str">
        <f>IF($AD572&lt;=$C$25*12,AE572-$C$10-'RE Calculations'!$C759-'Mortgage Calculators (By Month)'!$M590,"-")</f>
        <v>-</v>
      </c>
      <c r="AU572" s="29" t="str">
        <f t="shared" si="269"/>
        <v>-</v>
      </c>
      <c r="AV572" s="31" t="str">
        <f t="shared" si="270"/>
        <v>-</v>
      </c>
      <c r="AW572" s="8" t="str">
        <f t="shared" si="271"/>
        <v>-</v>
      </c>
      <c r="AX572" s="29" t="str">
        <f t="shared" si="272"/>
        <v>-</v>
      </c>
      <c r="AY572" s="31" t="str">
        <f t="shared" si="273"/>
        <v>-</v>
      </c>
    </row>
    <row r="573" spans="6:51" x14ac:dyDescent="0.35">
      <c r="F573" s="12" t="str">
        <f t="shared" si="246"/>
        <v>-</v>
      </c>
      <c r="G573" s="8" t="str">
        <f t="shared" si="247"/>
        <v>-</v>
      </c>
      <c r="H573" s="8" t="str">
        <f>IF($F573&lt;=$C$16*12,$G573-$C$7+SUM('Mortgage Calculators (By Month)'!$D$23:$D591),"-")</f>
        <v>-</v>
      </c>
      <c r="I573" s="8" t="str">
        <f t="shared" si="252"/>
        <v>-</v>
      </c>
      <c r="J573" s="8" t="str">
        <f>IF($F573&lt;=$C$16*12,SUM(Inputs!$C$61:$C$78)*'Forecast (By Month)'!I573,"-")</f>
        <v>-</v>
      </c>
      <c r="K573" s="8" t="str">
        <f>IF($F573&lt;=$C$16*12,(SUMIF(Inputs!$C$61:$C$78,0,Inputs!$F$61:$F$78)/12)*(1+$C$34)^ROUNDDOWN((F573-1)/12,0),"-")</f>
        <v>-</v>
      </c>
      <c r="L573" s="8" t="str">
        <f t="shared" si="253"/>
        <v>-</v>
      </c>
      <c r="M573" s="8" t="str">
        <f>IF($F573&lt;=$C$16*12,'Mortgage Calculators (By Month)'!$C591,"-")</f>
        <v>-</v>
      </c>
      <c r="N573" s="8" t="str">
        <f>IF($F573&lt;=$C$16*12,'Mortgage Calculators (By Month)'!$D591,"-")</f>
        <v>-</v>
      </c>
      <c r="O573" s="8" t="str">
        <f>IF($F573&lt;=$C$16*12,'Mortgage Calculators (By Month)'!$E591,"-")</f>
        <v>-</v>
      </c>
      <c r="P573" s="8" t="str">
        <f t="shared" si="250"/>
        <v>-</v>
      </c>
      <c r="Q573" s="8" t="str">
        <f t="shared" si="254"/>
        <v>-</v>
      </c>
      <c r="R573" s="8" t="str">
        <f t="shared" si="255"/>
        <v>-</v>
      </c>
      <c r="S573" s="8" t="str">
        <f t="shared" si="256"/>
        <v>-</v>
      </c>
      <c r="T573" s="8" t="str">
        <f t="shared" si="257"/>
        <v>-</v>
      </c>
      <c r="U573" s="8" t="str">
        <f>IF($F573&lt;=$C$16*12,SUM(T$5:T573),"-")</f>
        <v>-</v>
      </c>
      <c r="V573" s="8" t="str">
        <f>IF($F573&lt;=$C$16*12,G573-$C$10-'RE Calculations'!$C760-'Mortgage Calculators (By Month)'!$F591,"-")</f>
        <v>-</v>
      </c>
      <c r="W573" s="29" t="str">
        <f t="shared" si="258"/>
        <v>-</v>
      </c>
      <c r="X573" s="31" t="str">
        <f t="shared" si="259"/>
        <v>-</v>
      </c>
      <c r="Y573" s="8" t="str">
        <f t="shared" si="260"/>
        <v>-</v>
      </c>
      <c r="Z573" s="29" t="str">
        <f t="shared" si="261"/>
        <v>-</v>
      </c>
      <c r="AA573" s="31" t="str">
        <f t="shared" si="262"/>
        <v>-</v>
      </c>
      <c r="AD573" s="12" t="str">
        <f t="shared" si="248"/>
        <v>-</v>
      </c>
      <c r="AE573" s="8" t="str">
        <f t="shared" si="249"/>
        <v>-</v>
      </c>
      <c r="AF573" s="8" t="str">
        <f>IF($AD573&lt;=$C$25*12,$AE573-$C$7+SUM('Mortgage Calculators (By Month)'!$K$23:$K591),"-")</f>
        <v>-</v>
      </c>
      <c r="AG573" s="8" t="str">
        <f t="shared" si="263"/>
        <v>-</v>
      </c>
      <c r="AH573" s="8" t="str">
        <f>IF($AD573&lt;=$C$25*12,SUM(Inputs!$C$61:$C$78)*'Forecast (By Month)'!AG573,"-")</f>
        <v>-</v>
      </c>
      <c r="AI573" s="8" t="str">
        <f>IF($AD573&lt;=$C$25*12,(SUMIF(Inputs!$C$61:$C$78,0,Inputs!$F$61:$F$78)/12)*(1+$C$34)^ROUNDDOWN((AD573-1)/12,0),"-")</f>
        <v>-</v>
      </c>
      <c r="AJ573" s="8" t="str">
        <f t="shared" si="264"/>
        <v>-</v>
      </c>
      <c r="AK573" s="8" t="str">
        <f>IF($AD573&lt;=$C$25*12,'Mortgage Calculators (By Month)'!$J591,"-")</f>
        <v>-</v>
      </c>
      <c r="AL573" s="8" t="str">
        <f>IF($AD573&lt;=$C$25*12,'Mortgage Calculators (By Month)'!$K591,"-")</f>
        <v>-</v>
      </c>
      <c r="AM573" s="8" t="str">
        <f>IF($AD573&lt;=$C$25*12,'Mortgage Calculators (By Month)'!$L591,"-")</f>
        <v>-</v>
      </c>
      <c r="AN573" s="8" t="str">
        <f t="shared" si="251"/>
        <v>-</v>
      </c>
      <c r="AO573" s="8" t="str">
        <f t="shared" si="265"/>
        <v>-</v>
      </c>
      <c r="AP573" s="8" t="str">
        <f t="shared" si="266"/>
        <v>-</v>
      </c>
      <c r="AQ573" s="8" t="str">
        <f t="shared" si="267"/>
        <v>-</v>
      </c>
      <c r="AR573" s="8" t="str">
        <f t="shared" si="268"/>
        <v>-</v>
      </c>
      <c r="AS573" s="8" t="str">
        <f>IF($AD573&lt;=$C$25*12,SUM(AR$5:AR573),"-")</f>
        <v>-</v>
      </c>
      <c r="AT573" s="8" t="str">
        <f>IF($AD573&lt;=$C$25*12,AE573-$C$10-'RE Calculations'!$C760-'Mortgage Calculators (By Month)'!$M591,"-")</f>
        <v>-</v>
      </c>
      <c r="AU573" s="29" t="str">
        <f t="shared" si="269"/>
        <v>-</v>
      </c>
      <c r="AV573" s="31" t="str">
        <f t="shared" si="270"/>
        <v>-</v>
      </c>
      <c r="AW573" s="8" t="str">
        <f t="shared" si="271"/>
        <v>-</v>
      </c>
      <c r="AX573" s="29" t="str">
        <f t="shared" si="272"/>
        <v>-</v>
      </c>
      <c r="AY573" s="31" t="str">
        <f t="shared" si="273"/>
        <v>-</v>
      </c>
    </row>
    <row r="574" spans="6:51" x14ac:dyDescent="0.35">
      <c r="F574" s="12" t="str">
        <f t="shared" si="246"/>
        <v>-</v>
      </c>
      <c r="G574" s="8" t="str">
        <f t="shared" si="247"/>
        <v>-</v>
      </c>
      <c r="H574" s="8" t="str">
        <f>IF($F574&lt;=$C$16*12,$G574-$C$7+SUM('Mortgage Calculators (By Month)'!$D$23:$D592),"-")</f>
        <v>-</v>
      </c>
      <c r="I574" s="8" t="str">
        <f t="shared" si="252"/>
        <v>-</v>
      </c>
      <c r="J574" s="8" t="str">
        <f>IF($F574&lt;=$C$16*12,SUM(Inputs!$C$61:$C$78)*'Forecast (By Month)'!I574,"-")</f>
        <v>-</v>
      </c>
      <c r="K574" s="8" t="str">
        <f>IF($F574&lt;=$C$16*12,(SUMIF(Inputs!$C$61:$C$78,0,Inputs!$F$61:$F$78)/12)*(1+$C$34)^ROUNDDOWN((F574-1)/12,0),"-")</f>
        <v>-</v>
      </c>
      <c r="L574" s="8" t="str">
        <f t="shared" si="253"/>
        <v>-</v>
      </c>
      <c r="M574" s="8" t="str">
        <f>IF($F574&lt;=$C$16*12,'Mortgage Calculators (By Month)'!$C592,"-")</f>
        <v>-</v>
      </c>
      <c r="N574" s="8" t="str">
        <f>IF($F574&lt;=$C$16*12,'Mortgage Calculators (By Month)'!$D592,"-")</f>
        <v>-</v>
      </c>
      <c r="O574" s="8" t="str">
        <f>IF($F574&lt;=$C$16*12,'Mortgage Calculators (By Month)'!$E592,"-")</f>
        <v>-</v>
      </c>
      <c r="P574" s="8" t="str">
        <f t="shared" si="250"/>
        <v>-</v>
      </c>
      <c r="Q574" s="8" t="str">
        <f t="shared" si="254"/>
        <v>-</v>
      </c>
      <c r="R574" s="8" t="str">
        <f t="shared" si="255"/>
        <v>-</v>
      </c>
      <c r="S574" s="8" t="str">
        <f t="shared" si="256"/>
        <v>-</v>
      </c>
      <c r="T574" s="8" t="str">
        <f t="shared" si="257"/>
        <v>-</v>
      </c>
      <c r="U574" s="8" t="str">
        <f>IF($F574&lt;=$C$16*12,SUM(T$5:T574),"-")</f>
        <v>-</v>
      </c>
      <c r="V574" s="8" t="str">
        <f>IF($F574&lt;=$C$16*12,G574-$C$10-'RE Calculations'!$C761-'Mortgage Calculators (By Month)'!$F592,"-")</f>
        <v>-</v>
      </c>
      <c r="W574" s="29" t="str">
        <f t="shared" si="258"/>
        <v>-</v>
      </c>
      <c r="X574" s="31" t="str">
        <f t="shared" si="259"/>
        <v>-</v>
      </c>
      <c r="Y574" s="8" t="str">
        <f t="shared" si="260"/>
        <v>-</v>
      </c>
      <c r="Z574" s="29" t="str">
        <f t="shared" si="261"/>
        <v>-</v>
      </c>
      <c r="AA574" s="31" t="str">
        <f t="shared" si="262"/>
        <v>-</v>
      </c>
      <c r="AD574" s="12" t="str">
        <f t="shared" si="248"/>
        <v>-</v>
      </c>
      <c r="AE574" s="8" t="str">
        <f t="shared" si="249"/>
        <v>-</v>
      </c>
      <c r="AF574" s="8" t="str">
        <f>IF($AD574&lt;=$C$25*12,$AE574-$C$7+SUM('Mortgage Calculators (By Month)'!$K$23:$K592),"-")</f>
        <v>-</v>
      </c>
      <c r="AG574" s="8" t="str">
        <f t="shared" si="263"/>
        <v>-</v>
      </c>
      <c r="AH574" s="8" t="str">
        <f>IF($AD574&lt;=$C$25*12,SUM(Inputs!$C$61:$C$78)*'Forecast (By Month)'!AG574,"-")</f>
        <v>-</v>
      </c>
      <c r="AI574" s="8" t="str">
        <f>IF($AD574&lt;=$C$25*12,(SUMIF(Inputs!$C$61:$C$78,0,Inputs!$F$61:$F$78)/12)*(1+$C$34)^ROUNDDOWN((AD574-1)/12,0),"-")</f>
        <v>-</v>
      </c>
      <c r="AJ574" s="8" t="str">
        <f t="shared" si="264"/>
        <v>-</v>
      </c>
      <c r="AK574" s="8" t="str">
        <f>IF($AD574&lt;=$C$25*12,'Mortgage Calculators (By Month)'!$J592,"-")</f>
        <v>-</v>
      </c>
      <c r="AL574" s="8" t="str">
        <f>IF($AD574&lt;=$C$25*12,'Mortgage Calculators (By Month)'!$K592,"-")</f>
        <v>-</v>
      </c>
      <c r="AM574" s="8" t="str">
        <f>IF($AD574&lt;=$C$25*12,'Mortgage Calculators (By Month)'!$L592,"-")</f>
        <v>-</v>
      </c>
      <c r="AN574" s="8" t="str">
        <f t="shared" si="251"/>
        <v>-</v>
      </c>
      <c r="AO574" s="8" t="str">
        <f t="shared" si="265"/>
        <v>-</v>
      </c>
      <c r="AP574" s="8" t="str">
        <f t="shared" si="266"/>
        <v>-</v>
      </c>
      <c r="AQ574" s="8" t="str">
        <f t="shared" si="267"/>
        <v>-</v>
      </c>
      <c r="AR574" s="8" t="str">
        <f t="shared" si="268"/>
        <v>-</v>
      </c>
      <c r="AS574" s="8" t="str">
        <f>IF($AD574&lt;=$C$25*12,SUM(AR$5:AR574),"-")</f>
        <v>-</v>
      </c>
      <c r="AT574" s="8" t="str">
        <f>IF($AD574&lt;=$C$25*12,AE574-$C$10-'RE Calculations'!$C761-'Mortgage Calculators (By Month)'!$M592,"-")</f>
        <v>-</v>
      </c>
      <c r="AU574" s="29" t="str">
        <f t="shared" si="269"/>
        <v>-</v>
      </c>
      <c r="AV574" s="31" t="str">
        <f t="shared" si="270"/>
        <v>-</v>
      </c>
      <c r="AW574" s="8" t="str">
        <f t="shared" si="271"/>
        <v>-</v>
      </c>
      <c r="AX574" s="29" t="str">
        <f t="shared" si="272"/>
        <v>-</v>
      </c>
      <c r="AY574" s="31" t="str">
        <f t="shared" si="273"/>
        <v>-</v>
      </c>
    </row>
    <row r="575" spans="6:51" x14ac:dyDescent="0.35">
      <c r="F575" s="12" t="str">
        <f t="shared" si="246"/>
        <v>-</v>
      </c>
      <c r="G575" s="8" t="str">
        <f t="shared" si="247"/>
        <v>-</v>
      </c>
      <c r="H575" s="8" t="str">
        <f>IF($F575&lt;=$C$16*12,$G575-$C$7+SUM('Mortgage Calculators (By Month)'!$D$23:$D593),"-")</f>
        <v>-</v>
      </c>
      <c r="I575" s="8" t="str">
        <f t="shared" si="252"/>
        <v>-</v>
      </c>
      <c r="J575" s="8" t="str">
        <f>IF($F575&lt;=$C$16*12,SUM(Inputs!$C$61:$C$78)*'Forecast (By Month)'!I575,"-")</f>
        <v>-</v>
      </c>
      <c r="K575" s="8" t="str">
        <f>IF($F575&lt;=$C$16*12,(SUMIF(Inputs!$C$61:$C$78,0,Inputs!$F$61:$F$78)/12)*(1+$C$34)^ROUNDDOWN((F575-1)/12,0),"-")</f>
        <v>-</v>
      </c>
      <c r="L575" s="8" t="str">
        <f t="shared" si="253"/>
        <v>-</v>
      </c>
      <c r="M575" s="8" t="str">
        <f>IF($F575&lt;=$C$16*12,'Mortgage Calculators (By Month)'!$C593,"-")</f>
        <v>-</v>
      </c>
      <c r="N575" s="8" t="str">
        <f>IF($F575&lt;=$C$16*12,'Mortgage Calculators (By Month)'!$D593,"-")</f>
        <v>-</v>
      </c>
      <c r="O575" s="8" t="str">
        <f>IF($F575&lt;=$C$16*12,'Mortgage Calculators (By Month)'!$E593,"-")</f>
        <v>-</v>
      </c>
      <c r="P575" s="8" t="str">
        <f t="shared" si="250"/>
        <v>-</v>
      </c>
      <c r="Q575" s="8" t="str">
        <f t="shared" si="254"/>
        <v>-</v>
      </c>
      <c r="R575" s="8" t="str">
        <f t="shared" si="255"/>
        <v>-</v>
      </c>
      <c r="S575" s="8" t="str">
        <f t="shared" si="256"/>
        <v>-</v>
      </c>
      <c r="T575" s="8" t="str">
        <f t="shared" si="257"/>
        <v>-</v>
      </c>
      <c r="U575" s="8" t="str">
        <f>IF($F575&lt;=$C$16*12,SUM(T$5:T575),"-")</f>
        <v>-</v>
      </c>
      <c r="V575" s="8" t="str">
        <f>IF($F575&lt;=$C$16*12,G575-$C$10-'RE Calculations'!$C762-'Mortgage Calculators (By Month)'!$F593,"-")</f>
        <v>-</v>
      </c>
      <c r="W575" s="29" t="str">
        <f t="shared" si="258"/>
        <v>-</v>
      </c>
      <c r="X575" s="31" t="str">
        <f t="shared" si="259"/>
        <v>-</v>
      </c>
      <c r="Y575" s="8" t="str">
        <f t="shared" si="260"/>
        <v>-</v>
      </c>
      <c r="Z575" s="29" t="str">
        <f t="shared" si="261"/>
        <v>-</v>
      </c>
      <c r="AA575" s="31" t="str">
        <f t="shared" si="262"/>
        <v>-</v>
      </c>
      <c r="AD575" s="12" t="str">
        <f t="shared" si="248"/>
        <v>-</v>
      </c>
      <c r="AE575" s="8" t="str">
        <f t="shared" si="249"/>
        <v>-</v>
      </c>
      <c r="AF575" s="8" t="str">
        <f>IF($AD575&lt;=$C$25*12,$AE575-$C$7+SUM('Mortgage Calculators (By Month)'!$K$23:$K593),"-")</f>
        <v>-</v>
      </c>
      <c r="AG575" s="8" t="str">
        <f t="shared" si="263"/>
        <v>-</v>
      </c>
      <c r="AH575" s="8" t="str">
        <f>IF($AD575&lt;=$C$25*12,SUM(Inputs!$C$61:$C$78)*'Forecast (By Month)'!AG575,"-")</f>
        <v>-</v>
      </c>
      <c r="AI575" s="8" t="str">
        <f>IF($AD575&lt;=$C$25*12,(SUMIF(Inputs!$C$61:$C$78,0,Inputs!$F$61:$F$78)/12)*(1+$C$34)^ROUNDDOWN((AD575-1)/12,0),"-")</f>
        <v>-</v>
      </c>
      <c r="AJ575" s="8" t="str">
        <f t="shared" si="264"/>
        <v>-</v>
      </c>
      <c r="AK575" s="8" t="str">
        <f>IF($AD575&lt;=$C$25*12,'Mortgage Calculators (By Month)'!$J593,"-")</f>
        <v>-</v>
      </c>
      <c r="AL575" s="8" t="str">
        <f>IF($AD575&lt;=$C$25*12,'Mortgage Calculators (By Month)'!$K593,"-")</f>
        <v>-</v>
      </c>
      <c r="AM575" s="8" t="str">
        <f>IF($AD575&lt;=$C$25*12,'Mortgage Calculators (By Month)'!$L593,"-")</f>
        <v>-</v>
      </c>
      <c r="AN575" s="8" t="str">
        <f t="shared" si="251"/>
        <v>-</v>
      </c>
      <c r="AO575" s="8" t="str">
        <f t="shared" si="265"/>
        <v>-</v>
      </c>
      <c r="AP575" s="8" t="str">
        <f t="shared" si="266"/>
        <v>-</v>
      </c>
      <c r="AQ575" s="8" t="str">
        <f t="shared" si="267"/>
        <v>-</v>
      </c>
      <c r="AR575" s="8" t="str">
        <f t="shared" si="268"/>
        <v>-</v>
      </c>
      <c r="AS575" s="8" t="str">
        <f>IF($AD575&lt;=$C$25*12,SUM(AR$5:AR575),"-")</f>
        <v>-</v>
      </c>
      <c r="AT575" s="8" t="str">
        <f>IF($AD575&lt;=$C$25*12,AE575-$C$10-'RE Calculations'!$C762-'Mortgage Calculators (By Month)'!$M593,"-")</f>
        <v>-</v>
      </c>
      <c r="AU575" s="29" t="str">
        <f t="shared" si="269"/>
        <v>-</v>
      </c>
      <c r="AV575" s="31" t="str">
        <f t="shared" si="270"/>
        <v>-</v>
      </c>
      <c r="AW575" s="8" t="str">
        <f t="shared" si="271"/>
        <v>-</v>
      </c>
      <c r="AX575" s="29" t="str">
        <f t="shared" si="272"/>
        <v>-</v>
      </c>
      <c r="AY575" s="31" t="str">
        <f t="shared" si="273"/>
        <v>-</v>
      </c>
    </row>
    <row r="576" spans="6:51" x14ac:dyDescent="0.35">
      <c r="F576" s="12" t="str">
        <f t="shared" si="246"/>
        <v>-</v>
      </c>
      <c r="G576" s="8" t="str">
        <f t="shared" si="247"/>
        <v>-</v>
      </c>
      <c r="H576" s="8" t="str">
        <f>IF($F576&lt;=$C$16*12,$G576-$C$7+SUM('Mortgage Calculators (By Month)'!$D$23:$D594),"-")</f>
        <v>-</v>
      </c>
      <c r="I576" s="8" t="str">
        <f t="shared" si="252"/>
        <v>-</v>
      </c>
      <c r="J576" s="8" t="str">
        <f>IF($F576&lt;=$C$16*12,SUM(Inputs!$C$61:$C$78)*'Forecast (By Month)'!I576,"-")</f>
        <v>-</v>
      </c>
      <c r="K576" s="8" t="str">
        <f>IF($F576&lt;=$C$16*12,(SUMIF(Inputs!$C$61:$C$78,0,Inputs!$F$61:$F$78)/12)*(1+$C$34)^ROUNDDOWN((F576-1)/12,0),"-")</f>
        <v>-</v>
      </c>
      <c r="L576" s="8" t="str">
        <f t="shared" si="253"/>
        <v>-</v>
      </c>
      <c r="M576" s="8" t="str">
        <f>IF($F576&lt;=$C$16*12,'Mortgage Calculators (By Month)'!$C594,"-")</f>
        <v>-</v>
      </c>
      <c r="N576" s="8" t="str">
        <f>IF($F576&lt;=$C$16*12,'Mortgage Calculators (By Month)'!$D594,"-")</f>
        <v>-</v>
      </c>
      <c r="O576" s="8" t="str">
        <f>IF($F576&lt;=$C$16*12,'Mortgage Calculators (By Month)'!$E594,"-")</f>
        <v>-</v>
      </c>
      <c r="P576" s="8" t="str">
        <f t="shared" si="250"/>
        <v>-</v>
      </c>
      <c r="Q576" s="8" t="str">
        <f t="shared" si="254"/>
        <v>-</v>
      </c>
      <c r="R576" s="8" t="str">
        <f t="shared" si="255"/>
        <v>-</v>
      </c>
      <c r="S576" s="8" t="str">
        <f t="shared" si="256"/>
        <v>-</v>
      </c>
      <c r="T576" s="8" t="str">
        <f t="shared" si="257"/>
        <v>-</v>
      </c>
      <c r="U576" s="8" t="str">
        <f>IF($F576&lt;=$C$16*12,SUM(T$5:T576),"-")</f>
        <v>-</v>
      </c>
      <c r="V576" s="8" t="str">
        <f>IF($F576&lt;=$C$16*12,G576-$C$10-'RE Calculations'!$C763-'Mortgage Calculators (By Month)'!$F594,"-")</f>
        <v>-</v>
      </c>
      <c r="W576" s="29" t="str">
        <f t="shared" si="258"/>
        <v>-</v>
      </c>
      <c r="X576" s="31" t="str">
        <f t="shared" si="259"/>
        <v>-</v>
      </c>
      <c r="Y576" s="8" t="str">
        <f t="shared" si="260"/>
        <v>-</v>
      </c>
      <c r="Z576" s="29" t="str">
        <f t="shared" si="261"/>
        <v>-</v>
      </c>
      <c r="AA576" s="31" t="str">
        <f t="shared" si="262"/>
        <v>-</v>
      </c>
      <c r="AD576" s="12" t="str">
        <f t="shared" si="248"/>
        <v>-</v>
      </c>
      <c r="AE576" s="8" t="str">
        <f t="shared" si="249"/>
        <v>-</v>
      </c>
      <c r="AF576" s="8" t="str">
        <f>IF($AD576&lt;=$C$25*12,$AE576-$C$7+SUM('Mortgage Calculators (By Month)'!$K$23:$K594),"-")</f>
        <v>-</v>
      </c>
      <c r="AG576" s="8" t="str">
        <f t="shared" si="263"/>
        <v>-</v>
      </c>
      <c r="AH576" s="8" t="str">
        <f>IF($AD576&lt;=$C$25*12,SUM(Inputs!$C$61:$C$78)*'Forecast (By Month)'!AG576,"-")</f>
        <v>-</v>
      </c>
      <c r="AI576" s="8" t="str">
        <f>IF($AD576&lt;=$C$25*12,(SUMIF(Inputs!$C$61:$C$78,0,Inputs!$F$61:$F$78)/12)*(1+$C$34)^ROUNDDOWN((AD576-1)/12,0),"-")</f>
        <v>-</v>
      </c>
      <c r="AJ576" s="8" t="str">
        <f t="shared" si="264"/>
        <v>-</v>
      </c>
      <c r="AK576" s="8" t="str">
        <f>IF($AD576&lt;=$C$25*12,'Mortgage Calculators (By Month)'!$J594,"-")</f>
        <v>-</v>
      </c>
      <c r="AL576" s="8" t="str">
        <f>IF($AD576&lt;=$C$25*12,'Mortgage Calculators (By Month)'!$K594,"-")</f>
        <v>-</v>
      </c>
      <c r="AM576" s="8" t="str">
        <f>IF($AD576&lt;=$C$25*12,'Mortgage Calculators (By Month)'!$L594,"-")</f>
        <v>-</v>
      </c>
      <c r="AN576" s="8" t="str">
        <f t="shared" si="251"/>
        <v>-</v>
      </c>
      <c r="AO576" s="8" t="str">
        <f t="shared" si="265"/>
        <v>-</v>
      </c>
      <c r="AP576" s="8" t="str">
        <f t="shared" si="266"/>
        <v>-</v>
      </c>
      <c r="AQ576" s="8" t="str">
        <f t="shared" si="267"/>
        <v>-</v>
      </c>
      <c r="AR576" s="8" t="str">
        <f t="shared" si="268"/>
        <v>-</v>
      </c>
      <c r="AS576" s="8" t="str">
        <f>IF($AD576&lt;=$C$25*12,SUM(AR$5:AR576),"-")</f>
        <v>-</v>
      </c>
      <c r="AT576" s="8" t="str">
        <f>IF($AD576&lt;=$C$25*12,AE576-$C$10-'RE Calculations'!$C763-'Mortgage Calculators (By Month)'!$M594,"-")</f>
        <v>-</v>
      </c>
      <c r="AU576" s="29" t="str">
        <f t="shared" si="269"/>
        <v>-</v>
      </c>
      <c r="AV576" s="31" t="str">
        <f t="shared" si="270"/>
        <v>-</v>
      </c>
      <c r="AW576" s="8" t="str">
        <f t="shared" si="271"/>
        <v>-</v>
      </c>
      <c r="AX576" s="29" t="str">
        <f t="shared" si="272"/>
        <v>-</v>
      </c>
      <c r="AY576" s="31" t="str">
        <f t="shared" si="273"/>
        <v>-</v>
      </c>
    </row>
    <row r="577" spans="6:51" x14ac:dyDescent="0.35">
      <c r="F577" s="12" t="str">
        <f t="shared" si="246"/>
        <v>-</v>
      </c>
      <c r="G577" s="8" t="str">
        <f t="shared" si="247"/>
        <v>-</v>
      </c>
      <c r="H577" s="8" t="str">
        <f>IF($F577&lt;=$C$16*12,$G577-$C$7+SUM('Mortgage Calculators (By Month)'!$D$23:$D595),"-")</f>
        <v>-</v>
      </c>
      <c r="I577" s="8" t="str">
        <f t="shared" si="252"/>
        <v>-</v>
      </c>
      <c r="J577" s="8" t="str">
        <f>IF($F577&lt;=$C$16*12,SUM(Inputs!$C$61:$C$78)*'Forecast (By Month)'!I577,"-")</f>
        <v>-</v>
      </c>
      <c r="K577" s="8" t="str">
        <f>IF($F577&lt;=$C$16*12,(SUMIF(Inputs!$C$61:$C$78,0,Inputs!$F$61:$F$78)/12)*(1+$C$34)^ROUNDDOWN((F577-1)/12,0),"-")</f>
        <v>-</v>
      </c>
      <c r="L577" s="8" t="str">
        <f t="shared" si="253"/>
        <v>-</v>
      </c>
      <c r="M577" s="8" t="str">
        <f>IF($F577&lt;=$C$16*12,'Mortgage Calculators (By Month)'!$C595,"-")</f>
        <v>-</v>
      </c>
      <c r="N577" s="8" t="str">
        <f>IF($F577&lt;=$C$16*12,'Mortgage Calculators (By Month)'!$D595,"-")</f>
        <v>-</v>
      </c>
      <c r="O577" s="8" t="str">
        <f>IF($F577&lt;=$C$16*12,'Mortgage Calculators (By Month)'!$E595,"-")</f>
        <v>-</v>
      </c>
      <c r="P577" s="8" t="str">
        <f t="shared" si="250"/>
        <v>-</v>
      </c>
      <c r="Q577" s="8" t="str">
        <f t="shared" si="254"/>
        <v>-</v>
      </c>
      <c r="R577" s="8" t="str">
        <f t="shared" si="255"/>
        <v>-</v>
      </c>
      <c r="S577" s="8" t="str">
        <f t="shared" si="256"/>
        <v>-</v>
      </c>
      <c r="T577" s="8" t="str">
        <f t="shared" si="257"/>
        <v>-</v>
      </c>
      <c r="U577" s="8" t="str">
        <f>IF($F577&lt;=$C$16*12,SUM(T$5:T577),"-")</f>
        <v>-</v>
      </c>
      <c r="V577" s="8" t="str">
        <f>IF($F577&lt;=$C$16*12,G577-$C$10-'RE Calculations'!$C764-'Mortgage Calculators (By Month)'!$F595,"-")</f>
        <v>-</v>
      </c>
      <c r="W577" s="29" t="str">
        <f t="shared" si="258"/>
        <v>-</v>
      </c>
      <c r="X577" s="31" t="str">
        <f t="shared" si="259"/>
        <v>-</v>
      </c>
      <c r="Y577" s="8" t="str">
        <f t="shared" si="260"/>
        <v>-</v>
      </c>
      <c r="Z577" s="29" t="str">
        <f t="shared" si="261"/>
        <v>-</v>
      </c>
      <c r="AA577" s="31" t="str">
        <f t="shared" si="262"/>
        <v>-</v>
      </c>
      <c r="AD577" s="12" t="str">
        <f t="shared" si="248"/>
        <v>-</v>
      </c>
      <c r="AE577" s="8" t="str">
        <f t="shared" si="249"/>
        <v>-</v>
      </c>
      <c r="AF577" s="8" t="str">
        <f>IF($AD577&lt;=$C$25*12,$AE577-$C$7+SUM('Mortgage Calculators (By Month)'!$K$23:$K595),"-")</f>
        <v>-</v>
      </c>
      <c r="AG577" s="8" t="str">
        <f t="shared" si="263"/>
        <v>-</v>
      </c>
      <c r="AH577" s="8" t="str">
        <f>IF($AD577&lt;=$C$25*12,SUM(Inputs!$C$61:$C$78)*'Forecast (By Month)'!AG577,"-")</f>
        <v>-</v>
      </c>
      <c r="AI577" s="8" t="str">
        <f>IF($AD577&lt;=$C$25*12,(SUMIF(Inputs!$C$61:$C$78,0,Inputs!$F$61:$F$78)/12)*(1+$C$34)^ROUNDDOWN((AD577-1)/12,0),"-")</f>
        <v>-</v>
      </c>
      <c r="AJ577" s="8" t="str">
        <f t="shared" si="264"/>
        <v>-</v>
      </c>
      <c r="AK577" s="8" t="str">
        <f>IF($AD577&lt;=$C$25*12,'Mortgage Calculators (By Month)'!$J595,"-")</f>
        <v>-</v>
      </c>
      <c r="AL577" s="8" t="str">
        <f>IF($AD577&lt;=$C$25*12,'Mortgage Calculators (By Month)'!$K595,"-")</f>
        <v>-</v>
      </c>
      <c r="AM577" s="8" t="str">
        <f>IF($AD577&lt;=$C$25*12,'Mortgage Calculators (By Month)'!$L595,"-")</f>
        <v>-</v>
      </c>
      <c r="AN577" s="8" t="str">
        <f t="shared" si="251"/>
        <v>-</v>
      </c>
      <c r="AO577" s="8" t="str">
        <f t="shared" si="265"/>
        <v>-</v>
      </c>
      <c r="AP577" s="8" t="str">
        <f t="shared" si="266"/>
        <v>-</v>
      </c>
      <c r="AQ577" s="8" t="str">
        <f t="shared" si="267"/>
        <v>-</v>
      </c>
      <c r="AR577" s="8" t="str">
        <f t="shared" si="268"/>
        <v>-</v>
      </c>
      <c r="AS577" s="8" t="str">
        <f>IF($AD577&lt;=$C$25*12,SUM(AR$5:AR577),"-")</f>
        <v>-</v>
      </c>
      <c r="AT577" s="8" t="str">
        <f>IF($AD577&lt;=$C$25*12,AE577-$C$10-'RE Calculations'!$C764-'Mortgage Calculators (By Month)'!$M595,"-")</f>
        <v>-</v>
      </c>
      <c r="AU577" s="29" t="str">
        <f t="shared" si="269"/>
        <v>-</v>
      </c>
      <c r="AV577" s="31" t="str">
        <f t="shared" si="270"/>
        <v>-</v>
      </c>
      <c r="AW577" s="8" t="str">
        <f t="shared" si="271"/>
        <v>-</v>
      </c>
      <c r="AX577" s="29" t="str">
        <f t="shared" si="272"/>
        <v>-</v>
      </c>
      <c r="AY577" s="31" t="str">
        <f t="shared" si="273"/>
        <v>-</v>
      </c>
    </row>
    <row r="578" spans="6:51" x14ac:dyDescent="0.35">
      <c r="F578" s="12" t="str">
        <f t="shared" si="246"/>
        <v>-</v>
      </c>
      <c r="G578" s="8" t="str">
        <f t="shared" si="247"/>
        <v>-</v>
      </c>
      <c r="H578" s="8" t="str">
        <f>IF($F578&lt;=$C$16*12,$G578-$C$7+SUM('Mortgage Calculators (By Month)'!$D$23:$D596),"-")</f>
        <v>-</v>
      </c>
      <c r="I578" s="8" t="str">
        <f t="shared" si="252"/>
        <v>-</v>
      </c>
      <c r="J578" s="8" t="str">
        <f>IF($F578&lt;=$C$16*12,SUM(Inputs!$C$61:$C$78)*'Forecast (By Month)'!I578,"-")</f>
        <v>-</v>
      </c>
      <c r="K578" s="8" t="str">
        <f>IF($F578&lt;=$C$16*12,(SUMIF(Inputs!$C$61:$C$78,0,Inputs!$F$61:$F$78)/12)*(1+$C$34)^ROUNDDOWN((F578-1)/12,0),"-")</f>
        <v>-</v>
      </c>
      <c r="L578" s="8" t="str">
        <f t="shared" si="253"/>
        <v>-</v>
      </c>
      <c r="M578" s="8" t="str">
        <f>IF($F578&lt;=$C$16*12,'Mortgage Calculators (By Month)'!$C596,"-")</f>
        <v>-</v>
      </c>
      <c r="N578" s="8" t="str">
        <f>IF($F578&lt;=$C$16*12,'Mortgage Calculators (By Month)'!$D596,"-")</f>
        <v>-</v>
      </c>
      <c r="O578" s="8" t="str">
        <f>IF($F578&lt;=$C$16*12,'Mortgage Calculators (By Month)'!$E596,"-")</f>
        <v>-</v>
      </c>
      <c r="P578" s="8" t="str">
        <f t="shared" si="250"/>
        <v>-</v>
      </c>
      <c r="Q578" s="8" t="str">
        <f t="shared" si="254"/>
        <v>-</v>
      </c>
      <c r="R578" s="8" t="str">
        <f t="shared" si="255"/>
        <v>-</v>
      </c>
      <c r="S578" s="8" t="str">
        <f t="shared" si="256"/>
        <v>-</v>
      </c>
      <c r="T578" s="8" t="str">
        <f t="shared" si="257"/>
        <v>-</v>
      </c>
      <c r="U578" s="8" t="str">
        <f>IF($F578&lt;=$C$16*12,SUM(T$5:T578),"-")</f>
        <v>-</v>
      </c>
      <c r="V578" s="8" t="str">
        <f>IF($F578&lt;=$C$16*12,G578-$C$10-'RE Calculations'!$C765-'Mortgage Calculators (By Month)'!$F596,"-")</f>
        <v>-</v>
      </c>
      <c r="W578" s="29" t="str">
        <f t="shared" si="258"/>
        <v>-</v>
      </c>
      <c r="X578" s="31" t="str">
        <f t="shared" si="259"/>
        <v>-</v>
      </c>
      <c r="Y578" s="8" t="str">
        <f t="shared" si="260"/>
        <v>-</v>
      </c>
      <c r="Z578" s="29" t="str">
        <f t="shared" si="261"/>
        <v>-</v>
      </c>
      <c r="AA578" s="31" t="str">
        <f t="shared" si="262"/>
        <v>-</v>
      </c>
      <c r="AD578" s="12" t="str">
        <f t="shared" si="248"/>
        <v>-</v>
      </c>
      <c r="AE578" s="8" t="str">
        <f t="shared" si="249"/>
        <v>-</v>
      </c>
      <c r="AF578" s="8" t="str">
        <f>IF($AD578&lt;=$C$25*12,$AE578-$C$7+SUM('Mortgage Calculators (By Month)'!$K$23:$K596),"-")</f>
        <v>-</v>
      </c>
      <c r="AG578" s="8" t="str">
        <f t="shared" si="263"/>
        <v>-</v>
      </c>
      <c r="AH578" s="8" t="str">
        <f>IF($AD578&lt;=$C$25*12,SUM(Inputs!$C$61:$C$78)*'Forecast (By Month)'!AG578,"-")</f>
        <v>-</v>
      </c>
      <c r="AI578" s="8" t="str">
        <f>IF($AD578&lt;=$C$25*12,(SUMIF(Inputs!$C$61:$C$78,0,Inputs!$F$61:$F$78)/12)*(1+$C$34)^ROUNDDOWN((AD578-1)/12,0),"-")</f>
        <v>-</v>
      </c>
      <c r="AJ578" s="8" t="str">
        <f t="shared" si="264"/>
        <v>-</v>
      </c>
      <c r="AK578" s="8" t="str">
        <f>IF($AD578&lt;=$C$25*12,'Mortgage Calculators (By Month)'!$J596,"-")</f>
        <v>-</v>
      </c>
      <c r="AL578" s="8" t="str">
        <f>IF($AD578&lt;=$C$25*12,'Mortgage Calculators (By Month)'!$K596,"-")</f>
        <v>-</v>
      </c>
      <c r="AM578" s="8" t="str">
        <f>IF($AD578&lt;=$C$25*12,'Mortgage Calculators (By Month)'!$L596,"-")</f>
        <v>-</v>
      </c>
      <c r="AN578" s="8" t="str">
        <f t="shared" si="251"/>
        <v>-</v>
      </c>
      <c r="AO578" s="8" t="str">
        <f t="shared" si="265"/>
        <v>-</v>
      </c>
      <c r="AP578" s="8" t="str">
        <f t="shared" si="266"/>
        <v>-</v>
      </c>
      <c r="AQ578" s="8" t="str">
        <f t="shared" si="267"/>
        <v>-</v>
      </c>
      <c r="AR578" s="8" t="str">
        <f t="shared" si="268"/>
        <v>-</v>
      </c>
      <c r="AS578" s="8" t="str">
        <f>IF($AD578&lt;=$C$25*12,SUM(AR$5:AR578),"-")</f>
        <v>-</v>
      </c>
      <c r="AT578" s="8" t="str">
        <f>IF($AD578&lt;=$C$25*12,AE578-$C$10-'RE Calculations'!$C765-'Mortgage Calculators (By Month)'!$M596,"-")</f>
        <v>-</v>
      </c>
      <c r="AU578" s="29" t="str">
        <f t="shared" si="269"/>
        <v>-</v>
      </c>
      <c r="AV578" s="31" t="str">
        <f t="shared" si="270"/>
        <v>-</v>
      </c>
      <c r="AW578" s="8" t="str">
        <f t="shared" si="271"/>
        <v>-</v>
      </c>
      <c r="AX578" s="29" t="str">
        <f t="shared" si="272"/>
        <v>-</v>
      </c>
      <c r="AY578" s="31" t="str">
        <f t="shared" si="273"/>
        <v>-</v>
      </c>
    </row>
    <row r="579" spans="6:51" x14ac:dyDescent="0.35">
      <c r="F579" s="12" t="str">
        <f t="shared" si="246"/>
        <v>-</v>
      </c>
      <c r="G579" s="8" t="str">
        <f t="shared" si="247"/>
        <v>-</v>
      </c>
      <c r="H579" s="8" t="str">
        <f>IF($F579&lt;=$C$16*12,$G579-$C$7+SUM('Mortgage Calculators (By Month)'!$D$23:$D597),"-")</f>
        <v>-</v>
      </c>
      <c r="I579" s="8" t="str">
        <f t="shared" si="252"/>
        <v>-</v>
      </c>
      <c r="J579" s="8" t="str">
        <f>IF($F579&lt;=$C$16*12,SUM(Inputs!$C$61:$C$78)*'Forecast (By Month)'!I579,"-")</f>
        <v>-</v>
      </c>
      <c r="K579" s="8" t="str">
        <f>IF($F579&lt;=$C$16*12,(SUMIF(Inputs!$C$61:$C$78,0,Inputs!$F$61:$F$78)/12)*(1+$C$34)^ROUNDDOWN((F579-1)/12,0),"-")</f>
        <v>-</v>
      </c>
      <c r="L579" s="8" t="str">
        <f t="shared" si="253"/>
        <v>-</v>
      </c>
      <c r="M579" s="8" t="str">
        <f>IF($F579&lt;=$C$16*12,'Mortgage Calculators (By Month)'!$C597,"-")</f>
        <v>-</v>
      </c>
      <c r="N579" s="8" t="str">
        <f>IF($F579&lt;=$C$16*12,'Mortgage Calculators (By Month)'!$D597,"-")</f>
        <v>-</v>
      </c>
      <c r="O579" s="8" t="str">
        <f>IF($F579&lt;=$C$16*12,'Mortgage Calculators (By Month)'!$E597,"-")</f>
        <v>-</v>
      </c>
      <c r="P579" s="8" t="str">
        <f t="shared" si="250"/>
        <v>-</v>
      </c>
      <c r="Q579" s="8" t="str">
        <f t="shared" si="254"/>
        <v>-</v>
      </c>
      <c r="R579" s="8" t="str">
        <f t="shared" si="255"/>
        <v>-</v>
      </c>
      <c r="S579" s="8" t="str">
        <f t="shared" si="256"/>
        <v>-</v>
      </c>
      <c r="T579" s="8" t="str">
        <f t="shared" si="257"/>
        <v>-</v>
      </c>
      <c r="U579" s="8" t="str">
        <f>IF($F579&lt;=$C$16*12,SUM(T$5:T579),"-")</f>
        <v>-</v>
      </c>
      <c r="V579" s="8" t="str">
        <f>IF($F579&lt;=$C$16*12,G579-$C$10-'RE Calculations'!$C766-'Mortgage Calculators (By Month)'!$F597,"-")</f>
        <v>-</v>
      </c>
      <c r="W579" s="29" t="str">
        <f t="shared" si="258"/>
        <v>-</v>
      </c>
      <c r="X579" s="31" t="str">
        <f t="shared" si="259"/>
        <v>-</v>
      </c>
      <c r="Y579" s="8" t="str">
        <f t="shared" si="260"/>
        <v>-</v>
      </c>
      <c r="Z579" s="29" t="str">
        <f t="shared" si="261"/>
        <v>-</v>
      </c>
      <c r="AA579" s="31" t="str">
        <f t="shared" si="262"/>
        <v>-</v>
      </c>
      <c r="AD579" s="12" t="str">
        <f t="shared" si="248"/>
        <v>-</v>
      </c>
      <c r="AE579" s="8" t="str">
        <f t="shared" si="249"/>
        <v>-</v>
      </c>
      <c r="AF579" s="8" t="str">
        <f>IF($AD579&lt;=$C$25*12,$AE579-$C$7+SUM('Mortgage Calculators (By Month)'!$K$23:$K597),"-")</f>
        <v>-</v>
      </c>
      <c r="AG579" s="8" t="str">
        <f t="shared" si="263"/>
        <v>-</v>
      </c>
      <c r="AH579" s="8" t="str">
        <f>IF($AD579&lt;=$C$25*12,SUM(Inputs!$C$61:$C$78)*'Forecast (By Month)'!AG579,"-")</f>
        <v>-</v>
      </c>
      <c r="AI579" s="8" t="str">
        <f>IF($AD579&lt;=$C$25*12,(SUMIF(Inputs!$C$61:$C$78,0,Inputs!$F$61:$F$78)/12)*(1+$C$34)^ROUNDDOWN((AD579-1)/12,0),"-")</f>
        <v>-</v>
      </c>
      <c r="AJ579" s="8" t="str">
        <f t="shared" si="264"/>
        <v>-</v>
      </c>
      <c r="AK579" s="8" t="str">
        <f>IF($AD579&lt;=$C$25*12,'Mortgage Calculators (By Month)'!$J597,"-")</f>
        <v>-</v>
      </c>
      <c r="AL579" s="8" t="str">
        <f>IF($AD579&lt;=$C$25*12,'Mortgage Calculators (By Month)'!$K597,"-")</f>
        <v>-</v>
      </c>
      <c r="AM579" s="8" t="str">
        <f>IF($AD579&lt;=$C$25*12,'Mortgage Calculators (By Month)'!$L597,"-")</f>
        <v>-</v>
      </c>
      <c r="AN579" s="8" t="str">
        <f t="shared" si="251"/>
        <v>-</v>
      </c>
      <c r="AO579" s="8" t="str">
        <f t="shared" si="265"/>
        <v>-</v>
      </c>
      <c r="AP579" s="8" t="str">
        <f t="shared" si="266"/>
        <v>-</v>
      </c>
      <c r="AQ579" s="8" t="str">
        <f t="shared" si="267"/>
        <v>-</v>
      </c>
      <c r="AR579" s="8" t="str">
        <f t="shared" si="268"/>
        <v>-</v>
      </c>
      <c r="AS579" s="8" t="str">
        <f>IF($AD579&lt;=$C$25*12,SUM(AR$5:AR579),"-")</f>
        <v>-</v>
      </c>
      <c r="AT579" s="8" t="str">
        <f>IF($AD579&lt;=$C$25*12,AE579-$C$10-'RE Calculations'!$C766-'Mortgage Calculators (By Month)'!$M597,"-")</f>
        <v>-</v>
      </c>
      <c r="AU579" s="29" t="str">
        <f t="shared" si="269"/>
        <v>-</v>
      </c>
      <c r="AV579" s="31" t="str">
        <f t="shared" si="270"/>
        <v>-</v>
      </c>
      <c r="AW579" s="8" t="str">
        <f t="shared" si="271"/>
        <v>-</v>
      </c>
      <c r="AX579" s="29" t="str">
        <f t="shared" si="272"/>
        <v>-</v>
      </c>
      <c r="AY579" s="31" t="str">
        <f t="shared" si="273"/>
        <v>-</v>
      </c>
    </row>
    <row r="580" spans="6:51" x14ac:dyDescent="0.35">
      <c r="F580" s="12" t="str">
        <f t="shared" si="246"/>
        <v>-</v>
      </c>
      <c r="G580" s="8" t="str">
        <f t="shared" si="247"/>
        <v>-</v>
      </c>
      <c r="H580" s="8" t="str">
        <f>IF($F580&lt;=$C$16*12,$G580-$C$7+SUM('Mortgage Calculators (By Month)'!$D$23:$D598),"-")</f>
        <v>-</v>
      </c>
      <c r="I580" s="8" t="str">
        <f t="shared" si="252"/>
        <v>-</v>
      </c>
      <c r="J580" s="8" t="str">
        <f>IF($F580&lt;=$C$16*12,SUM(Inputs!$C$61:$C$78)*'Forecast (By Month)'!I580,"-")</f>
        <v>-</v>
      </c>
      <c r="K580" s="8" t="str">
        <f>IF($F580&lt;=$C$16*12,(SUMIF(Inputs!$C$61:$C$78,0,Inputs!$F$61:$F$78)/12)*(1+$C$34)^ROUNDDOWN((F580-1)/12,0),"-")</f>
        <v>-</v>
      </c>
      <c r="L580" s="8" t="str">
        <f t="shared" si="253"/>
        <v>-</v>
      </c>
      <c r="M580" s="8" t="str">
        <f>IF($F580&lt;=$C$16*12,'Mortgage Calculators (By Month)'!$C598,"-")</f>
        <v>-</v>
      </c>
      <c r="N580" s="8" t="str">
        <f>IF($F580&lt;=$C$16*12,'Mortgage Calculators (By Month)'!$D598,"-")</f>
        <v>-</v>
      </c>
      <c r="O580" s="8" t="str">
        <f>IF($F580&lt;=$C$16*12,'Mortgage Calculators (By Month)'!$E598,"-")</f>
        <v>-</v>
      </c>
      <c r="P580" s="8" t="str">
        <f t="shared" si="250"/>
        <v>-</v>
      </c>
      <c r="Q580" s="8" t="str">
        <f t="shared" si="254"/>
        <v>-</v>
      </c>
      <c r="R580" s="8" t="str">
        <f t="shared" si="255"/>
        <v>-</v>
      </c>
      <c r="S580" s="8" t="str">
        <f t="shared" si="256"/>
        <v>-</v>
      </c>
      <c r="T580" s="8" t="str">
        <f t="shared" si="257"/>
        <v>-</v>
      </c>
      <c r="U580" s="8" t="str">
        <f>IF($F580&lt;=$C$16*12,SUM(T$5:T580),"-")</f>
        <v>-</v>
      </c>
      <c r="V580" s="8" t="str">
        <f>IF($F580&lt;=$C$16*12,G580-$C$10-'RE Calculations'!$C767-'Mortgage Calculators (By Month)'!$F598,"-")</f>
        <v>-</v>
      </c>
      <c r="W580" s="29" t="str">
        <f t="shared" si="258"/>
        <v>-</v>
      </c>
      <c r="X580" s="31" t="str">
        <f t="shared" si="259"/>
        <v>-</v>
      </c>
      <c r="Y580" s="8" t="str">
        <f t="shared" si="260"/>
        <v>-</v>
      </c>
      <c r="Z580" s="29" t="str">
        <f t="shared" si="261"/>
        <v>-</v>
      </c>
      <c r="AA580" s="31" t="str">
        <f t="shared" si="262"/>
        <v>-</v>
      </c>
      <c r="AD580" s="12" t="str">
        <f t="shared" si="248"/>
        <v>-</v>
      </c>
      <c r="AE580" s="8" t="str">
        <f t="shared" si="249"/>
        <v>-</v>
      </c>
      <c r="AF580" s="8" t="str">
        <f>IF($AD580&lt;=$C$25*12,$AE580-$C$7+SUM('Mortgage Calculators (By Month)'!$K$23:$K598),"-")</f>
        <v>-</v>
      </c>
      <c r="AG580" s="8" t="str">
        <f t="shared" si="263"/>
        <v>-</v>
      </c>
      <c r="AH580" s="8" t="str">
        <f>IF($AD580&lt;=$C$25*12,SUM(Inputs!$C$61:$C$78)*'Forecast (By Month)'!AG580,"-")</f>
        <v>-</v>
      </c>
      <c r="AI580" s="8" t="str">
        <f>IF($AD580&lt;=$C$25*12,(SUMIF(Inputs!$C$61:$C$78,0,Inputs!$F$61:$F$78)/12)*(1+$C$34)^ROUNDDOWN((AD580-1)/12,0),"-")</f>
        <v>-</v>
      </c>
      <c r="AJ580" s="8" t="str">
        <f t="shared" si="264"/>
        <v>-</v>
      </c>
      <c r="AK580" s="8" t="str">
        <f>IF($AD580&lt;=$C$25*12,'Mortgage Calculators (By Month)'!$J598,"-")</f>
        <v>-</v>
      </c>
      <c r="AL580" s="8" t="str">
        <f>IF($AD580&lt;=$C$25*12,'Mortgage Calculators (By Month)'!$K598,"-")</f>
        <v>-</v>
      </c>
      <c r="AM580" s="8" t="str">
        <f>IF($AD580&lt;=$C$25*12,'Mortgage Calculators (By Month)'!$L598,"-")</f>
        <v>-</v>
      </c>
      <c r="AN580" s="8" t="str">
        <f t="shared" si="251"/>
        <v>-</v>
      </c>
      <c r="AO580" s="8" t="str">
        <f t="shared" si="265"/>
        <v>-</v>
      </c>
      <c r="AP580" s="8" t="str">
        <f t="shared" si="266"/>
        <v>-</v>
      </c>
      <c r="AQ580" s="8" t="str">
        <f t="shared" si="267"/>
        <v>-</v>
      </c>
      <c r="AR580" s="8" t="str">
        <f t="shared" si="268"/>
        <v>-</v>
      </c>
      <c r="AS580" s="8" t="str">
        <f>IF($AD580&lt;=$C$25*12,SUM(AR$5:AR580),"-")</f>
        <v>-</v>
      </c>
      <c r="AT580" s="8" t="str">
        <f>IF($AD580&lt;=$C$25*12,AE580-$C$10-'RE Calculations'!$C767-'Mortgage Calculators (By Month)'!$M598,"-")</f>
        <v>-</v>
      </c>
      <c r="AU580" s="29" t="str">
        <f t="shared" si="269"/>
        <v>-</v>
      </c>
      <c r="AV580" s="31" t="str">
        <f t="shared" si="270"/>
        <v>-</v>
      </c>
      <c r="AW580" s="8" t="str">
        <f t="shared" si="271"/>
        <v>-</v>
      </c>
      <c r="AX580" s="29" t="str">
        <f t="shared" si="272"/>
        <v>-</v>
      </c>
      <c r="AY580" s="31" t="str">
        <f t="shared" si="273"/>
        <v>-</v>
      </c>
    </row>
    <row r="581" spans="6:51" x14ac:dyDescent="0.35">
      <c r="F581" s="12" t="str">
        <f t="shared" ref="F581:F605" si="274">IF(F580&lt;$C$16*12,F580+1,"-")</f>
        <v>-</v>
      </c>
      <c r="G581" s="8" t="str">
        <f t="shared" ref="G581:G605" si="275">IF($F581&lt;=$C$16*12,G580*(1+$C$32),"-")</f>
        <v>-</v>
      </c>
      <c r="H581" s="8" t="str">
        <f>IF($F581&lt;=$C$16*12,$G581-$C$7+SUM('Mortgage Calculators (By Month)'!$D$23:$D599),"-")</f>
        <v>-</v>
      </c>
      <c r="I581" s="8" t="str">
        <f t="shared" si="252"/>
        <v>-</v>
      </c>
      <c r="J581" s="8" t="str">
        <f>IF($F581&lt;=$C$16*12,SUM(Inputs!$C$61:$C$78)*'Forecast (By Month)'!I581,"-")</f>
        <v>-</v>
      </c>
      <c r="K581" s="8" t="str">
        <f>IF($F581&lt;=$C$16*12,(SUMIF(Inputs!$C$61:$C$78,0,Inputs!$F$61:$F$78)/12)*(1+$C$34)^ROUNDDOWN((F581-1)/12,0),"-")</f>
        <v>-</v>
      </c>
      <c r="L581" s="8" t="str">
        <f t="shared" si="253"/>
        <v>-</v>
      </c>
      <c r="M581" s="8" t="str">
        <f>IF($F581&lt;=$C$16*12,'Mortgage Calculators (By Month)'!$C599,"-")</f>
        <v>-</v>
      </c>
      <c r="N581" s="8" t="str">
        <f>IF($F581&lt;=$C$16*12,'Mortgage Calculators (By Month)'!$D599,"-")</f>
        <v>-</v>
      </c>
      <c r="O581" s="8" t="str">
        <f>IF($F581&lt;=$C$16*12,'Mortgage Calculators (By Month)'!$E599,"-")</f>
        <v>-</v>
      </c>
      <c r="P581" s="8" t="str">
        <f t="shared" si="250"/>
        <v>-</v>
      </c>
      <c r="Q581" s="8" t="str">
        <f t="shared" si="254"/>
        <v>-</v>
      </c>
      <c r="R581" s="8" t="str">
        <f t="shared" si="255"/>
        <v>-</v>
      </c>
      <c r="S581" s="8" t="str">
        <f t="shared" si="256"/>
        <v>-</v>
      </c>
      <c r="T581" s="8" t="str">
        <f t="shared" si="257"/>
        <v>-</v>
      </c>
      <c r="U581" s="8" t="str">
        <f>IF($F581&lt;=$C$16*12,SUM(T$5:T581),"-")</f>
        <v>-</v>
      </c>
      <c r="V581" s="8" t="str">
        <f>IF($F581&lt;=$C$16*12,G581-$C$10-'RE Calculations'!$C768-'Mortgage Calculators (By Month)'!$F599,"-")</f>
        <v>-</v>
      </c>
      <c r="W581" s="29" t="str">
        <f t="shared" si="258"/>
        <v>-</v>
      </c>
      <c r="X581" s="31" t="str">
        <f t="shared" si="259"/>
        <v>-</v>
      </c>
      <c r="Y581" s="8" t="str">
        <f t="shared" si="260"/>
        <v>-</v>
      </c>
      <c r="Z581" s="29" t="str">
        <f t="shared" si="261"/>
        <v>-</v>
      </c>
      <c r="AA581" s="31" t="str">
        <f t="shared" si="262"/>
        <v>-</v>
      </c>
      <c r="AD581" s="12" t="str">
        <f t="shared" ref="AD581:AD605" si="276">IF($AD580&lt;$C$25*12,AD580+1,"-")</f>
        <v>-</v>
      </c>
      <c r="AE581" s="8" t="str">
        <f t="shared" ref="AE581:AE605" si="277">IF($AD581&lt;=$C$25*12,AE580*(1+$C$32),"-")</f>
        <v>-</v>
      </c>
      <c r="AF581" s="8" t="str">
        <f>IF($AD581&lt;=$C$25*12,$AE581-$C$7+SUM('Mortgage Calculators (By Month)'!$K$23:$K599),"-")</f>
        <v>-</v>
      </c>
      <c r="AG581" s="8" t="str">
        <f t="shared" si="263"/>
        <v>-</v>
      </c>
      <c r="AH581" s="8" t="str">
        <f>IF($AD581&lt;=$C$25*12,SUM(Inputs!$C$61:$C$78)*'Forecast (By Month)'!AG581,"-")</f>
        <v>-</v>
      </c>
      <c r="AI581" s="8" t="str">
        <f>IF($AD581&lt;=$C$25*12,(SUMIF(Inputs!$C$61:$C$78,0,Inputs!$F$61:$F$78)/12)*(1+$C$34)^ROUNDDOWN((AD581-1)/12,0),"-")</f>
        <v>-</v>
      </c>
      <c r="AJ581" s="8" t="str">
        <f t="shared" si="264"/>
        <v>-</v>
      </c>
      <c r="AK581" s="8" t="str">
        <f>IF($AD581&lt;=$C$25*12,'Mortgage Calculators (By Month)'!$J599,"-")</f>
        <v>-</v>
      </c>
      <c r="AL581" s="8" t="str">
        <f>IF($AD581&lt;=$C$25*12,'Mortgage Calculators (By Month)'!$K599,"-")</f>
        <v>-</v>
      </c>
      <c r="AM581" s="8" t="str">
        <f>IF($AD581&lt;=$C$25*12,'Mortgage Calculators (By Month)'!$L599,"-")</f>
        <v>-</v>
      </c>
      <c r="AN581" s="8" t="str">
        <f t="shared" si="251"/>
        <v>-</v>
      </c>
      <c r="AO581" s="8" t="str">
        <f t="shared" si="265"/>
        <v>-</v>
      </c>
      <c r="AP581" s="8" t="str">
        <f t="shared" si="266"/>
        <v>-</v>
      </c>
      <c r="AQ581" s="8" t="str">
        <f t="shared" si="267"/>
        <v>-</v>
      </c>
      <c r="AR581" s="8" t="str">
        <f t="shared" si="268"/>
        <v>-</v>
      </c>
      <c r="AS581" s="8" t="str">
        <f>IF($AD581&lt;=$C$25*12,SUM(AR$5:AR581),"-")</f>
        <v>-</v>
      </c>
      <c r="AT581" s="8" t="str">
        <f>IF($AD581&lt;=$C$25*12,AE581-$C$10-'RE Calculations'!$C768-'Mortgage Calculators (By Month)'!$M599,"-")</f>
        <v>-</v>
      </c>
      <c r="AU581" s="29" t="str">
        <f t="shared" si="269"/>
        <v>-</v>
      </c>
      <c r="AV581" s="31" t="str">
        <f t="shared" si="270"/>
        <v>-</v>
      </c>
      <c r="AW581" s="8" t="str">
        <f t="shared" si="271"/>
        <v>-</v>
      </c>
      <c r="AX581" s="29" t="str">
        <f t="shared" si="272"/>
        <v>-</v>
      </c>
      <c r="AY581" s="31" t="str">
        <f t="shared" si="273"/>
        <v>-</v>
      </c>
    </row>
    <row r="582" spans="6:51" x14ac:dyDescent="0.35">
      <c r="F582" s="12" t="str">
        <f t="shared" si="274"/>
        <v>-</v>
      </c>
      <c r="G582" s="8" t="str">
        <f t="shared" si="275"/>
        <v>-</v>
      </c>
      <c r="H582" s="8" t="str">
        <f>IF($F582&lt;=$C$16*12,$G582-$C$7+SUM('Mortgage Calculators (By Month)'!$D$23:$D600),"-")</f>
        <v>-</v>
      </c>
      <c r="I582" s="8" t="str">
        <f t="shared" si="252"/>
        <v>-</v>
      </c>
      <c r="J582" s="8" t="str">
        <f>IF($F582&lt;=$C$16*12,SUM(Inputs!$C$61:$C$78)*'Forecast (By Month)'!I582,"-")</f>
        <v>-</v>
      </c>
      <c r="K582" s="8" t="str">
        <f>IF($F582&lt;=$C$16*12,(SUMIF(Inputs!$C$61:$C$78,0,Inputs!$F$61:$F$78)/12)*(1+$C$34)^ROUNDDOWN((F582-1)/12,0),"-")</f>
        <v>-</v>
      </c>
      <c r="L582" s="8" t="str">
        <f t="shared" si="253"/>
        <v>-</v>
      </c>
      <c r="M582" s="8" t="str">
        <f>IF($F582&lt;=$C$16*12,'Mortgage Calculators (By Month)'!$C600,"-")</f>
        <v>-</v>
      </c>
      <c r="N582" s="8" t="str">
        <f>IF($F582&lt;=$C$16*12,'Mortgage Calculators (By Month)'!$D600,"-")</f>
        <v>-</v>
      </c>
      <c r="O582" s="8" t="str">
        <f>IF($F582&lt;=$C$16*12,'Mortgage Calculators (By Month)'!$E600,"-")</f>
        <v>-</v>
      </c>
      <c r="P582" s="8" t="str">
        <f t="shared" ref="P582:P605" si="278">IF($F582&lt;=$C$16*12,IF($F582&lt;=$C$38*12,IFERROR($C$37/($C$38*12),0),0),"-")</f>
        <v>-</v>
      </c>
      <c r="Q582" s="8" t="str">
        <f t="shared" si="254"/>
        <v>-</v>
      </c>
      <c r="R582" s="8" t="str">
        <f t="shared" si="255"/>
        <v>-</v>
      </c>
      <c r="S582" s="8" t="str">
        <f t="shared" si="256"/>
        <v>-</v>
      </c>
      <c r="T582" s="8" t="str">
        <f t="shared" si="257"/>
        <v>-</v>
      </c>
      <c r="U582" s="8" t="str">
        <f>IF($F582&lt;=$C$16*12,SUM(T$5:T582),"-")</f>
        <v>-</v>
      </c>
      <c r="V582" s="8" t="str">
        <f>IF($F582&lt;=$C$16*12,G582-$C$10-'RE Calculations'!$C769-'Mortgage Calculators (By Month)'!$F600,"-")</f>
        <v>-</v>
      </c>
      <c r="W582" s="29" t="str">
        <f t="shared" si="258"/>
        <v>-</v>
      </c>
      <c r="X582" s="31" t="str">
        <f t="shared" si="259"/>
        <v>-</v>
      </c>
      <c r="Y582" s="8" t="str">
        <f t="shared" si="260"/>
        <v>-</v>
      </c>
      <c r="Z582" s="29" t="str">
        <f t="shared" si="261"/>
        <v>-</v>
      </c>
      <c r="AA582" s="31" t="str">
        <f t="shared" si="262"/>
        <v>-</v>
      </c>
      <c r="AD582" s="12" t="str">
        <f t="shared" si="276"/>
        <v>-</v>
      </c>
      <c r="AE582" s="8" t="str">
        <f t="shared" si="277"/>
        <v>-</v>
      </c>
      <c r="AF582" s="8" t="str">
        <f>IF($AD582&lt;=$C$25*12,$AE582-$C$7+SUM('Mortgage Calculators (By Month)'!$K$23:$K600),"-")</f>
        <v>-</v>
      </c>
      <c r="AG582" s="8" t="str">
        <f t="shared" si="263"/>
        <v>-</v>
      </c>
      <c r="AH582" s="8" t="str">
        <f>IF($AD582&lt;=$C$25*12,SUM(Inputs!$C$61:$C$78)*'Forecast (By Month)'!AG582,"-")</f>
        <v>-</v>
      </c>
      <c r="AI582" s="8" t="str">
        <f>IF($AD582&lt;=$C$25*12,(SUMIF(Inputs!$C$61:$C$78,0,Inputs!$F$61:$F$78)/12)*(1+$C$34)^ROUNDDOWN((AD582-1)/12,0),"-")</f>
        <v>-</v>
      </c>
      <c r="AJ582" s="8" t="str">
        <f t="shared" si="264"/>
        <v>-</v>
      </c>
      <c r="AK582" s="8" t="str">
        <f>IF($AD582&lt;=$C$25*12,'Mortgage Calculators (By Month)'!$J600,"-")</f>
        <v>-</v>
      </c>
      <c r="AL582" s="8" t="str">
        <f>IF($AD582&lt;=$C$25*12,'Mortgage Calculators (By Month)'!$K600,"-")</f>
        <v>-</v>
      </c>
      <c r="AM582" s="8" t="str">
        <f>IF($AD582&lt;=$C$25*12,'Mortgage Calculators (By Month)'!$L600,"-")</f>
        <v>-</v>
      </c>
      <c r="AN582" s="8" t="str">
        <f t="shared" ref="AN582:AN605" si="279">IF($AD582&lt;=$C$25*12,IF($AD582&lt;=$C$38*12,IFERROR($C$37/($C$38*12),0),0),"-")</f>
        <v>-</v>
      </c>
      <c r="AO582" s="8" t="str">
        <f t="shared" si="265"/>
        <v>-</v>
      </c>
      <c r="AP582" s="8" t="str">
        <f t="shared" si="266"/>
        <v>-</v>
      </c>
      <c r="AQ582" s="8" t="str">
        <f t="shared" si="267"/>
        <v>-</v>
      </c>
      <c r="AR582" s="8" t="str">
        <f t="shared" si="268"/>
        <v>-</v>
      </c>
      <c r="AS582" s="8" t="str">
        <f>IF($AD582&lt;=$C$25*12,SUM(AR$5:AR582),"-")</f>
        <v>-</v>
      </c>
      <c r="AT582" s="8" t="str">
        <f>IF($AD582&lt;=$C$25*12,AE582-$C$10-'RE Calculations'!$C769-'Mortgage Calculators (By Month)'!$M600,"-")</f>
        <v>-</v>
      </c>
      <c r="AU582" s="29" t="str">
        <f t="shared" si="269"/>
        <v>-</v>
      </c>
      <c r="AV582" s="31" t="str">
        <f t="shared" si="270"/>
        <v>-</v>
      </c>
      <c r="AW582" s="8" t="str">
        <f t="shared" si="271"/>
        <v>-</v>
      </c>
      <c r="AX582" s="29" t="str">
        <f t="shared" si="272"/>
        <v>-</v>
      </c>
      <c r="AY582" s="31" t="str">
        <f t="shared" si="273"/>
        <v>-</v>
      </c>
    </row>
    <row r="583" spans="6:51" x14ac:dyDescent="0.35">
      <c r="F583" s="12" t="str">
        <f t="shared" si="274"/>
        <v>-</v>
      </c>
      <c r="G583" s="8" t="str">
        <f t="shared" si="275"/>
        <v>-</v>
      </c>
      <c r="H583" s="8" t="str">
        <f>IF($F583&lt;=$C$16*12,$G583-$C$7+SUM('Mortgage Calculators (By Month)'!$D$23:$D601),"-")</f>
        <v>-</v>
      </c>
      <c r="I583" s="8" t="str">
        <f t="shared" si="252"/>
        <v>-</v>
      </c>
      <c r="J583" s="8" t="str">
        <f>IF($F583&lt;=$C$16*12,SUM(Inputs!$C$61:$C$78)*'Forecast (By Month)'!I583,"-")</f>
        <v>-</v>
      </c>
      <c r="K583" s="8" t="str">
        <f>IF($F583&lt;=$C$16*12,(SUMIF(Inputs!$C$61:$C$78,0,Inputs!$F$61:$F$78)/12)*(1+$C$34)^ROUNDDOWN((F583-1)/12,0),"-")</f>
        <v>-</v>
      </c>
      <c r="L583" s="8" t="str">
        <f t="shared" si="253"/>
        <v>-</v>
      </c>
      <c r="M583" s="8" t="str">
        <f>IF($F583&lt;=$C$16*12,'Mortgage Calculators (By Month)'!$C601,"-")</f>
        <v>-</v>
      </c>
      <c r="N583" s="8" t="str">
        <f>IF($F583&lt;=$C$16*12,'Mortgage Calculators (By Month)'!$D601,"-")</f>
        <v>-</v>
      </c>
      <c r="O583" s="8" t="str">
        <f>IF($F583&lt;=$C$16*12,'Mortgage Calculators (By Month)'!$E601,"-")</f>
        <v>-</v>
      </c>
      <c r="P583" s="8" t="str">
        <f t="shared" si="278"/>
        <v>-</v>
      </c>
      <c r="Q583" s="8" t="str">
        <f t="shared" si="254"/>
        <v>-</v>
      </c>
      <c r="R583" s="8" t="str">
        <f t="shared" si="255"/>
        <v>-</v>
      </c>
      <c r="S583" s="8" t="str">
        <f t="shared" si="256"/>
        <v>-</v>
      </c>
      <c r="T583" s="8" t="str">
        <f t="shared" si="257"/>
        <v>-</v>
      </c>
      <c r="U583" s="8" t="str">
        <f>IF($F583&lt;=$C$16*12,SUM(T$5:T583),"-")</f>
        <v>-</v>
      </c>
      <c r="V583" s="8" t="str">
        <f>IF($F583&lt;=$C$16*12,G583-$C$10-'RE Calculations'!$C770-'Mortgage Calculators (By Month)'!$F601,"-")</f>
        <v>-</v>
      </c>
      <c r="W583" s="29" t="str">
        <f t="shared" si="258"/>
        <v>-</v>
      </c>
      <c r="X583" s="31" t="str">
        <f t="shared" si="259"/>
        <v>-</v>
      </c>
      <c r="Y583" s="8" t="str">
        <f t="shared" si="260"/>
        <v>-</v>
      </c>
      <c r="Z583" s="29" t="str">
        <f t="shared" si="261"/>
        <v>-</v>
      </c>
      <c r="AA583" s="31" t="str">
        <f t="shared" si="262"/>
        <v>-</v>
      </c>
      <c r="AD583" s="12" t="str">
        <f t="shared" si="276"/>
        <v>-</v>
      </c>
      <c r="AE583" s="8" t="str">
        <f t="shared" si="277"/>
        <v>-</v>
      </c>
      <c r="AF583" s="8" t="str">
        <f>IF($AD583&lt;=$C$25*12,$AE583-$C$7+SUM('Mortgage Calculators (By Month)'!$K$23:$K601),"-")</f>
        <v>-</v>
      </c>
      <c r="AG583" s="8" t="str">
        <f t="shared" si="263"/>
        <v>-</v>
      </c>
      <c r="AH583" s="8" t="str">
        <f>IF($AD583&lt;=$C$25*12,SUM(Inputs!$C$61:$C$78)*'Forecast (By Month)'!AG583,"-")</f>
        <v>-</v>
      </c>
      <c r="AI583" s="8" t="str">
        <f>IF($AD583&lt;=$C$25*12,(SUMIF(Inputs!$C$61:$C$78,0,Inputs!$F$61:$F$78)/12)*(1+$C$34)^ROUNDDOWN((AD583-1)/12,0),"-")</f>
        <v>-</v>
      </c>
      <c r="AJ583" s="8" t="str">
        <f t="shared" si="264"/>
        <v>-</v>
      </c>
      <c r="AK583" s="8" t="str">
        <f>IF($AD583&lt;=$C$25*12,'Mortgage Calculators (By Month)'!$J601,"-")</f>
        <v>-</v>
      </c>
      <c r="AL583" s="8" t="str">
        <f>IF($AD583&lt;=$C$25*12,'Mortgage Calculators (By Month)'!$K601,"-")</f>
        <v>-</v>
      </c>
      <c r="AM583" s="8" t="str">
        <f>IF($AD583&lt;=$C$25*12,'Mortgage Calculators (By Month)'!$L601,"-")</f>
        <v>-</v>
      </c>
      <c r="AN583" s="8" t="str">
        <f t="shared" si="279"/>
        <v>-</v>
      </c>
      <c r="AO583" s="8" t="str">
        <f t="shared" si="265"/>
        <v>-</v>
      </c>
      <c r="AP583" s="8" t="str">
        <f t="shared" si="266"/>
        <v>-</v>
      </c>
      <c r="AQ583" s="8" t="str">
        <f t="shared" si="267"/>
        <v>-</v>
      </c>
      <c r="AR583" s="8" t="str">
        <f t="shared" si="268"/>
        <v>-</v>
      </c>
      <c r="AS583" s="8" t="str">
        <f>IF($AD583&lt;=$C$25*12,SUM(AR$5:AR583),"-")</f>
        <v>-</v>
      </c>
      <c r="AT583" s="8" t="str">
        <f>IF($AD583&lt;=$C$25*12,AE583-$C$10-'RE Calculations'!$C770-'Mortgage Calculators (By Month)'!$M601,"-")</f>
        <v>-</v>
      </c>
      <c r="AU583" s="29" t="str">
        <f t="shared" si="269"/>
        <v>-</v>
      </c>
      <c r="AV583" s="31" t="str">
        <f t="shared" si="270"/>
        <v>-</v>
      </c>
      <c r="AW583" s="8" t="str">
        <f t="shared" si="271"/>
        <v>-</v>
      </c>
      <c r="AX583" s="29" t="str">
        <f t="shared" si="272"/>
        <v>-</v>
      </c>
      <c r="AY583" s="31" t="str">
        <f t="shared" si="273"/>
        <v>-</v>
      </c>
    </row>
    <row r="584" spans="6:51" x14ac:dyDescent="0.35">
      <c r="F584" s="12" t="str">
        <f t="shared" si="274"/>
        <v>-</v>
      </c>
      <c r="G584" s="8" t="str">
        <f t="shared" si="275"/>
        <v>-</v>
      </c>
      <c r="H584" s="8" t="str">
        <f>IF($F584&lt;=$C$16*12,$G584-$C$7+SUM('Mortgage Calculators (By Month)'!$D$23:$D602),"-")</f>
        <v>-</v>
      </c>
      <c r="I584" s="8" t="str">
        <f t="shared" si="252"/>
        <v>-</v>
      </c>
      <c r="J584" s="8" t="str">
        <f>IF($F584&lt;=$C$16*12,SUM(Inputs!$C$61:$C$78)*'Forecast (By Month)'!I584,"-")</f>
        <v>-</v>
      </c>
      <c r="K584" s="8" t="str">
        <f>IF($F584&lt;=$C$16*12,(SUMIF(Inputs!$C$61:$C$78,0,Inputs!$F$61:$F$78)/12)*(1+$C$34)^ROUNDDOWN((F584-1)/12,0),"-")</f>
        <v>-</v>
      </c>
      <c r="L584" s="8" t="str">
        <f t="shared" si="253"/>
        <v>-</v>
      </c>
      <c r="M584" s="8" t="str">
        <f>IF($F584&lt;=$C$16*12,'Mortgage Calculators (By Month)'!$C602,"-")</f>
        <v>-</v>
      </c>
      <c r="N584" s="8" t="str">
        <f>IF($F584&lt;=$C$16*12,'Mortgage Calculators (By Month)'!$D602,"-")</f>
        <v>-</v>
      </c>
      <c r="O584" s="8" t="str">
        <f>IF($F584&lt;=$C$16*12,'Mortgage Calculators (By Month)'!$E602,"-")</f>
        <v>-</v>
      </c>
      <c r="P584" s="8" t="str">
        <f t="shared" si="278"/>
        <v>-</v>
      </c>
      <c r="Q584" s="8" t="str">
        <f t="shared" si="254"/>
        <v>-</v>
      </c>
      <c r="R584" s="8" t="str">
        <f t="shared" si="255"/>
        <v>-</v>
      </c>
      <c r="S584" s="8" t="str">
        <f t="shared" si="256"/>
        <v>-</v>
      </c>
      <c r="T584" s="8" t="str">
        <f t="shared" si="257"/>
        <v>-</v>
      </c>
      <c r="U584" s="8" t="str">
        <f>IF($F584&lt;=$C$16*12,SUM(T$5:T584),"-")</f>
        <v>-</v>
      </c>
      <c r="V584" s="8" t="str">
        <f>IF($F584&lt;=$C$16*12,G584-$C$10-'RE Calculations'!$C771-'Mortgage Calculators (By Month)'!$F602,"-")</f>
        <v>-</v>
      </c>
      <c r="W584" s="29" t="str">
        <f t="shared" si="258"/>
        <v>-</v>
      </c>
      <c r="X584" s="31" t="str">
        <f t="shared" si="259"/>
        <v>-</v>
      </c>
      <c r="Y584" s="8" t="str">
        <f t="shared" si="260"/>
        <v>-</v>
      </c>
      <c r="Z584" s="29" t="str">
        <f t="shared" si="261"/>
        <v>-</v>
      </c>
      <c r="AA584" s="31" t="str">
        <f t="shared" si="262"/>
        <v>-</v>
      </c>
      <c r="AD584" s="12" t="str">
        <f t="shared" si="276"/>
        <v>-</v>
      </c>
      <c r="AE584" s="8" t="str">
        <f t="shared" si="277"/>
        <v>-</v>
      </c>
      <c r="AF584" s="8" t="str">
        <f>IF($AD584&lt;=$C$25*12,$AE584-$C$7+SUM('Mortgage Calculators (By Month)'!$K$23:$K602),"-")</f>
        <v>-</v>
      </c>
      <c r="AG584" s="8" t="str">
        <f t="shared" si="263"/>
        <v>-</v>
      </c>
      <c r="AH584" s="8" t="str">
        <f>IF($AD584&lt;=$C$25*12,SUM(Inputs!$C$61:$C$78)*'Forecast (By Month)'!AG584,"-")</f>
        <v>-</v>
      </c>
      <c r="AI584" s="8" t="str">
        <f>IF($AD584&lt;=$C$25*12,(SUMIF(Inputs!$C$61:$C$78,0,Inputs!$F$61:$F$78)/12)*(1+$C$34)^ROUNDDOWN((AD584-1)/12,0),"-")</f>
        <v>-</v>
      </c>
      <c r="AJ584" s="8" t="str">
        <f t="shared" si="264"/>
        <v>-</v>
      </c>
      <c r="AK584" s="8" t="str">
        <f>IF($AD584&lt;=$C$25*12,'Mortgage Calculators (By Month)'!$J602,"-")</f>
        <v>-</v>
      </c>
      <c r="AL584" s="8" t="str">
        <f>IF($AD584&lt;=$C$25*12,'Mortgage Calculators (By Month)'!$K602,"-")</f>
        <v>-</v>
      </c>
      <c r="AM584" s="8" t="str">
        <f>IF($AD584&lt;=$C$25*12,'Mortgage Calculators (By Month)'!$L602,"-")</f>
        <v>-</v>
      </c>
      <c r="AN584" s="8" t="str">
        <f t="shared" si="279"/>
        <v>-</v>
      </c>
      <c r="AO584" s="8" t="str">
        <f t="shared" si="265"/>
        <v>-</v>
      </c>
      <c r="AP584" s="8" t="str">
        <f t="shared" si="266"/>
        <v>-</v>
      </c>
      <c r="AQ584" s="8" t="str">
        <f t="shared" si="267"/>
        <v>-</v>
      </c>
      <c r="AR584" s="8" t="str">
        <f t="shared" si="268"/>
        <v>-</v>
      </c>
      <c r="AS584" s="8" t="str">
        <f>IF($AD584&lt;=$C$25*12,SUM(AR$5:AR584),"-")</f>
        <v>-</v>
      </c>
      <c r="AT584" s="8" t="str">
        <f>IF($AD584&lt;=$C$25*12,AE584-$C$10-'RE Calculations'!$C771-'Mortgage Calculators (By Month)'!$M602,"-")</f>
        <v>-</v>
      </c>
      <c r="AU584" s="29" t="str">
        <f t="shared" si="269"/>
        <v>-</v>
      </c>
      <c r="AV584" s="31" t="str">
        <f t="shared" si="270"/>
        <v>-</v>
      </c>
      <c r="AW584" s="8" t="str">
        <f t="shared" si="271"/>
        <v>-</v>
      </c>
      <c r="AX584" s="29" t="str">
        <f t="shared" si="272"/>
        <v>-</v>
      </c>
      <c r="AY584" s="31" t="str">
        <f t="shared" si="273"/>
        <v>-</v>
      </c>
    </row>
    <row r="585" spans="6:51" x14ac:dyDescent="0.35">
      <c r="F585" s="12" t="str">
        <f t="shared" si="274"/>
        <v>-</v>
      </c>
      <c r="G585" s="8" t="str">
        <f t="shared" si="275"/>
        <v>-</v>
      </c>
      <c r="H585" s="8" t="str">
        <f>IF($F585&lt;=$C$16*12,$G585-$C$7+SUM('Mortgage Calculators (By Month)'!$D$23:$D603),"-")</f>
        <v>-</v>
      </c>
      <c r="I585" s="8" t="str">
        <f t="shared" si="252"/>
        <v>-</v>
      </c>
      <c r="J585" s="8" t="str">
        <f>IF($F585&lt;=$C$16*12,SUM(Inputs!$C$61:$C$78)*'Forecast (By Month)'!I585,"-")</f>
        <v>-</v>
      </c>
      <c r="K585" s="8" t="str">
        <f>IF($F585&lt;=$C$16*12,(SUMIF(Inputs!$C$61:$C$78,0,Inputs!$F$61:$F$78)/12)*(1+$C$34)^ROUNDDOWN((F585-1)/12,0),"-")</f>
        <v>-</v>
      </c>
      <c r="L585" s="8" t="str">
        <f t="shared" si="253"/>
        <v>-</v>
      </c>
      <c r="M585" s="8" t="str">
        <f>IF($F585&lt;=$C$16*12,'Mortgage Calculators (By Month)'!$C603,"-")</f>
        <v>-</v>
      </c>
      <c r="N585" s="8" t="str">
        <f>IF($F585&lt;=$C$16*12,'Mortgage Calculators (By Month)'!$D603,"-")</f>
        <v>-</v>
      </c>
      <c r="O585" s="8" t="str">
        <f>IF($F585&lt;=$C$16*12,'Mortgage Calculators (By Month)'!$E603,"-")</f>
        <v>-</v>
      </c>
      <c r="P585" s="8" t="str">
        <f t="shared" si="278"/>
        <v>-</v>
      </c>
      <c r="Q585" s="8" t="str">
        <f t="shared" si="254"/>
        <v>-</v>
      </c>
      <c r="R585" s="8" t="str">
        <f t="shared" si="255"/>
        <v>-</v>
      </c>
      <c r="S585" s="8" t="str">
        <f t="shared" si="256"/>
        <v>-</v>
      </c>
      <c r="T585" s="8" t="str">
        <f t="shared" si="257"/>
        <v>-</v>
      </c>
      <c r="U585" s="8" t="str">
        <f>IF($F585&lt;=$C$16*12,SUM(T$5:T585),"-")</f>
        <v>-</v>
      </c>
      <c r="V585" s="8" t="str">
        <f>IF($F585&lt;=$C$16*12,G585-$C$10-'RE Calculations'!$C772-'Mortgage Calculators (By Month)'!$F603,"-")</f>
        <v>-</v>
      </c>
      <c r="W585" s="29" t="str">
        <f t="shared" si="258"/>
        <v>-</v>
      </c>
      <c r="X585" s="31" t="str">
        <f t="shared" si="259"/>
        <v>-</v>
      </c>
      <c r="Y585" s="8" t="str">
        <f t="shared" si="260"/>
        <v>-</v>
      </c>
      <c r="Z585" s="29" t="str">
        <f t="shared" si="261"/>
        <v>-</v>
      </c>
      <c r="AA585" s="31" t="str">
        <f t="shared" si="262"/>
        <v>-</v>
      </c>
      <c r="AD585" s="12" t="str">
        <f t="shared" si="276"/>
        <v>-</v>
      </c>
      <c r="AE585" s="8" t="str">
        <f t="shared" si="277"/>
        <v>-</v>
      </c>
      <c r="AF585" s="8" t="str">
        <f>IF($AD585&lt;=$C$25*12,$AE585-$C$7+SUM('Mortgage Calculators (By Month)'!$K$23:$K603),"-")</f>
        <v>-</v>
      </c>
      <c r="AG585" s="8" t="str">
        <f t="shared" si="263"/>
        <v>-</v>
      </c>
      <c r="AH585" s="8" t="str">
        <f>IF($AD585&lt;=$C$25*12,SUM(Inputs!$C$61:$C$78)*'Forecast (By Month)'!AG585,"-")</f>
        <v>-</v>
      </c>
      <c r="AI585" s="8" t="str">
        <f>IF($AD585&lt;=$C$25*12,(SUMIF(Inputs!$C$61:$C$78,0,Inputs!$F$61:$F$78)/12)*(1+$C$34)^ROUNDDOWN((AD585-1)/12,0),"-")</f>
        <v>-</v>
      </c>
      <c r="AJ585" s="8" t="str">
        <f t="shared" si="264"/>
        <v>-</v>
      </c>
      <c r="AK585" s="8" t="str">
        <f>IF($AD585&lt;=$C$25*12,'Mortgage Calculators (By Month)'!$J603,"-")</f>
        <v>-</v>
      </c>
      <c r="AL585" s="8" t="str">
        <f>IF($AD585&lt;=$C$25*12,'Mortgage Calculators (By Month)'!$K603,"-")</f>
        <v>-</v>
      </c>
      <c r="AM585" s="8" t="str">
        <f>IF($AD585&lt;=$C$25*12,'Mortgage Calculators (By Month)'!$L603,"-")</f>
        <v>-</v>
      </c>
      <c r="AN585" s="8" t="str">
        <f t="shared" si="279"/>
        <v>-</v>
      </c>
      <c r="AO585" s="8" t="str">
        <f t="shared" si="265"/>
        <v>-</v>
      </c>
      <c r="AP585" s="8" t="str">
        <f t="shared" si="266"/>
        <v>-</v>
      </c>
      <c r="AQ585" s="8" t="str">
        <f t="shared" si="267"/>
        <v>-</v>
      </c>
      <c r="AR585" s="8" t="str">
        <f t="shared" si="268"/>
        <v>-</v>
      </c>
      <c r="AS585" s="8" t="str">
        <f>IF($AD585&lt;=$C$25*12,SUM(AR$5:AR585),"-")</f>
        <v>-</v>
      </c>
      <c r="AT585" s="8" t="str">
        <f>IF($AD585&lt;=$C$25*12,AE585-$C$10-'RE Calculations'!$C772-'Mortgage Calculators (By Month)'!$M603,"-")</f>
        <v>-</v>
      </c>
      <c r="AU585" s="29" t="str">
        <f t="shared" si="269"/>
        <v>-</v>
      </c>
      <c r="AV585" s="31" t="str">
        <f t="shared" si="270"/>
        <v>-</v>
      </c>
      <c r="AW585" s="8" t="str">
        <f t="shared" si="271"/>
        <v>-</v>
      </c>
      <c r="AX585" s="29" t="str">
        <f t="shared" si="272"/>
        <v>-</v>
      </c>
      <c r="AY585" s="31" t="str">
        <f t="shared" si="273"/>
        <v>-</v>
      </c>
    </row>
    <row r="586" spans="6:51" x14ac:dyDescent="0.35">
      <c r="F586" s="12" t="str">
        <f t="shared" si="274"/>
        <v>-</v>
      </c>
      <c r="G586" s="8" t="str">
        <f t="shared" si="275"/>
        <v>-</v>
      </c>
      <c r="H586" s="8" t="str">
        <f>IF($F586&lt;=$C$16*12,$G586-$C$7+SUM('Mortgage Calculators (By Month)'!$D$23:$D604),"-")</f>
        <v>-</v>
      </c>
      <c r="I586" s="8" t="str">
        <f t="shared" si="252"/>
        <v>-</v>
      </c>
      <c r="J586" s="8" t="str">
        <f>IF($F586&lt;=$C$16*12,SUM(Inputs!$C$61:$C$78)*'Forecast (By Month)'!I586,"-")</f>
        <v>-</v>
      </c>
      <c r="K586" s="8" t="str">
        <f>IF($F586&lt;=$C$16*12,(SUMIF(Inputs!$C$61:$C$78,0,Inputs!$F$61:$F$78)/12)*(1+$C$34)^ROUNDDOWN((F586-1)/12,0),"-")</f>
        <v>-</v>
      </c>
      <c r="L586" s="8" t="str">
        <f t="shared" si="253"/>
        <v>-</v>
      </c>
      <c r="M586" s="8" t="str">
        <f>IF($F586&lt;=$C$16*12,'Mortgage Calculators (By Month)'!$C604,"-")</f>
        <v>-</v>
      </c>
      <c r="N586" s="8" t="str">
        <f>IF($F586&lt;=$C$16*12,'Mortgage Calculators (By Month)'!$D604,"-")</f>
        <v>-</v>
      </c>
      <c r="O586" s="8" t="str">
        <f>IF($F586&lt;=$C$16*12,'Mortgage Calculators (By Month)'!$E604,"-")</f>
        <v>-</v>
      </c>
      <c r="P586" s="8" t="str">
        <f t="shared" si="278"/>
        <v>-</v>
      </c>
      <c r="Q586" s="8" t="str">
        <f t="shared" si="254"/>
        <v>-</v>
      </c>
      <c r="R586" s="8" t="str">
        <f t="shared" si="255"/>
        <v>-</v>
      </c>
      <c r="S586" s="8" t="str">
        <f t="shared" si="256"/>
        <v>-</v>
      </c>
      <c r="T586" s="8" t="str">
        <f t="shared" si="257"/>
        <v>-</v>
      </c>
      <c r="U586" s="8" t="str">
        <f>IF($F586&lt;=$C$16*12,SUM(T$5:T586),"-")</f>
        <v>-</v>
      </c>
      <c r="V586" s="8" t="str">
        <f>IF($F586&lt;=$C$16*12,G586-$C$10-'RE Calculations'!$C773-'Mortgage Calculators (By Month)'!$F604,"-")</f>
        <v>-</v>
      </c>
      <c r="W586" s="29" t="str">
        <f t="shared" si="258"/>
        <v>-</v>
      </c>
      <c r="X586" s="31" t="str">
        <f t="shared" si="259"/>
        <v>-</v>
      </c>
      <c r="Y586" s="8" t="str">
        <f t="shared" si="260"/>
        <v>-</v>
      </c>
      <c r="Z586" s="29" t="str">
        <f t="shared" si="261"/>
        <v>-</v>
      </c>
      <c r="AA586" s="31" t="str">
        <f t="shared" si="262"/>
        <v>-</v>
      </c>
      <c r="AD586" s="12" t="str">
        <f t="shared" si="276"/>
        <v>-</v>
      </c>
      <c r="AE586" s="8" t="str">
        <f t="shared" si="277"/>
        <v>-</v>
      </c>
      <c r="AF586" s="8" t="str">
        <f>IF($AD586&lt;=$C$25*12,$AE586-$C$7+SUM('Mortgage Calculators (By Month)'!$K$23:$K604),"-")</f>
        <v>-</v>
      </c>
      <c r="AG586" s="8" t="str">
        <f t="shared" si="263"/>
        <v>-</v>
      </c>
      <c r="AH586" s="8" t="str">
        <f>IF($AD586&lt;=$C$25*12,SUM(Inputs!$C$61:$C$78)*'Forecast (By Month)'!AG586,"-")</f>
        <v>-</v>
      </c>
      <c r="AI586" s="8" t="str">
        <f>IF($AD586&lt;=$C$25*12,(SUMIF(Inputs!$C$61:$C$78,0,Inputs!$F$61:$F$78)/12)*(1+$C$34)^ROUNDDOWN((AD586-1)/12,0),"-")</f>
        <v>-</v>
      </c>
      <c r="AJ586" s="8" t="str">
        <f t="shared" si="264"/>
        <v>-</v>
      </c>
      <c r="AK586" s="8" t="str">
        <f>IF($AD586&lt;=$C$25*12,'Mortgage Calculators (By Month)'!$J604,"-")</f>
        <v>-</v>
      </c>
      <c r="AL586" s="8" t="str">
        <f>IF($AD586&lt;=$C$25*12,'Mortgage Calculators (By Month)'!$K604,"-")</f>
        <v>-</v>
      </c>
      <c r="AM586" s="8" t="str">
        <f>IF($AD586&lt;=$C$25*12,'Mortgage Calculators (By Month)'!$L604,"-")</f>
        <v>-</v>
      </c>
      <c r="AN586" s="8" t="str">
        <f t="shared" si="279"/>
        <v>-</v>
      </c>
      <c r="AO586" s="8" t="str">
        <f t="shared" si="265"/>
        <v>-</v>
      </c>
      <c r="AP586" s="8" t="str">
        <f t="shared" si="266"/>
        <v>-</v>
      </c>
      <c r="AQ586" s="8" t="str">
        <f t="shared" si="267"/>
        <v>-</v>
      </c>
      <c r="AR586" s="8" t="str">
        <f t="shared" si="268"/>
        <v>-</v>
      </c>
      <c r="AS586" s="8" t="str">
        <f>IF($AD586&lt;=$C$25*12,SUM(AR$5:AR586),"-")</f>
        <v>-</v>
      </c>
      <c r="AT586" s="8" t="str">
        <f>IF($AD586&lt;=$C$25*12,AE586-$C$10-'RE Calculations'!$C773-'Mortgage Calculators (By Month)'!$M604,"-")</f>
        <v>-</v>
      </c>
      <c r="AU586" s="29" t="str">
        <f t="shared" si="269"/>
        <v>-</v>
      </c>
      <c r="AV586" s="31" t="str">
        <f t="shared" si="270"/>
        <v>-</v>
      </c>
      <c r="AW586" s="8" t="str">
        <f t="shared" si="271"/>
        <v>-</v>
      </c>
      <c r="AX586" s="29" t="str">
        <f t="shared" si="272"/>
        <v>-</v>
      </c>
      <c r="AY586" s="31" t="str">
        <f t="shared" si="273"/>
        <v>-</v>
      </c>
    </row>
    <row r="587" spans="6:51" x14ac:dyDescent="0.35">
      <c r="F587" s="12" t="str">
        <f t="shared" si="274"/>
        <v>-</v>
      </c>
      <c r="G587" s="8" t="str">
        <f t="shared" si="275"/>
        <v>-</v>
      </c>
      <c r="H587" s="8" t="str">
        <f>IF($F587&lt;=$C$16*12,$G587-$C$7+SUM('Mortgage Calculators (By Month)'!$D$23:$D605),"-")</f>
        <v>-</v>
      </c>
      <c r="I587" s="8" t="str">
        <f t="shared" si="252"/>
        <v>-</v>
      </c>
      <c r="J587" s="8" t="str">
        <f>IF($F587&lt;=$C$16*12,SUM(Inputs!$C$61:$C$78)*'Forecast (By Month)'!I587,"-")</f>
        <v>-</v>
      </c>
      <c r="K587" s="8" t="str">
        <f>IF($F587&lt;=$C$16*12,(SUMIF(Inputs!$C$61:$C$78,0,Inputs!$F$61:$F$78)/12)*(1+$C$34)^ROUNDDOWN((F587-1)/12,0),"-")</f>
        <v>-</v>
      </c>
      <c r="L587" s="8" t="str">
        <f t="shared" si="253"/>
        <v>-</v>
      </c>
      <c r="M587" s="8" t="str">
        <f>IF($F587&lt;=$C$16*12,'Mortgage Calculators (By Month)'!$C605,"-")</f>
        <v>-</v>
      </c>
      <c r="N587" s="8" t="str">
        <f>IF($F587&lt;=$C$16*12,'Mortgage Calculators (By Month)'!$D605,"-")</f>
        <v>-</v>
      </c>
      <c r="O587" s="8" t="str">
        <f>IF($F587&lt;=$C$16*12,'Mortgage Calculators (By Month)'!$E605,"-")</f>
        <v>-</v>
      </c>
      <c r="P587" s="8" t="str">
        <f t="shared" si="278"/>
        <v>-</v>
      </c>
      <c r="Q587" s="8" t="str">
        <f t="shared" si="254"/>
        <v>-</v>
      </c>
      <c r="R587" s="8" t="str">
        <f t="shared" si="255"/>
        <v>-</v>
      </c>
      <c r="S587" s="8" t="str">
        <f t="shared" si="256"/>
        <v>-</v>
      </c>
      <c r="T587" s="8" t="str">
        <f t="shared" si="257"/>
        <v>-</v>
      </c>
      <c r="U587" s="8" t="str">
        <f>IF($F587&lt;=$C$16*12,SUM(T$5:T587),"-")</f>
        <v>-</v>
      </c>
      <c r="V587" s="8" t="str">
        <f>IF($F587&lt;=$C$16*12,G587-$C$10-'RE Calculations'!$C774-'Mortgage Calculators (By Month)'!$F605,"-")</f>
        <v>-</v>
      </c>
      <c r="W587" s="29" t="str">
        <f t="shared" si="258"/>
        <v>-</v>
      </c>
      <c r="X587" s="31" t="str">
        <f t="shared" si="259"/>
        <v>-</v>
      </c>
      <c r="Y587" s="8" t="str">
        <f t="shared" si="260"/>
        <v>-</v>
      </c>
      <c r="Z587" s="29" t="str">
        <f t="shared" si="261"/>
        <v>-</v>
      </c>
      <c r="AA587" s="31" t="str">
        <f t="shared" si="262"/>
        <v>-</v>
      </c>
      <c r="AD587" s="12" t="str">
        <f t="shared" si="276"/>
        <v>-</v>
      </c>
      <c r="AE587" s="8" t="str">
        <f t="shared" si="277"/>
        <v>-</v>
      </c>
      <c r="AF587" s="8" t="str">
        <f>IF($AD587&lt;=$C$25*12,$AE587-$C$7+SUM('Mortgage Calculators (By Month)'!$K$23:$K605),"-")</f>
        <v>-</v>
      </c>
      <c r="AG587" s="8" t="str">
        <f t="shared" si="263"/>
        <v>-</v>
      </c>
      <c r="AH587" s="8" t="str">
        <f>IF($AD587&lt;=$C$25*12,SUM(Inputs!$C$61:$C$78)*'Forecast (By Month)'!AG587,"-")</f>
        <v>-</v>
      </c>
      <c r="AI587" s="8" t="str">
        <f>IF($AD587&lt;=$C$25*12,(SUMIF(Inputs!$C$61:$C$78,0,Inputs!$F$61:$F$78)/12)*(1+$C$34)^ROUNDDOWN((AD587-1)/12,0),"-")</f>
        <v>-</v>
      </c>
      <c r="AJ587" s="8" t="str">
        <f t="shared" si="264"/>
        <v>-</v>
      </c>
      <c r="AK587" s="8" t="str">
        <f>IF($AD587&lt;=$C$25*12,'Mortgage Calculators (By Month)'!$J605,"-")</f>
        <v>-</v>
      </c>
      <c r="AL587" s="8" t="str">
        <f>IF($AD587&lt;=$C$25*12,'Mortgage Calculators (By Month)'!$K605,"-")</f>
        <v>-</v>
      </c>
      <c r="AM587" s="8" t="str">
        <f>IF($AD587&lt;=$C$25*12,'Mortgage Calculators (By Month)'!$L605,"-")</f>
        <v>-</v>
      </c>
      <c r="AN587" s="8" t="str">
        <f t="shared" si="279"/>
        <v>-</v>
      </c>
      <c r="AO587" s="8" t="str">
        <f t="shared" si="265"/>
        <v>-</v>
      </c>
      <c r="AP587" s="8" t="str">
        <f t="shared" si="266"/>
        <v>-</v>
      </c>
      <c r="AQ587" s="8" t="str">
        <f t="shared" si="267"/>
        <v>-</v>
      </c>
      <c r="AR587" s="8" t="str">
        <f t="shared" si="268"/>
        <v>-</v>
      </c>
      <c r="AS587" s="8" t="str">
        <f>IF($AD587&lt;=$C$25*12,SUM(AR$5:AR587),"-")</f>
        <v>-</v>
      </c>
      <c r="AT587" s="8" t="str">
        <f>IF($AD587&lt;=$C$25*12,AE587-$C$10-'RE Calculations'!$C774-'Mortgage Calculators (By Month)'!$M605,"-")</f>
        <v>-</v>
      </c>
      <c r="AU587" s="29" t="str">
        <f t="shared" si="269"/>
        <v>-</v>
      </c>
      <c r="AV587" s="31" t="str">
        <f t="shared" si="270"/>
        <v>-</v>
      </c>
      <c r="AW587" s="8" t="str">
        <f t="shared" si="271"/>
        <v>-</v>
      </c>
      <c r="AX587" s="29" t="str">
        <f t="shared" si="272"/>
        <v>-</v>
      </c>
      <c r="AY587" s="31" t="str">
        <f t="shared" si="273"/>
        <v>-</v>
      </c>
    </row>
    <row r="588" spans="6:51" x14ac:dyDescent="0.35">
      <c r="F588" s="12" t="str">
        <f t="shared" si="274"/>
        <v>-</v>
      </c>
      <c r="G588" s="8" t="str">
        <f t="shared" si="275"/>
        <v>-</v>
      </c>
      <c r="H588" s="8" t="str">
        <f>IF($F588&lt;=$C$16*12,$G588-$C$7+SUM('Mortgage Calculators (By Month)'!$D$23:$D606),"-")</f>
        <v>-</v>
      </c>
      <c r="I588" s="8" t="str">
        <f t="shared" si="252"/>
        <v>-</v>
      </c>
      <c r="J588" s="8" t="str">
        <f>IF($F588&lt;=$C$16*12,SUM(Inputs!$C$61:$C$78)*'Forecast (By Month)'!I588,"-")</f>
        <v>-</v>
      </c>
      <c r="K588" s="8" t="str">
        <f>IF($F588&lt;=$C$16*12,(SUMIF(Inputs!$C$61:$C$78,0,Inputs!$F$61:$F$78)/12)*(1+$C$34)^ROUNDDOWN((F588-1)/12,0),"-")</f>
        <v>-</v>
      </c>
      <c r="L588" s="8" t="str">
        <f t="shared" si="253"/>
        <v>-</v>
      </c>
      <c r="M588" s="8" t="str">
        <f>IF($F588&lt;=$C$16*12,'Mortgage Calculators (By Month)'!$C606,"-")</f>
        <v>-</v>
      </c>
      <c r="N588" s="8" t="str">
        <f>IF($F588&lt;=$C$16*12,'Mortgage Calculators (By Month)'!$D606,"-")</f>
        <v>-</v>
      </c>
      <c r="O588" s="8" t="str">
        <f>IF($F588&lt;=$C$16*12,'Mortgage Calculators (By Month)'!$E606,"-")</f>
        <v>-</v>
      </c>
      <c r="P588" s="8" t="str">
        <f t="shared" si="278"/>
        <v>-</v>
      </c>
      <c r="Q588" s="8" t="str">
        <f t="shared" si="254"/>
        <v>-</v>
      </c>
      <c r="R588" s="8" t="str">
        <f t="shared" si="255"/>
        <v>-</v>
      </c>
      <c r="S588" s="8" t="str">
        <f t="shared" si="256"/>
        <v>-</v>
      </c>
      <c r="T588" s="8" t="str">
        <f t="shared" si="257"/>
        <v>-</v>
      </c>
      <c r="U588" s="8" t="str">
        <f>IF($F588&lt;=$C$16*12,SUM(T$5:T588),"-")</f>
        <v>-</v>
      </c>
      <c r="V588" s="8" t="str">
        <f>IF($F588&lt;=$C$16*12,G588-$C$10-'RE Calculations'!$C775-'Mortgage Calculators (By Month)'!$F606,"-")</f>
        <v>-</v>
      </c>
      <c r="W588" s="29" t="str">
        <f t="shared" si="258"/>
        <v>-</v>
      </c>
      <c r="X588" s="31" t="str">
        <f t="shared" si="259"/>
        <v>-</v>
      </c>
      <c r="Y588" s="8" t="str">
        <f t="shared" si="260"/>
        <v>-</v>
      </c>
      <c r="Z588" s="29" t="str">
        <f t="shared" si="261"/>
        <v>-</v>
      </c>
      <c r="AA588" s="31" t="str">
        <f t="shared" si="262"/>
        <v>-</v>
      </c>
      <c r="AD588" s="12" t="str">
        <f t="shared" si="276"/>
        <v>-</v>
      </c>
      <c r="AE588" s="8" t="str">
        <f t="shared" si="277"/>
        <v>-</v>
      </c>
      <c r="AF588" s="8" t="str">
        <f>IF($AD588&lt;=$C$25*12,$AE588-$C$7+SUM('Mortgage Calculators (By Month)'!$K$23:$K606),"-")</f>
        <v>-</v>
      </c>
      <c r="AG588" s="8" t="str">
        <f t="shared" si="263"/>
        <v>-</v>
      </c>
      <c r="AH588" s="8" t="str">
        <f>IF($AD588&lt;=$C$25*12,SUM(Inputs!$C$61:$C$78)*'Forecast (By Month)'!AG588,"-")</f>
        <v>-</v>
      </c>
      <c r="AI588" s="8" t="str">
        <f>IF($AD588&lt;=$C$25*12,(SUMIF(Inputs!$C$61:$C$78,0,Inputs!$F$61:$F$78)/12)*(1+$C$34)^ROUNDDOWN((AD588-1)/12,0),"-")</f>
        <v>-</v>
      </c>
      <c r="AJ588" s="8" t="str">
        <f t="shared" si="264"/>
        <v>-</v>
      </c>
      <c r="AK588" s="8" t="str">
        <f>IF($AD588&lt;=$C$25*12,'Mortgage Calculators (By Month)'!$J606,"-")</f>
        <v>-</v>
      </c>
      <c r="AL588" s="8" t="str">
        <f>IF($AD588&lt;=$C$25*12,'Mortgage Calculators (By Month)'!$K606,"-")</f>
        <v>-</v>
      </c>
      <c r="AM588" s="8" t="str">
        <f>IF($AD588&lt;=$C$25*12,'Mortgage Calculators (By Month)'!$L606,"-")</f>
        <v>-</v>
      </c>
      <c r="AN588" s="8" t="str">
        <f t="shared" si="279"/>
        <v>-</v>
      </c>
      <c r="AO588" s="8" t="str">
        <f t="shared" si="265"/>
        <v>-</v>
      </c>
      <c r="AP588" s="8" t="str">
        <f t="shared" si="266"/>
        <v>-</v>
      </c>
      <c r="AQ588" s="8" t="str">
        <f t="shared" si="267"/>
        <v>-</v>
      </c>
      <c r="AR588" s="8" t="str">
        <f t="shared" si="268"/>
        <v>-</v>
      </c>
      <c r="AS588" s="8" t="str">
        <f>IF($AD588&lt;=$C$25*12,SUM(AR$5:AR588),"-")</f>
        <v>-</v>
      </c>
      <c r="AT588" s="8" t="str">
        <f>IF($AD588&lt;=$C$25*12,AE588-$C$10-'RE Calculations'!$C775-'Mortgage Calculators (By Month)'!$M606,"-")</f>
        <v>-</v>
      </c>
      <c r="AU588" s="29" t="str">
        <f t="shared" si="269"/>
        <v>-</v>
      </c>
      <c r="AV588" s="31" t="str">
        <f t="shared" si="270"/>
        <v>-</v>
      </c>
      <c r="AW588" s="8" t="str">
        <f t="shared" si="271"/>
        <v>-</v>
      </c>
      <c r="AX588" s="29" t="str">
        <f t="shared" si="272"/>
        <v>-</v>
      </c>
      <c r="AY588" s="31" t="str">
        <f t="shared" si="273"/>
        <v>-</v>
      </c>
    </row>
    <row r="589" spans="6:51" x14ac:dyDescent="0.35">
      <c r="F589" s="12" t="str">
        <f t="shared" si="274"/>
        <v>-</v>
      </c>
      <c r="G589" s="8" t="str">
        <f t="shared" si="275"/>
        <v>-</v>
      </c>
      <c r="H589" s="8" t="str">
        <f>IF($F589&lt;=$C$16*12,$G589-$C$7+SUM('Mortgage Calculators (By Month)'!$D$23:$D607),"-")</f>
        <v>-</v>
      </c>
      <c r="I589" s="8" t="str">
        <f t="shared" si="252"/>
        <v>-</v>
      </c>
      <c r="J589" s="8" t="str">
        <f>IF($F589&lt;=$C$16*12,SUM(Inputs!$C$61:$C$78)*'Forecast (By Month)'!I589,"-")</f>
        <v>-</v>
      </c>
      <c r="K589" s="8" t="str">
        <f>IF($F589&lt;=$C$16*12,(SUMIF(Inputs!$C$61:$C$78,0,Inputs!$F$61:$F$78)/12)*(1+$C$34)^ROUNDDOWN((F589-1)/12,0),"-")</f>
        <v>-</v>
      </c>
      <c r="L589" s="8" t="str">
        <f t="shared" si="253"/>
        <v>-</v>
      </c>
      <c r="M589" s="8" t="str">
        <f>IF($F589&lt;=$C$16*12,'Mortgage Calculators (By Month)'!$C607,"-")</f>
        <v>-</v>
      </c>
      <c r="N589" s="8" t="str">
        <f>IF($F589&lt;=$C$16*12,'Mortgage Calculators (By Month)'!$D607,"-")</f>
        <v>-</v>
      </c>
      <c r="O589" s="8" t="str">
        <f>IF($F589&lt;=$C$16*12,'Mortgage Calculators (By Month)'!$E607,"-")</f>
        <v>-</v>
      </c>
      <c r="P589" s="8" t="str">
        <f t="shared" si="278"/>
        <v>-</v>
      </c>
      <c r="Q589" s="8" t="str">
        <f t="shared" si="254"/>
        <v>-</v>
      </c>
      <c r="R589" s="8" t="str">
        <f t="shared" si="255"/>
        <v>-</v>
      </c>
      <c r="S589" s="8" t="str">
        <f t="shared" si="256"/>
        <v>-</v>
      </c>
      <c r="T589" s="8" t="str">
        <f t="shared" si="257"/>
        <v>-</v>
      </c>
      <c r="U589" s="8" t="str">
        <f>IF($F589&lt;=$C$16*12,SUM(T$5:T589),"-")</f>
        <v>-</v>
      </c>
      <c r="V589" s="8" t="str">
        <f>IF($F589&lt;=$C$16*12,G589-$C$10-'RE Calculations'!$C776-'Mortgage Calculators (By Month)'!$F607,"-")</f>
        <v>-</v>
      </c>
      <c r="W589" s="29" t="str">
        <f t="shared" si="258"/>
        <v>-</v>
      </c>
      <c r="X589" s="31" t="str">
        <f t="shared" si="259"/>
        <v>-</v>
      </c>
      <c r="Y589" s="8" t="str">
        <f t="shared" si="260"/>
        <v>-</v>
      </c>
      <c r="Z589" s="29" t="str">
        <f t="shared" si="261"/>
        <v>-</v>
      </c>
      <c r="AA589" s="31" t="str">
        <f t="shared" si="262"/>
        <v>-</v>
      </c>
      <c r="AD589" s="12" t="str">
        <f t="shared" si="276"/>
        <v>-</v>
      </c>
      <c r="AE589" s="8" t="str">
        <f t="shared" si="277"/>
        <v>-</v>
      </c>
      <c r="AF589" s="8" t="str">
        <f>IF($AD589&lt;=$C$25*12,$AE589-$C$7+SUM('Mortgage Calculators (By Month)'!$K$23:$K607),"-")</f>
        <v>-</v>
      </c>
      <c r="AG589" s="8" t="str">
        <f t="shared" si="263"/>
        <v>-</v>
      </c>
      <c r="AH589" s="8" t="str">
        <f>IF($AD589&lt;=$C$25*12,SUM(Inputs!$C$61:$C$78)*'Forecast (By Month)'!AG589,"-")</f>
        <v>-</v>
      </c>
      <c r="AI589" s="8" t="str">
        <f>IF($AD589&lt;=$C$25*12,(SUMIF(Inputs!$C$61:$C$78,0,Inputs!$F$61:$F$78)/12)*(1+$C$34)^ROUNDDOWN((AD589-1)/12,0),"-")</f>
        <v>-</v>
      </c>
      <c r="AJ589" s="8" t="str">
        <f t="shared" si="264"/>
        <v>-</v>
      </c>
      <c r="AK589" s="8" t="str">
        <f>IF($AD589&lt;=$C$25*12,'Mortgage Calculators (By Month)'!$J607,"-")</f>
        <v>-</v>
      </c>
      <c r="AL589" s="8" t="str">
        <f>IF($AD589&lt;=$C$25*12,'Mortgage Calculators (By Month)'!$K607,"-")</f>
        <v>-</v>
      </c>
      <c r="AM589" s="8" t="str">
        <f>IF($AD589&lt;=$C$25*12,'Mortgage Calculators (By Month)'!$L607,"-")</f>
        <v>-</v>
      </c>
      <c r="AN589" s="8" t="str">
        <f t="shared" si="279"/>
        <v>-</v>
      </c>
      <c r="AO589" s="8" t="str">
        <f t="shared" si="265"/>
        <v>-</v>
      </c>
      <c r="AP589" s="8" t="str">
        <f t="shared" si="266"/>
        <v>-</v>
      </c>
      <c r="AQ589" s="8" t="str">
        <f t="shared" si="267"/>
        <v>-</v>
      </c>
      <c r="AR589" s="8" t="str">
        <f t="shared" si="268"/>
        <v>-</v>
      </c>
      <c r="AS589" s="8" t="str">
        <f>IF($AD589&lt;=$C$25*12,SUM(AR$5:AR589),"-")</f>
        <v>-</v>
      </c>
      <c r="AT589" s="8" t="str">
        <f>IF($AD589&lt;=$C$25*12,AE589-$C$10-'RE Calculations'!$C776-'Mortgage Calculators (By Month)'!$M607,"-")</f>
        <v>-</v>
      </c>
      <c r="AU589" s="29" t="str">
        <f t="shared" si="269"/>
        <v>-</v>
      </c>
      <c r="AV589" s="31" t="str">
        <f t="shared" si="270"/>
        <v>-</v>
      </c>
      <c r="AW589" s="8" t="str">
        <f t="shared" si="271"/>
        <v>-</v>
      </c>
      <c r="AX589" s="29" t="str">
        <f t="shared" si="272"/>
        <v>-</v>
      </c>
      <c r="AY589" s="31" t="str">
        <f t="shared" si="273"/>
        <v>-</v>
      </c>
    </row>
    <row r="590" spans="6:51" x14ac:dyDescent="0.35">
      <c r="F590" s="12" t="str">
        <f t="shared" si="274"/>
        <v>-</v>
      </c>
      <c r="G590" s="8" t="str">
        <f t="shared" si="275"/>
        <v>-</v>
      </c>
      <c r="H590" s="8" t="str">
        <f>IF($F590&lt;=$C$16*12,$G590-$C$7+SUM('Mortgage Calculators (By Month)'!$D$23:$D608),"-")</f>
        <v>-</v>
      </c>
      <c r="I590" s="8" t="str">
        <f t="shared" si="252"/>
        <v>-</v>
      </c>
      <c r="J590" s="8" t="str">
        <f>IF($F590&lt;=$C$16*12,SUM(Inputs!$C$61:$C$78)*'Forecast (By Month)'!I590,"-")</f>
        <v>-</v>
      </c>
      <c r="K590" s="8" t="str">
        <f>IF($F590&lt;=$C$16*12,(SUMIF(Inputs!$C$61:$C$78,0,Inputs!$F$61:$F$78)/12)*(1+$C$34)^ROUNDDOWN((F590-1)/12,0),"-")</f>
        <v>-</v>
      </c>
      <c r="L590" s="8" t="str">
        <f t="shared" si="253"/>
        <v>-</v>
      </c>
      <c r="M590" s="8" t="str">
        <f>IF($F590&lt;=$C$16*12,'Mortgage Calculators (By Month)'!$C608,"-")</f>
        <v>-</v>
      </c>
      <c r="N590" s="8" t="str">
        <f>IF($F590&lt;=$C$16*12,'Mortgage Calculators (By Month)'!$D608,"-")</f>
        <v>-</v>
      </c>
      <c r="O590" s="8" t="str">
        <f>IF($F590&lt;=$C$16*12,'Mortgage Calculators (By Month)'!$E608,"-")</f>
        <v>-</v>
      </c>
      <c r="P590" s="8" t="str">
        <f t="shared" si="278"/>
        <v>-</v>
      </c>
      <c r="Q590" s="8" t="str">
        <f t="shared" si="254"/>
        <v>-</v>
      </c>
      <c r="R590" s="8" t="str">
        <f t="shared" si="255"/>
        <v>-</v>
      </c>
      <c r="S590" s="8" t="str">
        <f t="shared" si="256"/>
        <v>-</v>
      </c>
      <c r="T590" s="8" t="str">
        <f t="shared" si="257"/>
        <v>-</v>
      </c>
      <c r="U590" s="8" t="str">
        <f>IF($F590&lt;=$C$16*12,SUM(T$5:T590),"-")</f>
        <v>-</v>
      </c>
      <c r="V590" s="8" t="str">
        <f>IF($F590&lt;=$C$16*12,G590-$C$10-'RE Calculations'!$C777-'Mortgage Calculators (By Month)'!$F608,"-")</f>
        <v>-</v>
      </c>
      <c r="W590" s="29" t="str">
        <f t="shared" si="258"/>
        <v>-</v>
      </c>
      <c r="X590" s="31" t="str">
        <f t="shared" si="259"/>
        <v>-</v>
      </c>
      <c r="Y590" s="8" t="str">
        <f t="shared" si="260"/>
        <v>-</v>
      </c>
      <c r="Z590" s="29" t="str">
        <f t="shared" si="261"/>
        <v>-</v>
      </c>
      <c r="AA590" s="31" t="str">
        <f t="shared" si="262"/>
        <v>-</v>
      </c>
      <c r="AD590" s="12" t="str">
        <f t="shared" si="276"/>
        <v>-</v>
      </c>
      <c r="AE590" s="8" t="str">
        <f t="shared" si="277"/>
        <v>-</v>
      </c>
      <c r="AF590" s="8" t="str">
        <f>IF($AD590&lt;=$C$25*12,$AE590-$C$7+SUM('Mortgage Calculators (By Month)'!$K$23:$K608),"-")</f>
        <v>-</v>
      </c>
      <c r="AG590" s="8" t="str">
        <f t="shared" si="263"/>
        <v>-</v>
      </c>
      <c r="AH590" s="8" t="str">
        <f>IF($AD590&lt;=$C$25*12,SUM(Inputs!$C$61:$C$78)*'Forecast (By Month)'!AG590,"-")</f>
        <v>-</v>
      </c>
      <c r="AI590" s="8" t="str">
        <f>IF($AD590&lt;=$C$25*12,(SUMIF(Inputs!$C$61:$C$78,0,Inputs!$F$61:$F$78)/12)*(1+$C$34)^ROUNDDOWN((AD590-1)/12,0),"-")</f>
        <v>-</v>
      </c>
      <c r="AJ590" s="8" t="str">
        <f t="shared" si="264"/>
        <v>-</v>
      </c>
      <c r="AK590" s="8" t="str">
        <f>IF($AD590&lt;=$C$25*12,'Mortgage Calculators (By Month)'!$J608,"-")</f>
        <v>-</v>
      </c>
      <c r="AL590" s="8" t="str">
        <f>IF($AD590&lt;=$C$25*12,'Mortgage Calculators (By Month)'!$K608,"-")</f>
        <v>-</v>
      </c>
      <c r="AM590" s="8" t="str">
        <f>IF($AD590&lt;=$C$25*12,'Mortgage Calculators (By Month)'!$L608,"-")</f>
        <v>-</v>
      </c>
      <c r="AN590" s="8" t="str">
        <f t="shared" si="279"/>
        <v>-</v>
      </c>
      <c r="AO590" s="8" t="str">
        <f t="shared" si="265"/>
        <v>-</v>
      </c>
      <c r="AP590" s="8" t="str">
        <f t="shared" si="266"/>
        <v>-</v>
      </c>
      <c r="AQ590" s="8" t="str">
        <f t="shared" si="267"/>
        <v>-</v>
      </c>
      <c r="AR590" s="8" t="str">
        <f t="shared" si="268"/>
        <v>-</v>
      </c>
      <c r="AS590" s="8" t="str">
        <f>IF($AD590&lt;=$C$25*12,SUM(AR$5:AR590),"-")</f>
        <v>-</v>
      </c>
      <c r="AT590" s="8" t="str">
        <f>IF($AD590&lt;=$C$25*12,AE590-$C$10-'RE Calculations'!$C777-'Mortgage Calculators (By Month)'!$M608,"-")</f>
        <v>-</v>
      </c>
      <c r="AU590" s="29" t="str">
        <f t="shared" si="269"/>
        <v>-</v>
      </c>
      <c r="AV590" s="31" t="str">
        <f t="shared" si="270"/>
        <v>-</v>
      </c>
      <c r="AW590" s="8" t="str">
        <f t="shared" si="271"/>
        <v>-</v>
      </c>
      <c r="AX590" s="29" t="str">
        <f t="shared" si="272"/>
        <v>-</v>
      </c>
      <c r="AY590" s="31" t="str">
        <f t="shared" si="273"/>
        <v>-</v>
      </c>
    </row>
    <row r="591" spans="6:51" x14ac:dyDescent="0.35">
      <c r="F591" s="12" t="str">
        <f t="shared" si="274"/>
        <v>-</v>
      </c>
      <c r="G591" s="8" t="str">
        <f t="shared" si="275"/>
        <v>-</v>
      </c>
      <c r="H591" s="8" t="str">
        <f>IF($F591&lt;=$C$16*12,$G591-$C$7+SUM('Mortgage Calculators (By Month)'!$D$23:$D609),"-")</f>
        <v>-</v>
      </c>
      <c r="I591" s="8" t="str">
        <f t="shared" si="252"/>
        <v>-</v>
      </c>
      <c r="J591" s="8" t="str">
        <f>IF($F591&lt;=$C$16*12,SUM(Inputs!$C$61:$C$78)*'Forecast (By Month)'!I591,"-")</f>
        <v>-</v>
      </c>
      <c r="K591" s="8" t="str">
        <f>IF($F591&lt;=$C$16*12,(SUMIF(Inputs!$C$61:$C$78,0,Inputs!$F$61:$F$78)/12)*(1+$C$34)^ROUNDDOWN((F591-1)/12,0),"-")</f>
        <v>-</v>
      </c>
      <c r="L591" s="8" t="str">
        <f t="shared" si="253"/>
        <v>-</v>
      </c>
      <c r="M591" s="8" t="str">
        <f>IF($F591&lt;=$C$16*12,'Mortgage Calculators (By Month)'!$C609,"-")</f>
        <v>-</v>
      </c>
      <c r="N591" s="8" t="str">
        <f>IF($F591&lt;=$C$16*12,'Mortgage Calculators (By Month)'!$D609,"-")</f>
        <v>-</v>
      </c>
      <c r="O591" s="8" t="str">
        <f>IF($F591&lt;=$C$16*12,'Mortgage Calculators (By Month)'!$E609,"-")</f>
        <v>-</v>
      </c>
      <c r="P591" s="8" t="str">
        <f t="shared" si="278"/>
        <v>-</v>
      </c>
      <c r="Q591" s="8" t="str">
        <f t="shared" si="254"/>
        <v>-</v>
      </c>
      <c r="R591" s="8" t="str">
        <f t="shared" si="255"/>
        <v>-</v>
      </c>
      <c r="S591" s="8" t="str">
        <f t="shared" si="256"/>
        <v>-</v>
      </c>
      <c r="T591" s="8" t="str">
        <f t="shared" si="257"/>
        <v>-</v>
      </c>
      <c r="U591" s="8" t="str">
        <f>IF($F591&lt;=$C$16*12,SUM(T$5:T591),"-")</f>
        <v>-</v>
      </c>
      <c r="V591" s="8" t="str">
        <f>IF($F591&lt;=$C$16*12,G591-$C$10-'RE Calculations'!$C778-'Mortgage Calculators (By Month)'!$F609,"-")</f>
        <v>-</v>
      </c>
      <c r="W591" s="29" t="str">
        <f t="shared" si="258"/>
        <v>-</v>
      </c>
      <c r="X591" s="31" t="str">
        <f t="shared" si="259"/>
        <v>-</v>
      </c>
      <c r="Y591" s="8" t="str">
        <f t="shared" si="260"/>
        <v>-</v>
      </c>
      <c r="Z591" s="29" t="str">
        <f t="shared" si="261"/>
        <v>-</v>
      </c>
      <c r="AA591" s="31" t="str">
        <f t="shared" si="262"/>
        <v>-</v>
      </c>
      <c r="AD591" s="12" t="str">
        <f t="shared" si="276"/>
        <v>-</v>
      </c>
      <c r="AE591" s="8" t="str">
        <f t="shared" si="277"/>
        <v>-</v>
      </c>
      <c r="AF591" s="8" t="str">
        <f>IF($AD591&lt;=$C$25*12,$AE591-$C$7+SUM('Mortgage Calculators (By Month)'!$K$23:$K609),"-")</f>
        <v>-</v>
      </c>
      <c r="AG591" s="8" t="str">
        <f t="shared" si="263"/>
        <v>-</v>
      </c>
      <c r="AH591" s="8" t="str">
        <f>IF($AD591&lt;=$C$25*12,SUM(Inputs!$C$61:$C$78)*'Forecast (By Month)'!AG591,"-")</f>
        <v>-</v>
      </c>
      <c r="AI591" s="8" t="str">
        <f>IF($AD591&lt;=$C$25*12,(SUMIF(Inputs!$C$61:$C$78,0,Inputs!$F$61:$F$78)/12)*(1+$C$34)^ROUNDDOWN((AD591-1)/12,0),"-")</f>
        <v>-</v>
      </c>
      <c r="AJ591" s="8" t="str">
        <f t="shared" si="264"/>
        <v>-</v>
      </c>
      <c r="AK591" s="8" t="str">
        <f>IF($AD591&lt;=$C$25*12,'Mortgage Calculators (By Month)'!$J609,"-")</f>
        <v>-</v>
      </c>
      <c r="AL591" s="8" t="str">
        <f>IF($AD591&lt;=$C$25*12,'Mortgage Calculators (By Month)'!$K609,"-")</f>
        <v>-</v>
      </c>
      <c r="AM591" s="8" t="str">
        <f>IF($AD591&lt;=$C$25*12,'Mortgage Calculators (By Month)'!$L609,"-")</f>
        <v>-</v>
      </c>
      <c r="AN591" s="8" t="str">
        <f t="shared" si="279"/>
        <v>-</v>
      </c>
      <c r="AO591" s="8" t="str">
        <f t="shared" si="265"/>
        <v>-</v>
      </c>
      <c r="AP591" s="8" t="str">
        <f t="shared" si="266"/>
        <v>-</v>
      </c>
      <c r="AQ591" s="8" t="str">
        <f t="shared" si="267"/>
        <v>-</v>
      </c>
      <c r="AR591" s="8" t="str">
        <f t="shared" si="268"/>
        <v>-</v>
      </c>
      <c r="AS591" s="8" t="str">
        <f>IF($AD591&lt;=$C$25*12,SUM(AR$5:AR591),"-")</f>
        <v>-</v>
      </c>
      <c r="AT591" s="8" t="str">
        <f>IF($AD591&lt;=$C$25*12,AE591-$C$10-'RE Calculations'!$C778-'Mortgage Calculators (By Month)'!$M609,"-")</f>
        <v>-</v>
      </c>
      <c r="AU591" s="29" t="str">
        <f t="shared" si="269"/>
        <v>-</v>
      </c>
      <c r="AV591" s="31" t="str">
        <f t="shared" si="270"/>
        <v>-</v>
      </c>
      <c r="AW591" s="8" t="str">
        <f t="shared" si="271"/>
        <v>-</v>
      </c>
      <c r="AX591" s="29" t="str">
        <f t="shared" si="272"/>
        <v>-</v>
      </c>
      <c r="AY591" s="31" t="str">
        <f t="shared" si="273"/>
        <v>-</v>
      </c>
    </row>
    <row r="592" spans="6:51" x14ac:dyDescent="0.35">
      <c r="F592" s="12" t="str">
        <f t="shared" si="274"/>
        <v>-</v>
      </c>
      <c r="G592" s="8" t="str">
        <f t="shared" si="275"/>
        <v>-</v>
      </c>
      <c r="H592" s="8" t="str">
        <f>IF($F592&lt;=$C$16*12,$G592-$C$7+SUM('Mortgage Calculators (By Month)'!$D$23:$D610),"-")</f>
        <v>-</v>
      </c>
      <c r="I592" s="8" t="str">
        <f t="shared" si="252"/>
        <v>-</v>
      </c>
      <c r="J592" s="8" t="str">
        <f>IF($F592&lt;=$C$16*12,SUM(Inputs!$C$61:$C$78)*'Forecast (By Month)'!I592,"-")</f>
        <v>-</v>
      </c>
      <c r="K592" s="8" t="str">
        <f>IF($F592&lt;=$C$16*12,(SUMIF(Inputs!$C$61:$C$78,0,Inputs!$F$61:$F$78)/12)*(1+$C$34)^ROUNDDOWN((F592-1)/12,0),"-")</f>
        <v>-</v>
      </c>
      <c r="L592" s="8" t="str">
        <f t="shared" si="253"/>
        <v>-</v>
      </c>
      <c r="M592" s="8" t="str">
        <f>IF($F592&lt;=$C$16*12,'Mortgage Calculators (By Month)'!$C610,"-")</f>
        <v>-</v>
      </c>
      <c r="N592" s="8" t="str">
        <f>IF($F592&lt;=$C$16*12,'Mortgage Calculators (By Month)'!$D610,"-")</f>
        <v>-</v>
      </c>
      <c r="O592" s="8" t="str">
        <f>IF($F592&lt;=$C$16*12,'Mortgage Calculators (By Month)'!$E610,"-")</f>
        <v>-</v>
      </c>
      <c r="P592" s="8" t="str">
        <f t="shared" si="278"/>
        <v>-</v>
      </c>
      <c r="Q592" s="8" t="str">
        <f t="shared" si="254"/>
        <v>-</v>
      </c>
      <c r="R592" s="8" t="str">
        <f t="shared" si="255"/>
        <v>-</v>
      </c>
      <c r="S592" s="8" t="str">
        <f t="shared" si="256"/>
        <v>-</v>
      </c>
      <c r="T592" s="8" t="str">
        <f t="shared" si="257"/>
        <v>-</v>
      </c>
      <c r="U592" s="8" t="str">
        <f>IF($F592&lt;=$C$16*12,SUM(T$5:T592),"-")</f>
        <v>-</v>
      </c>
      <c r="V592" s="8" t="str">
        <f>IF($F592&lt;=$C$16*12,G592-$C$10-'RE Calculations'!$C779-'Mortgage Calculators (By Month)'!$F610,"-")</f>
        <v>-</v>
      </c>
      <c r="W592" s="29" t="str">
        <f t="shared" si="258"/>
        <v>-</v>
      </c>
      <c r="X592" s="31" t="str">
        <f t="shared" si="259"/>
        <v>-</v>
      </c>
      <c r="Y592" s="8" t="str">
        <f t="shared" si="260"/>
        <v>-</v>
      </c>
      <c r="Z592" s="29" t="str">
        <f t="shared" si="261"/>
        <v>-</v>
      </c>
      <c r="AA592" s="31" t="str">
        <f t="shared" si="262"/>
        <v>-</v>
      </c>
      <c r="AD592" s="12" t="str">
        <f t="shared" si="276"/>
        <v>-</v>
      </c>
      <c r="AE592" s="8" t="str">
        <f t="shared" si="277"/>
        <v>-</v>
      </c>
      <c r="AF592" s="8" t="str">
        <f>IF($AD592&lt;=$C$25*12,$AE592-$C$7+SUM('Mortgage Calculators (By Month)'!$K$23:$K610),"-")</f>
        <v>-</v>
      </c>
      <c r="AG592" s="8" t="str">
        <f t="shared" si="263"/>
        <v>-</v>
      </c>
      <c r="AH592" s="8" t="str">
        <f>IF($AD592&lt;=$C$25*12,SUM(Inputs!$C$61:$C$78)*'Forecast (By Month)'!AG592,"-")</f>
        <v>-</v>
      </c>
      <c r="AI592" s="8" t="str">
        <f>IF($AD592&lt;=$C$25*12,(SUMIF(Inputs!$C$61:$C$78,0,Inputs!$F$61:$F$78)/12)*(1+$C$34)^ROUNDDOWN((AD592-1)/12,0),"-")</f>
        <v>-</v>
      </c>
      <c r="AJ592" s="8" t="str">
        <f t="shared" si="264"/>
        <v>-</v>
      </c>
      <c r="AK592" s="8" t="str">
        <f>IF($AD592&lt;=$C$25*12,'Mortgage Calculators (By Month)'!$J610,"-")</f>
        <v>-</v>
      </c>
      <c r="AL592" s="8" t="str">
        <f>IF($AD592&lt;=$C$25*12,'Mortgage Calculators (By Month)'!$K610,"-")</f>
        <v>-</v>
      </c>
      <c r="AM592" s="8" t="str">
        <f>IF($AD592&lt;=$C$25*12,'Mortgage Calculators (By Month)'!$L610,"-")</f>
        <v>-</v>
      </c>
      <c r="AN592" s="8" t="str">
        <f t="shared" si="279"/>
        <v>-</v>
      </c>
      <c r="AO592" s="8" t="str">
        <f t="shared" si="265"/>
        <v>-</v>
      </c>
      <c r="AP592" s="8" t="str">
        <f t="shared" si="266"/>
        <v>-</v>
      </c>
      <c r="AQ592" s="8" t="str">
        <f t="shared" si="267"/>
        <v>-</v>
      </c>
      <c r="AR592" s="8" t="str">
        <f t="shared" si="268"/>
        <v>-</v>
      </c>
      <c r="AS592" s="8" t="str">
        <f>IF($AD592&lt;=$C$25*12,SUM(AR$5:AR592),"-")</f>
        <v>-</v>
      </c>
      <c r="AT592" s="8" t="str">
        <f>IF($AD592&lt;=$C$25*12,AE592-$C$10-'RE Calculations'!$C779-'Mortgage Calculators (By Month)'!$M610,"-")</f>
        <v>-</v>
      </c>
      <c r="AU592" s="29" t="str">
        <f t="shared" si="269"/>
        <v>-</v>
      </c>
      <c r="AV592" s="31" t="str">
        <f t="shared" si="270"/>
        <v>-</v>
      </c>
      <c r="AW592" s="8" t="str">
        <f t="shared" si="271"/>
        <v>-</v>
      </c>
      <c r="AX592" s="29" t="str">
        <f t="shared" si="272"/>
        <v>-</v>
      </c>
      <c r="AY592" s="31" t="str">
        <f t="shared" si="273"/>
        <v>-</v>
      </c>
    </row>
    <row r="593" spans="6:51" x14ac:dyDescent="0.35">
      <c r="F593" s="12" t="str">
        <f t="shared" si="274"/>
        <v>-</v>
      </c>
      <c r="G593" s="8" t="str">
        <f t="shared" si="275"/>
        <v>-</v>
      </c>
      <c r="H593" s="8" t="str">
        <f>IF($F593&lt;=$C$16*12,$G593-$C$7+SUM('Mortgage Calculators (By Month)'!$D$23:$D611),"-")</f>
        <v>-</v>
      </c>
      <c r="I593" s="8" t="str">
        <f t="shared" si="252"/>
        <v>-</v>
      </c>
      <c r="J593" s="8" t="str">
        <f>IF($F593&lt;=$C$16*12,SUM(Inputs!$C$61:$C$78)*'Forecast (By Month)'!I593,"-")</f>
        <v>-</v>
      </c>
      <c r="K593" s="8" t="str">
        <f>IF($F593&lt;=$C$16*12,(SUMIF(Inputs!$C$61:$C$78,0,Inputs!$F$61:$F$78)/12)*(1+$C$34)^ROUNDDOWN((F593-1)/12,0),"-")</f>
        <v>-</v>
      </c>
      <c r="L593" s="8" t="str">
        <f t="shared" si="253"/>
        <v>-</v>
      </c>
      <c r="M593" s="8" t="str">
        <f>IF($F593&lt;=$C$16*12,'Mortgage Calculators (By Month)'!$C611,"-")</f>
        <v>-</v>
      </c>
      <c r="N593" s="8" t="str">
        <f>IF($F593&lt;=$C$16*12,'Mortgage Calculators (By Month)'!$D611,"-")</f>
        <v>-</v>
      </c>
      <c r="O593" s="8" t="str">
        <f>IF($F593&lt;=$C$16*12,'Mortgage Calculators (By Month)'!$E611,"-")</f>
        <v>-</v>
      </c>
      <c r="P593" s="8" t="str">
        <f t="shared" si="278"/>
        <v>-</v>
      </c>
      <c r="Q593" s="8" t="str">
        <f t="shared" si="254"/>
        <v>-</v>
      </c>
      <c r="R593" s="8" t="str">
        <f t="shared" si="255"/>
        <v>-</v>
      </c>
      <c r="S593" s="8" t="str">
        <f t="shared" si="256"/>
        <v>-</v>
      </c>
      <c r="T593" s="8" t="str">
        <f t="shared" si="257"/>
        <v>-</v>
      </c>
      <c r="U593" s="8" t="str">
        <f>IF($F593&lt;=$C$16*12,SUM(T$5:T593),"-")</f>
        <v>-</v>
      </c>
      <c r="V593" s="8" t="str">
        <f>IF($F593&lt;=$C$16*12,G593-$C$10-'RE Calculations'!$C780-'Mortgage Calculators (By Month)'!$F611,"-")</f>
        <v>-</v>
      </c>
      <c r="W593" s="29" t="str">
        <f t="shared" si="258"/>
        <v>-</v>
      </c>
      <c r="X593" s="31" t="str">
        <f t="shared" si="259"/>
        <v>-</v>
      </c>
      <c r="Y593" s="8" t="str">
        <f t="shared" si="260"/>
        <v>-</v>
      </c>
      <c r="Z593" s="29" t="str">
        <f t="shared" si="261"/>
        <v>-</v>
      </c>
      <c r="AA593" s="31" t="str">
        <f t="shared" si="262"/>
        <v>-</v>
      </c>
      <c r="AD593" s="12" t="str">
        <f t="shared" si="276"/>
        <v>-</v>
      </c>
      <c r="AE593" s="8" t="str">
        <f t="shared" si="277"/>
        <v>-</v>
      </c>
      <c r="AF593" s="8" t="str">
        <f>IF($AD593&lt;=$C$25*12,$AE593-$C$7+SUM('Mortgage Calculators (By Month)'!$K$23:$K611),"-")</f>
        <v>-</v>
      </c>
      <c r="AG593" s="8" t="str">
        <f t="shared" si="263"/>
        <v>-</v>
      </c>
      <c r="AH593" s="8" t="str">
        <f>IF($AD593&lt;=$C$25*12,SUM(Inputs!$C$61:$C$78)*'Forecast (By Month)'!AG593,"-")</f>
        <v>-</v>
      </c>
      <c r="AI593" s="8" t="str">
        <f>IF($AD593&lt;=$C$25*12,(SUMIF(Inputs!$C$61:$C$78,0,Inputs!$F$61:$F$78)/12)*(1+$C$34)^ROUNDDOWN((AD593-1)/12,0),"-")</f>
        <v>-</v>
      </c>
      <c r="AJ593" s="8" t="str">
        <f t="shared" si="264"/>
        <v>-</v>
      </c>
      <c r="AK593" s="8" t="str">
        <f>IF($AD593&lt;=$C$25*12,'Mortgage Calculators (By Month)'!$J611,"-")</f>
        <v>-</v>
      </c>
      <c r="AL593" s="8" t="str">
        <f>IF($AD593&lt;=$C$25*12,'Mortgage Calculators (By Month)'!$K611,"-")</f>
        <v>-</v>
      </c>
      <c r="AM593" s="8" t="str">
        <f>IF($AD593&lt;=$C$25*12,'Mortgage Calculators (By Month)'!$L611,"-")</f>
        <v>-</v>
      </c>
      <c r="AN593" s="8" t="str">
        <f t="shared" si="279"/>
        <v>-</v>
      </c>
      <c r="AO593" s="8" t="str">
        <f t="shared" si="265"/>
        <v>-</v>
      </c>
      <c r="AP593" s="8" t="str">
        <f t="shared" si="266"/>
        <v>-</v>
      </c>
      <c r="AQ593" s="8" t="str">
        <f t="shared" si="267"/>
        <v>-</v>
      </c>
      <c r="AR593" s="8" t="str">
        <f t="shared" si="268"/>
        <v>-</v>
      </c>
      <c r="AS593" s="8" t="str">
        <f>IF($AD593&lt;=$C$25*12,SUM(AR$5:AR593),"-")</f>
        <v>-</v>
      </c>
      <c r="AT593" s="8" t="str">
        <f>IF($AD593&lt;=$C$25*12,AE593-$C$10-'RE Calculations'!$C780-'Mortgage Calculators (By Month)'!$M611,"-")</f>
        <v>-</v>
      </c>
      <c r="AU593" s="29" t="str">
        <f t="shared" si="269"/>
        <v>-</v>
      </c>
      <c r="AV593" s="31" t="str">
        <f t="shared" si="270"/>
        <v>-</v>
      </c>
      <c r="AW593" s="8" t="str">
        <f t="shared" si="271"/>
        <v>-</v>
      </c>
      <c r="AX593" s="29" t="str">
        <f t="shared" si="272"/>
        <v>-</v>
      </c>
      <c r="AY593" s="31" t="str">
        <f t="shared" si="273"/>
        <v>-</v>
      </c>
    </row>
    <row r="594" spans="6:51" x14ac:dyDescent="0.35">
      <c r="F594" s="12" t="str">
        <f t="shared" si="274"/>
        <v>-</v>
      </c>
      <c r="G594" s="8" t="str">
        <f t="shared" si="275"/>
        <v>-</v>
      </c>
      <c r="H594" s="8" t="str">
        <f>IF($F594&lt;=$C$16*12,$G594-$C$7+SUM('Mortgage Calculators (By Month)'!$D$23:$D612),"-")</f>
        <v>-</v>
      </c>
      <c r="I594" s="8" t="str">
        <f t="shared" si="252"/>
        <v>-</v>
      </c>
      <c r="J594" s="8" t="str">
        <f>IF($F594&lt;=$C$16*12,SUM(Inputs!$C$61:$C$78)*'Forecast (By Month)'!I594,"-")</f>
        <v>-</v>
      </c>
      <c r="K594" s="8" t="str">
        <f>IF($F594&lt;=$C$16*12,(SUMIF(Inputs!$C$61:$C$78,0,Inputs!$F$61:$F$78)/12)*(1+$C$34)^ROUNDDOWN((F594-1)/12,0),"-")</f>
        <v>-</v>
      </c>
      <c r="L594" s="8" t="str">
        <f t="shared" si="253"/>
        <v>-</v>
      </c>
      <c r="M594" s="8" t="str">
        <f>IF($F594&lt;=$C$16*12,'Mortgage Calculators (By Month)'!$C612,"-")</f>
        <v>-</v>
      </c>
      <c r="N594" s="8" t="str">
        <f>IF($F594&lt;=$C$16*12,'Mortgage Calculators (By Month)'!$D612,"-")</f>
        <v>-</v>
      </c>
      <c r="O594" s="8" t="str">
        <f>IF($F594&lt;=$C$16*12,'Mortgage Calculators (By Month)'!$E612,"-")</f>
        <v>-</v>
      </c>
      <c r="P594" s="8" t="str">
        <f t="shared" si="278"/>
        <v>-</v>
      </c>
      <c r="Q594" s="8" t="str">
        <f t="shared" si="254"/>
        <v>-</v>
      </c>
      <c r="R594" s="8" t="str">
        <f t="shared" si="255"/>
        <v>-</v>
      </c>
      <c r="S594" s="8" t="str">
        <f t="shared" si="256"/>
        <v>-</v>
      </c>
      <c r="T594" s="8" t="str">
        <f t="shared" si="257"/>
        <v>-</v>
      </c>
      <c r="U594" s="8" t="str">
        <f>IF($F594&lt;=$C$16*12,SUM(T$5:T594),"-")</f>
        <v>-</v>
      </c>
      <c r="V594" s="8" t="str">
        <f>IF($F594&lt;=$C$16*12,G594-$C$10-'RE Calculations'!$C781-'Mortgage Calculators (By Month)'!$F612,"-")</f>
        <v>-</v>
      </c>
      <c r="W594" s="29" t="str">
        <f t="shared" si="258"/>
        <v>-</v>
      </c>
      <c r="X594" s="31" t="str">
        <f t="shared" si="259"/>
        <v>-</v>
      </c>
      <c r="Y594" s="8" t="str">
        <f t="shared" si="260"/>
        <v>-</v>
      </c>
      <c r="Z594" s="29" t="str">
        <f t="shared" si="261"/>
        <v>-</v>
      </c>
      <c r="AA594" s="31" t="str">
        <f t="shared" si="262"/>
        <v>-</v>
      </c>
      <c r="AD594" s="12" t="str">
        <f t="shared" si="276"/>
        <v>-</v>
      </c>
      <c r="AE594" s="8" t="str">
        <f t="shared" si="277"/>
        <v>-</v>
      </c>
      <c r="AF594" s="8" t="str">
        <f>IF($AD594&lt;=$C$25*12,$AE594-$C$7+SUM('Mortgage Calculators (By Month)'!$K$23:$K612),"-")</f>
        <v>-</v>
      </c>
      <c r="AG594" s="8" t="str">
        <f t="shared" si="263"/>
        <v>-</v>
      </c>
      <c r="AH594" s="8" t="str">
        <f>IF($AD594&lt;=$C$25*12,SUM(Inputs!$C$61:$C$78)*'Forecast (By Month)'!AG594,"-")</f>
        <v>-</v>
      </c>
      <c r="AI594" s="8" t="str">
        <f>IF($AD594&lt;=$C$25*12,(SUMIF(Inputs!$C$61:$C$78,0,Inputs!$F$61:$F$78)/12)*(1+$C$34)^ROUNDDOWN((AD594-1)/12,0),"-")</f>
        <v>-</v>
      </c>
      <c r="AJ594" s="8" t="str">
        <f t="shared" si="264"/>
        <v>-</v>
      </c>
      <c r="AK594" s="8" t="str">
        <f>IF($AD594&lt;=$C$25*12,'Mortgage Calculators (By Month)'!$J612,"-")</f>
        <v>-</v>
      </c>
      <c r="AL594" s="8" t="str">
        <f>IF($AD594&lt;=$C$25*12,'Mortgage Calculators (By Month)'!$K612,"-")</f>
        <v>-</v>
      </c>
      <c r="AM594" s="8" t="str">
        <f>IF($AD594&lt;=$C$25*12,'Mortgage Calculators (By Month)'!$L612,"-")</f>
        <v>-</v>
      </c>
      <c r="AN594" s="8" t="str">
        <f t="shared" si="279"/>
        <v>-</v>
      </c>
      <c r="AO594" s="8" t="str">
        <f t="shared" si="265"/>
        <v>-</v>
      </c>
      <c r="AP594" s="8" t="str">
        <f t="shared" si="266"/>
        <v>-</v>
      </c>
      <c r="AQ594" s="8" t="str">
        <f t="shared" si="267"/>
        <v>-</v>
      </c>
      <c r="AR594" s="8" t="str">
        <f t="shared" si="268"/>
        <v>-</v>
      </c>
      <c r="AS594" s="8" t="str">
        <f>IF($AD594&lt;=$C$25*12,SUM(AR$5:AR594),"-")</f>
        <v>-</v>
      </c>
      <c r="AT594" s="8" t="str">
        <f>IF($AD594&lt;=$C$25*12,AE594-$C$10-'RE Calculations'!$C781-'Mortgage Calculators (By Month)'!$M612,"-")</f>
        <v>-</v>
      </c>
      <c r="AU594" s="29" t="str">
        <f t="shared" si="269"/>
        <v>-</v>
      </c>
      <c r="AV594" s="31" t="str">
        <f t="shared" si="270"/>
        <v>-</v>
      </c>
      <c r="AW594" s="8" t="str">
        <f t="shared" si="271"/>
        <v>-</v>
      </c>
      <c r="AX594" s="29" t="str">
        <f t="shared" si="272"/>
        <v>-</v>
      </c>
      <c r="AY594" s="31" t="str">
        <f t="shared" si="273"/>
        <v>-</v>
      </c>
    </row>
    <row r="595" spans="6:51" x14ac:dyDescent="0.35">
      <c r="F595" s="12" t="str">
        <f t="shared" si="274"/>
        <v>-</v>
      </c>
      <c r="G595" s="8" t="str">
        <f t="shared" si="275"/>
        <v>-</v>
      </c>
      <c r="H595" s="8" t="str">
        <f>IF($F595&lt;=$C$16*12,$G595-$C$7+SUM('Mortgage Calculators (By Month)'!$D$23:$D613),"-")</f>
        <v>-</v>
      </c>
      <c r="I595" s="8" t="str">
        <f t="shared" si="252"/>
        <v>-</v>
      </c>
      <c r="J595" s="8" t="str">
        <f>IF($F595&lt;=$C$16*12,SUM(Inputs!$C$61:$C$78)*'Forecast (By Month)'!I595,"-")</f>
        <v>-</v>
      </c>
      <c r="K595" s="8" t="str">
        <f>IF($F595&lt;=$C$16*12,(SUMIF(Inputs!$C$61:$C$78,0,Inputs!$F$61:$F$78)/12)*(1+$C$34)^ROUNDDOWN((F595-1)/12,0),"-")</f>
        <v>-</v>
      </c>
      <c r="L595" s="8" t="str">
        <f t="shared" si="253"/>
        <v>-</v>
      </c>
      <c r="M595" s="8" t="str">
        <f>IF($F595&lt;=$C$16*12,'Mortgage Calculators (By Month)'!$C613,"-")</f>
        <v>-</v>
      </c>
      <c r="N595" s="8" t="str">
        <f>IF($F595&lt;=$C$16*12,'Mortgage Calculators (By Month)'!$D613,"-")</f>
        <v>-</v>
      </c>
      <c r="O595" s="8" t="str">
        <f>IF($F595&lt;=$C$16*12,'Mortgage Calculators (By Month)'!$E613,"-")</f>
        <v>-</v>
      </c>
      <c r="P595" s="8" t="str">
        <f t="shared" si="278"/>
        <v>-</v>
      </c>
      <c r="Q595" s="8" t="str">
        <f t="shared" si="254"/>
        <v>-</v>
      </c>
      <c r="R595" s="8" t="str">
        <f t="shared" si="255"/>
        <v>-</v>
      </c>
      <c r="S595" s="8" t="str">
        <f t="shared" si="256"/>
        <v>-</v>
      </c>
      <c r="T595" s="8" t="str">
        <f t="shared" si="257"/>
        <v>-</v>
      </c>
      <c r="U595" s="8" t="str">
        <f>IF($F595&lt;=$C$16*12,SUM(T$5:T595),"-")</f>
        <v>-</v>
      </c>
      <c r="V595" s="8" t="str">
        <f>IF($F595&lt;=$C$16*12,G595-$C$10-'RE Calculations'!$C782-'Mortgage Calculators (By Month)'!$F613,"-")</f>
        <v>-</v>
      </c>
      <c r="W595" s="29" t="str">
        <f t="shared" si="258"/>
        <v>-</v>
      </c>
      <c r="X595" s="31" t="str">
        <f t="shared" si="259"/>
        <v>-</v>
      </c>
      <c r="Y595" s="8" t="str">
        <f t="shared" si="260"/>
        <v>-</v>
      </c>
      <c r="Z595" s="29" t="str">
        <f t="shared" si="261"/>
        <v>-</v>
      </c>
      <c r="AA595" s="31" t="str">
        <f t="shared" si="262"/>
        <v>-</v>
      </c>
      <c r="AD595" s="12" t="str">
        <f t="shared" si="276"/>
        <v>-</v>
      </c>
      <c r="AE595" s="8" t="str">
        <f t="shared" si="277"/>
        <v>-</v>
      </c>
      <c r="AF595" s="8" t="str">
        <f>IF($AD595&lt;=$C$25*12,$AE595-$C$7+SUM('Mortgage Calculators (By Month)'!$K$23:$K613),"-")</f>
        <v>-</v>
      </c>
      <c r="AG595" s="8" t="str">
        <f t="shared" si="263"/>
        <v>-</v>
      </c>
      <c r="AH595" s="8" t="str">
        <f>IF($AD595&lt;=$C$25*12,SUM(Inputs!$C$61:$C$78)*'Forecast (By Month)'!AG595,"-")</f>
        <v>-</v>
      </c>
      <c r="AI595" s="8" t="str">
        <f>IF($AD595&lt;=$C$25*12,(SUMIF(Inputs!$C$61:$C$78,0,Inputs!$F$61:$F$78)/12)*(1+$C$34)^ROUNDDOWN((AD595-1)/12,0),"-")</f>
        <v>-</v>
      </c>
      <c r="AJ595" s="8" t="str">
        <f t="shared" si="264"/>
        <v>-</v>
      </c>
      <c r="AK595" s="8" t="str">
        <f>IF($AD595&lt;=$C$25*12,'Mortgage Calculators (By Month)'!$J613,"-")</f>
        <v>-</v>
      </c>
      <c r="AL595" s="8" t="str">
        <f>IF($AD595&lt;=$C$25*12,'Mortgage Calculators (By Month)'!$K613,"-")</f>
        <v>-</v>
      </c>
      <c r="AM595" s="8" t="str">
        <f>IF($AD595&lt;=$C$25*12,'Mortgage Calculators (By Month)'!$L613,"-")</f>
        <v>-</v>
      </c>
      <c r="AN595" s="8" t="str">
        <f t="shared" si="279"/>
        <v>-</v>
      </c>
      <c r="AO595" s="8" t="str">
        <f t="shared" si="265"/>
        <v>-</v>
      </c>
      <c r="AP595" s="8" t="str">
        <f t="shared" si="266"/>
        <v>-</v>
      </c>
      <c r="AQ595" s="8" t="str">
        <f t="shared" si="267"/>
        <v>-</v>
      </c>
      <c r="AR595" s="8" t="str">
        <f t="shared" si="268"/>
        <v>-</v>
      </c>
      <c r="AS595" s="8" t="str">
        <f>IF($AD595&lt;=$C$25*12,SUM(AR$5:AR595),"-")</f>
        <v>-</v>
      </c>
      <c r="AT595" s="8" t="str">
        <f>IF($AD595&lt;=$C$25*12,AE595-$C$10-'RE Calculations'!$C782-'Mortgage Calculators (By Month)'!$M613,"-")</f>
        <v>-</v>
      </c>
      <c r="AU595" s="29" t="str">
        <f t="shared" si="269"/>
        <v>-</v>
      </c>
      <c r="AV595" s="31" t="str">
        <f t="shared" si="270"/>
        <v>-</v>
      </c>
      <c r="AW595" s="8" t="str">
        <f t="shared" si="271"/>
        <v>-</v>
      </c>
      <c r="AX595" s="29" t="str">
        <f t="shared" si="272"/>
        <v>-</v>
      </c>
      <c r="AY595" s="31" t="str">
        <f t="shared" si="273"/>
        <v>-</v>
      </c>
    </row>
    <row r="596" spans="6:51" x14ac:dyDescent="0.35">
      <c r="F596" s="12" t="str">
        <f t="shared" si="274"/>
        <v>-</v>
      </c>
      <c r="G596" s="8" t="str">
        <f t="shared" si="275"/>
        <v>-</v>
      </c>
      <c r="H596" s="8" t="str">
        <f>IF($F596&lt;=$C$16*12,$G596-$C$7+SUM('Mortgage Calculators (By Month)'!$D$23:$D614),"-")</f>
        <v>-</v>
      </c>
      <c r="I596" s="8" t="str">
        <f t="shared" si="252"/>
        <v>-</v>
      </c>
      <c r="J596" s="8" t="str">
        <f>IF($F596&lt;=$C$16*12,SUM(Inputs!$C$61:$C$78)*'Forecast (By Month)'!I596,"-")</f>
        <v>-</v>
      </c>
      <c r="K596" s="8" t="str">
        <f>IF($F596&lt;=$C$16*12,(SUMIF(Inputs!$C$61:$C$78,0,Inputs!$F$61:$F$78)/12)*(1+$C$34)^ROUNDDOWN((F596-1)/12,0),"-")</f>
        <v>-</v>
      </c>
      <c r="L596" s="8" t="str">
        <f t="shared" si="253"/>
        <v>-</v>
      </c>
      <c r="M596" s="8" t="str">
        <f>IF($F596&lt;=$C$16*12,'Mortgage Calculators (By Month)'!$C614,"-")</f>
        <v>-</v>
      </c>
      <c r="N596" s="8" t="str">
        <f>IF($F596&lt;=$C$16*12,'Mortgage Calculators (By Month)'!$D614,"-")</f>
        <v>-</v>
      </c>
      <c r="O596" s="8" t="str">
        <f>IF($F596&lt;=$C$16*12,'Mortgage Calculators (By Month)'!$E614,"-")</f>
        <v>-</v>
      </c>
      <c r="P596" s="8" t="str">
        <f t="shared" si="278"/>
        <v>-</v>
      </c>
      <c r="Q596" s="8" t="str">
        <f t="shared" si="254"/>
        <v>-</v>
      </c>
      <c r="R596" s="8" t="str">
        <f t="shared" si="255"/>
        <v>-</v>
      </c>
      <c r="S596" s="8" t="str">
        <f t="shared" si="256"/>
        <v>-</v>
      </c>
      <c r="T596" s="8" t="str">
        <f t="shared" si="257"/>
        <v>-</v>
      </c>
      <c r="U596" s="8" t="str">
        <f>IF($F596&lt;=$C$16*12,SUM(T$5:T596),"-")</f>
        <v>-</v>
      </c>
      <c r="V596" s="8" t="str">
        <f>IF($F596&lt;=$C$16*12,G596-$C$10-'RE Calculations'!$C783-'Mortgage Calculators (By Month)'!$F614,"-")</f>
        <v>-</v>
      </c>
      <c r="W596" s="29" t="str">
        <f t="shared" si="258"/>
        <v>-</v>
      </c>
      <c r="X596" s="31" t="str">
        <f t="shared" si="259"/>
        <v>-</v>
      </c>
      <c r="Y596" s="8" t="str">
        <f t="shared" si="260"/>
        <v>-</v>
      </c>
      <c r="Z596" s="29" t="str">
        <f t="shared" si="261"/>
        <v>-</v>
      </c>
      <c r="AA596" s="31" t="str">
        <f t="shared" si="262"/>
        <v>-</v>
      </c>
      <c r="AD596" s="12" t="str">
        <f t="shared" si="276"/>
        <v>-</v>
      </c>
      <c r="AE596" s="8" t="str">
        <f t="shared" si="277"/>
        <v>-</v>
      </c>
      <c r="AF596" s="8" t="str">
        <f>IF($AD596&lt;=$C$25*12,$AE596-$C$7+SUM('Mortgage Calculators (By Month)'!$K$23:$K614),"-")</f>
        <v>-</v>
      </c>
      <c r="AG596" s="8" t="str">
        <f t="shared" si="263"/>
        <v>-</v>
      </c>
      <c r="AH596" s="8" t="str">
        <f>IF($AD596&lt;=$C$25*12,SUM(Inputs!$C$61:$C$78)*'Forecast (By Month)'!AG596,"-")</f>
        <v>-</v>
      </c>
      <c r="AI596" s="8" t="str">
        <f>IF($AD596&lt;=$C$25*12,(SUMIF(Inputs!$C$61:$C$78,0,Inputs!$F$61:$F$78)/12)*(1+$C$34)^ROUNDDOWN((AD596-1)/12,0),"-")</f>
        <v>-</v>
      </c>
      <c r="AJ596" s="8" t="str">
        <f t="shared" si="264"/>
        <v>-</v>
      </c>
      <c r="AK596" s="8" t="str">
        <f>IF($AD596&lt;=$C$25*12,'Mortgage Calculators (By Month)'!$J614,"-")</f>
        <v>-</v>
      </c>
      <c r="AL596" s="8" t="str">
        <f>IF($AD596&lt;=$C$25*12,'Mortgage Calculators (By Month)'!$K614,"-")</f>
        <v>-</v>
      </c>
      <c r="AM596" s="8" t="str">
        <f>IF($AD596&lt;=$C$25*12,'Mortgage Calculators (By Month)'!$L614,"-")</f>
        <v>-</v>
      </c>
      <c r="AN596" s="8" t="str">
        <f t="shared" si="279"/>
        <v>-</v>
      </c>
      <c r="AO596" s="8" t="str">
        <f t="shared" si="265"/>
        <v>-</v>
      </c>
      <c r="AP596" s="8" t="str">
        <f t="shared" si="266"/>
        <v>-</v>
      </c>
      <c r="AQ596" s="8" t="str">
        <f t="shared" si="267"/>
        <v>-</v>
      </c>
      <c r="AR596" s="8" t="str">
        <f t="shared" si="268"/>
        <v>-</v>
      </c>
      <c r="AS596" s="8" t="str">
        <f>IF($AD596&lt;=$C$25*12,SUM(AR$5:AR596),"-")</f>
        <v>-</v>
      </c>
      <c r="AT596" s="8" t="str">
        <f>IF($AD596&lt;=$C$25*12,AE596-$C$10-'RE Calculations'!$C783-'Mortgage Calculators (By Month)'!$M614,"-")</f>
        <v>-</v>
      </c>
      <c r="AU596" s="29" t="str">
        <f t="shared" si="269"/>
        <v>-</v>
      </c>
      <c r="AV596" s="31" t="str">
        <f t="shared" si="270"/>
        <v>-</v>
      </c>
      <c r="AW596" s="8" t="str">
        <f t="shared" si="271"/>
        <v>-</v>
      </c>
      <c r="AX596" s="29" t="str">
        <f t="shared" si="272"/>
        <v>-</v>
      </c>
      <c r="AY596" s="31" t="str">
        <f t="shared" si="273"/>
        <v>-</v>
      </c>
    </row>
    <row r="597" spans="6:51" x14ac:dyDescent="0.35">
      <c r="F597" s="12" t="str">
        <f t="shared" si="274"/>
        <v>-</v>
      </c>
      <c r="G597" s="8" t="str">
        <f t="shared" si="275"/>
        <v>-</v>
      </c>
      <c r="H597" s="8" t="str">
        <f>IF($F597&lt;=$C$16*12,$G597-$C$7+SUM('Mortgage Calculators (By Month)'!$D$23:$D615),"-")</f>
        <v>-</v>
      </c>
      <c r="I597" s="8" t="str">
        <f t="shared" si="252"/>
        <v>-</v>
      </c>
      <c r="J597" s="8" t="str">
        <f>IF($F597&lt;=$C$16*12,SUM(Inputs!$C$61:$C$78)*'Forecast (By Month)'!I597,"-")</f>
        <v>-</v>
      </c>
      <c r="K597" s="8" t="str">
        <f>IF($F597&lt;=$C$16*12,(SUMIF(Inputs!$C$61:$C$78,0,Inputs!$F$61:$F$78)/12)*(1+$C$34)^ROUNDDOWN((F597-1)/12,0),"-")</f>
        <v>-</v>
      </c>
      <c r="L597" s="8" t="str">
        <f t="shared" si="253"/>
        <v>-</v>
      </c>
      <c r="M597" s="8" t="str">
        <f>IF($F597&lt;=$C$16*12,'Mortgage Calculators (By Month)'!$C615,"-")</f>
        <v>-</v>
      </c>
      <c r="N597" s="8" t="str">
        <f>IF($F597&lt;=$C$16*12,'Mortgage Calculators (By Month)'!$D615,"-")</f>
        <v>-</v>
      </c>
      <c r="O597" s="8" t="str">
        <f>IF($F597&lt;=$C$16*12,'Mortgage Calculators (By Month)'!$E615,"-")</f>
        <v>-</v>
      </c>
      <c r="P597" s="8" t="str">
        <f t="shared" si="278"/>
        <v>-</v>
      </c>
      <c r="Q597" s="8" t="str">
        <f t="shared" si="254"/>
        <v>-</v>
      </c>
      <c r="R597" s="8" t="str">
        <f t="shared" si="255"/>
        <v>-</v>
      </c>
      <c r="S597" s="8" t="str">
        <f t="shared" si="256"/>
        <v>-</v>
      </c>
      <c r="T597" s="8" t="str">
        <f t="shared" si="257"/>
        <v>-</v>
      </c>
      <c r="U597" s="8" t="str">
        <f>IF($F597&lt;=$C$16*12,SUM(T$5:T597),"-")</f>
        <v>-</v>
      </c>
      <c r="V597" s="8" t="str">
        <f>IF($F597&lt;=$C$16*12,G597-$C$10-'RE Calculations'!$C784-'Mortgage Calculators (By Month)'!$F615,"-")</f>
        <v>-</v>
      </c>
      <c r="W597" s="29" t="str">
        <f t="shared" si="258"/>
        <v>-</v>
      </c>
      <c r="X597" s="31" t="str">
        <f t="shared" si="259"/>
        <v>-</v>
      </c>
      <c r="Y597" s="8" t="str">
        <f t="shared" si="260"/>
        <v>-</v>
      </c>
      <c r="Z597" s="29" t="str">
        <f t="shared" si="261"/>
        <v>-</v>
      </c>
      <c r="AA597" s="31" t="str">
        <f t="shared" si="262"/>
        <v>-</v>
      </c>
      <c r="AD597" s="12" t="str">
        <f t="shared" si="276"/>
        <v>-</v>
      </c>
      <c r="AE597" s="8" t="str">
        <f t="shared" si="277"/>
        <v>-</v>
      </c>
      <c r="AF597" s="8" t="str">
        <f>IF($AD597&lt;=$C$25*12,$AE597-$C$7+SUM('Mortgage Calculators (By Month)'!$K$23:$K615),"-")</f>
        <v>-</v>
      </c>
      <c r="AG597" s="8" t="str">
        <f t="shared" si="263"/>
        <v>-</v>
      </c>
      <c r="AH597" s="8" t="str">
        <f>IF($AD597&lt;=$C$25*12,SUM(Inputs!$C$61:$C$78)*'Forecast (By Month)'!AG597,"-")</f>
        <v>-</v>
      </c>
      <c r="AI597" s="8" t="str">
        <f>IF($AD597&lt;=$C$25*12,(SUMIF(Inputs!$C$61:$C$78,0,Inputs!$F$61:$F$78)/12)*(1+$C$34)^ROUNDDOWN((AD597-1)/12,0),"-")</f>
        <v>-</v>
      </c>
      <c r="AJ597" s="8" t="str">
        <f t="shared" si="264"/>
        <v>-</v>
      </c>
      <c r="AK597" s="8" t="str">
        <f>IF($AD597&lt;=$C$25*12,'Mortgage Calculators (By Month)'!$J615,"-")</f>
        <v>-</v>
      </c>
      <c r="AL597" s="8" t="str">
        <f>IF($AD597&lt;=$C$25*12,'Mortgage Calculators (By Month)'!$K615,"-")</f>
        <v>-</v>
      </c>
      <c r="AM597" s="8" t="str">
        <f>IF($AD597&lt;=$C$25*12,'Mortgage Calculators (By Month)'!$L615,"-")</f>
        <v>-</v>
      </c>
      <c r="AN597" s="8" t="str">
        <f t="shared" si="279"/>
        <v>-</v>
      </c>
      <c r="AO597" s="8" t="str">
        <f t="shared" si="265"/>
        <v>-</v>
      </c>
      <c r="AP597" s="8" t="str">
        <f t="shared" si="266"/>
        <v>-</v>
      </c>
      <c r="AQ597" s="8" t="str">
        <f t="shared" si="267"/>
        <v>-</v>
      </c>
      <c r="AR597" s="8" t="str">
        <f t="shared" si="268"/>
        <v>-</v>
      </c>
      <c r="AS597" s="8" t="str">
        <f>IF($AD597&lt;=$C$25*12,SUM(AR$5:AR597),"-")</f>
        <v>-</v>
      </c>
      <c r="AT597" s="8" t="str">
        <f>IF($AD597&lt;=$C$25*12,AE597-$C$10-'RE Calculations'!$C784-'Mortgage Calculators (By Month)'!$M615,"-")</f>
        <v>-</v>
      </c>
      <c r="AU597" s="29" t="str">
        <f t="shared" si="269"/>
        <v>-</v>
      </c>
      <c r="AV597" s="31" t="str">
        <f t="shared" si="270"/>
        <v>-</v>
      </c>
      <c r="AW597" s="8" t="str">
        <f t="shared" si="271"/>
        <v>-</v>
      </c>
      <c r="AX597" s="29" t="str">
        <f t="shared" si="272"/>
        <v>-</v>
      </c>
      <c r="AY597" s="31" t="str">
        <f t="shared" si="273"/>
        <v>-</v>
      </c>
    </row>
    <row r="598" spans="6:51" x14ac:dyDescent="0.35">
      <c r="F598" s="12" t="str">
        <f t="shared" si="274"/>
        <v>-</v>
      </c>
      <c r="G598" s="8" t="str">
        <f t="shared" si="275"/>
        <v>-</v>
      </c>
      <c r="H598" s="8" t="str">
        <f>IF($F598&lt;=$C$16*12,$G598-$C$7+SUM('Mortgage Calculators (By Month)'!$D$23:$D616),"-")</f>
        <v>-</v>
      </c>
      <c r="I598" s="8" t="str">
        <f t="shared" si="252"/>
        <v>-</v>
      </c>
      <c r="J598" s="8" t="str">
        <f>IF($F598&lt;=$C$16*12,SUM(Inputs!$C$61:$C$78)*'Forecast (By Month)'!I598,"-")</f>
        <v>-</v>
      </c>
      <c r="K598" s="8" t="str">
        <f>IF($F598&lt;=$C$16*12,(SUMIF(Inputs!$C$61:$C$78,0,Inputs!$F$61:$F$78)/12)*(1+$C$34)^ROUNDDOWN((F598-1)/12,0),"-")</f>
        <v>-</v>
      </c>
      <c r="L598" s="8" t="str">
        <f t="shared" si="253"/>
        <v>-</v>
      </c>
      <c r="M598" s="8" t="str">
        <f>IF($F598&lt;=$C$16*12,'Mortgage Calculators (By Month)'!$C616,"-")</f>
        <v>-</v>
      </c>
      <c r="N598" s="8" t="str">
        <f>IF($F598&lt;=$C$16*12,'Mortgage Calculators (By Month)'!$D616,"-")</f>
        <v>-</v>
      </c>
      <c r="O598" s="8" t="str">
        <f>IF($F598&lt;=$C$16*12,'Mortgage Calculators (By Month)'!$E616,"-")</f>
        <v>-</v>
      </c>
      <c r="P598" s="8" t="str">
        <f t="shared" si="278"/>
        <v>-</v>
      </c>
      <c r="Q598" s="8" t="str">
        <f t="shared" si="254"/>
        <v>-</v>
      </c>
      <c r="R598" s="8" t="str">
        <f t="shared" si="255"/>
        <v>-</v>
      </c>
      <c r="S598" s="8" t="str">
        <f t="shared" si="256"/>
        <v>-</v>
      </c>
      <c r="T598" s="8" t="str">
        <f t="shared" si="257"/>
        <v>-</v>
      </c>
      <c r="U598" s="8" t="str">
        <f>IF($F598&lt;=$C$16*12,SUM(T$5:T598),"-")</f>
        <v>-</v>
      </c>
      <c r="V598" s="8" t="str">
        <f>IF($F598&lt;=$C$16*12,G598-$C$10-'RE Calculations'!$C785-'Mortgage Calculators (By Month)'!$F616,"-")</f>
        <v>-</v>
      </c>
      <c r="W598" s="29" t="str">
        <f t="shared" si="258"/>
        <v>-</v>
      </c>
      <c r="X598" s="31" t="str">
        <f t="shared" si="259"/>
        <v>-</v>
      </c>
      <c r="Y598" s="8" t="str">
        <f t="shared" si="260"/>
        <v>-</v>
      </c>
      <c r="Z598" s="29" t="str">
        <f t="shared" si="261"/>
        <v>-</v>
      </c>
      <c r="AA598" s="31" t="str">
        <f t="shared" si="262"/>
        <v>-</v>
      </c>
      <c r="AD598" s="12" t="str">
        <f t="shared" si="276"/>
        <v>-</v>
      </c>
      <c r="AE598" s="8" t="str">
        <f t="shared" si="277"/>
        <v>-</v>
      </c>
      <c r="AF598" s="8" t="str">
        <f>IF($AD598&lt;=$C$25*12,$AE598-$C$7+SUM('Mortgage Calculators (By Month)'!$K$23:$K616),"-")</f>
        <v>-</v>
      </c>
      <c r="AG598" s="8" t="str">
        <f t="shared" si="263"/>
        <v>-</v>
      </c>
      <c r="AH598" s="8" t="str">
        <f>IF($AD598&lt;=$C$25*12,SUM(Inputs!$C$61:$C$78)*'Forecast (By Month)'!AG598,"-")</f>
        <v>-</v>
      </c>
      <c r="AI598" s="8" t="str">
        <f>IF($AD598&lt;=$C$25*12,(SUMIF(Inputs!$C$61:$C$78,0,Inputs!$F$61:$F$78)/12)*(1+$C$34)^ROUNDDOWN((AD598-1)/12,0),"-")</f>
        <v>-</v>
      </c>
      <c r="AJ598" s="8" t="str">
        <f t="shared" si="264"/>
        <v>-</v>
      </c>
      <c r="AK598" s="8" t="str">
        <f>IF($AD598&lt;=$C$25*12,'Mortgage Calculators (By Month)'!$J616,"-")</f>
        <v>-</v>
      </c>
      <c r="AL598" s="8" t="str">
        <f>IF($AD598&lt;=$C$25*12,'Mortgage Calculators (By Month)'!$K616,"-")</f>
        <v>-</v>
      </c>
      <c r="AM598" s="8" t="str">
        <f>IF($AD598&lt;=$C$25*12,'Mortgage Calculators (By Month)'!$L616,"-")</f>
        <v>-</v>
      </c>
      <c r="AN598" s="8" t="str">
        <f t="shared" si="279"/>
        <v>-</v>
      </c>
      <c r="AO598" s="8" t="str">
        <f t="shared" si="265"/>
        <v>-</v>
      </c>
      <c r="AP598" s="8" t="str">
        <f t="shared" si="266"/>
        <v>-</v>
      </c>
      <c r="AQ598" s="8" t="str">
        <f t="shared" si="267"/>
        <v>-</v>
      </c>
      <c r="AR598" s="8" t="str">
        <f t="shared" si="268"/>
        <v>-</v>
      </c>
      <c r="AS598" s="8" t="str">
        <f>IF($AD598&lt;=$C$25*12,SUM(AR$5:AR598),"-")</f>
        <v>-</v>
      </c>
      <c r="AT598" s="8" t="str">
        <f>IF($AD598&lt;=$C$25*12,AE598-$C$10-'RE Calculations'!$C785-'Mortgage Calculators (By Month)'!$M616,"-")</f>
        <v>-</v>
      </c>
      <c r="AU598" s="29" t="str">
        <f t="shared" si="269"/>
        <v>-</v>
      </c>
      <c r="AV598" s="31" t="str">
        <f t="shared" si="270"/>
        <v>-</v>
      </c>
      <c r="AW598" s="8" t="str">
        <f t="shared" si="271"/>
        <v>-</v>
      </c>
      <c r="AX598" s="29" t="str">
        <f t="shared" si="272"/>
        <v>-</v>
      </c>
      <c r="AY598" s="31" t="str">
        <f t="shared" si="273"/>
        <v>-</v>
      </c>
    </row>
    <row r="599" spans="6:51" x14ac:dyDescent="0.35">
      <c r="F599" s="12" t="str">
        <f t="shared" si="274"/>
        <v>-</v>
      </c>
      <c r="G599" s="8" t="str">
        <f t="shared" si="275"/>
        <v>-</v>
      </c>
      <c r="H599" s="8" t="str">
        <f>IF($F599&lt;=$C$16*12,$G599-$C$7+SUM('Mortgage Calculators (By Month)'!$D$23:$D617),"-")</f>
        <v>-</v>
      </c>
      <c r="I599" s="8" t="str">
        <f t="shared" si="252"/>
        <v>-</v>
      </c>
      <c r="J599" s="8" t="str">
        <f>IF($F599&lt;=$C$16*12,SUM(Inputs!$C$61:$C$78)*'Forecast (By Month)'!I599,"-")</f>
        <v>-</v>
      </c>
      <c r="K599" s="8" t="str">
        <f>IF($F599&lt;=$C$16*12,(SUMIF(Inputs!$C$61:$C$78,0,Inputs!$F$61:$F$78)/12)*(1+$C$34)^ROUNDDOWN((F599-1)/12,0),"-")</f>
        <v>-</v>
      </c>
      <c r="L599" s="8" t="str">
        <f t="shared" si="253"/>
        <v>-</v>
      </c>
      <c r="M599" s="8" t="str">
        <f>IF($F599&lt;=$C$16*12,'Mortgage Calculators (By Month)'!$C617,"-")</f>
        <v>-</v>
      </c>
      <c r="N599" s="8" t="str">
        <f>IF($F599&lt;=$C$16*12,'Mortgage Calculators (By Month)'!$D617,"-")</f>
        <v>-</v>
      </c>
      <c r="O599" s="8" t="str">
        <f>IF($F599&lt;=$C$16*12,'Mortgage Calculators (By Month)'!$E617,"-")</f>
        <v>-</v>
      </c>
      <c r="P599" s="8" t="str">
        <f t="shared" si="278"/>
        <v>-</v>
      </c>
      <c r="Q599" s="8" t="str">
        <f t="shared" si="254"/>
        <v>-</v>
      </c>
      <c r="R599" s="8" t="str">
        <f t="shared" si="255"/>
        <v>-</v>
      </c>
      <c r="S599" s="8" t="str">
        <f t="shared" si="256"/>
        <v>-</v>
      </c>
      <c r="T599" s="8" t="str">
        <f t="shared" si="257"/>
        <v>-</v>
      </c>
      <c r="U599" s="8" t="str">
        <f>IF($F599&lt;=$C$16*12,SUM(T$5:T599),"-")</f>
        <v>-</v>
      </c>
      <c r="V599" s="8" t="str">
        <f>IF($F599&lt;=$C$16*12,G599-$C$10-'RE Calculations'!$C786-'Mortgage Calculators (By Month)'!$F617,"-")</f>
        <v>-</v>
      </c>
      <c r="W599" s="29" t="str">
        <f t="shared" si="258"/>
        <v>-</v>
      </c>
      <c r="X599" s="31" t="str">
        <f t="shared" si="259"/>
        <v>-</v>
      </c>
      <c r="Y599" s="8" t="str">
        <f t="shared" si="260"/>
        <v>-</v>
      </c>
      <c r="Z599" s="29" t="str">
        <f t="shared" si="261"/>
        <v>-</v>
      </c>
      <c r="AA599" s="31" t="str">
        <f t="shared" si="262"/>
        <v>-</v>
      </c>
      <c r="AD599" s="12" t="str">
        <f t="shared" si="276"/>
        <v>-</v>
      </c>
      <c r="AE599" s="8" t="str">
        <f t="shared" si="277"/>
        <v>-</v>
      </c>
      <c r="AF599" s="8" t="str">
        <f>IF($AD599&lt;=$C$25*12,$AE599-$C$7+SUM('Mortgage Calculators (By Month)'!$K$23:$K617),"-")</f>
        <v>-</v>
      </c>
      <c r="AG599" s="8" t="str">
        <f t="shared" si="263"/>
        <v>-</v>
      </c>
      <c r="AH599" s="8" t="str">
        <f>IF($AD599&lt;=$C$25*12,SUM(Inputs!$C$61:$C$78)*'Forecast (By Month)'!AG599,"-")</f>
        <v>-</v>
      </c>
      <c r="AI599" s="8" t="str">
        <f>IF($AD599&lt;=$C$25*12,(SUMIF(Inputs!$C$61:$C$78,0,Inputs!$F$61:$F$78)/12)*(1+$C$34)^ROUNDDOWN((AD599-1)/12,0),"-")</f>
        <v>-</v>
      </c>
      <c r="AJ599" s="8" t="str">
        <f t="shared" si="264"/>
        <v>-</v>
      </c>
      <c r="AK599" s="8" t="str">
        <f>IF($AD599&lt;=$C$25*12,'Mortgage Calculators (By Month)'!$J617,"-")</f>
        <v>-</v>
      </c>
      <c r="AL599" s="8" t="str">
        <f>IF($AD599&lt;=$C$25*12,'Mortgage Calculators (By Month)'!$K617,"-")</f>
        <v>-</v>
      </c>
      <c r="AM599" s="8" t="str">
        <f>IF($AD599&lt;=$C$25*12,'Mortgage Calculators (By Month)'!$L617,"-")</f>
        <v>-</v>
      </c>
      <c r="AN599" s="8" t="str">
        <f t="shared" si="279"/>
        <v>-</v>
      </c>
      <c r="AO599" s="8" t="str">
        <f t="shared" si="265"/>
        <v>-</v>
      </c>
      <c r="AP599" s="8" t="str">
        <f t="shared" si="266"/>
        <v>-</v>
      </c>
      <c r="AQ599" s="8" t="str">
        <f t="shared" si="267"/>
        <v>-</v>
      </c>
      <c r="AR599" s="8" t="str">
        <f t="shared" si="268"/>
        <v>-</v>
      </c>
      <c r="AS599" s="8" t="str">
        <f>IF($AD599&lt;=$C$25*12,SUM(AR$5:AR599),"-")</f>
        <v>-</v>
      </c>
      <c r="AT599" s="8" t="str">
        <f>IF($AD599&lt;=$C$25*12,AE599-$C$10-'RE Calculations'!$C786-'Mortgage Calculators (By Month)'!$M617,"-")</f>
        <v>-</v>
      </c>
      <c r="AU599" s="29" t="str">
        <f t="shared" si="269"/>
        <v>-</v>
      </c>
      <c r="AV599" s="31" t="str">
        <f t="shared" si="270"/>
        <v>-</v>
      </c>
      <c r="AW599" s="8" t="str">
        <f t="shared" si="271"/>
        <v>-</v>
      </c>
      <c r="AX599" s="29" t="str">
        <f t="shared" si="272"/>
        <v>-</v>
      </c>
      <c r="AY599" s="31" t="str">
        <f t="shared" si="273"/>
        <v>-</v>
      </c>
    </row>
    <row r="600" spans="6:51" x14ac:dyDescent="0.35">
      <c r="F600" s="12" t="str">
        <f t="shared" si="274"/>
        <v>-</v>
      </c>
      <c r="G600" s="8" t="str">
        <f t="shared" si="275"/>
        <v>-</v>
      </c>
      <c r="H600" s="8" t="str">
        <f>IF($F600&lt;=$C$16*12,$G600-$C$7+SUM('Mortgage Calculators (By Month)'!$D$23:$D618),"-")</f>
        <v>-</v>
      </c>
      <c r="I600" s="8" t="str">
        <f t="shared" si="252"/>
        <v>-</v>
      </c>
      <c r="J600" s="8" t="str">
        <f>IF($F600&lt;=$C$16*12,SUM(Inputs!$C$61:$C$78)*'Forecast (By Month)'!I600,"-")</f>
        <v>-</v>
      </c>
      <c r="K600" s="8" t="str">
        <f>IF($F600&lt;=$C$16*12,(SUMIF(Inputs!$C$61:$C$78,0,Inputs!$F$61:$F$78)/12)*(1+$C$34)^ROUNDDOWN((F600-1)/12,0),"-")</f>
        <v>-</v>
      </c>
      <c r="L600" s="8" t="str">
        <f t="shared" si="253"/>
        <v>-</v>
      </c>
      <c r="M600" s="8" t="str">
        <f>IF($F600&lt;=$C$16*12,'Mortgage Calculators (By Month)'!$C618,"-")</f>
        <v>-</v>
      </c>
      <c r="N600" s="8" t="str">
        <f>IF($F600&lt;=$C$16*12,'Mortgage Calculators (By Month)'!$D618,"-")</f>
        <v>-</v>
      </c>
      <c r="O600" s="8" t="str">
        <f>IF($F600&lt;=$C$16*12,'Mortgage Calculators (By Month)'!$E618,"-")</f>
        <v>-</v>
      </c>
      <c r="P600" s="8" t="str">
        <f t="shared" si="278"/>
        <v>-</v>
      </c>
      <c r="Q600" s="8" t="str">
        <f t="shared" si="254"/>
        <v>-</v>
      </c>
      <c r="R600" s="8" t="str">
        <f t="shared" si="255"/>
        <v>-</v>
      </c>
      <c r="S600" s="8" t="str">
        <f t="shared" si="256"/>
        <v>-</v>
      </c>
      <c r="T600" s="8" t="str">
        <f t="shared" si="257"/>
        <v>-</v>
      </c>
      <c r="U600" s="8" t="str">
        <f>IF($F600&lt;=$C$16*12,SUM(T$5:T600),"-")</f>
        <v>-</v>
      </c>
      <c r="V600" s="8" t="str">
        <f>IF($F600&lt;=$C$16*12,G600-$C$10-'RE Calculations'!$C787-'Mortgage Calculators (By Month)'!$F618,"-")</f>
        <v>-</v>
      </c>
      <c r="W600" s="29" t="str">
        <f t="shared" si="258"/>
        <v>-</v>
      </c>
      <c r="X600" s="31" t="str">
        <f t="shared" si="259"/>
        <v>-</v>
      </c>
      <c r="Y600" s="8" t="str">
        <f t="shared" si="260"/>
        <v>-</v>
      </c>
      <c r="Z600" s="29" t="str">
        <f t="shared" si="261"/>
        <v>-</v>
      </c>
      <c r="AA600" s="31" t="str">
        <f t="shared" si="262"/>
        <v>-</v>
      </c>
      <c r="AD600" s="12" t="str">
        <f t="shared" si="276"/>
        <v>-</v>
      </c>
      <c r="AE600" s="8" t="str">
        <f t="shared" si="277"/>
        <v>-</v>
      </c>
      <c r="AF600" s="8" t="str">
        <f>IF($AD600&lt;=$C$25*12,$AE600-$C$7+SUM('Mortgage Calculators (By Month)'!$K$23:$K618),"-")</f>
        <v>-</v>
      </c>
      <c r="AG600" s="8" t="str">
        <f t="shared" si="263"/>
        <v>-</v>
      </c>
      <c r="AH600" s="8" t="str">
        <f>IF($AD600&lt;=$C$25*12,SUM(Inputs!$C$61:$C$78)*'Forecast (By Month)'!AG600,"-")</f>
        <v>-</v>
      </c>
      <c r="AI600" s="8" t="str">
        <f>IF($AD600&lt;=$C$25*12,(SUMIF(Inputs!$C$61:$C$78,0,Inputs!$F$61:$F$78)/12)*(1+$C$34)^ROUNDDOWN((AD600-1)/12,0),"-")</f>
        <v>-</v>
      </c>
      <c r="AJ600" s="8" t="str">
        <f t="shared" si="264"/>
        <v>-</v>
      </c>
      <c r="AK600" s="8" t="str">
        <f>IF($AD600&lt;=$C$25*12,'Mortgage Calculators (By Month)'!$J618,"-")</f>
        <v>-</v>
      </c>
      <c r="AL600" s="8" t="str">
        <f>IF($AD600&lt;=$C$25*12,'Mortgage Calculators (By Month)'!$K618,"-")</f>
        <v>-</v>
      </c>
      <c r="AM600" s="8" t="str">
        <f>IF($AD600&lt;=$C$25*12,'Mortgage Calculators (By Month)'!$L618,"-")</f>
        <v>-</v>
      </c>
      <c r="AN600" s="8" t="str">
        <f t="shared" si="279"/>
        <v>-</v>
      </c>
      <c r="AO600" s="8" t="str">
        <f t="shared" si="265"/>
        <v>-</v>
      </c>
      <c r="AP600" s="8" t="str">
        <f t="shared" si="266"/>
        <v>-</v>
      </c>
      <c r="AQ600" s="8" t="str">
        <f t="shared" si="267"/>
        <v>-</v>
      </c>
      <c r="AR600" s="8" t="str">
        <f t="shared" si="268"/>
        <v>-</v>
      </c>
      <c r="AS600" s="8" t="str">
        <f>IF($AD600&lt;=$C$25*12,SUM(AR$5:AR600),"-")</f>
        <v>-</v>
      </c>
      <c r="AT600" s="8" t="str">
        <f>IF($AD600&lt;=$C$25*12,AE600-$C$10-'RE Calculations'!$C787-'Mortgage Calculators (By Month)'!$M618,"-")</f>
        <v>-</v>
      </c>
      <c r="AU600" s="29" t="str">
        <f t="shared" si="269"/>
        <v>-</v>
      </c>
      <c r="AV600" s="31" t="str">
        <f t="shared" si="270"/>
        <v>-</v>
      </c>
      <c r="AW600" s="8" t="str">
        <f t="shared" si="271"/>
        <v>-</v>
      </c>
      <c r="AX600" s="29" t="str">
        <f t="shared" si="272"/>
        <v>-</v>
      </c>
      <c r="AY600" s="31" t="str">
        <f t="shared" si="273"/>
        <v>-</v>
      </c>
    </row>
    <row r="601" spans="6:51" x14ac:dyDescent="0.35">
      <c r="F601" s="12" t="str">
        <f t="shared" si="274"/>
        <v>-</v>
      </c>
      <c r="G601" s="8" t="str">
        <f t="shared" si="275"/>
        <v>-</v>
      </c>
      <c r="H601" s="8" t="str">
        <f>IF($F601&lt;=$C$16*12,$G601-$C$7+SUM('Mortgage Calculators (By Month)'!$D$23:$D619),"-")</f>
        <v>-</v>
      </c>
      <c r="I601" s="8" t="str">
        <f t="shared" si="252"/>
        <v>-</v>
      </c>
      <c r="J601" s="8" t="str">
        <f>IF($F601&lt;=$C$16*12,SUM(Inputs!$C$61:$C$78)*'Forecast (By Month)'!I601,"-")</f>
        <v>-</v>
      </c>
      <c r="K601" s="8" t="str">
        <f>IF($F601&lt;=$C$16*12,(SUMIF(Inputs!$C$61:$C$78,0,Inputs!$F$61:$F$78)/12)*(1+$C$34)^ROUNDDOWN((F601-1)/12,0),"-")</f>
        <v>-</v>
      </c>
      <c r="L601" s="8" t="str">
        <f t="shared" si="253"/>
        <v>-</v>
      </c>
      <c r="M601" s="8" t="str">
        <f>IF($F601&lt;=$C$16*12,'Mortgage Calculators (By Month)'!$C619,"-")</f>
        <v>-</v>
      </c>
      <c r="N601" s="8" t="str">
        <f>IF($F601&lt;=$C$16*12,'Mortgage Calculators (By Month)'!$D619,"-")</f>
        <v>-</v>
      </c>
      <c r="O601" s="8" t="str">
        <f>IF($F601&lt;=$C$16*12,'Mortgage Calculators (By Month)'!$E619,"-")</f>
        <v>-</v>
      </c>
      <c r="P601" s="8" t="str">
        <f t="shared" si="278"/>
        <v>-</v>
      </c>
      <c r="Q601" s="8" t="str">
        <f t="shared" si="254"/>
        <v>-</v>
      </c>
      <c r="R601" s="8" t="str">
        <f t="shared" si="255"/>
        <v>-</v>
      </c>
      <c r="S601" s="8" t="str">
        <f t="shared" si="256"/>
        <v>-</v>
      </c>
      <c r="T601" s="8" t="str">
        <f t="shared" si="257"/>
        <v>-</v>
      </c>
      <c r="U601" s="8" t="str">
        <f>IF($F601&lt;=$C$16*12,SUM(T$5:T601),"-")</f>
        <v>-</v>
      </c>
      <c r="V601" s="8" t="str">
        <f>IF($F601&lt;=$C$16*12,G601-$C$10-'RE Calculations'!$C788-'Mortgage Calculators (By Month)'!$F619,"-")</f>
        <v>-</v>
      </c>
      <c r="W601" s="29" t="str">
        <f t="shared" si="258"/>
        <v>-</v>
      </c>
      <c r="X601" s="31" t="str">
        <f t="shared" si="259"/>
        <v>-</v>
      </c>
      <c r="Y601" s="8" t="str">
        <f t="shared" si="260"/>
        <v>-</v>
      </c>
      <c r="Z601" s="29" t="str">
        <f t="shared" si="261"/>
        <v>-</v>
      </c>
      <c r="AA601" s="31" t="str">
        <f t="shared" si="262"/>
        <v>-</v>
      </c>
      <c r="AD601" s="12" t="str">
        <f t="shared" si="276"/>
        <v>-</v>
      </c>
      <c r="AE601" s="8" t="str">
        <f t="shared" si="277"/>
        <v>-</v>
      </c>
      <c r="AF601" s="8" t="str">
        <f>IF($AD601&lt;=$C$25*12,$AE601-$C$7+SUM('Mortgage Calculators (By Month)'!$K$23:$K619),"-")</f>
        <v>-</v>
      </c>
      <c r="AG601" s="8" t="str">
        <f t="shared" si="263"/>
        <v>-</v>
      </c>
      <c r="AH601" s="8" t="str">
        <f>IF($AD601&lt;=$C$25*12,SUM(Inputs!$C$61:$C$78)*'Forecast (By Month)'!AG601,"-")</f>
        <v>-</v>
      </c>
      <c r="AI601" s="8" t="str">
        <f>IF($AD601&lt;=$C$25*12,(SUMIF(Inputs!$C$61:$C$78,0,Inputs!$F$61:$F$78)/12)*(1+$C$34)^ROUNDDOWN((AD601-1)/12,0),"-")</f>
        <v>-</v>
      </c>
      <c r="AJ601" s="8" t="str">
        <f t="shared" si="264"/>
        <v>-</v>
      </c>
      <c r="AK601" s="8" t="str">
        <f>IF($AD601&lt;=$C$25*12,'Mortgage Calculators (By Month)'!$J619,"-")</f>
        <v>-</v>
      </c>
      <c r="AL601" s="8" t="str">
        <f>IF($AD601&lt;=$C$25*12,'Mortgage Calculators (By Month)'!$K619,"-")</f>
        <v>-</v>
      </c>
      <c r="AM601" s="8" t="str">
        <f>IF($AD601&lt;=$C$25*12,'Mortgage Calculators (By Month)'!$L619,"-")</f>
        <v>-</v>
      </c>
      <c r="AN601" s="8" t="str">
        <f t="shared" si="279"/>
        <v>-</v>
      </c>
      <c r="AO601" s="8" t="str">
        <f t="shared" si="265"/>
        <v>-</v>
      </c>
      <c r="AP601" s="8" t="str">
        <f t="shared" si="266"/>
        <v>-</v>
      </c>
      <c r="AQ601" s="8" t="str">
        <f t="shared" si="267"/>
        <v>-</v>
      </c>
      <c r="AR601" s="8" t="str">
        <f t="shared" si="268"/>
        <v>-</v>
      </c>
      <c r="AS601" s="8" t="str">
        <f>IF($AD601&lt;=$C$25*12,SUM(AR$5:AR601),"-")</f>
        <v>-</v>
      </c>
      <c r="AT601" s="8" t="str">
        <f>IF($AD601&lt;=$C$25*12,AE601-$C$10-'RE Calculations'!$C788-'Mortgage Calculators (By Month)'!$M619,"-")</f>
        <v>-</v>
      </c>
      <c r="AU601" s="29" t="str">
        <f t="shared" si="269"/>
        <v>-</v>
      </c>
      <c r="AV601" s="31" t="str">
        <f t="shared" si="270"/>
        <v>-</v>
      </c>
      <c r="AW601" s="8" t="str">
        <f t="shared" si="271"/>
        <v>-</v>
      </c>
      <c r="AX601" s="29" t="str">
        <f t="shared" si="272"/>
        <v>-</v>
      </c>
      <c r="AY601" s="31" t="str">
        <f t="shared" si="273"/>
        <v>-</v>
      </c>
    </row>
    <row r="602" spans="6:51" x14ac:dyDescent="0.35">
      <c r="F602" s="12" t="str">
        <f t="shared" si="274"/>
        <v>-</v>
      </c>
      <c r="G602" s="8" t="str">
        <f t="shared" si="275"/>
        <v>-</v>
      </c>
      <c r="H602" s="8" t="str">
        <f>IF($F602&lt;=$C$16*12,$G602-$C$7+SUM('Mortgage Calculators (By Month)'!$D$23:$D620),"-")</f>
        <v>-</v>
      </c>
      <c r="I602" s="8" t="str">
        <f t="shared" si="252"/>
        <v>-</v>
      </c>
      <c r="J602" s="8" t="str">
        <f>IF($F602&lt;=$C$16*12,SUM(Inputs!$C$61:$C$78)*'Forecast (By Month)'!I602,"-")</f>
        <v>-</v>
      </c>
      <c r="K602" s="8" t="str">
        <f>IF($F602&lt;=$C$16*12,(SUMIF(Inputs!$C$61:$C$78,0,Inputs!$F$61:$F$78)/12)*(1+$C$34)^ROUNDDOWN((F602-1)/12,0),"-")</f>
        <v>-</v>
      </c>
      <c r="L602" s="8" t="str">
        <f t="shared" si="253"/>
        <v>-</v>
      </c>
      <c r="M602" s="8" t="str">
        <f>IF($F602&lt;=$C$16*12,'Mortgage Calculators (By Month)'!$C620,"-")</f>
        <v>-</v>
      </c>
      <c r="N602" s="8" t="str">
        <f>IF($F602&lt;=$C$16*12,'Mortgage Calculators (By Month)'!$D620,"-")</f>
        <v>-</v>
      </c>
      <c r="O602" s="8" t="str">
        <f>IF($F602&lt;=$C$16*12,'Mortgage Calculators (By Month)'!$E620,"-")</f>
        <v>-</v>
      </c>
      <c r="P602" s="8" t="str">
        <f t="shared" si="278"/>
        <v>-</v>
      </c>
      <c r="Q602" s="8" t="str">
        <f t="shared" si="254"/>
        <v>-</v>
      </c>
      <c r="R602" s="8" t="str">
        <f t="shared" si="255"/>
        <v>-</v>
      </c>
      <c r="S602" s="8" t="str">
        <f t="shared" si="256"/>
        <v>-</v>
      </c>
      <c r="T602" s="8" t="str">
        <f t="shared" si="257"/>
        <v>-</v>
      </c>
      <c r="U602" s="8" t="str">
        <f>IF($F602&lt;=$C$16*12,SUM(T$5:T602),"-")</f>
        <v>-</v>
      </c>
      <c r="V602" s="8" t="str">
        <f>IF($F602&lt;=$C$16*12,G602-$C$10-'RE Calculations'!$C789-'Mortgage Calculators (By Month)'!$F620,"-")</f>
        <v>-</v>
      </c>
      <c r="W602" s="29" t="str">
        <f t="shared" si="258"/>
        <v>-</v>
      </c>
      <c r="X602" s="31" t="str">
        <f t="shared" si="259"/>
        <v>-</v>
      </c>
      <c r="Y602" s="8" t="str">
        <f t="shared" si="260"/>
        <v>-</v>
      </c>
      <c r="Z602" s="29" t="str">
        <f t="shared" si="261"/>
        <v>-</v>
      </c>
      <c r="AA602" s="31" t="str">
        <f t="shared" si="262"/>
        <v>-</v>
      </c>
      <c r="AD602" s="12" t="str">
        <f t="shared" si="276"/>
        <v>-</v>
      </c>
      <c r="AE602" s="8" t="str">
        <f t="shared" si="277"/>
        <v>-</v>
      </c>
      <c r="AF602" s="8" t="str">
        <f>IF($AD602&lt;=$C$25*12,$AE602-$C$7+SUM('Mortgage Calculators (By Month)'!$K$23:$K620),"-")</f>
        <v>-</v>
      </c>
      <c r="AG602" s="8" t="str">
        <f t="shared" si="263"/>
        <v>-</v>
      </c>
      <c r="AH602" s="8" t="str">
        <f>IF($AD602&lt;=$C$25*12,SUM(Inputs!$C$61:$C$78)*'Forecast (By Month)'!AG602,"-")</f>
        <v>-</v>
      </c>
      <c r="AI602" s="8" t="str">
        <f>IF($AD602&lt;=$C$25*12,(SUMIF(Inputs!$C$61:$C$78,0,Inputs!$F$61:$F$78)/12)*(1+$C$34)^ROUNDDOWN((AD602-1)/12,0),"-")</f>
        <v>-</v>
      </c>
      <c r="AJ602" s="8" t="str">
        <f t="shared" si="264"/>
        <v>-</v>
      </c>
      <c r="AK602" s="8" t="str">
        <f>IF($AD602&lt;=$C$25*12,'Mortgage Calculators (By Month)'!$J620,"-")</f>
        <v>-</v>
      </c>
      <c r="AL602" s="8" t="str">
        <f>IF($AD602&lt;=$C$25*12,'Mortgage Calculators (By Month)'!$K620,"-")</f>
        <v>-</v>
      </c>
      <c r="AM602" s="8" t="str">
        <f>IF($AD602&lt;=$C$25*12,'Mortgage Calculators (By Month)'!$L620,"-")</f>
        <v>-</v>
      </c>
      <c r="AN602" s="8" t="str">
        <f t="shared" si="279"/>
        <v>-</v>
      </c>
      <c r="AO602" s="8" t="str">
        <f t="shared" si="265"/>
        <v>-</v>
      </c>
      <c r="AP602" s="8" t="str">
        <f t="shared" si="266"/>
        <v>-</v>
      </c>
      <c r="AQ602" s="8" t="str">
        <f t="shared" si="267"/>
        <v>-</v>
      </c>
      <c r="AR602" s="8" t="str">
        <f t="shared" si="268"/>
        <v>-</v>
      </c>
      <c r="AS602" s="8" t="str">
        <f>IF($AD602&lt;=$C$25*12,SUM(AR$5:AR602),"-")</f>
        <v>-</v>
      </c>
      <c r="AT602" s="8" t="str">
        <f>IF($AD602&lt;=$C$25*12,AE602-$C$10-'RE Calculations'!$C789-'Mortgage Calculators (By Month)'!$M620,"-")</f>
        <v>-</v>
      </c>
      <c r="AU602" s="29" t="str">
        <f t="shared" si="269"/>
        <v>-</v>
      </c>
      <c r="AV602" s="31" t="str">
        <f t="shared" si="270"/>
        <v>-</v>
      </c>
      <c r="AW602" s="8" t="str">
        <f t="shared" si="271"/>
        <v>-</v>
      </c>
      <c r="AX602" s="29" t="str">
        <f t="shared" si="272"/>
        <v>-</v>
      </c>
      <c r="AY602" s="31" t="str">
        <f t="shared" si="273"/>
        <v>-</v>
      </c>
    </row>
    <row r="603" spans="6:51" x14ac:dyDescent="0.35">
      <c r="F603" s="12" t="str">
        <f t="shared" si="274"/>
        <v>-</v>
      </c>
      <c r="G603" s="8" t="str">
        <f t="shared" si="275"/>
        <v>-</v>
      </c>
      <c r="H603" s="8" t="str">
        <f>IF($F603&lt;=$C$16*12,$G603-$C$7+SUM('Mortgage Calculators (By Month)'!$D$23:$D621),"-")</f>
        <v>-</v>
      </c>
      <c r="I603" s="8" t="str">
        <f t="shared" si="252"/>
        <v>-</v>
      </c>
      <c r="J603" s="8" t="str">
        <f>IF($F603&lt;=$C$16*12,SUM(Inputs!$C$61:$C$78)*'Forecast (By Month)'!I603,"-")</f>
        <v>-</v>
      </c>
      <c r="K603" s="8" t="str">
        <f>IF($F603&lt;=$C$16*12,(SUMIF(Inputs!$C$61:$C$78,0,Inputs!$F$61:$F$78)/12)*(1+$C$34)^ROUNDDOWN((F603-1)/12,0),"-")</f>
        <v>-</v>
      </c>
      <c r="L603" s="8" t="str">
        <f t="shared" si="253"/>
        <v>-</v>
      </c>
      <c r="M603" s="8" t="str">
        <f>IF($F603&lt;=$C$16*12,'Mortgage Calculators (By Month)'!$C621,"-")</f>
        <v>-</v>
      </c>
      <c r="N603" s="8" t="str">
        <f>IF($F603&lt;=$C$16*12,'Mortgage Calculators (By Month)'!$D621,"-")</f>
        <v>-</v>
      </c>
      <c r="O603" s="8" t="str">
        <f>IF($F603&lt;=$C$16*12,'Mortgage Calculators (By Month)'!$E621,"-")</f>
        <v>-</v>
      </c>
      <c r="P603" s="8" t="str">
        <f t="shared" si="278"/>
        <v>-</v>
      </c>
      <c r="Q603" s="8" t="str">
        <f t="shared" si="254"/>
        <v>-</v>
      </c>
      <c r="R603" s="8" t="str">
        <f t="shared" si="255"/>
        <v>-</v>
      </c>
      <c r="S603" s="8" t="str">
        <f t="shared" si="256"/>
        <v>-</v>
      </c>
      <c r="T603" s="8" t="str">
        <f t="shared" si="257"/>
        <v>-</v>
      </c>
      <c r="U603" s="8" t="str">
        <f>IF($F603&lt;=$C$16*12,SUM(T$5:T603),"-")</f>
        <v>-</v>
      </c>
      <c r="V603" s="8" t="str">
        <f>IF($F603&lt;=$C$16*12,G603-$C$10-'RE Calculations'!$C790-'Mortgage Calculators (By Month)'!$F621,"-")</f>
        <v>-</v>
      </c>
      <c r="W603" s="29" t="str">
        <f t="shared" si="258"/>
        <v>-</v>
      </c>
      <c r="X603" s="31" t="str">
        <f t="shared" si="259"/>
        <v>-</v>
      </c>
      <c r="Y603" s="8" t="str">
        <f t="shared" si="260"/>
        <v>-</v>
      </c>
      <c r="Z603" s="29" t="str">
        <f t="shared" si="261"/>
        <v>-</v>
      </c>
      <c r="AA603" s="31" t="str">
        <f t="shared" si="262"/>
        <v>-</v>
      </c>
      <c r="AD603" s="12" t="str">
        <f t="shared" si="276"/>
        <v>-</v>
      </c>
      <c r="AE603" s="8" t="str">
        <f t="shared" si="277"/>
        <v>-</v>
      </c>
      <c r="AF603" s="8" t="str">
        <f>IF($AD603&lt;=$C$25*12,$AE603-$C$7+SUM('Mortgage Calculators (By Month)'!$K$23:$K621),"-")</f>
        <v>-</v>
      </c>
      <c r="AG603" s="8" t="str">
        <f t="shared" si="263"/>
        <v>-</v>
      </c>
      <c r="AH603" s="8" t="str">
        <f>IF($AD603&lt;=$C$25*12,SUM(Inputs!$C$61:$C$78)*'Forecast (By Month)'!AG603,"-")</f>
        <v>-</v>
      </c>
      <c r="AI603" s="8" t="str">
        <f>IF($AD603&lt;=$C$25*12,(SUMIF(Inputs!$C$61:$C$78,0,Inputs!$F$61:$F$78)/12)*(1+$C$34)^ROUNDDOWN((AD603-1)/12,0),"-")</f>
        <v>-</v>
      </c>
      <c r="AJ603" s="8" t="str">
        <f t="shared" si="264"/>
        <v>-</v>
      </c>
      <c r="AK603" s="8" t="str">
        <f>IF($AD603&lt;=$C$25*12,'Mortgage Calculators (By Month)'!$J621,"-")</f>
        <v>-</v>
      </c>
      <c r="AL603" s="8" t="str">
        <f>IF($AD603&lt;=$C$25*12,'Mortgage Calculators (By Month)'!$K621,"-")</f>
        <v>-</v>
      </c>
      <c r="AM603" s="8" t="str">
        <f>IF($AD603&lt;=$C$25*12,'Mortgage Calculators (By Month)'!$L621,"-")</f>
        <v>-</v>
      </c>
      <c r="AN603" s="8" t="str">
        <f t="shared" si="279"/>
        <v>-</v>
      </c>
      <c r="AO603" s="8" t="str">
        <f t="shared" si="265"/>
        <v>-</v>
      </c>
      <c r="AP603" s="8" t="str">
        <f t="shared" si="266"/>
        <v>-</v>
      </c>
      <c r="AQ603" s="8" t="str">
        <f t="shared" si="267"/>
        <v>-</v>
      </c>
      <c r="AR603" s="8" t="str">
        <f t="shared" si="268"/>
        <v>-</v>
      </c>
      <c r="AS603" s="8" t="str">
        <f>IF($AD603&lt;=$C$25*12,SUM(AR$5:AR603),"-")</f>
        <v>-</v>
      </c>
      <c r="AT603" s="8" t="str">
        <f>IF($AD603&lt;=$C$25*12,AE603-$C$10-'RE Calculations'!$C790-'Mortgage Calculators (By Month)'!$M621,"-")</f>
        <v>-</v>
      </c>
      <c r="AU603" s="29" t="str">
        <f t="shared" si="269"/>
        <v>-</v>
      </c>
      <c r="AV603" s="31" t="str">
        <f t="shared" si="270"/>
        <v>-</v>
      </c>
      <c r="AW603" s="8" t="str">
        <f t="shared" si="271"/>
        <v>-</v>
      </c>
      <c r="AX603" s="29" t="str">
        <f t="shared" si="272"/>
        <v>-</v>
      </c>
      <c r="AY603" s="31" t="str">
        <f t="shared" si="273"/>
        <v>-</v>
      </c>
    </row>
    <row r="604" spans="6:51" x14ac:dyDescent="0.35">
      <c r="F604" s="12" t="str">
        <f t="shared" si="274"/>
        <v>-</v>
      </c>
      <c r="G604" s="8" t="str">
        <f t="shared" si="275"/>
        <v>-</v>
      </c>
      <c r="H604" s="8" t="str">
        <f>IF($F604&lt;=$C$16*12,$G604-$C$7+SUM('Mortgage Calculators (By Month)'!$D$23:$D622),"-")</f>
        <v>-</v>
      </c>
      <c r="I604" s="8" t="str">
        <f t="shared" si="252"/>
        <v>-</v>
      </c>
      <c r="J604" s="8" t="str">
        <f>IF($F604&lt;=$C$16*12,SUM(Inputs!$C$61:$C$78)*'Forecast (By Month)'!I604,"-")</f>
        <v>-</v>
      </c>
      <c r="K604" s="8" t="str">
        <f>IF($F604&lt;=$C$16*12,(SUMIF(Inputs!$C$61:$C$78,0,Inputs!$F$61:$F$78)/12)*(1+$C$34)^ROUNDDOWN((F604-1)/12,0),"-")</f>
        <v>-</v>
      </c>
      <c r="L604" s="8" t="str">
        <f t="shared" si="253"/>
        <v>-</v>
      </c>
      <c r="M604" s="8" t="str">
        <f>IF($F604&lt;=$C$16*12,'Mortgage Calculators (By Month)'!$C622,"-")</f>
        <v>-</v>
      </c>
      <c r="N604" s="8" t="str">
        <f>IF($F604&lt;=$C$16*12,'Mortgage Calculators (By Month)'!$D622,"-")</f>
        <v>-</v>
      </c>
      <c r="O604" s="8" t="str">
        <f>IF($F604&lt;=$C$16*12,'Mortgage Calculators (By Month)'!$E622,"-")</f>
        <v>-</v>
      </c>
      <c r="P604" s="8" t="str">
        <f t="shared" si="278"/>
        <v>-</v>
      </c>
      <c r="Q604" s="8" t="str">
        <f t="shared" si="254"/>
        <v>-</v>
      </c>
      <c r="R604" s="8" t="str">
        <f t="shared" si="255"/>
        <v>-</v>
      </c>
      <c r="S604" s="8" t="str">
        <f t="shared" si="256"/>
        <v>-</v>
      </c>
      <c r="T604" s="8" t="str">
        <f t="shared" si="257"/>
        <v>-</v>
      </c>
      <c r="U604" s="8" t="str">
        <f>IF($F604&lt;=$C$16*12,SUM(T$5:T604),"-")</f>
        <v>-</v>
      </c>
      <c r="V604" s="8" t="str">
        <f>IF($F604&lt;=$C$16*12,G604-$C$10-'RE Calculations'!$C791-'Mortgage Calculators (By Month)'!$F622,"-")</f>
        <v>-</v>
      </c>
      <c r="W604" s="29" t="str">
        <f t="shared" si="258"/>
        <v>-</v>
      </c>
      <c r="X604" s="31" t="str">
        <f t="shared" si="259"/>
        <v>-</v>
      </c>
      <c r="Y604" s="8" t="str">
        <f t="shared" si="260"/>
        <v>-</v>
      </c>
      <c r="Z604" s="29" t="str">
        <f t="shared" si="261"/>
        <v>-</v>
      </c>
      <c r="AA604" s="31" t="str">
        <f t="shared" si="262"/>
        <v>-</v>
      </c>
      <c r="AD604" s="12" t="str">
        <f t="shared" si="276"/>
        <v>-</v>
      </c>
      <c r="AE604" s="8" t="str">
        <f t="shared" si="277"/>
        <v>-</v>
      </c>
      <c r="AF604" s="8" t="str">
        <f>IF($AD604&lt;=$C$25*12,$AE604-$C$7+SUM('Mortgage Calculators (By Month)'!$K$23:$K622),"-")</f>
        <v>-</v>
      </c>
      <c r="AG604" s="8" t="str">
        <f t="shared" si="263"/>
        <v>-</v>
      </c>
      <c r="AH604" s="8" t="str">
        <f>IF($AD604&lt;=$C$25*12,SUM(Inputs!$C$61:$C$78)*'Forecast (By Month)'!AG604,"-")</f>
        <v>-</v>
      </c>
      <c r="AI604" s="8" t="str">
        <f>IF($AD604&lt;=$C$25*12,(SUMIF(Inputs!$C$61:$C$78,0,Inputs!$F$61:$F$78)/12)*(1+$C$34)^ROUNDDOWN((AD604-1)/12,0),"-")</f>
        <v>-</v>
      </c>
      <c r="AJ604" s="8" t="str">
        <f t="shared" si="264"/>
        <v>-</v>
      </c>
      <c r="AK604" s="8" t="str">
        <f>IF($AD604&lt;=$C$25*12,'Mortgage Calculators (By Month)'!$J622,"-")</f>
        <v>-</v>
      </c>
      <c r="AL604" s="8" t="str">
        <f>IF($AD604&lt;=$C$25*12,'Mortgage Calculators (By Month)'!$K622,"-")</f>
        <v>-</v>
      </c>
      <c r="AM604" s="8" t="str">
        <f>IF($AD604&lt;=$C$25*12,'Mortgage Calculators (By Month)'!$L622,"-")</f>
        <v>-</v>
      </c>
      <c r="AN604" s="8" t="str">
        <f t="shared" si="279"/>
        <v>-</v>
      </c>
      <c r="AO604" s="8" t="str">
        <f t="shared" si="265"/>
        <v>-</v>
      </c>
      <c r="AP604" s="8" t="str">
        <f t="shared" si="266"/>
        <v>-</v>
      </c>
      <c r="AQ604" s="8" t="str">
        <f t="shared" si="267"/>
        <v>-</v>
      </c>
      <c r="AR604" s="8" t="str">
        <f t="shared" si="268"/>
        <v>-</v>
      </c>
      <c r="AS604" s="8" t="str">
        <f>IF($AD604&lt;=$C$25*12,SUM(AR$5:AR604),"-")</f>
        <v>-</v>
      </c>
      <c r="AT604" s="8" t="str">
        <f>IF($AD604&lt;=$C$25*12,AE604-$C$10-'RE Calculations'!$C791-'Mortgage Calculators (By Month)'!$M622,"-")</f>
        <v>-</v>
      </c>
      <c r="AU604" s="29" t="str">
        <f t="shared" si="269"/>
        <v>-</v>
      </c>
      <c r="AV604" s="31" t="str">
        <f t="shared" si="270"/>
        <v>-</v>
      </c>
      <c r="AW604" s="8" t="str">
        <f t="shared" si="271"/>
        <v>-</v>
      </c>
      <c r="AX604" s="29" t="str">
        <f t="shared" si="272"/>
        <v>-</v>
      </c>
      <c r="AY604" s="31" t="str">
        <f t="shared" si="273"/>
        <v>-</v>
      </c>
    </row>
    <row r="605" spans="6:51" x14ac:dyDescent="0.35">
      <c r="F605" s="12" t="str">
        <f t="shared" si="274"/>
        <v>-</v>
      </c>
      <c r="G605" s="8" t="str">
        <f t="shared" si="275"/>
        <v>-</v>
      </c>
      <c r="H605" s="8" t="str">
        <f>IF($F605&lt;=$C$16*12,$G605-$C$7+SUM('Mortgage Calculators (By Month)'!$D$23:$D623),"-")</f>
        <v>-</v>
      </c>
      <c r="I605" s="8" t="str">
        <f t="shared" si="252"/>
        <v>-</v>
      </c>
      <c r="J605" s="8" t="str">
        <f>IF($F605&lt;=$C$16*12,SUM(Inputs!$C$61:$C$78)*'Forecast (By Month)'!I605,"-")</f>
        <v>-</v>
      </c>
      <c r="K605" s="8" t="str">
        <f>IF($F605&lt;=$C$16*12,(SUMIF(Inputs!$C$61:$C$78,0,Inputs!$F$61:$F$78)/12)*(1+$C$34)^ROUNDDOWN((F605-1)/12,0),"-")</f>
        <v>-</v>
      </c>
      <c r="L605" s="8" t="str">
        <f t="shared" si="253"/>
        <v>-</v>
      </c>
      <c r="M605" s="8" t="str">
        <f>IF($F605&lt;=$C$16*12,'Mortgage Calculators (By Month)'!$C623,"-")</f>
        <v>-</v>
      </c>
      <c r="N605" s="8" t="str">
        <f>IF($F605&lt;=$C$16*12,'Mortgage Calculators (By Month)'!$D623,"-")</f>
        <v>-</v>
      </c>
      <c r="O605" s="8" t="str">
        <f>IF($F605&lt;=$C$16*12,'Mortgage Calculators (By Month)'!$E623,"-")</f>
        <v>-</v>
      </c>
      <c r="P605" s="8" t="str">
        <f t="shared" si="278"/>
        <v>-</v>
      </c>
      <c r="Q605" s="8" t="str">
        <f t="shared" si="254"/>
        <v>-</v>
      </c>
      <c r="R605" s="8" t="str">
        <f t="shared" si="255"/>
        <v>-</v>
      </c>
      <c r="S605" s="8" t="str">
        <f t="shared" si="256"/>
        <v>-</v>
      </c>
      <c r="T605" s="8" t="str">
        <f t="shared" si="257"/>
        <v>-</v>
      </c>
      <c r="U605" s="8" t="str">
        <f>IF($F605&lt;=$C$16*12,SUM(T$5:T605),"-")</f>
        <v>-</v>
      </c>
      <c r="V605" s="8" t="str">
        <f>IF($F605&lt;=$C$16*12,G605-$C$10-'RE Calculations'!$C792-'Mortgage Calculators (By Month)'!$F623,"-")</f>
        <v>-</v>
      </c>
      <c r="W605" s="29" t="str">
        <f t="shared" si="258"/>
        <v>-</v>
      </c>
      <c r="X605" s="31" t="str">
        <f t="shared" si="259"/>
        <v>-</v>
      </c>
      <c r="Y605" s="8" t="str">
        <f t="shared" si="260"/>
        <v>-</v>
      </c>
      <c r="Z605" s="29" t="str">
        <f t="shared" si="261"/>
        <v>-</v>
      </c>
      <c r="AA605" s="31" t="str">
        <f t="shared" si="262"/>
        <v>-</v>
      </c>
      <c r="AD605" s="12" t="str">
        <f t="shared" si="276"/>
        <v>-</v>
      </c>
      <c r="AE605" s="8" t="str">
        <f t="shared" si="277"/>
        <v>-</v>
      </c>
      <c r="AF605" s="8" t="str">
        <f>IF($AD605&lt;=$C$25*12,$AE605-$C$7+SUM('Mortgage Calculators (By Month)'!$K$23:$K623),"-")</f>
        <v>-</v>
      </c>
      <c r="AG605" s="8" t="str">
        <f t="shared" si="263"/>
        <v>-</v>
      </c>
      <c r="AH605" s="8" t="str">
        <f>IF($AD605&lt;=$C$25*12,SUM(Inputs!$C$61:$C$78)*'Forecast (By Month)'!AG605,"-")</f>
        <v>-</v>
      </c>
      <c r="AI605" s="8" t="str">
        <f>IF($AD605&lt;=$C$25*12,(SUMIF(Inputs!$C$61:$C$78,0,Inputs!$F$61:$F$78)/12)*(1+$C$34)^ROUNDDOWN((AD605-1)/12,0),"-")</f>
        <v>-</v>
      </c>
      <c r="AJ605" s="8" t="str">
        <f t="shared" si="264"/>
        <v>-</v>
      </c>
      <c r="AK605" s="8" t="str">
        <f>IF($AD605&lt;=$C$25*12,'Mortgage Calculators (By Month)'!$J623,"-")</f>
        <v>-</v>
      </c>
      <c r="AL605" s="8" t="str">
        <f>IF($AD605&lt;=$C$25*12,'Mortgage Calculators (By Month)'!$K623,"-")</f>
        <v>-</v>
      </c>
      <c r="AM605" s="8" t="str">
        <f>IF($AD605&lt;=$C$25*12,'Mortgage Calculators (By Month)'!$L623,"-")</f>
        <v>-</v>
      </c>
      <c r="AN605" s="8" t="str">
        <f t="shared" si="279"/>
        <v>-</v>
      </c>
      <c r="AO605" s="8" t="str">
        <f t="shared" si="265"/>
        <v>-</v>
      </c>
      <c r="AP605" s="8" t="str">
        <f t="shared" si="266"/>
        <v>-</v>
      </c>
      <c r="AQ605" s="8" t="str">
        <f t="shared" si="267"/>
        <v>-</v>
      </c>
      <c r="AR605" s="8" t="str">
        <f t="shared" si="268"/>
        <v>-</v>
      </c>
      <c r="AS605" s="8" t="str">
        <f>IF($AD605&lt;=$C$25*12,SUM(AR$5:AR605),"-")</f>
        <v>-</v>
      </c>
      <c r="AT605" s="8" t="str">
        <f>IF($AD605&lt;=$C$25*12,AE605-$C$10-'RE Calculations'!$C792-'Mortgage Calculators (By Month)'!$M623,"-")</f>
        <v>-</v>
      </c>
      <c r="AU605" s="29" t="str">
        <f t="shared" si="269"/>
        <v>-</v>
      </c>
      <c r="AV605" s="31" t="str">
        <f t="shared" si="270"/>
        <v>-</v>
      </c>
      <c r="AW605" s="8" t="str">
        <f t="shared" si="271"/>
        <v>-</v>
      </c>
      <c r="AX605" s="29" t="str">
        <f t="shared" si="272"/>
        <v>-</v>
      </c>
      <c r="AY605" s="31" t="str">
        <f t="shared" si="273"/>
        <v>-</v>
      </c>
    </row>
  </sheetData>
  <conditionalFormatting sqref="F4:AA605 AD4:AY605">
    <cfRule type="expression" dxfId="1" priority="1">
      <formula>ISEVEN($F4)</formula>
    </cfRule>
  </conditionalFormatting>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D96C1-2AEB-4B45-A9DA-5821939B33BF}">
  <sheetPr>
    <tabColor theme="5"/>
  </sheetPr>
  <dimension ref="B2:AY55"/>
  <sheetViews>
    <sheetView showGridLines="0" zoomScale="85" zoomScaleNormal="85" workbookViewId="0">
      <pane ySplit="3" topLeftCell="A4" activePane="bottomLeft" state="frozen"/>
      <selection pane="bottomLeft" activeCell="AW4" sqref="AW4:AW34"/>
    </sheetView>
  </sheetViews>
  <sheetFormatPr defaultRowHeight="14.5" outlineLevelCol="2" x14ac:dyDescent="0.35"/>
  <cols>
    <col min="1" max="1" width="2.81640625" customWidth="1"/>
    <col min="2" max="2" width="38.1796875" customWidth="1"/>
    <col min="3" max="3" width="13.7265625" customWidth="1"/>
    <col min="4" max="5" width="5" customWidth="1"/>
    <col min="6" max="6" width="6.26953125" customWidth="1" outlineLevel="1"/>
    <col min="7" max="7" width="12.1796875" customWidth="1" outlineLevel="1"/>
    <col min="8" max="8" width="11.1796875" customWidth="1" outlineLevel="1"/>
    <col min="9" max="9" width="9.453125" customWidth="1" outlineLevel="1"/>
    <col min="10" max="11" width="19.26953125" hidden="1" customWidth="1" outlineLevel="2"/>
    <col min="12" max="12" width="13.81640625" customWidth="1" outlineLevel="1" collapsed="1"/>
    <col min="13" max="13" width="11.54296875" customWidth="1" outlineLevel="1"/>
    <col min="14" max="14" width="11.54296875" customWidth="1" outlineLevel="2"/>
    <col min="15" max="15" width="9.26953125" customWidth="1" outlineLevel="2"/>
    <col min="16" max="16" width="12.453125" customWidth="1" outlineLevel="2"/>
    <col min="17" max="17" width="12" customWidth="1" outlineLevel="1"/>
    <col min="18" max="18" width="10.7265625" customWidth="1" outlineLevel="1"/>
    <col min="19" max="19" width="11.81640625" hidden="1" customWidth="1" outlineLevel="2"/>
    <col min="20" max="20" width="10.7265625" customWidth="1" outlineLevel="1" collapsed="1"/>
    <col min="21" max="21" width="16.81640625" customWidth="1" outlineLevel="1"/>
    <col min="22" max="22" width="12" customWidth="1" outlineLevel="1"/>
    <col min="23" max="23" width="8.26953125" hidden="1" customWidth="1" outlineLevel="2"/>
    <col min="24" max="24" width="15.26953125" customWidth="1" outlineLevel="1" collapsed="1"/>
    <col min="25" max="25" width="10.453125" customWidth="1" outlineLevel="1"/>
    <col min="26" max="26" width="8.26953125" hidden="1" customWidth="1" outlineLevel="2"/>
    <col min="27" max="27" width="14.7265625" customWidth="1" outlineLevel="1" collapsed="1"/>
    <col min="28" max="29" width="5" customWidth="1"/>
    <col min="30" max="30" width="6.26953125" customWidth="1" outlineLevel="1"/>
    <col min="31" max="31" width="12.1796875" customWidth="1" outlineLevel="1"/>
    <col min="32" max="32" width="11.1796875" customWidth="1" outlineLevel="1"/>
    <col min="33" max="33" width="9.453125" customWidth="1" outlineLevel="1"/>
    <col min="34" max="35" width="19.26953125" hidden="1" customWidth="1" outlineLevel="2"/>
    <col min="36" max="36" width="13.81640625" customWidth="1" outlineLevel="1" collapsed="1"/>
    <col min="37" max="37" width="11.54296875" customWidth="1" outlineLevel="1"/>
    <col min="38" max="38" width="11.54296875" customWidth="1" outlineLevel="2"/>
    <col min="39" max="39" width="9.26953125" customWidth="1" outlineLevel="2"/>
    <col min="40" max="40" width="12.453125" customWidth="1" outlineLevel="2"/>
    <col min="41" max="41" width="12" customWidth="1" outlineLevel="1"/>
    <col min="42" max="42" width="10.7265625" customWidth="1" outlineLevel="1"/>
    <col min="43" max="43" width="11.81640625" hidden="1" customWidth="1" outlineLevel="2"/>
    <col min="44" max="44" width="10.7265625" customWidth="1" outlineLevel="1" collapsed="1"/>
    <col min="45" max="45" width="16.81640625" customWidth="1" outlineLevel="1"/>
    <col min="46" max="46" width="12" customWidth="1" outlineLevel="1"/>
    <col min="47" max="47" width="8.26953125" hidden="1" customWidth="1" outlineLevel="2"/>
    <col min="48" max="48" width="15.26953125" customWidth="1" outlineLevel="1" collapsed="1"/>
    <col min="49" max="49" width="10.453125" customWidth="1" outlineLevel="1"/>
    <col min="50" max="50" width="8.26953125" hidden="1" customWidth="1" outlineLevel="2"/>
    <col min="51" max="51" width="14.7265625" customWidth="1" outlineLevel="1" collapsed="1"/>
  </cols>
  <sheetData>
    <row r="2" spans="2:51" ht="15.5" x14ac:dyDescent="0.35">
      <c r="F2" s="7" t="str">
        <f>$C$25&amp;"-YEAR FORECAST (BY YEAR) - PRINCIPAL &amp; INTEREST LOAN"</f>
        <v>30-YEAR FORECAST (BY YEAR) - PRINCIPAL &amp; INTEREST LOAN</v>
      </c>
      <c r="AD2" s="7" t="str">
        <f>$C$25&amp;"-YEAR FORECAST (BY YEAR) - INTEREST ONLY LOAN"</f>
        <v>30-YEAR FORECAST (BY YEAR) - INTEREST ONLY LOAN</v>
      </c>
    </row>
    <row r="3" spans="2:51" s="30" customFormat="1" ht="30" customHeight="1" x14ac:dyDescent="0.35">
      <c r="B3" s="64" t="s">
        <v>55</v>
      </c>
      <c r="C3" s="65"/>
      <c r="F3" s="42" t="s">
        <v>19</v>
      </c>
      <c r="G3" s="42" t="s">
        <v>20</v>
      </c>
      <c r="H3" s="42" t="s">
        <v>21</v>
      </c>
      <c r="I3" s="42" t="s">
        <v>5</v>
      </c>
      <c r="J3" s="42" t="s">
        <v>62</v>
      </c>
      <c r="K3" s="42" t="s">
        <v>60</v>
      </c>
      <c r="L3" s="42" t="s">
        <v>45</v>
      </c>
      <c r="M3" s="42" t="s">
        <v>164</v>
      </c>
      <c r="N3" s="42" t="s">
        <v>27</v>
      </c>
      <c r="O3" s="74" t="str">
        <f>IF($J$13=0,"Interest","Interest + Fees")</f>
        <v>Interest + Fees</v>
      </c>
      <c r="P3" s="41" t="s">
        <v>67</v>
      </c>
      <c r="Q3" s="42" t="s">
        <v>22</v>
      </c>
      <c r="R3" s="42" t="s">
        <v>76</v>
      </c>
      <c r="S3" s="42" t="s">
        <v>165</v>
      </c>
      <c r="T3" s="42" t="s">
        <v>23</v>
      </c>
      <c r="U3" s="42" t="s">
        <v>170</v>
      </c>
      <c r="V3" s="42" t="s">
        <v>167</v>
      </c>
      <c r="W3" s="42" t="s">
        <v>169</v>
      </c>
      <c r="X3" s="42" t="s">
        <v>297</v>
      </c>
      <c r="Y3" s="42" t="s">
        <v>166</v>
      </c>
      <c r="Z3" s="42" t="s">
        <v>168</v>
      </c>
      <c r="AA3" s="42" t="s">
        <v>298</v>
      </c>
      <c r="AD3" s="42" t="s">
        <v>19</v>
      </c>
      <c r="AE3" s="42" t="s">
        <v>20</v>
      </c>
      <c r="AF3" s="42" t="s">
        <v>21</v>
      </c>
      <c r="AG3" s="42" t="s">
        <v>5</v>
      </c>
      <c r="AH3" s="42" t="s">
        <v>62</v>
      </c>
      <c r="AI3" s="42" t="s">
        <v>60</v>
      </c>
      <c r="AJ3" s="42" t="s">
        <v>45</v>
      </c>
      <c r="AK3" s="42" t="s">
        <v>164</v>
      </c>
      <c r="AL3" s="42" t="s">
        <v>27</v>
      </c>
      <c r="AM3" s="74" t="str">
        <f>IF($J$13=0,"Interest","Interest + Fees")</f>
        <v>Interest + Fees</v>
      </c>
      <c r="AN3" s="41" t="s">
        <v>67</v>
      </c>
      <c r="AO3" s="42" t="s">
        <v>22</v>
      </c>
      <c r="AP3" s="42" t="s">
        <v>76</v>
      </c>
      <c r="AQ3" s="42" t="s">
        <v>165</v>
      </c>
      <c r="AR3" s="42" t="s">
        <v>23</v>
      </c>
      <c r="AS3" s="42" t="s">
        <v>170</v>
      </c>
      <c r="AT3" s="42" t="s">
        <v>167</v>
      </c>
      <c r="AU3" s="42" t="s">
        <v>169</v>
      </c>
      <c r="AV3" s="42" t="s">
        <v>297</v>
      </c>
      <c r="AW3" s="42" t="s">
        <v>166</v>
      </c>
      <c r="AX3" s="42" t="s">
        <v>168</v>
      </c>
      <c r="AY3" s="42" t="s">
        <v>298</v>
      </c>
    </row>
    <row r="4" spans="2:51" x14ac:dyDescent="0.35">
      <c r="B4" t="s">
        <v>6</v>
      </c>
      <c r="C4" s="142">
        <f>Inputs!K5</f>
        <v>1499950</v>
      </c>
      <c r="F4" s="12">
        <v>0</v>
      </c>
      <c r="G4" s="132">
        <f>$C$8</f>
        <v>1635000</v>
      </c>
      <c r="H4" s="132">
        <f>$C$8-$C$7</f>
        <v>1635000</v>
      </c>
      <c r="I4" s="132">
        <v>0</v>
      </c>
      <c r="J4" s="132">
        <v>0</v>
      </c>
      <c r="K4" s="132">
        <v>0</v>
      </c>
      <c r="L4" s="132">
        <f>$C$10</f>
        <v>1601027</v>
      </c>
      <c r="M4" s="132">
        <v>0</v>
      </c>
      <c r="N4" s="132">
        <v>0</v>
      </c>
      <c r="O4" s="132">
        <v>0</v>
      </c>
      <c r="P4" s="132">
        <v>0</v>
      </c>
      <c r="Q4" s="132">
        <f>'Forecast (By Month)'!Q4</f>
        <v>0</v>
      </c>
      <c r="R4" s="132">
        <f>-H4-L4</f>
        <v>-3236027</v>
      </c>
      <c r="S4" s="132">
        <f>(I4-Q4)*$C$35</f>
        <v>0</v>
      </c>
      <c r="T4" s="132">
        <f t="shared" ref="T4:T35" si="0">IF($F4&lt;=$C$16,R4-S4,"-")</f>
        <v>-3236027</v>
      </c>
      <c r="U4" s="132">
        <f>'Forecast (By Month)'!U4</f>
        <v>0</v>
      </c>
      <c r="V4" s="132">
        <f>'Forecast (By Month)'!V4</f>
        <v>-3227</v>
      </c>
      <c r="W4" s="29">
        <f>'Forecast (By Month)'!W4</f>
        <v>-2.0155812487859357E-3</v>
      </c>
      <c r="X4" s="31" t="str">
        <f>'Forecast (By Month)'!X4</f>
        <v>-</v>
      </c>
      <c r="Y4" s="132">
        <f>'Forecast (By Month)'!Y4</f>
        <v>-3227</v>
      </c>
      <c r="Z4" s="29">
        <f>'Forecast (By Month)'!Z4</f>
        <v>-2.0155812487859357E-3</v>
      </c>
      <c r="AA4" s="31" t="str">
        <f>'Forecast (By Month)'!AA4</f>
        <v>-</v>
      </c>
      <c r="AD4" s="12">
        <v>0</v>
      </c>
      <c r="AE4" s="132">
        <f>$C$8</f>
        <v>1635000</v>
      </c>
      <c r="AF4" s="132">
        <f>$C$8-$C$7</f>
        <v>1635000</v>
      </c>
      <c r="AG4" s="132">
        <v>0</v>
      </c>
      <c r="AH4" s="132">
        <v>0</v>
      </c>
      <c r="AI4" s="132">
        <v>0</v>
      </c>
      <c r="AJ4" s="132">
        <f>$C$10</f>
        <v>1601027</v>
      </c>
      <c r="AK4" s="132">
        <v>0</v>
      </c>
      <c r="AL4" s="132">
        <v>0</v>
      </c>
      <c r="AM4" s="132">
        <v>0</v>
      </c>
      <c r="AN4" s="132">
        <v>0</v>
      </c>
      <c r="AO4" s="132">
        <f>'Forecast (By Month)'!AM4</f>
        <v>0</v>
      </c>
      <c r="AP4" s="132">
        <f>-AF4-AJ4</f>
        <v>-3236027</v>
      </c>
      <c r="AQ4" s="132">
        <f>(AG4-AO4)*$C$35</f>
        <v>0</v>
      </c>
      <c r="AR4" s="132">
        <f>IF($F4&lt;=$C$25,AP4-AQ4,"-")</f>
        <v>-3236027</v>
      </c>
      <c r="AS4" s="132">
        <f>'Forecast (By Month)'!AS4</f>
        <v>0</v>
      </c>
      <c r="AT4" s="132">
        <f>'Forecast (By Month)'!AT4</f>
        <v>-3227</v>
      </c>
      <c r="AU4" s="29">
        <f>'Forecast (By Month)'!AU4</f>
        <v>-2.0155812487859357E-3</v>
      </c>
      <c r="AV4" s="31" t="str">
        <f>'Forecast (By Month)'!AV4</f>
        <v>-</v>
      </c>
      <c r="AW4" s="132">
        <f>'Forecast (By Month)'!AW4</f>
        <v>-3227</v>
      </c>
      <c r="AX4" s="29">
        <f>'Forecast (By Month)'!AX4</f>
        <v>-2.0155812487859357E-3</v>
      </c>
      <c r="AY4" s="31" t="str">
        <f>'Forecast (By Month)'!AY4</f>
        <v>-</v>
      </c>
    </row>
    <row r="5" spans="2:51" x14ac:dyDescent="0.35">
      <c r="B5" t="s">
        <v>0</v>
      </c>
      <c r="C5" s="4">
        <f>Inputs!K6</f>
        <v>1</v>
      </c>
      <c r="F5" s="12">
        <f t="shared" ref="F5:F55" si="1">IF($F4&lt;$C$16,F4+1,"-")</f>
        <v>1</v>
      </c>
      <c r="G5" s="132">
        <f t="shared" ref="G5:G55" si="2">IF($F5&lt;=$C$16,G4*(1+$C$31),"-")</f>
        <v>1716750</v>
      </c>
      <c r="H5" s="132">
        <f>IF($F5&lt;=$C$16,G5-$C$7+SUMIFS('Mortgage Calculators (By Month)'!$D$23:$D$622,'Mortgage Calculators (By Month)'!$B$23:$B$622,"&lt;="&amp;F5*12),"-")</f>
        <v>1716750</v>
      </c>
      <c r="I5" s="132">
        <f t="shared" ref="I5:I35" si="3">IF($F5&lt;=$C$16,$C$9*12*(1+$C$33)^(F5-1),"-")</f>
        <v>103000</v>
      </c>
      <c r="J5" s="132">
        <f>IF($F5&lt;=$C$16,SUMIFS('Forecast (By Month)'!$J$4:$J$605,'Forecast (By Month)'!$F$4:$F$605,"&lt;="&amp;F5*12,'Forecast (By Month)'!$F$4:$F$605,"&gt;"&amp;F4*12),"-")</f>
        <v>11330</v>
      </c>
      <c r="K5" s="132">
        <f>IF($F5&lt;=$C$16,SUMIFS('Forecast (By Month)'!$K$4:$K$605,'Forecast (By Month)'!$F$4:$F$605,"&lt;="&amp;F5*12,'Forecast (By Month)'!$F$4:$F$605,"&gt;"&amp;F4*12),"-")</f>
        <v>17857.999999999996</v>
      </c>
      <c r="L5" s="132">
        <f t="shared" ref="L5:L35" si="4">IF($F5&lt;=$C$16,SUM(J5:K5),"-")</f>
        <v>29187.999999999996</v>
      </c>
      <c r="M5" s="132">
        <f>IF($F5&lt;=$C$16,SUMIFS('Forecast (By Month)'!$M$4:$M$605,'Forecast (By Month)'!$F$4:$F$605,"&lt;="&amp;F5*12,'Forecast (By Month)'!$F$4:$F$605,"&gt;"&amp;F4*12),"-")</f>
        <v>0</v>
      </c>
      <c r="N5" s="132">
        <f>IF($F5&lt;=$C$16,SUMIFS('Forecast (By Month)'!$N$4:$N$605,'Forecast (By Month)'!$F$4:$F$605,"&lt;="&amp;F5*12,'Forecast (By Month)'!$F$4:$F$605,"&gt;"&amp;F4*12),"-")</f>
        <v>0</v>
      </c>
      <c r="O5" s="132">
        <f>IF($F5&lt;=$C$16,SUMIFS('Forecast (By Month)'!$O$4:$O$605,'Forecast (By Month)'!$F$4:$F$605,"&lt;="&amp;F5*12,'Forecast (By Month)'!$F$4:$F$605,"&gt;"&amp;F4*12),"-")</f>
        <v>99.999999999999986</v>
      </c>
      <c r="P5" s="132">
        <f>IF($F5&lt;=$C$16,SUMIFS('Forecast (By Month)'!$P$4:$P$605,'Forecast (By Month)'!$F$4:$F$605,"&lt;="&amp;F5*12,'Forecast (By Month)'!$F$4:$F$605,"&gt;"&amp;F4*12),"-")</f>
        <v>0</v>
      </c>
      <c r="Q5" s="132">
        <f>IF($F5&lt;=$C$16,SUMIFS('Forecast (By Month)'!$Q$4:$Q$605,'Forecast (By Month)'!$F$4:$F$605,"&lt;="&amp;F5*12,'Forecast (By Month)'!$F$4:$F$605,"&gt;"&amp;F4*12),"-")</f>
        <v>29288.000000000011</v>
      </c>
      <c r="R5" s="132">
        <f>IF($F5&lt;=$C$16,SUMIFS('Forecast (By Month)'!$R$4:$R$605,'Forecast (By Month)'!$F$4:$F$605,"&lt;="&amp;F5*12,'Forecast (By Month)'!$F$4:$F$605,"&gt;"&amp;F4*12),"-")</f>
        <v>73812</v>
      </c>
      <c r="S5" s="132">
        <f t="shared" ref="S5:S35" si="5">IF($F5&lt;=$C$16,(I5-Q5)*$C$35,"-")</f>
        <v>0</v>
      </c>
      <c r="T5" s="132">
        <f t="shared" si="0"/>
        <v>73812</v>
      </c>
      <c r="U5" s="132">
        <f>IF($F5&lt;=$C$16,SUM(T$5:T5),"-")</f>
        <v>73812</v>
      </c>
      <c r="V5" s="132">
        <f>IF($F5&lt;=$C$16,INDEX('Forecast (By Month)'!$F$3:$AY$605,MATCH($F5*12,'Forecast (By Month)'!$F$3:$F$605,0),MATCH(V$3,'Forecast (By Month)'!$F$3:$AA$3,0)),"-")</f>
        <v>76888.000000001368</v>
      </c>
      <c r="W5" s="29">
        <f>IF($F5&lt;=$C$16,INDEX('Forecast (By Month)'!$F$3:$AY$605,MATCH($F5*12,'Forecast (By Month)'!$F$3:$F$605,0),MATCH(W$3,'Forecast (By Month)'!$F$3:$AA$3,0)),"-")</f>
        <v>4.8024174483004577E-2</v>
      </c>
      <c r="X5" s="29">
        <f>IF($F5&lt;=$C$16,INDEX('Forecast (By Month)'!$F$3:$AY$605,MATCH($F5*12,'Forecast (By Month)'!$F$3:$F$605,0),MATCH(X$3,'Forecast (By Month)'!$F$3:$AA$3,0)),"-")</f>
        <v>4.8024174483004577E-2</v>
      </c>
      <c r="Y5" s="132">
        <f>IF($F5&lt;=$C$16,INDEX('Forecast (By Month)'!$F$3:$AY$605,MATCH($F5*12,'Forecast (By Month)'!$F$3:$F$605,0),MATCH(Y$3,'Forecast (By Month)'!$F$3:$AA$3,0)),"-")</f>
        <v>150700.00000000137</v>
      </c>
      <c r="Z5" s="29">
        <f>IF($F5&lt;=$C$16,INDEX('Forecast (By Month)'!$F$3:$AY$605,MATCH($F5*12,'Forecast (By Month)'!$F$3:$F$605,0),MATCH(Z$3,'Forecast (By Month)'!$F$3:$AA$3,0)),"-")</f>
        <v>9.4127082179127131E-2</v>
      </c>
      <c r="AA5" s="31">
        <f>IF($F5&lt;=$C$16,INDEX('Forecast (By Month)'!$F$3:$AY$605,MATCH($F5*12,'Forecast (By Month)'!$F$3:$F$605,0),MATCH(AA$3,'Forecast (By Month)'!$F$3:$AA$3,0)),"-")</f>
        <v>9.4127082179127131E-2</v>
      </c>
      <c r="AD5" s="12">
        <f t="shared" ref="AD5:AD55" si="6">IF($AD4&lt;$C$25,AD4+1,"-")</f>
        <v>1</v>
      </c>
      <c r="AE5" s="132">
        <f t="shared" ref="AE5:AE55" si="7">IF($AD5&lt;=$C$25,AE4*(1+$C$31),"-")</f>
        <v>1716750</v>
      </c>
      <c r="AF5" s="132">
        <f>IF($AD5&lt;=$C$25,AE5-$C$7+SUMIFS('Mortgage Calculators (By Month)'!$K$23:$K$622,'Mortgage Calculators (By Month)'!$I$23:$I$622,"&lt;="&amp;AD5*12),"-")</f>
        <v>1716750</v>
      </c>
      <c r="AG5" s="132">
        <f t="shared" ref="AG5:AG35" si="8">IF($AD5&lt;=$C$25,$C$9*12*(1+$C$33)^(AD5-1),"-")</f>
        <v>103000</v>
      </c>
      <c r="AH5" s="132">
        <f>IF($AD5&lt;=$C$25,SUMIFS('Forecast (By Month)'!$AH$4:$AH$605,'Forecast (By Month)'!$AD$4:$AD$605,"&lt;="&amp;AD5*12,'Forecast (By Month)'!$AD$4:$AD$605,"&gt;"&amp;AD4*12),"-")</f>
        <v>11330</v>
      </c>
      <c r="AI5" s="132">
        <f>IF($AD5&lt;=$C$25,SUMIFS('Forecast (By Month)'!$AI$4:$AI$605,'Forecast (By Month)'!$AD$4:$AD$605,"&lt;="&amp;AD5*12,'Forecast (By Month)'!$AD$4:$AD$605,"&gt;"&amp;AD4*12),"-")</f>
        <v>17857.999999999996</v>
      </c>
      <c r="AJ5" s="132">
        <f t="shared" ref="AJ5:AJ35" si="9">IF($AD5&lt;=$C$25,SUM(AH5:AI5),"-")</f>
        <v>29187.999999999996</v>
      </c>
      <c r="AK5" s="132">
        <f>IF($AD5&lt;=$C$25,SUMIFS('Forecast (By Month)'!$AK$4:$AK$605,'Forecast (By Month)'!$AD$4:$AD$605,"&lt;="&amp;AD5*12,'Forecast (By Month)'!$AD$4:$AD$605,"&gt;"&amp;AD4*12),"-")</f>
        <v>10</v>
      </c>
      <c r="AL5" s="132">
        <f>IF($AD5&lt;=$C$25,SUMIFS('Forecast (By Month)'!$AL$4:$AL$605,'Forecast (By Month)'!$AD$4:$AD$605,"&lt;="&amp;AD5*12,'Forecast (By Month)'!$AD$4:$AD$605,"&gt;"&amp;AD4*12),"-")</f>
        <v>0</v>
      </c>
      <c r="AM5" s="132">
        <f>IF($AD5&lt;=$C$25,SUMIFS('Forecast (By Month)'!$AM$4:$AM$605,'Forecast (By Month)'!$AD$4:$AD$605,"&lt;="&amp;AD5*12,'Forecast (By Month)'!$AD$4:$AD$605,"&gt;"&amp;AD4*12),"-")</f>
        <v>120</v>
      </c>
      <c r="AN5" s="132">
        <f>IF($AD5&lt;=$C$25,SUMIFS('Forecast (By Month)'!$AN$4:$AN$605,'Forecast (By Month)'!$AD$4:$AD$605,"&lt;="&amp;AD5*12,'Forecast (By Month)'!$AD$4:$AD$605,"&gt;"&amp;AD4*12),"-")</f>
        <v>0</v>
      </c>
      <c r="AO5" s="132">
        <f>IF($AD5&lt;=$C$25,SUMIFS('Forecast (By Month)'!$AO$4:$AO$605,'Forecast (By Month)'!$AD$4:$AD$605,"&lt;="&amp;AD5*12,'Forecast (By Month)'!$AD$4:$AD$605,"&gt;"&amp;AD4*12),"-")</f>
        <v>29307.999999999996</v>
      </c>
      <c r="AP5" s="132">
        <f>IF($AD5&lt;=$C$25,SUMIFS('Forecast (By Month)'!$AP$4:$AP$605,'Forecast (By Month)'!$AD$4:$AD$605,"&lt;="&amp;AD5*12,'Forecast (By Month)'!$AD$4:$AD$605,"&gt;"&amp;AD4*12),"-")</f>
        <v>73802</v>
      </c>
      <c r="AQ5" s="132">
        <f t="shared" ref="AQ5:AQ35" si="10">IF($AD5&lt;=$C$25,(AG5-AO5)*$C$35,"-")</f>
        <v>0</v>
      </c>
      <c r="AR5" s="132">
        <f t="shared" ref="AR5:AR35" si="11">IF($AD5&lt;=$C$25,AP5-AQ5,"-")</f>
        <v>73802</v>
      </c>
      <c r="AS5" s="132">
        <f>IF($AD5&lt;=$C$25,SUM(AR$5:AR5),"-")</f>
        <v>73802</v>
      </c>
      <c r="AT5" s="132">
        <f>IF($AD5&lt;=$C$25,INDEX('Forecast (By Month)'!$AD$3:$AY$605,MATCH($AD5*12,'Forecast (By Month)'!$AD$3:$AD$605,0),MATCH(AT$3,'Forecast (By Month)'!$AD$3:$AY$3,0)),"-")</f>
        <v>76888.000000001368</v>
      </c>
      <c r="AU5" s="29">
        <f>IF($AD5&lt;=$C$25,INDEX('Forecast (By Month)'!$AD$3:$AY$605,MATCH($AD5*12,'Forecast (By Month)'!$AD$3:$AD$605,0),MATCH(AU$3,'Forecast (By Month)'!$AD$3:$AY$3,0)),"-")</f>
        <v>4.8024174483004577E-2</v>
      </c>
      <c r="AV5" s="29">
        <f>IF($AD5&lt;=$C$25,INDEX('Forecast (By Month)'!$AD$3:$AY$605,MATCH($AD5*12,'Forecast (By Month)'!$AD$3:$AD$605,0),MATCH(AV$3,'Forecast (By Month)'!$AD$3:$AY$3,0)),"-")</f>
        <v>4.8024174483004577E-2</v>
      </c>
      <c r="AW5" s="132">
        <f>IF($AD5&lt;=$C$25,INDEX('Forecast (By Month)'!$AD$3:$AY$605,MATCH($AD5*12,'Forecast (By Month)'!$AD$3:$AD$605,0),MATCH(AW$3,'Forecast (By Month)'!$AD$3:$AY$3,0)),"-")</f>
        <v>150690.00000000137</v>
      </c>
      <c r="AX5" s="29">
        <f>IF($AD5&lt;=$C$25,INDEX('Forecast (By Month)'!$AD$3:$AY$605,MATCH($AD5*12,'Forecast (By Month)'!$AD$3:$AD$605,0),MATCH(AX$3,'Forecast (By Month)'!$AD$3:$AY$3,0)),"-")</f>
        <v>9.4120836188272508E-2</v>
      </c>
      <c r="AY5" s="31">
        <f>IF($AD5&lt;=$C$25,INDEX('Forecast (By Month)'!$AD$3:$AY$605,MATCH($AD5*12,'Forecast (By Month)'!$AD$3:$AD$605,0),MATCH(AY$3,'Forecast (By Month)'!$AD$3:$AY$3,0)),"-")</f>
        <v>9.4120836188272508E-2</v>
      </c>
    </row>
    <row r="6" spans="2:51" x14ac:dyDescent="0.35">
      <c r="B6" t="s">
        <v>1</v>
      </c>
      <c r="C6" s="142">
        <f>Inputs!K7</f>
        <v>1499950</v>
      </c>
      <c r="F6" s="12">
        <f t="shared" si="1"/>
        <v>2</v>
      </c>
      <c r="G6" s="132">
        <f t="shared" si="2"/>
        <v>1802587.5</v>
      </c>
      <c r="H6" s="132">
        <f>IF($F6&lt;=$C$16,G6-$C$7+SUMIFS('Mortgage Calculators (By Month)'!$D$23:$D$622,'Mortgage Calculators (By Month)'!$B$23:$B$622,"&lt;="&amp;F6*12),"-")</f>
        <v>1802587.5</v>
      </c>
      <c r="I6" s="132">
        <f t="shared" si="3"/>
        <v>108150</v>
      </c>
      <c r="J6" s="132">
        <f>IF($F6&lt;=$C$16,SUMIFS('Forecast (By Month)'!$J$4:$J$605,'Forecast (By Month)'!$F$4:$F$605,"&lt;="&amp;F6*12,'Forecast (By Month)'!$F$4:$F$605,"&gt;"&amp;F5*12),"-")</f>
        <v>11896.500000000002</v>
      </c>
      <c r="K6" s="132">
        <f>IF($F6&lt;=$C$16,SUMIFS('Forecast (By Month)'!$K$4:$K$605,'Forecast (By Month)'!$F$4:$F$605,"&lt;="&amp;F6*12,'Forecast (By Month)'!$F$4:$F$605,"&gt;"&amp;F5*12),"-")</f>
        <v>17857.999999999996</v>
      </c>
      <c r="L6" s="132">
        <f t="shared" si="4"/>
        <v>29754.5</v>
      </c>
      <c r="M6" s="132">
        <f>IF($F6&lt;=$C$16,SUMIFS('Forecast (By Month)'!$M$4:$M$605,'Forecast (By Month)'!$F$4:$F$605,"&lt;="&amp;F6*12,'Forecast (By Month)'!$F$4:$F$605,"&gt;"&amp;F5*12),"-")</f>
        <v>0</v>
      </c>
      <c r="N6" s="132">
        <f>IF($F6&lt;=$C$16,SUMIFS('Forecast (By Month)'!$N$4:$N$605,'Forecast (By Month)'!$F$4:$F$605,"&lt;="&amp;F6*12,'Forecast (By Month)'!$F$4:$F$605,"&gt;"&amp;F5*12),"-")</f>
        <v>0</v>
      </c>
      <c r="O6" s="132">
        <f>IF($F6&lt;=$C$16,SUMIFS('Forecast (By Month)'!$O$4:$O$605,'Forecast (By Month)'!$F$4:$F$605,"&lt;="&amp;F6*12,'Forecast (By Month)'!$F$4:$F$605,"&gt;"&amp;F5*12),"-")</f>
        <v>99.999999999999986</v>
      </c>
      <c r="P6" s="132">
        <f>IF($F6&lt;=$C$16,SUMIFS('Forecast (By Month)'!$P$4:$P$605,'Forecast (By Month)'!$F$4:$F$605,"&lt;="&amp;F6*12,'Forecast (By Month)'!$F$4:$F$605,"&gt;"&amp;F5*12),"-")</f>
        <v>0</v>
      </c>
      <c r="Q6" s="132">
        <f>IF($F6&lt;=$C$16,SUMIFS('Forecast (By Month)'!$Q$4:$Q$605,'Forecast (By Month)'!$F$4:$F$605,"&lt;="&amp;F6*12,'Forecast (By Month)'!$F$4:$F$605,"&gt;"&amp;F5*12),"-")</f>
        <v>29854.500000000004</v>
      </c>
      <c r="R6" s="132">
        <f>IF($F6&lt;=$C$16,SUMIFS('Forecast (By Month)'!$R$4:$R$605,'Forecast (By Month)'!$F$4:$F$605,"&lt;="&amp;F6*12,'Forecast (By Month)'!$F$4:$F$605,"&gt;"&amp;F5*12),"-")</f>
        <v>78395.500000000015</v>
      </c>
      <c r="S6" s="132">
        <f t="shared" si="5"/>
        <v>0</v>
      </c>
      <c r="T6" s="132">
        <f t="shared" si="0"/>
        <v>78395.500000000015</v>
      </c>
      <c r="U6" s="132">
        <f>IF($F6&lt;=$C$16,SUM(T$5:T6),"-")</f>
        <v>152207.5</v>
      </c>
      <c r="V6" s="132">
        <f>IF($F6&lt;=$C$16,INDEX('Forecast (By Month)'!$F$3:$AY$605,MATCH($F6*12,'Forecast (By Month)'!$F$3:$F$605,0),MATCH(V$3,'Forecast (By Month)'!$F$3:$AA$3,0)),"-")</f>
        <v>161008.75000000224</v>
      </c>
      <c r="W6" s="29">
        <f>IF($F6&lt;=$C$16,INDEX('Forecast (By Month)'!$F$3:$AY$605,MATCH($F6*12,'Forecast (By Month)'!$F$3:$F$605,0),MATCH(W$3,'Forecast (By Month)'!$F$3:$AA$3,0)),"-")</f>
        <v>0.10056591800138426</v>
      </c>
      <c r="X6" s="29">
        <f>IF($F6&lt;=$C$16,INDEX('Forecast (By Month)'!$F$3:$AY$605,MATCH($F6*12,'Forecast (By Month)'!$F$3:$F$605,0),MATCH(X$3,'Forecast (By Month)'!$F$3:$AA$3,0)),"-")</f>
        <v>5.0282959000692129E-2</v>
      </c>
      <c r="Y6" s="132">
        <f>IF($F6&lt;=$C$16,INDEX('Forecast (By Month)'!$F$3:$AY$605,MATCH($F6*12,'Forecast (By Month)'!$F$3:$F$605,0),MATCH(Y$3,'Forecast (By Month)'!$F$3:$AA$3,0)),"-")</f>
        <v>313216.25000000221</v>
      </c>
      <c r="Z6" s="29">
        <f>IF($F6&lt;=$C$16,INDEX('Forecast (By Month)'!$F$3:$AY$605,MATCH($F6*12,'Forecast (By Month)'!$F$3:$F$605,0),MATCH(Z$3,'Forecast (By Month)'!$F$3:$AA$3,0)),"-")</f>
        <v>0.19563458330184452</v>
      </c>
      <c r="AA6" s="31">
        <f>IF($F6&lt;=$C$16,INDEX('Forecast (By Month)'!$F$3:$AY$605,MATCH($F6*12,'Forecast (By Month)'!$F$3:$F$605,0),MATCH(AA$3,'Forecast (By Month)'!$F$3:$AA$3,0)),"-")</f>
        <v>9.7817291650922261E-2</v>
      </c>
      <c r="AD6" s="12">
        <f t="shared" si="6"/>
        <v>2</v>
      </c>
      <c r="AE6" s="132">
        <f t="shared" si="7"/>
        <v>1802587.5</v>
      </c>
      <c r="AF6" s="132">
        <f>IF($AD6&lt;=$C$25,AE6-$C$7+SUMIFS('Mortgage Calculators (By Month)'!$K$23:$K$622,'Mortgage Calculators (By Month)'!$I$23:$I$622,"&lt;="&amp;AD6*12),"-")</f>
        <v>1802587.5</v>
      </c>
      <c r="AG6" s="132">
        <f t="shared" si="8"/>
        <v>108150</v>
      </c>
      <c r="AH6" s="132">
        <f>IF($AD6&lt;=$C$25,SUMIFS('Forecast (By Month)'!$AH$4:$AH$605,'Forecast (By Month)'!$AD$4:$AD$605,"&lt;="&amp;AD6*12,'Forecast (By Month)'!$AD$4:$AD$605,"&gt;"&amp;AD5*12),"-")</f>
        <v>11896.500000000002</v>
      </c>
      <c r="AI6" s="132">
        <f>IF($AD6&lt;=$C$25,SUMIFS('Forecast (By Month)'!$AI$4:$AI$605,'Forecast (By Month)'!$AD$4:$AD$605,"&lt;="&amp;AD6*12,'Forecast (By Month)'!$AD$4:$AD$605,"&gt;"&amp;AD5*12),"-")</f>
        <v>17857.999999999996</v>
      </c>
      <c r="AJ6" s="132">
        <f t="shared" si="9"/>
        <v>29754.5</v>
      </c>
      <c r="AK6" s="132">
        <f>IF($AD6&lt;=$C$25,SUMIFS('Forecast (By Month)'!$AK$4:$AK$605,'Forecast (By Month)'!$AD$4:$AD$605,"&lt;="&amp;AD6*12,'Forecast (By Month)'!$AD$4:$AD$605,"&gt;"&amp;AD5*12),"-")</f>
        <v>0</v>
      </c>
      <c r="AL6" s="132">
        <f>IF($AD6&lt;=$C$25,SUMIFS('Forecast (By Month)'!$AL$4:$AL$605,'Forecast (By Month)'!$AD$4:$AD$605,"&lt;="&amp;AD6*12,'Forecast (By Month)'!$AD$4:$AD$605,"&gt;"&amp;AD5*12),"-")</f>
        <v>0</v>
      </c>
      <c r="AM6" s="132">
        <f>IF($AD6&lt;=$C$25,SUMIFS('Forecast (By Month)'!$AM$4:$AM$605,'Forecast (By Month)'!$AD$4:$AD$605,"&lt;="&amp;AD6*12,'Forecast (By Month)'!$AD$4:$AD$605,"&gt;"&amp;AD5*12),"-")</f>
        <v>120</v>
      </c>
      <c r="AN6" s="132">
        <f>IF($AD6&lt;=$C$25,SUMIFS('Forecast (By Month)'!$AN$4:$AN$605,'Forecast (By Month)'!$AD$4:$AD$605,"&lt;="&amp;AD6*12,'Forecast (By Month)'!$AD$4:$AD$605,"&gt;"&amp;AD5*12),"-")</f>
        <v>0</v>
      </c>
      <c r="AO6" s="132">
        <f>IF($AD6&lt;=$C$25,SUMIFS('Forecast (By Month)'!$AO$4:$AO$605,'Forecast (By Month)'!$AD$4:$AD$605,"&lt;="&amp;AD6*12,'Forecast (By Month)'!$AD$4:$AD$605,"&gt;"&amp;AD5*12),"-")</f>
        <v>29874.500000000011</v>
      </c>
      <c r="AP6" s="132">
        <f>IF($AD6&lt;=$C$25,SUMIFS('Forecast (By Month)'!$AP$4:$AP$605,'Forecast (By Month)'!$AD$4:$AD$605,"&lt;="&amp;AD6*12,'Forecast (By Month)'!$AD$4:$AD$605,"&gt;"&amp;AD5*12),"-")</f>
        <v>78395.500000000015</v>
      </c>
      <c r="AQ6" s="132">
        <f t="shared" si="10"/>
        <v>0</v>
      </c>
      <c r="AR6" s="132">
        <f t="shared" si="11"/>
        <v>78395.500000000015</v>
      </c>
      <c r="AS6" s="132">
        <f>IF($AD6&lt;=$C$25,SUM(AR$5:AR6),"-")</f>
        <v>152197.5</v>
      </c>
      <c r="AT6" s="132">
        <f>IF($AD6&lt;=$C$25,INDEX('Forecast (By Month)'!$AD$3:$AY$605,MATCH($AD6*12,'Forecast (By Month)'!$AD$3:$AD$605,0),MATCH(AT$3,'Forecast (By Month)'!$AD$3:$AY$3,0)),"-")</f>
        <v>161008.75000000224</v>
      </c>
      <c r="AU6" s="29">
        <f>IF($AD6&lt;=$C$25,INDEX('Forecast (By Month)'!$AD$3:$AY$605,MATCH($AD6*12,'Forecast (By Month)'!$AD$3:$AD$605,0),MATCH(AU$3,'Forecast (By Month)'!$AD$3:$AY$3,0)),"-")</f>
        <v>0.10056591800138426</v>
      </c>
      <c r="AV6" s="29">
        <f>IF($AD6&lt;=$C$25,INDEX('Forecast (By Month)'!$AD$3:$AY$605,MATCH($AD6*12,'Forecast (By Month)'!$AD$3:$AD$605,0),MATCH(AV$3,'Forecast (By Month)'!$AD$3:$AY$3,0)),"-")</f>
        <v>5.0282959000692129E-2</v>
      </c>
      <c r="AW6" s="132">
        <f>IF($AD6&lt;=$C$25,INDEX('Forecast (By Month)'!$AD$3:$AY$605,MATCH($AD6*12,'Forecast (By Month)'!$AD$3:$AD$605,0),MATCH(AW$3,'Forecast (By Month)'!$AD$3:$AY$3,0)),"-")</f>
        <v>313206.25000000221</v>
      </c>
      <c r="AX6" s="29">
        <f>IF($AD6&lt;=$C$25,INDEX('Forecast (By Month)'!$AD$3:$AY$605,MATCH($AD6*12,'Forecast (By Month)'!$AD$3:$AD$605,0),MATCH(AX$3,'Forecast (By Month)'!$AD$3:$AY$3,0)),"-")</f>
        <v>0.19562833731098989</v>
      </c>
      <c r="AY6" s="31">
        <f>IF($AD6&lt;=$C$25,INDEX('Forecast (By Month)'!$AD$3:$AY$605,MATCH($AD6*12,'Forecast (By Month)'!$AD$3:$AD$605,0),MATCH(AY$3,'Forecast (By Month)'!$AD$3:$AY$3,0)),"-")</f>
        <v>9.7814168655494943E-2</v>
      </c>
    </row>
    <row r="7" spans="2:51" x14ac:dyDescent="0.35">
      <c r="B7" t="s">
        <v>8</v>
      </c>
      <c r="C7" s="142">
        <f>Inputs!K8</f>
        <v>0</v>
      </c>
      <c r="F7" s="12">
        <f t="shared" si="1"/>
        <v>3</v>
      </c>
      <c r="G7" s="132">
        <f t="shared" si="2"/>
        <v>1892716.875</v>
      </c>
      <c r="H7" s="132">
        <f>IF($F7&lt;=$C$16,G7-$C$7+SUMIFS('Mortgage Calculators (By Month)'!$D$23:$D$622,'Mortgage Calculators (By Month)'!$B$23:$B$622,"&lt;="&amp;F7*12),"-")</f>
        <v>1892716.875</v>
      </c>
      <c r="I7" s="132">
        <f t="shared" si="3"/>
        <v>113557.5</v>
      </c>
      <c r="J7" s="132">
        <f>IF($F7&lt;=$C$16,SUMIFS('Forecast (By Month)'!$J$4:$J$605,'Forecast (By Month)'!$F$4:$F$605,"&lt;="&amp;F7*12,'Forecast (By Month)'!$F$4:$F$605,"&gt;"&amp;F6*12),"-")</f>
        <v>12491.325000000003</v>
      </c>
      <c r="K7" s="132">
        <f>IF($F7&lt;=$C$16,SUMIFS('Forecast (By Month)'!$K$4:$K$605,'Forecast (By Month)'!$F$4:$F$605,"&lt;="&amp;F7*12,'Forecast (By Month)'!$F$4:$F$605,"&gt;"&amp;F6*12),"-")</f>
        <v>17857.999999999996</v>
      </c>
      <c r="L7" s="132">
        <f t="shared" si="4"/>
        <v>30349.324999999997</v>
      </c>
      <c r="M7" s="132">
        <f>IF($F7&lt;=$C$16,SUMIFS('Forecast (By Month)'!$M$4:$M$605,'Forecast (By Month)'!$F$4:$F$605,"&lt;="&amp;F7*12,'Forecast (By Month)'!$F$4:$F$605,"&gt;"&amp;F6*12),"-")</f>
        <v>0</v>
      </c>
      <c r="N7" s="132">
        <f>IF($F7&lt;=$C$16,SUMIFS('Forecast (By Month)'!$N$4:$N$605,'Forecast (By Month)'!$F$4:$F$605,"&lt;="&amp;F7*12,'Forecast (By Month)'!$F$4:$F$605,"&gt;"&amp;F6*12),"-")</f>
        <v>0</v>
      </c>
      <c r="O7" s="132">
        <f>IF($F7&lt;=$C$16,SUMIFS('Forecast (By Month)'!$O$4:$O$605,'Forecast (By Month)'!$F$4:$F$605,"&lt;="&amp;F7*12,'Forecast (By Month)'!$F$4:$F$605,"&gt;"&amp;F6*12),"-")</f>
        <v>99.999999999999986</v>
      </c>
      <c r="P7" s="132">
        <f>IF($F7&lt;=$C$16,SUMIFS('Forecast (By Month)'!$P$4:$P$605,'Forecast (By Month)'!$F$4:$F$605,"&lt;="&amp;F7*12,'Forecast (By Month)'!$F$4:$F$605,"&gt;"&amp;F6*12),"-")</f>
        <v>0</v>
      </c>
      <c r="Q7" s="132">
        <f>IF($F7&lt;=$C$16,SUMIFS('Forecast (By Month)'!$Q$4:$Q$605,'Forecast (By Month)'!$F$4:$F$605,"&lt;="&amp;F7*12,'Forecast (By Month)'!$F$4:$F$605,"&gt;"&amp;F6*12),"-")</f>
        <v>30449.324999999997</v>
      </c>
      <c r="R7" s="132">
        <f>IF($F7&lt;=$C$16,SUMIFS('Forecast (By Month)'!$R$4:$R$605,'Forecast (By Month)'!$F$4:$F$605,"&lt;="&amp;F7*12,'Forecast (By Month)'!$F$4:$F$605,"&gt;"&amp;F6*12),"-")</f>
        <v>83208.175000000032</v>
      </c>
      <c r="S7" s="132">
        <f t="shared" si="5"/>
        <v>0</v>
      </c>
      <c r="T7" s="132">
        <f t="shared" si="0"/>
        <v>83208.175000000032</v>
      </c>
      <c r="U7" s="132">
        <f>IF($F7&lt;=$C$16,SUM(T$5:T7),"-")</f>
        <v>235415.67500000005</v>
      </c>
      <c r="V7" s="132">
        <f>IF($F7&lt;=$C$16,INDEX('Forecast (By Month)'!$F$3:$AY$605,MATCH($F7*12,'Forecast (By Month)'!$F$3:$F$605,0),MATCH(V$3,'Forecast (By Month)'!$F$3:$AA$3,0)),"-")</f>
        <v>249335.53750000359</v>
      </c>
      <c r="W7" s="29">
        <f>IF($F7&lt;=$C$16,INDEX('Forecast (By Month)'!$F$3:$AY$605,MATCH($F7*12,'Forecast (By Month)'!$F$3:$F$605,0),MATCH(W$3,'Forecast (By Month)'!$F$3:$AA$3,0)),"-")</f>
        <v>0.15573474869568321</v>
      </c>
      <c r="X7" s="29">
        <f>IF($F7&lt;=$C$16,INDEX('Forecast (By Month)'!$F$3:$AY$605,MATCH($F7*12,'Forecast (By Month)'!$F$3:$F$605,0),MATCH(X$3,'Forecast (By Month)'!$F$3:$AA$3,0)),"-")</f>
        <v>5.1911582898561071E-2</v>
      </c>
      <c r="Y7" s="132">
        <f>IF($F7&lt;=$C$16,INDEX('Forecast (By Month)'!$F$3:$AY$605,MATCH($F7*12,'Forecast (By Month)'!$F$3:$F$605,0),MATCH(Y$3,'Forecast (By Month)'!$F$3:$AA$3,0)),"-")</f>
        <v>484751.21250000363</v>
      </c>
      <c r="Z7" s="29">
        <f>IF($F7&lt;=$C$16,INDEX('Forecast (By Month)'!$F$3:$AY$605,MATCH($F7*12,'Forecast (By Month)'!$F$3:$F$605,0),MATCH(Z$3,'Forecast (By Month)'!$F$3:$AA$3,0)),"-")</f>
        <v>0.30277516400410714</v>
      </c>
      <c r="AA7" s="31">
        <f>IF($F7&lt;=$C$16,INDEX('Forecast (By Month)'!$F$3:$AY$605,MATCH($F7*12,'Forecast (By Month)'!$F$3:$F$605,0),MATCH(AA$3,'Forecast (By Month)'!$F$3:$AA$3,0)),"-")</f>
        <v>0.10092505466803571</v>
      </c>
      <c r="AD7" s="12">
        <f t="shared" si="6"/>
        <v>3</v>
      </c>
      <c r="AE7" s="132">
        <f t="shared" si="7"/>
        <v>1892716.875</v>
      </c>
      <c r="AF7" s="132">
        <f>IF($AD7&lt;=$C$25,AE7-$C$7+SUMIFS('Mortgage Calculators (By Month)'!$K$23:$K$622,'Mortgage Calculators (By Month)'!$I$23:$I$622,"&lt;="&amp;AD7*12),"-")</f>
        <v>1892716.875</v>
      </c>
      <c r="AG7" s="132">
        <f t="shared" si="8"/>
        <v>113557.5</v>
      </c>
      <c r="AH7" s="132">
        <f>IF($AD7&lt;=$C$25,SUMIFS('Forecast (By Month)'!$AH$4:$AH$605,'Forecast (By Month)'!$AD$4:$AD$605,"&lt;="&amp;AD7*12,'Forecast (By Month)'!$AD$4:$AD$605,"&gt;"&amp;AD6*12),"-")</f>
        <v>12491.325000000003</v>
      </c>
      <c r="AI7" s="132">
        <f>IF($AD7&lt;=$C$25,SUMIFS('Forecast (By Month)'!$AI$4:$AI$605,'Forecast (By Month)'!$AD$4:$AD$605,"&lt;="&amp;AD7*12,'Forecast (By Month)'!$AD$4:$AD$605,"&gt;"&amp;AD6*12),"-")</f>
        <v>17857.999999999996</v>
      </c>
      <c r="AJ7" s="132">
        <f t="shared" si="9"/>
        <v>30349.324999999997</v>
      </c>
      <c r="AK7" s="132">
        <f>IF($AD7&lt;=$C$25,SUMIFS('Forecast (By Month)'!$AK$4:$AK$605,'Forecast (By Month)'!$AD$4:$AD$605,"&lt;="&amp;AD7*12,'Forecast (By Month)'!$AD$4:$AD$605,"&gt;"&amp;AD6*12),"-")</f>
        <v>0</v>
      </c>
      <c r="AL7" s="132">
        <f>IF($AD7&lt;=$C$25,SUMIFS('Forecast (By Month)'!$AL$4:$AL$605,'Forecast (By Month)'!$AD$4:$AD$605,"&lt;="&amp;AD7*12,'Forecast (By Month)'!$AD$4:$AD$605,"&gt;"&amp;AD6*12),"-")</f>
        <v>0</v>
      </c>
      <c r="AM7" s="132">
        <f>IF($AD7&lt;=$C$25,SUMIFS('Forecast (By Month)'!$AM$4:$AM$605,'Forecast (By Month)'!$AD$4:$AD$605,"&lt;="&amp;AD7*12,'Forecast (By Month)'!$AD$4:$AD$605,"&gt;"&amp;AD6*12),"-")</f>
        <v>120</v>
      </c>
      <c r="AN7" s="132">
        <f>IF($AD7&lt;=$C$25,SUMIFS('Forecast (By Month)'!$AN$4:$AN$605,'Forecast (By Month)'!$AD$4:$AD$605,"&lt;="&amp;AD7*12,'Forecast (By Month)'!$AD$4:$AD$605,"&gt;"&amp;AD6*12),"-")</f>
        <v>0</v>
      </c>
      <c r="AO7" s="132">
        <f>IF($AD7&lt;=$C$25,SUMIFS('Forecast (By Month)'!$AO$4:$AO$605,'Forecast (By Month)'!$AD$4:$AD$605,"&lt;="&amp;AD7*12,'Forecast (By Month)'!$AD$4:$AD$605,"&gt;"&amp;AD6*12),"-")</f>
        <v>30469.325000000001</v>
      </c>
      <c r="AP7" s="132">
        <f>IF($AD7&lt;=$C$25,SUMIFS('Forecast (By Month)'!$AP$4:$AP$605,'Forecast (By Month)'!$AD$4:$AD$605,"&lt;="&amp;AD7*12,'Forecast (By Month)'!$AD$4:$AD$605,"&gt;"&amp;AD6*12),"-")</f>
        <v>83208.175000000032</v>
      </c>
      <c r="AQ7" s="132">
        <f t="shared" si="10"/>
        <v>0</v>
      </c>
      <c r="AR7" s="132">
        <f t="shared" si="11"/>
        <v>83208.175000000032</v>
      </c>
      <c r="AS7" s="132">
        <f>IF($AD7&lt;=$C$25,SUM(AR$5:AR7),"-")</f>
        <v>235405.67500000005</v>
      </c>
      <c r="AT7" s="132">
        <f>IF($AD7&lt;=$C$25,INDEX('Forecast (By Month)'!$AD$3:$AY$605,MATCH($AD7*12,'Forecast (By Month)'!$AD$3:$AD$605,0),MATCH(AT$3,'Forecast (By Month)'!$AD$3:$AY$3,0)),"-")</f>
        <v>249335.53750000359</v>
      </c>
      <c r="AU7" s="29">
        <f>IF($AD7&lt;=$C$25,INDEX('Forecast (By Month)'!$AD$3:$AY$605,MATCH($AD7*12,'Forecast (By Month)'!$AD$3:$AD$605,0),MATCH(AU$3,'Forecast (By Month)'!$AD$3:$AY$3,0)),"-")</f>
        <v>0.15573474869568321</v>
      </c>
      <c r="AV7" s="29">
        <f>IF($AD7&lt;=$C$25,INDEX('Forecast (By Month)'!$AD$3:$AY$605,MATCH($AD7*12,'Forecast (By Month)'!$AD$3:$AD$605,0),MATCH(AV$3,'Forecast (By Month)'!$AD$3:$AY$3,0)),"-")</f>
        <v>5.1911582898561071E-2</v>
      </c>
      <c r="AW7" s="132">
        <f>IF($AD7&lt;=$C$25,INDEX('Forecast (By Month)'!$AD$3:$AY$605,MATCH($AD7*12,'Forecast (By Month)'!$AD$3:$AD$605,0),MATCH(AW$3,'Forecast (By Month)'!$AD$3:$AY$3,0)),"-")</f>
        <v>484741.21250000363</v>
      </c>
      <c r="AX7" s="29">
        <f>IF($AD7&lt;=$C$25,INDEX('Forecast (By Month)'!$AD$3:$AY$605,MATCH($AD7*12,'Forecast (By Month)'!$AD$3:$AD$605,0),MATCH(AX$3,'Forecast (By Month)'!$AD$3:$AY$3,0)),"-")</f>
        <v>0.30276891801325251</v>
      </c>
      <c r="AY7" s="31">
        <f>IF($AD7&lt;=$C$25,INDEX('Forecast (By Month)'!$AD$3:$AY$605,MATCH($AD7*12,'Forecast (By Month)'!$AD$3:$AD$605,0),MATCH(AY$3,'Forecast (By Month)'!$AD$3:$AY$3,0)),"-")</f>
        <v>0.10092297267108417</v>
      </c>
    </row>
    <row r="8" spans="2:51" x14ac:dyDescent="0.35">
      <c r="B8" t="s">
        <v>195</v>
      </c>
      <c r="C8" s="142">
        <f>Inputs!K9</f>
        <v>1635000</v>
      </c>
      <c r="F8" s="12">
        <f t="shared" si="1"/>
        <v>4</v>
      </c>
      <c r="G8" s="132">
        <f t="shared" si="2"/>
        <v>1987352.71875</v>
      </c>
      <c r="H8" s="132">
        <f>IF($F8&lt;=$C$16,G8-$C$7+SUMIFS('Mortgage Calculators (By Month)'!$D$23:$D$622,'Mortgage Calculators (By Month)'!$B$23:$B$622,"&lt;="&amp;F8*12),"-")</f>
        <v>1987352.71875</v>
      </c>
      <c r="I8" s="132">
        <f t="shared" si="3"/>
        <v>119235.37500000001</v>
      </c>
      <c r="J8" s="132">
        <f>IF($F8&lt;=$C$16,SUMIFS('Forecast (By Month)'!$J$4:$J$605,'Forecast (By Month)'!$F$4:$F$605,"&lt;="&amp;F8*12,'Forecast (By Month)'!$F$4:$F$605,"&gt;"&amp;F7*12),"-")</f>
        <v>13115.891250000006</v>
      </c>
      <c r="K8" s="132">
        <f>IF($F8&lt;=$C$16,SUMIFS('Forecast (By Month)'!$K$4:$K$605,'Forecast (By Month)'!$F$4:$F$605,"&lt;="&amp;F8*12,'Forecast (By Month)'!$F$4:$F$605,"&gt;"&amp;F7*12),"-")</f>
        <v>17857.999999999996</v>
      </c>
      <c r="L8" s="132">
        <f t="shared" si="4"/>
        <v>30973.891250000001</v>
      </c>
      <c r="M8" s="132">
        <f>IF($F8&lt;=$C$16,SUMIFS('Forecast (By Month)'!$M$4:$M$605,'Forecast (By Month)'!$F$4:$F$605,"&lt;="&amp;F8*12,'Forecast (By Month)'!$F$4:$F$605,"&gt;"&amp;F7*12),"-")</f>
        <v>0</v>
      </c>
      <c r="N8" s="132">
        <f>IF($F8&lt;=$C$16,SUMIFS('Forecast (By Month)'!$N$4:$N$605,'Forecast (By Month)'!$F$4:$F$605,"&lt;="&amp;F8*12,'Forecast (By Month)'!$F$4:$F$605,"&gt;"&amp;F7*12),"-")</f>
        <v>0</v>
      </c>
      <c r="O8" s="132">
        <f>IF($F8&lt;=$C$16,SUMIFS('Forecast (By Month)'!$O$4:$O$605,'Forecast (By Month)'!$F$4:$F$605,"&lt;="&amp;F8*12,'Forecast (By Month)'!$F$4:$F$605,"&gt;"&amp;F7*12),"-")</f>
        <v>99.999999999999986</v>
      </c>
      <c r="P8" s="132">
        <f>IF($F8&lt;=$C$16,SUMIFS('Forecast (By Month)'!$P$4:$P$605,'Forecast (By Month)'!$F$4:$F$605,"&lt;="&amp;F8*12,'Forecast (By Month)'!$F$4:$F$605,"&gt;"&amp;F7*12),"-")</f>
        <v>0</v>
      </c>
      <c r="Q8" s="132">
        <f>IF($F8&lt;=$C$16,SUMIFS('Forecast (By Month)'!$Q$4:$Q$605,'Forecast (By Month)'!$F$4:$F$605,"&lt;="&amp;F8*12,'Forecast (By Month)'!$F$4:$F$605,"&gt;"&amp;F7*12),"-")</f>
        <v>31073.891249999997</v>
      </c>
      <c r="R8" s="132">
        <f>IF($F8&lt;=$C$16,SUMIFS('Forecast (By Month)'!$R$4:$R$605,'Forecast (By Month)'!$F$4:$F$605,"&lt;="&amp;F8*12,'Forecast (By Month)'!$F$4:$F$605,"&gt;"&amp;F7*12),"-")</f>
        <v>88261.483750000014</v>
      </c>
      <c r="S8" s="132">
        <f t="shared" si="5"/>
        <v>0</v>
      </c>
      <c r="T8" s="132">
        <f t="shared" si="0"/>
        <v>88261.483750000014</v>
      </c>
      <c r="U8" s="132">
        <f>IF($F8&lt;=$C$16,SUM(T$5:T8),"-")</f>
        <v>323677.15875000006</v>
      </c>
      <c r="V8" s="132">
        <f>IF($F8&lt;=$C$16,INDEX('Forecast (By Month)'!$F$3:$AY$605,MATCH($F8*12,'Forecast (By Month)'!$F$3:$F$605,0),MATCH(V$3,'Forecast (By Month)'!$F$3:$AA$3,0)),"-")</f>
        <v>342078.66437500517</v>
      </c>
      <c r="W8" s="29">
        <f>IF($F8&lt;=$C$16,INDEX('Forecast (By Month)'!$F$3:$AY$605,MATCH($F8*12,'Forecast (By Month)'!$F$3:$F$605,0),MATCH(W$3,'Forecast (By Month)'!$F$3:$AA$3,0)),"-")</f>
        <v>0.21366202092469719</v>
      </c>
      <c r="X8" s="29">
        <f>IF($F8&lt;=$C$16,INDEX('Forecast (By Month)'!$F$3:$AY$605,MATCH($F8*12,'Forecast (By Month)'!$F$3:$F$605,0),MATCH(X$3,'Forecast (By Month)'!$F$3:$AA$3,0)),"-")</f>
        <v>5.3415505231174297E-2</v>
      </c>
      <c r="Y8" s="132">
        <f>IF($F8&lt;=$C$16,INDEX('Forecast (By Month)'!$F$3:$AY$605,MATCH($F8*12,'Forecast (By Month)'!$F$3:$F$605,0),MATCH(Y$3,'Forecast (By Month)'!$F$3:$AA$3,0)),"-")</f>
        <v>665755.82312500535</v>
      </c>
      <c r="Z8" s="29">
        <f>IF($F8&lt;=$C$16,INDEX('Forecast (By Month)'!$F$3:$AY$605,MATCH($F8*12,'Forecast (By Month)'!$F$3:$F$605,0),MATCH(Z$3,'Forecast (By Month)'!$F$3:$AA$3,0)),"-")</f>
        <v>0.41583047826489206</v>
      </c>
      <c r="AA8" s="31">
        <f>IF($F8&lt;=$C$16,INDEX('Forecast (By Month)'!$F$3:$AY$605,MATCH($F8*12,'Forecast (By Month)'!$F$3:$F$605,0),MATCH(AA$3,'Forecast (By Month)'!$F$3:$AA$3,0)),"-")</f>
        <v>0.10395761956622301</v>
      </c>
      <c r="AD8" s="12">
        <f t="shared" si="6"/>
        <v>4</v>
      </c>
      <c r="AE8" s="132">
        <f t="shared" si="7"/>
        <v>1987352.71875</v>
      </c>
      <c r="AF8" s="132">
        <f>IF($AD8&lt;=$C$25,AE8-$C$7+SUMIFS('Mortgage Calculators (By Month)'!$K$23:$K$622,'Mortgage Calculators (By Month)'!$I$23:$I$622,"&lt;="&amp;AD8*12),"-")</f>
        <v>1987352.71875</v>
      </c>
      <c r="AG8" s="132">
        <f t="shared" si="8"/>
        <v>119235.37500000001</v>
      </c>
      <c r="AH8" s="132">
        <f>IF($AD8&lt;=$C$25,SUMIFS('Forecast (By Month)'!$AH$4:$AH$605,'Forecast (By Month)'!$AD$4:$AD$605,"&lt;="&amp;AD8*12,'Forecast (By Month)'!$AD$4:$AD$605,"&gt;"&amp;AD7*12),"-")</f>
        <v>13115.891250000006</v>
      </c>
      <c r="AI8" s="132">
        <f>IF($AD8&lt;=$C$25,SUMIFS('Forecast (By Month)'!$AI$4:$AI$605,'Forecast (By Month)'!$AD$4:$AD$605,"&lt;="&amp;AD8*12,'Forecast (By Month)'!$AD$4:$AD$605,"&gt;"&amp;AD7*12),"-")</f>
        <v>17857.999999999996</v>
      </c>
      <c r="AJ8" s="132">
        <f t="shared" si="9"/>
        <v>30973.891250000001</v>
      </c>
      <c r="AK8" s="132">
        <f>IF($AD8&lt;=$C$25,SUMIFS('Forecast (By Month)'!$AK$4:$AK$605,'Forecast (By Month)'!$AD$4:$AD$605,"&lt;="&amp;AD8*12,'Forecast (By Month)'!$AD$4:$AD$605,"&gt;"&amp;AD7*12),"-")</f>
        <v>0</v>
      </c>
      <c r="AL8" s="132">
        <f>IF($AD8&lt;=$C$25,SUMIFS('Forecast (By Month)'!$AL$4:$AL$605,'Forecast (By Month)'!$AD$4:$AD$605,"&lt;="&amp;AD8*12,'Forecast (By Month)'!$AD$4:$AD$605,"&gt;"&amp;AD7*12),"-")</f>
        <v>0</v>
      </c>
      <c r="AM8" s="132">
        <f>IF($AD8&lt;=$C$25,SUMIFS('Forecast (By Month)'!$AM$4:$AM$605,'Forecast (By Month)'!$AD$4:$AD$605,"&lt;="&amp;AD8*12,'Forecast (By Month)'!$AD$4:$AD$605,"&gt;"&amp;AD7*12),"-")</f>
        <v>120</v>
      </c>
      <c r="AN8" s="132">
        <f>IF($AD8&lt;=$C$25,SUMIFS('Forecast (By Month)'!$AN$4:$AN$605,'Forecast (By Month)'!$AD$4:$AD$605,"&lt;="&amp;AD8*12,'Forecast (By Month)'!$AD$4:$AD$605,"&gt;"&amp;AD7*12),"-")</f>
        <v>0</v>
      </c>
      <c r="AO8" s="132">
        <f>IF($AD8&lt;=$C$25,SUMIFS('Forecast (By Month)'!$AO$4:$AO$605,'Forecast (By Month)'!$AD$4:$AD$605,"&lt;="&amp;AD8*12,'Forecast (By Month)'!$AD$4:$AD$605,"&gt;"&amp;AD7*12),"-")</f>
        <v>31093.891250000001</v>
      </c>
      <c r="AP8" s="132">
        <f>IF($AD8&lt;=$C$25,SUMIFS('Forecast (By Month)'!$AP$4:$AP$605,'Forecast (By Month)'!$AD$4:$AD$605,"&lt;="&amp;AD8*12,'Forecast (By Month)'!$AD$4:$AD$605,"&gt;"&amp;AD7*12),"-")</f>
        <v>88261.483750000014</v>
      </c>
      <c r="AQ8" s="132">
        <f t="shared" si="10"/>
        <v>0</v>
      </c>
      <c r="AR8" s="132">
        <f t="shared" si="11"/>
        <v>88261.483750000014</v>
      </c>
      <c r="AS8" s="132">
        <f>IF($AD8&lt;=$C$25,SUM(AR$5:AR8),"-")</f>
        <v>323667.15875000006</v>
      </c>
      <c r="AT8" s="132">
        <f>IF($AD8&lt;=$C$25,INDEX('Forecast (By Month)'!$AD$3:$AY$605,MATCH($AD8*12,'Forecast (By Month)'!$AD$3:$AD$605,0),MATCH(AT$3,'Forecast (By Month)'!$AD$3:$AY$3,0)),"-")</f>
        <v>342078.66437500517</v>
      </c>
      <c r="AU8" s="29">
        <f>IF($AD8&lt;=$C$25,INDEX('Forecast (By Month)'!$AD$3:$AY$605,MATCH($AD8*12,'Forecast (By Month)'!$AD$3:$AD$605,0),MATCH(AU$3,'Forecast (By Month)'!$AD$3:$AY$3,0)),"-")</f>
        <v>0.21366202092469719</v>
      </c>
      <c r="AV8" s="29">
        <f>IF($AD8&lt;=$C$25,INDEX('Forecast (By Month)'!$AD$3:$AY$605,MATCH($AD8*12,'Forecast (By Month)'!$AD$3:$AD$605,0),MATCH(AV$3,'Forecast (By Month)'!$AD$3:$AY$3,0)),"-")</f>
        <v>5.3415505231174297E-2</v>
      </c>
      <c r="AW8" s="132">
        <f>IF($AD8&lt;=$C$25,INDEX('Forecast (By Month)'!$AD$3:$AY$605,MATCH($AD8*12,'Forecast (By Month)'!$AD$3:$AD$605,0),MATCH(AW$3,'Forecast (By Month)'!$AD$3:$AY$3,0)),"-")</f>
        <v>665745.82312500535</v>
      </c>
      <c r="AX8" s="29">
        <f>IF($AD8&lt;=$C$25,INDEX('Forecast (By Month)'!$AD$3:$AY$605,MATCH($AD8*12,'Forecast (By Month)'!$AD$3:$AD$605,0),MATCH(AX$3,'Forecast (By Month)'!$AD$3:$AY$3,0)),"-")</f>
        <v>0.41582423227403742</v>
      </c>
      <c r="AY8" s="31">
        <f>IF($AD8&lt;=$C$25,INDEX('Forecast (By Month)'!$AD$3:$AY$605,MATCH($AD8*12,'Forecast (By Month)'!$AD$3:$AD$605,0),MATCH(AY$3,'Forecast (By Month)'!$AD$3:$AY$3,0)),"-")</f>
        <v>0.10395605806850935</v>
      </c>
    </row>
    <row r="9" spans="2:51" x14ac:dyDescent="0.35">
      <c r="B9" t="s">
        <v>59</v>
      </c>
      <c r="C9" s="142">
        <f>Inputs!$K$16</f>
        <v>8583.3333333333339</v>
      </c>
      <c r="F9" s="12">
        <f t="shared" si="1"/>
        <v>5</v>
      </c>
      <c r="G9" s="132">
        <f t="shared" si="2"/>
        <v>2086720.3546875</v>
      </c>
      <c r="H9" s="132">
        <f>IF($F9&lt;=$C$16,G9-$C$7+SUMIFS('Mortgage Calculators (By Month)'!$D$23:$D$622,'Mortgage Calculators (By Month)'!$B$23:$B$622,"&lt;="&amp;F9*12),"-")</f>
        <v>2086720.3546875</v>
      </c>
      <c r="I9" s="132">
        <f t="shared" si="3"/>
        <v>125197.14375</v>
      </c>
      <c r="J9" s="132">
        <f>IF($F9&lt;=$C$16,SUMIFS('Forecast (By Month)'!$J$4:$J$605,'Forecast (By Month)'!$F$4:$F$605,"&lt;="&amp;F9*12,'Forecast (By Month)'!$F$4:$F$605,"&gt;"&amp;F8*12),"-")</f>
        <v>13771.685812500005</v>
      </c>
      <c r="K9" s="132">
        <f>IF($F9&lt;=$C$16,SUMIFS('Forecast (By Month)'!$K$4:$K$605,'Forecast (By Month)'!$F$4:$F$605,"&lt;="&amp;F9*12,'Forecast (By Month)'!$F$4:$F$605,"&gt;"&amp;F8*12),"-")</f>
        <v>17857.999999999996</v>
      </c>
      <c r="L9" s="132">
        <f t="shared" si="4"/>
        <v>31629.6858125</v>
      </c>
      <c r="M9" s="132">
        <f>IF($F9&lt;=$C$16,SUMIFS('Forecast (By Month)'!$M$4:$M$605,'Forecast (By Month)'!$F$4:$F$605,"&lt;="&amp;F9*12,'Forecast (By Month)'!$F$4:$F$605,"&gt;"&amp;F8*12),"-")</f>
        <v>0</v>
      </c>
      <c r="N9" s="132">
        <f>IF($F9&lt;=$C$16,SUMIFS('Forecast (By Month)'!$N$4:$N$605,'Forecast (By Month)'!$F$4:$F$605,"&lt;="&amp;F9*12,'Forecast (By Month)'!$F$4:$F$605,"&gt;"&amp;F8*12),"-")</f>
        <v>0</v>
      </c>
      <c r="O9" s="132">
        <f>IF($F9&lt;=$C$16,SUMIFS('Forecast (By Month)'!$O$4:$O$605,'Forecast (By Month)'!$F$4:$F$605,"&lt;="&amp;F9*12,'Forecast (By Month)'!$F$4:$F$605,"&gt;"&amp;F8*12),"-")</f>
        <v>99.999999999999986</v>
      </c>
      <c r="P9" s="132">
        <f>IF($F9&lt;=$C$16,SUMIFS('Forecast (By Month)'!$P$4:$P$605,'Forecast (By Month)'!$F$4:$F$605,"&lt;="&amp;F9*12,'Forecast (By Month)'!$F$4:$F$605,"&gt;"&amp;F8*12),"-")</f>
        <v>0</v>
      </c>
      <c r="Q9" s="132">
        <f>IF($F9&lt;=$C$16,SUMIFS('Forecast (By Month)'!$Q$4:$Q$605,'Forecast (By Month)'!$F$4:$F$605,"&lt;="&amp;F9*12,'Forecast (By Month)'!$F$4:$F$605,"&gt;"&amp;F8*12),"-")</f>
        <v>31729.685812499996</v>
      </c>
      <c r="R9" s="132">
        <f>IF($F9&lt;=$C$16,SUMIFS('Forecast (By Month)'!$R$4:$R$605,'Forecast (By Month)'!$F$4:$F$605,"&lt;="&amp;F9*12,'Forecast (By Month)'!$F$4:$F$605,"&gt;"&amp;F8*12),"-")</f>
        <v>93567.457937499988</v>
      </c>
      <c r="S9" s="132">
        <f t="shared" si="5"/>
        <v>0</v>
      </c>
      <c r="T9" s="132">
        <f t="shared" si="0"/>
        <v>93567.457937499988</v>
      </c>
      <c r="U9" s="132">
        <f>IF($F9&lt;=$C$16,SUM(T$5:T9),"-")</f>
        <v>417244.61668750003</v>
      </c>
      <c r="V9" s="132">
        <f>IF($F9&lt;=$C$16,INDEX('Forecast (By Month)'!$F$3:$AY$605,MATCH($F9*12,'Forecast (By Month)'!$F$3:$F$605,0),MATCH(V$3,'Forecast (By Month)'!$F$3:$AA$3,0)),"-")</f>
        <v>439458.94759375701</v>
      </c>
      <c r="W9" s="29">
        <f>IF($F9&lt;=$C$16,INDEX('Forecast (By Month)'!$F$3:$AY$605,MATCH($F9*12,'Forecast (By Month)'!$F$3:$F$605,0),MATCH(W$3,'Forecast (By Month)'!$F$3:$AA$3,0)),"-")</f>
        <v>0.27448565676516201</v>
      </c>
      <c r="X9" s="29">
        <f>IF($F9&lt;=$C$16,INDEX('Forecast (By Month)'!$F$3:$AY$605,MATCH($F9*12,'Forecast (By Month)'!$F$3:$F$605,0),MATCH(X$3,'Forecast (By Month)'!$F$3:$AA$3,0)),"-")</f>
        <v>5.4897131353032404E-2</v>
      </c>
      <c r="Y9" s="132">
        <f>IF($F9&lt;=$C$16,INDEX('Forecast (By Month)'!$F$3:$AY$605,MATCH($F9*12,'Forecast (By Month)'!$F$3:$F$605,0),MATCH(Y$3,'Forecast (By Month)'!$F$3:$AA$3,0)),"-")</f>
        <v>856703.5642812571</v>
      </c>
      <c r="Z9" s="29">
        <f>IF($F9&lt;=$C$16,INDEX('Forecast (By Month)'!$F$3:$AY$605,MATCH($F9*12,'Forecast (By Month)'!$F$3:$F$605,0),MATCH(Z$3,'Forecast (By Month)'!$F$3:$AA$3,0)),"-")</f>
        <v>0.5350962627621253</v>
      </c>
      <c r="AA9" s="31">
        <f>IF($F9&lt;=$C$16,INDEX('Forecast (By Month)'!$F$3:$AY$605,MATCH($F9*12,'Forecast (By Month)'!$F$3:$F$605,0),MATCH(AA$3,'Forecast (By Month)'!$F$3:$AA$3,0)),"-")</f>
        <v>0.10701925255242506</v>
      </c>
      <c r="AD9" s="12">
        <f t="shared" si="6"/>
        <v>5</v>
      </c>
      <c r="AE9" s="132">
        <f t="shared" si="7"/>
        <v>2086720.3546875</v>
      </c>
      <c r="AF9" s="132">
        <f>IF($AD9&lt;=$C$25,AE9-$C$7+SUMIFS('Mortgage Calculators (By Month)'!$K$23:$K$622,'Mortgage Calculators (By Month)'!$I$23:$I$622,"&lt;="&amp;AD9*12),"-")</f>
        <v>2086720.3546875</v>
      </c>
      <c r="AG9" s="132">
        <f t="shared" si="8"/>
        <v>125197.14375</v>
      </c>
      <c r="AH9" s="132">
        <f>IF($AD9&lt;=$C$25,SUMIFS('Forecast (By Month)'!$AH$4:$AH$605,'Forecast (By Month)'!$AD$4:$AD$605,"&lt;="&amp;AD9*12,'Forecast (By Month)'!$AD$4:$AD$605,"&gt;"&amp;AD8*12),"-")</f>
        <v>13771.685812500005</v>
      </c>
      <c r="AI9" s="132">
        <f>IF($AD9&lt;=$C$25,SUMIFS('Forecast (By Month)'!$AI$4:$AI$605,'Forecast (By Month)'!$AD$4:$AD$605,"&lt;="&amp;AD9*12,'Forecast (By Month)'!$AD$4:$AD$605,"&gt;"&amp;AD8*12),"-")</f>
        <v>17857.999999999996</v>
      </c>
      <c r="AJ9" s="132">
        <f t="shared" si="9"/>
        <v>31629.6858125</v>
      </c>
      <c r="AK9" s="132">
        <f>IF($AD9&lt;=$C$25,SUMIFS('Forecast (By Month)'!$AK$4:$AK$605,'Forecast (By Month)'!$AD$4:$AD$605,"&lt;="&amp;AD9*12,'Forecast (By Month)'!$AD$4:$AD$605,"&gt;"&amp;AD8*12),"-")</f>
        <v>0</v>
      </c>
      <c r="AL9" s="132">
        <f>IF($AD9&lt;=$C$25,SUMIFS('Forecast (By Month)'!$AL$4:$AL$605,'Forecast (By Month)'!$AD$4:$AD$605,"&lt;="&amp;AD9*12,'Forecast (By Month)'!$AD$4:$AD$605,"&gt;"&amp;AD8*12),"-")</f>
        <v>0</v>
      </c>
      <c r="AM9" s="132">
        <f>IF($AD9&lt;=$C$25,SUMIFS('Forecast (By Month)'!$AM$4:$AM$605,'Forecast (By Month)'!$AD$4:$AD$605,"&lt;="&amp;AD9*12,'Forecast (By Month)'!$AD$4:$AD$605,"&gt;"&amp;AD8*12),"-")</f>
        <v>120</v>
      </c>
      <c r="AN9" s="132">
        <f>IF($AD9&lt;=$C$25,SUMIFS('Forecast (By Month)'!$AN$4:$AN$605,'Forecast (By Month)'!$AD$4:$AD$605,"&lt;="&amp;AD9*12,'Forecast (By Month)'!$AD$4:$AD$605,"&gt;"&amp;AD8*12),"-")</f>
        <v>0</v>
      </c>
      <c r="AO9" s="132">
        <f>IF($AD9&lt;=$C$25,SUMIFS('Forecast (By Month)'!$AO$4:$AO$605,'Forecast (By Month)'!$AD$4:$AD$605,"&lt;="&amp;AD9*12,'Forecast (By Month)'!$AD$4:$AD$605,"&gt;"&amp;AD8*12),"-")</f>
        <v>31749.6858125</v>
      </c>
      <c r="AP9" s="132">
        <f>IF($AD9&lt;=$C$25,SUMIFS('Forecast (By Month)'!$AP$4:$AP$605,'Forecast (By Month)'!$AD$4:$AD$605,"&lt;="&amp;AD9*12,'Forecast (By Month)'!$AD$4:$AD$605,"&gt;"&amp;AD8*12),"-")</f>
        <v>93567.457937499988</v>
      </c>
      <c r="AQ9" s="132">
        <f t="shared" si="10"/>
        <v>0</v>
      </c>
      <c r="AR9" s="132">
        <f t="shared" si="11"/>
        <v>93567.457937499988</v>
      </c>
      <c r="AS9" s="132">
        <f>IF($AD9&lt;=$C$25,SUM(AR$5:AR9),"-")</f>
        <v>417234.61668750003</v>
      </c>
      <c r="AT9" s="132">
        <f>IF($AD9&lt;=$C$25,INDEX('Forecast (By Month)'!$AD$3:$AY$605,MATCH($AD9*12,'Forecast (By Month)'!$AD$3:$AD$605,0),MATCH(AT$3,'Forecast (By Month)'!$AD$3:$AY$3,0)),"-")</f>
        <v>439458.94759375701</v>
      </c>
      <c r="AU9" s="29">
        <f>IF($AD9&lt;=$C$25,INDEX('Forecast (By Month)'!$AD$3:$AY$605,MATCH($AD9*12,'Forecast (By Month)'!$AD$3:$AD$605,0),MATCH(AU$3,'Forecast (By Month)'!$AD$3:$AY$3,0)),"-")</f>
        <v>0.27448565676516201</v>
      </c>
      <c r="AV9" s="29">
        <f>IF($AD9&lt;=$C$25,INDEX('Forecast (By Month)'!$AD$3:$AY$605,MATCH($AD9*12,'Forecast (By Month)'!$AD$3:$AD$605,0),MATCH(AV$3,'Forecast (By Month)'!$AD$3:$AY$3,0)),"-")</f>
        <v>5.4897131353032404E-2</v>
      </c>
      <c r="AW9" s="132">
        <f>IF($AD9&lt;=$C$25,INDEX('Forecast (By Month)'!$AD$3:$AY$605,MATCH($AD9*12,'Forecast (By Month)'!$AD$3:$AD$605,0),MATCH(AW$3,'Forecast (By Month)'!$AD$3:$AY$3,0)),"-")</f>
        <v>856693.5642812571</v>
      </c>
      <c r="AX9" s="29">
        <f>IF($AD9&lt;=$C$25,INDEX('Forecast (By Month)'!$AD$3:$AY$605,MATCH($AD9*12,'Forecast (By Month)'!$AD$3:$AD$605,0),MATCH(AX$3,'Forecast (By Month)'!$AD$3:$AY$3,0)),"-")</f>
        <v>0.53509001677127066</v>
      </c>
      <c r="AY9" s="31">
        <f>IF($AD9&lt;=$C$25,INDEX('Forecast (By Month)'!$AD$3:$AY$605,MATCH($AD9*12,'Forecast (By Month)'!$AD$3:$AD$605,0),MATCH(AY$3,'Forecast (By Month)'!$AD$3:$AY$3,0)),"-")</f>
        <v>0.10701800335425413</v>
      </c>
    </row>
    <row r="10" spans="2:51" x14ac:dyDescent="0.35">
      <c r="B10" t="s">
        <v>75</v>
      </c>
      <c r="C10" s="142">
        <f>Inputs!$K$18</f>
        <v>1601027</v>
      </c>
      <c r="F10" s="12">
        <f t="shared" si="1"/>
        <v>6</v>
      </c>
      <c r="G10" s="132">
        <f t="shared" si="2"/>
        <v>2191056.3724218751</v>
      </c>
      <c r="H10" s="132">
        <f>IF($F10&lt;=$C$16,G10-$C$7+SUMIFS('Mortgage Calculators (By Month)'!$D$23:$D$622,'Mortgage Calculators (By Month)'!$B$23:$B$622,"&lt;="&amp;F10*12),"-")</f>
        <v>2191056.3724218751</v>
      </c>
      <c r="I10" s="132">
        <f t="shared" si="3"/>
        <v>131457.00093750001</v>
      </c>
      <c r="J10" s="132">
        <f>IF($F10&lt;=$C$16,SUMIFS('Forecast (By Month)'!$J$4:$J$605,'Forecast (By Month)'!$F$4:$F$605,"&lt;="&amp;F10*12,'Forecast (By Month)'!$F$4:$F$605,"&gt;"&amp;F9*12),"-")</f>
        <v>14460.270103125005</v>
      </c>
      <c r="K10" s="132">
        <f>IF($F10&lt;=$C$16,SUMIFS('Forecast (By Month)'!$K$4:$K$605,'Forecast (By Month)'!$F$4:$F$605,"&lt;="&amp;F10*12,'Forecast (By Month)'!$F$4:$F$605,"&gt;"&amp;F9*12),"-")</f>
        <v>17857.999999999996</v>
      </c>
      <c r="L10" s="132">
        <f t="shared" si="4"/>
        <v>32318.270103125004</v>
      </c>
      <c r="M10" s="132">
        <f>IF($F10&lt;=$C$16,SUMIFS('Forecast (By Month)'!$M$4:$M$605,'Forecast (By Month)'!$F$4:$F$605,"&lt;="&amp;F10*12,'Forecast (By Month)'!$F$4:$F$605,"&gt;"&amp;F9*12),"-")</f>
        <v>0</v>
      </c>
      <c r="N10" s="132">
        <f>IF($F10&lt;=$C$16,SUMIFS('Forecast (By Month)'!$N$4:$N$605,'Forecast (By Month)'!$F$4:$F$605,"&lt;="&amp;F10*12,'Forecast (By Month)'!$F$4:$F$605,"&gt;"&amp;F9*12),"-")</f>
        <v>0</v>
      </c>
      <c r="O10" s="132">
        <f>IF($F10&lt;=$C$16,SUMIFS('Forecast (By Month)'!$O$4:$O$605,'Forecast (By Month)'!$F$4:$F$605,"&lt;="&amp;F10*12,'Forecast (By Month)'!$F$4:$F$605,"&gt;"&amp;F9*12),"-")</f>
        <v>99.999999999999986</v>
      </c>
      <c r="P10" s="132">
        <f>IF($F10&lt;=$C$16,SUMIFS('Forecast (By Month)'!$P$4:$P$605,'Forecast (By Month)'!$F$4:$F$605,"&lt;="&amp;F10*12,'Forecast (By Month)'!$F$4:$F$605,"&gt;"&amp;F9*12),"-")</f>
        <v>0</v>
      </c>
      <c r="Q10" s="132">
        <f>IF($F10&lt;=$C$16,SUMIFS('Forecast (By Month)'!$Q$4:$Q$605,'Forecast (By Month)'!$F$4:$F$605,"&lt;="&amp;F10*12,'Forecast (By Month)'!$F$4:$F$605,"&gt;"&amp;F9*12),"-")</f>
        <v>32418.270103125</v>
      </c>
      <c r="R10" s="132">
        <f>IF($F10&lt;=$C$16,SUMIFS('Forecast (By Month)'!$R$4:$R$605,'Forecast (By Month)'!$F$4:$F$605,"&lt;="&amp;F10*12,'Forecast (By Month)'!$F$4:$F$605,"&gt;"&amp;F9*12),"-")</f>
        <v>99138.730834375019</v>
      </c>
      <c r="S10" s="132">
        <f t="shared" si="5"/>
        <v>0</v>
      </c>
      <c r="T10" s="132">
        <f t="shared" si="0"/>
        <v>99138.730834375019</v>
      </c>
      <c r="U10" s="132">
        <f>IF($F10&lt;=$C$16,SUM(T$5:T10),"-")</f>
        <v>516383.34752187505</v>
      </c>
      <c r="V10" s="132">
        <f>IF($F10&lt;=$C$16,INDEX('Forecast (By Month)'!$F$3:$AY$605,MATCH($F10*12,'Forecast (By Month)'!$F$3:$F$605,0),MATCH(V$3,'Forecast (By Month)'!$F$3:$AA$3,0)),"-")</f>
        <v>541708.24497344578</v>
      </c>
      <c r="W10" s="29">
        <f>IF($F10&lt;=$C$16,INDEX('Forecast (By Month)'!$F$3:$AY$605,MATCH($F10*12,'Forecast (By Month)'!$F$3:$F$605,0),MATCH(W$3,'Forecast (By Month)'!$F$3:$AA$3,0)),"-")</f>
        <v>0.33835047439764959</v>
      </c>
      <c r="X10" s="29">
        <f>IF($F10&lt;=$C$16,INDEX('Forecast (By Month)'!$F$3:$AY$605,MATCH($F10*12,'Forecast (By Month)'!$F$3:$F$605,0),MATCH(X$3,'Forecast (By Month)'!$F$3:$AA$3,0)),"-")</f>
        <v>5.6391745732941596E-2</v>
      </c>
      <c r="Y10" s="132">
        <f>IF($F10&lt;=$C$16,INDEX('Forecast (By Month)'!$F$3:$AY$605,MATCH($F10*12,'Forecast (By Month)'!$F$3:$F$605,0),MATCH(Y$3,'Forecast (By Month)'!$F$3:$AA$3,0)),"-")</f>
        <v>1058091.5924953206</v>
      </c>
      <c r="Z10" s="29">
        <f>IF($F10&lt;=$C$16,INDEX('Forecast (By Month)'!$F$3:$AY$605,MATCH($F10*12,'Forecast (By Month)'!$F$3:$F$605,0),MATCH(Z$3,'Forecast (By Month)'!$F$3:$AA$3,0)),"-")</f>
        <v>0.66088304100762862</v>
      </c>
      <c r="AA10" s="31">
        <f>IF($F10&lt;=$C$16,INDEX('Forecast (By Month)'!$F$3:$AY$605,MATCH($F10*12,'Forecast (By Month)'!$F$3:$F$605,0),MATCH(AA$3,'Forecast (By Month)'!$F$3:$AA$3,0)),"-")</f>
        <v>0.11014717350127144</v>
      </c>
      <c r="AD10" s="12">
        <f t="shared" si="6"/>
        <v>6</v>
      </c>
      <c r="AE10" s="132">
        <f t="shared" si="7"/>
        <v>2191056.3724218751</v>
      </c>
      <c r="AF10" s="132">
        <f>IF($AD10&lt;=$C$25,AE10-$C$7+SUMIFS('Mortgage Calculators (By Month)'!$K$23:$K$622,'Mortgage Calculators (By Month)'!$I$23:$I$622,"&lt;="&amp;AD10*12),"-")</f>
        <v>2191056.3724218751</v>
      </c>
      <c r="AG10" s="132">
        <f t="shared" si="8"/>
        <v>131457.00093750001</v>
      </c>
      <c r="AH10" s="132">
        <f>IF($AD10&lt;=$C$25,SUMIFS('Forecast (By Month)'!$AH$4:$AH$605,'Forecast (By Month)'!$AD$4:$AD$605,"&lt;="&amp;AD10*12,'Forecast (By Month)'!$AD$4:$AD$605,"&gt;"&amp;AD9*12),"-")</f>
        <v>14460.270103125005</v>
      </c>
      <c r="AI10" s="132">
        <f>IF($AD10&lt;=$C$25,SUMIFS('Forecast (By Month)'!$AI$4:$AI$605,'Forecast (By Month)'!$AD$4:$AD$605,"&lt;="&amp;AD10*12,'Forecast (By Month)'!$AD$4:$AD$605,"&gt;"&amp;AD9*12),"-")</f>
        <v>17857.999999999996</v>
      </c>
      <c r="AJ10" s="132">
        <f t="shared" si="9"/>
        <v>32318.270103125004</v>
      </c>
      <c r="AK10" s="132">
        <f>IF($AD10&lt;=$C$25,SUMIFS('Forecast (By Month)'!$AK$4:$AK$605,'Forecast (By Month)'!$AD$4:$AD$605,"&lt;="&amp;AD10*12,'Forecast (By Month)'!$AD$4:$AD$605,"&gt;"&amp;AD9*12),"-")</f>
        <v>0</v>
      </c>
      <c r="AL10" s="132">
        <f>IF($AD10&lt;=$C$25,SUMIFS('Forecast (By Month)'!$AL$4:$AL$605,'Forecast (By Month)'!$AD$4:$AD$605,"&lt;="&amp;AD10*12,'Forecast (By Month)'!$AD$4:$AD$605,"&gt;"&amp;AD9*12),"-")</f>
        <v>0</v>
      </c>
      <c r="AM10" s="132">
        <f>IF($AD10&lt;=$C$25,SUMIFS('Forecast (By Month)'!$AM$4:$AM$605,'Forecast (By Month)'!$AD$4:$AD$605,"&lt;="&amp;AD10*12,'Forecast (By Month)'!$AD$4:$AD$605,"&gt;"&amp;AD9*12),"-")</f>
        <v>120</v>
      </c>
      <c r="AN10" s="132">
        <f>IF($AD10&lt;=$C$25,SUMIFS('Forecast (By Month)'!$AN$4:$AN$605,'Forecast (By Month)'!$AD$4:$AD$605,"&lt;="&amp;AD10*12,'Forecast (By Month)'!$AD$4:$AD$605,"&gt;"&amp;AD9*12),"-")</f>
        <v>0</v>
      </c>
      <c r="AO10" s="132">
        <f>IF($AD10&lt;=$C$25,SUMIFS('Forecast (By Month)'!$AO$4:$AO$605,'Forecast (By Month)'!$AD$4:$AD$605,"&lt;="&amp;AD10*12,'Forecast (By Month)'!$AD$4:$AD$605,"&gt;"&amp;AD9*12),"-")</f>
        <v>32438.270103125004</v>
      </c>
      <c r="AP10" s="132">
        <f>IF($AD10&lt;=$C$25,SUMIFS('Forecast (By Month)'!$AP$4:$AP$605,'Forecast (By Month)'!$AD$4:$AD$605,"&lt;="&amp;AD10*12,'Forecast (By Month)'!$AD$4:$AD$605,"&gt;"&amp;AD9*12),"-")</f>
        <v>99138.730834375019</v>
      </c>
      <c r="AQ10" s="132">
        <f t="shared" si="10"/>
        <v>0</v>
      </c>
      <c r="AR10" s="132">
        <f t="shared" si="11"/>
        <v>99138.730834375019</v>
      </c>
      <c r="AS10" s="132">
        <f>IF($AD10&lt;=$C$25,SUM(AR$5:AR10),"-")</f>
        <v>516373.34752187505</v>
      </c>
      <c r="AT10" s="132">
        <f>IF($AD10&lt;=$C$25,INDEX('Forecast (By Month)'!$AD$3:$AY$605,MATCH($AD10*12,'Forecast (By Month)'!$AD$3:$AD$605,0),MATCH(AT$3,'Forecast (By Month)'!$AD$3:$AY$3,0)),"-")</f>
        <v>541708.24497344578</v>
      </c>
      <c r="AU10" s="29">
        <f>IF($AD10&lt;=$C$25,INDEX('Forecast (By Month)'!$AD$3:$AY$605,MATCH($AD10*12,'Forecast (By Month)'!$AD$3:$AD$605,0),MATCH(AU$3,'Forecast (By Month)'!$AD$3:$AY$3,0)),"-")</f>
        <v>0.33835047439764959</v>
      </c>
      <c r="AV10" s="29">
        <f>IF($AD10&lt;=$C$25,INDEX('Forecast (By Month)'!$AD$3:$AY$605,MATCH($AD10*12,'Forecast (By Month)'!$AD$3:$AD$605,0),MATCH(AV$3,'Forecast (By Month)'!$AD$3:$AY$3,0)),"-")</f>
        <v>5.6391745732941596E-2</v>
      </c>
      <c r="AW10" s="132">
        <f>IF($AD10&lt;=$C$25,INDEX('Forecast (By Month)'!$AD$3:$AY$605,MATCH($AD10*12,'Forecast (By Month)'!$AD$3:$AD$605,0),MATCH(AW$3,'Forecast (By Month)'!$AD$3:$AY$3,0)),"-")</f>
        <v>1058081.5924953206</v>
      </c>
      <c r="AX10" s="29">
        <f>IF($AD10&lt;=$C$25,INDEX('Forecast (By Month)'!$AD$3:$AY$605,MATCH($AD10*12,'Forecast (By Month)'!$AD$3:$AD$605,0),MATCH(AX$3,'Forecast (By Month)'!$AD$3:$AY$3,0)),"-")</f>
        <v>0.66087679501677399</v>
      </c>
      <c r="AY10" s="31">
        <f>IF($AD10&lt;=$C$25,INDEX('Forecast (By Month)'!$AD$3:$AY$605,MATCH($AD10*12,'Forecast (By Month)'!$AD$3:$AD$605,0),MATCH(AY$3,'Forecast (By Month)'!$AD$3:$AY$3,0)),"-")</f>
        <v>0.11014613250279566</v>
      </c>
    </row>
    <row r="11" spans="2:51" x14ac:dyDescent="0.35">
      <c r="B11" t="s">
        <v>74</v>
      </c>
      <c r="C11" s="142">
        <f>Inputs!$K$19</f>
        <v>46234.407093750007</v>
      </c>
      <c r="D11" s="8"/>
      <c r="F11" s="12">
        <f t="shared" si="1"/>
        <v>7</v>
      </c>
      <c r="G11" s="132">
        <f t="shared" si="2"/>
        <v>2300609.191042969</v>
      </c>
      <c r="H11" s="132">
        <f>IF($F11&lt;=$C$16,G11-$C$7+SUMIFS('Mortgage Calculators (By Month)'!$D$23:$D$622,'Mortgage Calculators (By Month)'!$B$23:$B$622,"&lt;="&amp;F11*12),"-")</f>
        <v>2300609.191042969</v>
      </c>
      <c r="I11" s="132">
        <f t="shared" si="3"/>
        <v>138029.85098437499</v>
      </c>
      <c r="J11" s="132">
        <f>IF($F11&lt;=$C$16,SUMIFS('Forecast (By Month)'!$J$4:$J$605,'Forecast (By Month)'!$F$4:$F$605,"&lt;="&amp;F11*12,'Forecast (By Month)'!$F$4:$F$605,"&gt;"&amp;F10*12),"-")</f>
        <v>15183.283608281248</v>
      </c>
      <c r="K11" s="132">
        <f>IF($F11&lt;=$C$16,SUMIFS('Forecast (By Month)'!$K$4:$K$605,'Forecast (By Month)'!$F$4:$F$605,"&lt;="&amp;F11*12,'Forecast (By Month)'!$F$4:$F$605,"&gt;"&amp;F10*12),"-")</f>
        <v>17857.999999999996</v>
      </c>
      <c r="L11" s="132">
        <f t="shared" si="4"/>
        <v>33041.283608281243</v>
      </c>
      <c r="M11" s="132">
        <f>IF($F11&lt;=$C$16,SUMIFS('Forecast (By Month)'!$M$4:$M$605,'Forecast (By Month)'!$F$4:$F$605,"&lt;="&amp;F11*12,'Forecast (By Month)'!$F$4:$F$605,"&gt;"&amp;F10*12),"-")</f>
        <v>0</v>
      </c>
      <c r="N11" s="132">
        <f>IF($F11&lt;=$C$16,SUMIFS('Forecast (By Month)'!$N$4:$N$605,'Forecast (By Month)'!$F$4:$F$605,"&lt;="&amp;F11*12,'Forecast (By Month)'!$F$4:$F$605,"&gt;"&amp;F10*12),"-")</f>
        <v>0</v>
      </c>
      <c r="O11" s="132">
        <f>IF($F11&lt;=$C$16,SUMIFS('Forecast (By Month)'!$O$4:$O$605,'Forecast (By Month)'!$F$4:$F$605,"&lt;="&amp;F11*12,'Forecast (By Month)'!$F$4:$F$605,"&gt;"&amp;F10*12),"-")</f>
        <v>99.999999999999986</v>
      </c>
      <c r="P11" s="132">
        <f>IF($F11&lt;=$C$16,SUMIFS('Forecast (By Month)'!$P$4:$P$605,'Forecast (By Month)'!$F$4:$F$605,"&lt;="&amp;F11*12,'Forecast (By Month)'!$F$4:$F$605,"&gt;"&amp;F10*12),"-")</f>
        <v>0</v>
      </c>
      <c r="Q11" s="132">
        <f>IF($F11&lt;=$C$16,SUMIFS('Forecast (By Month)'!$Q$4:$Q$605,'Forecast (By Month)'!$F$4:$F$605,"&lt;="&amp;F11*12,'Forecast (By Month)'!$F$4:$F$605,"&gt;"&amp;F10*12),"-")</f>
        <v>33141.28360828125</v>
      </c>
      <c r="R11" s="132">
        <f>IF($F11&lt;=$C$16,SUMIFS('Forecast (By Month)'!$R$4:$R$605,'Forecast (By Month)'!$F$4:$F$605,"&lt;="&amp;F11*12,'Forecast (By Month)'!$F$4:$F$605,"&gt;"&amp;F10*12),"-")</f>
        <v>104988.56737609375</v>
      </c>
      <c r="S11" s="132">
        <f t="shared" si="5"/>
        <v>0</v>
      </c>
      <c r="T11" s="132">
        <f t="shared" si="0"/>
        <v>104988.56737609375</v>
      </c>
      <c r="U11" s="132">
        <f>IF($F11&lt;=$C$16,SUM(T$5:T11),"-")</f>
        <v>621371.91489796876</v>
      </c>
      <c r="V11" s="132">
        <f>IF($F11&lt;=$C$16,INDEX('Forecast (By Month)'!$F$3:$AY$605,MATCH($F11*12,'Forecast (By Month)'!$F$3:$F$605,0),MATCH(V$3,'Forecast (By Month)'!$F$3:$AA$3,0)),"-")</f>
        <v>649070.00722211902</v>
      </c>
      <c r="W11" s="29">
        <f>IF($F11&lt;=$C$16,INDEX('Forecast (By Month)'!$F$3:$AY$605,MATCH($F11*12,'Forecast (By Month)'!$F$3:$F$605,0),MATCH(W$3,'Forecast (By Month)'!$F$3:$AA$3,0)),"-")</f>
        <v>0.40540853291176165</v>
      </c>
      <c r="X11" s="29">
        <f>IF($F11&lt;=$C$16,INDEX('Forecast (By Month)'!$F$3:$AY$605,MATCH($F11*12,'Forecast (By Month)'!$F$3:$F$605,0),MATCH(X$3,'Forecast (By Month)'!$F$3:$AA$3,0)),"-")</f>
        <v>5.7915504701680234E-2</v>
      </c>
      <c r="Y11" s="132">
        <f>IF($F11&lt;=$C$16,INDEX('Forecast (By Month)'!$F$3:$AY$605,MATCH($F11*12,'Forecast (By Month)'!$F$3:$F$605,0),MATCH(Y$3,'Forecast (By Month)'!$F$3:$AA$3,0)),"-")</f>
        <v>1270441.9221200878</v>
      </c>
      <c r="Z11" s="29">
        <f>IF($F11&lt;=$C$16,INDEX('Forecast (By Month)'!$F$3:$AY$605,MATCH($F11*12,'Forecast (By Month)'!$F$3:$F$605,0),MATCH(Z$3,'Forecast (By Month)'!$F$3:$AA$3,0)),"-")</f>
        <v>0.79351686268881649</v>
      </c>
      <c r="AA11" s="31">
        <f>IF($F11&lt;=$C$16,INDEX('Forecast (By Month)'!$F$3:$AY$605,MATCH($F11*12,'Forecast (By Month)'!$F$3:$F$605,0),MATCH(AA$3,'Forecast (By Month)'!$F$3:$AA$3,0)),"-")</f>
        <v>0.11335955181268807</v>
      </c>
      <c r="AD11" s="12">
        <f t="shared" si="6"/>
        <v>7</v>
      </c>
      <c r="AE11" s="132">
        <f t="shared" si="7"/>
        <v>2300609.191042969</v>
      </c>
      <c r="AF11" s="132">
        <f>IF($AD11&lt;=$C$25,AE11-$C$7+SUMIFS('Mortgage Calculators (By Month)'!$K$23:$K$622,'Mortgage Calculators (By Month)'!$I$23:$I$622,"&lt;="&amp;AD11*12),"-")</f>
        <v>2300609.191042969</v>
      </c>
      <c r="AG11" s="132">
        <f t="shared" si="8"/>
        <v>138029.85098437499</v>
      </c>
      <c r="AH11" s="132">
        <f>IF($AD11&lt;=$C$25,SUMIFS('Forecast (By Month)'!$AH$4:$AH$605,'Forecast (By Month)'!$AD$4:$AD$605,"&lt;="&amp;AD11*12,'Forecast (By Month)'!$AD$4:$AD$605,"&gt;"&amp;AD10*12),"-")</f>
        <v>15183.283608281248</v>
      </c>
      <c r="AI11" s="132">
        <f>IF($AD11&lt;=$C$25,SUMIFS('Forecast (By Month)'!$AI$4:$AI$605,'Forecast (By Month)'!$AD$4:$AD$605,"&lt;="&amp;AD11*12,'Forecast (By Month)'!$AD$4:$AD$605,"&gt;"&amp;AD10*12),"-")</f>
        <v>17857.999999999996</v>
      </c>
      <c r="AJ11" s="132">
        <f t="shared" si="9"/>
        <v>33041.283608281243</v>
      </c>
      <c r="AK11" s="132">
        <f>IF($AD11&lt;=$C$25,SUMIFS('Forecast (By Month)'!$AK$4:$AK$605,'Forecast (By Month)'!$AD$4:$AD$605,"&lt;="&amp;AD11*12,'Forecast (By Month)'!$AD$4:$AD$605,"&gt;"&amp;AD10*12),"-")</f>
        <v>0</v>
      </c>
      <c r="AL11" s="132">
        <f>IF($AD11&lt;=$C$25,SUMIFS('Forecast (By Month)'!$AL$4:$AL$605,'Forecast (By Month)'!$AD$4:$AD$605,"&lt;="&amp;AD11*12,'Forecast (By Month)'!$AD$4:$AD$605,"&gt;"&amp;AD10*12),"-")</f>
        <v>0</v>
      </c>
      <c r="AM11" s="132">
        <f>IF($AD11&lt;=$C$25,SUMIFS('Forecast (By Month)'!$AM$4:$AM$605,'Forecast (By Month)'!$AD$4:$AD$605,"&lt;="&amp;AD11*12,'Forecast (By Month)'!$AD$4:$AD$605,"&gt;"&amp;AD10*12),"-")</f>
        <v>120</v>
      </c>
      <c r="AN11" s="132">
        <f>IF($AD11&lt;=$C$25,SUMIFS('Forecast (By Month)'!$AN$4:$AN$605,'Forecast (By Month)'!$AD$4:$AD$605,"&lt;="&amp;AD11*12,'Forecast (By Month)'!$AD$4:$AD$605,"&gt;"&amp;AD10*12),"-")</f>
        <v>0</v>
      </c>
      <c r="AO11" s="132">
        <f>IF($AD11&lt;=$C$25,SUMIFS('Forecast (By Month)'!$AO$4:$AO$605,'Forecast (By Month)'!$AD$4:$AD$605,"&lt;="&amp;AD11*12,'Forecast (By Month)'!$AD$4:$AD$605,"&gt;"&amp;AD10*12),"-")</f>
        <v>33161.28360828125</v>
      </c>
      <c r="AP11" s="132">
        <f>IF($AD11&lt;=$C$25,SUMIFS('Forecast (By Month)'!$AP$4:$AP$605,'Forecast (By Month)'!$AD$4:$AD$605,"&lt;="&amp;AD11*12,'Forecast (By Month)'!$AD$4:$AD$605,"&gt;"&amp;AD10*12),"-")</f>
        <v>104988.56737609375</v>
      </c>
      <c r="AQ11" s="132">
        <f t="shared" si="10"/>
        <v>0</v>
      </c>
      <c r="AR11" s="132">
        <f t="shared" si="11"/>
        <v>104988.56737609375</v>
      </c>
      <c r="AS11" s="132">
        <f>IF($AD11&lt;=$C$25,SUM(AR$5:AR11),"-")</f>
        <v>621361.91489796876</v>
      </c>
      <c r="AT11" s="132">
        <f>IF($AD11&lt;=$C$25,INDEX('Forecast (By Month)'!$AD$3:$AY$605,MATCH($AD11*12,'Forecast (By Month)'!$AD$3:$AD$605,0),MATCH(AT$3,'Forecast (By Month)'!$AD$3:$AY$3,0)),"-")</f>
        <v>649070.00722211902</v>
      </c>
      <c r="AU11" s="29">
        <f>IF($AD11&lt;=$C$25,INDEX('Forecast (By Month)'!$AD$3:$AY$605,MATCH($AD11*12,'Forecast (By Month)'!$AD$3:$AD$605,0),MATCH(AU$3,'Forecast (By Month)'!$AD$3:$AY$3,0)),"-")</f>
        <v>0.40540853291176165</v>
      </c>
      <c r="AV11" s="29">
        <f>IF($AD11&lt;=$C$25,INDEX('Forecast (By Month)'!$AD$3:$AY$605,MATCH($AD11*12,'Forecast (By Month)'!$AD$3:$AD$605,0),MATCH(AV$3,'Forecast (By Month)'!$AD$3:$AY$3,0)),"-")</f>
        <v>5.7915504701680234E-2</v>
      </c>
      <c r="AW11" s="132">
        <f>IF($AD11&lt;=$C$25,INDEX('Forecast (By Month)'!$AD$3:$AY$605,MATCH($AD11*12,'Forecast (By Month)'!$AD$3:$AD$605,0),MATCH(AW$3,'Forecast (By Month)'!$AD$3:$AY$3,0)),"-")</f>
        <v>1270431.9221200878</v>
      </c>
      <c r="AX11" s="29">
        <f>IF($AD11&lt;=$C$25,INDEX('Forecast (By Month)'!$AD$3:$AY$605,MATCH($AD11*12,'Forecast (By Month)'!$AD$3:$AD$605,0),MATCH(AX$3,'Forecast (By Month)'!$AD$3:$AY$3,0)),"-")</f>
        <v>0.79351061669796186</v>
      </c>
      <c r="AY11" s="31">
        <f>IF($AD11&lt;=$C$25,INDEX('Forecast (By Month)'!$AD$3:$AY$605,MATCH($AD11*12,'Forecast (By Month)'!$AD$3:$AD$605,0),MATCH(AY$3,'Forecast (By Month)'!$AD$3:$AY$3,0)),"-")</f>
        <v>0.11335865952828027</v>
      </c>
    </row>
    <row r="12" spans="2:51" x14ac:dyDescent="0.35">
      <c r="F12" s="12">
        <f t="shared" si="1"/>
        <v>8</v>
      </c>
      <c r="G12" s="132">
        <f t="shared" si="2"/>
        <v>2415639.6505951174</v>
      </c>
      <c r="H12" s="132">
        <f>IF($F12&lt;=$C$16,G12-$C$7+SUMIFS('Mortgage Calculators (By Month)'!$D$23:$D$622,'Mortgage Calculators (By Month)'!$B$23:$B$622,"&lt;="&amp;F12*12),"-")</f>
        <v>2415639.6505951174</v>
      </c>
      <c r="I12" s="132">
        <f t="shared" si="3"/>
        <v>144931.34353359378</v>
      </c>
      <c r="J12" s="132">
        <f>IF($F12&lt;=$C$16,SUMIFS('Forecast (By Month)'!$J$4:$J$605,'Forecast (By Month)'!$F$4:$F$605,"&lt;="&amp;F12*12,'Forecast (By Month)'!$F$4:$F$605,"&gt;"&amp;F11*12),"-")</f>
        <v>15942.447788695319</v>
      </c>
      <c r="K12" s="132">
        <f>IF($F12&lt;=$C$16,SUMIFS('Forecast (By Month)'!$K$4:$K$605,'Forecast (By Month)'!$F$4:$F$605,"&lt;="&amp;F12*12,'Forecast (By Month)'!$F$4:$F$605,"&gt;"&amp;F11*12),"-")</f>
        <v>17857.999999999996</v>
      </c>
      <c r="L12" s="132">
        <f t="shared" si="4"/>
        <v>33800.447788695317</v>
      </c>
      <c r="M12" s="132">
        <f>IF($F12&lt;=$C$16,SUMIFS('Forecast (By Month)'!$M$4:$M$605,'Forecast (By Month)'!$F$4:$F$605,"&lt;="&amp;F12*12,'Forecast (By Month)'!$F$4:$F$605,"&gt;"&amp;F11*12),"-")</f>
        <v>0</v>
      </c>
      <c r="N12" s="132">
        <f>IF($F12&lt;=$C$16,SUMIFS('Forecast (By Month)'!$N$4:$N$605,'Forecast (By Month)'!$F$4:$F$605,"&lt;="&amp;F12*12,'Forecast (By Month)'!$F$4:$F$605,"&gt;"&amp;F11*12),"-")</f>
        <v>0</v>
      </c>
      <c r="O12" s="132">
        <f>IF($F12&lt;=$C$16,SUMIFS('Forecast (By Month)'!$O$4:$O$605,'Forecast (By Month)'!$F$4:$F$605,"&lt;="&amp;F12*12,'Forecast (By Month)'!$F$4:$F$605,"&gt;"&amp;F11*12),"-")</f>
        <v>99.999999999999986</v>
      </c>
      <c r="P12" s="132">
        <f>IF($F12&lt;=$C$16,SUMIFS('Forecast (By Month)'!$P$4:$P$605,'Forecast (By Month)'!$F$4:$F$605,"&lt;="&amp;F12*12,'Forecast (By Month)'!$F$4:$F$605,"&gt;"&amp;F11*12),"-")</f>
        <v>0</v>
      </c>
      <c r="Q12" s="132">
        <f>IF($F12&lt;=$C$16,SUMIFS('Forecast (By Month)'!$Q$4:$Q$605,'Forecast (By Month)'!$F$4:$F$605,"&lt;="&amp;F12*12,'Forecast (By Month)'!$F$4:$F$605,"&gt;"&amp;F11*12),"-")</f>
        <v>33900.447788695317</v>
      </c>
      <c r="R12" s="132">
        <f>IF($F12&lt;=$C$16,SUMIFS('Forecast (By Month)'!$R$4:$R$605,'Forecast (By Month)'!$F$4:$F$605,"&lt;="&amp;F12*12,'Forecast (By Month)'!$F$4:$F$605,"&gt;"&amp;F11*12),"-")</f>
        <v>111130.89574489847</v>
      </c>
      <c r="S12" s="132">
        <f t="shared" si="5"/>
        <v>0</v>
      </c>
      <c r="T12" s="132">
        <f t="shared" si="0"/>
        <v>111130.89574489847</v>
      </c>
      <c r="U12" s="132">
        <f>IF($F12&lt;=$C$16,SUM(T$5:T12),"-")</f>
        <v>732502.81064286723</v>
      </c>
      <c r="V12" s="132">
        <f>IF($F12&lt;=$C$16,INDEX('Forecast (By Month)'!$F$3:$AY$605,MATCH($F12*12,'Forecast (By Month)'!$F$3:$F$605,0),MATCH(V$3,'Forecast (By Month)'!$F$3:$AA$3,0)),"-")</f>
        <v>761799.85758322617</v>
      </c>
      <c r="W12" s="29">
        <f>IF($F12&lt;=$C$16,INDEX('Forecast (By Month)'!$F$3:$AY$605,MATCH($F12*12,'Forecast (By Month)'!$F$3:$F$605,0),MATCH(W$3,'Forecast (By Month)'!$F$3:$AA$3,0)),"-")</f>
        <v>0.47581949435157944</v>
      </c>
      <c r="X12" s="29">
        <f>IF($F12&lt;=$C$16,INDEX('Forecast (By Month)'!$F$3:$AY$605,MATCH($F12*12,'Forecast (By Month)'!$F$3:$F$605,0),MATCH(X$3,'Forecast (By Month)'!$F$3:$AA$3,0)),"-")</f>
        <v>5.947743679394743E-2</v>
      </c>
      <c r="Y12" s="132">
        <f>IF($F12&lt;=$C$16,INDEX('Forecast (By Month)'!$F$3:$AY$605,MATCH($F12*12,'Forecast (By Month)'!$F$3:$F$605,0),MATCH(Y$3,'Forecast (By Month)'!$F$3:$AA$3,0)),"-")</f>
        <v>1494302.6682260938</v>
      </c>
      <c r="Z12" s="29">
        <f>IF($F12&lt;=$C$16,INDEX('Forecast (By Month)'!$F$3:$AY$605,MATCH($F12*12,'Forecast (By Month)'!$F$3:$F$605,0),MATCH(Z$3,'Forecast (By Month)'!$F$3:$AA$3,0)),"-")</f>
        <v>0.93334007997747304</v>
      </c>
      <c r="AA12" s="31">
        <f>IF($F12&lt;=$C$16,INDEX('Forecast (By Month)'!$F$3:$AY$605,MATCH($F12*12,'Forecast (By Month)'!$F$3:$F$605,0),MATCH(AA$3,'Forecast (By Month)'!$F$3:$AA$3,0)),"-")</f>
        <v>0.11666750999718413</v>
      </c>
      <c r="AD12" s="12">
        <f t="shared" si="6"/>
        <v>8</v>
      </c>
      <c r="AE12" s="132">
        <f t="shared" si="7"/>
        <v>2415639.6505951174</v>
      </c>
      <c r="AF12" s="132">
        <f>IF($AD12&lt;=$C$25,AE12-$C$7+SUMIFS('Mortgage Calculators (By Month)'!$K$23:$K$622,'Mortgage Calculators (By Month)'!$I$23:$I$622,"&lt;="&amp;AD12*12),"-")</f>
        <v>2415639.6505951174</v>
      </c>
      <c r="AG12" s="132">
        <f t="shared" si="8"/>
        <v>144931.34353359378</v>
      </c>
      <c r="AH12" s="132">
        <f>IF($AD12&lt;=$C$25,SUMIFS('Forecast (By Month)'!$AH$4:$AH$605,'Forecast (By Month)'!$AD$4:$AD$605,"&lt;="&amp;AD12*12,'Forecast (By Month)'!$AD$4:$AD$605,"&gt;"&amp;AD11*12),"-")</f>
        <v>15942.447788695319</v>
      </c>
      <c r="AI12" s="132">
        <f>IF($AD12&lt;=$C$25,SUMIFS('Forecast (By Month)'!$AI$4:$AI$605,'Forecast (By Month)'!$AD$4:$AD$605,"&lt;="&amp;AD12*12,'Forecast (By Month)'!$AD$4:$AD$605,"&gt;"&amp;AD11*12),"-")</f>
        <v>17857.999999999996</v>
      </c>
      <c r="AJ12" s="132">
        <f t="shared" si="9"/>
        <v>33800.447788695317</v>
      </c>
      <c r="AK12" s="132">
        <f>IF($AD12&lt;=$C$25,SUMIFS('Forecast (By Month)'!$AK$4:$AK$605,'Forecast (By Month)'!$AD$4:$AD$605,"&lt;="&amp;AD12*12,'Forecast (By Month)'!$AD$4:$AD$605,"&gt;"&amp;AD11*12),"-")</f>
        <v>0</v>
      </c>
      <c r="AL12" s="132">
        <f>IF($AD12&lt;=$C$25,SUMIFS('Forecast (By Month)'!$AL$4:$AL$605,'Forecast (By Month)'!$AD$4:$AD$605,"&lt;="&amp;AD12*12,'Forecast (By Month)'!$AD$4:$AD$605,"&gt;"&amp;AD11*12),"-")</f>
        <v>0</v>
      </c>
      <c r="AM12" s="132">
        <f>IF($AD12&lt;=$C$25,SUMIFS('Forecast (By Month)'!$AM$4:$AM$605,'Forecast (By Month)'!$AD$4:$AD$605,"&lt;="&amp;AD12*12,'Forecast (By Month)'!$AD$4:$AD$605,"&gt;"&amp;AD11*12),"-")</f>
        <v>120</v>
      </c>
      <c r="AN12" s="132">
        <f>IF($AD12&lt;=$C$25,SUMIFS('Forecast (By Month)'!$AN$4:$AN$605,'Forecast (By Month)'!$AD$4:$AD$605,"&lt;="&amp;AD12*12,'Forecast (By Month)'!$AD$4:$AD$605,"&gt;"&amp;AD11*12),"-")</f>
        <v>0</v>
      </c>
      <c r="AO12" s="132">
        <f>IF($AD12&lt;=$C$25,SUMIFS('Forecast (By Month)'!$AO$4:$AO$605,'Forecast (By Month)'!$AD$4:$AD$605,"&lt;="&amp;AD12*12,'Forecast (By Month)'!$AD$4:$AD$605,"&gt;"&amp;AD11*12),"-")</f>
        <v>33920.447788695325</v>
      </c>
      <c r="AP12" s="132">
        <f>IF($AD12&lt;=$C$25,SUMIFS('Forecast (By Month)'!$AP$4:$AP$605,'Forecast (By Month)'!$AD$4:$AD$605,"&lt;="&amp;AD12*12,'Forecast (By Month)'!$AD$4:$AD$605,"&gt;"&amp;AD11*12),"-")</f>
        <v>111130.89574489847</v>
      </c>
      <c r="AQ12" s="132">
        <f t="shared" si="10"/>
        <v>0</v>
      </c>
      <c r="AR12" s="132">
        <f t="shared" si="11"/>
        <v>111130.89574489847</v>
      </c>
      <c r="AS12" s="132">
        <f>IF($AD12&lt;=$C$25,SUM(AR$5:AR12),"-")</f>
        <v>732492.81064286723</v>
      </c>
      <c r="AT12" s="132">
        <f>IF($AD12&lt;=$C$25,INDEX('Forecast (By Month)'!$AD$3:$AY$605,MATCH($AD12*12,'Forecast (By Month)'!$AD$3:$AD$605,0),MATCH(AT$3,'Forecast (By Month)'!$AD$3:$AY$3,0)),"-")</f>
        <v>761799.85758322617</v>
      </c>
      <c r="AU12" s="29">
        <f>IF($AD12&lt;=$C$25,INDEX('Forecast (By Month)'!$AD$3:$AY$605,MATCH($AD12*12,'Forecast (By Month)'!$AD$3:$AD$605,0),MATCH(AU$3,'Forecast (By Month)'!$AD$3:$AY$3,0)),"-")</f>
        <v>0.47581949435157944</v>
      </c>
      <c r="AV12" s="29">
        <f>IF($AD12&lt;=$C$25,INDEX('Forecast (By Month)'!$AD$3:$AY$605,MATCH($AD12*12,'Forecast (By Month)'!$AD$3:$AD$605,0),MATCH(AV$3,'Forecast (By Month)'!$AD$3:$AY$3,0)),"-")</f>
        <v>5.947743679394743E-2</v>
      </c>
      <c r="AW12" s="132">
        <f>IF($AD12&lt;=$C$25,INDEX('Forecast (By Month)'!$AD$3:$AY$605,MATCH($AD12*12,'Forecast (By Month)'!$AD$3:$AD$605,0),MATCH(AW$3,'Forecast (By Month)'!$AD$3:$AY$3,0)),"-")</f>
        <v>1494292.6682260938</v>
      </c>
      <c r="AX12" s="29">
        <f>IF($AD12&lt;=$C$25,INDEX('Forecast (By Month)'!$AD$3:$AY$605,MATCH($AD12*12,'Forecast (By Month)'!$AD$3:$AD$605,0),MATCH(AX$3,'Forecast (By Month)'!$AD$3:$AY$3,0)),"-")</f>
        <v>0.9333338339866184</v>
      </c>
      <c r="AY12" s="31">
        <f>IF($AD12&lt;=$C$25,INDEX('Forecast (By Month)'!$AD$3:$AY$605,MATCH($AD12*12,'Forecast (By Month)'!$AD$3:$AD$605,0),MATCH(AY$3,'Forecast (By Month)'!$AD$3:$AY$3,0)),"-")</f>
        <v>0.1166667292483273</v>
      </c>
    </row>
    <row r="13" spans="2:51" x14ac:dyDescent="0.35">
      <c r="B13" s="46" t="s">
        <v>141</v>
      </c>
      <c r="C13" s="54"/>
      <c r="F13" s="12">
        <f t="shared" si="1"/>
        <v>9</v>
      </c>
      <c r="G13" s="132">
        <f t="shared" si="2"/>
        <v>2536421.6331248735</v>
      </c>
      <c r="H13" s="132">
        <f>IF($F13&lt;=$C$16,G13-$C$7+SUMIFS('Mortgage Calculators (By Month)'!$D$23:$D$622,'Mortgage Calculators (By Month)'!$B$23:$B$622,"&lt;="&amp;F13*12),"-")</f>
        <v>2536421.6331248735</v>
      </c>
      <c r="I13" s="132">
        <f t="shared" si="3"/>
        <v>152177.91071027346</v>
      </c>
      <c r="J13" s="132">
        <f>IF($F13&lt;=$C$16,SUMIFS('Forecast (By Month)'!$J$4:$J$605,'Forecast (By Month)'!$F$4:$F$605,"&lt;="&amp;F13*12,'Forecast (By Month)'!$F$4:$F$605,"&gt;"&amp;F12*12),"-")</f>
        <v>16739.570178130085</v>
      </c>
      <c r="K13" s="132">
        <f>IF($F13&lt;=$C$16,SUMIFS('Forecast (By Month)'!$K$4:$K$605,'Forecast (By Month)'!$F$4:$F$605,"&lt;="&amp;F13*12,'Forecast (By Month)'!$F$4:$F$605,"&gt;"&amp;F12*12),"-")</f>
        <v>17857.999999999996</v>
      </c>
      <c r="L13" s="132">
        <f t="shared" si="4"/>
        <v>34597.570178130081</v>
      </c>
      <c r="M13" s="132">
        <f>IF($F13&lt;=$C$16,SUMIFS('Forecast (By Month)'!$M$4:$M$605,'Forecast (By Month)'!$F$4:$F$605,"&lt;="&amp;F13*12,'Forecast (By Month)'!$F$4:$F$605,"&gt;"&amp;F12*12),"-")</f>
        <v>0</v>
      </c>
      <c r="N13" s="132">
        <f>IF($F13&lt;=$C$16,SUMIFS('Forecast (By Month)'!$N$4:$N$605,'Forecast (By Month)'!$F$4:$F$605,"&lt;="&amp;F13*12,'Forecast (By Month)'!$F$4:$F$605,"&gt;"&amp;F12*12),"-")</f>
        <v>0</v>
      </c>
      <c r="O13" s="132">
        <f>IF($F13&lt;=$C$16,SUMIFS('Forecast (By Month)'!$O$4:$O$605,'Forecast (By Month)'!$F$4:$F$605,"&lt;="&amp;F13*12,'Forecast (By Month)'!$F$4:$F$605,"&gt;"&amp;F12*12),"-")</f>
        <v>99.999999999999986</v>
      </c>
      <c r="P13" s="132">
        <f>IF($F13&lt;=$C$16,SUMIFS('Forecast (By Month)'!$P$4:$P$605,'Forecast (By Month)'!$F$4:$F$605,"&lt;="&amp;F13*12,'Forecast (By Month)'!$F$4:$F$605,"&gt;"&amp;F12*12),"-")</f>
        <v>0</v>
      </c>
      <c r="Q13" s="132">
        <f>IF($F13&lt;=$C$16,SUMIFS('Forecast (By Month)'!$Q$4:$Q$605,'Forecast (By Month)'!$F$4:$F$605,"&lt;="&amp;F13*12,'Forecast (By Month)'!$F$4:$F$605,"&gt;"&amp;F12*12),"-")</f>
        <v>34697.570178130081</v>
      </c>
      <c r="R13" s="132">
        <f>IF($F13&lt;=$C$16,SUMIFS('Forecast (By Month)'!$R$4:$R$605,'Forecast (By Month)'!$F$4:$F$605,"&lt;="&amp;F13*12,'Forecast (By Month)'!$F$4:$F$605,"&gt;"&amp;F12*12),"-")</f>
        <v>117580.34053214341</v>
      </c>
      <c r="S13" s="132">
        <f t="shared" si="5"/>
        <v>0</v>
      </c>
      <c r="T13" s="132">
        <f t="shared" si="0"/>
        <v>117580.34053214341</v>
      </c>
      <c r="U13" s="132">
        <f>IF($F13&lt;=$C$16,SUM(T$5:T13),"-")</f>
        <v>850083.1511750106</v>
      </c>
      <c r="V13" s="132">
        <f>IF($F13&lt;=$C$16,INDEX('Forecast (By Month)'!$F$3:$AY$605,MATCH($F13*12,'Forecast (By Month)'!$F$3:$F$605,0),MATCH(V$3,'Forecast (By Month)'!$F$3:$AA$3,0)),"-")</f>
        <v>880166.2004623895</v>
      </c>
      <c r="W13" s="29">
        <f>IF($F13&lt;=$C$16,INDEX('Forecast (By Month)'!$F$3:$AY$605,MATCH($F13*12,'Forecast (By Month)'!$F$3:$F$605,0),MATCH(W$3,'Forecast (By Month)'!$F$3:$AA$3,0)),"-")</f>
        <v>0.5497510038633886</v>
      </c>
      <c r="X13" s="29">
        <f>IF($F13&lt;=$C$16,INDEX('Forecast (By Month)'!$F$3:$AY$605,MATCH($F13*12,'Forecast (By Month)'!$F$3:$F$605,0),MATCH(X$3,'Forecast (By Month)'!$F$3:$AA$3,0)),"-")</f>
        <v>6.1083444873709841E-2</v>
      </c>
      <c r="Y13" s="132">
        <f>IF($F13&lt;=$C$16,INDEX('Forecast (By Month)'!$F$3:$AY$605,MATCH($F13*12,'Forecast (By Month)'!$F$3:$F$605,0),MATCH(Y$3,'Forecast (By Month)'!$F$3:$AA$3,0)),"-")</f>
        <v>1730249.3516374007</v>
      </c>
      <c r="Z13" s="29">
        <f>IF($F13&lt;=$C$16,INDEX('Forecast (By Month)'!$F$3:$AY$605,MATCH($F13*12,'Forecast (By Month)'!$F$3:$F$605,0),MATCH(Z$3,'Forecast (By Month)'!$F$3:$AA$3,0)),"-")</f>
        <v>1.080712162653972</v>
      </c>
      <c r="AA13" s="31">
        <f>IF($F13&lt;=$C$16,INDEX('Forecast (By Month)'!$F$3:$AY$605,MATCH($F13*12,'Forecast (By Month)'!$F$3:$F$605,0),MATCH(AA$3,'Forecast (By Month)'!$F$3:$AA$3,0)),"-")</f>
        <v>0.12007912918377467</v>
      </c>
      <c r="AD13" s="12">
        <f t="shared" si="6"/>
        <v>9</v>
      </c>
      <c r="AE13" s="132">
        <f t="shared" si="7"/>
        <v>2536421.6331248735</v>
      </c>
      <c r="AF13" s="132">
        <f>IF($AD13&lt;=$C$25,AE13-$C$7+SUMIFS('Mortgage Calculators (By Month)'!$K$23:$K$622,'Mortgage Calculators (By Month)'!$I$23:$I$622,"&lt;="&amp;AD13*12),"-")</f>
        <v>2536421.6331248735</v>
      </c>
      <c r="AG13" s="132">
        <f t="shared" si="8"/>
        <v>152177.91071027346</v>
      </c>
      <c r="AH13" s="132">
        <f>IF($AD13&lt;=$C$25,SUMIFS('Forecast (By Month)'!$AH$4:$AH$605,'Forecast (By Month)'!$AD$4:$AD$605,"&lt;="&amp;AD13*12,'Forecast (By Month)'!$AD$4:$AD$605,"&gt;"&amp;AD12*12),"-")</f>
        <v>16739.570178130085</v>
      </c>
      <c r="AI13" s="132">
        <f>IF($AD13&lt;=$C$25,SUMIFS('Forecast (By Month)'!$AI$4:$AI$605,'Forecast (By Month)'!$AD$4:$AD$605,"&lt;="&amp;AD13*12,'Forecast (By Month)'!$AD$4:$AD$605,"&gt;"&amp;AD12*12),"-")</f>
        <v>17857.999999999996</v>
      </c>
      <c r="AJ13" s="132">
        <f t="shared" si="9"/>
        <v>34597.570178130081</v>
      </c>
      <c r="AK13" s="132">
        <f>IF($AD13&lt;=$C$25,SUMIFS('Forecast (By Month)'!$AK$4:$AK$605,'Forecast (By Month)'!$AD$4:$AD$605,"&lt;="&amp;AD13*12,'Forecast (By Month)'!$AD$4:$AD$605,"&gt;"&amp;AD12*12),"-")</f>
        <v>0</v>
      </c>
      <c r="AL13" s="132">
        <f>IF($AD13&lt;=$C$25,SUMIFS('Forecast (By Month)'!$AL$4:$AL$605,'Forecast (By Month)'!$AD$4:$AD$605,"&lt;="&amp;AD13*12,'Forecast (By Month)'!$AD$4:$AD$605,"&gt;"&amp;AD12*12),"-")</f>
        <v>0</v>
      </c>
      <c r="AM13" s="132">
        <f>IF($AD13&lt;=$C$25,SUMIFS('Forecast (By Month)'!$AM$4:$AM$605,'Forecast (By Month)'!$AD$4:$AD$605,"&lt;="&amp;AD13*12,'Forecast (By Month)'!$AD$4:$AD$605,"&gt;"&amp;AD12*12),"-")</f>
        <v>120</v>
      </c>
      <c r="AN13" s="132">
        <f>IF($AD13&lt;=$C$25,SUMIFS('Forecast (By Month)'!$AN$4:$AN$605,'Forecast (By Month)'!$AD$4:$AD$605,"&lt;="&amp;AD13*12,'Forecast (By Month)'!$AD$4:$AD$605,"&gt;"&amp;AD12*12),"-")</f>
        <v>0</v>
      </c>
      <c r="AO13" s="132">
        <f>IF($AD13&lt;=$C$25,SUMIFS('Forecast (By Month)'!$AO$4:$AO$605,'Forecast (By Month)'!$AD$4:$AD$605,"&lt;="&amp;AD13*12,'Forecast (By Month)'!$AD$4:$AD$605,"&gt;"&amp;AD12*12),"-")</f>
        <v>34717.570178130074</v>
      </c>
      <c r="AP13" s="132">
        <f>IF($AD13&lt;=$C$25,SUMIFS('Forecast (By Month)'!$AP$4:$AP$605,'Forecast (By Month)'!$AD$4:$AD$605,"&lt;="&amp;AD13*12,'Forecast (By Month)'!$AD$4:$AD$605,"&gt;"&amp;AD12*12),"-")</f>
        <v>117580.34053214341</v>
      </c>
      <c r="AQ13" s="132">
        <f t="shared" si="10"/>
        <v>0</v>
      </c>
      <c r="AR13" s="132">
        <f t="shared" si="11"/>
        <v>117580.34053214341</v>
      </c>
      <c r="AS13" s="132">
        <f>IF($AD13&lt;=$C$25,SUM(AR$5:AR13),"-")</f>
        <v>850073.1511750106</v>
      </c>
      <c r="AT13" s="132">
        <f>IF($AD13&lt;=$C$25,INDEX('Forecast (By Month)'!$AD$3:$AY$605,MATCH($AD13*12,'Forecast (By Month)'!$AD$3:$AD$605,0),MATCH(AT$3,'Forecast (By Month)'!$AD$3:$AY$3,0)),"-")</f>
        <v>880166.2004623895</v>
      </c>
      <c r="AU13" s="29">
        <f>IF($AD13&lt;=$C$25,INDEX('Forecast (By Month)'!$AD$3:$AY$605,MATCH($AD13*12,'Forecast (By Month)'!$AD$3:$AD$605,0),MATCH(AU$3,'Forecast (By Month)'!$AD$3:$AY$3,0)),"-")</f>
        <v>0.5497510038633886</v>
      </c>
      <c r="AV13" s="29">
        <f>IF($AD13&lt;=$C$25,INDEX('Forecast (By Month)'!$AD$3:$AY$605,MATCH($AD13*12,'Forecast (By Month)'!$AD$3:$AD$605,0),MATCH(AV$3,'Forecast (By Month)'!$AD$3:$AY$3,0)),"-")</f>
        <v>6.1083444873709841E-2</v>
      </c>
      <c r="AW13" s="132">
        <f>IF($AD13&lt;=$C$25,INDEX('Forecast (By Month)'!$AD$3:$AY$605,MATCH($AD13*12,'Forecast (By Month)'!$AD$3:$AD$605,0),MATCH(AW$3,'Forecast (By Month)'!$AD$3:$AY$3,0)),"-")</f>
        <v>1730239.3516374007</v>
      </c>
      <c r="AX13" s="29">
        <f>IF($AD13&lt;=$C$25,INDEX('Forecast (By Month)'!$AD$3:$AY$605,MATCH($AD13*12,'Forecast (By Month)'!$AD$3:$AD$605,0),MATCH(AX$3,'Forecast (By Month)'!$AD$3:$AY$3,0)),"-")</f>
        <v>1.0807059166631172</v>
      </c>
      <c r="AY13" s="31">
        <f>IF($AD13&lt;=$C$25,INDEX('Forecast (By Month)'!$AD$3:$AY$605,MATCH($AD13*12,'Forecast (By Month)'!$AD$3:$AD$605,0),MATCH(AY$3,'Forecast (By Month)'!$AD$3:$AY$3,0)),"-")</f>
        <v>0.1200784351847908</v>
      </c>
    </row>
    <row r="14" spans="2:51" x14ac:dyDescent="0.35">
      <c r="B14" t="s">
        <v>11</v>
      </c>
      <c r="C14" s="4">
        <f>Inputs!$K$35</f>
        <v>4.4999999999999998E-2</v>
      </c>
      <c r="F14" s="12">
        <f t="shared" si="1"/>
        <v>10</v>
      </c>
      <c r="G14" s="132">
        <f t="shared" si="2"/>
        <v>2663242.7147811172</v>
      </c>
      <c r="H14" s="132">
        <f>IF($F14&lt;=$C$16,G14-$C$7+SUMIFS('Mortgage Calculators (By Month)'!$D$23:$D$622,'Mortgage Calculators (By Month)'!$B$23:$B$622,"&lt;="&amp;F14*12),"-")</f>
        <v>2663242.7147811172</v>
      </c>
      <c r="I14" s="132">
        <f t="shared" si="3"/>
        <v>159786.80624578713</v>
      </c>
      <c r="J14" s="132">
        <f>IF($F14&lt;=$C$16,SUMIFS('Forecast (By Month)'!$J$4:$J$605,'Forecast (By Month)'!$F$4:$F$605,"&lt;="&amp;F14*12,'Forecast (By Month)'!$F$4:$F$605,"&gt;"&amp;F13*12),"-")</f>
        <v>17576.548687036589</v>
      </c>
      <c r="K14" s="132">
        <f>IF($F14&lt;=$C$16,SUMIFS('Forecast (By Month)'!$K$4:$K$605,'Forecast (By Month)'!$F$4:$F$605,"&lt;="&amp;F14*12,'Forecast (By Month)'!$F$4:$F$605,"&gt;"&amp;F13*12),"-")</f>
        <v>17857.999999999996</v>
      </c>
      <c r="L14" s="132">
        <f t="shared" si="4"/>
        <v>35434.548687036586</v>
      </c>
      <c r="M14" s="132">
        <f>IF($F14&lt;=$C$16,SUMIFS('Forecast (By Month)'!$M$4:$M$605,'Forecast (By Month)'!$F$4:$F$605,"&lt;="&amp;F14*12,'Forecast (By Month)'!$F$4:$F$605,"&gt;"&amp;F13*12),"-")</f>
        <v>0</v>
      </c>
      <c r="N14" s="132">
        <f>IF($F14&lt;=$C$16,SUMIFS('Forecast (By Month)'!$N$4:$N$605,'Forecast (By Month)'!$F$4:$F$605,"&lt;="&amp;F14*12,'Forecast (By Month)'!$F$4:$F$605,"&gt;"&amp;F13*12),"-")</f>
        <v>0</v>
      </c>
      <c r="O14" s="132">
        <f>IF($F14&lt;=$C$16,SUMIFS('Forecast (By Month)'!$O$4:$O$605,'Forecast (By Month)'!$F$4:$F$605,"&lt;="&amp;F14*12,'Forecast (By Month)'!$F$4:$F$605,"&gt;"&amp;F13*12),"-")</f>
        <v>99.999999999999986</v>
      </c>
      <c r="P14" s="132">
        <f>IF($F14&lt;=$C$16,SUMIFS('Forecast (By Month)'!$P$4:$P$605,'Forecast (By Month)'!$F$4:$F$605,"&lt;="&amp;F14*12,'Forecast (By Month)'!$F$4:$F$605,"&gt;"&amp;F13*12),"-")</f>
        <v>0</v>
      </c>
      <c r="Q14" s="132">
        <f>IF($F14&lt;=$C$16,SUMIFS('Forecast (By Month)'!$Q$4:$Q$605,'Forecast (By Month)'!$F$4:$F$605,"&lt;="&amp;F14*12,'Forecast (By Month)'!$F$4:$F$605,"&gt;"&amp;F13*12),"-")</f>
        <v>35534.548687036578</v>
      </c>
      <c r="R14" s="132">
        <f>IF($F14&lt;=$C$16,SUMIFS('Forecast (By Month)'!$R$4:$R$605,'Forecast (By Month)'!$F$4:$F$605,"&lt;="&amp;F14*12,'Forecast (By Month)'!$F$4:$F$605,"&gt;"&amp;F13*12),"-")</f>
        <v>124352.25755875053</v>
      </c>
      <c r="S14" s="132">
        <f t="shared" si="5"/>
        <v>0</v>
      </c>
      <c r="T14" s="132">
        <f t="shared" si="0"/>
        <v>124352.25755875053</v>
      </c>
      <c r="U14" s="132">
        <f>IF($F14&lt;=$C$16,SUM(T$5:T14),"-")</f>
        <v>974435.40873376117</v>
      </c>
      <c r="V14" s="132">
        <f>IF($F14&lt;=$C$16,INDEX('Forecast (By Month)'!$F$3:$AY$605,MATCH($F14*12,'Forecast (By Month)'!$F$3:$F$605,0),MATCH(V$3,'Forecast (By Month)'!$F$3:$AA$3,0)),"-")</f>
        <v>1004450.8604855106</v>
      </c>
      <c r="W14" s="29">
        <f>IF($F14&lt;=$C$16,INDEX('Forecast (By Month)'!$F$3:$AY$605,MATCH($F14*12,'Forecast (By Month)'!$F$3:$F$605,0),MATCH(W$3,'Forecast (By Month)'!$F$3:$AA$3,0)),"-")</f>
        <v>0.62737908885078797</v>
      </c>
      <c r="X14" s="29">
        <f>IF($F14&lt;=$C$16,INDEX('Forecast (By Month)'!$F$3:$AY$605,MATCH($F14*12,'Forecast (By Month)'!$F$3:$F$605,0),MATCH(X$3,'Forecast (By Month)'!$F$3:$AA$3,0)),"-")</f>
        <v>6.2737908885078797E-2</v>
      </c>
      <c r="Y14" s="132">
        <f>IF($F14&lt;=$C$16,INDEX('Forecast (By Month)'!$F$3:$AY$605,MATCH($F14*12,'Forecast (By Month)'!$F$3:$F$605,0),MATCH(Y$3,'Forecast (By Month)'!$F$3:$AA$3,0)),"-")</f>
        <v>1978886.2692192718</v>
      </c>
      <c r="Z14" s="29">
        <f>IF($F14&lt;=$C$16,INDEX('Forecast (By Month)'!$F$3:$AY$605,MATCH($F14*12,'Forecast (By Month)'!$F$3:$F$605,0),MATCH(Z$3,'Forecast (By Month)'!$F$3:$AA$3,0)),"-")</f>
        <v>1.236010553987704</v>
      </c>
      <c r="AA14" s="31">
        <f>IF($F14&lt;=$C$16,INDEX('Forecast (By Month)'!$F$3:$AY$605,MATCH($F14*12,'Forecast (By Month)'!$F$3:$F$605,0),MATCH(AA$3,'Forecast (By Month)'!$F$3:$AA$3,0)),"-")</f>
        <v>0.12360105539877039</v>
      </c>
      <c r="AD14" s="12">
        <f t="shared" si="6"/>
        <v>10</v>
      </c>
      <c r="AE14" s="132">
        <f t="shared" si="7"/>
        <v>2663242.7147811172</v>
      </c>
      <c r="AF14" s="132">
        <f>IF($AD14&lt;=$C$25,AE14-$C$7+SUMIFS('Mortgage Calculators (By Month)'!$K$23:$K$622,'Mortgage Calculators (By Month)'!$I$23:$I$622,"&lt;="&amp;AD14*12),"-")</f>
        <v>2663242.7147811172</v>
      </c>
      <c r="AG14" s="132">
        <f t="shared" si="8"/>
        <v>159786.80624578713</v>
      </c>
      <c r="AH14" s="132">
        <f>IF($AD14&lt;=$C$25,SUMIFS('Forecast (By Month)'!$AH$4:$AH$605,'Forecast (By Month)'!$AD$4:$AD$605,"&lt;="&amp;AD14*12,'Forecast (By Month)'!$AD$4:$AD$605,"&gt;"&amp;AD13*12),"-")</f>
        <v>17576.548687036589</v>
      </c>
      <c r="AI14" s="132">
        <f>IF($AD14&lt;=$C$25,SUMIFS('Forecast (By Month)'!$AI$4:$AI$605,'Forecast (By Month)'!$AD$4:$AD$605,"&lt;="&amp;AD14*12,'Forecast (By Month)'!$AD$4:$AD$605,"&gt;"&amp;AD13*12),"-")</f>
        <v>17857.999999999996</v>
      </c>
      <c r="AJ14" s="132">
        <f t="shared" si="9"/>
        <v>35434.548687036586</v>
      </c>
      <c r="AK14" s="132">
        <f>IF($AD14&lt;=$C$25,SUMIFS('Forecast (By Month)'!$AK$4:$AK$605,'Forecast (By Month)'!$AD$4:$AD$605,"&lt;="&amp;AD14*12,'Forecast (By Month)'!$AD$4:$AD$605,"&gt;"&amp;AD13*12),"-")</f>
        <v>0</v>
      </c>
      <c r="AL14" s="132">
        <f>IF($AD14&lt;=$C$25,SUMIFS('Forecast (By Month)'!$AL$4:$AL$605,'Forecast (By Month)'!$AD$4:$AD$605,"&lt;="&amp;AD14*12,'Forecast (By Month)'!$AD$4:$AD$605,"&gt;"&amp;AD13*12),"-")</f>
        <v>0</v>
      </c>
      <c r="AM14" s="132">
        <f>IF($AD14&lt;=$C$25,SUMIFS('Forecast (By Month)'!$AM$4:$AM$605,'Forecast (By Month)'!$AD$4:$AD$605,"&lt;="&amp;AD14*12,'Forecast (By Month)'!$AD$4:$AD$605,"&gt;"&amp;AD13*12),"-")</f>
        <v>120</v>
      </c>
      <c r="AN14" s="132">
        <f>IF($AD14&lt;=$C$25,SUMIFS('Forecast (By Month)'!$AN$4:$AN$605,'Forecast (By Month)'!$AD$4:$AD$605,"&lt;="&amp;AD14*12,'Forecast (By Month)'!$AD$4:$AD$605,"&gt;"&amp;AD13*12),"-")</f>
        <v>0</v>
      </c>
      <c r="AO14" s="132">
        <f>IF($AD14&lt;=$C$25,SUMIFS('Forecast (By Month)'!$AO$4:$AO$605,'Forecast (By Month)'!$AD$4:$AD$605,"&lt;="&amp;AD14*12,'Forecast (By Month)'!$AD$4:$AD$605,"&gt;"&amp;AD13*12),"-")</f>
        <v>35554.548687036586</v>
      </c>
      <c r="AP14" s="132">
        <f>IF($AD14&lt;=$C$25,SUMIFS('Forecast (By Month)'!$AP$4:$AP$605,'Forecast (By Month)'!$AD$4:$AD$605,"&lt;="&amp;AD14*12,'Forecast (By Month)'!$AD$4:$AD$605,"&gt;"&amp;AD13*12),"-")</f>
        <v>124352.25755875053</v>
      </c>
      <c r="AQ14" s="132">
        <f t="shared" si="10"/>
        <v>0</v>
      </c>
      <c r="AR14" s="132">
        <f t="shared" si="11"/>
        <v>124352.25755875053</v>
      </c>
      <c r="AS14" s="132">
        <f>IF($AD14&lt;=$C$25,SUM(AR$5:AR14),"-")</f>
        <v>974425.40873376117</v>
      </c>
      <c r="AT14" s="132">
        <f>IF($AD14&lt;=$C$25,INDEX('Forecast (By Month)'!$AD$3:$AY$605,MATCH($AD14*12,'Forecast (By Month)'!$AD$3:$AD$605,0),MATCH(AT$3,'Forecast (By Month)'!$AD$3:$AY$3,0)),"-")</f>
        <v>1004450.8604855106</v>
      </c>
      <c r="AU14" s="29">
        <f>IF($AD14&lt;=$C$25,INDEX('Forecast (By Month)'!$AD$3:$AY$605,MATCH($AD14*12,'Forecast (By Month)'!$AD$3:$AD$605,0),MATCH(AU$3,'Forecast (By Month)'!$AD$3:$AY$3,0)),"-")</f>
        <v>0.62737908885078797</v>
      </c>
      <c r="AV14" s="29">
        <f>IF($AD14&lt;=$C$25,INDEX('Forecast (By Month)'!$AD$3:$AY$605,MATCH($AD14*12,'Forecast (By Month)'!$AD$3:$AD$605,0),MATCH(AV$3,'Forecast (By Month)'!$AD$3:$AY$3,0)),"-")</f>
        <v>6.2737908885078797E-2</v>
      </c>
      <c r="AW14" s="132">
        <f>IF($AD14&lt;=$C$25,INDEX('Forecast (By Month)'!$AD$3:$AY$605,MATCH($AD14*12,'Forecast (By Month)'!$AD$3:$AD$605,0),MATCH(AW$3,'Forecast (By Month)'!$AD$3:$AY$3,0)),"-")</f>
        <v>1978876.2692192718</v>
      </c>
      <c r="AX14" s="29">
        <f>IF($AD14&lt;=$C$25,INDEX('Forecast (By Month)'!$AD$3:$AY$605,MATCH($AD14*12,'Forecast (By Month)'!$AD$3:$AD$605,0),MATCH(AX$3,'Forecast (By Month)'!$AD$3:$AY$3,0)),"-")</f>
        <v>1.2360043079968495</v>
      </c>
      <c r="AY14" s="31">
        <f>IF($AD14&lt;=$C$25,INDEX('Forecast (By Month)'!$AD$3:$AY$605,MATCH($AD14*12,'Forecast (By Month)'!$AD$3:$AD$605,0),MATCH(AY$3,'Forecast (By Month)'!$AD$3:$AY$3,0)),"-")</f>
        <v>0.12360043079968494</v>
      </c>
    </row>
    <row r="15" spans="2:51" x14ac:dyDescent="0.35">
      <c r="B15" t="s">
        <v>14</v>
      </c>
      <c r="C15" s="9">
        <f>C14/12</f>
        <v>3.7499999999999999E-3</v>
      </c>
      <c r="F15" s="12">
        <f t="shared" si="1"/>
        <v>11</v>
      </c>
      <c r="G15" s="132">
        <f t="shared" si="2"/>
        <v>2796404.8505201731</v>
      </c>
      <c r="H15" s="132">
        <f>IF($F15&lt;=$C$16,G15-$C$7+SUMIFS('Mortgage Calculators (By Month)'!$D$23:$D$622,'Mortgage Calculators (By Month)'!$B$23:$B$622,"&lt;="&amp;F15*12),"-")</f>
        <v>2796404.8505201731</v>
      </c>
      <c r="I15" s="132">
        <f t="shared" si="3"/>
        <v>167776.14655807649</v>
      </c>
      <c r="J15" s="132">
        <f>IF($F15&lt;=$C$16,SUMIFS('Forecast (By Month)'!$J$4:$J$605,'Forecast (By Month)'!$F$4:$F$605,"&lt;="&amp;F15*12,'Forecast (By Month)'!$F$4:$F$605,"&gt;"&amp;F14*12),"-")</f>
        <v>18455.376121388414</v>
      </c>
      <c r="K15" s="132">
        <f>IF($F15&lt;=$C$16,SUMIFS('Forecast (By Month)'!$K$4:$K$605,'Forecast (By Month)'!$F$4:$F$605,"&lt;="&amp;F15*12,'Forecast (By Month)'!$F$4:$F$605,"&gt;"&amp;F14*12),"-")</f>
        <v>17857.999999999996</v>
      </c>
      <c r="L15" s="132">
        <f t="shared" si="4"/>
        <v>36313.376121388414</v>
      </c>
      <c r="M15" s="132">
        <f>IF($F15&lt;=$C$16,SUMIFS('Forecast (By Month)'!$M$4:$M$605,'Forecast (By Month)'!$F$4:$F$605,"&lt;="&amp;F15*12,'Forecast (By Month)'!$F$4:$F$605,"&gt;"&amp;F14*12),"-")</f>
        <v>0</v>
      </c>
      <c r="N15" s="132">
        <f>IF($F15&lt;=$C$16,SUMIFS('Forecast (By Month)'!$N$4:$N$605,'Forecast (By Month)'!$F$4:$F$605,"&lt;="&amp;F15*12,'Forecast (By Month)'!$F$4:$F$605,"&gt;"&amp;F14*12),"-")</f>
        <v>0</v>
      </c>
      <c r="O15" s="132">
        <f>IF($F15&lt;=$C$16,SUMIFS('Forecast (By Month)'!$O$4:$O$605,'Forecast (By Month)'!$F$4:$F$605,"&lt;="&amp;F15*12,'Forecast (By Month)'!$F$4:$F$605,"&gt;"&amp;F14*12),"-")</f>
        <v>99.999999999999986</v>
      </c>
      <c r="P15" s="132">
        <f>IF($F15&lt;=$C$16,SUMIFS('Forecast (By Month)'!$P$4:$P$605,'Forecast (By Month)'!$F$4:$F$605,"&lt;="&amp;F15*12,'Forecast (By Month)'!$F$4:$F$605,"&gt;"&amp;F14*12),"-")</f>
        <v>0</v>
      </c>
      <c r="Q15" s="132">
        <f>IF($F15&lt;=$C$16,SUMIFS('Forecast (By Month)'!$Q$4:$Q$605,'Forecast (By Month)'!$F$4:$F$605,"&lt;="&amp;F15*12,'Forecast (By Month)'!$F$4:$F$605,"&gt;"&amp;F14*12),"-")</f>
        <v>36413.376121388421</v>
      </c>
      <c r="R15" s="132">
        <f>IF($F15&lt;=$C$16,SUMIFS('Forecast (By Month)'!$R$4:$R$605,'Forecast (By Month)'!$F$4:$F$605,"&lt;="&amp;F15*12,'Forecast (By Month)'!$F$4:$F$605,"&gt;"&amp;F14*12),"-")</f>
        <v>131462.77043668806</v>
      </c>
      <c r="S15" s="132">
        <f t="shared" si="5"/>
        <v>0</v>
      </c>
      <c r="T15" s="132">
        <f t="shared" si="0"/>
        <v>131462.77043668806</v>
      </c>
      <c r="U15" s="132">
        <f>IF($F15&lt;=$C$16,SUM(T$5:T15),"-")</f>
        <v>1105898.1791704493</v>
      </c>
      <c r="V15" s="132">
        <f>IF($F15&lt;=$C$16,INDEX('Forecast (By Month)'!$F$3:$AY$605,MATCH($F15*12,'Forecast (By Month)'!$F$3:$F$605,0),MATCH(V$3,'Forecast (By Month)'!$F$3:$AA$3,0)),"-")</f>
        <v>1134949.7535097881</v>
      </c>
      <c r="W15" s="29">
        <f>IF($F15&lt;=$C$16,INDEX('Forecast (By Month)'!$F$3:$AY$605,MATCH($F15*12,'Forecast (By Month)'!$F$3:$F$605,0),MATCH(W$3,'Forecast (By Month)'!$F$3:$AA$3,0)),"-")</f>
        <v>0.70888857808755756</v>
      </c>
      <c r="X15" s="29">
        <f>IF($F15&lt;=$C$16,INDEX('Forecast (By Month)'!$F$3:$AY$605,MATCH($F15*12,'Forecast (By Month)'!$F$3:$F$605,0),MATCH(X$3,'Forecast (By Month)'!$F$3:$AA$3,0)),"-")</f>
        <v>6.4444416189777962E-2</v>
      </c>
      <c r="Y15" s="132">
        <f>IF($F15&lt;=$C$16,INDEX('Forecast (By Month)'!$F$3:$AY$605,MATCH($F15*12,'Forecast (By Month)'!$F$3:$F$605,0),MATCH(Y$3,'Forecast (By Month)'!$F$3:$AA$3,0)),"-")</f>
        <v>2240847.9326802366</v>
      </c>
      <c r="Z15" s="29">
        <f>IF($F15&lt;=$C$16,INDEX('Forecast (By Month)'!$F$3:$AY$605,MATCH($F15*12,'Forecast (By Month)'!$F$3:$F$605,0),MATCH(Z$3,'Forecast (By Month)'!$F$3:$AA$3,0)),"-")</f>
        <v>1.3996315694115318</v>
      </c>
      <c r="AA15" s="31">
        <f>IF($F15&lt;=$C$16,INDEX('Forecast (By Month)'!$F$3:$AY$605,MATCH($F15*12,'Forecast (By Month)'!$F$3:$F$605,0),MATCH(AA$3,'Forecast (By Month)'!$F$3:$AA$3,0)),"-")</f>
        <v>0.12723923358286651</v>
      </c>
      <c r="AD15" s="12">
        <f t="shared" si="6"/>
        <v>11</v>
      </c>
      <c r="AE15" s="132">
        <f t="shared" si="7"/>
        <v>2796404.8505201731</v>
      </c>
      <c r="AF15" s="132">
        <f>IF($AD15&lt;=$C$25,AE15-$C$7+SUMIFS('Mortgage Calculators (By Month)'!$K$23:$K$622,'Mortgage Calculators (By Month)'!$I$23:$I$622,"&lt;="&amp;AD15*12),"-")</f>
        <v>2796404.8505201731</v>
      </c>
      <c r="AG15" s="132">
        <f t="shared" si="8"/>
        <v>167776.14655807649</v>
      </c>
      <c r="AH15" s="132">
        <f>IF($AD15&lt;=$C$25,SUMIFS('Forecast (By Month)'!$AH$4:$AH$605,'Forecast (By Month)'!$AD$4:$AD$605,"&lt;="&amp;AD15*12,'Forecast (By Month)'!$AD$4:$AD$605,"&gt;"&amp;AD14*12),"-")</f>
        <v>18455.376121388414</v>
      </c>
      <c r="AI15" s="132">
        <f>IF($AD15&lt;=$C$25,SUMIFS('Forecast (By Month)'!$AI$4:$AI$605,'Forecast (By Month)'!$AD$4:$AD$605,"&lt;="&amp;AD15*12,'Forecast (By Month)'!$AD$4:$AD$605,"&gt;"&amp;AD14*12),"-")</f>
        <v>17857.999999999996</v>
      </c>
      <c r="AJ15" s="132">
        <f t="shared" si="9"/>
        <v>36313.376121388414</v>
      </c>
      <c r="AK15" s="132">
        <f>IF($AD15&lt;=$C$25,SUMIFS('Forecast (By Month)'!$AK$4:$AK$605,'Forecast (By Month)'!$AD$4:$AD$605,"&lt;="&amp;AD15*12,'Forecast (By Month)'!$AD$4:$AD$605,"&gt;"&amp;AD14*12),"-")</f>
        <v>0</v>
      </c>
      <c r="AL15" s="132">
        <f>IF($AD15&lt;=$C$25,SUMIFS('Forecast (By Month)'!$AL$4:$AL$605,'Forecast (By Month)'!$AD$4:$AD$605,"&lt;="&amp;AD15*12,'Forecast (By Month)'!$AD$4:$AD$605,"&gt;"&amp;AD14*12),"-")</f>
        <v>0</v>
      </c>
      <c r="AM15" s="132">
        <f>IF($AD15&lt;=$C$25,SUMIFS('Forecast (By Month)'!$AM$4:$AM$605,'Forecast (By Month)'!$AD$4:$AD$605,"&lt;="&amp;AD15*12,'Forecast (By Month)'!$AD$4:$AD$605,"&gt;"&amp;AD14*12),"-")</f>
        <v>120</v>
      </c>
      <c r="AN15" s="132">
        <f>IF($AD15&lt;=$C$25,SUMIFS('Forecast (By Month)'!$AN$4:$AN$605,'Forecast (By Month)'!$AD$4:$AD$605,"&lt;="&amp;AD15*12,'Forecast (By Month)'!$AD$4:$AD$605,"&gt;"&amp;AD14*12),"-")</f>
        <v>0</v>
      </c>
      <c r="AO15" s="132">
        <f>IF($AD15&lt;=$C$25,SUMIFS('Forecast (By Month)'!$AO$4:$AO$605,'Forecast (By Month)'!$AD$4:$AD$605,"&lt;="&amp;AD15*12,'Forecast (By Month)'!$AD$4:$AD$605,"&gt;"&amp;AD14*12),"-")</f>
        <v>36433.376121388406</v>
      </c>
      <c r="AP15" s="132">
        <f>IF($AD15&lt;=$C$25,SUMIFS('Forecast (By Month)'!$AP$4:$AP$605,'Forecast (By Month)'!$AD$4:$AD$605,"&lt;="&amp;AD15*12,'Forecast (By Month)'!$AD$4:$AD$605,"&gt;"&amp;AD14*12),"-")</f>
        <v>131462.77043668806</v>
      </c>
      <c r="AQ15" s="132">
        <f t="shared" si="10"/>
        <v>0</v>
      </c>
      <c r="AR15" s="132">
        <f t="shared" si="11"/>
        <v>131462.77043668806</v>
      </c>
      <c r="AS15" s="132">
        <f>IF($AD15&lt;=$C$25,SUM(AR$5:AR15),"-")</f>
        <v>1105888.1791704493</v>
      </c>
      <c r="AT15" s="132">
        <f>IF($AD15&lt;=$C$25,INDEX('Forecast (By Month)'!$AD$3:$AY$605,MATCH($AD15*12,'Forecast (By Month)'!$AD$3:$AD$605,0),MATCH(AT$3,'Forecast (By Month)'!$AD$3:$AY$3,0)),"-")</f>
        <v>1134949.7535097881</v>
      </c>
      <c r="AU15" s="29">
        <f>IF($AD15&lt;=$C$25,INDEX('Forecast (By Month)'!$AD$3:$AY$605,MATCH($AD15*12,'Forecast (By Month)'!$AD$3:$AD$605,0),MATCH(AU$3,'Forecast (By Month)'!$AD$3:$AY$3,0)),"-")</f>
        <v>0.70888857808755756</v>
      </c>
      <c r="AV15" s="29">
        <f>IF($AD15&lt;=$C$25,INDEX('Forecast (By Month)'!$AD$3:$AY$605,MATCH($AD15*12,'Forecast (By Month)'!$AD$3:$AD$605,0),MATCH(AV$3,'Forecast (By Month)'!$AD$3:$AY$3,0)),"-")</f>
        <v>6.4444416189777962E-2</v>
      </c>
      <c r="AW15" s="132">
        <f>IF($AD15&lt;=$C$25,INDEX('Forecast (By Month)'!$AD$3:$AY$605,MATCH($AD15*12,'Forecast (By Month)'!$AD$3:$AD$605,0),MATCH(AW$3,'Forecast (By Month)'!$AD$3:$AY$3,0)),"-")</f>
        <v>2240837.9326802366</v>
      </c>
      <c r="AX15" s="29">
        <f>IF($AD15&lt;=$C$25,INDEX('Forecast (By Month)'!$AD$3:$AY$605,MATCH($AD15*12,'Forecast (By Month)'!$AD$3:$AD$605,0),MATCH(AX$3,'Forecast (By Month)'!$AD$3:$AY$3,0)),"-")</f>
        <v>1.3996253234206772</v>
      </c>
      <c r="AY15" s="31">
        <f>IF($AD15&lt;=$C$25,INDEX('Forecast (By Month)'!$AD$3:$AY$605,MATCH($AD15*12,'Forecast (By Month)'!$AD$3:$AD$605,0),MATCH(AY$3,'Forecast (By Month)'!$AD$3:$AY$3,0)),"-")</f>
        <v>0.12723866576551612</v>
      </c>
    </row>
    <row r="16" spans="2:51" x14ac:dyDescent="0.35">
      <c r="B16" t="s">
        <v>16</v>
      </c>
      <c r="C16">
        <f>Inputs!$K$37</f>
        <v>30</v>
      </c>
      <c r="F16" s="12">
        <f t="shared" si="1"/>
        <v>12</v>
      </c>
      <c r="G16" s="132">
        <f t="shared" si="2"/>
        <v>2936225.0930461818</v>
      </c>
      <c r="H16" s="132">
        <f>IF($F16&lt;=$C$16,G16-$C$7+SUMIFS('Mortgage Calculators (By Month)'!$D$23:$D$622,'Mortgage Calculators (By Month)'!$B$23:$B$622,"&lt;="&amp;F16*12),"-")</f>
        <v>2936225.0930461818</v>
      </c>
      <c r="I16" s="132">
        <f t="shared" si="3"/>
        <v>176164.95388598033</v>
      </c>
      <c r="J16" s="132">
        <f>IF($F16&lt;=$C$16,SUMIFS('Forecast (By Month)'!$J$4:$J$605,'Forecast (By Month)'!$F$4:$F$605,"&lt;="&amp;F16*12,'Forecast (By Month)'!$F$4:$F$605,"&gt;"&amp;F15*12),"-")</f>
        <v>19378.144927457837</v>
      </c>
      <c r="K16" s="132">
        <f>IF($F16&lt;=$C$16,SUMIFS('Forecast (By Month)'!$K$4:$K$605,'Forecast (By Month)'!$F$4:$F$605,"&lt;="&amp;F16*12,'Forecast (By Month)'!$F$4:$F$605,"&gt;"&amp;F15*12),"-")</f>
        <v>17857.999999999996</v>
      </c>
      <c r="L16" s="132">
        <f t="shared" si="4"/>
        <v>37236.144927457834</v>
      </c>
      <c r="M16" s="132">
        <f>IF($F16&lt;=$C$16,SUMIFS('Forecast (By Month)'!$M$4:$M$605,'Forecast (By Month)'!$F$4:$F$605,"&lt;="&amp;F16*12,'Forecast (By Month)'!$F$4:$F$605,"&gt;"&amp;F15*12),"-")</f>
        <v>0</v>
      </c>
      <c r="N16" s="132">
        <f>IF($F16&lt;=$C$16,SUMIFS('Forecast (By Month)'!$N$4:$N$605,'Forecast (By Month)'!$F$4:$F$605,"&lt;="&amp;F16*12,'Forecast (By Month)'!$F$4:$F$605,"&gt;"&amp;F15*12),"-")</f>
        <v>0</v>
      </c>
      <c r="O16" s="132">
        <f>IF($F16&lt;=$C$16,SUMIFS('Forecast (By Month)'!$O$4:$O$605,'Forecast (By Month)'!$F$4:$F$605,"&lt;="&amp;F16*12,'Forecast (By Month)'!$F$4:$F$605,"&gt;"&amp;F15*12),"-")</f>
        <v>99.999999999999986</v>
      </c>
      <c r="P16" s="132">
        <f>IF($F16&lt;=$C$16,SUMIFS('Forecast (By Month)'!$P$4:$P$605,'Forecast (By Month)'!$F$4:$F$605,"&lt;="&amp;F16*12,'Forecast (By Month)'!$F$4:$F$605,"&gt;"&amp;F15*12),"-")</f>
        <v>0</v>
      </c>
      <c r="Q16" s="132">
        <f>IF($F16&lt;=$C$16,SUMIFS('Forecast (By Month)'!$Q$4:$Q$605,'Forecast (By Month)'!$F$4:$F$605,"&lt;="&amp;F16*12,'Forecast (By Month)'!$F$4:$F$605,"&gt;"&amp;F15*12),"-")</f>
        <v>37336.144927457826</v>
      </c>
      <c r="R16" s="132">
        <f>IF($F16&lt;=$C$16,SUMIFS('Forecast (By Month)'!$R$4:$R$605,'Forecast (By Month)'!$F$4:$F$605,"&lt;="&amp;F16*12,'Forecast (By Month)'!$F$4:$F$605,"&gt;"&amp;F15*12),"-")</f>
        <v>138928.80895852248</v>
      </c>
      <c r="S16" s="132">
        <f t="shared" si="5"/>
        <v>0</v>
      </c>
      <c r="T16" s="132">
        <f t="shared" si="0"/>
        <v>138928.80895852248</v>
      </c>
      <c r="U16" s="132">
        <f>IF($F16&lt;=$C$16,SUM(T$5:T16),"-")</f>
        <v>1244826.9881289718</v>
      </c>
      <c r="V16" s="132">
        <f>IF($F16&lt;=$C$16,INDEX('Forecast (By Month)'!$F$3:$AY$605,MATCH($F16*12,'Forecast (By Month)'!$F$3:$F$605,0),MATCH(V$3,'Forecast (By Month)'!$F$3:$AA$3,0)),"-")</f>
        <v>1271973.5911852799</v>
      </c>
      <c r="W16" s="29">
        <f>IF($F16&lt;=$C$16,INDEX('Forecast (By Month)'!$F$3:$AY$605,MATCH($F16*12,'Forecast (By Month)'!$F$3:$F$605,0),MATCH(W$3,'Forecast (By Month)'!$F$3:$AA$3,0)),"-")</f>
        <v>0.79447354178616592</v>
      </c>
      <c r="X16" s="29">
        <f>IF($F16&lt;=$C$16,INDEX('Forecast (By Month)'!$F$3:$AY$605,MATCH($F16*12,'Forecast (By Month)'!$F$3:$F$605,0),MATCH(X$3,'Forecast (By Month)'!$F$3:$AA$3,0)),"-")</f>
        <v>6.6206128482180493E-2</v>
      </c>
      <c r="Y16" s="132">
        <f>IF($F16&lt;=$C$16,INDEX('Forecast (By Month)'!$F$3:$AY$605,MATCH($F16*12,'Forecast (By Month)'!$F$3:$F$605,0),MATCH(Y$3,'Forecast (By Month)'!$F$3:$AA$3,0)),"-")</f>
        <v>2516800.5793142496</v>
      </c>
      <c r="Z16" s="29">
        <f>IF($F16&lt;=$C$16,INDEX('Forecast (By Month)'!$F$3:$AY$605,MATCH($F16*12,'Forecast (By Month)'!$F$3:$F$605,0),MATCH(Z$3,'Forecast (By Month)'!$F$3:$AA$3,0)),"-")</f>
        <v>1.5719913401299601</v>
      </c>
      <c r="AA16" s="31">
        <f>IF($F16&lt;=$C$16,INDEX('Forecast (By Month)'!$F$3:$AY$605,MATCH($F16*12,'Forecast (By Month)'!$F$3:$F$605,0),MATCH(AA$3,'Forecast (By Month)'!$F$3:$AA$3,0)),"-")</f>
        <v>0.13099927834416333</v>
      </c>
      <c r="AD16" s="12">
        <f t="shared" si="6"/>
        <v>12</v>
      </c>
      <c r="AE16" s="132">
        <f t="shared" si="7"/>
        <v>2936225.0930461818</v>
      </c>
      <c r="AF16" s="132">
        <f>IF($AD16&lt;=$C$25,AE16-$C$7+SUMIFS('Mortgage Calculators (By Month)'!$K$23:$K$622,'Mortgage Calculators (By Month)'!$I$23:$I$622,"&lt;="&amp;AD16*12),"-")</f>
        <v>2936225.0930461818</v>
      </c>
      <c r="AG16" s="132">
        <f t="shared" si="8"/>
        <v>176164.95388598033</v>
      </c>
      <c r="AH16" s="132">
        <f>IF($AD16&lt;=$C$25,SUMIFS('Forecast (By Month)'!$AH$4:$AH$605,'Forecast (By Month)'!$AD$4:$AD$605,"&lt;="&amp;AD16*12,'Forecast (By Month)'!$AD$4:$AD$605,"&gt;"&amp;AD15*12),"-")</f>
        <v>19378.144927457837</v>
      </c>
      <c r="AI16" s="132">
        <f>IF($AD16&lt;=$C$25,SUMIFS('Forecast (By Month)'!$AI$4:$AI$605,'Forecast (By Month)'!$AD$4:$AD$605,"&lt;="&amp;AD16*12,'Forecast (By Month)'!$AD$4:$AD$605,"&gt;"&amp;AD15*12),"-")</f>
        <v>17857.999999999996</v>
      </c>
      <c r="AJ16" s="132">
        <f t="shared" si="9"/>
        <v>37236.144927457834</v>
      </c>
      <c r="AK16" s="132">
        <f>IF($AD16&lt;=$C$25,SUMIFS('Forecast (By Month)'!$AK$4:$AK$605,'Forecast (By Month)'!$AD$4:$AD$605,"&lt;="&amp;AD16*12,'Forecast (By Month)'!$AD$4:$AD$605,"&gt;"&amp;AD15*12),"-")</f>
        <v>0</v>
      </c>
      <c r="AL16" s="132">
        <f>IF($AD16&lt;=$C$25,SUMIFS('Forecast (By Month)'!$AL$4:$AL$605,'Forecast (By Month)'!$AD$4:$AD$605,"&lt;="&amp;AD16*12,'Forecast (By Month)'!$AD$4:$AD$605,"&gt;"&amp;AD15*12),"-")</f>
        <v>0</v>
      </c>
      <c r="AM16" s="132">
        <f>IF($AD16&lt;=$C$25,SUMIFS('Forecast (By Month)'!$AM$4:$AM$605,'Forecast (By Month)'!$AD$4:$AD$605,"&lt;="&amp;AD16*12,'Forecast (By Month)'!$AD$4:$AD$605,"&gt;"&amp;AD15*12),"-")</f>
        <v>120</v>
      </c>
      <c r="AN16" s="132">
        <f>IF($AD16&lt;=$C$25,SUMIFS('Forecast (By Month)'!$AN$4:$AN$605,'Forecast (By Month)'!$AD$4:$AD$605,"&lt;="&amp;AD16*12,'Forecast (By Month)'!$AD$4:$AD$605,"&gt;"&amp;AD15*12),"-")</f>
        <v>0</v>
      </c>
      <c r="AO16" s="132">
        <f>IF($AD16&lt;=$C$25,SUMIFS('Forecast (By Month)'!$AO$4:$AO$605,'Forecast (By Month)'!$AD$4:$AD$605,"&lt;="&amp;AD16*12,'Forecast (By Month)'!$AD$4:$AD$605,"&gt;"&amp;AD15*12),"-")</f>
        <v>37356.144927457834</v>
      </c>
      <c r="AP16" s="132">
        <f>IF($AD16&lt;=$C$25,SUMIFS('Forecast (By Month)'!$AP$4:$AP$605,'Forecast (By Month)'!$AD$4:$AD$605,"&lt;="&amp;AD16*12,'Forecast (By Month)'!$AD$4:$AD$605,"&gt;"&amp;AD15*12),"-")</f>
        <v>138928.80895852248</v>
      </c>
      <c r="AQ16" s="132">
        <f t="shared" si="10"/>
        <v>0</v>
      </c>
      <c r="AR16" s="132">
        <f t="shared" si="11"/>
        <v>138928.80895852248</v>
      </c>
      <c r="AS16" s="132">
        <f>IF($AD16&lt;=$C$25,SUM(AR$5:AR16),"-")</f>
        <v>1244816.9881289718</v>
      </c>
      <c r="AT16" s="132">
        <f>IF($AD16&lt;=$C$25,INDEX('Forecast (By Month)'!$AD$3:$AY$605,MATCH($AD16*12,'Forecast (By Month)'!$AD$3:$AD$605,0),MATCH(AT$3,'Forecast (By Month)'!$AD$3:$AY$3,0)),"-")</f>
        <v>1271973.5911852799</v>
      </c>
      <c r="AU16" s="29">
        <f>IF($AD16&lt;=$C$25,INDEX('Forecast (By Month)'!$AD$3:$AY$605,MATCH($AD16*12,'Forecast (By Month)'!$AD$3:$AD$605,0),MATCH(AU$3,'Forecast (By Month)'!$AD$3:$AY$3,0)),"-")</f>
        <v>0.79447354178616592</v>
      </c>
      <c r="AV16" s="29">
        <f>IF($AD16&lt;=$C$25,INDEX('Forecast (By Month)'!$AD$3:$AY$605,MATCH($AD16*12,'Forecast (By Month)'!$AD$3:$AD$605,0),MATCH(AV$3,'Forecast (By Month)'!$AD$3:$AY$3,0)),"-")</f>
        <v>6.6206128482180493E-2</v>
      </c>
      <c r="AW16" s="132">
        <f>IF($AD16&lt;=$C$25,INDEX('Forecast (By Month)'!$AD$3:$AY$605,MATCH($AD16*12,'Forecast (By Month)'!$AD$3:$AD$605,0),MATCH(AW$3,'Forecast (By Month)'!$AD$3:$AY$3,0)),"-")</f>
        <v>2516790.5793142496</v>
      </c>
      <c r="AX16" s="29">
        <f>IF($AD16&lt;=$C$25,INDEX('Forecast (By Month)'!$AD$3:$AY$605,MATCH($AD16*12,'Forecast (By Month)'!$AD$3:$AD$605,0),MATCH(AX$3,'Forecast (By Month)'!$AD$3:$AY$3,0)),"-")</f>
        <v>1.5719850941391054</v>
      </c>
      <c r="AY16" s="31">
        <f>IF($AD16&lt;=$C$25,INDEX('Forecast (By Month)'!$AD$3:$AY$605,MATCH($AD16*12,'Forecast (By Month)'!$AD$3:$AD$605,0),MATCH(AY$3,'Forecast (By Month)'!$AD$3:$AY$3,0)),"-")</f>
        <v>0.13099875784492546</v>
      </c>
    </row>
    <row r="17" spans="2:51" x14ac:dyDescent="0.35">
      <c r="B17" t="s">
        <v>48</v>
      </c>
      <c r="C17" s="142">
        <f>Inputs!$C$21</f>
        <v>100</v>
      </c>
      <c r="F17" s="12">
        <f t="shared" si="1"/>
        <v>13</v>
      </c>
      <c r="G17" s="132">
        <f t="shared" si="2"/>
        <v>3083036.3476984911</v>
      </c>
      <c r="H17" s="132">
        <f>IF($F17&lt;=$C$16,G17-$C$7+SUMIFS('Mortgage Calculators (By Month)'!$D$23:$D$622,'Mortgage Calculators (By Month)'!$B$23:$B$622,"&lt;="&amp;F17*12),"-")</f>
        <v>3083036.3476984911</v>
      </c>
      <c r="I17" s="132">
        <f t="shared" si="3"/>
        <v>184973.2015802793</v>
      </c>
      <c r="J17" s="132">
        <f>IF($F17&lt;=$C$16,SUMIFS('Forecast (By Month)'!$J$4:$J$605,'Forecast (By Month)'!$F$4:$F$605,"&lt;="&amp;F17*12,'Forecast (By Month)'!$F$4:$F$605,"&gt;"&amp;F16*12),"-")</f>
        <v>20347.052173830718</v>
      </c>
      <c r="K17" s="132">
        <f>IF($F17&lt;=$C$16,SUMIFS('Forecast (By Month)'!$K$4:$K$605,'Forecast (By Month)'!$F$4:$F$605,"&lt;="&amp;F17*12,'Forecast (By Month)'!$F$4:$F$605,"&gt;"&amp;F16*12),"-")</f>
        <v>17857.999999999996</v>
      </c>
      <c r="L17" s="132">
        <f t="shared" si="4"/>
        <v>38205.052173830714</v>
      </c>
      <c r="M17" s="132">
        <f>IF($F17&lt;=$C$16,SUMIFS('Forecast (By Month)'!$M$4:$M$605,'Forecast (By Month)'!$F$4:$F$605,"&lt;="&amp;F17*12,'Forecast (By Month)'!$F$4:$F$605,"&gt;"&amp;F16*12),"-")</f>
        <v>0</v>
      </c>
      <c r="N17" s="132">
        <f>IF($F17&lt;=$C$16,SUMIFS('Forecast (By Month)'!$N$4:$N$605,'Forecast (By Month)'!$F$4:$F$605,"&lt;="&amp;F17*12,'Forecast (By Month)'!$F$4:$F$605,"&gt;"&amp;F16*12),"-")</f>
        <v>0</v>
      </c>
      <c r="O17" s="132">
        <f>IF($F17&lt;=$C$16,SUMIFS('Forecast (By Month)'!$O$4:$O$605,'Forecast (By Month)'!$F$4:$F$605,"&lt;="&amp;F17*12,'Forecast (By Month)'!$F$4:$F$605,"&gt;"&amp;F16*12),"-")</f>
        <v>99.999999999999986</v>
      </c>
      <c r="P17" s="132">
        <f>IF($F17&lt;=$C$16,SUMIFS('Forecast (By Month)'!$P$4:$P$605,'Forecast (By Month)'!$F$4:$F$605,"&lt;="&amp;F17*12,'Forecast (By Month)'!$F$4:$F$605,"&gt;"&amp;F16*12),"-")</f>
        <v>0</v>
      </c>
      <c r="Q17" s="132">
        <f>IF($F17&lt;=$C$16,SUMIFS('Forecast (By Month)'!$Q$4:$Q$605,'Forecast (By Month)'!$F$4:$F$605,"&lt;="&amp;F17*12,'Forecast (By Month)'!$F$4:$F$605,"&gt;"&amp;F16*12),"-")</f>
        <v>38305.052173830722</v>
      </c>
      <c r="R17" s="132">
        <f>IF($F17&lt;=$C$16,SUMIFS('Forecast (By Month)'!$R$4:$R$605,'Forecast (By Month)'!$F$4:$F$605,"&lt;="&amp;F17*12,'Forecast (By Month)'!$F$4:$F$605,"&gt;"&amp;F16*12),"-")</f>
        <v>146768.14940644859</v>
      </c>
      <c r="S17" s="132">
        <f t="shared" si="5"/>
        <v>0</v>
      </c>
      <c r="T17" s="132">
        <f t="shared" si="0"/>
        <v>146768.14940644859</v>
      </c>
      <c r="U17" s="132">
        <f>IF($F17&lt;=$C$16,SUM(T$5:T17),"-")</f>
        <v>1391595.1375354202</v>
      </c>
      <c r="V17" s="132">
        <f>IF($F17&lt;=$C$16,INDEX('Forecast (By Month)'!$F$3:$AY$605,MATCH($F17*12,'Forecast (By Month)'!$F$3:$F$605,0),MATCH(V$3,'Forecast (By Month)'!$F$3:$AA$3,0)),"-")</f>
        <v>1415848.6207445455</v>
      </c>
      <c r="W17" s="29">
        <f>IF($F17&lt;=$C$16,INDEX('Forecast (By Month)'!$F$3:$AY$605,MATCH($F17*12,'Forecast (By Month)'!$F$3:$F$605,0),MATCH(W$3,'Forecast (By Month)'!$F$3:$AA$3,0)),"-")</f>
        <v>0.88433775366970413</v>
      </c>
      <c r="X17" s="29">
        <f>IF($F17&lt;=$C$16,INDEX('Forecast (By Month)'!$F$3:$AY$605,MATCH($F17*12,'Forecast (By Month)'!$F$3:$F$605,0),MATCH(X$3,'Forecast (By Month)'!$F$3:$AA$3,0)),"-")</f>
        <v>6.8025981051515708E-2</v>
      </c>
      <c r="Y17" s="132">
        <f>IF($F17&lt;=$C$16,INDEX('Forecast (By Month)'!$F$3:$AY$605,MATCH($F17*12,'Forecast (By Month)'!$F$3:$F$605,0),MATCH(Y$3,'Forecast (By Month)'!$F$3:$AA$3,0)),"-")</f>
        <v>2807443.7582799653</v>
      </c>
      <c r="Z17" s="29">
        <f>IF($F17&lt;=$C$16,INDEX('Forecast (By Month)'!$F$3:$AY$605,MATCH($F17*12,'Forecast (By Month)'!$F$3:$F$605,0),MATCH(Z$3,'Forecast (By Month)'!$F$3:$AA$3,0)),"-")</f>
        <v>1.7535268039077201</v>
      </c>
      <c r="AA17" s="31">
        <f>IF($F17&lt;=$C$16,INDEX('Forecast (By Month)'!$F$3:$AY$605,MATCH($F17*12,'Forecast (By Month)'!$F$3:$F$605,0),MATCH(AA$3,'Forecast (By Month)'!$F$3:$AA$3,0)),"-")</f>
        <v>0.13488667722367079</v>
      </c>
      <c r="AD17" s="12">
        <f t="shared" si="6"/>
        <v>13</v>
      </c>
      <c r="AE17" s="132">
        <f t="shared" si="7"/>
        <v>3083036.3476984911</v>
      </c>
      <c r="AF17" s="132">
        <f>IF($AD17&lt;=$C$25,AE17-$C$7+SUMIFS('Mortgage Calculators (By Month)'!$K$23:$K$622,'Mortgage Calculators (By Month)'!$I$23:$I$622,"&lt;="&amp;AD17*12),"-")</f>
        <v>3083036.3476984911</v>
      </c>
      <c r="AG17" s="132">
        <f t="shared" si="8"/>
        <v>184973.2015802793</v>
      </c>
      <c r="AH17" s="132">
        <f>IF($AD17&lt;=$C$25,SUMIFS('Forecast (By Month)'!$AH$4:$AH$605,'Forecast (By Month)'!$AD$4:$AD$605,"&lt;="&amp;AD17*12,'Forecast (By Month)'!$AD$4:$AD$605,"&gt;"&amp;AD16*12),"-")</f>
        <v>20347.052173830718</v>
      </c>
      <c r="AI17" s="132">
        <f>IF($AD17&lt;=$C$25,SUMIFS('Forecast (By Month)'!$AI$4:$AI$605,'Forecast (By Month)'!$AD$4:$AD$605,"&lt;="&amp;AD17*12,'Forecast (By Month)'!$AD$4:$AD$605,"&gt;"&amp;AD16*12),"-")</f>
        <v>17857.999999999996</v>
      </c>
      <c r="AJ17" s="132">
        <f t="shared" si="9"/>
        <v>38205.052173830714</v>
      </c>
      <c r="AK17" s="132">
        <f>IF($AD17&lt;=$C$25,SUMIFS('Forecast (By Month)'!$AK$4:$AK$605,'Forecast (By Month)'!$AD$4:$AD$605,"&lt;="&amp;AD17*12,'Forecast (By Month)'!$AD$4:$AD$605,"&gt;"&amp;AD16*12),"-")</f>
        <v>0</v>
      </c>
      <c r="AL17" s="132">
        <f>IF($AD17&lt;=$C$25,SUMIFS('Forecast (By Month)'!$AL$4:$AL$605,'Forecast (By Month)'!$AD$4:$AD$605,"&lt;="&amp;AD17*12,'Forecast (By Month)'!$AD$4:$AD$605,"&gt;"&amp;AD16*12),"-")</f>
        <v>0</v>
      </c>
      <c r="AM17" s="132">
        <f>IF($AD17&lt;=$C$25,SUMIFS('Forecast (By Month)'!$AM$4:$AM$605,'Forecast (By Month)'!$AD$4:$AD$605,"&lt;="&amp;AD17*12,'Forecast (By Month)'!$AD$4:$AD$605,"&gt;"&amp;AD16*12),"-")</f>
        <v>120</v>
      </c>
      <c r="AN17" s="132">
        <f>IF($AD17&lt;=$C$25,SUMIFS('Forecast (By Month)'!$AN$4:$AN$605,'Forecast (By Month)'!$AD$4:$AD$605,"&lt;="&amp;AD17*12,'Forecast (By Month)'!$AD$4:$AD$605,"&gt;"&amp;AD16*12),"-")</f>
        <v>0</v>
      </c>
      <c r="AO17" s="132">
        <f>IF($AD17&lt;=$C$25,SUMIFS('Forecast (By Month)'!$AO$4:$AO$605,'Forecast (By Month)'!$AD$4:$AD$605,"&lt;="&amp;AD17*12,'Forecast (By Month)'!$AD$4:$AD$605,"&gt;"&amp;AD16*12),"-")</f>
        <v>38325.052173830729</v>
      </c>
      <c r="AP17" s="132">
        <f>IF($AD17&lt;=$C$25,SUMIFS('Forecast (By Month)'!$AP$4:$AP$605,'Forecast (By Month)'!$AD$4:$AD$605,"&lt;="&amp;AD17*12,'Forecast (By Month)'!$AD$4:$AD$605,"&gt;"&amp;AD16*12),"-")</f>
        <v>146768.14940644859</v>
      </c>
      <c r="AQ17" s="132">
        <f t="shared" si="10"/>
        <v>0</v>
      </c>
      <c r="AR17" s="132">
        <f t="shared" si="11"/>
        <v>146768.14940644859</v>
      </c>
      <c r="AS17" s="132">
        <f>IF($AD17&lt;=$C$25,SUM(AR$5:AR17),"-")</f>
        <v>1391585.1375354202</v>
      </c>
      <c r="AT17" s="132">
        <f>IF($AD17&lt;=$C$25,INDEX('Forecast (By Month)'!$AD$3:$AY$605,MATCH($AD17*12,'Forecast (By Month)'!$AD$3:$AD$605,0),MATCH(AT$3,'Forecast (By Month)'!$AD$3:$AY$3,0)),"-")</f>
        <v>1415848.6207445455</v>
      </c>
      <c r="AU17" s="29">
        <f>IF($AD17&lt;=$C$25,INDEX('Forecast (By Month)'!$AD$3:$AY$605,MATCH($AD17*12,'Forecast (By Month)'!$AD$3:$AD$605,0),MATCH(AU$3,'Forecast (By Month)'!$AD$3:$AY$3,0)),"-")</f>
        <v>0.88433775366970413</v>
      </c>
      <c r="AV17" s="29">
        <f>IF($AD17&lt;=$C$25,INDEX('Forecast (By Month)'!$AD$3:$AY$605,MATCH($AD17*12,'Forecast (By Month)'!$AD$3:$AD$605,0),MATCH(AV$3,'Forecast (By Month)'!$AD$3:$AY$3,0)),"-")</f>
        <v>6.8025981051515708E-2</v>
      </c>
      <c r="AW17" s="132">
        <f>IF($AD17&lt;=$C$25,INDEX('Forecast (By Month)'!$AD$3:$AY$605,MATCH($AD17*12,'Forecast (By Month)'!$AD$3:$AD$605,0),MATCH(AW$3,'Forecast (By Month)'!$AD$3:$AY$3,0)),"-")</f>
        <v>2807433.7582799653</v>
      </c>
      <c r="AX17" s="29">
        <f>IF($AD17&lt;=$C$25,INDEX('Forecast (By Month)'!$AD$3:$AY$605,MATCH($AD17*12,'Forecast (By Month)'!$AD$3:$AD$605,0),MATCH(AX$3,'Forecast (By Month)'!$AD$3:$AY$3,0)),"-")</f>
        <v>1.7535205579168653</v>
      </c>
      <c r="AY17" s="31">
        <f>IF($AD17&lt;=$C$25,INDEX('Forecast (By Month)'!$AD$3:$AY$605,MATCH($AD17*12,'Forecast (By Month)'!$AD$3:$AD$605,0),MATCH(AY$3,'Forecast (By Month)'!$AD$3:$AY$3,0)),"-")</f>
        <v>0.13488619676283581</v>
      </c>
    </row>
    <row r="18" spans="2:51" x14ac:dyDescent="0.35">
      <c r="F18" s="12">
        <f t="shared" si="1"/>
        <v>14</v>
      </c>
      <c r="G18" s="132">
        <f t="shared" si="2"/>
        <v>3237188.1650834158</v>
      </c>
      <c r="H18" s="132">
        <f>IF($F18&lt;=$C$16,G18-$C$7+SUMIFS('Mortgage Calculators (By Month)'!$D$23:$D$622,'Mortgage Calculators (By Month)'!$B$23:$B$622,"&lt;="&amp;F18*12),"-")</f>
        <v>3237188.1650834158</v>
      </c>
      <c r="I18" s="132">
        <f t="shared" si="3"/>
        <v>194221.8616592933</v>
      </c>
      <c r="J18" s="132">
        <f>IF($F18&lt;=$C$16,SUMIFS('Forecast (By Month)'!$J$4:$J$605,'Forecast (By Month)'!$F$4:$F$605,"&lt;="&amp;F18*12,'Forecast (By Month)'!$F$4:$F$605,"&gt;"&amp;F17*12),"-")</f>
        <v>21364.404782522266</v>
      </c>
      <c r="K18" s="132">
        <f>IF($F18&lt;=$C$16,SUMIFS('Forecast (By Month)'!$K$4:$K$605,'Forecast (By Month)'!$F$4:$F$605,"&lt;="&amp;F18*12,'Forecast (By Month)'!$F$4:$F$605,"&gt;"&amp;F17*12),"-")</f>
        <v>17857.999999999996</v>
      </c>
      <c r="L18" s="132">
        <f t="shared" si="4"/>
        <v>39222.404782522266</v>
      </c>
      <c r="M18" s="132">
        <f>IF($F18&lt;=$C$16,SUMIFS('Forecast (By Month)'!$M$4:$M$605,'Forecast (By Month)'!$F$4:$F$605,"&lt;="&amp;F18*12,'Forecast (By Month)'!$F$4:$F$605,"&gt;"&amp;F17*12),"-")</f>
        <v>0</v>
      </c>
      <c r="N18" s="132">
        <f>IF($F18&lt;=$C$16,SUMIFS('Forecast (By Month)'!$N$4:$N$605,'Forecast (By Month)'!$F$4:$F$605,"&lt;="&amp;F18*12,'Forecast (By Month)'!$F$4:$F$605,"&gt;"&amp;F17*12),"-")</f>
        <v>0</v>
      </c>
      <c r="O18" s="132">
        <f>IF($F18&lt;=$C$16,SUMIFS('Forecast (By Month)'!$O$4:$O$605,'Forecast (By Month)'!$F$4:$F$605,"&lt;="&amp;F18*12,'Forecast (By Month)'!$F$4:$F$605,"&gt;"&amp;F17*12),"-")</f>
        <v>99.999999999999986</v>
      </c>
      <c r="P18" s="132">
        <f>IF($F18&lt;=$C$16,SUMIFS('Forecast (By Month)'!$P$4:$P$605,'Forecast (By Month)'!$F$4:$F$605,"&lt;="&amp;F18*12,'Forecast (By Month)'!$F$4:$F$605,"&gt;"&amp;F17*12),"-")</f>
        <v>0</v>
      </c>
      <c r="Q18" s="132">
        <f>IF($F18&lt;=$C$16,SUMIFS('Forecast (By Month)'!$Q$4:$Q$605,'Forecast (By Month)'!$F$4:$F$605,"&lt;="&amp;F18*12,'Forecast (By Month)'!$F$4:$F$605,"&gt;"&amp;F17*12),"-")</f>
        <v>39322.404782522266</v>
      </c>
      <c r="R18" s="132">
        <f>IF($F18&lt;=$C$16,SUMIFS('Forecast (By Month)'!$R$4:$R$605,'Forecast (By Month)'!$F$4:$F$605,"&lt;="&amp;F18*12,'Forecast (By Month)'!$F$4:$F$605,"&gt;"&amp;F17*12),"-")</f>
        <v>154999.45687677106</v>
      </c>
      <c r="S18" s="132">
        <f t="shared" si="5"/>
        <v>0</v>
      </c>
      <c r="T18" s="132">
        <f t="shared" si="0"/>
        <v>154999.45687677106</v>
      </c>
      <c r="U18" s="132">
        <f>IF($F18&lt;=$C$16,SUM(T$5:T18),"-")</f>
        <v>1546594.5944121913</v>
      </c>
      <c r="V18" s="132">
        <f>IF($F18&lt;=$C$16,INDEX('Forecast (By Month)'!$F$3:$AY$605,MATCH($F18*12,'Forecast (By Month)'!$F$3:$F$605,0),MATCH(V$3,'Forecast (By Month)'!$F$3:$AA$3,0)),"-")</f>
        <v>1566917.4017817748</v>
      </c>
      <c r="W18" s="29">
        <f>IF($F18&lt;=$C$16,INDEX('Forecast (By Month)'!$F$3:$AY$605,MATCH($F18*12,'Forecast (By Month)'!$F$3:$F$605,0),MATCH(W$3,'Forecast (By Month)'!$F$3:$AA$3,0)),"-")</f>
        <v>0.97869517614741963</v>
      </c>
      <c r="X18" s="29">
        <f>IF($F18&lt;=$C$16,INDEX('Forecast (By Month)'!$F$3:$AY$605,MATCH($F18*12,'Forecast (By Month)'!$F$3:$F$605,0),MATCH(X$3,'Forecast (By Month)'!$F$3:$AA$3,0)),"-")</f>
        <v>6.9906798296244257E-2</v>
      </c>
      <c r="Y18" s="132">
        <f>IF($F18&lt;=$C$16,INDEX('Forecast (By Month)'!$F$3:$AY$605,MATCH($F18*12,'Forecast (By Month)'!$F$3:$F$605,0),MATCH(Y$3,'Forecast (By Month)'!$F$3:$AA$3,0)),"-")</f>
        <v>3113511.996193965</v>
      </c>
      <c r="Z18" s="29">
        <f>IF($F18&lt;=$C$16,INDEX('Forecast (By Month)'!$F$3:$AY$605,MATCH($F18*12,'Forecast (By Month)'!$F$3:$F$605,0),MATCH(Z$3,'Forecast (By Month)'!$F$3:$AA$3,0)),"-")</f>
        <v>1.9446967453977759</v>
      </c>
      <c r="AA18" s="31">
        <f>IF($F18&lt;=$C$16,INDEX('Forecast (By Month)'!$F$3:$AY$605,MATCH($F18*12,'Forecast (By Month)'!$F$3:$F$605,0),MATCH(AA$3,'Forecast (By Month)'!$F$3:$AA$3,0)),"-")</f>
        <v>0.13890691038555542</v>
      </c>
      <c r="AD18" s="12">
        <f t="shared" si="6"/>
        <v>14</v>
      </c>
      <c r="AE18" s="132">
        <f t="shared" si="7"/>
        <v>3237188.1650834158</v>
      </c>
      <c r="AF18" s="132">
        <f>IF($AD18&lt;=$C$25,AE18-$C$7+SUMIFS('Mortgage Calculators (By Month)'!$K$23:$K$622,'Mortgage Calculators (By Month)'!$I$23:$I$622,"&lt;="&amp;AD18*12),"-")</f>
        <v>3237188.1650834158</v>
      </c>
      <c r="AG18" s="132">
        <f t="shared" si="8"/>
        <v>194221.8616592933</v>
      </c>
      <c r="AH18" s="132">
        <f>IF($AD18&lt;=$C$25,SUMIFS('Forecast (By Month)'!$AH$4:$AH$605,'Forecast (By Month)'!$AD$4:$AD$605,"&lt;="&amp;AD18*12,'Forecast (By Month)'!$AD$4:$AD$605,"&gt;"&amp;AD17*12),"-")</f>
        <v>21364.404782522266</v>
      </c>
      <c r="AI18" s="132">
        <f>IF($AD18&lt;=$C$25,SUMIFS('Forecast (By Month)'!$AI$4:$AI$605,'Forecast (By Month)'!$AD$4:$AD$605,"&lt;="&amp;AD18*12,'Forecast (By Month)'!$AD$4:$AD$605,"&gt;"&amp;AD17*12),"-")</f>
        <v>17857.999999999996</v>
      </c>
      <c r="AJ18" s="132">
        <f t="shared" si="9"/>
        <v>39222.404782522266</v>
      </c>
      <c r="AK18" s="132">
        <f>IF($AD18&lt;=$C$25,SUMIFS('Forecast (By Month)'!$AK$4:$AK$605,'Forecast (By Month)'!$AD$4:$AD$605,"&lt;="&amp;AD18*12,'Forecast (By Month)'!$AD$4:$AD$605,"&gt;"&amp;AD17*12),"-")</f>
        <v>0</v>
      </c>
      <c r="AL18" s="132">
        <f>IF($AD18&lt;=$C$25,SUMIFS('Forecast (By Month)'!$AL$4:$AL$605,'Forecast (By Month)'!$AD$4:$AD$605,"&lt;="&amp;AD18*12,'Forecast (By Month)'!$AD$4:$AD$605,"&gt;"&amp;AD17*12),"-")</f>
        <v>0</v>
      </c>
      <c r="AM18" s="132">
        <f>IF($AD18&lt;=$C$25,SUMIFS('Forecast (By Month)'!$AM$4:$AM$605,'Forecast (By Month)'!$AD$4:$AD$605,"&lt;="&amp;AD18*12,'Forecast (By Month)'!$AD$4:$AD$605,"&gt;"&amp;AD17*12),"-")</f>
        <v>120</v>
      </c>
      <c r="AN18" s="132">
        <f>IF($AD18&lt;=$C$25,SUMIFS('Forecast (By Month)'!$AN$4:$AN$605,'Forecast (By Month)'!$AD$4:$AD$605,"&lt;="&amp;AD18*12,'Forecast (By Month)'!$AD$4:$AD$605,"&gt;"&amp;AD17*12),"-")</f>
        <v>0</v>
      </c>
      <c r="AO18" s="132">
        <f>IF($AD18&lt;=$C$25,SUMIFS('Forecast (By Month)'!$AO$4:$AO$605,'Forecast (By Month)'!$AD$4:$AD$605,"&lt;="&amp;AD18*12,'Forecast (By Month)'!$AD$4:$AD$605,"&gt;"&amp;AD17*12),"-")</f>
        <v>39342.404782522266</v>
      </c>
      <c r="AP18" s="132">
        <f>IF($AD18&lt;=$C$25,SUMIFS('Forecast (By Month)'!$AP$4:$AP$605,'Forecast (By Month)'!$AD$4:$AD$605,"&lt;="&amp;AD18*12,'Forecast (By Month)'!$AD$4:$AD$605,"&gt;"&amp;AD17*12),"-")</f>
        <v>154999.45687677106</v>
      </c>
      <c r="AQ18" s="132">
        <f t="shared" si="10"/>
        <v>0</v>
      </c>
      <c r="AR18" s="132">
        <f t="shared" si="11"/>
        <v>154999.45687677106</v>
      </c>
      <c r="AS18" s="132">
        <f>IF($AD18&lt;=$C$25,SUM(AR$5:AR18),"-")</f>
        <v>1546584.5944121913</v>
      </c>
      <c r="AT18" s="132">
        <f>IF($AD18&lt;=$C$25,INDEX('Forecast (By Month)'!$AD$3:$AY$605,MATCH($AD18*12,'Forecast (By Month)'!$AD$3:$AD$605,0),MATCH(AT$3,'Forecast (By Month)'!$AD$3:$AY$3,0)),"-")</f>
        <v>1566917.4017817748</v>
      </c>
      <c r="AU18" s="29">
        <f>IF($AD18&lt;=$C$25,INDEX('Forecast (By Month)'!$AD$3:$AY$605,MATCH($AD18*12,'Forecast (By Month)'!$AD$3:$AD$605,0),MATCH(AU$3,'Forecast (By Month)'!$AD$3:$AY$3,0)),"-")</f>
        <v>0.97869517614741963</v>
      </c>
      <c r="AV18" s="29">
        <f>IF($AD18&lt;=$C$25,INDEX('Forecast (By Month)'!$AD$3:$AY$605,MATCH($AD18*12,'Forecast (By Month)'!$AD$3:$AD$605,0),MATCH(AV$3,'Forecast (By Month)'!$AD$3:$AY$3,0)),"-")</f>
        <v>6.9906798296244257E-2</v>
      </c>
      <c r="AW18" s="132">
        <f>IF($AD18&lt;=$C$25,INDEX('Forecast (By Month)'!$AD$3:$AY$605,MATCH($AD18*12,'Forecast (By Month)'!$AD$3:$AD$605,0),MATCH(AW$3,'Forecast (By Month)'!$AD$3:$AY$3,0)),"-")</f>
        <v>3113501.996193965</v>
      </c>
      <c r="AX18" s="29">
        <f>IF($AD18&lt;=$C$25,INDEX('Forecast (By Month)'!$AD$3:$AY$605,MATCH($AD18*12,'Forecast (By Month)'!$AD$3:$AD$605,0),MATCH(AX$3,'Forecast (By Month)'!$AD$3:$AY$3,0)),"-")</f>
        <v>1.9446904994069212</v>
      </c>
      <c r="AY18" s="31">
        <f>IF($AD18&lt;=$C$25,INDEX('Forecast (By Month)'!$AD$3:$AY$605,MATCH($AD18*12,'Forecast (By Month)'!$AD$3:$AD$605,0),MATCH(AY$3,'Forecast (By Month)'!$AD$3:$AY$3,0)),"-")</f>
        <v>0.13890646424335151</v>
      </c>
    </row>
    <row r="19" spans="2:51" x14ac:dyDescent="0.35">
      <c r="B19" s="46" t="s">
        <v>142</v>
      </c>
      <c r="C19" s="54"/>
      <c r="F19" s="12">
        <f t="shared" si="1"/>
        <v>15</v>
      </c>
      <c r="G19" s="132">
        <f t="shared" si="2"/>
        <v>3399047.5733375866</v>
      </c>
      <c r="H19" s="132">
        <f>IF($F19&lt;=$C$16,G19-$C$7+SUMIFS('Mortgage Calculators (By Month)'!$D$23:$D$622,'Mortgage Calculators (By Month)'!$B$23:$B$622,"&lt;="&amp;F19*12),"-")</f>
        <v>3399047.5733375866</v>
      </c>
      <c r="I19" s="132">
        <f t="shared" si="3"/>
        <v>203932.95474225792</v>
      </c>
      <c r="J19" s="132">
        <f>IF($F19&lt;=$C$16,SUMIFS('Forecast (By Month)'!$J$4:$J$605,'Forecast (By Month)'!$F$4:$F$605,"&lt;="&amp;F19*12,'Forecast (By Month)'!$F$4:$F$605,"&gt;"&amp;F18*12),"-")</f>
        <v>22432.625021648371</v>
      </c>
      <c r="K19" s="132">
        <f>IF($F19&lt;=$C$16,SUMIFS('Forecast (By Month)'!$K$4:$K$605,'Forecast (By Month)'!$F$4:$F$605,"&lt;="&amp;F19*12,'Forecast (By Month)'!$F$4:$F$605,"&gt;"&amp;F18*12),"-")</f>
        <v>17857.999999999996</v>
      </c>
      <c r="L19" s="132">
        <f t="shared" si="4"/>
        <v>40290.625021648368</v>
      </c>
      <c r="M19" s="132">
        <f>IF($F19&lt;=$C$16,SUMIFS('Forecast (By Month)'!$M$4:$M$605,'Forecast (By Month)'!$F$4:$F$605,"&lt;="&amp;F19*12,'Forecast (By Month)'!$F$4:$F$605,"&gt;"&amp;F18*12),"-")</f>
        <v>0</v>
      </c>
      <c r="N19" s="132">
        <f>IF($F19&lt;=$C$16,SUMIFS('Forecast (By Month)'!$N$4:$N$605,'Forecast (By Month)'!$F$4:$F$605,"&lt;="&amp;F19*12,'Forecast (By Month)'!$F$4:$F$605,"&gt;"&amp;F18*12),"-")</f>
        <v>0</v>
      </c>
      <c r="O19" s="132">
        <f>IF($F19&lt;=$C$16,SUMIFS('Forecast (By Month)'!$O$4:$O$605,'Forecast (By Month)'!$F$4:$F$605,"&lt;="&amp;F19*12,'Forecast (By Month)'!$F$4:$F$605,"&gt;"&amp;F18*12),"-")</f>
        <v>99.999999999999986</v>
      </c>
      <c r="P19" s="132">
        <f>IF($F19&lt;=$C$16,SUMIFS('Forecast (By Month)'!$P$4:$P$605,'Forecast (By Month)'!$F$4:$F$605,"&lt;="&amp;F19*12,'Forecast (By Month)'!$F$4:$F$605,"&gt;"&amp;F18*12),"-")</f>
        <v>0</v>
      </c>
      <c r="Q19" s="132">
        <f>IF($F19&lt;=$C$16,SUMIFS('Forecast (By Month)'!$Q$4:$Q$605,'Forecast (By Month)'!$F$4:$F$605,"&lt;="&amp;F19*12,'Forecast (By Month)'!$F$4:$F$605,"&gt;"&amp;F18*12),"-")</f>
        <v>40390.625021648375</v>
      </c>
      <c r="R19" s="132">
        <f>IF($F19&lt;=$C$16,SUMIFS('Forecast (By Month)'!$R$4:$R$605,'Forecast (By Month)'!$F$4:$F$605,"&lt;="&amp;F19*12,'Forecast (By Month)'!$F$4:$F$605,"&gt;"&amp;F18*12),"-")</f>
        <v>163642.32972060956</v>
      </c>
      <c r="S19" s="132">
        <f t="shared" si="5"/>
        <v>0</v>
      </c>
      <c r="T19" s="132">
        <f t="shared" si="0"/>
        <v>163642.32972060956</v>
      </c>
      <c r="U19" s="132">
        <f>IF($F19&lt;=$C$16,SUM(T$5:T19),"-")</f>
        <v>1710236.9241328009</v>
      </c>
      <c r="V19" s="132">
        <f>IF($F19&lt;=$C$16,INDEX('Forecast (By Month)'!$F$3:$AY$605,MATCH($F19*12,'Forecast (By Month)'!$F$3:$F$605,0),MATCH(V$3,'Forecast (By Month)'!$F$3:$AA$3,0)),"-")</f>
        <v>1725539.6218708653</v>
      </c>
      <c r="W19" s="29">
        <f>IF($F19&lt;=$C$16,INDEX('Forecast (By Month)'!$F$3:$AY$605,MATCH($F19*12,'Forecast (By Month)'!$F$3:$F$605,0),MATCH(W$3,'Forecast (By Month)'!$F$3:$AA$3,0)),"-")</f>
        <v>1.0777704697490207</v>
      </c>
      <c r="X19" s="29">
        <f>IF($F19&lt;=$C$16,INDEX('Forecast (By Month)'!$F$3:$AY$605,MATCH($F19*12,'Forecast (By Month)'!$F$3:$F$605,0),MATCH(X$3,'Forecast (By Month)'!$F$3:$AA$3,0)),"-")</f>
        <v>7.1851364649934718E-2</v>
      </c>
      <c r="Y19" s="132">
        <f>IF($F19&lt;=$C$16,INDEX('Forecast (By Month)'!$F$3:$AY$605,MATCH($F19*12,'Forecast (By Month)'!$F$3:$F$605,0),MATCH(Y$3,'Forecast (By Month)'!$F$3:$AA$3,0)),"-")</f>
        <v>3435776.5460036644</v>
      </c>
      <c r="Z19" s="29">
        <f>IF($F19&lt;=$C$16,INDEX('Forecast (By Month)'!$F$3:$AY$605,MATCH($F19*12,'Forecast (By Month)'!$F$3:$F$605,0),MATCH(Z$3,'Forecast (By Month)'!$F$3:$AA$3,0)),"-")</f>
        <v>2.1459828884857433</v>
      </c>
      <c r="AA19" s="31">
        <f>IF($F19&lt;=$C$16,INDEX('Forecast (By Month)'!$F$3:$AY$605,MATCH($F19*12,'Forecast (By Month)'!$F$3:$F$605,0),MATCH(AA$3,'Forecast (By Month)'!$F$3:$AA$3,0)),"-")</f>
        <v>0.14306552589904956</v>
      </c>
      <c r="AD19" s="12">
        <f t="shared" si="6"/>
        <v>15</v>
      </c>
      <c r="AE19" s="132">
        <f t="shared" si="7"/>
        <v>3399047.5733375866</v>
      </c>
      <c r="AF19" s="132">
        <f>IF($AD19&lt;=$C$25,AE19-$C$7+SUMIFS('Mortgage Calculators (By Month)'!$K$23:$K$622,'Mortgage Calculators (By Month)'!$I$23:$I$622,"&lt;="&amp;AD19*12),"-")</f>
        <v>3399047.5733375866</v>
      </c>
      <c r="AG19" s="132">
        <f t="shared" si="8"/>
        <v>203932.95474225792</v>
      </c>
      <c r="AH19" s="132">
        <f>IF($AD19&lt;=$C$25,SUMIFS('Forecast (By Month)'!$AH$4:$AH$605,'Forecast (By Month)'!$AD$4:$AD$605,"&lt;="&amp;AD19*12,'Forecast (By Month)'!$AD$4:$AD$605,"&gt;"&amp;AD18*12),"-")</f>
        <v>22432.625021648371</v>
      </c>
      <c r="AI19" s="132">
        <f>IF($AD19&lt;=$C$25,SUMIFS('Forecast (By Month)'!$AI$4:$AI$605,'Forecast (By Month)'!$AD$4:$AD$605,"&lt;="&amp;AD19*12,'Forecast (By Month)'!$AD$4:$AD$605,"&gt;"&amp;AD18*12),"-")</f>
        <v>17857.999999999996</v>
      </c>
      <c r="AJ19" s="132">
        <f t="shared" si="9"/>
        <v>40290.625021648368</v>
      </c>
      <c r="AK19" s="132">
        <f>IF($AD19&lt;=$C$25,SUMIFS('Forecast (By Month)'!$AK$4:$AK$605,'Forecast (By Month)'!$AD$4:$AD$605,"&lt;="&amp;AD19*12,'Forecast (By Month)'!$AD$4:$AD$605,"&gt;"&amp;AD18*12),"-")</f>
        <v>0</v>
      </c>
      <c r="AL19" s="132">
        <f>IF($AD19&lt;=$C$25,SUMIFS('Forecast (By Month)'!$AL$4:$AL$605,'Forecast (By Month)'!$AD$4:$AD$605,"&lt;="&amp;AD19*12,'Forecast (By Month)'!$AD$4:$AD$605,"&gt;"&amp;AD18*12),"-")</f>
        <v>0</v>
      </c>
      <c r="AM19" s="132">
        <f>IF($AD19&lt;=$C$25,SUMIFS('Forecast (By Month)'!$AM$4:$AM$605,'Forecast (By Month)'!$AD$4:$AD$605,"&lt;="&amp;AD19*12,'Forecast (By Month)'!$AD$4:$AD$605,"&gt;"&amp;AD18*12),"-")</f>
        <v>120</v>
      </c>
      <c r="AN19" s="132">
        <f>IF($AD19&lt;=$C$25,SUMIFS('Forecast (By Month)'!$AN$4:$AN$605,'Forecast (By Month)'!$AD$4:$AD$605,"&lt;="&amp;AD19*12,'Forecast (By Month)'!$AD$4:$AD$605,"&gt;"&amp;AD18*12),"-")</f>
        <v>0</v>
      </c>
      <c r="AO19" s="132">
        <f>IF($AD19&lt;=$C$25,SUMIFS('Forecast (By Month)'!$AO$4:$AO$605,'Forecast (By Month)'!$AD$4:$AD$605,"&lt;="&amp;AD19*12,'Forecast (By Month)'!$AD$4:$AD$605,"&gt;"&amp;AD18*12),"-")</f>
        <v>40410.625021648382</v>
      </c>
      <c r="AP19" s="132">
        <f>IF($AD19&lt;=$C$25,SUMIFS('Forecast (By Month)'!$AP$4:$AP$605,'Forecast (By Month)'!$AD$4:$AD$605,"&lt;="&amp;AD19*12,'Forecast (By Month)'!$AD$4:$AD$605,"&gt;"&amp;AD18*12),"-")</f>
        <v>163642.32972060956</v>
      </c>
      <c r="AQ19" s="132">
        <f t="shared" si="10"/>
        <v>0</v>
      </c>
      <c r="AR19" s="132">
        <f t="shared" si="11"/>
        <v>163642.32972060956</v>
      </c>
      <c r="AS19" s="132">
        <f>IF($AD19&lt;=$C$25,SUM(AR$5:AR19),"-")</f>
        <v>1710226.9241328009</v>
      </c>
      <c r="AT19" s="132">
        <f>IF($AD19&lt;=$C$25,INDEX('Forecast (By Month)'!$AD$3:$AY$605,MATCH($AD19*12,'Forecast (By Month)'!$AD$3:$AD$605,0),MATCH(AT$3,'Forecast (By Month)'!$AD$3:$AY$3,0)),"-")</f>
        <v>1725539.6218708653</v>
      </c>
      <c r="AU19" s="29">
        <f>IF($AD19&lt;=$C$25,INDEX('Forecast (By Month)'!$AD$3:$AY$605,MATCH($AD19*12,'Forecast (By Month)'!$AD$3:$AD$605,0),MATCH(AU$3,'Forecast (By Month)'!$AD$3:$AY$3,0)),"-")</f>
        <v>1.0777704697490207</v>
      </c>
      <c r="AV19" s="29">
        <f>IF($AD19&lt;=$C$25,INDEX('Forecast (By Month)'!$AD$3:$AY$605,MATCH($AD19*12,'Forecast (By Month)'!$AD$3:$AD$605,0),MATCH(AV$3,'Forecast (By Month)'!$AD$3:$AY$3,0)),"-")</f>
        <v>7.1851364649934718E-2</v>
      </c>
      <c r="AW19" s="132">
        <f>IF($AD19&lt;=$C$25,INDEX('Forecast (By Month)'!$AD$3:$AY$605,MATCH($AD19*12,'Forecast (By Month)'!$AD$3:$AD$605,0),MATCH(AW$3,'Forecast (By Month)'!$AD$3:$AY$3,0)),"-")</f>
        <v>3435766.5460036644</v>
      </c>
      <c r="AX19" s="29">
        <f>IF($AD19&lt;=$C$25,INDEX('Forecast (By Month)'!$AD$3:$AY$605,MATCH($AD19*12,'Forecast (By Month)'!$AD$3:$AD$605,0),MATCH(AX$3,'Forecast (By Month)'!$AD$3:$AY$3,0)),"-")</f>
        <v>2.145976642494889</v>
      </c>
      <c r="AY19" s="31">
        <f>IF($AD19&lt;=$C$25,INDEX('Forecast (By Month)'!$AD$3:$AY$605,MATCH($AD19*12,'Forecast (By Month)'!$AD$3:$AD$605,0),MATCH(AY$3,'Forecast (By Month)'!$AD$3:$AY$3,0)),"-")</f>
        <v>0.14306510949965925</v>
      </c>
    </row>
    <row r="20" spans="2:51" x14ac:dyDescent="0.35">
      <c r="B20" t="s">
        <v>11</v>
      </c>
      <c r="C20" s="4">
        <f>Inputs!$K$42</f>
        <v>4.7500000000000001E-2</v>
      </c>
      <c r="F20" s="12">
        <f t="shared" si="1"/>
        <v>16</v>
      </c>
      <c r="G20" s="132">
        <f t="shared" si="2"/>
        <v>3568999.9520044662</v>
      </c>
      <c r="H20" s="132">
        <f>IF($F20&lt;=$C$16,G20-$C$7+SUMIFS('Mortgage Calculators (By Month)'!$D$23:$D$622,'Mortgage Calculators (By Month)'!$B$23:$B$622,"&lt;="&amp;F20*12),"-")</f>
        <v>3568999.9520044662</v>
      </c>
      <c r="I20" s="132">
        <f t="shared" si="3"/>
        <v>214129.60247937089</v>
      </c>
      <c r="J20" s="132">
        <f>IF($F20&lt;=$C$16,SUMIFS('Forecast (By Month)'!$J$4:$J$605,'Forecast (By Month)'!$F$4:$F$605,"&lt;="&amp;F20*12,'Forecast (By Month)'!$F$4:$F$605,"&gt;"&amp;F19*12),"-")</f>
        <v>23554.2562727308</v>
      </c>
      <c r="K20" s="132">
        <f>IF($F20&lt;=$C$16,SUMIFS('Forecast (By Month)'!$K$4:$K$605,'Forecast (By Month)'!$F$4:$F$605,"&lt;="&amp;F20*12,'Forecast (By Month)'!$F$4:$F$605,"&gt;"&amp;F19*12),"-")</f>
        <v>17857.999999999996</v>
      </c>
      <c r="L20" s="132">
        <f t="shared" si="4"/>
        <v>41412.256272730796</v>
      </c>
      <c r="M20" s="132">
        <f>IF($F20&lt;=$C$16,SUMIFS('Forecast (By Month)'!$M$4:$M$605,'Forecast (By Month)'!$F$4:$F$605,"&lt;="&amp;F20*12,'Forecast (By Month)'!$F$4:$F$605,"&gt;"&amp;F19*12),"-")</f>
        <v>0</v>
      </c>
      <c r="N20" s="132">
        <f>IF($F20&lt;=$C$16,SUMIFS('Forecast (By Month)'!$N$4:$N$605,'Forecast (By Month)'!$F$4:$F$605,"&lt;="&amp;F20*12,'Forecast (By Month)'!$F$4:$F$605,"&gt;"&amp;F19*12),"-")</f>
        <v>0</v>
      </c>
      <c r="O20" s="132">
        <f>IF($F20&lt;=$C$16,SUMIFS('Forecast (By Month)'!$O$4:$O$605,'Forecast (By Month)'!$F$4:$F$605,"&lt;="&amp;F20*12,'Forecast (By Month)'!$F$4:$F$605,"&gt;"&amp;F19*12),"-")</f>
        <v>99.999999999999986</v>
      </c>
      <c r="P20" s="132">
        <f>IF($F20&lt;=$C$16,SUMIFS('Forecast (By Month)'!$P$4:$P$605,'Forecast (By Month)'!$F$4:$F$605,"&lt;="&amp;F20*12,'Forecast (By Month)'!$F$4:$F$605,"&gt;"&amp;F19*12),"-")</f>
        <v>0</v>
      </c>
      <c r="Q20" s="132">
        <f>IF($F20&lt;=$C$16,SUMIFS('Forecast (By Month)'!$Q$4:$Q$605,'Forecast (By Month)'!$F$4:$F$605,"&lt;="&amp;F20*12,'Forecast (By Month)'!$F$4:$F$605,"&gt;"&amp;F19*12),"-")</f>
        <v>41512.256272730803</v>
      </c>
      <c r="R20" s="132">
        <f>IF($F20&lt;=$C$16,SUMIFS('Forecast (By Month)'!$R$4:$R$605,'Forecast (By Month)'!$F$4:$F$605,"&lt;="&amp;F20*12,'Forecast (By Month)'!$F$4:$F$605,"&gt;"&amp;F19*12),"-")</f>
        <v>172717.34620664004</v>
      </c>
      <c r="S20" s="132">
        <f t="shared" si="5"/>
        <v>0</v>
      </c>
      <c r="T20" s="132">
        <f t="shared" si="0"/>
        <v>172717.34620664004</v>
      </c>
      <c r="U20" s="132">
        <f>IF($F20&lt;=$C$16,SUM(T$5:T20),"-")</f>
        <v>1882954.270339441</v>
      </c>
      <c r="V20" s="132">
        <f>IF($F20&lt;=$C$16,INDEX('Forecast (By Month)'!$F$3:$AY$605,MATCH($F20*12,'Forecast (By Month)'!$F$3:$F$605,0),MATCH(V$3,'Forecast (By Month)'!$F$3:$AA$3,0)),"-")</f>
        <v>1892092.9529644107</v>
      </c>
      <c r="W20" s="29">
        <f>IF($F20&lt;=$C$16,INDEX('Forecast (By Month)'!$F$3:$AY$605,MATCH($F20*12,'Forecast (By Month)'!$F$3:$F$605,0),MATCH(W$3,'Forecast (By Month)'!$F$3:$AA$3,0)),"-")</f>
        <v>1.1817995280307019</v>
      </c>
      <c r="X20" s="29">
        <f>IF($F20&lt;=$C$16,INDEX('Forecast (By Month)'!$F$3:$AY$605,MATCH($F20*12,'Forecast (By Month)'!$F$3:$F$605,0),MATCH(X$3,'Forecast (By Month)'!$F$3:$AA$3,0)),"-")</f>
        <v>7.3862470501918867E-2</v>
      </c>
      <c r="Y20" s="132">
        <f>IF($F20&lt;=$C$16,INDEX('Forecast (By Month)'!$F$3:$AY$605,MATCH($F20*12,'Forecast (By Month)'!$F$3:$F$605,0),MATCH(Y$3,'Forecast (By Month)'!$F$3:$AA$3,0)),"-")</f>
        <v>3775047.2233038489</v>
      </c>
      <c r="Z20" s="29">
        <f>IF($F20&lt;=$C$16,INDEX('Forecast (By Month)'!$F$3:$AY$605,MATCH($F20*12,'Forecast (By Month)'!$F$3:$F$605,0),MATCH(Z$3,'Forecast (By Month)'!$F$3:$AA$3,0)),"-")</f>
        <v>2.3578910432515183</v>
      </c>
      <c r="AA20" s="31">
        <f>IF($F20&lt;=$C$16,INDEX('Forecast (By Month)'!$F$3:$AY$605,MATCH($F20*12,'Forecast (By Month)'!$F$3:$F$605,0),MATCH(AA$3,'Forecast (By Month)'!$F$3:$AA$3,0)),"-")</f>
        <v>0.1473681902032199</v>
      </c>
      <c r="AD20" s="12">
        <f t="shared" si="6"/>
        <v>16</v>
      </c>
      <c r="AE20" s="132">
        <f t="shared" si="7"/>
        <v>3568999.9520044662</v>
      </c>
      <c r="AF20" s="132">
        <f>IF($AD20&lt;=$C$25,AE20-$C$7+SUMIFS('Mortgage Calculators (By Month)'!$K$23:$K$622,'Mortgage Calculators (By Month)'!$I$23:$I$622,"&lt;="&amp;AD20*12),"-")</f>
        <v>3568999.9520044662</v>
      </c>
      <c r="AG20" s="132">
        <f t="shared" si="8"/>
        <v>214129.60247937089</v>
      </c>
      <c r="AH20" s="132">
        <f>IF($AD20&lt;=$C$25,SUMIFS('Forecast (By Month)'!$AH$4:$AH$605,'Forecast (By Month)'!$AD$4:$AD$605,"&lt;="&amp;AD20*12,'Forecast (By Month)'!$AD$4:$AD$605,"&gt;"&amp;AD19*12),"-")</f>
        <v>23554.2562727308</v>
      </c>
      <c r="AI20" s="132">
        <f>IF($AD20&lt;=$C$25,SUMIFS('Forecast (By Month)'!$AI$4:$AI$605,'Forecast (By Month)'!$AD$4:$AD$605,"&lt;="&amp;AD20*12,'Forecast (By Month)'!$AD$4:$AD$605,"&gt;"&amp;AD19*12),"-")</f>
        <v>17857.999999999996</v>
      </c>
      <c r="AJ20" s="132">
        <f t="shared" si="9"/>
        <v>41412.256272730796</v>
      </c>
      <c r="AK20" s="132">
        <f>IF($AD20&lt;=$C$25,SUMIFS('Forecast (By Month)'!$AK$4:$AK$605,'Forecast (By Month)'!$AD$4:$AD$605,"&lt;="&amp;AD20*12,'Forecast (By Month)'!$AD$4:$AD$605,"&gt;"&amp;AD19*12),"-")</f>
        <v>0</v>
      </c>
      <c r="AL20" s="132">
        <f>IF($AD20&lt;=$C$25,SUMIFS('Forecast (By Month)'!$AL$4:$AL$605,'Forecast (By Month)'!$AD$4:$AD$605,"&lt;="&amp;AD20*12,'Forecast (By Month)'!$AD$4:$AD$605,"&gt;"&amp;AD19*12),"-")</f>
        <v>0</v>
      </c>
      <c r="AM20" s="132">
        <f>IF($AD20&lt;=$C$25,SUMIFS('Forecast (By Month)'!$AM$4:$AM$605,'Forecast (By Month)'!$AD$4:$AD$605,"&lt;="&amp;AD20*12,'Forecast (By Month)'!$AD$4:$AD$605,"&gt;"&amp;AD19*12),"-")</f>
        <v>120</v>
      </c>
      <c r="AN20" s="132">
        <f>IF($AD20&lt;=$C$25,SUMIFS('Forecast (By Month)'!$AN$4:$AN$605,'Forecast (By Month)'!$AD$4:$AD$605,"&lt;="&amp;AD20*12,'Forecast (By Month)'!$AD$4:$AD$605,"&gt;"&amp;AD19*12),"-")</f>
        <v>0</v>
      </c>
      <c r="AO20" s="132">
        <f>IF($AD20&lt;=$C$25,SUMIFS('Forecast (By Month)'!$AO$4:$AO$605,'Forecast (By Month)'!$AD$4:$AD$605,"&lt;="&amp;AD20*12,'Forecast (By Month)'!$AD$4:$AD$605,"&gt;"&amp;AD19*12),"-")</f>
        <v>41532.256272730796</v>
      </c>
      <c r="AP20" s="132">
        <f>IF($AD20&lt;=$C$25,SUMIFS('Forecast (By Month)'!$AP$4:$AP$605,'Forecast (By Month)'!$AD$4:$AD$605,"&lt;="&amp;AD20*12,'Forecast (By Month)'!$AD$4:$AD$605,"&gt;"&amp;AD19*12),"-")</f>
        <v>172717.34620664004</v>
      </c>
      <c r="AQ20" s="132">
        <f t="shared" si="10"/>
        <v>0</v>
      </c>
      <c r="AR20" s="132">
        <f t="shared" si="11"/>
        <v>172717.34620664004</v>
      </c>
      <c r="AS20" s="132">
        <f>IF($AD20&lt;=$C$25,SUM(AR$5:AR20),"-")</f>
        <v>1882944.270339441</v>
      </c>
      <c r="AT20" s="132">
        <f>IF($AD20&lt;=$C$25,INDEX('Forecast (By Month)'!$AD$3:$AY$605,MATCH($AD20*12,'Forecast (By Month)'!$AD$3:$AD$605,0),MATCH(AT$3,'Forecast (By Month)'!$AD$3:$AY$3,0)),"-")</f>
        <v>1892092.9529644107</v>
      </c>
      <c r="AU20" s="29">
        <f>IF($AD20&lt;=$C$25,INDEX('Forecast (By Month)'!$AD$3:$AY$605,MATCH($AD20*12,'Forecast (By Month)'!$AD$3:$AD$605,0),MATCH(AU$3,'Forecast (By Month)'!$AD$3:$AY$3,0)),"-")</f>
        <v>1.1817995280307019</v>
      </c>
      <c r="AV20" s="29">
        <f>IF($AD20&lt;=$C$25,INDEX('Forecast (By Month)'!$AD$3:$AY$605,MATCH($AD20*12,'Forecast (By Month)'!$AD$3:$AD$605,0),MATCH(AV$3,'Forecast (By Month)'!$AD$3:$AY$3,0)),"-")</f>
        <v>7.3862470501918867E-2</v>
      </c>
      <c r="AW20" s="132">
        <f>IF($AD20&lt;=$C$25,INDEX('Forecast (By Month)'!$AD$3:$AY$605,MATCH($AD20*12,'Forecast (By Month)'!$AD$3:$AD$605,0),MATCH(AW$3,'Forecast (By Month)'!$AD$3:$AY$3,0)),"-")</f>
        <v>3775037.2233038489</v>
      </c>
      <c r="AX20" s="29">
        <f>IF($AD20&lt;=$C$25,INDEX('Forecast (By Month)'!$AD$3:$AY$605,MATCH($AD20*12,'Forecast (By Month)'!$AD$3:$AD$605,0),MATCH(AX$3,'Forecast (By Month)'!$AD$3:$AY$3,0)),"-")</f>
        <v>2.357884797260664</v>
      </c>
      <c r="AY20" s="31">
        <f>IF($AD20&lt;=$C$25,INDEX('Forecast (By Month)'!$AD$3:$AY$605,MATCH($AD20*12,'Forecast (By Month)'!$AD$3:$AD$605,0),MATCH(AY$3,'Forecast (By Month)'!$AD$3:$AY$3,0)),"-")</f>
        <v>0.1473677998287915</v>
      </c>
    </row>
    <row r="21" spans="2:51" x14ac:dyDescent="0.35">
      <c r="B21" t="s">
        <v>14</v>
      </c>
      <c r="C21" s="9">
        <f>C20/12</f>
        <v>3.9583333333333337E-3</v>
      </c>
      <c r="F21" s="12">
        <f t="shared" si="1"/>
        <v>17</v>
      </c>
      <c r="G21" s="132">
        <f t="shared" si="2"/>
        <v>3747449.9496046896</v>
      </c>
      <c r="H21" s="132">
        <f>IF($F21&lt;=$C$16,G21-$C$7+SUMIFS('Mortgage Calculators (By Month)'!$D$23:$D$622,'Mortgage Calculators (By Month)'!$B$23:$B$622,"&lt;="&amp;F21*12),"-")</f>
        <v>3747449.9496046896</v>
      </c>
      <c r="I21" s="132">
        <f t="shared" si="3"/>
        <v>224836.08260333943</v>
      </c>
      <c r="J21" s="132">
        <f>IF($F21&lt;=$C$16,SUMIFS('Forecast (By Month)'!$J$4:$J$605,'Forecast (By Month)'!$F$4:$F$605,"&lt;="&amp;F21*12,'Forecast (By Month)'!$F$4:$F$605,"&gt;"&amp;F20*12),"-")</f>
        <v>24731.969086367335</v>
      </c>
      <c r="K21" s="132">
        <f>IF($F21&lt;=$C$16,SUMIFS('Forecast (By Month)'!$K$4:$K$605,'Forecast (By Month)'!$F$4:$F$605,"&lt;="&amp;F21*12,'Forecast (By Month)'!$F$4:$F$605,"&gt;"&amp;F20*12),"-")</f>
        <v>17857.999999999996</v>
      </c>
      <c r="L21" s="132">
        <f t="shared" si="4"/>
        <v>42589.969086367331</v>
      </c>
      <c r="M21" s="132">
        <f>IF($F21&lt;=$C$16,SUMIFS('Forecast (By Month)'!$M$4:$M$605,'Forecast (By Month)'!$F$4:$F$605,"&lt;="&amp;F21*12,'Forecast (By Month)'!$F$4:$F$605,"&gt;"&amp;F20*12),"-")</f>
        <v>0</v>
      </c>
      <c r="N21" s="132">
        <f>IF($F21&lt;=$C$16,SUMIFS('Forecast (By Month)'!$N$4:$N$605,'Forecast (By Month)'!$F$4:$F$605,"&lt;="&amp;F21*12,'Forecast (By Month)'!$F$4:$F$605,"&gt;"&amp;F20*12),"-")</f>
        <v>0</v>
      </c>
      <c r="O21" s="132">
        <f>IF($F21&lt;=$C$16,SUMIFS('Forecast (By Month)'!$O$4:$O$605,'Forecast (By Month)'!$F$4:$F$605,"&lt;="&amp;F21*12,'Forecast (By Month)'!$F$4:$F$605,"&gt;"&amp;F20*12),"-")</f>
        <v>99.999999999999986</v>
      </c>
      <c r="P21" s="132">
        <f>IF($F21&lt;=$C$16,SUMIFS('Forecast (By Month)'!$P$4:$P$605,'Forecast (By Month)'!$F$4:$F$605,"&lt;="&amp;F21*12,'Forecast (By Month)'!$F$4:$F$605,"&gt;"&amp;F20*12),"-")</f>
        <v>0</v>
      </c>
      <c r="Q21" s="132">
        <f>IF($F21&lt;=$C$16,SUMIFS('Forecast (By Month)'!$Q$4:$Q$605,'Forecast (By Month)'!$F$4:$F$605,"&lt;="&amp;F21*12,'Forecast (By Month)'!$F$4:$F$605,"&gt;"&amp;F20*12),"-")</f>
        <v>42689.969086367346</v>
      </c>
      <c r="R21" s="132">
        <f>IF($F21&lt;=$C$16,SUMIFS('Forecast (By Month)'!$R$4:$R$605,'Forecast (By Month)'!$F$4:$F$605,"&lt;="&amp;F21*12,'Forecast (By Month)'!$F$4:$F$605,"&gt;"&amp;F20*12),"-")</f>
        <v>182246.11351697205</v>
      </c>
      <c r="S21" s="132">
        <f t="shared" si="5"/>
        <v>0</v>
      </c>
      <c r="T21" s="132">
        <f t="shared" si="0"/>
        <v>182246.11351697205</v>
      </c>
      <c r="U21" s="132">
        <f>IF($F21&lt;=$C$16,SUM(T$5:T21),"-")</f>
        <v>2065200.383856413</v>
      </c>
      <c r="V21" s="132">
        <f>IF($F21&lt;=$C$16,INDEX('Forecast (By Month)'!$F$3:$AY$605,MATCH($F21*12,'Forecast (By Month)'!$F$3:$F$605,0),MATCH(V$3,'Forecast (By Month)'!$F$3:$AA$3,0)),"-")</f>
        <v>2066973.9506126326</v>
      </c>
      <c r="W21" s="29">
        <f>IF($F21&lt;=$C$16,INDEX('Forecast (By Month)'!$F$3:$AY$605,MATCH($F21*12,'Forecast (By Month)'!$F$3:$F$605,0),MATCH(W$3,'Forecast (By Month)'!$F$3:$AA$3,0)),"-")</f>
        <v>1.2910300392264669</v>
      </c>
      <c r="X21" s="29">
        <f>IF($F21&lt;=$C$16,INDEX('Forecast (By Month)'!$F$3:$AY$605,MATCH($F21*12,'Forecast (By Month)'!$F$3:$F$605,0),MATCH(X$3,'Forecast (By Month)'!$F$3:$AA$3,0)),"-")</f>
        <v>7.5942943483909814E-2</v>
      </c>
      <c r="Y21" s="132">
        <f>IF($F21&lt;=$C$16,INDEX('Forecast (By Month)'!$F$3:$AY$605,MATCH($F21*12,'Forecast (By Month)'!$F$3:$F$605,0),MATCH(Y$3,'Forecast (By Month)'!$F$3:$AA$3,0)),"-")</f>
        <v>4132174.3344690436</v>
      </c>
      <c r="Z21" s="29">
        <f>IF($F21&lt;=$C$16,INDEX('Forecast (By Month)'!$F$3:$AY$605,MATCH($F21*12,'Forecast (By Month)'!$F$3:$F$605,0),MATCH(Z$3,'Forecast (By Month)'!$F$3:$AA$3,0)),"-")</f>
        <v>2.5809523102789917</v>
      </c>
      <c r="AA21" s="31">
        <f>IF($F21&lt;=$C$16,INDEX('Forecast (By Month)'!$F$3:$AY$605,MATCH($F21*12,'Forecast (By Month)'!$F$3:$F$605,0),MATCH(AA$3,'Forecast (By Month)'!$F$3:$AA$3,0)),"-")</f>
        <v>0.15182072413405834</v>
      </c>
      <c r="AD21" s="12">
        <f t="shared" si="6"/>
        <v>17</v>
      </c>
      <c r="AE21" s="132">
        <f t="shared" si="7"/>
        <v>3747449.9496046896</v>
      </c>
      <c r="AF21" s="132">
        <f>IF($AD21&lt;=$C$25,AE21-$C$7+SUMIFS('Mortgage Calculators (By Month)'!$K$23:$K$622,'Mortgage Calculators (By Month)'!$I$23:$I$622,"&lt;="&amp;AD21*12),"-")</f>
        <v>3747449.9496046896</v>
      </c>
      <c r="AG21" s="132">
        <f t="shared" si="8"/>
        <v>224836.08260333943</v>
      </c>
      <c r="AH21" s="132">
        <f>IF($AD21&lt;=$C$25,SUMIFS('Forecast (By Month)'!$AH$4:$AH$605,'Forecast (By Month)'!$AD$4:$AD$605,"&lt;="&amp;AD21*12,'Forecast (By Month)'!$AD$4:$AD$605,"&gt;"&amp;AD20*12),"-")</f>
        <v>24731.969086367335</v>
      </c>
      <c r="AI21" s="132">
        <f>IF($AD21&lt;=$C$25,SUMIFS('Forecast (By Month)'!$AI$4:$AI$605,'Forecast (By Month)'!$AD$4:$AD$605,"&lt;="&amp;AD21*12,'Forecast (By Month)'!$AD$4:$AD$605,"&gt;"&amp;AD20*12),"-")</f>
        <v>17857.999999999996</v>
      </c>
      <c r="AJ21" s="132">
        <f t="shared" si="9"/>
        <v>42589.969086367331</v>
      </c>
      <c r="AK21" s="132">
        <f>IF($AD21&lt;=$C$25,SUMIFS('Forecast (By Month)'!$AK$4:$AK$605,'Forecast (By Month)'!$AD$4:$AD$605,"&lt;="&amp;AD21*12,'Forecast (By Month)'!$AD$4:$AD$605,"&gt;"&amp;AD20*12),"-")</f>
        <v>0</v>
      </c>
      <c r="AL21" s="132">
        <f>IF($AD21&lt;=$C$25,SUMIFS('Forecast (By Month)'!$AL$4:$AL$605,'Forecast (By Month)'!$AD$4:$AD$605,"&lt;="&amp;AD21*12,'Forecast (By Month)'!$AD$4:$AD$605,"&gt;"&amp;AD20*12),"-")</f>
        <v>0</v>
      </c>
      <c r="AM21" s="132">
        <f>IF($AD21&lt;=$C$25,SUMIFS('Forecast (By Month)'!$AM$4:$AM$605,'Forecast (By Month)'!$AD$4:$AD$605,"&lt;="&amp;AD21*12,'Forecast (By Month)'!$AD$4:$AD$605,"&gt;"&amp;AD20*12),"-")</f>
        <v>120</v>
      </c>
      <c r="AN21" s="132">
        <f>IF($AD21&lt;=$C$25,SUMIFS('Forecast (By Month)'!$AN$4:$AN$605,'Forecast (By Month)'!$AD$4:$AD$605,"&lt;="&amp;AD21*12,'Forecast (By Month)'!$AD$4:$AD$605,"&gt;"&amp;AD20*12),"-")</f>
        <v>0</v>
      </c>
      <c r="AO21" s="132">
        <f>IF($AD21&lt;=$C$25,SUMIFS('Forecast (By Month)'!$AO$4:$AO$605,'Forecast (By Month)'!$AD$4:$AD$605,"&lt;="&amp;AD21*12,'Forecast (By Month)'!$AD$4:$AD$605,"&gt;"&amp;AD20*12),"-")</f>
        <v>42709.969086367339</v>
      </c>
      <c r="AP21" s="132">
        <f>IF($AD21&lt;=$C$25,SUMIFS('Forecast (By Month)'!$AP$4:$AP$605,'Forecast (By Month)'!$AD$4:$AD$605,"&lt;="&amp;AD21*12,'Forecast (By Month)'!$AD$4:$AD$605,"&gt;"&amp;AD20*12),"-")</f>
        <v>182246.11351697205</v>
      </c>
      <c r="AQ21" s="132">
        <f t="shared" si="10"/>
        <v>0</v>
      </c>
      <c r="AR21" s="132">
        <f t="shared" si="11"/>
        <v>182246.11351697205</v>
      </c>
      <c r="AS21" s="132">
        <f>IF($AD21&lt;=$C$25,SUM(AR$5:AR21),"-")</f>
        <v>2065190.383856413</v>
      </c>
      <c r="AT21" s="132">
        <f>IF($AD21&lt;=$C$25,INDEX('Forecast (By Month)'!$AD$3:$AY$605,MATCH($AD21*12,'Forecast (By Month)'!$AD$3:$AD$605,0),MATCH(AT$3,'Forecast (By Month)'!$AD$3:$AY$3,0)),"-")</f>
        <v>2066973.9506126326</v>
      </c>
      <c r="AU21" s="29">
        <f>IF($AD21&lt;=$C$25,INDEX('Forecast (By Month)'!$AD$3:$AY$605,MATCH($AD21*12,'Forecast (By Month)'!$AD$3:$AD$605,0),MATCH(AU$3,'Forecast (By Month)'!$AD$3:$AY$3,0)),"-")</f>
        <v>1.2910300392264669</v>
      </c>
      <c r="AV21" s="29">
        <f>IF($AD21&lt;=$C$25,INDEX('Forecast (By Month)'!$AD$3:$AY$605,MATCH($AD21*12,'Forecast (By Month)'!$AD$3:$AD$605,0),MATCH(AV$3,'Forecast (By Month)'!$AD$3:$AY$3,0)),"-")</f>
        <v>7.5942943483909814E-2</v>
      </c>
      <c r="AW21" s="132">
        <f>IF($AD21&lt;=$C$25,INDEX('Forecast (By Month)'!$AD$3:$AY$605,MATCH($AD21*12,'Forecast (By Month)'!$AD$3:$AD$605,0),MATCH(AW$3,'Forecast (By Month)'!$AD$3:$AY$3,0)),"-")</f>
        <v>4132164.3344690436</v>
      </c>
      <c r="AX21" s="29">
        <f>IF($AD21&lt;=$C$25,INDEX('Forecast (By Month)'!$AD$3:$AY$605,MATCH($AD21*12,'Forecast (By Month)'!$AD$3:$AD$605,0),MATCH(AX$3,'Forecast (By Month)'!$AD$3:$AY$3,0)),"-")</f>
        <v>2.5809460642881374</v>
      </c>
      <c r="AY21" s="31">
        <f>IF($AD21&lt;=$C$25,INDEX('Forecast (By Month)'!$AD$3:$AY$605,MATCH($AD21*12,'Forecast (By Month)'!$AD$3:$AD$605,0),MATCH(AY$3,'Forecast (By Month)'!$AD$3:$AY$3,0)),"-")</f>
        <v>0.15182035672283162</v>
      </c>
    </row>
    <row r="22" spans="2:51" x14ac:dyDescent="0.35">
      <c r="B22" t="s">
        <v>49</v>
      </c>
      <c r="C22">
        <f>Inputs!$K$44</f>
        <v>5</v>
      </c>
      <c r="F22" s="12">
        <f t="shared" si="1"/>
        <v>18</v>
      </c>
      <c r="G22" s="132">
        <f t="shared" si="2"/>
        <v>3934822.4470849242</v>
      </c>
      <c r="H22" s="132">
        <f>IF($F22&lt;=$C$16,G22-$C$7+SUMIFS('Mortgage Calculators (By Month)'!$D$23:$D$622,'Mortgage Calculators (By Month)'!$B$23:$B$622,"&lt;="&amp;F22*12),"-")</f>
        <v>3934822.4470849242</v>
      </c>
      <c r="I22" s="132">
        <f t="shared" si="3"/>
        <v>236077.88673350643</v>
      </c>
      <c r="J22" s="132">
        <f>IF($F22&lt;=$C$16,SUMIFS('Forecast (By Month)'!$J$4:$J$605,'Forecast (By Month)'!$F$4:$F$605,"&lt;="&amp;F22*12,'Forecast (By Month)'!$F$4:$F$605,"&gt;"&amp;F21*12),"-")</f>
        <v>25968.567540685708</v>
      </c>
      <c r="K22" s="132">
        <f>IF($F22&lt;=$C$16,SUMIFS('Forecast (By Month)'!$K$4:$K$605,'Forecast (By Month)'!$F$4:$F$605,"&lt;="&amp;F22*12,'Forecast (By Month)'!$F$4:$F$605,"&gt;"&amp;F21*12),"-")</f>
        <v>17857.999999999996</v>
      </c>
      <c r="L22" s="132">
        <f t="shared" si="4"/>
        <v>43826.567540685704</v>
      </c>
      <c r="M22" s="132">
        <f>IF($F22&lt;=$C$16,SUMIFS('Forecast (By Month)'!$M$4:$M$605,'Forecast (By Month)'!$F$4:$F$605,"&lt;="&amp;F22*12,'Forecast (By Month)'!$F$4:$F$605,"&gt;"&amp;F21*12),"-")</f>
        <v>0</v>
      </c>
      <c r="N22" s="132">
        <f>IF($F22&lt;=$C$16,SUMIFS('Forecast (By Month)'!$N$4:$N$605,'Forecast (By Month)'!$F$4:$F$605,"&lt;="&amp;F22*12,'Forecast (By Month)'!$F$4:$F$605,"&gt;"&amp;F21*12),"-")</f>
        <v>0</v>
      </c>
      <c r="O22" s="132">
        <f>IF($F22&lt;=$C$16,SUMIFS('Forecast (By Month)'!$O$4:$O$605,'Forecast (By Month)'!$F$4:$F$605,"&lt;="&amp;F22*12,'Forecast (By Month)'!$F$4:$F$605,"&gt;"&amp;F21*12),"-")</f>
        <v>99.999999999999986</v>
      </c>
      <c r="P22" s="132">
        <f>IF($F22&lt;=$C$16,SUMIFS('Forecast (By Month)'!$P$4:$P$605,'Forecast (By Month)'!$F$4:$F$605,"&lt;="&amp;F22*12,'Forecast (By Month)'!$F$4:$F$605,"&gt;"&amp;F21*12),"-")</f>
        <v>0</v>
      </c>
      <c r="Q22" s="132">
        <f>IF($F22&lt;=$C$16,SUMIFS('Forecast (By Month)'!$Q$4:$Q$605,'Forecast (By Month)'!$F$4:$F$605,"&lt;="&amp;F22*12,'Forecast (By Month)'!$F$4:$F$605,"&gt;"&amp;F21*12),"-")</f>
        <v>43926.567540685712</v>
      </c>
      <c r="R22" s="132">
        <f>IF($F22&lt;=$C$16,SUMIFS('Forecast (By Month)'!$R$4:$R$605,'Forecast (By Month)'!$F$4:$F$605,"&lt;="&amp;F22*12,'Forecast (By Month)'!$F$4:$F$605,"&gt;"&amp;F21*12),"-")</f>
        <v>192251.31919282069</v>
      </c>
      <c r="S22" s="132">
        <f t="shared" si="5"/>
        <v>0</v>
      </c>
      <c r="T22" s="132">
        <f t="shared" si="0"/>
        <v>192251.31919282069</v>
      </c>
      <c r="U22" s="132">
        <f>IF($F22&lt;=$C$16,SUM(T$5:T22),"-")</f>
        <v>2257451.7030492336</v>
      </c>
      <c r="V22" s="132">
        <f>IF($F22&lt;=$C$16,INDEX('Forecast (By Month)'!$F$3:$AY$605,MATCH($F22*12,'Forecast (By Month)'!$F$3:$F$605,0),MATCH(V$3,'Forecast (By Month)'!$F$3:$AA$3,0)),"-")</f>
        <v>2250598.998143266</v>
      </c>
      <c r="W22" s="29">
        <f>IF($F22&lt;=$C$16,INDEX('Forecast (By Month)'!$F$3:$AY$605,MATCH($F22*12,'Forecast (By Month)'!$F$3:$F$605,0),MATCH(W$3,'Forecast (By Month)'!$F$3:$AA$3,0)),"-")</f>
        <v>1.4057220759820204</v>
      </c>
      <c r="X22" s="29">
        <f>IF($F22&lt;=$C$16,INDEX('Forecast (By Month)'!$F$3:$AY$605,MATCH($F22*12,'Forecast (By Month)'!$F$3:$F$605,0),MATCH(X$3,'Forecast (By Month)'!$F$3:$AA$3,0)),"-")</f>
        <v>7.8095670887890017E-2</v>
      </c>
      <c r="Y22" s="132">
        <f>IF($F22&lt;=$C$16,INDEX('Forecast (By Month)'!$F$3:$AY$605,MATCH($F22*12,'Forecast (By Month)'!$F$3:$F$605,0),MATCH(Y$3,'Forecast (By Month)'!$F$3:$AA$3,0)),"-")</f>
        <v>4508050.7011925001</v>
      </c>
      <c r="Z22" s="29">
        <f>IF($F22&lt;=$C$16,INDEX('Forecast (By Month)'!$F$3:$AY$605,MATCH($F22*12,'Forecast (By Month)'!$F$3:$F$605,0),MATCH(Z$3,'Forecast (By Month)'!$F$3:$AA$3,0)),"-")</f>
        <v>2.8157243451812493</v>
      </c>
      <c r="AA22" s="31">
        <f>IF($F22&lt;=$C$16,INDEX('Forecast (By Month)'!$F$3:$AY$605,MATCH($F22*12,'Forecast (By Month)'!$F$3:$F$605,0),MATCH(AA$3,'Forecast (By Month)'!$F$3:$AA$3,0)),"-")</f>
        <v>0.15642913028784719</v>
      </c>
      <c r="AD22" s="12">
        <f t="shared" si="6"/>
        <v>18</v>
      </c>
      <c r="AE22" s="132">
        <f t="shared" si="7"/>
        <v>3934822.4470849242</v>
      </c>
      <c r="AF22" s="132">
        <f>IF($AD22&lt;=$C$25,AE22-$C$7+SUMIFS('Mortgage Calculators (By Month)'!$K$23:$K$622,'Mortgage Calculators (By Month)'!$I$23:$I$622,"&lt;="&amp;AD22*12),"-")</f>
        <v>3934822.4470849242</v>
      </c>
      <c r="AG22" s="132">
        <f t="shared" si="8"/>
        <v>236077.88673350643</v>
      </c>
      <c r="AH22" s="132">
        <f>IF($AD22&lt;=$C$25,SUMIFS('Forecast (By Month)'!$AH$4:$AH$605,'Forecast (By Month)'!$AD$4:$AD$605,"&lt;="&amp;AD22*12,'Forecast (By Month)'!$AD$4:$AD$605,"&gt;"&amp;AD21*12),"-")</f>
        <v>25968.567540685708</v>
      </c>
      <c r="AI22" s="132">
        <f>IF($AD22&lt;=$C$25,SUMIFS('Forecast (By Month)'!$AI$4:$AI$605,'Forecast (By Month)'!$AD$4:$AD$605,"&lt;="&amp;AD22*12,'Forecast (By Month)'!$AD$4:$AD$605,"&gt;"&amp;AD21*12),"-")</f>
        <v>17857.999999999996</v>
      </c>
      <c r="AJ22" s="132">
        <f t="shared" si="9"/>
        <v>43826.567540685704</v>
      </c>
      <c r="AK22" s="132">
        <f>IF($AD22&lt;=$C$25,SUMIFS('Forecast (By Month)'!$AK$4:$AK$605,'Forecast (By Month)'!$AD$4:$AD$605,"&lt;="&amp;AD22*12,'Forecast (By Month)'!$AD$4:$AD$605,"&gt;"&amp;AD21*12),"-")</f>
        <v>0</v>
      </c>
      <c r="AL22" s="132">
        <f>IF($AD22&lt;=$C$25,SUMIFS('Forecast (By Month)'!$AL$4:$AL$605,'Forecast (By Month)'!$AD$4:$AD$605,"&lt;="&amp;AD22*12,'Forecast (By Month)'!$AD$4:$AD$605,"&gt;"&amp;AD21*12),"-")</f>
        <v>0</v>
      </c>
      <c r="AM22" s="132">
        <f>IF($AD22&lt;=$C$25,SUMIFS('Forecast (By Month)'!$AM$4:$AM$605,'Forecast (By Month)'!$AD$4:$AD$605,"&lt;="&amp;AD22*12,'Forecast (By Month)'!$AD$4:$AD$605,"&gt;"&amp;AD21*12),"-")</f>
        <v>120</v>
      </c>
      <c r="AN22" s="132">
        <f>IF($AD22&lt;=$C$25,SUMIFS('Forecast (By Month)'!$AN$4:$AN$605,'Forecast (By Month)'!$AD$4:$AD$605,"&lt;="&amp;AD22*12,'Forecast (By Month)'!$AD$4:$AD$605,"&gt;"&amp;AD21*12),"-")</f>
        <v>0</v>
      </c>
      <c r="AO22" s="132">
        <f>IF($AD22&lt;=$C$25,SUMIFS('Forecast (By Month)'!$AO$4:$AO$605,'Forecast (By Month)'!$AD$4:$AD$605,"&lt;="&amp;AD22*12,'Forecast (By Month)'!$AD$4:$AD$605,"&gt;"&amp;AD21*12),"-")</f>
        <v>43946.567540685704</v>
      </c>
      <c r="AP22" s="132">
        <f>IF($AD22&lt;=$C$25,SUMIFS('Forecast (By Month)'!$AP$4:$AP$605,'Forecast (By Month)'!$AD$4:$AD$605,"&lt;="&amp;AD22*12,'Forecast (By Month)'!$AD$4:$AD$605,"&gt;"&amp;AD21*12),"-")</f>
        <v>192251.31919282069</v>
      </c>
      <c r="AQ22" s="132">
        <f t="shared" si="10"/>
        <v>0</v>
      </c>
      <c r="AR22" s="132">
        <f t="shared" si="11"/>
        <v>192251.31919282069</v>
      </c>
      <c r="AS22" s="132">
        <f>IF($AD22&lt;=$C$25,SUM(AR$5:AR22),"-")</f>
        <v>2257441.7030492336</v>
      </c>
      <c r="AT22" s="132">
        <f>IF($AD22&lt;=$C$25,INDEX('Forecast (By Month)'!$AD$3:$AY$605,MATCH($AD22*12,'Forecast (By Month)'!$AD$3:$AD$605,0),MATCH(AT$3,'Forecast (By Month)'!$AD$3:$AY$3,0)),"-")</f>
        <v>2250598.998143266</v>
      </c>
      <c r="AU22" s="29">
        <f>IF($AD22&lt;=$C$25,INDEX('Forecast (By Month)'!$AD$3:$AY$605,MATCH($AD22*12,'Forecast (By Month)'!$AD$3:$AD$605,0),MATCH(AU$3,'Forecast (By Month)'!$AD$3:$AY$3,0)),"-")</f>
        <v>1.4057220759820204</v>
      </c>
      <c r="AV22" s="29">
        <f>IF($AD22&lt;=$C$25,INDEX('Forecast (By Month)'!$AD$3:$AY$605,MATCH($AD22*12,'Forecast (By Month)'!$AD$3:$AD$605,0),MATCH(AV$3,'Forecast (By Month)'!$AD$3:$AY$3,0)),"-")</f>
        <v>7.8095670887890017E-2</v>
      </c>
      <c r="AW22" s="132">
        <f>IF($AD22&lt;=$C$25,INDEX('Forecast (By Month)'!$AD$3:$AY$605,MATCH($AD22*12,'Forecast (By Month)'!$AD$3:$AD$605,0),MATCH(AW$3,'Forecast (By Month)'!$AD$3:$AY$3,0)),"-")</f>
        <v>4508040.7011925001</v>
      </c>
      <c r="AX22" s="29">
        <f>IF($AD22&lt;=$C$25,INDEX('Forecast (By Month)'!$AD$3:$AY$605,MATCH($AD22*12,'Forecast (By Month)'!$AD$3:$AD$605,0),MATCH(AX$3,'Forecast (By Month)'!$AD$3:$AY$3,0)),"-")</f>
        <v>2.8157180991903945</v>
      </c>
      <c r="AY22" s="31">
        <f>IF($AD22&lt;=$C$25,INDEX('Forecast (By Month)'!$AD$3:$AY$605,MATCH($AD22*12,'Forecast (By Month)'!$AD$3:$AD$605,0),MATCH(AY$3,'Forecast (By Month)'!$AD$3:$AY$3,0)),"-")</f>
        <v>0.15642878328835524</v>
      </c>
    </row>
    <row r="23" spans="2:51" x14ac:dyDescent="0.35">
      <c r="B23" t="s">
        <v>147</v>
      </c>
      <c r="C23" s="4">
        <f>Inputs!$K$45</f>
        <v>4.4999999999999998E-2</v>
      </c>
      <c r="F23" s="12">
        <f t="shared" si="1"/>
        <v>19</v>
      </c>
      <c r="G23" s="132">
        <f t="shared" si="2"/>
        <v>4131563.5694391704</v>
      </c>
      <c r="H23" s="132">
        <f>IF($F23&lt;=$C$16,G23-$C$7+SUMIFS('Mortgage Calculators (By Month)'!$D$23:$D$622,'Mortgage Calculators (By Month)'!$B$23:$B$622,"&lt;="&amp;F23*12),"-")</f>
        <v>4131563.5694391704</v>
      </c>
      <c r="I23" s="132">
        <f t="shared" si="3"/>
        <v>247881.78107018172</v>
      </c>
      <c r="J23" s="132">
        <f>IF($F23&lt;=$C$16,SUMIFS('Forecast (By Month)'!$J$4:$J$605,'Forecast (By Month)'!$F$4:$F$605,"&lt;="&amp;F23*12,'Forecast (By Month)'!$F$4:$F$605,"&gt;"&amp;F22*12),"-")</f>
        <v>27266.995917719996</v>
      </c>
      <c r="K23" s="132">
        <f>IF($F23&lt;=$C$16,SUMIFS('Forecast (By Month)'!$K$4:$K$605,'Forecast (By Month)'!$F$4:$F$605,"&lt;="&amp;F23*12,'Forecast (By Month)'!$F$4:$F$605,"&gt;"&amp;F22*12),"-")</f>
        <v>17857.999999999996</v>
      </c>
      <c r="L23" s="132">
        <f t="shared" si="4"/>
        <v>45124.995917719993</v>
      </c>
      <c r="M23" s="132">
        <f>IF($F23&lt;=$C$16,SUMIFS('Forecast (By Month)'!$M$4:$M$605,'Forecast (By Month)'!$F$4:$F$605,"&lt;="&amp;F23*12,'Forecast (By Month)'!$F$4:$F$605,"&gt;"&amp;F22*12),"-")</f>
        <v>0</v>
      </c>
      <c r="N23" s="132">
        <f>IF($F23&lt;=$C$16,SUMIFS('Forecast (By Month)'!$N$4:$N$605,'Forecast (By Month)'!$F$4:$F$605,"&lt;="&amp;F23*12,'Forecast (By Month)'!$F$4:$F$605,"&gt;"&amp;F22*12),"-")</f>
        <v>0</v>
      </c>
      <c r="O23" s="132">
        <f>IF($F23&lt;=$C$16,SUMIFS('Forecast (By Month)'!$O$4:$O$605,'Forecast (By Month)'!$F$4:$F$605,"&lt;="&amp;F23*12,'Forecast (By Month)'!$F$4:$F$605,"&gt;"&amp;F22*12),"-")</f>
        <v>99.999999999999986</v>
      </c>
      <c r="P23" s="132">
        <f>IF($F23&lt;=$C$16,SUMIFS('Forecast (By Month)'!$P$4:$P$605,'Forecast (By Month)'!$F$4:$F$605,"&lt;="&amp;F23*12,'Forecast (By Month)'!$F$4:$F$605,"&gt;"&amp;F22*12),"-")</f>
        <v>0</v>
      </c>
      <c r="Q23" s="132">
        <f>IF($F23&lt;=$C$16,SUMIFS('Forecast (By Month)'!$Q$4:$Q$605,'Forecast (By Month)'!$F$4:$F$605,"&lt;="&amp;F23*12,'Forecast (By Month)'!$F$4:$F$605,"&gt;"&amp;F22*12),"-")</f>
        <v>45224.995917719985</v>
      </c>
      <c r="R23" s="132">
        <f>IF($F23&lt;=$C$16,SUMIFS('Forecast (By Month)'!$R$4:$R$605,'Forecast (By Month)'!$F$4:$F$605,"&lt;="&amp;F23*12,'Forecast (By Month)'!$F$4:$F$605,"&gt;"&amp;F22*12),"-")</f>
        <v>202756.78515246182</v>
      </c>
      <c r="S23" s="132">
        <f t="shared" si="5"/>
        <v>0</v>
      </c>
      <c r="T23" s="132">
        <f t="shared" si="0"/>
        <v>202756.78515246182</v>
      </c>
      <c r="U23" s="132">
        <f>IF($F23&lt;=$C$16,SUM(T$5:T23),"-")</f>
        <v>2460208.4882016955</v>
      </c>
      <c r="V23" s="132">
        <f>IF($F23&lt;=$C$16,INDEX('Forecast (By Month)'!$F$3:$AY$605,MATCH($F23*12,'Forecast (By Month)'!$F$3:$F$605,0),MATCH(V$3,'Forecast (By Month)'!$F$3:$AA$3,0)),"-")</f>
        <v>2443405.2980504325</v>
      </c>
      <c r="W23" s="29">
        <f>IF($F23&lt;=$C$16,INDEX('Forecast (By Month)'!$F$3:$AY$605,MATCH($F23*12,'Forecast (By Month)'!$F$3:$F$605,0),MATCH(W$3,'Forecast (By Month)'!$F$3:$AA$3,0)),"-")</f>
        <v>1.5261487145753523</v>
      </c>
      <c r="X23" s="29">
        <f>IF($F23&lt;=$C$16,INDEX('Forecast (By Month)'!$F$3:$AY$605,MATCH($F23*12,'Forecast (By Month)'!$F$3:$F$605,0),MATCH(X$3,'Forecast (By Month)'!$F$3:$AA$3,0)),"-")</f>
        <v>8.0323616556597491E-2</v>
      </c>
      <c r="Y23" s="132">
        <f>IF($F23&lt;=$C$16,INDEX('Forecast (By Month)'!$F$3:$AY$605,MATCH($F23*12,'Forecast (By Month)'!$F$3:$F$605,0),MATCH(Y$3,'Forecast (By Month)'!$F$3:$AA$3,0)),"-")</f>
        <v>4903613.7862521298</v>
      </c>
      <c r="Z23" s="29">
        <f>IF($F23&lt;=$C$16,INDEX('Forecast (By Month)'!$F$3:$AY$605,MATCH($F23*12,'Forecast (By Month)'!$F$3:$F$605,0),MATCH(Z$3,'Forecast (By Month)'!$F$3:$AA$3,0)),"-")</f>
        <v>3.0627926863520289</v>
      </c>
      <c r="AA23" s="31">
        <f>IF($F23&lt;=$C$16,INDEX('Forecast (By Month)'!$F$3:$AY$605,MATCH($F23*12,'Forecast (By Month)'!$F$3:$F$605,0),MATCH(AA$3,'Forecast (By Month)'!$F$3:$AA$3,0)),"-")</f>
        <v>0.16119961507115943</v>
      </c>
      <c r="AD23" s="12">
        <f t="shared" si="6"/>
        <v>19</v>
      </c>
      <c r="AE23" s="132">
        <f t="shared" si="7"/>
        <v>4131563.5694391704</v>
      </c>
      <c r="AF23" s="132">
        <f>IF($AD23&lt;=$C$25,AE23-$C$7+SUMIFS('Mortgage Calculators (By Month)'!$K$23:$K$622,'Mortgage Calculators (By Month)'!$I$23:$I$622,"&lt;="&amp;AD23*12),"-")</f>
        <v>4131563.5694391704</v>
      </c>
      <c r="AG23" s="132">
        <f t="shared" si="8"/>
        <v>247881.78107018172</v>
      </c>
      <c r="AH23" s="132">
        <f>IF($AD23&lt;=$C$25,SUMIFS('Forecast (By Month)'!$AH$4:$AH$605,'Forecast (By Month)'!$AD$4:$AD$605,"&lt;="&amp;AD23*12,'Forecast (By Month)'!$AD$4:$AD$605,"&gt;"&amp;AD22*12),"-")</f>
        <v>27266.995917719996</v>
      </c>
      <c r="AI23" s="132">
        <f>IF($AD23&lt;=$C$25,SUMIFS('Forecast (By Month)'!$AI$4:$AI$605,'Forecast (By Month)'!$AD$4:$AD$605,"&lt;="&amp;AD23*12,'Forecast (By Month)'!$AD$4:$AD$605,"&gt;"&amp;AD22*12),"-")</f>
        <v>17857.999999999996</v>
      </c>
      <c r="AJ23" s="132">
        <f t="shared" si="9"/>
        <v>45124.995917719993</v>
      </c>
      <c r="AK23" s="132">
        <f>IF($AD23&lt;=$C$25,SUMIFS('Forecast (By Month)'!$AK$4:$AK$605,'Forecast (By Month)'!$AD$4:$AD$605,"&lt;="&amp;AD23*12,'Forecast (By Month)'!$AD$4:$AD$605,"&gt;"&amp;AD22*12),"-")</f>
        <v>0</v>
      </c>
      <c r="AL23" s="132">
        <f>IF($AD23&lt;=$C$25,SUMIFS('Forecast (By Month)'!$AL$4:$AL$605,'Forecast (By Month)'!$AD$4:$AD$605,"&lt;="&amp;AD23*12,'Forecast (By Month)'!$AD$4:$AD$605,"&gt;"&amp;AD22*12),"-")</f>
        <v>0</v>
      </c>
      <c r="AM23" s="132">
        <f>IF($AD23&lt;=$C$25,SUMIFS('Forecast (By Month)'!$AM$4:$AM$605,'Forecast (By Month)'!$AD$4:$AD$605,"&lt;="&amp;AD23*12,'Forecast (By Month)'!$AD$4:$AD$605,"&gt;"&amp;AD22*12),"-")</f>
        <v>120</v>
      </c>
      <c r="AN23" s="132">
        <f>IF($AD23&lt;=$C$25,SUMIFS('Forecast (By Month)'!$AN$4:$AN$605,'Forecast (By Month)'!$AD$4:$AD$605,"&lt;="&amp;AD23*12,'Forecast (By Month)'!$AD$4:$AD$605,"&gt;"&amp;AD22*12),"-")</f>
        <v>0</v>
      </c>
      <c r="AO23" s="132">
        <f>IF($AD23&lt;=$C$25,SUMIFS('Forecast (By Month)'!$AO$4:$AO$605,'Forecast (By Month)'!$AD$4:$AD$605,"&lt;="&amp;AD23*12,'Forecast (By Month)'!$AD$4:$AD$605,"&gt;"&amp;AD22*12),"-")</f>
        <v>45244.995917719993</v>
      </c>
      <c r="AP23" s="132">
        <f>IF($AD23&lt;=$C$25,SUMIFS('Forecast (By Month)'!$AP$4:$AP$605,'Forecast (By Month)'!$AD$4:$AD$605,"&lt;="&amp;AD23*12,'Forecast (By Month)'!$AD$4:$AD$605,"&gt;"&amp;AD22*12),"-")</f>
        <v>202756.78515246182</v>
      </c>
      <c r="AQ23" s="132">
        <f t="shared" si="10"/>
        <v>0</v>
      </c>
      <c r="AR23" s="132">
        <f t="shared" si="11"/>
        <v>202756.78515246182</v>
      </c>
      <c r="AS23" s="132">
        <f>IF($AD23&lt;=$C$25,SUM(AR$5:AR23),"-")</f>
        <v>2460198.4882016955</v>
      </c>
      <c r="AT23" s="132">
        <f>IF($AD23&lt;=$C$25,INDEX('Forecast (By Month)'!$AD$3:$AY$605,MATCH($AD23*12,'Forecast (By Month)'!$AD$3:$AD$605,0),MATCH(AT$3,'Forecast (By Month)'!$AD$3:$AY$3,0)),"-")</f>
        <v>2443405.2980504325</v>
      </c>
      <c r="AU23" s="29">
        <f>IF($AD23&lt;=$C$25,INDEX('Forecast (By Month)'!$AD$3:$AY$605,MATCH($AD23*12,'Forecast (By Month)'!$AD$3:$AD$605,0),MATCH(AU$3,'Forecast (By Month)'!$AD$3:$AY$3,0)),"-")</f>
        <v>1.5261487145753523</v>
      </c>
      <c r="AV23" s="29">
        <f>IF($AD23&lt;=$C$25,INDEX('Forecast (By Month)'!$AD$3:$AY$605,MATCH($AD23*12,'Forecast (By Month)'!$AD$3:$AD$605,0),MATCH(AV$3,'Forecast (By Month)'!$AD$3:$AY$3,0)),"-")</f>
        <v>8.0323616556597491E-2</v>
      </c>
      <c r="AW23" s="132">
        <f>IF($AD23&lt;=$C$25,INDEX('Forecast (By Month)'!$AD$3:$AY$605,MATCH($AD23*12,'Forecast (By Month)'!$AD$3:$AD$605,0),MATCH(AW$3,'Forecast (By Month)'!$AD$3:$AY$3,0)),"-")</f>
        <v>4903603.7862521298</v>
      </c>
      <c r="AX23" s="29">
        <f>IF($AD23&lt;=$C$25,INDEX('Forecast (By Month)'!$AD$3:$AY$605,MATCH($AD23*12,'Forecast (By Month)'!$AD$3:$AD$605,0),MATCH(AX$3,'Forecast (By Month)'!$AD$3:$AY$3,0)),"-")</f>
        <v>3.0627864403611742</v>
      </c>
      <c r="AY23" s="31">
        <f>IF($AD23&lt;=$C$25,INDEX('Forecast (By Month)'!$AD$3:$AY$605,MATCH($AD23*12,'Forecast (By Month)'!$AD$3:$AD$605,0),MATCH(AY$3,'Forecast (By Month)'!$AD$3:$AY$3,0)),"-")</f>
        <v>0.16119928633479863</v>
      </c>
    </row>
    <row r="24" spans="2:51" x14ac:dyDescent="0.35">
      <c r="B24" t="s">
        <v>133</v>
      </c>
      <c r="C24" s="4">
        <f>Inputs!$K$46</f>
        <v>3.7499999999999999E-3</v>
      </c>
      <c r="F24" s="12">
        <f t="shared" si="1"/>
        <v>20</v>
      </c>
      <c r="G24" s="132">
        <f t="shared" si="2"/>
        <v>4338141.7479111291</v>
      </c>
      <c r="H24" s="132">
        <f>IF($F24&lt;=$C$16,G24-$C$7+SUMIFS('Mortgage Calculators (By Month)'!$D$23:$D$622,'Mortgage Calculators (By Month)'!$B$23:$B$622,"&lt;="&amp;F24*12),"-")</f>
        <v>4338141.7479111291</v>
      </c>
      <c r="I24" s="132">
        <f t="shared" si="3"/>
        <v>260275.87012369081</v>
      </c>
      <c r="J24" s="132">
        <f>IF($F24&lt;=$C$16,SUMIFS('Forecast (By Month)'!$J$4:$J$605,'Forecast (By Month)'!$F$4:$F$605,"&lt;="&amp;F24*12,'Forecast (By Month)'!$F$4:$F$605,"&gt;"&amp;F23*12),"-")</f>
        <v>28630.345713605991</v>
      </c>
      <c r="K24" s="132">
        <f>IF($F24&lt;=$C$16,SUMIFS('Forecast (By Month)'!$K$4:$K$605,'Forecast (By Month)'!$F$4:$F$605,"&lt;="&amp;F24*12,'Forecast (By Month)'!$F$4:$F$605,"&gt;"&amp;F23*12),"-")</f>
        <v>17857.999999999996</v>
      </c>
      <c r="L24" s="132">
        <f t="shared" si="4"/>
        <v>46488.345713605988</v>
      </c>
      <c r="M24" s="132">
        <f>IF($F24&lt;=$C$16,SUMIFS('Forecast (By Month)'!$M$4:$M$605,'Forecast (By Month)'!$F$4:$F$605,"&lt;="&amp;F24*12,'Forecast (By Month)'!$F$4:$F$605,"&gt;"&amp;F23*12),"-")</f>
        <v>0</v>
      </c>
      <c r="N24" s="132">
        <f>IF($F24&lt;=$C$16,SUMIFS('Forecast (By Month)'!$N$4:$N$605,'Forecast (By Month)'!$F$4:$F$605,"&lt;="&amp;F24*12,'Forecast (By Month)'!$F$4:$F$605,"&gt;"&amp;F23*12),"-")</f>
        <v>0</v>
      </c>
      <c r="O24" s="132">
        <f>IF($F24&lt;=$C$16,SUMIFS('Forecast (By Month)'!$O$4:$O$605,'Forecast (By Month)'!$F$4:$F$605,"&lt;="&amp;F24*12,'Forecast (By Month)'!$F$4:$F$605,"&gt;"&amp;F23*12),"-")</f>
        <v>99.999999999999986</v>
      </c>
      <c r="P24" s="132">
        <f>IF($F24&lt;=$C$16,SUMIFS('Forecast (By Month)'!$P$4:$P$605,'Forecast (By Month)'!$F$4:$F$605,"&lt;="&amp;F24*12,'Forecast (By Month)'!$F$4:$F$605,"&gt;"&amp;F23*12),"-")</f>
        <v>0</v>
      </c>
      <c r="Q24" s="132">
        <f>IF($F24&lt;=$C$16,SUMIFS('Forecast (By Month)'!$Q$4:$Q$605,'Forecast (By Month)'!$F$4:$F$605,"&lt;="&amp;F24*12,'Forecast (By Month)'!$F$4:$F$605,"&gt;"&amp;F23*12),"-")</f>
        <v>46588.345713605995</v>
      </c>
      <c r="R24" s="132">
        <f>IF($F24&lt;=$C$16,SUMIFS('Forecast (By Month)'!$R$4:$R$605,'Forecast (By Month)'!$F$4:$F$605,"&lt;="&amp;F24*12,'Forecast (By Month)'!$F$4:$F$605,"&gt;"&amp;F23*12),"-")</f>
        <v>213787.52441008479</v>
      </c>
      <c r="S24" s="132">
        <f t="shared" si="5"/>
        <v>0</v>
      </c>
      <c r="T24" s="132">
        <f t="shared" si="0"/>
        <v>213787.52441008479</v>
      </c>
      <c r="U24" s="132">
        <f>IF($F24&lt;=$C$16,SUM(T$5:T24),"-")</f>
        <v>2673996.0126117803</v>
      </c>
      <c r="V24" s="132">
        <f>IF($F24&lt;=$C$16,INDEX('Forecast (By Month)'!$F$3:$AY$605,MATCH($F24*12,'Forecast (By Month)'!$F$3:$F$605,0),MATCH(V$3,'Forecast (By Month)'!$F$3:$AA$3,0)),"-")</f>
        <v>2645851.9129529567</v>
      </c>
      <c r="W24" s="29">
        <f>IF($F24&lt;=$C$16,INDEX('Forecast (By Month)'!$F$3:$AY$605,MATCH($F24*12,'Forecast (By Month)'!$F$3:$F$605,0),MATCH(W$3,'Forecast (By Month)'!$F$3:$AA$3,0)),"-")</f>
        <v>1.6525966850983504</v>
      </c>
      <c r="X24" s="29">
        <f>IF($F24&lt;=$C$16,INDEX('Forecast (By Month)'!$F$3:$AY$605,MATCH($F24*12,'Forecast (By Month)'!$F$3:$F$605,0),MATCH(X$3,'Forecast (By Month)'!$F$3:$AA$3,0)),"-")</f>
        <v>8.2629834254917517E-2</v>
      </c>
      <c r="Y24" s="132">
        <f>IF($F24&lt;=$C$16,INDEX('Forecast (By Month)'!$F$3:$AY$605,MATCH($F24*12,'Forecast (By Month)'!$F$3:$F$605,0),MATCH(Y$3,'Forecast (By Month)'!$F$3:$AA$3,0)),"-")</f>
        <v>5319847.9255647399</v>
      </c>
      <c r="Z24" s="29">
        <f>IF($F24&lt;=$C$16,INDEX('Forecast (By Month)'!$F$3:$AY$605,MATCH($F24*12,'Forecast (By Month)'!$F$3:$F$605,0),MATCH(Z$3,'Forecast (By Month)'!$F$3:$AA$3,0)),"-")</f>
        <v>3.3227721491047557</v>
      </c>
      <c r="AA24" s="31">
        <f>IF($F24&lt;=$C$16,INDEX('Forecast (By Month)'!$F$3:$AY$605,MATCH($F24*12,'Forecast (By Month)'!$F$3:$F$605,0),MATCH(AA$3,'Forecast (By Month)'!$F$3:$AA$3,0)),"-")</f>
        <v>0.16613860745523779</v>
      </c>
      <c r="AD24" s="12">
        <f t="shared" si="6"/>
        <v>20</v>
      </c>
      <c r="AE24" s="132">
        <f t="shared" si="7"/>
        <v>4338141.7479111291</v>
      </c>
      <c r="AF24" s="132">
        <f>IF($AD24&lt;=$C$25,AE24-$C$7+SUMIFS('Mortgage Calculators (By Month)'!$K$23:$K$622,'Mortgage Calculators (By Month)'!$I$23:$I$622,"&lt;="&amp;AD24*12),"-")</f>
        <v>4338141.7479111291</v>
      </c>
      <c r="AG24" s="132">
        <f t="shared" si="8"/>
        <v>260275.87012369081</v>
      </c>
      <c r="AH24" s="132">
        <f>IF($AD24&lt;=$C$25,SUMIFS('Forecast (By Month)'!$AH$4:$AH$605,'Forecast (By Month)'!$AD$4:$AD$605,"&lt;="&amp;AD24*12,'Forecast (By Month)'!$AD$4:$AD$605,"&gt;"&amp;AD23*12),"-")</f>
        <v>28630.345713605991</v>
      </c>
      <c r="AI24" s="132">
        <f>IF($AD24&lt;=$C$25,SUMIFS('Forecast (By Month)'!$AI$4:$AI$605,'Forecast (By Month)'!$AD$4:$AD$605,"&lt;="&amp;AD24*12,'Forecast (By Month)'!$AD$4:$AD$605,"&gt;"&amp;AD23*12),"-")</f>
        <v>17857.999999999996</v>
      </c>
      <c r="AJ24" s="132">
        <f t="shared" si="9"/>
        <v>46488.345713605988</v>
      </c>
      <c r="AK24" s="132">
        <f>IF($AD24&lt;=$C$25,SUMIFS('Forecast (By Month)'!$AK$4:$AK$605,'Forecast (By Month)'!$AD$4:$AD$605,"&lt;="&amp;AD24*12,'Forecast (By Month)'!$AD$4:$AD$605,"&gt;"&amp;AD23*12),"-")</f>
        <v>0</v>
      </c>
      <c r="AL24" s="132">
        <f>IF($AD24&lt;=$C$25,SUMIFS('Forecast (By Month)'!$AL$4:$AL$605,'Forecast (By Month)'!$AD$4:$AD$605,"&lt;="&amp;AD24*12,'Forecast (By Month)'!$AD$4:$AD$605,"&gt;"&amp;AD23*12),"-")</f>
        <v>0</v>
      </c>
      <c r="AM24" s="132">
        <f>IF($AD24&lt;=$C$25,SUMIFS('Forecast (By Month)'!$AM$4:$AM$605,'Forecast (By Month)'!$AD$4:$AD$605,"&lt;="&amp;AD24*12,'Forecast (By Month)'!$AD$4:$AD$605,"&gt;"&amp;AD23*12),"-")</f>
        <v>120</v>
      </c>
      <c r="AN24" s="132">
        <f>IF($AD24&lt;=$C$25,SUMIFS('Forecast (By Month)'!$AN$4:$AN$605,'Forecast (By Month)'!$AD$4:$AD$605,"&lt;="&amp;AD24*12,'Forecast (By Month)'!$AD$4:$AD$605,"&gt;"&amp;AD23*12),"-")</f>
        <v>0</v>
      </c>
      <c r="AO24" s="132">
        <f>IF($AD24&lt;=$C$25,SUMIFS('Forecast (By Month)'!$AO$4:$AO$605,'Forecast (By Month)'!$AD$4:$AD$605,"&lt;="&amp;AD24*12,'Forecast (By Month)'!$AD$4:$AD$605,"&gt;"&amp;AD23*12),"-")</f>
        <v>46608.345713605988</v>
      </c>
      <c r="AP24" s="132">
        <f>IF($AD24&lt;=$C$25,SUMIFS('Forecast (By Month)'!$AP$4:$AP$605,'Forecast (By Month)'!$AD$4:$AD$605,"&lt;="&amp;AD24*12,'Forecast (By Month)'!$AD$4:$AD$605,"&gt;"&amp;AD23*12),"-")</f>
        <v>213787.52441008479</v>
      </c>
      <c r="AQ24" s="132">
        <f t="shared" si="10"/>
        <v>0</v>
      </c>
      <c r="AR24" s="132">
        <f t="shared" si="11"/>
        <v>213787.52441008479</v>
      </c>
      <c r="AS24" s="132">
        <f>IF($AD24&lt;=$C$25,SUM(AR$5:AR24),"-")</f>
        <v>2673986.0126117803</v>
      </c>
      <c r="AT24" s="132">
        <f>IF($AD24&lt;=$C$25,INDEX('Forecast (By Month)'!$AD$3:$AY$605,MATCH($AD24*12,'Forecast (By Month)'!$AD$3:$AD$605,0),MATCH(AT$3,'Forecast (By Month)'!$AD$3:$AY$3,0)),"-")</f>
        <v>2645851.9129529567</v>
      </c>
      <c r="AU24" s="29">
        <f>IF($AD24&lt;=$C$25,INDEX('Forecast (By Month)'!$AD$3:$AY$605,MATCH($AD24*12,'Forecast (By Month)'!$AD$3:$AD$605,0),MATCH(AU$3,'Forecast (By Month)'!$AD$3:$AY$3,0)),"-")</f>
        <v>1.6525966850983504</v>
      </c>
      <c r="AV24" s="29">
        <f>IF($AD24&lt;=$C$25,INDEX('Forecast (By Month)'!$AD$3:$AY$605,MATCH($AD24*12,'Forecast (By Month)'!$AD$3:$AD$605,0),MATCH(AV$3,'Forecast (By Month)'!$AD$3:$AY$3,0)),"-")</f>
        <v>8.2629834254917517E-2</v>
      </c>
      <c r="AW24" s="132">
        <f>IF($AD24&lt;=$C$25,INDEX('Forecast (By Month)'!$AD$3:$AY$605,MATCH($AD24*12,'Forecast (By Month)'!$AD$3:$AD$605,0),MATCH(AW$3,'Forecast (By Month)'!$AD$3:$AY$3,0)),"-")</f>
        <v>5319837.9255647399</v>
      </c>
      <c r="AX24" s="29">
        <f>IF($AD24&lt;=$C$25,INDEX('Forecast (By Month)'!$AD$3:$AY$605,MATCH($AD24*12,'Forecast (By Month)'!$AD$3:$AD$605,0),MATCH(AX$3,'Forecast (By Month)'!$AD$3:$AY$3,0)),"-")</f>
        <v>3.322765903113901</v>
      </c>
      <c r="AY24" s="31">
        <f>IF($AD24&lt;=$C$25,INDEX('Forecast (By Month)'!$AD$3:$AY$605,MATCH($AD24*12,'Forecast (By Month)'!$AD$3:$AD$605,0),MATCH(AY$3,'Forecast (By Month)'!$AD$3:$AY$3,0)),"-")</f>
        <v>0.16613829515569506</v>
      </c>
    </row>
    <row r="25" spans="2:51" x14ac:dyDescent="0.35">
      <c r="B25" t="s">
        <v>16</v>
      </c>
      <c r="C25">
        <f>Inputs!$K$47</f>
        <v>30</v>
      </c>
      <c r="F25" s="12">
        <f t="shared" si="1"/>
        <v>21</v>
      </c>
      <c r="G25" s="132">
        <f t="shared" si="2"/>
        <v>4555048.8353066854</v>
      </c>
      <c r="H25" s="132">
        <f>IF($F25&lt;=$C$16,G25-$C$7+SUMIFS('Mortgage Calculators (By Month)'!$D$23:$D$622,'Mortgage Calculators (By Month)'!$B$23:$B$622,"&lt;="&amp;F25*12),"-")</f>
        <v>4555048.8353066854</v>
      </c>
      <c r="I25" s="132">
        <f t="shared" si="3"/>
        <v>273289.66362987534</v>
      </c>
      <c r="J25" s="132">
        <f>IF($F25&lt;=$C$16,SUMIFS('Forecast (By Month)'!$J$4:$J$605,'Forecast (By Month)'!$F$4:$F$605,"&lt;="&amp;F25*12,'Forecast (By Month)'!$F$4:$F$605,"&gt;"&amp;F24*12),"-")</f>
        <v>30061.862999286284</v>
      </c>
      <c r="K25" s="132">
        <f>IF($F25&lt;=$C$16,SUMIFS('Forecast (By Month)'!$K$4:$K$605,'Forecast (By Month)'!$F$4:$F$605,"&lt;="&amp;F25*12,'Forecast (By Month)'!$F$4:$F$605,"&gt;"&amp;F24*12),"-")</f>
        <v>17857.999999999996</v>
      </c>
      <c r="L25" s="132">
        <f t="shared" si="4"/>
        <v>47919.862999286284</v>
      </c>
      <c r="M25" s="132">
        <f>IF($F25&lt;=$C$16,SUMIFS('Forecast (By Month)'!$M$4:$M$605,'Forecast (By Month)'!$F$4:$F$605,"&lt;="&amp;F25*12,'Forecast (By Month)'!$F$4:$F$605,"&gt;"&amp;F24*12),"-")</f>
        <v>0</v>
      </c>
      <c r="N25" s="132">
        <f>IF($F25&lt;=$C$16,SUMIFS('Forecast (By Month)'!$N$4:$N$605,'Forecast (By Month)'!$F$4:$F$605,"&lt;="&amp;F25*12,'Forecast (By Month)'!$F$4:$F$605,"&gt;"&amp;F24*12),"-")</f>
        <v>0</v>
      </c>
      <c r="O25" s="132">
        <f>IF($F25&lt;=$C$16,SUMIFS('Forecast (By Month)'!$O$4:$O$605,'Forecast (By Month)'!$F$4:$F$605,"&lt;="&amp;F25*12,'Forecast (By Month)'!$F$4:$F$605,"&gt;"&amp;F24*12),"-")</f>
        <v>99.999999999999986</v>
      </c>
      <c r="P25" s="132">
        <f>IF($F25&lt;=$C$16,SUMIFS('Forecast (By Month)'!$P$4:$P$605,'Forecast (By Month)'!$F$4:$F$605,"&lt;="&amp;F25*12,'Forecast (By Month)'!$F$4:$F$605,"&gt;"&amp;F24*12),"-")</f>
        <v>0</v>
      </c>
      <c r="Q25" s="132">
        <f>IF($F25&lt;=$C$16,SUMIFS('Forecast (By Month)'!$Q$4:$Q$605,'Forecast (By Month)'!$F$4:$F$605,"&lt;="&amp;F25*12,'Forecast (By Month)'!$F$4:$F$605,"&gt;"&amp;F24*12),"-")</f>
        <v>48019.862999286292</v>
      </c>
      <c r="R25" s="132">
        <f>IF($F25&lt;=$C$16,SUMIFS('Forecast (By Month)'!$R$4:$R$605,'Forecast (By Month)'!$F$4:$F$605,"&lt;="&amp;F25*12,'Forecast (By Month)'!$F$4:$F$605,"&gt;"&amp;F24*12),"-")</f>
        <v>225369.80063058913</v>
      </c>
      <c r="S25" s="132">
        <f t="shared" si="5"/>
        <v>0</v>
      </c>
      <c r="T25" s="132">
        <f t="shared" si="0"/>
        <v>225369.80063058913</v>
      </c>
      <c r="U25" s="132">
        <f>IF($F25&lt;=$C$16,SUM(T$5:T25),"-")</f>
        <v>2899365.8132423693</v>
      </c>
      <c r="V25" s="132">
        <f>IF($F25&lt;=$C$16,INDEX('Forecast (By Month)'!$F$3:$AY$605,MATCH($F25*12,'Forecast (By Month)'!$F$3:$F$605,0),MATCH(V$3,'Forecast (By Month)'!$F$3:$AA$3,0)),"-")</f>
        <v>2858420.8586006062</v>
      </c>
      <c r="W25" s="29">
        <f>IF($F25&lt;=$C$16,INDEX('Forecast (By Month)'!$F$3:$AY$605,MATCH($F25*12,'Forecast (By Month)'!$F$3:$F$605,0),MATCH(W$3,'Forecast (By Month)'!$F$3:$AA$3,0)),"-")</f>
        <v>1.785367054147498</v>
      </c>
      <c r="X25" s="29">
        <f>IF($F25&lt;=$C$16,INDEX('Forecast (By Month)'!$F$3:$AY$605,MATCH($F25*12,'Forecast (By Month)'!$F$3:$F$605,0),MATCH(X$3,'Forecast (By Month)'!$F$3:$AA$3,0)),"-")</f>
        <v>8.501747876892847E-2</v>
      </c>
      <c r="Y25" s="132">
        <f>IF($F25&lt;=$C$16,INDEX('Forecast (By Month)'!$F$3:$AY$605,MATCH($F25*12,'Forecast (By Month)'!$F$3:$F$605,0),MATCH(Y$3,'Forecast (By Month)'!$F$3:$AA$3,0)),"-")</f>
        <v>5757786.6718429793</v>
      </c>
      <c r="Z25" s="29">
        <f>IF($F25&lt;=$C$16,INDEX('Forecast (By Month)'!$F$3:$AY$605,MATCH($F25*12,'Forecast (By Month)'!$F$3:$F$605,0),MATCH(Z$3,'Forecast (By Month)'!$F$3:$AA$3,0)),"-")</f>
        <v>3.5963082895185274</v>
      </c>
      <c r="AA25" s="31">
        <f>IF($F25&lt;=$C$16,INDEX('Forecast (By Month)'!$F$3:$AY$605,MATCH($F25*12,'Forecast (By Month)'!$F$3:$F$605,0),MATCH(AA$3,'Forecast (By Month)'!$F$3:$AA$3,0)),"-")</f>
        <v>0.17125277569135844</v>
      </c>
      <c r="AD25" s="12">
        <f t="shared" si="6"/>
        <v>21</v>
      </c>
      <c r="AE25" s="132">
        <f t="shared" si="7"/>
        <v>4555048.8353066854</v>
      </c>
      <c r="AF25" s="132">
        <f>IF($AD25&lt;=$C$25,AE25-$C$7+SUMIFS('Mortgage Calculators (By Month)'!$K$23:$K$622,'Mortgage Calculators (By Month)'!$I$23:$I$622,"&lt;="&amp;AD25*12),"-")</f>
        <v>4555048.8353066854</v>
      </c>
      <c r="AG25" s="132">
        <f t="shared" si="8"/>
        <v>273289.66362987534</v>
      </c>
      <c r="AH25" s="132">
        <f>IF($AD25&lt;=$C$25,SUMIFS('Forecast (By Month)'!$AH$4:$AH$605,'Forecast (By Month)'!$AD$4:$AD$605,"&lt;="&amp;AD25*12,'Forecast (By Month)'!$AD$4:$AD$605,"&gt;"&amp;AD24*12),"-")</f>
        <v>30061.862999286284</v>
      </c>
      <c r="AI25" s="132">
        <f>IF($AD25&lt;=$C$25,SUMIFS('Forecast (By Month)'!$AI$4:$AI$605,'Forecast (By Month)'!$AD$4:$AD$605,"&lt;="&amp;AD25*12,'Forecast (By Month)'!$AD$4:$AD$605,"&gt;"&amp;AD24*12),"-")</f>
        <v>17857.999999999996</v>
      </c>
      <c r="AJ25" s="132">
        <f t="shared" si="9"/>
        <v>47919.862999286284</v>
      </c>
      <c r="AK25" s="132">
        <f>IF($AD25&lt;=$C$25,SUMIFS('Forecast (By Month)'!$AK$4:$AK$605,'Forecast (By Month)'!$AD$4:$AD$605,"&lt;="&amp;AD25*12,'Forecast (By Month)'!$AD$4:$AD$605,"&gt;"&amp;AD24*12),"-")</f>
        <v>0</v>
      </c>
      <c r="AL25" s="132">
        <f>IF($AD25&lt;=$C$25,SUMIFS('Forecast (By Month)'!$AL$4:$AL$605,'Forecast (By Month)'!$AD$4:$AD$605,"&lt;="&amp;AD25*12,'Forecast (By Month)'!$AD$4:$AD$605,"&gt;"&amp;AD24*12),"-")</f>
        <v>0</v>
      </c>
      <c r="AM25" s="132">
        <f>IF($AD25&lt;=$C$25,SUMIFS('Forecast (By Month)'!$AM$4:$AM$605,'Forecast (By Month)'!$AD$4:$AD$605,"&lt;="&amp;AD25*12,'Forecast (By Month)'!$AD$4:$AD$605,"&gt;"&amp;AD24*12),"-")</f>
        <v>120</v>
      </c>
      <c r="AN25" s="132">
        <f>IF($AD25&lt;=$C$25,SUMIFS('Forecast (By Month)'!$AN$4:$AN$605,'Forecast (By Month)'!$AD$4:$AD$605,"&lt;="&amp;AD25*12,'Forecast (By Month)'!$AD$4:$AD$605,"&gt;"&amp;AD24*12),"-")</f>
        <v>0</v>
      </c>
      <c r="AO25" s="132">
        <f>IF($AD25&lt;=$C$25,SUMIFS('Forecast (By Month)'!$AO$4:$AO$605,'Forecast (By Month)'!$AD$4:$AD$605,"&lt;="&amp;AD25*12,'Forecast (By Month)'!$AD$4:$AD$605,"&gt;"&amp;AD24*12),"-")</f>
        <v>48039.862999286299</v>
      </c>
      <c r="AP25" s="132">
        <f>IF($AD25&lt;=$C$25,SUMIFS('Forecast (By Month)'!$AP$4:$AP$605,'Forecast (By Month)'!$AD$4:$AD$605,"&lt;="&amp;AD25*12,'Forecast (By Month)'!$AD$4:$AD$605,"&gt;"&amp;AD24*12),"-")</f>
        <v>225369.80063058913</v>
      </c>
      <c r="AQ25" s="132">
        <f t="shared" si="10"/>
        <v>0</v>
      </c>
      <c r="AR25" s="132">
        <f t="shared" si="11"/>
        <v>225369.80063058913</v>
      </c>
      <c r="AS25" s="132">
        <f>IF($AD25&lt;=$C$25,SUM(AR$5:AR25),"-")</f>
        <v>2899355.8132423693</v>
      </c>
      <c r="AT25" s="132">
        <f>IF($AD25&lt;=$C$25,INDEX('Forecast (By Month)'!$AD$3:$AY$605,MATCH($AD25*12,'Forecast (By Month)'!$AD$3:$AD$605,0),MATCH(AT$3,'Forecast (By Month)'!$AD$3:$AY$3,0)),"-")</f>
        <v>2858420.8586006062</v>
      </c>
      <c r="AU25" s="29">
        <f>IF($AD25&lt;=$C$25,INDEX('Forecast (By Month)'!$AD$3:$AY$605,MATCH($AD25*12,'Forecast (By Month)'!$AD$3:$AD$605,0),MATCH(AU$3,'Forecast (By Month)'!$AD$3:$AY$3,0)),"-")</f>
        <v>1.785367054147498</v>
      </c>
      <c r="AV25" s="29">
        <f>IF($AD25&lt;=$C$25,INDEX('Forecast (By Month)'!$AD$3:$AY$605,MATCH($AD25*12,'Forecast (By Month)'!$AD$3:$AD$605,0),MATCH(AV$3,'Forecast (By Month)'!$AD$3:$AY$3,0)),"-")</f>
        <v>8.501747876892847E-2</v>
      </c>
      <c r="AW25" s="132">
        <f>IF($AD25&lt;=$C$25,INDEX('Forecast (By Month)'!$AD$3:$AY$605,MATCH($AD25*12,'Forecast (By Month)'!$AD$3:$AD$605,0),MATCH(AW$3,'Forecast (By Month)'!$AD$3:$AY$3,0)),"-")</f>
        <v>5757776.6718429793</v>
      </c>
      <c r="AX25" s="29">
        <f>IF($AD25&lt;=$C$25,INDEX('Forecast (By Month)'!$AD$3:$AY$605,MATCH($AD25*12,'Forecast (By Month)'!$AD$3:$AD$605,0),MATCH(AX$3,'Forecast (By Month)'!$AD$3:$AY$3,0)),"-")</f>
        <v>3.5963020435276727</v>
      </c>
      <c r="AY25" s="31">
        <f>IF($AD25&lt;=$C$25,INDEX('Forecast (By Month)'!$AD$3:$AY$605,MATCH($AD25*12,'Forecast (By Month)'!$AD$3:$AD$605,0),MATCH(AY$3,'Forecast (By Month)'!$AD$3:$AY$3,0)),"-")</f>
        <v>0.17125247826322251</v>
      </c>
    </row>
    <row r="26" spans="2:51" x14ac:dyDescent="0.35">
      <c r="B26" t="str">
        <f>"Fees ("&amp;Inputs!$D$28&amp;")"</f>
        <v>Fees (per annum)</v>
      </c>
      <c r="C26" s="142">
        <f>Inputs!$C$28</f>
        <v>120</v>
      </c>
      <c r="F26" s="12">
        <f t="shared" si="1"/>
        <v>22</v>
      </c>
      <c r="G26" s="132">
        <f t="shared" si="2"/>
        <v>4782801.2770720199</v>
      </c>
      <c r="H26" s="132">
        <f>IF($F26&lt;=$C$16,G26-$C$7+SUMIFS('Mortgage Calculators (By Month)'!$D$23:$D$622,'Mortgage Calculators (By Month)'!$B$23:$B$622,"&lt;="&amp;F26*12),"-")</f>
        <v>4782801.2770720199</v>
      </c>
      <c r="I26" s="132">
        <f t="shared" si="3"/>
        <v>286954.14681136911</v>
      </c>
      <c r="J26" s="132">
        <f>IF($F26&lt;=$C$16,SUMIFS('Forecast (By Month)'!$J$4:$J$605,'Forecast (By Month)'!$F$4:$F$605,"&lt;="&amp;F26*12,'Forecast (By Month)'!$F$4:$F$605,"&gt;"&amp;F25*12),"-")</f>
        <v>31564.956149250615</v>
      </c>
      <c r="K26" s="132">
        <f>IF($F26&lt;=$C$16,SUMIFS('Forecast (By Month)'!$K$4:$K$605,'Forecast (By Month)'!$F$4:$F$605,"&lt;="&amp;F26*12,'Forecast (By Month)'!$F$4:$F$605,"&gt;"&amp;F25*12),"-")</f>
        <v>17857.999999999996</v>
      </c>
      <c r="L26" s="132">
        <f t="shared" si="4"/>
        <v>49422.956149250611</v>
      </c>
      <c r="M26" s="132">
        <f>IF($F26&lt;=$C$16,SUMIFS('Forecast (By Month)'!$M$4:$M$605,'Forecast (By Month)'!$F$4:$F$605,"&lt;="&amp;F26*12,'Forecast (By Month)'!$F$4:$F$605,"&gt;"&amp;F25*12),"-")</f>
        <v>0</v>
      </c>
      <c r="N26" s="132">
        <f>IF($F26&lt;=$C$16,SUMIFS('Forecast (By Month)'!$N$4:$N$605,'Forecast (By Month)'!$F$4:$F$605,"&lt;="&amp;F26*12,'Forecast (By Month)'!$F$4:$F$605,"&gt;"&amp;F25*12),"-")</f>
        <v>0</v>
      </c>
      <c r="O26" s="132">
        <f>IF($F26&lt;=$C$16,SUMIFS('Forecast (By Month)'!$O$4:$O$605,'Forecast (By Month)'!$F$4:$F$605,"&lt;="&amp;F26*12,'Forecast (By Month)'!$F$4:$F$605,"&gt;"&amp;F25*12),"-")</f>
        <v>99.999999999999986</v>
      </c>
      <c r="P26" s="132">
        <f>IF($F26&lt;=$C$16,SUMIFS('Forecast (By Month)'!$P$4:$P$605,'Forecast (By Month)'!$F$4:$F$605,"&lt;="&amp;F26*12,'Forecast (By Month)'!$F$4:$F$605,"&gt;"&amp;F25*12),"-")</f>
        <v>0</v>
      </c>
      <c r="Q26" s="132">
        <f>IF($F26&lt;=$C$16,SUMIFS('Forecast (By Month)'!$Q$4:$Q$605,'Forecast (By Month)'!$F$4:$F$605,"&lt;="&amp;F26*12,'Forecast (By Month)'!$F$4:$F$605,"&gt;"&amp;F25*12),"-")</f>
        <v>49522.956149250611</v>
      </c>
      <c r="R26" s="132">
        <f>IF($F26&lt;=$C$16,SUMIFS('Forecast (By Month)'!$R$4:$R$605,'Forecast (By Month)'!$F$4:$F$605,"&lt;="&amp;F26*12,'Forecast (By Month)'!$F$4:$F$605,"&gt;"&amp;F25*12),"-")</f>
        <v>237531.19066211849</v>
      </c>
      <c r="S26" s="132">
        <f t="shared" si="5"/>
        <v>0</v>
      </c>
      <c r="T26" s="132">
        <f t="shared" si="0"/>
        <v>237531.19066211849</v>
      </c>
      <c r="U26" s="132">
        <f>IF($F26&lt;=$C$16,SUM(T$5:T26),"-")</f>
        <v>3136897.0039044879</v>
      </c>
      <c r="V26" s="132">
        <f>IF($F26&lt;=$C$16,INDEX('Forecast (By Month)'!$F$3:$AY$605,MATCH($F26*12,'Forecast (By Month)'!$F$3:$F$605,0),MATCH(V$3,'Forecast (By Month)'!$F$3:$AA$3,0)),"-")</f>
        <v>3081618.2515306403</v>
      </c>
      <c r="W26" s="29">
        <f>IF($F26&lt;=$C$16,INDEX('Forecast (By Month)'!$F$3:$AY$605,MATCH($F26*12,'Forecast (By Month)'!$F$3:$F$605,0),MATCH(W$3,'Forecast (By Month)'!$F$3:$AA$3,0)),"-")</f>
        <v>1.9247759416491041</v>
      </c>
      <c r="X26" s="29">
        <f>IF($F26&lt;=$C$16,INDEX('Forecast (By Month)'!$F$3:$AY$605,MATCH($F26*12,'Forecast (By Month)'!$F$3:$F$605,0),MATCH(X$3,'Forecast (By Month)'!$F$3:$AA$3,0)),"-")</f>
        <v>8.748981552950473E-2</v>
      </c>
      <c r="Y26" s="132">
        <f>IF($F26&lt;=$C$16,INDEX('Forecast (By Month)'!$F$3:$AY$605,MATCH($F26*12,'Forecast (By Month)'!$F$3:$F$605,0),MATCH(Y$3,'Forecast (By Month)'!$F$3:$AA$3,0)),"-")</f>
        <v>6218515.2554351315</v>
      </c>
      <c r="Z26" s="29">
        <f>IF($F26&lt;=$C$16,INDEX('Forecast (By Month)'!$F$3:$AY$605,MATCH($F26*12,'Forecast (By Month)'!$F$3:$F$605,0),MATCH(Z$3,'Forecast (By Month)'!$F$3:$AA$3,0)),"-")</f>
        <v>3.884078941476397</v>
      </c>
      <c r="AA26" s="31">
        <f>IF($F26&lt;=$C$16,INDEX('Forecast (By Month)'!$F$3:$AY$605,MATCH($F26*12,'Forecast (By Month)'!$F$3:$F$605,0),MATCH(AA$3,'Forecast (By Month)'!$F$3:$AA$3,0)),"-")</f>
        <v>0.17654904279438169</v>
      </c>
      <c r="AD26" s="12">
        <f t="shared" si="6"/>
        <v>22</v>
      </c>
      <c r="AE26" s="132">
        <f t="shared" si="7"/>
        <v>4782801.2770720199</v>
      </c>
      <c r="AF26" s="132">
        <f>IF($AD26&lt;=$C$25,AE26-$C$7+SUMIFS('Mortgage Calculators (By Month)'!$K$23:$K$622,'Mortgage Calculators (By Month)'!$I$23:$I$622,"&lt;="&amp;AD26*12),"-")</f>
        <v>4782801.2770720199</v>
      </c>
      <c r="AG26" s="132">
        <f t="shared" si="8"/>
        <v>286954.14681136911</v>
      </c>
      <c r="AH26" s="132">
        <f>IF($AD26&lt;=$C$25,SUMIFS('Forecast (By Month)'!$AH$4:$AH$605,'Forecast (By Month)'!$AD$4:$AD$605,"&lt;="&amp;AD26*12,'Forecast (By Month)'!$AD$4:$AD$605,"&gt;"&amp;AD25*12),"-")</f>
        <v>31564.956149250615</v>
      </c>
      <c r="AI26" s="132">
        <f>IF($AD26&lt;=$C$25,SUMIFS('Forecast (By Month)'!$AI$4:$AI$605,'Forecast (By Month)'!$AD$4:$AD$605,"&lt;="&amp;AD26*12,'Forecast (By Month)'!$AD$4:$AD$605,"&gt;"&amp;AD25*12),"-")</f>
        <v>17857.999999999996</v>
      </c>
      <c r="AJ26" s="132">
        <f t="shared" si="9"/>
        <v>49422.956149250611</v>
      </c>
      <c r="AK26" s="132">
        <f>IF($AD26&lt;=$C$25,SUMIFS('Forecast (By Month)'!$AK$4:$AK$605,'Forecast (By Month)'!$AD$4:$AD$605,"&lt;="&amp;AD26*12,'Forecast (By Month)'!$AD$4:$AD$605,"&gt;"&amp;AD25*12),"-")</f>
        <v>0</v>
      </c>
      <c r="AL26" s="132">
        <f>IF($AD26&lt;=$C$25,SUMIFS('Forecast (By Month)'!$AL$4:$AL$605,'Forecast (By Month)'!$AD$4:$AD$605,"&lt;="&amp;AD26*12,'Forecast (By Month)'!$AD$4:$AD$605,"&gt;"&amp;AD25*12),"-")</f>
        <v>0</v>
      </c>
      <c r="AM26" s="132">
        <f>IF($AD26&lt;=$C$25,SUMIFS('Forecast (By Month)'!$AM$4:$AM$605,'Forecast (By Month)'!$AD$4:$AD$605,"&lt;="&amp;AD26*12,'Forecast (By Month)'!$AD$4:$AD$605,"&gt;"&amp;AD25*12),"-")</f>
        <v>120</v>
      </c>
      <c r="AN26" s="132">
        <f>IF($AD26&lt;=$C$25,SUMIFS('Forecast (By Month)'!$AN$4:$AN$605,'Forecast (By Month)'!$AD$4:$AD$605,"&lt;="&amp;AD26*12,'Forecast (By Month)'!$AD$4:$AD$605,"&gt;"&amp;AD25*12),"-")</f>
        <v>0</v>
      </c>
      <c r="AO26" s="132">
        <f>IF($AD26&lt;=$C$25,SUMIFS('Forecast (By Month)'!$AO$4:$AO$605,'Forecast (By Month)'!$AD$4:$AD$605,"&lt;="&amp;AD26*12,'Forecast (By Month)'!$AD$4:$AD$605,"&gt;"&amp;AD25*12),"-")</f>
        <v>49542.956149250596</v>
      </c>
      <c r="AP26" s="132">
        <f>IF($AD26&lt;=$C$25,SUMIFS('Forecast (By Month)'!$AP$4:$AP$605,'Forecast (By Month)'!$AD$4:$AD$605,"&lt;="&amp;AD26*12,'Forecast (By Month)'!$AD$4:$AD$605,"&gt;"&amp;AD25*12),"-")</f>
        <v>237531.19066211849</v>
      </c>
      <c r="AQ26" s="132">
        <f t="shared" si="10"/>
        <v>0</v>
      </c>
      <c r="AR26" s="132">
        <f t="shared" si="11"/>
        <v>237531.19066211849</v>
      </c>
      <c r="AS26" s="132">
        <f>IF($AD26&lt;=$C$25,SUM(AR$5:AR26),"-")</f>
        <v>3136887.0039044879</v>
      </c>
      <c r="AT26" s="132">
        <f>IF($AD26&lt;=$C$25,INDEX('Forecast (By Month)'!$AD$3:$AY$605,MATCH($AD26*12,'Forecast (By Month)'!$AD$3:$AD$605,0),MATCH(AT$3,'Forecast (By Month)'!$AD$3:$AY$3,0)),"-")</f>
        <v>3081618.2515306403</v>
      </c>
      <c r="AU26" s="29">
        <f>IF($AD26&lt;=$C$25,INDEX('Forecast (By Month)'!$AD$3:$AY$605,MATCH($AD26*12,'Forecast (By Month)'!$AD$3:$AD$605,0),MATCH(AU$3,'Forecast (By Month)'!$AD$3:$AY$3,0)),"-")</f>
        <v>1.9247759416491041</v>
      </c>
      <c r="AV26" s="29">
        <f>IF($AD26&lt;=$C$25,INDEX('Forecast (By Month)'!$AD$3:$AY$605,MATCH($AD26*12,'Forecast (By Month)'!$AD$3:$AD$605,0),MATCH(AV$3,'Forecast (By Month)'!$AD$3:$AY$3,0)),"-")</f>
        <v>8.748981552950473E-2</v>
      </c>
      <c r="AW26" s="132">
        <f>IF($AD26&lt;=$C$25,INDEX('Forecast (By Month)'!$AD$3:$AY$605,MATCH($AD26*12,'Forecast (By Month)'!$AD$3:$AD$605,0),MATCH(AW$3,'Forecast (By Month)'!$AD$3:$AY$3,0)),"-")</f>
        <v>6218505.2554351315</v>
      </c>
      <c r="AX26" s="29">
        <f>IF($AD26&lt;=$C$25,INDEX('Forecast (By Month)'!$AD$3:$AY$605,MATCH($AD26*12,'Forecast (By Month)'!$AD$3:$AD$605,0),MATCH(AX$3,'Forecast (By Month)'!$AD$3:$AY$3,0)),"-")</f>
        <v>3.8840726954855422</v>
      </c>
      <c r="AY26" s="31">
        <f>IF($AD26&lt;=$C$25,INDEX('Forecast (By Month)'!$AD$3:$AY$605,MATCH($AD26*12,'Forecast (By Month)'!$AD$3:$AD$605,0),MATCH(AY$3,'Forecast (By Month)'!$AD$3:$AY$3,0)),"-")</f>
        <v>0.17654875888570645</v>
      </c>
    </row>
    <row r="27" spans="2:51" x14ac:dyDescent="0.35">
      <c r="B27" t="s">
        <v>171</v>
      </c>
      <c r="C27" s="142">
        <f>Inputs!$K$49</f>
        <v>120</v>
      </c>
      <c r="F27" s="12">
        <f t="shared" si="1"/>
        <v>23</v>
      </c>
      <c r="G27" s="132">
        <f t="shared" si="2"/>
        <v>5021941.3409256209</v>
      </c>
      <c r="H27" s="132">
        <f>IF($F27&lt;=$C$16,G27-$C$7+SUMIFS('Mortgage Calculators (By Month)'!$D$23:$D$622,'Mortgage Calculators (By Month)'!$B$23:$B$622,"&lt;="&amp;F27*12),"-")</f>
        <v>5021941.3409256209</v>
      </c>
      <c r="I27" s="132">
        <f t="shared" si="3"/>
        <v>301301.85415193753</v>
      </c>
      <c r="J27" s="132">
        <f>IF($F27&lt;=$C$16,SUMIFS('Forecast (By Month)'!$J$4:$J$605,'Forecast (By Month)'!$F$4:$F$605,"&lt;="&amp;F27*12,'Forecast (By Month)'!$F$4:$F$605,"&gt;"&amp;F26*12),"-")</f>
        <v>33143.203956713121</v>
      </c>
      <c r="K27" s="132">
        <f>IF($F27&lt;=$C$16,SUMIFS('Forecast (By Month)'!$K$4:$K$605,'Forecast (By Month)'!$F$4:$F$605,"&lt;="&amp;F27*12,'Forecast (By Month)'!$F$4:$F$605,"&gt;"&amp;F26*12),"-")</f>
        <v>17857.999999999996</v>
      </c>
      <c r="L27" s="132">
        <f t="shared" si="4"/>
        <v>51001.203956713114</v>
      </c>
      <c r="M27" s="132">
        <f>IF($F27&lt;=$C$16,SUMIFS('Forecast (By Month)'!$M$4:$M$605,'Forecast (By Month)'!$F$4:$F$605,"&lt;="&amp;F27*12,'Forecast (By Month)'!$F$4:$F$605,"&gt;"&amp;F26*12),"-")</f>
        <v>0</v>
      </c>
      <c r="N27" s="132">
        <f>IF($F27&lt;=$C$16,SUMIFS('Forecast (By Month)'!$N$4:$N$605,'Forecast (By Month)'!$F$4:$F$605,"&lt;="&amp;F27*12,'Forecast (By Month)'!$F$4:$F$605,"&gt;"&amp;F26*12),"-")</f>
        <v>0</v>
      </c>
      <c r="O27" s="132">
        <f>IF($F27&lt;=$C$16,SUMIFS('Forecast (By Month)'!$O$4:$O$605,'Forecast (By Month)'!$F$4:$F$605,"&lt;="&amp;F27*12,'Forecast (By Month)'!$F$4:$F$605,"&gt;"&amp;F26*12),"-")</f>
        <v>99.999999999999986</v>
      </c>
      <c r="P27" s="132">
        <f>IF($F27&lt;=$C$16,SUMIFS('Forecast (By Month)'!$P$4:$P$605,'Forecast (By Month)'!$F$4:$F$605,"&lt;="&amp;F27*12,'Forecast (By Month)'!$F$4:$F$605,"&gt;"&amp;F26*12),"-")</f>
        <v>0</v>
      </c>
      <c r="Q27" s="132">
        <f>IF($F27&lt;=$C$16,SUMIFS('Forecast (By Month)'!$Q$4:$Q$605,'Forecast (By Month)'!$F$4:$F$605,"&lt;="&amp;F27*12,'Forecast (By Month)'!$F$4:$F$605,"&gt;"&amp;F26*12),"-")</f>
        <v>51101.203956713121</v>
      </c>
      <c r="R27" s="132">
        <f>IF($F27&lt;=$C$16,SUMIFS('Forecast (By Month)'!$R$4:$R$605,'Forecast (By Month)'!$F$4:$F$605,"&lt;="&amp;F27*12,'Forecast (By Month)'!$F$4:$F$605,"&gt;"&amp;F26*12),"-")</f>
        <v>250300.65019522444</v>
      </c>
      <c r="S27" s="132">
        <f t="shared" si="5"/>
        <v>0</v>
      </c>
      <c r="T27" s="132">
        <f t="shared" si="0"/>
        <v>250300.65019522444</v>
      </c>
      <c r="U27" s="132">
        <f>IF($F27&lt;=$C$16,SUM(T$5:T27),"-")</f>
        <v>3387197.6540997121</v>
      </c>
      <c r="V27" s="132">
        <f>IF($F27&lt;=$C$16,INDEX('Forecast (By Month)'!$F$3:$AY$605,MATCH($F27*12,'Forecast (By Month)'!$F$3:$F$605,0),MATCH(V$3,'Forecast (By Month)'!$F$3:$AA$3,0)),"-")</f>
        <v>3315975.5141071756</v>
      </c>
      <c r="W27" s="29">
        <f>IF($F27&lt;=$C$16,INDEX('Forecast (By Month)'!$F$3:$AY$605,MATCH($F27*12,'Forecast (By Month)'!$F$3:$F$605,0),MATCH(W$3,'Forecast (By Month)'!$F$3:$AA$3,0)),"-")</f>
        <v>2.0711552735257905</v>
      </c>
      <c r="X27" s="29">
        <f>IF($F27&lt;=$C$16,INDEX('Forecast (By Month)'!$F$3:$AY$605,MATCH($F27*12,'Forecast (By Month)'!$F$3:$F$605,0),MATCH(X$3,'Forecast (By Month)'!$F$3:$AA$3,0)),"-")</f>
        <v>9.0050229283730021E-2</v>
      </c>
      <c r="Y27" s="132">
        <f>IF($F27&lt;=$C$16,INDEX('Forecast (By Month)'!$F$3:$AY$605,MATCH($F27*12,'Forecast (By Month)'!$F$3:$F$605,0),MATCH(Y$3,'Forecast (By Month)'!$F$3:$AA$3,0)),"-")</f>
        <v>6703173.1682068892</v>
      </c>
      <c r="Z27" s="29">
        <f>IF($F27&lt;=$C$16,INDEX('Forecast (By Month)'!$F$3:$AY$605,MATCH($F27*12,'Forecast (By Month)'!$F$3:$F$605,0),MATCH(Z$3,'Forecast (By Month)'!$F$3:$AA$3,0)),"-")</f>
        <v>4.1867958305555675</v>
      </c>
      <c r="AA27" s="31">
        <f>IF($F27&lt;=$C$16,INDEX('Forecast (By Month)'!$F$3:$AY$605,MATCH($F27*12,'Forecast (By Month)'!$F$3:$F$605,0),MATCH(AA$3,'Forecast (By Month)'!$F$3:$AA$3,0)),"-")</f>
        <v>0.18203460132850294</v>
      </c>
      <c r="AD27" s="12">
        <f t="shared" si="6"/>
        <v>23</v>
      </c>
      <c r="AE27" s="132">
        <f t="shared" si="7"/>
        <v>5021941.3409256209</v>
      </c>
      <c r="AF27" s="132">
        <f>IF($AD27&lt;=$C$25,AE27-$C$7+SUMIFS('Mortgage Calculators (By Month)'!$K$23:$K$622,'Mortgage Calculators (By Month)'!$I$23:$I$622,"&lt;="&amp;AD27*12),"-")</f>
        <v>5021941.3409256209</v>
      </c>
      <c r="AG27" s="132">
        <f t="shared" si="8"/>
        <v>301301.85415193753</v>
      </c>
      <c r="AH27" s="132">
        <f>IF($AD27&lt;=$C$25,SUMIFS('Forecast (By Month)'!$AH$4:$AH$605,'Forecast (By Month)'!$AD$4:$AD$605,"&lt;="&amp;AD27*12,'Forecast (By Month)'!$AD$4:$AD$605,"&gt;"&amp;AD26*12),"-")</f>
        <v>33143.203956713121</v>
      </c>
      <c r="AI27" s="132">
        <f>IF($AD27&lt;=$C$25,SUMIFS('Forecast (By Month)'!$AI$4:$AI$605,'Forecast (By Month)'!$AD$4:$AD$605,"&lt;="&amp;AD27*12,'Forecast (By Month)'!$AD$4:$AD$605,"&gt;"&amp;AD26*12),"-")</f>
        <v>17857.999999999996</v>
      </c>
      <c r="AJ27" s="132">
        <f t="shared" si="9"/>
        <v>51001.203956713114</v>
      </c>
      <c r="AK27" s="132">
        <f>IF($AD27&lt;=$C$25,SUMIFS('Forecast (By Month)'!$AK$4:$AK$605,'Forecast (By Month)'!$AD$4:$AD$605,"&lt;="&amp;AD27*12,'Forecast (By Month)'!$AD$4:$AD$605,"&gt;"&amp;AD26*12),"-")</f>
        <v>0</v>
      </c>
      <c r="AL27" s="132">
        <f>IF($AD27&lt;=$C$25,SUMIFS('Forecast (By Month)'!$AL$4:$AL$605,'Forecast (By Month)'!$AD$4:$AD$605,"&lt;="&amp;AD27*12,'Forecast (By Month)'!$AD$4:$AD$605,"&gt;"&amp;AD26*12),"-")</f>
        <v>0</v>
      </c>
      <c r="AM27" s="132">
        <f>IF($AD27&lt;=$C$25,SUMIFS('Forecast (By Month)'!$AM$4:$AM$605,'Forecast (By Month)'!$AD$4:$AD$605,"&lt;="&amp;AD27*12,'Forecast (By Month)'!$AD$4:$AD$605,"&gt;"&amp;AD26*12),"-")</f>
        <v>120</v>
      </c>
      <c r="AN27" s="132">
        <f>IF($AD27&lt;=$C$25,SUMIFS('Forecast (By Month)'!$AN$4:$AN$605,'Forecast (By Month)'!$AD$4:$AD$605,"&lt;="&amp;AD27*12,'Forecast (By Month)'!$AD$4:$AD$605,"&gt;"&amp;AD26*12),"-")</f>
        <v>0</v>
      </c>
      <c r="AO27" s="132">
        <f>IF($AD27&lt;=$C$25,SUMIFS('Forecast (By Month)'!$AO$4:$AO$605,'Forecast (By Month)'!$AD$4:$AD$605,"&lt;="&amp;AD27*12,'Forecast (By Month)'!$AD$4:$AD$605,"&gt;"&amp;AD26*12),"-")</f>
        <v>51121.203956713114</v>
      </c>
      <c r="AP27" s="132">
        <f>IF($AD27&lt;=$C$25,SUMIFS('Forecast (By Month)'!$AP$4:$AP$605,'Forecast (By Month)'!$AD$4:$AD$605,"&lt;="&amp;AD27*12,'Forecast (By Month)'!$AD$4:$AD$605,"&gt;"&amp;AD26*12),"-")</f>
        <v>250300.65019522444</v>
      </c>
      <c r="AQ27" s="132">
        <f t="shared" si="10"/>
        <v>0</v>
      </c>
      <c r="AR27" s="132">
        <f t="shared" si="11"/>
        <v>250300.65019522444</v>
      </c>
      <c r="AS27" s="132">
        <f>IF($AD27&lt;=$C$25,SUM(AR$5:AR27),"-")</f>
        <v>3387187.6540997121</v>
      </c>
      <c r="AT27" s="132">
        <f>IF($AD27&lt;=$C$25,INDEX('Forecast (By Month)'!$AD$3:$AY$605,MATCH($AD27*12,'Forecast (By Month)'!$AD$3:$AD$605,0),MATCH(AT$3,'Forecast (By Month)'!$AD$3:$AY$3,0)),"-")</f>
        <v>3315975.5141071756</v>
      </c>
      <c r="AU27" s="29">
        <f>IF($AD27&lt;=$C$25,INDEX('Forecast (By Month)'!$AD$3:$AY$605,MATCH($AD27*12,'Forecast (By Month)'!$AD$3:$AD$605,0),MATCH(AU$3,'Forecast (By Month)'!$AD$3:$AY$3,0)),"-")</f>
        <v>2.0711552735257905</v>
      </c>
      <c r="AV27" s="29">
        <f>IF($AD27&lt;=$C$25,INDEX('Forecast (By Month)'!$AD$3:$AY$605,MATCH($AD27*12,'Forecast (By Month)'!$AD$3:$AD$605,0),MATCH(AV$3,'Forecast (By Month)'!$AD$3:$AY$3,0)),"-")</f>
        <v>9.0050229283730021E-2</v>
      </c>
      <c r="AW27" s="132">
        <f>IF($AD27&lt;=$C$25,INDEX('Forecast (By Month)'!$AD$3:$AY$605,MATCH($AD27*12,'Forecast (By Month)'!$AD$3:$AD$605,0),MATCH(AW$3,'Forecast (By Month)'!$AD$3:$AY$3,0)),"-")</f>
        <v>6703163.1682068892</v>
      </c>
      <c r="AX27" s="29">
        <f>IF($AD27&lt;=$C$25,INDEX('Forecast (By Month)'!$AD$3:$AY$605,MATCH($AD27*12,'Forecast (By Month)'!$AD$3:$AD$605,0),MATCH(AX$3,'Forecast (By Month)'!$AD$3:$AY$3,0)),"-")</f>
        <v>4.1867895845647132</v>
      </c>
      <c r="AY27" s="31">
        <f>IF($AD27&lt;=$C$25,INDEX('Forecast (By Month)'!$AD$3:$AY$605,MATCH($AD27*12,'Forecast (By Month)'!$AD$3:$AD$605,0),MATCH(AY$3,'Forecast (By Month)'!$AD$3:$AY$3,0)),"-")</f>
        <v>0.18203432976368319</v>
      </c>
    </row>
    <row r="28" spans="2:51" x14ac:dyDescent="0.35">
      <c r="B28" t="s">
        <v>132</v>
      </c>
      <c r="C28" s="142">
        <f>Inputs!$K$50</f>
        <v>120</v>
      </c>
      <c r="F28" s="12">
        <f t="shared" si="1"/>
        <v>24</v>
      </c>
      <c r="G28" s="132">
        <f t="shared" si="2"/>
        <v>5273038.4079719018</v>
      </c>
      <c r="H28" s="132">
        <f>IF($F28&lt;=$C$16,G28-$C$7+SUMIFS('Mortgage Calculators (By Month)'!$D$23:$D$622,'Mortgage Calculators (By Month)'!$B$23:$B$622,"&lt;="&amp;F28*12),"-")</f>
        <v>5273038.4079719018</v>
      </c>
      <c r="I28" s="132">
        <f t="shared" si="3"/>
        <v>316366.94685953448</v>
      </c>
      <c r="J28" s="132">
        <f>IF($F28&lt;=$C$16,SUMIFS('Forecast (By Month)'!$J$4:$J$605,'Forecast (By Month)'!$F$4:$F$605,"&lt;="&amp;F28*12,'Forecast (By Month)'!$F$4:$F$605,"&gt;"&amp;F27*12),"-")</f>
        <v>34800.364154548799</v>
      </c>
      <c r="K28" s="132">
        <f>IF($F28&lt;=$C$16,SUMIFS('Forecast (By Month)'!$K$4:$K$605,'Forecast (By Month)'!$F$4:$F$605,"&lt;="&amp;F28*12,'Forecast (By Month)'!$F$4:$F$605,"&gt;"&amp;F27*12),"-")</f>
        <v>17857.999999999996</v>
      </c>
      <c r="L28" s="132">
        <f t="shared" si="4"/>
        <v>52658.364154548792</v>
      </c>
      <c r="M28" s="132">
        <f>IF($F28&lt;=$C$16,SUMIFS('Forecast (By Month)'!$M$4:$M$605,'Forecast (By Month)'!$F$4:$F$605,"&lt;="&amp;F28*12,'Forecast (By Month)'!$F$4:$F$605,"&gt;"&amp;F27*12),"-")</f>
        <v>0</v>
      </c>
      <c r="N28" s="132">
        <f>IF($F28&lt;=$C$16,SUMIFS('Forecast (By Month)'!$N$4:$N$605,'Forecast (By Month)'!$F$4:$F$605,"&lt;="&amp;F28*12,'Forecast (By Month)'!$F$4:$F$605,"&gt;"&amp;F27*12),"-")</f>
        <v>0</v>
      </c>
      <c r="O28" s="132">
        <f>IF($F28&lt;=$C$16,SUMIFS('Forecast (By Month)'!$O$4:$O$605,'Forecast (By Month)'!$F$4:$F$605,"&lt;="&amp;F28*12,'Forecast (By Month)'!$F$4:$F$605,"&gt;"&amp;F27*12),"-")</f>
        <v>99.999999999999986</v>
      </c>
      <c r="P28" s="132">
        <f>IF($F28&lt;=$C$16,SUMIFS('Forecast (By Month)'!$P$4:$P$605,'Forecast (By Month)'!$F$4:$F$605,"&lt;="&amp;F28*12,'Forecast (By Month)'!$F$4:$F$605,"&gt;"&amp;F27*12),"-")</f>
        <v>0</v>
      </c>
      <c r="Q28" s="132">
        <f>IF($F28&lt;=$C$16,SUMIFS('Forecast (By Month)'!$Q$4:$Q$605,'Forecast (By Month)'!$F$4:$F$605,"&lt;="&amp;F28*12,'Forecast (By Month)'!$F$4:$F$605,"&gt;"&amp;F27*12),"-")</f>
        <v>52758.364154548792</v>
      </c>
      <c r="R28" s="132">
        <f>IF($F28&lt;=$C$16,SUMIFS('Forecast (By Month)'!$R$4:$R$605,'Forecast (By Month)'!$F$4:$F$605,"&lt;="&amp;F28*12,'Forecast (By Month)'!$F$4:$F$605,"&gt;"&amp;F27*12),"-")</f>
        <v>263708.58270498569</v>
      </c>
      <c r="S28" s="132">
        <f t="shared" si="5"/>
        <v>0</v>
      </c>
      <c r="T28" s="132">
        <f t="shared" si="0"/>
        <v>263708.58270498569</v>
      </c>
      <c r="U28" s="132">
        <f>IF($F28&lt;=$C$16,SUM(T$5:T28),"-")</f>
        <v>3650906.2368046977</v>
      </c>
      <c r="V28" s="132">
        <f>IF($F28&lt;=$C$16,INDEX('Forecast (By Month)'!$F$3:$AY$605,MATCH($F28*12,'Forecast (By Month)'!$F$3:$F$605,0),MATCH(V$3,'Forecast (By Month)'!$F$3:$AA$3,0)),"-")</f>
        <v>3562050.6398125365</v>
      </c>
      <c r="W28" s="29">
        <f>IF($F28&lt;=$C$16,INDEX('Forecast (By Month)'!$F$3:$AY$605,MATCH($F28*12,'Forecast (By Month)'!$F$3:$F$605,0),MATCH(W$3,'Forecast (By Month)'!$F$3:$AA$3,0)),"-")</f>
        <v>2.2248535719963103</v>
      </c>
      <c r="X28" s="29">
        <f>IF($F28&lt;=$C$16,INDEX('Forecast (By Month)'!$F$3:$AY$605,MATCH($F28*12,'Forecast (By Month)'!$F$3:$F$605,0),MATCH(X$3,'Forecast (By Month)'!$F$3:$AA$3,0)),"-")</f>
        <v>9.2702232166512924E-2</v>
      </c>
      <c r="Y28" s="132">
        <f>IF($F28&lt;=$C$16,INDEX('Forecast (By Month)'!$F$3:$AY$605,MATCH($F28*12,'Forecast (By Month)'!$F$3:$F$605,0),MATCH(Y$3,'Forecast (By Month)'!$F$3:$AA$3,0)),"-")</f>
        <v>7212956.8766172333</v>
      </c>
      <c r="Z28" s="29">
        <f>IF($F28&lt;=$C$16,INDEX('Forecast (By Month)'!$F$3:$AY$605,MATCH($F28*12,'Forecast (By Month)'!$F$3:$F$605,0),MATCH(Z$3,'Forecast (By Month)'!$F$3:$AA$3,0)),"-")</f>
        <v>4.5052062686121053</v>
      </c>
      <c r="AA28" s="31">
        <f>IF($F28&lt;=$C$16,INDEX('Forecast (By Month)'!$F$3:$AY$605,MATCH($F28*12,'Forecast (By Month)'!$F$3:$F$605,0),MATCH(AA$3,'Forecast (By Month)'!$F$3:$AA$3,0)),"-")</f>
        <v>0.18771692785883773</v>
      </c>
      <c r="AD28" s="12">
        <f t="shared" si="6"/>
        <v>24</v>
      </c>
      <c r="AE28" s="132">
        <f t="shared" si="7"/>
        <v>5273038.4079719018</v>
      </c>
      <c r="AF28" s="132">
        <f>IF($AD28&lt;=$C$25,AE28-$C$7+SUMIFS('Mortgage Calculators (By Month)'!$K$23:$K$622,'Mortgage Calculators (By Month)'!$I$23:$I$622,"&lt;="&amp;AD28*12),"-")</f>
        <v>5273038.4079719018</v>
      </c>
      <c r="AG28" s="132">
        <f t="shared" si="8"/>
        <v>316366.94685953448</v>
      </c>
      <c r="AH28" s="132">
        <f>IF($AD28&lt;=$C$25,SUMIFS('Forecast (By Month)'!$AH$4:$AH$605,'Forecast (By Month)'!$AD$4:$AD$605,"&lt;="&amp;AD28*12,'Forecast (By Month)'!$AD$4:$AD$605,"&gt;"&amp;AD27*12),"-")</f>
        <v>34800.364154548799</v>
      </c>
      <c r="AI28" s="132">
        <f>IF($AD28&lt;=$C$25,SUMIFS('Forecast (By Month)'!$AI$4:$AI$605,'Forecast (By Month)'!$AD$4:$AD$605,"&lt;="&amp;AD28*12,'Forecast (By Month)'!$AD$4:$AD$605,"&gt;"&amp;AD27*12),"-")</f>
        <v>17857.999999999996</v>
      </c>
      <c r="AJ28" s="132">
        <f t="shared" si="9"/>
        <v>52658.364154548792</v>
      </c>
      <c r="AK28" s="132">
        <f>IF($AD28&lt;=$C$25,SUMIFS('Forecast (By Month)'!$AK$4:$AK$605,'Forecast (By Month)'!$AD$4:$AD$605,"&lt;="&amp;AD28*12,'Forecast (By Month)'!$AD$4:$AD$605,"&gt;"&amp;AD27*12),"-")</f>
        <v>0</v>
      </c>
      <c r="AL28" s="132">
        <f>IF($AD28&lt;=$C$25,SUMIFS('Forecast (By Month)'!$AL$4:$AL$605,'Forecast (By Month)'!$AD$4:$AD$605,"&lt;="&amp;AD28*12,'Forecast (By Month)'!$AD$4:$AD$605,"&gt;"&amp;AD27*12),"-")</f>
        <v>0</v>
      </c>
      <c r="AM28" s="132">
        <f>IF($AD28&lt;=$C$25,SUMIFS('Forecast (By Month)'!$AM$4:$AM$605,'Forecast (By Month)'!$AD$4:$AD$605,"&lt;="&amp;AD28*12,'Forecast (By Month)'!$AD$4:$AD$605,"&gt;"&amp;AD27*12),"-")</f>
        <v>120</v>
      </c>
      <c r="AN28" s="132">
        <f>IF($AD28&lt;=$C$25,SUMIFS('Forecast (By Month)'!$AN$4:$AN$605,'Forecast (By Month)'!$AD$4:$AD$605,"&lt;="&amp;AD28*12,'Forecast (By Month)'!$AD$4:$AD$605,"&gt;"&amp;AD27*12),"-")</f>
        <v>0</v>
      </c>
      <c r="AO28" s="132">
        <f>IF($AD28&lt;=$C$25,SUMIFS('Forecast (By Month)'!$AO$4:$AO$605,'Forecast (By Month)'!$AD$4:$AD$605,"&lt;="&amp;AD28*12,'Forecast (By Month)'!$AD$4:$AD$605,"&gt;"&amp;AD27*12),"-")</f>
        <v>52778.364154548784</v>
      </c>
      <c r="AP28" s="132">
        <f>IF($AD28&lt;=$C$25,SUMIFS('Forecast (By Month)'!$AP$4:$AP$605,'Forecast (By Month)'!$AD$4:$AD$605,"&lt;="&amp;AD28*12,'Forecast (By Month)'!$AD$4:$AD$605,"&gt;"&amp;AD27*12),"-")</f>
        <v>263708.58270498569</v>
      </c>
      <c r="AQ28" s="132">
        <f t="shared" si="10"/>
        <v>0</v>
      </c>
      <c r="AR28" s="132">
        <f t="shared" si="11"/>
        <v>263708.58270498569</v>
      </c>
      <c r="AS28" s="132">
        <f>IF($AD28&lt;=$C$25,SUM(AR$5:AR28),"-")</f>
        <v>3650896.2368046977</v>
      </c>
      <c r="AT28" s="132">
        <f>IF($AD28&lt;=$C$25,INDEX('Forecast (By Month)'!$AD$3:$AY$605,MATCH($AD28*12,'Forecast (By Month)'!$AD$3:$AD$605,0),MATCH(AT$3,'Forecast (By Month)'!$AD$3:$AY$3,0)),"-")</f>
        <v>3562050.6398125365</v>
      </c>
      <c r="AU28" s="29">
        <f>IF($AD28&lt;=$C$25,INDEX('Forecast (By Month)'!$AD$3:$AY$605,MATCH($AD28*12,'Forecast (By Month)'!$AD$3:$AD$605,0),MATCH(AU$3,'Forecast (By Month)'!$AD$3:$AY$3,0)),"-")</f>
        <v>2.2248535719963103</v>
      </c>
      <c r="AV28" s="29">
        <f>IF($AD28&lt;=$C$25,INDEX('Forecast (By Month)'!$AD$3:$AY$605,MATCH($AD28*12,'Forecast (By Month)'!$AD$3:$AD$605,0),MATCH(AV$3,'Forecast (By Month)'!$AD$3:$AY$3,0)),"-")</f>
        <v>9.2702232166512924E-2</v>
      </c>
      <c r="AW28" s="132">
        <f>IF($AD28&lt;=$C$25,INDEX('Forecast (By Month)'!$AD$3:$AY$605,MATCH($AD28*12,'Forecast (By Month)'!$AD$3:$AD$605,0),MATCH(AW$3,'Forecast (By Month)'!$AD$3:$AY$3,0)),"-")</f>
        <v>7212946.8766172333</v>
      </c>
      <c r="AX28" s="29">
        <f>IF($AD28&lt;=$C$25,INDEX('Forecast (By Month)'!$AD$3:$AY$605,MATCH($AD28*12,'Forecast (By Month)'!$AD$3:$AD$605,0),MATCH(AX$3,'Forecast (By Month)'!$AD$3:$AY$3,0)),"-")</f>
        <v>4.505200022621251</v>
      </c>
      <c r="AY28" s="31">
        <f>IF($AD28&lt;=$C$25,INDEX('Forecast (By Month)'!$AD$3:$AY$605,MATCH($AD28*12,'Forecast (By Month)'!$AD$3:$AD$605,0),MATCH(AY$3,'Forecast (By Month)'!$AD$3:$AY$3,0)),"-")</f>
        <v>0.18771666760921879</v>
      </c>
    </row>
    <row r="29" spans="2:51" x14ac:dyDescent="0.35">
      <c r="F29" s="12">
        <f t="shared" si="1"/>
        <v>25</v>
      </c>
      <c r="G29" s="132">
        <f t="shared" si="2"/>
        <v>5536690.3283704976</v>
      </c>
      <c r="H29" s="132">
        <f>IF($F29&lt;=$C$16,G29-$C$7+SUMIFS('Mortgage Calculators (By Month)'!$D$23:$D$622,'Mortgage Calculators (By Month)'!$B$23:$B$622,"&lt;="&amp;F29*12),"-")</f>
        <v>5536690.3283704976</v>
      </c>
      <c r="I29" s="132">
        <f t="shared" si="3"/>
        <v>332185.2942025112</v>
      </c>
      <c r="J29" s="132">
        <f>IF($F29&lt;=$C$16,SUMIFS('Forecast (By Month)'!$J$4:$J$605,'Forecast (By Month)'!$F$4:$F$605,"&lt;="&amp;F29*12,'Forecast (By Month)'!$F$4:$F$605,"&gt;"&amp;F28*12),"-")</f>
        <v>36540.382362276243</v>
      </c>
      <c r="K29" s="132">
        <f>IF($F29&lt;=$C$16,SUMIFS('Forecast (By Month)'!$K$4:$K$605,'Forecast (By Month)'!$F$4:$F$605,"&lt;="&amp;F29*12,'Forecast (By Month)'!$F$4:$F$605,"&gt;"&amp;F28*12),"-")</f>
        <v>17857.999999999996</v>
      </c>
      <c r="L29" s="132">
        <f t="shared" si="4"/>
        <v>54398.382362276243</v>
      </c>
      <c r="M29" s="132">
        <f>IF($F29&lt;=$C$16,SUMIFS('Forecast (By Month)'!$M$4:$M$605,'Forecast (By Month)'!$F$4:$F$605,"&lt;="&amp;F29*12,'Forecast (By Month)'!$F$4:$F$605,"&gt;"&amp;F28*12),"-")</f>
        <v>0</v>
      </c>
      <c r="N29" s="132">
        <f>IF($F29&lt;=$C$16,SUMIFS('Forecast (By Month)'!$N$4:$N$605,'Forecast (By Month)'!$F$4:$F$605,"&lt;="&amp;F29*12,'Forecast (By Month)'!$F$4:$F$605,"&gt;"&amp;F28*12),"-")</f>
        <v>0</v>
      </c>
      <c r="O29" s="132">
        <f>IF($F29&lt;=$C$16,SUMIFS('Forecast (By Month)'!$O$4:$O$605,'Forecast (By Month)'!$F$4:$F$605,"&lt;="&amp;F29*12,'Forecast (By Month)'!$F$4:$F$605,"&gt;"&amp;F28*12),"-")</f>
        <v>99.999999999999986</v>
      </c>
      <c r="P29" s="132">
        <f>IF($F29&lt;=$C$16,SUMIFS('Forecast (By Month)'!$P$4:$P$605,'Forecast (By Month)'!$F$4:$F$605,"&lt;="&amp;F29*12,'Forecast (By Month)'!$F$4:$F$605,"&gt;"&amp;F28*12),"-")</f>
        <v>0</v>
      </c>
      <c r="Q29" s="132">
        <f>IF($F29&lt;=$C$16,SUMIFS('Forecast (By Month)'!$Q$4:$Q$605,'Forecast (By Month)'!$F$4:$F$605,"&lt;="&amp;F29*12,'Forecast (By Month)'!$F$4:$F$605,"&gt;"&amp;F28*12),"-")</f>
        <v>54498.38236227625</v>
      </c>
      <c r="R29" s="132">
        <f>IF($F29&lt;=$C$16,SUMIFS('Forecast (By Month)'!$R$4:$R$605,'Forecast (By Month)'!$F$4:$F$605,"&lt;="&amp;F29*12,'Forecast (By Month)'!$F$4:$F$605,"&gt;"&amp;F28*12),"-")</f>
        <v>277786.91184023506</v>
      </c>
      <c r="S29" s="132">
        <f t="shared" si="5"/>
        <v>0</v>
      </c>
      <c r="T29" s="132">
        <f t="shared" si="0"/>
        <v>277786.91184023506</v>
      </c>
      <c r="U29" s="132">
        <f>IF($F29&lt;=$C$16,SUM(T$5:T29),"-")</f>
        <v>3928693.1486449325</v>
      </c>
      <c r="V29" s="132">
        <f>IF($F29&lt;=$C$16,INDEX('Forecast (By Month)'!$F$3:$AY$605,MATCH($F29*12,'Forecast (By Month)'!$F$3:$F$605,0),MATCH(V$3,'Forecast (By Month)'!$F$3:$AA$3,0)),"-")</f>
        <v>3820429.5218031676</v>
      </c>
      <c r="W29" s="29">
        <f>IF($F29&lt;=$C$16,INDEX('Forecast (By Month)'!$F$3:$AY$605,MATCH($F29*12,'Forecast (By Month)'!$F$3:$F$605,0),MATCH(W$3,'Forecast (By Month)'!$F$3:$AA$3,0)),"-")</f>
        <v>2.3862367853903574</v>
      </c>
      <c r="X29" s="29">
        <f>IF($F29&lt;=$C$16,INDEX('Forecast (By Month)'!$F$3:$AY$605,MATCH($F29*12,'Forecast (By Month)'!$F$3:$F$605,0),MATCH(X$3,'Forecast (By Month)'!$F$3:$AA$3,0)),"-")</f>
        <v>9.5449471415614301E-2</v>
      </c>
      <c r="Y29" s="132">
        <f>IF($F29&lt;=$C$16,INDEX('Forecast (By Month)'!$F$3:$AY$605,MATCH($F29*12,'Forecast (By Month)'!$F$3:$F$605,0),MATCH(Y$3,'Forecast (By Month)'!$F$3:$AA$3,0)),"-")</f>
        <v>7749122.6704481002</v>
      </c>
      <c r="Z29" s="29">
        <f>IF($F29&lt;=$C$16,INDEX('Forecast (By Month)'!$F$3:$AY$605,MATCH($F29*12,'Forecast (By Month)'!$F$3:$F$605,0),MATCH(Z$3,'Forecast (By Month)'!$F$3:$AA$3,0)),"-")</f>
        <v>4.8400949330948819</v>
      </c>
      <c r="AA29" s="31">
        <f>IF($F29&lt;=$C$16,INDEX('Forecast (By Month)'!$F$3:$AY$605,MATCH($F29*12,'Forecast (By Month)'!$F$3:$F$605,0),MATCH(AA$3,'Forecast (By Month)'!$F$3:$AA$3,0)),"-")</f>
        <v>0.19360379732379529</v>
      </c>
      <c r="AD29" s="12">
        <f t="shared" si="6"/>
        <v>25</v>
      </c>
      <c r="AE29" s="132">
        <f t="shared" si="7"/>
        <v>5536690.3283704976</v>
      </c>
      <c r="AF29" s="132">
        <f>IF($AD29&lt;=$C$25,AE29-$C$7+SUMIFS('Mortgage Calculators (By Month)'!$K$23:$K$622,'Mortgage Calculators (By Month)'!$I$23:$I$622,"&lt;="&amp;AD29*12),"-")</f>
        <v>5536690.3283704976</v>
      </c>
      <c r="AG29" s="132">
        <f t="shared" si="8"/>
        <v>332185.2942025112</v>
      </c>
      <c r="AH29" s="132">
        <f>IF($AD29&lt;=$C$25,SUMIFS('Forecast (By Month)'!$AH$4:$AH$605,'Forecast (By Month)'!$AD$4:$AD$605,"&lt;="&amp;AD29*12,'Forecast (By Month)'!$AD$4:$AD$605,"&gt;"&amp;AD28*12),"-")</f>
        <v>36540.382362276243</v>
      </c>
      <c r="AI29" s="132">
        <f>IF($AD29&lt;=$C$25,SUMIFS('Forecast (By Month)'!$AI$4:$AI$605,'Forecast (By Month)'!$AD$4:$AD$605,"&lt;="&amp;AD29*12,'Forecast (By Month)'!$AD$4:$AD$605,"&gt;"&amp;AD28*12),"-")</f>
        <v>17857.999999999996</v>
      </c>
      <c r="AJ29" s="132">
        <f t="shared" si="9"/>
        <v>54398.382362276243</v>
      </c>
      <c r="AK29" s="132">
        <f>IF($AD29&lt;=$C$25,SUMIFS('Forecast (By Month)'!$AK$4:$AK$605,'Forecast (By Month)'!$AD$4:$AD$605,"&lt;="&amp;AD29*12,'Forecast (By Month)'!$AD$4:$AD$605,"&gt;"&amp;AD28*12),"-")</f>
        <v>0</v>
      </c>
      <c r="AL29" s="132">
        <f>IF($AD29&lt;=$C$25,SUMIFS('Forecast (By Month)'!$AL$4:$AL$605,'Forecast (By Month)'!$AD$4:$AD$605,"&lt;="&amp;AD29*12,'Forecast (By Month)'!$AD$4:$AD$605,"&gt;"&amp;AD28*12),"-")</f>
        <v>0</v>
      </c>
      <c r="AM29" s="132">
        <f>IF($AD29&lt;=$C$25,SUMIFS('Forecast (By Month)'!$AM$4:$AM$605,'Forecast (By Month)'!$AD$4:$AD$605,"&lt;="&amp;AD29*12,'Forecast (By Month)'!$AD$4:$AD$605,"&gt;"&amp;AD28*12),"-")</f>
        <v>120</v>
      </c>
      <c r="AN29" s="132">
        <f>IF($AD29&lt;=$C$25,SUMIFS('Forecast (By Month)'!$AN$4:$AN$605,'Forecast (By Month)'!$AD$4:$AD$605,"&lt;="&amp;AD29*12,'Forecast (By Month)'!$AD$4:$AD$605,"&gt;"&amp;AD28*12),"-")</f>
        <v>0</v>
      </c>
      <c r="AO29" s="132">
        <f>IF($AD29&lt;=$C$25,SUMIFS('Forecast (By Month)'!$AO$4:$AO$605,'Forecast (By Month)'!$AD$4:$AD$605,"&lt;="&amp;AD29*12,'Forecast (By Month)'!$AD$4:$AD$605,"&gt;"&amp;AD28*12),"-")</f>
        <v>54518.382362276236</v>
      </c>
      <c r="AP29" s="132">
        <f>IF($AD29&lt;=$C$25,SUMIFS('Forecast (By Month)'!$AP$4:$AP$605,'Forecast (By Month)'!$AD$4:$AD$605,"&lt;="&amp;AD29*12,'Forecast (By Month)'!$AD$4:$AD$605,"&gt;"&amp;AD28*12),"-")</f>
        <v>277786.91184023506</v>
      </c>
      <c r="AQ29" s="132">
        <f t="shared" si="10"/>
        <v>0</v>
      </c>
      <c r="AR29" s="132">
        <f t="shared" si="11"/>
        <v>277786.91184023506</v>
      </c>
      <c r="AS29" s="132">
        <f>IF($AD29&lt;=$C$25,SUM(AR$5:AR29),"-")</f>
        <v>3928683.1486449325</v>
      </c>
      <c r="AT29" s="132">
        <f>IF($AD29&lt;=$C$25,INDEX('Forecast (By Month)'!$AD$3:$AY$605,MATCH($AD29*12,'Forecast (By Month)'!$AD$3:$AD$605,0),MATCH(AT$3,'Forecast (By Month)'!$AD$3:$AY$3,0)),"-")</f>
        <v>3820429.5218031676</v>
      </c>
      <c r="AU29" s="29">
        <f>IF($AD29&lt;=$C$25,INDEX('Forecast (By Month)'!$AD$3:$AY$605,MATCH($AD29*12,'Forecast (By Month)'!$AD$3:$AD$605,0),MATCH(AU$3,'Forecast (By Month)'!$AD$3:$AY$3,0)),"-")</f>
        <v>2.3862367853903574</v>
      </c>
      <c r="AV29" s="29">
        <f>IF($AD29&lt;=$C$25,INDEX('Forecast (By Month)'!$AD$3:$AY$605,MATCH($AD29*12,'Forecast (By Month)'!$AD$3:$AD$605,0),MATCH(AV$3,'Forecast (By Month)'!$AD$3:$AY$3,0)),"-")</f>
        <v>9.5449471415614301E-2</v>
      </c>
      <c r="AW29" s="132">
        <f>IF($AD29&lt;=$C$25,INDEX('Forecast (By Month)'!$AD$3:$AY$605,MATCH($AD29*12,'Forecast (By Month)'!$AD$3:$AD$605,0),MATCH(AW$3,'Forecast (By Month)'!$AD$3:$AY$3,0)),"-")</f>
        <v>7749112.6704481002</v>
      </c>
      <c r="AX29" s="29">
        <f>IF($AD29&lt;=$C$25,INDEX('Forecast (By Month)'!$AD$3:$AY$605,MATCH($AD29*12,'Forecast (By Month)'!$AD$3:$AD$605,0),MATCH(AX$3,'Forecast (By Month)'!$AD$3:$AY$3,0)),"-")</f>
        <v>4.8400886871040276</v>
      </c>
      <c r="AY29" s="31">
        <f>IF($AD29&lt;=$C$25,INDEX('Forecast (By Month)'!$AD$3:$AY$605,MATCH($AD29*12,'Forecast (By Month)'!$AD$3:$AD$605,0),MATCH(AY$3,'Forecast (By Month)'!$AD$3:$AY$3,0)),"-")</f>
        <v>0.19360354748416111</v>
      </c>
    </row>
    <row r="30" spans="2:51" ht="15.5" x14ac:dyDescent="0.35">
      <c r="B30" s="64" t="s">
        <v>56</v>
      </c>
      <c r="C30" s="54"/>
      <c r="F30" s="12">
        <f t="shared" si="1"/>
        <v>26</v>
      </c>
      <c r="G30" s="132">
        <f t="shared" si="2"/>
        <v>5813524.8447890226</v>
      </c>
      <c r="H30" s="132">
        <f>IF($F30&lt;=$C$16,G30-$C$7+SUMIFS('Mortgage Calculators (By Month)'!$D$23:$D$622,'Mortgage Calculators (By Month)'!$B$23:$B$622,"&lt;="&amp;F30*12),"-")</f>
        <v>5813524.8447890226</v>
      </c>
      <c r="I30" s="132">
        <f t="shared" si="3"/>
        <v>348794.55891263671</v>
      </c>
      <c r="J30" s="132">
        <f>IF($F30&lt;=$C$16,SUMIFS('Forecast (By Month)'!$J$4:$J$605,'Forecast (By Month)'!$F$4:$F$605,"&lt;="&amp;F30*12,'Forecast (By Month)'!$F$4:$F$605,"&gt;"&amp;F29*12),"-")</f>
        <v>38367.401480390043</v>
      </c>
      <c r="K30" s="132">
        <f>IF($F30&lt;=$C$16,SUMIFS('Forecast (By Month)'!$K$4:$K$605,'Forecast (By Month)'!$F$4:$F$605,"&lt;="&amp;F30*12,'Forecast (By Month)'!$F$4:$F$605,"&gt;"&amp;F29*12),"-")</f>
        <v>17857.999999999996</v>
      </c>
      <c r="L30" s="132">
        <f t="shared" si="4"/>
        <v>56225.401480390035</v>
      </c>
      <c r="M30" s="132">
        <f>IF($F30&lt;=$C$16,SUMIFS('Forecast (By Month)'!$M$4:$M$605,'Forecast (By Month)'!$F$4:$F$605,"&lt;="&amp;F30*12,'Forecast (By Month)'!$F$4:$F$605,"&gt;"&amp;F29*12),"-")</f>
        <v>0</v>
      </c>
      <c r="N30" s="132">
        <f>IF($F30&lt;=$C$16,SUMIFS('Forecast (By Month)'!$N$4:$N$605,'Forecast (By Month)'!$F$4:$F$605,"&lt;="&amp;F30*12,'Forecast (By Month)'!$F$4:$F$605,"&gt;"&amp;F29*12),"-")</f>
        <v>0</v>
      </c>
      <c r="O30" s="132">
        <f>IF($F30&lt;=$C$16,SUMIFS('Forecast (By Month)'!$O$4:$O$605,'Forecast (By Month)'!$F$4:$F$605,"&lt;="&amp;F30*12,'Forecast (By Month)'!$F$4:$F$605,"&gt;"&amp;F29*12),"-")</f>
        <v>99.999999999999986</v>
      </c>
      <c r="P30" s="132">
        <f>IF($F30&lt;=$C$16,SUMIFS('Forecast (By Month)'!$P$4:$P$605,'Forecast (By Month)'!$F$4:$F$605,"&lt;="&amp;F30*12,'Forecast (By Month)'!$F$4:$F$605,"&gt;"&amp;F29*12),"-")</f>
        <v>0</v>
      </c>
      <c r="Q30" s="132">
        <f>IF($F30&lt;=$C$16,SUMIFS('Forecast (By Month)'!$Q$4:$Q$605,'Forecast (By Month)'!$F$4:$F$605,"&lt;="&amp;F30*12,'Forecast (By Month)'!$F$4:$F$605,"&gt;"&amp;F29*12),"-")</f>
        <v>56325.401480390057</v>
      </c>
      <c r="R30" s="132">
        <f>IF($F30&lt;=$C$16,SUMIFS('Forecast (By Month)'!$R$4:$R$605,'Forecast (By Month)'!$F$4:$F$605,"&lt;="&amp;F30*12,'Forecast (By Month)'!$F$4:$F$605,"&gt;"&amp;F29*12),"-")</f>
        <v>292569.15743224672</v>
      </c>
      <c r="S30" s="132">
        <f t="shared" si="5"/>
        <v>0</v>
      </c>
      <c r="T30" s="132">
        <f t="shared" si="0"/>
        <v>292569.15743224672</v>
      </c>
      <c r="U30" s="132">
        <f>IF($F30&lt;=$C$16,SUM(T$5:T30),"-")</f>
        <v>4221262.3060771795</v>
      </c>
      <c r="V30" s="132">
        <f>IF($F30&lt;=$C$16,INDEX('Forecast (By Month)'!$F$3:$AY$605,MATCH($F30*12,'Forecast (By Month)'!$F$3:$F$605,0),MATCH(V$3,'Forecast (By Month)'!$F$3:$AA$3,0)),"-")</f>
        <v>4091727.3478933293</v>
      </c>
      <c r="W30" s="29">
        <f>IF($F30&lt;=$C$16,INDEX('Forecast (By Month)'!$F$3:$AY$605,MATCH($F30*12,'Forecast (By Month)'!$F$3:$F$605,0),MATCH(W$3,'Forecast (By Month)'!$F$3:$AA$3,0)),"-")</f>
        <v>2.555689159454106</v>
      </c>
      <c r="X30" s="29">
        <f>IF($F30&lt;=$C$16,INDEX('Forecast (By Month)'!$F$3:$AY$605,MATCH($F30*12,'Forecast (By Month)'!$F$3:$F$605,0),MATCH(X$3,'Forecast (By Month)'!$F$3:$AA$3,0)),"-")</f>
        <v>9.8295736902081002E-2</v>
      </c>
      <c r="Y30" s="132">
        <f>IF($F30&lt;=$C$16,INDEX('Forecast (By Month)'!$F$3:$AY$605,MATCH($F30*12,'Forecast (By Month)'!$F$3:$F$605,0),MATCH(Y$3,'Forecast (By Month)'!$F$3:$AA$3,0)),"-")</f>
        <v>8312989.6539705088</v>
      </c>
      <c r="Z30" s="29">
        <f>IF($F30&lt;=$C$16,INDEX('Forecast (By Month)'!$F$3:$AY$605,MATCH($F30*12,'Forecast (By Month)'!$F$3:$F$605,0),MATCH(Z$3,'Forecast (By Month)'!$F$3:$AA$3,0)),"-")</f>
        <v>5.1922857353252061</v>
      </c>
      <c r="AA30" s="31">
        <f>IF($F30&lt;=$C$16,INDEX('Forecast (By Month)'!$F$3:$AY$605,MATCH($F30*12,'Forecast (By Month)'!$F$3:$F$605,0),MATCH(AA$3,'Forecast (By Month)'!$F$3:$AA$3,0)),"-")</f>
        <v>0.19970329751250793</v>
      </c>
      <c r="AD30" s="12">
        <f t="shared" si="6"/>
        <v>26</v>
      </c>
      <c r="AE30" s="132">
        <f t="shared" si="7"/>
        <v>5813524.8447890226</v>
      </c>
      <c r="AF30" s="132">
        <f>IF($AD30&lt;=$C$25,AE30-$C$7+SUMIFS('Mortgage Calculators (By Month)'!$K$23:$K$622,'Mortgage Calculators (By Month)'!$I$23:$I$622,"&lt;="&amp;AD30*12),"-")</f>
        <v>5813524.8447890226</v>
      </c>
      <c r="AG30" s="132">
        <f t="shared" si="8"/>
        <v>348794.55891263671</v>
      </c>
      <c r="AH30" s="132">
        <f>IF($AD30&lt;=$C$25,SUMIFS('Forecast (By Month)'!$AH$4:$AH$605,'Forecast (By Month)'!$AD$4:$AD$605,"&lt;="&amp;AD30*12,'Forecast (By Month)'!$AD$4:$AD$605,"&gt;"&amp;AD29*12),"-")</f>
        <v>38367.401480390043</v>
      </c>
      <c r="AI30" s="132">
        <f>IF($AD30&lt;=$C$25,SUMIFS('Forecast (By Month)'!$AI$4:$AI$605,'Forecast (By Month)'!$AD$4:$AD$605,"&lt;="&amp;AD30*12,'Forecast (By Month)'!$AD$4:$AD$605,"&gt;"&amp;AD29*12),"-")</f>
        <v>17857.999999999996</v>
      </c>
      <c r="AJ30" s="132">
        <f t="shared" si="9"/>
        <v>56225.401480390035</v>
      </c>
      <c r="AK30" s="132">
        <f>IF($AD30&lt;=$C$25,SUMIFS('Forecast (By Month)'!$AK$4:$AK$605,'Forecast (By Month)'!$AD$4:$AD$605,"&lt;="&amp;AD30*12,'Forecast (By Month)'!$AD$4:$AD$605,"&gt;"&amp;AD29*12),"-")</f>
        <v>0</v>
      </c>
      <c r="AL30" s="132">
        <f>IF($AD30&lt;=$C$25,SUMIFS('Forecast (By Month)'!$AL$4:$AL$605,'Forecast (By Month)'!$AD$4:$AD$605,"&lt;="&amp;AD30*12,'Forecast (By Month)'!$AD$4:$AD$605,"&gt;"&amp;AD29*12),"-")</f>
        <v>0</v>
      </c>
      <c r="AM30" s="132">
        <f>IF($AD30&lt;=$C$25,SUMIFS('Forecast (By Month)'!$AM$4:$AM$605,'Forecast (By Month)'!$AD$4:$AD$605,"&lt;="&amp;AD30*12,'Forecast (By Month)'!$AD$4:$AD$605,"&gt;"&amp;AD29*12),"-")</f>
        <v>120</v>
      </c>
      <c r="AN30" s="132">
        <f>IF($AD30&lt;=$C$25,SUMIFS('Forecast (By Month)'!$AN$4:$AN$605,'Forecast (By Month)'!$AD$4:$AD$605,"&lt;="&amp;AD30*12,'Forecast (By Month)'!$AD$4:$AD$605,"&gt;"&amp;AD29*12),"-")</f>
        <v>0</v>
      </c>
      <c r="AO30" s="132">
        <f>IF($AD30&lt;=$C$25,SUMIFS('Forecast (By Month)'!$AO$4:$AO$605,'Forecast (By Month)'!$AD$4:$AD$605,"&lt;="&amp;AD30*12,'Forecast (By Month)'!$AD$4:$AD$605,"&gt;"&amp;AD29*12),"-")</f>
        <v>56345.40148039005</v>
      </c>
      <c r="AP30" s="132">
        <f>IF($AD30&lt;=$C$25,SUMIFS('Forecast (By Month)'!$AP$4:$AP$605,'Forecast (By Month)'!$AD$4:$AD$605,"&lt;="&amp;AD30*12,'Forecast (By Month)'!$AD$4:$AD$605,"&gt;"&amp;AD29*12),"-")</f>
        <v>292569.15743224672</v>
      </c>
      <c r="AQ30" s="132">
        <f t="shared" si="10"/>
        <v>0</v>
      </c>
      <c r="AR30" s="132">
        <f t="shared" si="11"/>
        <v>292569.15743224672</v>
      </c>
      <c r="AS30" s="132">
        <f>IF($AD30&lt;=$C$25,SUM(AR$5:AR30),"-")</f>
        <v>4221252.3060771795</v>
      </c>
      <c r="AT30" s="132">
        <f>IF($AD30&lt;=$C$25,INDEX('Forecast (By Month)'!$AD$3:$AY$605,MATCH($AD30*12,'Forecast (By Month)'!$AD$3:$AD$605,0),MATCH(AT$3,'Forecast (By Month)'!$AD$3:$AY$3,0)),"-")</f>
        <v>4091727.3478933293</v>
      </c>
      <c r="AU30" s="29">
        <f>IF($AD30&lt;=$C$25,INDEX('Forecast (By Month)'!$AD$3:$AY$605,MATCH($AD30*12,'Forecast (By Month)'!$AD$3:$AD$605,0),MATCH(AU$3,'Forecast (By Month)'!$AD$3:$AY$3,0)),"-")</f>
        <v>2.555689159454106</v>
      </c>
      <c r="AV30" s="29">
        <f>IF($AD30&lt;=$C$25,INDEX('Forecast (By Month)'!$AD$3:$AY$605,MATCH($AD30*12,'Forecast (By Month)'!$AD$3:$AD$605,0),MATCH(AV$3,'Forecast (By Month)'!$AD$3:$AY$3,0)),"-")</f>
        <v>9.8295736902081002E-2</v>
      </c>
      <c r="AW30" s="132">
        <f>IF($AD30&lt;=$C$25,INDEX('Forecast (By Month)'!$AD$3:$AY$605,MATCH($AD30*12,'Forecast (By Month)'!$AD$3:$AD$605,0),MATCH(AW$3,'Forecast (By Month)'!$AD$3:$AY$3,0)),"-")</f>
        <v>8312979.6539705088</v>
      </c>
      <c r="AX30" s="29">
        <f>IF($AD30&lt;=$C$25,INDEX('Forecast (By Month)'!$AD$3:$AY$605,MATCH($AD30*12,'Forecast (By Month)'!$AD$3:$AD$605,0),MATCH(AX$3,'Forecast (By Month)'!$AD$3:$AY$3,0)),"-")</f>
        <v>5.1922794893343518</v>
      </c>
      <c r="AY30" s="31">
        <f>IF($AD30&lt;=$C$25,INDEX('Forecast (By Month)'!$AD$3:$AY$605,MATCH($AD30*12,'Forecast (By Month)'!$AD$3:$AD$605,0),MATCH(AY$3,'Forecast (By Month)'!$AD$3:$AY$3,0)),"-")</f>
        <v>0.19970305728209045</v>
      </c>
    </row>
    <row r="31" spans="2:51" x14ac:dyDescent="0.35">
      <c r="B31" t="s">
        <v>7</v>
      </c>
      <c r="C31" s="4">
        <f>Inputs!K11</f>
        <v>0.05</v>
      </c>
      <c r="F31" s="12">
        <f t="shared" si="1"/>
        <v>27</v>
      </c>
      <c r="G31" s="132">
        <f t="shared" si="2"/>
        <v>6104201.0870284736</v>
      </c>
      <c r="H31" s="132">
        <f>IF($F31&lt;=$C$16,G31-$C$7+SUMIFS('Mortgage Calculators (By Month)'!$D$23:$D$622,'Mortgage Calculators (By Month)'!$B$23:$B$622,"&lt;="&amp;F31*12),"-")</f>
        <v>6104201.0870284736</v>
      </c>
      <c r="I31" s="132">
        <f t="shared" si="3"/>
        <v>366234.28685826861</v>
      </c>
      <c r="J31" s="132">
        <f>IF($F31&lt;=$C$16,SUMIFS('Forecast (By Month)'!$J$4:$J$605,'Forecast (By Month)'!$F$4:$F$605,"&lt;="&amp;F31*12,'Forecast (By Month)'!$F$4:$F$605,"&gt;"&amp;F30*12),"-")</f>
        <v>40285.771554409534</v>
      </c>
      <c r="K31" s="132">
        <f>IF($F31&lt;=$C$16,SUMIFS('Forecast (By Month)'!$K$4:$K$605,'Forecast (By Month)'!$F$4:$F$605,"&lt;="&amp;F31*12,'Forecast (By Month)'!$F$4:$F$605,"&gt;"&amp;F30*12),"-")</f>
        <v>17857.999999999996</v>
      </c>
      <c r="L31" s="132">
        <f t="shared" si="4"/>
        <v>58143.771554409526</v>
      </c>
      <c r="M31" s="132">
        <f>IF($F31&lt;=$C$16,SUMIFS('Forecast (By Month)'!$M$4:$M$605,'Forecast (By Month)'!$F$4:$F$605,"&lt;="&amp;F31*12,'Forecast (By Month)'!$F$4:$F$605,"&gt;"&amp;F30*12),"-")</f>
        <v>0</v>
      </c>
      <c r="N31" s="132">
        <f>IF($F31&lt;=$C$16,SUMIFS('Forecast (By Month)'!$N$4:$N$605,'Forecast (By Month)'!$F$4:$F$605,"&lt;="&amp;F31*12,'Forecast (By Month)'!$F$4:$F$605,"&gt;"&amp;F30*12),"-")</f>
        <v>0</v>
      </c>
      <c r="O31" s="132">
        <f>IF($F31&lt;=$C$16,SUMIFS('Forecast (By Month)'!$O$4:$O$605,'Forecast (By Month)'!$F$4:$F$605,"&lt;="&amp;F31*12,'Forecast (By Month)'!$F$4:$F$605,"&gt;"&amp;F30*12),"-")</f>
        <v>99.999999999999986</v>
      </c>
      <c r="P31" s="132">
        <f>IF($F31&lt;=$C$16,SUMIFS('Forecast (By Month)'!$P$4:$P$605,'Forecast (By Month)'!$F$4:$F$605,"&lt;="&amp;F31*12,'Forecast (By Month)'!$F$4:$F$605,"&gt;"&amp;F30*12),"-")</f>
        <v>0</v>
      </c>
      <c r="Q31" s="132">
        <f>IF($F31&lt;=$C$16,SUMIFS('Forecast (By Month)'!$Q$4:$Q$605,'Forecast (By Month)'!$F$4:$F$605,"&lt;="&amp;F31*12,'Forecast (By Month)'!$F$4:$F$605,"&gt;"&amp;F30*12),"-")</f>
        <v>58243.771554409534</v>
      </c>
      <c r="R31" s="132">
        <f>IF($F31&lt;=$C$16,SUMIFS('Forecast (By Month)'!$R$4:$R$605,'Forecast (By Month)'!$F$4:$F$605,"&lt;="&amp;F31*12,'Forecast (By Month)'!$F$4:$F$605,"&gt;"&amp;F30*12),"-")</f>
        <v>308090.51530385908</v>
      </c>
      <c r="S31" s="132">
        <f t="shared" si="5"/>
        <v>0</v>
      </c>
      <c r="T31" s="132">
        <f t="shared" si="0"/>
        <v>308090.51530385908</v>
      </c>
      <c r="U31" s="132">
        <f>IF($F31&lt;=$C$16,SUM(T$5:T31),"-")</f>
        <v>4529352.821381039</v>
      </c>
      <c r="V31" s="132">
        <f>IF($F31&lt;=$C$16,INDEX('Forecast (By Month)'!$F$3:$AY$605,MATCH($F31*12,'Forecast (By Month)'!$F$3:$F$605,0),MATCH(V$3,'Forecast (By Month)'!$F$3:$AA$3,0)),"-")</f>
        <v>4376590.0652879989</v>
      </c>
      <c r="W31" s="29">
        <f>IF($F31&lt;=$C$16,INDEX('Forecast (By Month)'!$F$3:$AY$605,MATCH($F31*12,'Forecast (By Month)'!$F$3:$F$605,0),MATCH(W$3,'Forecast (By Month)'!$F$3:$AA$3,0)),"-")</f>
        <v>2.7336141522210422</v>
      </c>
      <c r="X31" s="29">
        <f>IF($F31&lt;=$C$16,INDEX('Forecast (By Month)'!$F$3:$AY$605,MATCH($F31*12,'Forecast (By Month)'!$F$3:$F$605,0),MATCH(X$3,'Forecast (By Month)'!$F$3:$AA$3,0)),"-")</f>
        <v>0.10124496860077935</v>
      </c>
      <c r="Y31" s="132">
        <f>IF($F31&lt;=$C$16,INDEX('Forecast (By Month)'!$F$3:$AY$605,MATCH($F31*12,'Forecast (By Month)'!$F$3:$F$605,0),MATCH(Y$3,'Forecast (By Month)'!$F$3:$AA$3,0)),"-")</f>
        <v>8905942.8866690323</v>
      </c>
      <c r="Z31" s="29">
        <f>IF($F31&lt;=$C$16,INDEX('Forecast (By Month)'!$F$3:$AY$605,MATCH($F31*12,'Forecast (By Month)'!$F$3:$F$605,0),MATCH(Z$3,'Forecast (By Month)'!$F$3:$AA$3,0)),"-")</f>
        <v>5.5626437821904515</v>
      </c>
      <c r="AA31" s="31">
        <f>IF($F31&lt;=$C$16,INDEX('Forecast (By Month)'!$F$3:$AY$605,MATCH($F31*12,'Forecast (By Month)'!$F$3:$F$605,0),MATCH(AA$3,'Forecast (By Month)'!$F$3:$AA$3,0)),"-")</f>
        <v>0.20602384378483155</v>
      </c>
      <c r="AD31" s="12">
        <f t="shared" si="6"/>
        <v>27</v>
      </c>
      <c r="AE31" s="132">
        <f t="shared" si="7"/>
        <v>6104201.0870284736</v>
      </c>
      <c r="AF31" s="132">
        <f>IF($AD31&lt;=$C$25,AE31-$C$7+SUMIFS('Mortgage Calculators (By Month)'!$K$23:$K$622,'Mortgage Calculators (By Month)'!$I$23:$I$622,"&lt;="&amp;AD31*12),"-")</f>
        <v>6104201.0870284736</v>
      </c>
      <c r="AG31" s="132">
        <f t="shared" si="8"/>
        <v>366234.28685826861</v>
      </c>
      <c r="AH31" s="132">
        <f>IF($AD31&lt;=$C$25,SUMIFS('Forecast (By Month)'!$AH$4:$AH$605,'Forecast (By Month)'!$AD$4:$AD$605,"&lt;="&amp;AD31*12,'Forecast (By Month)'!$AD$4:$AD$605,"&gt;"&amp;AD30*12),"-")</f>
        <v>40285.771554409534</v>
      </c>
      <c r="AI31" s="132">
        <f>IF($AD31&lt;=$C$25,SUMIFS('Forecast (By Month)'!$AI$4:$AI$605,'Forecast (By Month)'!$AD$4:$AD$605,"&lt;="&amp;AD31*12,'Forecast (By Month)'!$AD$4:$AD$605,"&gt;"&amp;AD30*12),"-")</f>
        <v>17857.999999999996</v>
      </c>
      <c r="AJ31" s="132">
        <f t="shared" si="9"/>
        <v>58143.771554409526</v>
      </c>
      <c r="AK31" s="132">
        <f>IF($AD31&lt;=$C$25,SUMIFS('Forecast (By Month)'!$AK$4:$AK$605,'Forecast (By Month)'!$AD$4:$AD$605,"&lt;="&amp;AD31*12,'Forecast (By Month)'!$AD$4:$AD$605,"&gt;"&amp;AD30*12),"-")</f>
        <v>0</v>
      </c>
      <c r="AL31" s="132">
        <f>IF($AD31&lt;=$C$25,SUMIFS('Forecast (By Month)'!$AL$4:$AL$605,'Forecast (By Month)'!$AD$4:$AD$605,"&lt;="&amp;AD31*12,'Forecast (By Month)'!$AD$4:$AD$605,"&gt;"&amp;AD30*12),"-")</f>
        <v>0</v>
      </c>
      <c r="AM31" s="132">
        <f>IF($AD31&lt;=$C$25,SUMIFS('Forecast (By Month)'!$AM$4:$AM$605,'Forecast (By Month)'!$AD$4:$AD$605,"&lt;="&amp;AD31*12,'Forecast (By Month)'!$AD$4:$AD$605,"&gt;"&amp;AD30*12),"-")</f>
        <v>120</v>
      </c>
      <c r="AN31" s="132">
        <f>IF($AD31&lt;=$C$25,SUMIFS('Forecast (By Month)'!$AN$4:$AN$605,'Forecast (By Month)'!$AD$4:$AD$605,"&lt;="&amp;AD31*12,'Forecast (By Month)'!$AD$4:$AD$605,"&gt;"&amp;AD30*12),"-")</f>
        <v>0</v>
      </c>
      <c r="AO31" s="132">
        <f>IF($AD31&lt;=$C$25,SUMIFS('Forecast (By Month)'!$AO$4:$AO$605,'Forecast (By Month)'!$AD$4:$AD$605,"&lt;="&amp;AD31*12,'Forecast (By Month)'!$AD$4:$AD$605,"&gt;"&amp;AD30*12),"-")</f>
        <v>58263.771554409555</v>
      </c>
      <c r="AP31" s="132">
        <f>IF($AD31&lt;=$C$25,SUMIFS('Forecast (By Month)'!$AP$4:$AP$605,'Forecast (By Month)'!$AD$4:$AD$605,"&lt;="&amp;AD31*12,'Forecast (By Month)'!$AD$4:$AD$605,"&gt;"&amp;AD30*12),"-")</f>
        <v>308090.51530385908</v>
      </c>
      <c r="AQ31" s="132">
        <f t="shared" si="10"/>
        <v>0</v>
      </c>
      <c r="AR31" s="132">
        <f t="shared" si="11"/>
        <v>308090.51530385908</v>
      </c>
      <c r="AS31" s="132">
        <f>IF($AD31&lt;=$C$25,SUM(AR$5:AR31),"-")</f>
        <v>4529342.821381039</v>
      </c>
      <c r="AT31" s="132">
        <f>IF($AD31&lt;=$C$25,INDEX('Forecast (By Month)'!$AD$3:$AY$605,MATCH($AD31*12,'Forecast (By Month)'!$AD$3:$AD$605,0),MATCH(AT$3,'Forecast (By Month)'!$AD$3:$AY$3,0)),"-")</f>
        <v>4376590.0652879989</v>
      </c>
      <c r="AU31" s="29">
        <f>IF($AD31&lt;=$C$25,INDEX('Forecast (By Month)'!$AD$3:$AY$605,MATCH($AD31*12,'Forecast (By Month)'!$AD$3:$AD$605,0),MATCH(AU$3,'Forecast (By Month)'!$AD$3:$AY$3,0)),"-")</f>
        <v>2.7336141522210422</v>
      </c>
      <c r="AV31" s="29">
        <f>IF($AD31&lt;=$C$25,INDEX('Forecast (By Month)'!$AD$3:$AY$605,MATCH($AD31*12,'Forecast (By Month)'!$AD$3:$AD$605,0),MATCH(AV$3,'Forecast (By Month)'!$AD$3:$AY$3,0)),"-")</f>
        <v>0.10124496860077935</v>
      </c>
      <c r="AW31" s="132">
        <f>IF($AD31&lt;=$C$25,INDEX('Forecast (By Month)'!$AD$3:$AY$605,MATCH($AD31*12,'Forecast (By Month)'!$AD$3:$AD$605,0),MATCH(AW$3,'Forecast (By Month)'!$AD$3:$AY$3,0)),"-")</f>
        <v>8905932.8866690323</v>
      </c>
      <c r="AX31" s="29">
        <f>IF($AD31&lt;=$C$25,INDEX('Forecast (By Month)'!$AD$3:$AY$605,MATCH($AD31*12,'Forecast (By Month)'!$AD$3:$AD$605,0),MATCH(AX$3,'Forecast (By Month)'!$AD$3:$AY$3,0)),"-")</f>
        <v>5.5626375361995972</v>
      </c>
      <c r="AY31" s="31">
        <f>IF($AD31&lt;=$C$25,INDEX('Forecast (By Month)'!$AD$3:$AY$605,MATCH($AD31*12,'Forecast (By Month)'!$AD$3:$AD$605,0),MATCH(AY$3,'Forecast (By Month)'!$AD$3:$AY$3,0)),"-")</f>
        <v>0.20602361245183692</v>
      </c>
    </row>
    <row r="32" spans="2:51" x14ac:dyDescent="0.35">
      <c r="B32" t="s">
        <v>58</v>
      </c>
      <c r="C32" s="4">
        <f>(POWER((1+C31),1/12)-1)</f>
        <v>4.0741237836483535E-3</v>
      </c>
      <c r="F32" s="12">
        <f t="shared" si="1"/>
        <v>28</v>
      </c>
      <c r="G32" s="132">
        <f t="shared" si="2"/>
        <v>6409411.1413798975</v>
      </c>
      <c r="H32" s="132">
        <f>IF($F32&lt;=$C$16,G32-$C$7+SUMIFS('Mortgage Calculators (By Month)'!$D$23:$D$622,'Mortgage Calculators (By Month)'!$B$23:$B$622,"&lt;="&amp;F32*12),"-")</f>
        <v>6409411.1413798975</v>
      </c>
      <c r="I32" s="132">
        <f t="shared" si="3"/>
        <v>384546.00120118208</v>
      </c>
      <c r="J32" s="132">
        <f>IF($F32&lt;=$C$16,SUMIFS('Forecast (By Month)'!$J$4:$J$605,'Forecast (By Month)'!$F$4:$F$605,"&lt;="&amp;F32*12,'Forecast (By Month)'!$F$4:$F$605,"&gt;"&amp;F31*12),"-")</f>
        <v>42300.060132130027</v>
      </c>
      <c r="K32" s="132">
        <f>IF($F32&lt;=$C$16,SUMIFS('Forecast (By Month)'!$K$4:$K$605,'Forecast (By Month)'!$F$4:$F$605,"&lt;="&amp;F32*12,'Forecast (By Month)'!$F$4:$F$605,"&gt;"&amp;F31*12),"-")</f>
        <v>17857.999999999996</v>
      </c>
      <c r="L32" s="132">
        <f t="shared" si="4"/>
        <v>60158.06013213002</v>
      </c>
      <c r="M32" s="132">
        <f>IF($F32&lt;=$C$16,SUMIFS('Forecast (By Month)'!$M$4:$M$605,'Forecast (By Month)'!$F$4:$F$605,"&lt;="&amp;F32*12,'Forecast (By Month)'!$F$4:$F$605,"&gt;"&amp;F31*12),"-")</f>
        <v>0</v>
      </c>
      <c r="N32" s="132">
        <f>IF($F32&lt;=$C$16,SUMIFS('Forecast (By Month)'!$N$4:$N$605,'Forecast (By Month)'!$F$4:$F$605,"&lt;="&amp;F32*12,'Forecast (By Month)'!$F$4:$F$605,"&gt;"&amp;F31*12),"-")</f>
        <v>0</v>
      </c>
      <c r="O32" s="132">
        <f>IF($F32&lt;=$C$16,SUMIFS('Forecast (By Month)'!$O$4:$O$605,'Forecast (By Month)'!$F$4:$F$605,"&lt;="&amp;F32*12,'Forecast (By Month)'!$F$4:$F$605,"&gt;"&amp;F31*12),"-")</f>
        <v>99.999999999999986</v>
      </c>
      <c r="P32" s="132">
        <f>IF($F32&lt;=$C$16,SUMIFS('Forecast (By Month)'!$P$4:$P$605,'Forecast (By Month)'!$F$4:$F$605,"&lt;="&amp;F32*12,'Forecast (By Month)'!$F$4:$F$605,"&gt;"&amp;F31*12),"-")</f>
        <v>0</v>
      </c>
      <c r="Q32" s="132">
        <f>IF($F32&lt;=$C$16,SUMIFS('Forecast (By Month)'!$Q$4:$Q$605,'Forecast (By Month)'!$F$4:$F$605,"&lt;="&amp;F32*12,'Forecast (By Month)'!$F$4:$F$605,"&gt;"&amp;F31*12),"-")</f>
        <v>60258.060132130027</v>
      </c>
      <c r="R32" s="132">
        <f>IF($F32&lt;=$C$16,SUMIFS('Forecast (By Month)'!$R$4:$R$605,'Forecast (By Month)'!$F$4:$F$605,"&lt;="&amp;F32*12,'Forecast (By Month)'!$F$4:$F$605,"&gt;"&amp;F31*12),"-")</f>
        <v>324387.94106905203</v>
      </c>
      <c r="S32" s="132">
        <f t="shared" si="5"/>
        <v>0</v>
      </c>
      <c r="T32" s="132">
        <f t="shared" si="0"/>
        <v>324387.94106905203</v>
      </c>
      <c r="U32" s="132">
        <f>IF($F32&lt;=$C$16,SUM(T$5:T32),"-")</f>
        <v>4853740.7624500906</v>
      </c>
      <c r="V32" s="132">
        <f>IF($F32&lt;=$C$16,INDEX('Forecast (By Month)'!$F$3:$AY$605,MATCH($F32*12,'Forecast (By Month)'!$F$3:$F$605,0),MATCH(V$3,'Forecast (By Month)'!$F$3:$AA$3,0)),"-")</f>
        <v>4675695.9185524033</v>
      </c>
      <c r="W32" s="29">
        <f>IF($F32&lt;=$C$16,INDEX('Forecast (By Month)'!$F$3:$AY$605,MATCH($F32*12,'Forecast (By Month)'!$F$3:$F$605,0),MATCH(W$3,'Forecast (By Month)'!$F$3:$AA$3,0)),"-")</f>
        <v>2.9204353946263262</v>
      </c>
      <c r="X32" s="29">
        <f>IF($F32&lt;=$C$16,INDEX('Forecast (By Month)'!$F$3:$AY$605,MATCH($F32*12,'Forecast (By Month)'!$F$3:$F$605,0),MATCH(X$3,'Forecast (By Month)'!$F$3:$AA$3,0)),"-")</f>
        <v>0.10430126409379736</v>
      </c>
      <c r="Y32" s="132">
        <f>IF($F32&lt;=$C$16,INDEX('Forecast (By Month)'!$F$3:$AY$605,MATCH($F32*12,'Forecast (By Month)'!$F$3:$F$605,0),MATCH(Y$3,'Forecast (By Month)'!$F$3:$AA$3,0)),"-")</f>
        <v>9529436.6810024846</v>
      </c>
      <c r="Z32" s="29">
        <f>IF($F32&lt;=$C$16,INDEX('Forecast (By Month)'!$F$3:$AY$605,MATCH($F32*12,'Forecast (By Month)'!$F$3:$F$605,0),MATCH(Z$3,'Forecast (By Month)'!$F$3:$AA$3,0)),"-")</f>
        <v>5.9520774359223703</v>
      </c>
      <c r="AA32" s="31">
        <f>IF($F32&lt;=$C$16,INDEX('Forecast (By Month)'!$F$3:$AY$605,MATCH($F32*12,'Forecast (By Month)'!$F$3:$F$605,0),MATCH(AA$3,'Forecast (By Month)'!$F$3:$AA$3,0)),"-")</f>
        <v>0.21257419414008466</v>
      </c>
      <c r="AD32" s="12">
        <f t="shared" si="6"/>
        <v>28</v>
      </c>
      <c r="AE32" s="132">
        <f t="shared" si="7"/>
        <v>6409411.1413798975</v>
      </c>
      <c r="AF32" s="132">
        <f>IF($AD32&lt;=$C$25,AE32-$C$7+SUMIFS('Mortgage Calculators (By Month)'!$K$23:$K$622,'Mortgage Calculators (By Month)'!$I$23:$I$622,"&lt;="&amp;AD32*12),"-")</f>
        <v>6409411.1413798975</v>
      </c>
      <c r="AG32" s="132">
        <f t="shared" si="8"/>
        <v>384546.00120118208</v>
      </c>
      <c r="AH32" s="132">
        <f>IF($AD32&lt;=$C$25,SUMIFS('Forecast (By Month)'!$AH$4:$AH$605,'Forecast (By Month)'!$AD$4:$AD$605,"&lt;="&amp;AD32*12,'Forecast (By Month)'!$AD$4:$AD$605,"&gt;"&amp;AD31*12),"-")</f>
        <v>42300.060132130027</v>
      </c>
      <c r="AI32" s="132">
        <f>IF($AD32&lt;=$C$25,SUMIFS('Forecast (By Month)'!$AI$4:$AI$605,'Forecast (By Month)'!$AD$4:$AD$605,"&lt;="&amp;AD32*12,'Forecast (By Month)'!$AD$4:$AD$605,"&gt;"&amp;AD31*12),"-")</f>
        <v>17857.999999999996</v>
      </c>
      <c r="AJ32" s="132">
        <f t="shared" si="9"/>
        <v>60158.06013213002</v>
      </c>
      <c r="AK32" s="132">
        <f>IF($AD32&lt;=$C$25,SUMIFS('Forecast (By Month)'!$AK$4:$AK$605,'Forecast (By Month)'!$AD$4:$AD$605,"&lt;="&amp;AD32*12,'Forecast (By Month)'!$AD$4:$AD$605,"&gt;"&amp;AD31*12),"-")</f>
        <v>0</v>
      </c>
      <c r="AL32" s="132">
        <f>IF($AD32&lt;=$C$25,SUMIFS('Forecast (By Month)'!$AL$4:$AL$605,'Forecast (By Month)'!$AD$4:$AD$605,"&lt;="&amp;AD32*12,'Forecast (By Month)'!$AD$4:$AD$605,"&gt;"&amp;AD31*12),"-")</f>
        <v>0</v>
      </c>
      <c r="AM32" s="132">
        <f>IF($AD32&lt;=$C$25,SUMIFS('Forecast (By Month)'!$AM$4:$AM$605,'Forecast (By Month)'!$AD$4:$AD$605,"&lt;="&amp;AD32*12,'Forecast (By Month)'!$AD$4:$AD$605,"&gt;"&amp;AD31*12),"-")</f>
        <v>120</v>
      </c>
      <c r="AN32" s="132">
        <f>IF($AD32&lt;=$C$25,SUMIFS('Forecast (By Month)'!$AN$4:$AN$605,'Forecast (By Month)'!$AD$4:$AD$605,"&lt;="&amp;AD32*12,'Forecast (By Month)'!$AD$4:$AD$605,"&gt;"&amp;AD31*12),"-")</f>
        <v>0</v>
      </c>
      <c r="AO32" s="132">
        <f>IF($AD32&lt;=$C$25,SUMIFS('Forecast (By Month)'!$AO$4:$AO$605,'Forecast (By Month)'!$AD$4:$AD$605,"&lt;="&amp;AD32*12,'Forecast (By Month)'!$AD$4:$AD$605,"&gt;"&amp;AD31*12),"-")</f>
        <v>60278.06013213002</v>
      </c>
      <c r="AP32" s="132">
        <f>IF($AD32&lt;=$C$25,SUMIFS('Forecast (By Month)'!$AP$4:$AP$605,'Forecast (By Month)'!$AD$4:$AD$605,"&lt;="&amp;AD32*12,'Forecast (By Month)'!$AD$4:$AD$605,"&gt;"&amp;AD31*12),"-")</f>
        <v>324387.94106905203</v>
      </c>
      <c r="AQ32" s="132">
        <f t="shared" si="10"/>
        <v>0</v>
      </c>
      <c r="AR32" s="132">
        <f t="shared" si="11"/>
        <v>324387.94106905203</v>
      </c>
      <c r="AS32" s="132">
        <f>IF($AD32&lt;=$C$25,SUM(AR$5:AR32),"-")</f>
        <v>4853730.7624500906</v>
      </c>
      <c r="AT32" s="132">
        <f>IF($AD32&lt;=$C$25,INDEX('Forecast (By Month)'!$AD$3:$AY$605,MATCH($AD32*12,'Forecast (By Month)'!$AD$3:$AD$605,0),MATCH(AT$3,'Forecast (By Month)'!$AD$3:$AY$3,0)),"-")</f>
        <v>4675695.9185524033</v>
      </c>
      <c r="AU32" s="29">
        <f>IF($AD32&lt;=$C$25,INDEX('Forecast (By Month)'!$AD$3:$AY$605,MATCH($AD32*12,'Forecast (By Month)'!$AD$3:$AD$605,0),MATCH(AU$3,'Forecast (By Month)'!$AD$3:$AY$3,0)),"-")</f>
        <v>2.9204353946263262</v>
      </c>
      <c r="AV32" s="29">
        <f>IF($AD32&lt;=$C$25,INDEX('Forecast (By Month)'!$AD$3:$AY$605,MATCH($AD32*12,'Forecast (By Month)'!$AD$3:$AD$605,0),MATCH(AV$3,'Forecast (By Month)'!$AD$3:$AY$3,0)),"-")</f>
        <v>0.10430126409379736</v>
      </c>
      <c r="AW32" s="132">
        <f>IF($AD32&lt;=$C$25,INDEX('Forecast (By Month)'!$AD$3:$AY$605,MATCH($AD32*12,'Forecast (By Month)'!$AD$3:$AD$605,0),MATCH(AW$3,'Forecast (By Month)'!$AD$3:$AY$3,0)),"-")</f>
        <v>9529426.6810024846</v>
      </c>
      <c r="AX32" s="29">
        <f>IF($AD32&lt;=$C$25,INDEX('Forecast (By Month)'!$AD$3:$AY$605,MATCH($AD32*12,'Forecast (By Month)'!$AD$3:$AD$605,0),MATCH(AX$3,'Forecast (By Month)'!$AD$3:$AY$3,0)),"-")</f>
        <v>5.952071189931516</v>
      </c>
      <c r="AY32" s="31">
        <f>IF($AD32&lt;=$C$25,INDEX('Forecast (By Month)'!$AD$3:$AY$605,MATCH($AD32*12,'Forecast (By Month)'!$AD$3:$AD$605,0),MATCH(AY$3,'Forecast (By Month)'!$AD$3:$AY$3,0)),"-")</f>
        <v>0.21257397106898271</v>
      </c>
    </row>
    <row r="33" spans="2:51" x14ac:dyDescent="0.35">
      <c r="B33" t="s">
        <v>15</v>
      </c>
      <c r="C33" s="4">
        <f>Inputs!K17</f>
        <v>0.05</v>
      </c>
      <c r="F33" s="12">
        <f t="shared" si="1"/>
        <v>29</v>
      </c>
      <c r="G33" s="132">
        <f t="shared" si="2"/>
        <v>6729881.6984488927</v>
      </c>
      <c r="H33" s="132">
        <f>IF($F33&lt;=$C$16,G33-$C$7+SUMIFS('Mortgage Calculators (By Month)'!$D$23:$D$622,'Mortgage Calculators (By Month)'!$B$23:$B$622,"&lt;="&amp;F33*12),"-")</f>
        <v>6729881.6984488927</v>
      </c>
      <c r="I33" s="132">
        <f t="shared" si="3"/>
        <v>403773.30126124108</v>
      </c>
      <c r="J33" s="132">
        <f>IF($F33&lt;=$C$16,SUMIFS('Forecast (By Month)'!$J$4:$J$605,'Forecast (By Month)'!$F$4:$F$605,"&lt;="&amp;F33*12,'Forecast (By Month)'!$F$4:$F$605,"&gt;"&amp;F32*12),"-")</f>
        <v>44415.063138736521</v>
      </c>
      <c r="K33" s="132">
        <f>IF($F33&lt;=$C$16,SUMIFS('Forecast (By Month)'!$K$4:$K$605,'Forecast (By Month)'!$F$4:$F$605,"&lt;="&amp;F33*12,'Forecast (By Month)'!$F$4:$F$605,"&gt;"&amp;F32*12),"-")</f>
        <v>17857.999999999996</v>
      </c>
      <c r="L33" s="132">
        <f t="shared" si="4"/>
        <v>62273.063138736514</v>
      </c>
      <c r="M33" s="132">
        <f>IF($F33&lt;=$C$16,SUMIFS('Forecast (By Month)'!$M$4:$M$605,'Forecast (By Month)'!$F$4:$F$605,"&lt;="&amp;F33*12,'Forecast (By Month)'!$F$4:$F$605,"&gt;"&amp;F32*12),"-")</f>
        <v>0</v>
      </c>
      <c r="N33" s="132">
        <f>IF($F33&lt;=$C$16,SUMIFS('Forecast (By Month)'!$N$4:$N$605,'Forecast (By Month)'!$F$4:$F$605,"&lt;="&amp;F33*12,'Forecast (By Month)'!$F$4:$F$605,"&gt;"&amp;F32*12),"-")</f>
        <v>0</v>
      </c>
      <c r="O33" s="132">
        <f>IF($F33&lt;=$C$16,SUMIFS('Forecast (By Month)'!$O$4:$O$605,'Forecast (By Month)'!$F$4:$F$605,"&lt;="&amp;F33*12,'Forecast (By Month)'!$F$4:$F$605,"&gt;"&amp;F32*12),"-")</f>
        <v>99.999999999999986</v>
      </c>
      <c r="P33" s="132">
        <f>IF($F33&lt;=$C$16,SUMIFS('Forecast (By Month)'!$P$4:$P$605,'Forecast (By Month)'!$F$4:$F$605,"&lt;="&amp;F33*12,'Forecast (By Month)'!$F$4:$F$605,"&gt;"&amp;F32*12),"-")</f>
        <v>0</v>
      </c>
      <c r="Q33" s="132">
        <f>IF($F33&lt;=$C$16,SUMIFS('Forecast (By Month)'!$Q$4:$Q$605,'Forecast (By Month)'!$F$4:$F$605,"&lt;="&amp;F33*12,'Forecast (By Month)'!$F$4:$F$605,"&gt;"&amp;F32*12),"-")</f>
        <v>62373.063138736507</v>
      </c>
      <c r="R33" s="132">
        <f>IF($F33&lt;=$C$16,SUMIFS('Forecast (By Month)'!$R$4:$R$605,'Forecast (By Month)'!$F$4:$F$605,"&lt;="&amp;F33*12,'Forecast (By Month)'!$F$4:$F$605,"&gt;"&amp;F32*12),"-")</f>
        <v>341500.23812250461</v>
      </c>
      <c r="S33" s="132">
        <f t="shared" si="5"/>
        <v>0</v>
      </c>
      <c r="T33" s="132">
        <f t="shared" si="0"/>
        <v>341500.23812250461</v>
      </c>
      <c r="U33" s="132">
        <f>IF($F33&lt;=$C$16,SUM(T$5:T33),"-")</f>
        <v>5195241.0005725948</v>
      </c>
      <c r="V33" s="132">
        <f>IF($F33&lt;=$C$16,INDEX('Forecast (By Month)'!$F$3:$AY$605,MATCH($F33*12,'Forecast (By Month)'!$F$3:$F$605,0),MATCH(V$3,'Forecast (By Month)'!$F$3:$AA$3,0)),"-")</f>
        <v>4989757.0644800281</v>
      </c>
      <c r="W33" s="29">
        <f>IF($F33&lt;=$C$16,INDEX('Forecast (By Month)'!$F$3:$AY$605,MATCH($F33*12,'Forecast (By Month)'!$F$3:$F$605,0),MATCH(W$3,'Forecast (By Month)'!$F$3:$AA$3,0)),"-")</f>
        <v>3.1165976991518747</v>
      </c>
      <c r="X33" s="29">
        <f>IF($F33&lt;=$C$16,INDEX('Forecast (By Month)'!$F$3:$AY$605,MATCH($F33*12,'Forecast (By Month)'!$F$3:$F$605,0),MATCH(X$3,'Forecast (By Month)'!$F$3:$AA$3,0)),"-")</f>
        <v>0.10746888617765085</v>
      </c>
      <c r="Y33" s="132">
        <f>IF($F33&lt;=$C$16,INDEX('Forecast (By Month)'!$F$3:$AY$605,MATCH($F33*12,'Forecast (By Month)'!$F$3:$F$605,0),MATCH(Y$3,'Forecast (By Month)'!$F$3:$AA$3,0)),"-")</f>
        <v>10184998.06505261</v>
      </c>
      <c r="Z33" s="29">
        <f>IF($F33&lt;=$C$16,INDEX('Forecast (By Month)'!$F$3:$AY$605,MATCH($F33*12,'Forecast (By Month)'!$F$3:$F$605,0),MATCH(Z$3,'Forecast (By Month)'!$F$3:$AA$3,0)),"-")</f>
        <v>6.3615404768642936</v>
      </c>
      <c r="AA33" s="31">
        <f>IF($F33&lt;=$C$16,INDEX('Forecast (By Month)'!$F$3:$AY$605,MATCH($F33*12,'Forecast (By Month)'!$F$3:$F$605,0),MATCH(AA$3,'Forecast (By Month)'!$F$3:$AA$3,0)),"-")</f>
        <v>0.21936346471945839</v>
      </c>
      <c r="AD33" s="12">
        <f t="shared" si="6"/>
        <v>29</v>
      </c>
      <c r="AE33" s="132">
        <f t="shared" si="7"/>
        <v>6729881.6984488927</v>
      </c>
      <c r="AF33" s="132">
        <f>IF($AD33&lt;=$C$25,AE33-$C$7+SUMIFS('Mortgage Calculators (By Month)'!$K$23:$K$622,'Mortgage Calculators (By Month)'!$I$23:$I$622,"&lt;="&amp;AD33*12),"-")</f>
        <v>6729881.6984488927</v>
      </c>
      <c r="AG33" s="132">
        <f t="shared" si="8"/>
        <v>403773.30126124108</v>
      </c>
      <c r="AH33" s="132">
        <f>IF($AD33&lt;=$C$25,SUMIFS('Forecast (By Month)'!$AH$4:$AH$605,'Forecast (By Month)'!$AD$4:$AD$605,"&lt;="&amp;AD33*12,'Forecast (By Month)'!$AD$4:$AD$605,"&gt;"&amp;AD32*12),"-")</f>
        <v>44415.063138736521</v>
      </c>
      <c r="AI33" s="132">
        <f>IF($AD33&lt;=$C$25,SUMIFS('Forecast (By Month)'!$AI$4:$AI$605,'Forecast (By Month)'!$AD$4:$AD$605,"&lt;="&amp;AD33*12,'Forecast (By Month)'!$AD$4:$AD$605,"&gt;"&amp;AD32*12),"-")</f>
        <v>17857.999999999996</v>
      </c>
      <c r="AJ33" s="132">
        <f t="shared" si="9"/>
        <v>62273.063138736514</v>
      </c>
      <c r="AK33" s="132">
        <f>IF($AD33&lt;=$C$25,SUMIFS('Forecast (By Month)'!$AK$4:$AK$605,'Forecast (By Month)'!$AD$4:$AD$605,"&lt;="&amp;AD33*12,'Forecast (By Month)'!$AD$4:$AD$605,"&gt;"&amp;AD32*12),"-")</f>
        <v>0</v>
      </c>
      <c r="AL33" s="132">
        <f>IF($AD33&lt;=$C$25,SUMIFS('Forecast (By Month)'!$AL$4:$AL$605,'Forecast (By Month)'!$AD$4:$AD$605,"&lt;="&amp;AD33*12,'Forecast (By Month)'!$AD$4:$AD$605,"&gt;"&amp;AD32*12),"-")</f>
        <v>0</v>
      </c>
      <c r="AM33" s="132">
        <f>IF($AD33&lt;=$C$25,SUMIFS('Forecast (By Month)'!$AM$4:$AM$605,'Forecast (By Month)'!$AD$4:$AD$605,"&lt;="&amp;AD33*12,'Forecast (By Month)'!$AD$4:$AD$605,"&gt;"&amp;AD32*12),"-")</f>
        <v>120</v>
      </c>
      <c r="AN33" s="132">
        <f>IF($AD33&lt;=$C$25,SUMIFS('Forecast (By Month)'!$AN$4:$AN$605,'Forecast (By Month)'!$AD$4:$AD$605,"&lt;="&amp;AD33*12,'Forecast (By Month)'!$AD$4:$AD$605,"&gt;"&amp;AD32*12),"-")</f>
        <v>0</v>
      </c>
      <c r="AO33" s="132">
        <f>IF($AD33&lt;=$C$25,SUMIFS('Forecast (By Month)'!$AO$4:$AO$605,'Forecast (By Month)'!$AD$4:$AD$605,"&lt;="&amp;AD33*12,'Forecast (By Month)'!$AD$4:$AD$605,"&gt;"&amp;AD32*12),"-")</f>
        <v>62393.063138736536</v>
      </c>
      <c r="AP33" s="132">
        <f>IF($AD33&lt;=$C$25,SUMIFS('Forecast (By Month)'!$AP$4:$AP$605,'Forecast (By Month)'!$AD$4:$AD$605,"&lt;="&amp;AD33*12,'Forecast (By Month)'!$AD$4:$AD$605,"&gt;"&amp;AD32*12),"-")</f>
        <v>341500.23812250461</v>
      </c>
      <c r="AQ33" s="132">
        <f t="shared" si="10"/>
        <v>0</v>
      </c>
      <c r="AR33" s="132">
        <f t="shared" si="11"/>
        <v>341500.23812250461</v>
      </c>
      <c r="AS33" s="132">
        <f>IF($AD33&lt;=$C$25,SUM(AR$5:AR33),"-")</f>
        <v>5195231.0005725948</v>
      </c>
      <c r="AT33" s="132">
        <f>IF($AD33&lt;=$C$25,INDEX('Forecast (By Month)'!$AD$3:$AY$605,MATCH($AD33*12,'Forecast (By Month)'!$AD$3:$AD$605,0),MATCH(AT$3,'Forecast (By Month)'!$AD$3:$AY$3,0)),"-")</f>
        <v>4989757.0644800281</v>
      </c>
      <c r="AU33" s="29">
        <f>IF($AD33&lt;=$C$25,INDEX('Forecast (By Month)'!$AD$3:$AY$605,MATCH($AD33*12,'Forecast (By Month)'!$AD$3:$AD$605,0),MATCH(AU$3,'Forecast (By Month)'!$AD$3:$AY$3,0)),"-")</f>
        <v>3.1165976991518747</v>
      </c>
      <c r="AV33" s="29">
        <f>IF($AD33&lt;=$C$25,INDEX('Forecast (By Month)'!$AD$3:$AY$605,MATCH($AD33*12,'Forecast (By Month)'!$AD$3:$AD$605,0),MATCH(AV$3,'Forecast (By Month)'!$AD$3:$AY$3,0)),"-")</f>
        <v>0.10746888617765085</v>
      </c>
      <c r="AW33" s="132">
        <f>IF($AD33&lt;=$C$25,INDEX('Forecast (By Month)'!$AD$3:$AY$605,MATCH($AD33*12,'Forecast (By Month)'!$AD$3:$AD$605,0),MATCH(AW$3,'Forecast (By Month)'!$AD$3:$AY$3,0)),"-")</f>
        <v>10184988.06505261</v>
      </c>
      <c r="AX33" s="29">
        <f>IF($AD33&lt;=$C$25,INDEX('Forecast (By Month)'!$AD$3:$AY$605,MATCH($AD33*12,'Forecast (By Month)'!$AD$3:$AD$605,0),MATCH(AX$3,'Forecast (By Month)'!$AD$3:$AY$3,0)),"-")</f>
        <v>6.3615342308734393</v>
      </c>
      <c r="AY33" s="31">
        <f>IF($AD33&lt;=$C$25,INDEX('Forecast (By Month)'!$AD$3:$AY$605,MATCH($AD33*12,'Forecast (By Month)'!$AD$3:$AD$605,0),MATCH(AY$3,'Forecast (By Month)'!$AD$3:$AY$3,0)),"-")</f>
        <v>0.21936324934046342</v>
      </c>
    </row>
    <row r="34" spans="2:51" x14ac:dyDescent="0.35">
      <c r="B34" t="s">
        <v>61</v>
      </c>
      <c r="C34" s="4">
        <f>Inputs!K53</f>
        <v>0</v>
      </c>
      <c r="F34" s="12">
        <f t="shared" si="1"/>
        <v>30</v>
      </c>
      <c r="G34" s="132">
        <f t="shared" si="2"/>
        <v>7066375.7833713377</v>
      </c>
      <c r="H34" s="132">
        <f>IF($F34&lt;=$C$16,G34-$C$7+SUMIFS('Mortgage Calculators (By Month)'!$D$23:$D$622,'Mortgage Calculators (By Month)'!$B$23:$B$622,"&lt;="&amp;F34*12),"-")</f>
        <v>7066375.7833713377</v>
      </c>
      <c r="I34" s="132">
        <f t="shared" si="3"/>
        <v>423961.96632430324</v>
      </c>
      <c r="J34" s="132">
        <f>IF($F34&lt;=$C$16,SUMIFS('Forecast (By Month)'!$J$4:$J$605,'Forecast (By Month)'!$F$4:$F$605,"&lt;="&amp;F34*12,'Forecast (By Month)'!$F$4:$F$605,"&gt;"&amp;F33*12),"-")</f>
        <v>46635.816295673365</v>
      </c>
      <c r="K34" s="132">
        <f>IF($F34&lt;=$C$16,SUMIFS('Forecast (By Month)'!$K$4:$K$605,'Forecast (By Month)'!$F$4:$F$605,"&lt;="&amp;F34*12,'Forecast (By Month)'!$F$4:$F$605,"&gt;"&amp;F33*12),"-")</f>
        <v>17857.999999999996</v>
      </c>
      <c r="L34" s="132">
        <f t="shared" si="4"/>
        <v>64493.816295673358</v>
      </c>
      <c r="M34" s="132">
        <f>IF($F34&lt;=$C$16,SUMIFS('Forecast (By Month)'!$M$4:$M$605,'Forecast (By Month)'!$F$4:$F$605,"&lt;="&amp;F34*12,'Forecast (By Month)'!$F$4:$F$605,"&gt;"&amp;F33*12),"-")</f>
        <v>0</v>
      </c>
      <c r="N34" s="132">
        <f>IF($F34&lt;=$C$16,SUMIFS('Forecast (By Month)'!$N$4:$N$605,'Forecast (By Month)'!$F$4:$F$605,"&lt;="&amp;F34*12,'Forecast (By Month)'!$F$4:$F$605,"&gt;"&amp;F33*12),"-")</f>
        <v>0</v>
      </c>
      <c r="O34" s="132">
        <f>IF($F34&lt;=$C$16,SUMIFS('Forecast (By Month)'!$O$4:$O$605,'Forecast (By Month)'!$F$4:$F$605,"&lt;="&amp;F34*12,'Forecast (By Month)'!$F$4:$F$605,"&gt;"&amp;F33*12),"-")</f>
        <v>99.999999999999986</v>
      </c>
      <c r="P34" s="132">
        <f>IF($F34&lt;=$C$16,SUMIFS('Forecast (By Month)'!$P$4:$P$605,'Forecast (By Month)'!$F$4:$F$605,"&lt;="&amp;F34*12,'Forecast (By Month)'!$F$4:$F$605,"&gt;"&amp;F33*12),"-")</f>
        <v>0</v>
      </c>
      <c r="Q34" s="132">
        <f>IF($F34&lt;=$C$16,SUMIFS('Forecast (By Month)'!$Q$4:$Q$605,'Forecast (By Month)'!$F$4:$F$605,"&lt;="&amp;F34*12,'Forecast (By Month)'!$F$4:$F$605,"&gt;"&amp;F33*12),"-")</f>
        <v>64593.816295673365</v>
      </c>
      <c r="R34" s="132">
        <f>IF($F34&lt;=$C$16,SUMIFS('Forecast (By Month)'!$R$4:$R$605,'Forecast (By Month)'!$F$4:$F$605,"&lt;="&amp;F34*12,'Forecast (By Month)'!$F$4:$F$605,"&gt;"&amp;F33*12),"-")</f>
        <v>359468.15002862993</v>
      </c>
      <c r="S34" s="132">
        <f t="shared" si="5"/>
        <v>0</v>
      </c>
      <c r="T34" s="132">
        <f t="shared" si="0"/>
        <v>359468.15002862993</v>
      </c>
      <c r="U34" s="132">
        <f>IF($F34&lt;=$C$16,SUM(T$5:T34),"-")</f>
        <v>5554709.150601225</v>
      </c>
      <c r="V34" s="132">
        <f>IF($F34&lt;=$C$16,INDEX('Forecast (By Month)'!$F$3:$AY$605,MATCH($F34*12,'Forecast (By Month)'!$F$3:$F$605,0),MATCH(V$3,'Forecast (By Month)'!$F$3:$AA$3,0)),"-")</f>
        <v>5319521.2677040342</v>
      </c>
      <c r="W34" s="29">
        <f>IF($F34&lt;=$C$16,INDEX('Forecast (By Month)'!$F$3:$AY$605,MATCH($F34*12,'Forecast (By Month)'!$F$3:$F$605,0),MATCH(W$3,'Forecast (By Month)'!$F$3:$AA$3,0)),"-")</f>
        <v>3.3225681189037002</v>
      </c>
      <c r="X34" s="29">
        <f>IF($F34&lt;=$C$16,INDEX('Forecast (By Month)'!$F$3:$AY$605,MATCH($F34*12,'Forecast (By Month)'!$F$3:$F$605,0),MATCH(X$3,'Forecast (By Month)'!$F$3:$AA$3,0)),"-")</f>
        <v>0.11075227063012334</v>
      </c>
      <c r="Y34" s="132">
        <f>IF($F34&lt;=$C$16,INDEX('Forecast (By Month)'!$F$3:$AY$605,MATCH($F34*12,'Forecast (By Month)'!$F$3:$F$605,0),MATCH(Y$3,'Forecast (By Month)'!$F$3:$AA$3,0)),"-")</f>
        <v>10874230.418305244</v>
      </c>
      <c r="Z34" s="29">
        <f>IF($F34&lt;=$C$16,INDEX('Forecast (By Month)'!$F$3:$AY$605,MATCH($F34*12,'Forecast (By Month)'!$F$3:$F$605,0),MATCH(Z$3,'Forecast (By Month)'!$F$3:$AA$3,0)),"-")</f>
        <v>6.7920343743767244</v>
      </c>
      <c r="AA34" s="31">
        <f>IF($F34&lt;=$C$16,INDEX('Forecast (By Month)'!$F$3:$AY$605,MATCH($F34*12,'Forecast (By Month)'!$F$3:$F$605,0),MATCH(AA$3,'Forecast (By Month)'!$F$3:$AA$3,0)),"-")</f>
        <v>0.22640114581255749</v>
      </c>
      <c r="AD34" s="12">
        <f t="shared" si="6"/>
        <v>30</v>
      </c>
      <c r="AE34" s="132">
        <f t="shared" si="7"/>
        <v>7066375.7833713377</v>
      </c>
      <c r="AF34" s="132">
        <f>IF($AD34&lt;=$C$25,AE34-$C$7+SUMIFS('Mortgage Calculators (By Month)'!$K$23:$K$622,'Mortgage Calculators (By Month)'!$I$23:$I$622,"&lt;="&amp;AD34*12),"-")</f>
        <v>7066375.7833713377</v>
      </c>
      <c r="AG34" s="132">
        <f t="shared" si="8"/>
        <v>423961.96632430324</v>
      </c>
      <c r="AH34" s="132">
        <f>IF($AD34&lt;=$C$25,SUMIFS('Forecast (By Month)'!$AH$4:$AH$605,'Forecast (By Month)'!$AD$4:$AD$605,"&lt;="&amp;AD34*12,'Forecast (By Month)'!$AD$4:$AD$605,"&gt;"&amp;AD33*12),"-")</f>
        <v>46635.816295673365</v>
      </c>
      <c r="AI34" s="132">
        <f>IF($AD34&lt;=$C$25,SUMIFS('Forecast (By Month)'!$AI$4:$AI$605,'Forecast (By Month)'!$AD$4:$AD$605,"&lt;="&amp;AD34*12,'Forecast (By Month)'!$AD$4:$AD$605,"&gt;"&amp;AD33*12),"-")</f>
        <v>17857.999999999996</v>
      </c>
      <c r="AJ34" s="132">
        <f t="shared" si="9"/>
        <v>64493.816295673358</v>
      </c>
      <c r="AK34" s="132">
        <f>IF($AD34&lt;=$C$25,SUMIFS('Forecast (By Month)'!$AK$4:$AK$605,'Forecast (By Month)'!$AD$4:$AD$605,"&lt;="&amp;AD34*12,'Forecast (By Month)'!$AD$4:$AD$605,"&gt;"&amp;AD33*12),"-")</f>
        <v>0</v>
      </c>
      <c r="AL34" s="132">
        <f>IF($AD34&lt;=$C$25,SUMIFS('Forecast (By Month)'!$AL$4:$AL$605,'Forecast (By Month)'!$AD$4:$AD$605,"&lt;="&amp;AD34*12,'Forecast (By Month)'!$AD$4:$AD$605,"&gt;"&amp;AD33*12),"-")</f>
        <v>0</v>
      </c>
      <c r="AM34" s="132">
        <f>IF($AD34&lt;=$C$25,SUMIFS('Forecast (By Month)'!$AM$4:$AM$605,'Forecast (By Month)'!$AD$4:$AD$605,"&lt;="&amp;AD34*12,'Forecast (By Month)'!$AD$4:$AD$605,"&gt;"&amp;AD33*12),"-")</f>
        <v>120</v>
      </c>
      <c r="AN34" s="132">
        <f>IF($AD34&lt;=$C$25,SUMIFS('Forecast (By Month)'!$AN$4:$AN$605,'Forecast (By Month)'!$AD$4:$AD$605,"&lt;="&amp;AD34*12,'Forecast (By Month)'!$AD$4:$AD$605,"&gt;"&amp;AD33*12),"-")</f>
        <v>0</v>
      </c>
      <c r="AO34" s="132">
        <f>IF($AD34&lt;=$C$25,SUMIFS('Forecast (By Month)'!$AO$4:$AO$605,'Forecast (By Month)'!$AD$4:$AD$605,"&lt;="&amp;AD34*12,'Forecast (By Month)'!$AD$4:$AD$605,"&gt;"&amp;AD33*12),"-")</f>
        <v>64613.81629567335</v>
      </c>
      <c r="AP34" s="132">
        <f>IF($AD34&lt;=$C$25,SUMIFS('Forecast (By Month)'!$AP$4:$AP$605,'Forecast (By Month)'!$AD$4:$AD$605,"&lt;="&amp;AD34*12,'Forecast (By Month)'!$AD$4:$AD$605,"&gt;"&amp;AD33*12),"-")</f>
        <v>359468.15002862993</v>
      </c>
      <c r="AQ34" s="132">
        <f t="shared" si="10"/>
        <v>0</v>
      </c>
      <c r="AR34" s="132">
        <f t="shared" si="11"/>
        <v>359468.15002862993</v>
      </c>
      <c r="AS34" s="132">
        <f>IF($AD34&lt;=$C$25,SUM(AR$5:AR34),"-")</f>
        <v>5554699.150601225</v>
      </c>
      <c r="AT34" s="132">
        <f>IF($AD34&lt;=$C$25,INDEX('Forecast (By Month)'!$AD$3:$AY$605,MATCH($AD34*12,'Forecast (By Month)'!$AD$3:$AD$605,0),MATCH(AT$3,'Forecast (By Month)'!$AD$3:$AY$3,0)),"-")</f>
        <v>5319521.2677040342</v>
      </c>
      <c r="AU34" s="29">
        <f>IF($AD34&lt;=$C$25,INDEX('Forecast (By Month)'!$AD$3:$AY$605,MATCH($AD34*12,'Forecast (By Month)'!$AD$3:$AD$605,0),MATCH(AU$3,'Forecast (By Month)'!$AD$3:$AY$3,0)),"-")</f>
        <v>3.3225681189037002</v>
      </c>
      <c r="AV34" s="29">
        <f>IF($AD34&lt;=$C$25,INDEX('Forecast (By Month)'!$AD$3:$AY$605,MATCH($AD34*12,'Forecast (By Month)'!$AD$3:$AD$605,0),MATCH(AV$3,'Forecast (By Month)'!$AD$3:$AY$3,0)),"-")</f>
        <v>0.11075227063012334</v>
      </c>
      <c r="AW34" s="132">
        <f>IF($AD34&lt;=$C$25,INDEX('Forecast (By Month)'!$AD$3:$AY$605,MATCH($AD34*12,'Forecast (By Month)'!$AD$3:$AD$605,0),MATCH(AW$3,'Forecast (By Month)'!$AD$3:$AY$3,0)),"-")</f>
        <v>10874220.418305244</v>
      </c>
      <c r="AX34" s="29">
        <f>IF($AD34&lt;=$C$25,INDEX('Forecast (By Month)'!$AD$3:$AY$605,MATCH($AD34*12,'Forecast (By Month)'!$AD$3:$AD$605,0),MATCH(AX$3,'Forecast (By Month)'!$AD$3:$AY$3,0)),"-")</f>
        <v>6.7920281283858701</v>
      </c>
      <c r="AY34" s="31">
        <f>IF($AD34&lt;=$C$25,INDEX('Forecast (By Month)'!$AD$3:$AY$605,MATCH($AD34*12,'Forecast (By Month)'!$AD$3:$AD$605,0),MATCH(AY$3,'Forecast (By Month)'!$AD$3:$AY$3,0)),"-")</f>
        <v>0.22640093761286234</v>
      </c>
    </row>
    <row r="35" spans="2:51" x14ac:dyDescent="0.35">
      <c r="B35" t="s">
        <v>126</v>
      </c>
      <c r="C35" s="3">
        <f>Inputs!K54</f>
        <v>0</v>
      </c>
      <c r="F35" s="12" t="str">
        <f t="shared" si="1"/>
        <v>-</v>
      </c>
      <c r="G35" s="8" t="str">
        <f t="shared" si="2"/>
        <v>-</v>
      </c>
      <c r="H35" s="8" t="str">
        <f>IF($F35&lt;=$C$16,G35-$C$7+SUMIFS('Mortgage Calculators (By Month)'!$D$23:$D$622,'Mortgage Calculators (By Month)'!$B$23:$B$622,"&lt;="&amp;F35*12),"-")</f>
        <v>-</v>
      </c>
      <c r="I35" s="8" t="str">
        <f t="shared" si="3"/>
        <v>-</v>
      </c>
      <c r="J35" s="8" t="str">
        <f>IF($F35&lt;=$C$16,SUMIFS('Forecast (By Month)'!$J$4:$J$605,'Forecast (By Month)'!$F$4:$F$605,"&lt;="&amp;F35*12,'Forecast (By Month)'!$F$4:$F$605,"&gt;"&amp;F34*12),"-")</f>
        <v>-</v>
      </c>
      <c r="K35" s="8" t="str">
        <f>IF($F35&lt;=$C$16,SUMIFS('Forecast (By Month)'!$K$4:$K$605,'Forecast (By Month)'!$F$4:$F$605,"&lt;="&amp;F35*12,'Forecast (By Month)'!$F$4:$F$605,"&gt;"&amp;F34*12),"-")</f>
        <v>-</v>
      </c>
      <c r="L35" s="8" t="str">
        <f t="shared" si="4"/>
        <v>-</v>
      </c>
      <c r="M35" s="8" t="str">
        <f>IF($F35&lt;=$C$16,SUMIFS('Forecast (By Month)'!$M$4:$M$605,'Forecast (By Month)'!$F$4:$F$605,"&lt;="&amp;F35*12,'Forecast (By Month)'!$F$4:$F$605,"&gt;"&amp;F34*12),"-")</f>
        <v>-</v>
      </c>
      <c r="N35" s="8" t="str">
        <f>IF($F35&lt;=$C$16,SUMIFS('Forecast (By Month)'!$N$4:$N$605,'Forecast (By Month)'!$F$4:$F$605,"&lt;="&amp;F35*12,'Forecast (By Month)'!$F$4:$F$605,"&gt;"&amp;F34*12),"-")</f>
        <v>-</v>
      </c>
      <c r="O35" s="8" t="str">
        <f>IF($F35&lt;=$C$16,SUMIFS('Forecast (By Month)'!$O$4:$O$605,'Forecast (By Month)'!$F$4:$F$605,"&lt;="&amp;F35*12,'Forecast (By Month)'!$F$4:$F$605,"&gt;"&amp;F34*12),"-")</f>
        <v>-</v>
      </c>
      <c r="P35" s="8" t="str">
        <f>IF($F35&lt;=$C$16,SUMIFS('Forecast (By Month)'!$P$4:$P$605,'Forecast (By Month)'!$F$4:$F$605,"&lt;="&amp;F35*12,'Forecast (By Month)'!$F$4:$F$605,"&gt;"&amp;F34*12),"-")</f>
        <v>-</v>
      </c>
      <c r="Q35" s="8" t="str">
        <f>IF($F35&lt;=$C$16,SUMIFS('Forecast (By Month)'!$Q$4:$Q$605,'Forecast (By Month)'!$F$4:$F$605,"&lt;="&amp;F35*12,'Forecast (By Month)'!$F$4:$F$605,"&gt;"&amp;F34*12),"-")</f>
        <v>-</v>
      </c>
      <c r="R35" s="8" t="str">
        <f>IF($F35&lt;=$C$16,SUMIFS('Forecast (By Month)'!$R$4:$R$605,'Forecast (By Month)'!$F$4:$F$605,"&lt;="&amp;F35*12,'Forecast (By Month)'!$F$4:$F$605,"&gt;"&amp;F34*12),"-")</f>
        <v>-</v>
      </c>
      <c r="S35" s="8" t="str">
        <f t="shared" si="5"/>
        <v>-</v>
      </c>
      <c r="T35" s="8" t="str">
        <f t="shared" si="0"/>
        <v>-</v>
      </c>
      <c r="U35" s="8" t="str">
        <f>IF($F35&lt;=$C$16,SUM(T$5:T35),"-")</f>
        <v>-</v>
      </c>
      <c r="V35" s="8" t="str">
        <f>IF($F35&lt;=$C$16,INDEX('Forecast (By Month)'!$F$3:$AY$605,MATCH($F35*12,'Forecast (By Month)'!$F$3:$F$605,0),MATCH(V$3,'Forecast (By Month)'!$F$3:$AA$3,0)),"-")</f>
        <v>-</v>
      </c>
      <c r="W35" s="29" t="str">
        <f>IF($F35&lt;=$C$16,INDEX('Forecast (By Month)'!$F$3:$AY$605,MATCH($F35*12,'Forecast (By Month)'!$F$3:$F$605,0),MATCH(W$3,'Forecast (By Month)'!$F$3:$AA$3,0)),"-")</f>
        <v>-</v>
      </c>
      <c r="X35" s="29" t="str">
        <f>IF($F35&lt;=$C$16,INDEX('Forecast (By Month)'!$F$3:$AY$605,MATCH($F35*12,'Forecast (By Month)'!$F$3:$F$605,0),MATCH(X$3,'Forecast (By Month)'!$F$3:$AA$3,0)),"-")</f>
        <v>-</v>
      </c>
      <c r="Y35" s="8" t="str">
        <f>IF($F35&lt;=$C$16,INDEX('Forecast (By Month)'!$F$3:$AY$605,MATCH($F35*12,'Forecast (By Month)'!$F$3:$F$605,0),MATCH(Y$3,'Forecast (By Month)'!$F$3:$AA$3,0)),"-")</f>
        <v>-</v>
      </c>
      <c r="Z35" s="29" t="str">
        <f>IF($F35&lt;=$C$16,INDEX('Forecast (By Month)'!$F$3:$AY$605,MATCH($F35*12,'Forecast (By Month)'!$F$3:$F$605,0),MATCH(Z$3,'Forecast (By Month)'!$F$3:$AA$3,0)),"-")</f>
        <v>-</v>
      </c>
      <c r="AA35" s="31" t="str">
        <f>IF($F35&lt;=$C$16,INDEX('Forecast (By Month)'!$F$3:$AY$605,MATCH($F35*12,'Forecast (By Month)'!$F$3:$F$605,0),MATCH(AA$3,'Forecast (By Month)'!$F$3:$AA$3,0)),"-")</f>
        <v>-</v>
      </c>
      <c r="AD35" s="12" t="str">
        <f t="shared" si="6"/>
        <v>-</v>
      </c>
      <c r="AE35" s="8" t="str">
        <f t="shared" si="7"/>
        <v>-</v>
      </c>
      <c r="AF35" s="8" t="str">
        <f>IF($AD35&lt;=$C$25,AE35-$C$7+SUMIFS('Mortgage Calculators (By Month)'!$K$23:$K$622,'Mortgage Calculators (By Month)'!$I$23:$I$622,"&lt;="&amp;AD35*12),"-")</f>
        <v>-</v>
      </c>
      <c r="AG35" s="8" t="str">
        <f t="shared" si="8"/>
        <v>-</v>
      </c>
      <c r="AH35" s="8" t="str">
        <f>IF($AD35&lt;=$C$25,SUMIFS('Forecast (By Month)'!$AH$4:$AH$605,'Forecast (By Month)'!$AD$4:$AD$605,"&lt;="&amp;AD35*12,'Forecast (By Month)'!$AD$4:$AD$605,"&gt;"&amp;AD34*12),"-")</f>
        <v>-</v>
      </c>
      <c r="AI35" s="8" t="str">
        <f>IF($AD35&lt;=$C$25,SUMIFS('Forecast (By Month)'!$AI$4:$AI$605,'Forecast (By Month)'!$AD$4:$AD$605,"&lt;="&amp;AD35*12,'Forecast (By Month)'!$AD$4:$AD$605,"&gt;"&amp;AD34*12),"-")</f>
        <v>-</v>
      </c>
      <c r="AJ35" s="8" t="str">
        <f t="shared" si="9"/>
        <v>-</v>
      </c>
      <c r="AK35" s="8" t="str">
        <f>IF($AD35&lt;=$C$25,SUMIFS('Forecast (By Month)'!$AK$4:$AK$605,'Forecast (By Month)'!$AD$4:$AD$605,"&lt;="&amp;AD35*12,'Forecast (By Month)'!$AD$4:$AD$605,"&gt;"&amp;AD34*12),"-")</f>
        <v>-</v>
      </c>
      <c r="AL35" s="8" t="str">
        <f>IF($AD35&lt;=$C$25,SUMIFS('Forecast (By Month)'!$AL$4:$AL$605,'Forecast (By Month)'!$AD$4:$AD$605,"&lt;="&amp;AD35*12,'Forecast (By Month)'!$AD$4:$AD$605,"&gt;"&amp;AD34*12),"-")</f>
        <v>-</v>
      </c>
      <c r="AM35" s="8" t="str">
        <f>IF($AD35&lt;=$C$25,SUMIFS('Forecast (By Month)'!$AM$4:$AM$605,'Forecast (By Month)'!$AD$4:$AD$605,"&lt;="&amp;AD35*12,'Forecast (By Month)'!$AD$4:$AD$605,"&gt;"&amp;AD34*12),"-")</f>
        <v>-</v>
      </c>
      <c r="AN35" s="8" t="str">
        <f>IF($AD35&lt;=$C$25,SUMIFS('Forecast (By Month)'!$AN$4:$AN$605,'Forecast (By Month)'!$AD$4:$AD$605,"&lt;="&amp;AD35*12,'Forecast (By Month)'!$AD$4:$AD$605,"&gt;"&amp;AD34*12),"-")</f>
        <v>-</v>
      </c>
      <c r="AO35" s="8" t="str">
        <f>IF($AD35&lt;=$C$25,SUMIFS('Forecast (By Month)'!$AO$4:$AO$605,'Forecast (By Month)'!$AD$4:$AD$605,"&lt;="&amp;AD35*12,'Forecast (By Month)'!$AD$4:$AD$605,"&gt;"&amp;AD34*12),"-")</f>
        <v>-</v>
      </c>
      <c r="AP35" s="8" t="str">
        <f>IF($AD35&lt;=$C$25,SUMIFS('Forecast (By Month)'!$AP$4:$AP$605,'Forecast (By Month)'!$AD$4:$AD$605,"&lt;="&amp;AD35*12,'Forecast (By Month)'!$AD$4:$AD$605,"&gt;"&amp;AD34*12),"-")</f>
        <v>-</v>
      </c>
      <c r="AQ35" s="8" t="str">
        <f t="shared" si="10"/>
        <v>-</v>
      </c>
      <c r="AR35" s="8" t="str">
        <f t="shared" si="11"/>
        <v>-</v>
      </c>
      <c r="AS35" s="8" t="str">
        <f>IF($AD35&lt;=$C$25,SUM(AR$5:AR35),"-")</f>
        <v>-</v>
      </c>
      <c r="AT35" s="8" t="str">
        <f>IF($AD35&lt;=$C$25,INDEX('Forecast (By Month)'!$AD$3:$AY$605,MATCH($AD35*12,'Forecast (By Month)'!$AD$3:$AD$605,0),MATCH(AT$3,'Forecast (By Month)'!$AD$3:$AY$3,0)),"-")</f>
        <v>-</v>
      </c>
      <c r="AU35" s="29" t="str">
        <f>IF($AD35&lt;=$C$25,INDEX('Forecast (By Month)'!$AD$3:$AY$605,MATCH($AD35*12,'Forecast (By Month)'!$AD$3:$AD$605,0),MATCH(AU$3,'Forecast (By Month)'!$AD$3:$AY$3,0)),"-")</f>
        <v>-</v>
      </c>
      <c r="AV35" s="29" t="str">
        <f>IF($AD35&lt;=$C$25,INDEX('Forecast (By Month)'!$AD$3:$AY$605,MATCH($AD35*12,'Forecast (By Month)'!$AD$3:$AD$605,0),MATCH(AV$3,'Forecast (By Month)'!$AD$3:$AY$3,0)),"-")</f>
        <v>-</v>
      </c>
      <c r="AW35" s="8" t="str">
        <f>IF($AD35&lt;=$C$25,INDEX('Forecast (By Month)'!$AD$3:$AY$605,MATCH($AD35*12,'Forecast (By Month)'!$AD$3:$AD$605,0),MATCH(AW$3,'Forecast (By Month)'!$AD$3:$AY$3,0)),"-")</f>
        <v>-</v>
      </c>
      <c r="AX35" s="29" t="str">
        <f>IF($AD35&lt;=$C$25,INDEX('Forecast (By Month)'!$AD$3:$AY$605,MATCH($AD35*12,'Forecast (By Month)'!$AD$3:$AD$605,0),MATCH(AX$3,'Forecast (By Month)'!$AD$3:$AY$3,0)),"-")</f>
        <v>-</v>
      </c>
      <c r="AY35" s="31" t="str">
        <f>IF($AD35&lt;=$C$25,INDEX('Forecast (By Month)'!$AD$3:$AY$605,MATCH($AD35*12,'Forecast (By Month)'!$AD$3:$AD$605,0),MATCH(AY$3,'Forecast (By Month)'!$AD$3:$AY$3,0)),"-")</f>
        <v>-</v>
      </c>
    </row>
    <row r="36" spans="2:51" x14ac:dyDescent="0.35">
      <c r="B36" t="s">
        <v>158</v>
      </c>
      <c r="C36" s="3">
        <f>Inputs!K55</f>
        <v>0</v>
      </c>
      <c r="F36" s="12" t="str">
        <f t="shared" si="1"/>
        <v>-</v>
      </c>
      <c r="G36" s="8" t="str">
        <f t="shared" si="2"/>
        <v>-</v>
      </c>
      <c r="H36" s="8" t="str">
        <f>IF($F36&lt;=$C$16,G36-$C$7+SUMIFS('Mortgage Calculators (By Month)'!$D$23:$D$622,'Mortgage Calculators (By Month)'!$B$23:$B$622,"&lt;="&amp;F36*12),"-")</f>
        <v>-</v>
      </c>
      <c r="I36" s="8" t="str">
        <f t="shared" ref="I36:I55" si="12">IF($F36&lt;=$C$16,$C$9*12*(1+$C$33)^(F36-1),"-")</f>
        <v>-</v>
      </c>
      <c r="J36" s="8" t="str">
        <f>IF($F36&lt;=$C$16,SUMIFS('Forecast (By Month)'!$J$4:$J$605,'Forecast (By Month)'!$F$4:$F$605,"&lt;="&amp;F36*12,'Forecast (By Month)'!$F$4:$F$605,"&gt;"&amp;F35*12),"-")</f>
        <v>-</v>
      </c>
      <c r="K36" s="8" t="str">
        <f>IF($F36&lt;=$C$16,SUMIFS('Forecast (By Month)'!$K$4:$K$605,'Forecast (By Month)'!$F$4:$F$605,"&lt;="&amp;F36*12,'Forecast (By Month)'!$F$4:$F$605,"&gt;"&amp;F35*12),"-")</f>
        <v>-</v>
      </c>
      <c r="L36" s="8" t="str">
        <f t="shared" ref="L36:L55" si="13">IF($F36&lt;=$C$16,SUM(J36:K36),"-")</f>
        <v>-</v>
      </c>
      <c r="M36" s="8" t="str">
        <f>IF($F36&lt;=$C$16,SUMIFS('Forecast (By Month)'!$M$4:$M$605,'Forecast (By Month)'!$F$4:$F$605,"&lt;="&amp;F36*12,'Forecast (By Month)'!$F$4:$F$605,"&gt;"&amp;F35*12),"-")</f>
        <v>-</v>
      </c>
      <c r="N36" s="8" t="str">
        <f>IF($F36&lt;=$C$16,SUMIFS('Forecast (By Month)'!$N$4:$N$605,'Forecast (By Month)'!$F$4:$F$605,"&lt;="&amp;F36*12,'Forecast (By Month)'!$F$4:$F$605,"&gt;"&amp;F35*12),"-")</f>
        <v>-</v>
      </c>
      <c r="O36" s="8" t="str">
        <f>IF($F36&lt;=$C$16,SUMIFS('Forecast (By Month)'!$O$4:$O$605,'Forecast (By Month)'!$F$4:$F$605,"&lt;="&amp;F36*12,'Forecast (By Month)'!$F$4:$F$605,"&gt;"&amp;F35*12),"-")</f>
        <v>-</v>
      </c>
      <c r="P36" s="8" t="str">
        <f>IF($F36&lt;=$C$16,SUMIFS('Forecast (By Month)'!$P$4:$P$605,'Forecast (By Month)'!$F$4:$F$605,"&lt;="&amp;F36*12,'Forecast (By Month)'!$F$4:$F$605,"&gt;"&amp;F35*12),"-")</f>
        <v>-</v>
      </c>
      <c r="Q36" s="8" t="str">
        <f>IF($F36&lt;=$C$16,SUMIFS('Forecast (By Month)'!$Q$4:$Q$605,'Forecast (By Month)'!$F$4:$F$605,"&lt;="&amp;F36*12,'Forecast (By Month)'!$F$4:$F$605,"&gt;"&amp;F35*12),"-")</f>
        <v>-</v>
      </c>
      <c r="R36" s="8" t="str">
        <f>IF($F36&lt;=$C$16,SUMIFS('Forecast (By Month)'!$R$4:$R$605,'Forecast (By Month)'!$F$4:$F$605,"&lt;="&amp;F36*12,'Forecast (By Month)'!$F$4:$F$605,"&gt;"&amp;F35*12),"-")</f>
        <v>-</v>
      </c>
      <c r="S36" s="8" t="str">
        <f t="shared" ref="S36:S55" si="14">IF($F36&lt;=$C$16,(I36-Q36)*$C$35,"-")</f>
        <v>-</v>
      </c>
      <c r="T36" s="8" t="str">
        <f t="shared" ref="T36:T55" si="15">IF($F36&lt;=$C$16,R36-S36,"-")</f>
        <v>-</v>
      </c>
      <c r="U36" s="8" t="str">
        <f>IF($F36&lt;=$C$16,SUM(T$5:T36),"-")</f>
        <v>-</v>
      </c>
      <c r="V36" s="8" t="str">
        <f>IF($F36&lt;=$C$16,INDEX('Forecast (By Month)'!$F$3:$AY$605,MATCH($F36*12,'Forecast (By Month)'!$F$3:$F$605,0),MATCH(V$3,'Forecast (By Month)'!$F$3:$AA$3,0)),"-")</f>
        <v>-</v>
      </c>
      <c r="W36" s="29" t="str">
        <f>IF($F36&lt;=$C$16,INDEX('Forecast (By Month)'!$F$3:$AY$605,MATCH($F36*12,'Forecast (By Month)'!$F$3:$F$605,0),MATCH(W$3,'Forecast (By Month)'!$F$3:$AA$3,0)),"-")</f>
        <v>-</v>
      </c>
      <c r="X36" s="29" t="str">
        <f>IF($F36&lt;=$C$16,INDEX('Forecast (By Month)'!$F$3:$AY$605,MATCH($F36*12,'Forecast (By Month)'!$F$3:$F$605,0),MATCH(X$3,'Forecast (By Month)'!$F$3:$AA$3,0)),"-")</f>
        <v>-</v>
      </c>
      <c r="Y36" s="8" t="str">
        <f>IF($F36&lt;=$C$16,INDEX('Forecast (By Month)'!$F$3:$AY$605,MATCH($F36*12,'Forecast (By Month)'!$F$3:$F$605,0),MATCH(Y$3,'Forecast (By Month)'!$F$3:$AA$3,0)),"-")</f>
        <v>-</v>
      </c>
      <c r="Z36" s="29" t="str">
        <f>IF($F36&lt;=$C$16,INDEX('Forecast (By Month)'!$F$3:$AY$605,MATCH($F36*12,'Forecast (By Month)'!$F$3:$F$605,0),MATCH(Z$3,'Forecast (By Month)'!$F$3:$AA$3,0)),"-")</f>
        <v>-</v>
      </c>
      <c r="AA36" s="31" t="str">
        <f>IF($F36&lt;=$C$16,INDEX('Forecast (By Month)'!$F$3:$AY$605,MATCH($F36*12,'Forecast (By Month)'!$F$3:$F$605,0),MATCH(AA$3,'Forecast (By Month)'!$F$3:$AA$3,0)),"-")</f>
        <v>-</v>
      </c>
      <c r="AD36" s="12" t="str">
        <f t="shared" si="6"/>
        <v>-</v>
      </c>
      <c r="AE36" s="8" t="str">
        <f t="shared" si="7"/>
        <v>-</v>
      </c>
      <c r="AF36" s="8" t="str">
        <f>IF($AD36&lt;=$C$25,AE36-$C$7+SUMIFS('Mortgage Calculators (By Month)'!$K$23:$K$622,'Mortgage Calculators (By Month)'!$I$23:$I$622,"&lt;="&amp;AD36*12),"-")</f>
        <v>-</v>
      </c>
      <c r="AG36" s="8" t="str">
        <f t="shared" ref="AG36:AG55" si="16">IF($AD36&lt;=$C$25,$C$9*12*(1+$C$33)^(AD36-1),"-")</f>
        <v>-</v>
      </c>
      <c r="AH36" s="8" t="str">
        <f>IF($AD36&lt;=$C$25,SUMIFS('Forecast (By Month)'!$AH$4:$AH$605,'Forecast (By Month)'!$AD$4:$AD$605,"&lt;="&amp;AD36*12,'Forecast (By Month)'!$AD$4:$AD$605,"&gt;"&amp;AD35*12),"-")</f>
        <v>-</v>
      </c>
      <c r="AI36" s="8" t="str">
        <f>IF($AD36&lt;=$C$25,SUMIFS('Forecast (By Month)'!$AI$4:$AI$605,'Forecast (By Month)'!$AD$4:$AD$605,"&lt;="&amp;AD36*12,'Forecast (By Month)'!$AD$4:$AD$605,"&gt;"&amp;AD35*12),"-")</f>
        <v>-</v>
      </c>
      <c r="AJ36" s="8" t="str">
        <f t="shared" ref="AJ36:AJ55" si="17">IF($AD36&lt;=$C$25,SUM(AH36:AI36),"-")</f>
        <v>-</v>
      </c>
      <c r="AK36" s="8" t="str">
        <f>IF($AD36&lt;=$C$25,SUMIFS('Forecast (By Month)'!$AK$4:$AK$605,'Forecast (By Month)'!$AD$4:$AD$605,"&lt;="&amp;AD36*12,'Forecast (By Month)'!$AD$4:$AD$605,"&gt;"&amp;AD35*12),"-")</f>
        <v>-</v>
      </c>
      <c r="AL36" s="8" t="str">
        <f>IF($AD36&lt;=$C$25,SUMIFS('Forecast (By Month)'!$AL$4:$AL$605,'Forecast (By Month)'!$AD$4:$AD$605,"&lt;="&amp;AD36*12,'Forecast (By Month)'!$AD$4:$AD$605,"&gt;"&amp;AD35*12),"-")</f>
        <v>-</v>
      </c>
      <c r="AM36" s="8" t="str">
        <f>IF($AD36&lt;=$C$25,SUMIFS('Forecast (By Month)'!$AM$4:$AM$605,'Forecast (By Month)'!$AD$4:$AD$605,"&lt;="&amp;AD36*12,'Forecast (By Month)'!$AD$4:$AD$605,"&gt;"&amp;AD35*12),"-")</f>
        <v>-</v>
      </c>
      <c r="AN36" s="8" t="str">
        <f>IF($AD36&lt;=$C$25,SUMIFS('Forecast (By Month)'!$AN$4:$AN$605,'Forecast (By Month)'!$AD$4:$AD$605,"&lt;="&amp;AD36*12,'Forecast (By Month)'!$AD$4:$AD$605,"&gt;"&amp;AD35*12),"-")</f>
        <v>-</v>
      </c>
      <c r="AO36" s="8" t="str">
        <f>IF($AD36&lt;=$C$25,SUMIFS('Forecast (By Month)'!$AO$4:$AO$605,'Forecast (By Month)'!$AD$4:$AD$605,"&lt;="&amp;AD36*12,'Forecast (By Month)'!$AD$4:$AD$605,"&gt;"&amp;AD35*12),"-")</f>
        <v>-</v>
      </c>
      <c r="AP36" s="8" t="str">
        <f>IF($AD36&lt;=$C$25,SUMIFS('Forecast (By Month)'!$AP$4:$AP$605,'Forecast (By Month)'!$AD$4:$AD$605,"&lt;="&amp;AD36*12,'Forecast (By Month)'!$AD$4:$AD$605,"&gt;"&amp;AD35*12),"-")</f>
        <v>-</v>
      </c>
      <c r="AQ36" s="8" t="str">
        <f t="shared" ref="AQ36:AQ55" si="18">IF($AD36&lt;=$C$25,(AG36-AO36)*$C$35,"-")</f>
        <v>-</v>
      </c>
      <c r="AR36" s="8" t="str">
        <f t="shared" ref="AR36:AR55" si="19">IF($AD36&lt;=$C$25,AP36-AQ36,"-")</f>
        <v>-</v>
      </c>
      <c r="AS36" s="8" t="str">
        <f>IF($AD36&lt;=$C$25,SUM(AR$5:AR36),"-")</f>
        <v>-</v>
      </c>
      <c r="AT36" s="8" t="str">
        <f>IF($AD36&lt;=$C$25,INDEX('Forecast (By Month)'!$AD$3:$AY$605,MATCH($AD36*12,'Forecast (By Month)'!$AD$3:$AD$605,0),MATCH(AT$3,'Forecast (By Month)'!$AD$3:$AY$3,0)),"-")</f>
        <v>-</v>
      </c>
      <c r="AU36" s="29" t="str">
        <f>IF($AD36&lt;=$C$25,INDEX('Forecast (By Month)'!$AD$3:$AY$605,MATCH($AD36*12,'Forecast (By Month)'!$AD$3:$AD$605,0),MATCH(AU$3,'Forecast (By Month)'!$AD$3:$AY$3,0)),"-")</f>
        <v>-</v>
      </c>
      <c r="AV36" s="29" t="str">
        <f>IF($AD36&lt;=$C$25,INDEX('Forecast (By Month)'!$AD$3:$AY$605,MATCH($AD36*12,'Forecast (By Month)'!$AD$3:$AD$605,0),MATCH(AV$3,'Forecast (By Month)'!$AD$3:$AY$3,0)),"-")</f>
        <v>-</v>
      </c>
      <c r="AW36" s="8" t="str">
        <f>IF($AD36&lt;=$C$25,INDEX('Forecast (By Month)'!$AD$3:$AY$605,MATCH($AD36*12,'Forecast (By Month)'!$AD$3:$AD$605,0),MATCH(AW$3,'Forecast (By Month)'!$AD$3:$AY$3,0)),"-")</f>
        <v>-</v>
      </c>
      <c r="AX36" s="29" t="str">
        <f>IF($AD36&lt;=$C$25,INDEX('Forecast (By Month)'!$AD$3:$AY$605,MATCH($AD36*12,'Forecast (By Month)'!$AD$3:$AD$605,0),MATCH(AX$3,'Forecast (By Month)'!$AD$3:$AY$3,0)),"-")</f>
        <v>-</v>
      </c>
      <c r="AY36" s="31" t="str">
        <f>IF($AD36&lt;=$C$25,INDEX('Forecast (By Month)'!$AD$3:$AY$605,MATCH($AD36*12,'Forecast (By Month)'!$AD$3:$AD$605,0),MATCH(AY$3,'Forecast (By Month)'!$AD$3:$AY$3,0)),"-")</f>
        <v>-</v>
      </c>
    </row>
    <row r="37" spans="2:51" x14ac:dyDescent="0.35">
      <c r="B37" t="s">
        <v>157</v>
      </c>
      <c r="C37" s="139">
        <f>Inputs!K56</f>
        <v>0</v>
      </c>
      <c r="F37" s="12" t="str">
        <f t="shared" si="1"/>
        <v>-</v>
      </c>
      <c r="G37" s="8" t="str">
        <f t="shared" si="2"/>
        <v>-</v>
      </c>
      <c r="H37" s="8" t="str">
        <f>IF($F37&lt;=$C$16,G37-$C$7+SUMIFS('Mortgage Calculators (By Month)'!$D$23:$D$622,'Mortgage Calculators (By Month)'!$B$23:$B$622,"&lt;="&amp;F37*12),"-")</f>
        <v>-</v>
      </c>
      <c r="I37" s="8" t="str">
        <f t="shared" si="12"/>
        <v>-</v>
      </c>
      <c r="J37" s="8" t="str">
        <f>IF($F37&lt;=$C$16,SUMIFS('Forecast (By Month)'!$J$4:$J$605,'Forecast (By Month)'!$F$4:$F$605,"&lt;="&amp;F37*12,'Forecast (By Month)'!$F$4:$F$605,"&gt;"&amp;F36*12),"-")</f>
        <v>-</v>
      </c>
      <c r="K37" s="8" t="str">
        <f>IF($F37&lt;=$C$16,SUMIFS('Forecast (By Month)'!$K$4:$K$605,'Forecast (By Month)'!$F$4:$F$605,"&lt;="&amp;F37*12,'Forecast (By Month)'!$F$4:$F$605,"&gt;"&amp;F36*12),"-")</f>
        <v>-</v>
      </c>
      <c r="L37" s="8" t="str">
        <f t="shared" si="13"/>
        <v>-</v>
      </c>
      <c r="M37" s="8" t="str">
        <f>IF($F37&lt;=$C$16,SUMIFS('Forecast (By Month)'!$M$4:$M$605,'Forecast (By Month)'!$F$4:$F$605,"&lt;="&amp;F37*12,'Forecast (By Month)'!$F$4:$F$605,"&gt;"&amp;F36*12),"-")</f>
        <v>-</v>
      </c>
      <c r="N37" s="8" t="str">
        <f>IF($F37&lt;=$C$16,SUMIFS('Forecast (By Month)'!$N$4:$N$605,'Forecast (By Month)'!$F$4:$F$605,"&lt;="&amp;F37*12,'Forecast (By Month)'!$F$4:$F$605,"&gt;"&amp;F36*12),"-")</f>
        <v>-</v>
      </c>
      <c r="O37" s="8" t="str">
        <f>IF($F37&lt;=$C$16,SUMIFS('Forecast (By Month)'!$O$4:$O$605,'Forecast (By Month)'!$F$4:$F$605,"&lt;="&amp;F37*12,'Forecast (By Month)'!$F$4:$F$605,"&gt;"&amp;F36*12),"-")</f>
        <v>-</v>
      </c>
      <c r="P37" s="8" t="str">
        <f>IF($F37&lt;=$C$16,SUMIFS('Forecast (By Month)'!$P$4:$P$605,'Forecast (By Month)'!$F$4:$F$605,"&lt;="&amp;F37*12,'Forecast (By Month)'!$F$4:$F$605,"&gt;"&amp;F36*12),"-")</f>
        <v>-</v>
      </c>
      <c r="Q37" s="8" t="str">
        <f>IF($F37&lt;=$C$16,SUMIFS('Forecast (By Month)'!$Q$4:$Q$605,'Forecast (By Month)'!$F$4:$F$605,"&lt;="&amp;F37*12,'Forecast (By Month)'!$F$4:$F$605,"&gt;"&amp;F36*12),"-")</f>
        <v>-</v>
      </c>
      <c r="R37" s="8" t="str">
        <f>IF($F37&lt;=$C$16,SUMIFS('Forecast (By Month)'!$R$4:$R$605,'Forecast (By Month)'!$F$4:$F$605,"&lt;="&amp;F37*12,'Forecast (By Month)'!$F$4:$F$605,"&gt;"&amp;F36*12),"-")</f>
        <v>-</v>
      </c>
      <c r="S37" s="8" t="str">
        <f t="shared" si="14"/>
        <v>-</v>
      </c>
      <c r="T37" s="8" t="str">
        <f t="shared" si="15"/>
        <v>-</v>
      </c>
      <c r="U37" s="8" t="str">
        <f>IF($F37&lt;=$C$16,SUM(T$5:T37),"-")</f>
        <v>-</v>
      </c>
      <c r="V37" s="8" t="str">
        <f>IF($F37&lt;=$C$16,INDEX('Forecast (By Month)'!$F$3:$AY$605,MATCH($F37*12,'Forecast (By Month)'!$F$3:$F$605,0),MATCH(V$3,'Forecast (By Month)'!$F$3:$AA$3,0)),"-")</f>
        <v>-</v>
      </c>
      <c r="W37" s="29" t="str">
        <f>IF($F37&lt;=$C$16,INDEX('Forecast (By Month)'!$F$3:$AY$605,MATCH($F37*12,'Forecast (By Month)'!$F$3:$F$605,0),MATCH(W$3,'Forecast (By Month)'!$F$3:$AA$3,0)),"-")</f>
        <v>-</v>
      </c>
      <c r="X37" s="29" t="str">
        <f>IF($F37&lt;=$C$16,INDEX('Forecast (By Month)'!$F$3:$AY$605,MATCH($F37*12,'Forecast (By Month)'!$F$3:$F$605,0),MATCH(X$3,'Forecast (By Month)'!$F$3:$AA$3,0)),"-")</f>
        <v>-</v>
      </c>
      <c r="Y37" s="8" t="str">
        <f>IF($F37&lt;=$C$16,INDEX('Forecast (By Month)'!$F$3:$AY$605,MATCH($F37*12,'Forecast (By Month)'!$F$3:$F$605,0),MATCH(Y$3,'Forecast (By Month)'!$F$3:$AA$3,0)),"-")</f>
        <v>-</v>
      </c>
      <c r="Z37" s="29" t="str">
        <f>IF($F37&lt;=$C$16,INDEX('Forecast (By Month)'!$F$3:$AY$605,MATCH($F37*12,'Forecast (By Month)'!$F$3:$F$605,0),MATCH(Z$3,'Forecast (By Month)'!$F$3:$AA$3,0)),"-")</f>
        <v>-</v>
      </c>
      <c r="AA37" s="31" t="str">
        <f>IF($F37&lt;=$C$16,INDEX('Forecast (By Month)'!$F$3:$AY$605,MATCH($F37*12,'Forecast (By Month)'!$F$3:$F$605,0),MATCH(AA$3,'Forecast (By Month)'!$F$3:$AA$3,0)),"-")</f>
        <v>-</v>
      </c>
      <c r="AD37" s="12" t="str">
        <f t="shared" si="6"/>
        <v>-</v>
      </c>
      <c r="AE37" s="8" t="str">
        <f t="shared" si="7"/>
        <v>-</v>
      </c>
      <c r="AF37" s="8" t="str">
        <f>IF($AD37&lt;=$C$25,AE37-$C$7+SUMIFS('Mortgage Calculators (By Month)'!$K$23:$K$622,'Mortgage Calculators (By Month)'!$I$23:$I$622,"&lt;="&amp;AD37*12),"-")</f>
        <v>-</v>
      </c>
      <c r="AG37" s="8" t="str">
        <f t="shared" si="16"/>
        <v>-</v>
      </c>
      <c r="AH37" s="8" t="str">
        <f>IF($AD37&lt;=$C$25,SUMIFS('Forecast (By Month)'!$AH$4:$AH$605,'Forecast (By Month)'!$AD$4:$AD$605,"&lt;="&amp;AD37*12,'Forecast (By Month)'!$AD$4:$AD$605,"&gt;"&amp;AD36*12),"-")</f>
        <v>-</v>
      </c>
      <c r="AI37" s="8" t="str">
        <f>IF($AD37&lt;=$C$25,SUMIFS('Forecast (By Month)'!$AI$4:$AI$605,'Forecast (By Month)'!$AD$4:$AD$605,"&lt;="&amp;AD37*12,'Forecast (By Month)'!$AD$4:$AD$605,"&gt;"&amp;AD36*12),"-")</f>
        <v>-</v>
      </c>
      <c r="AJ37" s="8" t="str">
        <f t="shared" si="17"/>
        <v>-</v>
      </c>
      <c r="AK37" s="8" t="str">
        <f>IF($AD37&lt;=$C$25,SUMIFS('Forecast (By Month)'!$AK$4:$AK$605,'Forecast (By Month)'!$AD$4:$AD$605,"&lt;="&amp;AD37*12,'Forecast (By Month)'!$AD$4:$AD$605,"&gt;"&amp;AD36*12),"-")</f>
        <v>-</v>
      </c>
      <c r="AL37" s="8" t="str">
        <f>IF($AD37&lt;=$C$25,SUMIFS('Forecast (By Month)'!$AL$4:$AL$605,'Forecast (By Month)'!$AD$4:$AD$605,"&lt;="&amp;AD37*12,'Forecast (By Month)'!$AD$4:$AD$605,"&gt;"&amp;AD36*12),"-")</f>
        <v>-</v>
      </c>
      <c r="AM37" s="8" t="str">
        <f>IF($AD37&lt;=$C$25,SUMIFS('Forecast (By Month)'!$AM$4:$AM$605,'Forecast (By Month)'!$AD$4:$AD$605,"&lt;="&amp;AD37*12,'Forecast (By Month)'!$AD$4:$AD$605,"&gt;"&amp;AD36*12),"-")</f>
        <v>-</v>
      </c>
      <c r="AN37" s="8" t="str">
        <f>IF($AD37&lt;=$C$25,SUMIFS('Forecast (By Month)'!$AN$4:$AN$605,'Forecast (By Month)'!$AD$4:$AD$605,"&lt;="&amp;AD37*12,'Forecast (By Month)'!$AD$4:$AD$605,"&gt;"&amp;AD36*12),"-")</f>
        <v>-</v>
      </c>
      <c r="AO37" s="8" t="str">
        <f>IF($AD37&lt;=$C$25,SUMIFS('Forecast (By Month)'!$AO$4:$AO$605,'Forecast (By Month)'!$AD$4:$AD$605,"&lt;="&amp;AD37*12,'Forecast (By Month)'!$AD$4:$AD$605,"&gt;"&amp;AD36*12),"-")</f>
        <v>-</v>
      </c>
      <c r="AP37" s="8" t="str">
        <f>IF($AD37&lt;=$C$25,SUMIFS('Forecast (By Month)'!$AP$4:$AP$605,'Forecast (By Month)'!$AD$4:$AD$605,"&lt;="&amp;AD37*12,'Forecast (By Month)'!$AD$4:$AD$605,"&gt;"&amp;AD36*12),"-")</f>
        <v>-</v>
      </c>
      <c r="AQ37" s="8" t="str">
        <f t="shared" si="18"/>
        <v>-</v>
      </c>
      <c r="AR37" s="8" t="str">
        <f t="shared" si="19"/>
        <v>-</v>
      </c>
      <c r="AS37" s="8" t="str">
        <f>IF($AD37&lt;=$C$25,SUM(AR$5:AR37),"-")</f>
        <v>-</v>
      </c>
      <c r="AT37" s="8" t="str">
        <f>IF($AD37&lt;=$C$25,INDEX('Forecast (By Month)'!$AD$3:$AY$605,MATCH($AD37*12,'Forecast (By Month)'!$AD$3:$AD$605,0),MATCH(AT$3,'Forecast (By Month)'!$AD$3:$AY$3,0)),"-")</f>
        <v>-</v>
      </c>
      <c r="AU37" s="29" t="str">
        <f>IF($AD37&lt;=$C$25,INDEX('Forecast (By Month)'!$AD$3:$AY$605,MATCH($AD37*12,'Forecast (By Month)'!$AD$3:$AD$605,0),MATCH(AU$3,'Forecast (By Month)'!$AD$3:$AY$3,0)),"-")</f>
        <v>-</v>
      </c>
      <c r="AV37" s="29" t="str">
        <f>IF($AD37&lt;=$C$25,INDEX('Forecast (By Month)'!$AD$3:$AY$605,MATCH($AD37*12,'Forecast (By Month)'!$AD$3:$AD$605,0),MATCH(AV$3,'Forecast (By Month)'!$AD$3:$AY$3,0)),"-")</f>
        <v>-</v>
      </c>
      <c r="AW37" s="8" t="str">
        <f>IF($AD37&lt;=$C$25,INDEX('Forecast (By Month)'!$AD$3:$AY$605,MATCH($AD37*12,'Forecast (By Month)'!$AD$3:$AD$605,0),MATCH(AW$3,'Forecast (By Month)'!$AD$3:$AY$3,0)),"-")</f>
        <v>-</v>
      </c>
      <c r="AX37" s="29" t="str">
        <f>IF($AD37&lt;=$C$25,INDEX('Forecast (By Month)'!$AD$3:$AY$605,MATCH($AD37*12,'Forecast (By Month)'!$AD$3:$AD$605,0),MATCH(AX$3,'Forecast (By Month)'!$AD$3:$AY$3,0)),"-")</f>
        <v>-</v>
      </c>
      <c r="AY37" s="31" t="str">
        <f>IF($AD37&lt;=$C$25,INDEX('Forecast (By Month)'!$AD$3:$AY$605,MATCH($AD37*12,'Forecast (By Month)'!$AD$3:$AD$605,0),MATCH(AY$3,'Forecast (By Month)'!$AD$3:$AY$3,0)),"-")</f>
        <v>-</v>
      </c>
    </row>
    <row r="38" spans="2:51" x14ac:dyDescent="0.35">
      <c r="B38" t="s">
        <v>151</v>
      </c>
      <c r="C38" s="56">
        <f>Inputs!K57</f>
        <v>0</v>
      </c>
      <c r="F38" s="12" t="str">
        <f t="shared" si="1"/>
        <v>-</v>
      </c>
      <c r="G38" s="8" t="str">
        <f t="shared" si="2"/>
        <v>-</v>
      </c>
      <c r="H38" s="8" t="str">
        <f>IF($F38&lt;=$C$16,G38-$C$7+SUMIFS('Mortgage Calculators (By Month)'!$D$23:$D$622,'Mortgage Calculators (By Month)'!$B$23:$B$622,"&lt;="&amp;F38*12),"-")</f>
        <v>-</v>
      </c>
      <c r="I38" s="8" t="str">
        <f t="shared" si="12"/>
        <v>-</v>
      </c>
      <c r="J38" s="8" t="str">
        <f>IF($F38&lt;=$C$16,SUMIFS('Forecast (By Month)'!$J$4:$J$605,'Forecast (By Month)'!$F$4:$F$605,"&lt;="&amp;F38*12,'Forecast (By Month)'!$F$4:$F$605,"&gt;"&amp;F37*12),"-")</f>
        <v>-</v>
      </c>
      <c r="K38" s="8" t="str">
        <f>IF($F38&lt;=$C$16,SUMIFS('Forecast (By Month)'!$K$4:$K$605,'Forecast (By Month)'!$F$4:$F$605,"&lt;="&amp;F38*12,'Forecast (By Month)'!$F$4:$F$605,"&gt;"&amp;F37*12),"-")</f>
        <v>-</v>
      </c>
      <c r="L38" s="8" t="str">
        <f t="shared" si="13"/>
        <v>-</v>
      </c>
      <c r="M38" s="8" t="str">
        <f>IF($F38&lt;=$C$16,SUMIFS('Forecast (By Month)'!$M$4:$M$605,'Forecast (By Month)'!$F$4:$F$605,"&lt;="&amp;F38*12,'Forecast (By Month)'!$F$4:$F$605,"&gt;"&amp;F37*12),"-")</f>
        <v>-</v>
      </c>
      <c r="N38" s="8" t="str">
        <f>IF($F38&lt;=$C$16,SUMIFS('Forecast (By Month)'!$N$4:$N$605,'Forecast (By Month)'!$F$4:$F$605,"&lt;="&amp;F38*12,'Forecast (By Month)'!$F$4:$F$605,"&gt;"&amp;F37*12),"-")</f>
        <v>-</v>
      </c>
      <c r="O38" s="8" t="str">
        <f>IF($F38&lt;=$C$16,SUMIFS('Forecast (By Month)'!$O$4:$O$605,'Forecast (By Month)'!$F$4:$F$605,"&lt;="&amp;F38*12,'Forecast (By Month)'!$F$4:$F$605,"&gt;"&amp;F37*12),"-")</f>
        <v>-</v>
      </c>
      <c r="P38" s="8" t="str">
        <f>IF($F38&lt;=$C$16,SUMIFS('Forecast (By Month)'!$P$4:$P$605,'Forecast (By Month)'!$F$4:$F$605,"&lt;="&amp;F38*12,'Forecast (By Month)'!$F$4:$F$605,"&gt;"&amp;F37*12),"-")</f>
        <v>-</v>
      </c>
      <c r="Q38" s="8" t="str">
        <f>IF($F38&lt;=$C$16,SUMIFS('Forecast (By Month)'!$Q$4:$Q$605,'Forecast (By Month)'!$F$4:$F$605,"&lt;="&amp;F38*12,'Forecast (By Month)'!$F$4:$F$605,"&gt;"&amp;F37*12),"-")</f>
        <v>-</v>
      </c>
      <c r="R38" s="8" t="str">
        <f>IF($F38&lt;=$C$16,SUMIFS('Forecast (By Month)'!$R$4:$R$605,'Forecast (By Month)'!$F$4:$F$605,"&lt;="&amp;F38*12,'Forecast (By Month)'!$F$4:$F$605,"&gt;"&amp;F37*12),"-")</f>
        <v>-</v>
      </c>
      <c r="S38" s="8" t="str">
        <f t="shared" si="14"/>
        <v>-</v>
      </c>
      <c r="T38" s="8" t="str">
        <f t="shared" si="15"/>
        <v>-</v>
      </c>
      <c r="U38" s="8" t="str">
        <f>IF($F38&lt;=$C$16,SUM(T$5:T38),"-")</f>
        <v>-</v>
      </c>
      <c r="V38" s="8" t="str">
        <f>IF($F38&lt;=$C$16,INDEX('Forecast (By Month)'!$F$3:$AY$605,MATCH($F38*12,'Forecast (By Month)'!$F$3:$F$605,0),MATCH(V$3,'Forecast (By Month)'!$F$3:$AA$3,0)),"-")</f>
        <v>-</v>
      </c>
      <c r="W38" s="29" t="str">
        <f>IF($F38&lt;=$C$16,INDEX('Forecast (By Month)'!$F$3:$AY$605,MATCH($F38*12,'Forecast (By Month)'!$F$3:$F$605,0),MATCH(W$3,'Forecast (By Month)'!$F$3:$AA$3,0)),"-")</f>
        <v>-</v>
      </c>
      <c r="X38" s="29" t="str">
        <f>IF($F38&lt;=$C$16,INDEX('Forecast (By Month)'!$F$3:$AY$605,MATCH($F38*12,'Forecast (By Month)'!$F$3:$F$605,0),MATCH(X$3,'Forecast (By Month)'!$F$3:$AA$3,0)),"-")</f>
        <v>-</v>
      </c>
      <c r="Y38" s="8" t="str">
        <f>IF($F38&lt;=$C$16,INDEX('Forecast (By Month)'!$F$3:$AY$605,MATCH($F38*12,'Forecast (By Month)'!$F$3:$F$605,0),MATCH(Y$3,'Forecast (By Month)'!$F$3:$AA$3,0)),"-")</f>
        <v>-</v>
      </c>
      <c r="Z38" s="29" t="str">
        <f>IF($F38&lt;=$C$16,INDEX('Forecast (By Month)'!$F$3:$AY$605,MATCH($F38*12,'Forecast (By Month)'!$F$3:$F$605,0),MATCH(Z$3,'Forecast (By Month)'!$F$3:$AA$3,0)),"-")</f>
        <v>-</v>
      </c>
      <c r="AA38" s="31" t="str">
        <f>IF($F38&lt;=$C$16,INDEX('Forecast (By Month)'!$F$3:$AY$605,MATCH($F38*12,'Forecast (By Month)'!$F$3:$F$605,0),MATCH(AA$3,'Forecast (By Month)'!$F$3:$AA$3,0)),"-")</f>
        <v>-</v>
      </c>
      <c r="AD38" s="12" t="str">
        <f t="shared" si="6"/>
        <v>-</v>
      </c>
      <c r="AE38" s="8" t="str">
        <f t="shared" si="7"/>
        <v>-</v>
      </c>
      <c r="AF38" s="8" t="str">
        <f>IF($AD38&lt;=$C$25,AE38-$C$7+SUMIFS('Mortgage Calculators (By Month)'!$K$23:$K$622,'Mortgage Calculators (By Month)'!$I$23:$I$622,"&lt;="&amp;AD38*12),"-")</f>
        <v>-</v>
      </c>
      <c r="AG38" s="8" t="str">
        <f t="shared" si="16"/>
        <v>-</v>
      </c>
      <c r="AH38" s="8" t="str">
        <f>IF($AD38&lt;=$C$25,SUMIFS('Forecast (By Month)'!$AH$4:$AH$605,'Forecast (By Month)'!$AD$4:$AD$605,"&lt;="&amp;AD38*12,'Forecast (By Month)'!$AD$4:$AD$605,"&gt;"&amp;AD37*12),"-")</f>
        <v>-</v>
      </c>
      <c r="AI38" s="8" t="str">
        <f>IF($AD38&lt;=$C$25,SUMIFS('Forecast (By Month)'!$AI$4:$AI$605,'Forecast (By Month)'!$AD$4:$AD$605,"&lt;="&amp;AD38*12,'Forecast (By Month)'!$AD$4:$AD$605,"&gt;"&amp;AD37*12),"-")</f>
        <v>-</v>
      </c>
      <c r="AJ38" s="8" t="str">
        <f t="shared" si="17"/>
        <v>-</v>
      </c>
      <c r="AK38" s="8" t="str">
        <f>IF($AD38&lt;=$C$25,SUMIFS('Forecast (By Month)'!$AK$4:$AK$605,'Forecast (By Month)'!$AD$4:$AD$605,"&lt;="&amp;AD38*12,'Forecast (By Month)'!$AD$4:$AD$605,"&gt;"&amp;AD37*12),"-")</f>
        <v>-</v>
      </c>
      <c r="AL38" s="8" t="str">
        <f>IF($AD38&lt;=$C$25,SUMIFS('Forecast (By Month)'!$AL$4:$AL$605,'Forecast (By Month)'!$AD$4:$AD$605,"&lt;="&amp;AD38*12,'Forecast (By Month)'!$AD$4:$AD$605,"&gt;"&amp;AD37*12),"-")</f>
        <v>-</v>
      </c>
      <c r="AM38" s="8" t="str">
        <f>IF($AD38&lt;=$C$25,SUMIFS('Forecast (By Month)'!$AM$4:$AM$605,'Forecast (By Month)'!$AD$4:$AD$605,"&lt;="&amp;AD38*12,'Forecast (By Month)'!$AD$4:$AD$605,"&gt;"&amp;AD37*12),"-")</f>
        <v>-</v>
      </c>
      <c r="AN38" s="8" t="str">
        <f>IF($AD38&lt;=$C$25,SUMIFS('Forecast (By Month)'!$AN$4:$AN$605,'Forecast (By Month)'!$AD$4:$AD$605,"&lt;="&amp;AD38*12,'Forecast (By Month)'!$AD$4:$AD$605,"&gt;"&amp;AD37*12),"-")</f>
        <v>-</v>
      </c>
      <c r="AO38" s="8" t="str">
        <f>IF($AD38&lt;=$C$25,SUMIFS('Forecast (By Month)'!$AO$4:$AO$605,'Forecast (By Month)'!$AD$4:$AD$605,"&lt;="&amp;AD38*12,'Forecast (By Month)'!$AD$4:$AD$605,"&gt;"&amp;AD37*12),"-")</f>
        <v>-</v>
      </c>
      <c r="AP38" s="8" t="str">
        <f>IF($AD38&lt;=$C$25,SUMIFS('Forecast (By Month)'!$AP$4:$AP$605,'Forecast (By Month)'!$AD$4:$AD$605,"&lt;="&amp;AD38*12,'Forecast (By Month)'!$AD$4:$AD$605,"&gt;"&amp;AD37*12),"-")</f>
        <v>-</v>
      </c>
      <c r="AQ38" s="8" t="str">
        <f t="shared" si="18"/>
        <v>-</v>
      </c>
      <c r="AR38" s="8" t="str">
        <f t="shared" si="19"/>
        <v>-</v>
      </c>
      <c r="AS38" s="8" t="str">
        <f>IF($AD38&lt;=$C$25,SUM(AR$5:AR38),"-")</f>
        <v>-</v>
      </c>
      <c r="AT38" s="8" t="str">
        <f>IF($AD38&lt;=$C$25,INDEX('Forecast (By Month)'!$AD$3:$AY$605,MATCH($AD38*12,'Forecast (By Month)'!$AD$3:$AD$605,0),MATCH(AT$3,'Forecast (By Month)'!$AD$3:$AY$3,0)),"-")</f>
        <v>-</v>
      </c>
      <c r="AU38" s="29" t="str">
        <f>IF($AD38&lt;=$C$25,INDEX('Forecast (By Month)'!$AD$3:$AY$605,MATCH($AD38*12,'Forecast (By Month)'!$AD$3:$AD$605,0),MATCH(AU$3,'Forecast (By Month)'!$AD$3:$AY$3,0)),"-")</f>
        <v>-</v>
      </c>
      <c r="AV38" s="29" t="str">
        <f>IF($AD38&lt;=$C$25,INDEX('Forecast (By Month)'!$AD$3:$AY$605,MATCH($AD38*12,'Forecast (By Month)'!$AD$3:$AD$605,0),MATCH(AV$3,'Forecast (By Month)'!$AD$3:$AY$3,0)),"-")</f>
        <v>-</v>
      </c>
      <c r="AW38" s="8" t="str">
        <f>IF($AD38&lt;=$C$25,INDEX('Forecast (By Month)'!$AD$3:$AY$605,MATCH($AD38*12,'Forecast (By Month)'!$AD$3:$AD$605,0),MATCH(AW$3,'Forecast (By Month)'!$AD$3:$AY$3,0)),"-")</f>
        <v>-</v>
      </c>
      <c r="AX38" s="29" t="str">
        <f>IF($AD38&lt;=$C$25,INDEX('Forecast (By Month)'!$AD$3:$AY$605,MATCH($AD38*12,'Forecast (By Month)'!$AD$3:$AD$605,0),MATCH(AX$3,'Forecast (By Month)'!$AD$3:$AY$3,0)),"-")</f>
        <v>-</v>
      </c>
      <c r="AY38" s="31" t="str">
        <f>IF($AD38&lt;=$C$25,INDEX('Forecast (By Month)'!$AD$3:$AY$605,MATCH($AD38*12,'Forecast (By Month)'!$AD$3:$AD$605,0),MATCH(AY$3,'Forecast (By Month)'!$AD$3:$AY$3,0)),"-")</f>
        <v>-</v>
      </c>
    </row>
    <row r="39" spans="2:51" x14ac:dyDescent="0.35">
      <c r="F39" s="12" t="str">
        <f t="shared" si="1"/>
        <v>-</v>
      </c>
      <c r="G39" s="8" t="str">
        <f t="shared" si="2"/>
        <v>-</v>
      </c>
      <c r="H39" s="8" t="str">
        <f>IF($F39&lt;=$C$16,G39-$C$7+SUMIFS('Mortgage Calculators (By Month)'!$D$23:$D$622,'Mortgage Calculators (By Month)'!$B$23:$B$622,"&lt;="&amp;F39*12),"-")</f>
        <v>-</v>
      </c>
      <c r="I39" s="8" t="str">
        <f t="shared" si="12"/>
        <v>-</v>
      </c>
      <c r="J39" s="8" t="str">
        <f>IF($F39&lt;=$C$16,SUMIFS('Forecast (By Month)'!$J$4:$J$605,'Forecast (By Month)'!$F$4:$F$605,"&lt;="&amp;F39*12,'Forecast (By Month)'!$F$4:$F$605,"&gt;"&amp;F38*12),"-")</f>
        <v>-</v>
      </c>
      <c r="K39" s="8" t="str">
        <f>IF($F39&lt;=$C$16,SUMIFS('Forecast (By Month)'!$K$4:$K$605,'Forecast (By Month)'!$F$4:$F$605,"&lt;="&amp;F39*12,'Forecast (By Month)'!$F$4:$F$605,"&gt;"&amp;F38*12),"-")</f>
        <v>-</v>
      </c>
      <c r="L39" s="8" t="str">
        <f t="shared" si="13"/>
        <v>-</v>
      </c>
      <c r="M39" s="8" t="str">
        <f>IF($F39&lt;=$C$16,SUMIFS('Forecast (By Month)'!$M$4:$M$605,'Forecast (By Month)'!$F$4:$F$605,"&lt;="&amp;F39*12,'Forecast (By Month)'!$F$4:$F$605,"&gt;"&amp;F38*12),"-")</f>
        <v>-</v>
      </c>
      <c r="N39" s="8" t="str">
        <f>IF($F39&lt;=$C$16,SUMIFS('Forecast (By Month)'!$N$4:$N$605,'Forecast (By Month)'!$F$4:$F$605,"&lt;="&amp;F39*12,'Forecast (By Month)'!$F$4:$F$605,"&gt;"&amp;F38*12),"-")</f>
        <v>-</v>
      </c>
      <c r="O39" s="8" t="str">
        <f>IF($F39&lt;=$C$16,SUMIFS('Forecast (By Month)'!$O$4:$O$605,'Forecast (By Month)'!$F$4:$F$605,"&lt;="&amp;F39*12,'Forecast (By Month)'!$F$4:$F$605,"&gt;"&amp;F38*12),"-")</f>
        <v>-</v>
      </c>
      <c r="P39" s="8" t="str">
        <f>IF($F39&lt;=$C$16,SUMIFS('Forecast (By Month)'!$P$4:$P$605,'Forecast (By Month)'!$F$4:$F$605,"&lt;="&amp;F39*12,'Forecast (By Month)'!$F$4:$F$605,"&gt;"&amp;F38*12),"-")</f>
        <v>-</v>
      </c>
      <c r="Q39" s="8" t="str">
        <f>IF($F39&lt;=$C$16,SUMIFS('Forecast (By Month)'!$Q$4:$Q$605,'Forecast (By Month)'!$F$4:$F$605,"&lt;="&amp;F39*12,'Forecast (By Month)'!$F$4:$F$605,"&gt;"&amp;F38*12),"-")</f>
        <v>-</v>
      </c>
      <c r="R39" s="8" t="str">
        <f>IF($F39&lt;=$C$16,SUMIFS('Forecast (By Month)'!$R$4:$R$605,'Forecast (By Month)'!$F$4:$F$605,"&lt;="&amp;F39*12,'Forecast (By Month)'!$F$4:$F$605,"&gt;"&amp;F38*12),"-")</f>
        <v>-</v>
      </c>
      <c r="S39" s="8" t="str">
        <f t="shared" si="14"/>
        <v>-</v>
      </c>
      <c r="T39" s="8" t="str">
        <f t="shared" si="15"/>
        <v>-</v>
      </c>
      <c r="U39" s="8" t="str">
        <f>IF($F39&lt;=$C$16,SUM(T$5:T39),"-")</f>
        <v>-</v>
      </c>
      <c r="V39" s="8" t="str">
        <f>IF($F39&lt;=$C$16,INDEX('Forecast (By Month)'!$F$3:$AY$605,MATCH($F39*12,'Forecast (By Month)'!$F$3:$F$605,0),MATCH(V$3,'Forecast (By Month)'!$F$3:$AA$3,0)),"-")</f>
        <v>-</v>
      </c>
      <c r="W39" s="29" t="str">
        <f>IF($F39&lt;=$C$16,INDEX('Forecast (By Month)'!$F$3:$AY$605,MATCH($F39*12,'Forecast (By Month)'!$F$3:$F$605,0),MATCH(W$3,'Forecast (By Month)'!$F$3:$AA$3,0)),"-")</f>
        <v>-</v>
      </c>
      <c r="X39" s="29" t="str">
        <f>IF($F39&lt;=$C$16,INDEX('Forecast (By Month)'!$F$3:$AY$605,MATCH($F39*12,'Forecast (By Month)'!$F$3:$F$605,0),MATCH(X$3,'Forecast (By Month)'!$F$3:$AA$3,0)),"-")</f>
        <v>-</v>
      </c>
      <c r="Y39" s="8" t="str">
        <f>IF($F39&lt;=$C$16,INDEX('Forecast (By Month)'!$F$3:$AY$605,MATCH($F39*12,'Forecast (By Month)'!$F$3:$F$605,0),MATCH(Y$3,'Forecast (By Month)'!$F$3:$AA$3,0)),"-")</f>
        <v>-</v>
      </c>
      <c r="Z39" s="29" t="str">
        <f>IF($F39&lt;=$C$16,INDEX('Forecast (By Month)'!$F$3:$AY$605,MATCH($F39*12,'Forecast (By Month)'!$F$3:$F$605,0),MATCH(Z$3,'Forecast (By Month)'!$F$3:$AA$3,0)),"-")</f>
        <v>-</v>
      </c>
      <c r="AA39" s="31" t="str">
        <f>IF($F39&lt;=$C$16,INDEX('Forecast (By Month)'!$F$3:$AY$605,MATCH($F39*12,'Forecast (By Month)'!$F$3:$F$605,0),MATCH(AA$3,'Forecast (By Month)'!$F$3:$AA$3,0)),"-")</f>
        <v>-</v>
      </c>
      <c r="AD39" s="12" t="str">
        <f t="shared" si="6"/>
        <v>-</v>
      </c>
      <c r="AE39" s="8" t="str">
        <f t="shared" si="7"/>
        <v>-</v>
      </c>
      <c r="AF39" s="8" t="str">
        <f>IF($AD39&lt;=$C$25,AE39-$C$7+SUMIFS('Mortgage Calculators (By Month)'!$K$23:$K$622,'Mortgage Calculators (By Month)'!$I$23:$I$622,"&lt;="&amp;AD39*12),"-")</f>
        <v>-</v>
      </c>
      <c r="AG39" s="8" t="str">
        <f t="shared" si="16"/>
        <v>-</v>
      </c>
      <c r="AH39" s="8" t="str">
        <f>IF($AD39&lt;=$C$25,SUMIFS('Forecast (By Month)'!$AH$4:$AH$605,'Forecast (By Month)'!$AD$4:$AD$605,"&lt;="&amp;AD39*12,'Forecast (By Month)'!$AD$4:$AD$605,"&gt;"&amp;AD38*12),"-")</f>
        <v>-</v>
      </c>
      <c r="AI39" s="8" t="str">
        <f>IF($AD39&lt;=$C$25,SUMIFS('Forecast (By Month)'!$AI$4:$AI$605,'Forecast (By Month)'!$AD$4:$AD$605,"&lt;="&amp;AD39*12,'Forecast (By Month)'!$AD$4:$AD$605,"&gt;"&amp;AD38*12),"-")</f>
        <v>-</v>
      </c>
      <c r="AJ39" s="8" t="str">
        <f t="shared" si="17"/>
        <v>-</v>
      </c>
      <c r="AK39" s="8" t="str">
        <f>IF($AD39&lt;=$C$25,SUMIFS('Forecast (By Month)'!$AK$4:$AK$605,'Forecast (By Month)'!$AD$4:$AD$605,"&lt;="&amp;AD39*12,'Forecast (By Month)'!$AD$4:$AD$605,"&gt;"&amp;AD38*12),"-")</f>
        <v>-</v>
      </c>
      <c r="AL39" s="8" t="str">
        <f>IF($AD39&lt;=$C$25,SUMIFS('Forecast (By Month)'!$AL$4:$AL$605,'Forecast (By Month)'!$AD$4:$AD$605,"&lt;="&amp;AD39*12,'Forecast (By Month)'!$AD$4:$AD$605,"&gt;"&amp;AD38*12),"-")</f>
        <v>-</v>
      </c>
      <c r="AM39" s="8" t="str">
        <f>IF($AD39&lt;=$C$25,SUMIFS('Forecast (By Month)'!$AM$4:$AM$605,'Forecast (By Month)'!$AD$4:$AD$605,"&lt;="&amp;AD39*12,'Forecast (By Month)'!$AD$4:$AD$605,"&gt;"&amp;AD38*12),"-")</f>
        <v>-</v>
      </c>
      <c r="AN39" s="8" t="str">
        <f>IF($AD39&lt;=$C$25,SUMIFS('Forecast (By Month)'!$AN$4:$AN$605,'Forecast (By Month)'!$AD$4:$AD$605,"&lt;="&amp;AD39*12,'Forecast (By Month)'!$AD$4:$AD$605,"&gt;"&amp;AD38*12),"-")</f>
        <v>-</v>
      </c>
      <c r="AO39" s="8" t="str">
        <f>IF($AD39&lt;=$C$25,SUMIFS('Forecast (By Month)'!$AO$4:$AO$605,'Forecast (By Month)'!$AD$4:$AD$605,"&lt;="&amp;AD39*12,'Forecast (By Month)'!$AD$4:$AD$605,"&gt;"&amp;AD38*12),"-")</f>
        <v>-</v>
      </c>
      <c r="AP39" s="8" t="str">
        <f>IF($AD39&lt;=$C$25,SUMIFS('Forecast (By Month)'!$AP$4:$AP$605,'Forecast (By Month)'!$AD$4:$AD$605,"&lt;="&amp;AD39*12,'Forecast (By Month)'!$AD$4:$AD$605,"&gt;"&amp;AD38*12),"-")</f>
        <v>-</v>
      </c>
      <c r="AQ39" s="8" t="str">
        <f t="shared" si="18"/>
        <v>-</v>
      </c>
      <c r="AR39" s="8" t="str">
        <f t="shared" si="19"/>
        <v>-</v>
      </c>
      <c r="AS39" s="8" t="str">
        <f>IF($AD39&lt;=$C$25,SUM(AR$5:AR39),"-")</f>
        <v>-</v>
      </c>
      <c r="AT39" s="8" t="str">
        <f>IF($AD39&lt;=$C$25,INDEX('Forecast (By Month)'!$AD$3:$AY$605,MATCH($AD39*12,'Forecast (By Month)'!$AD$3:$AD$605,0),MATCH(AT$3,'Forecast (By Month)'!$AD$3:$AY$3,0)),"-")</f>
        <v>-</v>
      </c>
      <c r="AU39" s="29" t="str">
        <f>IF($AD39&lt;=$C$25,INDEX('Forecast (By Month)'!$AD$3:$AY$605,MATCH($AD39*12,'Forecast (By Month)'!$AD$3:$AD$605,0),MATCH(AU$3,'Forecast (By Month)'!$AD$3:$AY$3,0)),"-")</f>
        <v>-</v>
      </c>
      <c r="AV39" s="29" t="str">
        <f>IF($AD39&lt;=$C$25,INDEX('Forecast (By Month)'!$AD$3:$AY$605,MATCH($AD39*12,'Forecast (By Month)'!$AD$3:$AD$605,0),MATCH(AV$3,'Forecast (By Month)'!$AD$3:$AY$3,0)),"-")</f>
        <v>-</v>
      </c>
      <c r="AW39" s="8" t="str">
        <f>IF($AD39&lt;=$C$25,INDEX('Forecast (By Month)'!$AD$3:$AY$605,MATCH($AD39*12,'Forecast (By Month)'!$AD$3:$AD$605,0),MATCH(AW$3,'Forecast (By Month)'!$AD$3:$AY$3,0)),"-")</f>
        <v>-</v>
      </c>
      <c r="AX39" s="29" t="str">
        <f>IF($AD39&lt;=$C$25,INDEX('Forecast (By Month)'!$AD$3:$AY$605,MATCH($AD39*12,'Forecast (By Month)'!$AD$3:$AD$605,0),MATCH(AX$3,'Forecast (By Month)'!$AD$3:$AY$3,0)),"-")</f>
        <v>-</v>
      </c>
      <c r="AY39" s="31" t="str">
        <f>IF($AD39&lt;=$C$25,INDEX('Forecast (By Month)'!$AD$3:$AY$605,MATCH($AD39*12,'Forecast (By Month)'!$AD$3:$AD$605,0),MATCH(AY$3,'Forecast (By Month)'!$AD$3:$AY$3,0)),"-")</f>
        <v>-</v>
      </c>
    </row>
    <row r="40" spans="2:51" x14ac:dyDescent="0.35">
      <c r="B40" t="s">
        <v>63</v>
      </c>
      <c r="F40" s="12" t="str">
        <f t="shared" si="1"/>
        <v>-</v>
      </c>
      <c r="G40" s="8" t="str">
        <f t="shared" si="2"/>
        <v>-</v>
      </c>
      <c r="H40" s="8" t="str">
        <f>IF($F40&lt;=$C$16,G40-$C$7+SUMIFS('Mortgage Calculators (By Month)'!$D$23:$D$622,'Mortgage Calculators (By Month)'!$B$23:$B$622,"&lt;="&amp;F40*12),"-")</f>
        <v>-</v>
      </c>
      <c r="I40" s="8" t="str">
        <f t="shared" si="12"/>
        <v>-</v>
      </c>
      <c r="J40" s="8" t="str">
        <f>IF($F40&lt;=$C$16,SUMIFS('Forecast (By Month)'!$J$4:$J$605,'Forecast (By Month)'!$F$4:$F$605,"&lt;="&amp;F40*12,'Forecast (By Month)'!$F$4:$F$605,"&gt;"&amp;F39*12),"-")</f>
        <v>-</v>
      </c>
      <c r="K40" s="8" t="str">
        <f>IF($F40&lt;=$C$16,SUMIFS('Forecast (By Month)'!$K$4:$K$605,'Forecast (By Month)'!$F$4:$F$605,"&lt;="&amp;F40*12,'Forecast (By Month)'!$F$4:$F$605,"&gt;"&amp;F39*12),"-")</f>
        <v>-</v>
      </c>
      <c r="L40" s="8" t="str">
        <f t="shared" si="13"/>
        <v>-</v>
      </c>
      <c r="M40" s="8" t="str">
        <f>IF($F40&lt;=$C$16,SUMIFS('Forecast (By Month)'!$M$4:$M$605,'Forecast (By Month)'!$F$4:$F$605,"&lt;="&amp;F40*12,'Forecast (By Month)'!$F$4:$F$605,"&gt;"&amp;F39*12),"-")</f>
        <v>-</v>
      </c>
      <c r="N40" s="8" t="str">
        <f>IF($F40&lt;=$C$16,SUMIFS('Forecast (By Month)'!$N$4:$N$605,'Forecast (By Month)'!$F$4:$F$605,"&lt;="&amp;F40*12,'Forecast (By Month)'!$F$4:$F$605,"&gt;"&amp;F39*12),"-")</f>
        <v>-</v>
      </c>
      <c r="O40" s="8" t="str">
        <f>IF($F40&lt;=$C$16,SUMIFS('Forecast (By Month)'!$O$4:$O$605,'Forecast (By Month)'!$F$4:$F$605,"&lt;="&amp;F40*12,'Forecast (By Month)'!$F$4:$F$605,"&gt;"&amp;F39*12),"-")</f>
        <v>-</v>
      </c>
      <c r="P40" s="8" t="str">
        <f>IF($F40&lt;=$C$16,SUMIFS('Forecast (By Month)'!$P$4:$P$605,'Forecast (By Month)'!$F$4:$F$605,"&lt;="&amp;F40*12,'Forecast (By Month)'!$F$4:$F$605,"&gt;"&amp;F39*12),"-")</f>
        <v>-</v>
      </c>
      <c r="Q40" s="8" t="str">
        <f>IF($F40&lt;=$C$16,SUMIFS('Forecast (By Month)'!$Q$4:$Q$605,'Forecast (By Month)'!$F$4:$F$605,"&lt;="&amp;F40*12,'Forecast (By Month)'!$F$4:$F$605,"&gt;"&amp;F39*12),"-")</f>
        <v>-</v>
      </c>
      <c r="R40" s="8" t="str">
        <f>IF($F40&lt;=$C$16,SUMIFS('Forecast (By Month)'!$R$4:$R$605,'Forecast (By Month)'!$F$4:$F$605,"&lt;="&amp;F40*12,'Forecast (By Month)'!$F$4:$F$605,"&gt;"&amp;F39*12),"-")</f>
        <v>-</v>
      </c>
      <c r="S40" s="8" t="str">
        <f t="shared" si="14"/>
        <v>-</v>
      </c>
      <c r="T40" s="8" t="str">
        <f t="shared" si="15"/>
        <v>-</v>
      </c>
      <c r="U40" s="8" t="str">
        <f>IF($F40&lt;=$C$16,SUM(T$5:T40),"-")</f>
        <v>-</v>
      </c>
      <c r="V40" s="8" t="str">
        <f>IF($F40&lt;=$C$16,INDEX('Forecast (By Month)'!$F$3:$AY$605,MATCH($F40*12,'Forecast (By Month)'!$F$3:$F$605,0),MATCH(V$3,'Forecast (By Month)'!$F$3:$AA$3,0)),"-")</f>
        <v>-</v>
      </c>
      <c r="W40" s="29" t="str">
        <f>IF($F40&lt;=$C$16,INDEX('Forecast (By Month)'!$F$3:$AY$605,MATCH($F40*12,'Forecast (By Month)'!$F$3:$F$605,0),MATCH(W$3,'Forecast (By Month)'!$F$3:$AA$3,0)),"-")</f>
        <v>-</v>
      </c>
      <c r="X40" s="29" t="str">
        <f>IF($F40&lt;=$C$16,INDEX('Forecast (By Month)'!$F$3:$AY$605,MATCH($F40*12,'Forecast (By Month)'!$F$3:$F$605,0),MATCH(X$3,'Forecast (By Month)'!$F$3:$AA$3,0)),"-")</f>
        <v>-</v>
      </c>
      <c r="Y40" s="8" t="str">
        <f>IF($F40&lt;=$C$16,INDEX('Forecast (By Month)'!$F$3:$AY$605,MATCH($F40*12,'Forecast (By Month)'!$F$3:$F$605,0),MATCH(Y$3,'Forecast (By Month)'!$F$3:$AA$3,0)),"-")</f>
        <v>-</v>
      </c>
      <c r="Z40" s="29" t="str">
        <f>IF($F40&lt;=$C$16,INDEX('Forecast (By Month)'!$F$3:$AY$605,MATCH($F40*12,'Forecast (By Month)'!$F$3:$F$605,0),MATCH(Z$3,'Forecast (By Month)'!$F$3:$AA$3,0)),"-")</f>
        <v>-</v>
      </c>
      <c r="AA40" s="31" t="str">
        <f>IF($F40&lt;=$C$16,INDEX('Forecast (By Month)'!$F$3:$AY$605,MATCH($F40*12,'Forecast (By Month)'!$F$3:$F$605,0),MATCH(AA$3,'Forecast (By Month)'!$F$3:$AA$3,0)),"-")</f>
        <v>-</v>
      </c>
      <c r="AD40" s="12" t="str">
        <f t="shared" si="6"/>
        <v>-</v>
      </c>
      <c r="AE40" s="8" t="str">
        <f t="shared" si="7"/>
        <v>-</v>
      </c>
      <c r="AF40" s="8" t="str">
        <f>IF($AD40&lt;=$C$25,AE40-$C$7+SUMIFS('Mortgage Calculators (By Month)'!$K$23:$K$622,'Mortgage Calculators (By Month)'!$I$23:$I$622,"&lt;="&amp;AD40*12),"-")</f>
        <v>-</v>
      </c>
      <c r="AG40" s="8" t="str">
        <f t="shared" si="16"/>
        <v>-</v>
      </c>
      <c r="AH40" s="8" t="str">
        <f>IF($AD40&lt;=$C$25,SUMIFS('Forecast (By Month)'!$AH$4:$AH$605,'Forecast (By Month)'!$AD$4:$AD$605,"&lt;="&amp;AD40*12,'Forecast (By Month)'!$AD$4:$AD$605,"&gt;"&amp;AD39*12),"-")</f>
        <v>-</v>
      </c>
      <c r="AI40" s="8" t="str">
        <f>IF($AD40&lt;=$C$25,SUMIFS('Forecast (By Month)'!$AI$4:$AI$605,'Forecast (By Month)'!$AD$4:$AD$605,"&lt;="&amp;AD40*12,'Forecast (By Month)'!$AD$4:$AD$605,"&gt;"&amp;AD39*12),"-")</f>
        <v>-</v>
      </c>
      <c r="AJ40" s="8" t="str">
        <f t="shared" si="17"/>
        <v>-</v>
      </c>
      <c r="AK40" s="8" t="str">
        <f>IF($AD40&lt;=$C$25,SUMIFS('Forecast (By Month)'!$AK$4:$AK$605,'Forecast (By Month)'!$AD$4:$AD$605,"&lt;="&amp;AD40*12,'Forecast (By Month)'!$AD$4:$AD$605,"&gt;"&amp;AD39*12),"-")</f>
        <v>-</v>
      </c>
      <c r="AL40" s="8" t="str">
        <f>IF($AD40&lt;=$C$25,SUMIFS('Forecast (By Month)'!$AL$4:$AL$605,'Forecast (By Month)'!$AD$4:$AD$605,"&lt;="&amp;AD40*12,'Forecast (By Month)'!$AD$4:$AD$605,"&gt;"&amp;AD39*12),"-")</f>
        <v>-</v>
      </c>
      <c r="AM40" s="8" t="str">
        <f>IF($AD40&lt;=$C$25,SUMIFS('Forecast (By Month)'!$AM$4:$AM$605,'Forecast (By Month)'!$AD$4:$AD$605,"&lt;="&amp;AD40*12,'Forecast (By Month)'!$AD$4:$AD$605,"&gt;"&amp;AD39*12),"-")</f>
        <v>-</v>
      </c>
      <c r="AN40" s="8" t="str">
        <f>IF($AD40&lt;=$C$25,SUMIFS('Forecast (By Month)'!$AN$4:$AN$605,'Forecast (By Month)'!$AD$4:$AD$605,"&lt;="&amp;AD40*12,'Forecast (By Month)'!$AD$4:$AD$605,"&gt;"&amp;AD39*12),"-")</f>
        <v>-</v>
      </c>
      <c r="AO40" s="8" t="str">
        <f>IF($AD40&lt;=$C$25,SUMIFS('Forecast (By Month)'!$AO$4:$AO$605,'Forecast (By Month)'!$AD$4:$AD$605,"&lt;="&amp;AD40*12,'Forecast (By Month)'!$AD$4:$AD$605,"&gt;"&amp;AD39*12),"-")</f>
        <v>-</v>
      </c>
      <c r="AP40" s="8" t="str">
        <f>IF($AD40&lt;=$C$25,SUMIFS('Forecast (By Month)'!$AP$4:$AP$605,'Forecast (By Month)'!$AD$4:$AD$605,"&lt;="&amp;AD40*12,'Forecast (By Month)'!$AD$4:$AD$605,"&gt;"&amp;AD39*12),"-")</f>
        <v>-</v>
      </c>
      <c r="AQ40" s="8" t="str">
        <f t="shared" si="18"/>
        <v>-</v>
      </c>
      <c r="AR40" s="8" t="str">
        <f t="shared" si="19"/>
        <v>-</v>
      </c>
      <c r="AS40" s="8" t="str">
        <f>IF($AD40&lt;=$C$25,SUM(AR$5:AR40),"-")</f>
        <v>-</v>
      </c>
      <c r="AT40" s="8" t="str">
        <f>IF($AD40&lt;=$C$25,INDEX('Forecast (By Month)'!$AD$3:$AY$605,MATCH($AD40*12,'Forecast (By Month)'!$AD$3:$AD$605,0),MATCH(AT$3,'Forecast (By Month)'!$AD$3:$AY$3,0)),"-")</f>
        <v>-</v>
      </c>
      <c r="AU40" s="29" t="str">
        <f>IF($AD40&lt;=$C$25,INDEX('Forecast (By Month)'!$AD$3:$AY$605,MATCH($AD40*12,'Forecast (By Month)'!$AD$3:$AD$605,0),MATCH(AU$3,'Forecast (By Month)'!$AD$3:$AY$3,0)),"-")</f>
        <v>-</v>
      </c>
      <c r="AV40" s="29" t="str">
        <f>IF($AD40&lt;=$C$25,INDEX('Forecast (By Month)'!$AD$3:$AY$605,MATCH($AD40*12,'Forecast (By Month)'!$AD$3:$AD$605,0),MATCH(AV$3,'Forecast (By Month)'!$AD$3:$AY$3,0)),"-")</f>
        <v>-</v>
      </c>
      <c r="AW40" s="8" t="str">
        <f>IF($AD40&lt;=$C$25,INDEX('Forecast (By Month)'!$AD$3:$AY$605,MATCH($AD40*12,'Forecast (By Month)'!$AD$3:$AD$605,0),MATCH(AW$3,'Forecast (By Month)'!$AD$3:$AY$3,0)),"-")</f>
        <v>-</v>
      </c>
      <c r="AX40" s="29" t="str">
        <f>IF($AD40&lt;=$C$25,INDEX('Forecast (By Month)'!$AD$3:$AY$605,MATCH($AD40*12,'Forecast (By Month)'!$AD$3:$AD$605,0),MATCH(AX$3,'Forecast (By Month)'!$AD$3:$AY$3,0)),"-")</f>
        <v>-</v>
      </c>
      <c r="AY40" s="31" t="str">
        <f>IF($AD40&lt;=$C$25,INDEX('Forecast (By Month)'!$AD$3:$AY$605,MATCH($AD40*12,'Forecast (By Month)'!$AD$3:$AD$605,0),MATCH(AY$3,'Forecast (By Month)'!$AD$3:$AY$3,0)),"-")</f>
        <v>-</v>
      </c>
    </row>
    <row r="41" spans="2:51" x14ac:dyDescent="0.35">
      <c r="B41" t="s">
        <v>68</v>
      </c>
      <c r="F41" s="12" t="str">
        <f t="shared" si="1"/>
        <v>-</v>
      </c>
      <c r="G41" s="8" t="str">
        <f t="shared" si="2"/>
        <v>-</v>
      </c>
      <c r="H41" s="8" t="str">
        <f>IF($F41&lt;=$C$16,G41-$C$7+SUMIFS('Mortgage Calculators (By Month)'!$D$23:$D$622,'Mortgage Calculators (By Month)'!$B$23:$B$622,"&lt;="&amp;F41*12),"-")</f>
        <v>-</v>
      </c>
      <c r="I41" s="8" t="str">
        <f t="shared" si="12"/>
        <v>-</v>
      </c>
      <c r="J41" s="8" t="str">
        <f>IF($F41&lt;=$C$16,SUMIFS('Forecast (By Month)'!$J$4:$J$605,'Forecast (By Month)'!$F$4:$F$605,"&lt;="&amp;F41*12,'Forecast (By Month)'!$F$4:$F$605,"&gt;"&amp;F40*12),"-")</f>
        <v>-</v>
      </c>
      <c r="K41" s="8" t="str">
        <f>IF($F41&lt;=$C$16,SUMIFS('Forecast (By Month)'!$K$4:$K$605,'Forecast (By Month)'!$F$4:$F$605,"&lt;="&amp;F41*12,'Forecast (By Month)'!$F$4:$F$605,"&gt;"&amp;F40*12),"-")</f>
        <v>-</v>
      </c>
      <c r="L41" s="8" t="str">
        <f t="shared" si="13"/>
        <v>-</v>
      </c>
      <c r="M41" s="8" t="str">
        <f>IF($F41&lt;=$C$16,SUMIFS('Forecast (By Month)'!$M$4:$M$605,'Forecast (By Month)'!$F$4:$F$605,"&lt;="&amp;F41*12,'Forecast (By Month)'!$F$4:$F$605,"&gt;"&amp;F40*12),"-")</f>
        <v>-</v>
      </c>
      <c r="N41" s="8" t="str">
        <f>IF($F41&lt;=$C$16,SUMIFS('Forecast (By Month)'!$N$4:$N$605,'Forecast (By Month)'!$F$4:$F$605,"&lt;="&amp;F41*12,'Forecast (By Month)'!$F$4:$F$605,"&gt;"&amp;F40*12),"-")</f>
        <v>-</v>
      </c>
      <c r="O41" s="8" t="str">
        <f>IF($F41&lt;=$C$16,SUMIFS('Forecast (By Month)'!$O$4:$O$605,'Forecast (By Month)'!$F$4:$F$605,"&lt;="&amp;F41*12,'Forecast (By Month)'!$F$4:$F$605,"&gt;"&amp;F40*12),"-")</f>
        <v>-</v>
      </c>
      <c r="P41" s="8" t="str">
        <f>IF($F41&lt;=$C$16,SUMIFS('Forecast (By Month)'!$P$4:$P$605,'Forecast (By Month)'!$F$4:$F$605,"&lt;="&amp;F41*12,'Forecast (By Month)'!$F$4:$F$605,"&gt;"&amp;F40*12),"-")</f>
        <v>-</v>
      </c>
      <c r="Q41" s="8" t="str">
        <f>IF($F41&lt;=$C$16,SUMIFS('Forecast (By Month)'!$Q$4:$Q$605,'Forecast (By Month)'!$F$4:$F$605,"&lt;="&amp;F41*12,'Forecast (By Month)'!$F$4:$F$605,"&gt;"&amp;F40*12),"-")</f>
        <v>-</v>
      </c>
      <c r="R41" s="8" t="str">
        <f>IF($F41&lt;=$C$16,SUMIFS('Forecast (By Month)'!$R$4:$R$605,'Forecast (By Month)'!$F$4:$F$605,"&lt;="&amp;F41*12,'Forecast (By Month)'!$F$4:$F$605,"&gt;"&amp;F40*12),"-")</f>
        <v>-</v>
      </c>
      <c r="S41" s="8" t="str">
        <f t="shared" si="14"/>
        <v>-</v>
      </c>
      <c r="T41" s="8" t="str">
        <f t="shared" si="15"/>
        <v>-</v>
      </c>
      <c r="U41" s="8" t="str">
        <f>IF($F41&lt;=$C$16,SUM(T$5:T41),"-")</f>
        <v>-</v>
      </c>
      <c r="V41" s="8" t="str">
        <f>IF($F41&lt;=$C$16,INDEX('Forecast (By Month)'!$F$3:$AY$605,MATCH($F41*12,'Forecast (By Month)'!$F$3:$F$605,0),MATCH(V$3,'Forecast (By Month)'!$F$3:$AA$3,0)),"-")</f>
        <v>-</v>
      </c>
      <c r="W41" s="29" t="str">
        <f>IF($F41&lt;=$C$16,INDEX('Forecast (By Month)'!$F$3:$AY$605,MATCH($F41*12,'Forecast (By Month)'!$F$3:$F$605,0),MATCH(W$3,'Forecast (By Month)'!$F$3:$AA$3,0)),"-")</f>
        <v>-</v>
      </c>
      <c r="X41" s="29" t="str">
        <f>IF($F41&lt;=$C$16,INDEX('Forecast (By Month)'!$F$3:$AY$605,MATCH($F41*12,'Forecast (By Month)'!$F$3:$F$605,0),MATCH(X$3,'Forecast (By Month)'!$F$3:$AA$3,0)),"-")</f>
        <v>-</v>
      </c>
      <c r="Y41" s="8" t="str">
        <f>IF($F41&lt;=$C$16,INDEX('Forecast (By Month)'!$F$3:$AY$605,MATCH($F41*12,'Forecast (By Month)'!$F$3:$F$605,0),MATCH(Y$3,'Forecast (By Month)'!$F$3:$AA$3,0)),"-")</f>
        <v>-</v>
      </c>
      <c r="Z41" s="29" t="str">
        <f>IF($F41&lt;=$C$16,INDEX('Forecast (By Month)'!$F$3:$AY$605,MATCH($F41*12,'Forecast (By Month)'!$F$3:$F$605,0),MATCH(Z$3,'Forecast (By Month)'!$F$3:$AA$3,0)),"-")</f>
        <v>-</v>
      </c>
      <c r="AA41" s="31" t="str">
        <f>IF($F41&lt;=$C$16,INDEX('Forecast (By Month)'!$F$3:$AY$605,MATCH($F41*12,'Forecast (By Month)'!$F$3:$F$605,0),MATCH(AA$3,'Forecast (By Month)'!$F$3:$AA$3,0)),"-")</f>
        <v>-</v>
      </c>
      <c r="AD41" s="12" t="str">
        <f t="shared" si="6"/>
        <v>-</v>
      </c>
      <c r="AE41" s="8" t="str">
        <f t="shared" si="7"/>
        <v>-</v>
      </c>
      <c r="AF41" s="8" t="str">
        <f>IF($AD41&lt;=$C$25,AE41-$C$7+SUMIFS('Mortgage Calculators (By Month)'!$K$23:$K$622,'Mortgage Calculators (By Month)'!$I$23:$I$622,"&lt;="&amp;AD41*12),"-")</f>
        <v>-</v>
      </c>
      <c r="AG41" s="8" t="str">
        <f t="shared" si="16"/>
        <v>-</v>
      </c>
      <c r="AH41" s="8" t="str">
        <f>IF($AD41&lt;=$C$25,SUMIFS('Forecast (By Month)'!$AH$4:$AH$605,'Forecast (By Month)'!$AD$4:$AD$605,"&lt;="&amp;AD41*12,'Forecast (By Month)'!$AD$4:$AD$605,"&gt;"&amp;AD40*12),"-")</f>
        <v>-</v>
      </c>
      <c r="AI41" s="8" t="str">
        <f>IF($AD41&lt;=$C$25,SUMIFS('Forecast (By Month)'!$AI$4:$AI$605,'Forecast (By Month)'!$AD$4:$AD$605,"&lt;="&amp;AD41*12,'Forecast (By Month)'!$AD$4:$AD$605,"&gt;"&amp;AD40*12),"-")</f>
        <v>-</v>
      </c>
      <c r="AJ41" s="8" t="str">
        <f t="shared" si="17"/>
        <v>-</v>
      </c>
      <c r="AK41" s="8" t="str">
        <f>IF($AD41&lt;=$C$25,SUMIFS('Forecast (By Month)'!$AK$4:$AK$605,'Forecast (By Month)'!$AD$4:$AD$605,"&lt;="&amp;AD41*12,'Forecast (By Month)'!$AD$4:$AD$605,"&gt;"&amp;AD40*12),"-")</f>
        <v>-</v>
      </c>
      <c r="AL41" s="8" t="str">
        <f>IF($AD41&lt;=$C$25,SUMIFS('Forecast (By Month)'!$AL$4:$AL$605,'Forecast (By Month)'!$AD$4:$AD$605,"&lt;="&amp;AD41*12,'Forecast (By Month)'!$AD$4:$AD$605,"&gt;"&amp;AD40*12),"-")</f>
        <v>-</v>
      </c>
      <c r="AM41" s="8" t="str">
        <f>IF($AD41&lt;=$C$25,SUMIFS('Forecast (By Month)'!$AM$4:$AM$605,'Forecast (By Month)'!$AD$4:$AD$605,"&lt;="&amp;AD41*12,'Forecast (By Month)'!$AD$4:$AD$605,"&gt;"&amp;AD40*12),"-")</f>
        <v>-</v>
      </c>
      <c r="AN41" s="8" t="str">
        <f>IF($AD41&lt;=$C$25,SUMIFS('Forecast (By Month)'!$AN$4:$AN$605,'Forecast (By Month)'!$AD$4:$AD$605,"&lt;="&amp;AD41*12,'Forecast (By Month)'!$AD$4:$AD$605,"&gt;"&amp;AD40*12),"-")</f>
        <v>-</v>
      </c>
      <c r="AO41" s="8" t="str">
        <f>IF($AD41&lt;=$C$25,SUMIFS('Forecast (By Month)'!$AO$4:$AO$605,'Forecast (By Month)'!$AD$4:$AD$605,"&lt;="&amp;AD41*12,'Forecast (By Month)'!$AD$4:$AD$605,"&gt;"&amp;AD40*12),"-")</f>
        <v>-</v>
      </c>
      <c r="AP41" s="8" t="str">
        <f>IF($AD41&lt;=$C$25,SUMIFS('Forecast (By Month)'!$AP$4:$AP$605,'Forecast (By Month)'!$AD$4:$AD$605,"&lt;="&amp;AD41*12,'Forecast (By Month)'!$AD$4:$AD$605,"&gt;"&amp;AD40*12),"-")</f>
        <v>-</v>
      </c>
      <c r="AQ41" s="8" t="str">
        <f t="shared" si="18"/>
        <v>-</v>
      </c>
      <c r="AR41" s="8" t="str">
        <f t="shared" si="19"/>
        <v>-</v>
      </c>
      <c r="AS41" s="8" t="str">
        <f>IF($AD41&lt;=$C$25,SUM(AR$5:AR41),"-")</f>
        <v>-</v>
      </c>
      <c r="AT41" s="8" t="str">
        <f>IF($AD41&lt;=$C$25,INDEX('Forecast (By Month)'!$AD$3:$AY$605,MATCH($AD41*12,'Forecast (By Month)'!$AD$3:$AD$605,0),MATCH(AT$3,'Forecast (By Month)'!$AD$3:$AY$3,0)),"-")</f>
        <v>-</v>
      </c>
      <c r="AU41" s="29" t="str">
        <f>IF($AD41&lt;=$C$25,INDEX('Forecast (By Month)'!$AD$3:$AY$605,MATCH($AD41*12,'Forecast (By Month)'!$AD$3:$AD$605,0),MATCH(AU$3,'Forecast (By Month)'!$AD$3:$AY$3,0)),"-")</f>
        <v>-</v>
      </c>
      <c r="AV41" s="29" t="str">
        <f>IF($AD41&lt;=$C$25,INDEX('Forecast (By Month)'!$AD$3:$AY$605,MATCH($AD41*12,'Forecast (By Month)'!$AD$3:$AD$605,0),MATCH(AV$3,'Forecast (By Month)'!$AD$3:$AY$3,0)),"-")</f>
        <v>-</v>
      </c>
      <c r="AW41" s="8" t="str">
        <f>IF($AD41&lt;=$C$25,INDEX('Forecast (By Month)'!$AD$3:$AY$605,MATCH($AD41*12,'Forecast (By Month)'!$AD$3:$AD$605,0),MATCH(AW$3,'Forecast (By Month)'!$AD$3:$AY$3,0)),"-")</f>
        <v>-</v>
      </c>
      <c r="AX41" s="29" t="str">
        <f>IF($AD41&lt;=$C$25,INDEX('Forecast (By Month)'!$AD$3:$AY$605,MATCH($AD41*12,'Forecast (By Month)'!$AD$3:$AD$605,0),MATCH(AX$3,'Forecast (By Month)'!$AD$3:$AY$3,0)),"-")</f>
        <v>-</v>
      </c>
      <c r="AY41" s="31" t="str">
        <f>IF($AD41&lt;=$C$25,INDEX('Forecast (By Month)'!$AD$3:$AY$605,MATCH($AD41*12,'Forecast (By Month)'!$AD$3:$AD$605,0),MATCH(AY$3,'Forecast (By Month)'!$AD$3:$AY$3,0)),"-")</f>
        <v>-</v>
      </c>
    </row>
    <row r="42" spans="2:51" x14ac:dyDescent="0.35">
      <c r="B42" t="s">
        <v>163</v>
      </c>
      <c r="F42" s="12" t="str">
        <f t="shared" si="1"/>
        <v>-</v>
      </c>
      <c r="G42" s="8" t="str">
        <f t="shared" si="2"/>
        <v>-</v>
      </c>
      <c r="H42" s="8" t="str">
        <f>IF($F42&lt;=$C$16,G42-$C$7+SUMIFS('Mortgage Calculators (By Month)'!$D$23:$D$622,'Mortgage Calculators (By Month)'!$B$23:$B$622,"&lt;="&amp;F42*12),"-")</f>
        <v>-</v>
      </c>
      <c r="I42" s="8" t="str">
        <f t="shared" si="12"/>
        <v>-</v>
      </c>
      <c r="J42" s="8" t="str">
        <f>IF($F42&lt;=$C$16,SUMIFS('Forecast (By Month)'!$J$4:$J$605,'Forecast (By Month)'!$F$4:$F$605,"&lt;="&amp;F42*12,'Forecast (By Month)'!$F$4:$F$605,"&gt;"&amp;F41*12),"-")</f>
        <v>-</v>
      </c>
      <c r="K42" s="8" t="str">
        <f>IF($F42&lt;=$C$16,SUMIFS('Forecast (By Month)'!$K$4:$K$605,'Forecast (By Month)'!$F$4:$F$605,"&lt;="&amp;F42*12,'Forecast (By Month)'!$F$4:$F$605,"&gt;"&amp;F41*12),"-")</f>
        <v>-</v>
      </c>
      <c r="L42" s="8" t="str">
        <f t="shared" si="13"/>
        <v>-</v>
      </c>
      <c r="M42" s="8" t="str">
        <f>IF($F42&lt;=$C$16,SUMIFS('Forecast (By Month)'!$M$4:$M$605,'Forecast (By Month)'!$F$4:$F$605,"&lt;="&amp;F42*12,'Forecast (By Month)'!$F$4:$F$605,"&gt;"&amp;F41*12),"-")</f>
        <v>-</v>
      </c>
      <c r="N42" s="8" t="str">
        <f>IF($F42&lt;=$C$16,SUMIFS('Forecast (By Month)'!$N$4:$N$605,'Forecast (By Month)'!$F$4:$F$605,"&lt;="&amp;F42*12,'Forecast (By Month)'!$F$4:$F$605,"&gt;"&amp;F41*12),"-")</f>
        <v>-</v>
      </c>
      <c r="O42" s="8" t="str">
        <f>IF($F42&lt;=$C$16,SUMIFS('Forecast (By Month)'!$O$4:$O$605,'Forecast (By Month)'!$F$4:$F$605,"&lt;="&amp;F42*12,'Forecast (By Month)'!$F$4:$F$605,"&gt;"&amp;F41*12),"-")</f>
        <v>-</v>
      </c>
      <c r="P42" s="8" t="str">
        <f>IF($F42&lt;=$C$16,SUMIFS('Forecast (By Month)'!$P$4:$P$605,'Forecast (By Month)'!$F$4:$F$605,"&lt;="&amp;F42*12,'Forecast (By Month)'!$F$4:$F$605,"&gt;"&amp;F41*12),"-")</f>
        <v>-</v>
      </c>
      <c r="Q42" s="8" t="str">
        <f>IF($F42&lt;=$C$16,SUMIFS('Forecast (By Month)'!$Q$4:$Q$605,'Forecast (By Month)'!$F$4:$F$605,"&lt;="&amp;F42*12,'Forecast (By Month)'!$F$4:$F$605,"&gt;"&amp;F41*12),"-")</f>
        <v>-</v>
      </c>
      <c r="R42" s="8" t="str">
        <f>IF($F42&lt;=$C$16,SUMIFS('Forecast (By Month)'!$R$4:$R$605,'Forecast (By Month)'!$F$4:$F$605,"&lt;="&amp;F42*12,'Forecast (By Month)'!$F$4:$F$605,"&gt;"&amp;F41*12),"-")</f>
        <v>-</v>
      </c>
      <c r="S42" s="8" t="str">
        <f t="shared" si="14"/>
        <v>-</v>
      </c>
      <c r="T42" s="8" t="str">
        <f t="shared" si="15"/>
        <v>-</v>
      </c>
      <c r="U42" s="8" t="str">
        <f>IF($F42&lt;=$C$16,SUM(T$5:T42),"-")</f>
        <v>-</v>
      </c>
      <c r="V42" s="8" t="str">
        <f>IF($F42&lt;=$C$16,INDEX('Forecast (By Month)'!$F$3:$AY$605,MATCH($F42*12,'Forecast (By Month)'!$F$3:$F$605,0),MATCH(V$3,'Forecast (By Month)'!$F$3:$AA$3,0)),"-")</f>
        <v>-</v>
      </c>
      <c r="W42" s="29" t="str">
        <f>IF($F42&lt;=$C$16,INDEX('Forecast (By Month)'!$F$3:$AY$605,MATCH($F42*12,'Forecast (By Month)'!$F$3:$F$605,0),MATCH(W$3,'Forecast (By Month)'!$F$3:$AA$3,0)),"-")</f>
        <v>-</v>
      </c>
      <c r="X42" s="29" t="str">
        <f>IF($F42&lt;=$C$16,INDEX('Forecast (By Month)'!$F$3:$AY$605,MATCH($F42*12,'Forecast (By Month)'!$F$3:$F$605,0),MATCH(X$3,'Forecast (By Month)'!$F$3:$AA$3,0)),"-")</f>
        <v>-</v>
      </c>
      <c r="Y42" s="8" t="str">
        <f>IF($F42&lt;=$C$16,INDEX('Forecast (By Month)'!$F$3:$AY$605,MATCH($F42*12,'Forecast (By Month)'!$F$3:$F$605,0),MATCH(Y$3,'Forecast (By Month)'!$F$3:$AA$3,0)),"-")</f>
        <v>-</v>
      </c>
      <c r="Z42" s="29" t="str">
        <f>IF($F42&lt;=$C$16,INDEX('Forecast (By Month)'!$F$3:$AY$605,MATCH($F42*12,'Forecast (By Month)'!$F$3:$F$605,0),MATCH(Z$3,'Forecast (By Month)'!$F$3:$AA$3,0)),"-")</f>
        <v>-</v>
      </c>
      <c r="AA42" s="31" t="str">
        <f>IF($F42&lt;=$C$16,INDEX('Forecast (By Month)'!$F$3:$AY$605,MATCH($F42*12,'Forecast (By Month)'!$F$3:$F$605,0),MATCH(AA$3,'Forecast (By Month)'!$F$3:$AA$3,0)),"-")</f>
        <v>-</v>
      </c>
      <c r="AD42" s="12" t="str">
        <f t="shared" si="6"/>
        <v>-</v>
      </c>
      <c r="AE42" s="8" t="str">
        <f t="shared" si="7"/>
        <v>-</v>
      </c>
      <c r="AF42" s="8" t="str">
        <f>IF($AD42&lt;=$C$25,AE42-$C$7+SUMIFS('Mortgage Calculators (By Month)'!$K$23:$K$622,'Mortgage Calculators (By Month)'!$I$23:$I$622,"&lt;="&amp;AD42*12),"-")</f>
        <v>-</v>
      </c>
      <c r="AG42" s="8" t="str">
        <f t="shared" si="16"/>
        <v>-</v>
      </c>
      <c r="AH42" s="8" t="str">
        <f>IF($AD42&lt;=$C$25,SUMIFS('Forecast (By Month)'!$AH$4:$AH$605,'Forecast (By Month)'!$AD$4:$AD$605,"&lt;="&amp;AD42*12,'Forecast (By Month)'!$AD$4:$AD$605,"&gt;"&amp;AD41*12),"-")</f>
        <v>-</v>
      </c>
      <c r="AI42" s="8" t="str">
        <f>IF($AD42&lt;=$C$25,SUMIFS('Forecast (By Month)'!$AI$4:$AI$605,'Forecast (By Month)'!$AD$4:$AD$605,"&lt;="&amp;AD42*12,'Forecast (By Month)'!$AD$4:$AD$605,"&gt;"&amp;AD41*12),"-")</f>
        <v>-</v>
      </c>
      <c r="AJ42" s="8" t="str">
        <f t="shared" si="17"/>
        <v>-</v>
      </c>
      <c r="AK42" s="8" t="str">
        <f>IF($AD42&lt;=$C$25,SUMIFS('Forecast (By Month)'!$AK$4:$AK$605,'Forecast (By Month)'!$AD$4:$AD$605,"&lt;="&amp;AD42*12,'Forecast (By Month)'!$AD$4:$AD$605,"&gt;"&amp;AD41*12),"-")</f>
        <v>-</v>
      </c>
      <c r="AL42" s="8" t="str">
        <f>IF($AD42&lt;=$C$25,SUMIFS('Forecast (By Month)'!$AL$4:$AL$605,'Forecast (By Month)'!$AD$4:$AD$605,"&lt;="&amp;AD42*12,'Forecast (By Month)'!$AD$4:$AD$605,"&gt;"&amp;AD41*12),"-")</f>
        <v>-</v>
      </c>
      <c r="AM42" s="8" t="str">
        <f>IF($AD42&lt;=$C$25,SUMIFS('Forecast (By Month)'!$AM$4:$AM$605,'Forecast (By Month)'!$AD$4:$AD$605,"&lt;="&amp;AD42*12,'Forecast (By Month)'!$AD$4:$AD$605,"&gt;"&amp;AD41*12),"-")</f>
        <v>-</v>
      </c>
      <c r="AN42" s="8" t="str">
        <f>IF($AD42&lt;=$C$25,SUMIFS('Forecast (By Month)'!$AN$4:$AN$605,'Forecast (By Month)'!$AD$4:$AD$605,"&lt;="&amp;AD42*12,'Forecast (By Month)'!$AD$4:$AD$605,"&gt;"&amp;AD41*12),"-")</f>
        <v>-</v>
      </c>
      <c r="AO42" s="8" t="str">
        <f>IF($AD42&lt;=$C$25,SUMIFS('Forecast (By Month)'!$AO$4:$AO$605,'Forecast (By Month)'!$AD$4:$AD$605,"&lt;="&amp;AD42*12,'Forecast (By Month)'!$AD$4:$AD$605,"&gt;"&amp;AD41*12),"-")</f>
        <v>-</v>
      </c>
      <c r="AP42" s="8" t="str">
        <f>IF($AD42&lt;=$C$25,SUMIFS('Forecast (By Month)'!$AP$4:$AP$605,'Forecast (By Month)'!$AD$4:$AD$605,"&lt;="&amp;AD42*12,'Forecast (By Month)'!$AD$4:$AD$605,"&gt;"&amp;AD41*12),"-")</f>
        <v>-</v>
      </c>
      <c r="AQ42" s="8" t="str">
        <f t="shared" si="18"/>
        <v>-</v>
      </c>
      <c r="AR42" s="8" t="str">
        <f t="shared" si="19"/>
        <v>-</v>
      </c>
      <c r="AS42" s="8" t="str">
        <f>IF($AD42&lt;=$C$25,SUM(AR$5:AR42),"-")</f>
        <v>-</v>
      </c>
      <c r="AT42" s="8" t="str">
        <f>IF($AD42&lt;=$C$25,INDEX('Forecast (By Month)'!$AD$3:$AY$605,MATCH($AD42*12,'Forecast (By Month)'!$AD$3:$AD$605,0),MATCH(AT$3,'Forecast (By Month)'!$AD$3:$AY$3,0)),"-")</f>
        <v>-</v>
      </c>
      <c r="AU42" s="29" t="str">
        <f>IF($AD42&lt;=$C$25,INDEX('Forecast (By Month)'!$AD$3:$AY$605,MATCH($AD42*12,'Forecast (By Month)'!$AD$3:$AD$605,0),MATCH(AU$3,'Forecast (By Month)'!$AD$3:$AY$3,0)),"-")</f>
        <v>-</v>
      </c>
      <c r="AV42" s="29" t="str">
        <f>IF($AD42&lt;=$C$25,INDEX('Forecast (By Month)'!$AD$3:$AY$605,MATCH($AD42*12,'Forecast (By Month)'!$AD$3:$AD$605,0),MATCH(AV$3,'Forecast (By Month)'!$AD$3:$AY$3,0)),"-")</f>
        <v>-</v>
      </c>
      <c r="AW42" s="8" t="str">
        <f>IF($AD42&lt;=$C$25,INDEX('Forecast (By Month)'!$AD$3:$AY$605,MATCH($AD42*12,'Forecast (By Month)'!$AD$3:$AD$605,0),MATCH(AW$3,'Forecast (By Month)'!$AD$3:$AY$3,0)),"-")</f>
        <v>-</v>
      </c>
      <c r="AX42" s="29" t="str">
        <f>IF($AD42&lt;=$C$25,INDEX('Forecast (By Month)'!$AD$3:$AY$605,MATCH($AD42*12,'Forecast (By Month)'!$AD$3:$AD$605,0),MATCH(AX$3,'Forecast (By Month)'!$AD$3:$AY$3,0)),"-")</f>
        <v>-</v>
      </c>
      <c r="AY42" s="31" t="str">
        <f>IF($AD42&lt;=$C$25,INDEX('Forecast (By Month)'!$AD$3:$AY$605,MATCH($AD42*12,'Forecast (By Month)'!$AD$3:$AD$605,0),MATCH(AY$3,'Forecast (By Month)'!$AD$3:$AY$3,0)),"-")</f>
        <v>-</v>
      </c>
    </row>
    <row r="43" spans="2:51" x14ac:dyDescent="0.35">
      <c r="B43" t="s">
        <v>258</v>
      </c>
      <c r="F43" s="12" t="str">
        <f t="shared" si="1"/>
        <v>-</v>
      </c>
      <c r="G43" s="8" t="str">
        <f t="shared" si="2"/>
        <v>-</v>
      </c>
      <c r="H43" s="8" t="str">
        <f>IF($F43&lt;=$C$16,G43-$C$7+SUMIFS('Mortgage Calculators (By Month)'!$D$23:$D$622,'Mortgage Calculators (By Month)'!$B$23:$B$622,"&lt;="&amp;F43*12),"-")</f>
        <v>-</v>
      </c>
      <c r="I43" s="8" t="str">
        <f t="shared" si="12"/>
        <v>-</v>
      </c>
      <c r="J43" s="8" t="str">
        <f>IF($F43&lt;=$C$16,SUMIFS('Forecast (By Month)'!$J$4:$J$605,'Forecast (By Month)'!$F$4:$F$605,"&lt;="&amp;F43*12,'Forecast (By Month)'!$F$4:$F$605,"&gt;"&amp;F42*12),"-")</f>
        <v>-</v>
      </c>
      <c r="K43" s="8" t="str">
        <f>IF($F43&lt;=$C$16,SUMIFS('Forecast (By Month)'!$K$4:$K$605,'Forecast (By Month)'!$F$4:$F$605,"&lt;="&amp;F43*12,'Forecast (By Month)'!$F$4:$F$605,"&gt;"&amp;F42*12),"-")</f>
        <v>-</v>
      </c>
      <c r="L43" s="8" t="str">
        <f t="shared" si="13"/>
        <v>-</v>
      </c>
      <c r="M43" s="8" t="str">
        <f>IF($F43&lt;=$C$16,SUMIFS('Forecast (By Month)'!$M$4:$M$605,'Forecast (By Month)'!$F$4:$F$605,"&lt;="&amp;F43*12,'Forecast (By Month)'!$F$4:$F$605,"&gt;"&amp;F42*12),"-")</f>
        <v>-</v>
      </c>
      <c r="N43" s="8" t="str">
        <f>IF($F43&lt;=$C$16,SUMIFS('Forecast (By Month)'!$N$4:$N$605,'Forecast (By Month)'!$F$4:$F$605,"&lt;="&amp;F43*12,'Forecast (By Month)'!$F$4:$F$605,"&gt;"&amp;F42*12),"-")</f>
        <v>-</v>
      </c>
      <c r="O43" s="8" t="str">
        <f>IF($F43&lt;=$C$16,SUMIFS('Forecast (By Month)'!$O$4:$O$605,'Forecast (By Month)'!$F$4:$F$605,"&lt;="&amp;F43*12,'Forecast (By Month)'!$F$4:$F$605,"&gt;"&amp;F42*12),"-")</f>
        <v>-</v>
      </c>
      <c r="P43" s="8" t="str">
        <f>IF($F43&lt;=$C$16,SUMIFS('Forecast (By Month)'!$P$4:$P$605,'Forecast (By Month)'!$F$4:$F$605,"&lt;="&amp;F43*12,'Forecast (By Month)'!$F$4:$F$605,"&gt;"&amp;F42*12),"-")</f>
        <v>-</v>
      </c>
      <c r="Q43" s="8" t="str">
        <f>IF($F43&lt;=$C$16,SUMIFS('Forecast (By Month)'!$Q$4:$Q$605,'Forecast (By Month)'!$F$4:$F$605,"&lt;="&amp;F43*12,'Forecast (By Month)'!$F$4:$F$605,"&gt;"&amp;F42*12),"-")</f>
        <v>-</v>
      </c>
      <c r="R43" s="8" t="str">
        <f>IF($F43&lt;=$C$16,SUMIFS('Forecast (By Month)'!$R$4:$R$605,'Forecast (By Month)'!$F$4:$F$605,"&lt;="&amp;F43*12,'Forecast (By Month)'!$F$4:$F$605,"&gt;"&amp;F42*12),"-")</f>
        <v>-</v>
      </c>
      <c r="S43" s="8" t="str">
        <f t="shared" si="14"/>
        <v>-</v>
      </c>
      <c r="T43" s="8" t="str">
        <f t="shared" si="15"/>
        <v>-</v>
      </c>
      <c r="U43" s="8" t="str">
        <f>IF($F43&lt;=$C$16,SUM(T$5:T43),"-")</f>
        <v>-</v>
      </c>
      <c r="V43" s="8" t="str">
        <f>IF($F43&lt;=$C$16,INDEX('Forecast (By Month)'!$F$3:$AY$605,MATCH($F43*12,'Forecast (By Month)'!$F$3:$F$605,0),MATCH(V$3,'Forecast (By Month)'!$F$3:$AA$3,0)),"-")</f>
        <v>-</v>
      </c>
      <c r="W43" s="29" t="str">
        <f>IF($F43&lt;=$C$16,INDEX('Forecast (By Month)'!$F$3:$AY$605,MATCH($F43*12,'Forecast (By Month)'!$F$3:$F$605,0),MATCH(W$3,'Forecast (By Month)'!$F$3:$AA$3,0)),"-")</f>
        <v>-</v>
      </c>
      <c r="X43" s="29" t="str">
        <f>IF($F43&lt;=$C$16,INDEX('Forecast (By Month)'!$F$3:$AY$605,MATCH($F43*12,'Forecast (By Month)'!$F$3:$F$605,0),MATCH(X$3,'Forecast (By Month)'!$F$3:$AA$3,0)),"-")</f>
        <v>-</v>
      </c>
      <c r="Y43" s="8" t="str">
        <f>IF($F43&lt;=$C$16,INDEX('Forecast (By Month)'!$F$3:$AY$605,MATCH($F43*12,'Forecast (By Month)'!$F$3:$F$605,0),MATCH(Y$3,'Forecast (By Month)'!$F$3:$AA$3,0)),"-")</f>
        <v>-</v>
      </c>
      <c r="Z43" s="29" t="str">
        <f>IF($F43&lt;=$C$16,INDEX('Forecast (By Month)'!$F$3:$AY$605,MATCH($F43*12,'Forecast (By Month)'!$F$3:$F$605,0),MATCH(Z$3,'Forecast (By Month)'!$F$3:$AA$3,0)),"-")</f>
        <v>-</v>
      </c>
      <c r="AA43" s="31" t="str">
        <f>IF($F43&lt;=$C$16,INDEX('Forecast (By Month)'!$F$3:$AY$605,MATCH($F43*12,'Forecast (By Month)'!$F$3:$F$605,0),MATCH(AA$3,'Forecast (By Month)'!$F$3:$AA$3,0)),"-")</f>
        <v>-</v>
      </c>
      <c r="AD43" s="12" t="str">
        <f t="shared" si="6"/>
        <v>-</v>
      </c>
      <c r="AE43" s="8" t="str">
        <f t="shared" si="7"/>
        <v>-</v>
      </c>
      <c r="AF43" s="8" t="str">
        <f>IF($AD43&lt;=$C$25,AE43-$C$7+SUMIFS('Mortgage Calculators (By Month)'!$K$23:$K$622,'Mortgage Calculators (By Month)'!$I$23:$I$622,"&lt;="&amp;AD43*12),"-")</f>
        <v>-</v>
      </c>
      <c r="AG43" s="8" t="str">
        <f t="shared" si="16"/>
        <v>-</v>
      </c>
      <c r="AH43" s="8" t="str">
        <f>IF($AD43&lt;=$C$25,SUMIFS('Forecast (By Month)'!$AH$4:$AH$605,'Forecast (By Month)'!$AD$4:$AD$605,"&lt;="&amp;AD43*12,'Forecast (By Month)'!$AD$4:$AD$605,"&gt;"&amp;AD42*12),"-")</f>
        <v>-</v>
      </c>
      <c r="AI43" s="8" t="str">
        <f>IF($AD43&lt;=$C$25,SUMIFS('Forecast (By Month)'!$AI$4:$AI$605,'Forecast (By Month)'!$AD$4:$AD$605,"&lt;="&amp;AD43*12,'Forecast (By Month)'!$AD$4:$AD$605,"&gt;"&amp;AD42*12),"-")</f>
        <v>-</v>
      </c>
      <c r="AJ43" s="8" t="str">
        <f t="shared" si="17"/>
        <v>-</v>
      </c>
      <c r="AK43" s="8" t="str">
        <f>IF($AD43&lt;=$C$25,SUMIFS('Forecast (By Month)'!$AK$4:$AK$605,'Forecast (By Month)'!$AD$4:$AD$605,"&lt;="&amp;AD43*12,'Forecast (By Month)'!$AD$4:$AD$605,"&gt;"&amp;AD42*12),"-")</f>
        <v>-</v>
      </c>
      <c r="AL43" s="8" t="str">
        <f>IF($AD43&lt;=$C$25,SUMIFS('Forecast (By Month)'!$AL$4:$AL$605,'Forecast (By Month)'!$AD$4:$AD$605,"&lt;="&amp;AD43*12,'Forecast (By Month)'!$AD$4:$AD$605,"&gt;"&amp;AD42*12),"-")</f>
        <v>-</v>
      </c>
      <c r="AM43" s="8" t="str">
        <f>IF($AD43&lt;=$C$25,SUMIFS('Forecast (By Month)'!$AM$4:$AM$605,'Forecast (By Month)'!$AD$4:$AD$605,"&lt;="&amp;AD43*12,'Forecast (By Month)'!$AD$4:$AD$605,"&gt;"&amp;AD42*12),"-")</f>
        <v>-</v>
      </c>
      <c r="AN43" s="8" t="str">
        <f>IF($AD43&lt;=$C$25,SUMIFS('Forecast (By Month)'!$AN$4:$AN$605,'Forecast (By Month)'!$AD$4:$AD$605,"&lt;="&amp;AD43*12,'Forecast (By Month)'!$AD$4:$AD$605,"&gt;"&amp;AD42*12),"-")</f>
        <v>-</v>
      </c>
      <c r="AO43" s="8" t="str">
        <f>IF($AD43&lt;=$C$25,SUMIFS('Forecast (By Month)'!$AO$4:$AO$605,'Forecast (By Month)'!$AD$4:$AD$605,"&lt;="&amp;AD43*12,'Forecast (By Month)'!$AD$4:$AD$605,"&gt;"&amp;AD42*12),"-")</f>
        <v>-</v>
      </c>
      <c r="AP43" s="8" t="str">
        <f>IF($AD43&lt;=$C$25,SUMIFS('Forecast (By Month)'!$AP$4:$AP$605,'Forecast (By Month)'!$AD$4:$AD$605,"&lt;="&amp;AD43*12,'Forecast (By Month)'!$AD$4:$AD$605,"&gt;"&amp;AD42*12),"-")</f>
        <v>-</v>
      </c>
      <c r="AQ43" s="8" t="str">
        <f t="shared" si="18"/>
        <v>-</v>
      </c>
      <c r="AR43" s="8" t="str">
        <f t="shared" si="19"/>
        <v>-</v>
      </c>
      <c r="AS43" s="8" t="str">
        <f>IF($AD43&lt;=$C$25,SUM(AR$5:AR43),"-")</f>
        <v>-</v>
      </c>
      <c r="AT43" s="8" t="str">
        <f>IF($AD43&lt;=$C$25,INDEX('Forecast (By Month)'!$AD$3:$AY$605,MATCH($AD43*12,'Forecast (By Month)'!$AD$3:$AD$605,0),MATCH(AT$3,'Forecast (By Month)'!$AD$3:$AY$3,0)),"-")</f>
        <v>-</v>
      </c>
      <c r="AU43" s="29" t="str">
        <f>IF($AD43&lt;=$C$25,INDEX('Forecast (By Month)'!$AD$3:$AY$605,MATCH($AD43*12,'Forecast (By Month)'!$AD$3:$AD$605,0),MATCH(AU$3,'Forecast (By Month)'!$AD$3:$AY$3,0)),"-")</f>
        <v>-</v>
      </c>
      <c r="AV43" s="29" t="str">
        <f>IF($AD43&lt;=$C$25,INDEX('Forecast (By Month)'!$AD$3:$AY$605,MATCH($AD43*12,'Forecast (By Month)'!$AD$3:$AD$605,0),MATCH(AV$3,'Forecast (By Month)'!$AD$3:$AY$3,0)),"-")</f>
        <v>-</v>
      </c>
      <c r="AW43" s="8" t="str">
        <f>IF($AD43&lt;=$C$25,INDEX('Forecast (By Month)'!$AD$3:$AY$605,MATCH($AD43*12,'Forecast (By Month)'!$AD$3:$AD$605,0),MATCH(AW$3,'Forecast (By Month)'!$AD$3:$AY$3,0)),"-")</f>
        <v>-</v>
      </c>
      <c r="AX43" s="29" t="str">
        <f>IF($AD43&lt;=$C$25,INDEX('Forecast (By Month)'!$AD$3:$AY$605,MATCH($AD43*12,'Forecast (By Month)'!$AD$3:$AD$605,0),MATCH(AX$3,'Forecast (By Month)'!$AD$3:$AY$3,0)),"-")</f>
        <v>-</v>
      </c>
      <c r="AY43" s="31" t="str">
        <f>IF($AD43&lt;=$C$25,INDEX('Forecast (By Month)'!$AD$3:$AY$605,MATCH($AD43*12,'Forecast (By Month)'!$AD$3:$AD$605,0),MATCH(AY$3,'Forecast (By Month)'!$AD$3:$AY$3,0)),"-")</f>
        <v>-</v>
      </c>
    </row>
    <row r="44" spans="2:51" x14ac:dyDescent="0.35">
      <c r="F44" s="12" t="str">
        <f t="shared" si="1"/>
        <v>-</v>
      </c>
      <c r="G44" s="8" t="str">
        <f t="shared" si="2"/>
        <v>-</v>
      </c>
      <c r="H44" s="8" t="str">
        <f>IF($F44&lt;=$C$16,G44-$C$7+SUMIFS('Mortgage Calculators (By Month)'!$D$23:$D$622,'Mortgage Calculators (By Month)'!$B$23:$B$622,"&lt;="&amp;F44*12),"-")</f>
        <v>-</v>
      </c>
      <c r="I44" s="8" t="str">
        <f t="shared" si="12"/>
        <v>-</v>
      </c>
      <c r="J44" s="8" t="str">
        <f>IF($F44&lt;=$C$16,SUMIFS('Forecast (By Month)'!$J$4:$J$605,'Forecast (By Month)'!$F$4:$F$605,"&lt;="&amp;F44*12,'Forecast (By Month)'!$F$4:$F$605,"&gt;"&amp;F43*12),"-")</f>
        <v>-</v>
      </c>
      <c r="K44" s="8" t="str">
        <f>IF($F44&lt;=$C$16,SUMIFS('Forecast (By Month)'!$K$4:$K$605,'Forecast (By Month)'!$F$4:$F$605,"&lt;="&amp;F44*12,'Forecast (By Month)'!$F$4:$F$605,"&gt;"&amp;F43*12),"-")</f>
        <v>-</v>
      </c>
      <c r="L44" s="8" t="str">
        <f t="shared" si="13"/>
        <v>-</v>
      </c>
      <c r="M44" s="8" t="str">
        <f>IF($F44&lt;=$C$16,SUMIFS('Forecast (By Month)'!$M$4:$M$605,'Forecast (By Month)'!$F$4:$F$605,"&lt;="&amp;F44*12,'Forecast (By Month)'!$F$4:$F$605,"&gt;"&amp;F43*12),"-")</f>
        <v>-</v>
      </c>
      <c r="N44" s="8" t="str">
        <f>IF($F44&lt;=$C$16,SUMIFS('Forecast (By Month)'!$N$4:$N$605,'Forecast (By Month)'!$F$4:$F$605,"&lt;="&amp;F44*12,'Forecast (By Month)'!$F$4:$F$605,"&gt;"&amp;F43*12),"-")</f>
        <v>-</v>
      </c>
      <c r="O44" s="8" t="str">
        <f>IF($F44&lt;=$C$16,SUMIFS('Forecast (By Month)'!$O$4:$O$605,'Forecast (By Month)'!$F$4:$F$605,"&lt;="&amp;F44*12,'Forecast (By Month)'!$F$4:$F$605,"&gt;"&amp;F43*12),"-")</f>
        <v>-</v>
      </c>
      <c r="P44" s="8" t="str">
        <f>IF($F44&lt;=$C$16,SUMIFS('Forecast (By Month)'!$P$4:$P$605,'Forecast (By Month)'!$F$4:$F$605,"&lt;="&amp;F44*12,'Forecast (By Month)'!$F$4:$F$605,"&gt;"&amp;F43*12),"-")</f>
        <v>-</v>
      </c>
      <c r="Q44" s="8" t="str">
        <f>IF($F44&lt;=$C$16,SUMIFS('Forecast (By Month)'!$Q$4:$Q$605,'Forecast (By Month)'!$F$4:$F$605,"&lt;="&amp;F44*12,'Forecast (By Month)'!$F$4:$F$605,"&gt;"&amp;F43*12),"-")</f>
        <v>-</v>
      </c>
      <c r="R44" s="8" t="str">
        <f>IF($F44&lt;=$C$16,SUMIFS('Forecast (By Month)'!$R$4:$R$605,'Forecast (By Month)'!$F$4:$F$605,"&lt;="&amp;F44*12,'Forecast (By Month)'!$F$4:$F$605,"&gt;"&amp;F43*12),"-")</f>
        <v>-</v>
      </c>
      <c r="S44" s="8" t="str">
        <f t="shared" si="14"/>
        <v>-</v>
      </c>
      <c r="T44" s="8" t="str">
        <f t="shared" si="15"/>
        <v>-</v>
      </c>
      <c r="U44" s="8" t="str">
        <f>IF($F44&lt;=$C$16,SUM(T$5:T44),"-")</f>
        <v>-</v>
      </c>
      <c r="V44" s="8" t="str">
        <f>IF($F44&lt;=$C$16,INDEX('Forecast (By Month)'!$F$3:$AY$605,MATCH($F44*12,'Forecast (By Month)'!$F$3:$F$605,0),MATCH(V$3,'Forecast (By Month)'!$F$3:$AA$3,0)),"-")</f>
        <v>-</v>
      </c>
      <c r="W44" s="29" t="str">
        <f>IF($F44&lt;=$C$16,INDEX('Forecast (By Month)'!$F$3:$AY$605,MATCH($F44*12,'Forecast (By Month)'!$F$3:$F$605,0),MATCH(W$3,'Forecast (By Month)'!$F$3:$AA$3,0)),"-")</f>
        <v>-</v>
      </c>
      <c r="X44" s="29" t="str">
        <f>IF($F44&lt;=$C$16,INDEX('Forecast (By Month)'!$F$3:$AY$605,MATCH($F44*12,'Forecast (By Month)'!$F$3:$F$605,0),MATCH(X$3,'Forecast (By Month)'!$F$3:$AA$3,0)),"-")</f>
        <v>-</v>
      </c>
      <c r="Y44" s="8" t="str">
        <f>IF($F44&lt;=$C$16,INDEX('Forecast (By Month)'!$F$3:$AY$605,MATCH($F44*12,'Forecast (By Month)'!$F$3:$F$605,0),MATCH(Y$3,'Forecast (By Month)'!$F$3:$AA$3,0)),"-")</f>
        <v>-</v>
      </c>
      <c r="Z44" s="29" t="str">
        <f>IF($F44&lt;=$C$16,INDEX('Forecast (By Month)'!$F$3:$AY$605,MATCH($F44*12,'Forecast (By Month)'!$F$3:$F$605,0),MATCH(Z$3,'Forecast (By Month)'!$F$3:$AA$3,0)),"-")</f>
        <v>-</v>
      </c>
      <c r="AA44" s="31" t="str">
        <f>IF($F44&lt;=$C$16,INDEX('Forecast (By Month)'!$F$3:$AY$605,MATCH($F44*12,'Forecast (By Month)'!$F$3:$F$605,0),MATCH(AA$3,'Forecast (By Month)'!$F$3:$AA$3,0)),"-")</f>
        <v>-</v>
      </c>
      <c r="AD44" s="12" t="str">
        <f t="shared" si="6"/>
        <v>-</v>
      </c>
      <c r="AE44" s="8" t="str">
        <f t="shared" si="7"/>
        <v>-</v>
      </c>
      <c r="AF44" s="8" t="str">
        <f>IF($AD44&lt;=$C$25,AE44-$C$7+SUMIFS('Mortgage Calculators (By Month)'!$K$23:$K$622,'Mortgage Calculators (By Month)'!$I$23:$I$622,"&lt;="&amp;AD44*12),"-")</f>
        <v>-</v>
      </c>
      <c r="AG44" s="8" t="str">
        <f t="shared" si="16"/>
        <v>-</v>
      </c>
      <c r="AH44" s="8" t="str">
        <f>IF($AD44&lt;=$C$25,SUMIFS('Forecast (By Month)'!$AH$4:$AH$605,'Forecast (By Month)'!$AD$4:$AD$605,"&lt;="&amp;AD44*12,'Forecast (By Month)'!$AD$4:$AD$605,"&gt;"&amp;AD43*12),"-")</f>
        <v>-</v>
      </c>
      <c r="AI44" s="8" t="str">
        <f>IF($AD44&lt;=$C$25,SUMIFS('Forecast (By Month)'!$AI$4:$AI$605,'Forecast (By Month)'!$AD$4:$AD$605,"&lt;="&amp;AD44*12,'Forecast (By Month)'!$AD$4:$AD$605,"&gt;"&amp;AD43*12),"-")</f>
        <v>-</v>
      </c>
      <c r="AJ44" s="8" t="str">
        <f t="shared" si="17"/>
        <v>-</v>
      </c>
      <c r="AK44" s="8" t="str">
        <f>IF($AD44&lt;=$C$25,SUMIFS('Forecast (By Month)'!$AK$4:$AK$605,'Forecast (By Month)'!$AD$4:$AD$605,"&lt;="&amp;AD44*12,'Forecast (By Month)'!$AD$4:$AD$605,"&gt;"&amp;AD43*12),"-")</f>
        <v>-</v>
      </c>
      <c r="AL44" s="8" t="str">
        <f>IF($AD44&lt;=$C$25,SUMIFS('Forecast (By Month)'!$AL$4:$AL$605,'Forecast (By Month)'!$AD$4:$AD$605,"&lt;="&amp;AD44*12,'Forecast (By Month)'!$AD$4:$AD$605,"&gt;"&amp;AD43*12),"-")</f>
        <v>-</v>
      </c>
      <c r="AM44" s="8" t="str">
        <f>IF($AD44&lt;=$C$25,SUMIFS('Forecast (By Month)'!$AM$4:$AM$605,'Forecast (By Month)'!$AD$4:$AD$605,"&lt;="&amp;AD44*12,'Forecast (By Month)'!$AD$4:$AD$605,"&gt;"&amp;AD43*12),"-")</f>
        <v>-</v>
      </c>
      <c r="AN44" s="8" t="str">
        <f>IF($AD44&lt;=$C$25,SUMIFS('Forecast (By Month)'!$AN$4:$AN$605,'Forecast (By Month)'!$AD$4:$AD$605,"&lt;="&amp;AD44*12,'Forecast (By Month)'!$AD$4:$AD$605,"&gt;"&amp;AD43*12),"-")</f>
        <v>-</v>
      </c>
      <c r="AO44" s="8" t="str">
        <f>IF($AD44&lt;=$C$25,SUMIFS('Forecast (By Month)'!$AO$4:$AO$605,'Forecast (By Month)'!$AD$4:$AD$605,"&lt;="&amp;AD44*12,'Forecast (By Month)'!$AD$4:$AD$605,"&gt;"&amp;AD43*12),"-")</f>
        <v>-</v>
      </c>
      <c r="AP44" s="8" t="str">
        <f>IF($AD44&lt;=$C$25,SUMIFS('Forecast (By Month)'!$AP$4:$AP$605,'Forecast (By Month)'!$AD$4:$AD$605,"&lt;="&amp;AD44*12,'Forecast (By Month)'!$AD$4:$AD$605,"&gt;"&amp;AD43*12),"-")</f>
        <v>-</v>
      </c>
      <c r="AQ44" s="8" t="str">
        <f t="shared" si="18"/>
        <v>-</v>
      </c>
      <c r="AR44" s="8" t="str">
        <f t="shared" si="19"/>
        <v>-</v>
      </c>
      <c r="AS44" s="8" t="str">
        <f>IF($AD44&lt;=$C$25,SUM(AR$5:AR44),"-")</f>
        <v>-</v>
      </c>
      <c r="AT44" s="8" t="str">
        <f>IF($AD44&lt;=$C$25,INDEX('Forecast (By Month)'!$AD$3:$AY$605,MATCH($AD44*12,'Forecast (By Month)'!$AD$3:$AD$605,0),MATCH(AT$3,'Forecast (By Month)'!$AD$3:$AY$3,0)),"-")</f>
        <v>-</v>
      </c>
      <c r="AU44" s="29" t="str">
        <f>IF($AD44&lt;=$C$25,INDEX('Forecast (By Month)'!$AD$3:$AY$605,MATCH($AD44*12,'Forecast (By Month)'!$AD$3:$AD$605,0),MATCH(AU$3,'Forecast (By Month)'!$AD$3:$AY$3,0)),"-")</f>
        <v>-</v>
      </c>
      <c r="AV44" s="29" t="str">
        <f>IF($AD44&lt;=$C$25,INDEX('Forecast (By Month)'!$AD$3:$AY$605,MATCH($AD44*12,'Forecast (By Month)'!$AD$3:$AD$605,0),MATCH(AV$3,'Forecast (By Month)'!$AD$3:$AY$3,0)),"-")</f>
        <v>-</v>
      </c>
      <c r="AW44" s="8" t="str">
        <f>IF($AD44&lt;=$C$25,INDEX('Forecast (By Month)'!$AD$3:$AY$605,MATCH($AD44*12,'Forecast (By Month)'!$AD$3:$AD$605,0),MATCH(AW$3,'Forecast (By Month)'!$AD$3:$AY$3,0)),"-")</f>
        <v>-</v>
      </c>
      <c r="AX44" s="29" t="str">
        <f>IF($AD44&lt;=$C$25,INDEX('Forecast (By Month)'!$AD$3:$AY$605,MATCH($AD44*12,'Forecast (By Month)'!$AD$3:$AD$605,0),MATCH(AX$3,'Forecast (By Month)'!$AD$3:$AY$3,0)),"-")</f>
        <v>-</v>
      </c>
      <c r="AY44" s="31" t="str">
        <f>IF($AD44&lt;=$C$25,INDEX('Forecast (By Month)'!$AD$3:$AY$605,MATCH($AD44*12,'Forecast (By Month)'!$AD$3:$AD$605,0),MATCH(AY$3,'Forecast (By Month)'!$AD$3:$AY$3,0)),"-")</f>
        <v>-</v>
      </c>
    </row>
    <row r="45" spans="2:51" x14ac:dyDescent="0.35">
      <c r="F45" s="12" t="str">
        <f t="shared" si="1"/>
        <v>-</v>
      </c>
      <c r="G45" s="8" t="str">
        <f t="shared" si="2"/>
        <v>-</v>
      </c>
      <c r="H45" s="8" t="str">
        <f>IF($F45&lt;=$C$16,G45-$C$7+SUMIFS('Mortgage Calculators (By Month)'!$D$23:$D$622,'Mortgage Calculators (By Month)'!$B$23:$B$622,"&lt;="&amp;F45*12),"-")</f>
        <v>-</v>
      </c>
      <c r="I45" s="8" t="str">
        <f t="shared" si="12"/>
        <v>-</v>
      </c>
      <c r="J45" s="8" t="str">
        <f>IF($F45&lt;=$C$16,SUMIFS('Forecast (By Month)'!$J$4:$J$605,'Forecast (By Month)'!$F$4:$F$605,"&lt;="&amp;F45*12,'Forecast (By Month)'!$F$4:$F$605,"&gt;"&amp;F44*12),"-")</f>
        <v>-</v>
      </c>
      <c r="K45" s="8" t="str">
        <f>IF($F45&lt;=$C$16,SUMIFS('Forecast (By Month)'!$K$4:$K$605,'Forecast (By Month)'!$F$4:$F$605,"&lt;="&amp;F45*12,'Forecast (By Month)'!$F$4:$F$605,"&gt;"&amp;F44*12),"-")</f>
        <v>-</v>
      </c>
      <c r="L45" s="8" t="str">
        <f t="shared" si="13"/>
        <v>-</v>
      </c>
      <c r="M45" s="8" t="str">
        <f>IF($F45&lt;=$C$16,SUMIFS('Forecast (By Month)'!$M$4:$M$605,'Forecast (By Month)'!$F$4:$F$605,"&lt;="&amp;F45*12,'Forecast (By Month)'!$F$4:$F$605,"&gt;"&amp;F44*12),"-")</f>
        <v>-</v>
      </c>
      <c r="N45" s="8" t="str">
        <f>IF($F45&lt;=$C$16,SUMIFS('Forecast (By Month)'!$N$4:$N$605,'Forecast (By Month)'!$F$4:$F$605,"&lt;="&amp;F45*12,'Forecast (By Month)'!$F$4:$F$605,"&gt;"&amp;F44*12),"-")</f>
        <v>-</v>
      </c>
      <c r="O45" s="8" t="str">
        <f>IF($F45&lt;=$C$16,SUMIFS('Forecast (By Month)'!$O$4:$O$605,'Forecast (By Month)'!$F$4:$F$605,"&lt;="&amp;F45*12,'Forecast (By Month)'!$F$4:$F$605,"&gt;"&amp;F44*12),"-")</f>
        <v>-</v>
      </c>
      <c r="P45" s="8" t="str">
        <f>IF($F45&lt;=$C$16,SUMIFS('Forecast (By Month)'!$P$4:$P$605,'Forecast (By Month)'!$F$4:$F$605,"&lt;="&amp;F45*12,'Forecast (By Month)'!$F$4:$F$605,"&gt;"&amp;F44*12),"-")</f>
        <v>-</v>
      </c>
      <c r="Q45" s="8" t="str">
        <f>IF($F45&lt;=$C$16,SUMIFS('Forecast (By Month)'!$Q$4:$Q$605,'Forecast (By Month)'!$F$4:$F$605,"&lt;="&amp;F45*12,'Forecast (By Month)'!$F$4:$F$605,"&gt;"&amp;F44*12),"-")</f>
        <v>-</v>
      </c>
      <c r="R45" s="8" t="str">
        <f>IF($F45&lt;=$C$16,SUMIFS('Forecast (By Month)'!$R$4:$R$605,'Forecast (By Month)'!$F$4:$F$605,"&lt;="&amp;F45*12,'Forecast (By Month)'!$F$4:$F$605,"&gt;"&amp;F44*12),"-")</f>
        <v>-</v>
      </c>
      <c r="S45" s="8" t="str">
        <f t="shared" si="14"/>
        <v>-</v>
      </c>
      <c r="T45" s="8" t="str">
        <f t="shared" si="15"/>
        <v>-</v>
      </c>
      <c r="U45" s="8" t="str">
        <f>IF($F45&lt;=$C$16,SUM(T$5:T45),"-")</f>
        <v>-</v>
      </c>
      <c r="V45" s="8" t="str">
        <f>IF($F45&lt;=$C$16,INDEX('Forecast (By Month)'!$F$3:$AY$605,MATCH($F45*12,'Forecast (By Month)'!$F$3:$F$605,0),MATCH(V$3,'Forecast (By Month)'!$F$3:$AA$3,0)),"-")</f>
        <v>-</v>
      </c>
      <c r="W45" s="29" t="str">
        <f>IF($F45&lt;=$C$16,INDEX('Forecast (By Month)'!$F$3:$AY$605,MATCH($F45*12,'Forecast (By Month)'!$F$3:$F$605,0),MATCH(W$3,'Forecast (By Month)'!$F$3:$AA$3,0)),"-")</f>
        <v>-</v>
      </c>
      <c r="X45" s="29" t="str">
        <f>IF($F45&lt;=$C$16,INDEX('Forecast (By Month)'!$F$3:$AY$605,MATCH($F45*12,'Forecast (By Month)'!$F$3:$F$605,0),MATCH(X$3,'Forecast (By Month)'!$F$3:$AA$3,0)),"-")</f>
        <v>-</v>
      </c>
      <c r="Y45" s="8" t="str">
        <f>IF($F45&lt;=$C$16,INDEX('Forecast (By Month)'!$F$3:$AY$605,MATCH($F45*12,'Forecast (By Month)'!$F$3:$F$605,0),MATCH(Y$3,'Forecast (By Month)'!$F$3:$AA$3,0)),"-")</f>
        <v>-</v>
      </c>
      <c r="Z45" s="29" t="str">
        <f>IF($F45&lt;=$C$16,INDEX('Forecast (By Month)'!$F$3:$AY$605,MATCH($F45*12,'Forecast (By Month)'!$F$3:$F$605,0),MATCH(Z$3,'Forecast (By Month)'!$F$3:$AA$3,0)),"-")</f>
        <v>-</v>
      </c>
      <c r="AA45" s="31" t="str">
        <f>IF($F45&lt;=$C$16,INDEX('Forecast (By Month)'!$F$3:$AY$605,MATCH($F45*12,'Forecast (By Month)'!$F$3:$F$605,0),MATCH(AA$3,'Forecast (By Month)'!$F$3:$AA$3,0)),"-")</f>
        <v>-</v>
      </c>
      <c r="AD45" s="12" t="str">
        <f t="shared" si="6"/>
        <v>-</v>
      </c>
      <c r="AE45" s="8" t="str">
        <f t="shared" si="7"/>
        <v>-</v>
      </c>
      <c r="AF45" s="8" t="str">
        <f>IF($AD45&lt;=$C$25,AE45-$C$7+SUMIFS('Mortgage Calculators (By Month)'!$K$23:$K$622,'Mortgage Calculators (By Month)'!$I$23:$I$622,"&lt;="&amp;AD45*12),"-")</f>
        <v>-</v>
      </c>
      <c r="AG45" s="8" t="str">
        <f t="shared" si="16"/>
        <v>-</v>
      </c>
      <c r="AH45" s="8" t="str">
        <f>IF($AD45&lt;=$C$25,SUMIFS('Forecast (By Month)'!$AH$4:$AH$605,'Forecast (By Month)'!$AD$4:$AD$605,"&lt;="&amp;AD45*12,'Forecast (By Month)'!$AD$4:$AD$605,"&gt;"&amp;AD44*12),"-")</f>
        <v>-</v>
      </c>
      <c r="AI45" s="8" t="str">
        <f>IF($AD45&lt;=$C$25,SUMIFS('Forecast (By Month)'!$AI$4:$AI$605,'Forecast (By Month)'!$AD$4:$AD$605,"&lt;="&amp;AD45*12,'Forecast (By Month)'!$AD$4:$AD$605,"&gt;"&amp;AD44*12),"-")</f>
        <v>-</v>
      </c>
      <c r="AJ45" s="8" t="str">
        <f t="shared" si="17"/>
        <v>-</v>
      </c>
      <c r="AK45" s="8" t="str">
        <f>IF($AD45&lt;=$C$25,SUMIFS('Forecast (By Month)'!$AK$4:$AK$605,'Forecast (By Month)'!$AD$4:$AD$605,"&lt;="&amp;AD45*12,'Forecast (By Month)'!$AD$4:$AD$605,"&gt;"&amp;AD44*12),"-")</f>
        <v>-</v>
      </c>
      <c r="AL45" s="8" t="str">
        <f>IF($AD45&lt;=$C$25,SUMIFS('Forecast (By Month)'!$AL$4:$AL$605,'Forecast (By Month)'!$AD$4:$AD$605,"&lt;="&amp;AD45*12,'Forecast (By Month)'!$AD$4:$AD$605,"&gt;"&amp;AD44*12),"-")</f>
        <v>-</v>
      </c>
      <c r="AM45" s="8" t="str">
        <f>IF($AD45&lt;=$C$25,SUMIFS('Forecast (By Month)'!$AM$4:$AM$605,'Forecast (By Month)'!$AD$4:$AD$605,"&lt;="&amp;AD45*12,'Forecast (By Month)'!$AD$4:$AD$605,"&gt;"&amp;AD44*12),"-")</f>
        <v>-</v>
      </c>
      <c r="AN45" s="8" t="str">
        <f>IF($AD45&lt;=$C$25,SUMIFS('Forecast (By Month)'!$AN$4:$AN$605,'Forecast (By Month)'!$AD$4:$AD$605,"&lt;="&amp;AD45*12,'Forecast (By Month)'!$AD$4:$AD$605,"&gt;"&amp;AD44*12),"-")</f>
        <v>-</v>
      </c>
      <c r="AO45" s="8" t="str">
        <f>IF($AD45&lt;=$C$25,SUMIFS('Forecast (By Month)'!$AO$4:$AO$605,'Forecast (By Month)'!$AD$4:$AD$605,"&lt;="&amp;AD45*12,'Forecast (By Month)'!$AD$4:$AD$605,"&gt;"&amp;AD44*12),"-")</f>
        <v>-</v>
      </c>
      <c r="AP45" s="8" t="str">
        <f>IF($AD45&lt;=$C$25,SUMIFS('Forecast (By Month)'!$AP$4:$AP$605,'Forecast (By Month)'!$AD$4:$AD$605,"&lt;="&amp;AD45*12,'Forecast (By Month)'!$AD$4:$AD$605,"&gt;"&amp;AD44*12),"-")</f>
        <v>-</v>
      </c>
      <c r="AQ45" s="8" t="str">
        <f t="shared" si="18"/>
        <v>-</v>
      </c>
      <c r="AR45" s="8" t="str">
        <f t="shared" si="19"/>
        <v>-</v>
      </c>
      <c r="AS45" s="8" t="str">
        <f>IF($AD45&lt;=$C$25,SUM(AR$5:AR45),"-")</f>
        <v>-</v>
      </c>
      <c r="AT45" s="8" t="str">
        <f>IF($AD45&lt;=$C$25,INDEX('Forecast (By Month)'!$AD$3:$AY$605,MATCH($AD45*12,'Forecast (By Month)'!$AD$3:$AD$605,0),MATCH(AT$3,'Forecast (By Month)'!$AD$3:$AY$3,0)),"-")</f>
        <v>-</v>
      </c>
      <c r="AU45" s="29" t="str">
        <f>IF($AD45&lt;=$C$25,INDEX('Forecast (By Month)'!$AD$3:$AY$605,MATCH($AD45*12,'Forecast (By Month)'!$AD$3:$AD$605,0),MATCH(AU$3,'Forecast (By Month)'!$AD$3:$AY$3,0)),"-")</f>
        <v>-</v>
      </c>
      <c r="AV45" s="29" t="str">
        <f>IF($AD45&lt;=$C$25,INDEX('Forecast (By Month)'!$AD$3:$AY$605,MATCH($AD45*12,'Forecast (By Month)'!$AD$3:$AD$605,0),MATCH(AV$3,'Forecast (By Month)'!$AD$3:$AY$3,0)),"-")</f>
        <v>-</v>
      </c>
      <c r="AW45" s="8" t="str">
        <f>IF($AD45&lt;=$C$25,INDEX('Forecast (By Month)'!$AD$3:$AY$605,MATCH($AD45*12,'Forecast (By Month)'!$AD$3:$AD$605,0),MATCH(AW$3,'Forecast (By Month)'!$AD$3:$AY$3,0)),"-")</f>
        <v>-</v>
      </c>
      <c r="AX45" s="29" t="str">
        <f>IF($AD45&lt;=$C$25,INDEX('Forecast (By Month)'!$AD$3:$AY$605,MATCH($AD45*12,'Forecast (By Month)'!$AD$3:$AD$605,0),MATCH(AX$3,'Forecast (By Month)'!$AD$3:$AY$3,0)),"-")</f>
        <v>-</v>
      </c>
      <c r="AY45" s="31" t="str">
        <f>IF($AD45&lt;=$C$25,INDEX('Forecast (By Month)'!$AD$3:$AY$605,MATCH($AD45*12,'Forecast (By Month)'!$AD$3:$AD$605,0),MATCH(AY$3,'Forecast (By Month)'!$AD$3:$AY$3,0)),"-")</f>
        <v>-</v>
      </c>
    </row>
    <row r="46" spans="2:51" x14ac:dyDescent="0.35">
      <c r="F46" s="12" t="str">
        <f t="shared" si="1"/>
        <v>-</v>
      </c>
      <c r="G46" s="8" t="str">
        <f t="shared" si="2"/>
        <v>-</v>
      </c>
      <c r="H46" s="8" t="str">
        <f>IF($F46&lt;=$C$16,G46-$C$7+SUMIFS('Mortgage Calculators (By Month)'!$D$23:$D$622,'Mortgage Calculators (By Month)'!$B$23:$B$622,"&lt;="&amp;F46*12),"-")</f>
        <v>-</v>
      </c>
      <c r="I46" s="8" t="str">
        <f t="shared" si="12"/>
        <v>-</v>
      </c>
      <c r="J46" s="8" t="str">
        <f>IF($F46&lt;=$C$16,SUMIFS('Forecast (By Month)'!$J$4:$J$605,'Forecast (By Month)'!$F$4:$F$605,"&lt;="&amp;F46*12,'Forecast (By Month)'!$F$4:$F$605,"&gt;"&amp;F45*12),"-")</f>
        <v>-</v>
      </c>
      <c r="K46" s="8" t="str">
        <f>IF($F46&lt;=$C$16,SUMIFS('Forecast (By Month)'!$K$4:$K$605,'Forecast (By Month)'!$F$4:$F$605,"&lt;="&amp;F46*12,'Forecast (By Month)'!$F$4:$F$605,"&gt;"&amp;F45*12),"-")</f>
        <v>-</v>
      </c>
      <c r="L46" s="8" t="str">
        <f t="shared" si="13"/>
        <v>-</v>
      </c>
      <c r="M46" s="8" t="str">
        <f>IF($F46&lt;=$C$16,SUMIFS('Forecast (By Month)'!$M$4:$M$605,'Forecast (By Month)'!$F$4:$F$605,"&lt;="&amp;F46*12,'Forecast (By Month)'!$F$4:$F$605,"&gt;"&amp;F45*12),"-")</f>
        <v>-</v>
      </c>
      <c r="N46" s="8" t="str">
        <f>IF($F46&lt;=$C$16,SUMIFS('Forecast (By Month)'!$N$4:$N$605,'Forecast (By Month)'!$F$4:$F$605,"&lt;="&amp;F46*12,'Forecast (By Month)'!$F$4:$F$605,"&gt;"&amp;F45*12),"-")</f>
        <v>-</v>
      </c>
      <c r="O46" s="8" t="str">
        <f>IF($F46&lt;=$C$16,SUMIFS('Forecast (By Month)'!$O$4:$O$605,'Forecast (By Month)'!$F$4:$F$605,"&lt;="&amp;F46*12,'Forecast (By Month)'!$F$4:$F$605,"&gt;"&amp;F45*12),"-")</f>
        <v>-</v>
      </c>
      <c r="P46" s="8" t="str">
        <f>IF($F46&lt;=$C$16,SUMIFS('Forecast (By Month)'!$P$4:$P$605,'Forecast (By Month)'!$F$4:$F$605,"&lt;="&amp;F46*12,'Forecast (By Month)'!$F$4:$F$605,"&gt;"&amp;F45*12),"-")</f>
        <v>-</v>
      </c>
      <c r="Q46" s="8" t="str">
        <f>IF($F46&lt;=$C$16,SUMIFS('Forecast (By Month)'!$Q$4:$Q$605,'Forecast (By Month)'!$F$4:$F$605,"&lt;="&amp;F46*12,'Forecast (By Month)'!$F$4:$F$605,"&gt;"&amp;F45*12),"-")</f>
        <v>-</v>
      </c>
      <c r="R46" s="8" t="str">
        <f>IF($F46&lt;=$C$16,SUMIFS('Forecast (By Month)'!$R$4:$R$605,'Forecast (By Month)'!$F$4:$F$605,"&lt;="&amp;F46*12,'Forecast (By Month)'!$F$4:$F$605,"&gt;"&amp;F45*12),"-")</f>
        <v>-</v>
      </c>
      <c r="S46" s="8" t="str">
        <f t="shared" si="14"/>
        <v>-</v>
      </c>
      <c r="T46" s="8" t="str">
        <f t="shared" si="15"/>
        <v>-</v>
      </c>
      <c r="U46" s="8" t="str">
        <f>IF($F46&lt;=$C$16,SUM(T$5:T46),"-")</f>
        <v>-</v>
      </c>
      <c r="V46" s="8" t="str">
        <f>IF($F46&lt;=$C$16,INDEX('Forecast (By Month)'!$F$3:$AY$605,MATCH($F46*12,'Forecast (By Month)'!$F$3:$F$605,0),MATCH(V$3,'Forecast (By Month)'!$F$3:$AA$3,0)),"-")</f>
        <v>-</v>
      </c>
      <c r="W46" s="29" t="str">
        <f>IF($F46&lt;=$C$16,INDEX('Forecast (By Month)'!$F$3:$AY$605,MATCH($F46*12,'Forecast (By Month)'!$F$3:$F$605,0),MATCH(W$3,'Forecast (By Month)'!$F$3:$AA$3,0)),"-")</f>
        <v>-</v>
      </c>
      <c r="X46" s="29" t="str">
        <f>IF($F46&lt;=$C$16,INDEX('Forecast (By Month)'!$F$3:$AY$605,MATCH($F46*12,'Forecast (By Month)'!$F$3:$F$605,0),MATCH(X$3,'Forecast (By Month)'!$F$3:$AA$3,0)),"-")</f>
        <v>-</v>
      </c>
      <c r="Y46" s="8" t="str">
        <f>IF($F46&lt;=$C$16,INDEX('Forecast (By Month)'!$F$3:$AY$605,MATCH($F46*12,'Forecast (By Month)'!$F$3:$F$605,0),MATCH(Y$3,'Forecast (By Month)'!$F$3:$AA$3,0)),"-")</f>
        <v>-</v>
      </c>
      <c r="Z46" s="29" t="str">
        <f>IF($F46&lt;=$C$16,INDEX('Forecast (By Month)'!$F$3:$AY$605,MATCH($F46*12,'Forecast (By Month)'!$F$3:$F$605,0),MATCH(Z$3,'Forecast (By Month)'!$F$3:$AA$3,0)),"-")</f>
        <v>-</v>
      </c>
      <c r="AA46" s="31" t="str">
        <f>IF($F46&lt;=$C$16,INDEX('Forecast (By Month)'!$F$3:$AY$605,MATCH($F46*12,'Forecast (By Month)'!$F$3:$F$605,0),MATCH(AA$3,'Forecast (By Month)'!$F$3:$AA$3,0)),"-")</f>
        <v>-</v>
      </c>
      <c r="AD46" s="12" t="str">
        <f t="shared" si="6"/>
        <v>-</v>
      </c>
      <c r="AE46" s="8" t="str">
        <f t="shared" si="7"/>
        <v>-</v>
      </c>
      <c r="AF46" s="8" t="str">
        <f>IF($AD46&lt;=$C$25,AE46-$C$7+SUMIFS('Mortgage Calculators (By Month)'!$K$23:$K$622,'Mortgage Calculators (By Month)'!$I$23:$I$622,"&lt;="&amp;AD46*12),"-")</f>
        <v>-</v>
      </c>
      <c r="AG46" s="8" t="str">
        <f t="shared" si="16"/>
        <v>-</v>
      </c>
      <c r="AH46" s="8" t="str">
        <f>IF($AD46&lt;=$C$25,SUMIFS('Forecast (By Month)'!$AH$4:$AH$605,'Forecast (By Month)'!$AD$4:$AD$605,"&lt;="&amp;AD46*12,'Forecast (By Month)'!$AD$4:$AD$605,"&gt;"&amp;AD45*12),"-")</f>
        <v>-</v>
      </c>
      <c r="AI46" s="8" t="str">
        <f>IF($AD46&lt;=$C$25,SUMIFS('Forecast (By Month)'!$AI$4:$AI$605,'Forecast (By Month)'!$AD$4:$AD$605,"&lt;="&amp;AD46*12,'Forecast (By Month)'!$AD$4:$AD$605,"&gt;"&amp;AD45*12),"-")</f>
        <v>-</v>
      </c>
      <c r="AJ46" s="8" t="str">
        <f t="shared" si="17"/>
        <v>-</v>
      </c>
      <c r="AK46" s="8" t="str">
        <f>IF($AD46&lt;=$C$25,SUMIFS('Forecast (By Month)'!$AK$4:$AK$605,'Forecast (By Month)'!$AD$4:$AD$605,"&lt;="&amp;AD46*12,'Forecast (By Month)'!$AD$4:$AD$605,"&gt;"&amp;AD45*12),"-")</f>
        <v>-</v>
      </c>
      <c r="AL46" s="8" t="str">
        <f>IF($AD46&lt;=$C$25,SUMIFS('Forecast (By Month)'!$AL$4:$AL$605,'Forecast (By Month)'!$AD$4:$AD$605,"&lt;="&amp;AD46*12,'Forecast (By Month)'!$AD$4:$AD$605,"&gt;"&amp;AD45*12),"-")</f>
        <v>-</v>
      </c>
      <c r="AM46" s="8" t="str">
        <f>IF($AD46&lt;=$C$25,SUMIFS('Forecast (By Month)'!$AM$4:$AM$605,'Forecast (By Month)'!$AD$4:$AD$605,"&lt;="&amp;AD46*12,'Forecast (By Month)'!$AD$4:$AD$605,"&gt;"&amp;AD45*12),"-")</f>
        <v>-</v>
      </c>
      <c r="AN46" s="8" t="str">
        <f>IF($AD46&lt;=$C$25,SUMIFS('Forecast (By Month)'!$AN$4:$AN$605,'Forecast (By Month)'!$AD$4:$AD$605,"&lt;="&amp;AD46*12,'Forecast (By Month)'!$AD$4:$AD$605,"&gt;"&amp;AD45*12),"-")</f>
        <v>-</v>
      </c>
      <c r="AO46" s="8" t="str">
        <f>IF($AD46&lt;=$C$25,SUMIFS('Forecast (By Month)'!$AO$4:$AO$605,'Forecast (By Month)'!$AD$4:$AD$605,"&lt;="&amp;AD46*12,'Forecast (By Month)'!$AD$4:$AD$605,"&gt;"&amp;AD45*12),"-")</f>
        <v>-</v>
      </c>
      <c r="AP46" s="8" t="str">
        <f>IF($AD46&lt;=$C$25,SUMIFS('Forecast (By Month)'!$AP$4:$AP$605,'Forecast (By Month)'!$AD$4:$AD$605,"&lt;="&amp;AD46*12,'Forecast (By Month)'!$AD$4:$AD$605,"&gt;"&amp;AD45*12),"-")</f>
        <v>-</v>
      </c>
      <c r="AQ46" s="8" t="str">
        <f t="shared" si="18"/>
        <v>-</v>
      </c>
      <c r="AR46" s="8" t="str">
        <f t="shared" si="19"/>
        <v>-</v>
      </c>
      <c r="AS46" s="8" t="str">
        <f>IF($AD46&lt;=$C$25,SUM(AR$5:AR46),"-")</f>
        <v>-</v>
      </c>
      <c r="AT46" s="8" t="str">
        <f>IF($AD46&lt;=$C$25,INDEX('Forecast (By Month)'!$AD$3:$AY$605,MATCH($AD46*12,'Forecast (By Month)'!$AD$3:$AD$605,0),MATCH(AT$3,'Forecast (By Month)'!$AD$3:$AY$3,0)),"-")</f>
        <v>-</v>
      </c>
      <c r="AU46" s="29" t="str">
        <f>IF($AD46&lt;=$C$25,INDEX('Forecast (By Month)'!$AD$3:$AY$605,MATCH($AD46*12,'Forecast (By Month)'!$AD$3:$AD$605,0),MATCH(AU$3,'Forecast (By Month)'!$AD$3:$AY$3,0)),"-")</f>
        <v>-</v>
      </c>
      <c r="AV46" s="29" t="str">
        <f>IF($AD46&lt;=$C$25,INDEX('Forecast (By Month)'!$AD$3:$AY$605,MATCH($AD46*12,'Forecast (By Month)'!$AD$3:$AD$605,0),MATCH(AV$3,'Forecast (By Month)'!$AD$3:$AY$3,0)),"-")</f>
        <v>-</v>
      </c>
      <c r="AW46" s="8" t="str">
        <f>IF($AD46&lt;=$C$25,INDEX('Forecast (By Month)'!$AD$3:$AY$605,MATCH($AD46*12,'Forecast (By Month)'!$AD$3:$AD$605,0),MATCH(AW$3,'Forecast (By Month)'!$AD$3:$AY$3,0)),"-")</f>
        <v>-</v>
      </c>
      <c r="AX46" s="29" t="str">
        <f>IF($AD46&lt;=$C$25,INDEX('Forecast (By Month)'!$AD$3:$AY$605,MATCH($AD46*12,'Forecast (By Month)'!$AD$3:$AD$605,0),MATCH(AX$3,'Forecast (By Month)'!$AD$3:$AY$3,0)),"-")</f>
        <v>-</v>
      </c>
      <c r="AY46" s="31" t="str">
        <f>IF($AD46&lt;=$C$25,INDEX('Forecast (By Month)'!$AD$3:$AY$605,MATCH($AD46*12,'Forecast (By Month)'!$AD$3:$AD$605,0),MATCH(AY$3,'Forecast (By Month)'!$AD$3:$AY$3,0)),"-")</f>
        <v>-</v>
      </c>
    </row>
    <row r="47" spans="2:51" x14ac:dyDescent="0.35">
      <c r="F47" s="12" t="str">
        <f t="shared" si="1"/>
        <v>-</v>
      </c>
      <c r="G47" s="8" t="str">
        <f t="shared" si="2"/>
        <v>-</v>
      </c>
      <c r="H47" s="8" t="str">
        <f>IF($F47&lt;=$C$16,G47-$C$7+SUMIFS('Mortgage Calculators (By Month)'!$D$23:$D$622,'Mortgage Calculators (By Month)'!$B$23:$B$622,"&lt;="&amp;F47*12),"-")</f>
        <v>-</v>
      </c>
      <c r="I47" s="8" t="str">
        <f t="shared" si="12"/>
        <v>-</v>
      </c>
      <c r="J47" s="8" t="str">
        <f>IF($F47&lt;=$C$16,SUMIFS('Forecast (By Month)'!$J$4:$J$605,'Forecast (By Month)'!$F$4:$F$605,"&lt;="&amp;F47*12,'Forecast (By Month)'!$F$4:$F$605,"&gt;"&amp;F46*12),"-")</f>
        <v>-</v>
      </c>
      <c r="K47" s="8" t="str">
        <f>IF($F47&lt;=$C$16,SUMIFS('Forecast (By Month)'!$K$4:$K$605,'Forecast (By Month)'!$F$4:$F$605,"&lt;="&amp;F47*12,'Forecast (By Month)'!$F$4:$F$605,"&gt;"&amp;F46*12),"-")</f>
        <v>-</v>
      </c>
      <c r="L47" s="8" t="str">
        <f t="shared" si="13"/>
        <v>-</v>
      </c>
      <c r="M47" s="8" t="str">
        <f>IF($F47&lt;=$C$16,SUMIFS('Forecast (By Month)'!$M$4:$M$605,'Forecast (By Month)'!$F$4:$F$605,"&lt;="&amp;F47*12,'Forecast (By Month)'!$F$4:$F$605,"&gt;"&amp;F46*12),"-")</f>
        <v>-</v>
      </c>
      <c r="N47" s="8" t="str">
        <f>IF($F47&lt;=$C$16,SUMIFS('Forecast (By Month)'!$N$4:$N$605,'Forecast (By Month)'!$F$4:$F$605,"&lt;="&amp;F47*12,'Forecast (By Month)'!$F$4:$F$605,"&gt;"&amp;F46*12),"-")</f>
        <v>-</v>
      </c>
      <c r="O47" s="8" t="str">
        <f>IF($F47&lt;=$C$16,SUMIFS('Forecast (By Month)'!$O$4:$O$605,'Forecast (By Month)'!$F$4:$F$605,"&lt;="&amp;F47*12,'Forecast (By Month)'!$F$4:$F$605,"&gt;"&amp;F46*12),"-")</f>
        <v>-</v>
      </c>
      <c r="P47" s="8" t="str">
        <f>IF($F47&lt;=$C$16,SUMIFS('Forecast (By Month)'!$P$4:$P$605,'Forecast (By Month)'!$F$4:$F$605,"&lt;="&amp;F47*12,'Forecast (By Month)'!$F$4:$F$605,"&gt;"&amp;F46*12),"-")</f>
        <v>-</v>
      </c>
      <c r="Q47" s="8" t="str">
        <f>IF($F47&lt;=$C$16,SUMIFS('Forecast (By Month)'!$Q$4:$Q$605,'Forecast (By Month)'!$F$4:$F$605,"&lt;="&amp;F47*12,'Forecast (By Month)'!$F$4:$F$605,"&gt;"&amp;F46*12),"-")</f>
        <v>-</v>
      </c>
      <c r="R47" s="8" t="str">
        <f>IF($F47&lt;=$C$16,SUMIFS('Forecast (By Month)'!$R$4:$R$605,'Forecast (By Month)'!$F$4:$F$605,"&lt;="&amp;F47*12,'Forecast (By Month)'!$F$4:$F$605,"&gt;"&amp;F46*12),"-")</f>
        <v>-</v>
      </c>
      <c r="S47" s="8" t="str">
        <f t="shared" si="14"/>
        <v>-</v>
      </c>
      <c r="T47" s="8" t="str">
        <f t="shared" si="15"/>
        <v>-</v>
      </c>
      <c r="U47" s="8" t="str">
        <f>IF($F47&lt;=$C$16,SUM(T$5:T47),"-")</f>
        <v>-</v>
      </c>
      <c r="V47" s="8" t="str">
        <f>IF($F47&lt;=$C$16,INDEX('Forecast (By Month)'!$F$3:$AY$605,MATCH($F47*12,'Forecast (By Month)'!$F$3:$F$605,0),MATCH(V$3,'Forecast (By Month)'!$F$3:$AA$3,0)),"-")</f>
        <v>-</v>
      </c>
      <c r="W47" s="29" t="str">
        <f>IF($F47&lt;=$C$16,INDEX('Forecast (By Month)'!$F$3:$AY$605,MATCH($F47*12,'Forecast (By Month)'!$F$3:$F$605,0),MATCH(W$3,'Forecast (By Month)'!$F$3:$AA$3,0)),"-")</f>
        <v>-</v>
      </c>
      <c r="X47" s="29" t="str">
        <f>IF($F47&lt;=$C$16,INDEX('Forecast (By Month)'!$F$3:$AY$605,MATCH($F47*12,'Forecast (By Month)'!$F$3:$F$605,0),MATCH(X$3,'Forecast (By Month)'!$F$3:$AA$3,0)),"-")</f>
        <v>-</v>
      </c>
      <c r="Y47" s="8" t="str">
        <f>IF($F47&lt;=$C$16,INDEX('Forecast (By Month)'!$F$3:$AY$605,MATCH($F47*12,'Forecast (By Month)'!$F$3:$F$605,0),MATCH(Y$3,'Forecast (By Month)'!$F$3:$AA$3,0)),"-")</f>
        <v>-</v>
      </c>
      <c r="Z47" s="29" t="str">
        <f>IF($F47&lt;=$C$16,INDEX('Forecast (By Month)'!$F$3:$AY$605,MATCH($F47*12,'Forecast (By Month)'!$F$3:$F$605,0),MATCH(Z$3,'Forecast (By Month)'!$F$3:$AA$3,0)),"-")</f>
        <v>-</v>
      </c>
      <c r="AA47" s="31" t="str">
        <f>IF($F47&lt;=$C$16,INDEX('Forecast (By Month)'!$F$3:$AY$605,MATCH($F47*12,'Forecast (By Month)'!$F$3:$F$605,0),MATCH(AA$3,'Forecast (By Month)'!$F$3:$AA$3,0)),"-")</f>
        <v>-</v>
      </c>
      <c r="AD47" s="12" t="str">
        <f t="shared" si="6"/>
        <v>-</v>
      </c>
      <c r="AE47" s="8" t="str">
        <f t="shared" si="7"/>
        <v>-</v>
      </c>
      <c r="AF47" s="8" t="str">
        <f>IF($AD47&lt;=$C$25,AE47-$C$7+SUMIFS('Mortgage Calculators (By Month)'!$K$23:$K$622,'Mortgage Calculators (By Month)'!$I$23:$I$622,"&lt;="&amp;AD47*12),"-")</f>
        <v>-</v>
      </c>
      <c r="AG47" s="8" t="str">
        <f t="shared" si="16"/>
        <v>-</v>
      </c>
      <c r="AH47" s="8" t="str">
        <f>IF($AD47&lt;=$C$25,SUMIFS('Forecast (By Month)'!$AH$4:$AH$605,'Forecast (By Month)'!$AD$4:$AD$605,"&lt;="&amp;AD47*12,'Forecast (By Month)'!$AD$4:$AD$605,"&gt;"&amp;AD46*12),"-")</f>
        <v>-</v>
      </c>
      <c r="AI47" s="8" t="str">
        <f>IF($AD47&lt;=$C$25,SUMIFS('Forecast (By Month)'!$AI$4:$AI$605,'Forecast (By Month)'!$AD$4:$AD$605,"&lt;="&amp;AD47*12,'Forecast (By Month)'!$AD$4:$AD$605,"&gt;"&amp;AD46*12),"-")</f>
        <v>-</v>
      </c>
      <c r="AJ47" s="8" t="str">
        <f t="shared" si="17"/>
        <v>-</v>
      </c>
      <c r="AK47" s="8" t="str">
        <f>IF($AD47&lt;=$C$25,SUMIFS('Forecast (By Month)'!$AK$4:$AK$605,'Forecast (By Month)'!$AD$4:$AD$605,"&lt;="&amp;AD47*12,'Forecast (By Month)'!$AD$4:$AD$605,"&gt;"&amp;AD46*12),"-")</f>
        <v>-</v>
      </c>
      <c r="AL47" s="8" t="str">
        <f>IF($AD47&lt;=$C$25,SUMIFS('Forecast (By Month)'!$AL$4:$AL$605,'Forecast (By Month)'!$AD$4:$AD$605,"&lt;="&amp;AD47*12,'Forecast (By Month)'!$AD$4:$AD$605,"&gt;"&amp;AD46*12),"-")</f>
        <v>-</v>
      </c>
      <c r="AM47" s="8" t="str">
        <f>IF($AD47&lt;=$C$25,SUMIFS('Forecast (By Month)'!$AM$4:$AM$605,'Forecast (By Month)'!$AD$4:$AD$605,"&lt;="&amp;AD47*12,'Forecast (By Month)'!$AD$4:$AD$605,"&gt;"&amp;AD46*12),"-")</f>
        <v>-</v>
      </c>
      <c r="AN47" s="8" t="str">
        <f>IF($AD47&lt;=$C$25,SUMIFS('Forecast (By Month)'!$AN$4:$AN$605,'Forecast (By Month)'!$AD$4:$AD$605,"&lt;="&amp;AD47*12,'Forecast (By Month)'!$AD$4:$AD$605,"&gt;"&amp;AD46*12),"-")</f>
        <v>-</v>
      </c>
      <c r="AO47" s="8" t="str">
        <f>IF($AD47&lt;=$C$25,SUMIFS('Forecast (By Month)'!$AO$4:$AO$605,'Forecast (By Month)'!$AD$4:$AD$605,"&lt;="&amp;AD47*12,'Forecast (By Month)'!$AD$4:$AD$605,"&gt;"&amp;AD46*12),"-")</f>
        <v>-</v>
      </c>
      <c r="AP47" s="8" t="str">
        <f>IF($AD47&lt;=$C$25,SUMIFS('Forecast (By Month)'!$AP$4:$AP$605,'Forecast (By Month)'!$AD$4:$AD$605,"&lt;="&amp;AD47*12,'Forecast (By Month)'!$AD$4:$AD$605,"&gt;"&amp;AD46*12),"-")</f>
        <v>-</v>
      </c>
      <c r="AQ47" s="8" t="str">
        <f t="shared" si="18"/>
        <v>-</v>
      </c>
      <c r="AR47" s="8" t="str">
        <f t="shared" si="19"/>
        <v>-</v>
      </c>
      <c r="AS47" s="8" t="str">
        <f>IF($AD47&lt;=$C$25,SUM(AR$5:AR47),"-")</f>
        <v>-</v>
      </c>
      <c r="AT47" s="8" t="str">
        <f>IF($AD47&lt;=$C$25,INDEX('Forecast (By Month)'!$AD$3:$AY$605,MATCH($AD47*12,'Forecast (By Month)'!$AD$3:$AD$605,0),MATCH(AT$3,'Forecast (By Month)'!$AD$3:$AY$3,0)),"-")</f>
        <v>-</v>
      </c>
      <c r="AU47" s="29" t="str">
        <f>IF($AD47&lt;=$C$25,INDEX('Forecast (By Month)'!$AD$3:$AY$605,MATCH($AD47*12,'Forecast (By Month)'!$AD$3:$AD$605,0),MATCH(AU$3,'Forecast (By Month)'!$AD$3:$AY$3,0)),"-")</f>
        <v>-</v>
      </c>
      <c r="AV47" s="29" t="str">
        <f>IF($AD47&lt;=$C$25,INDEX('Forecast (By Month)'!$AD$3:$AY$605,MATCH($AD47*12,'Forecast (By Month)'!$AD$3:$AD$605,0),MATCH(AV$3,'Forecast (By Month)'!$AD$3:$AY$3,0)),"-")</f>
        <v>-</v>
      </c>
      <c r="AW47" s="8" t="str">
        <f>IF($AD47&lt;=$C$25,INDEX('Forecast (By Month)'!$AD$3:$AY$605,MATCH($AD47*12,'Forecast (By Month)'!$AD$3:$AD$605,0),MATCH(AW$3,'Forecast (By Month)'!$AD$3:$AY$3,0)),"-")</f>
        <v>-</v>
      </c>
      <c r="AX47" s="29" t="str">
        <f>IF($AD47&lt;=$C$25,INDEX('Forecast (By Month)'!$AD$3:$AY$605,MATCH($AD47*12,'Forecast (By Month)'!$AD$3:$AD$605,0),MATCH(AX$3,'Forecast (By Month)'!$AD$3:$AY$3,0)),"-")</f>
        <v>-</v>
      </c>
      <c r="AY47" s="31" t="str">
        <f>IF($AD47&lt;=$C$25,INDEX('Forecast (By Month)'!$AD$3:$AY$605,MATCH($AD47*12,'Forecast (By Month)'!$AD$3:$AD$605,0),MATCH(AY$3,'Forecast (By Month)'!$AD$3:$AY$3,0)),"-")</f>
        <v>-</v>
      </c>
    </row>
    <row r="48" spans="2:51" x14ac:dyDescent="0.35">
      <c r="F48" s="12" t="str">
        <f t="shared" si="1"/>
        <v>-</v>
      </c>
      <c r="G48" s="8" t="str">
        <f t="shared" si="2"/>
        <v>-</v>
      </c>
      <c r="H48" s="8" t="str">
        <f>IF($F48&lt;=$C$16,G48-$C$7+SUMIFS('Mortgage Calculators (By Month)'!$D$23:$D$622,'Mortgage Calculators (By Month)'!$B$23:$B$622,"&lt;="&amp;F48*12),"-")</f>
        <v>-</v>
      </c>
      <c r="I48" s="8" t="str">
        <f t="shared" si="12"/>
        <v>-</v>
      </c>
      <c r="J48" s="8" t="str">
        <f>IF($F48&lt;=$C$16,SUMIFS('Forecast (By Month)'!$J$4:$J$605,'Forecast (By Month)'!$F$4:$F$605,"&lt;="&amp;F48*12,'Forecast (By Month)'!$F$4:$F$605,"&gt;"&amp;F47*12),"-")</f>
        <v>-</v>
      </c>
      <c r="K48" s="8" t="str">
        <f>IF($F48&lt;=$C$16,SUMIFS('Forecast (By Month)'!$K$4:$K$605,'Forecast (By Month)'!$F$4:$F$605,"&lt;="&amp;F48*12,'Forecast (By Month)'!$F$4:$F$605,"&gt;"&amp;F47*12),"-")</f>
        <v>-</v>
      </c>
      <c r="L48" s="8" t="str">
        <f t="shared" si="13"/>
        <v>-</v>
      </c>
      <c r="M48" s="8" t="str">
        <f>IF($F48&lt;=$C$16,SUMIFS('Forecast (By Month)'!$M$4:$M$605,'Forecast (By Month)'!$F$4:$F$605,"&lt;="&amp;F48*12,'Forecast (By Month)'!$F$4:$F$605,"&gt;"&amp;F47*12),"-")</f>
        <v>-</v>
      </c>
      <c r="N48" s="8" t="str">
        <f>IF($F48&lt;=$C$16,SUMIFS('Forecast (By Month)'!$N$4:$N$605,'Forecast (By Month)'!$F$4:$F$605,"&lt;="&amp;F48*12,'Forecast (By Month)'!$F$4:$F$605,"&gt;"&amp;F47*12),"-")</f>
        <v>-</v>
      </c>
      <c r="O48" s="8" t="str">
        <f>IF($F48&lt;=$C$16,SUMIFS('Forecast (By Month)'!$O$4:$O$605,'Forecast (By Month)'!$F$4:$F$605,"&lt;="&amp;F48*12,'Forecast (By Month)'!$F$4:$F$605,"&gt;"&amp;F47*12),"-")</f>
        <v>-</v>
      </c>
      <c r="P48" s="8" t="str">
        <f>IF($F48&lt;=$C$16,SUMIFS('Forecast (By Month)'!$P$4:$P$605,'Forecast (By Month)'!$F$4:$F$605,"&lt;="&amp;F48*12,'Forecast (By Month)'!$F$4:$F$605,"&gt;"&amp;F47*12),"-")</f>
        <v>-</v>
      </c>
      <c r="Q48" s="8" t="str">
        <f>IF($F48&lt;=$C$16,SUMIFS('Forecast (By Month)'!$Q$4:$Q$605,'Forecast (By Month)'!$F$4:$F$605,"&lt;="&amp;F48*12,'Forecast (By Month)'!$F$4:$F$605,"&gt;"&amp;F47*12),"-")</f>
        <v>-</v>
      </c>
      <c r="R48" s="8" t="str">
        <f>IF($F48&lt;=$C$16,SUMIFS('Forecast (By Month)'!$R$4:$R$605,'Forecast (By Month)'!$F$4:$F$605,"&lt;="&amp;F48*12,'Forecast (By Month)'!$F$4:$F$605,"&gt;"&amp;F47*12),"-")</f>
        <v>-</v>
      </c>
      <c r="S48" s="8" t="str">
        <f t="shared" si="14"/>
        <v>-</v>
      </c>
      <c r="T48" s="8" t="str">
        <f t="shared" si="15"/>
        <v>-</v>
      </c>
      <c r="U48" s="8" t="str">
        <f>IF($F48&lt;=$C$16,SUM(T$5:T48),"-")</f>
        <v>-</v>
      </c>
      <c r="V48" s="8" t="str">
        <f>IF($F48&lt;=$C$16,INDEX('Forecast (By Month)'!$F$3:$AY$605,MATCH($F48*12,'Forecast (By Month)'!$F$3:$F$605,0),MATCH(V$3,'Forecast (By Month)'!$F$3:$AA$3,0)),"-")</f>
        <v>-</v>
      </c>
      <c r="W48" s="29" t="str">
        <f>IF($F48&lt;=$C$16,INDEX('Forecast (By Month)'!$F$3:$AY$605,MATCH($F48*12,'Forecast (By Month)'!$F$3:$F$605,0),MATCH(W$3,'Forecast (By Month)'!$F$3:$AA$3,0)),"-")</f>
        <v>-</v>
      </c>
      <c r="X48" s="29" t="str">
        <f>IF($F48&lt;=$C$16,INDEX('Forecast (By Month)'!$F$3:$AY$605,MATCH($F48*12,'Forecast (By Month)'!$F$3:$F$605,0),MATCH(X$3,'Forecast (By Month)'!$F$3:$AA$3,0)),"-")</f>
        <v>-</v>
      </c>
      <c r="Y48" s="8" t="str">
        <f>IF($F48&lt;=$C$16,INDEX('Forecast (By Month)'!$F$3:$AY$605,MATCH($F48*12,'Forecast (By Month)'!$F$3:$F$605,0),MATCH(Y$3,'Forecast (By Month)'!$F$3:$AA$3,0)),"-")</f>
        <v>-</v>
      </c>
      <c r="Z48" s="29" t="str">
        <f>IF($F48&lt;=$C$16,INDEX('Forecast (By Month)'!$F$3:$AY$605,MATCH($F48*12,'Forecast (By Month)'!$F$3:$F$605,0),MATCH(Z$3,'Forecast (By Month)'!$F$3:$AA$3,0)),"-")</f>
        <v>-</v>
      </c>
      <c r="AA48" s="31" t="str">
        <f>IF($F48&lt;=$C$16,INDEX('Forecast (By Month)'!$F$3:$AY$605,MATCH($F48*12,'Forecast (By Month)'!$F$3:$F$605,0),MATCH(AA$3,'Forecast (By Month)'!$F$3:$AA$3,0)),"-")</f>
        <v>-</v>
      </c>
      <c r="AD48" s="12" t="str">
        <f t="shared" si="6"/>
        <v>-</v>
      </c>
      <c r="AE48" s="8" t="str">
        <f t="shared" si="7"/>
        <v>-</v>
      </c>
      <c r="AF48" s="8" t="str">
        <f>IF($AD48&lt;=$C$25,AE48-$C$7+SUMIFS('Mortgage Calculators (By Month)'!$K$23:$K$622,'Mortgage Calculators (By Month)'!$I$23:$I$622,"&lt;="&amp;AD48*12),"-")</f>
        <v>-</v>
      </c>
      <c r="AG48" s="8" t="str">
        <f t="shared" si="16"/>
        <v>-</v>
      </c>
      <c r="AH48" s="8" t="str">
        <f>IF($AD48&lt;=$C$25,SUMIFS('Forecast (By Month)'!$AH$4:$AH$605,'Forecast (By Month)'!$AD$4:$AD$605,"&lt;="&amp;AD48*12,'Forecast (By Month)'!$AD$4:$AD$605,"&gt;"&amp;AD47*12),"-")</f>
        <v>-</v>
      </c>
      <c r="AI48" s="8" t="str">
        <f>IF($AD48&lt;=$C$25,SUMIFS('Forecast (By Month)'!$AI$4:$AI$605,'Forecast (By Month)'!$AD$4:$AD$605,"&lt;="&amp;AD48*12,'Forecast (By Month)'!$AD$4:$AD$605,"&gt;"&amp;AD47*12),"-")</f>
        <v>-</v>
      </c>
      <c r="AJ48" s="8" t="str">
        <f t="shared" si="17"/>
        <v>-</v>
      </c>
      <c r="AK48" s="8" t="str">
        <f>IF($AD48&lt;=$C$25,SUMIFS('Forecast (By Month)'!$AK$4:$AK$605,'Forecast (By Month)'!$AD$4:$AD$605,"&lt;="&amp;AD48*12,'Forecast (By Month)'!$AD$4:$AD$605,"&gt;"&amp;AD47*12),"-")</f>
        <v>-</v>
      </c>
      <c r="AL48" s="8" t="str">
        <f>IF($AD48&lt;=$C$25,SUMIFS('Forecast (By Month)'!$AL$4:$AL$605,'Forecast (By Month)'!$AD$4:$AD$605,"&lt;="&amp;AD48*12,'Forecast (By Month)'!$AD$4:$AD$605,"&gt;"&amp;AD47*12),"-")</f>
        <v>-</v>
      </c>
      <c r="AM48" s="8" t="str">
        <f>IF($AD48&lt;=$C$25,SUMIFS('Forecast (By Month)'!$AM$4:$AM$605,'Forecast (By Month)'!$AD$4:$AD$605,"&lt;="&amp;AD48*12,'Forecast (By Month)'!$AD$4:$AD$605,"&gt;"&amp;AD47*12),"-")</f>
        <v>-</v>
      </c>
      <c r="AN48" s="8" t="str">
        <f>IF($AD48&lt;=$C$25,SUMIFS('Forecast (By Month)'!$AN$4:$AN$605,'Forecast (By Month)'!$AD$4:$AD$605,"&lt;="&amp;AD48*12,'Forecast (By Month)'!$AD$4:$AD$605,"&gt;"&amp;AD47*12),"-")</f>
        <v>-</v>
      </c>
      <c r="AO48" s="8" t="str">
        <f>IF($AD48&lt;=$C$25,SUMIFS('Forecast (By Month)'!$AO$4:$AO$605,'Forecast (By Month)'!$AD$4:$AD$605,"&lt;="&amp;AD48*12,'Forecast (By Month)'!$AD$4:$AD$605,"&gt;"&amp;AD47*12),"-")</f>
        <v>-</v>
      </c>
      <c r="AP48" s="8" t="str">
        <f>IF($AD48&lt;=$C$25,SUMIFS('Forecast (By Month)'!$AP$4:$AP$605,'Forecast (By Month)'!$AD$4:$AD$605,"&lt;="&amp;AD48*12,'Forecast (By Month)'!$AD$4:$AD$605,"&gt;"&amp;AD47*12),"-")</f>
        <v>-</v>
      </c>
      <c r="AQ48" s="8" t="str">
        <f t="shared" si="18"/>
        <v>-</v>
      </c>
      <c r="AR48" s="8" t="str">
        <f t="shared" si="19"/>
        <v>-</v>
      </c>
      <c r="AS48" s="8" t="str">
        <f>IF($AD48&lt;=$C$25,SUM(AR$5:AR48),"-")</f>
        <v>-</v>
      </c>
      <c r="AT48" s="8" t="str">
        <f>IF($AD48&lt;=$C$25,INDEX('Forecast (By Month)'!$AD$3:$AY$605,MATCH($AD48*12,'Forecast (By Month)'!$AD$3:$AD$605,0),MATCH(AT$3,'Forecast (By Month)'!$AD$3:$AY$3,0)),"-")</f>
        <v>-</v>
      </c>
      <c r="AU48" s="29" t="str">
        <f>IF($AD48&lt;=$C$25,INDEX('Forecast (By Month)'!$AD$3:$AY$605,MATCH($AD48*12,'Forecast (By Month)'!$AD$3:$AD$605,0),MATCH(AU$3,'Forecast (By Month)'!$AD$3:$AY$3,0)),"-")</f>
        <v>-</v>
      </c>
      <c r="AV48" s="29" t="str">
        <f>IF($AD48&lt;=$C$25,INDEX('Forecast (By Month)'!$AD$3:$AY$605,MATCH($AD48*12,'Forecast (By Month)'!$AD$3:$AD$605,0),MATCH(AV$3,'Forecast (By Month)'!$AD$3:$AY$3,0)),"-")</f>
        <v>-</v>
      </c>
      <c r="AW48" s="8" t="str">
        <f>IF($AD48&lt;=$C$25,INDEX('Forecast (By Month)'!$AD$3:$AY$605,MATCH($AD48*12,'Forecast (By Month)'!$AD$3:$AD$605,0),MATCH(AW$3,'Forecast (By Month)'!$AD$3:$AY$3,0)),"-")</f>
        <v>-</v>
      </c>
      <c r="AX48" s="29" t="str">
        <f>IF($AD48&lt;=$C$25,INDEX('Forecast (By Month)'!$AD$3:$AY$605,MATCH($AD48*12,'Forecast (By Month)'!$AD$3:$AD$605,0),MATCH(AX$3,'Forecast (By Month)'!$AD$3:$AY$3,0)),"-")</f>
        <v>-</v>
      </c>
      <c r="AY48" s="31" t="str">
        <f>IF($AD48&lt;=$C$25,INDEX('Forecast (By Month)'!$AD$3:$AY$605,MATCH($AD48*12,'Forecast (By Month)'!$AD$3:$AD$605,0),MATCH(AY$3,'Forecast (By Month)'!$AD$3:$AY$3,0)),"-")</f>
        <v>-</v>
      </c>
    </row>
    <row r="49" spans="6:51" x14ac:dyDescent="0.35">
      <c r="F49" s="12" t="str">
        <f t="shared" si="1"/>
        <v>-</v>
      </c>
      <c r="G49" s="8" t="str">
        <f t="shared" si="2"/>
        <v>-</v>
      </c>
      <c r="H49" s="8" t="str">
        <f>IF($F49&lt;=$C$16,G49-$C$7+SUMIFS('Mortgage Calculators (By Month)'!$D$23:$D$622,'Mortgage Calculators (By Month)'!$B$23:$B$622,"&lt;="&amp;F49*12),"-")</f>
        <v>-</v>
      </c>
      <c r="I49" s="8" t="str">
        <f t="shared" si="12"/>
        <v>-</v>
      </c>
      <c r="J49" s="8" t="str">
        <f>IF($F49&lt;=$C$16,SUMIFS('Forecast (By Month)'!$J$4:$J$605,'Forecast (By Month)'!$F$4:$F$605,"&lt;="&amp;F49*12,'Forecast (By Month)'!$F$4:$F$605,"&gt;"&amp;F48*12),"-")</f>
        <v>-</v>
      </c>
      <c r="K49" s="8" t="str">
        <f>IF($F49&lt;=$C$16,SUMIFS('Forecast (By Month)'!$K$4:$K$605,'Forecast (By Month)'!$F$4:$F$605,"&lt;="&amp;F49*12,'Forecast (By Month)'!$F$4:$F$605,"&gt;"&amp;F48*12),"-")</f>
        <v>-</v>
      </c>
      <c r="L49" s="8" t="str">
        <f t="shared" si="13"/>
        <v>-</v>
      </c>
      <c r="M49" s="8" t="str">
        <f>IF($F49&lt;=$C$16,SUMIFS('Forecast (By Month)'!$M$4:$M$605,'Forecast (By Month)'!$F$4:$F$605,"&lt;="&amp;F49*12,'Forecast (By Month)'!$F$4:$F$605,"&gt;"&amp;F48*12),"-")</f>
        <v>-</v>
      </c>
      <c r="N49" s="8" t="str">
        <f>IF($F49&lt;=$C$16,SUMIFS('Forecast (By Month)'!$N$4:$N$605,'Forecast (By Month)'!$F$4:$F$605,"&lt;="&amp;F49*12,'Forecast (By Month)'!$F$4:$F$605,"&gt;"&amp;F48*12),"-")</f>
        <v>-</v>
      </c>
      <c r="O49" s="8" t="str">
        <f>IF($F49&lt;=$C$16,SUMIFS('Forecast (By Month)'!$O$4:$O$605,'Forecast (By Month)'!$F$4:$F$605,"&lt;="&amp;F49*12,'Forecast (By Month)'!$F$4:$F$605,"&gt;"&amp;F48*12),"-")</f>
        <v>-</v>
      </c>
      <c r="P49" s="8" t="str">
        <f>IF($F49&lt;=$C$16,SUMIFS('Forecast (By Month)'!$P$4:$P$605,'Forecast (By Month)'!$F$4:$F$605,"&lt;="&amp;F49*12,'Forecast (By Month)'!$F$4:$F$605,"&gt;"&amp;F48*12),"-")</f>
        <v>-</v>
      </c>
      <c r="Q49" s="8" t="str">
        <f>IF($F49&lt;=$C$16,SUMIFS('Forecast (By Month)'!$Q$4:$Q$605,'Forecast (By Month)'!$F$4:$F$605,"&lt;="&amp;F49*12,'Forecast (By Month)'!$F$4:$F$605,"&gt;"&amp;F48*12),"-")</f>
        <v>-</v>
      </c>
      <c r="R49" s="8" t="str">
        <f>IF($F49&lt;=$C$16,SUMIFS('Forecast (By Month)'!$R$4:$R$605,'Forecast (By Month)'!$F$4:$F$605,"&lt;="&amp;F49*12,'Forecast (By Month)'!$F$4:$F$605,"&gt;"&amp;F48*12),"-")</f>
        <v>-</v>
      </c>
      <c r="S49" s="8" t="str">
        <f t="shared" si="14"/>
        <v>-</v>
      </c>
      <c r="T49" s="8" t="str">
        <f t="shared" si="15"/>
        <v>-</v>
      </c>
      <c r="U49" s="8" t="str">
        <f>IF($F49&lt;=$C$16,SUM(T$5:T49),"-")</f>
        <v>-</v>
      </c>
      <c r="V49" s="8" t="str">
        <f>IF($F49&lt;=$C$16,INDEX('Forecast (By Month)'!$F$3:$AY$605,MATCH($F49*12,'Forecast (By Month)'!$F$3:$F$605,0),MATCH(V$3,'Forecast (By Month)'!$F$3:$AA$3,0)),"-")</f>
        <v>-</v>
      </c>
      <c r="W49" s="29" t="str">
        <f>IF($F49&lt;=$C$16,INDEX('Forecast (By Month)'!$F$3:$AY$605,MATCH($F49*12,'Forecast (By Month)'!$F$3:$F$605,0),MATCH(W$3,'Forecast (By Month)'!$F$3:$AA$3,0)),"-")</f>
        <v>-</v>
      </c>
      <c r="X49" s="29" t="str">
        <f>IF($F49&lt;=$C$16,INDEX('Forecast (By Month)'!$F$3:$AY$605,MATCH($F49*12,'Forecast (By Month)'!$F$3:$F$605,0),MATCH(X$3,'Forecast (By Month)'!$F$3:$AA$3,0)),"-")</f>
        <v>-</v>
      </c>
      <c r="Y49" s="8" t="str">
        <f>IF($F49&lt;=$C$16,INDEX('Forecast (By Month)'!$F$3:$AY$605,MATCH($F49*12,'Forecast (By Month)'!$F$3:$F$605,0),MATCH(Y$3,'Forecast (By Month)'!$F$3:$AA$3,0)),"-")</f>
        <v>-</v>
      </c>
      <c r="Z49" s="29" t="str">
        <f>IF($F49&lt;=$C$16,INDEX('Forecast (By Month)'!$F$3:$AY$605,MATCH($F49*12,'Forecast (By Month)'!$F$3:$F$605,0),MATCH(Z$3,'Forecast (By Month)'!$F$3:$AA$3,0)),"-")</f>
        <v>-</v>
      </c>
      <c r="AA49" s="31" t="str">
        <f>IF($F49&lt;=$C$16,INDEX('Forecast (By Month)'!$F$3:$AY$605,MATCH($F49*12,'Forecast (By Month)'!$F$3:$F$605,0),MATCH(AA$3,'Forecast (By Month)'!$F$3:$AA$3,0)),"-")</f>
        <v>-</v>
      </c>
      <c r="AD49" s="12" t="str">
        <f t="shared" si="6"/>
        <v>-</v>
      </c>
      <c r="AE49" s="8" t="str">
        <f t="shared" si="7"/>
        <v>-</v>
      </c>
      <c r="AF49" s="8" t="str">
        <f>IF($AD49&lt;=$C$25,AE49-$C$7+SUMIFS('Mortgage Calculators (By Month)'!$K$23:$K$622,'Mortgage Calculators (By Month)'!$I$23:$I$622,"&lt;="&amp;AD49*12),"-")</f>
        <v>-</v>
      </c>
      <c r="AG49" s="8" t="str">
        <f t="shared" si="16"/>
        <v>-</v>
      </c>
      <c r="AH49" s="8" t="str">
        <f>IF($AD49&lt;=$C$25,SUMIFS('Forecast (By Month)'!$AH$4:$AH$605,'Forecast (By Month)'!$AD$4:$AD$605,"&lt;="&amp;AD49*12,'Forecast (By Month)'!$AD$4:$AD$605,"&gt;"&amp;AD48*12),"-")</f>
        <v>-</v>
      </c>
      <c r="AI49" s="8" t="str">
        <f>IF($AD49&lt;=$C$25,SUMIFS('Forecast (By Month)'!$AI$4:$AI$605,'Forecast (By Month)'!$AD$4:$AD$605,"&lt;="&amp;AD49*12,'Forecast (By Month)'!$AD$4:$AD$605,"&gt;"&amp;AD48*12),"-")</f>
        <v>-</v>
      </c>
      <c r="AJ49" s="8" t="str">
        <f t="shared" si="17"/>
        <v>-</v>
      </c>
      <c r="AK49" s="8" t="str">
        <f>IF($AD49&lt;=$C$25,SUMIFS('Forecast (By Month)'!$AK$4:$AK$605,'Forecast (By Month)'!$AD$4:$AD$605,"&lt;="&amp;AD49*12,'Forecast (By Month)'!$AD$4:$AD$605,"&gt;"&amp;AD48*12),"-")</f>
        <v>-</v>
      </c>
      <c r="AL49" s="8" t="str">
        <f>IF($AD49&lt;=$C$25,SUMIFS('Forecast (By Month)'!$AL$4:$AL$605,'Forecast (By Month)'!$AD$4:$AD$605,"&lt;="&amp;AD49*12,'Forecast (By Month)'!$AD$4:$AD$605,"&gt;"&amp;AD48*12),"-")</f>
        <v>-</v>
      </c>
      <c r="AM49" s="8" t="str">
        <f>IF($AD49&lt;=$C$25,SUMIFS('Forecast (By Month)'!$AM$4:$AM$605,'Forecast (By Month)'!$AD$4:$AD$605,"&lt;="&amp;AD49*12,'Forecast (By Month)'!$AD$4:$AD$605,"&gt;"&amp;AD48*12),"-")</f>
        <v>-</v>
      </c>
      <c r="AN49" s="8" t="str">
        <f>IF($AD49&lt;=$C$25,SUMIFS('Forecast (By Month)'!$AN$4:$AN$605,'Forecast (By Month)'!$AD$4:$AD$605,"&lt;="&amp;AD49*12,'Forecast (By Month)'!$AD$4:$AD$605,"&gt;"&amp;AD48*12),"-")</f>
        <v>-</v>
      </c>
      <c r="AO49" s="8" t="str">
        <f>IF($AD49&lt;=$C$25,SUMIFS('Forecast (By Month)'!$AO$4:$AO$605,'Forecast (By Month)'!$AD$4:$AD$605,"&lt;="&amp;AD49*12,'Forecast (By Month)'!$AD$4:$AD$605,"&gt;"&amp;AD48*12),"-")</f>
        <v>-</v>
      </c>
      <c r="AP49" s="8" t="str">
        <f>IF($AD49&lt;=$C$25,SUMIFS('Forecast (By Month)'!$AP$4:$AP$605,'Forecast (By Month)'!$AD$4:$AD$605,"&lt;="&amp;AD49*12,'Forecast (By Month)'!$AD$4:$AD$605,"&gt;"&amp;AD48*12),"-")</f>
        <v>-</v>
      </c>
      <c r="AQ49" s="8" t="str">
        <f t="shared" si="18"/>
        <v>-</v>
      </c>
      <c r="AR49" s="8" t="str">
        <f t="shared" si="19"/>
        <v>-</v>
      </c>
      <c r="AS49" s="8" t="str">
        <f>IF($AD49&lt;=$C$25,SUM(AR$5:AR49),"-")</f>
        <v>-</v>
      </c>
      <c r="AT49" s="8" t="str">
        <f>IF($AD49&lt;=$C$25,INDEX('Forecast (By Month)'!$AD$3:$AY$605,MATCH($AD49*12,'Forecast (By Month)'!$AD$3:$AD$605,0),MATCH(AT$3,'Forecast (By Month)'!$AD$3:$AY$3,0)),"-")</f>
        <v>-</v>
      </c>
      <c r="AU49" s="29" t="str">
        <f>IF($AD49&lt;=$C$25,INDEX('Forecast (By Month)'!$AD$3:$AY$605,MATCH($AD49*12,'Forecast (By Month)'!$AD$3:$AD$605,0),MATCH(AU$3,'Forecast (By Month)'!$AD$3:$AY$3,0)),"-")</f>
        <v>-</v>
      </c>
      <c r="AV49" s="29" t="str">
        <f>IF($AD49&lt;=$C$25,INDEX('Forecast (By Month)'!$AD$3:$AY$605,MATCH($AD49*12,'Forecast (By Month)'!$AD$3:$AD$605,0),MATCH(AV$3,'Forecast (By Month)'!$AD$3:$AY$3,0)),"-")</f>
        <v>-</v>
      </c>
      <c r="AW49" s="8" t="str">
        <f>IF($AD49&lt;=$C$25,INDEX('Forecast (By Month)'!$AD$3:$AY$605,MATCH($AD49*12,'Forecast (By Month)'!$AD$3:$AD$605,0),MATCH(AW$3,'Forecast (By Month)'!$AD$3:$AY$3,0)),"-")</f>
        <v>-</v>
      </c>
      <c r="AX49" s="29" t="str">
        <f>IF($AD49&lt;=$C$25,INDEX('Forecast (By Month)'!$AD$3:$AY$605,MATCH($AD49*12,'Forecast (By Month)'!$AD$3:$AD$605,0),MATCH(AX$3,'Forecast (By Month)'!$AD$3:$AY$3,0)),"-")</f>
        <v>-</v>
      </c>
      <c r="AY49" s="31" t="str">
        <f>IF($AD49&lt;=$C$25,INDEX('Forecast (By Month)'!$AD$3:$AY$605,MATCH($AD49*12,'Forecast (By Month)'!$AD$3:$AD$605,0),MATCH(AY$3,'Forecast (By Month)'!$AD$3:$AY$3,0)),"-")</f>
        <v>-</v>
      </c>
    </row>
    <row r="50" spans="6:51" x14ac:dyDescent="0.35">
      <c r="F50" s="12" t="str">
        <f t="shared" si="1"/>
        <v>-</v>
      </c>
      <c r="G50" s="8" t="str">
        <f t="shared" si="2"/>
        <v>-</v>
      </c>
      <c r="H50" s="8" t="str">
        <f>IF($F50&lt;=$C$16,G50-$C$7+SUMIFS('Mortgage Calculators (By Month)'!$D$23:$D$622,'Mortgage Calculators (By Month)'!$B$23:$B$622,"&lt;="&amp;F50*12),"-")</f>
        <v>-</v>
      </c>
      <c r="I50" s="8" t="str">
        <f t="shared" si="12"/>
        <v>-</v>
      </c>
      <c r="J50" s="8" t="str">
        <f>IF($F50&lt;=$C$16,SUMIFS('Forecast (By Month)'!$J$4:$J$605,'Forecast (By Month)'!$F$4:$F$605,"&lt;="&amp;F50*12,'Forecast (By Month)'!$F$4:$F$605,"&gt;"&amp;F49*12),"-")</f>
        <v>-</v>
      </c>
      <c r="K50" s="8" t="str">
        <f>IF($F50&lt;=$C$16,SUMIFS('Forecast (By Month)'!$K$4:$K$605,'Forecast (By Month)'!$F$4:$F$605,"&lt;="&amp;F50*12,'Forecast (By Month)'!$F$4:$F$605,"&gt;"&amp;F49*12),"-")</f>
        <v>-</v>
      </c>
      <c r="L50" s="8" t="str">
        <f t="shared" si="13"/>
        <v>-</v>
      </c>
      <c r="M50" s="8" t="str">
        <f>IF($F50&lt;=$C$16,SUMIFS('Forecast (By Month)'!$M$4:$M$605,'Forecast (By Month)'!$F$4:$F$605,"&lt;="&amp;F50*12,'Forecast (By Month)'!$F$4:$F$605,"&gt;"&amp;F49*12),"-")</f>
        <v>-</v>
      </c>
      <c r="N50" s="8" t="str">
        <f>IF($F50&lt;=$C$16,SUMIFS('Forecast (By Month)'!$N$4:$N$605,'Forecast (By Month)'!$F$4:$F$605,"&lt;="&amp;F50*12,'Forecast (By Month)'!$F$4:$F$605,"&gt;"&amp;F49*12),"-")</f>
        <v>-</v>
      </c>
      <c r="O50" s="8" t="str">
        <f>IF($F50&lt;=$C$16,SUMIFS('Forecast (By Month)'!$O$4:$O$605,'Forecast (By Month)'!$F$4:$F$605,"&lt;="&amp;F50*12,'Forecast (By Month)'!$F$4:$F$605,"&gt;"&amp;F49*12),"-")</f>
        <v>-</v>
      </c>
      <c r="P50" s="8" t="str">
        <f>IF($F50&lt;=$C$16,SUMIFS('Forecast (By Month)'!$P$4:$P$605,'Forecast (By Month)'!$F$4:$F$605,"&lt;="&amp;F50*12,'Forecast (By Month)'!$F$4:$F$605,"&gt;"&amp;F49*12),"-")</f>
        <v>-</v>
      </c>
      <c r="Q50" s="8" t="str">
        <f>IF($F50&lt;=$C$16,SUMIFS('Forecast (By Month)'!$Q$4:$Q$605,'Forecast (By Month)'!$F$4:$F$605,"&lt;="&amp;F50*12,'Forecast (By Month)'!$F$4:$F$605,"&gt;"&amp;F49*12),"-")</f>
        <v>-</v>
      </c>
      <c r="R50" s="8" t="str">
        <f>IF($F50&lt;=$C$16,SUMIFS('Forecast (By Month)'!$R$4:$R$605,'Forecast (By Month)'!$F$4:$F$605,"&lt;="&amp;F50*12,'Forecast (By Month)'!$F$4:$F$605,"&gt;"&amp;F49*12),"-")</f>
        <v>-</v>
      </c>
      <c r="S50" s="8" t="str">
        <f t="shared" si="14"/>
        <v>-</v>
      </c>
      <c r="T50" s="8" t="str">
        <f t="shared" si="15"/>
        <v>-</v>
      </c>
      <c r="U50" s="8" t="str">
        <f>IF($F50&lt;=$C$16,SUM(T$5:T50),"-")</f>
        <v>-</v>
      </c>
      <c r="V50" s="8" t="str">
        <f>IF($F50&lt;=$C$16,INDEX('Forecast (By Month)'!$F$3:$AY$605,MATCH($F50*12,'Forecast (By Month)'!$F$3:$F$605,0),MATCH(V$3,'Forecast (By Month)'!$F$3:$AA$3,0)),"-")</f>
        <v>-</v>
      </c>
      <c r="W50" s="29" t="str">
        <f>IF($F50&lt;=$C$16,INDEX('Forecast (By Month)'!$F$3:$AY$605,MATCH($F50*12,'Forecast (By Month)'!$F$3:$F$605,0),MATCH(W$3,'Forecast (By Month)'!$F$3:$AA$3,0)),"-")</f>
        <v>-</v>
      </c>
      <c r="X50" s="29" t="str">
        <f>IF($F50&lt;=$C$16,INDEX('Forecast (By Month)'!$F$3:$AY$605,MATCH($F50*12,'Forecast (By Month)'!$F$3:$F$605,0),MATCH(X$3,'Forecast (By Month)'!$F$3:$AA$3,0)),"-")</f>
        <v>-</v>
      </c>
      <c r="Y50" s="8" t="str">
        <f>IF($F50&lt;=$C$16,INDEX('Forecast (By Month)'!$F$3:$AY$605,MATCH($F50*12,'Forecast (By Month)'!$F$3:$F$605,0),MATCH(Y$3,'Forecast (By Month)'!$F$3:$AA$3,0)),"-")</f>
        <v>-</v>
      </c>
      <c r="Z50" s="29" t="str">
        <f>IF($F50&lt;=$C$16,INDEX('Forecast (By Month)'!$F$3:$AY$605,MATCH($F50*12,'Forecast (By Month)'!$F$3:$F$605,0),MATCH(Z$3,'Forecast (By Month)'!$F$3:$AA$3,0)),"-")</f>
        <v>-</v>
      </c>
      <c r="AA50" s="31" t="str">
        <f>IF($F50&lt;=$C$16,INDEX('Forecast (By Month)'!$F$3:$AY$605,MATCH($F50*12,'Forecast (By Month)'!$F$3:$F$605,0),MATCH(AA$3,'Forecast (By Month)'!$F$3:$AA$3,0)),"-")</f>
        <v>-</v>
      </c>
      <c r="AD50" s="12" t="str">
        <f t="shared" si="6"/>
        <v>-</v>
      </c>
      <c r="AE50" s="8" t="str">
        <f t="shared" si="7"/>
        <v>-</v>
      </c>
      <c r="AF50" s="8" t="str">
        <f>IF($AD50&lt;=$C$25,AE50-$C$7+SUMIFS('Mortgage Calculators (By Month)'!$K$23:$K$622,'Mortgage Calculators (By Month)'!$I$23:$I$622,"&lt;="&amp;AD50*12),"-")</f>
        <v>-</v>
      </c>
      <c r="AG50" s="8" t="str">
        <f t="shared" si="16"/>
        <v>-</v>
      </c>
      <c r="AH50" s="8" t="str">
        <f>IF($AD50&lt;=$C$25,SUMIFS('Forecast (By Month)'!$AH$4:$AH$605,'Forecast (By Month)'!$AD$4:$AD$605,"&lt;="&amp;AD50*12,'Forecast (By Month)'!$AD$4:$AD$605,"&gt;"&amp;AD49*12),"-")</f>
        <v>-</v>
      </c>
      <c r="AI50" s="8" t="str">
        <f>IF($AD50&lt;=$C$25,SUMIFS('Forecast (By Month)'!$AI$4:$AI$605,'Forecast (By Month)'!$AD$4:$AD$605,"&lt;="&amp;AD50*12,'Forecast (By Month)'!$AD$4:$AD$605,"&gt;"&amp;AD49*12),"-")</f>
        <v>-</v>
      </c>
      <c r="AJ50" s="8" t="str">
        <f t="shared" si="17"/>
        <v>-</v>
      </c>
      <c r="AK50" s="8" t="str">
        <f>IF($AD50&lt;=$C$25,SUMIFS('Forecast (By Month)'!$AK$4:$AK$605,'Forecast (By Month)'!$AD$4:$AD$605,"&lt;="&amp;AD50*12,'Forecast (By Month)'!$AD$4:$AD$605,"&gt;"&amp;AD49*12),"-")</f>
        <v>-</v>
      </c>
      <c r="AL50" s="8" t="str">
        <f>IF($AD50&lt;=$C$25,SUMIFS('Forecast (By Month)'!$AL$4:$AL$605,'Forecast (By Month)'!$AD$4:$AD$605,"&lt;="&amp;AD50*12,'Forecast (By Month)'!$AD$4:$AD$605,"&gt;"&amp;AD49*12),"-")</f>
        <v>-</v>
      </c>
      <c r="AM50" s="8" t="str">
        <f>IF($AD50&lt;=$C$25,SUMIFS('Forecast (By Month)'!$AM$4:$AM$605,'Forecast (By Month)'!$AD$4:$AD$605,"&lt;="&amp;AD50*12,'Forecast (By Month)'!$AD$4:$AD$605,"&gt;"&amp;AD49*12),"-")</f>
        <v>-</v>
      </c>
      <c r="AN50" s="8" t="str">
        <f>IF($AD50&lt;=$C$25,SUMIFS('Forecast (By Month)'!$AN$4:$AN$605,'Forecast (By Month)'!$AD$4:$AD$605,"&lt;="&amp;AD50*12,'Forecast (By Month)'!$AD$4:$AD$605,"&gt;"&amp;AD49*12),"-")</f>
        <v>-</v>
      </c>
      <c r="AO50" s="8" t="str">
        <f>IF($AD50&lt;=$C$25,SUMIFS('Forecast (By Month)'!$AO$4:$AO$605,'Forecast (By Month)'!$AD$4:$AD$605,"&lt;="&amp;AD50*12,'Forecast (By Month)'!$AD$4:$AD$605,"&gt;"&amp;AD49*12),"-")</f>
        <v>-</v>
      </c>
      <c r="AP50" s="8" t="str">
        <f>IF($AD50&lt;=$C$25,SUMIFS('Forecast (By Month)'!$AP$4:$AP$605,'Forecast (By Month)'!$AD$4:$AD$605,"&lt;="&amp;AD50*12,'Forecast (By Month)'!$AD$4:$AD$605,"&gt;"&amp;AD49*12),"-")</f>
        <v>-</v>
      </c>
      <c r="AQ50" s="8" t="str">
        <f t="shared" si="18"/>
        <v>-</v>
      </c>
      <c r="AR50" s="8" t="str">
        <f t="shared" si="19"/>
        <v>-</v>
      </c>
      <c r="AS50" s="8" t="str">
        <f>IF($AD50&lt;=$C$25,SUM(AR$5:AR50),"-")</f>
        <v>-</v>
      </c>
      <c r="AT50" s="8" t="str">
        <f>IF($AD50&lt;=$C$25,INDEX('Forecast (By Month)'!$AD$3:$AY$605,MATCH($AD50*12,'Forecast (By Month)'!$AD$3:$AD$605,0),MATCH(AT$3,'Forecast (By Month)'!$AD$3:$AY$3,0)),"-")</f>
        <v>-</v>
      </c>
      <c r="AU50" s="29" t="str">
        <f>IF($AD50&lt;=$C$25,INDEX('Forecast (By Month)'!$AD$3:$AY$605,MATCH($AD50*12,'Forecast (By Month)'!$AD$3:$AD$605,0),MATCH(AU$3,'Forecast (By Month)'!$AD$3:$AY$3,0)),"-")</f>
        <v>-</v>
      </c>
      <c r="AV50" s="29" t="str">
        <f>IF($AD50&lt;=$C$25,INDEX('Forecast (By Month)'!$AD$3:$AY$605,MATCH($AD50*12,'Forecast (By Month)'!$AD$3:$AD$605,0),MATCH(AV$3,'Forecast (By Month)'!$AD$3:$AY$3,0)),"-")</f>
        <v>-</v>
      </c>
      <c r="AW50" s="8" t="str">
        <f>IF($AD50&lt;=$C$25,INDEX('Forecast (By Month)'!$AD$3:$AY$605,MATCH($AD50*12,'Forecast (By Month)'!$AD$3:$AD$605,0),MATCH(AW$3,'Forecast (By Month)'!$AD$3:$AY$3,0)),"-")</f>
        <v>-</v>
      </c>
      <c r="AX50" s="29" t="str">
        <f>IF($AD50&lt;=$C$25,INDEX('Forecast (By Month)'!$AD$3:$AY$605,MATCH($AD50*12,'Forecast (By Month)'!$AD$3:$AD$605,0),MATCH(AX$3,'Forecast (By Month)'!$AD$3:$AY$3,0)),"-")</f>
        <v>-</v>
      </c>
      <c r="AY50" s="31" t="str">
        <f>IF($AD50&lt;=$C$25,INDEX('Forecast (By Month)'!$AD$3:$AY$605,MATCH($AD50*12,'Forecast (By Month)'!$AD$3:$AD$605,0),MATCH(AY$3,'Forecast (By Month)'!$AD$3:$AY$3,0)),"-")</f>
        <v>-</v>
      </c>
    </row>
    <row r="51" spans="6:51" x14ac:dyDescent="0.35">
      <c r="F51" s="12" t="str">
        <f t="shared" si="1"/>
        <v>-</v>
      </c>
      <c r="G51" s="8" t="str">
        <f t="shared" si="2"/>
        <v>-</v>
      </c>
      <c r="H51" s="8" t="str">
        <f>IF($F51&lt;=$C$16,G51-$C$7+SUMIFS('Mortgage Calculators (By Month)'!$D$23:$D$622,'Mortgage Calculators (By Month)'!$B$23:$B$622,"&lt;="&amp;F51*12),"-")</f>
        <v>-</v>
      </c>
      <c r="I51" s="8" t="str">
        <f t="shared" si="12"/>
        <v>-</v>
      </c>
      <c r="J51" s="8" t="str">
        <f>IF($F51&lt;=$C$16,SUMIFS('Forecast (By Month)'!$J$4:$J$605,'Forecast (By Month)'!$F$4:$F$605,"&lt;="&amp;F51*12,'Forecast (By Month)'!$F$4:$F$605,"&gt;"&amp;F50*12),"-")</f>
        <v>-</v>
      </c>
      <c r="K51" s="8" t="str">
        <f>IF($F51&lt;=$C$16,SUMIFS('Forecast (By Month)'!$K$4:$K$605,'Forecast (By Month)'!$F$4:$F$605,"&lt;="&amp;F51*12,'Forecast (By Month)'!$F$4:$F$605,"&gt;"&amp;F50*12),"-")</f>
        <v>-</v>
      </c>
      <c r="L51" s="8" t="str">
        <f t="shared" si="13"/>
        <v>-</v>
      </c>
      <c r="M51" s="8" t="str">
        <f>IF($F51&lt;=$C$16,SUMIFS('Forecast (By Month)'!$M$4:$M$605,'Forecast (By Month)'!$F$4:$F$605,"&lt;="&amp;F51*12,'Forecast (By Month)'!$F$4:$F$605,"&gt;"&amp;F50*12),"-")</f>
        <v>-</v>
      </c>
      <c r="N51" s="8" t="str">
        <f>IF($F51&lt;=$C$16,SUMIFS('Forecast (By Month)'!$N$4:$N$605,'Forecast (By Month)'!$F$4:$F$605,"&lt;="&amp;F51*12,'Forecast (By Month)'!$F$4:$F$605,"&gt;"&amp;F50*12),"-")</f>
        <v>-</v>
      </c>
      <c r="O51" s="8" t="str">
        <f>IF($F51&lt;=$C$16,SUMIFS('Forecast (By Month)'!$O$4:$O$605,'Forecast (By Month)'!$F$4:$F$605,"&lt;="&amp;F51*12,'Forecast (By Month)'!$F$4:$F$605,"&gt;"&amp;F50*12),"-")</f>
        <v>-</v>
      </c>
      <c r="P51" s="8" t="str">
        <f>IF($F51&lt;=$C$16,SUMIFS('Forecast (By Month)'!$P$4:$P$605,'Forecast (By Month)'!$F$4:$F$605,"&lt;="&amp;F51*12,'Forecast (By Month)'!$F$4:$F$605,"&gt;"&amp;F50*12),"-")</f>
        <v>-</v>
      </c>
      <c r="Q51" s="8" t="str">
        <f>IF($F51&lt;=$C$16,SUMIFS('Forecast (By Month)'!$Q$4:$Q$605,'Forecast (By Month)'!$F$4:$F$605,"&lt;="&amp;F51*12,'Forecast (By Month)'!$F$4:$F$605,"&gt;"&amp;F50*12),"-")</f>
        <v>-</v>
      </c>
      <c r="R51" s="8" t="str">
        <f>IF($F51&lt;=$C$16,SUMIFS('Forecast (By Month)'!$R$4:$R$605,'Forecast (By Month)'!$F$4:$F$605,"&lt;="&amp;F51*12,'Forecast (By Month)'!$F$4:$F$605,"&gt;"&amp;F50*12),"-")</f>
        <v>-</v>
      </c>
      <c r="S51" s="8" t="str">
        <f t="shared" si="14"/>
        <v>-</v>
      </c>
      <c r="T51" s="8" t="str">
        <f t="shared" si="15"/>
        <v>-</v>
      </c>
      <c r="U51" s="8" t="str">
        <f>IF($F51&lt;=$C$16,SUM(T$5:T51),"-")</f>
        <v>-</v>
      </c>
      <c r="V51" s="8" t="str">
        <f>IF($F51&lt;=$C$16,INDEX('Forecast (By Month)'!$F$3:$AY$605,MATCH($F51*12,'Forecast (By Month)'!$F$3:$F$605,0),MATCH(V$3,'Forecast (By Month)'!$F$3:$AA$3,0)),"-")</f>
        <v>-</v>
      </c>
      <c r="W51" s="29" t="str">
        <f>IF($F51&lt;=$C$16,INDEX('Forecast (By Month)'!$F$3:$AY$605,MATCH($F51*12,'Forecast (By Month)'!$F$3:$F$605,0),MATCH(W$3,'Forecast (By Month)'!$F$3:$AA$3,0)),"-")</f>
        <v>-</v>
      </c>
      <c r="X51" s="29" t="str">
        <f>IF($F51&lt;=$C$16,INDEX('Forecast (By Month)'!$F$3:$AY$605,MATCH($F51*12,'Forecast (By Month)'!$F$3:$F$605,0),MATCH(X$3,'Forecast (By Month)'!$F$3:$AA$3,0)),"-")</f>
        <v>-</v>
      </c>
      <c r="Y51" s="8" t="str">
        <f>IF($F51&lt;=$C$16,INDEX('Forecast (By Month)'!$F$3:$AY$605,MATCH($F51*12,'Forecast (By Month)'!$F$3:$F$605,0),MATCH(Y$3,'Forecast (By Month)'!$F$3:$AA$3,0)),"-")</f>
        <v>-</v>
      </c>
      <c r="Z51" s="29" t="str">
        <f>IF($F51&lt;=$C$16,INDEX('Forecast (By Month)'!$F$3:$AY$605,MATCH($F51*12,'Forecast (By Month)'!$F$3:$F$605,0),MATCH(Z$3,'Forecast (By Month)'!$F$3:$AA$3,0)),"-")</f>
        <v>-</v>
      </c>
      <c r="AA51" s="31" t="str">
        <f>IF($F51&lt;=$C$16,INDEX('Forecast (By Month)'!$F$3:$AY$605,MATCH($F51*12,'Forecast (By Month)'!$F$3:$F$605,0),MATCH(AA$3,'Forecast (By Month)'!$F$3:$AA$3,0)),"-")</f>
        <v>-</v>
      </c>
      <c r="AD51" s="12" t="str">
        <f t="shared" si="6"/>
        <v>-</v>
      </c>
      <c r="AE51" s="8" t="str">
        <f t="shared" si="7"/>
        <v>-</v>
      </c>
      <c r="AF51" s="8" t="str">
        <f>IF($AD51&lt;=$C$25,AE51-$C$7+SUMIFS('Mortgage Calculators (By Month)'!$K$23:$K$622,'Mortgage Calculators (By Month)'!$I$23:$I$622,"&lt;="&amp;AD51*12),"-")</f>
        <v>-</v>
      </c>
      <c r="AG51" s="8" t="str">
        <f t="shared" si="16"/>
        <v>-</v>
      </c>
      <c r="AH51" s="8" t="str">
        <f>IF($AD51&lt;=$C$25,SUMIFS('Forecast (By Month)'!$AH$4:$AH$605,'Forecast (By Month)'!$AD$4:$AD$605,"&lt;="&amp;AD51*12,'Forecast (By Month)'!$AD$4:$AD$605,"&gt;"&amp;AD50*12),"-")</f>
        <v>-</v>
      </c>
      <c r="AI51" s="8" t="str">
        <f>IF($AD51&lt;=$C$25,SUMIFS('Forecast (By Month)'!$AI$4:$AI$605,'Forecast (By Month)'!$AD$4:$AD$605,"&lt;="&amp;AD51*12,'Forecast (By Month)'!$AD$4:$AD$605,"&gt;"&amp;AD50*12),"-")</f>
        <v>-</v>
      </c>
      <c r="AJ51" s="8" t="str">
        <f t="shared" si="17"/>
        <v>-</v>
      </c>
      <c r="AK51" s="8" t="str">
        <f>IF($AD51&lt;=$C$25,SUMIFS('Forecast (By Month)'!$AK$4:$AK$605,'Forecast (By Month)'!$AD$4:$AD$605,"&lt;="&amp;AD51*12,'Forecast (By Month)'!$AD$4:$AD$605,"&gt;"&amp;AD50*12),"-")</f>
        <v>-</v>
      </c>
      <c r="AL51" s="8" t="str">
        <f>IF($AD51&lt;=$C$25,SUMIFS('Forecast (By Month)'!$AL$4:$AL$605,'Forecast (By Month)'!$AD$4:$AD$605,"&lt;="&amp;AD51*12,'Forecast (By Month)'!$AD$4:$AD$605,"&gt;"&amp;AD50*12),"-")</f>
        <v>-</v>
      </c>
      <c r="AM51" s="8" t="str">
        <f>IF($AD51&lt;=$C$25,SUMIFS('Forecast (By Month)'!$AM$4:$AM$605,'Forecast (By Month)'!$AD$4:$AD$605,"&lt;="&amp;AD51*12,'Forecast (By Month)'!$AD$4:$AD$605,"&gt;"&amp;AD50*12),"-")</f>
        <v>-</v>
      </c>
      <c r="AN51" s="8" t="str">
        <f>IF($AD51&lt;=$C$25,SUMIFS('Forecast (By Month)'!$AN$4:$AN$605,'Forecast (By Month)'!$AD$4:$AD$605,"&lt;="&amp;AD51*12,'Forecast (By Month)'!$AD$4:$AD$605,"&gt;"&amp;AD50*12),"-")</f>
        <v>-</v>
      </c>
      <c r="AO51" s="8" t="str">
        <f>IF($AD51&lt;=$C$25,SUMIFS('Forecast (By Month)'!$AO$4:$AO$605,'Forecast (By Month)'!$AD$4:$AD$605,"&lt;="&amp;AD51*12,'Forecast (By Month)'!$AD$4:$AD$605,"&gt;"&amp;AD50*12),"-")</f>
        <v>-</v>
      </c>
      <c r="AP51" s="8" t="str">
        <f>IF($AD51&lt;=$C$25,SUMIFS('Forecast (By Month)'!$AP$4:$AP$605,'Forecast (By Month)'!$AD$4:$AD$605,"&lt;="&amp;AD51*12,'Forecast (By Month)'!$AD$4:$AD$605,"&gt;"&amp;AD50*12),"-")</f>
        <v>-</v>
      </c>
      <c r="AQ51" s="8" t="str">
        <f t="shared" si="18"/>
        <v>-</v>
      </c>
      <c r="AR51" s="8" t="str">
        <f t="shared" si="19"/>
        <v>-</v>
      </c>
      <c r="AS51" s="8" t="str">
        <f>IF($AD51&lt;=$C$25,SUM(AR$5:AR51),"-")</f>
        <v>-</v>
      </c>
      <c r="AT51" s="8" t="str">
        <f>IF($AD51&lt;=$C$25,INDEX('Forecast (By Month)'!$AD$3:$AY$605,MATCH($AD51*12,'Forecast (By Month)'!$AD$3:$AD$605,0),MATCH(AT$3,'Forecast (By Month)'!$AD$3:$AY$3,0)),"-")</f>
        <v>-</v>
      </c>
      <c r="AU51" s="29" t="str">
        <f>IF($AD51&lt;=$C$25,INDEX('Forecast (By Month)'!$AD$3:$AY$605,MATCH($AD51*12,'Forecast (By Month)'!$AD$3:$AD$605,0),MATCH(AU$3,'Forecast (By Month)'!$AD$3:$AY$3,0)),"-")</f>
        <v>-</v>
      </c>
      <c r="AV51" s="29" t="str">
        <f>IF($AD51&lt;=$C$25,INDEX('Forecast (By Month)'!$AD$3:$AY$605,MATCH($AD51*12,'Forecast (By Month)'!$AD$3:$AD$605,0),MATCH(AV$3,'Forecast (By Month)'!$AD$3:$AY$3,0)),"-")</f>
        <v>-</v>
      </c>
      <c r="AW51" s="8" t="str">
        <f>IF($AD51&lt;=$C$25,INDEX('Forecast (By Month)'!$AD$3:$AY$605,MATCH($AD51*12,'Forecast (By Month)'!$AD$3:$AD$605,0),MATCH(AW$3,'Forecast (By Month)'!$AD$3:$AY$3,0)),"-")</f>
        <v>-</v>
      </c>
      <c r="AX51" s="29" t="str">
        <f>IF($AD51&lt;=$C$25,INDEX('Forecast (By Month)'!$AD$3:$AY$605,MATCH($AD51*12,'Forecast (By Month)'!$AD$3:$AD$605,0),MATCH(AX$3,'Forecast (By Month)'!$AD$3:$AY$3,0)),"-")</f>
        <v>-</v>
      </c>
      <c r="AY51" s="31" t="str">
        <f>IF($AD51&lt;=$C$25,INDEX('Forecast (By Month)'!$AD$3:$AY$605,MATCH($AD51*12,'Forecast (By Month)'!$AD$3:$AD$605,0),MATCH(AY$3,'Forecast (By Month)'!$AD$3:$AY$3,0)),"-")</f>
        <v>-</v>
      </c>
    </row>
    <row r="52" spans="6:51" x14ac:dyDescent="0.35">
      <c r="F52" s="12" t="str">
        <f t="shared" si="1"/>
        <v>-</v>
      </c>
      <c r="G52" s="8" t="str">
        <f t="shared" si="2"/>
        <v>-</v>
      </c>
      <c r="H52" s="8" t="str">
        <f>IF($F52&lt;=$C$16,G52-$C$7+SUMIFS('Mortgage Calculators (By Month)'!$D$23:$D$622,'Mortgage Calculators (By Month)'!$B$23:$B$622,"&lt;="&amp;F52*12),"-")</f>
        <v>-</v>
      </c>
      <c r="I52" s="8" t="str">
        <f t="shared" si="12"/>
        <v>-</v>
      </c>
      <c r="J52" s="8" t="str">
        <f>IF($F52&lt;=$C$16,SUMIFS('Forecast (By Month)'!$J$4:$J$605,'Forecast (By Month)'!$F$4:$F$605,"&lt;="&amp;F52*12,'Forecast (By Month)'!$F$4:$F$605,"&gt;"&amp;F51*12),"-")</f>
        <v>-</v>
      </c>
      <c r="K52" s="8" t="str">
        <f>IF($F52&lt;=$C$16,SUMIFS('Forecast (By Month)'!$K$4:$K$605,'Forecast (By Month)'!$F$4:$F$605,"&lt;="&amp;F52*12,'Forecast (By Month)'!$F$4:$F$605,"&gt;"&amp;F51*12),"-")</f>
        <v>-</v>
      </c>
      <c r="L52" s="8" t="str">
        <f t="shared" si="13"/>
        <v>-</v>
      </c>
      <c r="M52" s="8" t="str">
        <f>IF($F52&lt;=$C$16,SUMIFS('Forecast (By Month)'!$M$4:$M$605,'Forecast (By Month)'!$F$4:$F$605,"&lt;="&amp;F52*12,'Forecast (By Month)'!$F$4:$F$605,"&gt;"&amp;F51*12),"-")</f>
        <v>-</v>
      </c>
      <c r="N52" s="8" t="str">
        <f>IF($F52&lt;=$C$16,SUMIFS('Forecast (By Month)'!$N$4:$N$605,'Forecast (By Month)'!$F$4:$F$605,"&lt;="&amp;F52*12,'Forecast (By Month)'!$F$4:$F$605,"&gt;"&amp;F51*12),"-")</f>
        <v>-</v>
      </c>
      <c r="O52" s="8" t="str">
        <f>IF($F52&lt;=$C$16,SUMIFS('Forecast (By Month)'!$O$4:$O$605,'Forecast (By Month)'!$F$4:$F$605,"&lt;="&amp;F52*12,'Forecast (By Month)'!$F$4:$F$605,"&gt;"&amp;F51*12),"-")</f>
        <v>-</v>
      </c>
      <c r="P52" s="8" t="str">
        <f>IF($F52&lt;=$C$16,SUMIFS('Forecast (By Month)'!$P$4:$P$605,'Forecast (By Month)'!$F$4:$F$605,"&lt;="&amp;F52*12,'Forecast (By Month)'!$F$4:$F$605,"&gt;"&amp;F51*12),"-")</f>
        <v>-</v>
      </c>
      <c r="Q52" s="8" t="str">
        <f>IF($F52&lt;=$C$16,SUMIFS('Forecast (By Month)'!$Q$4:$Q$605,'Forecast (By Month)'!$F$4:$F$605,"&lt;="&amp;F52*12,'Forecast (By Month)'!$F$4:$F$605,"&gt;"&amp;F51*12),"-")</f>
        <v>-</v>
      </c>
      <c r="R52" s="8" t="str">
        <f>IF($F52&lt;=$C$16,SUMIFS('Forecast (By Month)'!$R$4:$R$605,'Forecast (By Month)'!$F$4:$F$605,"&lt;="&amp;F52*12,'Forecast (By Month)'!$F$4:$F$605,"&gt;"&amp;F51*12),"-")</f>
        <v>-</v>
      </c>
      <c r="S52" s="8" t="str">
        <f t="shared" si="14"/>
        <v>-</v>
      </c>
      <c r="T52" s="8" t="str">
        <f t="shared" si="15"/>
        <v>-</v>
      </c>
      <c r="U52" s="8" t="str">
        <f>IF($F52&lt;=$C$16,SUM(T$5:T52),"-")</f>
        <v>-</v>
      </c>
      <c r="V52" s="8" t="str">
        <f>IF($F52&lt;=$C$16,INDEX('Forecast (By Month)'!$F$3:$AY$605,MATCH($F52*12,'Forecast (By Month)'!$F$3:$F$605,0),MATCH(V$3,'Forecast (By Month)'!$F$3:$AA$3,0)),"-")</f>
        <v>-</v>
      </c>
      <c r="W52" s="29" t="str">
        <f>IF($F52&lt;=$C$16,INDEX('Forecast (By Month)'!$F$3:$AY$605,MATCH($F52*12,'Forecast (By Month)'!$F$3:$F$605,0),MATCH(W$3,'Forecast (By Month)'!$F$3:$AA$3,0)),"-")</f>
        <v>-</v>
      </c>
      <c r="X52" s="29" t="str">
        <f>IF($F52&lt;=$C$16,INDEX('Forecast (By Month)'!$F$3:$AY$605,MATCH($F52*12,'Forecast (By Month)'!$F$3:$F$605,0),MATCH(X$3,'Forecast (By Month)'!$F$3:$AA$3,0)),"-")</f>
        <v>-</v>
      </c>
      <c r="Y52" s="8" t="str">
        <f>IF($F52&lt;=$C$16,INDEX('Forecast (By Month)'!$F$3:$AY$605,MATCH($F52*12,'Forecast (By Month)'!$F$3:$F$605,0),MATCH(Y$3,'Forecast (By Month)'!$F$3:$AA$3,0)),"-")</f>
        <v>-</v>
      </c>
      <c r="Z52" s="29" t="str">
        <f>IF($F52&lt;=$C$16,INDEX('Forecast (By Month)'!$F$3:$AY$605,MATCH($F52*12,'Forecast (By Month)'!$F$3:$F$605,0),MATCH(Z$3,'Forecast (By Month)'!$F$3:$AA$3,0)),"-")</f>
        <v>-</v>
      </c>
      <c r="AA52" s="31" t="str">
        <f>IF($F52&lt;=$C$16,INDEX('Forecast (By Month)'!$F$3:$AY$605,MATCH($F52*12,'Forecast (By Month)'!$F$3:$F$605,0),MATCH(AA$3,'Forecast (By Month)'!$F$3:$AA$3,0)),"-")</f>
        <v>-</v>
      </c>
      <c r="AD52" s="12" t="str">
        <f t="shared" si="6"/>
        <v>-</v>
      </c>
      <c r="AE52" s="8" t="str">
        <f t="shared" si="7"/>
        <v>-</v>
      </c>
      <c r="AF52" s="8" t="str">
        <f>IF($AD52&lt;=$C$25,AE52-$C$7+SUMIFS('Mortgage Calculators (By Month)'!$K$23:$K$622,'Mortgage Calculators (By Month)'!$I$23:$I$622,"&lt;="&amp;AD52*12),"-")</f>
        <v>-</v>
      </c>
      <c r="AG52" s="8" t="str">
        <f t="shared" si="16"/>
        <v>-</v>
      </c>
      <c r="AH52" s="8" t="str">
        <f>IF($AD52&lt;=$C$25,SUMIFS('Forecast (By Month)'!$AH$4:$AH$605,'Forecast (By Month)'!$AD$4:$AD$605,"&lt;="&amp;AD52*12,'Forecast (By Month)'!$AD$4:$AD$605,"&gt;"&amp;AD51*12),"-")</f>
        <v>-</v>
      </c>
      <c r="AI52" s="8" t="str">
        <f>IF($AD52&lt;=$C$25,SUMIFS('Forecast (By Month)'!$AI$4:$AI$605,'Forecast (By Month)'!$AD$4:$AD$605,"&lt;="&amp;AD52*12,'Forecast (By Month)'!$AD$4:$AD$605,"&gt;"&amp;AD51*12),"-")</f>
        <v>-</v>
      </c>
      <c r="AJ52" s="8" t="str">
        <f t="shared" si="17"/>
        <v>-</v>
      </c>
      <c r="AK52" s="8" t="str">
        <f>IF($AD52&lt;=$C$25,SUMIFS('Forecast (By Month)'!$AK$4:$AK$605,'Forecast (By Month)'!$AD$4:$AD$605,"&lt;="&amp;AD52*12,'Forecast (By Month)'!$AD$4:$AD$605,"&gt;"&amp;AD51*12),"-")</f>
        <v>-</v>
      </c>
      <c r="AL52" s="8" t="str">
        <f>IF($AD52&lt;=$C$25,SUMIFS('Forecast (By Month)'!$AL$4:$AL$605,'Forecast (By Month)'!$AD$4:$AD$605,"&lt;="&amp;AD52*12,'Forecast (By Month)'!$AD$4:$AD$605,"&gt;"&amp;AD51*12),"-")</f>
        <v>-</v>
      </c>
      <c r="AM52" s="8" t="str">
        <f>IF($AD52&lt;=$C$25,SUMIFS('Forecast (By Month)'!$AM$4:$AM$605,'Forecast (By Month)'!$AD$4:$AD$605,"&lt;="&amp;AD52*12,'Forecast (By Month)'!$AD$4:$AD$605,"&gt;"&amp;AD51*12),"-")</f>
        <v>-</v>
      </c>
      <c r="AN52" s="8" t="str">
        <f>IF($AD52&lt;=$C$25,SUMIFS('Forecast (By Month)'!$AN$4:$AN$605,'Forecast (By Month)'!$AD$4:$AD$605,"&lt;="&amp;AD52*12,'Forecast (By Month)'!$AD$4:$AD$605,"&gt;"&amp;AD51*12),"-")</f>
        <v>-</v>
      </c>
      <c r="AO52" s="8" t="str">
        <f>IF($AD52&lt;=$C$25,SUMIFS('Forecast (By Month)'!$AO$4:$AO$605,'Forecast (By Month)'!$AD$4:$AD$605,"&lt;="&amp;AD52*12,'Forecast (By Month)'!$AD$4:$AD$605,"&gt;"&amp;AD51*12),"-")</f>
        <v>-</v>
      </c>
      <c r="AP52" s="8" t="str">
        <f>IF($AD52&lt;=$C$25,SUMIFS('Forecast (By Month)'!$AP$4:$AP$605,'Forecast (By Month)'!$AD$4:$AD$605,"&lt;="&amp;AD52*12,'Forecast (By Month)'!$AD$4:$AD$605,"&gt;"&amp;AD51*12),"-")</f>
        <v>-</v>
      </c>
      <c r="AQ52" s="8" t="str">
        <f t="shared" si="18"/>
        <v>-</v>
      </c>
      <c r="AR52" s="8" t="str">
        <f t="shared" si="19"/>
        <v>-</v>
      </c>
      <c r="AS52" s="8" t="str">
        <f>IF($AD52&lt;=$C$25,SUM(AR$5:AR52),"-")</f>
        <v>-</v>
      </c>
      <c r="AT52" s="8" t="str">
        <f>IF($AD52&lt;=$C$25,INDEX('Forecast (By Month)'!$AD$3:$AY$605,MATCH($AD52*12,'Forecast (By Month)'!$AD$3:$AD$605,0),MATCH(AT$3,'Forecast (By Month)'!$AD$3:$AY$3,0)),"-")</f>
        <v>-</v>
      </c>
      <c r="AU52" s="29" t="str">
        <f>IF($AD52&lt;=$C$25,INDEX('Forecast (By Month)'!$AD$3:$AY$605,MATCH($AD52*12,'Forecast (By Month)'!$AD$3:$AD$605,0),MATCH(AU$3,'Forecast (By Month)'!$AD$3:$AY$3,0)),"-")</f>
        <v>-</v>
      </c>
      <c r="AV52" s="29" t="str">
        <f>IF($AD52&lt;=$C$25,INDEX('Forecast (By Month)'!$AD$3:$AY$605,MATCH($AD52*12,'Forecast (By Month)'!$AD$3:$AD$605,0),MATCH(AV$3,'Forecast (By Month)'!$AD$3:$AY$3,0)),"-")</f>
        <v>-</v>
      </c>
      <c r="AW52" s="8" t="str">
        <f>IF($AD52&lt;=$C$25,INDEX('Forecast (By Month)'!$AD$3:$AY$605,MATCH($AD52*12,'Forecast (By Month)'!$AD$3:$AD$605,0),MATCH(AW$3,'Forecast (By Month)'!$AD$3:$AY$3,0)),"-")</f>
        <v>-</v>
      </c>
      <c r="AX52" s="29" t="str">
        <f>IF($AD52&lt;=$C$25,INDEX('Forecast (By Month)'!$AD$3:$AY$605,MATCH($AD52*12,'Forecast (By Month)'!$AD$3:$AD$605,0),MATCH(AX$3,'Forecast (By Month)'!$AD$3:$AY$3,0)),"-")</f>
        <v>-</v>
      </c>
      <c r="AY52" s="31" t="str">
        <f>IF($AD52&lt;=$C$25,INDEX('Forecast (By Month)'!$AD$3:$AY$605,MATCH($AD52*12,'Forecast (By Month)'!$AD$3:$AD$605,0),MATCH(AY$3,'Forecast (By Month)'!$AD$3:$AY$3,0)),"-")</f>
        <v>-</v>
      </c>
    </row>
    <row r="53" spans="6:51" x14ac:dyDescent="0.35">
      <c r="F53" s="12" t="str">
        <f t="shared" si="1"/>
        <v>-</v>
      </c>
      <c r="G53" s="8" t="str">
        <f t="shared" si="2"/>
        <v>-</v>
      </c>
      <c r="H53" s="8" t="str">
        <f>IF($F53&lt;=$C$16,G53-$C$7+SUMIFS('Mortgage Calculators (By Month)'!$D$23:$D$622,'Mortgage Calculators (By Month)'!$B$23:$B$622,"&lt;="&amp;F53*12),"-")</f>
        <v>-</v>
      </c>
      <c r="I53" s="8" t="str">
        <f t="shared" si="12"/>
        <v>-</v>
      </c>
      <c r="J53" s="8" t="str">
        <f>IF($F53&lt;=$C$16,SUMIFS('Forecast (By Month)'!$J$4:$J$605,'Forecast (By Month)'!$F$4:$F$605,"&lt;="&amp;F53*12,'Forecast (By Month)'!$F$4:$F$605,"&gt;"&amp;F52*12),"-")</f>
        <v>-</v>
      </c>
      <c r="K53" s="8" t="str">
        <f>IF($F53&lt;=$C$16,SUMIFS('Forecast (By Month)'!$K$4:$K$605,'Forecast (By Month)'!$F$4:$F$605,"&lt;="&amp;F53*12,'Forecast (By Month)'!$F$4:$F$605,"&gt;"&amp;F52*12),"-")</f>
        <v>-</v>
      </c>
      <c r="L53" s="8" t="str">
        <f t="shared" si="13"/>
        <v>-</v>
      </c>
      <c r="M53" s="8" t="str">
        <f>IF($F53&lt;=$C$16,SUMIFS('Forecast (By Month)'!$M$4:$M$605,'Forecast (By Month)'!$F$4:$F$605,"&lt;="&amp;F53*12,'Forecast (By Month)'!$F$4:$F$605,"&gt;"&amp;F52*12),"-")</f>
        <v>-</v>
      </c>
      <c r="N53" s="8" t="str">
        <f>IF($F53&lt;=$C$16,SUMIFS('Forecast (By Month)'!$N$4:$N$605,'Forecast (By Month)'!$F$4:$F$605,"&lt;="&amp;F53*12,'Forecast (By Month)'!$F$4:$F$605,"&gt;"&amp;F52*12),"-")</f>
        <v>-</v>
      </c>
      <c r="O53" s="8" t="str">
        <f>IF($F53&lt;=$C$16,SUMIFS('Forecast (By Month)'!$O$4:$O$605,'Forecast (By Month)'!$F$4:$F$605,"&lt;="&amp;F53*12,'Forecast (By Month)'!$F$4:$F$605,"&gt;"&amp;F52*12),"-")</f>
        <v>-</v>
      </c>
      <c r="P53" s="8" t="str">
        <f>IF($F53&lt;=$C$16,SUMIFS('Forecast (By Month)'!$P$4:$P$605,'Forecast (By Month)'!$F$4:$F$605,"&lt;="&amp;F53*12,'Forecast (By Month)'!$F$4:$F$605,"&gt;"&amp;F52*12),"-")</f>
        <v>-</v>
      </c>
      <c r="Q53" s="8" t="str">
        <f>IF($F53&lt;=$C$16,SUMIFS('Forecast (By Month)'!$Q$4:$Q$605,'Forecast (By Month)'!$F$4:$F$605,"&lt;="&amp;F53*12,'Forecast (By Month)'!$F$4:$F$605,"&gt;"&amp;F52*12),"-")</f>
        <v>-</v>
      </c>
      <c r="R53" s="8" t="str">
        <f>IF($F53&lt;=$C$16,SUMIFS('Forecast (By Month)'!$R$4:$R$605,'Forecast (By Month)'!$F$4:$F$605,"&lt;="&amp;F53*12,'Forecast (By Month)'!$F$4:$F$605,"&gt;"&amp;F52*12),"-")</f>
        <v>-</v>
      </c>
      <c r="S53" s="8" t="str">
        <f t="shared" si="14"/>
        <v>-</v>
      </c>
      <c r="T53" s="8" t="str">
        <f t="shared" si="15"/>
        <v>-</v>
      </c>
      <c r="U53" s="8" t="str">
        <f>IF($F53&lt;=$C$16,SUM(T$5:T53),"-")</f>
        <v>-</v>
      </c>
      <c r="V53" s="8" t="str">
        <f>IF($F53&lt;=$C$16,INDEX('Forecast (By Month)'!$F$3:$AY$605,MATCH($F53*12,'Forecast (By Month)'!$F$3:$F$605,0),MATCH(V$3,'Forecast (By Month)'!$F$3:$AA$3,0)),"-")</f>
        <v>-</v>
      </c>
      <c r="W53" s="29" t="str">
        <f>IF($F53&lt;=$C$16,INDEX('Forecast (By Month)'!$F$3:$AY$605,MATCH($F53*12,'Forecast (By Month)'!$F$3:$F$605,0),MATCH(W$3,'Forecast (By Month)'!$F$3:$AA$3,0)),"-")</f>
        <v>-</v>
      </c>
      <c r="X53" s="29" t="str">
        <f>IF($F53&lt;=$C$16,INDEX('Forecast (By Month)'!$F$3:$AY$605,MATCH($F53*12,'Forecast (By Month)'!$F$3:$F$605,0),MATCH(X$3,'Forecast (By Month)'!$F$3:$AA$3,0)),"-")</f>
        <v>-</v>
      </c>
      <c r="Y53" s="8" t="str">
        <f>IF($F53&lt;=$C$16,INDEX('Forecast (By Month)'!$F$3:$AY$605,MATCH($F53*12,'Forecast (By Month)'!$F$3:$F$605,0),MATCH(Y$3,'Forecast (By Month)'!$F$3:$AA$3,0)),"-")</f>
        <v>-</v>
      </c>
      <c r="Z53" s="29" t="str">
        <f>IF($F53&lt;=$C$16,INDEX('Forecast (By Month)'!$F$3:$AY$605,MATCH($F53*12,'Forecast (By Month)'!$F$3:$F$605,0),MATCH(Z$3,'Forecast (By Month)'!$F$3:$AA$3,0)),"-")</f>
        <v>-</v>
      </c>
      <c r="AA53" s="31" t="str">
        <f>IF($F53&lt;=$C$16,INDEX('Forecast (By Month)'!$F$3:$AY$605,MATCH($F53*12,'Forecast (By Month)'!$F$3:$F$605,0),MATCH(AA$3,'Forecast (By Month)'!$F$3:$AA$3,0)),"-")</f>
        <v>-</v>
      </c>
      <c r="AD53" s="12" t="str">
        <f t="shared" si="6"/>
        <v>-</v>
      </c>
      <c r="AE53" s="8" t="str">
        <f t="shared" si="7"/>
        <v>-</v>
      </c>
      <c r="AF53" s="8" t="str">
        <f>IF($AD53&lt;=$C$25,AE53-$C$7+SUMIFS('Mortgage Calculators (By Month)'!$K$23:$K$622,'Mortgage Calculators (By Month)'!$I$23:$I$622,"&lt;="&amp;AD53*12),"-")</f>
        <v>-</v>
      </c>
      <c r="AG53" s="8" t="str">
        <f t="shared" si="16"/>
        <v>-</v>
      </c>
      <c r="AH53" s="8" t="str">
        <f>IF($AD53&lt;=$C$25,SUMIFS('Forecast (By Month)'!$AH$4:$AH$605,'Forecast (By Month)'!$AD$4:$AD$605,"&lt;="&amp;AD53*12,'Forecast (By Month)'!$AD$4:$AD$605,"&gt;"&amp;AD52*12),"-")</f>
        <v>-</v>
      </c>
      <c r="AI53" s="8" t="str">
        <f>IF($AD53&lt;=$C$25,SUMIFS('Forecast (By Month)'!$AI$4:$AI$605,'Forecast (By Month)'!$AD$4:$AD$605,"&lt;="&amp;AD53*12,'Forecast (By Month)'!$AD$4:$AD$605,"&gt;"&amp;AD52*12),"-")</f>
        <v>-</v>
      </c>
      <c r="AJ53" s="8" t="str">
        <f t="shared" si="17"/>
        <v>-</v>
      </c>
      <c r="AK53" s="8" t="str">
        <f>IF($AD53&lt;=$C$25,SUMIFS('Forecast (By Month)'!$AK$4:$AK$605,'Forecast (By Month)'!$AD$4:$AD$605,"&lt;="&amp;AD53*12,'Forecast (By Month)'!$AD$4:$AD$605,"&gt;"&amp;AD52*12),"-")</f>
        <v>-</v>
      </c>
      <c r="AL53" s="8" t="str">
        <f>IF($AD53&lt;=$C$25,SUMIFS('Forecast (By Month)'!$AL$4:$AL$605,'Forecast (By Month)'!$AD$4:$AD$605,"&lt;="&amp;AD53*12,'Forecast (By Month)'!$AD$4:$AD$605,"&gt;"&amp;AD52*12),"-")</f>
        <v>-</v>
      </c>
      <c r="AM53" s="8" t="str">
        <f>IF($AD53&lt;=$C$25,SUMIFS('Forecast (By Month)'!$AM$4:$AM$605,'Forecast (By Month)'!$AD$4:$AD$605,"&lt;="&amp;AD53*12,'Forecast (By Month)'!$AD$4:$AD$605,"&gt;"&amp;AD52*12),"-")</f>
        <v>-</v>
      </c>
      <c r="AN53" s="8" t="str">
        <f>IF($AD53&lt;=$C$25,SUMIFS('Forecast (By Month)'!$AN$4:$AN$605,'Forecast (By Month)'!$AD$4:$AD$605,"&lt;="&amp;AD53*12,'Forecast (By Month)'!$AD$4:$AD$605,"&gt;"&amp;AD52*12),"-")</f>
        <v>-</v>
      </c>
      <c r="AO53" s="8" t="str">
        <f>IF($AD53&lt;=$C$25,SUMIFS('Forecast (By Month)'!$AO$4:$AO$605,'Forecast (By Month)'!$AD$4:$AD$605,"&lt;="&amp;AD53*12,'Forecast (By Month)'!$AD$4:$AD$605,"&gt;"&amp;AD52*12),"-")</f>
        <v>-</v>
      </c>
      <c r="AP53" s="8" t="str">
        <f>IF($AD53&lt;=$C$25,SUMIFS('Forecast (By Month)'!$AP$4:$AP$605,'Forecast (By Month)'!$AD$4:$AD$605,"&lt;="&amp;AD53*12,'Forecast (By Month)'!$AD$4:$AD$605,"&gt;"&amp;AD52*12),"-")</f>
        <v>-</v>
      </c>
      <c r="AQ53" s="8" t="str">
        <f t="shared" si="18"/>
        <v>-</v>
      </c>
      <c r="AR53" s="8" t="str">
        <f t="shared" si="19"/>
        <v>-</v>
      </c>
      <c r="AS53" s="8" t="str">
        <f>IF($AD53&lt;=$C$25,SUM(AR$5:AR53),"-")</f>
        <v>-</v>
      </c>
      <c r="AT53" s="8" t="str">
        <f>IF($AD53&lt;=$C$25,INDEX('Forecast (By Month)'!$AD$3:$AY$605,MATCH($AD53*12,'Forecast (By Month)'!$AD$3:$AD$605,0),MATCH(AT$3,'Forecast (By Month)'!$AD$3:$AY$3,0)),"-")</f>
        <v>-</v>
      </c>
      <c r="AU53" s="29" t="str">
        <f>IF($AD53&lt;=$C$25,INDEX('Forecast (By Month)'!$AD$3:$AY$605,MATCH($AD53*12,'Forecast (By Month)'!$AD$3:$AD$605,0),MATCH(AU$3,'Forecast (By Month)'!$AD$3:$AY$3,0)),"-")</f>
        <v>-</v>
      </c>
      <c r="AV53" s="29" t="str">
        <f>IF($AD53&lt;=$C$25,INDEX('Forecast (By Month)'!$AD$3:$AY$605,MATCH($AD53*12,'Forecast (By Month)'!$AD$3:$AD$605,0),MATCH(AV$3,'Forecast (By Month)'!$AD$3:$AY$3,0)),"-")</f>
        <v>-</v>
      </c>
      <c r="AW53" s="8" t="str">
        <f>IF($AD53&lt;=$C$25,INDEX('Forecast (By Month)'!$AD$3:$AY$605,MATCH($AD53*12,'Forecast (By Month)'!$AD$3:$AD$605,0),MATCH(AW$3,'Forecast (By Month)'!$AD$3:$AY$3,0)),"-")</f>
        <v>-</v>
      </c>
      <c r="AX53" s="29" t="str">
        <f>IF($AD53&lt;=$C$25,INDEX('Forecast (By Month)'!$AD$3:$AY$605,MATCH($AD53*12,'Forecast (By Month)'!$AD$3:$AD$605,0),MATCH(AX$3,'Forecast (By Month)'!$AD$3:$AY$3,0)),"-")</f>
        <v>-</v>
      </c>
      <c r="AY53" s="31" t="str">
        <f>IF($AD53&lt;=$C$25,INDEX('Forecast (By Month)'!$AD$3:$AY$605,MATCH($AD53*12,'Forecast (By Month)'!$AD$3:$AD$605,0),MATCH(AY$3,'Forecast (By Month)'!$AD$3:$AY$3,0)),"-")</f>
        <v>-</v>
      </c>
    </row>
    <row r="54" spans="6:51" x14ac:dyDescent="0.35">
      <c r="F54" s="12" t="str">
        <f t="shared" si="1"/>
        <v>-</v>
      </c>
      <c r="G54" s="8" t="str">
        <f t="shared" si="2"/>
        <v>-</v>
      </c>
      <c r="H54" s="8" t="str">
        <f>IF($F54&lt;=$C$16,G54-$C$7+SUMIFS('Mortgage Calculators (By Month)'!$D$23:$D$622,'Mortgage Calculators (By Month)'!$B$23:$B$622,"&lt;="&amp;F54*12),"-")</f>
        <v>-</v>
      </c>
      <c r="I54" s="8" t="str">
        <f t="shared" si="12"/>
        <v>-</v>
      </c>
      <c r="J54" s="8" t="str">
        <f>IF($F54&lt;=$C$16,SUMIFS('Forecast (By Month)'!$J$4:$J$605,'Forecast (By Month)'!$F$4:$F$605,"&lt;="&amp;F54*12,'Forecast (By Month)'!$F$4:$F$605,"&gt;"&amp;F53*12),"-")</f>
        <v>-</v>
      </c>
      <c r="K54" s="8" t="str">
        <f>IF($F54&lt;=$C$16,SUMIFS('Forecast (By Month)'!$K$4:$K$605,'Forecast (By Month)'!$F$4:$F$605,"&lt;="&amp;F54*12,'Forecast (By Month)'!$F$4:$F$605,"&gt;"&amp;F53*12),"-")</f>
        <v>-</v>
      </c>
      <c r="L54" s="8" t="str">
        <f t="shared" si="13"/>
        <v>-</v>
      </c>
      <c r="M54" s="8" t="str">
        <f>IF($F54&lt;=$C$16,SUMIFS('Forecast (By Month)'!$M$4:$M$605,'Forecast (By Month)'!$F$4:$F$605,"&lt;="&amp;F54*12,'Forecast (By Month)'!$F$4:$F$605,"&gt;"&amp;F53*12),"-")</f>
        <v>-</v>
      </c>
      <c r="N54" s="8" t="str">
        <f>IF($F54&lt;=$C$16,SUMIFS('Forecast (By Month)'!$N$4:$N$605,'Forecast (By Month)'!$F$4:$F$605,"&lt;="&amp;F54*12,'Forecast (By Month)'!$F$4:$F$605,"&gt;"&amp;F53*12),"-")</f>
        <v>-</v>
      </c>
      <c r="O54" s="8" t="str">
        <f>IF($F54&lt;=$C$16,SUMIFS('Forecast (By Month)'!$O$4:$O$605,'Forecast (By Month)'!$F$4:$F$605,"&lt;="&amp;F54*12,'Forecast (By Month)'!$F$4:$F$605,"&gt;"&amp;F53*12),"-")</f>
        <v>-</v>
      </c>
      <c r="P54" s="8" t="str">
        <f>IF($F54&lt;=$C$16,SUMIFS('Forecast (By Month)'!$P$4:$P$605,'Forecast (By Month)'!$F$4:$F$605,"&lt;="&amp;F54*12,'Forecast (By Month)'!$F$4:$F$605,"&gt;"&amp;F53*12),"-")</f>
        <v>-</v>
      </c>
      <c r="Q54" s="8" t="str">
        <f>IF($F54&lt;=$C$16,SUMIFS('Forecast (By Month)'!$Q$4:$Q$605,'Forecast (By Month)'!$F$4:$F$605,"&lt;="&amp;F54*12,'Forecast (By Month)'!$F$4:$F$605,"&gt;"&amp;F53*12),"-")</f>
        <v>-</v>
      </c>
      <c r="R54" s="8" t="str">
        <f>IF($F54&lt;=$C$16,SUMIFS('Forecast (By Month)'!$R$4:$R$605,'Forecast (By Month)'!$F$4:$F$605,"&lt;="&amp;F54*12,'Forecast (By Month)'!$F$4:$F$605,"&gt;"&amp;F53*12),"-")</f>
        <v>-</v>
      </c>
      <c r="S54" s="8" t="str">
        <f t="shared" si="14"/>
        <v>-</v>
      </c>
      <c r="T54" s="8" t="str">
        <f t="shared" si="15"/>
        <v>-</v>
      </c>
      <c r="U54" s="8" t="str">
        <f>IF($F54&lt;=$C$16,SUM(T$5:T54),"-")</f>
        <v>-</v>
      </c>
      <c r="V54" s="8" t="str">
        <f>IF($F54&lt;=$C$16,INDEX('Forecast (By Month)'!$F$3:$AY$605,MATCH($F54*12,'Forecast (By Month)'!$F$3:$F$605,0),MATCH(V$3,'Forecast (By Month)'!$F$3:$AA$3,0)),"-")</f>
        <v>-</v>
      </c>
      <c r="W54" s="29" t="str">
        <f>IF($F54&lt;=$C$16,INDEX('Forecast (By Month)'!$F$3:$AY$605,MATCH($F54*12,'Forecast (By Month)'!$F$3:$F$605,0),MATCH(W$3,'Forecast (By Month)'!$F$3:$AA$3,0)),"-")</f>
        <v>-</v>
      </c>
      <c r="X54" s="29" t="str">
        <f>IF($F54&lt;=$C$16,INDEX('Forecast (By Month)'!$F$3:$AY$605,MATCH($F54*12,'Forecast (By Month)'!$F$3:$F$605,0),MATCH(X$3,'Forecast (By Month)'!$F$3:$AA$3,0)),"-")</f>
        <v>-</v>
      </c>
      <c r="Y54" s="8" t="str">
        <f>IF($F54&lt;=$C$16,INDEX('Forecast (By Month)'!$F$3:$AY$605,MATCH($F54*12,'Forecast (By Month)'!$F$3:$F$605,0),MATCH(Y$3,'Forecast (By Month)'!$F$3:$AA$3,0)),"-")</f>
        <v>-</v>
      </c>
      <c r="Z54" s="29" t="str">
        <f>IF($F54&lt;=$C$16,INDEX('Forecast (By Month)'!$F$3:$AY$605,MATCH($F54*12,'Forecast (By Month)'!$F$3:$F$605,0),MATCH(Z$3,'Forecast (By Month)'!$F$3:$AA$3,0)),"-")</f>
        <v>-</v>
      </c>
      <c r="AA54" s="31" t="str">
        <f>IF($F54&lt;=$C$16,INDEX('Forecast (By Month)'!$F$3:$AY$605,MATCH($F54*12,'Forecast (By Month)'!$F$3:$F$605,0),MATCH(AA$3,'Forecast (By Month)'!$F$3:$AA$3,0)),"-")</f>
        <v>-</v>
      </c>
      <c r="AD54" s="12" t="str">
        <f t="shared" si="6"/>
        <v>-</v>
      </c>
      <c r="AE54" s="8" t="str">
        <f t="shared" si="7"/>
        <v>-</v>
      </c>
      <c r="AF54" s="8" t="str">
        <f>IF($AD54&lt;=$C$25,AE54-$C$7+SUMIFS('Mortgage Calculators (By Month)'!$K$23:$K$622,'Mortgage Calculators (By Month)'!$I$23:$I$622,"&lt;="&amp;AD54*12),"-")</f>
        <v>-</v>
      </c>
      <c r="AG54" s="8" t="str">
        <f t="shared" si="16"/>
        <v>-</v>
      </c>
      <c r="AH54" s="8" t="str">
        <f>IF($AD54&lt;=$C$25,SUMIFS('Forecast (By Month)'!$AH$4:$AH$605,'Forecast (By Month)'!$AD$4:$AD$605,"&lt;="&amp;AD54*12,'Forecast (By Month)'!$AD$4:$AD$605,"&gt;"&amp;AD53*12),"-")</f>
        <v>-</v>
      </c>
      <c r="AI54" s="8" t="str">
        <f>IF($AD54&lt;=$C$25,SUMIFS('Forecast (By Month)'!$AI$4:$AI$605,'Forecast (By Month)'!$AD$4:$AD$605,"&lt;="&amp;AD54*12,'Forecast (By Month)'!$AD$4:$AD$605,"&gt;"&amp;AD53*12),"-")</f>
        <v>-</v>
      </c>
      <c r="AJ54" s="8" t="str">
        <f t="shared" si="17"/>
        <v>-</v>
      </c>
      <c r="AK54" s="8" t="str">
        <f>IF($AD54&lt;=$C$25,SUMIFS('Forecast (By Month)'!$AK$4:$AK$605,'Forecast (By Month)'!$AD$4:$AD$605,"&lt;="&amp;AD54*12,'Forecast (By Month)'!$AD$4:$AD$605,"&gt;"&amp;AD53*12),"-")</f>
        <v>-</v>
      </c>
      <c r="AL54" s="8" t="str">
        <f>IF($AD54&lt;=$C$25,SUMIFS('Forecast (By Month)'!$AL$4:$AL$605,'Forecast (By Month)'!$AD$4:$AD$605,"&lt;="&amp;AD54*12,'Forecast (By Month)'!$AD$4:$AD$605,"&gt;"&amp;AD53*12),"-")</f>
        <v>-</v>
      </c>
      <c r="AM54" s="8" t="str">
        <f>IF($AD54&lt;=$C$25,SUMIFS('Forecast (By Month)'!$AM$4:$AM$605,'Forecast (By Month)'!$AD$4:$AD$605,"&lt;="&amp;AD54*12,'Forecast (By Month)'!$AD$4:$AD$605,"&gt;"&amp;AD53*12),"-")</f>
        <v>-</v>
      </c>
      <c r="AN54" s="8" t="str">
        <f>IF($AD54&lt;=$C$25,SUMIFS('Forecast (By Month)'!$AN$4:$AN$605,'Forecast (By Month)'!$AD$4:$AD$605,"&lt;="&amp;AD54*12,'Forecast (By Month)'!$AD$4:$AD$605,"&gt;"&amp;AD53*12),"-")</f>
        <v>-</v>
      </c>
      <c r="AO54" s="8" t="str">
        <f>IF($AD54&lt;=$C$25,SUMIFS('Forecast (By Month)'!$AO$4:$AO$605,'Forecast (By Month)'!$AD$4:$AD$605,"&lt;="&amp;AD54*12,'Forecast (By Month)'!$AD$4:$AD$605,"&gt;"&amp;AD53*12),"-")</f>
        <v>-</v>
      </c>
      <c r="AP54" s="8" t="str">
        <f>IF($AD54&lt;=$C$25,SUMIFS('Forecast (By Month)'!$AP$4:$AP$605,'Forecast (By Month)'!$AD$4:$AD$605,"&lt;="&amp;AD54*12,'Forecast (By Month)'!$AD$4:$AD$605,"&gt;"&amp;AD53*12),"-")</f>
        <v>-</v>
      </c>
      <c r="AQ54" s="8" t="str">
        <f t="shared" si="18"/>
        <v>-</v>
      </c>
      <c r="AR54" s="8" t="str">
        <f t="shared" si="19"/>
        <v>-</v>
      </c>
      <c r="AS54" s="8" t="str">
        <f>IF($AD54&lt;=$C$25,SUM(AR$5:AR54),"-")</f>
        <v>-</v>
      </c>
      <c r="AT54" s="8" t="str">
        <f>IF($AD54&lt;=$C$25,INDEX('Forecast (By Month)'!$AD$3:$AY$605,MATCH($AD54*12,'Forecast (By Month)'!$AD$3:$AD$605,0),MATCH(AT$3,'Forecast (By Month)'!$AD$3:$AY$3,0)),"-")</f>
        <v>-</v>
      </c>
      <c r="AU54" s="29" t="str">
        <f>IF($AD54&lt;=$C$25,INDEX('Forecast (By Month)'!$AD$3:$AY$605,MATCH($AD54*12,'Forecast (By Month)'!$AD$3:$AD$605,0),MATCH(AU$3,'Forecast (By Month)'!$AD$3:$AY$3,0)),"-")</f>
        <v>-</v>
      </c>
      <c r="AV54" s="29" t="str">
        <f>IF($AD54&lt;=$C$25,INDEX('Forecast (By Month)'!$AD$3:$AY$605,MATCH($AD54*12,'Forecast (By Month)'!$AD$3:$AD$605,0),MATCH(AV$3,'Forecast (By Month)'!$AD$3:$AY$3,0)),"-")</f>
        <v>-</v>
      </c>
      <c r="AW54" s="8" t="str">
        <f>IF($AD54&lt;=$C$25,INDEX('Forecast (By Month)'!$AD$3:$AY$605,MATCH($AD54*12,'Forecast (By Month)'!$AD$3:$AD$605,0),MATCH(AW$3,'Forecast (By Month)'!$AD$3:$AY$3,0)),"-")</f>
        <v>-</v>
      </c>
      <c r="AX54" s="29" t="str">
        <f>IF($AD54&lt;=$C$25,INDEX('Forecast (By Month)'!$AD$3:$AY$605,MATCH($AD54*12,'Forecast (By Month)'!$AD$3:$AD$605,0),MATCH(AX$3,'Forecast (By Month)'!$AD$3:$AY$3,0)),"-")</f>
        <v>-</v>
      </c>
      <c r="AY54" s="31" t="str">
        <f>IF($AD54&lt;=$C$25,INDEX('Forecast (By Month)'!$AD$3:$AY$605,MATCH($AD54*12,'Forecast (By Month)'!$AD$3:$AD$605,0),MATCH(AY$3,'Forecast (By Month)'!$AD$3:$AY$3,0)),"-")</f>
        <v>-</v>
      </c>
    </row>
    <row r="55" spans="6:51" x14ac:dyDescent="0.35">
      <c r="F55" s="12" t="str">
        <f t="shared" si="1"/>
        <v>-</v>
      </c>
      <c r="G55" s="8" t="str">
        <f t="shared" si="2"/>
        <v>-</v>
      </c>
      <c r="H55" s="8" t="str">
        <f>IF($F55&lt;=$C$16,G55-$C$7+SUMIFS('Mortgage Calculators (By Month)'!$D$23:$D$622,'Mortgage Calculators (By Month)'!$B$23:$B$622,"&lt;="&amp;F55*12),"-")</f>
        <v>-</v>
      </c>
      <c r="I55" s="8" t="str">
        <f t="shared" si="12"/>
        <v>-</v>
      </c>
      <c r="J55" s="8" t="str">
        <f>IF($F55&lt;=$C$16,SUMIFS('Forecast (By Month)'!$J$4:$J$605,'Forecast (By Month)'!$F$4:$F$605,"&lt;="&amp;F55*12,'Forecast (By Month)'!$F$4:$F$605,"&gt;"&amp;F54*12),"-")</f>
        <v>-</v>
      </c>
      <c r="K55" s="8" t="str">
        <f>IF($F55&lt;=$C$16,SUMIFS('Forecast (By Month)'!$K$4:$K$605,'Forecast (By Month)'!$F$4:$F$605,"&lt;="&amp;F55*12,'Forecast (By Month)'!$F$4:$F$605,"&gt;"&amp;F54*12),"-")</f>
        <v>-</v>
      </c>
      <c r="L55" s="8" t="str">
        <f t="shared" si="13"/>
        <v>-</v>
      </c>
      <c r="M55" s="8" t="str">
        <f>IF($F55&lt;=$C$16,SUMIFS('Forecast (By Month)'!$M$4:$M$605,'Forecast (By Month)'!$F$4:$F$605,"&lt;="&amp;F55*12,'Forecast (By Month)'!$F$4:$F$605,"&gt;"&amp;F54*12),"-")</f>
        <v>-</v>
      </c>
      <c r="N55" s="8" t="str">
        <f>IF($F55&lt;=$C$16,SUMIFS('Forecast (By Month)'!$N$4:$N$605,'Forecast (By Month)'!$F$4:$F$605,"&lt;="&amp;F55*12,'Forecast (By Month)'!$F$4:$F$605,"&gt;"&amp;F54*12),"-")</f>
        <v>-</v>
      </c>
      <c r="O55" s="8" t="str">
        <f>IF($F55&lt;=$C$16,SUMIFS('Forecast (By Month)'!$O$4:$O$605,'Forecast (By Month)'!$F$4:$F$605,"&lt;="&amp;F55*12,'Forecast (By Month)'!$F$4:$F$605,"&gt;"&amp;F54*12),"-")</f>
        <v>-</v>
      </c>
      <c r="P55" s="8" t="str">
        <f>IF($F55&lt;=$C$16,SUMIFS('Forecast (By Month)'!$P$4:$P$605,'Forecast (By Month)'!$F$4:$F$605,"&lt;="&amp;F55*12,'Forecast (By Month)'!$F$4:$F$605,"&gt;"&amp;F54*12),"-")</f>
        <v>-</v>
      </c>
      <c r="Q55" s="8" t="str">
        <f>IF($F55&lt;=$C$16,SUMIFS('Forecast (By Month)'!$Q$4:$Q$605,'Forecast (By Month)'!$F$4:$F$605,"&lt;="&amp;F55*12,'Forecast (By Month)'!$F$4:$F$605,"&gt;"&amp;F54*12),"-")</f>
        <v>-</v>
      </c>
      <c r="R55" s="8" t="str">
        <f>IF($F55&lt;=$C$16,SUMIFS('Forecast (By Month)'!$R$4:$R$605,'Forecast (By Month)'!$F$4:$F$605,"&lt;="&amp;F55*12,'Forecast (By Month)'!$F$4:$F$605,"&gt;"&amp;F54*12),"-")</f>
        <v>-</v>
      </c>
      <c r="S55" s="8" t="str">
        <f t="shared" si="14"/>
        <v>-</v>
      </c>
      <c r="T55" s="8" t="str">
        <f t="shared" si="15"/>
        <v>-</v>
      </c>
      <c r="U55" s="8" t="str">
        <f>IF($F55&lt;=$C$16,SUM(T$5:T55),"-")</f>
        <v>-</v>
      </c>
      <c r="V55" s="8" t="str">
        <f>IF($F55&lt;=$C$16,INDEX('Forecast (By Month)'!$F$3:$AY$605,MATCH($F55*12,'Forecast (By Month)'!$F$3:$F$605,0),MATCH(V$3,'Forecast (By Month)'!$F$3:$AA$3,0)),"-")</f>
        <v>-</v>
      </c>
      <c r="W55" s="29" t="str">
        <f>IF($F55&lt;=$C$16,INDEX('Forecast (By Month)'!$F$3:$AY$605,MATCH($F55*12,'Forecast (By Month)'!$F$3:$F$605,0),MATCH(W$3,'Forecast (By Month)'!$F$3:$AA$3,0)),"-")</f>
        <v>-</v>
      </c>
      <c r="X55" s="29" t="str">
        <f>IF($F55&lt;=$C$16,INDEX('Forecast (By Month)'!$F$3:$AY$605,MATCH($F55*12,'Forecast (By Month)'!$F$3:$F$605,0),MATCH(X$3,'Forecast (By Month)'!$F$3:$AA$3,0)),"-")</f>
        <v>-</v>
      </c>
      <c r="Y55" s="8" t="str">
        <f>IF($F55&lt;=$C$16,INDEX('Forecast (By Month)'!$F$3:$AY$605,MATCH($F55*12,'Forecast (By Month)'!$F$3:$F$605,0),MATCH(Y$3,'Forecast (By Month)'!$F$3:$AA$3,0)),"-")</f>
        <v>-</v>
      </c>
      <c r="Z55" s="29" t="str">
        <f>IF($F55&lt;=$C$16,INDEX('Forecast (By Month)'!$F$3:$AY$605,MATCH($F55*12,'Forecast (By Month)'!$F$3:$F$605,0),MATCH(Z$3,'Forecast (By Month)'!$F$3:$AA$3,0)),"-")</f>
        <v>-</v>
      </c>
      <c r="AA55" s="31" t="str">
        <f>IF($F55&lt;=$C$16,INDEX('Forecast (By Month)'!$F$3:$AY$605,MATCH($F55*12,'Forecast (By Month)'!$F$3:$F$605,0),MATCH(AA$3,'Forecast (By Month)'!$F$3:$AA$3,0)),"-")</f>
        <v>-</v>
      </c>
      <c r="AD55" s="12" t="str">
        <f t="shared" si="6"/>
        <v>-</v>
      </c>
      <c r="AE55" s="8" t="str">
        <f t="shared" si="7"/>
        <v>-</v>
      </c>
      <c r="AF55" s="8" t="str">
        <f>IF($AD55&lt;=$C$25,AE55-$C$7+SUMIFS('Mortgage Calculators (By Month)'!$K$23:$K$622,'Mortgage Calculators (By Month)'!$I$23:$I$622,"&lt;="&amp;AD55*12),"-")</f>
        <v>-</v>
      </c>
      <c r="AG55" s="8" t="str">
        <f t="shared" si="16"/>
        <v>-</v>
      </c>
      <c r="AH55" s="8" t="str">
        <f>IF($AD55&lt;=$C$25,SUMIFS('Forecast (By Month)'!$AH$4:$AH$605,'Forecast (By Month)'!$AD$4:$AD$605,"&lt;="&amp;AD55*12,'Forecast (By Month)'!$AD$4:$AD$605,"&gt;"&amp;AD54*12),"-")</f>
        <v>-</v>
      </c>
      <c r="AI55" s="8" t="str">
        <f>IF($AD55&lt;=$C$25,SUMIFS('Forecast (By Month)'!$AI$4:$AI$605,'Forecast (By Month)'!$AD$4:$AD$605,"&lt;="&amp;AD55*12,'Forecast (By Month)'!$AD$4:$AD$605,"&gt;"&amp;AD54*12),"-")</f>
        <v>-</v>
      </c>
      <c r="AJ55" s="8" t="str">
        <f t="shared" si="17"/>
        <v>-</v>
      </c>
      <c r="AK55" s="8" t="str">
        <f>IF($AD55&lt;=$C$25,SUMIFS('Forecast (By Month)'!$AK$4:$AK$605,'Forecast (By Month)'!$AD$4:$AD$605,"&lt;="&amp;AD55*12,'Forecast (By Month)'!$AD$4:$AD$605,"&gt;"&amp;AD54*12),"-")</f>
        <v>-</v>
      </c>
      <c r="AL55" s="8" t="str">
        <f>IF($AD55&lt;=$C$25,SUMIFS('Forecast (By Month)'!$AL$4:$AL$605,'Forecast (By Month)'!$AD$4:$AD$605,"&lt;="&amp;AD55*12,'Forecast (By Month)'!$AD$4:$AD$605,"&gt;"&amp;AD54*12),"-")</f>
        <v>-</v>
      </c>
      <c r="AM55" s="8" t="str">
        <f>IF($AD55&lt;=$C$25,SUMIFS('Forecast (By Month)'!$AM$4:$AM$605,'Forecast (By Month)'!$AD$4:$AD$605,"&lt;="&amp;AD55*12,'Forecast (By Month)'!$AD$4:$AD$605,"&gt;"&amp;AD54*12),"-")</f>
        <v>-</v>
      </c>
      <c r="AN55" s="8" t="str">
        <f>IF($AD55&lt;=$C$25,SUMIFS('Forecast (By Month)'!$AN$4:$AN$605,'Forecast (By Month)'!$AD$4:$AD$605,"&lt;="&amp;AD55*12,'Forecast (By Month)'!$AD$4:$AD$605,"&gt;"&amp;AD54*12),"-")</f>
        <v>-</v>
      </c>
      <c r="AO55" s="8" t="str">
        <f>IF($AD55&lt;=$C$25,SUMIFS('Forecast (By Month)'!$AO$4:$AO$605,'Forecast (By Month)'!$AD$4:$AD$605,"&lt;="&amp;AD55*12,'Forecast (By Month)'!$AD$4:$AD$605,"&gt;"&amp;AD54*12),"-")</f>
        <v>-</v>
      </c>
      <c r="AP55" s="8" t="str">
        <f>IF($AD55&lt;=$C$25,SUMIFS('Forecast (By Month)'!$AP$4:$AP$605,'Forecast (By Month)'!$AD$4:$AD$605,"&lt;="&amp;AD55*12,'Forecast (By Month)'!$AD$4:$AD$605,"&gt;"&amp;AD54*12),"-")</f>
        <v>-</v>
      </c>
      <c r="AQ55" s="8" t="str">
        <f t="shared" si="18"/>
        <v>-</v>
      </c>
      <c r="AR55" s="8" t="str">
        <f t="shared" si="19"/>
        <v>-</v>
      </c>
      <c r="AS55" s="8" t="str">
        <f>IF($AD55&lt;=$C$25,SUM(AR$5:AR55),"-")</f>
        <v>-</v>
      </c>
      <c r="AT55" s="8" t="str">
        <f>IF($AD55&lt;=$C$25,INDEX('Forecast (By Month)'!$AD$3:$AY$605,MATCH($AD55*12,'Forecast (By Month)'!$AD$3:$AD$605,0),MATCH(AT$3,'Forecast (By Month)'!$AD$3:$AY$3,0)),"-")</f>
        <v>-</v>
      </c>
      <c r="AU55" s="29" t="str">
        <f>IF($AD55&lt;=$C$25,INDEX('Forecast (By Month)'!$AD$3:$AY$605,MATCH($AD55*12,'Forecast (By Month)'!$AD$3:$AD$605,0),MATCH(AU$3,'Forecast (By Month)'!$AD$3:$AY$3,0)),"-")</f>
        <v>-</v>
      </c>
      <c r="AV55" s="29" t="str">
        <f>IF($AD55&lt;=$C$25,INDEX('Forecast (By Month)'!$AD$3:$AY$605,MATCH($AD55*12,'Forecast (By Month)'!$AD$3:$AD$605,0),MATCH(AV$3,'Forecast (By Month)'!$AD$3:$AY$3,0)),"-")</f>
        <v>-</v>
      </c>
      <c r="AW55" s="8" t="str">
        <f>IF($AD55&lt;=$C$25,INDEX('Forecast (By Month)'!$AD$3:$AY$605,MATCH($AD55*12,'Forecast (By Month)'!$AD$3:$AD$605,0),MATCH(AW$3,'Forecast (By Month)'!$AD$3:$AY$3,0)),"-")</f>
        <v>-</v>
      </c>
      <c r="AX55" s="29" t="str">
        <f>IF($AD55&lt;=$C$25,INDEX('Forecast (By Month)'!$AD$3:$AY$605,MATCH($AD55*12,'Forecast (By Month)'!$AD$3:$AD$605,0),MATCH(AX$3,'Forecast (By Month)'!$AD$3:$AY$3,0)),"-")</f>
        <v>-</v>
      </c>
      <c r="AY55" s="31" t="str">
        <f>IF($AD55&lt;=$C$25,INDEX('Forecast (By Month)'!$AD$3:$AY$605,MATCH($AD55*12,'Forecast (By Month)'!$AD$3:$AD$605,0),MATCH(AY$3,'Forecast (By Month)'!$AD$3:$AY$3,0)),"-")</f>
        <v>-</v>
      </c>
    </row>
  </sheetData>
  <conditionalFormatting sqref="F4:AA55 AD4:AY55">
    <cfRule type="expression" dxfId="0" priority="1">
      <formula>ISEVEN($F4)</formula>
    </cfRule>
  </conditionalFormatting>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F5F6E-2C22-4B9D-95D0-AEFA4423477E}">
  <sheetPr>
    <tabColor theme="6"/>
    <pageSetUpPr fitToPage="1"/>
  </sheetPr>
  <dimension ref="A1:O87"/>
  <sheetViews>
    <sheetView showGridLines="0" zoomScale="62" zoomScaleNormal="100" workbookViewId="0">
      <pane ySplit="3" topLeftCell="A117" activePane="bottomLeft" state="frozen"/>
      <selection pane="bottomLeft" activeCell="C77" sqref="C77:I78"/>
    </sheetView>
  </sheetViews>
  <sheetFormatPr defaultRowHeight="14.5" x14ac:dyDescent="0.35"/>
  <cols>
    <col min="1" max="1" width="2.81640625" customWidth="1"/>
    <col min="2" max="2" width="31.453125" bestFit="1" customWidth="1"/>
    <col min="3" max="8" width="25.1796875" customWidth="1"/>
    <col min="9" max="9" width="17.7265625" customWidth="1"/>
  </cols>
  <sheetData>
    <row r="1" spans="1:15" x14ac:dyDescent="0.35">
      <c r="A1" s="43"/>
      <c r="B1" s="51" t="s">
        <v>257</v>
      </c>
      <c r="C1" s="43"/>
      <c r="D1" s="43"/>
      <c r="E1" s="43"/>
      <c r="F1" s="43"/>
      <c r="G1" s="43"/>
      <c r="H1" s="43"/>
      <c r="I1" s="43"/>
      <c r="J1" s="43"/>
      <c r="K1" s="43"/>
      <c r="L1" s="43"/>
      <c r="M1" s="43"/>
      <c r="N1" s="43"/>
      <c r="O1" s="43"/>
    </row>
    <row r="3" spans="1:15" x14ac:dyDescent="0.35">
      <c r="B3" s="100" t="s">
        <v>279</v>
      </c>
      <c r="C3" s="101" t="s">
        <v>320</v>
      </c>
      <c r="D3" s="100"/>
      <c r="E3" s="100"/>
      <c r="F3" s="100"/>
      <c r="G3" s="100"/>
      <c r="H3" s="100"/>
      <c r="I3" s="100"/>
    </row>
    <row r="4" spans="1:15" x14ac:dyDescent="0.35">
      <c r="B4" s="100"/>
      <c r="C4" s="100"/>
      <c r="D4" s="100"/>
      <c r="E4" s="100"/>
      <c r="F4" s="100"/>
      <c r="G4" s="100"/>
      <c r="H4" s="100"/>
      <c r="I4" s="100"/>
    </row>
    <row r="5" spans="1:15" ht="22.5" customHeight="1" x14ac:dyDescent="0.35">
      <c r="B5" s="165" t="s">
        <v>259</v>
      </c>
      <c r="C5" s="165"/>
      <c r="D5" s="165"/>
      <c r="E5" s="165"/>
      <c r="F5" s="165"/>
      <c r="G5" s="165"/>
      <c r="H5" s="165"/>
      <c r="I5" s="165"/>
    </row>
    <row r="6" spans="1:15" x14ac:dyDescent="0.35">
      <c r="B6" s="103"/>
      <c r="C6" s="102" t="s">
        <v>260</v>
      </c>
      <c r="D6" s="102" t="s">
        <v>261</v>
      </c>
      <c r="E6" s="102" t="s">
        <v>262</v>
      </c>
      <c r="F6" s="102" t="s">
        <v>277</v>
      </c>
      <c r="G6" s="102" t="s">
        <v>276</v>
      </c>
      <c r="H6" s="102" t="s">
        <v>275</v>
      </c>
      <c r="I6" s="112" t="s">
        <v>278</v>
      </c>
    </row>
    <row r="7" spans="1:15" x14ac:dyDescent="0.35">
      <c r="B7" s="102" t="s">
        <v>267</v>
      </c>
      <c r="C7" s="103"/>
      <c r="D7" s="103"/>
      <c r="E7" s="103"/>
      <c r="F7" s="103"/>
      <c r="G7" s="103"/>
      <c r="H7" s="103"/>
      <c r="I7" s="113"/>
    </row>
    <row r="8" spans="1:15" x14ac:dyDescent="0.35">
      <c r="B8" s="103" t="s">
        <v>73</v>
      </c>
      <c r="C8" s="104" t="s">
        <v>361</v>
      </c>
      <c r="D8" s="104" t="s">
        <v>361</v>
      </c>
      <c r="E8" s="104" t="s">
        <v>361</v>
      </c>
      <c r="F8" s="104" t="s">
        <v>361</v>
      </c>
      <c r="G8" s="104" t="s">
        <v>361</v>
      </c>
      <c r="H8" s="104" t="s">
        <v>361</v>
      </c>
      <c r="I8" s="114"/>
    </row>
    <row r="9" spans="1:15" x14ac:dyDescent="0.35">
      <c r="B9" s="103" t="s">
        <v>70</v>
      </c>
      <c r="C9" s="105">
        <v>3</v>
      </c>
      <c r="D9" s="105">
        <v>3</v>
      </c>
      <c r="E9" s="105">
        <v>4</v>
      </c>
      <c r="F9" s="105">
        <v>3</v>
      </c>
      <c r="G9" s="105">
        <v>3</v>
      </c>
      <c r="H9" s="105">
        <v>3</v>
      </c>
      <c r="I9" s="118">
        <f>AVERAGEIF(C9:H9,"&gt;0")</f>
        <v>3.1666666666666665</v>
      </c>
    </row>
    <row r="10" spans="1:15" x14ac:dyDescent="0.35">
      <c r="B10" s="103" t="s">
        <v>71</v>
      </c>
      <c r="C10" s="105">
        <v>2</v>
      </c>
      <c r="D10" s="105">
        <v>2</v>
      </c>
      <c r="E10" s="105">
        <v>2</v>
      </c>
      <c r="F10" s="105">
        <v>2</v>
      </c>
      <c r="G10" s="105">
        <v>2</v>
      </c>
      <c r="H10" s="105">
        <v>2</v>
      </c>
      <c r="I10" s="118">
        <f t="shared" ref="I10:I18" si="0">AVERAGEIF(C10:H10,"&gt;0")</f>
        <v>2</v>
      </c>
    </row>
    <row r="11" spans="1:15" x14ac:dyDescent="0.35">
      <c r="B11" s="103" t="s">
        <v>263</v>
      </c>
      <c r="C11" s="105">
        <v>2</v>
      </c>
      <c r="D11" s="105">
        <v>2</v>
      </c>
      <c r="E11" s="105">
        <v>2</v>
      </c>
      <c r="F11" s="105">
        <v>1</v>
      </c>
      <c r="G11" s="105">
        <v>2</v>
      </c>
      <c r="H11" s="105">
        <v>1</v>
      </c>
      <c r="I11" s="118">
        <f t="shared" si="0"/>
        <v>1.6666666666666667</v>
      </c>
    </row>
    <row r="12" spans="1:15" x14ac:dyDescent="0.35">
      <c r="B12" s="103" t="str">
        <f>IF($C$3="Square Metres (sqm)","Lot Area (sqm)","Lot Area (sqft)")</f>
        <v>Lot Area (sqft)</v>
      </c>
      <c r="C12" s="105">
        <v>550</v>
      </c>
      <c r="D12" s="105">
        <v>650</v>
      </c>
      <c r="E12" s="105">
        <v>700</v>
      </c>
      <c r="F12" s="105">
        <v>500</v>
      </c>
      <c r="G12" s="105">
        <v>600</v>
      </c>
      <c r="H12" s="105">
        <v>450</v>
      </c>
      <c r="I12" s="115">
        <f t="shared" si="0"/>
        <v>575</v>
      </c>
    </row>
    <row r="13" spans="1:15" x14ac:dyDescent="0.35">
      <c r="B13" s="103" t="str">
        <f>IF($C$3="Square Metres (sqm)","Gross Floor Area (sqm)","Gross Floor Area (sqft)")</f>
        <v>Gross Floor Area (sqft)</v>
      </c>
      <c r="C13" s="105">
        <v>160</v>
      </c>
      <c r="D13" s="105">
        <v>180</v>
      </c>
      <c r="E13" s="105">
        <v>240</v>
      </c>
      <c r="F13" s="105">
        <v>140</v>
      </c>
      <c r="G13" s="105">
        <v>170</v>
      </c>
      <c r="H13" s="105">
        <v>135</v>
      </c>
      <c r="I13" s="115">
        <f t="shared" si="0"/>
        <v>170.83333333333334</v>
      </c>
    </row>
    <row r="14" spans="1:15" x14ac:dyDescent="0.35">
      <c r="B14" s="103" t="s">
        <v>265</v>
      </c>
      <c r="C14" s="106">
        <v>2020</v>
      </c>
      <c r="D14" s="106">
        <v>2020</v>
      </c>
      <c r="E14" s="106">
        <v>2020</v>
      </c>
      <c r="F14" s="106">
        <v>2020</v>
      </c>
      <c r="G14" s="106">
        <v>2020</v>
      </c>
      <c r="H14" s="106">
        <v>2020</v>
      </c>
      <c r="I14" s="116">
        <f t="shared" si="0"/>
        <v>2020</v>
      </c>
    </row>
    <row r="15" spans="1:15" x14ac:dyDescent="0.35">
      <c r="B15" s="103" t="s">
        <v>266</v>
      </c>
      <c r="C15" s="106">
        <v>2005</v>
      </c>
      <c r="D15" s="106">
        <v>2019</v>
      </c>
      <c r="E15" s="106">
        <v>2013</v>
      </c>
      <c r="F15" s="106">
        <v>0</v>
      </c>
      <c r="G15" s="106">
        <v>0</v>
      </c>
      <c r="H15" s="106">
        <v>2002</v>
      </c>
      <c r="I15" s="116">
        <f t="shared" si="0"/>
        <v>2009.75</v>
      </c>
    </row>
    <row r="16" spans="1:15" x14ac:dyDescent="0.35">
      <c r="B16" s="103" t="s">
        <v>3</v>
      </c>
      <c r="C16" s="105">
        <v>13</v>
      </c>
      <c r="D16" s="105">
        <v>60</v>
      </c>
      <c r="E16" s="105">
        <v>25</v>
      </c>
      <c r="F16" s="105">
        <v>40</v>
      </c>
      <c r="G16" s="105">
        <v>30</v>
      </c>
      <c r="H16" s="105">
        <v>75</v>
      </c>
      <c r="I16" s="115">
        <f t="shared" si="0"/>
        <v>40.5</v>
      </c>
    </row>
    <row r="17" spans="2:9" x14ac:dyDescent="0.35">
      <c r="B17" s="103" t="s">
        <v>264</v>
      </c>
      <c r="C17" s="145">
        <v>480000</v>
      </c>
      <c r="D17" s="145">
        <v>560000</v>
      </c>
      <c r="E17" s="145">
        <v>700000</v>
      </c>
      <c r="F17" s="145">
        <v>450000</v>
      </c>
      <c r="G17" s="145">
        <v>450000</v>
      </c>
      <c r="H17" s="145">
        <v>390000</v>
      </c>
      <c r="I17" s="146">
        <f t="shared" si="0"/>
        <v>505000</v>
      </c>
    </row>
    <row r="18" spans="2:9" x14ac:dyDescent="0.35">
      <c r="B18" s="103" t="str">
        <f>IF($C$3="Square Metres (sqm)","AED per sqm","AED per sqft")</f>
        <v>AED per sqft</v>
      </c>
      <c r="C18" s="147">
        <f>IF(C17&gt;0,IFERROR(C17/C$13,0),"")</f>
        <v>3000</v>
      </c>
      <c r="D18" s="147">
        <f t="shared" ref="D18" si="1">IF(D17&gt;0,IFERROR(D17/D$13,0),"")</f>
        <v>3111.1111111111113</v>
      </c>
      <c r="E18" s="147">
        <f t="shared" ref="E18" si="2">IF(E17&gt;0,IFERROR(E17/E$13,0),"")</f>
        <v>2916.6666666666665</v>
      </c>
      <c r="F18" s="147">
        <f t="shared" ref="F18" si="3">IF(F17&gt;0,IFERROR(F17/F$13,0),"")</f>
        <v>3214.2857142857142</v>
      </c>
      <c r="G18" s="147">
        <f t="shared" ref="G18" si="4">IF(G17&gt;0,IFERROR(G17/G$13,0),"")</f>
        <v>2647.0588235294117</v>
      </c>
      <c r="H18" s="147">
        <f t="shared" ref="H18" si="5">IF(H17&gt;0,IFERROR(H17/H$13,0),"")</f>
        <v>2888.8888888888887</v>
      </c>
      <c r="I18" s="146">
        <f t="shared" si="0"/>
        <v>2963.0018674136322</v>
      </c>
    </row>
    <row r="19" spans="2:9" x14ac:dyDescent="0.35">
      <c r="B19" s="103"/>
      <c r="C19" s="107"/>
      <c r="D19" s="107"/>
      <c r="E19" s="107"/>
      <c r="F19" s="107"/>
      <c r="G19" s="107"/>
      <c r="H19" s="107"/>
      <c r="I19" s="117"/>
    </row>
    <row r="20" spans="2:9" x14ac:dyDescent="0.35">
      <c r="B20" s="102" t="s">
        <v>268</v>
      </c>
      <c r="C20" s="107"/>
      <c r="D20" s="107"/>
      <c r="E20" s="107"/>
      <c r="F20" s="107"/>
      <c r="G20" s="107"/>
      <c r="H20" s="107"/>
      <c r="I20" s="117"/>
    </row>
    <row r="21" spans="2:9" x14ac:dyDescent="0.35">
      <c r="B21" s="103" t="s">
        <v>287</v>
      </c>
      <c r="C21" s="106">
        <v>2006</v>
      </c>
      <c r="D21" s="106">
        <v>2017</v>
      </c>
      <c r="E21" s="106">
        <v>2010</v>
      </c>
      <c r="F21" s="106">
        <v>0</v>
      </c>
      <c r="G21" s="106">
        <v>0</v>
      </c>
      <c r="H21" s="106">
        <v>2008</v>
      </c>
      <c r="I21" s="116">
        <f>AVERAGEIF(C21:H21,"&gt;0")</f>
        <v>2010.25</v>
      </c>
    </row>
    <row r="22" spans="2:9" x14ac:dyDescent="0.35">
      <c r="B22" s="103" t="s">
        <v>72</v>
      </c>
      <c r="C22" s="145">
        <v>300000</v>
      </c>
      <c r="D22" s="145">
        <v>440000</v>
      </c>
      <c r="E22" s="145">
        <v>475000</v>
      </c>
      <c r="F22" s="145">
        <v>0</v>
      </c>
      <c r="G22" s="145">
        <v>0</v>
      </c>
      <c r="H22" s="145">
        <v>240000</v>
      </c>
      <c r="I22" s="146">
        <f t="shared" ref="I22:I23" si="6">AVERAGEIF(C22:H22,"&gt;0")</f>
        <v>363750</v>
      </c>
    </row>
    <row r="23" spans="2:9" x14ac:dyDescent="0.35">
      <c r="B23" s="103" t="str">
        <f>IF($C$3="Square Metres (sqm)","AED per sqm","AED per sqft")</f>
        <v>AED per sqft</v>
      </c>
      <c r="C23" s="147">
        <f>IF(C22&gt;0,IFERROR(C22/C$13,0),"")</f>
        <v>1875</v>
      </c>
      <c r="D23" s="147">
        <f t="shared" ref="D23:H23" si="7">IF(D22&gt;0,IFERROR(D22/D$13,0),"")</f>
        <v>2444.4444444444443</v>
      </c>
      <c r="E23" s="147">
        <f t="shared" si="7"/>
        <v>1979.1666666666667</v>
      </c>
      <c r="F23" s="147" t="str">
        <f t="shared" si="7"/>
        <v/>
      </c>
      <c r="G23" s="147" t="str">
        <f t="shared" si="7"/>
        <v/>
      </c>
      <c r="H23" s="147">
        <f t="shared" si="7"/>
        <v>1777.7777777777778</v>
      </c>
      <c r="I23" s="146">
        <f t="shared" si="6"/>
        <v>2019.0972222222222</v>
      </c>
    </row>
    <row r="24" spans="2:9" x14ac:dyDescent="0.35">
      <c r="B24" s="103"/>
      <c r="C24" s="107"/>
      <c r="D24" s="107"/>
      <c r="E24" s="107"/>
      <c r="F24" s="107"/>
      <c r="G24" s="107"/>
      <c r="H24" s="107"/>
      <c r="I24" s="117"/>
    </row>
    <row r="25" spans="2:9" x14ac:dyDescent="0.35">
      <c r="B25" s="102" t="s">
        <v>269</v>
      </c>
      <c r="C25" s="107"/>
      <c r="D25" s="107"/>
      <c r="E25" s="107"/>
      <c r="F25" s="107"/>
      <c r="G25" s="107"/>
      <c r="H25" s="107"/>
      <c r="I25" s="117"/>
    </row>
    <row r="26" spans="2:9" x14ac:dyDescent="0.35">
      <c r="B26" s="103" t="s">
        <v>69</v>
      </c>
      <c r="C26" s="108">
        <v>5</v>
      </c>
      <c r="D26" s="108">
        <v>7</v>
      </c>
      <c r="E26" s="108">
        <v>4.5</v>
      </c>
      <c r="F26" s="108">
        <v>3</v>
      </c>
      <c r="G26" s="108">
        <v>8</v>
      </c>
      <c r="H26" s="108">
        <v>8.5</v>
      </c>
      <c r="I26" s="118">
        <f>AVERAGEIF(C26:H26,"&gt;0")</f>
        <v>6</v>
      </c>
    </row>
    <row r="27" spans="2:9" x14ac:dyDescent="0.35">
      <c r="B27" s="103" t="s">
        <v>270</v>
      </c>
      <c r="C27" s="108">
        <v>5</v>
      </c>
      <c r="D27" s="108">
        <v>8.5</v>
      </c>
      <c r="E27" s="108">
        <v>7.5</v>
      </c>
      <c r="F27" s="108">
        <v>6</v>
      </c>
      <c r="G27" s="108">
        <v>1.5</v>
      </c>
      <c r="H27" s="108">
        <v>4.5</v>
      </c>
      <c r="I27" s="118">
        <f t="shared" ref="I27:I28" si="8">AVERAGEIF(C27:H27,"&gt;0")</f>
        <v>5.5</v>
      </c>
    </row>
    <row r="28" spans="2:9" x14ac:dyDescent="0.35">
      <c r="B28" s="103" t="s">
        <v>271</v>
      </c>
      <c r="C28" s="108">
        <v>5</v>
      </c>
      <c r="D28" s="108">
        <v>8</v>
      </c>
      <c r="E28" s="108">
        <v>7.5</v>
      </c>
      <c r="F28" s="108">
        <v>6</v>
      </c>
      <c r="G28" s="108">
        <v>2</v>
      </c>
      <c r="H28" s="108">
        <v>3.5</v>
      </c>
      <c r="I28" s="118">
        <f t="shared" si="8"/>
        <v>5.333333333333333</v>
      </c>
    </row>
    <row r="29" spans="2:9" x14ac:dyDescent="0.35">
      <c r="B29" s="103"/>
      <c r="C29" s="103"/>
      <c r="D29" s="103"/>
      <c r="E29" s="103"/>
      <c r="F29" s="103"/>
      <c r="G29" s="103"/>
      <c r="H29" s="103"/>
      <c r="I29" s="113"/>
    </row>
    <row r="30" spans="2:9" x14ac:dyDescent="0.35">
      <c r="B30" s="102" t="s">
        <v>272</v>
      </c>
      <c r="C30" s="103"/>
      <c r="D30" s="103"/>
      <c r="E30" s="103"/>
      <c r="F30" s="103"/>
      <c r="G30" s="103"/>
      <c r="H30" s="103"/>
      <c r="I30" s="113"/>
    </row>
    <row r="31" spans="2:9" x14ac:dyDescent="0.35">
      <c r="B31" s="103" t="s">
        <v>273</v>
      </c>
      <c r="C31" s="109" t="s">
        <v>280</v>
      </c>
      <c r="D31" s="109" t="s">
        <v>281</v>
      </c>
      <c r="E31" s="109" t="s">
        <v>282</v>
      </c>
      <c r="F31" s="109" t="s">
        <v>283</v>
      </c>
      <c r="G31" s="109" t="s">
        <v>284</v>
      </c>
      <c r="H31" s="109" t="s">
        <v>285</v>
      </c>
      <c r="I31" s="119"/>
    </row>
    <row r="32" spans="2:9" x14ac:dyDescent="0.35">
      <c r="B32" s="111" t="s">
        <v>274</v>
      </c>
      <c r="C32" s="110" t="s">
        <v>362</v>
      </c>
      <c r="D32" s="110" t="s">
        <v>362</v>
      </c>
      <c r="E32" s="110" t="s">
        <v>362</v>
      </c>
      <c r="F32" s="110" t="s">
        <v>362</v>
      </c>
      <c r="G32" s="110" t="s">
        <v>362</v>
      </c>
      <c r="H32" s="110" t="s">
        <v>362</v>
      </c>
      <c r="I32" s="120"/>
    </row>
    <row r="36" spans="2:9" ht="22.5" customHeight="1" x14ac:dyDescent="0.35">
      <c r="B36" s="165" t="s">
        <v>286</v>
      </c>
      <c r="C36" s="165"/>
      <c r="D36" s="165"/>
      <c r="E36" s="165"/>
      <c r="F36" s="165"/>
      <c r="G36" s="165"/>
      <c r="H36" s="165"/>
      <c r="I36" s="165"/>
    </row>
    <row r="37" spans="2:9" x14ac:dyDescent="0.35">
      <c r="B37" s="103"/>
      <c r="C37" s="102" t="s">
        <v>260</v>
      </c>
      <c r="D37" s="102" t="s">
        <v>261</v>
      </c>
      <c r="E37" s="102" t="s">
        <v>262</v>
      </c>
      <c r="F37" s="102" t="s">
        <v>277</v>
      </c>
      <c r="G37" s="102" t="s">
        <v>276</v>
      </c>
      <c r="H37" s="102" t="s">
        <v>275</v>
      </c>
      <c r="I37" s="112" t="s">
        <v>278</v>
      </c>
    </row>
    <row r="38" spans="2:9" x14ac:dyDescent="0.35">
      <c r="B38" s="102" t="s">
        <v>267</v>
      </c>
      <c r="C38" s="103"/>
      <c r="D38" s="103"/>
      <c r="E38" s="103"/>
      <c r="F38" s="103"/>
      <c r="G38" s="103"/>
      <c r="H38" s="103"/>
      <c r="I38" s="113"/>
    </row>
    <row r="39" spans="2:9" x14ac:dyDescent="0.35">
      <c r="B39" s="103" t="s">
        <v>73</v>
      </c>
      <c r="C39" s="104" t="s">
        <v>361</v>
      </c>
      <c r="D39" s="104" t="s">
        <v>361</v>
      </c>
      <c r="E39" s="104" t="s">
        <v>361</v>
      </c>
      <c r="F39" s="104" t="s">
        <v>361</v>
      </c>
      <c r="G39" s="104" t="s">
        <v>361</v>
      </c>
      <c r="H39" s="104"/>
      <c r="I39" s="114"/>
    </row>
    <row r="40" spans="2:9" x14ac:dyDescent="0.35">
      <c r="B40" s="103" t="s">
        <v>70</v>
      </c>
      <c r="C40" s="105">
        <v>3</v>
      </c>
      <c r="D40" s="105">
        <v>3</v>
      </c>
      <c r="E40" s="105">
        <v>4</v>
      </c>
      <c r="F40" s="105">
        <v>3</v>
      </c>
      <c r="G40" s="105">
        <v>3</v>
      </c>
      <c r="H40" s="105"/>
      <c r="I40" s="118">
        <f>AVERAGEIF(C40:H40,"&gt;0")</f>
        <v>3.2</v>
      </c>
    </row>
    <row r="41" spans="2:9" x14ac:dyDescent="0.35">
      <c r="B41" s="103" t="s">
        <v>71</v>
      </c>
      <c r="C41" s="105">
        <v>2</v>
      </c>
      <c r="D41" s="105">
        <v>2</v>
      </c>
      <c r="E41" s="105">
        <v>2</v>
      </c>
      <c r="F41" s="105">
        <v>2</v>
      </c>
      <c r="G41" s="105">
        <v>2</v>
      </c>
      <c r="H41" s="105"/>
      <c r="I41" s="118">
        <f t="shared" ref="I41:I46" si="9">AVERAGEIF(C41:H41,"&gt;0")</f>
        <v>2</v>
      </c>
    </row>
    <row r="42" spans="2:9" x14ac:dyDescent="0.35">
      <c r="B42" s="103" t="s">
        <v>263</v>
      </c>
      <c r="C42" s="105">
        <v>2</v>
      </c>
      <c r="D42" s="105">
        <v>2</v>
      </c>
      <c r="E42" s="105">
        <v>2</v>
      </c>
      <c r="F42" s="105">
        <v>1</v>
      </c>
      <c r="G42" s="105">
        <v>2</v>
      </c>
      <c r="H42" s="105"/>
      <c r="I42" s="118">
        <f t="shared" si="9"/>
        <v>1.8</v>
      </c>
    </row>
    <row r="43" spans="2:9" x14ac:dyDescent="0.35">
      <c r="B43" s="103" t="str">
        <f>IF($C$3="Square Metres (sqm)","Lot Area (sqm)","Lot Area (sqft)")</f>
        <v>Lot Area (sqft)</v>
      </c>
      <c r="C43" s="105">
        <v>530</v>
      </c>
      <c r="D43" s="105">
        <v>625</v>
      </c>
      <c r="E43" s="105">
        <v>680</v>
      </c>
      <c r="F43" s="105">
        <v>520</v>
      </c>
      <c r="G43" s="105">
        <v>610</v>
      </c>
      <c r="H43" s="105"/>
      <c r="I43" s="115">
        <f t="shared" si="9"/>
        <v>593</v>
      </c>
    </row>
    <row r="44" spans="2:9" x14ac:dyDescent="0.35">
      <c r="B44" s="103" t="str">
        <f>IF($C$3="Square Metres (sqm)","Gross Floor Area (sqm)","Gross Floor Area (sqft)")</f>
        <v>Gross Floor Area (sqft)</v>
      </c>
      <c r="C44" s="105">
        <v>150</v>
      </c>
      <c r="D44" s="105">
        <v>175</v>
      </c>
      <c r="E44" s="105">
        <v>220</v>
      </c>
      <c r="F44" s="105">
        <v>145</v>
      </c>
      <c r="G44" s="105">
        <v>175</v>
      </c>
      <c r="H44" s="105"/>
      <c r="I44" s="115">
        <f t="shared" si="9"/>
        <v>173</v>
      </c>
    </row>
    <row r="45" spans="2:9" x14ac:dyDescent="0.35">
      <c r="B45" s="103" t="s">
        <v>265</v>
      </c>
      <c r="C45" s="106">
        <v>1996</v>
      </c>
      <c r="D45" s="106">
        <v>1999</v>
      </c>
      <c r="E45" s="106">
        <v>2007</v>
      </c>
      <c r="F45" s="106">
        <v>2012</v>
      </c>
      <c r="G45" s="106">
        <v>2002</v>
      </c>
      <c r="H45" s="106"/>
      <c r="I45" s="116">
        <f t="shared" si="9"/>
        <v>2003.2</v>
      </c>
    </row>
    <row r="46" spans="2:9" x14ac:dyDescent="0.35">
      <c r="B46" s="103" t="s">
        <v>266</v>
      </c>
      <c r="C46" s="106">
        <v>2006</v>
      </c>
      <c r="D46" s="106">
        <v>2017</v>
      </c>
      <c r="E46" s="106">
        <v>0</v>
      </c>
      <c r="F46" s="106">
        <v>0</v>
      </c>
      <c r="G46" s="106">
        <v>2010</v>
      </c>
      <c r="H46" s="106"/>
      <c r="I46" s="116">
        <f t="shared" si="9"/>
        <v>2011</v>
      </c>
    </row>
    <row r="47" spans="2:9" x14ac:dyDescent="0.35">
      <c r="B47" s="103"/>
      <c r="C47" s="107"/>
      <c r="D47" s="107"/>
      <c r="E47" s="107"/>
      <c r="F47" s="107"/>
      <c r="G47" s="107"/>
      <c r="H47" s="107"/>
      <c r="I47" s="117"/>
    </row>
    <row r="48" spans="2:9" x14ac:dyDescent="0.35">
      <c r="B48" s="102" t="s">
        <v>268</v>
      </c>
      <c r="C48" s="107"/>
      <c r="D48" s="107"/>
      <c r="E48" s="107"/>
      <c r="F48" s="107"/>
      <c r="G48" s="107"/>
      <c r="H48" s="107"/>
      <c r="I48" s="117"/>
    </row>
    <row r="49" spans="2:9" x14ac:dyDescent="0.35">
      <c r="B49" s="103" t="s">
        <v>287</v>
      </c>
      <c r="C49" s="106">
        <v>2023</v>
      </c>
      <c r="D49" s="106">
        <v>2023</v>
      </c>
      <c r="E49" s="106">
        <v>2023</v>
      </c>
      <c r="F49" s="106">
        <v>2022</v>
      </c>
      <c r="G49" s="106">
        <v>2023</v>
      </c>
      <c r="H49" s="106"/>
      <c r="I49" s="116">
        <f>AVERAGEIF(C49:H49,"&gt;0")</f>
        <v>2022.8</v>
      </c>
    </row>
    <row r="50" spans="2:9" x14ac:dyDescent="0.35">
      <c r="B50" s="103" t="s">
        <v>72</v>
      </c>
      <c r="C50" s="145">
        <v>423000</v>
      </c>
      <c r="D50" s="145">
        <v>578000</v>
      </c>
      <c r="E50" s="145">
        <v>655000</v>
      </c>
      <c r="F50" s="145">
        <v>465000</v>
      </c>
      <c r="G50" s="145">
        <v>534000</v>
      </c>
      <c r="H50" s="145"/>
      <c r="I50" s="146">
        <f t="shared" ref="I50:I51" si="10">AVERAGEIF(C50:H50,"&gt;0")</f>
        <v>531000</v>
      </c>
    </row>
    <row r="51" spans="2:9" x14ac:dyDescent="0.35">
      <c r="B51" s="103" t="str">
        <f>IF($C$3="Square Metres (sqm)","$ per sqm","$ per sqft")</f>
        <v>$ per sqft</v>
      </c>
      <c r="C51" s="147">
        <f>IF(C50&gt;0,IFERROR(C50/C$44,0),"")</f>
        <v>2820</v>
      </c>
      <c r="D51" s="147">
        <f t="shared" ref="D51:H51" si="11">IF(D50&gt;0,IFERROR(D50/D$44,0),"")</f>
        <v>3302.8571428571427</v>
      </c>
      <c r="E51" s="147">
        <f t="shared" si="11"/>
        <v>2977.2727272727275</v>
      </c>
      <c r="F51" s="147">
        <f t="shared" si="11"/>
        <v>3206.8965517241381</v>
      </c>
      <c r="G51" s="147">
        <f t="shared" si="11"/>
        <v>3051.4285714285716</v>
      </c>
      <c r="H51" s="147" t="str">
        <f t="shared" si="11"/>
        <v/>
      </c>
      <c r="I51" s="146">
        <f t="shared" si="10"/>
        <v>3071.6909986565161</v>
      </c>
    </row>
    <row r="52" spans="2:9" x14ac:dyDescent="0.35">
      <c r="B52" s="103"/>
      <c r="C52" s="107"/>
      <c r="D52" s="107"/>
      <c r="E52" s="107"/>
      <c r="F52" s="107"/>
      <c r="G52" s="107"/>
      <c r="H52" s="107"/>
      <c r="I52" s="117"/>
    </row>
    <row r="53" spans="2:9" x14ac:dyDescent="0.35">
      <c r="B53" s="102" t="s">
        <v>269</v>
      </c>
      <c r="C53" s="107"/>
      <c r="D53" s="107"/>
      <c r="E53" s="107"/>
      <c r="F53" s="107"/>
      <c r="G53" s="107"/>
      <c r="H53" s="107"/>
      <c r="I53" s="117"/>
    </row>
    <row r="54" spans="2:9" x14ac:dyDescent="0.35">
      <c r="B54" s="103" t="s">
        <v>69</v>
      </c>
      <c r="C54" s="108">
        <v>4.5</v>
      </c>
      <c r="D54" s="108">
        <v>6.5</v>
      </c>
      <c r="E54" s="108">
        <v>5</v>
      </c>
      <c r="F54" s="108">
        <v>8.5</v>
      </c>
      <c r="G54" s="108">
        <v>7.5</v>
      </c>
      <c r="H54" s="108"/>
      <c r="I54" s="118">
        <f>AVERAGEIF(C54:H54,"&gt;0")</f>
        <v>6.4</v>
      </c>
    </row>
    <row r="55" spans="2:9" x14ac:dyDescent="0.35">
      <c r="B55" s="103" t="s">
        <v>270</v>
      </c>
      <c r="C55" s="108">
        <v>4</v>
      </c>
      <c r="D55" s="108">
        <v>9</v>
      </c>
      <c r="E55" s="108">
        <v>4</v>
      </c>
      <c r="F55" s="108">
        <v>6.5</v>
      </c>
      <c r="G55" s="108">
        <v>6</v>
      </c>
      <c r="H55" s="108"/>
      <c r="I55" s="118">
        <f t="shared" ref="I55:I56" si="12">AVERAGEIF(C55:H55,"&gt;0")</f>
        <v>5.9</v>
      </c>
    </row>
    <row r="56" spans="2:9" x14ac:dyDescent="0.35">
      <c r="B56" s="103" t="s">
        <v>271</v>
      </c>
      <c r="C56" s="108">
        <v>5</v>
      </c>
      <c r="D56" s="108">
        <v>8.5</v>
      </c>
      <c r="E56" s="108">
        <v>3.5</v>
      </c>
      <c r="F56" s="108">
        <v>6</v>
      </c>
      <c r="G56" s="108">
        <v>5</v>
      </c>
      <c r="H56" s="108"/>
      <c r="I56" s="118">
        <f t="shared" si="12"/>
        <v>5.6</v>
      </c>
    </row>
    <row r="57" spans="2:9" x14ac:dyDescent="0.35">
      <c r="B57" s="103"/>
      <c r="C57" s="103"/>
      <c r="D57" s="103"/>
      <c r="E57" s="103"/>
      <c r="F57" s="103"/>
      <c r="G57" s="103"/>
      <c r="H57" s="103"/>
      <c r="I57" s="113"/>
    </row>
    <row r="58" spans="2:9" x14ac:dyDescent="0.35">
      <c r="B58" s="102" t="s">
        <v>272</v>
      </c>
      <c r="C58" s="103"/>
      <c r="D58" s="103"/>
      <c r="E58" s="103"/>
      <c r="F58" s="103"/>
      <c r="G58" s="103"/>
      <c r="H58" s="103"/>
      <c r="I58" s="113"/>
    </row>
    <row r="59" spans="2:9" x14ac:dyDescent="0.35">
      <c r="B59" s="103" t="s">
        <v>273</v>
      </c>
      <c r="C59" s="109" t="s">
        <v>280</v>
      </c>
      <c r="D59" s="109" t="s">
        <v>281</v>
      </c>
      <c r="E59" s="109" t="s">
        <v>282</v>
      </c>
      <c r="F59" s="109" t="s">
        <v>283</v>
      </c>
      <c r="G59" s="109" t="s">
        <v>284</v>
      </c>
      <c r="H59" s="109"/>
      <c r="I59" s="119"/>
    </row>
    <row r="60" spans="2:9" ht="29" x14ac:dyDescent="0.35">
      <c r="B60" s="111" t="s">
        <v>274</v>
      </c>
      <c r="C60" s="110" t="s">
        <v>291</v>
      </c>
      <c r="D60" s="110"/>
      <c r="E60" s="110" t="s">
        <v>288</v>
      </c>
      <c r="F60" s="110"/>
      <c r="G60" s="110"/>
      <c r="H60" s="110"/>
      <c r="I60" s="120"/>
    </row>
    <row r="64" spans="2:9" ht="22.5" customHeight="1" x14ac:dyDescent="0.35">
      <c r="B64" s="165" t="s">
        <v>289</v>
      </c>
      <c r="C64" s="165"/>
      <c r="D64" s="165"/>
      <c r="E64" s="165"/>
      <c r="F64" s="165"/>
      <c r="G64" s="165"/>
      <c r="H64" s="165"/>
      <c r="I64" s="165"/>
    </row>
    <row r="65" spans="2:9" x14ac:dyDescent="0.35">
      <c r="B65" s="103"/>
      <c r="C65" s="102" t="s">
        <v>260</v>
      </c>
      <c r="D65" s="102" t="s">
        <v>261</v>
      </c>
      <c r="E65" s="102" t="s">
        <v>262</v>
      </c>
      <c r="F65" s="102" t="s">
        <v>277</v>
      </c>
      <c r="G65" s="102" t="s">
        <v>276</v>
      </c>
      <c r="H65" s="102" t="s">
        <v>275</v>
      </c>
      <c r="I65" s="112" t="s">
        <v>278</v>
      </c>
    </row>
    <row r="66" spans="2:9" x14ac:dyDescent="0.35">
      <c r="B66" s="102" t="s">
        <v>267</v>
      </c>
      <c r="C66" s="103"/>
      <c r="D66" s="103"/>
      <c r="E66" s="103"/>
      <c r="F66" s="103"/>
      <c r="G66" s="103"/>
      <c r="H66" s="103"/>
      <c r="I66" s="113"/>
    </row>
    <row r="67" spans="2:9" x14ac:dyDescent="0.35">
      <c r="B67" s="103" t="s">
        <v>73</v>
      </c>
      <c r="C67" s="104" t="s">
        <v>361</v>
      </c>
      <c r="D67" s="104" t="s">
        <v>361</v>
      </c>
      <c r="E67" s="104" t="s">
        <v>361</v>
      </c>
      <c r="F67" s="104" t="s">
        <v>361</v>
      </c>
      <c r="G67" s="104" t="s">
        <v>361</v>
      </c>
      <c r="H67" s="104"/>
      <c r="I67" s="114"/>
    </row>
    <row r="68" spans="2:9" x14ac:dyDescent="0.35">
      <c r="B68" s="103" t="s">
        <v>70</v>
      </c>
      <c r="C68" s="105">
        <v>3</v>
      </c>
      <c r="D68" s="105">
        <v>4</v>
      </c>
      <c r="E68" s="105">
        <v>3</v>
      </c>
      <c r="F68" s="105">
        <v>3</v>
      </c>
      <c r="G68" s="105">
        <v>3</v>
      </c>
      <c r="H68" s="105"/>
      <c r="I68" s="118">
        <f>AVERAGEIF(C68:H68,"&gt;0")</f>
        <v>3.2</v>
      </c>
    </row>
    <row r="69" spans="2:9" x14ac:dyDescent="0.35">
      <c r="B69" s="103" t="s">
        <v>71</v>
      </c>
      <c r="C69" s="105">
        <v>2</v>
      </c>
      <c r="D69" s="105">
        <v>2</v>
      </c>
      <c r="E69" s="105">
        <v>2</v>
      </c>
      <c r="F69" s="105">
        <v>2</v>
      </c>
      <c r="G69" s="105">
        <v>2</v>
      </c>
      <c r="H69" s="105"/>
      <c r="I69" s="118">
        <f t="shared" ref="I69:I74" si="13">AVERAGEIF(C69:H69,"&gt;0")</f>
        <v>2</v>
      </c>
    </row>
    <row r="70" spans="2:9" x14ac:dyDescent="0.35">
      <c r="B70" s="103" t="s">
        <v>263</v>
      </c>
      <c r="C70" s="105">
        <v>1</v>
      </c>
      <c r="D70" s="105">
        <v>2</v>
      </c>
      <c r="E70" s="105">
        <v>2</v>
      </c>
      <c r="F70" s="105">
        <v>2</v>
      </c>
      <c r="G70" s="105">
        <v>2</v>
      </c>
      <c r="H70" s="105"/>
      <c r="I70" s="118">
        <f t="shared" si="13"/>
        <v>1.8</v>
      </c>
    </row>
    <row r="71" spans="2:9" x14ac:dyDescent="0.35">
      <c r="B71" s="103" t="str">
        <f>IF($C$3="Square Metres (sqm)","Lot Area (sqm)","Lot Area (sqft)")</f>
        <v>Lot Area (sqft)</v>
      </c>
      <c r="C71" s="105">
        <v>540</v>
      </c>
      <c r="D71" s="105">
        <v>645</v>
      </c>
      <c r="E71" s="105">
        <v>500</v>
      </c>
      <c r="F71" s="105">
        <v>540</v>
      </c>
      <c r="G71" s="105">
        <v>565</v>
      </c>
      <c r="H71" s="105"/>
      <c r="I71" s="115">
        <f t="shared" si="13"/>
        <v>558</v>
      </c>
    </row>
    <row r="72" spans="2:9" x14ac:dyDescent="0.35">
      <c r="B72" s="103" t="str">
        <f>IF($C$3="Square Metres (sqm)","Gross Floor Area (sqm)","Gross Floor Area (sqft)")</f>
        <v>Gross Floor Area (sqft)</v>
      </c>
      <c r="C72" s="105">
        <v>140</v>
      </c>
      <c r="D72" s="105">
        <v>230</v>
      </c>
      <c r="E72" s="105">
        <v>170</v>
      </c>
      <c r="F72" s="105">
        <v>165</v>
      </c>
      <c r="G72" s="105">
        <v>175</v>
      </c>
      <c r="H72" s="105"/>
      <c r="I72" s="115">
        <f t="shared" si="13"/>
        <v>176</v>
      </c>
    </row>
    <row r="73" spans="2:9" x14ac:dyDescent="0.35">
      <c r="B73" s="103" t="s">
        <v>265</v>
      </c>
      <c r="C73" s="106">
        <v>2008</v>
      </c>
      <c r="D73" s="106">
        <v>2020</v>
      </c>
      <c r="E73" s="106">
        <v>2013</v>
      </c>
      <c r="F73" s="106">
        <v>1996</v>
      </c>
      <c r="G73" s="106">
        <v>2004</v>
      </c>
      <c r="H73" s="106"/>
      <c r="I73" s="116">
        <f t="shared" si="13"/>
        <v>2008.2</v>
      </c>
    </row>
    <row r="74" spans="2:9" x14ac:dyDescent="0.35">
      <c r="B74" s="103" t="s">
        <v>266</v>
      </c>
      <c r="C74" s="106">
        <v>2019</v>
      </c>
      <c r="D74" s="106">
        <v>0</v>
      </c>
      <c r="E74" s="106">
        <v>0</v>
      </c>
      <c r="F74" s="106">
        <v>2007</v>
      </c>
      <c r="G74" s="106">
        <v>0</v>
      </c>
      <c r="H74" s="106"/>
      <c r="I74" s="116">
        <f t="shared" si="13"/>
        <v>2013</v>
      </c>
    </row>
    <row r="75" spans="2:9" x14ac:dyDescent="0.35">
      <c r="B75" s="103"/>
      <c r="C75" s="107"/>
      <c r="D75" s="107"/>
      <c r="E75" s="107"/>
      <c r="F75" s="107"/>
      <c r="G75" s="107"/>
      <c r="H75" s="107"/>
      <c r="I75" s="117"/>
    </row>
    <row r="76" spans="2:9" x14ac:dyDescent="0.35">
      <c r="B76" s="102" t="s">
        <v>290</v>
      </c>
      <c r="C76" s="107"/>
      <c r="D76" s="107"/>
      <c r="E76" s="107"/>
      <c r="F76" s="107"/>
      <c r="G76" s="107"/>
      <c r="H76" s="107"/>
      <c r="I76" s="117"/>
    </row>
    <row r="77" spans="2:9" x14ac:dyDescent="0.35">
      <c r="B77" s="103" t="s">
        <v>292</v>
      </c>
      <c r="C77" s="148">
        <v>500</v>
      </c>
      <c r="D77" s="148">
        <v>705</v>
      </c>
      <c r="E77" s="148">
        <v>565</v>
      </c>
      <c r="F77" s="148">
        <v>485</v>
      </c>
      <c r="G77" s="148">
        <v>480</v>
      </c>
      <c r="H77" s="148"/>
      <c r="I77" s="149">
        <f t="shared" ref="I77:I78" si="14">AVERAGEIF(C77:H77,"&gt;0")</f>
        <v>547</v>
      </c>
    </row>
    <row r="78" spans="2:9" x14ac:dyDescent="0.35">
      <c r="B78" s="103" t="str">
        <f>IF($C$3="Square Metres (sqm)","$ per sqm","$ per sqft")</f>
        <v>$ per sqft</v>
      </c>
      <c r="C78" s="150">
        <f>IF(C77&gt;0,IFERROR(C77/C$72,0),"")</f>
        <v>3.5714285714285716</v>
      </c>
      <c r="D78" s="150">
        <f t="shared" ref="D78:H78" si="15">IF(D77&gt;0,IFERROR(D77/D$72,0),"")</f>
        <v>3.0652173913043477</v>
      </c>
      <c r="E78" s="150">
        <f t="shared" si="15"/>
        <v>3.3235294117647061</v>
      </c>
      <c r="F78" s="150">
        <f t="shared" si="15"/>
        <v>2.9393939393939394</v>
      </c>
      <c r="G78" s="150">
        <f t="shared" si="15"/>
        <v>2.7428571428571429</v>
      </c>
      <c r="H78" s="150" t="str">
        <f t="shared" si="15"/>
        <v/>
      </c>
      <c r="I78" s="149">
        <f t="shared" si="14"/>
        <v>3.1284852913497416</v>
      </c>
    </row>
    <row r="79" spans="2:9" x14ac:dyDescent="0.35">
      <c r="B79" s="103"/>
      <c r="C79" s="107"/>
      <c r="D79" s="107"/>
      <c r="E79" s="107"/>
      <c r="F79" s="107"/>
      <c r="G79" s="107"/>
      <c r="H79" s="107"/>
      <c r="I79" s="117"/>
    </row>
    <row r="80" spans="2:9" x14ac:dyDescent="0.35">
      <c r="B80" s="102" t="s">
        <v>269</v>
      </c>
      <c r="C80" s="107"/>
      <c r="D80" s="107"/>
      <c r="E80" s="107"/>
      <c r="F80" s="107"/>
      <c r="G80" s="107"/>
      <c r="H80" s="107"/>
      <c r="I80" s="117"/>
    </row>
    <row r="81" spans="2:9" x14ac:dyDescent="0.35">
      <c r="B81" s="103" t="s">
        <v>69</v>
      </c>
      <c r="C81" s="108">
        <v>6.5</v>
      </c>
      <c r="D81" s="108">
        <v>5</v>
      </c>
      <c r="E81" s="108">
        <v>8.5</v>
      </c>
      <c r="F81" s="108">
        <v>3.5</v>
      </c>
      <c r="G81" s="108">
        <v>5.5</v>
      </c>
      <c r="H81" s="108"/>
      <c r="I81" s="118">
        <f>AVERAGEIF(C81:H81,"&gt;0")</f>
        <v>5.8</v>
      </c>
    </row>
    <row r="82" spans="2:9" x14ac:dyDescent="0.35">
      <c r="B82" s="103" t="s">
        <v>270</v>
      </c>
      <c r="C82" s="108">
        <v>8</v>
      </c>
      <c r="D82" s="108">
        <v>8.5</v>
      </c>
      <c r="E82" s="108">
        <v>5</v>
      </c>
      <c r="F82" s="108">
        <v>5</v>
      </c>
      <c r="G82" s="108">
        <v>4</v>
      </c>
      <c r="H82" s="108"/>
      <c r="I82" s="118">
        <f t="shared" ref="I82:I83" si="16">AVERAGEIF(C82:H82,"&gt;0")</f>
        <v>6.1</v>
      </c>
    </row>
    <row r="83" spans="2:9" x14ac:dyDescent="0.35">
      <c r="B83" s="103" t="s">
        <v>271</v>
      </c>
      <c r="C83" s="108">
        <v>8.5</v>
      </c>
      <c r="D83" s="108">
        <v>9.5</v>
      </c>
      <c r="E83" s="108">
        <v>5.5</v>
      </c>
      <c r="F83" s="108">
        <v>3.5</v>
      </c>
      <c r="G83" s="108">
        <v>3</v>
      </c>
      <c r="H83" s="108"/>
      <c r="I83" s="118">
        <f t="shared" si="16"/>
        <v>6</v>
      </c>
    </row>
    <row r="84" spans="2:9" x14ac:dyDescent="0.35">
      <c r="B84" s="103"/>
      <c r="C84" s="103"/>
      <c r="D84" s="103"/>
      <c r="E84" s="103"/>
      <c r="F84" s="103"/>
      <c r="G84" s="103"/>
      <c r="H84" s="103"/>
      <c r="I84" s="113"/>
    </row>
    <row r="85" spans="2:9" x14ac:dyDescent="0.35">
      <c r="B85" s="102" t="s">
        <v>272</v>
      </c>
      <c r="C85" s="103"/>
      <c r="D85" s="103"/>
      <c r="E85" s="103"/>
      <c r="F85" s="103"/>
      <c r="G85" s="103"/>
      <c r="H85" s="103"/>
      <c r="I85" s="113"/>
    </row>
    <row r="86" spans="2:9" x14ac:dyDescent="0.35">
      <c r="B86" s="103" t="s">
        <v>273</v>
      </c>
      <c r="C86" s="109" t="s">
        <v>280</v>
      </c>
      <c r="D86" s="109" t="s">
        <v>281</v>
      </c>
      <c r="E86" s="109" t="s">
        <v>282</v>
      </c>
      <c r="F86" s="109" t="s">
        <v>283</v>
      </c>
      <c r="G86" s="109" t="s">
        <v>284</v>
      </c>
      <c r="H86" s="109"/>
      <c r="I86" s="119"/>
    </row>
    <row r="87" spans="2:9" ht="29" x14ac:dyDescent="0.35">
      <c r="B87" s="111" t="s">
        <v>274</v>
      </c>
      <c r="C87" s="110" t="s">
        <v>293</v>
      </c>
      <c r="D87" s="110"/>
      <c r="E87" s="110"/>
      <c r="F87" s="110"/>
      <c r="G87" s="110" t="s">
        <v>294</v>
      </c>
      <c r="H87" s="110"/>
      <c r="I87" s="120"/>
    </row>
  </sheetData>
  <mergeCells count="3">
    <mergeCell ref="B5:I5"/>
    <mergeCell ref="B36:I36"/>
    <mergeCell ref="B64:I64"/>
  </mergeCells>
  <dataValidations count="1">
    <dataValidation type="list" allowBlank="1" showInputMessage="1" showErrorMessage="1" sqref="C3" xr:uid="{F382D5B2-727D-4687-8366-3FE5B5C7307C}">
      <formula1>"Square Metres (sqm), Square Feet (sqft)"</formula1>
    </dataValidation>
  </dataValidations>
  <hyperlinks>
    <hyperlink ref="C31" r:id="rId1" xr:uid="{94D93BA1-D5A7-422E-8B9D-7BF82598F9BE}"/>
    <hyperlink ref="D31" r:id="rId2" xr:uid="{725FA09B-8E23-4EA2-A987-E12CC566822F}"/>
    <hyperlink ref="E31" r:id="rId3" xr:uid="{53CADFBB-2707-404E-866C-5C4FBA451D99}"/>
    <hyperlink ref="F31" r:id="rId4" xr:uid="{A1439B11-05F4-49DC-82D2-5A611FFF3DF6}"/>
    <hyperlink ref="G31" r:id="rId5" xr:uid="{119F6109-9E5F-4622-9B18-5BE898CFCB9E}"/>
    <hyperlink ref="H31" r:id="rId6" xr:uid="{0A3D44FF-DA31-4A5D-A223-2AE0D9327F5B}"/>
    <hyperlink ref="C59" r:id="rId7" xr:uid="{7DAB5E2A-F142-4534-B424-82516ACB491D}"/>
    <hyperlink ref="D59" r:id="rId8" xr:uid="{3DA84123-BC01-4496-A9F9-7624C36D9C0B}"/>
    <hyperlink ref="E59" r:id="rId9" xr:uid="{D68AAF2D-D266-49D2-88D2-3849417B65A3}"/>
    <hyperlink ref="F59" r:id="rId10" xr:uid="{1E809FED-AF00-4E0C-8550-B0EFDAC9EBBE}"/>
    <hyperlink ref="G59" r:id="rId11" xr:uid="{F7926B47-3720-4A46-9C14-D789D0E93DA7}"/>
    <hyperlink ref="C86" r:id="rId12" xr:uid="{E1431D86-49EF-4968-80A6-D920B46A8FD2}"/>
    <hyperlink ref="D86" r:id="rId13" xr:uid="{FB119C2A-562B-4BE5-A65D-4F503AF5BEBD}"/>
    <hyperlink ref="E86" r:id="rId14" xr:uid="{278E9D0A-5378-4273-90C5-65DC2B8EA99C}"/>
    <hyperlink ref="F86" r:id="rId15" xr:uid="{3F908E28-A5BE-46C2-917D-B16CAEDE4434}"/>
    <hyperlink ref="G86" r:id="rId16" xr:uid="{1225A69E-8C37-4A35-9ED2-F8D8DD5F5D9A}"/>
  </hyperlinks>
  <pageMargins left="0.39370078740157483" right="0.39370078740157483" top="0.39370078740157483" bottom="0.39370078740157483" header="0.31496062992125984" footer="0.31496062992125984"/>
  <pageSetup scale="65" orientation="landscape" r:id="rId17"/>
  <legacyDrawing r:id="rId18"/>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542AC-68BB-4F62-9A00-09448300DE70}">
  <sheetPr>
    <tabColor theme="6" tint="0.79998168889431442"/>
  </sheetPr>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D9B97DE-0881-4D28-9DA6-08684B3CC2D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Intro</vt:lpstr>
      <vt:lpstr>Inputs</vt:lpstr>
      <vt:lpstr>Analysis Summary</vt:lpstr>
      <vt:lpstr>RE Calculations</vt:lpstr>
      <vt:lpstr>Mortgage Calculators (By Month)</vt:lpstr>
      <vt:lpstr>Mortgage Calculators (By Year)</vt:lpstr>
      <vt:lpstr>Forecast (By Month)</vt:lpstr>
      <vt:lpstr>Forecast (By Year)</vt:lpstr>
      <vt:lpstr>Comparables</vt:lpstr>
      <vt:lpstr>Notes</vt:lpstr>
      <vt:lpstr>'Analysis Summary'!Print_Area</vt:lpstr>
      <vt:lpstr>Comparables!Print_Area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Kudrat Ibragimov +971528602947</dc:creator>
  <cp:lastModifiedBy>Kudrat Ibragimov</cp:lastModifiedBy>
  <cp:lastPrinted>2024-04-23T03:07:40Z</cp:lastPrinted>
  <dcterms:created xsi:type="dcterms:W3CDTF">2015-06-05T18:17:20Z</dcterms:created>
  <dcterms:modified xsi:type="dcterms:W3CDTF">2025-04-08T08:01:25Z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c5130b4-9540-494a-ba5a-018a7699c0f7_Enabled">
    <vt:lpwstr>true</vt:lpwstr>
  </property>
  <property fmtid="{D5CDD505-2E9C-101B-9397-08002B2CF9AE}" pid="3" name="MSIP_Label_ac5130b4-9540-494a-ba5a-018a7699c0f7_SetDate">
    <vt:lpwstr>2025-04-07T11:41:38Z</vt:lpwstr>
  </property>
  <property fmtid="{D5CDD505-2E9C-101B-9397-08002B2CF9AE}" pid="4" name="MSIP_Label_ac5130b4-9540-494a-ba5a-018a7699c0f7_Method">
    <vt:lpwstr>Standard</vt:lpwstr>
  </property>
  <property fmtid="{D5CDD505-2E9C-101B-9397-08002B2CF9AE}" pid="5" name="MSIP_Label_ac5130b4-9540-494a-ba5a-018a7699c0f7_Name">
    <vt:lpwstr>Internal</vt:lpwstr>
  </property>
  <property fmtid="{D5CDD505-2E9C-101B-9397-08002B2CF9AE}" pid="6" name="MSIP_Label_ac5130b4-9540-494a-ba5a-018a7699c0f7_SiteId">
    <vt:lpwstr>545f977a-7e28-4db2-830a-c0721eccf908</vt:lpwstr>
  </property>
  <property fmtid="{D5CDD505-2E9C-101B-9397-08002B2CF9AE}" pid="7" name="MSIP_Label_ac5130b4-9540-494a-ba5a-018a7699c0f7_ActionId">
    <vt:lpwstr>cb289994-3fc7-4986-b712-24543e996d14</vt:lpwstr>
  </property>
  <property fmtid="{D5CDD505-2E9C-101B-9397-08002B2CF9AE}" pid="8" name="MSIP_Label_ac5130b4-9540-494a-ba5a-018a7699c0f7_ContentBits">
    <vt:lpwstr>0</vt:lpwstr>
  </property>
  <property fmtid="{D5CDD505-2E9C-101B-9397-08002B2CF9AE}" pid="9" name="MSIP_Label_ac5130b4-9540-494a-ba5a-018a7699c0f7_Tag">
    <vt:lpwstr>10, 3, 0, 1</vt:lpwstr>
  </property>
</Properties>
</file>